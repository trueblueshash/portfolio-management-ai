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Business Metrics" sheetId="1" r:id="rId5"/>
    <sheet state="visible" name="2. Financial Metrics Actual Aud" sheetId="2" r:id="rId6"/>
    <sheet state="visible" name="3. Cash Flow Statement " sheetId="3" r:id="rId7"/>
  </sheets>
  <definedNames>
    <definedName name="RevDemotoConv">#REF!</definedName>
    <definedName name="appraisalmultiplecs">#REF!</definedName>
    <definedName name="m1bdmproducitivity_preJun">#REF!</definedName>
    <definedName name="_C1_Accounts_per_CS">#REF!</definedName>
    <definedName name="ClusteroneROW">#REF!</definedName>
    <definedName localSheetId="2" name="Closedwontable">#REF!</definedName>
    <definedName name="m4bdmproducitivity_postJun">#REF!</definedName>
    <definedName name="NorthAmeria_UK">#REF!</definedName>
    <definedName name="NA_C2_ACV">#REF!</definedName>
    <definedName name="cbdrmm">#REF!</definedName>
    <definedName name="India_SEAME">#REF!</definedName>
    <definedName name="North_America___UK">#REF!</definedName>
    <definedName name="_C3_System_Implementation">#REF!</definedName>
    <definedName name="Auditor_India">#REF!</definedName>
    <definedName name="India_C2_ACV">#REF!</definedName>
    <definedName name="TE_India">#REF!</definedName>
    <definedName name="Changed">#REF!</definedName>
    <definedName name="Product___Engg__R_D">#REF!</definedName>
    <definedName localSheetId="2" name="expectedexpansion">#REF!</definedName>
    <definedName name="TEmultipleAE">#REF!</definedName>
    <definedName name="TEUS">#REF!</definedName>
    <definedName name="aeseration">#REF!</definedName>
    <definedName name="TEmultipleleader">#REF!</definedName>
    <definedName name="Moved1">#REF!</definedName>
    <definedName name="TE_US">#REF!</definedName>
    <definedName localSheetId="2" name="productivity2">#REF!</definedName>
    <definedName name="USmarekt">#REF!</definedName>
    <definedName name="expectedexpansion">#REF!</definedName>
    <definedName name="TE_multiple_leader">#REF!</definedName>
    <definedName name="cscapacitymax">#REF!</definedName>
    <definedName name="iscapacity">#REF!</definedName>
    <definedName name="jjellyfishcommissions">#REF!</definedName>
    <definedName localSheetId="2" name="USmarekt">#REF!</definedName>
    <definedName name="m1bdmproducitivity_postJun">#REF!</definedName>
    <definedName name="NA_C3_SQLtoDemoCVR">#REF!</definedName>
    <definedName name="bdmbdrratio">#REF!</definedName>
    <definedName name="generalandadmin">#REF!</definedName>
    <definedName name="CSTEAmratio">#REF!</definedName>
    <definedName name="m3bd">#REF!</definedName>
    <definedName localSheetId="2" name="Auditor_USA">#REF!</definedName>
    <definedName name="Product_and_Engineering">#REF!</definedName>
    <definedName name="m4bd">#REF!</definedName>
    <definedName name="salesandmarketing">#REF!</definedName>
    <definedName name="m1bd">#REF!</definedName>
    <definedName name="USAEquotaperc">#REF!</definedName>
    <definedName name="AE_Seration">#REF!</definedName>
    <definedName name="IndiaCScapacity">#REF!</definedName>
    <definedName name="IS_ARR">#REF!</definedName>
    <definedName name="naentbdr">#REF!</definedName>
    <definedName name="Appraisal_Multiple">#REF!</definedName>
    <definedName localSheetId="2" name="sqlconversionperc">#REF!</definedName>
    <definedName name="US_AE_Prod">#REF!</definedName>
    <definedName name="usaequota">#REF!</definedName>
    <definedName name="P_and_E_R_D">#REF!</definedName>
    <definedName name="traveltoUS">#REF!</definedName>
    <definedName name="NA_C3_ACV">#REF!</definedName>
    <definedName name="m4bdmproducitivity_preJun">#REF!</definedName>
    <definedName name="India_SEA_ME">#REF!</definedName>
    <definedName localSheetId="2" name="productivity0">#REF!</definedName>
    <definedName name="_C1_IS">#REF!</definedName>
    <definedName name="India_C1_SQLtoDemoCVR">#REF!</definedName>
    <definedName name="USD_to_INR">#REF!</definedName>
    <definedName name="Auditor_USA">#REF!</definedName>
    <definedName name="custreferralyr2">#REF!</definedName>
    <definedName name="accountmgrcap">#REF!</definedName>
    <definedName name="Marketing_and_Demand_Generation">#REF!</definedName>
    <definedName name="Changed1">#REF!</definedName>
    <definedName name="Awsaccountperaccount">#REF!</definedName>
    <definedName name="P_and_E">#REF!</definedName>
    <definedName name="marketinganddg">#REF!</definedName>
    <definedName name="Customer__Success">#REF!</definedName>
    <definedName name="Revenue__">#REF!</definedName>
    <definedName localSheetId="2" name="_C1_Accounts_per_CS">#REF!</definedName>
    <definedName name="India">#REF!</definedName>
    <definedName name="bdrapac">#REF!</definedName>
    <definedName name="revenue_">#REF!</definedName>
    <definedName name="m3bdmproducitivity_postJun">#REF!</definedName>
    <definedName name="CS_ARR">#REF!</definedName>
    <definedName name="_C3_Accounts_per_CS">#REF!</definedName>
    <definedName name="bdrmm">#REF!</definedName>
    <definedName name="m3bdmproducitivity_preJun">#REF!</definedName>
    <definedName name="ClustertwoUS">#REF!</definedName>
    <definedName name="sproutscommissions">#REF!</definedName>
    <definedName name="General_and_administrative">#REF!</definedName>
    <definedName localSheetId="2" name="ClusteroneUS">#REF!</definedName>
    <definedName name="m2bdmproducitivity_postJun">#REF!</definedName>
    <definedName name="India_AE_quota">#REF!</definedName>
    <definedName name="expectedchurn">#REF!</definedName>
    <definedName name="aebdrratio">#REF!</definedName>
    <definedName name="USmrkt">#REF!</definedName>
    <definedName localSheetId="2" name="productivity4">#REF!</definedName>
    <definedName name="US_AEQuota">#REF!</definedName>
    <definedName name="customersuccess">#REF!</definedName>
    <definedName name="NA_C2_SQLtoDemoCVR">#REF!</definedName>
    <definedName name="US_AE_quota">#REF!</definedName>
    <definedName name="productivity4">#REF!</definedName>
    <definedName name="productivity3">#REF!</definedName>
    <definedName name="NA_C1_ACV">#REF!</definedName>
    <definedName name="ClusteroneUS">#REF!</definedName>
    <definedName name="US">#REF!</definedName>
    <definedName name="India_C2_SQLtoDemoCVR">#REF!</definedName>
    <definedName name="productivity2">#REF!</definedName>
    <definedName name="IndiaCorridorAEQUota">#REF!</definedName>
    <definedName name="productivity0">#REF!</definedName>
    <definedName name="_C2_Accounts_per_CS">#REF!</definedName>
    <definedName name="indiaaequota">#REF!</definedName>
    <definedName name="New_CS_IS_quota">#REF!</definedName>
    <definedName localSheetId="2" name="productivity1">#REF!</definedName>
    <definedName name="capaityfactor">#REF!</definedName>
    <definedName name="custreferralyr1">#REF!</definedName>
    <definedName name="appraisalmultiple">#REF!</definedName>
    <definedName name="Travel_to_US">#REF!</definedName>
    <definedName name="efficiencygain">#REF!</definedName>
    <definedName name="m2bdmproducitivity_preJun">#REF!</definedName>
    <definedName localSheetId="2" name="_C1_IS">#REF!</definedName>
    <definedName name="revenue">#REF!</definedName>
    <definedName name="customer_success">#REF!</definedName>
    <definedName name="SrBDR_USBDRRATIO">#REF!</definedName>
    <definedName name="Moved">#REF!</definedName>
    <definedName name="m2bd">#REF!</definedName>
    <definedName name="G_and_A">#REF!</definedName>
    <definedName name="ClustertwoROW">#REF!</definedName>
    <definedName name="Iscapacitymax">#REF!</definedName>
    <definedName name="Indiamarket">#REF!</definedName>
    <definedName name="India_C1_ACV">#REF!</definedName>
    <definedName name="Demotowinperc">#REF!</definedName>
    <definedName name="productandengg">#REF!</definedName>
    <definedName name="ClusterthreeUS">#REF!</definedName>
    <definedName name="Closedwontable">#REF!</definedName>
    <definedName name="NA_C1_SQLtoDemoCVR">#REF!</definedName>
    <definedName name="nammbdr">#REF!</definedName>
    <definedName localSheetId="2" name="ClusteroneROW">#REF!</definedName>
    <definedName name="TEIndia">#REF!</definedName>
    <definedName name="Sr_BDR_USBDR_Ratio">#REF!</definedName>
    <definedName name="AEproductivity">#REF!</definedName>
    <definedName name="Corridor_AE_Prod">#REF!</definedName>
    <definedName name="_C2_IS">#REF!</definedName>
    <definedName name="BDRDEMO">#REF!</definedName>
    <definedName localSheetId="2" name="productivity3">#REF!</definedName>
    <definedName name="USDtoINR">#REF!</definedName>
    <definedName name="India_Corridor_AE_quota">#REF!</definedName>
    <definedName name="sqlconversionperc">#REF!</definedName>
    <definedName localSheetId="2" name="IndiaCScapacity">#REF!</definedName>
    <definedName name="AuditorUSA">#REF!</definedName>
    <definedName name="TEbdrmultiple">#REF!</definedName>
    <definedName name="cbdrsmb">#REF!</definedName>
    <definedName name="Auditor_s_annual_cost_reduction">#REF!</definedName>
    <definedName name="productivity1">#REF!</definedName>
    <definedName name="CScapacity">#REF!</definedName>
  </definedNames>
  <calcPr/>
</workbook>
</file>

<file path=xl/sharedStrings.xml><?xml version="1.0" encoding="utf-8"?>
<sst xmlns="http://schemas.openxmlformats.org/spreadsheetml/2006/main" count="612" uniqueCount="180">
  <si>
    <t>Actuals</t>
  </si>
  <si>
    <t>Planned</t>
  </si>
  <si>
    <t>Bookings</t>
  </si>
  <si>
    <t xml:space="preserve">Bookings (new customers) $ </t>
  </si>
  <si>
    <t xml:space="preserve"> </t>
  </si>
  <si>
    <t>NA/EU</t>
  </si>
  <si>
    <t>xx</t>
  </si>
  <si>
    <t>India/APAC</t>
  </si>
  <si>
    <t>Net ARR (New + Expansion)</t>
  </si>
  <si>
    <t>Net New ARR</t>
  </si>
  <si>
    <t>Expansion</t>
  </si>
  <si>
    <t>x</t>
  </si>
  <si>
    <t>Revenue Expansion</t>
  </si>
  <si>
    <t>Logo Churn</t>
  </si>
  <si>
    <t>Revenue Churn</t>
  </si>
  <si>
    <t>One time revenue booked for the month (GMV)</t>
  </si>
  <si>
    <t>New ACV/ Average ACV (new contracts)</t>
  </si>
  <si>
    <t>Net Blended ACV</t>
  </si>
  <si>
    <t>Avg MRR  (for new customers)</t>
  </si>
  <si>
    <t>Number of Customers (new)</t>
  </si>
  <si>
    <t>Avg MRR across installed base</t>
  </si>
  <si>
    <t>Projections</t>
  </si>
  <si>
    <t>Total MRR Planned</t>
  </si>
  <si>
    <t>Total MRR Actual</t>
  </si>
  <si>
    <t>Actual MRR % Planned MRR</t>
  </si>
  <si>
    <t>MRR</t>
  </si>
  <si>
    <t>Overall</t>
  </si>
  <si>
    <t>- Opening MRR</t>
  </si>
  <si>
    <t>- New Bookings ($)</t>
  </si>
  <si>
    <t>- MRR Expansion ($)</t>
  </si>
  <si>
    <t>- Revenue expansion ($)</t>
  </si>
  <si>
    <t>- Gross MRR Churn ($)</t>
  </si>
  <si>
    <t>- Revenue Churn ($)</t>
  </si>
  <si>
    <t>- Net MRR Churn ($)</t>
  </si>
  <si>
    <t>- Closing MRR ($)</t>
  </si>
  <si>
    <t>Exit ARR</t>
  </si>
  <si>
    <t>% MRR Expansion</t>
  </si>
  <si>
    <t>% Gross MRR Churn</t>
  </si>
  <si>
    <t>% Net MRR Churn</t>
  </si>
  <si>
    <t>% MoM MRR growth</t>
  </si>
  <si>
    <t>Monthly NRR</t>
  </si>
  <si>
    <t>xxxno change</t>
  </si>
  <si>
    <t>xxx no change</t>
  </si>
  <si>
    <t>Unit Economics</t>
  </si>
  <si>
    <t>LTV</t>
  </si>
  <si>
    <t>CAC</t>
  </si>
  <si>
    <t>LTV to CAC Ratio (without Gross Margin)</t>
  </si>
  <si>
    <t>LTV to CAC Ratio (with Gross Margin)</t>
  </si>
  <si>
    <t>Payback period: Months to Recover CAC</t>
  </si>
  <si>
    <t>Payback period GM</t>
  </si>
  <si>
    <t>Financial Metrics</t>
  </si>
  <si>
    <t>Gross Margin</t>
  </si>
  <si>
    <t>X</t>
  </si>
  <si>
    <t>Operational Capital Burnt (Net)</t>
  </si>
  <si>
    <t>Sales Efficiency</t>
  </si>
  <si>
    <t>Burn Multiple</t>
  </si>
  <si>
    <t>Burn Rate</t>
  </si>
  <si>
    <t>Churn Metrics</t>
  </si>
  <si>
    <t># of Customers at start of Month/Quarter</t>
  </si>
  <si>
    <t># of new Customers</t>
  </si>
  <si>
    <t># of churned Customers</t>
  </si>
  <si>
    <t>Net New Customers</t>
  </si>
  <si>
    <t>Number of Customers at End of Month</t>
  </si>
  <si>
    <t>Funnel Metrics</t>
  </si>
  <si>
    <t>Total Enquiries</t>
  </si>
  <si>
    <t>Total Demos</t>
  </si>
  <si>
    <t>Wins</t>
  </si>
  <si>
    <t>Loss</t>
  </si>
  <si>
    <t>Win Ratio</t>
  </si>
  <si>
    <t>Sales Metrics</t>
  </si>
  <si>
    <t>Total Sales Capacity</t>
  </si>
  <si>
    <t>Sales FTEs</t>
  </si>
  <si>
    <t>Ramped Up Capacity</t>
  </si>
  <si>
    <t>Ramped Up Sales FTEs</t>
  </si>
  <si>
    <t>% Ramped Up</t>
  </si>
  <si>
    <t>Productivity</t>
  </si>
  <si>
    <t>Customer Sales Pipeline</t>
  </si>
  <si>
    <t>Total</t>
  </si>
  <si>
    <t>Leads/SQL</t>
  </si>
  <si>
    <t>Demo</t>
  </si>
  <si>
    <t>POC</t>
  </si>
  <si>
    <t>Proposal</t>
  </si>
  <si>
    <t>Negotiation</t>
  </si>
  <si>
    <t>Organisation Metrics</t>
  </si>
  <si>
    <t>No of employees</t>
  </si>
  <si>
    <t>Customer Success</t>
  </si>
  <si>
    <t>Sales &amp; Marketing</t>
  </si>
  <si>
    <t>Product &amp; Engineering</t>
  </si>
  <si>
    <t>General &amp; Administrative</t>
  </si>
  <si>
    <t>Particulars</t>
  </si>
  <si>
    <t>Actual</t>
  </si>
  <si>
    <t xml:space="preserve">Plan </t>
  </si>
  <si>
    <t>Revenue</t>
  </si>
  <si>
    <t>Subscription Revenue</t>
  </si>
  <si>
    <t>Non-Recurring Revenue</t>
  </si>
  <si>
    <t>Cost of Goods Sold (COGS)</t>
  </si>
  <si>
    <t>Server Hosting charges - Direct expenses</t>
  </si>
  <si>
    <t>Direct Expenses for third-party Audit</t>
  </si>
  <si>
    <t>People cost</t>
  </si>
  <si>
    <t>Travel and expenses</t>
  </si>
  <si>
    <t>Software subscription</t>
  </si>
  <si>
    <t>Total COGS</t>
  </si>
  <si>
    <t>Gross profit</t>
  </si>
  <si>
    <t>Gross Margin (%)</t>
  </si>
  <si>
    <t>Other Income</t>
  </si>
  <si>
    <t>Less: Cost</t>
  </si>
  <si>
    <t>Sales and Marketing Costs</t>
  </si>
  <si>
    <t>Demand Gen</t>
  </si>
  <si>
    <t>Branding and community</t>
  </si>
  <si>
    <t>Marketing Tech Stack</t>
  </si>
  <si>
    <t>Content</t>
  </si>
  <si>
    <t>Referrals and Expansion</t>
  </si>
  <si>
    <t>Events</t>
  </si>
  <si>
    <t>Partnerships</t>
  </si>
  <si>
    <t>Product and Engineering</t>
  </si>
  <si>
    <t>People cost- Product &amp; Engineering</t>
  </si>
  <si>
    <t>People cost- R&amp;D</t>
  </si>
  <si>
    <t>Research and development</t>
  </si>
  <si>
    <t>External Consultants</t>
  </si>
  <si>
    <t>General and Administrative</t>
  </si>
  <si>
    <t>Rent and utilities</t>
  </si>
  <si>
    <t>Professional Services (Legal, Recruitment, etc.)</t>
  </si>
  <si>
    <t>Founders' Salary</t>
  </si>
  <si>
    <t>Other expenses</t>
  </si>
  <si>
    <t>Provision for Doubtful Debts</t>
  </si>
  <si>
    <t>Consulting</t>
  </si>
  <si>
    <t>Payment Processing Costs</t>
  </si>
  <si>
    <t>Bad Debts Written off</t>
  </si>
  <si>
    <t>Total Operating Expenses</t>
  </si>
  <si>
    <t>EBIDTA</t>
  </si>
  <si>
    <t>EBIDTA%</t>
  </si>
  <si>
    <t>EBIDTADepreciation</t>
  </si>
  <si>
    <t>Amortisation &amp; Depreciation</t>
  </si>
  <si>
    <t>Exchange Gain or Loss</t>
  </si>
  <si>
    <t>Fundraising Costs</t>
  </si>
  <si>
    <t>Fund Management fee</t>
  </si>
  <si>
    <t>Profit / (Loss) for the month</t>
  </si>
  <si>
    <t>Cash flow</t>
  </si>
  <si>
    <t>Opening Balance</t>
  </si>
  <si>
    <t>Revenue Collected</t>
  </si>
  <si>
    <t>Inter Entity Financing</t>
  </si>
  <si>
    <t>Capital Investment</t>
  </si>
  <si>
    <t>Inter Entity Investment</t>
  </si>
  <si>
    <t>Cash outflow</t>
  </si>
  <si>
    <t>Closing Balance</t>
  </si>
  <si>
    <t>Net Burn (Op-cl)</t>
  </si>
  <si>
    <t>Runway</t>
  </si>
  <si>
    <t>Cash Flow Statement (Cash Basis) for the period ending 30.04.2023</t>
  </si>
  <si>
    <t>In USD</t>
  </si>
  <si>
    <t>Cash at the beginning of the period</t>
  </si>
  <si>
    <t xml:space="preserve">    Kotak Bank 9651</t>
  </si>
  <si>
    <t xml:space="preserve">    Kotak Bank 5102</t>
  </si>
  <si>
    <t xml:space="preserve">    HSBC-14-001</t>
  </si>
  <si>
    <t xml:space="preserve">    My Biz Wallet</t>
  </si>
  <si>
    <t xml:space="preserve">    Karbon Card</t>
  </si>
  <si>
    <t xml:space="preserve">    Razorpay</t>
  </si>
  <si>
    <t xml:space="preserve">    Kotak Credit Card</t>
  </si>
  <si>
    <t xml:space="preserve">    Razorpay Collection Wallet</t>
  </si>
  <si>
    <t xml:space="preserve">    Customer Advance</t>
  </si>
  <si>
    <t xml:space="preserve">    Mercury Bank Scrut Inc.</t>
  </si>
  <si>
    <t xml:space="preserve">    State Bank of India</t>
  </si>
  <si>
    <t xml:space="preserve">    RHO</t>
  </si>
  <si>
    <t xml:space="preserve">    Treasury</t>
  </si>
  <si>
    <t xml:space="preserve">    Rent Security Deposit</t>
  </si>
  <si>
    <t xml:space="preserve">    Fixed Deposit</t>
  </si>
  <si>
    <t xml:space="preserve">    Kotak Liquid Investments</t>
  </si>
  <si>
    <t>Operating</t>
  </si>
  <si>
    <t>Cash Inflow (from customers)</t>
  </si>
  <si>
    <t>Cash Outflow</t>
  </si>
  <si>
    <t>Duties and Taxes</t>
  </si>
  <si>
    <t>Non Operating</t>
  </si>
  <si>
    <t>Cash Inflow (fundraise, etc.)</t>
  </si>
  <si>
    <t>Other income (interest, Profit on Sale of MF))</t>
  </si>
  <si>
    <t>Fixed Deposit</t>
  </si>
  <si>
    <t>Fixed Assets Purchased</t>
  </si>
  <si>
    <t>Share Allotment Expenses</t>
  </si>
  <si>
    <t>Fundrasing Cost</t>
  </si>
  <si>
    <t xml:space="preserve">    Vendor Advance</t>
  </si>
  <si>
    <t>Gross Burn</t>
  </si>
  <si>
    <t>Net Cash/Burn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</si>
</sst>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 * #,##0_ ;_ * \-#,##0_ ;_ * &quot;-&quot;??_ ;_ @_ 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_(* #,##0_);_(* \(#,##0\);_(* &quot;-&quot;??_);_(@_)"/>
    <numFmt numFmtId="168" formatCode="_(* #,##0.00_);_(* \(#,##0.00\);_(* &quot;-&quot;??_);_(@_)"/>
    <numFmt numFmtId="169" formatCode="_ * #,##0.00_ ;_ * \-#,##0.00_ ;_ * &quot;-&quot;??_ ;_ @_ "/>
    <numFmt numFmtId="170" formatCode="_(&quot;$&quot;* #,##0.00_);_(&quot;$&quot;* \(#,##0.00\);_(&quot;$&quot;* &quot;-&quot;??_);_(@_)"/>
    <numFmt numFmtId="171" formatCode="0.00000%"/>
    <numFmt numFmtId="172" formatCode="_(* #,##0.0_);_(* \(#,##0.0\);_(* &quot;-&quot;??_);_(@_)"/>
    <numFmt numFmtId="173" formatCode="_-* #,##0.00_-;\-* #,##0.00_-;_-* &quot;-&quot;??_-;_-@"/>
    <numFmt numFmtId="174" formatCode="0.0"/>
    <numFmt numFmtId="175" formatCode="#,##0_);\(#,##0\);&quot;–&quot;_);&quot;–&quot;_)"/>
    <numFmt numFmtId="176" formatCode="_([$$-409]* #,##0.00_);_([$$-409]* \(#,##0.00\);_([$$-409]* &quot;-&quot;??_);_(@_)"/>
    <numFmt numFmtId="177" formatCode="_-[$$-409]* #,##0.00_ ;_-[$$-409]* \-#,##0.00\ ;_-[$$-409]* &quot;-&quot;??_ ;_-@_ "/>
    <numFmt numFmtId="178" formatCode="[$-409]mmm\-yy"/>
    <numFmt numFmtId="179" formatCode="D/M/YYYY"/>
  </numFmts>
  <fonts count="30">
    <font>
      <sz val="11.0"/>
      <color theme="1"/>
      <name val="Calibri"/>
      <scheme val="minor"/>
    </font>
    <font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u/>
      <sz val="10.0"/>
      <color theme="5"/>
      <name val="Calibri"/>
    </font>
    <font>
      <b/>
      <u/>
      <sz val="10.0"/>
      <color theme="5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0.0"/>
      <color theme="5"/>
      <name val="Calibri"/>
    </font>
    <font>
      <b/>
      <sz val="10.0"/>
      <color rgb="FF000000"/>
      <name val="Calibri"/>
    </font>
    <font>
      <b/>
      <u/>
      <sz val="10.0"/>
      <color theme="5"/>
      <name val="Calibri"/>
    </font>
    <font>
      <b/>
      <u/>
      <sz val="10.0"/>
      <color theme="5"/>
      <name val="Calibri"/>
    </font>
    <font>
      <b/>
      <u/>
      <sz val="10.0"/>
      <color theme="5"/>
      <name val="Calibri"/>
    </font>
    <font>
      <b/>
      <u/>
      <sz val="10.0"/>
      <color theme="5"/>
      <name val="Calibri"/>
    </font>
    <font>
      <b/>
      <u/>
      <sz val="10.0"/>
      <color theme="1"/>
      <name val="Calibri"/>
    </font>
    <font>
      <sz val="10.0"/>
      <color rgb="FFFF0000"/>
      <name val="Calibri"/>
    </font>
    <font>
      <b/>
      <u/>
      <sz val="10.0"/>
      <color rgb="FF000000"/>
      <name val="Calibri"/>
    </font>
    <font>
      <sz val="10.0"/>
      <color theme="0"/>
      <name val="Calibri"/>
    </font>
    <font>
      <b/>
      <u/>
      <sz val="10.0"/>
      <color theme="1"/>
      <name val="Calibri"/>
    </font>
    <font>
      <sz val="10.0"/>
      <color theme="4"/>
      <name val="Calibri"/>
    </font>
    <font>
      <b/>
      <sz val="10.0"/>
      <color theme="4"/>
      <name val="Calibri"/>
    </font>
    <font>
      <b/>
      <sz val="10.0"/>
      <color theme="0"/>
      <name val="Calibri"/>
    </font>
    <font>
      <i/>
      <sz val="10.0"/>
      <color theme="1"/>
      <name val="Calibri"/>
    </font>
    <font>
      <b/>
      <u/>
      <sz val="10.0"/>
      <color theme="5"/>
      <name val="Calibri"/>
    </font>
    <font>
      <b/>
      <sz val="14.0"/>
      <color theme="1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</fills>
  <borders count="1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bottom style="medium">
        <color rgb="FFFFFFFF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0" fillId="0" fontId="2" numFmtId="164" xfId="0" applyAlignment="1" applyFont="1" applyNumberFormat="1">
      <alignment horizontal="left" vertical="center"/>
    </xf>
    <xf borderId="0" fillId="0" fontId="3" numFmtId="0" xfId="0" applyFont="1"/>
    <xf borderId="1" fillId="4" fontId="2" numFmtId="17" xfId="0" applyAlignment="1" applyBorder="1" applyFill="1" applyFont="1" applyNumberFormat="1">
      <alignment horizontal="center"/>
    </xf>
    <xf borderId="1" fillId="5" fontId="4" numFmtId="0" xfId="0" applyAlignment="1" applyBorder="1" applyFill="1" applyFont="1">
      <alignment horizontal="left"/>
    </xf>
    <xf borderId="1" fillId="6" fontId="5" numFmtId="0" xfId="0" applyAlignment="1" applyBorder="1" applyFill="1" applyFont="1">
      <alignment horizontal="left"/>
    </xf>
    <xf borderId="0" fillId="0" fontId="6" numFmtId="165" xfId="0" applyFont="1" applyNumberFormat="1"/>
    <xf borderId="0" fillId="0" fontId="2" numFmtId="165" xfId="0" applyFont="1" applyNumberFormat="1"/>
    <xf borderId="1" fillId="5" fontId="2" numFmtId="166" xfId="0" applyAlignment="1" applyBorder="1" applyFont="1" applyNumberFormat="1">
      <alignment vertical="center"/>
    </xf>
    <xf borderId="0" fillId="0" fontId="7" numFmtId="0" xfId="0" applyFont="1"/>
    <xf borderId="0" fillId="0" fontId="2" numFmtId="0" xfId="0" applyFont="1"/>
    <xf borderId="0" fillId="0" fontId="3" numFmtId="165" xfId="0" applyFont="1" applyNumberFormat="1"/>
    <xf borderId="0" fillId="0" fontId="3" numFmtId="9" xfId="0" applyFont="1" applyNumberFormat="1"/>
    <xf borderId="0" fillId="0" fontId="3" numFmtId="166" xfId="0" applyFont="1" applyNumberFormat="1"/>
    <xf borderId="0" fillId="0" fontId="8" numFmtId="0" xfId="0" applyFont="1"/>
    <xf borderId="0" fillId="0" fontId="3" numFmtId="0" xfId="0" applyAlignment="1" applyFont="1">
      <alignment horizontal="left"/>
    </xf>
    <xf borderId="0" fillId="0" fontId="8" numFmtId="165" xfId="0" applyFont="1" applyNumberFormat="1"/>
    <xf borderId="1" fillId="5" fontId="2" numFmtId="165" xfId="0" applyBorder="1" applyFont="1" applyNumberFormat="1"/>
    <xf borderId="1" fillId="5" fontId="9" numFmtId="165" xfId="0" applyBorder="1" applyFont="1" applyNumberFormat="1"/>
    <xf borderId="0" fillId="0" fontId="8" numFmtId="164" xfId="0" applyFont="1" applyNumberFormat="1"/>
    <xf borderId="1" fillId="5" fontId="10" numFmtId="165" xfId="0" applyBorder="1" applyFont="1" applyNumberFormat="1"/>
    <xf borderId="0" fillId="0" fontId="1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" xfId="0" applyFont="1" applyNumberFormat="1"/>
    <xf borderId="0" fillId="0" fontId="2" numFmtId="167" xfId="0" applyFont="1" applyNumberFormat="1"/>
    <xf borderId="1" fillId="5" fontId="2" numFmtId="1" xfId="0" applyAlignment="1" applyBorder="1" applyFont="1" applyNumberFormat="1">
      <alignment vertical="center"/>
    </xf>
    <xf borderId="0" fillId="0" fontId="9" numFmtId="0" xfId="0" applyFont="1"/>
    <xf borderId="0" fillId="0" fontId="9" numFmtId="1" xfId="0" applyFont="1" applyNumberFormat="1"/>
    <xf borderId="0" fillId="0" fontId="3" numFmtId="167" xfId="0" applyAlignment="1" applyFont="1" applyNumberFormat="1">
      <alignment horizontal="left"/>
    </xf>
    <xf borderId="0" fillId="0" fontId="3" numFmtId="167" xfId="0" applyFont="1" applyNumberFormat="1"/>
    <xf borderId="0" fillId="0" fontId="3" numFmtId="1" xfId="0" applyFont="1" applyNumberFormat="1"/>
    <xf borderId="0" fillId="0" fontId="8" numFmtId="168" xfId="0" applyFont="1" applyNumberFormat="1"/>
    <xf borderId="1" fillId="7" fontId="3" numFmtId="0" xfId="0" applyBorder="1" applyFill="1" applyFont="1"/>
    <xf borderId="1" fillId="7" fontId="12" numFmtId="0" xfId="0" applyAlignment="1" applyBorder="1" applyFont="1">
      <alignment horizontal="left"/>
    </xf>
    <xf borderId="1" fillId="7" fontId="3" numFmtId="165" xfId="0" applyBorder="1" applyFont="1" applyNumberFormat="1"/>
    <xf borderId="1" fillId="7" fontId="3" numFmtId="9" xfId="0" applyBorder="1" applyFont="1" applyNumberFormat="1"/>
    <xf borderId="1" fillId="5" fontId="13" numFmtId="165" xfId="0" applyAlignment="1" applyBorder="1" applyFont="1" applyNumberFormat="1">
      <alignment horizontal="left"/>
    </xf>
    <xf borderId="1" fillId="5" fontId="14" numFmtId="9" xfId="0" applyAlignment="1" applyBorder="1" applyFont="1" applyNumberFormat="1">
      <alignment horizontal="left"/>
    </xf>
    <xf borderId="0" fillId="0" fontId="15" numFmtId="0" xfId="0" applyAlignment="1" applyFont="1">
      <alignment horizontal="left"/>
    </xf>
    <xf quotePrefix="1" borderId="0" fillId="0" fontId="3" numFmtId="164" xfId="0" applyAlignment="1" applyFont="1" applyNumberFormat="1">
      <alignment vertical="top"/>
    </xf>
    <xf borderId="0" fillId="0" fontId="8" numFmtId="169" xfId="0" applyFont="1" applyNumberFormat="1"/>
    <xf borderId="1" fillId="5" fontId="3" numFmtId="164" xfId="0" applyAlignment="1" applyBorder="1" applyFont="1" applyNumberFormat="1">
      <alignment vertical="top"/>
    </xf>
    <xf borderId="1" fillId="5" fontId="3" numFmtId="10" xfId="0" applyBorder="1" applyFont="1" applyNumberFormat="1"/>
    <xf borderId="1" fillId="5" fontId="3" numFmtId="9" xfId="0" applyBorder="1" applyFont="1" applyNumberFormat="1"/>
    <xf borderId="0" fillId="0" fontId="8" numFmtId="170" xfId="0" applyFont="1" applyNumberFormat="1"/>
    <xf borderId="0" fillId="0" fontId="2" numFmtId="171" xfId="0" applyAlignment="1" applyFont="1" applyNumberFormat="1">
      <alignment horizontal="left" vertical="center"/>
    </xf>
    <xf borderId="0" fillId="0" fontId="8" numFmtId="167" xfId="0" applyFont="1" applyNumberFormat="1"/>
    <xf borderId="1" fillId="6" fontId="2" numFmtId="165" xfId="0" applyBorder="1" applyFont="1" applyNumberFormat="1"/>
    <xf borderId="0" fillId="0" fontId="2" numFmtId="10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 shrinkToFit="0" vertical="center" wrapText="1"/>
    </xf>
    <xf borderId="1" fillId="5" fontId="9" numFmtId="0" xfId="0" applyBorder="1" applyFont="1"/>
    <xf borderId="0" fillId="0" fontId="3" numFmtId="172" xfId="0" applyFont="1" applyNumberFormat="1"/>
    <xf borderId="0" fillId="0" fontId="3" numFmtId="169" xfId="0" applyFont="1" applyNumberFormat="1"/>
    <xf borderId="0" fillId="0" fontId="3" numFmtId="168" xfId="0" applyFont="1" applyNumberFormat="1"/>
    <xf borderId="0" fillId="0" fontId="3" numFmtId="166" xfId="0" applyAlignment="1" applyFont="1" applyNumberFormat="1">
      <alignment vertical="center"/>
    </xf>
    <xf borderId="0" fillId="0" fontId="3" numFmtId="170" xfId="0" applyFont="1" applyNumberFormat="1"/>
    <xf borderId="0" fillId="0" fontId="3" numFmtId="0" xfId="0" applyAlignment="1" applyFont="1">
      <alignment shrinkToFit="0" wrapText="1"/>
    </xf>
    <xf borderId="0" fillId="0" fontId="3" numFmtId="173" xfId="0" applyAlignment="1" applyFont="1" applyNumberFormat="1">
      <alignment horizontal="right" shrinkToFit="0" wrapText="1"/>
    </xf>
    <xf borderId="0" fillId="0" fontId="8" numFmtId="0" xfId="0" applyAlignment="1" applyFont="1">
      <alignment shrinkToFit="0" wrapText="1"/>
    </xf>
    <xf borderId="0" fillId="0" fontId="3" numFmtId="174" xfId="0" applyAlignment="1" applyFont="1" applyNumberFormat="1">
      <alignment horizontal="right" shrinkToFit="0" wrapText="1"/>
    </xf>
    <xf borderId="0" fillId="0" fontId="3" numFmtId="168" xfId="0" applyAlignment="1" applyFont="1" applyNumberFormat="1">
      <alignment horizontal="right" shrinkToFit="0" wrapText="1"/>
    </xf>
    <xf borderId="0" fillId="0" fontId="8" numFmtId="168" xfId="0" applyAlignment="1" applyFont="1" applyNumberFormat="1">
      <alignment shrinkToFit="0" wrapText="1"/>
    </xf>
    <xf borderId="0" fillId="0" fontId="3" numFmtId="2" xfId="0" applyAlignment="1" applyFont="1" applyNumberFormat="1">
      <alignment horizontal="right" shrinkToFit="0" wrapText="1"/>
    </xf>
    <xf borderId="1" fillId="5" fontId="3" numFmtId="0" xfId="0" applyBorder="1" applyFont="1"/>
    <xf borderId="1" fillId="5" fontId="3" numFmtId="1" xfId="0" applyBorder="1" applyFont="1" applyNumberFormat="1"/>
    <xf borderId="0" fillId="0" fontId="3" numFmtId="3" xfId="0" applyFont="1" applyNumberFormat="1"/>
    <xf borderId="0" fillId="0" fontId="16" numFmtId="0" xfId="0" applyFont="1"/>
    <xf borderId="0" fillId="0" fontId="1" numFmtId="1" xfId="0" applyFont="1" applyNumberFormat="1"/>
    <xf borderId="0" fillId="0" fontId="2" numFmtId="0" xfId="0" applyAlignment="1" applyFont="1">
      <alignment horizontal="left" shrinkToFit="0" vertical="center" wrapText="1"/>
    </xf>
    <xf borderId="1" fillId="3" fontId="3" numFmtId="0" xfId="0" applyBorder="1" applyFont="1"/>
    <xf borderId="1" fillId="3" fontId="1" numFmtId="9" xfId="0" applyBorder="1" applyFont="1" applyNumberFormat="1"/>
    <xf borderId="0" fillId="0" fontId="1" numFmtId="9" xfId="0" applyFont="1" applyNumberFormat="1"/>
    <xf borderId="0" fillId="0" fontId="1" numFmtId="170" xfId="0" applyFont="1" applyNumberFormat="1"/>
    <xf borderId="0" fillId="0" fontId="2" numFmtId="0" xfId="0" applyAlignment="1" applyFont="1">
      <alignment horizontal="left" vertical="center"/>
    </xf>
    <xf borderId="0" fillId="0" fontId="1" numFmtId="167" xfId="0" applyFont="1" applyNumberFormat="1"/>
    <xf borderId="0" fillId="0" fontId="1" numFmtId="165" xfId="0" applyFont="1" applyNumberFormat="1"/>
    <xf borderId="1" fillId="8" fontId="1" numFmtId="165" xfId="0" applyBorder="1" applyFill="1" applyFont="1" applyNumberFormat="1"/>
    <xf borderId="1" fillId="8" fontId="1" numFmtId="167" xfId="0" applyBorder="1" applyFont="1" applyNumberFormat="1"/>
    <xf borderId="1" fillId="6" fontId="1" numFmtId="9" xfId="0" applyBorder="1" applyFont="1" applyNumberFormat="1"/>
    <xf borderId="0" fillId="0" fontId="10" numFmtId="0" xfId="0" applyFont="1"/>
    <xf borderId="1" fillId="3" fontId="17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3" fontId="1" numFmtId="175" xfId="0" applyBorder="1" applyFont="1" applyNumberFormat="1"/>
    <xf borderId="0" fillId="0" fontId="1" numFmtId="175" xfId="0" applyFont="1" applyNumberFormat="1"/>
    <xf borderId="0" fillId="0" fontId="3" numFmtId="175" xfId="0" applyFont="1" applyNumberFormat="1"/>
    <xf borderId="0" fillId="0" fontId="1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0" fillId="0" fontId="2" numFmtId="17" xfId="0" applyAlignment="1" applyFont="1" applyNumberFormat="1">
      <alignment horizontal="center" vertical="center"/>
    </xf>
    <xf borderId="0" fillId="0" fontId="2" numFmtId="17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8" numFmtId="166" xfId="0" applyAlignment="1" applyFont="1" applyNumberFormat="1">
      <alignment horizontal="left"/>
    </xf>
    <xf borderId="1" fillId="5" fontId="9" numFmtId="166" xfId="0" applyAlignment="1" applyBorder="1" applyFont="1" applyNumberFormat="1">
      <alignment vertical="center"/>
    </xf>
    <xf borderId="0" fillId="0" fontId="18" numFmtId="0" xfId="0" applyAlignment="1" applyFont="1">
      <alignment horizontal="left"/>
    </xf>
    <xf borderId="0" fillId="0" fontId="1" numFmtId="0" xfId="0" applyAlignment="1" applyFont="1">
      <alignment vertical="center"/>
    </xf>
    <xf borderId="0" fillId="0" fontId="8" numFmtId="166" xfId="0" applyFont="1" applyNumberFormat="1"/>
    <xf borderId="0" fillId="0" fontId="1" numFmtId="166" xfId="0" applyAlignment="1" applyFont="1" applyNumberFormat="1">
      <alignment horizontal="left"/>
    </xf>
    <xf borderId="0" fillId="0" fontId="2" numFmtId="166" xfId="0" applyAlignment="1" applyFont="1" applyNumberFormat="1">
      <alignment vertical="center"/>
    </xf>
    <xf borderId="0" fillId="0" fontId="10" numFmtId="0" xfId="0" applyAlignment="1" applyFont="1">
      <alignment horizontal="left"/>
    </xf>
    <xf borderId="1" fillId="5" fontId="19" numFmtId="0" xfId="0" applyAlignment="1" applyBorder="1" applyFont="1">
      <alignment horizontal="left"/>
    </xf>
    <xf borderId="0" fillId="0" fontId="3" numFmtId="0" xfId="0" applyAlignment="1" applyFont="1">
      <alignment vertical="center"/>
    </xf>
    <xf borderId="0" fillId="0" fontId="3" numFmtId="9" xfId="0" applyAlignment="1" applyFont="1" applyNumberFormat="1">
      <alignment vertical="center"/>
    </xf>
    <xf borderId="0" fillId="0" fontId="3" numFmtId="176" xfId="0" applyAlignment="1" applyFont="1" applyNumberFormat="1">
      <alignment vertical="center"/>
    </xf>
    <xf borderId="0" fillId="0" fontId="1" numFmtId="166" xfId="0" applyFont="1" applyNumberFormat="1"/>
    <xf borderId="1" fillId="5" fontId="9" numFmtId="166" xfId="0" applyBorder="1" applyFont="1" applyNumberFormat="1"/>
    <xf borderId="0" fillId="0" fontId="1" numFmtId="176" xfId="0" applyFont="1" applyNumberFormat="1"/>
    <xf borderId="0" fillId="0" fontId="20" numFmtId="0" xfId="0" applyAlignment="1" applyFont="1">
      <alignment horizontal="left"/>
    </xf>
    <xf borderId="2" fillId="5" fontId="21" numFmtId="0" xfId="0" applyBorder="1" applyFont="1"/>
    <xf borderId="3" fillId="5" fontId="21" numFmtId="165" xfId="0" applyAlignment="1" applyBorder="1" applyFont="1" applyNumberFormat="1">
      <alignment vertical="center"/>
    </xf>
    <xf borderId="3" fillId="5" fontId="21" numFmtId="165" xfId="0" applyBorder="1" applyFont="1" applyNumberFormat="1"/>
    <xf borderId="4" fillId="5" fontId="21" numFmtId="165" xfId="0" applyBorder="1" applyFont="1" applyNumberFormat="1"/>
    <xf borderId="1" fillId="5" fontId="21" numFmtId="165" xfId="0" applyBorder="1" applyFont="1" applyNumberFormat="1"/>
    <xf borderId="0" fillId="0" fontId="20" numFmtId="9" xfId="0" applyAlignment="1" applyFont="1" applyNumberFormat="1">
      <alignment horizontal="left"/>
    </xf>
    <xf borderId="0" fillId="0" fontId="18" numFmtId="9" xfId="0" applyAlignment="1" applyFont="1" applyNumberFormat="1">
      <alignment horizontal="left"/>
    </xf>
    <xf borderId="0" fillId="0" fontId="2" numFmtId="9" xfId="0" applyAlignment="1" applyFont="1" applyNumberFormat="1">
      <alignment horizontal="left" vertical="center"/>
    </xf>
    <xf borderId="5" fillId="7" fontId="21" numFmtId="9" xfId="0" applyAlignment="1" applyBorder="1" applyFont="1" applyNumberFormat="1">
      <alignment vertical="center"/>
    </xf>
    <xf borderId="5" fillId="7" fontId="21" numFmtId="9" xfId="0" applyBorder="1" applyFont="1" applyNumberFormat="1"/>
    <xf borderId="6" fillId="7" fontId="21" numFmtId="9" xfId="0" applyBorder="1" applyFont="1" applyNumberFormat="1"/>
    <xf borderId="1" fillId="7" fontId="21" numFmtId="9" xfId="0" applyBorder="1" applyFont="1" applyNumberFormat="1"/>
    <xf borderId="0" fillId="0" fontId="8" numFmtId="9" xfId="0" applyFont="1" applyNumberFormat="1"/>
    <xf borderId="0" fillId="0" fontId="3" numFmtId="177" xfId="0" applyAlignment="1" applyFont="1" applyNumberFormat="1">
      <alignment vertical="center"/>
    </xf>
    <xf borderId="0" fillId="0" fontId="22" numFmtId="0" xfId="0" applyAlignment="1" applyFont="1">
      <alignment horizontal="left"/>
    </xf>
    <xf borderId="0" fillId="0" fontId="23" numFmtId="0" xfId="0" applyAlignment="1" applyFont="1">
      <alignment horizontal="left"/>
    </xf>
    <xf borderId="7" fillId="5" fontId="24" numFmtId="0" xfId="0" applyAlignment="1" applyBorder="1" applyFont="1">
      <alignment horizontal="left" vertical="top"/>
    </xf>
    <xf borderId="8" fillId="5" fontId="9" numFmtId="166" xfId="0" applyAlignment="1" applyBorder="1" applyFont="1" applyNumberFormat="1">
      <alignment vertical="center"/>
    </xf>
    <xf borderId="1" fillId="7" fontId="1" numFmtId="0" xfId="0" applyAlignment="1" applyBorder="1" applyFont="1">
      <alignment horizontal="left"/>
    </xf>
    <xf borderId="1" fillId="7" fontId="18" numFmtId="0" xfId="0" applyAlignment="1" applyBorder="1" applyFont="1">
      <alignment horizontal="left"/>
    </xf>
    <xf borderId="1" fillId="7" fontId="2" numFmtId="0" xfId="0" applyBorder="1" applyFont="1"/>
    <xf borderId="1" fillId="7" fontId="3" numFmtId="166" xfId="0" applyAlignment="1" applyBorder="1" applyFont="1" applyNumberFormat="1">
      <alignment vertical="center"/>
    </xf>
    <xf borderId="1" fillId="7" fontId="3" numFmtId="9" xfId="0" applyAlignment="1" applyBorder="1" applyFont="1" applyNumberFormat="1">
      <alignment vertical="center"/>
    </xf>
    <xf borderId="1" fillId="9" fontId="3" numFmtId="9" xfId="0" applyAlignment="1" applyBorder="1" applyFill="1" applyFont="1" applyNumberFormat="1">
      <alignment vertical="center"/>
    </xf>
    <xf borderId="0" fillId="0" fontId="3" numFmtId="169" xfId="0" applyAlignment="1" applyFont="1" applyNumberFormat="1">
      <alignment vertical="center"/>
    </xf>
    <xf borderId="1" fillId="5" fontId="2" numFmtId="172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1" fillId="9" fontId="3" numFmtId="166" xfId="0" applyAlignment="1" applyBorder="1" applyFont="1" applyNumberFormat="1">
      <alignment vertical="center"/>
    </xf>
    <xf borderId="1" fillId="5" fontId="2" numFmtId="0" xfId="0" applyBorder="1" applyFont="1"/>
    <xf borderId="1" fillId="5" fontId="2" numFmtId="167" xfId="0" applyAlignment="1" applyBorder="1" applyFont="1" applyNumberFormat="1">
      <alignment vertical="center"/>
    </xf>
    <xf borderId="1" fillId="5" fontId="2" numFmtId="167" xfId="0" applyBorder="1" applyFont="1" applyNumberFormat="1"/>
    <xf borderId="0" fillId="0" fontId="3" numFmtId="167" xfId="0" applyAlignment="1" applyFont="1" applyNumberFormat="1">
      <alignment vertical="center"/>
    </xf>
    <xf borderId="0" fillId="0" fontId="1" numFmtId="10" xfId="0" applyFont="1" applyNumberFormat="1"/>
    <xf borderId="0" fillId="0" fontId="1" numFmtId="169" xfId="0" applyFont="1" applyNumberFormat="1"/>
    <xf borderId="9" fillId="10" fontId="25" numFmtId="0" xfId="0" applyAlignment="1" applyBorder="1" applyFill="1" applyFont="1">
      <alignment horizontal="center"/>
    </xf>
    <xf borderId="10" fillId="0" fontId="26" numFmtId="0" xfId="0" applyBorder="1" applyFont="1"/>
    <xf borderId="11" fillId="0" fontId="26" numFmtId="0" xfId="0" applyBorder="1" applyFont="1"/>
    <xf borderId="1" fillId="2" fontId="8" numFmtId="0" xfId="0" applyBorder="1" applyFont="1"/>
    <xf borderId="12" fillId="0" fontId="6" numFmtId="0" xfId="0" applyAlignment="1" applyBorder="1" applyFont="1">
      <alignment horizontal="center" vertical="center"/>
    </xf>
    <xf borderId="12" fillId="11" fontId="6" numFmtId="178" xfId="0" applyAlignment="1" applyBorder="1" applyFill="1" applyFont="1" applyNumberFormat="1">
      <alignment horizontal="center" vertical="center"/>
    </xf>
    <xf borderId="12" fillId="11" fontId="6" numFmtId="167" xfId="0" applyAlignment="1" applyBorder="1" applyFont="1" applyNumberFormat="1">
      <alignment horizontal="center" vertical="center"/>
    </xf>
    <xf borderId="13" fillId="0" fontId="27" numFmtId="0" xfId="0" applyAlignment="1" applyBorder="1" applyFont="1">
      <alignment horizontal="left" vertical="center"/>
    </xf>
    <xf borderId="14" fillId="0" fontId="6" numFmtId="168" xfId="0" applyAlignment="1" applyBorder="1" applyFont="1" applyNumberFormat="1">
      <alignment shrinkToFit="0" vertical="top" wrapText="1"/>
    </xf>
    <xf borderId="14" fillId="0" fontId="6" numFmtId="167" xfId="0" applyAlignment="1" applyBorder="1" applyFont="1" applyNumberFormat="1">
      <alignment shrinkToFit="0" vertical="top" wrapText="1"/>
    </xf>
    <xf borderId="0" fillId="0" fontId="6" numFmtId="167" xfId="0" applyAlignment="1" applyFont="1" applyNumberFormat="1">
      <alignment shrinkToFit="0" vertical="top" wrapText="1"/>
    </xf>
    <xf borderId="13" fillId="0" fontId="28" numFmtId="0" xfId="0" applyAlignment="1" applyBorder="1" applyFont="1">
      <alignment horizontal="left" vertical="center"/>
    </xf>
    <xf borderId="14" fillId="0" fontId="8" numFmtId="167" xfId="0" applyAlignment="1" applyBorder="1" applyFont="1" applyNumberFormat="1">
      <alignment shrinkToFit="0" vertical="top" wrapText="1"/>
    </xf>
    <xf borderId="0" fillId="0" fontId="8" numFmtId="167" xfId="0" applyAlignment="1" applyFont="1" applyNumberFormat="1">
      <alignment shrinkToFit="0" vertical="top" wrapText="1"/>
    </xf>
    <xf borderId="14" fillId="0" fontId="8" numFmtId="168" xfId="0" applyAlignment="1" applyBorder="1" applyFont="1" applyNumberFormat="1">
      <alignment shrinkToFit="0" vertical="top" wrapText="1"/>
    </xf>
    <xf borderId="0" fillId="0" fontId="8" numFmtId="168" xfId="0" applyAlignment="1" applyFont="1" applyNumberFormat="1">
      <alignment shrinkToFit="0" vertical="top" wrapText="1"/>
    </xf>
    <xf borderId="0" fillId="0" fontId="8" numFmtId="4" xfId="0" applyFont="1" applyNumberFormat="1"/>
    <xf borderId="13" fillId="0" fontId="29" numFmtId="0" xfId="0" applyAlignment="1" applyBorder="1" applyFont="1">
      <alignment horizontal="left" vertical="center"/>
    </xf>
    <xf borderId="15" fillId="0" fontId="6" numFmtId="167" xfId="0" applyAlignment="1" applyBorder="1" applyFont="1" applyNumberFormat="1">
      <alignment shrinkToFit="0" vertical="top" wrapText="1"/>
    </xf>
    <xf borderId="0" fillId="0" fontId="6" numFmtId="167" xfId="0" applyAlignment="1" applyFont="1" applyNumberFormat="1">
      <alignment horizontal="center"/>
    </xf>
    <xf borderId="0" fillId="0" fontId="8" numFmtId="4" xfId="0" applyAlignment="1" applyFont="1" applyNumberFormat="1">
      <alignment horizontal="right" shrinkToFit="0" vertical="top" wrapText="1"/>
    </xf>
    <xf borderId="0" fillId="0" fontId="8" numFmtId="167" xfId="0" applyAlignment="1" applyFont="1" applyNumberFormat="1">
      <alignment horizontal="right" shrinkToFit="0" vertical="top" wrapText="1"/>
    </xf>
    <xf borderId="0" fillId="0" fontId="8" numFmtId="1" xfId="0" applyFont="1" applyNumberFormat="1"/>
    <xf borderId="0" fillId="0" fontId="6" numFmtId="167" xfId="0" applyFont="1" applyNumberFormat="1"/>
    <xf borderId="0" fillId="0" fontId="8" numFmtId="179" xfId="0" applyFont="1" applyNumberFormat="1"/>
  </cellXfs>
  <cellStyles count="1">
    <cellStyle xfId="0" name="Normal" builtinId="0"/>
  </cellStyles>
  <dxfs count="2">
    <dxf>
      <font>
        <color theme="1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hidden="1" min="1" max="1" width="15.14"/>
    <col customWidth="1" min="2" max="2" width="17.43"/>
    <col customWidth="1" min="3" max="3" width="15.14"/>
    <col customWidth="1" min="4" max="4" width="23.14"/>
    <col customWidth="1" min="5" max="21" width="15.14"/>
    <col customWidth="1" hidden="1" min="22" max="22" width="15.14"/>
    <col customWidth="1" min="23" max="23" width="15.14"/>
    <col customWidth="1" hidden="1" min="24" max="24" width="15.14"/>
    <col customWidth="1" min="25" max="25" width="15.14"/>
    <col customWidth="1" hidden="1" min="26" max="26" width="15.14"/>
    <col customWidth="1" min="27" max="27" width="15.14"/>
    <col customWidth="1" hidden="1" min="28" max="28" width="15.14"/>
    <col customWidth="1" min="29" max="29" width="15.14"/>
    <col customWidth="1" hidden="1" min="30" max="30" width="15.14"/>
    <col customWidth="1" min="31" max="31" width="15.14"/>
    <col customWidth="1" hidden="1" min="32" max="32" width="15.14"/>
    <col customWidth="1" min="33" max="33" width="15.14"/>
    <col customWidth="1" hidden="1" min="34" max="34" width="15.14"/>
    <col customWidth="1" min="35" max="35" width="15.14"/>
    <col customWidth="1" hidden="1" min="36" max="36" width="15.14"/>
    <col customWidth="1" min="37" max="37" width="15.14"/>
    <col customWidth="1" hidden="1" min="38" max="38" width="15.14"/>
    <col customWidth="1" min="39" max="39" width="15.14"/>
    <col customWidth="1" hidden="1" min="40" max="40" width="15.14"/>
    <col customWidth="1" min="41" max="41" width="15.14"/>
    <col customWidth="1" hidden="1" min="42" max="42" width="15.14"/>
    <col customWidth="1" min="43" max="43" width="15.14"/>
    <col customWidth="1" hidden="1" min="44" max="44" width="15.14"/>
    <col customWidth="1" min="45" max="45" width="15.14"/>
    <col customWidth="1" hidden="1" min="46" max="46" width="15.14"/>
    <col customWidth="1" min="47" max="47" width="15.14"/>
    <col customWidth="1" hidden="1" min="48" max="48" width="15.14"/>
    <col customWidth="1" min="49" max="49" width="15.14"/>
    <col customWidth="1" hidden="1" min="50" max="50" width="15.14"/>
    <col customWidth="1" min="51" max="51" width="15.14"/>
    <col customWidth="1" hidden="1" min="52" max="52" width="15.14"/>
    <col customWidth="1" min="53" max="53" width="15.14"/>
    <col customWidth="1" hidden="1" min="54" max="54" width="15.14"/>
    <col customWidth="1" min="55" max="55" width="15.14"/>
    <col customWidth="1" hidden="1" min="56" max="56" width="15.14"/>
    <col customWidth="1" min="57" max="57" width="15.14"/>
    <col customWidth="1" hidden="1" min="58" max="58" width="15.14"/>
    <col customWidth="1" min="59" max="59" width="15.14"/>
    <col customWidth="1" hidden="1" min="60" max="60" width="15.14"/>
    <col customWidth="1" min="61" max="61" width="15.14"/>
    <col customWidth="1" hidden="1" min="62" max="62" width="15.14"/>
    <col customWidth="1" min="63" max="63" width="15.14"/>
    <col customWidth="1" hidden="1" min="64" max="64" width="15.14"/>
    <col customWidth="1" min="65" max="65" width="15.57"/>
    <col customWidth="1" hidden="1" min="66" max="66" width="15.14"/>
    <col customWidth="1" min="67" max="67" width="15.57"/>
    <col customWidth="1" hidden="1" min="68" max="68" width="15.14"/>
    <col customWidth="1" min="69" max="69" width="15.57"/>
    <col customWidth="1" hidden="1" min="70" max="70" width="15.14"/>
    <col customWidth="1" min="71" max="71" width="15.57"/>
    <col customWidth="1" hidden="1" min="72" max="72" width="15.14"/>
    <col customWidth="1" min="73" max="73" width="15.57"/>
    <col customWidth="1" hidden="1" min="74" max="74" width="15.14"/>
    <col customWidth="1" min="75" max="75" width="15.57"/>
    <col customWidth="1" hidden="1" min="76" max="76" width="15.14"/>
    <col customWidth="1" min="77" max="77" width="15.57"/>
    <col customWidth="1" hidden="1" min="78" max="78" width="15.14"/>
    <col customWidth="1" min="79" max="79" width="15.57"/>
    <col customWidth="1" hidden="1" min="80" max="80" width="15.14"/>
    <col customWidth="1" min="81" max="81" width="15.57"/>
    <col customWidth="1" hidden="1" min="82" max="82" width="15.14"/>
    <col customWidth="1" min="83" max="83" width="15.57"/>
    <col customWidth="1" hidden="1" min="84" max="84" width="15.14"/>
    <col customWidth="1" min="85" max="85" width="15.57"/>
    <col customWidth="1" hidden="1" min="86" max="86" width="15.14"/>
    <col customWidth="1" min="87" max="87" width="15.57"/>
    <col customWidth="1" min="88" max="88" width="15.14"/>
    <col customWidth="1" min="89" max="89" width="15.57"/>
    <col customWidth="1" min="90" max="92" width="15.14"/>
    <col customWidth="1" hidden="1" min="93" max="94" width="15.14"/>
  </cols>
  <sheetData>
    <row r="1" ht="15.75" customHeight="1">
      <c r="C1" s="1"/>
      <c r="D1" s="1"/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3" t="s">
        <v>1</v>
      </c>
      <c r="W1" s="2" t="s">
        <v>0</v>
      </c>
      <c r="X1" s="3" t="s">
        <v>1</v>
      </c>
      <c r="Y1" s="2" t="s">
        <v>0</v>
      </c>
      <c r="Z1" s="3" t="s">
        <v>1</v>
      </c>
      <c r="AA1" s="2" t="s">
        <v>0</v>
      </c>
      <c r="AB1" s="3" t="s">
        <v>1</v>
      </c>
      <c r="AC1" s="2" t="s">
        <v>0</v>
      </c>
      <c r="AD1" s="3" t="s">
        <v>1</v>
      </c>
      <c r="AE1" s="2" t="s">
        <v>0</v>
      </c>
      <c r="AF1" s="3" t="s">
        <v>1</v>
      </c>
      <c r="AG1" s="2" t="s">
        <v>0</v>
      </c>
      <c r="AH1" s="3" t="s">
        <v>1</v>
      </c>
      <c r="AI1" s="2" t="s">
        <v>0</v>
      </c>
      <c r="AJ1" s="3" t="s">
        <v>1</v>
      </c>
      <c r="AK1" s="2" t="s">
        <v>0</v>
      </c>
      <c r="AL1" s="3" t="s">
        <v>1</v>
      </c>
      <c r="AM1" s="2" t="s">
        <v>0</v>
      </c>
      <c r="AN1" s="3" t="s">
        <v>1</v>
      </c>
      <c r="AO1" s="2" t="s">
        <v>0</v>
      </c>
      <c r="AP1" s="3" t="s">
        <v>1</v>
      </c>
      <c r="AQ1" s="2" t="s">
        <v>0</v>
      </c>
      <c r="AR1" s="3" t="s">
        <v>1</v>
      </c>
      <c r="AS1" s="2" t="s">
        <v>0</v>
      </c>
      <c r="AT1" s="3" t="s">
        <v>1</v>
      </c>
      <c r="AU1" s="2" t="s">
        <v>0</v>
      </c>
      <c r="AV1" s="3" t="s">
        <v>1</v>
      </c>
      <c r="AW1" s="2" t="s">
        <v>0</v>
      </c>
      <c r="AX1" s="3" t="s">
        <v>1</v>
      </c>
      <c r="AY1" s="2" t="s">
        <v>0</v>
      </c>
      <c r="AZ1" s="3" t="s">
        <v>1</v>
      </c>
      <c r="BA1" s="2" t="s">
        <v>0</v>
      </c>
      <c r="BB1" s="3" t="s">
        <v>1</v>
      </c>
      <c r="BC1" s="2" t="s">
        <v>0</v>
      </c>
      <c r="BD1" s="3" t="s">
        <v>1</v>
      </c>
      <c r="BE1" s="2" t="s">
        <v>0</v>
      </c>
      <c r="BF1" s="3" t="s">
        <v>1</v>
      </c>
      <c r="BG1" s="2" t="s">
        <v>0</v>
      </c>
      <c r="BH1" s="3" t="s">
        <v>1</v>
      </c>
      <c r="BI1" s="2" t="s">
        <v>0</v>
      </c>
      <c r="BJ1" s="3" t="s">
        <v>1</v>
      </c>
      <c r="BK1" s="2" t="s">
        <v>0</v>
      </c>
      <c r="BL1" s="3" t="s">
        <v>1</v>
      </c>
      <c r="BM1" s="2" t="s">
        <v>0</v>
      </c>
      <c r="BN1" s="3" t="s">
        <v>1</v>
      </c>
      <c r="BO1" s="2" t="s">
        <v>0</v>
      </c>
      <c r="BP1" s="3" t="s">
        <v>1</v>
      </c>
      <c r="BQ1" s="2" t="s">
        <v>0</v>
      </c>
      <c r="BR1" s="3" t="s">
        <v>1</v>
      </c>
      <c r="BS1" s="2" t="s">
        <v>0</v>
      </c>
      <c r="BT1" s="3" t="s">
        <v>1</v>
      </c>
      <c r="BU1" s="2" t="s">
        <v>0</v>
      </c>
      <c r="BV1" s="3" t="s">
        <v>1</v>
      </c>
      <c r="BW1" s="2" t="s">
        <v>0</v>
      </c>
      <c r="BX1" s="3" t="s">
        <v>1</v>
      </c>
      <c r="BY1" s="2" t="s">
        <v>0</v>
      </c>
      <c r="BZ1" s="3" t="s">
        <v>1</v>
      </c>
      <c r="CA1" s="2" t="s">
        <v>0</v>
      </c>
      <c r="CB1" s="3" t="s">
        <v>1</v>
      </c>
      <c r="CC1" s="2" t="s">
        <v>0</v>
      </c>
      <c r="CD1" s="3" t="s">
        <v>1</v>
      </c>
      <c r="CE1" s="2" t="s">
        <v>0</v>
      </c>
      <c r="CF1" s="3" t="s">
        <v>1</v>
      </c>
      <c r="CG1" s="2" t="s">
        <v>0</v>
      </c>
      <c r="CH1" s="3" t="s">
        <v>1</v>
      </c>
      <c r="CI1" s="2" t="s">
        <v>0</v>
      </c>
      <c r="CJ1" s="3" t="s">
        <v>1</v>
      </c>
      <c r="CK1" s="2" t="s">
        <v>0</v>
      </c>
      <c r="CL1" s="3" t="s">
        <v>1</v>
      </c>
      <c r="CM1" s="3" t="s">
        <v>1</v>
      </c>
      <c r="CO1" s="1"/>
    </row>
    <row r="2" ht="15.75" customHeight="1">
      <c r="C2" s="4"/>
      <c r="D2" s="5"/>
      <c r="E2" s="6">
        <v>44530.0</v>
      </c>
      <c r="F2" s="6">
        <v>44561.0</v>
      </c>
      <c r="G2" s="6">
        <v>44592.0</v>
      </c>
      <c r="H2" s="6">
        <v>44620.0</v>
      </c>
      <c r="I2" s="6">
        <v>44651.0</v>
      </c>
      <c r="J2" s="6">
        <v>44681.0</v>
      </c>
      <c r="K2" s="6">
        <v>44712.0</v>
      </c>
      <c r="L2" s="6">
        <f t="shared" ref="L2:V2" si="1">EOMONTH(K2,1)</f>
        <v>44742</v>
      </c>
      <c r="M2" s="6">
        <f t="shared" si="1"/>
        <v>44773</v>
      </c>
      <c r="N2" s="6">
        <f t="shared" si="1"/>
        <v>44804</v>
      </c>
      <c r="O2" s="6">
        <f t="shared" si="1"/>
        <v>44834</v>
      </c>
      <c r="P2" s="6">
        <f t="shared" si="1"/>
        <v>44865</v>
      </c>
      <c r="Q2" s="6">
        <f t="shared" si="1"/>
        <v>44895</v>
      </c>
      <c r="R2" s="6">
        <f t="shared" si="1"/>
        <v>44926</v>
      </c>
      <c r="S2" s="6">
        <f t="shared" si="1"/>
        <v>44957</v>
      </c>
      <c r="T2" s="6">
        <f t="shared" si="1"/>
        <v>44985</v>
      </c>
      <c r="U2" s="6">
        <f t="shared" si="1"/>
        <v>45016</v>
      </c>
      <c r="V2" s="6">
        <f t="shared" si="1"/>
        <v>45046</v>
      </c>
      <c r="W2" s="6">
        <f t="shared" ref="W2:CL2" si="2">EOMONTH(U2,1)</f>
        <v>45046</v>
      </c>
      <c r="X2" s="6">
        <f t="shared" si="2"/>
        <v>45077</v>
      </c>
      <c r="Y2" s="6">
        <f t="shared" si="2"/>
        <v>45077</v>
      </c>
      <c r="Z2" s="6">
        <f t="shared" si="2"/>
        <v>45107</v>
      </c>
      <c r="AA2" s="6">
        <f t="shared" si="2"/>
        <v>45107</v>
      </c>
      <c r="AB2" s="6">
        <f t="shared" si="2"/>
        <v>45138</v>
      </c>
      <c r="AC2" s="6">
        <f t="shared" si="2"/>
        <v>45138</v>
      </c>
      <c r="AD2" s="6">
        <f t="shared" si="2"/>
        <v>45169</v>
      </c>
      <c r="AE2" s="6">
        <f t="shared" si="2"/>
        <v>45169</v>
      </c>
      <c r="AF2" s="6">
        <f t="shared" si="2"/>
        <v>45199</v>
      </c>
      <c r="AG2" s="6">
        <f t="shared" si="2"/>
        <v>45199</v>
      </c>
      <c r="AH2" s="6">
        <f t="shared" si="2"/>
        <v>45230</v>
      </c>
      <c r="AI2" s="6">
        <f t="shared" si="2"/>
        <v>45230</v>
      </c>
      <c r="AJ2" s="6">
        <f t="shared" si="2"/>
        <v>45260</v>
      </c>
      <c r="AK2" s="6">
        <f t="shared" si="2"/>
        <v>45260</v>
      </c>
      <c r="AL2" s="6">
        <f t="shared" si="2"/>
        <v>45291</v>
      </c>
      <c r="AM2" s="6">
        <f t="shared" si="2"/>
        <v>45291</v>
      </c>
      <c r="AN2" s="6">
        <f t="shared" si="2"/>
        <v>45322</v>
      </c>
      <c r="AO2" s="6">
        <f t="shared" si="2"/>
        <v>45322</v>
      </c>
      <c r="AP2" s="6">
        <f t="shared" si="2"/>
        <v>45351</v>
      </c>
      <c r="AQ2" s="6">
        <f t="shared" si="2"/>
        <v>45351</v>
      </c>
      <c r="AR2" s="6">
        <f t="shared" si="2"/>
        <v>45382</v>
      </c>
      <c r="AS2" s="6">
        <f t="shared" si="2"/>
        <v>45382</v>
      </c>
      <c r="AT2" s="6">
        <f t="shared" si="2"/>
        <v>45412</v>
      </c>
      <c r="AU2" s="6">
        <f t="shared" si="2"/>
        <v>45412</v>
      </c>
      <c r="AV2" s="6">
        <f t="shared" si="2"/>
        <v>45443</v>
      </c>
      <c r="AW2" s="6">
        <f t="shared" si="2"/>
        <v>45443</v>
      </c>
      <c r="AX2" s="6">
        <f t="shared" si="2"/>
        <v>45473</v>
      </c>
      <c r="AY2" s="6">
        <f t="shared" si="2"/>
        <v>45473</v>
      </c>
      <c r="AZ2" s="6">
        <f t="shared" si="2"/>
        <v>45504</v>
      </c>
      <c r="BA2" s="6">
        <f t="shared" si="2"/>
        <v>45504</v>
      </c>
      <c r="BB2" s="6">
        <f t="shared" si="2"/>
        <v>45535</v>
      </c>
      <c r="BC2" s="6">
        <f t="shared" si="2"/>
        <v>45535</v>
      </c>
      <c r="BD2" s="6">
        <f t="shared" si="2"/>
        <v>45565</v>
      </c>
      <c r="BE2" s="6">
        <f t="shared" si="2"/>
        <v>45565</v>
      </c>
      <c r="BF2" s="6">
        <f t="shared" si="2"/>
        <v>45596</v>
      </c>
      <c r="BG2" s="6">
        <f t="shared" si="2"/>
        <v>45596</v>
      </c>
      <c r="BH2" s="6">
        <f t="shared" si="2"/>
        <v>45626</v>
      </c>
      <c r="BI2" s="6">
        <f t="shared" si="2"/>
        <v>45626</v>
      </c>
      <c r="BJ2" s="6">
        <f t="shared" si="2"/>
        <v>45657</v>
      </c>
      <c r="BK2" s="6">
        <f t="shared" si="2"/>
        <v>45657</v>
      </c>
      <c r="BL2" s="6">
        <f t="shared" si="2"/>
        <v>45688</v>
      </c>
      <c r="BM2" s="6">
        <f t="shared" si="2"/>
        <v>45688</v>
      </c>
      <c r="BN2" s="6">
        <f t="shared" si="2"/>
        <v>45716</v>
      </c>
      <c r="BO2" s="6">
        <f t="shared" si="2"/>
        <v>45716</v>
      </c>
      <c r="BP2" s="6">
        <f t="shared" si="2"/>
        <v>45747</v>
      </c>
      <c r="BQ2" s="6">
        <f t="shared" si="2"/>
        <v>45747</v>
      </c>
      <c r="BR2" s="6">
        <f t="shared" si="2"/>
        <v>45777</v>
      </c>
      <c r="BS2" s="6">
        <f t="shared" si="2"/>
        <v>45777</v>
      </c>
      <c r="BT2" s="6">
        <f t="shared" si="2"/>
        <v>45808</v>
      </c>
      <c r="BU2" s="6">
        <f t="shared" si="2"/>
        <v>45808</v>
      </c>
      <c r="BV2" s="6">
        <f t="shared" si="2"/>
        <v>45838</v>
      </c>
      <c r="BW2" s="6">
        <f t="shared" si="2"/>
        <v>45838</v>
      </c>
      <c r="BX2" s="6">
        <f t="shared" si="2"/>
        <v>45869</v>
      </c>
      <c r="BY2" s="6">
        <f t="shared" si="2"/>
        <v>45869</v>
      </c>
      <c r="BZ2" s="6">
        <f t="shared" si="2"/>
        <v>45900</v>
      </c>
      <c r="CA2" s="6">
        <f t="shared" si="2"/>
        <v>45900</v>
      </c>
      <c r="CB2" s="6">
        <f t="shared" si="2"/>
        <v>45930</v>
      </c>
      <c r="CC2" s="6">
        <f t="shared" si="2"/>
        <v>45930</v>
      </c>
      <c r="CD2" s="6">
        <f t="shared" si="2"/>
        <v>45961</v>
      </c>
      <c r="CE2" s="6">
        <f t="shared" si="2"/>
        <v>45961</v>
      </c>
      <c r="CF2" s="6">
        <f t="shared" si="2"/>
        <v>45991</v>
      </c>
      <c r="CG2" s="6">
        <f t="shared" si="2"/>
        <v>45991</v>
      </c>
      <c r="CH2" s="6">
        <f t="shared" si="2"/>
        <v>46022</v>
      </c>
      <c r="CI2" s="6">
        <f t="shared" si="2"/>
        <v>46022</v>
      </c>
      <c r="CJ2" s="6">
        <f t="shared" si="2"/>
        <v>46053</v>
      </c>
      <c r="CK2" s="6">
        <f t="shared" si="2"/>
        <v>46053</v>
      </c>
      <c r="CL2" s="6">
        <f t="shared" si="2"/>
        <v>46081</v>
      </c>
      <c r="CM2" s="6">
        <f>EOMONTH(CL2,1)</f>
        <v>46112</v>
      </c>
      <c r="CO2" s="5"/>
    </row>
    <row r="3" ht="15.75" customHeight="1">
      <c r="C3" s="7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8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O3" s="7"/>
    </row>
    <row r="4" ht="15.75" customHeight="1">
      <c r="C4" s="9">
        <f>SUM(E4:U4)+W4+Y4+AA4+AC4+AE4+AG4+AI4+AK4+AM4+AO4+AQ4+AS4+AU4+AW4+AY4+BA4+BC4+BE4+BG4+BI4+BK4+BM4+BO4+BQ4+BS4+BU4+BW4+BY4+CA4+CC4+CE4+CG4+CI4+CK4</f>
        <v>18254651.53</v>
      </c>
      <c r="D4" s="7" t="s">
        <v>3</v>
      </c>
      <c r="E4" s="10">
        <f t="shared" ref="E4:CM4" si="3">E6+E7</f>
        <v>18000</v>
      </c>
      <c r="F4" s="10">
        <f t="shared" si="3"/>
        <v>27000</v>
      </c>
      <c r="G4" s="10">
        <f t="shared" si="3"/>
        <v>36000</v>
      </c>
      <c r="H4" s="10">
        <f t="shared" si="3"/>
        <v>24244</v>
      </c>
      <c r="I4" s="10">
        <f t="shared" si="3"/>
        <v>21500</v>
      </c>
      <c r="J4" s="10">
        <f t="shared" si="3"/>
        <v>80112</v>
      </c>
      <c r="K4" s="10">
        <f t="shared" si="3"/>
        <v>72033.33</v>
      </c>
      <c r="L4" s="10">
        <f t="shared" si="3"/>
        <v>41800</v>
      </c>
      <c r="M4" s="10">
        <f t="shared" si="3"/>
        <v>38400</v>
      </c>
      <c r="N4" s="10">
        <f t="shared" si="3"/>
        <v>111085</v>
      </c>
      <c r="O4" s="10">
        <f t="shared" si="3"/>
        <v>160143</v>
      </c>
      <c r="P4" s="10">
        <f t="shared" si="3"/>
        <v>131952.67</v>
      </c>
      <c r="Q4" s="10">
        <f t="shared" si="3"/>
        <v>121444</v>
      </c>
      <c r="R4" s="10">
        <f t="shared" si="3"/>
        <v>160800</v>
      </c>
      <c r="S4" s="10">
        <f t="shared" si="3"/>
        <v>148725</v>
      </c>
      <c r="T4" s="10">
        <f t="shared" si="3"/>
        <v>192171</v>
      </c>
      <c r="U4" s="10">
        <f t="shared" si="3"/>
        <v>376875</v>
      </c>
      <c r="V4" s="10">
        <f t="shared" si="3"/>
        <v>366775.66</v>
      </c>
      <c r="W4" s="10">
        <f t="shared" si="3"/>
        <v>258947</v>
      </c>
      <c r="X4" s="10">
        <f t="shared" si="3"/>
        <v>368050.2445</v>
      </c>
      <c r="Y4" s="10">
        <f t="shared" si="3"/>
        <v>314610</v>
      </c>
      <c r="Z4" s="10">
        <f t="shared" si="3"/>
        <v>385120.9227</v>
      </c>
      <c r="AA4" s="10">
        <f t="shared" si="3"/>
        <v>399281.25</v>
      </c>
      <c r="AB4" s="10">
        <f t="shared" si="3"/>
        <v>379331.7696</v>
      </c>
      <c r="AC4" s="10">
        <f t="shared" si="3"/>
        <v>308095</v>
      </c>
      <c r="AD4" s="10">
        <f t="shared" si="3"/>
        <v>411543.8358</v>
      </c>
      <c r="AE4" s="10">
        <f t="shared" si="3"/>
        <v>381750</v>
      </c>
      <c r="AF4" s="10">
        <f t="shared" si="3"/>
        <v>450435.9354</v>
      </c>
      <c r="AG4" s="10">
        <f t="shared" si="3"/>
        <v>427667.5</v>
      </c>
      <c r="AH4" s="10">
        <f t="shared" si="3"/>
        <v>463691.4084</v>
      </c>
      <c r="AI4" s="10">
        <f t="shared" si="3"/>
        <v>308875</v>
      </c>
      <c r="AJ4" s="10">
        <f t="shared" si="3"/>
        <v>498446.247</v>
      </c>
      <c r="AK4" s="10">
        <f t="shared" si="3"/>
        <v>323012.5</v>
      </c>
      <c r="AL4" s="10">
        <f t="shared" si="3"/>
        <v>537245.289</v>
      </c>
      <c r="AM4" s="10">
        <f t="shared" si="3"/>
        <v>418925.5</v>
      </c>
      <c r="AN4" s="10">
        <f t="shared" si="3"/>
        <v>303600</v>
      </c>
      <c r="AO4" s="11">
        <f t="shared" si="3"/>
        <v>260431</v>
      </c>
      <c r="AP4" s="10">
        <f t="shared" si="3"/>
        <v>307416</v>
      </c>
      <c r="AQ4" s="11">
        <f t="shared" si="3"/>
        <v>271884</v>
      </c>
      <c r="AR4" s="10">
        <f t="shared" si="3"/>
        <v>381672.36</v>
      </c>
      <c r="AS4" s="11">
        <f t="shared" si="3"/>
        <v>412125</v>
      </c>
      <c r="AT4" s="10">
        <f t="shared" si="3"/>
        <v>386892.9045</v>
      </c>
      <c r="AU4" s="11">
        <f t="shared" si="3"/>
        <v>344412.75</v>
      </c>
      <c r="AV4" s="10">
        <f t="shared" si="3"/>
        <v>414109.5236</v>
      </c>
      <c r="AW4" s="11">
        <f t="shared" si="3"/>
        <v>452325</v>
      </c>
      <c r="AX4" s="10">
        <f t="shared" si="3"/>
        <v>406017.6723</v>
      </c>
      <c r="AY4" s="11">
        <f t="shared" si="3"/>
        <v>500959.5</v>
      </c>
      <c r="AZ4" s="10">
        <f t="shared" si="3"/>
        <v>521442.9628</v>
      </c>
      <c r="BA4" s="11">
        <f t="shared" si="3"/>
        <v>372873.83</v>
      </c>
      <c r="BB4" s="10">
        <f t="shared" si="3"/>
        <v>569459.9248</v>
      </c>
      <c r="BC4" s="11">
        <f t="shared" si="3"/>
        <v>324430</v>
      </c>
      <c r="BD4" s="10">
        <f t="shared" si="3"/>
        <v>566538.1946</v>
      </c>
      <c r="BE4" s="11">
        <f t="shared" si="3"/>
        <v>493586</v>
      </c>
      <c r="BF4" s="10">
        <f t="shared" si="3"/>
        <v>603465.1134</v>
      </c>
      <c r="BG4" s="11">
        <f t="shared" si="3"/>
        <v>316767.5</v>
      </c>
      <c r="BH4" s="10">
        <f t="shared" si="3"/>
        <v>623562.8157</v>
      </c>
      <c r="BI4" s="11">
        <f t="shared" si="3"/>
        <v>502992.6816</v>
      </c>
      <c r="BJ4" s="10">
        <f t="shared" si="3"/>
        <v>666997.9035</v>
      </c>
      <c r="BK4" s="11">
        <f t="shared" si="3"/>
        <v>664353.436</v>
      </c>
      <c r="BL4" s="10">
        <f t="shared" si="3"/>
        <v>438202.8752</v>
      </c>
      <c r="BM4" s="11">
        <f t="shared" si="3"/>
        <v>448467.3525</v>
      </c>
      <c r="BN4" s="10">
        <f t="shared" si="3"/>
        <v>459517.6708</v>
      </c>
      <c r="BO4" s="11">
        <f t="shared" si="3"/>
        <v>680929.008</v>
      </c>
      <c r="BP4" s="10">
        <f t="shared" si="3"/>
        <v>488570.9014</v>
      </c>
      <c r="BQ4" s="11">
        <f t="shared" si="3"/>
        <v>647859.7188</v>
      </c>
      <c r="BR4" s="10">
        <f t="shared" si="3"/>
        <v>520183.9291</v>
      </c>
      <c r="BS4" s="11">
        <f t="shared" si="3"/>
        <v>465797.1879</v>
      </c>
      <c r="BT4" s="10">
        <f t="shared" si="3"/>
        <v>502305.7265</v>
      </c>
      <c r="BU4" s="11">
        <f t="shared" si="3"/>
        <v>615164</v>
      </c>
      <c r="BV4" s="10">
        <f t="shared" si="3"/>
        <v>476561.8675</v>
      </c>
      <c r="BW4" s="11">
        <f t="shared" si="3"/>
        <v>814897</v>
      </c>
      <c r="BX4" s="10">
        <f t="shared" si="3"/>
        <v>485148.141</v>
      </c>
      <c r="BY4" s="11">
        <f t="shared" si="3"/>
        <v>564289</v>
      </c>
      <c r="BZ4" s="10">
        <f t="shared" si="3"/>
        <v>511645.3078</v>
      </c>
      <c r="CA4" s="11">
        <f t="shared" si="3"/>
        <v>701869.96</v>
      </c>
      <c r="CB4" s="10">
        <f t="shared" si="3"/>
        <v>542422.7252</v>
      </c>
      <c r="CC4" s="11">
        <f t="shared" si="3"/>
        <v>674215</v>
      </c>
      <c r="CD4" s="10">
        <f t="shared" si="3"/>
        <v>517286.1212</v>
      </c>
      <c r="CE4" s="11">
        <f t="shared" si="3"/>
        <v>787806.4</v>
      </c>
      <c r="CF4" s="10">
        <f t="shared" si="3"/>
        <v>551232.9673</v>
      </c>
      <c r="CG4" s="11">
        <f t="shared" si="3"/>
        <v>695441.32</v>
      </c>
      <c r="CH4" s="10">
        <f t="shared" si="3"/>
        <v>581690.1335</v>
      </c>
      <c r="CI4" s="11">
        <f t="shared" si="3"/>
        <v>795464</v>
      </c>
      <c r="CJ4" s="10">
        <f t="shared" si="3"/>
        <v>604465.5118</v>
      </c>
      <c r="CK4" s="11">
        <f t="shared" si="3"/>
        <v>541862.14</v>
      </c>
      <c r="CL4" s="10">
        <f t="shared" si="3"/>
        <v>638519.3064</v>
      </c>
      <c r="CM4" s="10">
        <f t="shared" si="3"/>
        <v>682384.8482</v>
      </c>
      <c r="CO4" s="7" t="s">
        <v>3</v>
      </c>
      <c r="CP4" s="12" t="b">
        <f t="shared" ref="CP4:CP60" si="4">D4=CO4</f>
        <v>1</v>
      </c>
    </row>
    <row r="5" ht="15.75" customHeight="1"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14"/>
      <c r="AK5" s="15"/>
      <c r="AL5" s="14"/>
      <c r="AM5" s="15"/>
      <c r="AN5" s="14"/>
      <c r="AO5" s="15"/>
      <c r="AP5" s="14"/>
      <c r="AQ5" s="15"/>
      <c r="AR5" s="14"/>
      <c r="AS5" s="15"/>
      <c r="AT5" s="14"/>
      <c r="AU5" s="15"/>
      <c r="AV5" s="14"/>
      <c r="AW5" s="15"/>
      <c r="AX5" s="14"/>
      <c r="AY5" s="15"/>
      <c r="AZ5" s="14"/>
      <c r="BA5" s="15"/>
      <c r="BB5" s="14"/>
      <c r="BC5" s="15"/>
      <c r="BD5" s="14"/>
      <c r="BE5" s="15"/>
      <c r="BF5" s="14"/>
      <c r="BG5" s="16">
        <f>BG4+BE4+BC4</f>
        <v>1134783.5</v>
      </c>
      <c r="BH5" s="14"/>
      <c r="BI5" s="15"/>
      <c r="BJ5" s="14"/>
      <c r="BK5" s="15"/>
      <c r="BL5" s="14"/>
      <c r="BM5" s="16">
        <f>BM4+BK4+BI4</f>
        <v>1615813.47</v>
      </c>
      <c r="BN5" s="14"/>
      <c r="BO5" s="15"/>
      <c r="BP5" s="14"/>
      <c r="BQ5" s="15"/>
      <c r="BR5" s="14"/>
      <c r="BS5" s="15"/>
      <c r="BT5" s="14"/>
      <c r="BU5" s="15"/>
      <c r="BV5" s="14"/>
      <c r="BW5" s="15"/>
      <c r="BX5" s="14"/>
      <c r="BY5" s="15"/>
      <c r="BZ5" s="14"/>
      <c r="CA5" s="15"/>
      <c r="CB5" s="14"/>
      <c r="CC5" s="15"/>
      <c r="CD5" s="14"/>
      <c r="CE5" s="15"/>
      <c r="CF5" s="14"/>
      <c r="CG5" s="15"/>
      <c r="CH5" s="14"/>
      <c r="CI5" s="15"/>
      <c r="CJ5" s="14"/>
      <c r="CK5" s="15"/>
      <c r="CL5" s="14"/>
      <c r="CM5" s="14"/>
      <c r="CO5" s="13"/>
      <c r="CP5" s="12" t="b">
        <f t="shared" si="4"/>
        <v>1</v>
      </c>
    </row>
    <row r="6" ht="15.75" customHeight="1">
      <c r="A6" s="17" t="s">
        <v>4</v>
      </c>
      <c r="C6" s="9">
        <f t="shared" ref="C6:C7" si="6">SUM(E6:U6)+W6+Y6+AA6+AC6+AE6+AG6+AI6+AK6+AM6+AO6+AQ6+AS6+AU6+AW6+AY6+BA6+BC6+BE6+BG6+BI6+BK6+BM6+BO6+BQ6+BS6+BU6+BW6+BY6+CA6+CC6+CE6+CG6+CI6+CK6</f>
        <v>10466578.33</v>
      </c>
      <c r="D6" s="18" t="s">
        <v>5</v>
      </c>
      <c r="E6" s="14"/>
      <c r="F6" s="14">
        <v>8000.0</v>
      </c>
      <c r="G6" s="14">
        <v>5000.0</v>
      </c>
      <c r="H6" s="14"/>
      <c r="I6" s="14"/>
      <c r="J6" s="14"/>
      <c r="K6" s="14">
        <v>9000.0</v>
      </c>
      <c r="L6" s="14">
        <v>6500.0</v>
      </c>
      <c r="M6" s="14"/>
      <c r="N6" s="14">
        <v>7500.0</v>
      </c>
      <c r="O6" s="14">
        <v>19500.0</v>
      </c>
      <c r="P6" s="14">
        <v>17400.0</v>
      </c>
      <c r="Q6" s="14">
        <v>25000.0</v>
      </c>
      <c r="R6" s="14">
        <v>45900.0</v>
      </c>
      <c r="S6" s="14">
        <v>20600.0</v>
      </c>
      <c r="T6" s="14">
        <v>33500.0</v>
      </c>
      <c r="U6" s="14">
        <v>137560.0</v>
      </c>
      <c r="V6" s="14">
        <v>158255.66</v>
      </c>
      <c r="W6" s="14">
        <v>109000.0</v>
      </c>
      <c r="X6" s="14">
        <v>154692.244525</v>
      </c>
      <c r="Y6" s="14">
        <v>118390.0</v>
      </c>
      <c r="Z6" s="14">
        <v>160450.317973875</v>
      </c>
      <c r="AA6" s="14">
        <v>224750.0</v>
      </c>
      <c r="AB6" s="14">
        <v>155931.895874944</v>
      </c>
      <c r="AC6" s="14">
        <v>123000.0</v>
      </c>
      <c r="AD6" s="14">
        <v>182933.965162872</v>
      </c>
      <c r="AE6" s="14">
        <v>147875.0</v>
      </c>
      <c r="AF6" s="14">
        <v>216485.818087451</v>
      </c>
      <c r="AG6" s="14">
        <v>258480.0</v>
      </c>
      <c r="AH6" s="14">
        <v>224267.538082261</v>
      </c>
      <c r="AI6" s="14">
        <v>180300.0</v>
      </c>
      <c r="AJ6" s="14">
        <v>260600.357066517</v>
      </c>
      <c r="AK6" s="14">
        <v>156800.0</v>
      </c>
      <c r="AL6" s="14">
        <v>293828.251836343</v>
      </c>
      <c r="AM6" s="14">
        <v>212700.0</v>
      </c>
      <c r="AN6" s="14">
        <f>AN89*12</f>
        <v>171000</v>
      </c>
      <c r="AO6" s="14">
        <v>88000.0</v>
      </c>
      <c r="AP6" s="14">
        <f>AP89*12</f>
        <v>173430</v>
      </c>
      <c r="AQ6" s="14">
        <v>150120.0</v>
      </c>
      <c r="AR6" s="14">
        <f>AR89*12</f>
        <v>246285.6</v>
      </c>
      <c r="AS6" s="14">
        <v>207800.0</v>
      </c>
      <c r="AT6" s="14">
        <f>AT89*12</f>
        <v>225048.483</v>
      </c>
      <c r="AU6" s="14">
        <v>169000.0</v>
      </c>
      <c r="AV6" s="14">
        <f>AV89*12</f>
        <v>237900.4358</v>
      </c>
      <c r="AW6" s="14">
        <v>287400.0</v>
      </c>
      <c r="AX6" s="14">
        <f>AX89*12</f>
        <v>222335.4481</v>
      </c>
      <c r="AY6" s="14">
        <v>296550.0</v>
      </c>
      <c r="AZ6" s="14">
        <f>AZ89*12</f>
        <v>330279.0053</v>
      </c>
      <c r="BA6" s="14">
        <v>201933.33000000002</v>
      </c>
      <c r="BB6" s="14">
        <f>BB89*12</f>
        <v>377705.5079</v>
      </c>
      <c r="BC6" s="14">
        <v>224350.0</v>
      </c>
      <c r="BD6" s="14">
        <f>BD89*12</f>
        <v>360666.5505</v>
      </c>
      <c r="BE6" s="14">
        <v>272500.0</v>
      </c>
      <c r="BF6" s="14">
        <f>BF89*12</f>
        <v>382982.3946</v>
      </c>
      <c r="BG6" s="14">
        <v>211050.0</v>
      </c>
      <c r="BH6" s="14">
        <f>BH89*12</f>
        <v>395356.8561</v>
      </c>
      <c r="BI6" s="14">
        <v>340467.0</v>
      </c>
      <c r="BJ6" s="14">
        <f>BJ89*12</f>
        <v>437956.3545</v>
      </c>
      <c r="BK6" s="14">
        <v>407800.0</v>
      </c>
      <c r="BL6" s="14">
        <f>BL89*12</f>
        <v>270886.6054</v>
      </c>
      <c r="BM6" s="14">
        <v>316029.0</v>
      </c>
      <c r="BN6" s="14">
        <f>BN89*12</f>
        <v>286361.654</v>
      </c>
      <c r="BO6" s="14">
        <v>522156.0</v>
      </c>
      <c r="BP6" s="14">
        <f>BP89*12</f>
        <v>309960.9202</v>
      </c>
      <c r="BQ6" s="14">
        <v>408400.0</v>
      </c>
      <c r="BR6" s="14">
        <f>BR89*12</f>
        <v>341250</v>
      </c>
      <c r="BS6" s="14">
        <v>311500.0</v>
      </c>
      <c r="BT6" s="14">
        <f>BT89*12</f>
        <v>328556.25</v>
      </c>
      <c r="BU6" s="14">
        <v>370540.0</v>
      </c>
      <c r="BV6" s="14">
        <f>BV89*12</f>
        <v>356228.9063</v>
      </c>
      <c r="BW6" s="14">
        <v>571613.0</v>
      </c>
      <c r="BX6" s="14">
        <f>BX89*12</f>
        <v>364571.0742</v>
      </c>
      <c r="BY6" s="14">
        <v>375045.0</v>
      </c>
      <c r="BZ6" s="14">
        <f>BZ89*12</f>
        <v>394883.9851</v>
      </c>
      <c r="CA6" s="14">
        <v>510080.0</v>
      </c>
      <c r="CB6" s="14">
        <f>CB89*12</f>
        <v>426971.2452</v>
      </c>
      <c r="CC6" s="14">
        <v>432255.0</v>
      </c>
      <c r="CD6" s="14">
        <f>CD89*12</f>
        <v>416030.9302</v>
      </c>
      <c r="CE6" s="14">
        <v>538840.0</v>
      </c>
      <c r="CF6" s="14">
        <f>CF89*12</f>
        <v>439370.6351</v>
      </c>
      <c r="CG6" s="14">
        <v>485920.0</v>
      </c>
      <c r="CH6" s="14">
        <f>CH89*12</f>
        <v>464277.9968</v>
      </c>
      <c r="CI6" s="14">
        <v>566375.0</v>
      </c>
      <c r="CJ6" s="14">
        <f>CJ89*12</f>
        <v>490896.2529</v>
      </c>
      <c r="CK6" s="14">
        <v>334100.0</v>
      </c>
      <c r="CL6" s="14">
        <f t="shared" ref="CL6:CM6" si="5">CL89*12</f>
        <v>519381.3086</v>
      </c>
      <c r="CM6" s="14">
        <f t="shared" si="5"/>
        <v>562995.7559</v>
      </c>
      <c r="CO6" s="18" t="s">
        <v>5</v>
      </c>
      <c r="CP6" s="12" t="b">
        <f t="shared" si="4"/>
        <v>1</v>
      </c>
    </row>
    <row r="7" ht="15.75" customHeight="1">
      <c r="A7" s="17" t="s">
        <v>6</v>
      </c>
      <c r="C7" s="9">
        <f t="shared" si="6"/>
        <v>7788073.205</v>
      </c>
      <c r="D7" s="18" t="s">
        <v>7</v>
      </c>
      <c r="E7" s="14">
        <v>18000.0</v>
      </c>
      <c r="F7" s="14">
        <v>19000.0</v>
      </c>
      <c r="G7" s="14">
        <v>31000.0</v>
      </c>
      <c r="H7" s="14">
        <v>24244.0</v>
      </c>
      <c r="I7" s="14">
        <v>21500.0</v>
      </c>
      <c r="J7" s="14">
        <v>80112.0</v>
      </c>
      <c r="K7" s="14">
        <v>63033.33</v>
      </c>
      <c r="L7" s="14">
        <v>35300.0</v>
      </c>
      <c r="M7" s="14">
        <v>38400.0</v>
      </c>
      <c r="N7" s="14">
        <v>103585.0</v>
      </c>
      <c r="O7" s="14">
        <v>140643.0</v>
      </c>
      <c r="P7" s="14">
        <v>114552.67</v>
      </c>
      <c r="Q7" s="14">
        <v>96444.0</v>
      </c>
      <c r="R7" s="14">
        <v>114900.0</v>
      </c>
      <c r="S7" s="14">
        <v>128125.0</v>
      </c>
      <c r="T7" s="14">
        <v>158671.0</v>
      </c>
      <c r="U7" s="14">
        <v>239315.0</v>
      </c>
      <c r="V7" s="14">
        <v>208520.0</v>
      </c>
      <c r="W7" s="14">
        <v>149947.0</v>
      </c>
      <c r="X7" s="14">
        <v>213358.0</v>
      </c>
      <c r="Y7" s="14">
        <v>196220.0</v>
      </c>
      <c r="Z7" s="14">
        <v>224670.6046875</v>
      </c>
      <c r="AA7" s="14">
        <v>174531.25</v>
      </c>
      <c r="AB7" s="14">
        <v>223399.87375</v>
      </c>
      <c r="AC7" s="14">
        <v>185095.0</v>
      </c>
      <c r="AD7" s="14">
        <v>228609.87059375</v>
      </c>
      <c r="AE7" s="14">
        <v>233875.0</v>
      </c>
      <c r="AF7" s="14">
        <v>233950.117358594</v>
      </c>
      <c r="AG7" s="14">
        <v>169187.5</v>
      </c>
      <c r="AH7" s="14">
        <v>239423.870292558</v>
      </c>
      <c r="AI7" s="14">
        <v>128575.0</v>
      </c>
      <c r="AJ7" s="14">
        <v>237845.889954564</v>
      </c>
      <c r="AK7" s="14">
        <v>166212.5</v>
      </c>
      <c r="AL7" s="14">
        <v>243417.037203428</v>
      </c>
      <c r="AM7" s="14">
        <v>206225.5</v>
      </c>
      <c r="AN7" s="14">
        <f>AN104*12</f>
        <v>132600</v>
      </c>
      <c r="AO7" s="14">
        <v>172431.0</v>
      </c>
      <c r="AP7" s="14">
        <f>AP104*12</f>
        <v>133986</v>
      </c>
      <c r="AQ7" s="14">
        <v>121764.0</v>
      </c>
      <c r="AR7" s="14">
        <f>AR104*12</f>
        <v>135386.76</v>
      </c>
      <c r="AS7" s="14">
        <v>204325.0</v>
      </c>
      <c r="AT7" s="14">
        <f>AT104*12</f>
        <v>161844.4215</v>
      </c>
      <c r="AU7" s="14">
        <v>175412.75</v>
      </c>
      <c r="AV7" s="14">
        <f>AV104*12</f>
        <v>176209.0878</v>
      </c>
      <c r="AW7" s="14">
        <v>164925.0</v>
      </c>
      <c r="AX7" s="14">
        <f>AX104*12</f>
        <v>183682.2241</v>
      </c>
      <c r="AY7" s="14">
        <v>204409.5</v>
      </c>
      <c r="AZ7" s="14">
        <f>AZ104*12</f>
        <v>191163.9575</v>
      </c>
      <c r="BA7" s="14">
        <v>170940.5</v>
      </c>
      <c r="BB7" s="14">
        <f>BB104*12</f>
        <v>191754.4169</v>
      </c>
      <c r="BC7" s="14">
        <v>100080.0</v>
      </c>
      <c r="BD7" s="14">
        <f>BD104*12</f>
        <v>205871.6442</v>
      </c>
      <c r="BE7" s="14">
        <v>221086.0</v>
      </c>
      <c r="BF7" s="14">
        <f>BF104*12</f>
        <v>220482.7188</v>
      </c>
      <c r="BG7" s="14">
        <v>105717.5</v>
      </c>
      <c r="BH7" s="14">
        <f>BH104*12</f>
        <v>228205.9596</v>
      </c>
      <c r="BI7" s="14">
        <v>162525.6816</v>
      </c>
      <c r="BJ7" s="14">
        <f>BJ104*12</f>
        <v>229041.549</v>
      </c>
      <c r="BK7" s="14">
        <v>256553.43600000005</v>
      </c>
      <c r="BL7" s="14">
        <f>BL104*12</f>
        <v>167316.2698</v>
      </c>
      <c r="BM7" s="14">
        <v>132438.35249599998</v>
      </c>
      <c r="BN7" s="14">
        <f>BN104*12</f>
        <v>173156.0169</v>
      </c>
      <c r="BO7" s="14">
        <v>158773.008</v>
      </c>
      <c r="BP7" s="14">
        <f>BP104*12</f>
        <v>178609.9812</v>
      </c>
      <c r="BQ7" s="14">
        <v>239459.71880000003</v>
      </c>
      <c r="BR7" s="14">
        <f>BR104*12</f>
        <v>178933.9291</v>
      </c>
      <c r="BS7" s="14">
        <v>154297.18789976</v>
      </c>
      <c r="BT7" s="14">
        <f>BT104*12</f>
        <v>173749.4765</v>
      </c>
      <c r="BU7" s="14">
        <v>244624.0</v>
      </c>
      <c r="BV7" s="14">
        <f>BV104*12</f>
        <v>120332.9612</v>
      </c>
      <c r="BW7" s="14">
        <v>243284.0</v>
      </c>
      <c r="BX7" s="14">
        <f>BX104*12</f>
        <v>120577.0668</v>
      </c>
      <c r="BY7" s="14">
        <v>189244.0</v>
      </c>
      <c r="BZ7" s="14">
        <f>BZ104*12</f>
        <v>116761.3227</v>
      </c>
      <c r="CA7" s="14">
        <v>191789.96000000002</v>
      </c>
      <c r="CB7" s="14">
        <f>CB104*12</f>
        <v>115451.48</v>
      </c>
      <c r="CC7" s="14">
        <v>241960.0</v>
      </c>
      <c r="CD7" s="14">
        <f>CD104*12</f>
        <v>101255.1909</v>
      </c>
      <c r="CE7" s="14">
        <v>248966.4</v>
      </c>
      <c r="CF7" s="14">
        <f>CF104*12</f>
        <v>111862.3321</v>
      </c>
      <c r="CG7" s="14">
        <v>209521.32</v>
      </c>
      <c r="CH7" s="14">
        <f>CH104*12</f>
        <v>117412.1367</v>
      </c>
      <c r="CI7" s="14">
        <v>229089.0</v>
      </c>
      <c r="CJ7" s="14">
        <f>CJ104*12</f>
        <v>113569.259</v>
      </c>
      <c r="CK7" s="14">
        <v>207762.13999999998</v>
      </c>
      <c r="CL7" s="14">
        <f t="shared" ref="CL7:CM7" si="7">CL104*12</f>
        <v>119137.9978</v>
      </c>
      <c r="CM7" s="14">
        <f t="shared" si="7"/>
        <v>119389.0923</v>
      </c>
      <c r="CO7" s="18" t="s">
        <v>7</v>
      </c>
      <c r="CP7" s="12" t="b">
        <f t="shared" si="4"/>
        <v>1</v>
      </c>
    </row>
    <row r="8" ht="15.75" customHeight="1">
      <c r="D8" s="18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5"/>
      <c r="BN8" s="14"/>
      <c r="BO8" s="15"/>
      <c r="BP8" s="14"/>
      <c r="BQ8" s="15"/>
      <c r="BR8" s="14"/>
      <c r="BS8" s="15"/>
      <c r="BT8" s="14"/>
      <c r="BU8" s="15"/>
      <c r="BV8" s="14"/>
      <c r="BW8" s="15"/>
      <c r="BX8" s="14"/>
      <c r="BY8" s="15"/>
      <c r="BZ8" s="14"/>
      <c r="CA8" s="15"/>
      <c r="CB8" s="14"/>
      <c r="CC8" s="15"/>
      <c r="CD8" s="14"/>
      <c r="CE8" s="15"/>
      <c r="CF8" s="14"/>
      <c r="CG8" s="15"/>
      <c r="CH8" s="14"/>
      <c r="CI8" s="14">
        <f>CI19+CG19+CE19</f>
        <v>385761.52</v>
      </c>
      <c r="CJ8" s="14"/>
      <c r="CK8" s="15"/>
      <c r="CL8" s="14"/>
      <c r="CM8" s="14"/>
      <c r="CO8" s="18"/>
      <c r="CP8" s="12" t="b">
        <f t="shared" si="4"/>
        <v>1</v>
      </c>
    </row>
    <row r="9" ht="15.75" customHeight="1">
      <c r="B9" s="19"/>
      <c r="C9" s="9">
        <f>SUM(E9:U9)+W9+Y9+AA9+AC9+AE9+AG9+AI9+AK9+AM9+AO9+AQ9+AS9+AU9+AW9+AY9+BA9+BC9+BE9+BG9+BI9+BK9+BM9+BO9+BQ9+BS9+BU9+BW9+BY9+CA9+CC9+CE9+CG9+CI9+CK9</f>
        <v>21019628.12</v>
      </c>
      <c r="D9" s="7" t="s">
        <v>8</v>
      </c>
      <c r="E9" s="10">
        <f t="shared" ref="E9:CM9" si="8">SUM(E11:E12)</f>
        <v>18000</v>
      </c>
      <c r="F9" s="10">
        <f t="shared" si="8"/>
        <v>27000</v>
      </c>
      <c r="G9" s="10">
        <f t="shared" si="8"/>
        <v>36000</v>
      </c>
      <c r="H9" s="10">
        <f t="shared" si="8"/>
        <v>24244</v>
      </c>
      <c r="I9" s="10">
        <f t="shared" si="8"/>
        <v>21500</v>
      </c>
      <c r="J9" s="10">
        <f t="shared" si="8"/>
        <v>80112</v>
      </c>
      <c r="K9" s="10">
        <f t="shared" si="8"/>
        <v>72033.33</v>
      </c>
      <c r="L9" s="10">
        <f t="shared" si="8"/>
        <v>41800</v>
      </c>
      <c r="M9" s="10">
        <f t="shared" si="8"/>
        <v>38400</v>
      </c>
      <c r="N9" s="10">
        <f t="shared" si="8"/>
        <v>111085</v>
      </c>
      <c r="O9" s="10">
        <f t="shared" si="8"/>
        <v>162523</v>
      </c>
      <c r="P9" s="10">
        <f t="shared" si="8"/>
        <v>133952.67</v>
      </c>
      <c r="Q9" s="10">
        <f t="shared" si="8"/>
        <v>121444</v>
      </c>
      <c r="R9" s="10">
        <f t="shared" si="8"/>
        <v>165333</v>
      </c>
      <c r="S9" s="10">
        <f t="shared" si="8"/>
        <v>151225</v>
      </c>
      <c r="T9" s="10">
        <f t="shared" si="8"/>
        <v>195521</v>
      </c>
      <c r="U9" s="10">
        <f t="shared" si="8"/>
        <v>397125</v>
      </c>
      <c r="V9" s="10">
        <f t="shared" si="8"/>
        <v>370730.66</v>
      </c>
      <c r="W9" s="10">
        <f t="shared" si="8"/>
        <v>278322</v>
      </c>
      <c r="X9" s="10">
        <f t="shared" si="8"/>
        <v>373222.7683</v>
      </c>
      <c r="Y9" s="10">
        <f t="shared" si="8"/>
        <v>354420</v>
      </c>
      <c r="Z9" s="10">
        <f t="shared" si="8"/>
        <v>388878.3218</v>
      </c>
      <c r="AA9" s="10">
        <f t="shared" si="8"/>
        <v>448331.25</v>
      </c>
      <c r="AB9" s="10">
        <f t="shared" si="8"/>
        <v>383002.6327</v>
      </c>
      <c r="AC9" s="10">
        <f t="shared" si="8"/>
        <v>331560</v>
      </c>
      <c r="AD9" s="10">
        <f t="shared" si="8"/>
        <v>423691.9308</v>
      </c>
      <c r="AE9" s="10">
        <f t="shared" si="8"/>
        <v>441025</v>
      </c>
      <c r="AF9" s="20">
        <f t="shared" si="8"/>
        <v>458511.5686</v>
      </c>
      <c r="AG9" s="20">
        <f t="shared" si="8"/>
        <v>452905</v>
      </c>
      <c r="AH9" s="20">
        <f t="shared" si="8"/>
        <v>471429.0556</v>
      </c>
      <c r="AI9" s="20">
        <f t="shared" si="8"/>
        <v>351271</v>
      </c>
      <c r="AJ9" s="20">
        <f t="shared" si="8"/>
        <v>507549.2263</v>
      </c>
      <c r="AK9" s="20">
        <f t="shared" si="8"/>
        <v>365900</v>
      </c>
      <c r="AL9" s="20">
        <f t="shared" si="8"/>
        <v>547324.5628</v>
      </c>
      <c r="AM9" s="10">
        <f t="shared" si="8"/>
        <v>477407.65</v>
      </c>
      <c r="AN9" s="21">
        <f t="shared" si="8"/>
        <v>344600</v>
      </c>
      <c r="AO9" s="11">
        <f t="shared" si="8"/>
        <v>323739.33</v>
      </c>
      <c r="AP9" s="21">
        <f t="shared" si="8"/>
        <v>351766</v>
      </c>
      <c r="AQ9" s="11">
        <f t="shared" si="8"/>
        <v>328420</v>
      </c>
      <c r="AR9" s="21">
        <f t="shared" si="8"/>
        <v>427415.86</v>
      </c>
      <c r="AS9" s="11">
        <f t="shared" si="8"/>
        <v>448875</v>
      </c>
      <c r="AT9" s="21">
        <f t="shared" si="8"/>
        <v>434074.8595</v>
      </c>
      <c r="AU9" s="11">
        <f t="shared" si="8"/>
        <v>424325.25</v>
      </c>
      <c r="AV9" s="21">
        <f t="shared" si="8"/>
        <v>462776.3947</v>
      </c>
      <c r="AW9" s="11">
        <f t="shared" si="8"/>
        <v>567769</v>
      </c>
      <c r="AX9" s="21">
        <f t="shared" si="8"/>
        <v>459695.3022</v>
      </c>
      <c r="AY9" s="11">
        <f t="shared" si="8"/>
        <v>573790.5</v>
      </c>
      <c r="AZ9" s="21">
        <f t="shared" si="8"/>
        <v>583215.89</v>
      </c>
      <c r="BA9" s="11">
        <f t="shared" si="8"/>
        <v>474052.83</v>
      </c>
      <c r="BB9" s="21">
        <f t="shared" si="8"/>
        <v>633246.8512</v>
      </c>
      <c r="BC9" s="11">
        <f t="shared" si="8"/>
        <v>410827</v>
      </c>
      <c r="BD9" s="21">
        <f t="shared" si="8"/>
        <v>632407.581</v>
      </c>
      <c r="BE9" s="11">
        <f t="shared" si="8"/>
        <v>571729</v>
      </c>
      <c r="BF9" s="21">
        <f t="shared" si="8"/>
        <v>678751.407</v>
      </c>
      <c r="BG9" s="11">
        <f t="shared" si="8"/>
        <v>405330.14</v>
      </c>
      <c r="BH9" s="21">
        <f t="shared" si="8"/>
        <v>701386.9371</v>
      </c>
      <c r="BI9" s="11">
        <f t="shared" si="8"/>
        <v>557081.8848</v>
      </c>
      <c r="BJ9" s="21">
        <f t="shared" si="8"/>
        <v>758523.8206</v>
      </c>
      <c r="BK9" s="11">
        <f t="shared" si="8"/>
        <v>728712.244</v>
      </c>
      <c r="BL9" s="21">
        <f t="shared" si="8"/>
        <v>539710.9941</v>
      </c>
      <c r="BM9" s="11">
        <f t="shared" si="8"/>
        <v>504013.4245</v>
      </c>
      <c r="BN9" s="21">
        <f t="shared" si="8"/>
        <v>568515.8983</v>
      </c>
      <c r="BO9" s="11">
        <f t="shared" si="8"/>
        <v>756399.2555</v>
      </c>
      <c r="BP9" s="21">
        <f t="shared" si="8"/>
        <v>601956.4846</v>
      </c>
      <c r="BQ9" s="11">
        <f t="shared" si="8"/>
        <v>792608.5988</v>
      </c>
      <c r="BR9" s="21">
        <f t="shared" si="8"/>
        <v>637065.8893</v>
      </c>
      <c r="BS9" s="11">
        <f t="shared" si="8"/>
        <v>539742.9736</v>
      </c>
      <c r="BT9" s="21">
        <f t="shared" si="8"/>
        <v>627707.8521</v>
      </c>
      <c r="BU9" s="11">
        <f t="shared" si="8"/>
        <v>692370</v>
      </c>
      <c r="BV9" s="21">
        <f t="shared" si="8"/>
        <v>605515.3853</v>
      </c>
      <c r="BW9" s="11">
        <f t="shared" si="8"/>
        <v>964713.4</v>
      </c>
      <c r="BX9" s="21">
        <f t="shared" si="8"/>
        <v>622707.1297</v>
      </c>
      <c r="BY9" s="11">
        <f t="shared" si="8"/>
        <v>669548.8</v>
      </c>
      <c r="BZ9" s="21">
        <f t="shared" si="8"/>
        <v>653738.6064</v>
      </c>
      <c r="CA9" s="11">
        <f t="shared" si="8"/>
        <v>805070.96</v>
      </c>
      <c r="CB9" s="21">
        <f t="shared" si="8"/>
        <v>703751.9943</v>
      </c>
      <c r="CC9" s="11">
        <f t="shared" si="8"/>
        <v>859919.0451</v>
      </c>
      <c r="CD9" s="21">
        <f t="shared" si="8"/>
        <v>679099.3781</v>
      </c>
      <c r="CE9" s="11">
        <f t="shared" si="8"/>
        <v>885608.44</v>
      </c>
      <c r="CF9" s="21">
        <f t="shared" si="8"/>
        <v>726008.1813</v>
      </c>
      <c r="CG9" s="11">
        <f t="shared" si="8"/>
        <v>845400.32</v>
      </c>
      <c r="CH9" s="21">
        <f t="shared" si="8"/>
        <v>765332.3045</v>
      </c>
      <c r="CI9" s="11">
        <f t="shared" si="8"/>
        <v>933464.48</v>
      </c>
      <c r="CJ9" s="21">
        <f t="shared" si="8"/>
        <v>800268.7364</v>
      </c>
      <c r="CK9" s="11">
        <f t="shared" si="8"/>
        <v>657676.34</v>
      </c>
      <c r="CL9" s="21">
        <f t="shared" si="8"/>
        <v>851695.465</v>
      </c>
      <c r="CM9" s="21">
        <f t="shared" si="8"/>
        <v>913036.4161</v>
      </c>
      <c r="CO9" s="7" t="s">
        <v>8</v>
      </c>
      <c r="CP9" s="12" t="b">
        <f t="shared" si="4"/>
        <v>1</v>
      </c>
    </row>
    <row r="10" ht="15.75" customHeight="1"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>
        <v>22141.0</v>
      </c>
      <c r="AC10" s="14"/>
      <c r="AD10" s="14"/>
      <c r="AE10" s="14"/>
      <c r="AF10" s="14"/>
      <c r="AG10" s="14"/>
      <c r="AH10" s="14">
        <v>18483.0</v>
      </c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6">
        <f>BG9+BE9+BC9</f>
        <v>1387886.14</v>
      </c>
      <c r="BH10" s="14"/>
      <c r="BI10" s="14"/>
      <c r="BJ10" s="14"/>
      <c r="BK10" s="14"/>
      <c r="BL10" s="14"/>
      <c r="BM10" s="16">
        <f>BM9+BK9+BI9</f>
        <v>1789807.553</v>
      </c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>
        <f>CI9+CG9+CE9</f>
        <v>2664473.24</v>
      </c>
      <c r="CJ10" s="14"/>
      <c r="CK10" s="14"/>
      <c r="CL10" s="14"/>
      <c r="CM10" s="14"/>
      <c r="CO10" s="13"/>
      <c r="CP10" s="12" t="b">
        <f t="shared" si="4"/>
        <v>1</v>
      </c>
    </row>
    <row r="11" ht="15.75" customHeight="1">
      <c r="D11" s="18" t="s">
        <v>5</v>
      </c>
      <c r="E11" s="14">
        <f t="shared" ref="E11:CM11" si="9">E6+E21</f>
        <v>0</v>
      </c>
      <c r="F11" s="14">
        <f t="shared" si="9"/>
        <v>8000</v>
      </c>
      <c r="G11" s="14">
        <f t="shared" si="9"/>
        <v>5000</v>
      </c>
      <c r="H11" s="14">
        <f t="shared" si="9"/>
        <v>0</v>
      </c>
      <c r="I11" s="14">
        <f t="shared" si="9"/>
        <v>0</v>
      </c>
      <c r="J11" s="14">
        <f t="shared" si="9"/>
        <v>0</v>
      </c>
      <c r="K11" s="14">
        <f t="shared" si="9"/>
        <v>9000</v>
      </c>
      <c r="L11" s="14">
        <f t="shared" si="9"/>
        <v>6500</v>
      </c>
      <c r="M11" s="14">
        <f t="shared" si="9"/>
        <v>0</v>
      </c>
      <c r="N11" s="14">
        <f t="shared" si="9"/>
        <v>7500</v>
      </c>
      <c r="O11" s="14">
        <f t="shared" si="9"/>
        <v>19500</v>
      </c>
      <c r="P11" s="14">
        <f t="shared" si="9"/>
        <v>17400</v>
      </c>
      <c r="Q11" s="14">
        <f t="shared" si="9"/>
        <v>25000</v>
      </c>
      <c r="R11" s="14">
        <f t="shared" si="9"/>
        <v>45900</v>
      </c>
      <c r="S11" s="14">
        <f t="shared" si="9"/>
        <v>20600</v>
      </c>
      <c r="T11" s="14">
        <f t="shared" si="9"/>
        <v>33500</v>
      </c>
      <c r="U11" s="14">
        <f t="shared" si="9"/>
        <v>143560</v>
      </c>
      <c r="V11" s="14">
        <f t="shared" si="9"/>
        <v>158505.66</v>
      </c>
      <c r="W11" s="14">
        <f t="shared" si="9"/>
        <v>109000</v>
      </c>
      <c r="X11" s="14">
        <f t="shared" si="9"/>
        <v>154853.4945</v>
      </c>
      <c r="Y11" s="14">
        <f t="shared" si="9"/>
        <v>118390</v>
      </c>
      <c r="Z11" s="14">
        <f t="shared" si="9"/>
        <v>160450.318</v>
      </c>
      <c r="AA11" s="14">
        <f t="shared" si="9"/>
        <v>228250</v>
      </c>
      <c r="AB11" s="14">
        <f t="shared" si="9"/>
        <v>156304.5849</v>
      </c>
      <c r="AC11" s="14">
        <f t="shared" si="9"/>
        <v>133000</v>
      </c>
      <c r="AD11" s="14">
        <f t="shared" si="9"/>
        <v>183968.9537</v>
      </c>
      <c r="AE11" s="14">
        <f t="shared" si="9"/>
        <v>174075</v>
      </c>
      <c r="AF11" s="14">
        <f t="shared" si="9"/>
        <v>217415.3881</v>
      </c>
      <c r="AG11" s="14">
        <f t="shared" si="9"/>
        <v>259480</v>
      </c>
      <c r="AH11" s="14">
        <f t="shared" si="9"/>
        <v>224267.5381</v>
      </c>
      <c r="AI11" s="14">
        <f t="shared" si="9"/>
        <v>181800</v>
      </c>
      <c r="AJ11" s="14">
        <f t="shared" si="9"/>
        <v>260600.3571</v>
      </c>
      <c r="AK11" s="14">
        <f t="shared" si="9"/>
        <v>160800</v>
      </c>
      <c r="AL11" s="14">
        <f t="shared" si="9"/>
        <v>293828.2518</v>
      </c>
      <c r="AM11" s="14">
        <f t="shared" si="9"/>
        <v>216800</v>
      </c>
      <c r="AN11" s="14">
        <f t="shared" si="9"/>
        <v>179000</v>
      </c>
      <c r="AO11" s="14">
        <f t="shared" si="9"/>
        <v>111000</v>
      </c>
      <c r="AP11" s="14">
        <f t="shared" si="9"/>
        <v>181730</v>
      </c>
      <c r="AQ11" s="14">
        <f t="shared" si="9"/>
        <v>156120</v>
      </c>
      <c r="AR11" s="14">
        <f t="shared" si="9"/>
        <v>254897.6</v>
      </c>
      <c r="AS11" s="14">
        <f t="shared" si="9"/>
        <v>221300</v>
      </c>
      <c r="AT11" s="14">
        <f t="shared" si="9"/>
        <v>233984.993</v>
      </c>
      <c r="AU11" s="14">
        <f t="shared" si="9"/>
        <v>186000</v>
      </c>
      <c r="AV11" s="14">
        <f t="shared" si="9"/>
        <v>247174.4986</v>
      </c>
      <c r="AW11" s="14">
        <f t="shared" si="9"/>
        <v>313900</v>
      </c>
      <c r="AX11" s="14">
        <f t="shared" si="9"/>
        <v>231960.6632</v>
      </c>
      <c r="AY11" s="14">
        <f t="shared" si="9"/>
        <v>321556</v>
      </c>
      <c r="AZ11" s="14">
        <f t="shared" si="9"/>
        <v>344289.8406</v>
      </c>
      <c r="BA11" s="14">
        <f t="shared" si="9"/>
        <v>251433.33</v>
      </c>
      <c r="BB11" s="14">
        <f t="shared" si="9"/>
        <v>392297.4798</v>
      </c>
      <c r="BC11" s="14">
        <f t="shared" si="9"/>
        <v>249350</v>
      </c>
      <c r="BD11" s="14">
        <f t="shared" si="9"/>
        <v>375865.1335</v>
      </c>
      <c r="BE11" s="14">
        <f t="shared" si="9"/>
        <v>294300</v>
      </c>
      <c r="BF11" s="14">
        <f t="shared" si="9"/>
        <v>403468.2144</v>
      </c>
      <c r="BG11" s="14">
        <f t="shared" si="9"/>
        <v>258550</v>
      </c>
      <c r="BH11" s="14">
        <f t="shared" si="9"/>
        <v>416736.4896</v>
      </c>
      <c r="BI11" s="14">
        <f t="shared" si="9"/>
        <v>347967</v>
      </c>
      <c r="BJ11" s="14">
        <f t="shared" si="9"/>
        <v>467191.7475</v>
      </c>
      <c r="BK11" s="14">
        <f t="shared" si="9"/>
        <v>429818.24</v>
      </c>
      <c r="BL11" s="14">
        <f t="shared" si="9"/>
        <v>291067.1459</v>
      </c>
      <c r="BM11" s="14">
        <f t="shared" si="9"/>
        <v>318529</v>
      </c>
      <c r="BN11" s="14">
        <f t="shared" si="9"/>
        <v>310650.9526</v>
      </c>
      <c r="BO11" s="14">
        <f t="shared" si="9"/>
        <v>547156</v>
      </c>
      <c r="BP11" s="14">
        <f t="shared" si="9"/>
        <v>338383.4478</v>
      </c>
      <c r="BQ11" s="14">
        <f t="shared" si="9"/>
        <v>487650</v>
      </c>
      <c r="BR11" s="14">
        <f t="shared" si="9"/>
        <v>369757.7952</v>
      </c>
      <c r="BS11" s="14">
        <f t="shared" si="9"/>
        <v>328100</v>
      </c>
      <c r="BT11" s="14">
        <f t="shared" si="9"/>
        <v>365319.0881</v>
      </c>
      <c r="BU11" s="14">
        <f t="shared" si="9"/>
        <v>389290</v>
      </c>
      <c r="BV11" s="14">
        <f t="shared" si="9"/>
        <v>393102.0329</v>
      </c>
      <c r="BW11" s="14">
        <f t="shared" si="9"/>
        <v>638113</v>
      </c>
      <c r="BX11" s="14">
        <f t="shared" si="9"/>
        <v>409773.4305</v>
      </c>
      <c r="BY11" s="14">
        <f t="shared" si="9"/>
        <v>426340</v>
      </c>
      <c r="BZ11" s="14">
        <f t="shared" si="9"/>
        <v>444343.5814</v>
      </c>
      <c r="CA11" s="14">
        <f t="shared" si="9"/>
        <v>553680</v>
      </c>
      <c r="CB11" s="14">
        <f t="shared" si="9"/>
        <v>488981.2141</v>
      </c>
      <c r="CC11" s="14">
        <f t="shared" si="9"/>
        <v>513230</v>
      </c>
      <c r="CD11" s="14">
        <f t="shared" si="9"/>
        <v>478226.9291</v>
      </c>
      <c r="CE11" s="14">
        <f t="shared" si="9"/>
        <v>599290</v>
      </c>
      <c r="CF11" s="14">
        <f t="shared" si="9"/>
        <v>514229.7393</v>
      </c>
      <c r="CG11" s="14">
        <f t="shared" si="9"/>
        <v>548120</v>
      </c>
      <c r="CH11" s="14">
        <f t="shared" si="9"/>
        <v>547704.3096</v>
      </c>
      <c r="CI11" s="14">
        <f t="shared" si="9"/>
        <v>621975</v>
      </c>
      <c r="CJ11" s="14">
        <f t="shared" si="9"/>
        <v>582940.5037</v>
      </c>
      <c r="CK11" s="14">
        <f t="shared" si="9"/>
        <v>415785</v>
      </c>
      <c r="CL11" s="14">
        <f t="shared" si="9"/>
        <v>628487.2166</v>
      </c>
      <c r="CM11" s="14">
        <f t="shared" si="9"/>
        <v>689264.8624</v>
      </c>
      <c r="CO11" s="18" t="s">
        <v>5</v>
      </c>
      <c r="CP11" s="12" t="b">
        <f t="shared" si="4"/>
        <v>1</v>
      </c>
    </row>
    <row r="12" ht="15.75" customHeight="1">
      <c r="D12" s="18" t="s">
        <v>7</v>
      </c>
      <c r="E12" s="14">
        <f t="shared" ref="E12:CM12" si="10">E7+E22</f>
        <v>18000</v>
      </c>
      <c r="F12" s="14">
        <f t="shared" si="10"/>
        <v>19000</v>
      </c>
      <c r="G12" s="14">
        <f t="shared" si="10"/>
        <v>31000</v>
      </c>
      <c r="H12" s="14">
        <f t="shared" si="10"/>
        <v>24244</v>
      </c>
      <c r="I12" s="14">
        <f t="shared" si="10"/>
        <v>21500</v>
      </c>
      <c r="J12" s="14">
        <f t="shared" si="10"/>
        <v>80112</v>
      </c>
      <c r="K12" s="14">
        <f t="shared" si="10"/>
        <v>63033.33</v>
      </c>
      <c r="L12" s="14">
        <f t="shared" si="10"/>
        <v>35300</v>
      </c>
      <c r="M12" s="14">
        <f t="shared" si="10"/>
        <v>38400</v>
      </c>
      <c r="N12" s="14">
        <f t="shared" si="10"/>
        <v>103585</v>
      </c>
      <c r="O12" s="14">
        <f t="shared" si="10"/>
        <v>143023</v>
      </c>
      <c r="P12" s="14">
        <f t="shared" si="10"/>
        <v>116552.67</v>
      </c>
      <c r="Q12" s="14">
        <f t="shared" si="10"/>
        <v>96444</v>
      </c>
      <c r="R12" s="14">
        <f t="shared" si="10"/>
        <v>119433</v>
      </c>
      <c r="S12" s="14">
        <f t="shared" si="10"/>
        <v>130625</v>
      </c>
      <c r="T12" s="14">
        <f t="shared" si="10"/>
        <v>162021</v>
      </c>
      <c r="U12" s="14">
        <f t="shared" si="10"/>
        <v>253565</v>
      </c>
      <c r="V12" s="14">
        <f t="shared" si="10"/>
        <v>212225</v>
      </c>
      <c r="W12" s="14">
        <f t="shared" si="10"/>
        <v>169322</v>
      </c>
      <c r="X12" s="14">
        <f t="shared" si="10"/>
        <v>218369.2738</v>
      </c>
      <c r="Y12" s="14">
        <f t="shared" si="10"/>
        <v>236030</v>
      </c>
      <c r="Z12" s="14">
        <f t="shared" si="10"/>
        <v>228428.0038</v>
      </c>
      <c r="AA12" s="14">
        <f t="shared" si="10"/>
        <v>220081.25</v>
      </c>
      <c r="AB12" s="14">
        <f t="shared" si="10"/>
        <v>226698.0477</v>
      </c>
      <c r="AC12" s="14">
        <f t="shared" si="10"/>
        <v>198560</v>
      </c>
      <c r="AD12" s="14">
        <f t="shared" si="10"/>
        <v>239722.977</v>
      </c>
      <c r="AE12" s="14">
        <f t="shared" si="10"/>
        <v>266950</v>
      </c>
      <c r="AF12" s="14">
        <f t="shared" si="10"/>
        <v>241096.1805</v>
      </c>
      <c r="AG12" s="14">
        <f t="shared" si="10"/>
        <v>193425</v>
      </c>
      <c r="AH12" s="14">
        <f t="shared" si="10"/>
        <v>247161.5175</v>
      </c>
      <c r="AI12" s="14">
        <f t="shared" si="10"/>
        <v>169471</v>
      </c>
      <c r="AJ12" s="14">
        <f t="shared" si="10"/>
        <v>246948.8692</v>
      </c>
      <c r="AK12" s="14">
        <f t="shared" si="10"/>
        <v>205100</v>
      </c>
      <c r="AL12" s="14">
        <f t="shared" si="10"/>
        <v>253496.311</v>
      </c>
      <c r="AM12" s="14">
        <f t="shared" si="10"/>
        <v>260607.65</v>
      </c>
      <c r="AN12" s="14">
        <f t="shared" si="10"/>
        <v>165600</v>
      </c>
      <c r="AO12" s="14">
        <f t="shared" si="10"/>
        <v>212739.33</v>
      </c>
      <c r="AP12" s="14">
        <f t="shared" si="10"/>
        <v>170036</v>
      </c>
      <c r="AQ12" s="14">
        <f t="shared" si="10"/>
        <v>172300</v>
      </c>
      <c r="AR12" s="14">
        <f t="shared" si="10"/>
        <v>172518.26</v>
      </c>
      <c r="AS12" s="14">
        <f t="shared" si="10"/>
        <v>227575</v>
      </c>
      <c r="AT12" s="14">
        <f t="shared" si="10"/>
        <v>200089.8665</v>
      </c>
      <c r="AU12" s="14">
        <f t="shared" si="10"/>
        <v>238325.25</v>
      </c>
      <c r="AV12" s="14">
        <f t="shared" si="10"/>
        <v>215601.8962</v>
      </c>
      <c r="AW12" s="14">
        <f t="shared" si="10"/>
        <v>253869</v>
      </c>
      <c r="AX12" s="14">
        <f t="shared" si="10"/>
        <v>227734.639</v>
      </c>
      <c r="AY12" s="14">
        <f t="shared" si="10"/>
        <v>252234.5</v>
      </c>
      <c r="AZ12" s="14">
        <f t="shared" si="10"/>
        <v>238926.0494</v>
      </c>
      <c r="BA12" s="14">
        <f t="shared" si="10"/>
        <v>222619.5</v>
      </c>
      <c r="BB12" s="14">
        <f t="shared" si="10"/>
        <v>240949.3715</v>
      </c>
      <c r="BC12" s="14">
        <f t="shared" si="10"/>
        <v>161477</v>
      </c>
      <c r="BD12" s="14">
        <f t="shared" si="10"/>
        <v>256542.4474</v>
      </c>
      <c r="BE12" s="14">
        <f t="shared" si="10"/>
        <v>277429</v>
      </c>
      <c r="BF12" s="14">
        <f t="shared" si="10"/>
        <v>275283.1925</v>
      </c>
      <c r="BG12" s="14">
        <f t="shared" si="10"/>
        <v>146780.14</v>
      </c>
      <c r="BH12" s="14">
        <f t="shared" si="10"/>
        <v>284650.4475</v>
      </c>
      <c r="BI12" s="14">
        <f t="shared" si="10"/>
        <v>209114.8848</v>
      </c>
      <c r="BJ12" s="14">
        <f t="shared" si="10"/>
        <v>291332.0732</v>
      </c>
      <c r="BK12" s="14">
        <f t="shared" si="10"/>
        <v>298894.004</v>
      </c>
      <c r="BL12" s="14">
        <f t="shared" si="10"/>
        <v>248643.8482</v>
      </c>
      <c r="BM12" s="14">
        <f t="shared" si="10"/>
        <v>185484.4245</v>
      </c>
      <c r="BN12" s="14">
        <f t="shared" si="10"/>
        <v>257864.9457</v>
      </c>
      <c r="BO12" s="14">
        <f t="shared" si="10"/>
        <v>209243.2555</v>
      </c>
      <c r="BP12" s="14">
        <f t="shared" si="10"/>
        <v>263573.0368</v>
      </c>
      <c r="BQ12" s="14">
        <f t="shared" si="10"/>
        <v>304958.5988</v>
      </c>
      <c r="BR12" s="14">
        <f t="shared" si="10"/>
        <v>267308.0941</v>
      </c>
      <c r="BS12" s="14">
        <f t="shared" si="10"/>
        <v>211642.9736</v>
      </c>
      <c r="BT12" s="14">
        <f t="shared" si="10"/>
        <v>262388.7639</v>
      </c>
      <c r="BU12" s="14">
        <f t="shared" si="10"/>
        <v>303080</v>
      </c>
      <c r="BV12" s="14">
        <f t="shared" si="10"/>
        <v>212413.3525</v>
      </c>
      <c r="BW12" s="14">
        <f t="shared" si="10"/>
        <v>326600.4</v>
      </c>
      <c r="BX12" s="14">
        <f t="shared" si="10"/>
        <v>212933.6992</v>
      </c>
      <c r="BY12" s="14">
        <f t="shared" si="10"/>
        <v>243208.8</v>
      </c>
      <c r="BZ12" s="14">
        <f t="shared" si="10"/>
        <v>209395.025</v>
      </c>
      <c r="CA12" s="14">
        <f t="shared" si="10"/>
        <v>251390.96</v>
      </c>
      <c r="CB12" s="14">
        <f t="shared" si="10"/>
        <v>214770.7802</v>
      </c>
      <c r="CC12" s="14">
        <f t="shared" si="10"/>
        <v>346689.0451</v>
      </c>
      <c r="CD12" s="14">
        <f t="shared" si="10"/>
        <v>200872.449</v>
      </c>
      <c r="CE12" s="14">
        <f t="shared" si="10"/>
        <v>286318.44</v>
      </c>
      <c r="CF12" s="14">
        <f t="shared" si="10"/>
        <v>211778.442</v>
      </c>
      <c r="CG12" s="14">
        <f t="shared" si="10"/>
        <v>297280.32</v>
      </c>
      <c r="CH12" s="14">
        <f t="shared" si="10"/>
        <v>217627.9949</v>
      </c>
      <c r="CI12" s="14">
        <f t="shared" si="10"/>
        <v>311489.48</v>
      </c>
      <c r="CJ12" s="14">
        <f t="shared" si="10"/>
        <v>217328.2327</v>
      </c>
      <c r="CK12" s="14">
        <f t="shared" si="10"/>
        <v>241891.34</v>
      </c>
      <c r="CL12" s="14">
        <f t="shared" si="10"/>
        <v>223208.2484</v>
      </c>
      <c r="CM12" s="14">
        <f t="shared" si="10"/>
        <v>223771.5537</v>
      </c>
      <c r="CO12" s="18" t="s">
        <v>7</v>
      </c>
      <c r="CP12" s="12" t="b">
        <f t="shared" si="4"/>
        <v>1</v>
      </c>
    </row>
    <row r="13" ht="15.75" customHeight="1">
      <c r="D13" s="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>
        <f>CI11+CG11+CE11</f>
        <v>1769385</v>
      </c>
      <c r="CJ13" s="14"/>
      <c r="CK13" s="14">
        <f>CI12+CG12+CE12</f>
        <v>895088.24</v>
      </c>
      <c r="CL13" s="14"/>
      <c r="CM13" s="14"/>
      <c r="CO13" s="5"/>
      <c r="CP13" s="12" t="b">
        <f t="shared" si="4"/>
        <v>1</v>
      </c>
    </row>
    <row r="14" ht="15.75" customHeight="1">
      <c r="D14" s="7" t="s">
        <v>9</v>
      </c>
      <c r="E14" s="10">
        <f t="shared" ref="E14:CM14" si="11">E16+E17</f>
        <v>18000</v>
      </c>
      <c r="F14" s="10">
        <f t="shared" si="11"/>
        <v>27000</v>
      </c>
      <c r="G14" s="10">
        <f t="shared" si="11"/>
        <v>36000</v>
      </c>
      <c r="H14" s="10">
        <f t="shared" si="11"/>
        <v>24244</v>
      </c>
      <c r="I14" s="10">
        <f t="shared" si="11"/>
        <v>21500</v>
      </c>
      <c r="J14" s="10">
        <f t="shared" si="11"/>
        <v>80112</v>
      </c>
      <c r="K14" s="10">
        <f t="shared" si="11"/>
        <v>72033.33</v>
      </c>
      <c r="L14" s="10">
        <f t="shared" si="11"/>
        <v>41800</v>
      </c>
      <c r="M14" s="10">
        <f t="shared" si="11"/>
        <v>38400</v>
      </c>
      <c r="N14" s="10">
        <f t="shared" si="11"/>
        <v>111085</v>
      </c>
      <c r="O14" s="10">
        <f t="shared" si="11"/>
        <v>162523</v>
      </c>
      <c r="P14" s="10">
        <f t="shared" si="11"/>
        <v>133952.67</v>
      </c>
      <c r="Q14" s="10">
        <f t="shared" si="11"/>
        <v>108883</v>
      </c>
      <c r="R14" s="10">
        <f t="shared" si="11"/>
        <v>150333</v>
      </c>
      <c r="S14" s="10">
        <f t="shared" si="11"/>
        <v>145725</v>
      </c>
      <c r="T14" s="10">
        <f t="shared" si="11"/>
        <v>191021</v>
      </c>
      <c r="U14" s="10">
        <f t="shared" si="11"/>
        <v>391625</v>
      </c>
      <c r="V14" s="10">
        <f t="shared" si="11"/>
        <v>358865.66</v>
      </c>
      <c r="W14" s="10">
        <f t="shared" si="11"/>
        <v>239533</v>
      </c>
      <c r="X14" s="10">
        <f t="shared" si="11"/>
        <v>358787.8183</v>
      </c>
      <c r="Y14" s="10">
        <f t="shared" si="11"/>
        <v>328920</v>
      </c>
      <c r="Z14" s="10">
        <f t="shared" si="11"/>
        <v>379124.1218</v>
      </c>
      <c r="AA14" s="10">
        <f t="shared" si="11"/>
        <v>438231.25</v>
      </c>
      <c r="AB14" s="10">
        <f t="shared" si="11"/>
        <v>374137.9327</v>
      </c>
      <c r="AC14" s="10">
        <f t="shared" si="11"/>
        <v>301448</v>
      </c>
      <c r="AD14" s="10">
        <f t="shared" si="11"/>
        <v>396402.4308</v>
      </c>
      <c r="AE14" s="10">
        <f t="shared" si="11"/>
        <v>424725</v>
      </c>
      <c r="AF14" s="10">
        <f t="shared" si="11"/>
        <v>452886.4166</v>
      </c>
      <c r="AG14" s="10">
        <f t="shared" si="11"/>
        <v>403571</v>
      </c>
      <c r="AH14" s="10">
        <f t="shared" si="11"/>
        <v>466540.7004</v>
      </c>
      <c r="AI14" s="10">
        <f t="shared" si="11"/>
        <v>300750.33</v>
      </c>
      <c r="AJ14" s="10">
        <f t="shared" si="11"/>
        <v>502333.2749</v>
      </c>
      <c r="AK14" s="10">
        <f t="shared" si="11"/>
        <v>250164</v>
      </c>
      <c r="AL14" s="10">
        <f t="shared" si="11"/>
        <v>542086.4436</v>
      </c>
      <c r="AM14" s="10">
        <f t="shared" si="11"/>
        <v>390931.4</v>
      </c>
      <c r="AN14" s="10">
        <f t="shared" si="11"/>
        <v>232476.446</v>
      </c>
      <c r="AO14" s="11">
        <f t="shared" si="11"/>
        <v>275042.83</v>
      </c>
      <c r="AP14" s="10">
        <f t="shared" si="11"/>
        <v>235670.0835</v>
      </c>
      <c r="AQ14" s="11">
        <f t="shared" si="11"/>
        <v>246699</v>
      </c>
      <c r="AR14" s="10">
        <f t="shared" si="11"/>
        <v>307273.022</v>
      </c>
      <c r="AS14" s="11">
        <f t="shared" si="11"/>
        <v>346200</v>
      </c>
      <c r="AT14" s="10">
        <f t="shared" si="11"/>
        <v>311464.3712</v>
      </c>
      <c r="AU14" s="11">
        <f t="shared" si="11"/>
        <v>384231.6</v>
      </c>
      <c r="AV14" s="10">
        <f t="shared" si="11"/>
        <v>335017.9002</v>
      </c>
      <c r="AW14" s="11">
        <f t="shared" si="11"/>
        <v>507106.5</v>
      </c>
      <c r="AX14" s="10">
        <f t="shared" si="11"/>
        <v>326321.1163</v>
      </c>
      <c r="AY14" s="11">
        <f t="shared" si="11"/>
        <v>574063</v>
      </c>
      <c r="AZ14" s="10">
        <f t="shared" si="11"/>
        <v>485923.3846</v>
      </c>
      <c r="BA14" s="11">
        <f t="shared" si="11"/>
        <v>384779.33</v>
      </c>
      <c r="BB14" s="10">
        <f t="shared" si="11"/>
        <v>576356.8354</v>
      </c>
      <c r="BC14" s="11">
        <f t="shared" si="11"/>
        <v>336598.875</v>
      </c>
      <c r="BD14" s="10">
        <f t="shared" si="11"/>
        <v>571630.7658</v>
      </c>
      <c r="BE14" s="11">
        <f t="shared" si="11"/>
        <v>494486.5</v>
      </c>
      <c r="BF14" s="10">
        <f t="shared" si="11"/>
        <v>614043.5078</v>
      </c>
      <c r="BG14" s="11">
        <f t="shared" si="11"/>
        <v>314592.64</v>
      </c>
      <c r="BH14" s="10">
        <f t="shared" si="11"/>
        <v>632452.9157</v>
      </c>
      <c r="BI14" s="11">
        <f t="shared" si="11"/>
        <v>416466.3848</v>
      </c>
      <c r="BJ14" s="10">
        <f t="shared" si="11"/>
        <v>685236.3526</v>
      </c>
      <c r="BK14" s="11">
        <f t="shared" si="11"/>
        <v>612532.244</v>
      </c>
      <c r="BL14" s="10">
        <f t="shared" si="11"/>
        <v>476480.1817</v>
      </c>
      <c r="BM14" s="11">
        <f t="shared" si="11"/>
        <v>394503.112</v>
      </c>
      <c r="BN14" s="10">
        <f t="shared" si="11"/>
        <v>502457.8068</v>
      </c>
      <c r="BO14" s="11">
        <f t="shared" si="11"/>
        <v>573685.5055</v>
      </c>
      <c r="BP14" s="10">
        <f t="shared" si="11"/>
        <v>532942.612</v>
      </c>
      <c r="BQ14" s="11">
        <f t="shared" si="11"/>
        <v>385160.7688</v>
      </c>
      <c r="BR14" s="10">
        <f t="shared" si="11"/>
        <v>564695.9396</v>
      </c>
      <c r="BS14" s="11">
        <f t="shared" si="11"/>
        <v>387456.9736</v>
      </c>
      <c r="BT14" s="10">
        <f t="shared" si="11"/>
        <v>551844.7966</v>
      </c>
      <c r="BU14" s="11">
        <f t="shared" si="11"/>
        <v>671967.975</v>
      </c>
      <c r="BV14" s="10">
        <f t="shared" si="11"/>
        <v>526243.5949</v>
      </c>
      <c r="BW14" s="11">
        <f t="shared" si="11"/>
        <v>768062.1375</v>
      </c>
      <c r="BX14" s="10">
        <f t="shared" si="11"/>
        <v>550348.3105</v>
      </c>
      <c r="BY14" s="11">
        <f t="shared" si="11"/>
        <v>498425.3</v>
      </c>
      <c r="BZ14" s="10">
        <f t="shared" si="11"/>
        <v>578715.5761</v>
      </c>
      <c r="CA14" s="11">
        <f t="shared" si="11"/>
        <v>577669.135</v>
      </c>
      <c r="CB14" s="10">
        <f t="shared" si="11"/>
        <v>625987.2954</v>
      </c>
      <c r="CC14" s="11">
        <f t="shared" si="11"/>
        <v>606154.0699</v>
      </c>
      <c r="CD14" s="10">
        <f t="shared" si="11"/>
        <v>605012.4278</v>
      </c>
      <c r="CE14" s="11">
        <f t="shared" si="11"/>
        <v>491915.1484</v>
      </c>
      <c r="CF14" s="10">
        <f t="shared" si="11"/>
        <v>649262.4155</v>
      </c>
      <c r="CG14" s="11">
        <f t="shared" si="11"/>
        <v>738741.6697</v>
      </c>
      <c r="CH14" s="10">
        <f t="shared" si="11"/>
        <v>685738.4662</v>
      </c>
      <c r="CI14" s="11">
        <f t="shared" si="11"/>
        <v>758844.12</v>
      </c>
      <c r="CJ14" s="10">
        <f t="shared" si="11"/>
        <v>724774.3379</v>
      </c>
      <c r="CK14" s="11">
        <f t="shared" si="11"/>
        <v>518715.964</v>
      </c>
      <c r="CL14" s="10">
        <f t="shared" si="11"/>
        <v>773227.41</v>
      </c>
      <c r="CM14" s="10">
        <f t="shared" si="11"/>
        <v>831413.0406</v>
      </c>
      <c r="CO14" s="7" t="s">
        <v>9</v>
      </c>
      <c r="CP14" s="12" t="b">
        <f t="shared" si="4"/>
        <v>1</v>
      </c>
    </row>
    <row r="15" ht="15.75" customHeight="1">
      <c r="D15" s="13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O15" s="13"/>
      <c r="CP15" s="12" t="b">
        <f t="shared" si="4"/>
        <v>1</v>
      </c>
    </row>
    <row r="16" ht="15.75" customHeight="1">
      <c r="D16" s="18" t="s">
        <v>5</v>
      </c>
      <c r="E16" s="14">
        <f t="shared" ref="E16:CM16" si="12">(E95-E88)*12</f>
        <v>0</v>
      </c>
      <c r="F16" s="14">
        <f t="shared" si="12"/>
        <v>8000</v>
      </c>
      <c r="G16" s="14">
        <f t="shared" si="12"/>
        <v>5000</v>
      </c>
      <c r="H16" s="14">
        <f t="shared" si="12"/>
        <v>0</v>
      </c>
      <c r="I16" s="14">
        <f t="shared" si="12"/>
        <v>0</v>
      </c>
      <c r="J16" s="14">
        <f t="shared" si="12"/>
        <v>0</v>
      </c>
      <c r="K16" s="14">
        <f t="shared" si="12"/>
        <v>9000</v>
      </c>
      <c r="L16" s="14">
        <f t="shared" si="12"/>
        <v>6500</v>
      </c>
      <c r="M16" s="14">
        <f t="shared" si="12"/>
        <v>0</v>
      </c>
      <c r="N16" s="14">
        <f t="shared" si="12"/>
        <v>7500</v>
      </c>
      <c r="O16" s="14">
        <f t="shared" si="12"/>
        <v>19500</v>
      </c>
      <c r="P16" s="14">
        <f t="shared" si="12"/>
        <v>17400</v>
      </c>
      <c r="Q16" s="14">
        <f t="shared" si="12"/>
        <v>25000</v>
      </c>
      <c r="R16" s="14">
        <f t="shared" si="12"/>
        <v>45900</v>
      </c>
      <c r="S16" s="14">
        <f t="shared" si="12"/>
        <v>20600</v>
      </c>
      <c r="T16" s="14">
        <f t="shared" si="12"/>
        <v>33500</v>
      </c>
      <c r="U16" s="14">
        <f t="shared" si="12"/>
        <v>143560</v>
      </c>
      <c r="V16" s="14">
        <f t="shared" si="12"/>
        <v>157755.66</v>
      </c>
      <c r="W16" s="14">
        <f t="shared" si="12"/>
        <v>109000</v>
      </c>
      <c r="X16" s="14">
        <f t="shared" si="12"/>
        <v>154403.4945</v>
      </c>
      <c r="Y16" s="14">
        <f t="shared" si="12"/>
        <v>118390</v>
      </c>
      <c r="Z16" s="14">
        <f t="shared" si="12"/>
        <v>160450.318</v>
      </c>
      <c r="AA16" s="14">
        <f t="shared" si="12"/>
        <v>223150</v>
      </c>
      <c r="AB16" s="14">
        <f t="shared" si="12"/>
        <v>155404.5849</v>
      </c>
      <c r="AC16" s="14">
        <f t="shared" si="12"/>
        <v>133000</v>
      </c>
      <c r="AD16" s="14">
        <f t="shared" si="12"/>
        <v>181643.9537</v>
      </c>
      <c r="AE16" s="14">
        <f t="shared" si="12"/>
        <v>174075</v>
      </c>
      <c r="AF16" s="14">
        <f t="shared" si="12"/>
        <v>216767.8881</v>
      </c>
      <c r="AG16" s="14">
        <f t="shared" si="12"/>
        <v>254480</v>
      </c>
      <c r="AH16" s="14">
        <f t="shared" si="12"/>
        <v>224267.5381</v>
      </c>
      <c r="AI16" s="14">
        <f t="shared" si="12"/>
        <v>171800</v>
      </c>
      <c r="AJ16" s="14">
        <f t="shared" si="12"/>
        <v>260600.3571</v>
      </c>
      <c r="AK16" s="14">
        <f t="shared" si="12"/>
        <v>109960</v>
      </c>
      <c r="AL16" s="14">
        <f t="shared" si="12"/>
        <v>293828.2518</v>
      </c>
      <c r="AM16" s="14">
        <f t="shared" si="12"/>
        <v>198800</v>
      </c>
      <c r="AN16" s="14">
        <f t="shared" si="12"/>
        <v>156176.756</v>
      </c>
      <c r="AO16" s="14">
        <f t="shared" si="12"/>
        <v>110167</v>
      </c>
      <c r="AP16" s="14">
        <f t="shared" si="12"/>
        <v>157032.6349</v>
      </c>
      <c r="AQ16" s="14">
        <f t="shared" si="12"/>
        <v>140120</v>
      </c>
      <c r="AR16" s="14">
        <f t="shared" si="12"/>
        <v>228315.8433</v>
      </c>
      <c r="AS16" s="14">
        <f t="shared" si="12"/>
        <v>200000</v>
      </c>
      <c r="AT16" s="14">
        <f t="shared" si="12"/>
        <v>207106.9084</v>
      </c>
      <c r="AU16" s="14">
        <f t="shared" si="12"/>
        <v>168325</v>
      </c>
      <c r="AV16" s="14">
        <f t="shared" si="12"/>
        <v>218018.238</v>
      </c>
      <c r="AW16" s="14">
        <f t="shared" si="12"/>
        <v>305437.5</v>
      </c>
      <c r="AX16" s="14">
        <f t="shared" si="12"/>
        <v>200406.202</v>
      </c>
      <c r="AY16" s="14">
        <f t="shared" si="12"/>
        <v>326866</v>
      </c>
      <c r="AZ16" s="14">
        <f t="shared" si="12"/>
        <v>319737.892</v>
      </c>
      <c r="BA16" s="14">
        <f t="shared" si="12"/>
        <v>236533.33</v>
      </c>
      <c r="BB16" s="14">
        <f t="shared" si="12"/>
        <v>375353.8224</v>
      </c>
      <c r="BC16" s="14">
        <f t="shared" si="12"/>
        <v>221340</v>
      </c>
      <c r="BD16" s="14">
        <f t="shared" si="12"/>
        <v>357044.7071</v>
      </c>
      <c r="BE16" s="14">
        <f t="shared" si="12"/>
        <v>282630</v>
      </c>
      <c r="BF16" s="14">
        <f t="shared" si="12"/>
        <v>382862.5644</v>
      </c>
      <c r="BG16" s="14">
        <f t="shared" si="12"/>
        <v>240350</v>
      </c>
      <c r="BH16" s="14">
        <f t="shared" si="12"/>
        <v>394216.5268</v>
      </c>
      <c r="BI16" s="14">
        <f t="shared" si="12"/>
        <v>296267</v>
      </c>
      <c r="BJ16" s="14">
        <f t="shared" si="12"/>
        <v>442700.702</v>
      </c>
      <c r="BK16" s="14">
        <f t="shared" si="12"/>
        <v>368033.24</v>
      </c>
      <c r="BL16" s="14">
        <f t="shared" si="12"/>
        <v>276788.976</v>
      </c>
      <c r="BM16" s="14">
        <f t="shared" si="12"/>
        <v>306581.5</v>
      </c>
      <c r="BN16" s="14">
        <f t="shared" si="12"/>
        <v>295542.4158</v>
      </c>
      <c r="BO16" s="14">
        <f t="shared" si="12"/>
        <v>465592</v>
      </c>
      <c r="BP16" s="14">
        <f t="shared" si="12"/>
        <v>322388.2838</v>
      </c>
      <c r="BQ16" s="14">
        <f t="shared" si="12"/>
        <v>329206.5</v>
      </c>
      <c r="BR16" s="14">
        <f t="shared" si="12"/>
        <v>341487.247</v>
      </c>
      <c r="BS16" s="14">
        <f t="shared" si="12"/>
        <v>257825</v>
      </c>
      <c r="BT16" s="14">
        <f t="shared" si="12"/>
        <v>335341.1037</v>
      </c>
      <c r="BU16" s="14">
        <f t="shared" si="12"/>
        <v>388387.5</v>
      </c>
      <c r="BV16" s="14">
        <f t="shared" si="12"/>
        <v>361447.343</v>
      </c>
      <c r="BW16" s="14">
        <f t="shared" si="12"/>
        <v>554618.45</v>
      </c>
      <c r="BX16" s="14">
        <f t="shared" si="12"/>
        <v>386350.0818</v>
      </c>
      <c r="BY16" s="14">
        <f t="shared" si="12"/>
        <v>373442.5</v>
      </c>
      <c r="BZ16" s="14">
        <f t="shared" si="12"/>
        <v>419568.0075</v>
      </c>
      <c r="CA16" s="14">
        <f t="shared" si="12"/>
        <v>419112.5</v>
      </c>
      <c r="CB16" s="14">
        <f t="shared" si="12"/>
        <v>462737.1522</v>
      </c>
      <c r="CC16" s="14">
        <f t="shared" si="12"/>
        <v>360351.0748</v>
      </c>
      <c r="CD16" s="14">
        <f t="shared" si="12"/>
        <v>450363.2871</v>
      </c>
      <c r="CE16" s="14">
        <f t="shared" si="12"/>
        <v>380964.75</v>
      </c>
      <c r="CF16" s="14">
        <f t="shared" si="12"/>
        <v>484789.8258</v>
      </c>
      <c r="CG16" s="14">
        <f t="shared" si="12"/>
        <v>499901.3</v>
      </c>
      <c r="CH16" s="14">
        <f t="shared" si="12"/>
        <v>516567.6317</v>
      </c>
      <c r="CI16" s="14">
        <f t="shared" si="12"/>
        <v>526435</v>
      </c>
      <c r="CJ16" s="14">
        <f t="shared" si="12"/>
        <v>549995.8392</v>
      </c>
      <c r="CK16" s="14">
        <f t="shared" si="12"/>
        <v>355216.24</v>
      </c>
      <c r="CL16" s="14">
        <f t="shared" si="12"/>
        <v>593617.5665</v>
      </c>
      <c r="CM16" s="14">
        <f t="shared" si="12"/>
        <v>652317.5509</v>
      </c>
      <c r="CO16" s="18" t="s">
        <v>5</v>
      </c>
      <c r="CP16" s="12" t="b">
        <f t="shared" si="4"/>
        <v>1</v>
      </c>
    </row>
    <row r="17" ht="15.75" customHeight="1">
      <c r="D17" s="18" t="s">
        <v>7</v>
      </c>
      <c r="E17" s="14">
        <f t="shared" ref="E17:CM17" si="13">(E110-E103)*12</f>
        <v>18000</v>
      </c>
      <c r="F17" s="14">
        <f t="shared" si="13"/>
        <v>19000</v>
      </c>
      <c r="G17" s="14">
        <f t="shared" si="13"/>
        <v>31000</v>
      </c>
      <c r="H17" s="14">
        <f t="shared" si="13"/>
        <v>24244</v>
      </c>
      <c r="I17" s="14">
        <f t="shared" si="13"/>
        <v>21500</v>
      </c>
      <c r="J17" s="14">
        <f t="shared" si="13"/>
        <v>80112</v>
      </c>
      <c r="K17" s="14">
        <f t="shared" si="13"/>
        <v>63033.33</v>
      </c>
      <c r="L17" s="14">
        <f t="shared" si="13"/>
        <v>35300</v>
      </c>
      <c r="M17" s="14">
        <f t="shared" si="13"/>
        <v>38400</v>
      </c>
      <c r="N17" s="14">
        <f t="shared" si="13"/>
        <v>103585</v>
      </c>
      <c r="O17" s="14">
        <f t="shared" si="13"/>
        <v>143023</v>
      </c>
      <c r="P17" s="14">
        <f t="shared" si="13"/>
        <v>116552.67</v>
      </c>
      <c r="Q17" s="14">
        <f t="shared" si="13"/>
        <v>83883</v>
      </c>
      <c r="R17" s="14">
        <f t="shared" si="13"/>
        <v>104433</v>
      </c>
      <c r="S17" s="14">
        <f t="shared" si="13"/>
        <v>125125</v>
      </c>
      <c r="T17" s="14">
        <f t="shared" si="13"/>
        <v>157521</v>
      </c>
      <c r="U17" s="14">
        <f t="shared" si="13"/>
        <v>248065</v>
      </c>
      <c r="V17" s="14">
        <f t="shared" si="13"/>
        <v>201110</v>
      </c>
      <c r="W17" s="14">
        <f t="shared" si="13"/>
        <v>130533</v>
      </c>
      <c r="X17" s="14">
        <f t="shared" si="13"/>
        <v>204384.3238</v>
      </c>
      <c r="Y17" s="14">
        <f t="shared" si="13"/>
        <v>210530</v>
      </c>
      <c r="Z17" s="14">
        <f t="shared" si="13"/>
        <v>218673.8038</v>
      </c>
      <c r="AA17" s="14">
        <f t="shared" si="13"/>
        <v>215081.25</v>
      </c>
      <c r="AB17" s="14">
        <f t="shared" si="13"/>
        <v>218733.3477</v>
      </c>
      <c r="AC17" s="14">
        <f t="shared" si="13"/>
        <v>168448</v>
      </c>
      <c r="AD17" s="14">
        <f t="shared" si="13"/>
        <v>214758.477</v>
      </c>
      <c r="AE17" s="14">
        <f t="shared" si="13"/>
        <v>250650</v>
      </c>
      <c r="AF17" s="14">
        <f t="shared" si="13"/>
        <v>236118.5285</v>
      </c>
      <c r="AG17" s="14">
        <f t="shared" si="13"/>
        <v>149091</v>
      </c>
      <c r="AH17" s="14">
        <f t="shared" si="13"/>
        <v>242273.1623</v>
      </c>
      <c r="AI17" s="14">
        <f t="shared" si="13"/>
        <v>128950.33</v>
      </c>
      <c r="AJ17" s="14">
        <f t="shared" si="13"/>
        <v>241732.9178</v>
      </c>
      <c r="AK17" s="14">
        <f t="shared" si="13"/>
        <v>140204</v>
      </c>
      <c r="AL17" s="14">
        <f t="shared" si="13"/>
        <v>248258.1918</v>
      </c>
      <c r="AM17" s="14">
        <f t="shared" si="13"/>
        <v>192131.4</v>
      </c>
      <c r="AN17" s="14">
        <f t="shared" si="13"/>
        <v>76299.69</v>
      </c>
      <c r="AO17" s="14">
        <f t="shared" si="13"/>
        <v>164875.83</v>
      </c>
      <c r="AP17" s="14">
        <f t="shared" si="13"/>
        <v>78637.44852</v>
      </c>
      <c r="AQ17" s="14">
        <f t="shared" si="13"/>
        <v>106579</v>
      </c>
      <c r="AR17" s="14">
        <f t="shared" si="13"/>
        <v>78957.17869</v>
      </c>
      <c r="AS17" s="14">
        <f t="shared" si="13"/>
        <v>146200</v>
      </c>
      <c r="AT17" s="14">
        <f t="shared" si="13"/>
        <v>104357.4628</v>
      </c>
      <c r="AU17" s="14">
        <f t="shared" si="13"/>
        <v>215906.6</v>
      </c>
      <c r="AV17" s="14">
        <f t="shared" si="13"/>
        <v>116999.6622</v>
      </c>
      <c r="AW17" s="14">
        <f t="shared" si="13"/>
        <v>201669</v>
      </c>
      <c r="AX17" s="14">
        <f t="shared" si="13"/>
        <v>125914.9143</v>
      </c>
      <c r="AY17" s="14">
        <f t="shared" si="13"/>
        <v>247197</v>
      </c>
      <c r="AZ17" s="14">
        <f t="shared" si="13"/>
        <v>166185.4926</v>
      </c>
      <c r="BA17" s="14">
        <f t="shared" si="13"/>
        <v>148246</v>
      </c>
      <c r="BB17" s="14">
        <f t="shared" si="13"/>
        <v>201003.013</v>
      </c>
      <c r="BC17" s="14">
        <f t="shared" si="13"/>
        <v>115258.875</v>
      </c>
      <c r="BD17" s="14">
        <f t="shared" si="13"/>
        <v>214586.0588</v>
      </c>
      <c r="BE17" s="14">
        <f t="shared" si="13"/>
        <v>211856.5</v>
      </c>
      <c r="BF17" s="14">
        <f t="shared" si="13"/>
        <v>231180.9433</v>
      </c>
      <c r="BG17" s="14">
        <f t="shared" si="13"/>
        <v>74242.64</v>
      </c>
      <c r="BH17" s="14">
        <f t="shared" si="13"/>
        <v>238236.3889</v>
      </c>
      <c r="BI17" s="14">
        <f t="shared" si="13"/>
        <v>120199.3848</v>
      </c>
      <c r="BJ17" s="14">
        <f t="shared" si="13"/>
        <v>242535.6506</v>
      </c>
      <c r="BK17" s="14">
        <f t="shared" si="13"/>
        <v>244499.004</v>
      </c>
      <c r="BL17" s="14">
        <f t="shared" si="13"/>
        <v>199691.2056</v>
      </c>
      <c r="BM17" s="14">
        <f t="shared" si="13"/>
        <v>87921.612</v>
      </c>
      <c r="BN17" s="14">
        <f t="shared" si="13"/>
        <v>206915.3911</v>
      </c>
      <c r="BO17" s="14">
        <f t="shared" si="13"/>
        <v>108093.5055</v>
      </c>
      <c r="BP17" s="14">
        <f t="shared" si="13"/>
        <v>210554.3283</v>
      </c>
      <c r="BQ17" s="14">
        <f t="shared" si="13"/>
        <v>55954.2688</v>
      </c>
      <c r="BR17" s="14">
        <f t="shared" si="13"/>
        <v>223208.6926</v>
      </c>
      <c r="BS17" s="14">
        <f t="shared" si="13"/>
        <v>129631.9736</v>
      </c>
      <c r="BT17" s="14">
        <f t="shared" si="13"/>
        <v>216503.6929</v>
      </c>
      <c r="BU17" s="14">
        <f t="shared" si="13"/>
        <v>283580.475</v>
      </c>
      <c r="BV17" s="14">
        <f t="shared" si="13"/>
        <v>164796.2519</v>
      </c>
      <c r="BW17" s="14">
        <f t="shared" si="13"/>
        <v>213443.6875</v>
      </c>
      <c r="BX17" s="14">
        <f t="shared" si="13"/>
        <v>163998.2286</v>
      </c>
      <c r="BY17" s="14">
        <f t="shared" si="13"/>
        <v>124982.8</v>
      </c>
      <c r="BZ17" s="14">
        <f t="shared" si="13"/>
        <v>159147.5686</v>
      </c>
      <c r="CA17" s="14">
        <f t="shared" si="13"/>
        <v>158556.635</v>
      </c>
      <c r="CB17" s="14">
        <f t="shared" si="13"/>
        <v>163250.1432</v>
      </c>
      <c r="CC17" s="14">
        <f t="shared" si="13"/>
        <v>245802.9952</v>
      </c>
      <c r="CD17" s="14">
        <f t="shared" si="13"/>
        <v>154649.1407</v>
      </c>
      <c r="CE17" s="14">
        <f t="shared" si="13"/>
        <v>110950.3984</v>
      </c>
      <c r="CF17" s="14">
        <f t="shared" si="13"/>
        <v>164472.5897</v>
      </c>
      <c r="CG17" s="14">
        <f t="shared" si="13"/>
        <v>238840.3697</v>
      </c>
      <c r="CH17" s="14">
        <f t="shared" si="13"/>
        <v>169170.8345</v>
      </c>
      <c r="CI17" s="14">
        <f t="shared" si="13"/>
        <v>232409.12</v>
      </c>
      <c r="CJ17" s="14">
        <f t="shared" si="13"/>
        <v>174778.4987</v>
      </c>
      <c r="CK17" s="14">
        <f t="shared" si="13"/>
        <v>163499.724</v>
      </c>
      <c r="CL17" s="14">
        <f t="shared" si="13"/>
        <v>179609.8435</v>
      </c>
      <c r="CM17" s="14">
        <f t="shared" si="13"/>
        <v>179095.4897</v>
      </c>
      <c r="CO17" s="18" t="s">
        <v>7</v>
      </c>
      <c r="CP17" s="12" t="b">
        <f t="shared" si="4"/>
        <v>1</v>
      </c>
    </row>
    <row r="18" ht="15.75" customHeight="1">
      <c r="D18" s="18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O18" s="18"/>
      <c r="CP18" s="12" t="b">
        <f t="shared" si="4"/>
        <v>1</v>
      </c>
    </row>
    <row r="19" ht="15.75" customHeight="1">
      <c r="C19" s="9">
        <f>SUM(E19:U19)+W19+Y19+AA19+AC19+AE19+AG19+AI19+AK19+AM19+AO19+AQ19+AS19+AU19+AW19+AY19+BA19+BC19+BE19+BG19+BI19+BK19+BM19+BO19+BQ19+BS19+BU19+BW19+BY19+CA19+CC19+CE19+CG19+CI19+CK19</f>
        <v>2764976.581</v>
      </c>
      <c r="D19" s="7" t="s">
        <v>10</v>
      </c>
      <c r="E19" s="10">
        <f t="shared" ref="E19:CM19" si="14">E21+E22</f>
        <v>0</v>
      </c>
      <c r="F19" s="10">
        <f t="shared" si="14"/>
        <v>0</v>
      </c>
      <c r="G19" s="10">
        <f t="shared" si="14"/>
        <v>0</v>
      </c>
      <c r="H19" s="10">
        <f t="shared" si="14"/>
        <v>0</v>
      </c>
      <c r="I19" s="10">
        <f t="shared" si="14"/>
        <v>0</v>
      </c>
      <c r="J19" s="10">
        <f t="shared" si="14"/>
        <v>0</v>
      </c>
      <c r="K19" s="10">
        <f t="shared" si="14"/>
        <v>0</v>
      </c>
      <c r="L19" s="10">
        <f t="shared" si="14"/>
        <v>0</v>
      </c>
      <c r="M19" s="10">
        <f t="shared" si="14"/>
        <v>0</v>
      </c>
      <c r="N19" s="10">
        <f t="shared" si="14"/>
        <v>0</v>
      </c>
      <c r="O19" s="10">
        <f t="shared" si="14"/>
        <v>2380</v>
      </c>
      <c r="P19" s="10">
        <f t="shared" si="14"/>
        <v>2000</v>
      </c>
      <c r="Q19" s="10">
        <f t="shared" si="14"/>
        <v>0</v>
      </c>
      <c r="R19" s="10">
        <f t="shared" si="14"/>
        <v>4533</v>
      </c>
      <c r="S19" s="10">
        <f t="shared" si="14"/>
        <v>2500</v>
      </c>
      <c r="T19" s="10">
        <f t="shared" si="14"/>
        <v>3350</v>
      </c>
      <c r="U19" s="10">
        <f t="shared" si="14"/>
        <v>20250</v>
      </c>
      <c r="V19" s="10">
        <f t="shared" si="14"/>
        <v>3955</v>
      </c>
      <c r="W19" s="10">
        <f t="shared" si="14"/>
        <v>19375</v>
      </c>
      <c r="X19" s="10">
        <f t="shared" si="14"/>
        <v>5172.52375</v>
      </c>
      <c r="Y19" s="10">
        <f t="shared" si="14"/>
        <v>39810</v>
      </c>
      <c r="Z19" s="10">
        <f t="shared" si="14"/>
        <v>3757.399125</v>
      </c>
      <c r="AA19" s="10">
        <f t="shared" si="14"/>
        <v>49050</v>
      </c>
      <c r="AB19" s="10">
        <f t="shared" si="14"/>
        <v>3670.863036</v>
      </c>
      <c r="AC19" s="10">
        <f t="shared" si="14"/>
        <v>23465</v>
      </c>
      <c r="AD19" s="10">
        <f t="shared" si="14"/>
        <v>12148.09504</v>
      </c>
      <c r="AE19" s="10">
        <f t="shared" si="14"/>
        <v>59275</v>
      </c>
      <c r="AF19" s="10">
        <f t="shared" si="14"/>
        <v>8075.633175</v>
      </c>
      <c r="AG19" s="10">
        <f t="shared" si="14"/>
        <v>25237.5</v>
      </c>
      <c r="AH19" s="10">
        <f t="shared" si="14"/>
        <v>7737.647218</v>
      </c>
      <c r="AI19" s="10">
        <f t="shared" si="14"/>
        <v>42396</v>
      </c>
      <c r="AJ19" s="10">
        <f t="shared" si="14"/>
        <v>9102.97925</v>
      </c>
      <c r="AK19" s="10">
        <f t="shared" si="14"/>
        <v>42887.5</v>
      </c>
      <c r="AL19" s="10">
        <f t="shared" si="14"/>
        <v>10079.27377</v>
      </c>
      <c r="AM19" s="10">
        <f t="shared" si="14"/>
        <v>58482.15</v>
      </c>
      <c r="AN19" s="10">
        <f t="shared" si="14"/>
        <v>41000</v>
      </c>
      <c r="AO19" s="10">
        <f t="shared" si="14"/>
        <v>63308.33</v>
      </c>
      <c r="AP19" s="10">
        <f t="shared" si="14"/>
        <v>44350</v>
      </c>
      <c r="AQ19" s="10">
        <f t="shared" si="14"/>
        <v>56536</v>
      </c>
      <c r="AR19" s="10">
        <f t="shared" si="14"/>
        <v>45743.5</v>
      </c>
      <c r="AS19" s="10">
        <f t="shared" si="14"/>
        <v>36750</v>
      </c>
      <c r="AT19" s="10">
        <f t="shared" si="14"/>
        <v>47181.955</v>
      </c>
      <c r="AU19" s="10">
        <f t="shared" si="14"/>
        <v>79912.5</v>
      </c>
      <c r="AV19" s="10">
        <f t="shared" si="14"/>
        <v>48666.87115</v>
      </c>
      <c r="AW19" s="10">
        <f t="shared" si="14"/>
        <v>115444</v>
      </c>
      <c r="AX19" s="10">
        <f t="shared" si="14"/>
        <v>53677.62988</v>
      </c>
      <c r="AY19" s="10">
        <f t="shared" si="14"/>
        <v>72831</v>
      </c>
      <c r="AZ19" s="10">
        <f t="shared" si="14"/>
        <v>61772.92719</v>
      </c>
      <c r="BA19" s="10">
        <f t="shared" si="14"/>
        <v>101179</v>
      </c>
      <c r="BB19" s="10">
        <f t="shared" si="14"/>
        <v>63786.92648</v>
      </c>
      <c r="BC19" s="10">
        <f t="shared" si="14"/>
        <v>86397</v>
      </c>
      <c r="BD19" s="10">
        <f t="shared" si="14"/>
        <v>65869.38633</v>
      </c>
      <c r="BE19" s="10">
        <f t="shared" si="14"/>
        <v>78143</v>
      </c>
      <c r="BF19" s="10">
        <f t="shared" si="14"/>
        <v>75286.29358</v>
      </c>
      <c r="BG19" s="10">
        <f t="shared" si="14"/>
        <v>88562.64</v>
      </c>
      <c r="BH19" s="10">
        <f t="shared" si="14"/>
        <v>77824.12147</v>
      </c>
      <c r="BI19" s="10">
        <f t="shared" si="14"/>
        <v>54089.2032</v>
      </c>
      <c r="BJ19" s="10">
        <f t="shared" si="14"/>
        <v>91525.91711</v>
      </c>
      <c r="BK19" s="10">
        <f t="shared" si="14"/>
        <v>64358.808</v>
      </c>
      <c r="BL19" s="10">
        <f t="shared" si="14"/>
        <v>101508.1189</v>
      </c>
      <c r="BM19" s="10">
        <f t="shared" si="14"/>
        <v>55546.072</v>
      </c>
      <c r="BN19" s="10">
        <f t="shared" si="14"/>
        <v>108998.2274</v>
      </c>
      <c r="BO19" s="10">
        <f t="shared" si="14"/>
        <v>75470.24746</v>
      </c>
      <c r="BP19" s="10">
        <f t="shared" si="14"/>
        <v>113385.5832</v>
      </c>
      <c r="BQ19" s="10">
        <f t="shared" si="14"/>
        <v>144748.88</v>
      </c>
      <c r="BR19" s="10">
        <f t="shared" si="14"/>
        <v>116881.9601</v>
      </c>
      <c r="BS19" s="10">
        <f t="shared" si="14"/>
        <v>73945.78566</v>
      </c>
      <c r="BT19" s="10">
        <f t="shared" si="14"/>
        <v>125402.1256</v>
      </c>
      <c r="BU19" s="10">
        <f t="shared" si="14"/>
        <v>77206</v>
      </c>
      <c r="BV19" s="10">
        <f t="shared" si="14"/>
        <v>128953.5179</v>
      </c>
      <c r="BW19" s="10">
        <f t="shared" si="14"/>
        <v>149816.4</v>
      </c>
      <c r="BX19" s="10">
        <f t="shared" si="14"/>
        <v>137558.9887</v>
      </c>
      <c r="BY19" s="10">
        <f t="shared" si="14"/>
        <v>105259.8</v>
      </c>
      <c r="BZ19" s="10">
        <f t="shared" si="14"/>
        <v>142093.2987</v>
      </c>
      <c r="CA19" s="10">
        <f t="shared" si="14"/>
        <v>103201</v>
      </c>
      <c r="CB19" s="10">
        <f t="shared" si="14"/>
        <v>161329.2691</v>
      </c>
      <c r="CC19" s="10">
        <f t="shared" si="14"/>
        <v>185704.0451</v>
      </c>
      <c r="CD19" s="10">
        <f t="shared" si="14"/>
        <v>161813.2569</v>
      </c>
      <c r="CE19" s="10">
        <f t="shared" si="14"/>
        <v>97802.04</v>
      </c>
      <c r="CF19" s="10">
        <f t="shared" si="14"/>
        <v>174775.2141</v>
      </c>
      <c r="CG19" s="10">
        <f t="shared" si="14"/>
        <v>149959</v>
      </c>
      <c r="CH19" s="10">
        <f t="shared" si="14"/>
        <v>183642.171</v>
      </c>
      <c r="CI19" s="10">
        <f t="shared" si="14"/>
        <v>138000.48</v>
      </c>
      <c r="CJ19" s="10">
        <f t="shared" si="14"/>
        <v>195803.2246</v>
      </c>
      <c r="CK19" s="10">
        <f t="shared" si="14"/>
        <v>115814.2</v>
      </c>
      <c r="CL19" s="10">
        <f t="shared" si="14"/>
        <v>213176.1586</v>
      </c>
      <c r="CM19" s="10">
        <f t="shared" si="14"/>
        <v>230651.5679</v>
      </c>
      <c r="CO19" s="7" t="s">
        <v>10</v>
      </c>
      <c r="CP19" s="12" t="b">
        <f t="shared" si="4"/>
        <v>1</v>
      </c>
    </row>
    <row r="20" ht="15.75" customHeight="1">
      <c r="D20" s="1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>
        <f t="shared" ref="BI20:CE20" si="15">BI19+BI24</f>
        <v>54989.2032</v>
      </c>
      <c r="BJ20" s="14">
        <f t="shared" si="15"/>
        <v>91525.91711</v>
      </c>
      <c r="BK20" s="14">
        <f t="shared" si="15"/>
        <v>67573.808</v>
      </c>
      <c r="BL20" s="14">
        <f t="shared" si="15"/>
        <v>101508.1189</v>
      </c>
      <c r="BM20" s="14">
        <f t="shared" si="15"/>
        <v>57990.7595</v>
      </c>
      <c r="BN20" s="14">
        <f t="shared" si="15"/>
        <v>108998.2274</v>
      </c>
      <c r="BO20" s="14">
        <f t="shared" si="15"/>
        <v>79131.49746</v>
      </c>
      <c r="BP20" s="14">
        <f t="shared" si="15"/>
        <v>113385.5832</v>
      </c>
      <c r="BQ20" s="14">
        <f t="shared" si="15"/>
        <v>147921.38</v>
      </c>
      <c r="BR20" s="14">
        <f t="shared" si="15"/>
        <v>116881.9601</v>
      </c>
      <c r="BS20" s="14">
        <f t="shared" si="15"/>
        <v>80520.78566</v>
      </c>
      <c r="BT20" s="14">
        <f t="shared" si="15"/>
        <v>125402.1256</v>
      </c>
      <c r="BU20" s="14">
        <f t="shared" si="15"/>
        <v>87130.375</v>
      </c>
      <c r="BV20" s="14">
        <f t="shared" si="15"/>
        <v>128953.5179</v>
      </c>
      <c r="BW20" s="14">
        <f t="shared" si="15"/>
        <v>171188.1375</v>
      </c>
      <c r="BX20" s="14">
        <f t="shared" si="15"/>
        <v>137558.9887</v>
      </c>
      <c r="BY20" s="14">
        <f t="shared" si="15"/>
        <v>119259.8</v>
      </c>
      <c r="BZ20" s="14">
        <f t="shared" si="15"/>
        <v>142093.2987</v>
      </c>
      <c r="CA20" s="14">
        <f t="shared" si="15"/>
        <v>110119.175</v>
      </c>
      <c r="CB20" s="14">
        <f t="shared" si="15"/>
        <v>161329.2691</v>
      </c>
      <c r="CC20" s="14">
        <f t="shared" si="15"/>
        <v>202752.0141</v>
      </c>
      <c r="CD20" s="14">
        <f t="shared" si="15"/>
        <v>161813.2569</v>
      </c>
      <c r="CE20" s="14">
        <f t="shared" si="15"/>
        <v>116652.97</v>
      </c>
      <c r="CF20" s="14"/>
      <c r="CG20" s="14"/>
      <c r="CH20" s="14"/>
      <c r="CI20" s="14"/>
      <c r="CJ20" s="14"/>
      <c r="CK20" s="14"/>
      <c r="CL20" s="14"/>
      <c r="CM20" s="14"/>
      <c r="CO20" s="18"/>
      <c r="CP20" s="12" t="b">
        <f t="shared" si="4"/>
        <v>1</v>
      </c>
    </row>
    <row r="21" ht="15.75" customHeight="1">
      <c r="A21" s="17" t="s">
        <v>11</v>
      </c>
      <c r="C21" s="9">
        <f t="shared" ref="C21:C22" si="17">SUM(E21:U21)+W21+Y21+AA21+AC21+AE21+AG21+AI21+AK21+AM21+AO21+AQ21+AS21+AU21+AW21+AY21+BA21+BC21+BE21+BG21+BI21+BK21+BM21+BO21+BQ21+BS21+BU21+BW21+BY21+CA21+CC21+CE21+CG21+CI21+CK21</f>
        <v>985029.24</v>
      </c>
      <c r="D21" s="18" t="s">
        <v>5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6000.0</v>
      </c>
      <c r="V21" s="14">
        <f>V90*12</f>
        <v>250</v>
      </c>
      <c r="W21" s="14">
        <v>0.0</v>
      </c>
      <c r="X21" s="14">
        <f>X90*12</f>
        <v>161.25</v>
      </c>
      <c r="Y21" s="14">
        <v>0.0</v>
      </c>
      <c r="Z21" s="14">
        <f>Z90*12</f>
        <v>0</v>
      </c>
      <c r="AA21" s="14">
        <v>3500.0</v>
      </c>
      <c r="AB21" s="14">
        <f>AB90*12</f>
        <v>372.6890625</v>
      </c>
      <c r="AC21" s="14">
        <v>10000.0</v>
      </c>
      <c r="AD21" s="14">
        <f>AD90*12</f>
        <v>1034.988584</v>
      </c>
      <c r="AE21" s="14">
        <v>26200.0</v>
      </c>
      <c r="AF21" s="14">
        <f>AF90*12</f>
        <v>929.5699887</v>
      </c>
      <c r="AG21" s="14">
        <v>1000.0</v>
      </c>
      <c r="AH21" s="14">
        <f>AH90*12</f>
        <v>0</v>
      </c>
      <c r="AI21" s="14">
        <v>1500.0</v>
      </c>
      <c r="AJ21" s="14">
        <f>AJ90*12</f>
        <v>0</v>
      </c>
      <c r="AK21" s="14">
        <v>4000.0</v>
      </c>
      <c r="AL21" s="14">
        <f>AL90*12</f>
        <v>0</v>
      </c>
      <c r="AM21" s="14">
        <v>4100.0</v>
      </c>
      <c r="AN21" s="14">
        <f>AN90*12</f>
        <v>8000</v>
      </c>
      <c r="AO21" s="14">
        <v>23000.0</v>
      </c>
      <c r="AP21" s="14">
        <f>AP90*12</f>
        <v>8300</v>
      </c>
      <c r="AQ21" s="14">
        <v>6000.0</v>
      </c>
      <c r="AR21" s="14">
        <f>AR90*12</f>
        <v>8612</v>
      </c>
      <c r="AS21" s="14">
        <v>13500.0</v>
      </c>
      <c r="AT21" s="14">
        <f>AT90*12</f>
        <v>8936.51</v>
      </c>
      <c r="AU21" s="14">
        <v>17000.0</v>
      </c>
      <c r="AV21" s="14">
        <f>AV90*12</f>
        <v>9274.0628</v>
      </c>
      <c r="AW21" s="14">
        <v>26500.0</v>
      </c>
      <c r="AX21" s="14">
        <f>AX90*12</f>
        <v>9625.215059</v>
      </c>
      <c r="AY21" s="14">
        <v>25006.0</v>
      </c>
      <c r="AZ21" s="14">
        <f>AZ90*12</f>
        <v>14010.83533</v>
      </c>
      <c r="BA21" s="14">
        <v>49500.0</v>
      </c>
      <c r="BB21" s="14">
        <f>BB90*12</f>
        <v>14591.97186</v>
      </c>
      <c r="BC21" s="14">
        <v>25000.0</v>
      </c>
      <c r="BD21" s="14">
        <f>BD90*12</f>
        <v>15198.58307</v>
      </c>
      <c r="BE21" s="14">
        <v>21800.0</v>
      </c>
      <c r="BF21" s="14">
        <f>BF90*12</f>
        <v>20485.81986</v>
      </c>
      <c r="BG21" s="14">
        <v>47500.0</v>
      </c>
      <c r="BH21" s="14">
        <f>BH90*12</f>
        <v>21379.63354</v>
      </c>
      <c r="BI21" s="14">
        <v>7500.0</v>
      </c>
      <c r="BJ21" s="14">
        <f>BJ90*12</f>
        <v>29235.39293</v>
      </c>
      <c r="BK21" s="14">
        <v>22018.239999999998</v>
      </c>
      <c r="BL21" s="14">
        <f>BL90*12</f>
        <v>20180.54054</v>
      </c>
      <c r="BM21" s="14">
        <v>2500.0</v>
      </c>
      <c r="BN21" s="14">
        <f>BN90*12</f>
        <v>24289.29859</v>
      </c>
      <c r="BO21" s="14">
        <v>25000.0</v>
      </c>
      <c r="BP21" s="14">
        <f>BP90*12</f>
        <v>28422.52757</v>
      </c>
      <c r="BQ21" s="14">
        <v>79250.0</v>
      </c>
      <c r="BR21" s="14">
        <f>BR90*12</f>
        <v>28507.79515</v>
      </c>
      <c r="BS21" s="14">
        <v>16600.0</v>
      </c>
      <c r="BT21" s="14">
        <f>BT90*12</f>
        <v>36762.83812</v>
      </c>
      <c r="BU21" s="14">
        <v>18750.0</v>
      </c>
      <c r="BV21" s="14">
        <f>BV90*12</f>
        <v>36873.12664</v>
      </c>
      <c r="BW21" s="14">
        <v>66500.0</v>
      </c>
      <c r="BX21" s="14">
        <f>BX90*12</f>
        <v>45202.35624</v>
      </c>
      <c r="BY21" s="14">
        <v>51295.0</v>
      </c>
      <c r="BZ21" s="14">
        <f>BZ90*12</f>
        <v>49459.59634</v>
      </c>
      <c r="CA21" s="14">
        <v>43600.0</v>
      </c>
      <c r="CB21" s="14">
        <f>CB90*12</f>
        <v>62009.96891</v>
      </c>
      <c r="CC21" s="14">
        <v>80975.0</v>
      </c>
      <c r="CD21" s="14">
        <f>CD90*12</f>
        <v>62195.99882</v>
      </c>
      <c r="CE21" s="14">
        <v>60450.0</v>
      </c>
      <c r="CF21" s="14">
        <f>CF90*12</f>
        <v>74859.10418</v>
      </c>
      <c r="CG21" s="14">
        <v>62200.0</v>
      </c>
      <c r="CH21" s="14">
        <f>CH90*12</f>
        <v>83426.31277</v>
      </c>
      <c r="CI21" s="14">
        <v>55600.0</v>
      </c>
      <c r="CJ21" s="14">
        <f>CJ90*12</f>
        <v>92044.25087</v>
      </c>
      <c r="CK21" s="14">
        <v>81685.0</v>
      </c>
      <c r="CL21" s="14">
        <f t="shared" ref="CL21:CM21" si="16">CL90*12</f>
        <v>109105.9079</v>
      </c>
      <c r="CM21" s="14">
        <f t="shared" si="16"/>
        <v>126269.1065</v>
      </c>
      <c r="CO21" s="18" t="s">
        <v>5</v>
      </c>
      <c r="CP21" s="12" t="b">
        <f t="shared" si="4"/>
        <v>1</v>
      </c>
    </row>
    <row r="22" ht="15.75" customHeight="1">
      <c r="A22" s="17" t="s">
        <v>6</v>
      </c>
      <c r="C22" s="9">
        <f t="shared" si="17"/>
        <v>1779947.341</v>
      </c>
      <c r="D22" s="18" t="s">
        <v>7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2380.0</v>
      </c>
      <c r="P22" s="14">
        <v>2000.0</v>
      </c>
      <c r="Q22" s="14">
        <v>0.0</v>
      </c>
      <c r="R22" s="14">
        <v>4533.0</v>
      </c>
      <c r="S22" s="14">
        <v>2500.0</v>
      </c>
      <c r="T22" s="14">
        <v>3350.0</v>
      </c>
      <c r="U22" s="14">
        <v>14250.0</v>
      </c>
      <c r="V22" s="14">
        <f>V105*12</f>
        <v>3705</v>
      </c>
      <c r="W22" s="14">
        <v>19375.0</v>
      </c>
      <c r="X22" s="14">
        <f>X105*12</f>
        <v>5011.27375</v>
      </c>
      <c r="Y22" s="14">
        <v>39810.0</v>
      </c>
      <c r="Z22" s="14">
        <f>Z105*12</f>
        <v>3757.399125</v>
      </c>
      <c r="AA22" s="14">
        <v>45550.0</v>
      </c>
      <c r="AB22" s="14">
        <f>AB105*12</f>
        <v>3298.173973</v>
      </c>
      <c r="AC22" s="14">
        <v>13465.0</v>
      </c>
      <c r="AD22" s="14">
        <f>AD105*12</f>
        <v>11113.10645</v>
      </c>
      <c r="AE22" s="14">
        <v>33075.0</v>
      </c>
      <c r="AF22" s="14">
        <f>AF105*12</f>
        <v>7146.063187</v>
      </c>
      <c r="AG22" s="14">
        <v>24237.5</v>
      </c>
      <c r="AH22" s="14">
        <f>AH105*12</f>
        <v>7737.647218</v>
      </c>
      <c r="AI22" s="14">
        <v>40896.0</v>
      </c>
      <c r="AJ22" s="14">
        <f>AJ105*12</f>
        <v>9102.97925</v>
      </c>
      <c r="AK22" s="14">
        <v>38887.5</v>
      </c>
      <c r="AL22" s="14">
        <f>AL105*12</f>
        <v>10079.27377</v>
      </c>
      <c r="AM22" s="14">
        <v>54382.15</v>
      </c>
      <c r="AN22" s="14">
        <f>AN105*12</f>
        <v>33000</v>
      </c>
      <c r="AO22" s="14">
        <v>40308.33</v>
      </c>
      <c r="AP22" s="14">
        <f>AP105*12</f>
        <v>36050</v>
      </c>
      <c r="AQ22" s="14">
        <v>50536.0</v>
      </c>
      <c r="AR22" s="14">
        <f>AR105*12</f>
        <v>37131.5</v>
      </c>
      <c r="AS22" s="14">
        <v>23250.0</v>
      </c>
      <c r="AT22" s="14">
        <f>AT105*12</f>
        <v>38245.445</v>
      </c>
      <c r="AU22" s="14">
        <v>62912.5</v>
      </c>
      <c r="AV22" s="14">
        <f>AV105*12</f>
        <v>39392.80835</v>
      </c>
      <c r="AW22" s="14">
        <v>88944.0</v>
      </c>
      <c r="AX22" s="14">
        <f>AX105*12</f>
        <v>44052.41482</v>
      </c>
      <c r="AY22" s="14">
        <v>47825.0</v>
      </c>
      <c r="AZ22" s="14">
        <f>AZ105*12</f>
        <v>47762.09186</v>
      </c>
      <c r="BA22" s="14">
        <v>51679.0</v>
      </c>
      <c r="BB22" s="14">
        <f>BB105*12</f>
        <v>49194.95462</v>
      </c>
      <c r="BC22" s="14">
        <v>61397.0</v>
      </c>
      <c r="BD22" s="14">
        <f>BD105*12</f>
        <v>50670.80326</v>
      </c>
      <c r="BE22" s="14">
        <v>56343.0</v>
      </c>
      <c r="BF22" s="14">
        <f>BF105*12</f>
        <v>54800.47372</v>
      </c>
      <c r="BG22" s="14">
        <v>41062.64</v>
      </c>
      <c r="BH22" s="14">
        <f>BH105*12</f>
        <v>56444.48793</v>
      </c>
      <c r="BI22" s="14">
        <v>46589.2032</v>
      </c>
      <c r="BJ22" s="14">
        <f>BJ105*12</f>
        <v>62290.52418</v>
      </c>
      <c r="BK22" s="14">
        <v>42340.568</v>
      </c>
      <c r="BL22" s="14">
        <f>BL105*12</f>
        <v>81327.57838</v>
      </c>
      <c r="BM22" s="14">
        <v>53046.072</v>
      </c>
      <c r="BN22" s="14">
        <f>BN105*12</f>
        <v>84708.92885</v>
      </c>
      <c r="BO22" s="14">
        <v>50470.247463440006</v>
      </c>
      <c r="BP22" s="14">
        <f>BP105*12</f>
        <v>84963.05563</v>
      </c>
      <c r="BQ22" s="14">
        <v>65498.880000000005</v>
      </c>
      <c r="BR22" s="14">
        <f>BR105*12</f>
        <v>88374.16498</v>
      </c>
      <c r="BS22" s="14">
        <v>57345.78566148</v>
      </c>
      <c r="BT22" s="14">
        <f>BT105*12</f>
        <v>88639.28747</v>
      </c>
      <c r="BU22" s="14">
        <v>58456.0</v>
      </c>
      <c r="BV22" s="14">
        <f>BV105*12</f>
        <v>92080.39124</v>
      </c>
      <c r="BW22" s="14">
        <v>83316.4</v>
      </c>
      <c r="BX22" s="14">
        <f>BX105*12</f>
        <v>92356.63241</v>
      </c>
      <c r="BY22" s="14">
        <v>53964.8</v>
      </c>
      <c r="BZ22" s="14">
        <f>BZ105*12</f>
        <v>92633.70231</v>
      </c>
      <c r="CA22" s="14">
        <v>59601.0</v>
      </c>
      <c r="CB22" s="14">
        <f>CB105*12</f>
        <v>99319.30021</v>
      </c>
      <c r="CC22" s="14">
        <v>104729.045078</v>
      </c>
      <c r="CD22" s="14">
        <f>CD105*12</f>
        <v>99617.25811</v>
      </c>
      <c r="CE22" s="14">
        <v>37352.04</v>
      </c>
      <c r="CF22" s="14">
        <f>CF105*12</f>
        <v>99916.10988</v>
      </c>
      <c r="CG22" s="14">
        <v>87759.0</v>
      </c>
      <c r="CH22" s="14">
        <f>CH105*12</f>
        <v>100215.8582</v>
      </c>
      <c r="CI22" s="14">
        <v>82400.48000000001</v>
      </c>
      <c r="CJ22" s="14">
        <f>CJ105*12</f>
        <v>103758.9737</v>
      </c>
      <c r="CK22" s="14">
        <v>34129.2</v>
      </c>
      <c r="CL22" s="14">
        <f t="shared" ref="CL22:CM22" si="18">CL105*12</f>
        <v>104070.2506</v>
      </c>
      <c r="CM22" s="14">
        <f t="shared" si="18"/>
        <v>104382.4614</v>
      </c>
      <c r="CO22" s="18" t="s">
        <v>7</v>
      </c>
      <c r="CP22" s="12" t="b">
        <f t="shared" si="4"/>
        <v>1</v>
      </c>
    </row>
    <row r="23" ht="15.75" customHeight="1">
      <c r="D23" s="18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>
        <f>CE20+CC20+CA20+BY20+BW20+BU20+BS20+BQ20+BO20+BM20+BK20+BI20</f>
        <v>1295229.905</v>
      </c>
      <c r="CF23" s="14"/>
      <c r="CG23" s="14"/>
      <c r="CH23" s="14"/>
      <c r="CI23" s="14"/>
      <c r="CJ23" s="14"/>
      <c r="CK23" s="14"/>
      <c r="CL23" s="14"/>
      <c r="CM23" s="14"/>
      <c r="CO23" s="18"/>
      <c r="CP23" s="12" t="b">
        <f t="shared" si="4"/>
        <v>1</v>
      </c>
    </row>
    <row r="24" ht="15.75" customHeight="1">
      <c r="C24" s="9">
        <f>SUM(E24:U24)+W24+Y24+AA24+AC24+AE24+AG24+AI24+AK24+AM24+AO24+AQ24+AS24+AU24+AW24+AY24+BA24+BC24+BE24+BG24+BI24+BK24+BM24+BO24+BQ24+BS24+BU24+BW24+BY24+CA24+CC24+CE24+CG24+CI24+CK24</f>
        <v>156076.8207</v>
      </c>
      <c r="D24" s="7" t="s">
        <v>12</v>
      </c>
      <c r="E24" s="10">
        <f t="shared" ref="E24:U24" si="19">E26+E27</f>
        <v>0</v>
      </c>
      <c r="F24" s="10">
        <f t="shared" si="19"/>
        <v>0</v>
      </c>
      <c r="G24" s="10">
        <f t="shared" si="19"/>
        <v>0</v>
      </c>
      <c r="H24" s="10">
        <f t="shared" si="19"/>
        <v>0</v>
      </c>
      <c r="I24" s="10">
        <f t="shared" si="19"/>
        <v>0</v>
      </c>
      <c r="J24" s="10">
        <f t="shared" si="19"/>
        <v>0</v>
      </c>
      <c r="K24" s="10">
        <f t="shared" si="19"/>
        <v>0</v>
      </c>
      <c r="L24" s="10">
        <f t="shared" si="19"/>
        <v>0</v>
      </c>
      <c r="M24" s="10">
        <f t="shared" si="19"/>
        <v>0</v>
      </c>
      <c r="N24" s="10">
        <f t="shared" si="19"/>
        <v>0</v>
      </c>
      <c r="O24" s="10">
        <f t="shared" si="19"/>
        <v>0</v>
      </c>
      <c r="P24" s="10">
        <f t="shared" si="19"/>
        <v>0</v>
      </c>
      <c r="Q24" s="10">
        <f t="shared" si="19"/>
        <v>0</v>
      </c>
      <c r="R24" s="10">
        <f t="shared" si="19"/>
        <v>0</v>
      </c>
      <c r="S24" s="10">
        <f t="shared" si="19"/>
        <v>0</v>
      </c>
      <c r="T24" s="10">
        <f t="shared" si="19"/>
        <v>0</v>
      </c>
      <c r="U24" s="10">
        <f t="shared" si="19"/>
        <v>0</v>
      </c>
      <c r="V24" s="10">
        <v>0.0</v>
      </c>
      <c r="W24" s="10">
        <f>W26+W27</f>
        <v>0</v>
      </c>
      <c r="X24" s="10">
        <v>0.0</v>
      </c>
      <c r="Y24" s="10">
        <f>Y26+Y27</f>
        <v>0</v>
      </c>
      <c r="Z24" s="10">
        <v>0.0</v>
      </c>
      <c r="AA24" s="10">
        <f>AA26+AA27</f>
        <v>1500</v>
      </c>
      <c r="AB24" s="10">
        <v>0.0</v>
      </c>
      <c r="AC24" s="10">
        <f>AC26+AC27</f>
        <v>0</v>
      </c>
      <c r="AD24" s="10">
        <v>0.0</v>
      </c>
      <c r="AE24" s="10">
        <f>AE26+AE27</f>
        <v>0</v>
      </c>
      <c r="AF24" s="10">
        <v>0.0</v>
      </c>
      <c r="AG24" s="10">
        <f>AG26+AG27</f>
        <v>0</v>
      </c>
      <c r="AH24" s="10">
        <v>0.0</v>
      </c>
      <c r="AI24" s="10">
        <f>AI26+AI27</f>
        <v>0</v>
      </c>
      <c r="AJ24" s="10">
        <v>0.0</v>
      </c>
      <c r="AK24" s="10">
        <f>AK26+AK27</f>
        <v>0</v>
      </c>
      <c r="AL24" s="10">
        <v>0.0</v>
      </c>
      <c r="AM24" s="10">
        <f>AM26+AM27</f>
        <v>563</v>
      </c>
      <c r="AN24" s="10">
        <v>0.0</v>
      </c>
      <c r="AO24" s="10">
        <f>AO26+AO27</f>
        <v>473</v>
      </c>
      <c r="AP24" s="10">
        <v>0.0</v>
      </c>
      <c r="AQ24" s="10">
        <f>AQ26+AQ27</f>
        <v>150</v>
      </c>
      <c r="AR24" s="10">
        <v>0.0</v>
      </c>
      <c r="AS24" s="10">
        <f>AS26+AS27</f>
        <v>0</v>
      </c>
      <c r="AT24" s="10">
        <v>0.0</v>
      </c>
      <c r="AU24" s="10">
        <f>AU26+AU27</f>
        <v>5325</v>
      </c>
      <c r="AV24" s="10">
        <v>0.0</v>
      </c>
      <c r="AW24" s="10">
        <f>AW26+AW27</f>
        <v>2587.5</v>
      </c>
      <c r="AX24" s="10">
        <v>0.0</v>
      </c>
      <c r="AY24" s="10">
        <f>AY26+AY27</f>
        <v>6522.5</v>
      </c>
      <c r="AZ24" s="10">
        <v>0.0</v>
      </c>
      <c r="BA24" s="10">
        <f>BA26+BA27</f>
        <v>2862.5</v>
      </c>
      <c r="BB24" s="10">
        <v>0.0</v>
      </c>
      <c r="BC24" s="10">
        <f>BC26+BC27</f>
        <v>4696.875</v>
      </c>
      <c r="BD24" s="10">
        <v>0.0</v>
      </c>
      <c r="BE24" s="10">
        <f>BE26+BE27</f>
        <v>2682.5</v>
      </c>
      <c r="BF24" s="10">
        <v>0.0</v>
      </c>
      <c r="BG24" s="10">
        <f>BG26+BG27</f>
        <v>2437.5</v>
      </c>
      <c r="BH24" s="10">
        <v>0.0</v>
      </c>
      <c r="BI24" s="10">
        <f>BI26+BI27</f>
        <v>900</v>
      </c>
      <c r="BJ24" s="10">
        <v>0.0</v>
      </c>
      <c r="BK24" s="10">
        <f>BK26+BK27</f>
        <v>3215</v>
      </c>
      <c r="BL24" s="10">
        <v>0.0</v>
      </c>
      <c r="BM24" s="10">
        <f>BM26+BM27</f>
        <v>2444.6875</v>
      </c>
      <c r="BN24" s="10">
        <v>0.0</v>
      </c>
      <c r="BO24" s="10">
        <f>BO26+BO27</f>
        <v>3661.25</v>
      </c>
      <c r="BP24" s="10">
        <v>0.0</v>
      </c>
      <c r="BQ24" s="10">
        <f>BQ26+BQ27</f>
        <v>3172.5</v>
      </c>
      <c r="BR24" s="14">
        <v>0.0</v>
      </c>
      <c r="BS24" s="10">
        <f>BS26+BS27</f>
        <v>6575</v>
      </c>
      <c r="BT24" s="14">
        <v>0.0</v>
      </c>
      <c r="BU24" s="10">
        <f>BU26+BU27</f>
        <v>9924.375</v>
      </c>
      <c r="BV24" s="14">
        <v>0.0</v>
      </c>
      <c r="BW24" s="10">
        <f>BW26+BW27</f>
        <v>21371.7375</v>
      </c>
      <c r="BX24" s="14">
        <v>0.0</v>
      </c>
      <c r="BY24" s="10">
        <f>BY26+BY27</f>
        <v>14000</v>
      </c>
      <c r="BZ24" s="14">
        <v>0.0</v>
      </c>
      <c r="CA24" s="10">
        <f>CA26+CA27</f>
        <v>6918.175</v>
      </c>
      <c r="CB24" s="14">
        <v>0.0</v>
      </c>
      <c r="CC24" s="10">
        <f>CC26+CC27</f>
        <v>17047.96897</v>
      </c>
      <c r="CD24" s="14">
        <v>0.0</v>
      </c>
      <c r="CE24" s="10">
        <f>CE26+CE27</f>
        <v>18850.93</v>
      </c>
      <c r="CF24" s="14">
        <v>0.0</v>
      </c>
      <c r="CG24" s="10">
        <f>CG26+CG27</f>
        <v>3898.0817</v>
      </c>
      <c r="CH24" s="14">
        <v>0.0</v>
      </c>
      <c r="CI24" s="10">
        <f>CI26+CI27</f>
        <v>4010</v>
      </c>
      <c r="CJ24" s="14">
        <v>0.0</v>
      </c>
      <c r="CK24" s="10">
        <f>CK26+CK27</f>
        <v>10286.74</v>
      </c>
      <c r="CL24" s="14">
        <v>0.0</v>
      </c>
      <c r="CM24" s="14">
        <v>0.0</v>
      </c>
      <c r="CO24" s="7" t="s">
        <v>12</v>
      </c>
      <c r="CP24" s="12" t="b">
        <f t="shared" si="4"/>
        <v>1</v>
      </c>
    </row>
    <row r="25" ht="15.75" customHeight="1">
      <c r="D25" s="18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O25" s="18"/>
      <c r="CP25" s="12" t="b">
        <f t="shared" si="4"/>
        <v>1</v>
      </c>
    </row>
    <row r="26" ht="15.75" customHeight="1">
      <c r="C26" s="9">
        <f t="shared" ref="C26:C27" si="20">SUM(E26:U26)+W26+Y26+AA26+AC26+AE26+AG26+AI26+AK26+AM26+AO26+AQ26+AS26+AU26+AW26+AY26+BA26+BC26+BE26+BG26+BI26+BK26+BM26+BO26+BQ26+BS26+BU26+BW26+BY26+CA26+CC26+CE26+CG26+CI26+CK26</f>
        <v>104108.74</v>
      </c>
      <c r="D26" s="18" t="s">
        <v>5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0.0</v>
      </c>
      <c r="Y26" s="14">
        <v>0.0</v>
      </c>
      <c r="Z26" s="14">
        <v>0.0</v>
      </c>
      <c r="AA26" s="14">
        <v>1500.0</v>
      </c>
      <c r="AB26" s="14">
        <v>0.0</v>
      </c>
      <c r="AC26" s="14">
        <v>0.0</v>
      </c>
      <c r="AD26" s="14">
        <v>0.0</v>
      </c>
      <c r="AE26" s="14">
        <v>0.0</v>
      </c>
      <c r="AF26" s="14">
        <v>0.0</v>
      </c>
      <c r="AG26" s="14">
        <v>0.0</v>
      </c>
      <c r="AH26" s="14">
        <v>0.0</v>
      </c>
      <c r="AI26" s="14">
        <v>0.0</v>
      </c>
      <c r="AJ26" s="14">
        <v>0.0</v>
      </c>
      <c r="AK26" s="14">
        <v>0.0</v>
      </c>
      <c r="AL26" s="14">
        <v>0.0</v>
      </c>
      <c r="AM26" s="14">
        <v>0.0</v>
      </c>
      <c r="AN26" s="14">
        <v>0.0</v>
      </c>
      <c r="AO26" s="14">
        <v>0.0</v>
      </c>
      <c r="AP26" s="14">
        <v>0.0</v>
      </c>
      <c r="AQ26" s="14"/>
      <c r="AR26" s="14">
        <v>0.0</v>
      </c>
      <c r="AS26" s="14">
        <v>0.0</v>
      </c>
      <c r="AT26" s="14">
        <v>0.0</v>
      </c>
      <c r="AU26" s="14">
        <v>2325.0</v>
      </c>
      <c r="AV26" s="14">
        <v>0.0</v>
      </c>
      <c r="AW26" s="14">
        <v>1537.5</v>
      </c>
      <c r="AX26" s="14">
        <v>0.0</v>
      </c>
      <c r="AY26" s="14">
        <v>5310.0</v>
      </c>
      <c r="AZ26" s="14">
        <v>0.0</v>
      </c>
      <c r="BA26" s="14">
        <v>1600.0</v>
      </c>
      <c r="BB26" s="14">
        <v>0.0</v>
      </c>
      <c r="BC26" s="14">
        <v>2490.0</v>
      </c>
      <c r="BD26" s="14">
        <v>0.0</v>
      </c>
      <c r="BE26" s="14">
        <v>2330.0</v>
      </c>
      <c r="BF26" s="14">
        <v>0.0</v>
      </c>
      <c r="BG26" s="14">
        <v>1800.0</v>
      </c>
      <c r="BH26" s="14">
        <v>0.0</v>
      </c>
      <c r="BI26" s="14"/>
      <c r="BJ26" s="14">
        <v>0.0</v>
      </c>
      <c r="BK26" s="14">
        <v>3215.0</v>
      </c>
      <c r="BL26" s="14">
        <v>0.0</v>
      </c>
      <c r="BM26" s="14">
        <v>1352.5</v>
      </c>
      <c r="BN26" s="14">
        <v>0.0</v>
      </c>
      <c r="BO26" s="14">
        <v>2436.0</v>
      </c>
      <c r="BP26" s="14">
        <v>0.0</v>
      </c>
      <c r="BQ26" s="14">
        <v>3172.5</v>
      </c>
      <c r="BR26" s="14">
        <v>0.0</v>
      </c>
      <c r="BS26" s="14">
        <v>5825.0</v>
      </c>
      <c r="BT26" s="14">
        <v>0.0</v>
      </c>
      <c r="BU26" s="14">
        <v>6097.5</v>
      </c>
      <c r="BV26" s="14">
        <v>0.0</v>
      </c>
      <c r="BW26" s="14">
        <v>13455.45</v>
      </c>
      <c r="BX26" s="14">
        <v>0.0</v>
      </c>
      <c r="BY26" s="14">
        <v>10472.5</v>
      </c>
      <c r="BZ26" s="14">
        <v>0.0</v>
      </c>
      <c r="CA26" s="14">
        <v>5342.5</v>
      </c>
      <c r="CB26" s="14">
        <v>0.0</v>
      </c>
      <c r="CC26" s="14">
        <v>7452.5</v>
      </c>
      <c r="CD26" s="14">
        <v>0.0</v>
      </c>
      <c r="CE26" s="14">
        <v>13054.75</v>
      </c>
      <c r="CF26" s="14">
        <v>0.0</v>
      </c>
      <c r="CG26" s="14">
        <v>1528.7999999999993</v>
      </c>
      <c r="CH26" s="14">
        <v>0.0</v>
      </c>
      <c r="CI26" s="14">
        <v>3310.0</v>
      </c>
      <c r="CJ26" s="14">
        <v>0.0</v>
      </c>
      <c r="CK26" s="14">
        <v>8501.24</v>
      </c>
      <c r="CL26" s="14">
        <v>0.0</v>
      </c>
      <c r="CM26" s="14">
        <v>0.0</v>
      </c>
      <c r="CO26" s="18" t="s">
        <v>5</v>
      </c>
      <c r="CP26" s="12" t="b">
        <f t="shared" si="4"/>
        <v>1</v>
      </c>
    </row>
    <row r="27" ht="15.75" customHeight="1">
      <c r="C27" s="9">
        <f t="shared" si="20"/>
        <v>51968.08067</v>
      </c>
      <c r="D27" s="18" t="s">
        <v>7</v>
      </c>
      <c r="E27" s="14">
        <v>0.0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4">
        <v>0.0</v>
      </c>
      <c r="AH27" s="14">
        <v>0.0</v>
      </c>
      <c r="AI27" s="14">
        <v>0.0</v>
      </c>
      <c r="AJ27" s="14">
        <v>0.0</v>
      </c>
      <c r="AK27" s="14">
        <v>0.0</v>
      </c>
      <c r="AL27" s="14">
        <v>0.0</v>
      </c>
      <c r="AM27" s="14">
        <v>563.0</v>
      </c>
      <c r="AN27" s="14">
        <v>0.0</v>
      </c>
      <c r="AO27" s="14">
        <v>473.0</v>
      </c>
      <c r="AP27" s="14">
        <v>0.0</v>
      </c>
      <c r="AQ27" s="14">
        <v>150.0</v>
      </c>
      <c r="AR27" s="14">
        <v>0.0</v>
      </c>
      <c r="AS27" s="14">
        <v>0.0</v>
      </c>
      <c r="AT27" s="14">
        <v>0.0</v>
      </c>
      <c r="AU27" s="14">
        <v>3000.0</v>
      </c>
      <c r="AV27" s="14">
        <v>0.0</v>
      </c>
      <c r="AW27" s="14">
        <v>1050.0</v>
      </c>
      <c r="AX27" s="14">
        <v>0.0</v>
      </c>
      <c r="AY27" s="14">
        <v>1212.5</v>
      </c>
      <c r="AZ27" s="14">
        <v>0.0</v>
      </c>
      <c r="BA27" s="14">
        <v>1262.5</v>
      </c>
      <c r="BB27" s="14">
        <v>0.0</v>
      </c>
      <c r="BC27" s="14">
        <v>2206.875</v>
      </c>
      <c r="BD27" s="14">
        <v>0.0</v>
      </c>
      <c r="BE27" s="14">
        <v>352.5</v>
      </c>
      <c r="BF27" s="14">
        <v>0.0</v>
      </c>
      <c r="BG27" s="14">
        <v>637.5</v>
      </c>
      <c r="BH27" s="14">
        <v>0.0</v>
      </c>
      <c r="BI27" s="14">
        <v>900.0</v>
      </c>
      <c r="BJ27" s="14">
        <v>0.0</v>
      </c>
      <c r="BK27" s="14"/>
      <c r="BL27" s="14">
        <v>0.0</v>
      </c>
      <c r="BM27" s="14">
        <v>1092.1875</v>
      </c>
      <c r="BN27" s="14">
        <v>0.0</v>
      </c>
      <c r="BO27" s="14">
        <v>1225.25</v>
      </c>
      <c r="BP27" s="14">
        <v>0.0</v>
      </c>
      <c r="BQ27" s="14"/>
      <c r="BR27" s="14">
        <v>0.0</v>
      </c>
      <c r="BS27" s="14">
        <v>750.0</v>
      </c>
      <c r="BT27" s="14">
        <v>0.0</v>
      </c>
      <c r="BU27" s="14">
        <v>3826.875</v>
      </c>
      <c r="BV27" s="14">
        <v>0.0</v>
      </c>
      <c r="BW27" s="14">
        <v>7916.2875</v>
      </c>
      <c r="BX27" s="14">
        <v>0.0</v>
      </c>
      <c r="BY27" s="14">
        <v>3527.5</v>
      </c>
      <c r="BZ27" s="14">
        <v>0.0</v>
      </c>
      <c r="CA27" s="14">
        <v>1575.675</v>
      </c>
      <c r="CB27" s="14">
        <v>0.0</v>
      </c>
      <c r="CC27" s="14">
        <v>9595.468972</v>
      </c>
      <c r="CD27" s="14">
        <v>0.0</v>
      </c>
      <c r="CE27" s="14">
        <v>5796.18</v>
      </c>
      <c r="CF27" s="14">
        <v>0.0</v>
      </c>
      <c r="CG27" s="14">
        <v>2369.2816999999995</v>
      </c>
      <c r="CH27" s="14">
        <v>0.0</v>
      </c>
      <c r="CI27" s="14">
        <v>700.0</v>
      </c>
      <c r="CJ27" s="14">
        <v>0.0</v>
      </c>
      <c r="CK27" s="14">
        <v>1785.5</v>
      </c>
      <c r="CL27" s="14">
        <v>0.0</v>
      </c>
      <c r="CM27" s="14">
        <v>0.0</v>
      </c>
      <c r="CO27" s="18" t="s">
        <v>7</v>
      </c>
      <c r="CP27" s="12" t="b">
        <f t="shared" si="4"/>
        <v>1</v>
      </c>
    </row>
    <row r="28" ht="15.75" customHeight="1">
      <c r="D28" s="18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O28" s="18"/>
      <c r="CP28" s="12" t="b">
        <f t="shared" si="4"/>
        <v>1</v>
      </c>
    </row>
    <row r="29" ht="15.75" customHeight="1">
      <c r="C29" s="9">
        <f>SUM(E29:U29)+W29+Y29+AA29+AC29+AE29+AG29+AI29+AK29+AM29+AO29+AQ29+AS29+AU29+AW29+AY29+BA29+BC29+BE29+BG29+BI29+BK29+BM29+BO29+BQ29+BS29+BU29+BW29+BY29+CA29+CC29+CE29+CG29+CI29+CK29</f>
        <v>3584579.476</v>
      </c>
      <c r="D29" s="7" t="s">
        <v>13</v>
      </c>
      <c r="E29" s="10">
        <f t="shared" ref="E29:CM29" si="21">SUM(E31:E32)</f>
        <v>0</v>
      </c>
      <c r="F29" s="10">
        <f t="shared" si="21"/>
        <v>0</v>
      </c>
      <c r="G29" s="10">
        <f t="shared" si="21"/>
        <v>0</v>
      </c>
      <c r="H29" s="10">
        <f t="shared" si="21"/>
        <v>0</v>
      </c>
      <c r="I29" s="10">
        <f t="shared" si="21"/>
        <v>0</v>
      </c>
      <c r="J29" s="10">
        <f t="shared" si="21"/>
        <v>0</v>
      </c>
      <c r="K29" s="10">
        <f t="shared" si="21"/>
        <v>0</v>
      </c>
      <c r="L29" s="10">
        <f t="shared" si="21"/>
        <v>0</v>
      </c>
      <c r="M29" s="10">
        <f t="shared" si="21"/>
        <v>0</v>
      </c>
      <c r="N29" s="10">
        <f t="shared" si="21"/>
        <v>0</v>
      </c>
      <c r="O29" s="10">
        <f t="shared" si="21"/>
        <v>0</v>
      </c>
      <c r="P29" s="10">
        <f t="shared" si="21"/>
        <v>0</v>
      </c>
      <c r="Q29" s="10">
        <f t="shared" si="21"/>
        <v>12000</v>
      </c>
      <c r="R29" s="10">
        <f t="shared" si="21"/>
        <v>15000</v>
      </c>
      <c r="S29" s="10">
        <f t="shared" si="21"/>
        <v>4000</v>
      </c>
      <c r="T29" s="10">
        <f t="shared" si="21"/>
        <v>4500</v>
      </c>
      <c r="U29" s="10">
        <f t="shared" si="21"/>
        <v>5500</v>
      </c>
      <c r="V29" s="10">
        <f t="shared" si="21"/>
        <v>11865</v>
      </c>
      <c r="W29" s="10">
        <f t="shared" si="21"/>
        <v>33000</v>
      </c>
      <c r="X29" s="10">
        <f t="shared" si="21"/>
        <v>14434.95</v>
      </c>
      <c r="Y29" s="10">
        <f t="shared" si="21"/>
        <v>22000</v>
      </c>
      <c r="Z29" s="10">
        <f t="shared" si="21"/>
        <v>9754.2</v>
      </c>
      <c r="AA29" s="10">
        <f t="shared" si="21"/>
        <v>10600</v>
      </c>
      <c r="AB29" s="10">
        <f t="shared" si="21"/>
        <v>8864.7</v>
      </c>
      <c r="AC29" s="10">
        <f t="shared" si="21"/>
        <v>28660</v>
      </c>
      <c r="AD29" s="10">
        <f t="shared" si="21"/>
        <v>27289.5</v>
      </c>
      <c r="AE29" s="10">
        <f t="shared" si="21"/>
        <v>9000</v>
      </c>
      <c r="AF29" s="20">
        <f t="shared" si="21"/>
        <v>5625.152</v>
      </c>
      <c r="AG29" s="20">
        <f t="shared" si="21"/>
        <v>45300</v>
      </c>
      <c r="AH29" s="20">
        <f t="shared" si="21"/>
        <v>4888.3552</v>
      </c>
      <c r="AI29" s="20">
        <f t="shared" si="21"/>
        <v>43666.67</v>
      </c>
      <c r="AJ29" s="20">
        <f t="shared" si="21"/>
        <v>5215.951379</v>
      </c>
      <c r="AK29" s="20">
        <f t="shared" si="21"/>
        <v>109505</v>
      </c>
      <c r="AL29" s="20">
        <f t="shared" si="21"/>
        <v>5238.119172</v>
      </c>
      <c r="AM29" s="10">
        <f t="shared" si="21"/>
        <v>81039.25</v>
      </c>
      <c r="AN29" s="20">
        <f t="shared" si="21"/>
        <v>112123.554</v>
      </c>
      <c r="AO29" s="11">
        <f t="shared" si="21"/>
        <v>43225</v>
      </c>
      <c r="AP29" s="20">
        <f t="shared" si="21"/>
        <v>116095.9165</v>
      </c>
      <c r="AQ29" s="11">
        <f t="shared" si="21"/>
        <v>74771</v>
      </c>
      <c r="AR29" s="20">
        <f t="shared" si="21"/>
        <v>120142.838</v>
      </c>
      <c r="AS29" s="11">
        <f t="shared" si="21"/>
        <v>102375</v>
      </c>
      <c r="AT29" s="20">
        <f t="shared" si="21"/>
        <v>122610.4883</v>
      </c>
      <c r="AU29" s="11">
        <f t="shared" si="21"/>
        <v>45418.65</v>
      </c>
      <c r="AV29" s="20">
        <f t="shared" si="21"/>
        <v>127758.4945</v>
      </c>
      <c r="AW29" s="11">
        <f t="shared" si="21"/>
        <v>63250</v>
      </c>
      <c r="AX29" s="20">
        <f t="shared" si="21"/>
        <v>133374.1858</v>
      </c>
      <c r="AY29" s="11">
        <f t="shared" si="21"/>
        <v>6250</v>
      </c>
      <c r="AZ29" s="20">
        <f t="shared" si="21"/>
        <v>97292.50544</v>
      </c>
      <c r="BA29" s="11">
        <f t="shared" si="21"/>
        <v>91011</v>
      </c>
      <c r="BB29" s="20">
        <f t="shared" si="21"/>
        <v>56890.01586</v>
      </c>
      <c r="BC29" s="11">
        <f t="shared" si="21"/>
        <v>78925</v>
      </c>
      <c r="BD29" s="20">
        <f t="shared" si="21"/>
        <v>60776.81511</v>
      </c>
      <c r="BE29" s="11">
        <f t="shared" si="21"/>
        <v>79925</v>
      </c>
      <c r="BF29" s="20">
        <f t="shared" si="21"/>
        <v>64707.89923</v>
      </c>
      <c r="BG29" s="11">
        <f t="shared" si="21"/>
        <v>87675</v>
      </c>
      <c r="BH29" s="20">
        <f t="shared" si="21"/>
        <v>68934.02148</v>
      </c>
      <c r="BI29" s="11">
        <f t="shared" si="21"/>
        <v>117131</v>
      </c>
      <c r="BJ29" s="20">
        <f t="shared" si="21"/>
        <v>73287.46801</v>
      </c>
      <c r="BK29" s="11">
        <f t="shared" si="21"/>
        <v>117395</v>
      </c>
      <c r="BL29" s="20">
        <f t="shared" si="21"/>
        <v>63230.81245</v>
      </c>
      <c r="BM29" s="11">
        <f t="shared" si="21"/>
        <v>104600</v>
      </c>
      <c r="BN29" s="20">
        <f t="shared" si="21"/>
        <v>66058.09144</v>
      </c>
      <c r="BO29" s="11">
        <f t="shared" si="21"/>
        <v>181375</v>
      </c>
      <c r="BP29" s="20">
        <f t="shared" si="21"/>
        <v>69013.8726</v>
      </c>
      <c r="BQ29" s="11">
        <f t="shared" si="21"/>
        <v>307300.33</v>
      </c>
      <c r="BR29" s="20">
        <f t="shared" si="21"/>
        <v>72369.94963</v>
      </c>
      <c r="BS29" s="11">
        <f t="shared" si="21"/>
        <v>103913</v>
      </c>
      <c r="BT29" s="20">
        <f t="shared" si="21"/>
        <v>75863.0554</v>
      </c>
      <c r="BU29" s="11">
        <f t="shared" si="21"/>
        <v>22826.4</v>
      </c>
      <c r="BV29" s="20">
        <f t="shared" si="21"/>
        <v>79271.79046</v>
      </c>
      <c r="BW29" s="11">
        <f t="shared" si="21"/>
        <v>214010</v>
      </c>
      <c r="BX29" s="20">
        <f t="shared" si="21"/>
        <v>72358.81921</v>
      </c>
      <c r="BY29" s="11">
        <f t="shared" si="21"/>
        <v>155460.5</v>
      </c>
      <c r="BZ29" s="20">
        <f t="shared" si="21"/>
        <v>75023.03032</v>
      </c>
      <c r="CA29" s="11">
        <f t="shared" si="21"/>
        <v>216955</v>
      </c>
      <c r="CB29" s="20">
        <f t="shared" si="21"/>
        <v>77764.6989</v>
      </c>
      <c r="CC29" s="11">
        <f t="shared" si="21"/>
        <v>224075</v>
      </c>
      <c r="CD29" s="20">
        <f t="shared" si="21"/>
        <v>74086.95031</v>
      </c>
      <c r="CE29" s="11">
        <f t="shared" si="21"/>
        <v>340348.2</v>
      </c>
      <c r="CF29" s="20">
        <f t="shared" si="21"/>
        <v>76745.7658</v>
      </c>
      <c r="CG29" s="11">
        <f t="shared" si="21"/>
        <v>96928</v>
      </c>
      <c r="CH29" s="20">
        <f t="shared" si="21"/>
        <v>79593.83832</v>
      </c>
      <c r="CI29" s="11">
        <f t="shared" si="21"/>
        <v>161234.28</v>
      </c>
      <c r="CJ29" s="20">
        <f t="shared" si="21"/>
        <v>75494.39855</v>
      </c>
      <c r="CK29" s="11">
        <f t="shared" si="21"/>
        <v>124431.196</v>
      </c>
      <c r="CL29" s="20">
        <f t="shared" si="21"/>
        <v>78468.05498</v>
      </c>
      <c r="CM29" s="20">
        <f t="shared" si="21"/>
        <v>81623.37552</v>
      </c>
      <c r="CO29" s="7" t="s">
        <v>13</v>
      </c>
      <c r="CP29" s="12" t="b">
        <f t="shared" si="4"/>
        <v>1</v>
      </c>
    </row>
    <row r="30" ht="15.75" customHeight="1">
      <c r="D30" s="13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>
        <f>BI29+BI34</f>
        <v>141515.5</v>
      </c>
      <c r="BJ30" s="14"/>
      <c r="BK30" s="14">
        <f>BK29+BK34</f>
        <v>119395</v>
      </c>
      <c r="BL30" s="14"/>
      <c r="BM30" s="14">
        <f>BM29+BM34</f>
        <v>111955</v>
      </c>
      <c r="BN30" s="14"/>
      <c r="BO30" s="14">
        <f>BO29+BO34</f>
        <v>186375</v>
      </c>
      <c r="BP30" s="14"/>
      <c r="BQ30" s="14">
        <f>BQ29+BQ34</f>
        <v>410620.33</v>
      </c>
      <c r="BR30" s="14"/>
      <c r="BS30" s="14">
        <f>BS29+BS34</f>
        <v>158861</v>
      </c>
      <c r="BT30" s="14"/>
      <c r="BU30" s="14">
        <f>BU29+BU34</f>
        <v>30326.4</v>
      </c>
      <c r="BV30" s="14"/>
      <c r="BW30" s="14">
        <f>BW29+BW34</f>
        <v>218023</v>
      </c>
      <c r="BX30" s="14"/>
      <c r="BY30" s="14">
        <f>BY29+BY34</f>
        <v>185123.5</v>
      </c>
      <c r="BZ30" s="14"/>
      <c r="CA30" s="14">
        <f>CA29+CA34</f>
        <v>234320</v>
      </c>
      <c r="CB30" s="14"/>
      <c r="CC30" s="14">
        <f>CC29+CC34</f>
        <v>270812.9441</v>
      </c>
      <c r="CD30" s="14"/>
      <c r="CE30" s="14">
        <f>CE29+CE34</f>
        <v>412544.2216</v>
      </c>
      <c r="CF30" s="14"/>
      <c r="CG30" s="14"/>
      <c r="CH30" s="14"/>
      <c r="CI30" s="14"/>
      <c r="CJ30" s="14"/>
      <c r="CK30" s="14"/>
      <c r="CL30" s="14"/>
      <c r="CM30" s="14"/>
      <c r="CO30" s="13"/>
      <c r="CP30" s="12" t="b">
        <f t="shared" si="4"/>
        <v>1</v>
      </c>
    </row>
    <row r="31" ht="15.75" customHeight="1">
      <c r="C31" s="9">
        <f t="shared" ref="C31:C32" si="23">SUM(E31:U31)+W31+Y31+AA31+AC31+AE31+AG31+AI31+AK31+AM31+AO31+AQ31+AS31+AU31+AW31+AY31+BA31+BC31+BE31+BG31+BI31+BK31+BM31+BO31+BQ31+BS31+BU31+BW31+BY31+CA31+CC31+CE31+CG31+CI31+CK31</f>
        <v>1497526</v>
      </c>
      <c r="D31" s="18" t="s">
        <v>5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0.0</v>
      </c>
      <c r="T31" s="14">
        <v>0.0</v>
      </c>
      <c r="U31" s="14">
        <v>0.0</v>
      </c>
      <c r="V31" s="14">
        <f>-V92*12</f>
        <v>750</v>
      </c>
      <c r="W31" s="14">
        <v>0.0</v>
      </c>
      <c r="X31" s="14">
        <f>-X92*12</f>
        <v>450</v>
      </c>
      <c r="Y31" s="14">
        <v>0.0</v>
      </c>
      <c r="Z31" s="14">
        <f>-Z92*12</f>
        <v>0</v>
      </c>
      <c r="AA31" s="14">
        <v>6600.0</v>
      </c>
      <c r="AB31" s="14">
        <f>-AB92*12</f>
        <v>900</v>
      </c>
      <c r="AC31" s="14">
        <v>0.0</v>
      </c>
      <c r="AD31" s="14">
        <f>-AD92*12</f>
        <v>2325</v>
      </c>
      <c r="AE31" s="14">
        <v>0.0</v>
      </c>
      <c r="AF31" s="14">
        <f>-AF92*12</f>
        <v>647.5</v>
      </c>
      <c r="AG31" s="14">
        <v>5000.0</v>
      </c>
      <c r="AH31" s="14">
        <f>-AH92*12</f>
        <v>0</v>
      </c>
      <c r="AI31" s="14">
        <v>8000.0</v>
      </c>
      <c r="AJ31" s="14">
        <f>-AJ92*12</f>
        <v>0</v>
      </c>
      <c r="AK31" s="14">
        <v>50840.0</v>
      </c>
      <c r="AL31" s="14">
        <f>-AL92*12</f>
        <v>0</v>
      </c>
      <c r="AM31" s="14">
        <v>18000.0</v>
      </c>
      <c r="AN31" s="14">
        <f>-AN92*12</f>
        <v>22823.244</v>
      </c>
      <c r="AO31" s="14">
        <v>0.0</v>
      </c>
      <c r="AP31" s="14">
        <f>-AP92*12</f>
        <v>24697.36507</v>
      </c>
      <c r="AQ31" s="14">
        <v>16000.0</v>
      </c>
      <c r="AR31" s="14">
        <f>-AR92*12</f>
        <v>26581.75669</v>
      </c>
      <c r="AS31" s="14">
        <v>21000.0</v>
      </c>
      <c r="AT31" s="14">
        <f>-AT92*12</f>
        <v>26878.08458</v>
      </c>
      <c r="AU31" s="14">
        <v>20000.0</v>
      </c>
      <c r="AV31" s="14">
        <f>-AV92*12</f>
        <v>29156.26057</v>
      </c>
      <c r="AW31" s="14">
        <v>10000.0</v>
      </c>
      <c r="AX31" s="14">
        <f>-AX92*12</f>
        <v>31554.46119</v>
      </c>
      <c r="AY31" s="14">
        <v>0.0</v>
      </c>
      <c r="AZ31" s="14">
        <f>-AZ92*12</f>
        <v>24551.94866</v>
      </c>
      <c r="BA31" s="14">
        <v>16500.0</v>
      </c>
      <c r="BB31" s="14">
        <f>-BB92*12</f>
        <v>16943.65737</v>
      </c>
      <c r="BC31" s="14">
        <v>30500.0</v>
      </c>
      <c r="BD31" s="14">
        <f>-BD92*12</f>
        <v>18820.42649</v>
      </c>
      <c r="BE31" s="14">
        <v>14000.0</v>
      </c>
      <c r="BF31" s="14">
        <f>-BF92*12</f>
        <v>20605.65002</v>
      </c>
      <c r="BG31" s="14">
        <v>20000.0</v>
      </c>
      <c r="BH31" s="14">
        <f>-BH92*12</f>
        <v>22519.96284</v>
      </c>
      <c r="BI31" s="14">
        <v>47200.0</v>
      </c>
      <c r="BJ31" s="14">
        <f>-BJ92*12</f>
        <v>24491.04548</v>
      </c>
      <c r="BK31" s="14">
        <v>63000.0</v>
      </c>
      <c r="BL31" s="14">
        <f>-BL92*12</f>
        <v>14278.16987</v>
      </c>
      <c r="BM31" s="14">
        <v>13300.0</v>
      </c>
      <c r="BN31" s="14">
        <f>-BN92*12</f>
        <v>15108.53679</v>
      </c>
      <c r="BO31" s="22">
        <v>84000.0</v>
      </c>
      <c r="BP31" s="14">
        <f>-BP92*12</f>
        <v>15995.16404</v>
      </c>
      <c r="BQ31" s="14">
        <v>151866.0</v>
      </c>
      <c r="BR31" s="14">
        <f>-BR92*12</f>
        <v>28270.54816</v>
      </c>
      <c r="BS31" s="14">
        <v>63500.0</v>
      </c>
      <c r="BT31" s="14">
        <f>-BT92*12</f>
        <v>29977.98439</v>
      </c>
      <c r="BU31" s="14">
        <v>7000.0</v>
      </c>
      <c r="BV31" s="14">
        <f>-BV92*12</f>
        <v>31654.68991</v>
      </c>
      <c r="BW31" s="14">
        <v>96950.0</v>
      </c>
      <c r="BX31" s="14">
        <f>-BX92*12</f>
        <v>23423.34864</v>
      </c>
      <c r="BY31" s="14">
        <v>54870.0</v>
      </c>
      <c r="BZ31" s="14">
        <f>-BZ92*12</f>
        <v>24775.57392</v>
      </c>
      <c r="CA31" s="14">
        <v>129910.0</v>
      </c>
      <c r="CB31" s="14">
        <f>-CB92*12</f>
        <v>26244.06195</v>
      </c>
      <c r="CC31" s="14">
        <v>148350.0</v>
      </c>
      <c r="CD31" s="14">
        <f>-CD92*12</f>
        <v>27863.64198</v>
      </c>
      <c r="CE31" s="14">
        <v>202080.0</v>
      </c>
      <c r="CF31" s="14">
        <f>-CF92*12</f>
        <v>29439.91349</v>
      </c>
      <c r="CG31" s="14">
        <v>42660.0</v>
      </c>
      <c r="CH31" s="14">
        <f>-CH92*12</f>
        <v>31136.67788</v>
      </c>
      <c r="CI31" s="14">
        <v>95850.0</v>
      </c>
      <c r="CJ31" s="14">
        <f>-CJ92*12</f>
        <v>32944.66459</v>
      </c>
      <c r="CK31" s="14">
        <v>60550.0</v>
      </c>
      <c r="CL31" s="14">
        <f t="shared" ref="CL31:CM31" si="22">-CL92*12</f>
        <v>34869.65003</v>
      </c>
      <c r="CM31" s="14">
        <f t="shared" si="22"/>
        <v>36947.31151</v>
      </c>
      <c r="CO31" s="18" t="s">
        <v>5</v>
      </c>
      <c r="CP31" s="12" t="b">
        <f t="shared" si="4"/>
        <v>1</v>
      </c>
    </row>
    <row r="32" ht="15.75" customHeight="1">
      <c r="C32" s="9">
        <f t="shared" si="23"/>
        <v>2087053.476</v>
      </c>
      <c r="D32" s="18" t="s">
        <v>7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12000.0</v>
      </c>
      <c r="R32" s="14">
        <v>15000.0</v>
      </c>
      <c r="S32" s="14">
        <v>4000.0</v>
      </c>
      <c r="T32" s="14">
        <v>4500.0</v>
      </c>
      <c r="U32" s="14">
        <v>5500.0</v>
      </c>
      <c r="V32" s="14">
        <f>-V107*12</f>
        <v>11115</v>
      </c>
      <c r="W32" s="14">
        <v>33000.0</v>
      </c>
      <c r="X32" s="14">
        <f>-X107*12</f>
        <v>13984.95</v>
      </c>
      <c r="Y32" s="14">
        <v>22000.0</v>
      </c>
      <c r="Z32" s="14">
        <f>-Z107*12</f>
        <v>9754.2</v>
      </c>
      <c r="AA32" s="14">
        <v>4000.0</v>
      </c>
      <c r="AB32" s="14">
        <f>-AB107*12</f>
        <v>7964.7</v>
      </c>
      <c r="AC32" s="14">
        <v>28660.0</v>
      </c>
      <c r="AD32" s="14">
        <f>-AD107*12</f>
        <v>24964.5</v>
      </c>
      <c r="AE32" s="14">
        <v>9000.0</v>
      </c>
      <c r="AF32" s="14">
        <f>-AF107*12</f>
        <v>4977.652</v>
      </c>
      <c r="AG32" s="14">
        <v>40300.0</v>
      </c>
      <c r="AH32" s="14">
        <f>-AH107*12</f>
        <v>4888.3552</v>
      </c>
      <c r="AI32" s="14">
        <v>35666.67</v>
      </c>
      <c r="AJ32" s="14">
        <f>-AJ107*12</f>
        <v>5215.951379</v>
      </c>
      <c r="AK32" s="14">
        <v>58665.0</v>
      </c>
      <c r="AL32" s="14">
        <f>-AL107*12</f>
        <v>5238.119172</v>
      </c>
      <c r="AM32" s="14">
        <v>63039.25</v>
      </c>
      <c r="AN32" s="14">
        <f>-AN107*12</f>
        <v>89300.31</v>
      </c>
      <c r="AO32" s="14">
        <v>43225.0</v>
      </c>
      <c r="AP32" s="14">
        <f>-AP107*12</f>
        <v>91398.55148</v>
      </c>
      <c r="AQ32" s="14">
        <v>58771.0</v>
      </c>
      <c r="AR32" s="14">
        <f>-AR107*12</f>
        <v>93561.08131</v>
      </c>
      <c r="AS32" s="14">
        <v>81375.0</v>
      </c>
      <c r="AT32" s="14">
        <f>-AT107*12</f>
        <v>95732.40372</v>
      </c>
      <c r="AU32" s="14">
        <v>25418.65</v>
      </c>
      <c r="AV32" s="14">
        <f>-AV107*12</f>
        <v>98602.23395</v>
      </c>
      <c r="AW32" s="14">
        <v>53250.0</v>
      </c>
      <c r="AX32" s="14">
        <f>-AX107*12</f>
        <v>101819.7247</v>
      </c>
      <c r="AY32" s="14">
        <v>6250.0</v>
      </c>
      <c r="AZ32" s="14">
        <f>-AZ107*12</f>
        <v>72740.55677</v>
      </c>
      <c r="BA32" s="14">
        <v>74511.0</v>
      </c>
      <c r="BB32" s="14">
        <f>-BB107*12</f>
        <v>39946.35849</v>
      </c>
      <c r="BC32" s="14">
        <v>48425.0</v>
      </c>
      <c r="BD32" s="14">
        <f>-BD107*12</f>
        <v>41956.38862</v>
      </c>
      <c r="BE32" s="14">
        <v>65925.0</v>
      </c>
      <c r="BF32" s="14">
        <f>-BF107*12</f>
        <v>44102.24921</v>
      </c>
      <c r="BG32" s="14">
        <v>67675.0</v>
      </c>
      <c r="BH32" s="14">
        <f>-BH107*12</f>
        <v>46414.05864</v>
      </c>
      <c r="BI32" s="14">
        <v>69931.0</v>
      </c>
      <c r="BJ32" s="14">
        <f>-BJ107*12</f>
        <v>48796.42253</v>
      </c>
      <c r="BK32" s="14">
        <v>54395.0</v>
      </c>
      <c r="BL32" s="14">
        <f>-BL107*12</f>
        <v>48952.64259</v>
      </c>
      <c r="BM32" s="14">
        <v>91300.0</v>
      </c>
      <c r="BN32" s="14">
        <f>-BN107*12</f>
        <v>50949.55464</v>
      </c>
      <c r="BO32" s="22">
        <v>97375.0</v>
      </c>
      <c r="BP32" s="14">
        <f>-BP107*12</f>
        <v>53018.70855</v>
      </c>
      <c r="BQ32" s="14">
        <v>155434.33</v>
      </c>
      <c r="BR32" s="14">
        <f>-BR107*12</f>
        <v>44099.40147</v>
      </c>
      <c r="BS32" s="14">
        <v>40413.0</v>
      </c>
      <c r="BT32" s="14">
        <f>-BT107*12</f>
        <v>45885.07101</v>
      </c>
      <c r="BU32" s="14">
        <v>15826.4</v>
      </c>
      <c r="BV32" s="14">
        <f>-BV107*12</f>
        <v>47617.10055</v>
      </c>
      <c r="BW32" s="14">
        <v>117060.0</v>
      </c>
      <c r="BX32" s="14">
        <f>-BX107*12</f>
        <v>48935.47057</v>
      </c>
      <c r="BY32" s="14">
        <v>100590.5</v>
      </c>
      <c r="BZ32" s="14">
        <f>-BZ107*12</f>
        <v>50247.4564</v>
      </c>
      <c r="CA32" s="14">
        <v>87045.0</v>
      </c>
      <c r="CB32" s="14">
        <f>-CB107*12</f>
        <v>51520.63695</v>
      </c>
      <c r="CC32" s="14">
        <v>75725.0</v>
      </c>
      <c r="CD32" s="14">
        <f>-CD107*12</f>
        <v>46223.30833</v>
      </c>
      <c r="CE32" s="14">
        <v>138268.2</v>
      </c>
      <c r="CF32" s="14">
        <f>-CF107*12</f>
        <v>47305.85232</v>
      </c>
      <c r="CG32" s="14">
        <v>54268.0</v>
      </c>
      <c r="CH32" s="14">
        <f>-CH107*12</f>
        <v>48457.16044</v>
      </c>
      <c r="CI32" s="14">
        <v>65384.28</v>
      </c>
      <c r="CJ32" s="14">
        <f>-CJ107*12</f>
        <v>42549.73396</v>
      </c>
      <c r="CK32" s="14">
        <v>63881.195999999996</v>
      </c>
      <c r="CL32" s="14">
        <f t="shared" ref="CL32:CM32" si="24">-CL107*12</f>
        <v>43598.40495</v>
      </c>
      <c r="CM32" s="14">
        <f t="shared" si="24"/>
        <v>44676.06401</v>
      </c>
      <c r="CO32" s="18" t="s">
        <v>7</v>
      </c>
      <c r="CP32" s="12" t="b">
        <f t="shared" si="4"/>
        <v>1</v>
      </c>
    </row>
    <row r="33" ht="15.75" customHeight="1"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>
        <f>CE30+CC30+CA30+BY30+BW30+BU30+BS30+BQ30+BO30+BM30+BK30+BI30</f>
        <v>2479871.896</v>
      </c>
      <c r="CF33" s="14"/>
      <c r="CG33" s="14"/>
      <c r="CH33" s="14"/>
      <c r="CI33" s="14"/>
      <c r="CJ33" s="14"/>
      <c r="CK33" s="14"/>
      <c r="CL33" s="14"/>
      <c r="CM33" s="14"/>
      <c r="CO33" s="18"/>
      <c r="CP33" s="12" t="b">
        <f t="shared" si="4"/>
        <v>1</v>
      </c>
    </row>
    <row r="34" ht="15.75" customHeight="1">
      <c r="C34" s="9">
        <f>SUM(E34:U34)+W34+Y34+AA34+AC34+AE34+AG34+AI34+AK34+AM34+AO34+AQ34+AS34+AU34+AW34+AY34+BA34+BC34+BE34+BG34+BI34+BK34+BM34+BO34+BQ34+BS34+BU34+BW34+BY34+CA34+CC34+CE34+CG34+CI34+CK34</f>
        <v>494513.6977</v>
      </c>
      <c r="D34" s="7" t="s">
        <v>14</v>
      </c>
      <c r="E34" s="10">
        <f t="shared" ref="E34:CM34" si="25">SUM(E36:E37)</f>
        <v>0</v>
      </c>
      <c r="F34" s="10">
        <f t="shared" si="25"/>
        <v>0</v>
      </c>
      <c r="G34" s="10">
        <f t="shared" si="25"/>
        <v>0</v>
      </c>
      <c r="H34" s="10">
        <f t="shared" si="25"/>
        <v>0</v>
      </c>
      <c r="I34" s="10">
        <f t="shared" si="25"/>
        <v>0</v>
      </c>
      <c r="J34" s="10">
        <f t="shared" si="25"/>
        <v>0</v>
      </c>
      <c r="K34" s="10">
        <f t="shared" si="25"/>
        <v>0</v>
      </c>
      <c r="L34" s="10">
        <f t="shared" si="25"/>
        <v>0</v>
      </c>
      <c r="M34" s="10">
        <f t="shared" si="25"/>
        <v>0</v>
      </c>
      <c r="N34" s="10">
        <f t="shared" si="25"/>
        <v>0</v>
      </c>
      <c r="O34" s="10">
        <f t="shared" si="25"/>
        <v>0</v>
      </c>
      <c r="P34" s="10">
        <f t="shared" si="25"/>
        <v>0</v>
      </c>
      <c r="Q34" s="10">
        <f t="shared" si="25"/>
        <v>561</v>
      </c>
      <c r="R34" s="10">
        <f t="shared" si="25"/>
        <v>0</v>
      </c>
      <c r="S34" s="10">
        <f t="shared" si="25"/>
        <v>1500</v>
      </c>
      <c r="T34" s="10">
        <f t="shared" si="25"/>
        <v>0</v>
      </c>
      <c r="U34" s="10">
        <f t="shared" si="25"/>
        <v>0</v>
      </c>
      <c r="V34" s="10">
        <f t="shared" si="25"/>
        <v>0</v>
      </c>
      <c r="W34" s="10">
        <f t="shared" si="25"/>
        <v>5789</v>
      </c>
      <c r="X34" s="10">
        <f t="shared" si="25"/>
        <v>0</v>
      </c>
      <c r="Y34" s="10">
        <f t="shared" si="25"/>
        <v>3500</v>
      </c>
      <c r="Z34" s="10">
        <f t="shared" si="25"/>
        <v>0</v>
      </c>
      <c r="AA34" s="10">
        <f t="shared" si="25"/>
        <v>1000</v>
      </c>
      <c r="AB34" s="10">
        <f t="shared" si="25"/>
        <v>0</v>
      </c>
      <c r="AC34" s="10">
        <f t="shared" si="25"/>
        <v>1452</v>
      </c>
      <c r="AD34" s="10">
        <f t="shared" si="25"/>
        <v>0</v>
      </c>
      <c r="AE34" s="10">
        <f t="shared" si="25"/>
        <v>7300</v>
      </c>
      <c r="AF34" s="21">
        <f t="shared" si="25"/>
        <v>0</v>
      </c>
      <c r="AG34" s="23">
        <f t="shared" si="25"/>
        <v>4034</v>
      </c>
      <c r="AH34" s="21">
        <f t="shared" si="25"/>
        <v>0</v>
      </c>
      <c r="AI34" s="23">
        <f t="shared" si="25"/>
        <v>6854</v>
      </c>
      <c r="AJ34" s="21">
        <f t="shared" si="25"/>
        <v>0</v>
      </c>
      <c r="AK34" s="23">
        <f t="shared" si="25"/>
        <v>6231</v>
      </c>
      <c r="AL34" s="21">
        <f t="shared" si="25"/>
        <v>0</v>
      </c>
      <c r="AM34" s="10">
        <f t="shared" si="25"/>
        <v>6000</v>
      </c>
      <c r="AN34" s="21">
        <f t="shared" si="25"/>
        <v>0</v>
      </c>
      <c r="AO34" s="11">
        <f t="shared" si="25"/>
        <v>5944.5</v>
      </c>
      <c r="AP34" s="21">
        <f t="shared" si="25"/>
        <v>0</v>
      </c>
      <c r="AQ34" s="11">
        <f t="shared" si="25"/>
        <v>7100</v>
      </c>
      <c r="AR34" s="21">
        <f t="shared" si="25"/>
        <v>0</v>
      </c>
      <c r="AS34" s="11">
        <f t="shared" si="25"/>
        <v>300</v>
      </c>
      <c r="AT34" s="21">
        <f t="shared" si="25"/>
        <v>0</v>
      </c>
      <c r="AU34" s="11">
        <f t="shared" si="25"/>
        <v>0</v>
      </c>
      <c r="AV34" s="21">
        <f t="shared" si="25"/>
        <v>0</v>
      </c>
      <c r="AW34" s="11">
        <f t="shared" si="25"/>
        <v>0</v>
      </c>
      <c r="AX34" s="21">
        <f t="shared" si="25"/>
        <v>0</v>
      </c>
      <c r="AY34" s="11">
        <f t="shared" si="25"/>
        <v>0</v>
      </c>
      <c r="AZ34" s="21">
        <f t="shared" si="25"/>
        <v>0</v>
      </c>
      <c r="BA34" s="11">
        <f t="shared" si="25"/>
        <v>1125</v>
      </c>
      <c r="BB34" s="21">
        <f t="shared" si="25"/>
        <v>0</v>
      </c>
      <c r="BC34" s="11">
        <f t="shared" si="25"/>
        <v>0</v>
      </c>
      <c r="BD34" s="21">
        <f t="shared" si="25"/>
        <v>0</v>
      </c>
      <c r="BE34" s="11">
        <f t="shared" si="25"/>
        <v>0</v>
      </c>
      <c r="BF34" s="21">
        <f t="shared" si="25"/>
        <v>0</v>
      </c>
      <c r="BG34" s="11">
        <f t="shared" si="25"/>
        <v>5500</v>
      </c>
      <c r="BH34" s="21">
        <f t="shared" si="25"/>
        <v>0</v>
      </c>
      <c r="BI34" s="11">
        <f t="shared" si="25"/>
        <v>24384.5</v>
      </c>
      <c r="BJ34" s="21">
        <f t="shared" si="25"/>
        <v>0</v>
      </c>
      <c r="BK34" s="11">
        <f t="shared" si="25"/>
        <v>2000</v>
      </c>
      <c r="BL34" s="21">
        <f t="shared" si="25"/>
        <v>0</v>
      </c>
      <c r="BM34" s="11">
        <f t="shared" si="25"/>
        <v>7355</v>
      </c>
      <c r="BN34" s="21">
        <f t="shared" si="25"/>
        <v>0</v>
      </c>
      <c r="BO34" s="11">
        <f t="shared" si="25"/>
        <v>5000</v>
      </c>
      <c r="BP34" s="21">
        <f t="shared" si="25"/>
        <v>0</v>
      </c>
      <c r="BQ34" s="11">
        <f t="shared" si="25"/>
        <v>103320</v>
      </c>
      <c r="BR34" s="21">
        <f t="shared" si="25"/>
        <v>0</v>
      </c>
      <c r="BS34" s="11">
        <f t="shared" si="25"/>
        <v>54948</v>
      </c>
      <c r="BT34" s="21">
        <f t="shared" si="25"/>
        <v>0</v>
      </c>
      <c r="BU34" s="11">
        <f t="shared" si="25"/>
        <v>7500</v>
      </c>
      <c r="BV34" s="21">
        <f t="shared" si="25"/>
        <v>0</v>
      </c>
      <c r="BW34" s="11">
        <f t="shared" si="25"/>
        <v>4013</v>
      </c>
      <c r="BX34" s="21">
        <f t="shared" si="25"/>
        <v>0</v>
      </c>
      <c r="BY34" s="11">
        <f t="shared" si="25"/>
        <v>29663</v>
      </c>
      <c r="BZ34" s="21">
        <f t="shared" si="25"/>
        <v>0</v>
      </c>
      <c r="CA34" s="11">
        <f t="shared" si="25"/>
        <v>17365</v>
      </c>
      <c r="CB34" s="21">
        <f t="shared" si="25"/>
        <v>0</v>
      </c>
      <c r="CC34" s="11">
        <f t="shared" si="25"/>
        <v>46737.9441</v>
      </c>
      <c r="CD34" s="21">
        <f t="shared" si="25"/>
        <v>0</v>
      </c>
      <c r="CE34" s="11">
        <f t="shared" si="25"/>
        <v>72196.02163</v>
      </c>
      <c r="CF34" s="21">
        <f t="shared" si="25"/>
        <v>0</v>
      </c>
      <c r="CG34" s="11">
        <f t="shared" si="25"/>
        <v>13628.732</v>
      </c>
      <c r="CH34" s="21">
        <f t="shared" si="25"/>
        <v>0</v>
      </c>
      <c r="CI34" s="11">
        <f t="shared" si="25"/>
        <v>17396.08</v>
      </c>
      <c r="CJ34" s="21">
        <f t="shared" si="25"/>
        <v>0</v>
      </c>
      <c r="CK34" s="11">
        <f t="shared" si="25"/>
        <v>24815.92</v>
      </c>
      <c r="CL34" s="21">
        <f t="shared" si="25"/>
        <v>0</v>
      </c>
      <c r="CM34" s="21">
        <f t="shared" si="25"/>
        <v>0</v>
      </c>
      <c r="CO34" s="7" t="s">
        <v>14</v>
      </c>
      <c r="CP34" s="12" t="b">
        <f t="shared" si="4"/>
        <v>1</v>
      </c>
    </row>
    <row r="35" ht="15.75" customHeight="1">
      <c r="B35" s="19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>
        <f>CE29+CG29+CI29+CE34+CG34+CI34</f>
        <v>701731.3136</v>
      </c>
      <c r="CH35" s="14"/>
      <c r="CI35" s="14"/>
      <c r="CJ35" s="14"/>
      <c r="CK35" s="14"/>
      <c r="CL35" s="14"/>
      <c r="CM35" s="14"/>
      <c r="CO35" s="13"/>
      <c r="CP35" s="12" t="b">
        <f t="shared" si="4"/>
        <v>1</v>
      </c>
    </row>
    <row r="36" ht="15.75" customHeight="1">
      <c r="C36" s="9">
        <f t="shared" ref="C36:C37" si="27">SUM(E36:U36)+W36+Y36+AA36+AC36+AE36+AG36+AI36+AK36+AM36+AO36+AQ36+AS36+AU36+AW36+AY36+BA36+BC36+BE36+BG36+BI36+BK36+BM36+BO36+BQ36+BS36+BU36+BW36+BY36+CA36+CC36+CE36+CG36+CI36+CK36</f>
        <v>110371.9252</v>
      </c>
      <c r="D36" s="18" t="s">
        <v>5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0.0</v>
      </c>
      <c r="U36" s="14">
        <v>0.0</v>
      </c>
      <c r="V36" s="14">
        <f>-V93*12</f>
        <v>0</v>
      </c>
      <c r="W36" s="14">
        <v>0.0</v>
      </c>
      <c r="X36" s="14">
        <f>-X93*12</f>
        <v>0</v>
      </c>
      <c r="Y36" s="14">
        <v>0.0</v>
      </c>
      <c r="Z36" s="14">
        <f>-Z93*12</f>
        <v>0</v>
      </c>
      <c r="AA36" s="14">
        <v>0.0</v>
      </c>
      <c r="AB36" s="14">
        <f>-AB93*12</f>
        <v>0</v>
      </c>
      <c r="AC36" s="14">
        <v>0.0</v>
      </c>
      <c r="AD36" s="14">
        <f>-AD93*12</f>
        <v>0</v>
      </c>
      <c r="AE36" s="14">
        <v>0.0</v>
      </c>
      <c r="AF36" s="14">
        <f>-AF93*12</f>
        <v>0</v>
      </c>
      <c r="AG36" s="14">
        <v>0.0</v>
      </c>
      <c r="AH36" s="14">
        <f>-AH93*12</f>
        <v>0</v>
      </c>
      <c r="AI36" s="14">
        <v>2000.0</v>
      </c>
      <c r="AJ36" s="14">
        <f>-AJ93*12</f>
        <v>0</v>
      </c>
      <c r="AK36" s="14">
        <v>0.0</v>
      </c>
      <c r="AL36" s="14">
        <f>-AL93*12</f>
        <v>0</v>
      </c>
      <c r="AM36" s="14">
        <v>0.0</v>
      </c>
      <c r="AN36" s="14">
        <f>-AN93*12</f>
        <v>0</v>
      </c>
      <c r="AO36" s="14">
        <v>833.0</v>
      </c>
      <c r="AP36" s="14">
        <f>-AP93*12</f>
        <v>0</v>
      </c>
      <c r="AQ36" s="14">
        <v>0.0</v>
      </c>
      <c r="AR36" s="14">
        <f>-AR93*12</f>
        <v>0</v>
      </c>
      <c r="AS36" s="14">
        <v>300.0</v>
      </c>
      <c r="AT36" s="14">
        <f>-AT93*12</f>
        <v>0</v>
      </c>
      <c r="AU36" s="14">
        <v>0.0</v>
      </c>
      <c r="AV36" s="14">
        <f>-AV93*12</f>
        <v>0</v>
      </c>
      <c r="AW36" s="14">
        <v>0.0</v>
      </c>
      <c r="AX36" s="14">
        <f>-AX93*12</f>
        <v>0</v>
      </c>
      <c r="AY36" s="14">
        <v>0.0</v>
      </c>
      <c r="AZ36" s="14">
        <f>-AZ93*12</f>
        <v>0</v>
      </c>
      <c r="BA36" s="14">
        <v>0.0</v>
      </c>
      <c r="BB36" s="14">
        <f>-BB93*12</f>
        <v>0</v>
      </c>
      <c r="BC36" s="14">
        <v>0.0</v>
      </c>
      <c r="BD36" s="14">
        <f>-BD93*12</f>
        <v>0</v>
      </c>
      <c r="BE36" s="14">
        <v>0.0</v>
      </c>
      <c r="BF36" s="14">
        <f>-BF93*12</f>
        <v>0</v>
      </c>
      <c r="BG36" s="14">
        <v>0.0</v>
      </c>
      <c r="BH36" s="14">
        <f>-BH93*12</f>
        <v>0</v>
      </c>
      <c r="BI36" s="14">
        <v>4500.0</v>
      </c>
      <c r="BJ36" s="14">
        <f>-BJ93*12</f>
        <v>0</v>
      </c>
      <c r="BK36" s="14">
        <v>2000.0</v>
      </c>
      <c r="BL36" s="14">
        <f>-BL93*12</f>
        <v>0</v>
      </c>
      <c r="BM36" s="14">
        <v>0.0</v>
      </c>
      <c r="BN36" s="14">
        <f>-BN93*12</f>
        <v>0</v>
      </c>
      <c r="BO36" s="14">
        <v>0.0</v>
      </c>
      <c r="BP36" s="14">
        <f>-BP93*12</f>
        <v>0</v>
      </c>
      <c r="BQ36" s="14">
        <v>9750.0</v>
      </c>
      <c r="BR36" s="14">
        <f>-BR93*12</f>
        <v>0</v>
      </c>
      <c r="BS36" s="14">
        <v>12600.0</v>
      </c>
      <c r="BT36" s="14">
        <f>-BT93*12</f>
        <v>0</v>
      </c>
      <c r="BU36" s="14">
        <v>0.0</v>
      </c>
      <c r="BV36" s="14">
        <f>-BV93*12</f>
        <v>0</v>
      </c>
      <c r="BW36" s="14">
        <v>0.0</v>
      </c>
      <c r="BX36" s="14">
        <f>-BX93*12</f>
        <v>0</v>
      </c>
      <c r="BY36" s="14">
        <v>8500.0</v>
      </c>
      <c r="BZ36" s="14">
        <f>-BZ93*12</f>
        <v>0</v>
      </c>
      <c r="CA36" s="14">
        <v>10000.0</v>
      </c>
      <c r="CB36" s="14">
        <f>-CB93*12</f>
        <v>0</v>
      </c>
      <c r="CC36" s="14">
        <v>11981.4252324</v>
      </c>
      <c r="CD36" s="14">
        <f>-CD93*12</f>
        <v>0</v>
      </c>
      <c r="CE36" s="14">
        <v>29300.0</v>
      </c>
      <c r="CF36" s="14">
        <f>-CF93*12</f>
        <v>0</v>
      </c>
      <c r="CG36" s="14">
        <v>7087.5</v>
      </c>
      <c r="CH36" s="14">
        <f>-CH93*12</f>
        <v>0</v>
      </c>
      <c r="CI36" s="14">
        <v>3000.0</v>
      </c>
      <c r="CJ36" s="14">
        <f>-CJ93*12</f>
        <v>0</v>
      </c>
      <c r="CK36" s="14">
        <v>8520.0</v>
      </c>
      <c r="CL36" s="14">
        <f t="shared" ref="CL36:CM36" si="26">-CL93*12</f>
        <v>0</v>
      </c>
      <c r="CM36" s="14">
        <f t="shared" si="26"/>
        <v>0</v>
      </c>
      <c r="CO36" s="18" t="s">
        <v>5</v>
      </c>
      <c r="CP36" s="12" t="b">
        <f t="shared" si="4"/>
        <v>1</v>
      </c>
    </row>
    <row r="37" ht="15.75" customHeight="1">
      <c r="C37" s="9">
        <f t="shared" si="27"/>
        <v>384141.7725</v>
      </c>
      <c r="D37" s="18" t="s">
        <v>7</v>
      </c>
      <c r="E37" s="14">
        <v>0.0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561.0</v>
      </c>
      <c r="R37" s="14">
        <v>0.0</v>
      </c>
      <c r="S37" s="14">
        <v>1500.0</v>
      </c>
      <c r="T37" s="14">
        <v>0.0</v>
      </c>
      <c r="U37" s="14">
        <v>0.0</v>
      </c>
      <c r="V37" s="14">
        <f>-V108*12</f>
        <v>0</v>
      </c>
      <c r="W37" s="14">
        <v>5789.0</v>
      </c>
      <c r="X37" s="14">
        <f>-X108*12</f>
        <v>0</v>
      </c>
      <c r="Y37" s="14">
        <v>3500.0</v>
      </c>
      <c r="Z37" s="14">
        <f>-Z108*12</f>
        <v>0</v>
      </c>
      <c r="AA37" s="14">
        <v>1000.0</v>
      </c>
      <c r="AB37" s="14">
        <f>-AB108*12</f>
        <v>0</v>
      </c>
      <c r="AC37" s="14">
        <v>1452.0</v>
      </c>
      <c r="AD37" s="14">
        <f>-AD108*12</f>
        <v>0</v>
      </c>
      <c r="AE37" s="14">
        <v>7300.0</v>
      </c>
      <c r="AF37" s="14">
        <f>-AF108*12</f>
        <v>0</v>
      </c>
      <c r="AG37" s="14">
        <v>4034.0</v>
      </c>
      <c r="AH37" s="14">
        <f>-AH108*12</f>
        <v>0</v>
      </c>
      <c r="AI37" s="14">
        <v>4854.0</v>
      </c>
      <c r="AJ37" s="14">
        <f>-AJ108*12</f>
        <v>0</v>
      </c>
      <c r="AK37" s="14">
        <v>6231.0</v>
      </c>
      <c r="AL37" s="14">
        <f>-AL108*12</f>
        <v>0</v>
      </c>
      <c r="AM37" s="14">
        <v>6000.0</v>
      </c>
      <c r="AN37" s="14">
        <f>-AN108*12</f>
        <v>0</v>
      </c>
      <c r="AO37" s="14">
        <v>5111.5</v>
      </c>
      <c r="AP37" s="14">
        <f>-AP108*12</f>
        <v>0</v>
      </c>
      <c r="AQ37" s="14">
        <v>7100.0</v>
      </c>
      <c r="AR37" s="14">
        <f>-AR108*12</f>
        <v>0</v>
      </c>
      <c r="AS37" s="14">
        <v>0.0</v>
      </c>
      <c r="AT37" s="14">
        <f>-AT108*12</f>
        <v>0</v>
      </c>
      <c r="AU37" s="14">
        <v>0.0</v>
      </c>
      <c r="AV37" s="14">
        <f>-AV108*12</f>
        <v>0</v>
      </c>
      <c r="AW37" s="14">
        <v>0.0</v>
      </c>
      <c r="AX37" s="14">
        <f>-AX108*12</f>
        <v>0</v>
      </c>
      <c r="AY37" s="14">
        <v>0.0</v>
      </c>
      <c r="AZ37" s="14">
        <f>-AZ108*12</f>
        <v>0</v>
      </c>
      <c r="BA37" s="14">
        <v>1125.0</v>
      </c>
      <c r="BB37" s="14">
        <f>-BB108*12</f>
        <v>0</v>
      </c>
      <c r="BC37" s="14">
        <v>0.0</v>
      </c>
      <c r="BD37" s="14">
        <f>-BD108*12</f>
        <v>0</v>
      </c>
      <c r="BE37" s="14">
        <v>0.0</v>
      </c>
      <c r="BF37" s="14">
        <f>-BF108*12</f>
        <v>0</v>
      </c>
      <c r="BG37" s="14">
        <v>5500.0</v>
      </c>
      <c r="BH37" s="14">
        <f>-BH108*12</f>
        <v>0</v>
      </c>
      <c r="BI37" s="14">
        <v>19884.5</v>
      </c>
      <c r="BJ37" s="14">
        <f>-BJ108*12</f>
        <v>0</v>
      </c>
      <c r="BK37" s="14">
        <v>0.0</v>
      </c>
      <c r="BL37" s="14">
        <f>-BL108*12</f>
        <v>0</v>
      </c>
      <c r="BM37" s="14">
        <v>7355.0</v>
      </c>
      <c r="BN37" s="14">
        <f>-BN108*12</f>
        <v>0</v>
      </c>
      <c r="BO37" s="14">
        <v>5000.0</v>
      </c>
      <c r="BP37" s="14">
        <f>-BP108*12</f>
        <v>0</v>
      </c>
      <c r="BQ37" s="14">
        <v>93570.0</v>
      </c>
      <c r="BR37" s="14">
        <f>-BR108*12</f>
        <v>0</v>
      </c>
      <c r="BS37" s="14">
        <v>42348.0</v>
      </c>
      <c r="BT37" s="14">
        <f>-BT108*12</f>
        <v>0</v>
      </c>
      <c r="BU37" s="14">
        <v>7500.0</v>
      </c>
      <c r="BV37" s="14">
        <f>-BV108*12</f>
        <v>0</v>
      </c>
      <c r="BW37" s="14">
        <v>4013.0</v>
      </c>
      <c r="BX37" s="14">
        <f>-BX108*12</f>
        <v>0</v>
      </c>
      <c r="BY37" s="14">
        <v>21163.0</v>
      </c>
      <c r="BZ37" s="14">
        <f>-BZ108*12</f>
        <v>0</v>
      </c>
      <c r="CA37" s="14">
        <v>7365.0</v>
      </c>
      <c r="CB37" s="14">
        <f>-CB108*12</f>
        <v>0</v>
      </c>
      <c r="CC37" s="14">
        <v>34756.518868</v>
      </c>
      <c r="CD37" s="14">
        <f>-CD108*12</f>
        <v>0</v>
      </c>
      <c r="CE37" s="14">
        <v>42896.02162596</v>
      </c>
      <c r="CF37" s="14">
        <f>-CF108*12</f>
        <v>0</v>
      </c>
      <c r="CG37" s="14">
        <v>6541.232</v>
      </c>
      <c r="CH37" s="14">
        <f>-CH108*12</f>
        <v>0</v>
      </c>
      <c r="CI37" s="14">
        <v>14396.080000000002</v>
      </c>
      <c r="CJ37" s="14">
        <f>-CJ108*12</f>
        <v>0</v>
      </c>
      <c r="CK37" s="14">
        <v>16295.92</v>
      </c>
      <c r="CL37" s="14">
        <f t="shared" ref="CL37:CM37" si="28">-CL108*12</f>
        <v>0</v>
      </c>
      <c r="CM37" s="14">
        <f t="shared" si="28"/>
        <v>0</v>
      </c>
      <c r="CO37" s="18" t="s">
        <v>7</v>
      </c>
      <c r="CP37" s="12" t="b">
        <f t="shared" si="4"/>
        <v>1</v>
      </c>
    </row>
    <row r="38" ht="15.75" customHeight="1">
      <c r="D38" s="2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O38" s="24"/>
      <c r="CP38" s="12" t="b">
        <f t="shared" si="4"/>
        <v>1</v>
      </c>
    </row>
    <row r="39" ht="15.75" customHeight="1">
      <c r="C39" s="9">
        <f>SUM(E39:U39)+W39+Y39+AA39+AC39+AE39+AG39+AI39+AK39+AM39+AO39+AQ39+AS39+AU39+AW39+AY39+BA39+BC39+BE39+BG39+BI39+BK39+BM39+BO39+BQ39+BS39+BU39+BW39+BY39+CA39+CC39+CE39+CG39+CI39+CK39</f>
        <v>298742.536</v>
      </c>
      <c r="D39" s="13" t="s">
        <v>15</v>
      </c>
      <c r="E39" s="10"/>
      <c r="F39" s="10"/>
      <c r="G39" s="10"/>
      <c r="H39" s="10"/>
      <c r="I39" s="10"/>
      <c r="J39" s="10"/>
      <c r="K39" s="10"/>
      <c r="L39" s="10"/>
      <c r="M39" s="10">
        <v>2000.0</v>
      </c>
      <c r="N39" s="10">
        <v>783.0</v>
      </c>
      <c r="O39" s="10">
        <v>1280.0</v>
      </c>
      <c r="P39" s="10">
        <v>3530.0</v>
      </c>
      <c r="Q39" s="10">
        <v>5842.0</v>
      </c>
      <c r="R39" s="10">
        <v>2709.0</v>
      </c>
      <c r="S39" s="10">
        <v>2000.0</v>
      </c>
      <c r="T39" s="10">
        <v>0.0</v>
      </c>
      <c r="U39" s="10">
        <v>5775.0</v>
      </c>
      <c r="V39" s="10">
        <v>0.0</v>
      </c>
      <c r="W39" s="10">
        <v>16091.0</v>
      </c>
      <c r="X39" s="10">
        <v>0.0</v>
      </c>
      <c r="Y39" s="10">
        <v>925.0</v>
      </c>
      <c r="Z39" s="10">
        <v>0.0</v>
      </c>
      <c r="AA39" s="10">
        <v>4250.0</v>
      </c>
      <c r="AB39" s="10">
        <v>0.0</v>
      </c>
      <c r="AC39" s="10">
        <v>1075.0</v>
      </c>
      <c r="AD39" s="10">
        <v>0.0</v>
      </c>
      <c r="AE39" s="10">
        <v>1000.0</v>
      </c>
      <c r="AF39" s="10">
        <v>0.0</v>
      </c>
      <c r="AG39" s="10">
        <v>2775.0</v>
      </c>
      <c r="AH39" s="10">
        <v>0.0</v>
      </c>
      <c r="AI39" s="10">
        <v>5300.0</v>
      </c>
      <c r="AJ39" s="10">
        <v>0.0</v>
      </c>
      <c r="AK39" s="10">
        <v>250.0</v>
      </c>
      <c r="AL39" s="10">
        <v>0.0</v>
      </c>
      <c r="AM39" s="10">
        <v>8283.41</v>
      </c>
      <c r="AN39" s="10">
        <v>0.0</v>
      </c>
      <c r="AO39" s="10">
        <v>7742.5</v>
      </c>
      <c r="AP39" s="10">
        <v>0.0</v>
      </c>
      <c r="AQ39" s="10">
        <v>1625.0</v>
      </c>
      <c r="AR39" s="10">
        <v>0.0</v>
      </c>
      <c r="AS39" s="10">
        <v>19010.0</v>
      </c>
      <c r="AT39" s="10">
        <v>0.0</v>
      </c>
      <c r="AU39" s="10">
        <v>9075.0</v>
      </c>
      <c r="AV39" s="10">
        <v>0.0</v>
      </c>
      <c r="AW39" s="10">
        <v>14833.75</v>
      </c>
      <c r="AX39" s="10">
        <v>0.0</v>
      </c>
      <c r="AY39" s="10">
        <v>3600.0</v>
      </c>
      <c r="AZ39" s="10">
        <v>0.0</v>
      </c>
      <c r="BA39" s="10">
        <v>9900.0</v>
      </c>
      <c r="BB39" s="10">
        <v>0.0</v>
      </c>
      <c r="BC39" s="10">
        <v>3820.0</v>
      </c>
      <c r="BD39" s="10">
        <v>0.0</v>
      </c>
      <c r="BE39" s="10">
        <v>11692.0</v>
      </c>
      <c r="BF39" s="10">
        <v>0.0</v>
      </c>
      <c r="BG39" s="10">
        <v>3650.0</v>
      </c>
      <c r="BH39" s="10">
        <v>0.0</v>
      </c>
      <c r="BI39" s="10">
        <v>9390.0</v>
      </c>
      <c r="BJ39" s="10">
        <v>0.0</v>
      </c>
      <c r="BK39" s="10">
        <v>5800.0</v>
      </c>
      <c r="BL39" s="10">
        <v>0.0</v>
      </c>
      <c r="BM39" s="10">
        <v>8243.556</v>
      </c>
      <c r="BN39" s="10">
        <v>0.0</v>
      </c>
      <c r="BO39" s="10">
        <v>15158.630000000001</v>
      </c>
      <c r="BP39" s="10">
        <v>0.0</v>
      </c>
      <c r="BQ39" s="10">
        <v>5138.0</v>
      </c>
      <c r="BR39" s="10">
        <v>0.0</v>
      </c>
      <c r="BS39" s="10">
        <v>11941.38</v>
      </c>
      <c r="BT39" s="10">
        <v>0.0</v>
      </c>
      <c r="BU39" s="10">
        <v>6000.0</v>
      </c>
      <c r="BV39" s="10">
        <v>0.0</v>
      </c>
      <c r="BW39" s="10">
        <v>8717.91</v>
      </c>
      <c r="BX39" s="10">
        <v>0.0</v>
      </c>
      <c r="BY39" s="10">
        <v>7300.0</v>
      </c>
      <c r="BZ39" s="10">
        <v>0.0</v>
      </c>
      <c r="CA39" s="10">
        <v>8785.0</v>
      </c>
      <c r="CB39" s="10">
        <v>0.0</v>
      </c>
      <c r="CC39" s="10">
        <v>20341.0</v>
      </c>
      <c r="CD39" s="10">
        <v>0.0</v>
      </c>
      <c r="CE39" s="10">
        <v>8342.0</v>
      </c>
      <c r="CF39" s="10">
        <v>0.0</v>
      </c>
      <c r="CG39" s="10">
        <v>10500.0</v>
      </c>
      <c r="CH39" s="10">
        <v>0.0</v>
      </c>
      <c r="CI39" s="10">
        <v>11768.4</v>
      </c>
      <c r="CJ39" s="10">
        <v>0.0</v>
      </c>
      <c r="CK39" s="10">
        <v>12500.0</v>
      </c>
      <c r="CL39" s="10">
        <v>0.0</v>
      </c>
      <c r="CM39" s="10">
        <v>0.0</v>
      </c>
      <c r="CO39" s="13" t="s">
        <v>15</v>
      </c>
      <c r="CP39" s="12" t="b">
        <f t="shared" si="4"/>
        <v>1</v>
      </c>
    </row>
    <row r="40" ht="15.75" customHeight="1">
      <c r="D40" s="5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O40" s="5"/>
      <c r="CP40" s="12" t="b">
        <f t="shared" si="4"/>
        <v>1</v>
      </c>
    </row>
    <row r="41" ht="15.75" customHeight="1">
      <c r="D41" s="7" t="s">
        <v>16</v>
      </c>
      <c r="E41" s="10">
        <f t="shared" ref="E41:U41" si="29">SUM(E4)/E56</f>
        <v>6000</v>
      </c>
      <c r="F41" s="10">
        <f t="shared" si="29"/>
        <v>6750</v>
      </c>
      <c r="G41" s="10">
        <f t="shared" si="29"/>
        <v>4500</v>
      </c>
      <c r="H41" s="10">
        <f t="shared" si="29"/>
        <v>4848.8</v>
      </c>
      <c r="I41" s="10">
        <f t="shared" si="29"/>
        <v>5375</v>
      </c>
      <c r="J41" s="10">
        <f t="shared" si="29"/>
        <v>7282.909091</v>
      </c>
      <c r="K41" s="10">
        <f t="shared" si="29"/>
        <v>7203.333</v>
      </c>
      <c r="L41" s="10">
        <f t="shared" si="29"/>
        <v>5225</v>
      </c>
      <c r="M41" s="10">
        <f t="shared" si="29"/>
        <v>3840</v>
      </c>
      <c r="N41" s="10">
        <f t="shared" si="29"/>
        <v>5846.578947</v>
      </c>
      <c r="O41" s="10">
        <f t="shared" si="29"/>
        <v>6159.346154</v>
      </c>
      <c r="P41" s="10">
        <f t="shared" si="29"/>
        <v>5278.1068</v>
      </c>
      <c r="Q41" s="10">
        <f t="shared" si="29"/>
        <v>5280.173913</v>
      </c>
      <c r="R41" s="10">
        <f t="shared" si="29"/>
        <v>5955.555556</v>
      </c>
      <c r="S41" s="10">
        <f t="shared" si="29"/>
        <v>5720.192308</v>
      </c>
      <c r="T41" s="10">
        <f t="shared" si="29"/>
        <v>5823.363636</v>
      </c>
      <c r="U41" s="10">
        <f t="shared" si="29"/>
        <v>5798.076923</v>
      </c>
      <c r="V41" s="10">
        <f>SUM(V4,V39)/V56</f>
        <v>7053.378077</v>
      </c>
      <c r="W41" s="10">
        <f>SUM(W4)/W56</f>
        <v>6639.666667</v>
      </c>
      <c r="X41" s="10">
        <f>SUM(X4,X39)/X56</f>
        <v>7361.004891</v>
      </c>
      <c r="Y41" s="10">
        <f>SUM(Y4)/Y56</f>
        <v>7490.714286</v>
      </c>
      <c r="Z41" s="10">
        <f>SUM(Z4,Z39)/Z56</f>
        <v>7551.39064</v>
      </c>
      <c r="AA41" s="10">
        <f>SUM(AA4)/AA56</f>
        <v>8680.027174</v>
      </c>
      <c r="AB41" s="10">
        <f>SUM(AB4,AB39)/AB56</f>
        <v>7741.464686</v>
      </c>
      <c r="AC41" s="10">
        <f>SUM(AC4)/AC56</f>
        <v>7514.512195</v>
      </c>
      <c r="AD41" s="10">
        <f>SUM(AD4,AD39)/AD56</f>
        <v>8230.876715</v>
      </c>
      <c r="AE41" s="10">
        <f>SUM(AE4)/AE56</f>
        <v>7341.346154</v>
      </c>
      <c r="AF41" s="10">
        <f>SUM(AF4,AF39)/AF56</f>
        <v>8662.229528</v>
      </c>
      <c r="AG41" s="10">
        <f>SUM(AG4)/AG56</f>
        <v>7919.768519</v>
      </c>
      <c r="AH41" s="10">
        <f>SUM(AH4,AH39)/AH56</f>
        <v>8917.142469</v>
      </c>
      <c r="AI41" s="10">
        <f>SUM(AI4)/AI56</f>
        <v>9084.558824</v>
      </c>
      <c r="AJ41" s="10">
        <f>SUM(AJ4,AJ39)/AJ56</f>
        <v>9404.64617</v>
      </c>
      <c r="AK41" s="10">
        <f>SUM(AK4)/AK56</f>
        <v>8075.3125</v>
      </c>
      <c r="AL41" s="10">
        <f>SUM(AL4,AL39)/AL56</f>
        <v>9948.986834</v>
      </c>
      <c r="AM41" s="10">
        <f>SUM(AM4)/AM56</f>
        <v>8549.5</v>
      </c>
      <c r="AN41" s="10">
        <f>SUM(AN4,AN39)/AN56</f>
        <v>9200</v>
      </c>
      <c r="AO41" s="10">
        <f>SUM(AO4)/AO56</f>
        <v>6853.447368</v>
      </c>
      <c r="AP41" s="10">
        <f>SUM(AP4,AP39)/AP56</f>
        <v>9315.636364</v>
      </c>
      <c r="AQ41" s="10">
        <f>SUM(AQ4)/AQ56</f>
        <v>7154.842105</v>
      </c>
      <c r="AR41" s="10">
        <f>SUM(AR4,AR39)/AR56</f>
        <v>10315.46919</v>
      </c>
      <c r="AS41" s="10">
        <f>SUM(AS4)/AS56</f>
        <v>7359.375</v>
      </c>
      <c r="AT41" s="10">
        <f>SUM(AT4,AT39)/AT56</f>
        <v>10181.39222</v>
      </c>
      <c r="AU41" s="10">
        <f>SUM(AU4)/AU56</f>
        <v>7327.930851</v>
      </c>
      <c r="AV41" s="10">
        <f>SUM(AV4,AV39)/AV56</f>
        <v>10100.23228</v>
      </c>
      <c r="AW41" s="10">
        <f>SUM(AW4)/AW56</f>
        <v>8224.090909</v>
      </c>
      <c r="AX41" s="10">
        <f>SUM(AX4,AX39)/AX56</f>
        <v>9902.870056</v>
      </c>
      <c r="AY41" s="10">
        <f>SUM(AY4)/AY56</f>
        <v>7367.051471</v>
      </c>
      <c r="AZ41" s="10">
        <f>SUM(AZ4,AZ39)/AZ56</f>
        <v>10027.74928</v>
      </c>
      <c r="BA41" s="10">
        <f>SUM(BA4)/BA56</f>
        <v>6658.46125</v>
      </c>
      <c r="BB41" s="10">
        <f>SUM(BB4,BB39)/BB56</f>
        <v>10353.81681</v>
      </c>
      <c r="BC41" s="10">
        <f>SUM(BC4)/BC56</f>
        <v>6902.765957</v>
      </c>
      <c r="BD41" s="10">
        <f>SUM(BD4,BD39)/BD56</f>
        <v>10300.69445</v>
      </c>
      <c r="BE41" s="10">
        <f>SUM(BE4)/BE56</f>
        <v>6581.146667</v>
      </c>
      <c r="BF41" s="10">
        <f>SUM(BF4,BF39)/BF56</f>
        <v>10228.22226</v>
      </c>
      <c r="BG41" s="10">
        <f>SUM(BG4)/BG56</f>
        <v>7039.277778</v>
      </c>
      <c r="BH41" s="10">
        <f>SUM(BH4,BH39)/BH56</f>
        <v>10222.34124</v>
      </c>
      <c r="BI41" s="10">
        <f>SUM(BI4)/BI56</f>
        <v>7396.9512</v>
      </c>
      <c r="BJ41" s="10">
        <f>SUM(BJ4,BJ39)/BJ56</f>
        <v>10587.26831</v>
      </c>
      <c r="BK41" s="10">
        <f>SUM(BK4)/BK56</f>
        <v>6513.26898</v>
      </c>
      <c r="BL41" s="10">
        <f>SUM(BL4,BL39)/BL56</f>
        <v>6846.919925</v>
      </c>
      <c r="BM41" s="10">
        <f>SUM(BM4)/BM56</f>
        <v>7351.923811</v>
      </c>
      <c r="BN41" s="10">
        <f>SUM(BN4,BN39)/BN56</f>
        <v>6962.388952</v>
      </c>
      <c r="BO41" s="10">
        <f>SUM(BO4)/BO56</f>
        <v>7826.770207</v>
      </c>
      <c r="BP41" s="10">
        <f>SUM(BP4,BP39)/BP56</f>
        <v>7080.737702</v>
      </c>
      <c r="BQ41" s="10">
        <f>SUM(BQ4)/BQ56</f>
        <v>6966.233535</v>
      </c>
      <c r="BR41" s="10">
        <f>SUM(BR4,BR39)/BR56</f>
        <v>7326.534213</v>
      </c>
      <c r="BS41" s="10">
        <f>SUM(BS4)/BS56</f>
        <v>6654.245541</v>
      </c>
      <c r="BT41" s="10">
        <f>SUM(BT4,BT39)/BT56</f>
        <v>7386.848918</v>
      </c>
      <c r="BU41" s="10">
        <f>SUM(BU4)/BU56</f>
        <v>7323.380952</v>
      </c>
      <c r="BV41" s="10">
        <f>SUM(BV4,BV39)/BV56</f>
        <v>7942.697791</v>
      </c>
      <c r="BW41" s="10">
        <f>SUM(BW4)/BW56</f>
        <v>7989.186275</v>
      </c>
      <c r="BX41" s="10">
        <f>SUM(BX4,BX39)/BX56</f>
        <v>8085.80235</v>
      </c>
      <c r="BY41" s="10">
        <f>SUM(BY4)/BY56</f>
        <v>6966.530864</v>
      </c>
      <c r="BZ41" s="10">
        <f>SUM(BZ4,BZ39)/BZ56</f>
        <v>8387.627997</v>
      </c>
      <c r="CA41" s="10">
        <f>SUM(CA4)/CA56</f>
        <v>7798.555111</v>
      </c>
      <c r="CB41" s="10">
        <f>SUM(CB4,CB39)/CB56</f>
        <v>8609.884527</v>
      </c>
      <c r="CC41" s="10">
        <f>SUM(CC4)/CC56</f>
        <v>6879.744898</v>
      </c>
      <c r="CD41" s="10">
        <f>SUM(CD4,CD39)/CD56</f>
        <v>8918.726227</v>
      </c>
      <c r="CE41" s="10">
        <f>SUM(CE4)/CE56</f>
        <v>7033.985714</v>
      </c>
      <c r="CF41" s="10">
        <f>SUM(CF4,CF39)/CF56</f>
        <v>9036.606021</v>
      </c>
      <c r="CG41" s="10">
        <f>SUM(CG4)/CG56</f>
        <v>7902.742273</v>
      </c>
      <c r="CH41" s="10">
        <f>SUM(CH4,CH39)/CH56</f>
        <v>9233.176722</v>
      </c>
      <c r="CI41" s="10">
        <f>SUM(CI4)/CI56</f>
        <v>7798.666667</v>
      </c>
      <c r="CJ41" s="10">
        <f>SUM(CJ4,CJ39)/CJ56</f>
        <v>9594.690664</v>
      </c>
      <c r="CK41" s="10">
        <f>SUM(CK4)/CK56</f>
        <v>7224.828533</v>
      </c>
      <c r="CL41" s="10">
        <f t="shared" ref="CL41:CM41" si="30">SUM(CL4,CL39)/CL56</f>
        <v>9823.373945</v>
      </c>
      <c r="CM41" s="10">
        <f t="shared" si="30"/>
        <v>10184.84848</v>
      </c>
      <c r="CO41" s="7" t="s">
        <v>16</v>
      </c>
      <c r="CP41" s="12" t="b">
        <f t="shared" si="4"/>
        <v>1</v>
      </c>
    </row>
    <row r="42" ht="15.75" customHeight="1">
      <c r="D42" s="13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O42" s="13"/>
      <c r="CP42" s="12" t="b">
        <f t="shared" si="4"/>
        <v>1</v>
      </c>
    </row>
    <row r="43" ht="15.75" customHeight="1">
      <c r="D43" s="18" t="s">
        <v>5</v>
      </c>
      <c r="E43" s="14">
        <f t="shared" ref="E43:CM43" si="31">IFERROR((SUM(E6)/E58),0)</f>
        <v>0</v>
      </c>
      <c r="F43" s="14">
        <f t="shared" si="31"/>
        <v>8000</v>
      </c>
      <c r="G43" s="14">
        <f t="shared" si="31"/>
        <v>5000</v>
      </c>
      <c r="H43" s="14">
        <f t="shared" si="31"/>
        <v>0</v>
      </c>
      <c r="I43" s="14">
        <f t="shared" si="31"/>
        <v>0</v>
      </c>
      <c r="J43" s="14">
        <f t="shared" si="31"/>
        <v>0</v>
      </c>
      <c r="K43" s="14">
        <f t="shared" si="31"/>
        <v>9000</v>
      </c>
      <c r="L43" s="14">
        <f t="shared" si="31"/>
        <v>6500</v>
      </c>
      <c r="M43" s="14">
        <f t="shared" si="31"/>
        <v>0</v>
      </c>
      <c r="N43" s="14">
        <f t="shared" si="31"/>
        <v>7500</v>
      </c>
      <c r="O43" s="14">
        <f t="shared" si="31"/>
        <v>3900</v>
      </c>
      <c r="P43" s="14">
        <f t="shared" si="31"/>
        <v>8700</v>
      </c>
      <c r="Q43" s="14">
        <f t="shared" si="31"/>
        <v>8333.333333</v>
      </c>
      <c r="R43" s="14">
        <f t="shared" si="31"/>
        <v>9180</v>
      </c>
      <c r="S43" s="14">
        <f t="shared" si="31"/>
        <v>5150</v>
      </c>
      <c r="T43" s="14">
        <f t="shared" si="31"/>
        <v>6700</v>
      </c>
      <c r="U43" s="14">
        <f t="shared" si="31"/>
        <v>7642.222222</v>
      </c>
      <c r="V43" s="14">
        <f t="shared" si="31"/>
        <v>8791.981111</v>
      </c>
      <c r="W43" s="14">
        <f t="shared" si="31"/>
        <v>9083.333333</v>
      </c>
      <c r="X43" s="14">
        <f t="shared" si="31"/>
        <v>9668.265283</v>
      </c>
      <c r="Y43" s="14">
        <f t="shared" si="31"/>
        <v>9865.833333</v>
      </c>
      <c r="Z43" s="14">
        <f t="shared" si="31"/>
        <v>10028.14487</v>
      </c>
      <c r="AA43" s="14">
        <f t="shared" si="31"/>
        <v>10702.38095</v>
      </c>
      <c r="AB43" s="14">
        <f t="shared" si="31"/>
        <v>10395.45972</v>
      </c>
      <c r="AC43" s="14">
        <f t="shared" si="31"/>
        <v>12300</v>
      </c>
      <c r="AD43" s="14">
        <f t="shared" si="31"/>
        <v>11433.37282</v>
      </c>
      <c r="AE43" s="14">
        <f t="shared" si="31"/>
        <v>9858.333333</v>
      </c>
      <c r="AF43" s="14">
        <f t="shared" si="31"/>
        <v>12026.98989</v>
      </c>
      <c r="AG43" s="14">
        <f t="shared" si="31"/>
        <v>9573.333333</v>
      </c>
      <c r="AH43" s="14">
        <f t="shared" si="31"/>
        <v>12459.30767</v>
      </c>
      <c r="AI43" s="14">
        <f t="shared" si="31"/>
        <v>10605.88235</v>
      </c>
      <c r="AJ43" s="14">
        <f t="shared" si="31"/>
        <v>13030.01785</v>
      </c>
      <c r="AK43" s="14">
        <f t="shared" si="31"/>
        <v>11200</v>
      </c>
      <c r="AL43" s="14">
        <f t="shared" si="31"/>
        <v>13991.82152</v>
      </c>
      <c r="AM43" s="14">
        <f t="shared" si="31"/>
        <v>9668.181818</v>
      </c>
      <c r="AN43" s="14">
        <f t="shared" si="31"/>
        <v>12214.28571</v>
      </c>
      <c r="AO43" s="14">
        <f t="shared" si="31"/>
        <v>8800</v>
      </c>
      <c r="AP43" s="14">
        <f t="shared" si="31"/>
        <v>12387.85714</v>
      </c>
      <c r="AQ43" s="14">
        <f t="shared" si="31"/>
        <v>9382.5</v>
      </c>
      <c r="AR43" s="14">
        <f t="shared" si="31"/>
        <v>13682.53333</v>
      </c>
      <c r="AS43" s="14">
        <f t="shared" si="31"/>
        <v>8658.333333</v>
      </c>
      <c r="AT43" s="14">
        <f t="shared" si="31"/>
        <v>13238.14606</v>
      </c>
      <c r="AU43" s="14">
        <f t="shared" si="31"/>
        <v>9941.176471</v>
      </c>
      <c r="AV43" s="14">
        <f t="shared" si="31"/>
        <v>13216.69088</v>
      </c>
      <c r="AW43" s="14">
        <f t="shared" si="31"/>
        <v>10264.28571</v>
      </c>
      <c r="AX43" s="14">
        <f t="shared" si="31"/>
        <v>13078.55577</v>
      </c>
      <c r="AY43" s="14">
        <f t="shared" si="31"/>
        <v>9267.1875</v>
      </c>
      <c r="AZ43" s="14">
        <f t="shared" si="31"/>
        <v>12232.55575</v>
      </c>
      <c r="BA43" s="14">
        <f t="shared" si="31"/>
        <v>8779.71</v>
      </c>
      <c r="BB43" s="14">
        <f t="shared" si="31"/>
        <v>12590.1836</v>
      </c>
      <c r="BC43" s="14">
        <f t="shared" si="31"/>
        <v>8012.5</v>
      </c>
      <c r="BD43" s="14">
        <f t="shared" si="31"/>
        <v>12436.7776</v>
      </c>
      <c r="BE43" s="14">
        <f t="shared" si="31"/>
        <v>8014.705882</v>
      </c>
      <c r="BF43" s="14">
        <f t="shared" si="31"/>
        <v>12354.27079</v>
      </c>
      <c r="BG43" s="14">
        <f t="shared" si="31"/>
        <v>8442</v>
      </c>
      <c r="BH43" s="14">
        <f t="shared" si="31"/>
        <v>12354.90175</v>
      </c>
      <c r="BI43" s="14">
        <f t="shared" si="31"/>
        <v>8959.657895</v>
      </c>
      <c r="BJ43" s="14">
        <f t="shared" si="31"/>
        <v>12881.06925</v>
      </c>
      <c r="BK43" s="14">
        <f t="shared" si="31"/>
        <v>7551.851852</v>
      </c>
      <c r="BL43" s="14">
        <f t="shared" si="31"/>
        <v>9029.553512</v>
      </c>
      <c r="BM43" s="14">
        <f t="shared" si="31"/>
        <v>9029.4</v>
      </c>
      <c r="BN43" s="14">
        <f t="shared" si="31"/>
        <v>9237.472709</v>
      </c>
      <c r="BO43" s="14">
        <f t="shared" si="31"/>
        <v>9324.214286</v>
      </c>
      <c r="BP43" s="14">
        <f t="shared" si="31"/>
        <v>9392.755159</v>
      </c>
      <c r="BQ43" s="14">
        <f t="shared" si="31"/>
        <v>7705.660377</v>
      </c>
      <c r="BR43" s="14">
        <f t="shared" si="31"/>
        <v>9750</v>
      </c>
      <c r="BS43" s="14">
        <f t="shared" si="31"/>
        <v>7787.5</v>
      </c>
      <c r="BT43" s="14">
        <f t="shared" si="31"/>
        <v>9956.25</v>
      </c>
      <c r="BU43" s="14">
        <f t="shared" si="31"/>
        <v>7562.040816</v>
      </c>
      <c r="BV43" s="14">
        <f t="shared" si="31"/>
        <v>10177.96875</v>
      </c>
      <c r="BW43" s="14">
        <f t="shared" si="31"/>
        <v>10392.96364</v>
      </c>
      <c r="BX43" s="14">
        <f t="shared" si="31"/>
        <v>10416.31641</v>
      </c>
      <c r="BY43" s="14">
        <f t="shared" si="31"/>
        <v>8929.642857</v>
      </c>
      <c r="BZ43" s="14">
        <f t="shared" si="31"/>
        <v>10672.54014</v>
      </c>
      <c r="CA43" s="14">
        <f t="shared" si="31"/>
        <v>10409.79592</v>
      </c>
      <c r="CB43" s="14">
        <f t="shared" si="31"/>
        <v>10947.98065</v>
      </c>
      <c r="CC43" s="14">
        <f t="shared" si="31"/>
        <v>8645.1</v>
      </c>
      <c r="CD43" s="14">
        <f t="shared" si="31"/>
        <v>11244.0792</v>
      </c>
      <c r="CE43" s="14">
        <f t="shared" si="31"/>
        <v>8690.967742</v>
      </c>
      <c r="CF43" s="14">
        <f t="shared" si="31"/>
        <v>11562.38514</v>
      </c>
      <c r="CG43" s="14">
        <f t="shared" si="31"/>
        <v>10563.47826</v>
      </c>
      <c r="CH43" s="14">
        <f t="shared" si="31"/>
        <v>11904.56402</v>
      </c>
      <c r="CI43" s="14">
        <f t="shared" si="31"/>
        <v>10113.83929</v>
      </c>
      <c r="CJ43" s="14">
        <f t="shared" si="31"/>
        <v>12272.40632</v>
      </c>
      <c r="CK43" s="14">
        <f t="shared" si="31"/>
        <v>9826.470588</v>
      </c>
      <c r="CL43" s="14">
        <f t="shared" si="31"/>
        <v>12667.8368</v>
      </c>
      <c r="CM43" s="14">
        <f t="shared" si="31"/>
        <v>13092.92456</v>
      </c>
      <c r="CO43" s="18" t="s">
        <v>5</v>
      </c>
      <c r="CP43" s="12" t="b">
        <f t="shared" si="4"/>
        <v>1</v>
      </c>
    </row>
    <row r="44" ht="15.75" customHeight="1">
      <c r="D44" s="18" t="s">
        <v>7</v>
      </c>
      <c r="E44" s="14">
        <f t="shared" ref="E44:CM44" si="32">IFERROR((SUM(E7)/E59),0)</f>
        <v>6000</v>
      </c>
      <c r="F44" s="14">
        <f t="shared" si="32"/>
        <v>6333.333333</v>
      </c>
      <c r="G44" s="14">
        <f t="shared" si="32"/>
        <v>4428.571429</v>
      </c>
      <c r="H44" s="14">
        <f t="shared" si="32"/>
        <v>4848.8</v>
      </c>
      <c r="I44" s="14">
        <f t="shared" si="32"/>
        <v>5375</v>
      </c>
      <c r="J44" s="14">
        <f t="shared" si="32"/>
        <v>7282.909091</v>
      </c>
      <c r="K44" s="14">
        <f t="shared" si="32"/>
        <v>7003.703333</v>
      </c>
      <c r="L44" s="14">
        <f t="shared" si="32"/>
        <v>5042.857143</v>
      </c>
      <c r="M44" s="14">
        <f t="shared" si="32"/>
        <v>3840</v>
      </c>
      <c r="N44" s="14">
        <f t="shared" si="32"/>
        <v>5754.722222</v>
      </c>
      <c r="O44" s="14">
        <f t="shared" si="32"/>
        <v>6697.285714</v>
      </c>
      <c r="P44" s="14">
        <f t="shared" si="32"/>
        <v>4980.55087</v>
      </c>
      <c r="Q44" s="14">
        <f t="shared" si="32"/>
        <v>4822.2</v>
      </c>
      <c r="R44" s="14">
        <f t="shared" si="32"/>
        <v>5222.727273</v>
      </c>
      <c r="S44" s="14">
        <f t="shared" si="32"/>
        <v>5823.863636</v>
      </c>
      <c r="T44" s="14">
        <f t="shared" si="32"/>
        <v>5666.821429</v>
      </c>
      <c r="U44" s="14">
        <f t="shared" si="32"/>
        <v>5091.808511</v>
      </c>
      <c r="V44" s="14">
        <f t="shared" si="32"/>
        <v>6132.941176</v>
      </c>
      <c r="W44" s="14">
        <f t="shared" si="32"/>
        <v>5553.592593</v>
      </c>
      <c r="X44" s="14">
        <f t="shared" si="32"/>
        <v>6275.235294</v>
      </c>
      <c r="Y44" s="14">
        <f t="shared" si="32"/>
        <v>6540.666667</v>
      </c>
      <c r="Z44" s="14">
        <f t="shared" si="32"/>
        <v>6419.160134</v>
      </c>
      <c r="AA44" s="14">
        <f t="shared" si="32"/>
        <v>6981.25</v>
      </c>
      <c r="AB44" s="14">
        <f t="shared" si="32"/>
        <v>6570.584522</v>
      </c>
      <c r="AC44" s="14">
        <f t="shared" si="32"/>
        <v>5970.806452</v>
      </c>
      <c r="AD44" s="14">
        <f t="shared" si="32"/>
        <v>6723.819723</v>
      </c>
      <c r="AE44" s="14">
        <f t="shared" si="32"/>
        <v>6320.945946</v>
      </c>
      <c r="AF44" s="14">
        <f t="shared" si="32"/>
        <v>6880.885805</v>
      </c>
      <c r="AG44" s="14">
        <f t="shared" si="32"/>
        <v>6266.203704</v>
      </c>
      <c r="AH44" s="14">
        <f t="shared" si="32"/>
        <v>7041.878538</v>
      </c>
      <c r="AI44" s="14">
        <f t="shared" si="32"/>
        <v>7563.235294</v>
      </c>
      <c r="AJ44" s="14">
        <f t="shared" si="32"/>
        <v>7207.451211</v>
      </c>
      <c r="AK44" s="14">
        <f t="shared" si="32"/>
        <v>6392.788462</v>
      </c>
      <c r="AL44" s="14">
        <f t="shared" si="32"/>
        <v>7376.273855</v>
      </c>
      <c r="AM44" s="14">
        <f t="shared" si="32"/>
        <v>7637.981481</v>
      </c>
      <c r="AN44" s="14">
        <f t="shared" si="32"/>
        <v>6978.947368</v>
      </c>
      <c r="AO44" s="14">
        <f t="shared" si="32"/>
        <v>6158.25</v>
      </c>
      <c r="AP44" s="14">
        <f t="shared" si="32"/>
        <v>7051.894737</v>
      </c>
      <c r="AQ44" s="14">
        <f t="shared" si="32"/>
        <v>5534.727273</v>
      </c>
      <c r="AR44" s="14">
        <f t="shared" si="32"/>
        <v>7125.618947</v>
      </c>
      <c r="AS44" s="14">
        <f t="shared" si="32"/>
        <v>6385.15625</v>
      </c>
      <c r="AT44" s="14">
        <f t="shared" si="32"/>
        <v>7706.877214</v>
      </c>
      <c r="AU44" s="14">
        <f t="shared" si="32"/>
        <v>5847.091667</v>
      </c>
      <c r="AV44" s="14">
        <f t="shared" si="32"/>
        <v>7661.264688</v>
      </c>
      <c r="AW44" s="14">
        <f t="shared" si="32"/>
        <v>6108.333333</v>
      </c>
      <c r="AX44" s="14">
        <f t="shared" si="32"/>
        <v>7653.426006</v>
      </c>
      <c r="AY44" s="14">
        <f t="shared" si="32"/>
        <v>5678.041667</v>
      </c>
      <c r="AZ44" s="14">
        <f t="shared" si="32"/>
        <v>7646.5583</v>
      </c>
      <c r="BA44" s="14">
        <f t="shared" si="32"/>
        <v>5180.015152</v>
      </c>
      <c r="BB44" s="14">
        <f t="shared" si="32"/>
        <v>7670.176675</v>
      </c>
      <c r="BC44" s="14">
        <f t="shared" si="32"/>
        <v>5267.368421</v>
      </c>
      <c r="BD44" s="14">
        <f t="shared" si="32"/>
        <v>7918.14016</v>
      </c>
      <c r="BE44" s="14">
        <f t="shared" si="32"/>
        <v>5392.341463</v>
      </c>
      <c r="BF44" s="14">
        <f t="shared" si="32"/>
        <v>7874.382815</v>
      </c>
      <c r="BG44" s="14">
        <f t="shared" si="32"/>
        <v>5285.875</v>
      </c>
      <c r="BH44" s="14">
        <f t="shared" si="32"/>
        <v>7869.171021</v>
      </c>
      <c r="BI44" s="14">
        <f t="shared" si="32"/>
        <v>5417.52272</v>
      </c>
      <c r="BJ44" s="14">
        <f t="shared" si="32"/>
        <v>7897.984448</v>
      </c>
      <c r="BK44" s="14">
        <f t="shared" si="32"/>
        <v>5344.86325</v>
      </c>
      <c r="BL44" s="14">
        <f t="shared" si="32"/>
        <v>4921.06676</v>
      </c>
      <c r="BM44" s="14">
        <f t="shared" si="32"/>
        <v>5093.782788</v>
      </c>
      <c r="BN44" s="14">
        <f t="shared" si="32"/>
        <v>4947.314767</v>
      </c>
      <c r="BO44" s="14">
        <f t="shared" si="32"/>
        <v>5121.709935</v>
      </c>
      <c r="BP44" s="14">
        <f t="shared" si="32"/>
        <v>4961.388366</v>
      </c>
      <c r="BQ44" s="14">
        <f t="shared" si="32"/>
        <v>5986.49297</v>
      </c>
      <c r="BR44" s="14">
        <f t="shared" si="32"/>
        <v>4970.386921</v>
      </c>
      <c r="BS44" s="14">
        <f t="shared" si="32"/>
        <v>5143.239597</v>
      </c>
      <c r="BT44" s="14">
        <f t="shared" si="32"/>
        <v>4964.270756</v>
      </c>
      <c r="BU44" s="14">
        <f t="shared" si="32"/>
        <v>6989.257143</v>
      </c>
      <c r="BV44" s="14">
        <f t="shared" si="32"/>
        <v>4813.318448</v>
      </c>
      <c r="BW44" s="14">
        <f t="shared" si="32"/>
        <v>5176.255319</v>
      </c>
      <c r="BX44" s="14">
        <f t="shared" si="32"/>
        <v>4823.082672</v>
      </c>
      <c r="BY44" s="14">
        <f t="shared" si="32"/>
        <v>4852.410256</v>
      </c>
      <c r="BZ44" s="14">
        <f t="shared" si="32"/>
        <v>4865.055114</v>
      </c>
      <c r="CA44" s="14">
        <f t="shared" si="32"/>
        <v>4677.803902</v>
      </c>
      <c r="CB44" s="14">
        <f t="shared" si="32"/>
        <v>4810.478332</v>
      </c>
      <c r="CC44" s="14">
        <f t="shared" si="32"/>
        <v>5040.833333</v>
      </c>
      <c r="CD44" s="14">
        <f t="shared" si="32"/>
        <v>4821.675758</v>
      </c>
      <c r="CE44" s="14">
        <f t="shared" si="32"/>
        <v>4979.328</v>
      </c>
      <c r="CF44" s="14">
        <f t="shared" si="32"/>
        <v>4863.579658</v>
      </c>
      <c r="CG44" s="14">
        <f t="shared" si="32"/>
        <v>4988.602857</v>
      </c>
      <c r="CH44" s="14">
        <f t="shared" si="32"/>
        <v>4892.172363</v>
      </c>
      <c r="CI44" s="14">
        <f t="shared" si="32"/>
        <v>4980.195652</v>
      </c>
      <c r="CJ44" s="14">
        <f t="shared" si="32"/>
        <v>4937.793868</v>
      </c>
      <c r="CK44" s="14">
        <f t="shared" si="32"/>
        <v>5067.369268</v>
      </c>
      <c r="CL44" s="14">
        <f t="shared" si="32"/>
        <v>4964.083241</v>
      </c>
      <c r="CM44" s="14">
        <f t="shared" si="32"/>
        <v>4974.545515</v>
      </c>
      <c r="CO44" s="18" t="s">
        <v>7</v>
      </c>
      <c r="CP44" s="12" t="b">
        <f t="shared" si="4"/>
        <v>1</v>
      </c>
    </row>
    <row r="45" ht="15.75" customHeight="1">
      <c r="D45" s="18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O45" s="18"/>
      <c r="CP45" s="12" t="b">
        <f t="shared" si="4"/>
        <v>1</v>
      </c>
    </row>
    <row r="46" ht="15.75" customHeight="1">
      <c r="D46" s="7" t="s">
        <v>17</v>
      </c>
      <c r="E46" s="10">
        <f t="shared" ref="E46:CM46" si="33">E81/E142</f>
        <v>6000</v>
      </c>
      <c r="F46" s="10">
        <f t="shared" si="33"/>
        <v>6428.571429</v>
      </c>
      <c r="G46" s="10">
        <f t="shared" si="33"/>
        <v>5400</v>
      </c>
      <c r="H46" s="10">
        <f t="shared" si="33"/>
        <v>5262.2</v>
      </c>
      <c r="I46" s="10">
        <f t="shared" si="33"/>
        <v>5281</v>
      </c>
      <c r="J46" s="10">
        <f t="shared" si="33"/>
        <v>5910.171429</v>
      </c>
      <c r="K46" s="10">
        <f t="shared" si="33"/>
        <v>6197.540667</v>
      </c>
      <c r="L46" s="10">
        <f t="shared" si="33"/>
        <v>6050.742075</v>
      </c>
      <c r="M46" s="10">
        <f t="shared" si="33"/>
        <v>5699.830635</v>
      </c>
      <c r="N46" s="10">
        <f t="shared" si="33"/>
        <v>5733.833293</v>
      </c>
      <c r="O46" s="10">
        <f t="shared" si="33"/>
        <v>5858.308611</v>
      </c>
      <c r="P46" s="10">
        <f t="shared" si="33"/>
        <v>5764.285714</v>
      </c>
      <c r="Q46" s="10">
        <f t="shared" si="33"/>
        <v>5648.6</v>
      </c>
      <c r="R46" s="10">
        <f t="shared" si="33"/>
        <v>5699.255556</v>
      </c>
      <c r="S46" s="10">
        <f t="shared" si="33"/>
        <v>5715.078049</v>
      </c>
      <c r="T46" s="10">
        <f t="shared" si="33"/>
        <v>5749.417722</v>
      </c>
      <c r="U46" s="10">
        <f t="shared" si="33"/>
        <v>5828.0299</v>
      </c>
      <c r="V46" s="10">
        <f t="shared" si="33"/>
        <v>5986.126516</v>
      </c>
      <c r="W46" s="10">
        <f t="shared" si="33"/>
        <v>5951.552239</v>
      </c>
      <c r="X46" s="10">
        <f t="shared" si="33"/>
        <v>6133.723271</v>
      </c>
      <c r="Y46" s="10">
        <f t="shared" si="33"/>
        <v>6193.84</v>
      </c>
      <c r="Z46" s="10">
        <f t="shared" si="33"/>
        <v>6279.767842</v>
      </c>
      <c r="AA46" s="10">
        <f t="shared" si="33"/>
        <v>6589.310859</v>
      </c>
      <c r="AB46" s="14">
        <f t="shared" si="33"/>
        <v>6411.834061</v>
      </c>
      <c r="AC46" s="10">
        <f t="shared" si="33"/>
        <v>6745.306718</v>
      </c>
      <c r="AD46" s="14">
        <f t="shared" si="33"/>
        <v>6548.923985</v>
      </c>
      <c r="AE46" s="10">
        <f t="shared" si="33"/>
        <v>6918.837798</v>
      </c>
      <c r="AF46" s="14">
        <f t="shared" si="33"/>
        <v>6734.613851</v>
      </c>
      <c r="AG46" s="14">
        <f t="shared" si="33"/>
        <v>7035.561031</v>
      </c>
      <c r="AH46" s="14">
        <f t="shared" si="33"/>
        <v>6911.692664</v>
      </c>
      <c r="AI46" s="14">
        <f t="shared" si="33"/>
        <v>7239.059724</v>
      </c>
      <c r="AJ46" s="14">
        <f t="shared" si="33"/>
        <v>7103.261064</v>
      </c>
      <c r="AK46" s="14">
        <f t="shared" si="33"/>
        <v>7353.608576</v>
      </c>
      <c r="AL46" s="14">
        <f t="shared" si="33"/>
        <v>7310.735339</v>
      </c>
      <c r="AM46" s="10">
        <f t="shared" si="33"/>
        <v>7562.614992</v>
      </c>
      <c r="AN46" s="14">
        <f t="shared" si="33"/>
        <v>6652.283617</v>
      </c>
      <c r="AO46" s="11">
        <f t="shared" si="33"/>
        <v>7634.609581</v>
      </c>
      <c r="AP46" s="14">
        <f t="shared" si="33"/>
        <v>6687.342297</v>
      </c>
      <c r="AQ46" s="11">
        <f t="shared" si="33"/>
        <v>7748.556889</v>
      </c>
      <c r="AR46" s="14">
        <f t="shared" si="33"/>
        <v>6771.017773</v>
      </c>
      <c r="AS46" s="11">
        <f t="shared" si="33"/>
        <v>7808.839466</v>
      </c>
      <c r="AT46" s="14">
        <f t="shared" si="33"/>
        <v>6845.3402</v>
      </c>
      <c r="AU46" s="11">
        <f t="shared" si="33"/>
        <v>7891.938275</v>
      </c>
      <c r="AV46" s="14">
        <f t="shared" si="33"/>
        <v>6916.971392</v>
      </c>
      <c r="AW46" s="11">
        <f t="shared" si="33"/>
        <v>8048.58475</v>
      </c>
      <c r="AX46" s="14">
        <f t="shared" si="33"/>
        <v>6974.159696</v>
      </c>
      <c r="AY46" s="11">
        <f t="shared" si="33"/>
        <v>8087.87123</v>
      </c>
      <c r="AZ46" s="14">
        <f t="shared" si="33"/>
        <v>7106.224566</v>
      </c>
      <c r="BA46" s="11">
        <f t="shared" si="33"/>
        <v>8118.960473</v>
      </c>
      <c r="BB46" s="14">
        <f t="shared" si="33"/>
        <v>7289.124688</v>
      </c>
      <c r="BC46" s="11">
        <f t="shared" si="33"/>
        <v>8164.836558</v>
      </c>
      <c r="BD46" s="14">
        <f t="shared" si="33"/>
        <v>7450.965</v>
      </c>
      <c r="BE46" s="11">
        <f t="shared" si="33"/>
        <v>8121.820363</v>
      </c>
      <c r="BF46" s="14">
        <f t="shared" si="33"/>
        <v>7608.484553</v>
      </c>
      <c r="BG46" s="11">
        <f t="shared" si="33"/>
        <v>8150.24485</v>
      </c>
      <c r="BH46" s="14">
        <f t="shared" si="33"/>
        <v>7754.045478</v>
      </c>
      <c r="BI46" s="11">
        <f t="shared" si="33"/>
        <v>8165.571362</v>
      </c>
      <c r="BJ46" s="14">
        <f t="shared" si="33"/>
        <v>7914.589789</v>
      </c>
      <c r="BK46" s="11">
        <f t="shared" si="33"/>
        <v>8070.796584</v>
      </c>
      <c r="BL46" s="14">
        <f t="shared" si="33"/>
        <v>7372.816345</v>
      </c>
      <c r="BM46" s="11">
        <f t="shared" si="33"/>
        <v>8050.766106</v>
      </c>
      <c r="BN46" s="14">
        <f t="shared" si="33"/>
        <v>7394.092428</v>
      </c>
      <c r="BO46" s="11">
        <f t="shared" si="33"/>
        <v>8119.588839</v>
      </c>
      <c r="BP46" s="14">
        <f t="shared" si="33"/>
        <v>7419.032911</v>
      </c>
      <c r="BQ46" s="11">
        <f t="shared" si="33"/>
        <v>8122.184216</v>
      </c>
      <c r="BR46" s="14">
        <f t="shared" si="33"/>
        <v>7452.564452</v>
      </c>
      <c r="BS46" s="11">
        <f t="shared" si="33"/>
        <v>8080.420186</v>
      </c>
      <c r="BT46" s="14">
        <f t="shared" si="33"/>
        <v>7493.701225</v>
      </c>
      <c r="BU46" s="11">
        <f t="shared" si="33"/>
        <v>8092.056146</v>
      </c>
      <c r="BV46" s="14">
        <f t="shared" si="33"/>
        <v>7552.130242</v>
      </c>
      <c r="BW46" s="11">
        <f t="shared" si="33"/>
        <v>8178.799972</v>
      </c>
      <c r="BX46" s="14">
        <f t="shared" si="33"/>
        <v>7620.50941</v>
      </c>
      <c r="BY46" s="11">
        <f t="shared" si="33"/>
        <v>8193.503457</v>
      </c>
      <c r="BZ46" s="14">
        <f t="shared" si="33"/>
        <v>7696.001939</v>
      </c>
      <c r="CA46" s="11">
        <f t="shared" si="33"/>
        <v>8234.535213</v>
      </c>
      <c r="CB46" s="14">
        <f t="shared" si="33"/>
        <v>7783.771393</v>
      </c>
      <c r="CC46" s="11">
        <f t="shared" si="33"/>
        <v>8237.37711</v>
      </c>
      <c r="CD46" s="14">
        <f t="shared" si="33"/>
        <v>7875.616657</v>
      </c>
      <c r="CE46" s="11">
        <f t="shared" si="33"/>
        <v>8245.112088</v>
      </c>
      <c r="CF46" s="14">
        <f t="shared" si="33"/>
        <v>7972.62523</v>
      </c>
      <c r="CG46" s="11">
        <f t="shared" si="33"/>
        <v>8330.20099</v>
      </c>
      <c r="CH46" s="14">
        <f t="shared" si="33"/>
        <v>8074.077665</v>
      </c>
      <c r="CI46" s="11">
        <f t="shared" si="33"/>
        <v>8347.379556</v>
      </c>
      <c r="CJ46" s="14">
        <f t="shared" si="33"/>
        <v>8188.296283</v>
      </c>
      <c r="CK46" s="11">
        <f t="shared" si="33"/>
        <v>8380.692041</v>
      </c>
      <c r="CL46" s="14">
        <f t="shared" si="33"/>
        <v>8310.890156</v>
      </c>
      <c r="CM46" s="14">
        <f t="shared" si="33"/>
        <v>8445.195068</v>
      </c>
      <c r="CO46" s="7" t="s">
        <v>17</v>
      </c>
      <c r="CP46" s="12" t="b">
        <f t="shared" si="4"/>
        <v>1</v>
      </c>
    </row>
    <row r="47" ht="15.75" customHeight="1">
      <c r="D47" s="25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O47" s="25"/>
      <c r="CP47" s="12" t="b">
        <f t="shared" si="4"/>
        <v>1</v>
      </c>
    </row>
    <row r="48" ht="15.75" customHeight="1">
      <c r="D48" s="18" t="s">
        <v>5</v>
      </c>
      <c r="E48" s="14" t="str">
        <f t="shared" ref="E48:CM48" si="34">IFERROR(E96/E149,"")</f>
        <v/>
      </c>
      <c r="F48" s="14">
        <f t="shared" si="34"/>
        <v>8000</v>
      </c>
      <c r="G48" s="14">
        <f t="shared" si="34"/>
        <v>6500</v>
      </c>
      <c r="H48" s="14">
        <f t="shared" si="34"/>
        <v>6500</v>
      </c>
      <c r="I48" s="14">
        <f t="shared" si="34"/>
        <v>6500</v>
      </c>
      <c r="J48" s="14">
        <f t="shared" si="34"/>
        <v>6500</v>
      </c>
      <c r="K48" s="14">
        <f t="shared" si="34"/>
        <v>7333.333333</v>
      </c>
      <c r="L48" s="14">
        <f t="shared" si="34"/>
        <v>7125</v>
      </c>
      <c r="M48" s="14">
        <f t="shared" si="34"/>
        <v>7125</v>
      </c>
      <c r="N48" s="14">
        <f t="shared" si="34"/>
        <v>7200</v>
      </c>
      <c r="O48" s="14">
        <f t="shared" si="34"/>
        <v>5550</v>
      </c>
      <c r="P48" s="14">
        <f t="shared" si="34"/>
        <v>6075</v>
      </c>
      <c r="Q48" s="14">
        <f t="shared" si="34"/>
        <v>6526.666667</v>
      </c>
      <c r="R48" s="14">
        <f t="shared" si="34"/>
        <v>7190</v>
      </c>
      <c r="S48" s="14">
        <f t="shared" si="34"/>
        <v>6850</v>
      </c>
      <c r="T48" s="14">
        <f t="shared" si="34"/>
        <v>6824.137931</v>
      </c>
      <c r="U48" s="14">
        <f t="shared" si="34"/>
        <v>7265.106383</v>
      </c>
      <c r="V48" s="14">
        <f t="shared" si="34"/>
        <v>7680.240923</v>
      </c>
      <c r="W48" s="14">
        <f t="shared" si="34"/>
        <v>7634.915254</v>
      </c>
      <c r="X48" s="14">
        <f t="shared" si="34"/>
        <v>8069.372278</v>
      </c>
      <c r="Y48" s="14">
        <f t="shared" si="34"/>
        <v>8011.971831</v>
      </c>
      <c r="Z48" s="14">
        <f t="shared" si="34"/>
        <v>8392.468789</v>
      </c>
      <c r="AA48" s="14">
        <f t="shared" si="34"/>
        <v>8703.296703</v>
      </c>
      <c r="AB48" s="14">
        <f t="shared" si="34"/>
        <v>8656.01837</v>
      </c>
      <c r="AC48" s="14">
        <f t="shared" si="34"/>
        <v>9158.415842</v>
      </c>
      <c r="AD48" s="14">
        <f t="shared" si="34"/>
        <v>8993.109462</v>
      </c>
      <c r="AE48" s="14">
        <f t="shared" si="34"/>
        <v>9474.784483</v>
      </c>
      <c r="AF48" s="14">
        <f t="shared" si="34"/>
        <v>9369.081502</v>
      </c>
      <c r="AG48" s="14">
        <f t="shared" si="34"/>
        <v>9532.077465</v>
      </c>
      <c r="AH48" s="14">
        <f t="shared" si="34"/>
        <v>9708.252667</v>
      </c>
      <c r="AI48" s="14">
        <f t="shared" si="34"/>
        <v>9654.14557</v>
      </c>
      <c r="AJ48" s="14">
        <f t="shared" si="34"/>
        <v>10069.3141</v>
      </c>
      <c r="AK48" s="14">
        <f t="shared" si="34"/>
        <v>9734.017857</v>
      </c>
      <c r="AL48" s="14">
        <f t="shared" si="34"/>
        <v>10471.13193</v>
      </c>
      <c r="AM48" s="14">
        <f t="shared" si="34"/>
        <v>9755.930851</v>
      </c>
      <c r="AN48" s="14">
        <f t="shared" si="34"/>
        <v>9484.395189</v>
      </c>
      <c r="AO48" s="14">
        <f t="shared" si="34"/>
        <v>9819.606061</v>
      </c>
      <c r="AP48" s="14">
        <f t="shared" si="34"/>
        <v>9631.071265</v>
      </c>
      <c r="AQ48" s="14">
        <f t="shared" si="34"/>
        <v>9878.682464</v>
      </c>
      <c r="AR48" s="14">
        <f t="shared" si="34"/>
        <v>9892.559653</v>
      </c>
      <c r="AS48" s="14">
        <f t="shared" si="34"/>
        <v>9846.560345</v>
      </c>
      <c r="AT48" s="14">
        <f t="shared" si="34"/>
        <v>10078.20967</v>
      </c>
      <c r="AU48" s="14">
        <f t="shared" si="34"/>
        <v>9930.068826</v>
      </c>
      <c r="AV48" s="14">
        <f t="shared" si="34"/>
        <v>10244.95493</v>
      </c>
      <c r="AW48" s="14">
        <f t="shared" si="34"/>
        <v>10066.2938</v>
      </c>
      <c r="AX48" s="14">
        <f t="shared" si="34"/>
        <v>10368.22156</v>
      </c>
      <c r="AY48" s="14">
        <f t="shared" si="34"/>
        <v>10081.79902</v>
      </c>
      <c r="AZ48" s="14">
        <f t="shared" si="34"/>
        <v>10524.01079</v>
      </c>
      <c r="BA48" s="14">
        <f t="shared" si="34"/>
        <v>10157.68755</v>
      </c>
      <c r="BB48" s="14">
        <f t="shared" si="34"/>
        <v>10723.88974</v>
      </c>
      <c r="BC48" s="14">
        <f t="shared" si="34"/>
        <v>10093.74311</v>
      </c>
      <c r="BD48" s="14">
        <f t="shared" si="34"/>
        <v>10873.69394</v>
      </c>
      <c r="BE48" s="14">
        <f t="shared" si="34"/>
        <v>9962.327682</v>
      </c>
      <c r="BF48" s="14">
        <f t="shared" si="34"/>
        <v>11012.20677</v>
      </c>
      <c r="BG48" s="14">
        <f t="shared" si="34"/>
        <v>9989.88656</v>
      </c>
      <c r="BH48" s="14">
        <f t="shared" si="34"/>
        <v>11132.2934</v>
      </c>
      <c r="BI48" s="14">
        <f t="shared" si="34"/>
        <v>9936.562255</v>
      </c>
      <c r="BJ48" s="14">
        <f t="shared" si="34"/>
        <v>11291.56405</v>
      </c>
      <c r="BK48" s="14">
        <f t="shared" si="34"/>
        <v>9712.903634</v>
      </c>
      <c r="BL48" s="14">
        <f t="shared" si="34"/>
        <v>10524.05009</v>
      </c>
      <c r="BM48" s="14">
        <f t="shared" si="34"/>
        <v>9686.087635</v>
      </c>
      <c r="BN48" s="14">
        <f t="shared" si="34"/>
        <v>10484.36966</v>
      </c>
      <c r="BO48" s="14">
        <f t="shared" si="34"/>
        <v>9721.479806</v>
      </c>
      <c r="BP48" s="14">
        <f t="shared" si="34"/>
        <v>10460.11328</v>
      </c>
      <c r="BQ48" s="14">
        <f t="shared" si="34"/>
        <v>9703.101614</v>
      </c>
      <c r="BR48" s="14">
        <f t="shared" si="34"/>
        <v>10435.47338</v>
      </c>
      <c r="BS48" s="14">
        <f t="shared" si="34"/>
        <v>9604.714621</v>
      </c>
      <c r="BT48" s="14">
        <f t="shared" si="34"/>
        <v>10437.79138</v>
      </c>
      <c r="BU48" s="14">
        <f t="shared" si="34"/>
        <v>9498.206114</v>
      </c>
      <c r="BV48" s="14">
        <f t="shared" si="34"/>
        <v>10448.03654</v>
      </c>
      <c r="BW48" s="14">
        <f t="shared" si="34"/>
        <v>9659.883269</v>
      </c>
      <c r="BX48" s="14">
        <f t="shared" si="34"/>
        <v>10494.167</v>
      </c>
      <c r="BY48" s="14">
        <f t="shared" si="34"/>
        <v>9693.504607</v>
      </c>
      <c r="BZ48" s="14">
        <f t="shared" si="34"/>
        <v>10552.96453</v>
      </c>
      <c r="CA48" s="14">
        <f t="shared" si="34"/>
        <v>9781.187525</v>
      </c>
      <c r="CB48" s="14">
        <f t="shared" si="34"/>
        <v>10635.42438</v>
      </c>
      <c r="CC48" s="14">
        <f t="shared" si="34"/>
        <v>9791.030018</v>
      </c>
      <c r="CD48" s="14">
        <f t="shared" si="34"/>
        <v>10721.44678</v>
      </c>
      <c r="CE48" s="14">
        <f t="shared" si="34"/>
        <v>9834.978008</v>
      </c>
      <c r="CF48" s="14">
        <f t="shared" si="34"/>
        <v>10828.67989</v>
      </c>
      <c r="CG48" s="14">
        <f t="shared" si="34"/>
        <v>9940.972746</v>
      </c>
      <c r="CH48" s="14">
        <f t="shared" si="34"/>
        <v>10950.92877</v>
      </c>
      <c r="CI48" s="14">
        <f t="shared" si="34"/>
        <v>9981.896092</v>
      </c>
      <c r="CJ48" s="14">
        <f t="shared" si="34"/>
        <v>11087.71691</v>
      </c>
      <c r="CK48" s="14">
        <f t="shared" si="34"/>
        <v>10078.84335</v>
      </c>
      <c r="CL48" s="14">
        <f t="shared" si="34"/>
        <v>11247.65563</v>
      </c>
      <c r="CM48" s="14">
        <f t="shared" si="34"/>
        <v>11431.1423</v>
      </c>
      <c r="CO48" s="18" t="s">
        <v>5</v>
      </c>
      <c r="CP48" s="12" t="b">
        <f t="shared" si="4"/>
        <v>1</v>
      </c>
    </row>
    <row r="49" ht="15.75" customHeight="1">
      <c r="D49" s="18" t="s">
        <v>7</v>
      </c>
      <c r="E49" s="14">
        <f t="shared" ref="E49:CM49" si="35">IFERROR(E111/E156,"")</f>
        <v>6000</v>
      </c>
      <c r="F49" s="14">
        <f t="shared" si="35"/>
        <v>6166.666667</v>
      </c>
      <c r="G49" s="14">
        <f t="shared" si="35"/>
        <v>5230.769231</v>
      </c>
      <c r="H49" s="14">
        <f t="shared" si="35"/>
        <v>5124.666667</v>
      </c>
      <c r="I49" s="14">
        <f t="shared" si="35"/>
        <v>5170.181818</v>
      </c>
      <c r="J49" s="14">
        <f t="shared" si="35"/>
        <v>5874.424242</v>
      </c>
      <c r="K49" s="14">
        <f t="shared" si="35"/>
        <v>6116.412619</v>
      </c>
      <c r="L49" s="14">
        <f t="shared" si="35"/>
        <v>5963.047551</v>
      </c>
      <c r="M49" s="14">
        <f t="shared" si="35"/>
        <v>5603.208983</v>
      </c>
      <c r="N49" s="14">
        <f t="shared" si="35"/>
        <v>5638.627662</v>
      </c>
      <c r="O49" s="14">
        <f t="shared" si="35"/>
        <v>5889.768673</v>
      </c>
      <c r="P49" s="14">
        <f t="shared" si="35"/>
        <v>5733.471074</v>
      </c>
      <c r="Q49" s="14">
        <f t="shared" si="35"/>
        <v>5554.521429</v>
      </c>
      <c r="R49" s="14">
        <f t="shared" si="35"/>
        <v>5512.9125</v>
      </c>
      <c r="S49" s="14">
        <f t="shared" si="35"/>
        <v>5564.59116</v>
      </c>
      <c r="T49" s="14">
        <f t="shared" si="35"/>
        <v>5599.576923</v>
      </c>
      <c r="U49" s="14">
        <f t="shared" si="35"/>
        <v>5562.114173</v>
      </c>
      <c r="V49" s="14">
        <f t="shared" si="35"/>
        <v>5603.774306</v>
      </c>
      <c r="W49" s="14">
        <f t="shared" si="35"/>
        <v>5591.702899</v>
      </c>
      <c r="X49" s="14">
        <f t="shared" si="35"/>
        <v>5646.805353</v>
      </c>
      <c r="Y49" s="14">
        <f t="shared" si="35"/>
        <v>5769.210526</v>
      </c>
      <c r="Z49" s="14">
        <f t="shared" si="35"/>
        <v>5705.728649</v>
      </c>
      <c r="AA49" s="14">
        <f t="shared" si="35"/>
        <v>6002.808689</v>
      </c>
      <c r="AB49" s="14">
        <f t="shared" si="35"/>
        <v>5768.998658</v>
      </c>
      <c r="AC49" s="14">
        <f t="shared" si="35"/>
        <v>6054.870397</v>
      </c>
      <c r="AD49" s="14">
        <f t="shared" si="35"/>
        <v>5812.792829</v>
      </c>
      <c r="AE49" s="14">
        <f t="shared" si="35"/>
        <v>6154.688789</v>
      </c>
      <c r="AF49" s="14">
        <f t="shared" si="35"/>
        <v>5896.635035</v>
      </c>
      <c r="AG49" s="14">
        <f t="shared" si="35"/>
        <v>6173.01764</v>
      </c>
      <c r="AH49" s="14">
        <f t="shared" si="35"/>
        <v>5981.396842</v>
      </c>
      <c r="AI49" s="14">
        <f t="shared" si="35"/>
        <v>6332.685463</v>
      </c>
      <c r="AJ49" s="14">
        <f t="shared" si="35"/>
        <v>6065.70639</v>
      </c>
      <c r="AK49" s="14">
        <f t="shared" si="35"/>
        <v>6436.386651</v>
      </c>
      <c r="AL49" s="14">
        <f t="shared" si="35"/>
        <v>6151.734799</v>
      </c>
      <c r="AM49" s="14">
        <f t="shared" si="35"/>
        <v>6648.328115</v>
      </c>
      <c r="AN49" s="14">
        <f t="shared" si="35"/>
        <v>5614.161639</v>
      </c>
      <c r="AO49" s="14">
        <f t="shared" si="35"/>
        <v>6716.07603</v>
      </c>
      <c r="AP49" s="14">
        <f t="shared" si="35"/>
        <v>5577.411703</v>
      </c>
      <c r="AQ49" s="14">
        <f t="shared" si="35"/>
        <v>6812.189188</v>
      </c>
      <c r="AR49" s="14">
        <f t="shared" si="35"/>
        <v>5543.277575</v>
      </c>
      <c r="AS49" s="14">
        <f t="shared" si="35"/>
        <v>6859.539779</v>
      </c>
      <c r="AT49" s="14">
        <f t="shared" si="35"/>
        <v>5533.234228</v>
      </c>
      <c r="AU49" s="14">
        <f t="shared" si="35"/>
        <v>6931.216431</v>
      </c>
      <c r="AV49" s="14">
        <f t="shared" si="35"/>
        <v>5526.172302</v>
      </c>
      <c r="AW49" s="14">
        <f t="shared" si="35"/>
        <v>7034.176899</v>
      </c>
      <c r="AX49" s="14">
        <f t="shared" si="35"/>
        <v>5524.459389</v>
      </c>
      <c r="AY49" s="14">
        <f t="shared" si="35"/>
        <v>7035.902431</v>
      </c>
      <c r="AZ49" s="14">
        <f t="shared" si="35"/>
        <v>5571.319176</v>
      </c>
      <c r="BA49" s="14">
        <f t="shared" si="35"/>
        <v>7013.382106</v>
      </c>
      <c r="BB49" s="14">
        <f t="shared" si="35"/>
        <v>5662.130718</v>
      </c>
      <c r="BC49" s="14">
        <f t="shared" si="35"/>
        <v>7063.948431</v>
      </c>
      <c r="BD49" s="14">
        <f t="shared" si="35"/>
        <v>5757.473787</v>
      </c>
      <c r="BE49" s="14">
        <f t="shared" si="35"/>
        <v>7031.14936</v>
      </c>
      <c r="BF49" s="14">
        <f t="shared" si="35"/>
        <v>5852.970825</v>
      </c>
      <c r="BG49" s="14">
        <f t="shared" si="35"/>
        <v>7015.799129</v>
      </c>
      <c r="BH49" s="14">
        <f t="shared" si="35"/>
        <v>5943.535022</v>
      </c>
      <c r="BI49" s="14">
        <f t="shared" si="35"/>
        <v>7017.174017</v>
      </c>
      <c r="BJ49" s="14">
        <f t="shared" si="35"/>
        <v>6033.189522</v>
      </c>
      <c r="BK49" s="14">
        <f t="shared" si="35"/>
        <v>6956.999741</v>
      </c>
      <c r="BL49" s="14">
        <f t="shared" si="35"/>
        <v>5689.000943</v>
      </c>
      <c r="BM49" s="14">
        <f t="shared" si="35"/>
        <v>6896.94359</v>
      </c>
      <c r="BN49" s="14">
        <f t="shared" si="35"/>
        <v>5703.512183</v>
      </c>
      <c r="BO49" s="14">
        <f t="shared" si="35"/>
        <v>6912.304835</v>
      </c>
      <c r="BP49" s="14">
        <f t="shared" si="35"/>
        <v>5714.844993</v>
      </c>
      <c r="BQ49" s="14">
        <f t="shared" si="35"/>
        <v>6876.926868</v>
      </c>
      <c r="BR49" s="14">
        <f t="shared" si="35"/>
        <v>5738.043855</v>
      </c>
      <c r="BS49" s="14">
        <f t="shared" si="35"/>
        <v>6849.333979</v>
      </c>
      <c r="BT49" s="14">
        <f t="shared" si="35"/>
        <v>5764.335518</v>
      </c>
      <c r="BU49" s="14">
        <f t="shared" si="35"/>
        <v>6919.691502</v>
      </c>
      <c r="BV49" s="14">
        <f t="shared" si="35"/>
        <v>5794.855739</v>
      </c>
      <c r="BW49" s="14">
        <f t="shared" si="35"/>
        <v>6910.29569</v>
      </c>
      <c r="BX49" s="14">
        <f t="shared" si="35"/>
        <v>5823.33443</v>
      </c>
      <c r="BY49" s="14">
        <f t="shared" si="35"/>
        <v>6879.282266</v>
      </c>
      <c r="BZ49" s="14">
        <f t="shared" si="35"/>
        <v>5851.532481</v>
      </c>
      <c r="CA49" s="14">
        <f t="shared" si="35"/>
        <v>6856.671237</v>
      </c>
      <c r="CB49" s="14">
        <f t="shared" si="35"/>
        <v>5882.279892</v>
      </c>
      <c r="CC49" s="14">
        <f t="shared" si="35"/>
        <v>6848.228627</v>
      </c>
      <c r="CD49" s="14">
        <f t="shared" si="35"/>
        <v>5919.846969</v>
      </c>
      <c r="CE49" s="14">
        <f t="shared" si="35"/>
        <v>6799.628564</v>
      </c>
      <c r="CF49" s="14">
        <f t="shared" si="35"/>
        <v>5954.387218</v>
      </c>
      <c r="CG49" s="14">
        <f t="shared" si="35"/>
        <v>6841.828302</v>
      </c>
      <c r="CH49" s="14">
        <f t="shared" si="35"/>
        <v>5986.613252</v>
      </c>
      <c r="CI49" s="14">
        <f t="shared" si="35"/>
        <v>6814.920638</v>
      </c>
      <c r="CJ49" s="14">
        <f t="shared" si="35"/>
        <v>6027.307043</v>
      </c>
      <c r="CK49" s="14">
        <f t="shared" si="35"/>
        <v>6788.977567</v>
      </c>
      <c r="CL49" s="14">
        <f t="shared" si="35"/>
        <v>6065.601157</v>
      </c>
      <c r="CM49" s="14">
        <f t="shared" si="35"/>
        <v>6102.135244</v>
      </c>
      <c r="CO49" s="18" t="s">
        <v>7</v>
      </c>
      <c r="CP49" s="12" t="b">
        <f t="shared" si="4"/>
        <v>1</v>
      </c>
    </row>
    <row r="50" ht="15.75" customHeight="1">
      <c r="D50" s="25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O50" s="25"/>
      <c r="CP50" s="12" t="b">
        <f t="shared" si="4"/>
        <v>1</v>
      </c>
    </row>
    <row r="51" ht="15.75" customHeight="1">
      <c r="D51" s="7" t="s">
        <v>18</v>
      </c>
      <c r="E51" s="10">
        <f t="shared" ref="E51:CM51" si="36">E41/12</f>
        <v>500</v>
      </c>
      <c r="F51" s="10">
        <f t="shared" si="36"/>
        <v>562.5</v>
      </c>
      <c r="G51" s="10">
        <f t="shared" si="36"/>
        <v>375</v>
      </c>
      <c r="H51" s="10">
        <f t="shared" si="36"/>
        <v>404.0666667</v>
      </c>
      <c r="I51" s="10">
        <f t="shared" si="36"/>
        <v>447.9166667</v>
      </c>
      <c r="J51" s="10">
        <f t="shared" si="36"/>
        <v>606.9090909</v>
      </c>
      <c r="K51" s="10">
        <f t="shared" si="36"/>
        <v>600.27775</v>
      </c>
      <c r="L51" s="10">
        <f t="shared" si="36"/>
        <v>435.4166667</v>
      </c>
      <c r="M51" s="10">
        <f t="shared" si="36"/>
        <v>320</v>
      </c>
      <c r="N51" s="10">
        <f t="shared" si="36"/>
        <v>487.2149123</v>
      </c>
      <c r="O51" s="10">
        <f t="shared" si="36"/>
        <v>513.2788462</v>
      </c>
      <c r="P51" s="10">
        <f t="shared" si="36"/>
        <v>439.8422333</v>
      </c>
      <c r="Q51" s="10">
        <f t="shared" si="36"/>
        <v>440.0144928</v>
      </c>
      <c r="R51" s="10">
        <f t="shared" si="36"/>
        <v>496.2962963</v>
      </c>
      <c r="S51" s="10">
        <f t="shared" si="36"/>
        <v>476.6826923</v>
      </c>
      <c r="T51" s="10">
        <f t="shared" si="36"/>
        <v>485.280303</v>
      </c>
      <c r="U51" s="10">
        <f t="shared" si="36"/>
        <v>483.1730769</v>
      </c>
      <c r="V51" s="10">
        <f t="shared" si="36"/>
        <v>587.7815064</v>
      </c>
      <c r="W51" s="10">
        <f t="shared" si="36"/>
        <v>553.3055556</v>
      </c>
      <c r="X51" s="10">
        <f t="shared" si="36"/>
        <v>613.4170742</v>
      </c>
      <c r="Y51" s="10">
        <f t="shared" si="36"/>
        <v>624.2261905</v>
      </c>
      <c r="Z51" s="10">
        <f t="shared" si="36"/>
        <v>629.2825534</v>
      </c>
      <c r="AA51" s="10">
        <f t="shared" si="36"/>
        <v>723.3355978</v>
      </c>
      <c r="AB51" s="10">
        <f t="shared" si="36"/>
        <v>645.1220572</v>
      </c>
      <c r="AC51" s="10">
        <f t="shared" si="36"/>
        <v>626.2093496</v>
      </c>
      <c r="AD51" s="10">
        <f t="shared" si="36"/>
        <v>685.9063929</v>
      </c>
      <c r="AE51" s="10">
        <f t="shared" si="36"/>
        <v>611.7788462</v>
      </c>
      <c r="AF51" s="10">
        <f t="shared" si="36"/>
        <v>721.8524607</v>
      </c>
      <c r="AG51" s="10">
        <f t="shared" si="36"/>
        <v>659.9807099</v>
      </c>
      <c r="AH51" s="10">
        <f t="shared" si="36"/>
        <v>743.0952057</v>
      </c>
      <c r="AI51" s="10">
        <f t="shared" si="36"/>
        <v>757.0465686</v>
      </c>
      <c r="AJ51" s="10">
        <f t="shared" si="36"/>
        <v>783.7205142</v>
      </c>
      <c r="AK51" s="10">
        <f t="shared" si="36"/>
        <v>672.9427083</v>
      </c>
      <c r="AL51" s="10">
        <f t="shared" si="36"/>
        <v>829.0822362</v>
      </c>
      <c r="AM51" s="10">
        <f t="shared" si="36"/>
        <v>712.4583333</v>
      </c>
      <c r="AN51" s="10">
        <f t="shared" si="36"/>
        <v>766.6666667</v>
      </c>
      <c r="AO51" s="11">
        <f t="shared" si="36"/>
        <v>571.120614</v>
      </c>
      <c r="AP51" s="10">
        <f t="shared" si="36"/>
        <v>776.3030303</v>
      </c>
      <c r="AQ51" s="11">
        <f t="shared" si="36"/>
        <v>596.2368421</v>
      </c>
      <c r="AR51" s="10">
        <f t="shared" si="36"/>
        <v>859.6224324</v>
      </c>
      <c r="AS51" s="11">
        <f t="shared" si="36"/>
        <v>613.28125</v>
      </c>
      <c r="AT51" s="10">
        <f t="shared" si="36"/>
        <v>848.449352</v>
      </c>
      <c r="AU51" s="11">
        <f t="shared" si="36"/>
        <v>610.6609043</v>
      </c>
      <c r="AV51" s="10">
        <f t="shared" si="36"/>
        <v>841.6860235</v>
      </c>
      <c r="AW51" s="11">
        <f t="shared" si="36"/>
        <v>685.3409091</v>
      </c>
      <c r="AX51" s="10">
        <f t="shared" si="36"/>
        <v>825.2391713</v>
      </c>
      <c r="AY51" s="11">
        <f t="shared" si="36"/>
        <v>613.9209559</v>
      </c>
      <c r="AZ51" s="10">
        <f t="shared" si="36"/>
        <v>835.6457737</v>
      </c>
      <c r="BA51" s="11">
        <f t="shared" si="36"/>
        <v>554.8717708</v>
      </c>
      <c r="BB51" s="10">
        <f t="shared" si="36"/>
        <v>862.8180678</v>
      </c>
      <c r="BC51" s="11">
        <f t="shared" si="36"/>
        <v>575.2304965</v>
      </c>
      <c r="BD51" s="10">
        <f t="shared" si="36"/>
        <v>858.391204</v>
      </c>
      <c r="BE51" s="11">
        <f t="shared" si="36"/>
        <v>548.4288889</v>
      </c>
      <c r="BF51" s="10">
        <f t="shared" si="36"/>
        <v>852.3518551</v>
      </c>
      <c r="BG51" s="11">
        <f t="shared" si="36"/>
        <v>586.6064815</v>
      </c>
      <c r="BH51" s="10">
        <f t="shared" si="36"/>
        <v>851.8617701</v>
      </c>
      <c r="BI51" s="11">
        <f t="shared" si="36"/>
        <v>616.4126</v>
      </c>
      <c r="BJ51" s="10">
        <f t="shared" si="36"/>
        <v>882.2723592</v>
      </c>
      <c r="BK51" s="11">
        <f t="shared" si="36"/>
        <v>542.772415</v>
      </c>
      <c r="BL51" s="10">
        <f t="shared" si="36"/>
        <v>570.5766604</v>
      </c>
      <c r="BM51" s="11">
        <f t="shared" si="36"/>
        <v>612.6603176</v>
      </c>
      <c r="BN51" s="10">
        <f t="shared" si="36"/>
        <v>580.1990793</v>
      </c>
      <c r="BO51" s="11">
        <f t="shared" si="36"/>
        <v>652.2308506</v>
      </c>
      <c r="BP51" s="10">
        <f t="shared" si="36"/>
        <v>590.0614752</v>
      </c>
      <c r="BQ51" s="11">
        <f t="shared" si="36"/>
        <v>580.5194613</v>
      </c>
      <c r="BR51" s="10">
        <f t="shared" si="36"/>
        <v>610.5445178</v>
      </c>
      <c r="BS51" s="11">
        <f t="shared" si="36"/>
        <v>554.5204618</v>
      </c>
      <c r="BT51" s="10">
        <f t="shared" si="36"/>
        <v>615.5707432</v>
      </c>
      <c r="BU51" s="11">
        <f t="shared" si="36"/>
        <v>610.281746</v>
      </c>
      <c r="BV51" s="10">
        <f t="shared" si="36"/>
        <v>661.8914826</v>
      </c>
      <c r="BW51" s="11">
        <f t="shared" si="36"/>
        <v>665.7655229</v>
      </c>
      <c r="BX51" s="10">
        <f t="shared" si="36"/>
        <v>673.8168625</v>
      </c>
      <c r="BY51" s="11">
        <f t="shared" si="36"/>
        <v>580.5442387</v>
      </c>
      <c r="BZ51" s="10">
        <f t="shared" si="36"/>
        <v>698.9689997</v>
      </c>
      <c r="CA51" s="11">
        <f t="shared" si="36"/>
        <v>649.8795926</v>
      </c>
      <c r="CB51" s="10">
        <f t="shared" si="36"/>
        <v>717.4903773</v>
      </c>
      <c r="CC51" s="11">
        <f t="shared" si="36"/>
        <v>573.3120748</v>
      </c>
      <c r="CD51" s="10">
        <f t="shared" si="36"/>
        <v>743.2271856</v>
      </c>
      <c r="CE51" s="11">
        <f t="shared" si="36"/>
        <v>586.1654762</v>
      </c>
      <c r="CF51" s="10">
        <f t="shared" si="36"/>
        <v>753.0505017</v>
      </c>
      <c r="CG51" s="11">
        <f t="shared" si="36"/>
        <v>658.5618561</v>
      </c>
      <c r="CH51" s="10">
        <f t="shared" si="36"/>
        <v>769.4313935</v>
      </c>
      <c r="CI51" s="11">
        <f t="shared" si="36"/>
        <v>649.8888889</v>
      </c>
      <c r="CJ51" s="10">
        <f t="shared" si="36"/>
        <v>799.5575553</v>
      </c>
      <c r="CK51" s="11">
        <f t="shared" si="36"/>
        <v>602.0690444</v>
      </c>
      <c r="CL51" s="10">
        <f t="shared" si="36"/>
        <v>818.6144954</v>
      </c>
      <c r="CM51" s="10">
        <f t="shared" si="36"/>
        <v>848.7373734</v>
      </c>
      <c r="CO51" s="7" t="s">
        <v>18</v>
      </c>
      <c r="CP51" s="12" t="b">
        <f t="shared" si="4"/>
        <v>1</v>
      </c>
    </row>
    <row r="52" ht="15.75" customHeight="1">
      <c r="D52" s="13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O52" s="13"/>
      <c r="CP52" s="12" t="b">
        <f t="shared" si="4"/>
        <v>1</v>
      </c>
    </row>
    <row r="53" ht="15.75" customHeight="1">
      <c r="D53" s="18" t="s">
        <v>5</v>
      </c>
      <c r="E53" s="14">
        <f t="shared" ref="E53:CM53" si="37">E43/12</f>
        <v>0</v>
      </c>
      <c r="F53" s="14">
        <f t="shared" si="37"/>
        <v>666.6666667</v>
      </c>
      <c r="G53" s="14">
        <f t="shared" si="37"/>
        <v>416.6666667</v>
      </c>
      <c r="H53" s="14">
        <f t="shared" si="37"/>
        <v>0</v>
      </c>
      <c r="I53" s="14">
        <f t="shared" si="37"/>
        <v>0</v>
      </c>
      <c r="J53" s="14">
        <f t="shared" si="37"/>
        <v>0</v>
      </c>
      <c r="K53" s="14">
        <f t="shared" si="37"/>
        <v>750</v>
      </c>
      <c r="L53" s="14">
        <f t="shared" si="37"/>
        <v>541.6666667</v>
      </c>
      <c r="M53" s="14">
        <f t="shared" si="37"/>
        <v>0</v>
      </c>
      <c r="N53" s="14">
        <f t="shared" si="37"/>
        <v>625</v>
      </c>
      <c r="O53" s="14">
        <f t="shared" si="37"/>
        <v>325</v>
      </c>
      <c r="P53" s="14">
        <f t="shared" si="37"/>
        <v>725</v>
      </c>
      <c r="Q53" s="14">
        <f t="shared" si="37"/>
        <v>694.4444444</v>
      </c>
      <c r="R53" s="14">
        <f t="shared" si="37"/>
        <v>765</v>
      </c>
      <c r="S53" s="14">
        <f t="shared" si="37"/>
        <v>429.1666667</v>
      </c>
      <c r="T53" s="14">
        <f t="shared" si="37"/>
        <v>558.3333333</v>
      </c>
      <c r="U53" s="14">
        <f t="shared" si="37"/>
        <v>636.8518519</v>
      </c>
      <c r="V53" s="14">
        <f t="shared" si="37"/>
        <v>732.6650926</v>
      </c>
      <c r="W53" s="14">
        <f t="shared" si="37"/>
        <v>756.9444444</v>
      </c>
      <c r="X53" s="14">
        <f t="shared" si="37"/>
        <v>805.6887736</v>
      </c>
      <c r="Y53" s="14">
        <f t="shared" si="37"/>
        <v>822.1527778</v>
      </c>
      <c r="Z53" s="14">
        <f t="shared" si="37"/>
        <v>835.6787394</v>
      </c>
      <c r="AA53" s="14">
        <f t="shared" si="37"/>
        <v>891.8650794</v>
      </c>
      <c r="AB53" s="14">
        <f t="shared" si="37"/>
        <v>866.2883104</v>
      </c>
      <c r="AC53" s="14">
        <f t="shared" si="37"/>
        <v>1025</v>
      </c>
      <c r="AD53" s="14">
        <f t="shared" si="37"/>
        <v>952.7810686</v>
      </c>
      <c r="AE53" s="14">
        <f t="shared" si="37"/>
        <v>821.5277778</v>
      </c>
      <c r="AF53" s="14">
        <f t="shared" si="37"/>
        <v>1002.249158</v>
      </c>
      <c r="AG53" s="14">
        <f t="shared" si="37"/>
        <v>797.7777778</v>
      </c>
      <c r="AH53" s="14">
        <f t="shared" si="37"/>
        <v>1038.275639</v>
      </c>
      <c r="AI53" s="14">
        <f t="shared" si="37"/>
        <v>883.8235294</v>
      </c>
      <c r="AJ53" s="14">
        <f t="shared" si="37"/>
        <v>1085.834821</v>
      </c>
      <c r="AK53" s="14">
        <f t="shared" si="37"/>
        <v>933.3333333</v>
      </c>
      <c r="AL53" s="14">
        <f t="shared" si="37"/>
        <v>1165.985126</v>
      </c>
      <c r="AM53" s="14">
        <f t="shared" si="37"/>
        <v>805.6818182</v>
      </c>
      <c r="AN53" s="14">
        <f t="shared" si="37"/>
        <v>1017.857143</v>
      </c>
      <c r="AO53" s="14">
        <f t="shared" si="37"/>
        <v>733.3333333</v>
      </c>
      <c r="AP53" s="14">
        <f t="shared" si="37"/>
        <v>1032.321429</v>
      </c>
      <c r="AQ53" s="14">
        <f t="shared" si="37"/>
        <v>781.875</v>
      </c>
      <c r="AR53" s="14">
        <f t="shared" si="37"/>
        <v>1140.211111</v>
      </c>
      <c r="AS53" s="14">
        <f t="shared" si="37"/>
        <v>721.5277778</v>
      </c>
      <c r="AT53" s="14">
        <f t="shared" si="37"/>
        <v>1103.178838</v>
      </c>
      <c r="AU53" s="14">
        <f t="shared" si="37"/>
        <v>828.4313725</v>
      </c>
      <c r="AV53" s="14">
        <f t="shared" si="37"/>
        <v>1101.390906</v>
      </c>
      <c r="AW53" s="14">
        <f t="shared" si="37"/>
        <v>855.3571429</v>
      </c>
      <c r="AX53" s="14">
        <f t="shared" si="37"/>
        <v>1089.879648</v>
      </c>
      <c r="AY53" s="14">
        <f t="shared" si="37"/>
        <v>772.265625</v>
      </c>
      <c r="AZ53" s="14">
        <f t="shared" si="37"/>
        <v>1019.379646</v>
      </c>
      <c r="BA53" s="14">
        <f t="shared" si="37"/>
        <v>731.6425</v>
      </c>
      <c r="BB53" s="14">
        <f t="shared" si="37"/>
        <v>1049.181966</v>
      </c>
      <c r="BC53" s="14">
        <f t="shared" si="37"/>
        <v>667.7083333</v>
      </c>
      <c r="BD53" s="14">
        <f t="shared" si="37"/>
        <v>1036.398134</v>
      </c>
      <c r="BE53" s="14">
        <f t="shared" si="37"/>
        <v>667.8921569</v>
      </c>
      <c r="BF53" s="14">
        <f t="shared" si="37"/>
        <v>1029.522566</v>
      </c>
      <c r="BG53" s="14">
        <f t="shared" si="37"/>
        <v>703.5</v>
      </c>
      <c r="BH53" s="14">
        <f t="shared" si="37"/>
        <v>1029.575146</v>
      </c>
      <c r="BI53" s="14">
        <f t="shared" si="37"/>
        <v>746.6381579</v>
      </c>
      <c r="BJ53" s="14">
        <f t="shared" si="37"/>
        <v>1073.422438</v>
      </c>
      <c r="BK53" s="14">
        <f t="shared" si="37"/>
        <v>629.3209877</v>
      </c>
      <c r="BL53" s="14">
        <f t="shared" si="37"/>
        <v>752.4627927</v>
      </c>
      <c r="BM53" s="14">
        <f t="shared" si="37"/>
        <v>752.45</v>
      </c>
      <c r="BN53" s="14">
        <f t="shared" si="37"/>
        <v>769.7893924</v>
      </c>
      <c r="BO53" s="14">
        <f t="shared" si="37"/>
        <v>777.0178571</v>
      </c>
      <c r="BP53" s="14">
        <f t="shared" si="37"/>
        <v>782.7295966</v>
      </c>
      <c r="BQ53" s="14">
        <f t="shared" si="37"/>
        <v>642.1383648</v>
      </c>
      <c r="BR53" s="14">
        <f t="shared" si="37"/>
        <v>812.5</v>
      </c>
      <c r="BS53" s="14">
        <f t="shared" si="37"/>
        <v>648.9583333</v>
      </c>
      <c r="BT53" s="14">
        <f t="shared" si="37"/>
        <v>829.6875</v>
      </c>
      <c r="BU53" s="14">
        <f t="shared" si="37"/>
        <v>630.170068</v>
      </c>
      <c r="BV53" s="14">
        <f t="shared" si="37"/>
        <v>848.1640625</v>
      </c>
      <c r="BW53" s="14">
        <f t="shared" si="37"/>
        <v>866.080303</v>
      </c>
      <c r="BX53" s="14">
        <f t="shared" si="37"/>
        <v>868.0263672</v>
      </c>
      <c r="BY53" s="14">
        <f t="shared" si="37"/>
        <v>744.1369048</v>
      </c>
      <c r="BZ53" s="14">
        <f t="shared" si="37"/>
        <v>889.3783447</v>
      </c>
      <c r="CA53" s="14">
        <f t="shared" si="37"/>
        <v>867.4829932</v>
      </c>
      <c r="CB53" s="14">
        <f t="shared" si="37"/>
        <v>912.3317206</v>
      </c>
      <c r="CC53" s="14">
        <f t="shared" si="37"/>
        <v>720.425</v>
      </c>
      <c r="CD53" s="14">
        <f t="shared" si="37"/>
        <v>937.0065996</v>
      </c>
      <c r="CE53" s="14">
        <f t="shared" si="37"/>
        <v>724.2473118</v>
      </c>
      <c r="CF53" s="14">
        <f t="shared" si="37"/>
        <v>963.5320946</v>
      </c>
      <c r="CG53" s="14">
        <f t="shared" si="37"/>
        <v>880.2898551</v>
      </c>
      <c r="CH53" s="14">
        <f t="shared" si="37"/>
        <v>992.0470017</v>
      </c>
      <c r="CI53" s="14">
        <f t="shared" si="37"/>
        <v>842.8199405</v>
      </c>
      <c r="CJ53" s="14">
        <f t="shared" si="37"/>
        <v>1022.700527</v>
      </c>
      <c r="CK53" s="14">
        <f t="shared" si="37"/>
        <v>818.872549</v>
      </c>
      <c r="CL53" s="14">
        <f t="shared" si="37"/>
        <v>1055.653066</v>
      </c>
      <c r="CM53" s="14">
        <f t="shared" si="37"/>
        <v>1091.077046</v>
      </c>
      <c r="CO53" s="18" t="s">
        <v>5</v>
      </c>
      <c r="CP53" s="12" t="b">
        <f t="shared" si="4"/>
        <v>1</v>
      </c>
    </row>
    <row r="54" ht="15.75" customHeight="1">
      <c r="D54" s="18" t="s">
        <v>7</v>
      </c>
      <c r="E54" s="14">
        <f t="shared" ref="E54:CM54" si="38">E44/12</f>
        <v>500</v>
      </c>
      <c r="F54" s="14">
        <f t="shared" si="38"/>
        <v>527.7777778</v>
      </c>
      <c r="G54" s="14">
        <f t="shared" si="38"/>
        <v>369.047619</v>
      </c>
      <c r="H54" s="14">
        <f t="shared" si="38"/>
        <v>404.0666667</v>
      </c>
      <c r="I54" s="14">
        <f t="shared" si="38"/>
        <v>447.9166667</v>
      </c>
      <c r="J54" s="14">
        <f t="shared" si="38"/>
        <v>606.9090909</v>
      </c>
      <c r="K54" s="14">
        <f t="shared" si="38"/>
        <v>583.6419444</v>
      </c>
      <c r="L54" s="14">
        <f t="shared" si="38"/>
        <v>420.2380952</v>
      </c>
      <c r="M54" s="14">
        <f t="shared" si="38"/>
        <v>320</v>
      </c>
      <c r="N54" s="14">
        <f t="shared" si="38"/>
        <v>479.5601852</v>
      </c>
      <c r="O54" s="14">
        <f t="shared" si="38"/>
        <v>558.1071429</v>
      </c>
      <c r="P54" s="14">
        <f t="shared" si="38"/>
        <v>415.0459058</v>
      </c>
      <c r="Q54" s="14">
        <f t="shared" si="38"/>
        <v>401.85</v>
      </c>
      <c r="R54" s="14">
        <f t="shared" si="38"/>
        <v>435.2272727</v>
      </c>
      <c r="S54" s="14">
        <f t="shared" si="38"/>
        <v>485.3219697</v>
      </c>
      <c r="T54" s="14">
        <f t="shared" si="38"/>
        <v>472.235119</v>
      </c>
      <c r="U54" s="14">
        <f t="shared" si="38"/>
        <v>424.3173759</v>
      </c>
      <c r="V54" s="14">
        <f t="shared" si="38"/>
        <v>511.0784314</v>
      </c>
      <c r="W54" s="14">
        <f t="shared" si="38"/>
        <v>462.7993827</v>
      </c>
      <c r="X54" s="14">
        <f t="shared" si="38"/>
        <v>522.9362745</v>
      </c>
      <c r="Y54" s="14">
        <f t="shared" si="38"/>
        <v>545.0555556</v>
      </c>
      <c r="Z54" s="14">
        <f t="shared" si="38"/>
        <v>534.9300112</v>
      </c>
      <c r="AA54" s="14">
        <f t="shared" si="38"/>
        <v>581.7708333</v>
      </c>
      <c r="AB54" s="14">
        <f t="shared" si="38"/>
        <v>547.5487102</v>
      </c>
      <c r="AC54" s="14">
        <f t="shared" si="38"/>
        <v>497.5672043</v>
      </c>
      <c r="AD54" s="14">
        <f t="shared" si="38"/>
        <v>560.3183103</v>
      </c>
      <c r="AE54" s="14">
        <f t="shared" si="38"/>
        <v>526.7454955</v>
      </c>
      <c r="AF54" s="14">
        <f t="shared" si="38"/>
        <v>573.4071504</v>
      </c>
      <c r="AG54" s="14">
        <f t="shared" si="38"/>
        <v>522.183642</v>
      </c>
      <c r="AH54" s="14">
        <f t="shared" si="38"/>
        <v>586.8232115</v>
      </c>
      <c r="AI54" s="14">
        <f t="shared" si="38"/>
        <v>630.2696078</v>
      </c>
      <c r="AJ54" s="14">
        <f t="shared" si="38"/>
        <v>600.6209342</v>
      </c>
      <c r="AK54" s="14">
        <f t="shared" si="38"/>
        <v>532.7323718</v>
      </c>
      <c r="AL54" s="14">
        <f t="shared" si="38"/>
        <v>614.6894879</v>
      </c>
      <c r="AM54" s="14">
        <f t="shared" si="38"/>
        <v>636.4984568</v>
      </c>
      <c r="AN54" s="14">
        <f t="shared" si="38"/>
        <v>581.5789474</v>
      </c>
      <c r="AO54" s="14">
        <f t="shared" si="38"/>
        <v>513.1875</v>
      </c>
      <c r="AP54" s="14">
        <f t="shared" si="38"/>
        <v>587.6578947</v>
      </c>
      <c r="AQ54" s="14">
        <f t="shared" si="38"/>
        <v>461.2272727</v>
      </c>
      <c r="AR54" s="14">
        <f t="shared" si="38"/>
        <v>593.8015789</v>
      </c>
      <c r="AS54" s="14">
        <f t="shared" si="38"/>
        <v>532.0963542</v>
      </c>
      <c r="AT54" s="14">
        <f t="shared" si="38"/>
        <v>642.2397679</v>
      </c>
      <c r="AU54" s="14">
        <f t="shared" si="38"/>
        <v>487.2576389</v>
      </c>
      <c r="AV54" s="14">
        <f t="shared" si="38"/>
        <v>638.438724</v>
      </c>
      <c r="AW54" s="14">
        <f t="shared" si="38"/>
        <v>509.0277778</v>
      </c>
      <c r="AX54" s="14">
        <f t="shared" si="38"/>
        <v>637.7855005</v>
      </c>
      <c r="AY54" s="14">
        <f t="shared" si="38"/>
        <v>473.1701389</v>
      </c>
      <c r="AZ54" s="14">
        <f t="shared" si="38"/>
        <v>637.2131917</v>
      </c>
      <c r="BA54" s="14">
        <f t="shared" si="38"/>
        <v>431.6679293</v>
      </c>
      <c r="BB54" s="14">
        <f t="shared" si="38"/>
        <v>639.1813895</v>
      </c>
      <c r="BC54" s="14">
        <f t="shared" si="38"/>
        <v>438.9473684</v>
      </c>
      <c r="BD54" s="14">
        <f t="shared" si="38"/>
        <v>659.8450133</v>
      </c>
      <c r="BE54" s="14">
        <f t="shared" si="38"/>
        <v>449.3617886</v>
      </c>
      <c r="BF54" s="14">
        <f t="shared" si="38"/>
        <v>656.1985679</v>
      </c>
      <c r="BG54" s="14">
        <f t="shared" si="38"/>
        <v>440.4895833</v>
      </c>
      <c r="BH54" s="14">
        <f t="shared" si="38"/>
        <v>655.7642517</v>
      </c>
      <c r="BI54" s="14">
        <f t="shared" si="38"/>
        <v>451.4602267</v>
      </c>
      <c r="BJ54" s="14">
        <f t="shared" si="38"/>
        <v>658.1653707</v>
      </c>
      <c r="BK54" s="14">
        <f t="shared" si="38"/>
        <v>445.4052708</v>
      </c>
      <c r="BL54" s="14">
        <f t="shared" si="38"/>
        <v>410.0888966</v>
      </c>
      <c r="BM54" s="14">
        <f t="shared" si="38"/>
        <v>424.481899</v>
      </c>
      <c r="BN54" s="14">
        <f t="shared" si="38"/>
        <v>412.2762306</v>
      </c>
      <c r="BO54" s="14">
        <f t="shared" si="38"/>
        <v>426.8091613</v>
      </c>
      <c r="BP54" s="14">
        <f t="shared" si="38"/>
        <v>413.4490305</v>
      </c>
      <c r="BQ54" s="14">
        <f t="shared" si="38"/>
        <v>498.8744142</v>
      </c>
      <c r="BR54" s="14">
        <f t="shared" si="38"/>
        <v>414.19891</v>
      </c>
      <c r="BS54" s="14">
        <f t="shared" si="38"/>
        <v>428.6032997</v>
      </c>
      <c r="BT54" s="14">
        <f t="shared" si="38"/>
        <v>413.6892297</v>
      </c>
      <c r="BU54" s="14">
        <f t="shared" si="38"/>
        <v>582.4380952</v>
      </c>
      <c r="BV54" s="14">
        <f t="shared" si="38"/>
        <v>401.1098707</v>
      </c>
      <c r="BW54" s="14">
        <f t="shared" si="38"/>
        <v>431.3546099</v>
      </c>
      <c r="BX54" s="14">
        <f t="shared" si="38"/>
        <v>401.923556</v>
      </c>
      <c r="BY54" s="14">
        <f t="shared" si="38"/>
        <v>404.3675214</v>
      </c>
      <c r="BZ54" s="14">
        <f t="shared" si="38"/>
        <v>405.4212595</v>
      </c>
      <c r="CA54" s="14">
        <f t="shared" si="38"/>
        <v>389.8169919</v>
      </c>
      <c r="CB54" s="14">
        <f t="shared" si="38"/>
        <v>400.8731944</v>
      </c>
      <c r="CC54" s="14">
        <f t="shared" si="38"/>
        <v>420.0694444</v>
      </c>
      <c r="CD54" s="14">
        <f t="shared" si="38"/>
        <v>401.8063132</v>
      </c>
      <c r="CE54" s="14">
        <f t="shared" si="38"/>
        <v>414.944</v>
      </c>
      <c r="CF54" s="14">
        <f t="shared" si="38"/>
        <v>405.2983048</v>
      </c>
      <c r="CG54" s="14">
        <f t="shared" si="38"/>
        <v>415.7169048</v>
      </c>
      <c r="CH54" s="14">
        <f t="shared" si="38"/>
        <v>407.6810303</v>
      </c>
      <c r="CI54" s="14">
        <f t="shared" si="38"/>
        <v>415.0163043</v>
      </c>
      <c r="CJ54" s="14">
        <f t="shared" si="38"/>
        <v>411.4828223</v>
      </c>
      <c r="CK54" s="14">
        <f t="shared" si="38"/>
        <v>422.2807724</v>
      </c>
      <c r="CL54" s="14">
        <f t="shared" si="38"/>
        <v>413.6736034</v>
      </c>
      <c r="CM54" s="14">
        <f t="shared" si="38"/>
        <v>414.5454595</v>
      </c>
      <c r="CO54" s="18" t="s">
        <v>7</v>
      </c>
      <c r="CP54" s="12" t="b">
        <f t="shared" si="4"/>
        <v>1</v>
      </c>
    </row>
    <row r="55" ht="15.75" customHeight="1">
      <c r="D55" s="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O55" s="5"/>
      <c r="CP55" s="12" t="b">
        <f t="shared" si="4"/>
        <v>1</v>
      </c>
    </row>
    <row r="56" ht="15.75" customHeight="1">
      <c r="C56" s="9">
        <f>SUM(E56:U56)+W56+Y56+AA56+AC56+AE56+AG56+AI56+AK56+AM56+AO56+AQ56+AS56+AU56+AW56+AY56+BA56+BC56+BE56+BG56+BI56+BK56+BM56+BO56+BQ56+BS56+BU56+BW56+BY56+CA56+CC56+CE56+CG56+CI56+CK56</f>
        <v>2542</v>
      </c>
      <c r="D56" s="7" t="s">
        <v>19</v>
      </c>
      <c r="E56" s="26">
        <f t="shared" ref="E56:CM56" si="39">E58+E59</f>
        <v>3</v>
      </c>
      <c r="F56" s="26">
        <f t="shared" si="39"/>
        <v>4</v>
      </c>
      <c r="G56" s="26">
        <f t="shared" si="39"/>
        <v>8</v>
      </c>
      <c r="H56" s="26">
        <f t="shared" si="39"/>
        <v>5</v>
      </c>
      <c r="I56" s="26">
        <f t="shared" si="39"/>
        <v>4</v>
      </c>
      <c r="J56" s="26">
        <f t="shared" si="39"/>
        <v>11</v>
      </c>
      <c r="K56" s="26">
        <f t="shared" si="39"/>
        <v>10</v>
      </c>
      <c r="L56" s="26">
        <f t="shared" si="39"/>
        <v>8</v>
      </c>
      <c r="M56" s="26">
        <f t="shared" si="39"/>
        <v>10</v>
      </c>
      <c r="N56" s="26">
        <f t="shared" si="39"/>
        <v>19</v>
      </c>
      <c r="O56" s="26">
        <f t="shared" si="39"/>
        <v>26</v>
      </c>
      <c r="P56" s="26">
        <f t="shared" si="39"/>
        <v>25</v>
      </c>
      <c r="Q56" s="26">
        <f t="shared" si="39"/>
        <v>23</v>
      </c>
      <c r="R56" s="26">
        <f t="shared" si="39"/>
        <v>27</v>
      </c>
      <c r="S56" s="26">
        <f t="shared" si="39"/>
        <v>26</v>
      </c>
      <c r="T56" s="26">
        <f t="shared" si="39"/>
        <v>33</v>
      </c>
      <c r="U56" s="26">
        <f t="shared" si="39"/>
        <v>65</v>
      </c>
      <c r="V56" s="27">
        <f t="shared" si="39"/>
        <v>52</v>
      </c>
      <c r="W56" s="26">
        <f t="shared" si="39"/>
        <v>39</v>
      </c>
      <c r="X56" s="27">
        <f t="shared" si="39"/>
        <v>50</v>
      </c>
      <c r="Y56" s="26">
        <f t="shared" si="39"/>
        <v>42</v>
      </c>
      <c r="Z56" s="27">
        <f t="shared" si="39"/>
        <v>51</v>
      </c>
      <c r="AA56" s="26">
        <f t="shared" si="39"/>
        <v>46</v>
      </c>
      <c r="AB56" s="27">
        <f t="shared" si="39"/>
        <v>49</v>
      </c>
      <c r="AC56" s="26">
        <f t="shared" si="39"/>
        <v>41</v>
      </c>
      <c r="AD56" s="27">
        <f t="shared" si="39"/>
        <v>50</v>
      </c>
      <c r="AE56" s="26">
        <f t="shared" si="39"/>
        <v>52</v>
      </c>
      <c r="AF56" s="27">
        <f t="shared" si="39"/>
        <v>52</v>
      </c>
      <c r="AG56" s="27">
        <f t="shared" si="39"/>
        <v>54</v>
      </c>
      <c r="AH56" s="27">
        <f t="shared" si="39"/>
        <v>52</v>
      </c>
      <c r="AI56" s="27">
        <f t="shared" si="39"/>
        <v>34</v>
      </c>
      <c r="AJ56" s="27">
        <f t="shared" si="39"/>
        <v>53</v>
      </c>
      <c r="AK56" s="27">
        <f t="shared" si="39"/>
        <v>40</v>
      </c>
      <c r="AL56" s="27">
        <f t="shared" si="39"/>
        <v>54</v>
      </c>
      <c r="AM56" s="26">
        <f t="shared" si="39"/>
        <v>49</v>
      </c>
      <c r="AN56" s="27">
        <f t="shared" si="39"/>
        <v>33</v>
      </c>
      <c r="AO56" s="28">
        <f t="shared" si="39"/>
        <v>38</v>
      </c>
      <c r="AP56" s="27">
        <f t="shared" si="39"/>
        <v>33</v>
      </c>
      <c r="AQ56" s="28">
        <f t="shared" si="39"/>
        <v>38</v>
      </c>
      <c r="AR56" s="27">
        <f t="shared" si="39"/>
        <v>37</v>
      </c>
      <c r="AS56" s="28">
        <f t="shared" si="39"/>
        <v>56</v>
      </c>
      <c r="AT56" s="27">
        <f t="shared" si="39"/>
        <v>38</v>
      </c>
      <c r="AU56" s="28">
        <f t="shared" si="39"/>
        <v>47</v>
      </c>
      <c r="AV56" s="27">
        <f t="shared" si="39"/>
        <v>41</v>
      </c>
      <c r="AW56" s="28">
        <f t="shared" si="39"/>
        <v>55</v>
      </c>
      <c r="AX56" s="27">
        <f t="shared" si="39"/>
        <v>41</v>
      </c>
      <c r="AY56" s="28">
        <f t="shared" si="39"/>
        <v>68</v>
      </c>
      <c r="AZ56" s="27">
        <f t="shared" si="39"/>
        <v>52</v>
      </c>
      <c r="BA56" s="28">
        <f t="shared" si="39"/>
        <v>56</v>
      </c>
      <c r="BB56" s="27">
        <f t="shared" si="39"/>
        <v>55</v>
      </c>
      <c r="BC56" s="28">
        <f t="shared" si="39"/>
        <v>47</v>
      </c>
      <c r="BD56" s="27">
        <f t="shared" si="39"/>
        <v>55</v>
      </c>
      <c r="BE56" s="28">
        <f t="shared" si="39"/>
        <v>75</v>
      </c>
      <c r="BF56" s="27">
        <f t="shared" si="39"/>
        <v>59</v>
      </c>
      <c r="BG56" s="28">
        <f t="shared" si="39"/>
        <v>45</v>
      </c>
      <c r="BH56" s="27">
        <f t="shared" si="39"/>
        <v>61</v>
      </c>
      <c r="BI56" s="28">
        <f t="shared" si="39"/>
        <v>68</v>
      </c>
      <c r="BJ56" s="27">
        <f t="shared" si="39"/>
        <v>63</v>
      </c>
      <c r="BK56" s="28">
        <f t="shared" si="39"/>
        <v>102</v>
      </c>
      <c r="BL56" s="27">
        <f t="shared" si="39"/>
        <v>64</v>
      </c>
      <c r="BM56" s="28">
        <f t="shared" si="39"/>
        <v>61</v>
      </c>
      <c r="BN56" s="27">
        <f t="shared" si="39"/>
        <v>66</v>
      </c>
      <c r="BO56" s="28">
        <f t="shared" si="39"/>
        <v>87</v>
      </c>
      <c r="BP56" s="27">
        <f t="shared" si="39"/>
        <v>69</v>
      </c>
      <c r="BQ56" s="28">
        <f t="shared" si="39"/>
        <v>93</v>
      </c>
      <c r="BR56" s="27">
        <f t="shared" si="39"/>
        <v>71</v>
      </c>
      <c r="BS56" s="28">
        <f t="shared" si="39"/>
        <v>70</v>
      </c>
      <c r="BT56" s="27">
        <f t="shared" si="39"/>
        <v>68</v>
      </c>
      <c r="BU56" s="28">
        <f t="shared" si="39"/>
        <v>84</v>
      </c>
      <c r="BV56" s="27">
        <f t="shared" si="39"/>
        <v>60</v>
      </c>
      <c r="BW56" s="28">
        <f t="shared" si="39"/>
        <v>102</v>
      </c>
      <c r="BX56" s="27">
        <f t="shared" si="39"/>
        <v>60</v>
      </c>
      <c r="BY56" s="28">
        <f t="shared" si="39"/>
        <v>81</v>
      </c>
      <c r="BZ56" s="27">
        <f t="shared" si="39"/>
        <v>61</v>
      </c>
      <c r="CA56" s="28">
        <f t="shared" si="39"/>
        <v>90</v>
      </c>
      <c r="CB56" s="27">
        <f t="shared" si="39"/>
        <v>63</v>
      </c>
      <c r="CC56" s="28">
        <f t="shared" si="39"/>
        <v>98</v>
      </c>
      <c r="CD56" s="27">
        <f t="shared" si="39"/>
        <v>58</v>
      </c>
      <c r="CE56" s="28">
        <f t="shared" si="39"/>
        <v>112</v>
      </c>
      <c r="CF56" s="27">
        <f t="shared" si="39"/>
        <v>61</v>
      </c>
      <c r="CG56" s="28">
        <f t="shared" si="39"/>
        <v>88</v>
      </c>
      <c r="CH56" s="27">
        <f t="shared" si="39"/>
        <v>63</v>
      </c>
      <c r="CI56" s="28">
        <f t="shared" si="39"/>
        <v>102</v>
      </c>
      <c r="CJ56" s="27">
        <f t="shared" si="39"/>
        <v>63</v>
      </c>
      <c r="CK56" s="28">
        <f t="shared" si="39"/>
        <v>75</v>
      </c>
      <c r="CL56" s="27">
        <f t="shared" si="39"/>
        <v>65</v>
      </c>
      <c r="CM56" s="27">
        <f t="shared" si="39"/>
        <v>67</v>
      </c>
      <c r="CO56" s="7" t="s">
        <v>19</v>
      </c>
      <c r="CP56" s="12" t="b">
        <f t="shared" si="4"/>
        <v>1</v>
      </c>
    </row>
    <row r="57" ht="15.75" customHeight="1"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O57" s="29"/>
      <c r="CP57" s="12" t="b">
        <f t="shared" si="4"/>
        <v>1</v>
      </c>
    </row>
    <row r="58" ht="15.75" customHeight="1">
      <c r="A58" s="17" t="s">
        <v>11</v>
      </c>
      <c r="C58" s="9">
        <f t="shared" ref="C58:C59" si="40">SUM(E58:U58)+W58+Y58+AA58+AC58+AE58+AG58+AI58+AK58+AM58+AO58+AQ58+AS58+AU58+AW58+AY58+BA58+BC58+BE58+BG58+BI58+BK58+BM58+BO58+BQ58+BS58+BU58+BW58+BY58+CA58+CC58+CE58+CG58+CI58+CK58</f>
        <v>1153</v>
      </c>
      <c r="D58" s="31" t="s">
        <v>5</v>
      </c>
      <c r="E58" s="32"/>
      <c r="F58" s="32">
        <v>1.0</v>
      </c>
      <c r="G58" s="32">
        <v>1.0</v>
      </c>
      <c r="H58" s="32"/>
      <c r="I58" s="32"/>
      <c r="J58" s="32"/>
      <c r="K58" s="32">
        <v>1.0</v>
      </c>
      <c r="L58" s="32">
        <v>1.0</v>
      </c>
      <c r="M58" s="32"/>
      <c r="N58" s="32">
        <v>1.0</v>
      </c>
      <c r="O58" s="32">
        <v>5.0</v>
      </c>
      <c r="P58" s="32">
        <v>2.0</v>
      </c>
      <c r="Q58" s="32">
        <v>3.0</v>
      </c>
      <c r="R58" s="32">
        <v>5.0</v>
      </c>
      <c r="S58" s="32">
        <v>4.0</v>
      </c>
      <c r="T58" s="32">
        <v>5.0</v>
      </c>
      <c r="U58" s="32">
        <v>18.0</v>
      </c>
      <c r="V58" s="32">
        <v>18.0</v>
      </c>
      <c r="W58" s="32">
        <v>12.0</v>
      </c>
      <c r="X58" s="32">
        <v>16.0</v>
      </c>
      <c r="Y58" s="12">
        <v>12.0</v>
      </c>
      <c r="Z58" s="32">
        <v>16.0</v>
      </c>
      <c r="AA58" s="32">
        <v>21.0</v>
      </c>
      <c r="AB58" s="32">
        <v>15.0</v>
      </c>
      <c r="AC58" s="32">
        <v>10.0</v>
      </c>
      <c r="AD58" s="32">
        <v>16.0</v>
      </c>
      <c r="AE58" s="32">
        <v>15.0</v>
      </c>
      <c r="AF58" s="32">
        <v>18.0</v>
      </c>
      <c r="AG58" s="32">
        <v>27.0</v>
      </c>
      <c r="AH58" s="32">
        <v>18.0</v>
      </c>
      <c r="AI58" s="32">
        <v>17.0</v>
      </c>
      <c r="AJ58" s="32">
        <v>20.0</v>
      </c>
      <c r="AK58" s="32">
        <v>14.0</v>
      </c>
      <c r="AL58" s="32">
        <v>21.0</v>
      </c>
      <c r="AM58" s="32">
        <v>22.0</v>
      </c>
      <c r="AN58" s="32">
        <v>14.0</v>
      </c>
      <c r="AO58" s="32">
        <v>10.0</v>
      </c>
      <c r="AP58" s="32">
        <v>14.0</v>
      </c>
      <c r="AQ58" s="32">
        <v>16.0</v>
      </c>
      <c r="AR58" s="32">
        <v>18.0</v>
      </c>
      <c r="AS58" s="32">
        <v>24.0</v>
      </c>
      <c r="AT58" s="32">
        <v>17.0</v>
      </c>
      <c r="AU58" s="32">
        <v>17.0</v>
      </c>
      <c r="AV58" s="32">
        <v>18.0</v>
      </c>
      <c r="AW58" s="32">
        <v>28.0</v>
      </c>
      <c r="AX58" s="32">
        <v>17.0</v>
      </c>
      <c r="AY58" s="32">
        <v>32.0</v>
      </c>
      <c r="AZ58" s="32">
        <v>27.0</v>
      </c>
      <c r="BA58" s="12">
        <v>23.0</v>
      </c>
      <c r="BB58" s="32">
        <v>30.0</v>
      </c>
      <c r="BC58" s="32">
        <v>28.0</v>
      </c>
      <c r="BD58" s="32">
        <v>29.0</v>
      </c>
      <c r="BE58" s="32">
        <v>34.0</v>
      </c>
      <c r="BF58" s="32">
        <v>31.0</v>
      </c>
      <c r="BG58" s="32">
        <v>25.0</v>
      </c>
      <c r="BH58" s="32">
        <v>32.0</v>
      </c>
      <c r="BI58" s="32">
        <v>38.0</v>
      </c>
      <c r="BJ58" s="32">
        <v>34.0</v>
      </c>
      <c r="BK58" s="32">
        <v>54.0</v>
      </c>
      <c r="BL58" s="32">
        <v>30.0</v>
      </c>
      <c r="BM58" s="32">
        <v>35.0</v>
      </c>
      <c r="BN58" s="32">
        <v>31.0</v>
      </c>
      <c r="BO58" s="32">
        <v>56.0</v>
      </c>
      <c r="BP58" s="32">
        <v>33.0</v>
      </c>
      <c r="BQ58" s="32">
        <v>53.0</v>
      </c>
      <c r="BR58" s="32">
        <v>35.0</v>
      </c>
      <c r="BS58" s="32">
        <v>40.0</v>
      </c>
      <c r="BT58" s="32">
        <v>33.0</v>
      </c>
      <c r="BU58" s="32">
        <v>49.0</v>
      </c>
      <c r="BV58" s="32">
        <v>35.0</v>
      </c>
      <c r="BW58" s="32">
        <v>55.0</v>
      </c>
      <c r="BX58" s="32">
        <v>35.0</v>
      </c>
      <c r="BY58" s="32">
        <v>42.0</v>
      </c>
      <c r="BZ58" s="32">
        <v>37.0</v>
      </c>
      <c r="CA58" s="32">
        <v>49.0</v>
      </c>
      <c r="CB58" s="32">
        <v>39.0</v>
      </c>
      <c r="CC58" s="32">
        <v>50.0</v>
      </c>
      <c r="CD58" s="32">
        <v>37.0</v>
      </c>
      <c r="CE58" s="32">
        <v>62.0</v>
      </c>
      <c r="CF58" s="32">
        <v>38.0</v>
      </c>
      <c r="CG58" s="32">
        <v>46.0</v>
      </c>
      <c r="CH58" s="32">
        <v>39.0</v>
      </c>
      <c r="CI58" s="32">
        <v>56.0</v>
      </c>
      <c r="CJ58" s="32">
        <v>40.0</v>
      </c>
      <c r="CK58" s="32">
        <v>34.0</v>
      </c>
      <c r="CL58" s="32">
        <v>41.0</v>
      </c>
      <c r="CM58" s="32">
        <v>43.0</v>
      </c>
      <c r="CO58" s="31" t="s">
        <v>5</v>
      </c>
      <c r="CP58" s="12" t="b">
        <f t="shared" si="4"/>
        <v>1</v>
      </c>
    </row>
    <row r="59" ht="15.75" customHeight="1">
      <c r="A59" s="17" t="s">
        <v>11</v>
      </c>
      <c r="C59" s="9">
        <f t="shared" si="40"/>
        <v>1389</v>
      </c>
      <c r="D59" s="31" t="s">
        <v>7</v>
      </c>
      <c r="E59" s="32">
        <v>3.0</v>
      </c>
      <c r="F59" s="32">
        <v>3.0</v>
      </c>
      <c r="G59" s="32">
        <v>7.0</v>
      </c>
      <c r="H59" s="32">
        <v>5.0</v>
      </c>
      <c r="I59" s="32">
        <v>4.0</v>
      </c>
      <c r="J59" s="32">
        <v>11.0</v>
      </c>
      <c r="K59" s="32">
        <v>9.0</v>
      </c>
      <c r="L59" s="32">
        <v>7.0</v>
      </c>
      <c r="M59" s="32">
        <v>10.0</v>
      </c>
      <c r="N59" s="32">
        <v>18.0</v>
      </c>
      <c r="O59" s="32">
        <v>21.0</v>
      </c>
      <c r="P59" s="32">
        <v>23.0</v>
      </c>
      <c r="Q59" s="32">
        <v>20.0</v>
      </c>
      <c r="R59" s="32">
        <v>22.0</v>
      </c>
      <c r="S59" s="32">
        <v>22.0</v>
      </c>
      <c r="T59" s="32">
        <v>28.0</v>
      </c>
      <c r="U59" s="32">
        <v>47.0</v>
      </c>
      <c r="V59" s="32">
        <v>34.0</v>
      </c>
      <c r="W59" s="32">
        <v>27.0</v>
      </c>
      <c r="X59" s="32">
        <v>34.0</v>
      </c>
      <c r="Y59" s="12">
        <v>30.0</v>
      </c>
      <c r="Z59" s="32">
        <v>35.0</v>
      </c>
      <c r="AA59" s="32">
        <v>25.0</v>
      </c>
      <c r="AB59" s="32">
        <v>34.0</v>
      </c>
      <c r="AC59" s="32">
        <v>31.0</v>
      </c>
      <c r="AD59" s="32">
        <v>34.0</v>
      </c>
      <c r="AE59" s="32">
        <v>37.0</v>
      </c>
      <c r="AF59" s="32">
        <v>34.0</v>
      </c>
      <c r="AG59" s="32">
        <v>27.0</v>
      </c>
      <c r="AH59" s="32">
        <v>34.0</v>
      </c>
      <c r="AI59" s="32">
        <v>17.0</v>
      </c>
      <c r="AJ59" s="32">
        <v>33.0</v>
      </c>
      <c r="AK59" s="32">
        <v>26.0</v>
      </c>
      <c r="AL59" s="32">
        <v>33.0</v>
      </c>
      <c r="AM59" s="32">
        <v>27.0</v>
      </c>
      <c r="AN59" s="32">
        <v>19.0</v>
      </c>
      <c r="AO59" s="32">
        <v>28.0</v>
      </c>
      <c r="AP59" s="32">
        <v>19.0</v>
      </c>
      <c r="AQ59" s="32">
        <v>22.0</v>
      </c>
      <c r="AR59" s="32">
        <v>19.0</v>
      </c>
      <c r="AS59" s="32">
        <v>32.0</v>
      </c>
      <c r="AT59" s="32">
        <v>21.0</v>
      </c>
      <c r="AU59" s="32">
        <v>30.0</v>
      </c>
      <c r="AV59" s="32">
        <v>23.0</v>
      </c>
      <c r="AW59" s="32">
        <v>27.0</v>
      </c>
      <c r="AX59" s="32">
        <v>24.0</v>
      </c>
      <c r="AY59" s="32">
        <v>36.0</v>
      </c>
      <c r="AZ59" s="32">
        <v>25.0</v>
      </c>
      <c r="BA59" s="12">
        <v>33.0</v>
      </c>
      <c r="BB59" s="32">
        <v>25.0</v>
      </c>
      <c r="BC59" s="32">
        <v>19.0</v>
      </c>
      <c r="BD59" s="32">
        <v>26.0</v>
      </c>
      <c r="BE59" s="32">
        <v>41.0</v>
      </c>
      <c r="BF59" s="32">
        <v>28.0</v>
      </c>
      <c r="BG59" s="32">
        <v>20.0</v>
      </c>
      <c r="BH59" s="32">
        <v>29.0</v>
      </c>
      <c r="BI59" s="32">
        <v>30.0</v>
      </c>
      <c r="BJ59" s="32">
        <v>29.0</v>
      </c>
      <c r="BK59" s="32">
        <v>48.0</v>
      </c>
      <c r="BL59" s="32">
        <v>34.0</v>
      </c>
      <c r="BM59" s="32">
        <v>26.0</v>
      </c>
      <c r="BN59" s="32">
        <v>35.0</v>
      </c>
      <c r="BO59" s="32">
        <v>31.0</v>
      </c>
      <c r="BP59" s="32">
        <v>36.0</v>
      </c>
      <c r="BQ59" s="32">
        <v>40.0</v>
      </c>
      <c r="BR59" s="32">
        <v>36.0</v>
      </c>
      <c r="BS59" s="32">
        <v>30.0</v>
      </c>
      <c r="BT59" s="32">
        <v>35.0</v>
      </c>
      <c r="BU59" s="32">
        <v>35.0</v>
      </c>
      <c r="BV59" s="32">
        <v>25.0</v>
      </c>
      <c r="BW59" s="32">
        <v>47.0</v>
      </c>
      <c r="BX59" s="32">
        <v>25.0</v>
      </c>
      <c r="BY59" s="32">
        <v>39.0</v>
      </c>
      <c r="BZ59" s="32">
        <v>24.0</v>
      </c>
      <c r="CA59" s="32">
        <v>41.0</v>
      </c>
      <c r="CB59" s="32">
        <v>24.0</v>
      </c>
      <c r="CC59" s="32">
        <v>48.0</v>
      </c>
      <c r="CD59" s="32">
        <v>21.0</v>
      </c>
      <c r="CE59" s="32">
        <v>50.0</v>
      </c>
      <c r="CF59" s="32">
        <v>23.0</v>
      </c>
      <c r="CG59" s="32">
        <v>42.0</v>
      </c>
      <c r="CH59" s="32">
        <v>24.0</v>
      </c>
      <c r="CI59" s="32">
        <v>46.0</v>
      </c>
      <c r="CJ59" s="32">
        <v>23.0</v>
      </c>
      <c r="CK59" s="32">
        <v>41.0</v>
      </c>
      <c r="CL59" s="32">
        <v>24.0</v>
      </c>
      <c r="CM59" s="32">
        <v>24.0</v>
      </c>
      <c r="CO59" s="31" t="s">
        <v>7</v>
      </c>
      <c r="CP59" s="12" t="b">
        <f t="shared" si="4"/>
        <v>1</v>
      </c>
    </row>
    <row r="60" ht="15.75" customHeight="1">
      <c r="D60" s="18"/>
      <c r="E60" s="33"/>
      <c r="F60" s="33"/>
      <c r="G60" s="33"/>
      <c r="H60" s="33"/>
      <c r="I60" s="33"/>
      <c r="J60" s="33"/>
      <c r="K60" s="3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O60" s="18"/>
      <c r="CP60" s="12" t="b">
        <f t="shared" si="4"/>
        <v>1</v>
      </c>
    </row>
    <row r="61" ht="15.75" customHeight="1">
      <c r="C61" s="34"/>
      <c r="D61" s="7" t="s">
        <v>20</v>
      </c>
      <c r="E61" s="10">
        <f t="shared" ref="E61:CM61" si="41">E80/E142</f>
        <v>500</v>
      </c>
      <c r="F61" s="10">
        <f t="shared" si="41"/>
        <v>535.7142857</v>
      </c>
      <c r="G61" s="10">
        <f t="shared" si="41"/>
        <v>450</v>
      </c>
      <c r="H61" s="10">
        <f t="shared" si="41"/>
        <v>438.5166667</v>
      </c>
      <c r="I61" s="10">
        <f t="shared" si="41"/>
        <v>440.0833333</v>
      </c>
      <c r="J61" s="10">
        <f t="shared" si="41"/>
        <v>492.5142857</v>
      </c>
      <c r="K61" s="10">
        <f t="shared" si="41"/>
        <v>516.4617222</v>
      </c>
      <c r="L61" s="10">
        <f t="shared" si="41"/>
        <v>504.2285063</v>
      </c>
      <c r="M61" s="10">
        <f t="shared" si="41"/>
        <v>474.9858862</v>
      </c>
      <c r="N61" s="10">
        <f t="shared" si="41"/>
        <v>477.8194411</v>
      </c>
      <c r="O61" s="10">
        <f t="shared" si="41"/>
        <v>488.1923843</v>
      </c>
      <c r="P61" s="10">
        <f t="shared" si="41"/>
        <v>480.3571429</v>
      </c>
      <c r="Q61" s="10">
        <f t="shared" si="41"/>
        <v>470.7166667</v>
      </c>
      <c r="R61" s="10">
        <f t="shared" si="41"/>
        <v>474.937963</v>
      </c>
      <c r="S61" s="10">
        <f t="shared" si="41"/>
        <v>476.2565041</v>
      </c>
      <c r="T61" s="10">
        <f t="shared" si="41"/>
        <v>479.1181435</v>
      </c>
      <c r="U61" s="10">
        <f t="shared" si="41"/>
        <v>485.6691584</v>
      </c>
      <c r="V61" s="10">
        <f t="shared" si="41"/>
        <v>498.8438763</v>
      </c>
      <c r="W61" s="10">
        <f t="shared" si="41"/>
        <v>495.9626866</v>
      </c>
      <c r="X61" s="10">
        <f t="shared" si="41"/>
        <v>511.1436059</v>
      </c>
      <c r="Y61" s="10">
        <f t="shared" si="41"/>
        <v>516.1533333</v>
      </c>
      <c r="Z61" s="10">
        <f t="shared" si="41"/>
        <v>523.3139868</v>
      </c>
      <c r="AA61" s="10">
        <f t="shared" si="41"/>
        <v>549.1092383</v>
      </c>
      <c r="AB61" s="10">
        <f t="shared" si="41"/>
        <v>534.3195051</v>
      </c>
      <c r="AC61" s="10">
        <f t="shared" si="41"/>
        <v>562.1088932</v>
      </c>
      <c r="AD61" s="10">
        <f t="shared" si="41"/>
        <v>545.7436654</v>
      </c>
      <c r="AE61" s="10">
        <f t="shared" si="41"/>
        <v>576.5698165</v>
      </c>
      <c r="AF61" s="10">
        <f t="shared" si="41"/>
        <v>561.217821</v>
      </c>
      <c r="AG61" s="10">
        <f t="shared" si="41"/>
        <v>586.2967526</v>
      </c>
      <c r="AH61" s="10">
        <f t="shared" si="41"/>
        <v>575.9743887</v>
      </c>
      <c r="AI61" s="10">
        <f t="shared" si="41"/>
        <v>603.254977</v>
      </c>
      <c r="AJ61" s="10">
        <f t="shared" si="41"/>
        <v>591.938422</v>
      </c>
      <c r="AK61" s="10">
        <f t="shared" si="41"/>
        <v>612.8007147</v>
      </c>
      <c r="AL61" s="10">
        <f t="shared" si="41"/>
        <v>609.2279449</v>
      </c>
      <c r="AM61" s="10">
        <f t="shared" si="41"/>
        <v>630.217916</v>
      </c>
      <c r="AN61" s="10">
        <f t="shared" si="41"/>
        <v>554.3569681</v>
      </c>
      <c r="AO61" s="10">
        <f t="shared" si="41"/>
        <v>636.2174651</v>
      </c>
      <c r="AP61" s="10">
        <f t="shared" si="41"/>
        <v>557.2785247</v>
      </c>
      <c r="AQ61" s="10">
        <f t="shared" si="41"/>
        <v>645.713074</v>
      </c>
      <c r="AR61" s="10">
        <f t="shared" si="41"/>
        <v>564.2514811</v>
      </c>
      <c r="AS61" s="10">
        <f t="shared" si="41"/>
        <v>650.7366221</v>
      </c>
      <c r="AT61" s="10">
        <f t="shared" si="41"/>
        <v>570.4450167</v>
      </c>
      <c r="AU61" s="10">
        <f t="shared" si="41"/>
        <v>657.6615229</v>
      </c>
      <c r="AV61" s="10">
        <f t="shared" si="41"/>
        <v>576.4142827</v>
      </c>
      <c r="AW61" s="10">
        <f t="shared" si="41"/>
        <v>670.7153958</v>
      </c>
      <c r="AX61" s="10">
        <f t="shared" si="41"/>
        <v>581.1799747</v>
      </c>
      <c r="AY61" s="10">
        <f t="shared" si="41"/>
        <v>673.9892692</v>
      </c>
      <c r="AZ61" s="10">
        <f t="shared" si="41"/>
        <v>592.1853805</v>
      </c>
      <c r="BA61" s="10">
        <f t="shared" si="41"/>
        <v>676.5800394</v>
      </c>
      <c r="BB61" s="10">
        <f t="shared" si="41"/>
        <v>607.4270573</v>
      </c>
      <c r="BC61" s="10">
        <f t="shared" si="41"/>
        <v>680.4030465</v>
      </c>
      <c r="BD61" s="10">
        <f t="shared" si="41"/>
        <v>620.91375</v>
      </c>
      <c r="BE61" s="10">
        <f t="shared" si="41"/>
        <v>676.8183636</v>
      </c>
      <c r="BF61" s="10">
        <f t="shared" si="41"/>
        <v>634.0403794</v>
      </c>
      <c r="BG61" s="10">
        <f t="shared" si="41"/>
        <v>679.1870708</v>
      </c>
      <c r="BH61" s="10">
        <f t="shared" si="41"/>
        <v>646.1704565</v>
      </c>
      <c r="BI61" s="10">
        <f t="shared" si="41"/>
        <v>680.4642802</v>
      </c>
      <c r="BJ61" s="10">
        <f t="shared" si="41"/>
        <v>659.5491491</v>
      </c>
      <c r="BK61" s="10">
        <f t="shared" si="41"/>
        <v>672.566382</v>
      </c>
      <c r="BL61" s="10">
        <f t="shared" si="41"/>
        <v>614.4013621</v>
      </c>
      <c r="BM61" s="10">
        <f t="shared" si="41"/>
        <v>670.8971755</v>
      </c>
      <c r="BN61" s="10">
        <f t="shared" si="41"/>
        <v>616.174369</v>
      </c>
      <c r="BO61" s="10">
        <f t="shared" si="41"/>
        <v>676.6324033</v>
      </c>
      <c r="BP61" s="10">
        <f t="shared" si="41"/>
        <v>618.2527426</v>
      </c>
      <c r="BQ61" s="10">
        <f t="shared" si="41"/>
        <v>676.8486846</v>
      </c>
      <c r="BR61" s="10">
        <f t="shared" si="41"/>
        <v>621.0470376</v>
      </c>
      <c r="BS61" s="10">
        <f t="shared" si="41"/>
        <v>673.3683488</v>
      </c>
      <c r="BT61" s="10">
        <f t="shared" si="41"/>
        <v>624.475102</v>
      </c>
      <c r="BU61" s="10">
        <f t="shared" si="41"/>
        <v>674.3380121</v>
      </c>
      <c r="BV61" s="10">
        <f t="shared" si="41"/>
        <v>629.3441868</v>
      </c>
      <c r="BW61" s="10">
        <f t="shared" si="41"/>
        <v>681.5666643</v>
      </c>
      <c r="BX61" s="10">
        <f t="shared" si="41"/>
        <v>635.0424508</v>
      </c>
      <c r="BY61" s="10">
        <f t="shared" si="41"/>
        <v>682.7919548</v>
      </c>
      <c r="BZ61" s="10">
        <f t="shared" si="41"/>
        <v>641.333495</v>
      </c>
      <c r="CA61" s="10">
        <f t="shared" si="41"/>
        <v>686.2112677</v>
      </c>
      <c r="CB61" s="10">
        <f t="shared" si="41"/>
        <v>648.647616</v>
      </c>
      <c r="CC61" s="10">
        <f t="shared" si="41"/>
        <v>686.4480925</v>
      </c>
      <c r="CD61" s="10">
        <f t="shared" si="41"/>
        <v>656.3013881</v>
      </c>
      <c r="CE61" s="10">
        <f t="shared" si="41"/>
        <v>687.092674</v>
      </c>
      <c r="CF61" s="10">
        <f t="shared" si="41"/>
        <v>664.3854358</v>
      </c>
      <c r="CG61" s="10">
        <f t="shared" si="41"/>
        <v>694.1834158</v>
      </c>
      <c r="CH61" s="10">
        <f t="shared" si="41"/>
        <v>672.8398055</v>
      </c>
      <c r="CI61" s="10">
        <f t="shared" si="41"/>
        <v>695.614963</v>
      </c>
      <c r="CJ61" s="27">
        <f t="shared" si="41"/>
        <v>682.3580236</v>
      </c>
      <c r="CK61" s="10">
        <f t="shared" si="41"/>
        <v>698.3910034</v>
      </c>
      <c r="CL61" s="27">
        <f t="shared" si="41"/>
        <v>692.5741797</v>
      </c>
      <c r="CM61" s="27">
        <f t="shared" si="41"/>
        <v>703.7662557</v>
      </c>
      <c r="CO61" s="7"/>
    </row>
    <row r="62" ht="15.75" customHeight="1">
      <c r="D62" s="13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O62" s="13"/>
      <c r="CP62" s="12" t="b">
        <f t="shared" ref="CP62:CP67" si="43">D62=CO62</f>
        <v>1</v>
      </c>
    </row>
    <row r="63" ht="15.75" customHeight="1">
      <c r="D63" s="18" t="s">
        <v>5</v>
      </c>
      <c r="E63" s="14" t="str">
        <f t="shared" ref="E63:CM63" si="42">IFERROR(E95/E149,"")</f>
        <v/>
      </c>
      <c r="F63" s="14">
        <f t="shared" si="42"/>
        <v>666.6666667</v>
      </c>
      <c r="G63" s="14">
        <f t="shared" si="42"/>
        <v>541.6666667</v>
      </c>
      <c r="H63" s="14">
        <f t="shared" si="42"/>
        <v>541.6666667</v>
      </c>
      <c r="I63" s="14">
        <f t="shared" si="42"/>
        <v>541.6666667</v>
      </c>
      <c r="J63" s="14">
        <f t="shared" si="42"/>
        <v>541.6666667</v>
      </c>
      <c r="K63" s="14">
        <f t="shared" si="42"/>
        <v>611.1111111</v>
      </c>
      <c r="L63" s="14">
        <f t="shared" si="42"/>
        <v>593.75</v>
      </c>
      <c r="M63" s="14">
        <f t="shared" si="42"/>
        <v>593.75</v>
      </c>
      <c r="N63" s="14">
        <f t="shared" si="42"/>
        <v>600</v>
      </c>
      <c r="O63" s="14">
        <f t="shared" si="42"/>
        <v>462.5</v>
      </c>
      <c r="P63" s="14">
        <f t="shared" si="42"/>
        <v>506.25</v>
      </c>
      <c r="Q63" s="14">
        <f t="shared" si="42"/>
        <v>543.8888889</v>
      </c>
      <c r="R63" s="14">
        <f t="shared" si="42"/>
        <v>599.1666667</v>
      </c>
      <c r="S63" s="14">
        <f t="shared" si="42"/>
        <v>570.8333333</v>
      </c>
      <c r="T63" s="14">
        <f t="shared" si="42"/>
        <v>568.6781609</v>
      </c>
      <c r="U63" s="14">
        <f t="shared" si="42"/>
        <v>605.4255319</v>
      </c>
      <c r="V63" s="14">
        <f t="shared" si="42"/>
        <v>640.0200769</v>
      </c>
      <c r="W63" s="14">
        <f t="shared" si="42"/>
        <v>636.2429379</v>
      </c>
      <c r="X63" s="14">
        <f t="shared" si="42"/>
        <v>672.4476898</v>
      </c>
      <c r="Y63" s="14">
        <f t="shared" si="42"/>
        <v>667.6643192</v>
      </c>
      <c r="Z63" s="14">
        <f t="shared" si="42"/>
        <v>699.3723991</v>
      </c>
      <c r="AA63" s="14">
        <f t="shared" si="42"/>
        <v>725.2747253</v>
      </c>
      <c r="AB63" s="14">
        <f t="shared" si="42"/>
        <v>721.3348642</v>
      </c>
      <c r="AC63" s="14">
        <f t="shared" si="42"/>
        <v>763.2013201</v>
      </c>
      <c r="AD63" s="14">
        <f t="shared" si="42"/>
        <v>749.4257885</v>
      </c>
      <c r="AE63" s="14">
        <f t="shared" si="42"/>
        <v>789.5653736</v>
      </c>
      <c r="AF63" s="14">
        <f t="shared" si="42"/>
        <v>780.7567918</v>
      </c>
      <c r="AG63" s="14">
        <f t="shared" si="42"/>
        <v>794.3397887</v>
      </c>
      <c r="AH63" s="14">
        <f t="shared" si="42"/>
        <v>809.0210556</v>
      </c>
      <c r="AI63" s="14">
        <f t="shared" si="42"/>
        <v>804.5121308</v>
      </c>
      <c r="AJ63" s="14">
        <f t="shared" si="42"/>
        <v>839.1095083</v>
      </c>
      <c r="AK63" s="14">
        <f t="shared" si="42"/>
        <v>811.1681548</v>
      </c>
      <c r="AL63" s="14">
        <f t="shared" si="42"/>
        <v>872.5943277</v>
      </c>
      <c r="AM63" s="14">
        <f t="shared" si="42"/>
        <v>812.9942376</v>
      </c>
      <c r="AN63" s="14">
        <f t="shared" si="42"/>
        <v>790.3662657</v>
      </c>
      <c r="AO63" s="14">
        <f t="shared" si="42"/>
        <v>818.3005051</v>
      </c>
      <c r="AP63" s="14">
        <f t="shared" si="42"/>
        <v>802.5892721</v>
      </c>
      <c r="AQ63" s="14">
        <f t="shared" si="42"/>
        <v>823.2235387</v>
      </c>
      <c r="AR63" s="14">
        <f t="shared" si="42"/>
        <v>824.3799711</v>
      </c>
      <c r="AS63" s="14">
        <f t="shared" si="42"/>
        <v>820.5466954</v>
      </c>
      <c r="AT63" s="14">
        <f t="shared" si="42"/>
        <v>839.8508057</v>
      </c>
      <c r="AU63" s="14">
        <f t="shared" si="42"/>
        <v>827.5057355</v>
      </c>
      <c r="AV63" s="14">
        <f t="shared" si="42"/>
        <v>853.7462442</v>
      </c>
      <c r="AW63" s="14">
        <f t="shared" si="42"/>
        <v>838.8578163</v>
      </c>
      <c r="AX63" s="14">
        <f t="shared" si="42"/>
        <v>864.0184636</v>
      </c>
      <c r="AY63" s="14">
        <f t="shared" si="42"/>
        <v>840.1499183</v>
      </c>
      <c r="AZ63" s="14">
        <f t="shared" si="42"/>
        <v>877.0008992</v>
      </c>
      <c r="BA63" s="14">
        <f t="shared" si="42"/>
        <v>846.4739628</v>
      </c>
      <c r="BB63" s="14">
        <f t="shared" si="42"/>
        <v>893.6574779</v>
      </c>
      <c r="BC63" s="14">
        <f t="shared" si="42"/>
        <v>841.1452588</v>
      </c>
      <c r="BD63" s="14">
        <f t="shared" si="42"/>
        <v>906.1411618</v>
      </c>
      <c r="BE63" s="14">
        <f t="shared" si="42"/>
        <v>830.1939735</v>
      </c>
      <c r="BF63" s="14">
        <f t="shared" si="42"/>
        <v>917.6838974</v>
      </c>
      <c r="BG63" s="14">
        <f t="shared" si="42"/>
        <v>832.4905467</v>
      </c>
      <c r="BH63" s="14">
        <f t="shared" si="42"/>
        <v>927.6911165</v>
      </c>
      <c r="BI63" s="14">
        <f t="shared" si="42"/>
        <v>828.0468546</v>
      </c>
      <c r="BJ63" s="14">
        <f t="shared" si="42"/>
        <v>940.9636711</v>
      </c>
      <c r="BK63" s="14">
        <f t="shared" si="42"/>
        <v>809.4086362</v>
      </c>
      <c r="BL63" s="14">
        <f t="shared" si="42"/>
        <v>877.0041744</v>
      </c>
      <c r="BM63" s="14">
        <f t="shared" si="42"/>
        <v>807.1739696</v>
      </c>
      <c r="BN63" s="14">
        <f t="shared" si="42"/>
        <v>873.6974717</v>
      </c>
      <c r="BO63" s="14">
        <f t="shared" si="42"/>
        <v>810.1233171</v>
      </c>
      <c r="BP63" s="14">
        <f t="shared" si="42"/>
        <v>871.6761065</v>
      </c>
      <c r="BQ63" s="14">
        <f t="shared" si="42"/>
        <v>808.5918012</v>
      </c>
      <c r="BR63" s="14">
        <f t="shared" si="42"/>
        <v>869.622782</v>
      </c>
      <c r="BS63" s="14">
        <f t="shared" si="42"/>
        <v>800.3928851</v>
      </c>
      <c r="BT63" s="14">
        <f t="shared" si="42"/>
        <v>869.8159481</v>
      </c>
      <c r="BU63" s="14">
        <f t="shared" si="42"/>
        <v>791.5171762</v>
      </c>
      <c r="BV63" s="14">
        <f t="shared" si="42"/>
        <v>870.6697116</v>
      </c>
      <c r="BW63" s="14">
        <f t="shared" si="42"/>
        <v>804.9902724</v>
      </c>
      <c r="BX63" s="14">
        <f t="shared" si="42"/>
        <v>874.5139165</v>
      </c>
      <c r="BY63" s="14">
        <f t="shared" si="42"/>
        <v>807.7920506</v>
      </c>
      <c r="BZ63" s="14">
        <f t="shared" si="42"/>
        <v>879.4137105</v>
      </c>
      <c r="CA63" s="14">
        <f t="shared" si="42"/>
        <v>815.0989604</v>
      </c>
      <c r="CB63" s="14">
        <f t="shared" si="42"/>
        <v>886.2853651</v>
      </c>
      <c r="CC63" s="14">
        <f t="shared" si="42"/>
        <v>815.9191681</v>
      </c>
      <c r="CD63" s="14">
        <f t="shared" si="42"/>
        <v>893.453898</v>
      </c>
      <c r="CE63" s="14">
        <f t="shared" si="42"/>
        <v>819.5815006</v>
      </c>
      <c r="CF63" s="14">
        <f t="shared" si="42"/>
        <v>902.3899911</v>
      </c>
      <c r="CG63" s="14">
        <f t="shared" si="42"/>
        <v>828.4143955</v>
      </c>
      <c r="CH63" s="14">
        <f t="shared" si="42"/>
        <v>912.5773971</v>
      </c>
      <c r="CI63" s="14">
        <f t="shared" si="42"/>
        <v>831.8246744</v>
      </c>
      <c r="CJ63" s="14">
        <f t="shared" si="42"/>
        <v>923.976409</v>
      </c>
      <c r="CK63" s="14">
        <f t="shared" si="42"/>
        <v>839.9036124</v>
      </c>
      <c r="CL63" s="14">
        <f t="shared" si="42"/>
        <v>937.304636</v>
      </c>
      <c r="CM63" s="14">
        <f t="shared" si="42"/>
        <v>952.5951914</v>
      </c>
      <c r="CO63" s="18" t="s">
        <v>5</v>
      </c>
      <c r="CP63" s="12" t="b">
        <f t="shared" si="43"/>
        <v>1</v>
      </c>
    </row>
    <row r="64" ht="15.75" customHeight="1">
      <c r="D64" s="18" t="s">
        <v>7</v>
      </c>
      <c r="E64" s="14">
        <f t="shared" ref="E64:CM64" si="44">IFERROR(E110/E156,"")</f>
        <v>500</v>
      </c>
      <c r="F64" s="14">
        <f t="shared" si="44"/>
        <v>513.8888889</v>
      </c>
      <c r="G64" s="14">
        <f t="shared" si="44"/>
        <v>435.8974359</v>
      </c>
      <c r="H64" s="14">
        <f t="shared" si="44"/>
        <v>427.0555556</v>
      </c>
      <c r="I64" s="14">
        <f t="shared" si="44"/>
        <v>430.8484848</v>
      </c>
      <c r="J64" s="14">
        <f t="shared" si="44"/>
        <v>489.5353535</v>
      </c>
      <c r="K64" s="14">
        <f t="shared" si="44"/>
        <v>509.7010516</v>
      </c>
      <c r="L64" s="14">
        <f t="shared" si="44"/>
        <v>496.9206293</v>
      </c>
      <c r="M64" s="14">
        <f t="shared" si="44"/>
        <v>466.9340819</v>
      </c>
      <c r="N64" s="14">
        <f t="shared" si="44"/>
        <v>469.8856385</v>
      </c>
      <c r="O64" s="14">
        <f t="shared" si="44"/>
        <v>490.8140561</v>
      </c>
      <c r="P64" s="14">
        <f t="shared" si="44"/>
        <v>477.7892562</v>
      </c>
      <c r="Q64" s="14">
        <f t="shared" si="44"/>
        <v>462.8767857</v>
      </c>
      <c r="R64" s="14">
        <f t="shared" si="44"/>
        <v>459.409375</v>
      </c>
      <c r="S64" s="14">
        <f t="shared" si="44"/>
        <v>463.71593</v>
      </c>
      <c r="T64" s="14">
        <f t="shared" si="44"/>
        <v>466.6314103</v>
      </c>
      <c r="U64" s="14">
        <f t="shared" si="44"/>
        <v>463.5095144</v>
      </c>
      <c r="V64" s="14">
        <f t="shared" si="44"/>
        <v>466.9811921</v>
      </c>
      <c r="W64" s="14">
        <f t="shared" si="44"/>
        <v>465.9752415</v>
      </c>
      <c r="X64" s="14">
        <f t="shared" si="44"/>
        <v>470.5671128</v>
      </c>
      <c r="Y64" s="14">
        <f t="shared" si="44"/>
        <v>480.7675439</v>
      </c>
      <c r="Z64" s="14">
        <f t="shared" si="44"/>
        <v>475.4773874</v>
      </c>
      <c r="AA64" s="14">
        <f t="shared" si="44"/>
        <v>500.2340574</v>
      </c>
      <c r="AB64" s="14">
        <f t="shared" si="44"/>
        <v>480.7498882</v>
      </c>
      <c r="AC64" s="14">
        <f t="shared" si="44"/>
        <v>504.5725331</v>
      </c>
      <c r="AD64" s="14">
        <f t="shared" si="44"/>
        <v>484.3994024</v>
      </c>
      <c r="AE64" s="14">
        <f t="shared" si="44"/>
        <v>512.8907324</v>
      </c>
      <c r="AF64" s="14">
        <f t="shared" si="44"/>
        <v>491.3862529</v>
      </c>
      <c r="AG64" s="14">
        <f t="shared" si="44"/>
        <v>514.4181367</v>
      </c>
      <c r="AH64" s="14">
        <f t="shared" si="44"/>
        <v>498.4497368</v>
      </c>
      <c r="AI64" s="14">
        <f t="shared" si="44"/>
        <v>527.7237886</v>
      </c>
      <c r="AJ64" s="14">
        <f t="shared" si="44"/>
        <v>505.4755325</v>
      </c>
      <c r="AK64" s="14">
        <f t="shared" si="44"/>
        <v>536.3655543</v>
      </c>
      <c r="AL64" s="14">
        <f t="shared" si="44"/>
        <v>512.6445666</v>
      </c>
      <c r="AM64" s="14">
        <f t="shared" si="44"/>
        <v>554.0273429</v>
      </c>
      <c r="AN64" s="14">
        <f t="shared" si="44"/>
        <v>467.8468032</v>
      </c>
      <c r="AO64" s="14">
        <f t="shared" si="44"/>
        <v>559.6730025</v>
      </c>
      <c r="AP64" s="14">
        <f t="shared" si="44"/>
        <v>464.7843085</v>
      </c>
      <c r="AQ64" s="14">
        <f t="shared" si="44"/>
        <v>567.6824323</v>
      </c>
      <c r="AR64" s="14">
        <f t="shared" si="44"/>
        <v>461.9397979</v>
      </c>
      <c r="AS64" s="14">
        <f t="shared" si="44"/>
        <v>571.6283149</v>
      </c>
      <c r="AT64" s="14">
        <f t="shared" si="44"/>
        <v>461.1028524</v>
      </c>
      <c r="AU64" s="14">
        <f t="shared" si="44"/>
        <v>577.6013693</v>
      </c>
      <c r="AV64" s="14">
        <f t="shared" si="44"/>
        <v>460.5143585</v>
      </c>
      <c r="AW64" s="14">
        <f t="shared" si="44"/>
        <v>586.1814083</v>
      </c>
      <c r="AX64" s="14">
        <f t="shared" si="44"/>
        <v>460.3716157</v>
      </c>
      <c r="AY64" s="14">
        <f t="shared" si="44"/>
        <v>586.3252026</v>
      </c>
      <c r="AZ64" s="14">
        <f t="shared" si="44"/>
        <v>464.276598</v>
      </c>
      <c r="BA64" s="14">
        <f t="shared" si="44"/>
        <v>584.4485088</v>
      </c>
      <c r="BB64" s="14">
        <f t="shared" si="44"/>
        <v>471.8442265</v>
      </c>
      <c r="BC64" s="14">
        <f t="shared" si="44"/>
        <v>588.6623692</v>
      </c>
      <c r="BD64" s="14">
        <f t="shared" si="44"/>
        <v>479.7894823</v>
      </c>
      <c r="BE64" s="14">
        <f t="shared" si="44"/>
        <v>585.9291133</v>
      </c>
      <c r="BF64" s="14">
        <f t="shared" si="44"/>
        <v>487.7475687</v>
      </c>
      <c r="BG64" s="14">
        <f t="shared" si="44"/>
        <v>584.6499274</v>
      </c>
      <c r="BH64" s="14">
        <f t="shared" si="44"/>
        <v>495.2945852</v>
      </c>
      <c r="BI64" s="14">
        <f t="shared" si="44"/>
        <v>584.7645015</v>
      </c>
      <c r="BJ64" s="14">
        <f t="shared" si="44"/>
        <v>502.7657935</v>
      </c>
      <c r="BK64" s="14">
        <f t="shared" si="44"/>
        <v>579.7499784</v>
      </c>
      <c r="BL64" s="14">
        <f t="shared" si="44"/>
        <v>474.0834119</v>
      </c>
      <c r="BM64" s="14">
        <f t="shared" si="44"/>
        <v>574.7452992</v>
      </c>
      <c r="BN64" s="14">
        <f t="shared" si="44"/>
        <v>475.292682</v>
      </c>
      <c r="BO64" s="14">
        <f t="shared" si="44"/>
        <v>576.0254029</v>
      </c>
      <c r="BP64" s="14">
        <f t="shared" si="44"/>
        <v>476.2370828</v>
      </c>
      <c r="BQ64" s="14">
        <f t="shared" si="44"/>
        <v>573.077239</v>
      </c>
      <c r="BR64" s="14">
        <f t="shared" si="44"/>
        <v>478.1703212</v>
      </c>
      <c r="BS64" s="14">
        <f t="shared" si="44"/>
        <v>570.7778316</v>
      </c>
      <c r="BT64" s="14">
        <f t="shared" si="44"/>
        <v>480.3612932</v>
      </c>
      <c r="BU64" s="14">
        <f t="shared" si="44"/>
        <v>576.6409585</v>
      </c>
      <c r="BV64" s="14">
        <f t="shared" si="44"/>
        <v>482.9046449</v>
      </c>
      <c r="BW64" s="14">
        <f t="shared" si="44"/>
        <v>575.8579741</v>
      </c>
      <c r="BX64" s="14">
        <f t="shared" si="44"/>
        <v>485.2778692</v>
      </c>
      <c r="BY64" s="14">
        <f t="shared" si="44"/>
        <v>573.2735222</v>
      </c>
      <c r="BZ64" s="14">
        <f t="shared" si="44"/>
        <v>487.6277068</v>
      </c>
      <c r="CA64" s="14">
        <f t="shared" si="44"/>
        <v>571.3892698</v>
      </c>
      <c r="CB64" s="14">
        <f t="shared" si="44"/>
        <v>490.189991</v>
      </c>
      <c r="CC64" s="14">
        <f t="shared" si="44"/>
        <v>570.6857189</v>
      </c>
      <c r="CD64" s="14">
        <f t="shared" si="44"/>
        <v>493.3205807</v>
      </c>
      <c r="CE64" s="14">
        <f t="shared" si="44"/>
        <v>566.6357137</v>
      </c>
      <c r="CF64" s="14">
        <f t="shared" si="44"/>
        <v>496.1989348</v>
      </c>
      <c r="CG64" s="14">
        <f t="shared" si="44"/>
        <v>570.1523585</v>
      </c>
      <c r="CH64" s="14">
        <f t="shared" si="44"/>
        <v>498.8844377</v>
      </c>
      <c r="CI64" s="14">
        <f t="shared" si="44"/>
        <v>567.9100532</v>
      </c>
      <c r="CJ64" s="14">
        <f t="shared" si="44"/>
        <v>502.2755869</v>
      </c>
      <c r="CK64" s="14">
        <f t="shared" si="44"/>
        <v>565.7481306</v>
      </c>
      <c r="CL64" s="14">
        <f t="shared" si="44"/>
        <v>505.4667631</v>
      </c>
      <c r="CM64" s="14">
        <f t="shared" si="44"/>
        <v>508.5112704</v>
      </c>
      <c r="CO64" s="18" t="s">
        <v>7</v>
      </c>
      <c r="CP64" s="12" t="b">
        <f t="shared" si="43"/>
        <v>1</v>
      </c>
    </row>
    <row r="65" ht="15.75" customHeight="1">
      <c r="C65" s="4"/>
      <c r="D65" s="13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O65" s="13"/>
      <c r="CP65" s="12" t="b">
        <f t="shared" si="43"/>
        <v>1</v>
      </c>
    </row>
    <row r="66" ht="15.75" customHeight="1">
      <c r="C66" s="7" t="s">
        <v>21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O66" s="7"/>
      <c r="CP66" s="12" t="b">
        <f t="shared" si="43"/>
        <v>1</v>
      </c>
    </row>
    <row r="67" ht="15.75" customHeight="1">
      <c r="C67" s="4"/>
      <c r="D67" s="5" t="s">
        <v>22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>
        <f>'2. Financial Metrics Actual Aud'!W5</f>
        <v>194906.6383</v>
      </c>
      <c r="W67" s="14">
        <f>V67</f>
        <v>194906.6383</v>
      </c>
      <c r="X67" s="14">
        <f>'2. Financial Metrics Actual Aud'!Y5</f>
        <v>224805.6232</v>
      </c>
      <c r="Y67" s="14">
        <f>X67</f>
        <v>224805.6232</v>
      </c>
      <c r="Z67" s="14">
        <f>'2. Financial Metrics Actual Aud'!AA5</f>
        <v>256399.3</v>
      </c>
      <c r="AA67" s="14">
        <f>Z67</f>
        <v>256399.3</v>
      </c>
      <c r="AB67" s="14">
        <f>'2. Financial Metrics Actual Aud'!AC5</f>
        <v>287577.4611</v>
      </c>
      <c r="AC67" s="14">
        <f>AB67</f>
        <v>287577.4611</v>
      </c>
      <c r="AD67" s="14">
        <f>'2. Financial Metrics Actual Aud'!AE5</f>
        <v>320610.997</v>
      </c>
      <c r="AE67" s="14">
        <f>AD67</f>
        <v>320610.997</v>
      </c>
      <c r="AF67" s="14">
        <f>'2. Financial Metrics Actual Aud'!AG5</f>
        <v>358351.5317</v>
      </c>
      <c r="AG67" s="14">
        <f>AF67</f>
        <v>358351.5317</v>
      </c>
      <c r="AH67" s="14">
        <f>'2. Financial Metrics Actual Aud'!AI5</f>
        <v>397229.9234</v>
      </c>
      <c r="AI67" s="14">
        <f>AH67</f>
        <v>397229.9234</v>
      </c>
      <c r="AJ67" s="14">
        <f>'2. Financial Metrics Actual Aud'!AK5</f>
        <v>439091.0296</v>
      </c>
      <c r="AK67" s="14">
        <f>AJ67</f>
        <v>439091.0296</v>
      </c>
      <c r="AL67" s="14">
        <f>'2. Financial Metrics Actual Aud'!AM5</f>
        <v>484264.8999</v>
      </c>
      <c r="AM67" s="14">
        <f>AL67</f>
        <v>484264.8999</v>
      </c>
      <c r="AN67" s="14">
        <f>'2. Financial Metrics Actual Aud'!AO5</f>
        <v>448474.7872</v>
      </c>
      <c r="AO67" s="14">
        <f>AN67</f>
        <v>448474.7872</v>
      </c>
      <c r="AP67" s="14">
        <f>'2. Financial Metrics Actual Aud'!AQ5</f>
        <v>468113.9608</v>
      </c>
      <c r="AQ67" s="14">
        <f>AP67</f>
        <v>468113.9608</v>
      </c>
      <c r="AR67" s="14">
        <f>'2. Financial Metrics Actual Aud'!AS5</f>
        <v>493720.046</v>
      </c>
      <c r="AS67" s="14">
        <f>AR67</f>
        <v>493720.046</v>
      </c>
      <c r="AT67" s="14">
        <f>'2. Financial Metrics Actual Aud'!AU5</f>
        <v>519675.4102</v>
      </c>
      <c r="AU67" s="14">
        <f>AT67</f>
        <v>519675.4102</v>
      </c>
      <c r="AV67" s="14">
        <f>'2. Financial Metrics Actual Aud'!AW5</f>
        <v>547593.5686</v>
      </c>
      <c r="AW67" s="14">
        <f>AV67</f>
        <v>547593.5686</v>
      </c>
      <c r="AX67" s="14">
        <f>'2. Financial Metrics Actual Aud'!AY5</f>
        <v>574786.9949</v>
      </c>
      <c r="AY67" s="14">
        <f>AX67</f>
        <v>574786.9949</v>
      </c>
      <c r="AZ67" s="14">
        <f>'2. Financial Metrics Actual Aud'!BA5</f>
        <v>615280.6103</v>
      </c>
      <c r="BA67" s="14">
        <f>AZ67</f>
        <v>615280.6103</v>
      </c>
      <c r="BB67" s="14">
        <f>'2. Financial Metrics Actual Aud'!BC5</f>
        <v>663310.3466</v>
      </c>
      <c r="BC67" s="14">
        <f>BB67</f>
        <v>663310.3466</v>
      </c>
      <c r="BD67" s="14">
        <f>'2. Financial Metrics Actual Aud'!BE5</f>
        <v>710946.2437</v>
      </c>
      <c r="BE67" s="14">
        <f>BD67</f>
        <v>710946.2437</v>
      </c>
      <c r="BF67" s="14">
        <f>'2. Financial Metrics Actual Aud'!BG5</f>
        <v>762116.5361</v>
      </c>
      <c r="BG67" s="14">
        <f>BF67</f>
        <v>762116.5361</v>
      </c>
      <c r="BH67" s="14">
        <f>'2. Financial Metrics Actual Aud'!BI5</f>
        <v>814820.9457</v>
      </c>
      <c r="BI67" s="14">
        <f>BH67</f>
        <v>814820.9457</v>
      </c>
      <c r="BJ67" s="14">
        <f>'2. Financial Metrics Actual Aud'!BK5</f>
        <v>871923.9751</v>
      </c>
      <c r="BK67" s="14">
        <f>BJ67</f>
        <v>871923.9751</v>
      </c>
      <c r="BL67" s="14">
        <f>'2. Financial Metrics Actual Aud'!BM5</f>
        <v>844261.1997</v>
      </c>
      <c r="BM67" s="14">
        <f>BL67</f>
        <v>844261.1997</v>
      </c>
      <c r="BN67" s="14">
        <f>'2. Financial Metrics Actual Aud'!BO5</f>
        <v>886132.6836</v>
      </c>
      <c r="BO67" s="14">
        <f>BN67</f>
        <v>886132.6836</v>
      </c>
      <c r="BP67" s="14">
        <f>'2. Financial Metrics Actual Aud'!BQ5</f>
        <v>930544.5679</v>
      </c>
      <c r="BQ67" s="14">
        <f>BP67</f>
        <v>930544.5679</v>
      </c>
      <c r="BR67" s="14">
        <f>'2. Financial Metrics Actual Aud'!BS5</f>
        <v>977602.5629</v>
      </c>
      <c r="BS67" s="14">
        <f>BR67</f>
        <v>977602.5629</v>
      </c>
      <c r="BT67" s="14">
        <f>'2. Financial Metrics Actual Aud'!BU5</f>
        <v>1023589.629</v>
      </c>
      <c r="BU67" s="14">
        <f>BT67</f>
        <v>1023589.629</v>
      </c>
      <c r="BV67" s="14">
        <f>'2. Financial Metrics Actual Aud'!BW5</f>
        <v>1067443.262</v>
      </c>
      <c r="BW67" s="14">
        <f>BV67</f>
        <v>1067443.262</v>
      </c>
      <c r="BX67" s="14">
        <f>'2. Financial Metrics Actual Aud'!BY5</f>
        <v>1113305.621</v>
      </c>
      <c r="BY67" s="14">
        <f>BX67</f>
        <v>1113305.621</v>
      </c>
      <c r="BZ67" s="14">
        <f>'2. Financial Metrics Actual Aud'!CA5</f>
        <v>1161531.919</v>
      </c>
      <c r="CA67" s="14">
        <f>BZ67</f>
        <v>1161531.919</v>
      </c>
      <c r="CB67" s="14">
        <f>'2. Financial Metrics Actual Aud'!CC5</f>
        <v>1213697.527</v>
      </c>
      <c r="CC67" s="14">
        <f>CB67</f>
        <v>1213697.527</v>
      </c>
      <c r="CD67" s="14">
        <f>'2. Financial Metrics Actual Aud'!CE5</f>
        <v>1264115.23</v>
      </c>
      <c r="CE67" s="14">
        <f>CD67</f>
        <v>1264115.23</v>
      </c>
      <c r="CF67" s="14">
        <f>'2. Financial Metrics Actual Aud'!CG5</f>
        <v>1318220.431</v>
      </c>
      <c r="CG67" s="14">
        <f>CF67</f>
        <v>1318220.431</v>
      </c>
      <c r="CH67" s="14">
        <f>'2. Financial Metrics Actual Aud'!CI5</f>
        <v>1375365.303</v>
      </c>
      <c r="CI67" s="14">
        <f>CH67</f>
        <v>1375365.303</v>
      </c>
      <c r="CJ67" s="14">
        <f>'2. Financial Metrics Actual Aud'!CK5</f>
        <v>1435763.165</v>
      </c>
      <c r="CK67" s="14">
        <f>CJ67</f>
        <v>1435763.165</v>
      </c>
      <c r="CL67" s="14">
        <f>'2. Financial Metrics Actual Aud'!CM5</f>
        <v>1500198.782</v>
      </c>
      <c r="CM67" s="14">
        <f>'2. Financial Metrics Actual Aud'!CN5</f>
        <v>1569483.202</v>
      </c>
      <c r="CO67" s="5" t="s">
        <v>22</v>
      </c>
      <c r="CP67" s="12" t="b">
        <f t="shared" si="43"/>
        <v>1</v>
      </c>
    </row>
    <row r="68" ht="15.75" customHeight="1">
      <c r="C68" s="4"/>
      <c r="D68" s="5" t="s">
        <v>23</v>
      </c>
      <c r="E68" s="14">
        <f t="shared" ref="E68:BQ68" si="45">E80</f>
        <v>1500</v>
      </c>
      <c r="F68" s="14">
        <f t="shared" si="45"/>
        <v>3750</v>
      </c>
      <c r="G68" s="14">
        <f t="shared" si="45"/>
        <v>6750</v>
      </c>
      <c r="H68" s="14">
        <f t="shared" si="45"/>
        <v>8770.333333</v>
      </c>
      <c r="I68" s="14">
        <f t="shared" si="45"/>
        <v>10562</v>
      </c>
      <c r="J68" s="14">
        <f t="shared" si="45"/>
        <v>17238</v>
      </c>
      <c r="K68" s="14">
        <f t="shared" si="45"/>
        <v>23240.7775</v>
      </c>
      <c r="L68" s="14">
        <f t="shared" si="45"/>
        <v>26724.11083</v>
      </c>
      <c r="M68" s="14">
        <f t="shared" si="45"/>
        <v>29924.11083</v>
      </c>
      <c r="N68" s="14">
        <f t="shared" si="45"/>
        <v>39181.19417</v>
      </c>
      <c r="O68" s="14">
        <f t="shared" si="45"/>
        <v>52724.7775</v>
      </c>
      <c r="P68" s="14">
        <f t="shared" si="45"/>
        <v>63887.5</v>
      </c>
      <c r="Q68" s="14">
        <f t="shared" si="45"/>
        <v>72961.08333</v>
      </c>
      <c r="R68" s="14">
        <f t="shared" si="45"/>
        <v>85488.83333</v>
      </c>
      <c r="S68" s="14">
        <f t="shared" si="45"/>
        <v>97632.58333</v>
      </c>
      <c r="T68" s="14">
        <f t="shared" si="45"/>
        <v>113551</v>
      </c>
      <c r="U68" s="14">
        <f t="shared" si="45"/>
        <v>146186.4167</v>
      </c>
      <c r="V68" s="14">
        <f t="shared" si="45"/>
        <v>176091.8883</v>
      </c>
      <c r="W68" s="14">
        <f t="shared" si="45"/>
        <v>166147.5</v>
      </c>
      <c r="X68" s="14">
        <f t="shared" si="45"/>
        <v>205990.8732</v>
      </c>
      <c r="Y68" s="14">
        <f t="shared" si="45"/>
        <v>193557.5</v>
      </c>
      <c r="Z68" s="14">
        <f t="shared" si="45"/>
        <v>237584.55</v>
      </c>
      <c r="AA68" s="14">
        <f t="shared" si="45"/>
        <v>230076.7708</v>
      </c>
      <c r="AB68" s="14">
        <f t="shared" si="45"/>
        <v>268762.7111</v>
      </c>
      <c r="AC68" s="14">
        <f t="shared" si="45"/>
        <v>255197.4375</v>
      </c>
      <c r="AD68" s="14">
        <f t="shared" si="45"/>
        <v>301796.247</v>
      </c>
      <c r="AE68" s="14">
        <f t="shared" si="45"/>
        <v>290591.1875</v>
      </c>
      <c r="AF68" s="14">
        <f t="shared" si="45"/>
        <v>339536.7817</v>
      </c>
      <c r="AG68" s="14">
        <f t="shared" si="45"/>
        <v>324222.1042</v>
      </c>
      <c r="AH68" s="14">
        <f t="shared" si="45"/>
        <v>378415.1734</v>
      </c>
      <c r="AI68" s="14">
        <f t="shared" si="45"/>
        <v>349284.6317</v>
      </c>
      <c r="AJ68" s="14">
        <f t="shared" si="45"/>
        <v>420276.2796</v>
      </c>
      <c r="AK68" s="14">
        <f t="shared" si="45"/>
        <v>370131.6317</v>
      </c>
      <c r="AL68" s="14">
        <f t="shared" si="45"/>
        <v>465450.1499</v>
      </c>
      <c r="AM68" s="14">
        <f t="shared" si="45"/>
        <v>402709.2483</v>
      </c>
      <c r="AN68" s="14">
        <f t="shared" si="45"/>
        <v>448474.7872</v>
      </c>
      <c r="AO68" s="14">
        <f t="shared" si="45"/>
        <v>425629.4842</v>
      </c>
      <c r="AP68" s="14">
        <f t="shared" si="45"/>
        <v>468113.9608</v>
      </c>
      <c r="AQ68" s="14">
        <f t="shared" si="45"/>
        <v>446187.7342</v>
      </c>
      <c r="AR68" s="14">
        <f t="shared" si="45"/>
        <v>493720.046</v>
      </c>
      <c r="AS68" s="14">
        <f t="shared" si="45"/>
        <v>475037.7342</v>
      </c>
      <c r="AT68" s="14">
        <f t="shared" si="45"/>
        <v>519675.4102</v>
      </c>
      <c r="AU68" s="14">
        <f t="shared" si="45"/>
        <v>507057.0342</v>
      </c>
      <c r="AV68" s="14">
        <f t="shared" si="45"/>
        <v>547593.5686</v>
      </c>
      <c r="AW68" s="14">
        <f t="shared" si="45"/>
        <v>549315.9092</v>
      </c>
      <c r="AX68" s="14">
        <f t="shared" si="45"/>
        <v>574786.9949</v>
      </c>
      <c r="AY68" s="14">
        <f t="shared" si="45"/>
        <v>597154.4925</v>
      </c>
      <c r="AZ68" s="14">
        <f t="shared" si="45"/>
        <v>615280.6103</v>
      </c>
      <c r="BA68" s="14">
        <f t="shared" si="45"/>
        <v>629219.4367</v>
      </c>
      <c r="BB68" s="14">
        <f t="shared" si="45"/>
        <v>663310.3466</v>
      </c>
      <c r="BC68" s="14">
        <f t="shared" si="45"/>
        <v>657269.3429</v>
      </c>
      <c r="BD68" s="14">
        <f t="shared" si="45"/>
        <v>710946.2437</v>
      </c>
      <c r="BE68" s="14">
        <f t="shared" si="45"/>
        <v>698476.5513</v>
      </c>
      <c r="BF68" s="14">
        <f t="shared" si="45"/>
        <v>762116.5361</v>
      </c>
      <c r="BG68" s="14">
        <f t="shared" si="45"/>
        <v>724692.6046</v>
      </c>
      <c r="BH68" s="14">
        <f t="shared" si="45"/>
        <v>814820.9457</v>
      </c>
      <c r="BI68" s="14">
        <f t="shared" si="45"/>
        <v>759398.1367</v>
      </c>
      <c r="BJ68" s="14">
        <f t="shared" si="45"/>
        <v>871923.9751</v>
      </c>
      <c r="BK68" s="14">
        <f t="shared" si="45"/>
        <v>810442.4903</v>
      </c>
      <c r="BL68" s="14">
        <f t="shared" si="45"/>
        <v>844261.1997</v>
      </c>
      <c r="BM68" s="14">
        <f t="shared" si="45"/>
        <v>843317.7496</v>
      </c>
      <c r="BN68" s="14">
        <f t="shared" si="45"/>
        <v>886132.6836</v>
      </c>
      <c r="BO68" s="14">
        <f t="shared" si="45"/>
        <v>891124.8751</v>
      </c>
      <c r="BP68" s="14">
        <f t="shared" si="45"/>
        <v>930544.5679</v>
      </c>
      <c r="BQ68" s="14">
        <f t="shared" si="45"/>
        <v>923221.6058</v>
      </c>
      <c r="BR68" s="14"/>
      <c r="BS68" s="14">
        <f>BS80</f>
        <v>955509.687</v>
      </c>
      <c r="BT68" s="14"/>
      <c r="BU68" s="14">
        <f>BU80</f>
        <v>1011507.018</v>
      </c>
      <c r="BV68" s="14"/>
      <c r="BW68" s="14">
        <f>BW80</f>
        <v>1075512.196</v>
      </c>
      <c r="BX68" s="14"/>
      <c r="BY68" s="14">
        <f>BY80</f>
        <v>1117047.638</v>
      </c>
      <c r="BZ68" s="14"/>
      <c r="CA68" s="14">
        <f>CA80</f>
        <v>1165186.733</v>
      </c>
      <c r="CB68" s="14"/>
      <c r="CC68" s="14">
        <f>CC80</f>
        <v>1215699.572</v>
      </c>
      <c r="CD68" s="14"/>
      <c r="CE68" s="14">
        <f>CE80</f>
        <v>1256692.501</v>
      </c>
      <c r="CF68" s="14"/>
      <c r="CG68" s="14">
        <f>CG80</f>
        <v>1318254.307</v>
      </c>
      <c r="CH68" s="14"/>
      <c r="CI68" s="14">
        <f>CI80</f>
        <v>1381491.317</v>
      </c>
      <c r="CJ68" s="14"/>
      <c r="CK68" s="14">
        <f>CK80</f>
        <v>1424717.647</v>
      </c>
      <c r="CL68" s="14"/>
      <c r="CM68" s="14"/>
      <c r="CO68" s="5"/>
    </row>
    <row r="69" ht="15.75" customHeight="1">
      <c r="C69" s="4"/>
      <c r="D69" s="35" t="s">
        <v>24</v>
      </c>
      <c r="E69" s="36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8">
        <f>W68/W67</f>
        <v>0.852446594</v>
      </c>
      <c r="X69" s="37"/>
      <c r="Y69" s="38">
        <f t="shared" ref="Y69:BQ69" si="46">Y68/Y67</f>
        <v>0.8609993703</v>
      </c>
      <c r="Z69" s="38">
        <f t="shared" si="46"/>
        <v>0.9266193394</v>
      </c>
      <c r="AA69" s="38">
        <f t="shared" si="46"/>
        <v>0.8973377495</v>
      </c>
      <c r="AB69" s="38">
        <f t="shared" si="46"/>
        <v>0.9345750187</v>
      </c>
      <c r="AC69" s="38">
        <f t="shared" si="46"/>
        <v>0.8874041678</v>
      </c>
      <c r="AD69" s="38">
        <f t="shared" si="46"/>
        <v>0.9413159555</v>
      </c>
      <c r="AE69" s="38">
        <f t="shared" si="46"/>
        <v>0.9063668753</v>
      </c>
      <c r="AF69" s="38">
        <f t="shared" si="46"/>
        <v>0.9474963874</v>
      </c>
      <c r="AG69" s="38">
        <f t="shared" si="46"/>
        <v>0.9047599229</v>
      </c>
      <c r="AH69" s="38">
        <f t="shared" si="46"/>
        <v>0.9526351141</v>
      </c>
      <c r="AI69" s="38">
        <f t="shared" si="46"/>
        <v>0.8793009064</v>
      </c>
      <c r="AJ69" s="38">
        <f t="shared" si="46"/>
        <v>0.9571506846</v>
      </c>
      <c r="AK69" s="38">
        <f t="shared" si="46"/>
        <v>0.8429496544</v>
      </c>
      <c r="AL69" s="38">
        <f t="shared" si="46"/>
        <v>0.9611478139</v>
      </c>
      <c r="AM69" s="38">
        <f t="shared" si="46"/>
        <v>0.8315887614</v>
      </c>
      <c r="AN69" s="38">
        <f t="shared" si="46"/>
        <v>1</v>
      </c>
      <c r="AO69" s="38">
        <f t="shared" si="46"/>
        <v>0.9490600059</v>
      </c>
      <c r="AP69" s="38">
        <f t="shared" si="46"/>
        <v>1</v>
      </c>
      <c r="AQ69" s="38">
        <f t="shared" si="46"/>
        <v>0.9531604941</v>
      </c>
      <c r="AR69" s="38">
        <f t="shared" si="46"/>
        <v>1</v>
      </c>
      <c r="AS69" s="38">
        <f t="shared" si="46"/>
        <v>0.9621601109</v>
      </c>
      <c r="AT69" s="38">
        <f t="shared" si="46"/>
        <v>1</v>
      </c>
      <c r="AU69" s="38">
        <f t="shared" si="46"/>
        <v>0.9757187356</v>
      </c>
      <c r="AV69" s="38">
        <f t="shared" si="46"/>
        <v>1</v>
      </c>
      <c r="AW69" s="38">
        <f t="shared" si="46"/>
        <v>1.00314529</v>
      </c>
      <c r="AX69" s="38">
        <f t="shared" si="46"/>
        <v>1</v>
      </c>
      <c r="AY69" s="38">
        <f t="shared" si="46"/>
        <v>1.038914411</v>
      </c>
      <c r="AZ69" s="38">
        <f t="shared" si="46"/>
        <v>1</v>
      </c>
      <c r="BA69" s="38">
        <f t="shared" si="46"/>
        <v>1.022654422</v>
      </c>
      <c r="BB69" s="38">
        <f t="shared" si="46"/>
        <v>1</v>
      </c>
      <c r="BC69" s="38">
        <f t="shared" si="46"/>
        <v>0.9908926437</v>
      </c>
      <c r="BD69" s="38">
        <f t="shared" si="46"/>
        <v>1</v>
      </c>
      <c r="BE69" s="38">
        <f t="shared" si="46"/>
        <v>0.9824604285</v>
      </c>
      <c r="BF69" s="38">
        <f t="shared" si="46"/>
        <v>1</v>
      </c>
      <c r="BG69" s="38">
        <f t="shared" si="46"/>
        <v>0.9508947389</v>
      </c>
      <c r="BH69" s="38">
        <f t="shared" si="46"/>
        <v>1</v>
      </c>
      <c r="BI69" s="38">
        <f t="shared" si="46"/>
        <v>0.9319816098</v>
      </c>
      <c r="BJ69" s="38">
        <f t="shared" si="46"/>
        <v>1</v>
      </c>
      <c r="BK69" s="38">
        <f t="shared" si="46"/>
        <v>0.9294875625</v>
      </c>
      <c r="BL69" s="38">
        <f t="shared" si="46"/>
        <v>1</v>
      </c>
      <c r="BM69" s="38">
        <f t="shared" si="46"/>
        <v>0.9988825141</v>
      </c>
      <c r="BN69" s="38">
        <f t="shared" si="46"/>
        <v>1</v>
      </c>
      <c r="BO69" s="38">
        <f t="shared" si="46"/>
        <v>1.005633684</v>
      </c>
      <c r="BP69" s="38">
        <f t="shared" si="46"/>
        <v>1</v>
      </c>
      <c r="BQ69" s="38">
        <f t="shared" si="46"/>
        <v>0.9921304553</v>
      </c>
      <c r="BR69" s="14"/>
      <c r="BS69" s="38">
        <f>BS68/BS67</f>
        <v>0.9774009636</v>
      </c>
      <c r="BT69" s="14"/>
      <c r="BU69" s="38">
        <f>BU68/BU67</f>
        <v>0.9881958446</v>
      </c>
      <c r="BV69" s="14"/>
      <c r="BW69" s="38">
        <f>BW68/BW67</f>
        <v>1.007559122</v>
      </c>
      <c r="BX69" s="14"/>
      <c r="BY69" s="38">
        <f>BY68/BY67</f>
        <v>1.003361176</v>
      </c>
      <c r="BZ69" s="14"/>
      <c r="CA69" s="38">
        <f>CA68/CA67</f>
        <v>1.003146546</v>
      </c>
      <c r="CB69" s="14"/>
      <c r="CC69" s="38">
        <f>CC68/CC67</f>
        <v>1.001649541</v>
      </c>
      <c r="CD69" s="14"/>
      <c r="CE69" s="38">
        <f>CE68/CE67</f>
        <v>0.9941281232</v>
      </c>
      <c r="CF69" s="14"/>
      <c r="CG69" s="38">
        <f>CG68/CG67</f>
        <v>1.000025698</v>
      </c>
      <c r="CH69" s="14"/>
      <c r="CI69" s="38">
        <f>CI68/CI67</f>
        <v>1.004454099</v>
      </c>
      <c r="CJ69" s="14"/>
      <c r="CK69" s="38">
        <f>CK68/CK67</f>
        <v>0.9923068665</v>
      </c>
      <c r="CL69" s="14"/>
      <c r="CM69" s="14"/>
      <c r="CO69" s="5"/>
    </row>
    <row r="70" ht="15.75" customHeight="1">
      <c r="C70" s="4"/>
      <c r="D70" s="5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O70" s="5"/>
    </row>
    <row r="71" ht="15.75" customHeight="1">
      <c r="C71" s="4"/>
      <c r="D71" s="5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>
        <f>BG81</f>
        <v>8696311.255</v>
      </c>
      <c r="BJ71" s="14"/>
      <c r="BK71" s="14">
        <f>BI71-CE33</f>
        <v>6216439.359</v>
      </c>
      <c r="BL71" s="14"/>
      <c r="BM71" s="15">
        <f>BK71/BI71</f>
        <v>0.7148363458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O71" s="5"/>
    </row>
    <row r="72" ht="15.75" customHeight="1">
      <c r="C72" s="7" t="s">
        <v>25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>
        <v>1295229.90537492</v>
      </c>
      <c r="BL72" s="7"/>
      <c r="BM72" s="39">
        <f>BK71+BK72</f>
        <v>7511669.265</v>
      </c>
      <c r="BN72" s="7"/>
      <c r="BO72" s="40">
        <f>BM72/BI71</f>
        <v>0.8637764961</v>
      </c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O72" s="5"/>
    </row>
    <row r="73" ht="15.75" customHeight="1">
      <c r="C73" s="41" t="s">
        <v>26</v>
      </c>
      <c r="D73" s="42" t="s">
        <v>27</v>
      </c>
      <c r="E73" s="14">
        <f t="shared" ref="E73:CM73" si="47">E88+E103</f>
        <v>0</v>
      </c>
      <c r="F73" s="14">
        <f t="shared" si="47"/>
        <v>1500</v>
      </c>
      <c r="G73" s="14">
        <f t="shared" si="47"/>
        <v>3750</v>
      </c>
      <c r="H73" s="14">
        <f t="shared" si="47"/>
        <v>6750</v>
      </c>
      <c r="I73" s="14">
        <f t="shared" si="47"/>
        <v>8770.333333</v>
      </c>
      <c r="J73" s="14">
        <f t="shared" si="47"/>
        <v>10562</v>
      </c>
      <c r="K73" s="14">
        <f t="shared" si="47"/>
        <v>17238</v>
      </c>
      <c r="L73" s="14">
        <f t="shared" si="47"/>
        <v>23240.7775</v>
      </c>
      <c r="M73" s="14">
        <f t="shared" si="47"/>
        <v>26724.11083</v>
      </c>
      <c r="N73" s="14">
        <f t="shared" si="47"/>
        <v>29924.11083</v>
      </c>
      <c r="O73" s="14">
        <f t="shared" si="47"/>
        <v>39181.19417</v>
      </c>
      <c r="P73" s="14">
        <f t="shared" si="47"/>
        <v>52724.7775</v>
      </c>
      <c r="Q73" s="14">
        <f t="shared" si="47"/>
        <v>63887.5</v>
      </c>
      <c r="R73" s="14">
        <f t="shared" si="47"/>
        <v>72961.08333</v>
      </c>
      <c r="S73" s="14">
        <f t="shared" si="47"/>
        <v>85488.83333</v>
      </c>
      <c r="T73" s="14">
        <f t="shared" si="47"/>
        <v>97632.58333</v>
      </c>
      <c r="U73" s="14">
        <f t="shared" si="47"/>
        <v>113551</v>
      </c>
      <c r="V73" s="14">
        <f t="shared" si="47"/>
        <v>146186.4167</v>
      </c>
      <c r="W73" s="14">
        <f t="shared" si="47"/>
        <v>146186.4167</v>
      </c>
      <c r="X73" s="14">
        <f t="shared" si="47"/>
        <v>176091.8883</v>
      </c>
      <c r="Y73" s="14">
        <f t="shared" si="47"/>
        <v>166147.5</v>
      </c>
      <c r="Z73" s="14">
        <f t="shared" si="47"/>
        <v>205990.8732</v>
      </c>
      <c r="AA73" s="14">
        <f t="shared" si="47"/>
        <v>193557.5</v>
      </c>
      <c r="AB73" s="14">
        <f t="shared" si="47"/>
        <v>237584.55</v>
      </c>
      <c r="AC73" s="14">
        <f t="shared" si="47"/>
        <v>230076.7708</v>
      </c>
      <c r="AD73" s="14">
        <f t="shared" si="47"/>
        <v>268762.7111</v>
      </c>
      <c r="AE73" s="14">
        <f t="shared" si="47"/>
        <v>255197.4375</v>
      </c>
      <c r="AF73" s="14">
        <f t="shared" si="47"/>
        <v>301796.247</v>
      </c>
      <c r="AG73" s="14">
        <f t="shared" si="47"/>
        <v>290591.1875</v>
      </c>
      <c r="AH73" s="14">
        <f t="shared" si="47"/>
        <v>339536.7817</v>
      </c>
      <c r="AI73" s="14">
        <f t="shared" si="47"/>
        <v>324222.1042</v>
      </c>
      <c r="AJ73" s="14">
        <f t="shared" si="47"/>
        <v>378415.1734</v>
      </c>
      <c r="AK73" s="14">
        <f t="shared" si="47"/>
        <v>349284.6317</v>
      </c>
      <c r="AL73" s="14">
        <f t="shared" si="47"/>
        <v>420276.2796</v>
      </c>
      <c r="AM73" s="14">
        <f t="shared" si="47"/>
        <v>370131.6317</v>
      </c>
      <c r="AN73" s="14">
        <f t="shared" si="47"/>
        <v>429101.75</v>
      </c>
      <c r="AO73" s="14">
        <f t="shared" si="47"/>
        <v>402709.2483</v>
      </c>
      <c r="AP73" s="14">
        <f t="shared" si="47"/>
        <v>448474.7872</v>
      </c>
      <c r="AQ73" s="14">
        <f t="shared" si="47"/>
        <v>425629.4842</v>
      </c>
      <c r="AR73" s="14">
        <f t="shared" si="47"/>
        <v>468113.9608</v>
      </c>
      <c r="AS73" s="14">
        <f t="shared" si="47"/>
        <v>446187.7342</v>
      </c>
      <c r="AT73" s="14">
        <f t="shared" si="47"/>
        <v>493720.046</v>
      </c>
      <c r="AU73" s="14">
        <f t="shared" si="47"/>
        <v>475037.7342</v>
      </c>
      <c r="AV73" s="14">
        <f t="shared" si="47"/>
        <v>519675.4102</v>
      </c>
      <c r="AW73" s="14">
        <f t="shared" si="47"/>
        <v>507057.0342</v>
      </c>
      <c r="AX73" s="14">
        <f t="shared" si="47"/>
        <v>547593.5686</v>
      </c>
      <c r="AY73" s="14">
        <f t="shared" si="47"/>
        <v>549315.9092</v>
      </c>
      <c r="AZ73" s="14">
        <f t="shared" si="47"/>
        <v>574786.9949</v>
      </c>
      <c r="BA73" s="14">
        <f t="shared" si="47"/>
        <v>597154.4925</v>
      </c>
      <c r="BB73" s="14">
        <f t="shared" si="47"/>
        <v>615280.6103</v>
      </c>
      <c r="BC73" s="14">
        <f t="shared" si="47"/>
        <v>629219.4367</v>
      </c>
      <c r="BD73" s="14">
        <f t="shared" si="47"/>
        <v>663310.3466</v>
      </c>
      <c r="BE73" s="14">
        <f t="shared" si="47"/>
        <v>657269.3429</v>
      </c>
      <c r="BF73" s="14">
        <f t="shared" si="47"/>
        <v>710946.2437</v>
      </c>
      <c r="BG73" s="14">
        <f t="shared" si="47"/>
        <v>698476.5513</v>
      </c>
      <c r="BH73" s="14">
        <f t="shared" si="47"/>
        <v>762116.5361</v>
      </c>
      <c r="BI73" s="14">
        <f t="shared" si="47"/>
        <v>724692.6046</v>
      </c>
      <c r="BJ73" s="14">
        <f t="shared" si="47"/>
        <v>814820.9457</v>
      </c>
      <c r="BK73" s="14">
        <f t="shared" si="47"/>
        <v>759398.1367</v>
      </c>
      <c r="BL73" s="14">
        <f t="shared" si="47"/>
        <v>804554.5179</v>
      </c>
      <c r="BM73" s="14">
        <f t="shared" si="47"/>
        <v>810442.4903</v>
      </c>
      <c r="BN73" s="14">
        <f t="shared" si="47"/>
        <v>844261.1997</v>
      </c>
      <c r="BO73" s="14">
        <f t="shared" si="47"/>
        <v>843317.7496</v>
      </c>
      <c r="BP73" s="14">
        <f t="shared" si="47"/>
        <v>886132.6836</v>
      </c>
      <c r="BQ73" s="14">
        <f t="shared" si="47"/>
        <v>891124.8751</v>
      </c>
      <c r="BR73" s="14">
        <f t="shared" si="47"/>
        <v>930544.5679</v>
      </c>
      <c r="BS73" s="14">
        <f t="shared" si="47"/>
        <v>923221.6058</v>
      </c>
      <c r="BT73" s="14">
        <f t="shared" si="47"/>
        <v>977602.5629</v>
      </c>
      <c r="BU73" s="14">
        <f t="shared" si="47"/>
        <v>955509.687</v>
      </c>
      <c r="BV73" s="14">
        <f t="shared" si="47"/>
        <v>1023589.629</v>
      </c>
      <c r="BW73" s="14">
        <f t="shared" si="47"/>
        <v>1011507.018</v>
      </c>
      <c r="BX73" s="14">
        <f t="shared" si="47"/>
        <v>1067443.262</v>
      </c>
      <c r="BY73" s="14">
        <f t="shared" si="47"/>
        <v>1075512.196</v>
      </c>
      <c r="BZ73" s="14">
        <f t="shared" si="47"/>
        <v>1113305.621</v>
      </c>
      <c r="CA73" s="14">
        <f t="shared" si="47"/>
        <v>1117047.638</v>
      </c>
      <c r="CB73" s="14">
        <f t="shared" si="47"/>
        <v>1161531.919</v>
      </c>
      <c r="CC73" s="14">
        <f t="shared" si="47"/>
        <v>1165186.733</v>
      </c>
      <c r="CD73" s="14">
        <f t="shared" si="47"/>
        <v>1213697.527</v>
      </c>
      <c r="CE73" s="14">
        <f t="shared" si="47"/>
        <v>1215699.572</v>
      </c>
      <c r="CF73" s="14">
        <f t="shared" si="47"/>
        <v>1264115.23</v>
      </c>
      <c r="CG73" s="14">
        <f t="shared" si="47"/>
        <v>1256692.501</v>
      </c>
      <c r="CH73" s="14">
        <f t="shared" si="47"/>
        <v>1318220.431</v>
      </c>
      <c r="CI73" s="14">
        <f t="shared" si="47"/>
        <v>1318254.307</v>
      </c>
      <c r="CJ73" s="14">
        <f t="shared" si="47"/>
        <v>1375365.303</v>
      </c>
      <c r="CK73" s="14">
        <f t="shared" si="47"/>
        <v>1381491.317</v>
      </c>
      <c r="CL73" s="14">
        <f t="shared" si="47"/>
        <v>1435763.165</v>
      </c>
      <c r="CM73" s="14">
        <f t="shared" si="47"/>
        <v>1500198.782</v>
      </c>
      <c r="CO73" s="5"/>
    </row>
    <row r="74" ht="15.75" customHeight="1">
      <c r="B74" s="19">
        <f>C74*12-C4</f>
        <v>-0.000000003725290298</v>
      </c>
      <c r="C74" s="9">
        <f t="shared" ref="C74:C81" si="49">SUM(E74:U74)+W74+Y74+AA74+AC74+AE74+AG74+AI74+AK74+AM74+AO74+AQ74+AS74+AU74+AW74+AY74+BA74+BC74+BE74+BG74+BI74+BK74+BM74+BO74+BQ74+BS74+BU74+BW74+BY74+CA74+CC74+CE74+CG74+CI74+CK74</f>
        <v>1521220.961</v>
      </c>
      <c r="D74" s="42" t="s">
        <v>28</v>
      </c>
      <c r="E74" s="14">
        <f t="shared" ref="E74:CM74" si="48">E89+E104</f>
        <v>1500</v>
      </c>
      <c r="F74" s="14">
        <f t="shared" si="48"/>
        <v>2250</v>
      </c>
      <c r="G74" s="14">
        <f t="shared" si="48"/>
        <v>3000</v>
      </c>
      <c r="H74" s="14">
        <f t="shared" si="48"/>
        <v>2020.333333</v>
      </c>
      <c r="I74" s="14">
        <f t="shared" si="48"/>
        <v>1791.666667</v>
      </c>
      <c r="J74" s="14">
        <f t="shared" si="48"/>
        <v>6676</v>
      </c>
      <c r="K74" s="14">
        <f t="shared" si="48"/>
        <v>6002.7775</v>
      </c>
      <c r="L74" s="14">
        <f t="shared" si="48"/>
        <v>3483.333333</v>
      </c>
      <c r="M74" s="14">
        <f t="shared" si="48"/>
        <v>3200</v>
      </c>
      <c r="N74" s="14">
        <f t="shared" si="48"/>
        <v>9257.083333</v>
      </c>
      <c r="O74" s="14">
        <f t="shared" si="48"/>
        <v>13345.25</v>
      </c>
      <c r="P74" s="14">
        <f t="shared" si="48"/>
        <v>10996.05583</v>
      </c>
      <c r="Q74" s="14">
        <f t="shared" si="48"/>
        <v>10120.33333</v>
      </c>
      <c r="R74" s="14">
        <f t="shared" si="48"/>
        <v>13400</v>
      </c>
      <c r="S74" s="14">
        <f t="shared" si="48"/>
        <v>12393.75</v>
      </c>
      <c r="T74" s="14">
        <f t="shared" si="48"/>
        <v>16014.25</v>
      </c>
      <c r="U74" s="14">
        <f t="shared" si="48"/>
        <v>31406.25</v>
      </c>
      <c r="V74" s="14">
        <f t="shared" si="48"/>
        <v>30564.63833</v>
      </c>
      <c r="W74" s="14">
        <f t="shared" si="48"/>
        <v>21578.91667</v>
      </c>
      <c r="X74" s="14">
        <f t="shared" si="48"/>
        <v>30670.85371</v>
      </c>
      <c r="Y74" s="14">
        <f t="shared" si="48"/>
        <v>26217.5</v>
      </c>
      <c r="Z74" s="14">
        <f t="shared" si="48"/>
        <v>32093.41022</v>
      </c>
      <c r="AA74" s="14">
        <f t="shared" si="48"/>
        <v>33273.4375</v>
      </c>
      <c r="AB74" s="14">
        <f t="shared" si="48"/>
        <v>31610.9808</v>
      </c>
      <c r="AC74" s="14">
        <f t="shared" si="48"/>
        <v>25674.58333</v>
      </c>
      <c r="AD74" s="14">
        <f t="shared" si="48"/>
        <v>34295.31965</v>
      </c>
      <c r="AE74" s="14">
        <f t="shared" si="48"/>
        <v>31812.5</v>
      </c>
      <c r="AF74" s="14">
        <f t="shared" si="48"/>
        <v>37536.32795</v>
      </c>
      <c r="AG74" s="14">
        <f t="shared" si="48"/>
        <v>35638.95833</v>
      </c>
      <c r="AH74" s="14">
        <f t="shared" si="48"/>
        <v>38640.9507</v>
      </c>
      <c r="AI74" s="14">
        <f t="shared" si="48"/>
        <v>25739.58333</v>
      </c>
      <c r="AJ74" s="14">
        <f t="shared" si="48"/>
        <v>41537.18725</v>
      </c>
      <c r="AK74" s="14">
        <f t="shared" si="48"/>
        <v>26917.70833</v>
      </c>
      <c r="AL74" s="14">
        <f t="shared" si="48"/>
        <v>44770.44075</v>
      </c>
      <c r="AM74" s="14">
        <f t="shared" si="48"/>
        <v>34910.45833</v>
      </c>
      <c r="AN74" s="14">
        <f t="shared" si="48"/>
        <v>25300</v>
      </c>
      <c r="AO74" s="14">
        <f t="shared" si="48"/>
        <v>21702.58333</v>
      </c>
      <c r="AP74" s="14">
        <f t="shared" si="48"/>
        <v>25618</v>
      </c>
      <c r="AQ74" s="14">
        <f t="shared" si="48"/>
        <v>22657</v>
      </c>
      <c r="AR74" s="14">
        <f t="shared" si="48"/>
        <v>31806.03</v>
      </c>
      <c r="AS74" s="14">
        <f t="shared" si="48"/>
        <v>34343.75</v>
      </c>
      <c r="AT74" s="14">
        <f t="shared" si="48"/>
        <v>32241.07538</v>
      </c>
      <c r="AU74" s="14">
        <f t="shared" si="48"/>
        <v>28701.0625</v>
      </c>
      <c r="AV74" s="14">
        <f t="shared" si="48"/>
        <v>34509.12696</v>
      </c>
      <c r="AW74" s="14">
        <f t="shared" si="48"/>
        <v>37693.75</v>
      </c>
      <c r="AX74" s="14">
        <f t="shared" si="48"/>
        <v>33834.80602</v>
      </c>
      <c r="AY74" s="14">
        <f t="shared" si="48"/>
        <v>41746.625</v>
      </c>
      <c r="AZ74" s="14">
        <f t="shared" si="48"/>
        <v>43453.58023</v>
      </c>
      <c r="BA74" s="14">
        <f t="shared" si="48"/>
        <v>31072.81917</v>
      </c>
      <c r="BB74" s="14">
        <f t="shared" si="48"/>
        <v>47454.99373</v>
      </c>
      <c r="BC74" s="14">
        <f t="shared" si="48"/>
        <v>27035.83333</v>
      </c>
      <c r="BD74" s="14">
        <f t="shared" si="48"/>
        <v>47211.51622</v>
      </c>
      <c r="BE74" s="14">
        <f t="shared" si="48"/>
        <v>41132.16667</v>
      </c>
      <c r="BF74" s="14">
        <f t="shared" si="48"/>
        <v>50288.75945</v>
      </c>
      <c r="BG74" s="14">
        <f t="shared" si="48"/>
        <v>26397.29167</v>
      </c>
      <c r="BH74" s="14">
        <f t="shared" si="48"/>
        <v>51963.56797</v>
      </c>
      <c r="BI74" s="14">
        <f t="shared" si="48"/>
        <v>41916.0568</v>
      </c>
      <c r="BJ74" s="14">
        <f t="shared" si="48"/>
        <v>55583.15863</v>
      </c>
      <c r="BK74" s="14">
        <f t="shared" si="48"/>
        <v>55362.78633</v>
      </c>
      <c r="BL74" s="14">
        <f t="shared" si="48"/>
        <v>36516.90627</v>
      </c>
      <c r="BM74" s="14">
        <f t="shared" si="48"/>
        <v>37372.27937</v>
      </c>
      <c r="BN74" s="14">
        <f t="shared" si="48"/>
        <v>38293.13924</v>
      </c>
      <c r="BO74" s="14">
        <f t="shared" si="48"/>
        <v>56744.084</v>
      </c>
      <c r="BP74" s="14">
        <f t="shared" si="48"/>
        <v>40714.24179</v>
      </c>
      <c r="BQ74" s="14">
        <f t="shared" si="48"/>
        <v>53988.3099</v>
      </c>
      <c r="BR74" s="14">
        <f t="shared" si="48"/>
        <v>43348.66076</v>
      </c>
      <c r="BS74" s="14">
        <f t="shared" si="48"/>
        <v>38816.43232</v>
      </c>
      <c r="BT74" s="14">
        <f t="shared" si="48"/>
        <v>41858.81054</v>
      </c>
      <c r="BU74" s="14">
        <f t="shared" si="48"/>
        <v>51263.66667</v>
      </c>
      <c r="BV74" s="14">
        <f t="shared" si="48"/>
        <v>39713.48896</v>
      </c>
      <c r="BW74" s="14">
        <f t="shared" si="48"/>
        <v>67908.08333</v>
      </c>
      <c r="BX74" s="14">
        <f t="shared" si="48"/>
        <v>40429.01175</v>
      </c>
      <c r="BY74" s="14">
        <f t="shared" si="48"/>
        <v>47024.08333</v>
      </c>
      <c r="BZ74" s="14">
        <f t="shared" si="48"/>
        <v>42637.10898</v>
      </c>
      <c r="CA74" s="14">
        <f t="shared" si="48"/>
        <v>58489.16333</v>
      </c>
      <c r="CB74" s="14">
        <f t="shared" si="48"/>
        <v>45201.89377</v>
      </c>
      <c r="CC74" s="14">
        <f t="shared" si="48"/>
        <v>56184.58333</v>
      </c>
      <c r="CD74" s="14">
        <f t="shared" si="48"/>
        <v>43107.17676</v>
      </c>
      <c r="CE74" s="14">
        <f t="shared" si="48"/>
        <v>65650.53333</v>
      </c>
      <c r="CF74" s="14">
        <f t="shared" si="48"/>
        <v>45936.08061</v>
      </c>
      <c r="CG74" s="14">
        <f t="shared" si="48"/>
        <v>57953.44333</v>
      </c>
      <c r="CH74" s="14">
        <f t="shared" si="48"/>
        <v>48474.17779</v>
      </c>
      <c r="CI74" s="14">
        <f t="shared" si="48"/>
        <v>66288.66667</v>
      </c>
      <c r="CJ74" s="14">
        <f t="shared" si="48"/>
        <v>50372.12599</v>
      </c>
      <c r="CK74" s="14">
        <f t="shared" si="48"/>
        <v>45155.17833</v>
      </c>
      <c r="CL74" s="14">
        <f t="shared" si="48"/>
        <v>53209.9422</v>
      </c>
      <c r="CM74" s="14">
        <f t="shared" si="48"/>
        <v>56865.40402</v>
      </c>
      <c r="CO74" s="5"/>
    </row>
    <row r="75" ht="15.75" customHeight="1">
      <c r="B75" s="19">
        <f>C75*12-C19</f>
        <v>0.0000000009313225746</v>
      </c>
      <c r="C75" s="9">
        <f t="shared" si="49"/>
        <v>230414.7151</v>
      </c>
      <c r="D75" s="42" t="s">
        <v>29</v>
      </c>
      <c r="E75" s="14">
        <f t="shared" ref="E75:CM75" si="50">E90+E105</f>
        <v>0</v>
      </c>
      <c r="F75" s="14">
        <f t="shared" si="50"/>
        <v>0</v>
      </c>
      <c r="G75" s="14">
        <f t="shared" si="50"/>
        <v>0</v>
      </c>
      <c r="H75" s="14">
        <f t="shared" si="50"/>
        <v>0</v>
      </c>
      <c r="I75" s="14">
        <f t="shared" si="50"/>
        <v>0</v>
      </c>
      <c r="J75" s="14">
        <f t="shared" si="50"/>
        <v>0</v>
      </c>
      <c r="K75" s="14">
        <f t="shared" si="50"/>
        <v>0</v>
      </c>
      <c r="L75" s="14">
        <f t="shared" si="50"/>
        <v>0</v>
      </c>
      <c r="M75" s="14">
        <f t="shared" si="50"/>
        <v>0</v>
      </c>
      <c r="N75" s="14">
        <f t="shared" si="50"/>
        <v>0</v>
      </c>
      <c r="O75" s="14">
        <f t="shared" si="50"/>
        <v>198.3333333</v>
      </c>
      <c r="P75" s="14">
        <f t="shared" si="50"/>
        <v>166.6666667</v>
      </c>
      <c r="Q75" s="14">
        <f t="shared" si="50"/>
        <v>0</v>
      </c>
      <c r="R75" s="14">
        <f t="shared" si="50"/>
        <v>377.75</v>
      </c>
      <c r="S75" s="14">
        <f t="shared" si="50"/>
        <v>208.3333333</v>
      </c>
      <c r="T75" s="14">
        <f t="shared" si="50"/>
        <v>279.1666667</v>
      </c>
      <c r="U75" s="14">
        <f t="shared" si="50"/>
        <v>1687.5</v>
      </c>
      <c r="V75" s="14">
        <f t="shared" si="50"/>
        <v>329.5833333</v>
      </c>
      <c r="W75" s="14">
        <f t="shared" si="50"/>
        <v>1614.583333</v>
      </c>
      <c r="X75" s="14">
        <f t="shared" si="50"/>
        <v>431.0436458</v>
      </c>
      <c r="Y75" s="14">
        <f t="shared" si="50"/>
        <v>3317.5</v>
      </c>
      <c r="Z75" s="14">
        <f t="shared" si="50"/>
        <v>313.1165938</v>
      </c>
      <c r="AA75" s="14">
        <f t="shared" si="50"/>
        <v>4087.5</v>
      </c>
      <c r="AB75" s="14">
        <f t="shared" si="50"/>
        <v>305.905253</v>
      </c>
      <c r="AC75" s="14">
        <f t="shared" si="50"/>
        <v>1955.416667</v>
      </c>
      <c r="AD75" s="14">
        <f t="shared" si="50"/>
        <v>1012.341253</v>
      </c>
      <c r="AE75" s="14">
        <f t="shared" si="50"/>
        <v>4939.583333</v>
      </c>
      <c r="AF75" s="14">
        <f t="shared" si="50"/>
        <v>672.9694313</v>
      </c>
      <c r="AG75" s="14">
        <f t="shared" si="50"/>
        <v>2103.125</v>
      </c>
      <c r="AH75" s="14">
        <f t="shared" si="50"/>
        <v>644.8039348</v>
      </c>
      <c r="AI75" s="14">
        <f t="shared" si="50"/>
        <v>3533</v>
      </c>
      <c r="AJ75" s="14">
        <f t="shared" si="50"/>
        <v>758.5816042</v>
      </c>
      <c r="AK75" s="14">
        <f t="shared" si="50"/>
        <v>3573.958333</v>
      </c>
      <c r="AL75" s="14">
        <f t="shared" si="50"/>
        <v>839.9394812</v>
      </c>
      <c r="AM75" s="14">
        <f t="shared" si="50"/>
        <v>4873.5125</v>
      </c>
      <c r="AN75" s="14">
        <f t="shared" si="50"/>
        <v>3416.666667</v>
      </c>
      <c r="AO75" s="14">
        <f t="shared" si="50"/>
        <v>5275.694167</v>
      </c>
      <c r="AP75" s="14">
        <f t="shared" si="50"/>
        <v>3695.833333</v>
      </c>
      <c r="AQ75" s="14">
        <f t="shared" si="50"/>
        <v>4711.333333</v>
      </c>
      <c r="AR75" s="14">
        <f t="shared" si="50"/>
        <v>3811.958333</v>
      </c>
      <c r="AS75" s="14">
        <f t="shared" si="50"/>
        <v>3062.5</v>
      </c>
      <c r="AT75" s="14">
        <f t="shared" si="50"/>
        <v>3931.829583</v>
      </c>
      <c r="AU75" s="14">
        <f t="shared" si="50"/>
        <v>6659.375</v>
      </c>
      <c r="AV75" s="14">
        <f t="shared" si="50"/>
        <v>4055.572596</v>
      </c>
      <c r="AW75" s="14">
        <f t="shared" si="50"/>
        <v>9620.333333</v>
      </c>
      <c r="AX75" s="14">
        <f t="shared" si="50"/>
        <v>4473.135824</v>
      </c>
      <c r="AY75" s="14">
        <f t="shared" si="50"/>
        <v>6069.25</v>
      </c>
      <c r="AZ75" s="14">
        <f t="shared" si="50"/>
        <v>5147.743932</v>
      </c>
      <c r="BA75" s="14">
        <f t="shared" si="50"/>
        <v>8431.583333</v>
      </c>
      <c r="BB75" s="14">
        <f t="shared" si="50"/>
        <v>5315.577207</v>
      </c>
      <c r="BC75" s="14">
        <f t="shared" si="50"/>
        <v>7199.75</v>
      </c>
      <c r="BD75" s="14">
        <f t="shared" si="50"/>
        <v>5489.115527</v>
      </c>
      <c r="BE75" s="14">
        <f t="shared" si="50"/>
        <v>6511.916667</v>
      </c>
      <c r="BF75" s="14">
        <f t="shared" si="50"/>
        <v>6273.857799</v>
      </c>
      <c r="BG75" s="14">
        <f t="shared" si="50"/>
        <v>7380.22</v>
      </c>
      <c r="BH75" s="14">
        <f t="shared" si="50"/>
        <v>6485.343456</v>
      </c>
      <c r="BI75" s="14">
        <f t="shared" si="50"/>
        <v>4507.4336</v>
      </c>
      <c r="BJ75" s="14">
        <f t="shared" si="50"/>
        <v>7627.159759</v>
      </c>
      <c r="BK75" s="14">
        <f t="shared" si="50"/>
        <v>5363.234</v>
      </c>
      <c r="BL75" s="14">
        <f t="shared" si="50"/>
        <v>8459.00991</v>
      </c>
      <c r="BM75" s="14">
        <f t="shared" si="50"/>
        <v>4628.839333</v>
      </c>
      <c r="BN75" s="14">
        <f t="shared" si="50"/>
        <v>9083.18562</v>
      </c>
      <c r="BO75" s="14">
        <f t="shared" si="50"/>
        <v>6289.187289</v>
      </c>
      <c r="BP75" s="14">
        <f t="shared" si="50"/>
        <v>9448.7986</v>
      </c>
      <c r="BQ75" s="14">
        <f t="shared" si="50"/>
        <v>12062.40667</v>
      </c>
      <c r="BR75" s="14">
        <f t="shared" si="50"/>
        <v>9740.163344</v>
      </c>
      <c r="BS75" s="14">
        <f t="shared" si="50"/>
        <v>6162.148805</v>
      </c>
      <c r="BT75" s="14">
        <f t="shared" si="50"/>
        <v>10450.17713</v>
      </c>
      <c r="BU75" s="14">
        <f t="shared" si="50"/>
        <v>6433.833333</v>
      </c>
      <c r="BV75" s="14">
        <f t="shared" si="50"/>
        <v>10746.12649</v>
      </c>
      <c r="BW75" s="14">
        <f t="shared" si="50"/>
        <v>12484.7</v>
      </c>
      <c r="BX75" s="14">
        <f t="shared" si="50"/>
        <v>11463.24905</v>
      </c>
      <c r="BY75" s="14">
        <f t="shared" si="50"/>
        <v>8771.65</v>
      </c>
      <c r="BZ75" s="14">
        <f t="shared" si="50"/>
        <v>11841.10822</v>
      </c>
      <c r="CA75" s="14">
        <f t="shared" si="50"/>
        <v>8600.083333</v>
      </c>
      <c r="CB75" s="14">
        <f t="shared" si="50"/>
        <v>13444.10576</v>
      </c>
      <c r="CC75" s="14">
        <f t="shared" si="50"/>
        <v>15475.33709</v>
      </c>
      <c r="CD75" s="14">
        <f t="shared" si="50"/>
        <v>13484.43808</v>
      </c>
      <c r="CE75" s="14">
        <f t="shared" si="50"/>
        <v>8150.17</v>
      </c>
      <c r="CF75" s="14">
        <f t="shared" si="50"/>
        <v>14564.60117</v>
      </c>
      <c r="CG75" s="14">
        <f t="shared" si="50"/>
        <v>12496.58333</v>
      </c>
      <c r="CH75" s="14">
        <f t="shared" si="50"/>
        <v>15303.51425</v>
      </c>
      <c r="CI75" s="14">
        <f t="shared" si="50"/>
        <v>11500.04</v>
      </c>
      <c r="CJ75" s="14">
        <f t="shared" si="50"/>
        <v>16316.93538</v>
      </c>
      <c r="CK75" s="14">
        <f t="shared" si="50"/>
        <v>9651.183333</v>
      </c>
      <c r="CL75" s="14">
        <f t="shared" si="50"/>
        <v>17764.67988</v>
      </c>
      <c r="CM75" s="14">
        <f t="shared" si="50"/>
        <v>19220.96399</v>
      </c>
      <c r="CO75" s="5"/>
    </row>
    <row r="76" ht="15.75" customHeight="1">
      <c r="B76" s="19">
        <f>C76*12-C24</f>
        <v>0</v>
      </c>
      <c r="C76" s="9">
        <f t="shared" si="49"/>
        <v>13006.40172</v>
      </c>
      <c r="D76" s="42" t="s">
        <v>30</v>
      </c>
      <c r="E76" s="14">
        <f t="shared" ref="E76:CM76" si="51">E91+E106</f>
        <v>0</v>
      </c>
      <c r="F76" s="14">
        <f t="shared" si="51"/>
        <v>0</v>
      </c>
      <c r="G76" s="14">
        <f t="shared" si="51"/>
        <v>0</v>
      </c>
      <c r="H76" s="14">
        <f t="shared" si="51"/>
        <v>0</v>
      </c>
      <c r="I76" s="14">
        <f t="shared" si="51"/>
        <v>0</v>
      </c>
      <c r="J76" s="14">
        <f t="shared" si="51"/>
        <v>0</v>
      </c>
      <c r="K76" s="14">
        <f t="shared" si="51"/>
        <v>0</v>
      </c>
      <c r="L76" s="14">
        <f t="shared" si="51"/>
        <v>0</v>
      </c>
      <c r="M76" s="14">
        <f t="shared" si="51"/>
        <v>0</v>
      </c>
      <c r="N76" s="14">
        <f t="shared" si="51"/>
        <v>0</v>
      </c>
      <c r="O76" s="14">
        <f t="shared" si="51"/>
        <v>0</v>
      </c>
      <c r="P76" s="14">
        <f t="shared" si="51"/>
        <v>0</v>
      </c>
      <c r="Q76" s="14">
        <f t="shared" si="51"/>
        <v>0</v>
      </c>
      <c r="R76" s="14">
        <f t="shared" si="51"/>
        <v>0</v>
      </c>
      <c r="S76" s="14">
        <f t="shared" si="51"/>
        <v>0</v>
      </c>
      <c r="T76" s="14">
        <f t="shared" si="51"/>
        <v>0</v>
      </c>
      <c r="U76" s="14">
        <f t="shared" si="51"/>
        <v>0</v>
      </c>
      <c r="V76" s="14">
        <f t="shared" si="51"/>
        <v>0</v>
      </c>
      <c r="W76" s="14">
        <f t="shared" si="51"/>
        <v>0</v>
      </c>
      <c r="X76" s="14">
        <f t="shared" si="51"/>
        <v>0</v>
      </c>
      <c r="Y76" s="14">
        <f t="shared" si="51"/>
        <v>0</v>
      </c>
      <c r="Z76" s="14">
        <f t="shared" si="51"/>
        <v>0</v>
      </c>
      <c r="AA76" s="14">
        <f t="shared" si="51"/>
        <v>125</v>
      </c>
      <c r="AB76" s="14">
        <f t="shared" si="51"/>
        <v>0</v>
      </c>
      <c r="AC76" s="14">
        <f t="shared" si="51"/>
        <v>0</v>
      </c>
      <c r="AD76" s="14">
        <f t="shared" si="51"/>
        <v>0</v>
      </c>
      <c r="AE76" s="14">
        <f t="shared" si="51"/>
        <v>0</v>
      </c>
      <c r="AF76" s="14">
        <f t="shared" si="51"/>
        <v>0</v>
      </c>
      <c r="AG76" s="14">
        <f t="shared" si="51"/>
        <v>0</v>
      </c>
      <c r="AH76" s="14">
        <f t="shared" si="51"/>
        <v>0</v>
      </c>
      <c r="AI76" s="14">
        <f t="shared" si="51"/>
        <v>0</v>
      </c>
      <c r="AJ76" s="14">
        <f t="shared" si="51"/>
        <v>0</v>
      </c>
      <c r="AK76" s="14">
        <f t="shared" si="51"/>
        <v>0</v>
      </c>
      <c r="AL76" s="14">
        <f t="shared" si="51"/>
        <v>0</v>
      </c>
      <c r="AM76" s="14">
        <f t="shared" si="51"/>
        <v>46.91666667</v>
      </c>
      <c r="AN76" s="14">
        <f t="shared" si="51"/>
        <v>0</v>
      </c>
      <c r="AO76" s="14">
        <f t="shared" si="51"/>
        <v>39.41666667</v>
      </c>
      <c r="AP76" s="14">
        <f t="shared" si="51"/>
        <v>0</v>
      </c>
      <c r="AQ76" s="14">
        <f t="shared" si="51"/>
        <v>12.5</v>
      </c>
      <c r="AR76" s="14">
        <f t="shared" si="51"/>
        <v>0</v>
      </c>
      <c r="AS76" s="14">
        <f t="shared" si="51"/>
        <v>0</v>
      </c>
      <c r="AT76" s="14">
        <f t="shared" si="51"/>
        <v>0</v>
      </c>
      <c r="AU76" s="14">
        <f t="shared" si="51"/>
        <v>443.75</v>
      </c>
      <c r="AV76" s="14">
        <f t="shared" si="51"/>
        <v>0</v>
      </c>
      <c r="AW76" s="14">
        <f t="shared" si="51"/>
        <v>215.625</v>
      </c>
      <c r="AX76" s="14">
        <f t="shared" si="51"/>
        <v>0</v>
      </c>
      <c r="AY76" s="14">
        <f t="shared" si="51"/>
        <v>543.5416667</v>
      </c>
      <c r="AZ76" s="14">
        <f t="shared" si="51"/>
        <v>0</v>
      </c>
      <c r="BA76" s="14">
        <f t="shared" si="51"/>
        <v>238.5416667</v>
      </c>
      <c r="BB76" s="14">
        <f t="shared" si="51"/>
        <v>0</v>
      </c>
      <c r="BC76" s="14">
        <f t="shared" si="51"/>
        <v>391.40625</v>
      </c>
      <c r="BD76" s="14">
        <f t="shared" si="51"/>
        <v>0</v>
      </c>
      <c r="BE76" s="14">
        <f t="shared" si="51"/>
        <v>223.5416667</v>
      </c>
      <c r="BF76" s="14">
        <f t="shared" si="51"/>
        <v>0</v>
      </c>
      <c r="BG76" s="14">
        <f t="shared" si="51"/>
        <v>203.125</v>
      </c>
      <c r="BH76" s="14">
        <f t="shared" si="51"/>
        <v>0</v>
      </c>
      <c r="BI76" s="14">
        <f t="shared" si="51"/>
        <v>75</v>
      </c>
      <c r="BJ76" s="14">
        <f t="shared" si="51"/>
        <v>0</v>
      </c>
      <c r="BK76" s="14">
        <f t="shared" si="51"/>
        <v>267.9166667</v>
      </c>
      <c r="BL76" s="14">
        <f t="shared" si="51"/>
        <v>0</v>
      </c>
      <c r="BM76" s="14">
        <f t="shared" si="51"/>
        <v>203.7239583</v>
      </c>
      <c r="BN76" s="14">
        <f t="shared" si="51"/>
        <v>0</v>
      </c>
      <c r="BO76" s="14">
        <f t="shared" si="51"/>
        <v>305.1041667</v>
      </c>
      <c r="BP76" s="14">
        <f t="shared" si="51"/>
        <v>0</v>
      </c>
      <c r="BQ76" s="14">
        <f t="shared" si="51"/>
        <v>264.375</v>
      </c>
      <c r="BR76" s="14">
        <f t="shared" si="51"/>
        <v>0</v>
      </c>
      <c r="BS76" s="14">
        <f t="shared" si="51"/>
        <v>547.9166667</v>
      </c>
      <c r="BT76" s="14">
        <f t="shared" si="51"/>
        <v>0</v>
      </c>
      <c r="BU76" s="14">
        <f t="shared" si="51"/>
        <v>827.03125</v>
      </c>
      <c r="BV76" s="14">
        <f t="shared" si="51"/>
        <v>0</v>
      </c>
      <c r="BW76" s="14">
        <f t="shared" si="51"/>
        <v>1780.978125</v>
      </c>
      <c r="BX76" s="14">
        <f t="shared" si="51"/>
        <v>0</v>
      </c>
      <c r="BY76" s="14">
        <f t="shared" si="51"/>
        <v>1166.666667</v>
      </c>
      <c r="BZ76" s="14">
        <f t="shared" si="51"/>
        <v>0</v>
      </c>
      <c r="CA76" s="14">
        <f t="shared" si="51"/>
        <v>576.5145833</v>
      </c>
      <c r="CB76" s="14">
        <f t="shared" si="51"/>
        <v>0</v>
      </c>
      <c r="CC76" s="14">
        <f t="shared" si="51"/>
        <v>1420.664081</v>
      </c>
      <c r="CD76" s="14">
        <f t="shared" si="51"/>
        <v>0</v>
      </c>
      <c r="CE76" s="14">
        <f t="shared" si="51"/>
        <v>1570.910833</v>
      </c>
      <c r="CF76" s="14">
        <f t="shared" si="51"/>
        <v>0</v>
      </c>
      <c r="CG76" s="14">
        <f t="shared" si="51"/>
        <v>324.8401417</v>
      </c>
      <c r="CH76" s="14">
        <f t="shared" si="51"/>
        <v>0</v>
      </c>
      <c r="CI76" s="14">
        <f t="shared" si="51"/>
        <v>334.1666667</v>
      </c>
      <c r="CJ76" s="14">
        <f t="shared" si="51"/>
        <v>0</v>
      </c>
      <c r="CK76" s="14">
        <f t="shared" si="51"/>
        <v>857.2283333</v>
      </c>
      <c r="CL76" s="14">
        <f t="shared" si="51"/>
        <v>0</v>
      </c>
      <c r="CM76" s="14">
        <f t="shared" si="51"/>
        <v>0</v>
      </c>
      <c r="CO76" s="5"/>
    </row>
    <row r="77" ht="15.75" customHeight="1">
      <c r="B77" s="19">
        <f>C77*12+C29</f>
        <v>0</v>
      </c>
      <c r="C77" s="9">
        <f t="shared" si="49"/>
        <v>-298714.9563</v>
      </c>
      <c r="D77" s="42" t="s">
        <v>31</v>
      </c>
      <c r="E77" s="14">
        <f t="shared" ref="E77:CM77" si="52">E92+E107</f>
        <v>0</v>
      </c>
      <c r="F77" s="14">
        <f t="shared" si="52"/>
        <v>0</v>
      </c>
      <c r="G77" s="14">
        <f t="shared" si="52"/>
        <v>0</v>
      </c>
      <c r="H77" s="14">
        <f t="shared" si="52"/>
        <v>0</v>
      </c>
      <c r="I77" s="14">
        <f t="shared" si="52"/>
        <v>0</v>
      </c>
      <c r="J77" s="14">
        <f t="shared" si="52"/>
        <v>0</v>
      </c>
      <c r="K77" s="14">
        <f t="shared" si="52"/>
        <v>0</v>
      </c>
      <c r="L77" s="14">
        <f t="shared" si="52"/>
        <v>0</v>
      </c>
      <c r="M77" s="14">
        <f t="shared" si="52"/>
        <v>0</v>
      </c>
      <c r="N77" s="14">
        <f t="shared" si="52"/>
        <v>0</v>
      </c>
      <c r="O77" s="14">
        <f t="shared" si="52"/>
        <v>0</v>
      </c>
      <c r="P77" s="14">
        <f t="shared" si="52"/>
        <v>0</v>
      </c>
      <c r="Q77" s="14">
        <f t="shared" si="52"/>
        <v>-1000</v>
      </c>
      <c r="R77" s="14">
        <f t="shared" si="52"/>
        <v>-1250</v>
      </c>
      <c r="S77" s="14">
        <f t="shared" si="52"/>
        <v>-333.3333333</v>
      </c>
      <c r="T77" s="14">
        <f t="shared" si="52"/>
        <v>-375</v>
      </c>
      <c r="U77" s="14">
        <f t="shared" si="52"/>
        <v>-458.3333333</v>
      </c>
      <c r="V77" s="14">
        <f t="shared" si="52"/>
        <v>-988.75</v>
      </c>
      <c r="W77" s="14">
        <f t="shared" si="52"/>
        <v>-2750</v>
      </c>
      <c r="X77" s="14">
        <f t="shared" si="52"/>
        <v>-1202.9125</v>
      </c>
      <c r="Y77" s="14">
        <f t="shared" si="52"/>
        <v>-1833.333333</v>
      </c>
      <c r="Z77" s="14">
        <f t="shared" si="52"/>
        <v>-812.85</v>
      </c>
      <c r="AA77" s="14">
        <f t="shared" si="52"/>
        <v>-883.3333333</v>
      </c>
      <c r="AB77" s="14">
        <f t="shared" si="52"/>
        <v>-738.725</v>
      </c>
      <c r="AC77" s="14">
        <f t="shared" si="52"/>
        <v>-2388.333333</v>
      </c>
      <c r="AD77" s="14">
        <f t="shared" si="52"/>
        <v>-2274.125</v>
      </c>
      <c r="AE77" s="14">
        <f t="shared" si="52"/>
        <v>-750</v>
      </c>
      <c r="AF77" s="14">
        <f t="shared" si="52"/>
        <v>-468.7626667</v>
      </c>
      <c r="AG77" s="14">
        <f t="shared" si="52"/>
        <v>-3775</v>
      </c>
      <c r="AH77" s="14">
        <f t="shared" si="52"/>
        <v>-407.3629333</v>
      </c>
      <c r="AI77" s="14">
        <f t="shared" si="52"/>
        <v>-3638.889167</v>
      </c>
      <c r="AJ77" s="14">
        <f t="shared" si="52"/>
        <v>-434.6626149</v>
      </c>
      <c r="AK77" s="14">
        <f t="shared" si="52"/>
        <v>-9125.416667</v>
      </c>
      <c r="AL77" s="14">
        <f t="shared" si="52"/>
        <v>-436.509931</v>
      </c>
      <c r="AM77" s="14">
        <f t="shared" si="52"/>
        <v>-6753.270833</v>
      </c>
      <c r="AN77" s="14">
        <f t="shared" si="52"/>
        <v>-9343.6295</v>
      </c>
      <c r="AO77" s="14">
        <f t="shared" si="52"/>
        <v>-3602.083333</v>
      </c>
      <c r="AP77" s="14">
        <f t="shared" si="52"/>
        <v>-9674.659712</v>
      </c>
      <c r="AQ77" s="14">
        <f t="shared" si="52"/>
        <v>-6230.916667</v>
      </c>
      <c r="AR77" s="14">
        <f t="shared" si="52"/>
        <v>-10011.90317</v>
      </c>
      <c r="AS77" s="14">
        <f t="shared" si="52"/>
        <v>-8531.25</v>
      </c>
      <c r="AT77" s="14">
        <f t="shared" si="52"/>
        <v>-10217.54069</v>
      </c>
      <c r="AU77" s="14">
        <f t="shared" si="52"/>
        <v>-3784.8875</v>
      </c>
      <c r="AV77" s="14">
        <f t="shared" si="52"/>
        <v>-10646.54121</v>
      </c>
      <c r="AW77" s="14">
        <f t="shared" si="52"/>
        <v>-5270.833333</v>
      </c>
      <c r="AX77" s="14">
        <f t="shared" si="52"/>
        <v>-11114.51549</v>
      </c>
      <c r="AY77" s="14">
        <f t="shared" si="52"/>
        <v>-520.8333333</v>
      </c>
      <c r="AZ77" s="14">
        <f t="shared" si="52"/>
        <v>-8107.708786</v>
      </c>
      <c r="BA77" s="14">
        <f t="shared" si="52"/>
        <v>-7584.25</v>
      </c>
      <c r="BB77" s="14">
        <f t="shared" si="52"/>
        <v>-4740.834655</v>
      </c>
      <c r="BC77" s="14">
        <f t="shared" si="52"/>
        <v>-6577.083333</v>
      </c>
      <c r="BD77" s="14">
        <f t="shared" si="52"/>
        <v>-5064.734592</v>
      </c>
      <c r="BE77" s="14">
        <f t="shared" si="52"/>
        <v>-6660.416667</v>
      </c>
      <c r="BF77" s="14">
        <f t="shared" si="52"/>
        <v>-5392.324936</v>
      </c>
      <c r="BG77" s="14">
        <f t="shared" si="52"/>
        <v>-7306.25</v>
      </c>
      <c r="BH77" s="14">
        <f t="shared" si="52"/>
        <v>-5744.50179</v>
      </c>
      <c r="BI77" s="14">
        <f t="shared" si="52"/>
        <v>-9760.916667</v>
      </c>
      <c r="BJ77" s="14">
        <f t="shared" si="52"/>
        <v>-6107.289001</v>
      </c>
      <c r="BK77" s="14">
        <f t="shared" si="52"/>
        <v>-9782.916667</v>
      </c>
      <c r="BL77" s="14">
        <f t="shared" si="52"/>
        <v>-5269.234371</v>
      </c>
      <c r="BM77" s="14">
        <f t="shared" si="52"/>
        <v>-8716.666667</v>
      </c>
      <c r="BN77" s="14">
        <f t="shared" si="52"/>
        <v>-5504.840953</v>
      </c>
      <c r="BO77" s="14">
        <f t="shared" si="52"/>
        <v>-15114.58333</v>
      </c>
      <c r="BP77" s="14">
        <f t="shared" si="52"/>
        <v>-5751.15605</v>
      </c>
      <c r="BQ77" s="14">
        <f t="shared" si="52"/>
        <v>-25608.36083</v>
      </c>
      <c r="BR77" s="14">
        <f t="shared" si="52"/>
        <v>-6030.829135</v>
      </c>
      <c r="BS77" s="14">
        <f t="shared" si="52"/>
        <v>-8659.416667</v>
      </c>
      <c r="BT77" s="14">
        <f t="shared" si="52"/>
        <v>-6321.921283</v>
      </c>
      <c r="BU77" s="14">
        <f t="shared" si="52"/>
        <v>-1902.2</v>
      </c>
      <c r="BV77" s="14">
        <f t="shared" si="52"/>
        <v>-6605.982539</v>
      </c>
      <c r="BW77" s="14">
        <f t="shared" si="52"/>
        <v>-17834.16667</v>
      </c>
      <c r="BX77" s="14">
        <f t="shared" si="52"/>
        <v>-6029.901601</v>
      </c>
      <c r="BY77" s="14">
        <f t="shared" si="52"/>
        <v>-12955.04167</v>
      </c>
      <c r="BZ77" s="14">
        <f t="shared" si="52"/>
        <v>-6251.919193</v>
      </c>
      <c r="CA77" s="14">
        <f t="shared" si="52"/>
        <v>-18079.58333</v>
      </c>
      <c r="CB77" s="14">
        <f t="shared" si="52"/>
        <v>-6480.391575</v>
      </c>
      <c r="CC77" s="14">
        <f t="shared" si="52"/>
        <v>-18672.91667</v>
      </c>
      <c r="CD77" s="14">
        <f t="shared" si="52"/>
        <v>-6173.912526</v>
      </c>
      <c r="CE77" s="14">
        <f t="shared" si="52"/>
        <v>-28362.35</v>
      </c>
      <c r="CF77" s="14">
        <f t="shared" si="52"/>
        <v>-6395.480484</v>
      </c>
      <c r="CG77" s="14">
        <f t="shared" si="52"/>
        <v>-8077.333333</v>
      </c>
      <c r="CH77" s="14">
        <f t="shared" si="52"/>
        <v>-6632.81986</v>
      </c>
      <c r="CI77" s="14">
        <f t="shared" si="52"/>
        <v>-13436.19</v>
      </c>
      <c r="CJ77" s="14">
        <f t="shared" si="52"/>
        <v>-6291.199879</v>
      </c>
      <c r="CK77" s="14">
        <f t="shared" si="52"/>
        <v>-10369.26633</v>
      </c>
      <c r="CL77" s="14">
        <f t="shared" si="52"/>
        <v>-6539.004581</v>
      </c>
      <c r="CM77" s="14">
        <f t="shared" si="52"/>
        <v>-6801.94796</v>
      </c>
      <c r="CO77" s="5"/>
    </row>
    <row r="78" ht="15.75" customHeight="1">
      <c r="B78" s="43">
        <f>C78*12+C34</f>
        <v>0</v>
      </c>
      <c r="C78" s="9">
        <f t="shared" si="49"/>
        <v>-41209.47481</v>
      </c>
      <c r="D78" s="42" t="s">
        <v>32</v>
      </c>
      <c r="E78" s="14">
        <f t="shared" ref="E78:CM78" si="53">E93+E108</f>
        <v>0</v>
      </c>
      <c r="F78" s="14">
        <f t="shared" si="53"/>
        <v>0</v>
      </c>
      <c r="G78" s="14">
        <f t="shared" si="53"/>
        <v>0</v>
      </c>
      <c r="H78" s="14">
        <f t="shared" si="53"/>
        <v>0</v>
      </c>
      <c r="I78" s="14">
        <f t="shared" si="53"/>
        <v>0</v>
      </c>
      <c r="J78" s="14">
        <f t="shared" si="53"/>
        <v>0</v>
      </c>
      <c r="K78" s="14">
        <f t="shared" si="53"/>
        <v>0</v>
      </c>
      <c r="L78" s="14">
        <f t="shared" si="53"/>
        <v>0</v>
      </c>
      <c r="M78" s="14">
        <f t="shared" si="53"/>
        <v>0</v>
      </c>
      <c r="N78" s="14">
        <f t="shared" si="53"/>
        <v>0</v>
      </c>
      <c r="O78" s="14">
        <f t="shared" si="53"/>
        <v>0</v>
      </c>
      <c r="P78" s="14">
        <f t="shared" si="53"/>
        <v>0</v>
      </c>
      <c r="Q78" s="14">
        <f t="shared" si="53"/>
        <v>-46.75</v>
      </c>
      <c r="R78" s="14">
        <f t="shared" si="53"/>
        <v>0</v>
      </c>
      <c r="S78" s="14">
        <f t="shared" si="53"/>
        <v>-125</v>
      </c>
      <c r="T78" s="14">
        <f t="shared" si="53"/>
        <v>0</v>
      </c>
      <c r="U78" s="14">
        <f t="shared" si="53"/>
        <v>0</v>
      </c>
      <c r="V78" s="14">
        <f t="shared" si="53"/>
        <v>0</v>
      </c>
      <c r="W78" s="14">
        <f t="shared" si="53"/>
        <v>-482.4166667</v>
      </c>
      <c r="X78" s="14">
        <f t="shared" si="53"/>
        <v>0</v>
      </c>
      <c r="Y78" s="14">
        <f t="shared" si="53"/>
        <v>-291.6666667</v>
      </c>
      <c r="Z78" s="14">
        <f t="shared" si="53"/>
        <v>0</v>
      </c>
      <c r="AA78" s="14">
        <f t="shared" si="53"/>
        <v>-83.33333333</v>
      </c>
      <c r="AB78" s="14">
        <f t="shared" si="53"/>
        <v>0</v>
      </c>
      <c r="AC78" s="14">
        <f t="shared" si="53"/>
        <v>-121</v>
      </c>
      <c r="AD78" s="14">
        <f t="shared" si="53"/>
        <v>0</v>
      </c>
      <c r="AE78" s="14">
        <f t="shared" si="53"/>
        <v>-608.3333333</v>
      </c>
      <c r="AF78" s="14">
        <f t="shared" si="53"/>
        <v>0</v>
      </c>
      <c r="AG78" s="14">
        <f t="shared" si="53"/>
        <v>-336.1666667</v>
      </c>
      <c r="AH78" s="14">
        <f t="shared" si="53"/>
        <v>0</v>
      </c>
      <c r="AI78" s="14">
        <f t="shared" si="53"/>
        <v>-571.1666667</v>
      </c>
      <c r="AJ78" s="14">
        <f t="shared" si="53"/>
        <v>0</v>
      </c>
      <c r="AK78" s="14">
        <f t="shared" si="53"/>
        <v>-519.25</v>
      </c>
      <c r="AL78" s="14">
        <f t="shared" si="53"/>
        <v>0</v>
      </c>
      <c r="AM78" s="14">
        <f t="shared" si="53"/>
        <v>-500</v>
      </c>
      <c r="AN78" s="14">
        <f t="shared" si="53"/>
        <v>0</v>
      </c>
      <c r="AO78" s="14">
        <f t="shared" si="53"/>
        <v>-495.375</v>
      </c>
      <c r="AP78" s="14">
        <f t="shared" si="53"/>
        <v>0</v>
      </c>
      <c r="AQ78" s="14">
        <f t="shared" si="53"/>
        <v>-591.6666667</v>
      </c>
      <c r="AR78" s="14">
        <f t="shared" si="53"/>
        <v>0</v>
      </c>
      <c r="AS78" s="14">
        <f t="shared" si="53"/>
        <v>-25</v>
      </c>
      <c r="AT78" s="14">
        <f t="shared" si="53"/>
        <v>0</v>
      </c>
      <c r="AU78" s="14">
        <f t="shared" si="53"/>
        <v>0</v>
      </c>
      <c r="AV78" s="14">
        <f t="shared" si="53"/>
        <v>0</v>
      </c>
      <c r="AW78" s="14">
        <f t="shared" si="53"/>
        <v>0</v>
      </c>
      <c r="AX78" s="14">
        <f t="shared" si="53"/>
        <v>0</v>
      </c>
      <c r="AY78" s="14">
        <f t="shared" si="53"/>
        <v>0</v>
      </c>
      <c r="AZ78" s="14">
        <f t="shared" si="53"/>
        <v>0</v>
      </c>
      <c r="BA78" s="14">
        <f t="shared" si="53"/>
        <v>-93.75</v>
      </c>
      <c r="BB78" s="14">
        <f t="shared" si="53"/>
        <v>0</v>
      </c>
      <c r="BC78" s="14">
        <f t="shared" si="53"/>
        <v>0</v>
      </c>
      <c r="BD78" s="14">
        <f t="shared" si="53"/>
        <v>0</v>
      </c>
      <c r="BE78" s="14">
        <f t="shared" si="53"/>
        <v>0</v>
      </c>
      <c r="BF78" s="14">
        <f t="shared" si="53"/>
        <v>0</v>
      </c>
      <c r="BG78" s="14">
        <f t="shared" si="53"/>
        <v>-458.3333333</v>
      </c>
      <c r="BH78" s="14">
        <f t="shared" si="53"/>
        <v>0</v>
      </c>
      <c r="BI78" s="14">
        <f t="shared" si="53"/>
        <v>-2032.041667</v>
      </c>
      <c r="BJ78" s="14">
        <f t="shared" si="53"/>
        <v>0</v>
      </c>
      <c r="BK78" s="14">
        <f t="shared" si="53"/>
        <v>-166.6666667</v>
      </c>
      <c r="BL78" s="14">
        <f t="shared" si="53"/>
        <v>0</v>
      </c>
      <c r="BM78" s="14">
        <f t="shared" si="53"/>
        <v>-612.9166667</v>
      </c>
      <c r="BN78" s="14">
        <f t="shared" si="53"/>
        <v>0</v>
      </c>
      <c r="BO78" s="14">
        <f t="shared" si="53"/>
        <v>-416.6666667</v>
      </c>
      <c r="BP78" s="14">
        <f t="shared" si="53"/>
        <v>0</v>
      </c>
      <c r="BQ78" s="14">
        <f t="shared" si="53"/>
        <v>-8610</v>
      </c>
      <c r="BR78" s="14">
        <f t="shared" si="53"/>
        <v>0</v>
      </c>
      <c r="BS78" s="14">
        <f t="shared" si="53"/>
        <v>-4579</v>
      </c>
      <c r="BT78" s="14">
        <f t="shared" si="53"/>
        <v>0</v>
      </c>
      <c r="BU78" s="14">
        <f t="shared" si="53"/>
        <v>-625</v>
      </c>
      <c r="BV78" s="14">
        <f t="shared" si="53"/>
        <v>0</v>
      </c>
      <c r="BW78" s="14">
        <f t="shared" si="53"/>
        <v>-334.4166667</v>
      </c>
      <c r="BX78" s="14">
        <f t="shared" si="53"/>
        <v>0</v>
      </c>
      <c r="BY78" s="14">
        <f t="shared" si="53"/>
        <v>-2471.916667</v>
      </c>
      <c r="BZ78" s="14">
        <f t="shared" si="53"/>
        <v>0</v>
      </c>
      <c r="CA78" s="14">
        <f t="shared" si="53"/>
        <v>-1447.083333</v>
      </c>
      <c r="CB78" s="14">
        <f t="shared" si="53"/>
        <v>0</v>
      </c>
      <c r="CC78" s="14">
        <f t="shared" si="53"/>
        <v>-3894.828675</v>
      </c>
      <c r="CD78" s="14">
        <f t="shared" si="53"/>
        <v>0</v>
      </c>
      <c r="CE78" s="14">
        <f t="shared" si="53"/>
        <v>-6016.335135</v>
      </c>
      <c r="CF78" s="14">
        <f t="shared" si="53"/>
        <v>0</v>
      </c>
      <c r="CG78" s="14">
        <f t="shared" si="53"/>
        <v>-1135.727667</v>
      </c>
      <c r="CH78" s="14">
        <f t="shared" si="53"/>
        <v>0</v>
      </c>
      <c r="CI78" s="14">
        <f t="shared" si="53"/>
        <v>-1449.673333</v>
      </c>
      <c r="CJ78" s="14">
        <f t="shared" si="53"/>
        <v>0</v>
      </c>
      <c r="CK78" s="14">
        <f t="shared" si="53"/>
        <v>-2067.993333</v>
      </c>
      <c r="CL78" s="14">
        <f t="shared" si="53"/>
        <v>0</v>
      </c>
      <c r="CM78" s="14">
        <f t="shared" si="53"/>
        <v>0</v>
      </c>
      <c r="CO78" s="5"/>
    </row>
    <row r="79" ht="15.75" customHeight="1">
      <c r="C79" s="9">
        <f t="shared" si="49"/>
        <v>-96503.3143</v>
      </c>
      <c r="D79" s="42" t="s">
        <v>33</v>
      </c>
      <c r="E79" s="14">
        <f t="shared" ref="E79:CM79" si="54">E94+E109</f>
        <v>0</v>
      </c>
      <c r="F79" s="14">
        <f t="shared" si="54"/>
        <v>0</v>
      </c>
      <c r="G79" s="14">
        <f t="shared" si="54"/>
        <v>0</v>
      </c>
      <c r="H79" s="14">
        <f t="shared" si="54"/>
        <v>0</v>
      </c>
      <c r="I79" s="14">
        <f t="shared" si="54"/>
        <v>0</v>
      </c>
      <c r="J79" s="14">
        <f t="shared" si="54"/>
        <v>0</v>
      </c>
      <c r="K79" s="14">
        <f t="shared" si="54"/>
        <v>0</v>
      </c>
      <c r="L79" s="14">
        <f t="shared" si="54"/>
        <v>0</v>
      </c>
      <c r="M79" s="14">
        <f t="shared" si="54"/>
        <v>0</v>
      </c>
      <c r="N79" s="14">
        <f t="shared" si="54"/>
        <v>0</v>
      </c>
      <c r="O79" s="14">
        <f t="shared" si="54"/>
        <v>198.3333333</v>
      </c>
      <c r="P79" s="14">
        <f t="shared" si="54"/>
        <v>166.6666667</v>
      </c>
      <c r="Q79" s="14">
        <f t="shared" si="54"/>
        <v>-1046.75</v>
      </c>
      <c r="R79" s="14">
        <f t="shared" si="54"/>
        <v>-872.25</v>
      </c>
      <c r="S79" s="14">
        <f t="shared" si="54"/>
        <v>-250</v>
      </c>
      <c r="T79" s="14">
        <f t="shared" si="54"/>
        <v>-95.83333333</v>
      </c>
      <c r="U79" s="14">
        <f t="shared" si="54"/>
        <v>1229.166667</v>
      </c>
      <c r="V79" s="14">
        <f t="shared" si="54"/>
        <v>-659.1666667</v>
      </c>
      <c r="W79" s="14">
        <f t="shared" si="54"/>
        <v>-1617.833333</v>
      </c>
      <c r="X79" s="14">
        <f t="shared" si="54"/>
        <v>-771.8688542</v>
      </c>
      <c r="Y79" s="14">
        <f t="shared" si="54"/>
        <v>1192.5</v>
      </c>
      <c r="Z79" s="14">
        <f t="shared" si="54"/>
        <v>-499.7334063</v>
      </c>
      <c r="AA79" s="14">
        <f t="shared" si="54"/>
        <v>3245.833333</v>
      </c>
      <c r="AB79" s="14">
        <f t="shared" si="54"/>
        <v>-432.819747</v>
      </c>
      <c r="AC79" s="14">
        <f t="shared" si="54"/>
        <v>-553.9166667</v>
      </c>
      <c r="AD79" s="14">
        <f t="shared" si="54"/>
        <v>-1261.783747</v>
      </c>
      <c r="AE79" s="14">
        <f t="shared" si="54"/>
        <v>3581.25</v>
      </c>
      <c r="AF79" s="14">
        <f t="shared" si="54"/>
        <v>204.2067646</v>
      </c>
      <c r="AG79" s="14">
        <f t="shared" si="54"/>
        <v>-2008.041667</v>
      </c>
      <c r="AH79" s="14">
        <f t="shared" si="54"/>
        <v>237.4410015</v>
      </c>
      <c r="AI79" s="14">
        <f t="shared" si="54"/>
        <v>-677.0558333</v>
      </c>
      <c r="AJ79" s="14">
        <f t="shared" si="54"/>
        <v>323.9189893</v>
      </c>
      <c r="AK79" s="14">
        <f t="shared" si="54"/>
        <v>-6070.708333</v>
      </c>
      <c r="AL79" s="14">
        <f t="shared" si="54"/>
        <v>403.4295502</v>
      </c>
      <c r="AM79" s="14">
        <f t="shared" si="54"/>
        <v>-2332.841667</v>
      </c>
      <c r="AN79" s="14">
        <f t="shared" si="54"/>
        <v>-5926.962833</v>
      </c>
      <c r="AO79" s="14">
        <f t="shared" si="54"/>
        <v>1217.6525</v>
      </c>
      <c r="AP79" s="14">
        <f t="shared" si="54"/>
        <v>-5978.826379</v>
      </c>
      <c r="AQ79" s="14">
        <f t="shared" si="54"/>
        <v>-2098.75</v>
      </c>
      <c r="AR79" s="14">
        <f t="shared" si="54"/>
        <v>-6199.944833</v>
      </c>
      <c r="AS79" s="14">
        <f t="shared" si="54"/>
        <v>-5493.75</v>
      </c>
      <c r="AT79" s="14">
        <f t="shared" si="54"/>
        <v>-6285.711108</v>
      </c>
      <c r="AU79" s="14">
        <f t="shared" si="54"/>
        <v>3318.2375</v>
      </c>
      <c r="AV79" s="14">
        <f t="shared" si="54"/>
        <v>-6590.968614</v>
      </c>
      <c r="AW79" s="14">
        <f t="shared" si="54"/>
        <v>4565.125</v>
      </c>
      <c r="AX79" s="14">
        <f t="shared" si="54"/>
        <v>-6641.379664</v>
      </c>
      <c r="AY79" s="14">
        <f t="shared" si="54"/>
        <v>6091.958333</v>
      </c>
      <c r="AZ79" s="14">
        <f t="shared" si="54"/>
        <v>-2959.964854</v>
      </c>
      <c r="BA79" s="14">
        <f t="shared" si="54"/>
        <v>992.125</v>
      </c>
      <c r="BB79" s="14">
        <f t="shared" si="54"/>
        <v>574.7425513</v>
      </c>
      <c r="BC79" s="14">
        <f t="shared" si="54"/>
        <v>1014.072917</v>
      </c>
      <c r="BD79" s="14">
        <f t="shared" si="54"/>
        <v>424.3809349</v>
      </c>
      <c r="BE79" s="14">
        <f t="shared" si="54"/>
        <v>75.04166667</v>
      </c>
      <c r="BF79" s="14">
        <f t="shared" si="54"/>
        <v>881.5328629</v>
      </c>
      <c r="BG79" s="14">
        <f t="shared" si="54"/>
        <v>-181.2383333</v>
      </c>
      <c r="BH79" s="14">
        <f t="shared" si="54"/>
        <v>740.8416655</v>
      </c>
      <c r="BI79" s="14">
        <f t="shared" si="54"/>
        <v>-7210.524733</v>
      </c>
      <c r="BJ79" s="14">
        <f t="shared" si="54"/>
        <v>1519.870759</v>
      </c>
      <c r="BK79" s="14">
        <f t="shared" si="54"/>
        <v>-4318.432667</v>
      </c>
      <c r="BL79" s="14">
        <f t="shared" si="54"/>
        <v>3189.775538</v>
      </c>
      <c r="BM79" s="14">
        <f t="shared" si="54"/>
        <v>-4497.020042</v>
      </c>
      <c r="BN79" s="14">
        <f t="shared" si="54"/>
        <v>3578.344667</v>
      </c>
      <c r="BO79" s="14">
        <f t="shared" si="54"/>
        <v>-8936.958545</v>
      </c>
      <c r="BP79" s="14">
        <f t="shared" si="54"/>
        <v>3697.642551</v>
      </c>
      <c r="BQ79" s="14">
        <f t="shared" si="54"/>
        <v>-21891.57917</v>
      </c>
      <c r="BR79" s="14">
        <f t="shared" si="54"/>
        <v>3709.334209</v>
      </c>
      <c r="BS79" s="14">
        <f t="shared" si="54"/>
        <v>-6528.351195</v>
      </c>
      <c r="BT79" s="14">
        <f t="shared" si="54"/>
        <v>4128.255849</v>
      </c>
      <c r="BU79" s="14">
        <f t="shared" si="54"/>
        <v>4733.664583</v>
      </c>
      <c r="BV79" s="14">
        <f t="shared" si="54"/>
        <v>4140.143951</v>
      </c>
      <c r="BW79" s="14">
        <f t="shared" si="54"/>
        <v>-3902.905208</v>
      </c>
      <c r="BX79" s="14">
        <f t="shared" si="54"/>
        <v>5433.347454</v>
      </c>
      <c r="BY79" s="14">
        <f t="shared" si="54"/>
        <v>-5488.641667</v>
      </c>
      <c r="BZ79" s="14">
        <f t="shared" si="54"/>
        <v>5589.189027</v>
      </c>
      <c r="CA79" s="14">
        <f t="shared" si="54"/>
        <v>-10350.06875</v>
      </c>
      <c r="CB79" s="14">
        <f t="shared" si="54"/>
        <v>6963.714185</v>
      </c>
      <c r="CC79" s="14">
        <f t="shared" si="54"/>
        <v>-5671.744171</v>
      </c>
      <c r="CD79" s="14">
        <f t="shared" si="54"/>
        <v>7310.525551</v>
      </c>
      <c r="CE79" s="14">
        <f t="shared" si="54"/>
        <v>-24657.6043</v>
      </c>
      <c r="CF79" s="14">
        <f t="shared" si="54"/>
        <v>8169.120688</v>
      </c>
      <c r="CG79" s="14">
        <f t="shared" si="54"/>
        <v>3608.362475</v>
      </c>
      <c r="CH79" s="14">
        <f t="shared" si="54"/>
        <v>8670.694388</v>
      </c>
      <c r="CI79" s="14">
        <f t="shared" si="54"/>
        <v>-3051.656667</v>
      </c>
      <c r="CJ79" s="14">
        <f t="shared" si="54"/>
        <v>10025.7355</v>
      </c>
      <c r="CK79" s="14">
        <f t="shared" si="54"/>
        <v>-1928.848</v>
      </c>
      <c r="CL79" s="14">
        <f t="shared" si="54"/>
        <v>11225.6753</v>
      </c>
      <c r="CM79" s="14">
        <f t="shared" si="54"/>
        <v>12419.01603</v>
      </c>
      <c r="CO79" s="5"/>
    </row>
    <row r="80" ht="15.75" customHeight="1">
      <c r="B80" s="22">
        <f>C80*12</f>
        <v>302893854.3</v>
      </c>
      <c r="C80" s="9">
        <f t="shared" si="49"/>
        <v>25241154.53</v>
      </c>
      <c r="D80" s="42" t="s">
        <v>34</v>
      </c>
      <c r="E80" s="14">
        <f t="shared" ref="E80:CM80" si="55">E110+E95</f>
        <v>1500</v>
      </c>
      <c r="F80" s="14">
        <f t="shared" si="55"/>
        <v>3750</v>
      </c>
      <c r="G80" s="14">
        <f t="shared" si="55"/>
        <v>6750</v>
      </c>
      <c r="H80" s="14">
        <f t="shared" si="55"/>
        <v>8770.333333</v>
      </c>
      <c r="I80" s="14">
        <f t="shared" si="55"/>
        <v>10562</v>
      </c>
      <c r="J80" s="14">
        <f t="shared" si="55"/>
        <v>17238</v>
      </c>
      <c r="K80" s="14">
        <f t="shared" si="55"/>
        <v>23240.7775</v>
      </c>
      <c r="L80" s="14">
        <f t="shared" si="55"/>
        <v>26724.11083</v>
      </c>
      <c r="M80" s="14">
        <f t="shared" si="55"/>
        <v>29924.11083</v>
      </c>
      <c r="N80" s="14">
        <f t="shared" si="55"/>
        <v>39181.19417</v>
      </c>
      <c r="O80" s="14">
        <f t="shared" si="55"/>
        <v>52724.7775</v>
      </c>
      <c r="P80" s="14">
        <f t="shared" si="55"/>
        <v>63887.5</v>
      </c>
      <c r="Q80" s="14">
        <f t="shared" si="55"/>
        <v>72961.08333</v>
      </c>
      <c r="R80" s="14">
        <f t="shared" si="55"/>
        <v>85488.83333</v>
      </c>
      <c r="S80" s="14">
        <f t="shared" si="55"/>
        <v>97632.58333</v>
      </c>
      <c r="T80" s="14">
        <f t="shared" si="55"/>
        <v>113551</v>
      </c>
      <c r="U80" s="14">
        <f t="shared" si="55"/>
        <v>146186.4167</v>
      </c>
      <c r="V80" s="14">
        <f t="shared" si="55"/>
        <v>176091.8883</v>
      </c>
      <c r="W80" s="14">
        <f t="shared" si="55"/>
        <v>166147.5</v>
      </c>
      <c r="X80" s="14">
        <f t="shared" si="55"/>
        <v>205990.8732</v>
      </c>
      <c r="Y80" s="14">
        <f t="shared" si="55"/>
        <v>193557.5</v>
      </c>
      <c r="Z80" s="14">
        <f t="shared" si="55"/>
        <v>237584.55</v>
      </c>
      <c r="AA80" s="14">
        <f t="shared" si="55"/>
        <v>230076.7708</v>
      </c>
      <c r="AB80" s="14">
        <f t="shared" si="55"/>
        <v>268762.7111</v>
      </c>
      <c r="AC80" s="14">
        <f t="shared" si="55"/>
        <v>255197.4375</v>
      </c>
      <c r="AD80" s="14">
        <f t="shared" si="55"/>
        <v>301796.247</v>
      </c>
      <c r="AE80" s="14">
        <f t="shared" si="55"/>
        <v>290591.1875</v>
      </c>
      <c r="AF80" s="14">
        <f t="shared" si="55"/>
        <v>339536.7817</v>
      </c>
      <c r="AG80" s="14">
        <f t="shared" si="55"/>
        <v>324222.1042</v>
      </c>
      <c r="AH80" s="14">
        <f t="shared" si="55"/>
        <v>378415.1734</v>
      </c>
      <c r="AI80" s="14">
        <f t="shared" si="55"/>
        <v>349284.6317</v>
      </c>
      <c r="AJ80" s="14">
        <f t="shared" si="55"/>
        <v>420276.2796</v>
      </c>
      <c r="AK80" s="14">
        <f t="shared" si="55"/>
        <v>370131.6317</v>
      </c>
      <c r="AL80" s="14">
        <f t="shared" si="55"/>
        <v>465450.1499</v>
      </c>
      <c r="AM80" s="14">
        <f t="shared" si="55"/>
        <v>402709.2483</v>
      </c>
      <c r="AN80" s="14">
        <f t="shared" si="55"/>
        <v>448474.7872</v>
      </c>
      <c r="AO80" s="14">
        <f t="shared" si="55"/>
        <v>425629.4842</v>
      </c>
      <c r="AP80" s="14">
        <f t="shared" si="55"/>
        <v>468113.9608</v>
      </c>
      <c r="AQ80" s="14">
        <f t="shared" si="55"/>
        <v>446187.7342</v>
      </c>
      <c r="AR80" s="14">
        <f t="shared" si="55"/>
        <v>493720.046</v>
      </c>
      <c r="AS80" s="14">
        <f t="shared" si="55"/>
        <v>475037.7342</v>
      </c>
      <c r="AT80" s="14">
        <f t="shared" si="55"/>
        <v>519675.4102</v>
      </c>
      <c r="AU80" s="14">
        <f t="shared" si="55"/>
        <v>507057.0342</v>
      </c>
      <c r="AV80" s="14">
        <f t="shared" si="55"/>
        <v>547593.5686</v>
      </c>
      <c r="AW80" s="14">
        <f t="shared" si="55"/>
        <v>549315.9092</v>
      </c>
      <c r="AX80" s="14">
        <f t="shared" si="55"/>
        <v>574786.9949</v>
      </c>
      <c r="AY80" s="14">
        <f t="shared" si="55"/>
        <v>597154.4925</v>
      </c>
      <c r="AZ80" s="14">
        <f t="shared" si="55"/>
        <v>615280.6103</v>
      </c>
      <c r="BA80" s="14">
        <f t="shared" si="55"/>
        <v>629219.4367</v>
      </c>
      <c r="BB80" s="14">
        <f t="shared" si="55"/>
        <v>663310.3466</v>
      </c>
      <c r="BC80" s="14">
        <f t="shared" si="55"/>
        <v>657269.3429</v>
      </c>
      <c r="BD80" s="14">
        <f t="shared" si="55"/>
        <v>710946.2437</v>
      </c>
      <c r="BE80" s="14">
        <f t="shared" si="55"/>
        <v>698476.5513</v>
      </c>
      <c r="BF80" s="14">
        <f t="shared" si="55"/>
        <v>762116.5361</v>
      </c>
      <c r="BG80" s="14">
        <f t="shared" si="55"/>
        <v>724692.6046</v>
      </c>
      <c r="BH80" s="14">
        <f t="shared" si="55"/>
        <v>814820.9457</v>
      </c>
      <c r="BI80" s="14">
        <f t="shared" si="55"/>
        <v>759398.1367</v>
      </c>
      <c r="BJ80" s="14">
        <f t="shared" si="55"/>
        <v>871923.9751</v>
      </c>
      <c r="BK80" s="14">
        <f t="shared" si="55"/>
        <v>810442.4903</v>
      </c>
      <c r="BL80" s="14">
        <f t="shared" si="55"/>
        <v>844261.1997</v>
      </c>
      <c r="BM80" s="14">
        <f t="shared" si="55"/>
        <v>843317.7496</v>
      </c>
      <c r="BN80" s="14">
        <f t="shared" si="55"/>
        <v>886132.6836</v>
      </c>
      <c r="BO80" s="14">
        <f t="shared" si="55"/>
        <v>891124.8751</v>
      </c>
      <c r="BP80" s="14">
        <f t="shared" si="55"/>
        <v>930544.5679</v>
      </c>
      <c r="BQ80" s="14">
        <f t="shared" si="55"/>
        <v>923221.6058</v>
      </c>
      <c r="BR80" s="14">
        <f t="shared" si="55"/>
        <v>977602.5629</v>
      </c>
      <c r="BS80" s="14">
        <f t="shared" si="55"/>
        <v>955509.687</v>
      </c>
      <c r="BT80" s="14">
        <f t="shared" si="55"/>
        <v>1023589.629</v>
      </c>
      <c r="BU80" s="14">
        <f t="shared" si="55"/>
        <v>1011507.018</v>
      </c>
      <c r="BV80" s="14">
        <f t="shared" si="55"/>
        <v>1067443.262</v>
      </c>
      <c r="BW80" s="14">
        <f t="shared" si="55"/>
        <v>1075512.196</v>
      </c>
      <c r="BX80" s="14">
        <f t="shared" si="55"/>
        <v>1113305.621</v>
      </c>
      <c r="BY80" s="14">
        <f t="shared" si="55"/>
        <v>1117047.638</v>
      </c>
      <c r="BZ80" s="14">
        <f t="shared" si="55"/>
        <v>1161531.919</v>
      </c>
      <c r="CA80" s="14">
        <f t="shared" si="55"/>
        <v>1165186.733</v>
      </c>
      <c r="CB80" s="14">
        <f t="shared" si="55"/>
        <v>1213697.527</v>
      </c>
      <c r="CC80" s="14">
        <f t="shared" si="55"/>
        <v>1215699.572</v>
      </c>
      <c r="CD80" s="14">
        <f t="shared" si="55"/>
        <v>1264115.23</v>
      </c>
      <c r="CE80" s="14">
        <f t="shared" si="55"/>
        <v>1256692.501</v>
      </c>
      <c r="CF80" s="14">
        <f t="shared" si="55"/>
        <v>1318220.431</v>
      </c>
      <c r="CG80" s="14">
        <f t="shared" si="55"/>
        <v>1318254.307</v>
      </c>
      <c r="CH80" s="14">
        <f t="shared" si="55"/>
        <v>1375365.303</v>
      </c>
      <c r="CI80" s="14">
        <f t="shared" si="55"/>
        <v>1381491.317</v>
      </c>
      <c r="CJ80" s="14">
        <f t="shared" si="55"/>
        <v>1435763.165</v>
      </c>
      <c r="CK80" s="14">
        <f t="shared" si="55"/>
        <v>1424717.647</v>
      </c>
      <c r="CL80" s="14">
        <f t="shared" si="55"/>
        <v>1500198.782</v>
      </c>
      <c r="CM80" s="14">
        <f t="shared" si="55"/>
        <v>1569483.202</v>
      </c>
      <c r="CO80" s="5"/>
    </row>
    <row r="81" ht="15.75" customHeight="1">
      <c r="B81" s="43">
        <f>B80-C81</f>
        <v>0</v>
      </c>
      <c r="C81" s="9">
        <f t="shared" si="49"/>
        <v>302893854.3</v>
      </c>
      <c r="D81" s="42" t="s">
        <v>35</v>
      </c>
      <c r="E81" s="14">
        <f t="shared" ref="E81:CM81" si="56">E80*12</f>
        <v>18000</v>
      </c>
      <c r="F81" s="14">
        <f t="shared" si="56"/>
        <v>45000</v>
      </c>
      <c r="G81" s="14">
        <f t="shared" si="56"/>
        <v>81000</v>
      </c>
      <c r="H81" s="14">
        <f t="shared" si="56"/>
        <v>105244</v>
      </c>
      <c r="I81" s="14">
        <f t="shared" si="56"/>
        <v>126744</v>
      </c>
      <c r="J81" s="14">
        <f t="shared" si="56"/>
        <v>206856</v>
      </c>
      <c r="K81" s="14">
        <f t="shared" si="56"/>
        <v>278889.33</v>
      </c>
      <c r="L81" s="14">
        <f t="shared" si="56"/>
        <v>320689.33</v>
      </c>
      <c r="M81" s="14">
        <f t="shared" si="56"/>
        <v>359089.33</v>
      </c>
      <c r="N81" s="14">
        <f t="shared" si="56"/>
        <v>470174.33</v>
      </c>
      <c r="O81" s="14">
        <f t="shared" si="56"/>
        <v>632697.33</v>
      </c>
      <c r="P81" s="14">
        <f t="shared" si="56"/>
        <v>766650</v>
      </c>
      <c r="Q81" s="14">
        <f t="shared" si="56"/>
        <v>875533</v>
      </c>
      <c r="R81" s="14">
        <f t="shared" si="56"/>
        <v>1025866</v>
      </c>
      <c r="S81" s="14">
        <f t="shared" si="56"/>
        <v>1171591</v>
      </c>
      <c r="T81" s="14">
        <f t="shared" si="56"/>
        <v>1362612</v>
      </c>
      <c r="U81" s="14">
        <f t="shared" si="56"/>
        <v>1754237</v>
      </c>
      <c r="V81" s="14">
        <f t="shared" si="56"/>
        <v>2113102.66</v>
      </c>
      <c r="W81" s="14">
        <f t="shared" si="56"/>
        <v>1993770</v>
      </c>
      <c r="X81" s="14">
        <f t="shared" si="56"/>
        <v>2471890.478</v>
      </c>
      <c r="Y81" s="14">
        <f t="shared" si="56"/>
        <v>2322690</v>
      </c>
      <c r="Z81" s="14">
        <f t="shared" si="56"/>
        <v>2851014.6</v>
      </c>
      <c r="AA81" s="14">
        <f t="shared" si="56"/>
        <v>2760921.25</v>
      </c>
      <c r="AB81" s="14">
        <f t="shared" si="56"/>
        <v>3225152.533</v>
      </c>
      <c r="AC81" s="14">
        <f t="shared" si="56"/>
        <v>3062369.25</v>
      </c>
      <c r="AD81" s="14">
        <f t="shared" si="56"/>
        <v>3621554.964</v>
      </c>
      <c r="AE81" s="14">
        <f t="shared" si="56"/>
        <v>3487094.25</v>
      </c>
      <c r="AF81" s="14">
        <f t="shared" si="56"/>
        <v>4074441.38</v>
      </c>
      <c r="AG81" s="14">
        <f t="shared" si="56"/>
        <v>3890665.25</v>
      </c>
      <c r="AH81" s="14">
        <f t="shared" si="56"/>
        <v>4540982.081</v>
      </c>
      <c r="AI81" s="14">
        <f t="shared" si="56"/>
        <v>4191415.58</v>
      </c>
      <c r="AJ81" s="14">
        <f t="shared" si="56"/>
        <v>5043315.355</v>
      </c>
      <c r="AK81" s="14">
        <f t="shared" si="56"/>
        <v>4441579.58</v>
      </c>
      <c r="AL81" s="14">
        <f t="shared" si="56"/>
        <v>5585401.799</v>
      </c>
      <c r="AM81" s="14">
        <f t="shared" si="56"/>
        <v>4832510.98</v>
      </c>
      <c r="AN81" s="14">
        <f t="shared" si="56"/>
        <v>5381697.446</v>
      </c>
      <c r="AO81" s="14">
        <f t="shared" si="56"/>
        <v>5107553.81</v>
      </c>
      <c r="AP81" s="14">
        <f t="shared" si="56"/>
        <v>5617367.529</v>
      </c>
      <c r="AQ81" s="14">
        <f t="shared" si="56"/>
        <v>5354252.81</v>
      </c>
      <c r="AR81" s="14">
        <f t="shared" si="56"/>
        <v>5924640.551</v>
      </c>
      <c r="AS81" s="14">
        <f t="shared" si="56"/>
        <v>5700452.81</v>
      </c>
      <c r="AT81" s="14">
        <f t="shared" si="56"/>
        <v>6236104.923</v>
      </c>
      <c r="AU81" s="14">
        <f t="shared" si="56"/>
        <v>6084684.41</v>
      </c>
      <c r="AV81" s="14">
        <f t="shared" si="56"/>
        <v>6571122.823</v>
      </c>
      <c r="AW81" s="14">
        <f t="shared" si="56"/>
        <v>6591790.91</v>
      </c>
      <c r="AX81" s="14">
        <f t="shared" si="56"/>
        <v>6897443.939</v>
      </c>
      <c r="AY81" s="14">
        <f t="shared" si="56"/>
        <v>7165853.91</v>
      </c>
      <c r="AZ81" s="14">
        <f t="shared" si="56"/>
        <v>7383367.324</v>
      </c>
      <c r="BA81" s="14">
        <f t="shared" si="56"/>
        <v>7550633.24</v>
      </c>
      <c r="BB81" s="14">
        <f t="shared" si="56"/>
        <v>7959724.159</v>
      </c>
      <c r="BC81" s="14">
        <f t="shared" si="56"/>
        <v>7887232.115</v>
      </c>
      <c r="BD81" s="14">
        <f t="shared" si="56"/>
        <v>8531354.925</v>
      </c>
      <c r="BE81" s="14">
        <f t="shared" si="56"/>
        <v>8381718.615</v>
      </c>
      <c r="BF81" s="14">
        <f t="shared" si="56"/>
        <v>9145398.433</v>
      </c>
      <c r="BG81" s="14">
        <f t="shared" si="56"/>
        <v>8696311.255</v>
      </c>
      <c r="BH81" s="14">
        <f t="shared" si="56"/>
        <v>9777851.348</v>
      </c>
      <c r="BI81" s="14">
        <f t="shared" si="56"/>
        <v>9112777.64</v>
      </c>
      <c r="BJ81" s="14">
        <f t="shared" si="56"/>
        <v>10463087.7</v>
      </c>
      <c r="BK81" s="14">
        <f t="shared" si="56"/>
        <v>9725309.884</v>
      </c>
      <c r="BL81" s="14">
        <f t="shared" si="56"/>
        <v>10131134.4</v>
      </c>
      <c r="BM81" s="14">
        <f t="shared" si="56"/>
        <v>10119813</v>
      </c>
      <c r="BN81" s="14">
        <f t="shared" si="56"/>
        <v>10633592.2</v>
      </c>
      <c r="BO81" s="14">
        <f t="shared" si="56"/>
        <v>10693498.5</v>
      </c>
      <c r="BP81" s="14">
        <f t="shared" si="56"/>
        <v>11166534.81</v>
      </c>
      <c r="BQ81" s="14">
        <f t="shared" si="56"/>
        <v>11078659.27</v>
      </c>
      <c r="BR81" s="14">
        <f t="shared" si="56"/>
        <v>11731230.75</v>
      </c>
      <c r="BS81" s="14">
        <f t="shared" si="56"/>
        <v>11466116.24</v>
      </c>
      <c r="BT81" s="14">
        <f t="shared" si="56"/>
        <v>12283075.55</v>
      </c>
      <c r="BU81" s="14">
        <f t="shared" si="56"/>
        <v>12138084.22</v>
      </c>
      <c r="BV81" s="14">
        <f t="shared" si="56"/>
        <v>12809319.15</v>
      </c>
      <c r="BW81" s="14">
        <f t="shared" si="56"/>
        <v>12906146.36</v>
      </c>
      <c r="BX81" s="14">
        <f t="shared" si="56"/>
        <v>13359667.46</v>
      </c>
      <c r="BY81" s="14">
        <f t="shared" si="56"/>
        <v>13404571.66</v>
      </c>
      <c r="BZ81" s="14">
        <f t="shared" si="56"/>
        <v>13938383.03</v>
      </c>
      <c r="CA81" s="14">
        <f t="shared" si="56"/>
        <v>13982240.79</v>
      </c>
      <c r="CB81" s="14">
        <f t="shared" si="56"/>
        <v>14564370.33</v>
      </c>
      <c r="CC81" s="14">
        <f t="shared" si="56"/>
        <v>14588394.86</v>
      </c>
      <c r="CD81" s="14">
        <f t="shared" si="56"/>
        <v>15169382.76</v>
      </c>
      <c r="CE81" s="14">
        <f t="shared" si="56"/>
        <v>15080310.01</v>
      </c>
      <c r="CF81" s="14">
        <f t="shared" si="56"/>
        <v>15818645.17</v>
      </c>
      <c r="CG81" s="14">
        <f t="shared" si="56"/>
        <v>15819051.68</v>
      </c>
      <c r="CH81" s="14">
        <f t="shared" si="56"/>
        <v>16504383.64</v>
      </c>
      <c r="CI81" s="14">
        <f t="shared" si="56"/>
        <v>16577895.8</v>
      </c>
      <c r="CJ81" s="14">
        <f t="shared" si="56"/>
        <v>17229157.98</v>
      </c>
      <c r="CK81" s="14">
        <f t="shared" si="56"/>
        <v>17096611.76</v>
      </c>
      <c r="CL81" s="14">
        <f t="shared" si="56"/>
        <v>18002385.39</v>
      </c>
      <c r="CM81" s="14">
        <f t="shared" si="56"/>
        <v>18833798.43</v>
      </c>
      <c r="CO81" s="5" t="s">
        <v>23</v>
      </c>
      <c r="CP81" s="12" t="b">
        <f t="shared" ref="CP81:CP207" si="58">D81=CO81</f>
        <v>0</v>
      </c>
    </row>
    <row r="82" ht="15.75" customHeight="1">
      <c r="C82" s="4"/>
      <c r="D82" s="44" t="s">
        <v>36</v>
      </c>
      <c r="E82" s="45">
        <f t="shared" ref="E82:CM82" si="57">IFERROR(E75/E73,0)</f>
        <v>0</v>
      </c>
      <c r="F82" s="45">
        <f t="shared" si="57"/>
        <v>0</v>
      </c>
      <c r="G82" s="45">
        <f t="shared" si="57"/>
        <v>0</v>
      </c>
      <c r="H82" s="45">
        <f t="shared" si="57"/>
        <v>0</v>
      </c>
      <c r="I82" s="45">
        <f t="shared" si="57"/>
        <v>0</v>
      </c>
      <c r="J82" s="45">
        <f t="shared" si="57"/>
        <v>0</v>
      </c>
      <c r="K82" s="45">
        <f t="shared" si="57"/>
        <v>0</v>
      </c>
      <c r="L82" s="45">
        <f t="shared" si="57"/>
        <v>0</v>
      </c>
      <c r="M82" s="45">
        <f t="shared" si="57"/>
        <v>0</v>
      </c>
      <c r="N82" s="45">
        <f t="shared" si="57"/>
        <v>0</v>
      </c>
      <c r="O82" s="45">
        <f t="shared" si="57"/>
        <v>0.005061952234</v>
      </c>
      <c r="P82" s="45">
        <f t="shared" si="57"/>
        <v>0.003161069132</v>
      </c>
      <c r="Q82" s="45">
        <f t="shared" si="57"/>
        <v>0</v>
      </c>
      <c r="R82" s="45">
        <f t="shared" si="57"/>
        <v>0.005177417642</v>
      </c>
      <c r="S82" s="45">
        <f t="shared" si="57"/>
        <v>0.002436965452</v>
      </c>
      <c r="T82" s="45">
        <f t="shared" si="57"/>
        <v>0.002859359623</v>
      </c>
      <c r="U82" s="45">
        <f t="shared" si="57"/>
        <v>0.01486116371</v>
      </c>
      <c r="V82" s="45">
        <f t="shared" si="57"/>
        <v>0.002254541433</v>
      </c>
      <c r="W82" s="45">
        <f t="shared" si="57"/>
        <v>0.0110446878</v>
      </c>
      <c r="X82" s="45">
        <f t="shared" si="57"/>
        <v>0.002447833628</v>
      </c>
      <c r="Y82" s="45">
        <f t="shared" si="57"/>
        <v>0.01996719782</v>
      </c>
      <c r="Z82" s="45">
        <f t="shared" si="57"/>
        <v>0.001520050811</v>
      </c>
      <c r="AA82" s="45">
        <f t="shared" si="57"/>
        <v>0.02111775571</v>
      </c>
      <c r="AB82" s="45">
        <f t="shared" si="57"/>
        <v>0.001287563745</v>
      </c>
      <c r="AC82" s="45">
        <f t="shared" si="57"/>
        <v>0.008498974753</v>
      </c>
      <c r="AD82" s="45">
        <f t="shared" si="57"/>
        <v>0.003766673022</v>
      </c>
      <c r="AE82" s="45">
        <f t="shared" si="57"/>
        <v>0.01935592842</v>
      </c>
      <c r="AF82" s="45">
        <f t="shared" si="57"/>
        <v>0.002229880053</v>
      </c>
      <c r="AG82" s="45">
        <f t="shared" si="57"/>
        <v>0.007237401169</v>
      </c>
      <c r="AH82" s="45">
        <f t="shared" si="57"/>
        <v>0.001899069467</v>
      </c>
      <c r="AI82" s="45">
        <f t="shared" si="57"/>
        <v>0.01089685112</v>
      </c>
      <c r="AJ82" s="45">
        <f t="shared" si="57"/>
        <v>0.002004627873</v>
      </c>
      <c r="AK82" s="45">
        <f t="shared" si="57"/>
        <v>0.01023222326</v>
      </c>
      <c r="AL82" s="45">
        <f t="shared" si="57"/>
        <v>0.00199854125</v>
      </c>
      <c r="AM82" s="45">
        <f t="shared" si="57"/>
        <v>0.01316697111</v>
      </c>
      <c r="AN82" s="45">
        <f t="shared" si="57"/>
        <v>0.007962369454</v>
      </c>
      <c r="AO82" s="45">
        <f t="shared" si="57"/>
        <v>0.01310050412</v>
      </c>
      <c r="AP82" s="45">
        <f t="shared" si="57"/>
        <v>0.008240894336</v>
      </c>
      <c r="AQ82" s="45">
        <f t="shared" si="57"/>
        <v>0.01106909532</v>
      </c>
      <c r="AR82" s="45">
        <f t="shared" si="57"/>
        <v>0.00814322719</v>
      </c>
      <c r="AS82" s="45">
        <f t="shared" si="57"/>
        <v>0.006863702799</v>
      </c>
      <c r="AT82" s="45">
        <f t="shared" si="57"/>
        <v>0.007963682284</v>
      </c>
      <c r="AU82" s="45">
        <f t="shared" si="57"/>
        <v>0.0140186232</v>
      </c>
      <c r="AV82" s="45">
        <f t="shared" si="57"/>
        <v>0.007804049443</v>
      </c>
      <c r="AW82" s="45">
        <f t="shared" si="57"/>
        <v>0.01897288211</v>
      </c>
      <c r="AX82" s="45">
        <f t="shared" si="57"/>
        <v>0.008168715048</v>
      </c>
      <c r="AY82" s="45">
        <f t="shared" si="57"/>
        <v>0.01104874244</v>
      </c>
      <c r="AZ82" s="45">
        <f t="shared" si="57"/>
        <v>0.008955915805</v>
      </c>
      <c r="BA82" s="45">
        <f t="shared" si="57"/>
        <v>0.01411960127</v>
      </c>
      <c r="BB82" s="45">
        <f t="shared" si="57"/>
        <v>0.008639273069</v>
      </c>
      <c r="BC82" s="45">
        <f t="shared" si="57"/>
        <v>0.01144235156</v>
      </c>
      <c r="BD82" s="45">
        <f t="shared" si="57"/>
        <v>0.008275335302</v>
      </c>
      <c r="BE82" s="45">
        <f t="shared" si="57"/>
        <v>0.00990753142</v>
      </c>
      <c r="BF82" s="45">
        <f t="shared" si="57"/>
        <v>0.00882465848</v>
      </c>
      <c r="BG82" s="45">
        <f t="shared" si="57"/>
        <v>0.01056616716</v>
      </c>
      <c r="BH82" s="45">
        <f t="shared" si="57"/>
        <v>0.008509647999</v>
      </c>
      <c r="BI82" s="45">
        <f t="shared" si="57"/>
        <v>0.006219786943</v>
      </c>
      <c r="BJ82" s="45">
        <f t="shared" si="57"/>
        <v>0.009360534728</v>
      </c>
      <c r="BK82" s="45">
        <f t="shared" si="57"/>
        <v>0.0070624798</v>
      </c>
      <c r="BL82" s="45">
        <f t="shared" si="57"/>
        <v>0.01051390518</v>
      </c>
      <c r="BM82" s="45">
        <f t="shared" si="57"/>
        <v>0.00571149636</v>
      </c>
      <c r="BN82" s="45">
        <f t="shared" si="57"/>
        <v>0.01075873867</v>
      </c>
      <c r="BO82" s="45">
        <f t="shared" si="57"/>
        <v>0.007457672142</v>
      </c>
      <c r="BP82" s="45">
        <f t="shared" si="57"/>
        <v>0.0106629614</v>
      </c>
      <c r="BQ82" s="45">
        <f t="shared" si="57"/>
        <v>0.01353615751</v>
      </c>
      <c r="BR82" s="45">
        <f t="shared" si="57"/>
        <v>0.0104671648</v>
      </c>
      <c r="BS82" s="45">
        <f t="shared" si="57"/>
        <v>0.006674615029</v>
      </c>
      <c r="BT82" s="45">
        <f t="shared" si="57"/>
        <v>0.0106895967</v>
      </c>
      <c r="BU82" s="45">
        <f t="shared" si="57"/>
        <v>0.006733404612</v>
      </c>
      <c r="BV82" s="45">
        <f t="shared" si="57"/>
        <v>0.01049847144</v>
      </c>
      <c r="BW82" s="45">
        <f t="shared" si="57"/>
        <v>0.01234267264</v>
      </c>
      <c r="BX82" s="45">
        <f t="shared" si="57"/>
        <v>0.01073897739</v>
      </c>
      <c r="BY82" s="45">
        <f t="shared" si="57"/>
        <v>0.008155788498</v>
      </c>
      <c r="BZ82" s="45">
        <f t="shared" si="57"/>
        <v>0.01063599069</v>
      </c>
      <c r="CA82" s="45">
        <f t="shared" si="57"/>
        <v>0.007698940529</v>
      </c>
      <c r="CB82" s="45">
        <f t="shared" si="57"/>
        <v>0.01157446088</v>
      </c>
      <c r="CC82" s="45">
        <f t="shared" si="57"/>
        <v>0.01328142233</v>
      </c>
      <c r="CD82" s="45">
        <f t="shared" si="57"/>
        <v>0.01111021303</v>
      </c>
      <c r="CE82" s="45">
        <f t="shared" si="57"/>
        <v>0.006704098767</v>
      </c>
      <c r="CF82" s="45">
        <f t="shared" si="57"/>
        <v>0.01152157717</v>
      </c>
      <c r="CG82" s="45">
        <f t="shared" si="57"/>
        <v>0.009944026343</v>
      </c>
      <c r="CH82" s="45">
        <f t="shared" si="57"/>
        <v>0.01160922247</v>
      </c>
      <c r="CI82" s="45">
        <f t="shared" si="57"/>
        <v>0.00872368855</v>
      </c>
      <c r="CJ82" s="45">
        <f t="shared" si="57"/>
        <v>0.0118637102</v>
      </c>
      <c r="CK82" s="45">
        <f t="shared" si="57"/>
        <v>0.006986061525</v>
      </c>
      <c r="CL82" s="45">
        <f t="shared" si="57"/>
        <v>0.01237298763</v>
      </c>
      <c r="CM82" s="45">
        <f t="shared" si="57"/>
        <v>0.01281227809</v>
      </c>
      <c r="CO82" s="5" t="s">
        <v>24</v>
      </c>
      <c r="CP82" s="12" t="b">
        <f t="shared" si="58"/>
        <v>0</v>
      </c>
    </row>
    <row r="83" ht="15.75" customHeight="1">
      <c r="C83" s="4"/>
      <c r="D83" s="44" t="s">
        <v>37</v>
      </c>
      <c r="E83" s="45">
        <f t="shared" ref="E83:CM83" si="59">IFERROR((E77+E78)/E73,0)</f>
        <v>0</v>
      </c>
      <c r="F83" s="45">
        <f t="shared" si="59"/>
        <v>0</v>
      </c>
      <c r="G83" s="45">
        <f t="shared" si="59"/>
        <v>0</v>
      </c>
      <c r="H83" s="45">
        <f t="shared" si="59"/>
        <v>0</v>
      </c>
      <c r="I83" s="45">
        <f t="shared" si="59"/>
        <v>0</v>
      </c>
      <c r="J83" s="45">
        <f t="shared" si="59"/>
        <v>0</v>
      </c>
      <c r="K83" s="45">
        <f t="shared" si="59"/>
        <v>0</v>
      </c>
      <c r="L83" s="45">
        <f t="shared" si="59"/>
        <v>0</v>
      </c>
      <c r="M83" s="45">
        <f t="shared" si="59"/>
        <v>0</v>
      </c>
      <c r="N83" s="45">
        <f t="shared" si="59"/>
        <v>0</v>
      </c>
      <c r="O83" s="45">
        <f t="shared" si="59"/>
        <v>0</v>
      </c>
      <c r="P83" s="45">
        <f t="shared" si="59"/>
        <v>0</v>
      </c>
      <c r="Q83" s="45">
        <f t="shared" si="59"/>
        <v>-0.01638426922</v>
      </c>
      <c r="R83" s="45">
        <f t="shared" si="59"/>
        <v>-0.01713242105</v>
      </c>
      <c r="S83" s="45">
        <f t="shared" si="59"/>
        <v>-0.005361323994</v>
      </c>
      <c r="T83" s="45">
        <f t="shared" si="59"/>
        <v>-0.003840930837</v>
      </c>
      <c r="U83" s="45">
        <f t="shared" si="59"/>
        <v>-0.004036365451</v>
      </c>
      <c r="V83" s="45">
        <f t="shared" si="59"/>
        <v>-0.006763624299</v>
      </c>
      <c r="W83" s="45">
        <f t="shared" si="59"/>
        <v>-0.0221116075</v>
      </c>
      <c r="X83" s="45">
        <f t="shared" si="59"/>
        <v>-0.006831163612</v>
      </c>
      <c r="Y83" s="45">
        <f t="shared" si="59"/>
        <v>-0.01278984035</v>
      </c>
      <c r="Z83" s="45">
        <f t="shared" si="59"/>
        <v>-0.003946048616</v>
      </c>
      <c r="AA83" s="45">
        <f t="shared" si="59"/>
        <v>-0.0049942093</v>
      </c>
      <c r="AB83" s="45">
        <f t="shared" si="59"/>
        <v>-0.003109314137</v>
      </c>
      <c r="AC83" s="45">
        <f t="shared" si="59"/>
        <v>-0.01090650449</v>
      </c>
      <c r="AD83" s="45">
        <f t="shared" si="59"/>
        <v>-0.008461460264</v>
      </c>
      <c r="AE83" s="45">
        <f t="shared" si="59"/>
        <v>-0.005322676225</v>
      </c>
      <c r="AF83" s="45">
        <f t="shared" si="59"/>
        <v>-0.0015532422</v>
      </c>
      <c r="AG83" s="45">
        <f t="shared" si="59"/>
        <v>-0.01414759581</v>
      </c>
      <c r="AH83" s="45">
        <f t="shared" si="59"/>
        <v>-0.001199760837</v>
      </c>
      <c r="AI83" s="45">
        <f t="shared" si="59"/>
        <v>-0.01298509811</v>
      </c>
      <c r="AJ83" s="45">
        <f t="shared" si="59"/>
        <v>-0.001148639498</v>
      </c>
      <c r="AK83" s="45">
        <f t="shared" si="59"/>
        <v>-0.02761262819</v>
      </c>
      <c r="AL83" s="45">
        <f t="shared" si="59"/>
        <v>-0.001038626142</v>
      </c>
      <c r="AM83" s="45">
        <f t="shared" si="59"/>
        <v>-0.01959646302</v>
      </c>
      <c r="AN83" s="45">
        <f t="shared" si="59"/>
        <v>-0.02177485759</v>
      </c>
      <c r="AO83" s="45">
        <f t="shared" si="59"/>
        <v>-0.01017473115</v>
      </c>
      <c r="AP83" s="45">
        <f t="shared" si="59"/>
        <v>-0.02157236034</v>
      </c>
      <c r="AQ83" s="45">
        <f t="shared" si="59"/>
        <v>-0.01602939549</v>
      </c>
      <c r="AR83" s="45">
        <f t="shared" si="59"/>
        <v>-0.02138774744</v>
      </c>
      <c r="AS83" s="45">
        <f t="shared" si="59"/>
        <v>-0.01917634517</v>
      </c>
      <c r="AT83" s="45">
        <f t="shared" si="59"/>
        <v>-0.02069500879</v>
      </c>
      <c r="AU83" s="45">
        <f t="shared" si="59"/>
        <v>-0.007967551265</v>
      </c>
      <c r="AV83" s="45">
        <f t="shared" si="59"/>
        <v>-0.02048690587</v>
      </c>
      <c r="AW83" s="45">
        <f t="shared" si="59"/>
        <v>-0.01039495161</v>
      </c>
      <c r="AX83" s="45">
        <f t="shared" si="59"/>
        <v>-0.02029701612</v>
      </c>
      <c r="AY83" s="45">
        <f t="shared" si="59"/>
        <v>-0.0009481490061</v>
      </c>
      <c r="AZ83" s="45">
        <f t="shared" si="59"/>
        <v>-0.01410558843</v>
      </c>
      <c r="BA83" s="45">
        <f t="shared" si="59"/>
        <v>-0.01285764421</v>
      </c>
      <c r="BB83" s="45">
        <f t="shared" si="59"/>
        <v>-0.00770515855</v>
      </c>
      <c r="BC83" s="45">
        <f t="shared" si="59"/>
        <v>-0.01045276568</v>
      </c>
      <c r="BD83" s="45">
        <f t="shared" si="59"/>
        <v>-0.007635542877</v>
      </c>
      <c r="BE83" s="45">
        <f t="shared" si="59"/>
        <v>-0.01013346619</v>
      </c>
      <c r="BF83" s="45">
        <f t="shared" si="59"/>
        <v>-0.007584715417</v>
      </c>
      <c r="BG83" s="45">
        <f t="shared" si="59"/>
        <v>-0.01111645526</v>
      </c>
      <c r="BH83" s="45">
        <f t="shared" si="59"/>
        <v>-0.007537563507</v>
      </c>
      <c r="BI83" s="45">
        <f t="shared" si="59"/>
        <v>-0.0162730491</v>
      </c>
      <c r="BJ83" s="45">
        <f t="shared" si="59"/>
        <v>-0.007495252832</v>
      </c>
      <c r="BK83" s="45">
        <f t="shared" si="59"/>
        <v>-0.01310193277</v>
      </c>
      <c r="BL83" s="45">
        <f t="shared" si="59"/>
        <v>-0.006549257079</v>
      </c>
      <c r="BM83" s="45">
        <f t="shared" si="59"/>
        <v>-0.01151171545</v>
      </c>
      <c r="BN83" s="45">
        <f t="shared" si="59"/>
        <v>-0.006520305511</v>
      </c>
      <c r="BO83" s="45">
        <f t="shared" si="59"/>
        <v>-0.0184168423</v>
      </c>
      <c r="BP83" s="45">
        <f t="shared" si="59"/>
        <v>-0.006490174842</v>
      </c>
      <c r="BQ83" s="45">
        <f t="shared" si="59"/>
        <v>-0.03839906369</v>
      </c>
      <c r="BR83" s="45">
        <f t="shared" si="59"/>
        <v>-0.006480967536</v>
      </c>
      <c r="BS83" s="45">
        <f t="shared" si="59"/>
        <v>-0.01433937051</v>
      </c>
      <c r="BT83" s="45">
        <f t="shared" si="59"/>
        <v>-0.006466760137</v>
      </c>
      <c r="BU83" s="45">
        <f t="shared" si="59"/>
        <v>-0.002644871145</v>
      </c>
      <c r="BV83" s="45">
        <f t="shared" si="59"/>
        <v>-0.006453741177</v>
      </c>
      <c r="BW83" s="45">
        <f t="shared" si="59"/>
        <v>-0.01796189547</v>
      </c>
      <c r="BX83" s="45">
        <f t="shared" si="59"/>
        <v>-0.005648920008</v>
      </c>
      <c r="BY83" s="45">
        <f t="shared" si="59"/>
        <v>-0.01434382463</v>
      </c>
      <c r="BZ83" s="45">
        <f t="shared" si="59"/>
        <v>-0.00561563606</v>
      </c>
      <c r="CA83" s="45">
        <f t="shared" si="59"/>
        <v>-0.01748060334</v>
      </c>
      <c r="CB83" s="45">
        <f t="shared" si="59"/>
        <v>-0.005579176488</v>
      </c>
      <c r="CC83" s="45">
        <f t="shared" si="59"/>
        <v>-0.01936835076</v>
      </c>
      <c r="CD83" s="45">
        <f t="shared" si="59"/>
        <v>-0.005086862573</v>
      </c>
      <c r="CE83" s="45">
        <f t="shared" si="59"/>
        <v>-0.02827893168</v>
      </c>
      <c r="CF83" s="45">
        <f t="shared" si="59"/>
        <v>-0.005059254357</v>
      </c>
      <c r="CG83" s="45">
        <f t="shared" si="59"/>
        <v>-0.007331197564</v>
      </c>
      <c r="CH83" s="45">
        <f t="shared" si="59"/>
        <v>-0.005031646987</v>
      </c>
      <c r="CI83" s="45">
        <f t="shared" si="59"/>
        <v>-0.01129210294</v>
      </c>
      <c r="CJ83" s="45">
        <f t="shared" si="59"/>
        <v>-0.004574202842</v>
      </c>
      <c r="CK83" s="45">
        <f t="shared" si="59"/>
        <v>-0.009002778025</v>
      </c>
      <c r="CL83" s="45">
        <f t="shared" si="59"/>
        <v>-0.0045543755</v>
      </c>
      <c r="CM83" s="45">
        <f t="shared" si="59"/>
        <v>-0.004534031117</v>
      </c>
      <c r="CO83" s="5"/>
      <c r="CP83" s="12" t="b">
        <f t="shared" si="58"/>
        <v>0</v>
      </c>
    </row>
    <row r="84" ht="15.75" customHeight="1">
      <c r="C84" s="4"/>
      <c r="D84" s="44" t="s">
        <v>38</v>
      </c>
      <c r="E84" s="45">
        <f t="shared" ref="E84:CM84" si="60">IFERROR(E79/E73,0)</f>
        <v>0</v>
      </c>
      <c r="F84" s="45">
        <f t="shared" si="60"/>
        <v>0</v>
      </c>
      <c r="G84" s="45">
        <f t="shared" si="60"/>
        <v>0</v>
      </c>
      <c r="H84" s="45">
        <f t="shared" si="60"/>
        <v>0</v>
      </c>
      <c r="I84" s="45">
        <f t="shared" si="60"/>
        <v>0</v>
      </c>
      <c r="J84" s="45">
        <f t="shared" si="60"/>
        <v>0</v>
      </c>
      <c r="K84" s="45">
        <f t="shared" si="60"/>
        <v>0</v>
      </c>
      <c r="L84" s="45">
        <f t="shared" si="60"/>
        <v>0</v>
      </c>
      <c r="M84" s="45">
        <f t="shared" si="60"/>
        <v>0</v>
      </c>
      <c r="N84" s="45">
        <f t="shared" si="60"/>
        <v>0</v>
      </c>
      <c r="O84" s="45">
        <f t="shared" si="60"/>
        <v>0.005061952234</v>
      </c>
      <c r="P84" s="45">
        <f t="shared" si="60"/>
        <v>0.003161069132</v>
      </c>
      <c r="Q84" s="45">
        <f t="shared" si="60"/>
        <v>-0.01638426922</v>
      </c>
      <c r="R84" s="45">
        <f t="shared" si="60"/>
        <v>-0.01195500341</v>
      </c>
      <c r="S84" s="45">
        <f t="shared" si="60"/>
        <v>-0.002924358542</v>
      </c>
      <c r="T84" s="45">
        <f t="shared" si="60"/>
        <v>-0.0009815712138</v>
      </c>
      <c r="U84" s="45">
        <f t="shared" si="60"/>
        <v>0.01082479826</v>
      </c>
      <c r="V84" s="45">
        <f t="shared" si="60"/>
        <v>-0.004509082866</v>
      </c>
      <c r="W84" s="45">
        <f t="shared" si="60"/>
        <v>-0.01106691969</v>
      </c>
      <c r="X84" s="45">
        <f t="shared" si="60"/>
        <v>-0.004383329985</v>
      </c>
      <c r="Y84" s="45">
        <f t="shared" si="60"/>
        <v>0.007177357469</v>
      </c>
      <c r="Z84" s="45">
        <f t="shared" si="60"/>
        <v>-0.002425997805</v>
      </c>
      <c r="AA84" s="45">
        <f t="shared" si="60"/>
        <v>0.01676934933</v>
      </c>
      <c r="AB84" s="45">
        <f t="shared" si="60"/>
        <v>-0.001821750392</v>
      </c>
      <c r="AC84" s="45">
        <f t="shared" si="60"/>
        <v>-0.002407529733</v>
      </c>
      <c r="AD84" s="45">
        <f t="shared" si="60"/>
        <v>-0.004694787241</v>
      </c>
      <c r="AE84" s="45">
        <f t="shared" si="60"/>
        <v>0.0140332522</v>
      </c>
      <c r="AF84" s="45">
        <f t="shared" si="60"/>
        <v>0.0006766378531</v>
      </c>
      <c r="AG84" s="45">
        <f t="shared" si="60"/>
        <v>-0.006910194641</v>
      </c>
      <c r="AH84" s="45">
        <f t="shared" si="60"/>
        <v>0.0006993086297</v>
      </c>
      <c r="AI84" s="45">
        <f t="shared" si="60"/>
        <v>-0.002088246991</v>
      </c>
      <c r="AJ84" s="45">
        <f t="shared" si="60"/>
        <v>0.0008559883748</v>
      </c>
      <c r="AK84" s="45">
        <f t="shared" si="60"/>
        <v>-0.01738040493</v>
      </c>
      <c r="AL84" s="45">
        <f t="shared" si="60"/>
        <v>0.0009599151077</v>
      </c>
      <c r="AM84" s="45">
        <f t="shared" si="60"/>
        <v>-0.006302735208</v>
      </c>
      <c r="AN84" s="45">
        <f t="shared" si="60"/>
        <v>-0.01381248814</v>
      </c>
      <c r="AO84" s="45">
        <f t="shared" si="60"/>
        <v>0.003023651692</v>
      </c>
      <c r="AP84" s="45">
        <f t="shared" si="60"/>
        <v>-0.013331466</v>
      </c>
      <c r="AQ84" s="45">
        <f t="shared" si="60"/>
        <v>-0.004930931898</v>
      </c>
      <c r="AR84" s="45">
        <f t="shared" si="60"/>
        <v>-0.01324452025</v>
      </c>
      <c r="AS84" s="45">
        <f t="shared" si="60"/>
        <v>-0.01231264237</v>
      </c>
      <c r="AT84" s="45">
        <f t="shared" si="60"/>
        <v>-0.01273132651</v>
      </c>
      <c r="AU84" s="45">
        <f t="shared" si="60"/>
        <v>0.006985208251</v>
      </c>
      <c r="AV84" s="45">
        <f t="shared" si="60"/>
        <v>-0.01268285642</v>
      </c>
      <c r="AW84" s="45">
        <f t="shared" si="60"/>
        <v>0.009003178523</v>
      </c>
      <c r="AX84" s="45">
        <f t="shared" si="60"/>
        <v>-0.01212830107</v>
      </c>
      <c r="AY84" s="45">
        <f t="shared" si="60"/>
        <v>0.01109008174</v>
      </c>
      <c r="AZ84" s="45">
        <f t="shared" si="60"/>
        <v>-0.005149672627</v>
      </c>
      <c r="BA84" s="45">
        <f t="shared" si="60"/>
        <v>0.001661420976</v>
      </c>
      <c r="BB84" s="45">
        <f t="shared" si="60"/>
        <v>0.0009341145189</v>
      </c>
      <c r="BC84" s="45">
        <f t="shared" si="60"/>
        <v>0.001611636351</v>
      </c>
      <c r="BD84" s="45">
        <f t="shared" si="60"/>
        <v>0.0006397924246</v>
      </c>
      <c r="BE84" s="45">
        <f t="shared" si="60"/>
        <v>0.000114171865</v>
      </c>
      <c r="BF84" s="45">
        <f t="shared" si="60"/>
        <v>0.001239943063</v>
      </c>
      <c r="BG84" s="45">
        <f t="shared" si="60"/>
        <v>-0.0002594766181</v>
      </c>
      <c r="BH84" s="45">
        <f t="shared" si="60"/>
        <v>0.0009720844916</v>
      </c>
      <c r="BI84" s="45">
        <f t="shared" si="60"/>
        <v>-0.009949769996</v>
      </c>
      <c r="BJ84" s="45">
        <f t="shared" si="60"/>
        <v>0.001865281896</v>
      </c>
      <c r="BK84" s="45">
        <f t="shared" si="60"/>
        <v>-0.00568665165</v>
      </c>
      <c r="BL84" s="45">
        <f t="shared" si="60"/>
        <v>0.003964648097</v>
      </c>
      <c r="BM84" s="45">
        <f t="shared" si="60"/>
        <v>-0.005548845347</v>
      </c>
      <c r="BN84" s="45">
        <f t="shared" si="60"/>
        <v>0.004238433163</v>
      </c>
      <c r="BO84" s="45">
        <f t="shared" si="60"/>
        <v>-0.01059737987</v>
      </c>
      <c r="BP84" s="45">
        <f t="shared" si="60"/>
        <v>0.004172786558</v>
      </c>
      <c r="BQ84" s="45">
        <f t="shared" si="60"/>
        <v>-0.02456623059</v>
      </c>
      <c r="BR84" s="45">
        <f t="shared" si="60"/>
        <v>0.003986197262</v>
      </c>
      <c r="BS84" s="45">
        <f t="shared" si="60"/>
        <v>-0.007071272112</v>
      </c>
      <c r="BT84" s="45">
        <f t="shared" si="60"/>
        <v>0.004222836566</v>
      </c>
      <c r="BU84" s="45">
        <f t="shared" si="60"/>
        <v>0.004954072835</v>
      </c>
      <c r="BV84" s="45">
        <f t="shared" si="60"/>
        <v>0.004044730264</v>
      </c>
      <c r="BW84" s="45">
        <f t="shared" si="60"/>
        <v>-0.003858505317</v>
      </c>
      <c r="BX84" s="45">
        <f t="shared" si="60"/>
        <v>0.00509005738</v>
      </c>
      <c r="BY84" s="45">
        <f t="shared" si="60"/>
        <v>-0.00510328166</v>
      </c>
      <c r="BZ84" s="45">
        <f t="shared" si="60"/>
        <v>0.005020354627</v>
      </c>
      <c r="CA84" s="45">
        <f t="shared" si="60"/>
        <v>-0.009265557169</v>
      </c>
      <c r="CB84" s="45">
        <f t="shared" si="60"/>
        <v>0.00599528439</v>
      </c>
      <c r="CC84" s="45">
        <f t="shared" si="60"/>
        <v>-0.004867669715</v>
      </c>
      <c r="CD84" s="45">
        <f t="shared" si="60"/>
        <v>0.006023350453</v>
      </c>
      <c r="CE84" s="45">
        <f t="shared" si="60"/>
        <v>-0.0202826462</v>
      </c>
      <c r="CF84" s="45">
        <f t="shared" si="60"/>
        <v>0.006462322814</v>
      </c>
      <c r="CG84" s="45">
        <f t="shared" si="60"/>
        <v>0.002871316947</v>
      </c>
      <c r="CH84" s="45">
        <f t="shared" si="60"/>
        <v>0.006577575483</v>
      </c>
      <c r="CI84" s="45">
        <f t="shared" si="60"/>
        <v>-0.002314922585</v>
      </c>
      <c r="CJ84" s="45">
        <f t="shared" si="60"/>
        <v>0.007289507363</v>
      </c>
      <c r="CK84" s="45">
        <f t="shared" si="60"/>
        <v>-0.001396207111</v>
      </c>
      <c r="CL84" s="45">
        <f t="shared" si="60"/>
        <v>0.007818612133</v>
      </c>
      <c r="CM84" s="45">
        <f t="shared" si="60"/>
        <v>0.008278246976</v>
      </c>
      <c r="CO84" s="7"/>
      <c r="CP84" s="12" t="b">
        <f t="shared" si="58"/>
        <v>0</v>
      </c>
    </row>
    <row r="85" ht="15.75" customHeight="1">
      <c r="C85" s="4"/>
      <c r="D85" s="44" t="s">
        <v>39</v>
      </c>
      <c r="E85" s="46"/>
      <c r="F85" s="46">
        <f t="shared" ref="F85:BS85" si="61">F80/E80</f>
        <v>2.5</v>
      </c>
      <c r="G85" s="46">
        <f t="shared" si="61"/>
        <v>1.8</v>
      </c>
      <c r="H85" s="46">
        <f t="shared" si="61"/>
        <v>1.299308642</v>
      </c>
      <c r="I85" s="46">
        <f t="shared" si="61"/>
        <v>1.20428718</v>
      </c>
      <c r="J85" s="46">
        <f t="shared" si="61"/>
        <v>1.632077258</v>
      </c>
      <c r="K85" s="46">
        <f t="shared" si="61"/>
        <v>1.348229348</v>
      </c>
      <c r="L85" s="46">
        <f t="shared" si="61"/>
        <v>1.149880241</v>
      </c>
      <c r="M85" s="46">
        <f t="shared" si="61"/>
        <v>1.119742057</v>
      </c>
      <c r="N85" s="46">
        <f t="shared" si="61"/>
        <v>1.309351993</v>
      </c>
      <c r="O85" s="46">
        <f t="shared" si="61"/>
        <v>1.345665405</v>
      </c>
      <c r="P85" s="46">
        <f t="shared" si="61"/>
        <v>1.211716825</v>
      </c>
      <c r="Q85" s="46">
        <f t="shared" si="61"/>
        <v>1.142024392</v>
      </c>
      <c r="R85" s="46">
        <f t="shared" si="61"/>
        <v>1.17170455</v>
      </c>
      <c r="S85" s="46">
        <f t="shared" si="61"/>
        <v>1.142050716</v>
      </c>
      <c r="T85" s="46">
        <f t="shared" si="61"/>
        <v>1.1630441</v>
      </c>
      <c r="U85" s="46">
        <f t="shared" si="61"/>
        <v>1.287407567</v>
      </c>
      <c r="V85" s="46">
        <f t="shared" si="61"/>
        <v>1.204570796</v>
      </c>
      <c r="W85" s="46">
        <f t="shared" si="61"/>
        <v>0.9435272776</v>
      </c>
      <c r="X85" s="46">
        <f t="shared" si="61"/>
        <v>1.239807239</v>
      </c>
      <c r="Y85" s="46">
        <f t="shared" si="61"/>
        <v>0.9396411453</v>
      </c>
      <c r="Z85" s="46">
        <f t="shared" si="61"/>
        <v>1.227462382</v>
      </c>
      <c r="AA85" s="46">
        <f t="shared" si="61"/>
        <v>0.968399548</v>
      </c>
      <c r="AB85" s="46">
        <f t="shared" si="61"/>
        <v>1.168143616</v>
      </c>
      <c r="AC85" s="46">
        <f t="shared" si="61"/>
        <v>0.9495269507</v>
      </c>
      <c r="AD85" s="46">
        <f t="shared" si="61"/>
        <v>1.182599049</v>
      </c>
      <c r="AE85" s="46">
        <f t="shared" si="61"/>
        <v>0.9628721047</v>
      </c>
      <c r="AF85" s="46">
        <f t="shared" si="61"/>
        <v>1.168434544</v>
      </c>
      <c r="AG85" s="46">
        <f t="shared" si="61"/>
        <v>0.95489538</v>
      </c>
      <c r="AH85" s="46">
        <f t="shared" si="61"/>
        <v>1.167147978</v>
      </c>
      <c r="AI85" s="46">
        <f t="shared" si="61"/>
        <v>0.9230196256</v>
      </c>
      <c r="AJ85" s="46">
        <f t="shared" si="61"/>
        <v>1.203248702</v>
      </c>
      <c r="AK85" s="46">
        <f t="shared" si="61"/>
        <v>0.8806864665</v>
      </c>
      <c r="AL85" s="46">
        <f t="shared" si="61"/>
        <v>1.257525999</v>
      </c>
      <c r="AM85" s="46">
        <f t="shared" si="61"/>
        <v>0.8652038213</v>
      </c>
      <c r="AN85" s="46">
        <f t="shared" si="61"/>
        <v>1.113644122</v>
      </c>
      <c r="AO85" s="46">
        <f t="shared" si="61"/>
        <v>0.9490600059</v>
      </c>
      <c r="AP85" s="46">
        <f t="shared" si="61"/>
        <v>1.099815634</v>
      </c>
      <c r="AQ85" s="46">
        <f t="shared" si="61"/>
        <v>0.9531604941</v>
      </c>
      <c r="AR85" s="46">
        <f t="shared" si="61"/>
        <v>1.106529849</v>
      </c>
      <c r="AS85" s="46">
        <f t="shared" si="61"/>
        <v>0.9621601109</v>
      </c>
      <c r="AT85" s="46">
        <f t="shared" si="61"/>
        <v>1.09396659</v>
      </c>
      <c r="AU85" s="46">
        <f t="shared" si="61"/>
        <v>0.9757187356</v>
      </c>
      <c r="AV85" s="46">
        <f t="shared" si="61"/>
        <v>1.079944724</v>
      </c>
      <c r="AW85" s="46">
        <f t="shared" si="61"/>
        <v>1.00314529</v>
      </c>
      <c r="AX85" s="46">
        <f t="shared" si="61"/>
        <v>1.046368739</v>
      </c>
      <c r="AY85" s="46">
        <f t="shared" si="61"/>
        <v>1.038914411</v>
      </c>
      <c r="AZ85" s="46">
        <f t="shared" si="61"/>
        <v>1.030354151</v>
      </c>
      <c r="BA85" s="46">
        <f t="shared" si="61"/>
        <v>1.022654422</v>
      </c>
      <c r="BB85" s="46">
        <f t="shared" si="61"/>
        <v>1.054179683</v>
      </c>
      <c r="BC85" s="46">
        <f t="shared" si="61"/>
        <v>0.9908926437</v>
      </c>
      <c r="BD85" s="46">
        <f t="shared" si="61"/>
        <v>1.081666521</v>
      </c>
      <c r="BE85" s="46">
        <f t="shared" si="61"/>
        <v>0.9824604285</v>
      </c>
      <c r="BF85" s="46">
        <f t="shared" si="61"/>
        <v>1.091112557</v>
      </c>
      <c r="BG85" s="46">
        <f t="shared" si="61"/>
        <v>0.9508947389</v>
      </c>
      <c r="BH85" s="46">
        <f t="shared" si="61"/>
        <v>1.124367684</v>
      </c>
      <c r="BI85" s="46">
        <f t="shared" si="61"/>
        <v>0.9319816098</v>
      </c>
      <c r="BJ85" s="46">
        <f t="shared" si="61"/>
        <v>1.148177659</v>
      </c>
      <c r="BK85" s="46">
        <f t="shared" si="61"/>
        <v>0.9294875625</v>
      </c>
      <c r="BL85" s="46">
        <f t="shared" si="61"/>
        <v>1.041728697</v>
      </c>
      <c r="BM85" s="46">
        <f t="shared" si="61"/>
        <v>0.9988825141</v>
      </c>
      <c r="BN85" s="46">
        <f t="shared" si="61"/>
        <v>1.050769634</v>
      </c>
      <c r="BO85" s="46">
        <f t="shared" si="61"/>
        <v>1.005633684</v>
      </c>
      <c r="BP85" s="46">
        <f t="shared" si="61"/>
        <v>1.04423588</v>
      </c>
      <c r="BQ85" s="46">
        <f t="shared" si="61"/>
        <v>0.9921304553</v>
      </c>
      <c r="BR85" s="46">
        <f t="shared" si="61"/>
        <v>1.058903471</v>
      </c>
      <c r="BS85" s="46">
        <f t="shared" si="61"/>
        <v>0.9774009636</v>
      </c>
      <c r="BT85" s="46">
        <f>BT80/BR80</f>
        <v>1.047040657</v>
      </c>
      <c r="BU85" s="46">
        <f>BU80/BT80</f>
        <v>0.9881958446</v>
      </c>
      <c r="BV85" s="46">
        <f>BV80/BT80</f>
        <v>1.042842983</v>
      </c>
      <c r="BW85" s="46">
        <f>BW80/BV80</f>
        <v>1.007559122</v>
      </c>
      <c r="BX85" s="46">
        <f>BX80/BV80</f>
        <v>1.042964681</v>
      </c>
      <c r="BY85" s="46">
        <f>BY80/BX80</f>
        <v>1.003361176</v>
      </c>
      <c r="BZ85" s="46">
        <f>BZ80/BX80</f>
        <v>1.043318112</v>
      </c>
      <c r="CA85" s="46">
        <f>CA80/BZ80</f>
        <v>1.003146546</v>
      </c>
      <c r="CB85" s="46">
        <f>CB80/BZ80</f>
        <v>1.044911041</v>
      </c>
      <c r="CC85" s="46">
        <f>CC80/CB80</f>
        <v>1.001649541</v>
      </c>
      <c r="CD85" s="46">
        <f>CD80/CB80</f>
        <v>1.041540583</v>
      </c>
      <c r="CE85" s="46">
        <f>CE80/CD80</f>
        <v>0.9941281232</v>
      </c>
      <c r="CF85" s="46">
        <f>CF80/CD80</f>
        <v>1.042800846</v>
      </c>
      <c r="CG85" s="46">
        <f>CG80/CF80</f>
        <v>1.000025698</v>
      </c>
      <c r="CH85" s="46">
        <f>CH80/CF80</f>
        <v>1.043350013</v>
      </c>
      <c r="CI85" s="46">
        <f>CI80/CH80</f>
        <v>1.004454099</v>
      </c>
      <c r="CJ85" s="46">
        <f>CJ80/CH80</f>
        <v>1.043914051</v>
      </c>
      <c r="CK85" s="46">
        <f>CK80/CJ80</f>
        <v>0.9923068665</v>
      </c>
      <c r="CL85" s="46">
        <f>CL80/CJ80</f>
        <v>1.044879002</v>
      </c>
      <c r="CM85" s="46">
        <f>CM80/CL80</f>
        <v>1.046183493</v>
      </c>
      <c r="CO85" s="42" t="s">
        <v>27</v>
      </c>
      <c r="CP85" s="12" t="b">
        <f t="shared" si="58"/>
        <v>0</v>
      </c>
    </row>
    <row r="86" ht="15.75" customHeight="1">
      <c r="C86" s="4"/>
      <c r="D86" s="44" t="s">
        <v>40</v>
      </c>
      <c r="E86" s="46"/>
      <c r="F86" s="46">
        <f t="shared" ref="F86:CM86" si="62">SUM(F73,F79)/F73</f>
        <v>1</v>
      </c>
      <c r="G86" s="46">
        <f t="shared" si="62"/>
        <v>1</v>
      </c>
      <c r="H86" s="46">
        <f t="shared" si="62"/>
        <v>1</v>
      </c>
      <c r="I86" s="46">
        <f t="shared" si="62"/>
        <v>1</v>
      </c>
      <c r="J86" s="46">
        <f t="shared" si="62"/>
        <v>1</v>
      </c>
      <c r="K86" s="46">
        <f t="shared" si="62"/>
        <v>1</v>
      </c>
      <c r="L86" s="46">
        <f t="shared" si="62"/>
        <v>1</v>
      </c>
      <c r="M86" s="46">
        <f t="shared" si="62"/>
        <v>1</v>
      </c>
      <c r="N86" s="46">
        <f t="shared" si="62"/>
        <v>1</v>
      </c>
      <c r="O86" s="46">
        <f t="shared" si="62"/>
        <v>1.005061952</v>
      </c>
      <c r="P86" s="46">
        <f t="shared" si="62"/>
        <v>1.003161069</v>
      </c>
      <c r="Q86" s="46">
        <f t="shared" si="62"/>
        <v>0.9836157308</v>
      </c>
      <c r="R86" s="46">
        <f t="shared" si="62"/>
        <v>0.9880449966</v>
      </c>
      <c r="S86" s="46">
        <f t="shared" si="62"/>
        <v>0.9970756415</v>
      </c>
      <c r="T86" s="46">
        <f t="shared" si="62"/>
        <v>0.9990184288</v>
      </c>
      <c r="U86" s="46">
        <f t="shared" si="62"/>
        <v>1.010824798</v>
      </c>
      <c r="V86" s="46">
        <f t="shared" si="62"/>
        <v>0.9954909171</v>
      </c>
      <c r="W86" s="46">
        <f t="shared" si="62"/>
        <v>0.9889330803</v>
      </c>
      <c r="X86" s="46">
        <f t="shared" si="62"/>
        <v>0.99561667</v>
      </c>
      <c r="Y86" s="46">
        <f t="shared" si="62"/>
        <v>1.007177357</v>
      </c>
      <c r="Z86" s="46">
        <f t="shared" si="62"/>
        <v>0.9975740022</v>
      </c>
      <c r="AA86" s="46">
        <f t="shared" si="62"/>
        <v>1.016769349</v>
      </c>
      <c r="AB86" s="46">
        <f t="shared" si="62"/>
        <v>0.9981782496</v>
      </c>
      <c r="AC86" s="46">
        <f t="shared" si="62"/>
        <v>0.9975924703</v>
      </c>
      <c r="AD86" s="46">
        <f t="shared" si="62"/>
        <v>0.9953052128</v>
      </c>
      <c r="AE86" s="46">
        <f t="shared" si="62"/>
        <v>1.014033252</v>
      </c>
      <c r="AF86" s="46">
        <f t="shared" si="62"/>
        <v>1.000676638</v>
      </c>
      <c r="AG86" s="46">
        <f t="shared" si="62"/>
        <v>0.9930898054</v>
      </c>
      <c r="AH86" s="46">
        <f t="shared" si="62"/>
        <v>1.000699309</v>
      </c>
      <c r="AI86" s="46">
        <f t="shared" si="62"/>
        <v>0.997911753</v>
      </c>
      <c r="AJ86" s="46">
        <f t="shared" si="62"/>
        <v>1.000855988</v>
      </c>
      <c r="AK86" s="46">
        <f t="shared" si="62"/>
        <v>0.9826195951</v>
      </c>
      <c r="AL86" s="46">
        <f t="shared" si="62"/>
        <v>1.000959915</v>
      </c>
      <c r="AM86" s="46">
        <f t="shared" si="62"/>
        <v>0.9936972648</v>
      </c>
      <c r="AN86" s="46">
        <f t="shared" si="62"/>
        <v>0.9861875119</v>
      </c>
      <c r="AO86" s="46">
        <f t="shared" si="62"/>
        <v>1.003023652</v>
      </c>
      <c r="AP86" s="46">
        <f t="shared" si="62"/>
        <v>0.986668534</v>
      </c>
      <c r="AQ86" s="46">
        <f t="shared" si="62"/>
        <v>0.9950690681</v>
      </c>
      <c r="AR86" s="46">
        <f t="shared" si="62"/>
        <v>0.9867554797</v>
      </c>
      <c r="AS86" s="46">
        <f t="shared" si="62"/>
        <v>0.9876873576</v>
      </c>
      <c r="AT86" s="46">
        <f t="shared" si="62"/>
        <v>0.9872686735</v>
      </c>
      <c r="AU86" s="46">
        <f t="shared" si="62"/>
        <v>1.006985208</v>
      </c>
      <c r="AV86" s="46">
        <f t="shared" si="62"/>
        <v>0.9873171436</v>
      </c>
      <c r="AW86" s="46">
        <f t="shared" si="62"/>
        <v>1.009003179</v>
      </c>
      <c r="AX86" s="46">
        <f t="shared" si="62"/>
        <v>0.9878716989</v>
      </c>
      <c r="AY86" s="46">
        <f t="shared" si="62"/>
        <v>1.011090082</v>
      </c>
      <c r="AZ86" s="46">
        <f t="shared" si="62"/>
        <v>0.9948503274</v>
      </c>
      <c r="BA86" s="46">
        <f t="shared" si="62"/>
        <v>1.001661421</v>
      </c>
      <c r="BB86" s="46">
        <f t="shared" si="62"/>
        <v>1.000934115</v>
      </c>
      <c r="BC86" s="46">
        <f t="shared" si="62"/>
        <v>1.001611636</v>
      </c>
      <c r="BD86" s="46">
        <f t="shared" si="62"/>
        <v>1.000639792</v>
      </c>
      <c r="BE86" s="46">
        <f t="shared" si="62"/>
        <v>1.000114172</v>
      </c>
      <c r="BF86" s="46">
        <f t="shared" si="62"/>
        <v>1.001239943</v>
      </c>
      <c r="BG86" s="46">
        <f t="shared" si="62"/>
        <v>0.9997405234</v>
      </c>
      <c r="BH86" s="46">
        <f t="shared" si="62"/>
        <v>1.000972084</v>
      </c>
      <c r="BI86" s="46">
        <f t="shared" si="62"/>
        <v>0.99005023</v>
      </c>
      <c r="BJ86" s="46">
        <f t="shared" si="62"/>
        <v>1.001865282</v>
      </c>
      <c r="BK86" s="46">
        <f t="shared" si="62"/>
        <v>0.9943133484</v>
      </c>
      <c r="BL86" s="46">
        <f t="shared" si="62"/>
        <v>1.003964648</v>
      </c>
      <c r="BM86" s="46">
        <f t="shared" si="62"/>
        <v>0.9944511547</v>
      </c>
      <c r="BN86" s="46">
        <f t="shared" si="62"/>
        <v>1.004238433</v>
      </c>
      <c r="BO86" s="46">
        <f t="shared" si="62"/>
        <v>0.9894026201</v>
      </c>
      <c r="BP86" s="46">
        <f t="shared" si="62"/>
        <v>1.004172787</v>
      </c>
      <c r="BQ86" s="46">
        <f t="shared" si="62"/>
        <v>0.9754337694</v>
      </c>
      <c r="BR86" s="46">
        <f t="shared" si="62"/>
        <v>1.003986197</v>
      </c>
      <c r="BS86" s="46">
        <f t="shared" si="62"/>
        <v>0.9929287279</v>
      </c>
      <c r="BT86" s="46">
        <f t="shared" si="62"/>
        <v>1.004222837</v>
      </c>
      <c r="BU86" s="46">
        <f t="shared" si="62"/>
        <v>1.004954073</v>
      </c>
      <c r="BV86" s="46">
        <f t="shared" si="62"/>
        <v>1.00404473</v>
      </c>
      <c r="BW86" s="46">
        <f t="shared" si="62"/>
        <v>0.9961414947</v>
      </c>
      <c r="BX86" s="46">
        <f t="shared" si="62"/>
        <v>1.005090057</v>
      </c>
      <c r="BY86" s="46">
        <f t="shared" si="62"/>
        <v>0.9948967183</v>
      </c>
      <c r="BZ86" s="46">
        <f t="shared" si="62"/>
        <v>1.005020355</v>
      </c>
      <c r="CA86" s="46">
        <f t="shared" si="62"/>
        <v>0.9907344428</v>
      </c>
      <c r="CB86" s="46">
        <f t="shared" si="62"/>
        <v>1.005995284</v>
      </c>
      <c r="CC86" s="46">
        <f t="shared" si="62"/>
        <v>0.9951323303</v>
      </c>
      <c r="CD86" s="46">
        <f t="shared" si="62"/>
        <v>1.00602335</v>
      </c>
      <c r="CE86" s="46">
        <f t="shared" si="62"/>
        <v>0.9797173538</v>
      </c>
      <c r="CF86" s="46">
        <f t="shared" si="62"/>
        <v>1.006462323</v>
      </c>
      <c r="CG86" s="46">
        <f t="shared" si="62"/>
        <v>1.002871317</v>
      </c>
      <c r="CH86" s="46">
        <f t="shared" si="62"/>
        <v>1.006577575</v>
      </c>
      <c r="CI86" s="46">
        <f t="shared" si="62"/>
        <v>0.9976850774</v>
      </c>
      <c r="CJ86" s="46">
        <f t="shared" si="62"/>
        <v>1.007289507</v>
      </c>
      <c r="CK86" s="46">
        <f t="shared" si="62"/>
        <v>0.9986037929</v>
      </c>
      <c r="CL86" s="46">
        <f t="shared" si="62"/>
        <v>1.007818612</v>
      </c>
      <c r="CM86" s="46">
        <f t="shared" si="62"/>
        <v>1.008278247</v>
      </c>
      <c r="CO86" s="42" t="s">
        <v>28</v>
      </c>
      <c r="CP86" s="12" t="b">
        <f t="shared" si="58"/>
        <v>0</v>
      </c>
    </row>
    <row r="87" ht="15.75" customHeight="1">
      <c r="B87" s="4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8"/>
      <c r="BN87" s="4"/>
      <c r="BO87" s="48"/>
      <c r="BP87" s="4"/>
      <c r="BQ87" s="48"/>
      <c r="BR87" s="4"/>
      <c r="BS87" s="48"/>
      <c r="BT87" s="4"/>
      <c r="BU87" s="48"/>
      <c r="BV87" s="4"/>
      <c r="BW87" s="48"/>
      <c r="BX87" s="4"/>
      <c r="BY87" s="48"/>
      <c r="BZ87" s="4"/>
      <c r="CA87" s="48"/>
      <c r="CB87" s="4"/>
      <c r="CC87" s="48"/>
      <c r="CD87" s="4"/>
      <c r="CE87" s="48"/>
      <c r="CF87" s="4"/>
      <c r="CG87" s="48"/>
      <c r="CH87" s="4"/>
      <c r="CI87" s="48"/>
      <c r="CJ87" s="4"/>
      <c r="CK87" s="48"/>
      <c r="CL87" s="4"/>
      <c r="CM87" s="4"/>
      <c r="CO87" s="42" t="s">
        <v>29</v>
      </c>
      <c r="CP87" s="12" t="b">
        <f t="shared" si="58"/>
        <v>0</v>
      </c>
    </row>
    <row r="88" ht="15.75" customHeight="1">
      <c r="A88" s="12">
        <v>251940.0</v>
      </c>
      <c r="B88" s="19"/>
      <c r="C88" s="41" t="s">
        <v>5</v>
      </c>
      <c r="D88" s="42" t="s">
        <v>27</v>
      </c>
      <c r="E88" s="14">
        <v>0.0</v>
      </c>
      <c r="F88" s="14">
        <f t="shared" ref="F88:V88" si="63">E95</f>
        <v>0</v>
      </c>
      <c r="G88" s="14">
        <f t="shared" si="63"/>
        <v>666.6666667</v>
      </c>
      <c r="H88" s="14">
        <f t="shared" si="63"/>
        <v>1083.333333</v>
      </c>
      <c r="I88" s="14">
        <f t="shared" si="63"/>
        <v>1083.333333</v>
      </c>
      <c r="J88" s="14">
        <f t="shared" si="63"/>
        <v>1083.333333</v>
      </c>
      <c r="K88" s="14">
        <f t="shared" si="63"/>
        <v>1083.333333</v>
      </c>
      <c r="L88" s="14">
        <f t="shared" si="63"/>
        <v>1833.333333</v>
      </c>
      <c r="M88" s="14">
        <f t="shared" si="63"/>
        <v>2375</v>
      </c>
      <c r="N88" s="14">
        <f t="shared" si="63"/>
        <v>2375</v>
      </c>
      <c r="O88" s="14">
        <f t="shared" si="63"/>
        <v>3000</v>
      </c>
      <c r="P88" s="14">
        <f t="shared" si="63"/>
        <v>4625</v>
      </c>
      <c r="Q88" s="14">
        <f t="shared" si="63"/>
        <v>6075</v>
      </c>
      <c r="R88" s="14">
        <f t="shared" si="63"/>
        <v>8158.333333</v>
      </c>
      <c r="S88" s="14">
        <f t="shared" si="63"/>
        <v>11983.33333</v>
      </c>
      <c r="T88" s="14">
        <f t="shared" si="63"/>
        <v>13700</v>
      </c>
      <c r="U88" s="14">
        <f t="shared" si="63"/>
        <v>16491.66667</v>
      </c>
      <c r="V88" s="14">
        <f t="shared" si="63"/>
        <v>28455</v>
      </c>
      <c r="W88" s="14">
        <f t="shared" ref="W88:AM88" si="64">U95</f>
        <v>28455</v>
      </c>
      <c r="X88" s="14">
        <f t="shared" si="64"/>
        <v>41601.305</v>
      </c>
      <c r="Y88" s="14">
        <f t="shared" si="64"/>
        <v>37538.33333</v>
      </c>
      <c r="Z88" s="14">
        <f t="shared" si="64"/>
        <v>54468.26288</v>
      </c>
      <c r="AA88" s="14">
        <f t="shared" si="64"/>
        <v>47404.16667</v>
      </c>
      <c r="AB88" s="14">
        <f t="shared" si="64"/>
        <v>67839.12271</v>
      </c>
      <c r="AC88" s="14">
        <f t="shared" si="64"/>
        <v>66000</v>
      </c>
      <c r="AD88" s="14">
        <f t="shared" si="64"/>
        <v>80789.50479</v>
      </c>
      <c r="AE88" s="14">
        <f t="shared" si="64"/>
        <v>77083.33333</v>
      </c>
      <c r="AF88" s="14">
        <f t="shared" si="64"/>
        <v>95926.50093</v>
      </c>
      <c r="AG88" s="14">
        <f t="shared" si="64"/>
        <v>91589.58333</v>
      </c>
      <c r="AH88" s="14">
        <f t="shared" si="64"/>
        <v>113990.4916</v>
      </c>
      <c r="AI88" s="14">
        <f t="shared" si="64"/>
        <v>112796.25</v>
      </c>
      <c r="AJ88" s="14">
        <f t="shared" si="64"/>
        <v>132679.4531</v>
      </c>
      <c r="AK88" s="14">
        <f t="shared" si="64"/>
        <v>127112.9167</v>
      </c>
      <c r="AL88" s="14">
        <f t="shared" si="64"/>
        <v>154396.1495</v>
      </c>
      <c r="AM88" s="14">
        <f t="shared" si="64"/>
        <v>136276.25</v>
      </c>
      <c r="AN88" s="14">
        <v>158494.75</v>
      </c>
      <c r="AO88" s="14">
        <f t="shared" ref="AO88:BK88" si="65">AM95</f>
        <v>152842.9167</v>
      </c>
      <c r="AP88" s="14">
        <f t="shared" si="65"/>
        <v>171509.4797</v>
      </c>
      <c r="AQ88" s="14">
        <f t="shared" si="65"/>
        <v>162023.5</v>
      </c>
      <c r="AR88" s="14">
        <f t="shared" si="65"/>
        <v>184595.5326</v>
      </c>
      <c r="AS88" s="14">
        <f t="shared" si="65"/>
        <v>173700.1667</v>
      </c>
      <c r="AT88" s="14">
        <f t="shared" si="65"/>
        <v>203621.8529</v>
      </c>
      <c r="AU88" s="14">
        <f t="shared" si="65"/>
        <v>190366.8333</v>
      </c>
      <c r="AV88" s="14">
        <f t="shared" si="65"/>
        <v>220880.7619</v>
      </c>
      <c r="AW88" s="14">
        <f t="shared" si="65"/>
        <v>204393.9167</v>
      </c>
      <c r="AX88" s="14">
        <f t="shared" si="65"/>
        <v>239048.9484</v>
      </c>
      <c r="AY88" s="14">
        <f t="shared" si="65"/>
        <v>229847.0417</v>
      </c>
      <c r="AZ88" s="14">
        <f t="shared" si="65"/>
        <v>255749.4652</v>
      </c>
      <c r="BA88" s="14">
        <f t="shared" si="65"/>
        <v>257085.875</v>
      </c>
      <c r="BB88" s="14">
        <f t="shared" si="65"/>
        <v>282394.2896</v>
      </c>
      <c r="BC88" s="14">
        <f t="shared" si="65"/>
        <v>276796.9858</v>
      </c>
      <c r="BD88" s="14">
        <f t="shared" si="65"/>
        <v>313673.7748</v>
      </c>
      <c r="BE88" s="14">
        <f t="shared" si="65"/>
        <v>295241.9858</v>
      </c>
      <c r="BF88" s="14">
        <f t="shared" si="65"/>
        <v>343427.5003</v>
      </c>
      <c r="BG88" s="14">
        <f t="shared" si="65"/>
        <v>318794.4858</v>
      </c>
      <c r="BH88" s="14">
        <f t="shared" si="65"/>
        <v>375332.714</v>
      </c>
      <c r="BI88" s="14">
        <f t="shared" si="65"/>
        <v>338823.6525</v>
      </c>
      <c r="BJ88" s="14">
        <f t="shared" si="65"/>
        <v>408184.0913</v>
      </c>
      <c r="BK88" s="14">
        <f t="shared" si="65"/>
        <v>363512.5692</v>
      </c>
      <c r="BL88" s="14">
        <f>4759389.95552268/12</f>
        <v>396615.8296</v>
      </c>
      <c r="BM88" s="14">
        <f t="shared" ref="BM88:CL88" si="66">BK95</f>
        <v>394182.0058</v>
      </c>
      <c r="BN88" s="14">
        <f t="shared" si="66"/>
        <v>419681.5776</v>
      </c>
      <c r="BO88" s="14">
        <f t="shared" si="66"/>
        <v>419730.4642</v>
      </c>
      <c r="BP88" s="14">
        <f t="shared" si="66"/>
        <v>444310.1123</v>
      </c>
      <c r="BQ88" s="14">
        <f t="shared" si="66"/>
        <v>458529.7975</v>
      </c>
      <c r="BR88" s="14">
        <f t="shared" si="66"/>
        <v>471175.8026</v>
      </c>
      <c r="BS88" s="14">
        <f t="shared" si="66"/>
        <v>485963.6725</v>
      </c>
      <c r="BT88" s="14">
        <f t="shared" si="66"/>
        <v>499633.0732</v>
      </c>
      <c r="BU88" s="14">
        <f t="shared" si="66"/>
        <v>507449.0892</v>
      </c>
      <c r="BV88" s="14">
        <f t="shared" si="66"/>
        <v>527578.1652</v>
      </c>
      <c r="BW88" s="14">
        <f t="shared" si="66"/>
        <v>539814.7142</v>
      </c>
      <c r="BX88" s="14">
        <f t="shared" si="66"/>
        <v>557698.7771</v>
      </c>
      <c r="BY88" s="14">
        <f t="shared" si="66"/>
        <v>586032.9183</v>
      </c>
      <c r="BZ88" s="14">
        <f t="shared" si="66"/>
        <v>589894.6172</v>
      </c>
      <c r="CA88" s="14">
        <f t="shared" si="66"/>
        <v>617153.1267</v>
      </c>
      <c r="CB88" s="14">
        <f t="shared" si="66"/>
        <v>624858.6178</v>
      </c>
      <c r="CC88" s="14">
        <f t="shared" si="66"/>
        <v>652079.1683</v>
      </c>
      <c r="CD88" s="14">
        <f t="shared" si="66"/>
        <v>663420.0472</v>
      </c>
      <c r="CE88" s="14">
        <f t="shared" si="66"/>
        <v>682108.4246</v>
      </c>
      <c r="CF88" s="14">
        <f t="shared" si="66"/>
        <v>700950.3211</v>
      </c>
      <c r="CG88" s="14">
        <f t="shared" si="66"/>
        <v>713855.4871</v>
      </c>
      <c r="CH88" s="14">
        <f t="shared" si="66"/>
        <v>741349.4733</v>
      </c>
      <c r="CI88" s="14">
        <f t="shared" si="66"/>
        <v>755513.9287</v>
      </c>
      <c r="CJ88" s="14">
        <f t="shared" si="66"/>
        <v>784396.7759</v>
      </c>
      <c r="CK88" s="14">
        <f t="shared" si="66"/>
        <v>799383.5121</v>
      </c>
      <c r="CL88" s="14">
        <f t="shared" si="66"/>
        <v>830229.7625</v>
      </c>
      <c r="CM88" s="14">
        <f>CL95</f>
        <v>879697.893</v>
      </c>
      <c r="CO88" s="42" t="s">
        <v>30</v>
      </c>
      <c r="CP88" s="12" t="b">
        <f t="shared" si="58"/>
        <v>0</v>
      </c>
    </row>
    <row r="89" ht="15.75" customHeight="1">
      <c r="B89" s="19">
        <f>C6-C89*12</f>
        <v>0.000000001862645149</v>
      </c>
      <c r="C89" s="9">
        <f t="shared" ref="C89:C96" si="68">SUM(E89:U89)+W89+Y89+AA89+AC89+AE89+AG89+AI89+AK89+AM89+AO89+AQ89+AS89+AU89+AW89+AY89+BA89+BC89+BE89+BG89+BI89+BK89+BM89+BO89+BQ89+BS89+BU89+BW89+BY89+CA89+CC89+CE89+CG89+CI89+CK89</f>
        <v>872214.8608</v>
      </c>
      <c r="D89" s="42" t="s">
        <v>28</v>
      </c>
      <c r="E89" s="14">
        <f t="shared" ref="E89:U89" si="67">E6/12</f>
        <v>0</v>
      </c>
      <c r="F89" s="14">
        <f t="shared" si="67"/>
        <v>666.6666667</v>
      </c>
      <c r="G89" s="14">
        <f t="shared" si="67"/>
        <v>416.6666667</v>
      </c>
      <c r="H89" s="14">
        <f t="shared" si="67"/>
        <v>0</v>
      </c>
      <c r="I89" s="14">
        <f t="shared" si="67"/>
        <v>0</v>
      </c>
      <c r="J89" s="14">
        <f t="shared" si="67"/>
        <v>0</v>
      </c>
      <c r="K89" s="14">
        <f t="shared" si="67"/>
        <v>750</v>
      </c>
      <c r="L89" s="14">
        <f t="shared" si="67"/>
        <v>541.6666667</v>
      </c>
      <c r="M89" s="14">
        <f t="shared" si="67"/>
        <v>0</v>
      </c>
      <c r="N89" s="14">
        <f t="shared" si="67"/>
        <v>625</v>
      </c>
      <c r="O89" s="14">
        <f t="shared" si="67"/>
        <v>1625</v>
      </c>
      <c r="P89" s="14">
        <f t="shared" si="67"/>
        <v>1450</v>
      </c>
      <c r="Q89" s="14">
        <f t="shared" si="67"/>
        <v>2083.333333</v>
      </c>
      <c r="R89" s="14">
        <f t="shared" si="67"/>
        <v>3825</v>
      </c>
      <c r="S89" s="14">
        <f t="shared" si="67"/>
        <v>1716.666667</v>
      </c>
      <c r="T89" s="14">
        <f t="shared" si="67"/>
        <v>2791.666667</v>
      </c>
      <c r="U89" s="14">
        <f t="shared" si="67"/>
        <v>11463.33333</v>
      </c>
      <c r="V89" s="14">
        <v>13187.971666666666</v>
      </c>
      <c r="W89" s="14">
        <f>W6/12</f>
        <v>9083.333333</v>
      </c>
      <c r="X89" s="14">
        <v>12891.020377083332</v>
      </c>
      <c r="Y89" s="14">
        <f>Y6/12</f>
        <v>9865.833333</v>
      </c>
      <c r="Z89" s="14">
        <v>13370.859831156251</v>
      </c>
      <c r="AA89" s="14">
        <f>AA6/12</f>
        <v>18729.16667</v>
      </c>
      <c r="AB89" s="14">
        <v>12994.324656245333</v>
      </c>
      <c r="AC89" s="14">
        <f>AC6/12</f>
        <v>10250</v>
      </c>
      <c r="AD89" s="14">
        <v>15244.497096906</v>
      </c>
      <c r="AE89" s="14">
        <f>AE6/12</f>
        <v>12322.91667</v>
      </c>
      <c r="AF89" s="14">
        <v>18040.484840620917</v>
      </c>
      <c r="AG89" s="14">
        <f>AG6/12</f>
        <v>21540</v>
      </c>
      <c r="AH89" s="14">
        <v>18688.96150685508</v>
      </c>
      <c r="AI89" s="14">
        <f>AI6/12</f>
        <v>15025</v>
      </c>
      <c r="AJ89" s="14">
        <v>21716.69642220975</v>
      </c>
      <c r="AK89" s="14">
        <f>AK6/12</f>
        <v>13066.66667</v>
      </c>
      <c r="AL89" s="14">
        <v>24485.687653028584</v>
      </c>
      <c r="AM89" s="14">
        <f>AM6/12</f>
        <v>17725</v>
      </c>
      <c r="AN89" s="14">
        <v>14250.0</v>
      </c>
      <c r="AO89" s="14">
        <f>AO6/12</f>
        <v>7333.333333</v>
      </c>
      <c r="AP89" s="14">
        <v>14452.5</v>
      </c>
      <c r="AQ89" s="14">
        <f>AQ6/12</f>
        <v>12510</v>
      </c>
      <c r="AR89" s="14">
        <v>20523.8</v>
      </c>
      <c r="AS89" s="14">
        <f>AS6/12</f>
        <v>17316.66667</v>
      </c>
      <c r="AT89" s="14">
        <v>18754.040250000002</v>
      </c>
      <c r="AU89" s="14">
        <f>AU6/12</f>
        <v>14083.33333</v>
      </c>
      <c r="AV89" s="14">
        <v>19825.0363125</v>
      </c>
      <c r="AW89" s="14">
        <f>AW6/12</f>
        <v>23950</v>
      </c>
      <c r="AX89" s="14">
        <v>18527.954012475</v>
      </c>
      <c r="AY89" s="14">
        <f>AY6/12</f>
        <v>24712.5</v>
      </c>
      <c r="AZ89" s="14">
        <v>27523.250442318084</v>
      </c>
      <c r="BA89" s="14">
        <f>BA6/12</f>
        <v>16827.7775</v>
      </c>
      <c r="BB89" s="14">
        <v>31475.45899066054</v>
      </c>
      <c r="BC89" s="14">
        <f>BC6/12</f>
        <v>18695.83333</v>
      </c>
      <c r="BD89" s="14">
        <v>30055.54587236461</v>
      </c>
      <c r="BE89" s="14">
        <f>BE6/12</f>
        <v>22708.33333</v>
      </c>
      <c r="BF89" s="14">
        <v>31915.199548839813</v>
      </c>
      <c r="BG89" s="14">
        <f>BG6/12</f>
        <v>17587.5</v>
      </c>
      <c r="BH89" s="14">
        <v>32946.40467296736</v>
      </c>
      <c r="BI89" s="14">
        <f>BI6/12</f>
        <v>28372.25</v>
      </c>
      <c r="BJ89" s="14">
        <v>36496.36287809742</v>
      </c>
      <c r="BK89" s="14">
        <f>BK6/12</f>
        <v>33983.33333</v>
      </c>
      <c r="BL89" s="14">
        <v>22573.88377981771</v>
      </c>
      <c r="BM89" s="14">
        <f>BM6/12</f>
        <v>26335.75</v>
      </c>
      <c r="BN89" s="14">
        <v>23863.4711648291</v>
      </c>
      <c r="BO89" s="14">
        <f>BO6/12</f>
        <v>43513</v>
      </c>
      <c r="BP89" s="14">
        <v>25830.076687245222</v>
      </c>
      <c r="BQ89" s="14">
        <f>BQ6/12</f>
        <v>34033.33333</v>
      </c>
      <c r="BR89" s="14">
        <v>28437.5</v>
      </c>
      <c r="BS89" s="14">
        <f>BS6/12</f>
        <v>25958.33333</v>
      </c>
      <c r="BT89" s="14">
        <v>27379.6875</v>
      </c>
      <c r="BU89" s="14">
        <f>BU6/12</f>
        <v>30878.33333</v>
      </c>
      <c r="BV89" s="14">
        <v>29685.7421875</v>
      </c>
      <c r="BW89" s="14">
        <f>BW6/12</f>
        <v>47634.41667</v>
      </c>
      <c r="BX89" s="14">
        <v>30380.9228515625</v>
      </c>
      <c r="BY89" s="14">
        <f>BY6/12</f>
        <v>31253.75</v>
      </c>
      <c r="BZ89" s="14">
        <v>32906.998754882814</v>
      </c>
      <c r="CA89" s="14">
        <f>CA6/12</f>
        <v>42506.66667</v>
      </c>
      <c r="CB89" s="14">
        <v>35580.93710266114</v>
      </c>
      <c r="CC89" s="14">
        <f>CC6/12</f>
        <v>36021.25</v>
      </c>
      <c r="CD89" s="14">
        <v>34669.24418611145</v>
      </c>
      <c r="CE89" s="14">
        <f>CE6/12</f>
        <v>44903.33333</v>
      </c>
      <c r="CF89" s="14">
        <v>36614.21959466629</v>
      </c>
      <c r="CG89" s="14">
        <f>CG6/12</f>
        <v>40493.33333</v>
      </c>
      <c r="CH89" s="14">
        <v>38689.83306595748</v>
      </c>
      <c r="CI89" s="14">
        <f>CI6/12</f>
        <v>47197.91667</v>
      </c>
      <c r="CJ89" s="14">
        <v>40908.021072722346</v>
      </c>
      <c r="CK89" s="14">
        <f>CK6/12</f>
        <v>27841.66667</v>
      </c>
      <c r="CL89" s="14">
        <v>43281.77571950594</v>
      </c>
      <c r="CM89" s="14">
        <v>46916.31299107712</v>
      </c>
      <c r="CO89" s="42" t="s">
        <v>31</v>
      </c>
      <c r="CP89" s="12" t="b">
        <f t="shared" si="58"/>
        <v>0</v>
      </c>
    </row>
    <row r="90" ht="15.75" customHeight="1">
      <c r="B90" s="19">
        <f>C21-C90*12</f>
        <v>0.0000000001164153218</v>
      </c>
      <c r="C90" s="9">
        <f t="shared" si="68"/>
        <v>82085.77</v>
      </c>
      <c r="D90" s="42" t="s">
        <v>29</v>
      </c>
      <c r="E90" s="14">
        <f t="shared" ref="E90:U90" si="69">E21/12</f>
        <v>0</v>
      </c>
      <c r="F90" s="14">
        <f t="shared" si="69"/>
        <v>0</v>
      </c>
      <c r="G90" s="14">
        <f t="shared" si="69"/>
        <v>0</v>
      </c>
      <c r="H90" s="14">
        <f t="shared" si="69"/>
        <v>0</v>
      </c>
      <c r="I90" s="14">
        <f t="shared" si="69"/>
        <v>0</v>
      </c>
      <c r="J90" s="14">
        <f t="shared" si="69"/>
        <v>0</v>
      </c>
      <c r="K90" s="14">
        <f t="shared" si="69"/>
        <v>0</v>
      </c>
      <c r="L90" s="14">
        <f t="shared" si="69"/>
        <v>0</v>
      </c>
      <c r="M90" s="14">
        <f t="shared" si="69"/>
        <v>0</v>
      </c>
      <c r="N90" s="14">
        <f t="shared" si="69"/>
        <v>0</v>
      </c>
      <c r="O90" s="14">
        <f t="shared" si="69"/>
        <v>0</v>
      </c>
      <c r="P90" s="14">
        <f t="shared" si="69"/>
        <v>0</v>
      </c>
      <c r="Q90" s="14">
        <f t="shared" si="69"/>
        <v>0</v>
      </c>
      <c r="R90" s="14">
        <f t="shared" si="69"/>
        <v>0</v>
      </c>
      <c r="S90" s="14">
        <f t="shared" si="69"/>
        <v>0</v>
      </c>
      <c r="T90" s="14">
        <f t="shared" si="69"/>
        <v>0</v>
      </c>
      <c r="U90" s="14">
        <f t="shared" si="69"/>
        <v>500</v>
      </c>
      <c r="V90" s="14">
        <v>20.833333333333332</v>
      </c>
      <c r="W90" s="14">
        <f>W21/12</f>
        <v>0</v>
      </c>
      <c r="X90" s="14">
        <v>13.4375</v>
      </c>
      <c r="Y90" s="14">
        <f>Y21/12</f>
        <v>0</v>
      </c>
      <c r="Z90" s="14">
        <v>0.0</v>
      </c>
      <c r="AA90" s="14">
        <f>AA21/12</f>
        <v>291.6666667</v>
      </c>
      <c r="AB90" s="14">
        <v>31.057421875</v>
      </c>
      <c r="AC90" s="14">
        <f>AC21/12</f>
        <v>833.3333333</v>
      </c>
      <c r="AD90" s="14">
        <v>86.24904866536501</v>
      </c>
      <c r="AE90" s="14">
        <f>AE21/12</f>
        <v>2183.333333</v>
      </c>
      <c r="AF90" s="14">
        <v>77.46416572469074</v>
      </c>
      <c r="AG90" s="14">
        <f>AG21/12</f>
        <v>83.33333333</v>
      </c>
      <c r="AH90" s="14">
        <v>0.0</v>
      </c>
      <c r="AI90" s="14">
        <f>AI21/12</f>
        <v>125</v>
      </c>
      <c r="AJ90" s="14">
        <v>0.0</v>
      </c>
      <c r="AK90" s="14">
        <f>AK21/12</f>
        <v>333.3333333</v>
      </c>
      <c r="AL90" s="14">
        <v>0.0</v>
      </c>
      <c r="AM90" s="14">
        <f>AM21/12</f>
        <v>341.6666667</v>
      </c>
      <c r="AN90" s="14">
        <v>666.6666666666666</v>
      </c>
      <c r="AO90" s="14">
        <f>AO21/12</f>
        <v>1916.666667</v>
      </c>
      <c r="AP90" s="14">
        <v>691.6666666666666</v>
      </c>
      <c r="AQ90" s="14">
        <f>AQ21/12</f>
        <v>500</v>
      </c>
      <c r="AR90" s="14">
        <v>717.6666666666666</v>
      </c>
      <c r="AS90" s="14">
        <f>AS21/12</f>
        <v>1125</v>
      </c>
      <c r="AT90" s="14">
        <v>744.7091666666666</v>
      </c>
      <c r="AU90" s="14">
        <f>AU21/12</f>
        <v>1416.666667</v>
      </c>
      <c r="AV90" s="14">
        <v>772.8385666666667</v>
      </c>
      <c r="AW90" s="14">
        <f>AW21/12</f>
        <v>2208.333333</v>
      </c>
      <c r="AX90" s="14">
        <v>802.1012549166667</v>
      </c>
      <c r="AY90" s="14">
        <f>AY21/12</f>
        <v>2083.833333</v>
      </c>
      <c r="AZ90" s="14">
        <v>1167.5696105329168</v>
      </c>
      <c r="BA90" s="14">
        <f>BA21/12</f>
        <v>4125</v>
      </c>
      <c r="BB90" s="14">
        <v>1215.9976552551543</v>
      </c>
      <c r="BC90" s="14">
        <f>BC21/12</f>
        <v>2083.333333</v>
      </c>
      <c r="BD90" s="14">
        <v>1266.5485891393716</v>
      </c>
      <c r="BE90" s="14">
        <f>BE21/12</f>
        <v>1816.666667</v>
      </c>
      <c r="BF90" s="14">
        <v>1707.1516552460726</v>
      </c>
      <c r="BG90" s="14">
        <f>BG21/12</f>
        <v>3958.333333</v>
      </c>
      <c r="BH90" s="14">
        <v>1781.6361281431325</v>
      </c>
      <c r="BI90" s="14">
        <f>BI21/12</f>
        <v>625</v>
      </c>
      <c r="BJ90" s="14">
        <v>2436.2827441909403</v>
      </c>
      <c r="BK90" s="14">
        <f>BK21/12</f>
        <v>1834.853333</v>
      </c>
      <c r="BL90" s="14">
        <v>1681.7117116666661</v>
      </c>
      <c r="BM90" s="14">
        <f>BM21/12</f>
        <v>208.3333333</v>
      </c>
      <c r="BN90" s="14">
        <v>2024.108216161999</v>
      </c>
      <c r="BO90" s="14">
        <f>BO21/12</f>
        <v>2083.333333</v>
      </c>
      <c r="BP90" s="14">
        <v>2368.5439642788992</v>
      </c>
      <c r="BQ90" s="14">
        <f>BQ21/12</f>
        <v>6604.166667</v>
      </c>
      <c r="BR90" s="14">
        <v>2375.6495961717355</v>
      </c>
      <c r="BS90" s="14">
        <f>BS21/12</f>
        <v>1383.333333</v>
      </c>
      <c r="BT90" s="14">
        <v>3063.5698435203217</v>
      </c>
      <c r="BU90" s="14">
        <f>BU21/12</f>
        <v>1562.5</v>
      </c>
      <c r="BV90" s="14">
        <v>3072.7605530508827</v>
      </c>
      <c r="BW90" s="14">
        <f>BW21/12</f>
        <v>5541.666667</v>
      </c>
      <c r="BX90" s="14">
        <v>3766.8630202011536</v>
      </c>
      <c r="BY90" s="14">
        <f>BY21/12</f>
        <v>4274.583333</v>
      </c>
      <c r="BZ90" s="14">
        <v>4121.633028285552</v>
      </c>
      <c r="CA90" s="14">
        <f>CA21/12</f>
        <v>3633.333333</v>
      </c>
      <c r="CB90" s="14">
        <v>5167.4974092130105</v>
      </c>
      <c r="CC90" s="14">
        <f>CC21/12</f>
        <v>6747.916667</v>
      </c>
      <c r="CD90" s="14">
        <v>5182.9999014406485</v>
      </c>
      <c r="CE90" s="14">
        <f>CE21/12</f>
        <v>5037.5</v>
      </c>
      <c r="CF90" s="14">
        <v>6238.2586813739645</v>
      </c>
      <c r="CG90" s="14">
        <f>CG21/12</f>
        <v>5183.333333</v>
      </c>
      <c r="CH90" s="14">
        <v>6952.19273046454</v>
      </c>
      <c r="CI90" s="14">
        <f>CI21/12</f>
        <v>4633.333333</v>
      </c>
      <c r="CJ90" s="14">
        <v>7670.354239521525</v>
      </c>
      <c r="CK90" s="14">
        <f>CK21/12</f>
        <v>6807.083333</v>
      </c>
      <c r="CL90" s="14">
        <v>9092.158993556468</v>
      </c>
      <c r="CM90" s="14">
        <v>10522.425542927465</v>
      </c>
      <c r="CO90" s="42" t="s">
        <v>32</v>
      </c>
      <c r="CP90" s="12" t="b">
        <f t="shared" si="58"/>
        <v>0</v>
      </c>
    </row>
    <row r="91" ht="15.75" customHeight="1">
      <c r="A91" s="17" t="s">
        <v>41</v>
      </c>
      <c r="B91" s="19">
        <f>C91*12-C26</f>
        <v>0</v>
      </c>
      <c r="C91" s="9">
        <f t="shared" si="68"/>
        <v>8675.728333</v>
      </c>
      <c r="D91" s="42" t="s">
        <v>30</v>
      </c>
      <c r="E91" s="14">
        <f t="shared" ref="E91:U91" si="70">E26/12</f>
        <v>0</v>
      </c>
      <c r="F91" s="14">
        <f t="shared" si="70"/>
        <v>0</v>
      </c>
      <c r="G91" s="14">
        <f t="shared" si="70"/>
        <v>0</v>
      </c>
      <c r="H91" s="14">
        <f t="shared" si="70"/>
        <v>0</v>
      </c>
      <c r="I91" s="14">
        <f t="shared" si="70"/>
        <v>0</v>
      </c>
      <c r="J91" s="14">
        <f t="shared" si="70"/>
        <v>0</v>
      </c>
      <c r="K91" s="14">
        <f t="shared" si="70"/>
        <v>0</v>
      </c>
      <c r="L91" s="14">
        <f t="shared" si="70"/>
        <v>0</v>
      </c>
      <c r="M91" s="14">
        <f t="shared" si="70"/>
        <v>0</v>
      </c>
      <c r="N91" s="14">
        <f t="shared" si="70"/>
        <v>0</v>
      </c>
      <c r="O91" s="14">
        <f t="shared" si="70"/>
        <v>0</v>
      </c>
      <c r="P91" s="14">
        <f t="shared" si="70"/>
        <v>0</v>
      </c>
      <c r="Q91" s="14">
        <f t="shared" si="70"/>
        <v>0</v>
      </c>
      <c r="R91" s="14">
        <f t="shared" si="70"/>
        <v>0</v>
      </c>
      <c r="S91" s="14">
        <f t="shared" si="70"/>
        <v>0</v>
      </c>
      <c r="T91" s="14">
        <f t="shared" si="70"/>
        <v>0</v>
      </c>
      <c r="U91" s="14">
        <f t="shared" si="70"/>
        <v>0</v>
      </c>
      <c r="V91" s="14"/>
      <c r="W91" s="14">
        <f>W26/12</f>
        <v>0</v>
      </c>
      <c r="X91" s="14"/>
      <c r="Y91" s="14">
        <f>Y26/12</f>
        <v>0</v>
      </c>
      <c r="Z91" s="14"/>
      <c r="AA91" s="14">
        <f>AA26/12</f>
        <v>125</v>
      </c>
      <c r="AB91" s="14"/>
      <c r="AC91" s="14">
        <f>AC26/12</f>
        <v>0</v>
      </c>
      <c r="AD91" s="14"/>
      <c r="AE91" s="14">
        <f>AE26/12</f>
        <v>0</v>
      </c>
      <c r="AF91" s="14"/>
      <c r="AG91" s="14">
        <f>AG26/12</f>
        <v>0</v>
      </c>
      <c r="AH91" s="14"/>
      <c r="AI91" s="14">
        <f>AI26/12</f>
        <v>0</v>
      </c>
      <c r="AJ91" s="14"/>
      <c r="AK91" s="14">
        <f>AK26/12</f>
        <v>0</v>
      </c>
      <c r="AL91" s="14"/>
      <c r="AM91" s="14">
        <f>AM26/12</f>
        <v>0</v>
      </c>
      <c r="AN91" s="14"/>
      <c r="AO91" s="14">
        <f>AO26/12</f>
        <v>0</v>
      </c>
      <c r="AP91" s="14"/>
      <c r="AQ91" s="14">
        <f>AQ26/12</f>
        <v>0</v>
      </c>
      <c r="AR91" s="14"/>
      <c r="AS91" s="14">
        <f>AS26/12</f>
        <v>0</v>
      </c>
      <c r="AT91" s="14"/>
      <c r="AU91" s="14">
        <f>AU26/12</f>
        <v>193.75</v>
      </c>
      <c r="AV91" s="14"/>
      <c r="AW91" s="14">
        <f>AW26/12</f>
        <v>128.125</v>
      </c>
      <c r="AX91" s="14"/>
      <c r="AY91" s="14">
        <f>AY26/12</f>
        <v>442.5</v>
      </c>
      <c r="AZ91" s="14"/>
      <c r="BA91" s="14">
        <f>BA26/12</f>
        <v>133.3333333</v>
      </c>
      <c r="BB91" s="14"/>
      <c r="BC91" s="14">
        <f>BC26/12</f>
        <v>207.5</v>
      </c>
      <c r="BD91" s="14"/>
      <c r="BE91" s="14">
        <f>BE26/12</f>
        <v>194.1666667</v>
      </c>
      <c r="BF91" s="14"/>
      <c r="BG91" s="14">
        <f>BG26/12</f>
        <v>150</v>
      </c>
      <c r="BH91" s="14"/>
      <c r="BI91" s="14">
        <f>BI26/12</f>
        <v>0</v>
      </c>
      <c r="BJ91" s="14"/>
      <c r="BK91" s="14">
        <f>BK26/12</f>
        <v>267.9166667</v>
      </c>
      <c r="BL91" s="14"/>
      <c r="BM91" s="14">
        <f>BM26/12</f>
        <v>112.7083333</v>
      </c>
      <c r="BN91" s="14"/>
      <c r="BO91" s="14">
        <f>BO26/12</f>
        <v>203</v>
      </c>
      <c r="BP91" s="14"/>
      <c r="BQ91" s="14">
        <f>BQ26/12</f>
        <v>264.375</v>
      </c>
      <c r="BR91" s="14"/>
      <c r="BS91" s="14">
        <f>BS26/12</f>
        <v>485.4166667</v>
      </c>
      <c r="BT91" s="14"/>
      <c r="BU91" s="14">
        <f>BU26/12</f>
        <v>508.125</v>
      </c>
      <c r="BV91" s="14"/>
      <c r="BW91" s="14">
        <f>BW26/12</f>
        <v>1121.2875</v>
      </c>
      <c r="BX91" s="14"/>
      <c r="BY91" s="14">
        <f>BY26/12</f>
        <v>872.7083333</v>
      </c>
      <c r="BZ91" s="14"/>
      <c r="CA91" s="14">
        <f>CA26/12</f>
        <v>445.2083333</v>
      </c>
      <c r="CB91" s="14"/>
      <c r="CC91" s="14">
        <f>CC26/12</f>
        <v>621.0416667</v>
      </c>
      <c r="CD91" s="14"/>
      <c r="CE91" s="14">
        <f>CE26/12</f>
        <v>1087.895833</v>
      </c>
      <c r="CF91" s="14"/>
      <c r="CG91" s="14">
        <f>CG26/12</f>
        <v>127.4</v>
      </c>
      <c r="CH91" s="14"/>
      <c r="CI91" s="14">
        <f>CI26/12</f>
        <v>275.8333333</v>
      </c>
      <c r="CJ91" s="14"/>
      <c r="CK91" s="14">
        <f>CK26/12</f>
        <v>708.4366667</v>
      </c>
      <c r="CL91" s="14"/>
      <c r="CM91" s="14"/>
      <c r="CO91" s="42" t="s">
        <v>33</v>
      </c>
      <c r="CP91" s="12" t="b">
        <f t="shared" si="58"/>
        <v>0</v>
      </c>
    </row>
    <row r="92" ht="15.75" customHeight="1">
      <c r="A92" s="17" t="s">
        <v>11</v>
      </c>
      <c r="B92" s="19">
        <f>C31+C92*12</f>
        <v>0.0000000002328306437</v>
      </c>
      <c r="C92" s="9">
        <f t="shared" si="68"/>
        <v>-124793.8333</v>
      </c>
      <c r="D92" s="42" t="s">
        <v>31</v>
      </c>
      <c r="E92" s="14">
        <f t="shared" ref="E92:U92" si="71">IFERROR(-E31/12,0)</f>
        <v>0</v>
      </c>
      <c r="F92" s="14">
        <f t="shared" si="71"/>
        <v>0</v>
      </c>
      <c r="G92" s="14">
        <f t="shared" si="71"/>
        <v>0</v>
      </c>
      <c r="H92" s="14">
        <f t="shared" si="71"/>
        <v>0</v>
      </c>
      <c r="I92" s="14">
        <f t="shared" si="71"/>
        <v>0</v>
      </c>
      <c r="J92" s="14">
        <f t="shared" si="71"/>
        <v>0</v>
      </c>
      <c r="K92" s="14">
        <f t="shared" si="71"/>
        <v>0</v>
      </c>
      <c r="L92" s="14">
        <f t="shared" si="71"/>
        <v>0</v>
      </c>
      <c r="M92" s="14">
        <f t="shared" si="71"/>
        <v>0</v>
      </c>
      <c r="N92" s="14">
        <f t="shared" si="71"/>
        <v>0</v>
      </c>
      <c r="O92" s="14">
        <f t="shared" si="71"/>
        <v>0</v>
      </c>
      <c r="P92" s="14">
        <f t="shared" si="71"/>
        <v>0</v>
      </c>
      <c r="Q92" s="14">
        <f t="shared" si="71"/>
        <v>0</v>
      </c>
      <c r="R92" s="14">
        <f t="shared" si="71"/>
        <v>0</v>
      </c>
      <c r="S92" s="14">
        <f t="shared" si="71"/>
        <v>0</v>
      </c>
      <c r="T92" s="14">
        <f t="shared" si="71"/>
        <v>0</v>
      </c>
      <c r="U92" s="14">
        <f t="shared" si="71"/>
        <v>0</v>
      </c>
      <c r="V92" s="14">
        <v>-62.5</v>
      </c>
      <c r="W92" s="14">
        <f>IFERROR(-W31/12,0)</f>
        <v>0</v>
      </c>
      <c r="X92" s="14">
        <v>-37.5</v>
      </c>
      <c r="Y92" s="14">
        <f>IFERROR(-Y31/12,0)</f>
        <v>0</v>
      </c>
      <c r="Z92" s="14">
        <v>0.0</v>
      </c>
      <c r="AA92" s="14">
        <f>IFERROR(-AA31/12,0)</f>
        <v>-550</v>
      </c>
      <c r="AB92" s="14">
        <v>-75.0</v>
      </c>
      <c r="AC92" s="14">
        <f>IFERROR(-AC31/12,0)</f>
        <v>0</v>
      </c>
      <c r="AD92" s="14">
        <v>-193.75</v>
      </c>
      <c r="AE92" s="14">
        <f>IFERROR(-AE31/12,0)</f>
        <v>0</v>
      </c>
      <c r="AF92" s="14">
        <v>-53.958333333333336</v>
      </c>
      <c r="AG92" s="14">
        <f>IFERROR(-AG31/12,0)</f>
        <v>-416.6666667</v>
      </c>
      <c r="AH92" s="14">
        <v>0.0</v>
      </c>
      <c r="AI92" s="14">
        <f>IFERROR(-AI31/12,0)</f>
        <v>-666.6666667</v>
      </c>
      <c r="AJ92" s="14">
        <v>0.0</v>
      </c>
      <c r="AK92" s="14">
        <f>IFERROR(-AK31/12,0)</f>
        <v>-4236.666667</v>
      </c>
      <c r="AL92" s="14">
        <v>0.0</v>
      </c>
      <c r="AM92" s="14">
        <f>IFERROR(-AM31/12,0)</f>
        <v>-1500</v>
      </c>
      <c r="AN92" s="14">
        <v>-1901.937</v>
      </c>
      <c r="AO92" s="14">
        <f>IFERROR(-AO31/12,0)</f>
        <v>0</v>
      </c>
      <c r="AP92" s="14">
        <v>-2058.113756</v>
      </c>
      <c r="AQ92" s="14">
        <f>IFERROR(-AQ31/12,0)</f>
        <v>-1333.333333</v>
      </c>
      <c r="AR92" s="14">
        <v>-2215.1463909280005</v>
      </c>
      <c r="AS92" s="14">
        <f>IFERROR(-AS31/12,0)</f>
        <v>-1750</v>
      </c>
      <c r="AT92" s="14">
        <v>-2239.8403813837926</v>
      </c>
      <c r="AU92" s="14">
        <f>IFERROR(-AU31/12,0)</f>
        <v>-1666.666667</v>
      </c>
      <c r="AV92" s="14">
        <v>-2429.688380771904</v>
      </c>
      <c r="AW92" s="14">
        <f>IFERROR(-AW31/12,0)</f>
        <v>-833.3333333</v>
      </c>
      <c r="AX92" s="14">
        <v>-2629.538432254247</v>
      </c>
      <c r="AY92" s="14">
        <f>IFERROR(-AY31/12,0)</f>
        <v>0</v>
      </c>
      <c r="AZ92" s="14">
        <v>-2045.9957217750969</v>
      </c>
      <c r="BA92" s="14">
        <f>IFERROR(-BA31/12,0)</f>
        <v>-1375</v>
      </c>
      <c r="BB92" s="14">
        <v>-1411.971447764815</v>
      </c>
      <c r="BC92" s="14">
        <f>IFERROR(-BC31/12,0)</f>
        <v>-2541.666667</v>
      </c>
      <c r="BD92" s="14">
        <v>-1568.3688737555692</v>
      </c>
      <c r="BE92" s="14">
        <f>IFERROR(-BE31/12,0)</f>
        <v>-1166.666667</v>
      </c>
      <c r="BF92" s="14">
        <v>-1717.1375016943114</v>
      </c>
      <c r="BG92" s="14">
        <f>IFERROR(-BG31/12,0)</f>
        <v>-1666.666667</v>
      </c>
      <c r="BH92" s="14">
        <v>-1876.6635702062688</v>
      </c>
      <c r="BI92" s="14">
        <f>IFERROR(-BI31/12,0)</f>
        <v>-3933.333333</v>
      </c>
      <c r="BJ92" s="14">
        <v>-2040.9204563607898</v>
      </c>
      <c r="BK92" s="14">
        <f>IFERROR(-BK31/12,0)</f>
        <v>-5250</v>
      </c>
      <c r="BL92" s="14">
        <v>-1189.8474888806695</v>
      </c>
      <c r="BM92" s="14">
        <f>IFERROR(-BM31/12,0)</f>
        <v>-1108.333333</v>
      </c>
      <c r="BN92" s="14">
        <v>-1259.0447328884807</v>
      </c>
      <c r="BO92" s="14">
        <f>IFERROR(-BO31/12,0)</f>
        <v>-7000</v>
      </c>
      <c r="BP92" s="14">
        <v>-1332.9303368327885</v>
      </c>
      <c r="BQ92" s="14">
        <f>IFERROR(-BQ31/12,0)</f>
        <v>-12655.5</v>
      </c>
      <c r="BR92" s="14">
        <v>-2355.8790129614376</v>
      </c>
      <c r="BS92" s="14">
        <f>IFERROR(-BS31/12,0)</f>
        <v>-5291.666667</v>
      </c>
      <c r="BT92" s="14">
        <v>-2498.1653658774894</v>
      </c>
      <c r="BU92" s="14">
        <f>IFERROR(-BU31/12,0)</f>
        <v>-583.3333333</v>
      </c>
      <c r="BV92" s="14">
        <v>-2637.8908257657035</v>
      </c>
      <c r="BW92" s="14">
        <f>IFERROR(-BW31/12,0)</f>
        <v>-8079.166667</v>
      </c>
      <c r="BX92" s="14">
        <v>-1951.9457197377405</v>
      </c>
      <c r="BY92" s="14">
        <f>IFERROR(-BY31/12,0)</f>
        <v>-4572.5</v>
      </c>
      <c r="BZ92" s="14">
        <v>-2064.631160269831</v>
      </c>
      <c r="CA92" s="14">
        <f>IFERROR(-CA31/12,0)</f>
        <v>-10825.83333</v>
      </c>
      <c r="CB92" s="14">
        <v>-2187.005162449976</v>
      </c>
      <c r="CC92" s="14">
        <f>IFERROR(-CC31/12,0)</f>
        <v>-12362.5</v>
      </c>
      <c r="CD92" s="14">
        <v>-2321.970165172961</v>
      </c>
      <c r="CE92" s="14">
        <f>IFERROR(-CE31/12,0)</f>
        <v>-16840</v>
      </c>
      <c r="CF92" s="14">
        <v>-2453.3261239012886</v>
      </c>
      <c r="CG92" s="14">
        <f>IFERROR(-CG31/12,0)</f>
        <v>-3555</v>
      </c>
      <c r="CH92" s="14">
        <v>-2594.7231564337744</v>
      </c>
      <c r="CI92" s="14">
        <f>IFERROR(-CI31/12,0)</f>
        <v>-7987.5</v>
      </c>
      <c r="CJ92" s="14">
        <v>-2745.3887156737333</v>
      </c>
      <c r="CK92" s="14">
        <f>IFERROR(-CK31/12,0)</f>
        <v>-5045.833333</v>
      </c>
      <c r="CL92" s="14">
        <v>-2905.804168761729</v>
      </c>
      <c r="CM92" s="14">
        <v>-3078.942625666781</v>
      </c>
      <c r="CO92" s="42" t="s">
        <v>34</v>
      </c>
      <c r="CP92" s="12" t="b">
        <f t="shared" si="58"/>
        <v>0</v>
      </c>
    </row>
    <row r="93" ht="15.75" customHeight="1">
      <c r="A93" s="17" t="s">
        <v>42</v>
      </c>
      <c r="B93" s="19">
        <f>C36+C93*12</f>
        <v>0</v>
      </c>
      <c r="C93" s="9">
        <f t="shared" si="68"/>
        <v>-9197.660436</v>
      </c>
      <c r="D93" s="42" t="s">
        <v>32</v>
      </c>
      <c r="E93" s="14">
        <f t="shared" ref="E93:U93" si="72">-E36/12</f>
        <v>0</v>
      </c>
      <c r="F93" s="14">
        <f t="shared" si="72"/>
        <v>0</v>
      </c>
      <c r="G93" s="14">
        <f t="shared" si="72"/>
        <v>0</v>
      </c>
      <c r="H93" s="14">
        <f t="shared" si="72"/>
        <v>0</v>
      </c>
      <c r="I93" s="14">
        <f t="shared" si="72"/>
        <v>0</v>
      </c>
      <c r="J93" s="14">
        <f t="shared" si="72"/>
        <v>0</v>
      </c>
      <c r="K93" s="14">
        <f t="shared" si="72"/>
        <v>0</v>
      </c>
      <c r="L93" s="14">
        <f t="shared" si="72"/>
        <v>0</v>
      </c>
      <c r="M93" s="14">
        <f t="shared" si="72"/>
        <v>0</v>
      </c>
      <c r="N93" s="14">
        <f t="shared" si="72"/>
        <v>0</v>
      </c>
      <c r="O93" s="14">
        <f t="shared" si="72"/>
        <v>0</v>
      </c>
      <c r="P93" s="14">
        <f t="shared" si="72"/>
        <v>0</v>
      </c>
      <c r="Q93" s="14">
        <f t="shared" si="72"/>
        <v>0</v>
      </c>
      <c r="R93" s="14">
        <f t="shared" si="72"/>
        <v>0</v>
      </c>
      <c r="S93" s="14">
        <f t="shared" si="72"/>
        <v>0</v>
      </c>
      <c r="T93" s="14">
        <f t="shared" si="72"/>
        <v>0</v>
      </c>
      <c r="U93" s="14">
        <f t="shared" si="72"/>
        <v>0</v>
      </c>
      <c r="V93" s="14"/>
      <c r="W93" s="14">
        <f>-W36/12</f>
        <v>0</v>
      </c>
      <c r="X93" s="14"/>
      <c r="Y93" s="14">
        <f>-Y36/12</f>
        <v>0</v>
      </c>
      <c r="Z93" s="14"/>
      <c r="AA93" s="14">
        <f>-AA36/12</f>
        <v>0</v>
      </c>
      <c r="AB93" s="14"/>
      <c r="AC93" s="14">
        <f>-AC36/12</f>
        <v>0</v>
      </c>
      <c r="AD93" s="14"/>
      <c r="AE93" s="14">
        <f>-AE36/12</f>
        <v>0</v>
      </c>
      <c r="AF93" s="14"/>
      <c r="AG93" s="14">
        <f>-AG36/12</f>
        <v>0</v>
      </c>
      <c r="AH93" s="14"/>
      <c r="AI93" s="14">
        <f>-AI36/12</f>
        <v>-166.6666667</v>
      </c>
      <c r="AJ93" s="14"/>
      <c r="AK93" s="14">
        <f>-AK36/12</f>
        <v>0</v>
      </c>
      <c r="AL93" s="14"/>
      <c r="AM93" s="14">
        <f>-AM36/12</f>
        <v>0</v>
      </c>
      <c r="AN93" s="14"/>
      <c r="AO93" s="14">
        <f>-AO36/12</f>
        <v>-69.41666667</v>
      </c>
      <c r="AP93" s="14"/>
      <c r="AQ93" s="14">
        <f>-AQ36/12</f>
        <v>0</v>
      </c>
      <c r="AR93" s="14"/>
      <c r="AS93" s="14">
        <f>-AS36/12</f>
        <v>-25</v>
      </c>
      <c r="AT93" s="14"/>
      <c r="AU93" s="14">
        <f>-AU36/12</f>
        <v>0</v>
      </c>
      <c r="AV93" s="14"/>
      <c r="AW93" s="14">
        <f>-AW36/12</f>
        <v>0</v>
      </c>
      <c r="AX93" s="14"/>
      <c r="AY93" s="14">
        <f>-AY36/12</f>
        <v>0</v>
      </c>
      <c r="AZ93" s="14"/>
      <c r="BA93" s="14">
        <f>-BA36/12</f>
        <v>0</v>
      </c>
      <c r="BB93" s="14"/>
      <c r="BC93" s="14">
        <f>-BC36/12</f>
        <v>0</v>
      </c>
      <c r="BD93" s="14"/>
      <c r="BE93" s="14">
        <f>-BE36/12</f>
        <v>0</v>
      </c>
      <c r="BF93" s="14"/>
      <c r="BG93" s="14">
        <f>-BG36/12</f>
        <v>0</v>
      </c>
      <c r="BH93" s="14"/>
      <c r="BI93" s="14">
        <f>-BI36/12</f>
        <v>-375</v>
      </c>
      <c r="BJ93" s="14"/>
      <c r="BK93" s="14">
        <f>-BK36/12</f>
        <v>-166.6666667</v>
      </c>
      <c r="BL93" s="14"/>
      <c r="BM93" s="14">
        <f>-BM36/12</f>
        <v>0</v>
      </c>
      <c r="BN93" s="14"/>
      <c r="BO93" s="14">
        <f>-BO36/12</f>
        <v>0</v>
      </c>
      <c r="BP93" s="14"/>
      <c r="BQ93" s="14">
        <f>-BQ36/12</f>
        <v>-812.5</v>
      </c>
      <c r="BR93" s="14"/>
      <c r="BS93" s="14">
        <f>-BS36/12</f>
        <v>-1050</v>
      </c>
      <c r="BT93" s="14"/>
      <c r="BU93" s="14">
        <f>-BU36/12</f>
        <v>0</v>
      </c>
      <c r="BV93" s="14"/>
      <c r="BW93" s="14">
        <f>-BW36/12</f>
        <v>0</v>
      </c>
      <c r="BX93" s="14"/>
      <c r="BY93" s="14">
        <f>-BY36/12</f>
        <v>-708.3333333</v>
      </c>
      <c r="BZ93" s="14"/>
      <c r="CA93" s="14">
        <f>-CA36/12</f>
        <v>-833.3333333</v>
      </c>
      <c r="CB93" s="14"/>
      <c r="CC93" s="14">
        <f>-CC36/12</f>
        <v>-998.4521027</v>
      </c>
      <c r="CD93" s="14"/>
      <c r="CE93" s="14">
        <f>-CE36/12</f>
        <v>-2441.666667</v>
      </c>
      <c r="CF93" s="14"/>
      <c r="CG93" s="14">
        <f>-CG36/12</f>
        <v>-590.625</v>
      </c>
      <c r="CH93" s="14"/>
      <c r="CI93" s="14">
        <f>-CI36/12</f>
        <v>-250</v>
      </c>
      <c r="CJ93" s="14"/>
      <c r="CK93" s="14">
        <f>-CK36/12</f>
        <v>-710</v>
      </c>
      <c r="CL93" s="14"/>
      <c r="CM93" s="14"/>
      <c r="CO93" s="42" t="s">
        <v>35</v>
      </c>
      <c r="CP93" s="12" t="b">
        <f t="shared" si="58"/>
        <v>0</v>
      </c>
    </row>
    <row r="94" ht="15.75" customHeight="1">
      <c r="C94" s="9">
        <f t="shared" si="68"/>
        <v>-43229.99544</v>
      </c>
      <c r="D94" s="42" t="s">
        <v>33</v>
      </c>
      <c r="E94" s="14">
        <f t="shared" ref="E94:CM94" si="73">SUM(E90:E93)</f>
        <v>0</v>
      </c>
      <c r="F94" s="14">
        <f t="shared" si="73"/>
        <v>0</v>
      </c>
      <c r="G94" s="14">
        <f t="shared" si="73"/>
        <v>0</v>
      </c>
      <c r="H94" s="14">
        <f t="shared" si="73"/>
        <v>0</v>
      </c>
      <c r="I94" s="14">
        <f t="shared" si="73"/>
        <v>0</v>
      </c>
      <c r="J94" s="14">
        <f t="shared" si="73"/>
        <v>0</v>
      </c>
      <c r="K94" s="14">
        <f t="shared" si="73"/>
        <v>0</v>
      </c>
      <c r="L94" s="14">
        <f t="shared" si="73"/>
        <v>0</v>
      </c>
      <c r="M94" s="14">
        <f t="shared" si="73"/>
        <v>0</v>
      </c>
      <c r="N94" s="14">
        <f t="shared" si="73"/>
        <v>0</v>
      </c>
      <c r="O94" s="14">
        <f t="shared" si="73"/>
        <v>0</v>
      </c>
      <c r="P94" s="14">
        <f t="shared" si="73"/>
        <v>0</v>
      </c>
      <c r="Q94" s="14">
        <f t="shared" si="73"/>
        <v>0</v>
      </c>
      <c r="R94" s="14">
        <f t="shared" si="73"/>
        <v>0</v>
      </c>
      <c r="S94" s="14">
        <f t="shared" si="73"/>
        <v>0</v>
      </c>
      <c r="T94" s="14">
        <f t="shared" si="73"/>
        <v>0</v>
      </c>
      <c r="U94" s="14">
        <f t="shared" si="73"/>
        <v>500</v>
      </c>
      <c r="V94" s="14">
        <f t="shared" si="73"/>
        <v>-41.66666667</v>
      </c>
      <c r="W94" s="14">
        <f t="shared" si="73"/>
        <v>0</v>
      </c>
      <c r="X94" s="14">
        <f t="shared" si="73"/>
        <v>-24.0625</v>
      </c>
      <c r="Y94" s="14">
        <f t="shared" si="73"/>
        <v>0</v>
      </c>
      <c r="Z94" s="14">
        <f t="shared" si="73"/>
        <v>0</v>
      </c>
      <c r="AA94" s="14">
        <f t="shared" si="73"/>
        <v>-133.3333333</v>
      </c>
      <c r="AB94" s="14">
        <f t="shared" si="73"/>
        <v>-43.94257813</v>
      </c>
      <c r="AC94" s="14">
        <f t="shared" si="73"/>
        <v>833.3333333</v>
      </c>
      <c r="AD94" s="14">
        <f t="shared" si="73"/>
        <v>-107.5009513</v>
      </c>
      <c r="AE94" s="14">
        <f t="shared" si="73"/>
        <v>2183.333333</v>
      </c>
      <c r="AF94" s="14">
        <f t="shared" si="73"/>
        <v>23.50583239</v>
      </c>
      <c r="AG94" s="14">
        <f t="shared" si="73"/>
        <v>-333.3333333</v>
      </c>
      <c r="AH94" s="14">
        <f t="shared" si="73"/>
        <v>0</v>
      </c>
      <c r="AI94" s="14">
        <f t="shared" si="73"/>
        <v>-708.3333333</v>
      </c>
      <c r="AJ94" s="14">
        <f t="shared" si="73"/>
        <v>0</v>
      </c>
      <c r="AK94" s="14">
        <f t="shared" si="73"/>
        <v>-3903.333333</v>
      </c>
      <c r="AL94" s="14">
        <f t="shared" si="73"/>
        <v>0</v>
      </c>
      <c r="AM94" s="14">
        <f t="shared" si="73"/>
        <v>-1158.333333</v>
      </c>
      <c r="AN94" s="14">
        <f t="shared" si="73"/>
        <v>-1235.270333</v>
      </c>
      <c r="AO94" s="14">
        <f t="shared" si="73"/>
        <v>1847.25</v>
      </c>
      <c r="AP94" s="14">
        <f t="shared" si="73"/>
        <v>-1366.447089</v>
      </c>
      <c r="AQ94" s="14">
        <f t="shared" si="73"/>
        <v>-833.3333333</v>
      </c>
      <c r="AR94" s="14">
        <f t="shared" si="73"/>
        <v>-1497.479724</v>
      </c>
      <c r="AS94" s="14">
        <f t="shared" si="73"/>
        <v>-650</v>
      </c>
      <c r="AT94" s="14">
        <f t="shared" si="73"/>
        <v>-1495.131215</v>
      </c>
      <c r="AU94" s="14">
        <f t="shared" si="73"/>
        <v>-56.25</v>
      </c>
      <c r="AV94" s="14">
        <f t="shared" si="73"/>
        <v>-1656.849814</v>
      </c>
      <c r="AW94" s="14">
        <f t="shared" si="73"/>
        <v>1503.125</v>
      </c>
      <c r="AX94" s="14">
        <f t="shared" si="73"/>
        <v>-1827.437177</v>
      </c>
      <c r="AY94" s="14">
        <f t="shared" si="73"/>
        <v>2526.333333</v>
      </c>
      <c r="AZ94" s="14">
        <f t="shared" si="73"/>
        <v>-878.4261112</v>
      </c>
      <c r="BA94" s="14">
        <f t="shared" si="73"/>
        <v>2883.333333</v>
      </c>
      <c r="BB94" s="14">
        <f t="shared" si="73"/>
        <v>-195.9737925</v>
      </c>
      <c r="BC94" s="14">
        <f t="shared" si="73"/>
        <v>-250.8333333</v>
      </c>
      <c r="BD94" s="14">
        <f t="shared" si="73"/>
        <v>-301.8202846</v>
      </c>
      <c r="BE94" s="14">
        <f t="shared" si="73"/>
        <v>844.1666667</v>
      </c>
      <c r="BF94" s="14">
        <f t="shared" si="73"/>
        <v>-9.985846448</v>
      </c>
      <c r="BG94" s="14">
        <f t="shared" si="73"/>
        <v>2441.666667</v>
      </c>
      <c r="BH94" s="14">
        <f t="shared" si="73"/>
        <v>-95.02744206</v>
      </c>
      <c r="BI94" s="14">
        <f t="shared" si="73"/>
        <v>-3683.333333</v>
      </c>
      <c r="BJ94" s="14">
        <f t="shared" si="73"/>
        <v>395.3622878</v>
      </c>
      <c r="BK94" s="14">
        <f t="shared" si="73"/>
        <v>-3313.896667</v>
      </c>
      <c r="BL94" s="14">
        <f t="shared" si="73"/>
        <v>491.8642228</v>
      </c>
      <c r="BM94" s="14">
        <f t="shared" si="73"/>
        <v>-787.2916667</v>
      </c>
      <c r="BN94" s="14">
        <f t="shared" si="73"/>
        <v>765.0634833</v>
      </c>
      <c r="BO94" s="14">
        <f t="shared" si="73"/>
        <v>-4713.666667</v>
      </c>
      <c r="BP94" s="14">
        <f t="shared" si="73"/>
        <v>1035.613627</v>
      </c>
      <c r="BQ94" s="14">
        <f t="shared" si="73"/>
        <v>-6599.458333</v>
      </c>
      <c r="BR94" s="14">
        <f t="shared" si="73"/>
        <v>19.77058321</v>
      </c>
      <c r="BS94" s="14">
        <f t="shared" si="73"/>
        <v>-4472.916667</v>
      </c>
      <c r="BT94" s="14">
        <f t="shared" si="73"/>
        <v>565.4044776</v>
      </c>
      <c r="BU94" s="14">
        <f t="shared" si="73"/>
        <v>1487.291667</v>
      </c>
      <c r="BV94" s="14">
        <f t="shared" si="73"/>
        <v>434.8697273</v>
      </c>
      <c r="BW94" s="14">
        <f t="shared" si="73"/>
        <v>-1416.2125</v>
      </c>
      <c r="BX94" s="14">
        <f t="shared" si="73"/>
        <v>1814.9173</v>
      </c>
      <c r="BY94" s="14">
        <f t="shared" si="73"/>
        <v>-133.5416667</v>
      </c>
      <c r="BZ94" s="14">
        <f t="shared" si="73"/>
        <v>2057.001868</v>
      </c>
      <c r="CA94" s="14">
        <f t="shared" si="73"/>
        <v>-7580.625</v>
      </c>
      <c r="CB94" s="14">
        <f t="shared" si="73"/>
        <v>2980.492247</v>
      </c>
      <c r="CC94" s="14">
        <f t="shared" si="73"/>
        <v>-5991.993769</v>
      </c>
      <c r="CD94" s="14">
        <f t="shared" si="73"/>
        <v>2861.029736</v>
      </c>
      <c r="CE94" s="14">
        <f t="shared" si="73"/>
        <v>-13156.27083</v>
      </c>
      <c r="CF94" s="14">
        <f t="shared" si="73"/>
        <v>3784.932557</v>
      </c>
      <c r="CG94" s="14">
        <f t="shared" si="73"/>
        <v>1165.108333</v>
      </c>
      <c r="CH94" s="14">
        <f t="shared" si="73"/>
        <v>4357.469574</v>
      </c>
      <c r="CI94" s="14">
        <f t="shared" si="73"/>
        <v>-3328.333333</v>
      </c>
      <c r="CJ94" s="14">
        <f t="shared" si="73"/>
        <v>4924.965524</v>
      </c>
      <c r="CK94" s="14">
        <f t="shared" si="73"/>
        <v>1759.686667</v>
      </c>
      <c r="CL94" s="14">
        <f t="shared" si="73"/>
        <v>6186.354825</v>
      </c>
      <c r="CM94" s="14">
        <f t="shared" si="73"/>
        <v>7443.482917</v>
      </c>
      <c r="CO94" s="44" t="s">
        <v>36</v>
      </c>
      <c r="CP94" s="12" t="b">
        <f t="shared" si="58"/>
        <v>0</v>
      </c>
    </row>
    <row r="95" ht="15.75" customHeight="1">
      <c r="B95" s="49">
        <f>C95*12</f>
        <v>146449003.2</v>
      </c>
      <c r="C95" s="9">
        <f t="shared" si="68"/>
        <v>12204083.6</v>
      </c>
      <c r="D95" s="42" t="s">
        <v>34</v>
      </c>
      <c r="E95" s="14">
        <f t="shared" ref="E95:CM95" si="74">E88+E89+E94</f>
        <v>0</v>
      </c>
      <c r="F95" s="14">
        <f t="shared" si="74"/>
        <v>666.6666667</v>
      </c>
      <c r="G95" s="14">
        <f t="shared" si="74"/>
        <v>1083.333333</v>
      </c>
      <c r="H95" s="14">
        <f t="shared" si="74"/>
        <v>1083.333333</v>
      </c>
      <c r="I95" s="14">
        <f t="shared" si="74"/>
        <v>1083.333333</v>
      </c>
      <c r="J95" s="14">
        <f t="shared" si="74"/>
        <v>1083.333333</v>
      </c>
      <c r="K95" s="14">
        <f t="shared" si="74"/>
        <v>1833.333333</v>
      </c>
      <c r="L95" s="14">
        <f t="shared" si="74"/>
        <v>2375</v>
      </c>
      <c r="M95" s="14">
        <f t="shared" si="74"/>
        <v>2375</v>
      </c>
      <c r="N95" s="14">
        <f t="shared" si="74"/>
        <v>3000</v>
      </c>
      <c r="O95" s="14">
        <f t="shared" si="74"/>
        <v>4625</v>
      </c>
      <c r="P95" s="14">
        <f t="shared" si="74"/>
        <v>6075</v>
      </c>
      <c r="Q95" s="14">
        <f t="shared" si="74"/>
        <v>8158.333333</v>
      </c>
      <c r="R95" s="14">
        <f t="shared" si="74"/>
        <v>11983.33333</v>
      </c>
      <c r="S95" s="14">
        <f t="shared" si="74"/>
        <v>13700</v>
      </c>
      <c r="T95" s="14">
        <f t="shared" si="74"/>
        <v>16491.66667</v>
      </c>
      <c r="U95" s="14">
        <f t="shared" si="74"/>
        <v>28455</v>
      </c>
      <c r="V95" s="14">
        <f t="shared" si="74"/>
        <v>41601.305</v>
      </c>
      <c r="W95" s="14">
        <f t="shared" si="74"/>
        <v>37538.33333</v>
      </c>
      <c r="X95" s="14">
        <f t="shared" si="74"/>
        <v>54468.26288</v>
      </c>
      <c r="Y95" s="14">
        <f t="shared" si="74"/>
        <v>47404.16667</v>
      </c>
      <c r="Z95" s="14">
        <f t="shared" si="74"/>
        <v>67839.12271</v>
      </c>
      <c r="AA95" s="14">
        <f t="shared" si="74"/>
        <v>66000</v>
      </c>
      <c r="AB95" s="14">
        <f t="shared" si="74"/>
        <v>80789.50479</v>
      </c>
      <c r="AC95" s="14">
        <f t="shared" si="74"/>
        <v>77083.33333</v>
      </c>
      <c r="AD95" s="14">
        <f t="shared" si="74"/>
        <v>95926.50093</v>
      </c>
      <c r="AE95" s="14">
        <f t="shared" si="74"/>
        <v>91589.58333</v>
      </c>
      <c r="AF95" s="14">
        <f t="shared" si="74"/>
        <v>113990.4916</v>
      </c>
      <c r="AG95" s="14">
        <f t="shared" si="74"/>
        <v>112796.25</v>
      </c>
      <c r="AH95" s="14">
        <f t="shared" si="74"/>
        <v>132679.4531</v>
      </c>
      <c r="AI95" s="14">
        <f t="shared" si="74"/>
        <v>127112.9167</v>
      </c>
      <c r="AJ95" s="14">
        <f t="shared" si="74"/>
        <v>154396.1495</v>
      </c>
      <c r="AK95" s="14">
        <f t="shared" si="74"/>
        <v>136276.25</v>
      </c>
      <c r="AL95" s="14">
        <f t="shared" si="74"/>
        <v>178881.8372</v>
      </c>
      <c r="AM95" s="14">
        <f t="shared" si="74"/>
        <v>152842.9167</v>
      </c>
      <c r="AN95" s="14">
        <f t="shared" si="74"/>
        <v>171509.4797</v>
      </c>
      <c r="AO95" s="14">
        <f t="shared" si="74"/>
        <v>162023.5</v>
      </c>
      <c r="AP95" s="14">
        <f t="shared" si="74"/>
        <v>184595.5326</v>
      </c>
      <c r="AQ95" s="14">
        <f t="shared" si="74"/>
        <v>173700.1667</v>
      </c>
      <c r="AR95" s="14">
        <f t="shared" si="74"/>
        <v>203621.8529</v>
      </c>
      <c r="AS95" s="14">
        <f t="shared" si="74"/>
        <v>190366.8333</v>
      </c>
      <c r="AT95" s="14">
        <f t="shared" si="74"/>
        <v>220880.7619</v>
      </c>
      <c r="AU95" s="14">
        <f t="shared" si="74"/>
        <v>204393.9167</v>
      </c>
      <c r="AV95" s="14">
        <f t="shared" si="74"/>
        <v>239048.9484</v>
      </c>
      <c r="AW95" s="14">
        <f t="shared" si="74"/>
        <v>229847.0417</v>
      </c>
      <c r="AX95" s="14">
        <f t="shared" si="74"/>
        <v>255749.4652</v>
      </c>
      <c r="AY95" s="14">
        <f t="shared" si="74"/>
        <v>257085.875</v>
      </c>
      <c r="AZ95" s="14">
        <f t="shared" si="74"/>
        <v>282394.2896</v>
      </c>
      <c r="BA95" s="14">
        <f t="shared" si="74"/>
        <v>276796.9858</v>
      </c>
      <c r="BB95" s="14">
        <f t="shared" si="74"/>
        <v>313673.7748</v>
      </c>
      <c r="BC95" s="14">
        <f t="shared" si="74"/>
        <v>295241.9858</v>
      </c>
      <c r="BD95" s="14">
        <f t="shared" si="74"/>
        <v>343427.5003</v>
      </c>
      <c r="BE95" s="14">
        <f t="shared" si="74"/>
        <v>318794.4858</v>
      </c>
      <c r="BF95" s="14">
        <f t="shared" si="74"/>
        <v>375332.714</v>
      </c>
      <c r="BG95" s="14">
        <f t="shared" si="74"/>
        <v>338823.6525</v>
      </c>
      <c r="BH95" s="14">
        <f t="shared" si="74"/>
        <v>408184.0913</v>
      </c>
      <c r="BI95" s="14">
        <f t="shared" si="74"/>
        <v>363512.5692</v>
      </c>
      <c r="BJ95" s="14">
        <f t="shared" si="74"/>
        <v>445075.8164</v>
      </c>
      <c r="BK95" s="14">
        <f t="shared" si="74"/>
        <v>394182.0058</v>
      </c>
      <c r="BL95" s="14">
        <f t="shared" si="74"/>
        <v>419681.5776</v>
      </c>
      <c r="BM95" s="14">
        <f t="shared" si="74"/>
        <v>419730.4642</v>
      </c>
      <c r="BN95" s="14">
        <f t="shared" si="74"/>
        <v>444310.1123</v>
      </c>
      <c r="BO95" s="14">
        <f t="shared" si="74"/>
        <v>458529.7975</v>
      </c>
      <c r="BP95" s="14">
        <f t="shared" si="74"/>
        <v>471175.8026</v>
      </c>
      <c r="BQ95" s="14">
        <f t="shared" si="74"/>
        <v>485963.6725</v>
      </c>
      <c r="BR95" s="14">
        <f t="shared" si="74"/>
        <v>499633.0732</v>
      </c>
      <c r="BS95" s="14">
        <f t="shared" si="74"/>
        <v>507449.0892</v>
      </c>
      <c r="BT95" s="14">
        <f t="shared" si="74"/>
        <v>527578.1652</v>
      </c>
      <c r="BU95" s="14">
        <f t="shared" si="74"/>
        <v>539814.7142</v>
      </c>
      <c r="BV95" s="14">
        <f t="shared" si="74"/>
        <v>557698.7771</v>
      </c>
      <c r="BW95" s="14">
        <f t="shared" si="74"/>
        <v>586032.9183</v>
      </c>
      <c r="BX95" s="14">
        <f t="shared" si="74"/>
        <v>589894.6172</v>
      </c>
      <c r="BY95" s="14">
        <f t="shared" si="74"/>
        <v>617153.1267</v>
      </c>
      <c r="BZ95" s="14">
        <f t="shared" si="74"/>
        <v>624858.6178</v>
      </c>
      <c r="CA95" s="14">
        <f t="shared" si="74"/>
        <v>652079.1683</v>
      </c>
      <c r="CB95" s="14">
        <f t="shared" si="74"/>
        <v>663420.0472</v>
      </c>
      <c r="CC95" s="14">
        <f t="shared" si="74"/>
        <v>682108.4246</v>
      </c>
      <c r="CD95" s="14">
        <f t="shared" si="74"/>
        <v>700950.3211</v>
      </c>
      <c r="CE95" s="14">
        <f t="shared" si="74"/>
        <v>713855.4871</v>
      </c>
      <c r="CF95" s="14">
        <f t="shared" si="74"/>
        <v>741349.4733</v>
      </c>
      <c r="CG95" s="14">
        <f t="shared" si="74"/>
        <v>755513.9287</v>
      </c>
      <c r="CH95" s="14">
        <f t="shared" si="74"/>
        <v>784396.7759</v>
      </c>
      <c r="CI95" s="14">
        <f t="shared" si="74"/>
        <v>799383.5121</v>
      </c>
      <c r="CJ95" s="14">
        <f t="shared" si="74"/>
        <v>830229.7625</v>
      </c>
      <c r="CK95" s="14">
        <f t="shared" si="74"/>
        <v>828984.8654</v>
      </c>
      <c r="CL95" s="14">
        <f t="shared" si="74"/>
        <v>879697.893</v>
      </c>
      <c r="CM95" s="14">
        <f t="shared" si="74"/>
        <v>934057.689</v>
      </c>
      <c r="CO95" s="44" t="s">
        <v>37</v>
      </c>
      <c r="CP95" s="12" t="b">
        <f t="shared" si="58"/>
        <v>0</v>
      </c>
    </row>
    <row r="96" ht="15.75" customHeight="1">
      <c r="A96" s="19"/>
      <c r="B96" s="43">
        <f>B95-C96</f>
        <v>0.00000005960464478</v>
      </c>
      <c r="C96" s="9">
        <f t="shared" si="68"/>
        <v>146449003.2</v>
      </c>
      <c r="D96" s="42" t="s">
        <v>35</v>
      </c>
      <c r="E96" s="14">
        <f t="shared" ref="E96:CM96" si="75">E95*12</f>
        <v>0</v>
      </c>
      <c r="F96" s="14">
        <f t="shared" si="75"/>
        <v>8000</v>
      </c>
      <c r="G96" s="14">
        <f t="shared" si="75"/>
        <v>13000</v>
      </c>
      <c r="H96" s="14">
        <f t="shared" si="75"/>
        <v>13000</v>
      </c>
      <c r="I96" s="14">
        <f t="shared" si="75"/>
        <v>13000</v>
      </c>
      <c r="J96" s="14">
        <f t="shared" si="75"/>
        <v>13000</v>
      </c>
      <c r="K96" s="14">
        <f t="shared" si="75"/>
        <v>22000</v>
      </c>
      <c r="L96" s="14">
        <f t="shared" si="75"/>
        <v>28500</v>
      </c>
      <c r="M96" s="14">
        <f t="shared" si="75"/>
        <v>28500</v>
      </c>
      <c r="N96" s="14">
        <f t="shared" si="75"/>
        <v>36000</v>
      </c>
      <c r="O96" s="14">
        <f t="shared" si="75"/>
        <v>55500</v>
      </c>
      <c r="P96" s="14">
        <f t="shared" si="75"/>
        <v>72900</v>
      </c>
      <c r="Q96" s="14">
        <f t="shared" si="75"/>
        <v>97900</v>
      </c>
      <c r="R96" s="14">
        <f t="shared" si="75"/>
        <v>143800</v>
      </c>
      <c r="S96" s="14">
        <f t="shared" si="75"/>
        <v>164400</v>
      </c>
      <c r="T96" s="14">
        <f t="shared" si="75"/>
        <v>197900</v>
      </c>
      <c r="U96" s="14">
        <f t="shared" si="75"/>
        <v>341460</v>
      </c>
      <c r="V96" s="14">
        <f t="shared" si="75"/>
        <v>499215.66</v>
      </c>
      <c r="W96" s="14">
        <f t="shared" si="75"/>
        <v>450460</v>
      </c>
      <c r="X96" s="14">
        <f t="shared" si="75"/>
        <v>653619.1545</v>
      </c>
      <c r="Y96" s="10">
        <f t="shared" si="75"/>
        <v>568850</v>
      </c>
      <c r="Z96" s="14">
        <f t="shared" si="75"/>
        <v>814069.4725</v>
      </c>
      <c r="AA96" s="10">
        <f t="shared" si="75"/>
        <v>792000</v>
      </c>
      <c r="AB96" s="14">
        <f t="shared" si="75"/>
        <v>969474.0574</v>
      </c>
      <c r="AC96" s="50">
        <f t="shared" si="75"/>
        <v>925000</v>
      </c>
      <c r="AD96" s="14">
        <f t="shared" si="75"/>
        <v>1151118.011</v>
      </c>
      <c r="AE96" s="50">
        <f t="shared" si="75"/>
        <v>1099075</v>
      </c>
      <c r="AF96" s="14">
        <f t="shared" si="75"/>
        <v>1367885.899</v>
      </c>
      <c r="AG96" s="50">
        <f t="shared" si="75"/>
        <v>1353555</v>
      </c>
      <c r="AH96" s="14">
        <f t="shared" si="75"/>
        <v>1592153.437</v>
      </c>
      <c r="AI96" s="50">
        <f t="shared" si="75"/>
        <v>1525355</v>
      </c>
      <c r="AJ96" s="14">
        <f t="shared" si="75"/>
        <v>1852753.794</v>
      </c>
      <c r="AK96" s="50">
        <f t="shared" si="75"/>
        <v>1635315</v>
      </c>
      <c r="AL96" s="14">
        <f t="shared" si="75"/>
        <v>2146582.046</v>
      </c>
      <c r="AM96" s="50">
        <f t="shared" si="75"/>
        <v>1834115</v>
      </c>
      <c r="AN96" s="14">
        <f t="shared" si="75"/>
        <v>2058113.756</v>
      </c>
      <c r="AO96" s="50">
        <f t="shared" si="75"/>
        <v>1944282</v>
      </c>
      <c r="AP96" s="14">
        <f t="shared" si="75"/>
        <v>2215146.391</v>
      </c>
      <c r="AQ96" s="50">
        <f t="shared" si="75"/>
        <v>2084402</v>
      </c>
      <c r="AR96" s="14">
        <f t="shared" si="75"/>
        <v>2443462.234</v>
      </c>
      <c r="AS96" s="50">
        <f t="shared" si="75"/>
        <v>2284402</v>
      </c>
      <c r="AT96" s="14">
        <f t="shared" si="75"/>
        <v>2650569.143</v>
      </c>
      <c r="AU96" s="50">
        <f t="shared" si="75"/>
        <v>2452727</v>
      </c>
      <c r="AV96" s="14">
        <f t="shared" si="75"/>
        <v>2868587.381</v>
      </c>
      <c r="AW96" s="50">
        <f t="shared" si="75"/>
        <v>2758164.5</v>
      </c>
      <c r="AX96" s="14">
        <f t="shared" si="75"/>
        <v>3068993.583</v>
      </c>
      <c r="AY96" s="50">
        <f t="shared" si="75"/>
        <v>3085030.5</v>
      </c>
      <c r="AZ96" s="14">
        <f t="shared" si="75"/>
        <v>3388731.475</v>
      </c>
      <c r="BA96" s="50">
        <f t="shared" si="75"/>
        <v>3321563.83</v>
      </c>
      <c r="BB96" s="14">
        <f t="shared" si="75"/>
        <v>3764085.297</v>
      </c>
      <c r="BC96" s="50">
        <f t="shared" si="75"/>
        <v>3542903.83</v>
      </c>
      <c r="BD96" s="14">
        <f t="shared" si="75"/>
        <v>4121130.004</v>
      </c>
      <c r="BE96" s="50">
        <f t="shared" si="75"/>
        <v>3825533.83</v>
      </c>
      <c r="BF96" s="14">
        <f t="shared" si="75"/>
        <v>4503992.568</v>
      </c>
      <c r="BG96" s="50">
        <f t="shared" si="75"/>
        <v>4065883.83</v>
      </c>
      <c r="BH96" s="14">
        <f t="shared" si="75"/>
        <v>4898209.095</v>
      </c>
      <c r="BI96" s="50">
        <f t="shared" si="75"/>
        <v>4362150.83</v>
      </c>
      <c r="BJ96" s="14">
        <f t="shared" si="75"/>
        <v>5340909.797</v>
      </c>
      <c r="BK96" s="50">
        <f t="shared" si="75"/>
        <v>4730184.07</v>
      </c>
      <c r="BL96" s="14">
        <f t="shared" si="75"/>
        <v>5036178.932</v>
      </c>
      <c r="BM96" s="50">
        <f t="shared" si="75"/>
        <v>5036765.57</v>
      </c>
      <c r="BN96" s="14">
        <f t="shared" si="75"/>
        <v>5331721.347</v>
      </c>
      <c r="BO96" s="50">
        <f t="shared" si="75"/>
        <v>5502357.57</v>
      </c>
      <c r="BP96" s="14">
        <f t="shared" si="75"/>
        <v>5654109.631</v>
      </c>
      <c r="BQ96" s="50">
        <f t="shared" si="75"/>
        <v>5831564.07</v>
      </c>
      <c r="BR96" s="14">
        <f t="shared" si="75"/>
        <v>5995596.878</v>
      </c>
      <c r="BS96" s="50">
        <f t="shared" si="75"/>
        <v>6089389.07</v>
      </c>
      <c r="BT96" s="14">
        <f t="shared" si="75"/>
        <v>6330937.982</v>
      </c>
      <c r="BU96" s="50">
        <f t="shared" si="75"/>
        <v>6477776.57</v>
      </c>
      <c r="BV96" s="14">
        <f t="shared" si="75"/>
        <v>6692385.325</v>
      </c>
      <c r="BW96" s="50">
        <f t="shared" si="75"/>
        <v>7032395.02</v>
      </c>
      <c r="BX96" s="14">
        <f t="shared" si="75"/>
        <v>7078735.407</v>
      </c>
      <c r="BY96" s="50">
        <f t="shared" si="75"/>
        <v>7405837.52</v>
      </c>
      <c r="BZ96" s="14">
        <f t="shared" si="75"/>
        <v>7498303.414</v>
      </c>
      <c r="CA96" s="50">
        <f t="shared" si="75"/>
        <v>7824950.02</v>
      </c>
      <c r="CB96" s="14">
        <f t="shared" si="75"/>
        <v>7961040.566</v>
      </c>
      <c r="CC96" s="50">
        <f t="shared" si="75"/>
        <v>8185301.095</v>
      </c>
      <c r="CD96" s="14">
        <f t="shared" si="75"/>
        <v>8411403.853</v>
      </c>
      <c r="CE96" s="50">
        <f t="shared" si="75"/>
        <v>8566265.845</v>
      </c>
      <c r="CF96" s="14">
        <f t="shared" si="75"/>
        <v>8896193.679</v>
      </c>
      <c r="CG96" s="50">
        <f t="shared" si="75"/>
        <v>9066167.145</v>
      </c>
      <c r="CH96" s="14">
        <f t="shared" si="75"/>
        <v>9412761.311</v>
      </c>
      <c r="CI96" s="50">
        <f t="shared" si="75"/>
        <v>9592602.145</v>
      </c>
      <c r="CJ96" s="14">
        <f t="shared" si="75"/>
        <v>9962757.15</v>
      </c>
      <c r="CK96" s="50">
        <f t="shared" si="75"/>
        <v>9947818.385</v>
      </c>
      <c r="CL96" s="14">
        <f t="shared" si="75"/>
        <v>10556374.72</v>
      </c>
      <c r="CM96" s="14">
        <f t="shared" si="75"/>
        <v>11208692.27</v>
      </c>
      <c r="CO96" s="44" t="s">
        <v>38</v>
      </c>
      <c r="CP96" s="12" t="b">
        <f t="shared" si="58"/>
        <v>0</v>
      </c>
    </row>
    <row r="97" ht="15.75" customHeight="1">
      <c r="C97" s="4"/>
      <c r="D97" s="44" t="s">
        <v>36</v>
      </c>
      <c r="E97" s="46">
        <f t="shared" ref="E97:CM97" si="76">IFERROR(E90/E$88,0)</f>
        <v>0</v>
      </c>
      <c r="F97" s="46">
        <f t="shared" si="76"/>
        <v>0</v>
      </c>
      <c r="G97" s="46">
        <f t="shared" si="76"/>
        <v>0</v>
      </c>
      <c r="H97" s="46">
        <f t="shared" si="76"/>
        <v>0</v>
      </c>
      <c r="I97" s="46">
        <f t="shared" si="76"/>
        <v>0</v>
      </c>
      <c r="J97" s="46">
        <f t="shared" si="76"/>
        <v>0</v>
      </c>
      <c r="K97" s="46">
        <f t="shared" si="76"/>
        <v>0</v>
      </c>
      <c r="L97" s="46">
        <f t="shared" si="76"/>
        <v>0</v>
      </c>
      <c r="M97" s="46">
        <f t="shared" si="76"/>
        <v>0</v>
      </c>
      <c r="N97" s="46">
        <f t="shared" si="76"/>
        <v>0</v>
      </c>
      <c r="O97" s="46">
        <f t="shared" si="76"/>
        <v>0</v>
      </c>
      <c r="P97" s="46">
        <f t="shared" si="76"/>
        <v>0</v>
      </c>
      <c r="Q97" s="46">
        <f t="shared" si="76"/>
        <v>0</v>
      </c>
      <c r="R97" s="46">
        <f t="shared" si="76"/>
        <v>0</v>
      </c>
      <c r="S97" s="46">
        <f t="shared" si="76"/>
        <v>0</v>
      </c>
      <c r="T97" s="46">
        <f t="shared" si="76"/>
        <v>0</v>
      </c>
      <c r="U97" s="46">
        <f t="shared" si="76"/>
        <v>0.0303183426</v>
      </c>
      <c r="V97" s="46">
        <f t="shared" si="76"/>
        <v>0.0007321501786</v>
      </c>
      <c r="W97" s="46">
        <f t="shared" si="76"/>
        <v>0</v>
      </c>
      <c r="X97" s="46">
        <f t="shared" si="76"/>
        <v>0.0003230066941</v>
      </c>
      <c r="Y97" s="46">
        <f t="shared" si="76"/>
        <v>0</v>
      </c>
      <c r="Z97" s="46">
        <f t="shared" si="76"/>
        <v>0</v>
      </c>
      <c r="AA97" s="46">
        <f t="shared" si="76"/>
        <v>0.006152764349</v>
      </c>
      <c r="AB97" s="46">
        <f t="shared" si="76"/>
        <v>0.0004578098984</v>
      </c>
      <c r="AC97" s="46">
        <f t="shared" si="76"/>
        <v>0.01262626263</v>
      </c>
      <c r="AD97" s="46">
        <f t="shared" si="76"/>
        <v>0.00106757739</v>
      </c>
      <c r="AE97" s="46">
        <f t="shared" si="76"/>
        <v>0.02832432432</v>
      </c>
      <c r="AF97" s="46">
        <f t="shared" si="76"/>
        <v>0.0008075366554</v>
      </c>
      <c r="AG97" s="46">
        <f t="shared" si="76"/>
        <v>0.0009098560153</v>
      </c>
      <c r="AH97" s="46">
        <f t="shared" si="76"/>
        <v>0</v>
      </c>
      <c r="AI97" s="46">
        <f t="shared" si="76"/>
        <v>0.00110819287</v>
      </c>
      <c r="AJ97" s="46">
        <f t="shared" si="76"/>
        <v>0</v>
      </c>
      <c r="AK97" s="46">
        <f t="shared" si="76"/>
        <v>0.002622340373</v>
      </c>
      <c r="AL97" s="46">
        <f t="shared" si="76"/>
        <v>0</v>
      </c>
      <c r="AM97" s="46">
        <f t="shared" si="76"/>
        <v>0.002507162229</v>
      </c>
      <c r="AN97" s="46">
        <f t="shared" si="76"/>
        <v>0.004206238167</v>
      </c>
      <c r="AO97" s="46">
        <f t="shared" si="76"/>
        <v>0.0125401079</v>
      </c>
      <c r="AP97" s="46">
        <f t="shared" si="76"/>
        <v>0.004032818874</v>
      </c>
      <c r="AQ97" s="46">
        <f t="shared" si="76"/>
        <v>0.003085972097</v>
      </c>
      <c r="AR97" s="46">
        <f t="shared" si="76"/>
        <v>0.003887779171</v>
      </c>
      <c r="AS97" s="46">
        <f t="shared" si="76"/>
        <v>0.006476677723</v>
      </c>
      <c r="AT97" s="46">
        <f t="shared" si="76"/>
        <v>0.003657314558</v>
      </c>
      <c r="AU97" s="46">
        <f t="shared" si="76"/>
        <v>0.007441772508</v>
      </c>
      <c r="AV97" s="46">
        <f t="shared" si="76"/>
        <v>0.003498894879</v>
      </c>
      <c r="AW97" s="46">
        <f t="shared" si="76"/>
        <v>0.01080430068</v>
      </c>
      <c r="AX97" s="46">
        <f t="shared" si="76"/>
        <v>0.003355384997</v>
      </c>
      <c r="AY97" s="46">
        <f t="shared" si="76"/>
        <v>0.009066174262</v>
      </c>
      <c r="AZ97" s="46">
        <f t="shared" si="76"/>
        <v>0.004565286616</v>
      </c>
      <c r="BA97" s="46">
        <f t="shared" si="76"/>
        <v>0.01604522224</v>
      </c>
      <c r="BB97" s="46">
        <f t="shared" si="76"/>
        <v>0.004306027778</v>
      </c>
      <c r="BC97" s="46">
        <f t="shared" si="76"/>
        <v>0.007526575216</v>
      </c>
      <c r="BD97" s="46">
        <f t="shared" si="76"/>
        <v>0.004037789229</v>
      </c>
      <c r="BE97" s="46">
        <f t="shared" si="76"/>
        <v>0.006153144721</v>
      </c>
      <c r="BF97" s="46">
        <f t="shared" si="76"/>
        <v>0.004970922985</v>
      </c>
      <c r="BG97" s="46">
        <f t="shared" si="76"/>
        <v>0.01241656776</v>
      </c>
      <c r="BH97" s="46">
        <f t="shared" si="76"/>
        <v>0.00474681812</v>
      </c>
      <c r="BI97" s="46">
        <f t="shared" si="76"/>
        <v>0.001844617385</v>
      </c>
      <c r="BJ97" s="46">
        <f t="shared" si="76"/>
        <v>0.005968588184</v>
      </c>
      <c r="BK97" s="46">
        <f t="shared" si="76"/>
        <v>0.005047565033</v>
      </c>
      <c r="BL97" s="46">
        <f t="shared" si="76"/>
        <v>0.004240152778</v>
      </c>
      <c r="BM97" s="46">
        <f t="shared" si="76"/>
        <v>0.0005285206586</v>
      </c>
      <c r="BN97" s="46">
        <f t="shared" si="76"/>
        <v>0.004822961798</v>
      </c>
      <c r="BO97" s="46">
        <f t="shared" si="76"/>
        <v>0.004963502798</v>
      </c>
      <c r="BP97" s="46">
        <f t="shared" si="76"/>
        <v>0.005330835151</v>
      </c>
      <c r="BQ97" s="46">
        <f t="shared" si="76"/>
        <v>0.01440291711</v>
      </c>
      <c r="BR97" s="46">
        <f t="shared" si="76"/>
        <v>0.005041960099</v>
      </c>
      <c r="BS97" s="46">
        <f t="shared" si="76"/>
        <v>0.002846577659</v>
      </c>
      <c r="BT97" s="46">
        <f t="shared" si="76"/>
        <v>0.006131639413</v>
      </c>
      <c r="BU97" s="46">
        <f t="shared" si="76"/>
        <v>0.003079126622</v>
      </c>
      <c r="BV97" s="46">
        <f t="shared" si="76"/>
        <v>0.005824275446</v>
      </c>
      <c r="BW97" s="46">
        <f t="shared" si="76"/>
        <v>0.01026586812</v>
      </c>
      <c r="BX97" s="46">
        <f t="shared" si="76"/>
        <v>0.006754296719</v>
      </c>
      <c r="BY97" s="46">
        <f t="shared" si="76"/>
        <v>0.007294101064</v>
      </c>
      <c r="BZ97" s="46">
        <f t="shared" si="76"/>
        <v>0.006987066686</v>
      </c>
      <c r="CA97" s="46">
        <f t="shared" si="76"/>
        <v>0.005887247713</v>
      </c>
      <c r="CB97" s="46">
        <f t="shared" si="76"/>
        <v>0.008269866593</v>
      </c>
      <c r="CC97" s="46">
        <f t="shared" si="76"/>
        <v>0.01034830891</v>
      </c>
      <c r="CD97" s="46">
        <f t="shared" si="76"/>
        <v>0.0078125464</v>
      </c>
      <c r="CE97" s="46">
        <f t="shared" si="76"/>
        <v>0.007385189537</v>
      </c>
      <c r="CF97" s="46">
        <f t="shared" si="76"/>
        <v>0.008899715848</v>
      </c>
      <c r="CG97" s="46">
        <f t="shared" si="76"/>
        <v>0.007261040123</v>
      </c>
      <c r="CH97" s="46">
        <f t="shared" si="76"/>
        <v>0.009377753652</v>
      </c>
      <c r="CI97" s="46">
        <f t="shared" si="76"/>
        <v>0.006132690818</v>
      </c>
      <c r="CJ97" s="46">
        <f t="shared" si="76"/>
        <v>0.009778666199</v>
      </c>
      <c r="CK97" s="46">
        <f t="shared" si="76"/>
        <v>0.008515416231</v>
      </c>
      <c r="CL97" s="46">
        <f t="shared" si="76"/>
        <v>0.01095137684</v>
      </c>
      <c r="CM97" s="46">
        <f t="shared" si="76"/>
        <v>0.01196140814</v>
      </c>
      <c r="CO97" s="44" t="s">
        <v>39</v>
      </c>
      <c r="CP97" s="12" t="b">
        <f t="shared" si="58"/>
        <v>0</v>
      </c>
    </row>
    <row r="98" ht="15.75" customHeight="1">
      <c r="C98" s="4"/>
      <c r="D98" s="44" t="s">
        <v>37</v>
      </c>
      <c r="E98" s="46">
        <f t="shared" ref="E98:CM98" si="77">IFERROR((E92+E93)/E$88,0)</f>
        <v>0</v>
      </c>
      <c r="F98" s="46">
        <f t="shared" si="77"/>
        <v>0</v>
      </c>
      <c r="G98" s="46">
        <f t="shared" si="77"/>
        <v>0</v>
      </c>
      <c r="H98" s="46">
        <f t="shared" si="77"/>
        <v>0</v>
      </c>
      <c r="I98" s="46">
        <f t="shared" si="77"/>
        <v>0</v>
      </c>
      <c r="J98" s="46">
        <f t="shared" si="77"/>
        <v>0</v>
      </c>
      <c r="K98" s="46">
        <f t="shared" si="77"/>
        <v>0</v>
      </c>
      <c r="L98" s="46">
        <f t="shared" si="77"/>
        <v>0</v>
      </c>
      <c r="M98" s="46">
        <f t="shared" si="77"/>
        <v>0</v>
      </c>
      <c r="N98" s="46">
        <f t="shared" si="77"/>
        <v>0</v>
      </c>
      <c r="O98" s="46">
        <f t="shared" si="77"/>
        <v>0</v>
      </c>
      <c r="P98" s="46">
        <f t="shared" si="77"/>
        <v>0</v>
      </c>
      <c r="Q98" s="46">
        <f t="shared" si="77"/>
        <v>0</v>
      </c>
      <c r="R98" s="46">
        <f t="shared" si="77"/>
        <v>0</v>
      </c>
      <c r="S98" s="46">
        <f t="shared" si="77"/>
        <v>0</v>
      </c>
      <c r="T98" s="46">
        <f t="shared" si="77"/>
        <v>0</v>
      </c>
      <c r="U98" s="46">
        <f t="shared" si="77"/>
        <v>0</v>
      </c>
      <c r="V98" s="46">
        <f t="shared" si="77"/>
        <v>-0.002196450536</v>
      </c>
      <c r="W98" s="46">
        <f t="shared" si="77"/>
        <v>0</v>
      </c>
      <c r="X98" s="46">
        <f t="shared" si="77"/>
        <v>-0.0009014140302</v>
      </c>
      <c r="Y98" s="46">
        <f t="shared" si="77"/>
        <v>0</v>
      </c>
      <c r="Z98" s="46">
        <f t="shared" si="77"/>
        <v>0</v>
      </c>
      <c r="AA98" s="46">
        <f t="shared" si="77"/>
        <v>-0.01160235563</v>
      </c>
      <c r="AB98" s="46">
        <f t="shared" si="77"/>
        <v>-0.00110555675</v>
      </c>
      <c r="AC98" s="46">
        <f t="shared" si="77"/>
        <v>0</v>
      </c>
      <c r="AD98" s="46">
        <f t="shared" si="77"/>
        <v>-0.002398207546</v>
      </c>
      <c r="AE98" s="46">
        <f t="shared" si="77"/>
        <v>0</v>
      </c>
      <c r="AF98" s="46">
        <f t="shared" si="77"/>
        <v>-0.0005624966282</v>
      </c>
      <c r="AG98" s="46">
        <f t="shared" si="77"/>
        <v>-0.004549280076</v>
      </c>
      <c r="AH98" s="46">
        <f t="shared" si="77"/>
        <v>0</v>
      </c>
      <c r="AI98" s="46">
        <f t="shared" si="77"/>
        <v>-0.007387952466</v>
      </c>
      <c r="AJ98" s="46">
        <f t="shared" si="77"/>
        <v>0</v>
      </c>
      <c r="AK98" s="46">
        <f t="shared" si="77"/>
        <v>-0.03332994614</v>
      </c>
      <c r="AL98" s="46">
        <f t="shared" si="77"/>
        <v>0</v>
      </c>
      <c r="AM98" s="46">
        <f t="shared" si="77"/>
        <v>-0.01100705369</v>
      </c>
      <c r="AN98" s="46">
        <f t="shared" si="77"/>
        <v>-0.012</v>
      </c>
      <c r="AO98" s="46">
        <f t="shared" si="77"/>
        <v>-0.0004541699948</v>
      </c>
      <c r="AP98" s="46">
        <f t="shared" si="77"/>
        <v>-0.012</v>
      </c>
      <c r="AQ98" s="46">
        <f t="shared" si="77"/>
        <v>-0.008229258924</v>
      </c>
      <c r="AR98" s="46">
        <f t="shared" si="77"/>
        <v>-0.012</v>
      </c>
      <c r="AS98" s="46">
        <f t="shared" si="77"/>
        <v>-0.01021875819</v>
      </c>
      <c r="AT98" s="46">
        <f t="shared" si="77"/>
        <v>-0.011</v>
      </c>
      <c r="AU98" s="46">
        <f t="shared" si="77"/>
        <v>-0.00875502648</v>
      </c>
      <c r="AV98" s="46">
        <f t="shared" si="77"/>
        <v>-0.011</v>
      </c>
      <c r="AW98" s="46">
        <f t="shared" si="77"/>
        <v>-0.004077094597</v>
      </c>
      <c r="AX98" s="46">
        <f t="shared" si="77"/>
        <v>-0.011</v>
      </c>
      <c r="AY98" s="46">
        <f t="shared" si="77"/>
        <v>0</v>
      </c>
      <c r="AZ98" s="46">
        <f t="shared" si="77"/>
        <v>-0.008</v>
      </c>
      <c r="BA98" s="46">
        <f t="shared" si="77"/>
        <v>-0.005348407414</v>
      </c>
      <c r="BB98" s="46">
        <f t="shared" si="77"/>
        <v>-0.005</v>
      </c>
      <c r="BC98" s="46">
        <f t="shared" si="77"/>
        <v>-0.009182421763</v>
      </c>
      <c r="BD98" s="46">
        <f t="shared" si="77"/>
        <v>-0.005</v>
      </c>
      <c r="BE98" s="46">
        <f t="shared" si="77"/>
        <v>-0.00395156083</v>
      </c>
      <c r="BF98" s="46">
        <f t="shared" si="77"/>
        <v>-0.005</v>
      </c>
      <c r="BG98" s="46">
        <f t="shared" si="77"/>
        <v>-0.005228028529</v>
      </c>
      <c r="BH98" s="46">
        <f t="shared" si="77"/>
        <v>-0.005</v>
      </c>
      <c r="BI98" s="46">
        <f t="shared" si="77"/>
        <v>-0.01271556251</v>
      </c>
      <c r="BJ98" s="46">
        <f t="shared" si="77"/>
        <v>-0.005</v>
      </c>
      <c r="BK98" s="46">
        <f t="shared" si="77"/>
        <v>-0.01490090612</v>
      </c>
      <c r="BL98" s="46">
        <f t="shared" si="77"/>
        <v>-0.003</v>
      </c>
      <c r="BM98" s="46">
        <f t="shared" si="77"/>
        <v>-0.002811729904</v>
      </c>
      <c r="BN98" s="46">
        <f t="shared" si="77"/>
        <v>-0.003</v>
      </c>
      <c r="BO98" s="46">
        <f t="shared" si="77"/>
        <v>-0.0166773694</v>
      </c>
      <c r="BP98" s="46">
        <f t="shared" si="77"/>
        <v>-0.003</v>
      </c>
      <c r="BQ98" s="46">
        <f t="shared" si="77"/>
        <v>-0.02937213693</v>
      </c>
      <c r="BR98" s="46">
        <f t="shared" si="77"/>
        <v>-0.005</v>
      </c>
      <c r="BS98" s="46">
        <f t="shared" si="77"/>
        <v>-0.01304967228</v>
      </c>
      <c r="BT98" s="46">
        <f t="shared" si="77"/>
        <v>-0.005</v>
      </c>
      <c r="BU98" s="46">
        <f t="shared" si="77"/>
        <v>-0.001149540606</v>
      </c>
      <c r="BV98" s="46">
        <f t="shared" si="77"/>
        <v>-0.005</v>
      </c>
      <c r="BW98" s="46">
        <f t="shared" si="77"/>
        <v>-0.01496655511</v>
      </c>
      <c r="BX98" s="46">
        <f t="shared" si="77"/>
        <v>-0.0035</v>
      </c>
      <c r="BY98" s="46">
        <f t="shared" si="77"/>
        <v>-0.00901115478</v>
      </c>
      <c r="BZ98" s="46">
        <f t="shared" si="77"/>
        <v>-0.0035</v>
      </c>
      <c r="CA98" s="46">
        <f t="shared" si="77"/>
        <v>-0.01889185384</v>
      </c>
      <c r="CB98" s="46">
        <f t="shared" si="77"/>
        <v>-0.0035</v>
      </c>
      <c r="CC98" s="46">
        <f t="shared" si="77"/>
        <v>-0.02048976988</v>
      </c>
      <c r="CD98" s="46">
        <f t="shared" si="77"/>
        <v>-0.0035</v>
      </c>
      <c r="CE98" s="46">
        <f t="shared" si="77"/>
        <v>-0.0282677445</v>
      </c>
      <c r="CF98" s="46">
        <f t="shared" si="77"/>
        <v>-0.0035</v>
      </c>
      <c r="CG98" s="46">
        <f t="shared" si="77"/>
        <v>-0.005807372886</v>
      </c>
      <c r="CH98" s="46">
        <f t="shared" si="77"/>
        <v>-0.0035</v>
      </c>
      <c r="CI98" s="46">
        <f t="shared" si="77"/>
        <v>-0.01090317423</v>
      </c>
      <c r="CJ98" s="46">
        <f t="shared" si="77"/>
        <v>-0.0035</v>
      </c>
      <c r="CK98" s="46">
        <f t="shared" si="77"/>
        <v>-0.00720034032</v>
      </c>
      <c r="CL98" s="46">
        <f t="shared" si="77"/>
        <v>-0.0035</v>
      </c>
      <c r="CM98" s="46">
        <f t="shared" si="77"/>
        <v>-0.0035</v>
      </c>
      <c r="CO98" s="44" t="s">
        <v>40</v>
      </c>
      <c r="CP98" s="12" t="b">
        <f t="shared" si="58"/>
        <v>0</v>
      </c>
    </row>
    <row r="99" ht="15.75" customHeight="1">
      <c r="C99" s="4"/>
      <c r="D99" s="44" t="s">
        <v>38</v>
      </c>
      <c r="E99" s="46">
        <f t="shared" ref="E99:CM99" si="78">IFERROR(E94/E$88,0)</f>
        <v>0</v>
      </c>
      <c r="F99" s="46">
        <f t="shared" si="78"/>
        <v>0</v>
      </c>
      <c r="G99" s="46">
        <f t="shared" si="78"/>
        <v>0</v>
      </c>
      <c r="H99" s="46">
        <f t="shared" si="78"/>
        <v>0</v>
      </c>
      <c r="I99" s="46">
        <f t="shared" si="78"/>
        <v>0</v>
      </c>
      <c r="J99" s="46">
        <f t="shared" si="78"/>
        <v>0</v>
      </c>
      <c r="K99" s="46">
        <f t="shared" si="78"/>
        <v>0</v>
      </c>
      <c r="L99" s="46">
        <f t="shared" si="78"/>
        <v>0</v>
      </c>
      <c r="M99" s="46">
        <f t="shared" si="78"/>
        <v>0</v>
      </c>
      <c r="N99" s="46">
        <f t="shared" si="78"/>
        <v>0</v>
      </c>
      <c r="O99" s="46">
        <f t="shared" si="78"/>
        <v>0</v>
      </c>
      <c r="P99" s="46">
        <f t="shared" si="78"/>
        <v>0</v>
      </c>
      <c r="Q99" s="46">
        <f t="shared" si="78"/>
        <v>0</v>
      </c>
      <c r="R99" s="46">
        <f t="shared" si="78"/>
        <v>0</v>
      </c>
      <c r="S99" s="46">
        <f t="shared" si="78"/>
        <v>0</v>
      </c>
      <c r="T99" s="46">
        <f t="shared" si="78"/>
        <v>0</v>
      </c>
      <c r="U99" s="46">
        <f t="shared" si="78"/>
        <v>0.0303183426</v>
      </c>
      <c r="V99" s="46">
        <f t="shared" si="78"/>
        <v>-0.001464300357</v>
      </c>
      <c r="W99" s="46">
        <f t="shared" si="78"/>
        <v>0</v>
      </c>
      <c r="X99" s="46">
        <f t="shared" si="78"/>
        <v>-0.000578407336</v>
      </c>
      <c r="Y99" s="46">
        <f t="shared" si="78"/>
        <v>0</v>
      </c>
      <c r="Z99" s="46">
        <f t="shared" si="78"/>
        <v>0</v>
      </c>
      <c r="AA99" s="46">
        <f t="shared" si="78"/>
        <v>-0.002812692274</v>
      </c>
      <c r="AB99" s="46">
        <f t="shared" si="78"/>
        <v>-0.0006477468512</v>
      </c>
      <c r="AC99" s="46">
        <f t="shared" si="78"/>
        <v>0.01262626263</v>
      </c>
      <c r="AD99" s="46">
        <f t="shared" si="78"/>
        <v>-0.001330630156</v>
      </c>
      <c r="AE99" s="46">
        <f t="shared" si="78"/>
        <v>0.02832432432</v>
      </c>
      <c r="AF99" s="46">
        <f t="shared" si="78"/>
        <v>0.0002450400271</v>
      </c>
      <c r="AG99" s="46">
        <f t="shared" si="78"/>
        <v>-0.003639424061</v>
      </c>
      <c r="AH99" s="46">
        <f t="shared" si="78"/>
        <v>0</v>
      </c>
      <c r="AI99" s="46">
        <f t="shared" si="78"/>
        <v>-0.006279759596</v>
      </c>
      <c r="AJ99" s="46">
        <f t="shared" si="78"/>
        <v>0</v>
      </c>
      <c r="AK99" s="46">
        <f t="shared" si="78"/>
        <v>-0.03070760577</v>
      </c>
      <c r="AL99" s="46">
        <f t="shared" si="78"/>
        <v>0</v>
      </c>
      <c r="AM99" s="46">
        <f t="shared" si="78"/>
        <v>-0.008499891458</v>
      </c>
      <c r="AN99" s="46">
        <f t="shared" si="78"/>
        <v>-0.007793761833</v>
      </c>
      <c r="AO99" s="46">
        <f t="shared" si="78"/>
        <v>0.0120859379</v>
      </c>
      <c r="AP99" s="46">
        <f t="shared" si="78"/>
        <v>-0.007967181126</v>
      </c>
      <c r="AQ99" s="46">
        <f t="shared" si="78"/>
        <v>-0.005143286828</v>
      </c>
      <c r="AR99" s="46">
        <f t="shared" si="78"/>
        <v>-0.008112220829</v>
      </c>
      <c r="AS99" s="46">
        <f t="shared" si="78"/>
        <v>-0.003742080462</v>
      </c>
      <c r="AT99" s="46">
        <f t="shared" si="78"/>
        <v>-0.007342685442</v>
      </c>
      <c r="AU99" s="46">
        <f t="shared" si="78"/>
        <v>-0.0002954821437</v>
      </c>
      <c r="AV99" s="46">
        <f t="shared" si="78"/>
        <v>-0.007501105121</v>
      </c>
      <c r="AW99" s="46">
        <f t="shared" si="78"/>
        <v>0.00735405938</v>
      </c>
      <c r="AX99" s="46">
        <f t="shared" si="78"/>
        <v>-0.007644615003</v>
      </c>
      <c r="AY99" s="46">
        <f t="shared" si="78"/>
        <v>0.01099136763</v>
      </c>
      <c r="AZ99" s="46">
        <f t="shared" si="78"/>
        <v>-0.003434713384</v>
      </c>
      <c r="BA99" s="46">
        <f t="shared" si="78"/>
        <v>0.01121544828</v>
      </c>
      <c r="BB99" s="46">
        <f t="shared" si="78"/>
        <v>-0.0006939722217</v>
      </c>
      <c r="BC99" s="46">
        <f t="shared" si="78"/>
        <v>-0.000906199656</v>
      </c>
      <c r="BD99" s="46">
        <f t="shared" si="78"/>
        <v>-0.0009622107709</v>
      </c>
      <c r="BE99" s="46">
        <f t="shared" si="78"/>
        <v>0.002859236515</v>
      </c>
      <c r="BF99" s="46">
        <f t="shared" si="78"/>
        <v>-0.00002907701462</v>
      </c>
      <c r="BG99" s="46">
        <f t="shared" si="78"/>
        <v>0.007659061794</v>
      </c>
      <c r="BH99" s="46">
        <f t="shared" si="78"/>
        <v>-0.0002531818797</v>
      </c>
      <c r="BI99" s="46">
        <f t="shared" si="78"/>
        <v>-0.01087094512</v>
      </c>
      <c r="BJ99" s="46">
        <f t="shared" si="78"/>
        <v>0.0009685881843</v>
      </c>
      <c r="BK99" s="46">
        <f t="shared" si="78"/>
        <v>-0.009116319346</v>
      </c>
      <c r="BL99" s="46">
        <f t="shared" si="78"/>
        <v>0.001240152778</v>
      </c>
      <c r="BM99" s="46">
        <f t="shared" si="78"/>
        <v>-0.001997279569</v>
      </c>
      <c r="BN99" s="46">
        <f t="shared" si="78"/>
        <v>0.001822961798</v>
      </c>
      <c r="BO99" s="46">
        <f t="shared" si="78"/>
        <v>-0.01123022289</v>
      </c>
      <c r="BP99" s="46">
        <f t="shared" si="78"/>
        <v>0.002330835151</v>
      </c>
      <c r="BQ99" s="46">
        <f t="shared" si="78"/>
        <v>-0.01439264879</v>
      </c>
      <c r="BR99" s="46">
        <f t="shared" si="78"/>
        <v>0.00004196009876</v>
      </c>
      <c r="BS99" s="46">
        <f t="shared" si="78"/>
        <v>-0.009204220232</v>
      </c>
      <c r="BT99" s="46">
        <f t="shared" si="78"/>
        <v>0.001131639413</v>
      </c>
      <c r="BU99" s="46">
        <f t="shared" si="78"/>
        <v>0.002930917994</v>
      </c>
      <c r="BV99" s="46">
        <f t="shared" si="78"/>
        <v>0.0008242754458</v>
      </c>
      <c r="BW99" s="46">
        <f t="shared" si="78"/>
        <v>-0.002623515927</v>
      </c>
      <c r="BX99" s="46">
        <f t="shared" si="78"/>
        <v>0.003254296719</v>
      </c>
      <c r="BY99" s="46">
        <f t="shared" si="78"/>
        <v>-0.0002278740024</v>
      </c>
      <c r="BZ99" s="46">
        <f t="shared" si="78"/>
        <v>0.003487066686</v>
      </c>
      <c r="CA99" s="46">
        <f t="shared" si="78"/>
        <v>-0.01228321574</v>
      </c>
      <c r="CB99" s="46">
        <f t="shared" si="78"/>
        <v>0.004769866593</v>
      </c>
      <c r="CC99" s="46">
        <f t="shared" si="78"/>
        <v>-0.009189058722</v>
      </c>
      <c r="CD99" s="46">
        <f t="shared" si="78"/>
        <v>0.0043125464</v>
      </c>
      <c r="CE99" s="46">
        <f t="shared" si="78"/>
        <v>-0.01928765334</v>
      </c>
      <c r="CF99" s="46">
        <f t="shared" si="78"/>
        <v>0.005399715848</v>
      </c>
      <c r="CG99" s="46">
        <f t="shared" si="78"/>
        <v>0.001632134731</v>
      </c>
      <c r="CH99" s="46">
        <f t="shared" si="78"/>
        <v>0.005877753652</v>
      </c>
      <c r="CI99" s="46">
        <f t="shared" si="78"/>
        <v>-0.004405389771</v>
      </c>
      <c r="CJ99" s="46">
        <f t="shared" si="78"/>
        <v>0.006278666199</v>
      </c>
      <c r="CK99" s="46">
        <f t="shared" si="78"/>
        <v>0.002201304681</v>
      </c>
      <c r="CL99" s="46">
        <f t="shared" si="78"/>
        <v>0.007451376841</v>
      </c>
      <c r="CM99" s="46">
        <f t="shared" si="78"/>
        <v>0.008461408145</v>
      </c>
      <c r="CO99" s="4"/>
      <c r="CP99" s="12" t="b">
        <f t="shared" si="58"/>
        <v>0</v>
      </c>
    </row>
    <row r="100" ht="15.75" customHeight="1">
      <c r="C100" s="4"/>
      <c r="D100" s="44" t="s">
        <v>39</v>
      </c>
      <c r="E100" s="46"/>
      <c r="F100" s="46">
        <f>IFERROR(F95/E95,0)</f>
        <v>0</v>
      </c>
      <c r="G100" s="46">
        <f t="shared" ref="G100:V100" si="79">G95/F95</f>
        <v>1.625</v>
      </c>
      <c r="H100" s="46">
        <f t="shared" si="79"/>
        <v>1</v>
      </c>
      <c r="I100" s="46">
        <f t="shared" si="79"/>
        <v>1</v>
      </c>
      <c r="J100" s="46">
        <f t="shared" si="79"/>
        <v>1</v>
      </c>
      <c r="K100" s="46">
        <f t="shared" si="79"/>
        <v>1.692307692</v>
      </c>
      <c r="L100" s="46">
        <f t="shared" si="79"/>
        <v>1.295454545</v>
      </c>
      <c r="M100" s="46">
        <f t="shared" si="79"/>
        <v>1</v>
      </c>
      <c r="N100" s="46">
        <f t="shared" si="79"/>
        <v>1.263157895</v>
      </c>
      <c r="O100" s="46">
        <f t="shared" si="79"/>
        <v>1.541666667</v>
      </c>
      <c r="P100" s="46">
        <f t="shared" si="79"/>
        <v>1.313513514</v>
      </c>
      <c r="Q100" s="46">
        <f t="shared" si="79"/>
        <v>1.342935528</v>
      </c>
      <c r="R100" s="46">
        <f t="shared" si="79"/>
        <v>1.468845761</v>
      </c>
      <c r="S100" s="46">
        <f t="shared" si="79"/>
        <v>1.14325452</v>
      </c>
      <c r="T100" s="46">
        <f t="shared" si="79"/>
        <v>1.20377129</v>
      </c>
      <c r="U100" s="46">
        <f t="shared" si="79"/>
        <v>1.725416877</v>
      </c>
      <c r="V100" s="46">
        <f t="shared" si="79"/>
        <v>1.462003339</v>
      </c>
      <c r="W100" s="46">
        <f t="shared" ref="W100:CL100" si="80">W95/U95</f>
        <v>1.319217478</v>
      </c>
      <c r="X100" s="46">
        <f t="shared" si="80"/>
        <v>1.309292169</v>
      </c>
      <c r="Y100" s="46">
        <f t="shared" si="80"/>
        <v>1.262820228</v>
      </c>
      <c r="Z100" s="46">
        <f t="shared" si="80"/>
        <v>1.245479829</v>
      </c>
      <c r="AA100" s="46">
        <f t="shared" si="80"/>
        <v>1.392282676</v>
      </c>
      <c r="AB100" s="46">
        <f t="shared" si="80"/>
        <v>1.190898431</v>
      </c>
      <c r="AC100" s="46">
        <f t="shared" si="80"/>
        <v>1.167929293</v>
      </c>
      <c r="AD100" s="46">
        <f t="shared" si="80"/>
        <v>1.187363398</v>
      </c>
      <c r="AE100" s="46">
        <f t="shared" si="80"/>
        <v>1.188189189</v>
      </c>
      <c r="AF100" s="46">
        <f t="shared" si="80"/>
        <v>1.188310743</v>
      </c>
      <c r="AG100" s="46">
        <f t="shared" si="80"/>
        <v>1.231540159</v>
      </c>
      <c r="AH100" s="46">
        <f t="shared" si="80"/>
        <v>1.163951934</v>
      </c>
      <c r="AI100" s="46">
        <f t="shared" si="80"/>
        <v>1.126925023</v>
      </c>
      <c r="AJ100" s="46">
        <f t="shared" si="80"/>
        <v>1.163677916</v>
      </c>
      <c r="AK100" s="46">
        <f t="shared" si="80"/>
        <v>1.072088137</v>
      </c>
      <c r="AL100" s="46">
        <f t="shared" si="80"/>
        <v>1.158590015</v>
      </c>
      <c r="AM100" s="46">
        <f t="shared" si="80"/>
        <v>1.121566793</v>
      </c>
      <c r="AN100" s="46">
        <f t="shared" si="80"/>
        <v>0.9587864389</v>
      </c>
      <c r="AO100" s="46">
        <f t="shared" si="80"/>
        <v>1.060065481</v>
      </c>
      <c r="AP100" s="46">
        <f t="shared" si="80"/>
        <v>1.076299298</v>
      </c>
      <c r="AQ100" s="46">
        <f t="shared" si="80"/>
        <v>1.072067735</v>
      </c>
      <c r="AR100" s="46">
        <f t="shared" si="80"/>
        <v>1.103070318</v>
      </c>
      <c r="AS100" s="46">
        <f t="shared" si="80"/>
        <v>1.095950781</v>
      </c>
      <c r="AT100" s="46">
        <f t="shared" si="80"/>
        <v>1.084759611</v>
      </c>
      <c r="AU100" s="46">
        <f t="shared" si="80"/>
        <v>1.073684492</v>
      </c>
      <c r="AV100" s="46">
        <f t="shared" si="80"/>
        <v>1.082253368</v>
      </c>
      <c r="AW100" s="46">
        <f t="shared" si="80"/>
        <v>1.124529758</v>
      </c>
      <c r="AX100" s="46">
        <f t="shared" si="80"/>
        <v>1.069862331</v>
      </c>
      <c r="AY100" s="46">
        <f t="shared" si="80"/>
        <v>1.118508523</v>
      </c>
      <c r="AZ100" s="46">
        <f t="shared" si="80"/>
        <v>1.104183304</v>
      </c>
      <c r="BA100" s="46">
        <f t="shared" si="80"/>
        <v>1.07667131</v>
      </c>
      <c r="BB100" s="46">
        <f t="shared" si="80"/>
        <v>1.110765289</v>
      </c>
      <c r="BC100" s="46">
        <f t="shared" si="80"/>
        <v>1.066637286</v>
      </c>
      <c r="BD100" s="46">
        <f t="shared" si="80"/>
        <v>1.094855637</v>
      </c>
      <c r="BE100" s="46">
        <f t="shared" si="80"/>
        <v>1.079773546</v>
      </c>
      <c r="BF100" s="46">
        <f t="shared" si="80"/>
        <v>1.092902326</v>
      </c>
      <c r="BG100" s="46">
        <f t="shared" si="80"/>
        <v>1.062827833</v>
      </c>
      <c r="BH100" s="46">
        <f t="shared" si="80"/>
        <v>1.087526016</v>
      </c>
      <c r="BI100" s="46">
        <f t="shared" si="80"/>
        <v>1.072866568</v>
      </c>
      <c r="BJ100" s="46">
        <f t="shared" si="80"/>
        <v>1.090380115</v>
      </c>
      <c r="BK100" s="46">
        <f t="shared" si="80"/>
        <v>1.084369673</v>
      </c>
      <c r="BL100" s="46">
        <f t="shared" si="80"/>
        <v>0.9429440157</v>
      </c>
      <c r="BM100" s="46">
        <f t="shared" si="80"/>
        <v>1.064813863</v>
      </c>
      <c r="BN100" s="46">
        <f t="shared" si="80"/>
        <v>1.058683859</v>
      </c>
      <c r="BO100" s="46">
        <f t="shared" si="80"/>
        <v>1.092438688</v>
      </c>
      <c r="BP100" s="46">
        <f t="shared" si="80"/>
        <v>1.060466079</v>
      </c>
      <c r="BQ100" s="46">
        <f t="shared" si="80"/>
        <v>1.059830081</v>
      </c>
      <c r="BR100" s="46">
        <f t="shared" si="80"/>
        <v>1.06039629</v>
      </c>
      <c r="BS100" s="46">
        <f t="shared" si="80"/>
        <v>1.044211981</v>
      </c>
      <c r="BT100" s="46">
        <f t="shared" si="80"/>
        <v>1.055931229</v>
      </c>
      <c r="BU100" s="46">
        <f t="shared" si="80"/>
        <v>1.063781029</v>
      </c>
      <c r="BV100" s="46">
        <f t="shared" si="80"/>
        <v>1.057092226</v>
      </c>
      <c r="BW100" s="46">
        <f t="shared" si="80"/>
        <v>1.085618645</v>
      </c>
      <c r="BX100" s="46">
        <f t="shared" si="80"/>
        <v>1.057729802</v>
      </c>
      <c r="BY100" s="46">
        <f t="shared" si="80"/>
        <v>1.053103175</v>
      </c>
      <c r="BZ100" s="46">
        <f t="shared" si="80"/>
        <v>1.059271605</v>
      </c>
      <c r="CA100" s="46">
        <f t="shared" si="80"/>
        <v>1.056592181</v>
      </c>
      <c r="CB100" s="46">
        <f t="shared" si="80"/>
        <v>1.061712247</v>
      </c>
      <c r="CC100" s="46">
        <f t="shared" si="80"/>
        <v>1.04605155</v>
      </c>
      <c r="CD100" s="46">
        <f t="shared" si="80"/>
        <v>1.056570907</v>
      </c>
      <c r="CE100" s="46">
        <f t="shared" si="80"/>
        <v>1.046542546</v>
      </c>
      <c r="CF100" s="46">
        <f t="shared" si="80"/>
        <v>1.057634829</v>
      </c>
      <c r="CG100" s="46">
        <f t="shared" si="80"/>
        <v>1.058356968</v>
      </c>
      <c r="CH100" s="46">
        <f t="shared" si="80"/>
        <v>1.05806614</v>
      </c>
      <c r="CI100" s="46">
        <f t="shared" si="80"/>
        <v>1.058065883</v>
      </c>
      <c r="CJ100" s="46">
        <f t="shared" si="80"/>
        <v>1.058430871</v>
      </c>
      <c r="CK100" s="46">
        <f t="shared" si="80"/>
        <v>1.037030228</v>
      </c>
      <c r="CL100" s="46">
        <f t="shared" si="80"/>
        <v>1.059583663</v>
      </c>
      <c r="CM100" s="46">
        <f>CM95/CL95</f>
        <v>1.061793709</v>
      </c>
      <c r="CO100" s="42" t="s">
        <v>27</v>
      </c>
      <c r="CP100" s="12" t="b">
        <f t="shared" si="58"/>
        <v>0</v>
      </c>
    </row>
    <row r="101" ht="15.75" customHeight="1">
      <c r="C101" s="4"/>
      <c r="D101" s="44" t="s">
        <v>40</v>
      </c>
      <c r="E101" s="15"/>
      <c r="F101" s="15">
        <f>IFERROR(SUM(F88,F94)/F88,0)</f>
        <v>0</v>
      </c>
      <c r="G101" s="15">
        <f t="shared" ref="G101:CM101" si="81">SUM(G88,G94)/G88</f>
        <v>1</v>
      </c>
      <c r="H101" s="15">
        <f t="shared" si="81"/>
        <v>1</v>
      </c>
      <c r="I101" s="15">
        <f t="shared" si="81"/>
        <v>1</v>
      </c>
      <c r="J101" s="15">
        <f t="shared" si="81"/>
        <v>1</v>
      </c>
      <c r="K101" s="15">
        <f t="shared" si="81"/>
        <v>1</v>
      </c>
      <c r="L101" s="15">
        <f t="shared" si="81"/>
        <v>1</v>
      </c>
      <c r="M101" s="15">
        <f t="shared" si="81"/>
        <v>1</v>
      </c>
      <c r="N101" s="15">
        <f t="shared" si="81"/>
        <v>1</v>
      </c>
      <c r="O101" s="15">
        <f t="shared" si="81"/>
        <v>1</v>
      </c>
      <c r="P101" s="15">
        <f t="shared" si="81"/>
        <v>1</v>
      </c>
      <c r="Q101" s="15">
        <f t="shared" si="81"/>
        <v>1</v>
      </c>
      <c r="R101" s="15">
        <f t="shared" si="81"/>
        <v>1</v>
      </c>
      <c r="S101" s="15">
        <f t="shared" si="81"/>
        <v>1</v>
      </c>
      <c r="T101" s="15">
        <f t="shared" si="81"/>
        <v>1</v>
      </c>
      <c r="U101" s="15">
        <f t="shared" si="81"/>
        <v>1.030318343</v>
      </c>
      <c r="V101" s="15">
        <f t="shared" si="81"/>
        <v>0.9985356996</v>
      </c>
      <c r="W101" s="15">
        <f t="shared" si="81"/>
        <v>1</v>
      </c>
      <c r="X101" s="15">
        <f t="shared" si="81"/>
        <v>0.9994215927</v>
      </c>
      <c r="Y101" s="15">
        <f t="shared" si="81"/>
        <v>1</v>
      </c>
      <c r="Z101" s="15">
        <f t="shared" si="81"/>
        <v>1</v>
      </c>
      <c r="AA101" s="15">
        <f t="shared" si="81"/>
        <v>0.9971873077</v>
      </c>
      <c r="AB101" s="15">
        <f t="shared" si="81"/>
        <v>0.9993522531</v>
      </c>
      <c r="AC101" s="15">
        <f t="shared" si="81"/>
        <v>1.012626263</v>
      </c>
      <c r="AD101" s="15">
        <f t="shared" si="81"/>
        <v>0.9986693698</v>
      </c>
      <c r="AE101" s="15">
        <f t="shared" si="81"/>
        <v>1.028324324</v>
      </c>
      <c r="AF101" s="15">
        <f t="shared" si="81"/>
        <v>1.00024504</v>
      </c>
      <c r="AG101" s="15">
        <f t="shared" si="81"/>
        <v>0.9963605759</v>
      </c>
      <c r="AH101" s="15">
        <f t="shared" si="81"/>
        <v>1</v>
      </c>
      <c r="AI101" s="15">
        <f t="shared" si="81"/>
        <v>0.9937202404</v>
      </c>
      <c r="AJ101" s="15">
        <f t="shared" si="81"/>
        <v>1</v>
      </c>
      <c r="AK101" s="15">
        <f t="shared" si="81"/>
        <v>0.9692923942</v>
      </c>
      <c r="AL101" s="15">
        <f t="shared" si="81"/>
        <v>1</v>
      </c>
      <c r="AM101" s="15">
        <f t="shared" si="81"/>
        <v>0.9915001085</v>
      </c>
      <c r="AN101" s="15">
        <f t="shared" si="81"/>
        <v>0.9922062382</v>
      </c>
      <c r="AO101" s="15">
        <f t="shared" si="81"/>
        <v>1.012085938</v>
      </c>
      <c r="AP101" s="15">
        <f t="shared" si="81"/>
        <v>0.9920328189</v>
      </c>
      <c r="AQ101" s="15">
        <f t="shared" si="81"/>
        <v>0.9948567132</v>
      </c>
      <c r="AR101" s="15">
        <f t="shared" si="81"/>
        <v>0.9918877792</v>
      </c>
      <c r="AS101" s="15">
        <f t="shared" si="81"/>
        <v>0.9962579195</v>
      </c>
      <c r="AT101" s="15">
        <f t="shared" si="81"/>
        <v>0.9926573146</v>
      </c>
      <c r="AU101" s="15">
        <f t="shared" si="81"/>
        <v>0.9997045179</v>
      </c>
      <c r="AV101" s="15">
        <f t="shared" si="81"/>
        <v>0.9924988949</v>
      </c>
      <c r="AW101" s="15">
        <f t="shared" si="81"/>
        <v>1.007354059</v>
      </c>
      <c r="AX101" s="15">
        <f t="shared" si="81"/>
        <v>0.992355385</v>
      </c>
      <c r="AY101" s="15">
        <f t="shared" si="81"/>
        <v>1.010991368</v>
      </c>
      <c r="AZ101" s="15">
        <f t="shared" si="81"/>
        <v>0.9965652866</v>
      </c>
      <c r="BA101" s="15">
        <f t="shared" si="81"/>
        <v>1.011215448</v>
      </c>
      <c r="BB101" s="15">
        <f t="shared" si="81"/>
        <v>0.9993060278</v>
      </c>
      <c r="BC101" s="15">
        <f t="shared" si="81"/>
        <v>0.9990938003</v>
      </c>
      <c r="BD101" s="15">
        <f t="shared" si="81"/>
        <v>0.9990377892</v>
      </c>
      <c r="BE101" s="15">
        <f t="shared" si="81"/>
        <v>1.002859237</v>
      </c>
      <c r="BF101" s="15">
        <f t="shared" si="81"/>
        <v>0.999970923</v>
      </c>
      <c r="BG101" s="15">
        <f t="shared" si="81"/>
        <v>1.007659062</v>
      </c>
      <c r="BH101" s="15">
        <f t="shared" si="81"/>
        <v>0.9997468181</v>
      </c>
      <c r="BI101" s="15">
        <f t="shared" si="81"/>
        <v>0.9891290549</v>
      </c>
      <c r="BJ101" s="15">
        <f t="shared" si="81"/>
        <v>1.000968588</v>
      </c>
      <c r="BK101" s="15">
        <f t="shared" si="81"/>
        <v>0.9908836807</v>
      </c>
      <c r="BL101" s="15">
        <f t="shared" si="81"/>
        <v>1.001240153</v>
      </c>
      <c r="BM101" s="15">
        <f t="shared" si="81"/>
        <v>0.9980027204</v>
      </c>
      <c r="BN101" s="15">
        <f t="shared" si="81"/>
        <v>1.001822962</v>
      </c>
      <c r="BO101" s="15">
        <f t="shared" si="81"/>
        <v>0.9887697771</v>
      </c>
      <c r="BP101" s="15">
        <f t="shared" si="81"/>
        <v>1.002330835</v>
      </c>
      <c r="BQ101" s="15">
        <f t="shared" si="81"/>
        <v>0.9856073512</v>
      </c>
      <c r="BR101" s="15">
        <f t="shared" si="81"/>
        <v>1.00004196</v>
      </c>
      <c r="BS101" s="15">
        <f t="shared" si="81"/>
        <v>0.9907957798</v>
      </c>
      <c r="BT101" s="15">
        <f t="shared" si="81"/>
        <v>1.001131639</v>
      </c>
      <c r="BU101" s="15">
        <f t="shared" si="81"/>
        <v>1.002930918</v>
      </c>
      <c r="BV101" s="15">
        <f t="shared" si="81"/>
        <v>1.000824275</v>
      </c>
      <c r="BW101" s="15">
        <f t="shared" si="81"/>
        <v>0.9973764841</v>
      </c>
      <c r="BX101" s="15">
        <f t="shared" si="81"/>
        <v>1.003254297</v>
      </c>
      <c r="BY101" s="15">
        <f t="shared" si="81"/>
        <v>0.999772126</v>
      </c>
      <c r="BZ101" s="15">
        <f t="shared" si="81"/>
        <v>1.003487067</v>
      </c>
      <c r="CA101" s="15">
        <f t="shared" si="81"/>
        <v>0.9877167843</v>
      </c>
      <c r="CB101" s="15">
        <f t="shared" si="81"/>
        <v>1.004769867</v>
      </c>
      <c r="CC101" s="15">
        <f t="shared" si="81"/>
        <v>0.9908109413</v>
      </c>
      <c r="CD101" s="15">
        <f t="shared" si="81"/>
        <v>1.004312546</v>
      </c>
      <c r="CE101" s="15">
        <f t="shared" si="81"/>
        <v>0.9807123467</v>
      </c>
      <c r="CF101" s="15">
        <f t="shared" si="81"/>
        <v>1.005399716</v>
      </c>
      <c r="CG101" s="15">
        <f t="shared" si="81"/>
        <v>1.001632135</v>
      </c>
      <c r="CH101" s="15">
        <f t="shared" si="81"/>
        <v>1.005877754</v>
      </c>
      <c r="CI101" s="15">
        <f t="shared" si="81"/>
        <v>0.9955946102</v>
      </c>
      <c r="CJ101" s="15">
        <f t="shared" si="81"/>
        <v>1.006278666</v>
      </c>
      <c r="CK101" s="15">
        <f t="shared" si="81"/>
        <v>1.002201305</v>
      </c>
      <c r="CL101" s="15">
        <f t="shared" si="81"/>
        <v>1.007451377</v>
      </c>
      <c r="CM101" s="15">
        <f t="shared" si="81"/>
        <v>1.008461408</v>
      </c>
      <c r="CO101" s="42" t="s">
        <v>28</v>
      </c>
      <c r="CP101" s="12" t="b">
        <f t="shared" si="58"/>
        <v>0</v>
      </c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O102" s="42" t="s">
        <v>29</v>
      </c>
      <c r="CP102" s="12" t="b">
        <f t="shared" si="58"/>
        <v>0</v>
      </c>
    </row>
    <row r="103" ht="15.75" customHeight="1">
      <c r="C103" s="41" t="s">
        <v>7</v>
      </c>
      <c r="D103" s="42" t="s">
        <v>27</v>
      </c>
      <c r="E103" s="14">
        <v>0.0</v>
      </c>
      <c r="F103" s="14">
        <f t="shared" ref="F103:V103" si="82">E110</f>
        <v>1500</v>
      </c>
      <c r="G103" s="14">
        <f t="shared" si="82"/>
        <v>3083.333333</v>
      </c>
      <c r="H103" s="14">
        <f t="shared" si="82"/>
        <v>5666.666667</v>
      </c>
      <c r="I103" s="14">
        <f t="shared" si="82"/>
        <v>7687</v>
      </c>
      <c r="J103" s="14">
        <f t="shared" si="82"/>
        <v>9478.666667</v>
      </c>
      <c r="K103" s="14">
        <f t="shared" si="82"/>
        <v>16154.66667</v>
      </c>
      <c r="L103" s="14">
        <f t="shared" si="82"/>
        <v>21407.44417</v>
      </c>
      <c r="M103" s="14">
        <f t="shared" si="82"/>
        <v>24349.11083</v>
      </c>
      <c r="N103" s="14">
        <f t="shared" si="82"/>
        <v>27549.11083</v>
      </c>
      <c r="O103" s="14">
        <f t="shared" si="82"/>
        <v>36181.19417</v>
      </c>
      <c r="P103" s="14">
        <f t="shared" si="82"/>
        <v>48099.7775</v>
      </c>
      <c r="Q103" s="14">
        <f t="shared" si="82"/>
        <v>57812.5</v>
      </c>
      <c r="R103" s="14">
        <f t="shared" si="82"/>
        <v>64802.75</v>
      </c>
      <c r="S103" s="14">
        <f t="shared" si="82"/>
        <v>73505.5</v>
      </c>
      <c r="T103" s="14">
        <f t="shared" si="82"/>
        <v>83932.58333</v>
      </c>
      <c r="U103" s="14">
        <f t="shared" si="82"/>
        <v>97059.33333</v>
      </c>
      <c r="V103" s="14">
        <f t="shared" si="82"/>
        <v>117731.4167</v>
      </c>
      <c r="W103" s="14">
        <f t="shared" ref="W103:AM103" si="83">U110</f>
        <v>117731.4167</v>
      </c>
      <c r="X103" s="14">
        <f t="shared" si="83"/>
        <v>134490.5833</v>
      </c>
      <c r="Y103" s="14">
        <f t="shared" si="83"/>
        <v>128609.1667</v>
      </c>
      <c r="Z103" s="14">
        <f t="shared" si="83"/>
        <v>151522.6103</v>
      </c>
      <c r="AA103" s="14">
        <f t="shared" si="83"/>
        <v>146153.3333</v>
      </c>
      <c r="AB103" s="14">
        <f t="shared" si="83"/>
        <v>169745.4273</v>
      </c>
      <c r="AC103" s="14">
        <f t="shared" si="83"/>
        <v>164076.7708</v>
      </c>
      <c r="AD103" s="14">
        <f t="shared" si="83"/>
        <v>187973.2063</v>
      </c>
      <c r="AE103" s="14">
        <f t="shared" si="83"/>
        <v>178114.1042</v>
      </c>
      <c r="AF103" s="14">
        <f t="shared" si="83"/>
        <v>205869.746</v>
      </c>
      <c r="AG103" s="14">
        <f t="shared" si="83"/>
        <v>199001.6042</v>
      </c>
      <c r="AH103" s="14">
        <f t="shared" si="83"/>
        <v>225546.2901</v>
      </c>
      <c r="AI103" s="14">
        <f t="shared" si="83"/>
        <v>211425.8542</v>
      </c>
      <c r="AJ103" s="14">
        <f t="shared" si="83"/>
        <v>245735.7203</v>
      </c>
      <c r="AK103" s="14">
        <f t="shared" si="83"/>
        <v>222171.715</v>
      </c>
      <c r="AL103" s="14">
        <f t="shared" si="83"/>
        <v>265880.1301</v>
      </c>
      <c r="AM103" s="14">
        <f t="shared" si="83"/>
        <v>233855.3817</v>
      </c>
      <c r="AN103" s="14">
        <v>270607.0</v>
      </c>
      <c r="AO103" s="14">
        <f t="shared" ref="AO103:BK103" si="84">AM110</f>
        <v>249866.3317</v>
      </c>
      <c r="AP103" s="14">
        <f t="shared" si="84"/>
        <v>276965.3075</v>
      </c>
      <c r="AQ103" s="14">
        <f t="shared" si="84"/>
        <v>263605.9842</v>
      </c>
      <c r="AR103" s="14">
        <f t="shared" si="84"/>
        <v>283518.4282</v>
      </c>
      <c r="AS103" s="14">
        <f t="shared" si="84"/>
        <v>272487.5675</v>
      </c>
      <c r="AT103" s="14">
        <f t="shared" si="84"/>
        <v>290098.1931</v>
      </c>
      <c r="AU103" s="14">
        <f t="shared" si="84"/>
        <v>284670.9008</v>
      </c>
      <c r="AV103" s="14">
        <f t="shared" si="84"/>
        <v>298794.6483</v>
      </c>
      <c r="AW103" s="14">
        <f t="shared" si="84"/>
        <v>302663.1175</v>
      </c>
      <c r="AX103" s="14">
        <f t="shared" si="84"/>
        <v>308544.6202</v>
      </c>
      <c r="AY103" s="14">
        <f t="shared" si="84"/>
        <v>319468.8675</v>
      </c>
      <c r="AZ103" s="14">
        <f t="shared" si="84"/>
        <v>319037.5297</v>
      </c>
      <c r="BA103" s="14">
        <f t="shared" si="84"/>
        <v>340068.6175</v>
      </c>
      <c r="BB103" s="14">
        <f t="shared" si="84"/>
        <v>332886.3208</v>
      </c>
      <c r="BC103" s="14">
        <f t="shared" si="84"/>
        <v>352422.4508</v>
      </c>
      <c r="BD103" s="14">
        <f t="shared" si="84"/>
        <v>349636.5718</v>
      </c>
      <c r="BE103" s="14">
        <f t="shared" si="84"/>
        <v>362027.3571</v>
      </c>
      <c r="BF103" s="14">
        <f t="shared" si="84"/>
        <v>367518.7434</v>
      </c>
      <c r="BG103" s="14">
        <f t="shared" si="84"/>
        <v>379682.0654</v>
      </c>
      <c r="BH103" s="14">
        <f t="shared" si="84"/>
        <v>386783.822</v>
      </c>
      <c r="BI103" s="14">
        <f t="shared" si="84"/>
        <v>385868.9521</v>
      </c>
      <c r="BJ103" s="14">
        <f t="shared" si="84"/>
        <v>406636.8544</v>
      </c>
      <c r="BK103" s="14">
        <f t="shared" si="84"/>
        <v>395885.5675</v>
      </c>
      <c r="BL103" s="14">
        <f>4895264.25878702/12</f>
        <v>407938.6882</v>
      </c>
      <c r="BM103" s="14">
        <f t="shared" ref="BM103:CL103" si="85">BK110</f>
        <v>416260.4845</v>
      </c>
      <c r="BN103" s="14">
        <f t="shared" si="85"/>
        <v>424579.622</v>
      </c>
      <c r="BO103" s="14">
        <f t="shared" si="85"/>
        <v>423587.2855</v>
      </c>
      <c r="BP103" s="14">
        <f t="shared" si="85"/>
        <v>441822.5713</v>
      </c>
      <c r="BQ103" s="14">
        <f t="shared" si="85"/>
        <v>432595.0776</v>
      </c>
      <c r="BR103" s="14">
        <f t="shared" si="85"/>
        <v>459368.7653</v>
      </c>
      <c r="BS103" s="14">
        <f t="shared" si="85"/>
        <v>437257.9333</v>
      </c>
      <c r="BT103" s="14">
        <f t="shared" si="85"/>
        <v>477969.4897</v>
      </c>
      <c r="BU103" s="14">
        <f t="shared" si="85"/>
        <v>448060.5978</v>
      </c>
      <c r="BV103" s="14">
        <f t="shared" si="85"/>
        <v>496011.4641</v>
      </c>
      <c r="BW103" s="14">
        <f t="shared" si="85"/>
        <v>471692.3041</v>
      </c>
      <c r="BX103" s="14">
        <f t="shared" si="85"/>
        <v>509744.4851</v>
      </c>
      <c r="BY103" s="14">
        <f t="shared" si="85"/>
        <v>489479.278</v>
      </c>
      <c r="BZ103" s="14">
        <f t="shared" si="85"/>
        <v>523411.0042</v>
      </c>
      <c r="CA103" s="14">
        <f t="shared" si="85"/>
        <v>499894.5113</v>
      </c>
      <c r="CB103" s="14">
        <f t="shared" si="85"/>
        <v>536673.3015</v>
      </c>
      <c r="CC103" s="14">
        <f t="shared" si="85"/>
        <v>513107.5643</v>
      </c>
      <c r="CD103" s="14">
        <f t="shared" si="85"/>
        <v>550277.4801</v>
      </c>
      <c r="CE103" s="14">
        <f t="shared" si="85"/>
        <v>533591.1472</v>
      </c>
      <c r="CF103" s="14">
        <f t="shared" si="85"/>
        <v>563164.9085</v>
      </c>
      <c r="CG103" s="14">
        <f t="shared" si="85"/>
        <v>542837.0137</v>
      </c>
      <c r="CH103" s="14">
        <f t="shared" si="85"/>
        <v>576870.9577</v>
      </c>
      <c r="CI103" s="14">
        <f t="shared" si="85"/>
        <v>562740.3779</v>
      </c>
      <c r="CJ103" s="14">
        <f t="shared" si="85"/>
        <v>590968.5272</v>
      </c>
      <c r="CK103" s="14">
        <f t="shared" si="85"/>
        <v>582107.8045</v>
      </c>
      <c r="CL103" s="14">
        <f t="shared" si="85"/>
        <v>605533.4021</v>
      </c>
      <c r="CM103" s="14">
        <f>CL110</f>
        <v>620500.8891</v>
      </c>
      <c r="CO103" s="42" t="s">
        <v>30</v>
      </c>
      <c r="CP103" s="12" t="b">
        <f t="shared" si="58"/>
        <v>0</v>
      </c>
    </row>
    <row r="104" ht="15.75" customHeight="1">
      <c r="B104" s="43">
        <f>C7-C104*12</f>
        <v>-0.0000000009313225746</v>
      </c>
      <c r="C104" s="9">
        <f t="shared" ref="C104:C111" si="87">SUM(E104:U104)+W104+Y104+AA104+AC104+AE104+AG104+AI104+AK104+AM104+AO104+AQ104+AS104+AU104+AW104+AY104+BA104+BC104+BE104+BG104+BI104+BK104+BM104+BO104+BQ104+BS104+BU104+BW104+BY104+CA104+CC104+CE104+CG104+CI104+CK104</f>
        <v>649006.1004</v>
      </c>
      <c r="D104" s="42" t="s">
        <v>28</v>
      </c>
      <c r="E104" s="14">
        <f t="shared" ref="E104:U104" si="86">E7/12</f>
        <v>1500</v>
      </c>
      <c r="F104" s="14">
        <f t="shared" si="86"/>
        <v>1583.333333</v>
      </c>
      <c r="G104" s="14">
        <f t="shared" si="86"/>
        <v>2583.333333</v>
      </c>
      <c r="H104" s="14">
        <f t="shared" si="86"/>
        <v>2020.333333</v>
      </c>
      <c r="I104" s="14">
        <f t="shared" si="86"/>
        <v>1791.666667</v>
      </c>
      <c r="J104" s="14">
        <f t="shared" si="86"/>
        <v>6676</v>
      </c>
      <c r="K104" s="14">
        <f t="shared" si="86"/>
        <v>5252.7775</v>
      </c>
      <c r="L104" s="14">
        <f t="shared" si="86"/>
        <v>2941.666667</v>
      </c>
      <c r="M104" s="14">
        <f t="shared" si="86"/>
        <v>3200</v>
      </c>
      <c r="N104" s="14">
        <f t="shared" si="86"/>
        <v>8632.083333</v>
      </c>
      <c r="O104" s="14">
        <f t="shared" si="86"/>
        <v>11720.25</v>
      </c>
      <c r="P104" s="14">
        <f t="shared" si="86"/>
        <v>9546.055833</v>
      </c>
      <c r="Q104" s="14">
        <f t="shared" si="86"/>
        <v>8037</v>
      </c>
      <c r="R104" s="14">
        <f t="shared" si="86"/>
        <v>9575</v>
      </c>
      <c r="S104" s="14">
        <f t="shared" si="86"/>
        <v>10677.08333</v>
      </c>
      <c r="T104" s="14">
        <f t="shared" si="86"/>
        <v>13222.58333</v>
      </c>
      <c r="U104" s="14">
        <f t="shared" si="86"/>
        <v>19942.91667</v>
      </c>
      <c r="V104" s="14">
        <v>17376.666666666668</v>
      </c>
      <c r="W104" s="14">
        <f>W7/12</f>
        <v>12495.58333</v>
      </c>
      <c r="X104" s="14">
        <v>17779.833333333332</v>
      </c>
      <c r="Y104" s="14">
        <f>Y7/12</f>
        <v>16351.66667</v>
      </c>
      <c r="Z104" s="14">
        <v>18722.550390624998</v>
      </c>
      <c r="AA104" s="14">
        <f>AA7/12</f>
        <v>14544.27083</v>
      </c>
      <c r="AB104" s="14">
        <v>18616.656145833334</v>
      </c>
      <c r="AC104" s="14">
        <f>AC7/12</f>
        <v>15424.58333</v>
      </c>
      <c r="AD104" s="14">
        <v>19050.822549479166</v>
      </c>
      <c r="AE104" s="14">
        <f>AE7/12</f>
        <v>19489.58333</v>
      </c>
      <c r="AF104" s="14">
        <v>19495.843113216168</v>
      </c>
      <c r="AG104" s="14">
        <f>AG7/12</f>
        <v>14098.95833</v>
      </c>
      <c r="AH104" s="14">
        <v>19951.989191046498</v>
      </c>
      <c r="AI104" s="14">
        <f>AI7/12</f>
        <v>10714.58333</v>
      </c>
      <c r="AJ104" s="14">
        <v>19820.490829546998</v>
      </c>
      <c r="AK104" s="14">
        <f>AK7/12</f>
        <v>13851.04167</v>
      </c>
      <c r="AL104" s="14">
        <v>20284.753100285667</v>
      </c>
      <c r="AM104" s="14">
        <f>AM7/12</f>
        <v>17185.45833</v>
      </c>
      <c r="AN104" s="14">
        <v>11050.0</v>
      </c>
      <c r="AO104" s="14">
        <f>AO7/12</f>
        <v>14369.25</v>
      </c>
      <c r="AP104" s="14">
        <v>11165.5</v>
      </c>
      <c r="AQ104" s="14">
        <f>AQ7/12</f>
        <v>10147</v>
      </c>
      <c r="AR104" s="14">
        <v>11282.229999999998</v>
      </c>
      <c r="AS104" s="14">
        <f>AS7/12</f>
        <v>17027.08333</v>
      </c>
      <c r="AT104" s="14">
        <v>13487.035125</v>
      </c>
      <c r="AU104" s="14">
        <f>AU7/12</f>
        <v>14617.72917</v>
      </c>
      <c r="AV104" s="14">
        <v>14684.090651874998</v>
      </c>
      <c r="AW104" s="14">
        <f>AW7/12</f>
        <v>13743.75</v>
      </c>
      <c r="AX104" s="14">
        <v>15306.852011653124</v>
      </c>
      <c r="AY104" s="14">
        <f>AY7/12</f>
        <v>17034.125</v>
      </c>
      <c r="AZ104" s="14">
        <v>15930.329791827919</v>
      </c>
      <c r="BA104" s="14">
        <f>BA7/12</f>
        <v>14245.04167</v>
      </c>
      <c r="BB104" s="14">
        <v>15979.534738705339</v>
      </c>
      <c r="BC104" s="14">
        <f>BC7/12</f>
        <v>8340</v>
      </c>
      <c r="BD104" s="14">
        <v>17155.970346381222</v>
      </c>
      <c r="BE104" s="14">
        <f>BE7/12</f>
        <v>18423.83333</v>
      </c>
      <c r="BF104" s="14">
        <v>18373.55990157694</v>
      </c>
      <c r="BG104" s="14">
        <f>BG7/12</f>
        <v>8809.791667</v>
      </c>
      <c r="BH104" s="14">
        <v>19017.163300100594</v>
      </c>
      <c r="BI104" s="14">
        <f>BI7/12</f>
        <v>13543.8068</v>
      </c>
      <c r="BJ104" s="14">
        <v>19086.795749602104</v>
      </c>
      <c r="BK104" s="14">
        <f>BK7/12</f>
        <v>21379.453</v>
      </c>
      <c r="BL104" s="14">
        <v>13943.022485916668</v>
      </c>
      <c r="BM104" s="14">
        <f>BM7/12</f>
        <v>11036.52937</v>
      </c>
      <c r="BN104" s="14">
        <v>14429.668070992897</v>
      </c>
      <c r="BO104" s="14">
        <f>BO7/12</f>
        <v>13231.084</v>
      </c>
      <c r="BP104" s="14">
        <v>14884.165098851068</v>
      </c>
      <c r="BQ104" s="14">
        <f>BQ7/12</f>
        <v>19954.97657</v>
      </c>
      <c r="BR104" s="14">
        <v>14911.160761743207</v>
      </c>
      <c r="BS104" s="14">
        <f>BS7/12</f>
        <v>12858.09899</v>
      </c>
      <c r="BT104" s="14">
        <v>14479.123038059653</v>
      </c>
      <c r="BU104" s="14">
        <f>BU7/12</f>
        <v>20385.33333</v>
      </c>
      <c r="BV104" s="14">
        <v>10027.746767701821</v>
      </c>
      <c r="BW104" s="14">
        <f>BW7/12</f>
        <v>20273.66667</v>
      </c>
      <c r="BX104" s="14">
        <v>10048.088899807386</v>
      </c>
      <c r="BY104" s="14">
        <f>BY7/12</f>
        <v>15770.33333</v>
      </c>
      <c r="BZ104" s="14">
        <v>9730.110227958625</v>
      </c>
      <c r="CA104" s="14">
        <f>CA7/12</f>
        <v>15982.49667</v>
      </c>
      <c r="CB104" s="14">
        <v>9620.956664653517</v>
      </c>
      <c r="CC104" s="14">
        <f>CC7/12</f>
        <v>20163.33333</v>
      </c>
      <c r="CD104" s="14">
        <v>8437.932576926172</v>
      </c>
      <c r="CE104" s="14">
        <f>CE7/12</f>
        <v>20747.2</v>
      </c>
      <c r="CF104" s="14">
        <v>9321.861011347095</v>
      </c>
      <c r="CG104" s="14">
        <f>CG7/12</f>
        <v>17460.11</v>
      </c>
      <c r="CH104" s="14">
        <v>9784.344726986312</v>
      </c>
      <c r="CI104" s="14">
        <f>CI7/12</f>
        <v>19090.75</v>
      </c>
      <c r="CJ104" s="14">
        <v>9464.104912787427</v>
      </c>
      <c r="CK104" s="14">
        <f>CK7/12</f>
        <v>17313.51167</v>
      </c>
      <c r="CL104" s="14">
        <v>9928.166481525694</v>
      </c>
      <c r="CM104" s="14">
        <v>9949.091029041785</v>
      </c>
      <c r="CO104" s="42" t="s">
        <v>31</v>
      </c>
      <c r="CP104" s="12" t="b">
        <f t="shared" si="58"/>
        <v>0</v>
      </c>
    </row>
    <row r="105" ht="15.75" customHeight="1">
      <c r="B105" s="19">
        <f>C22-C105*12</f>
        <v>-0.0000000004656612873</v>
      </c>
      <c r="C105" s="9">
        <f t="shared" si="87"/>
        <v>148328.9451</v>
      </c>
      <c r="D105" s="42" t="s">
        <v>29</v>
      </c>
      <c r="E105" s="14">
        <f t="shared" ref="E105:U105" si="88">E22/12</f>
        <v>0</v>
      </c>
      <c r="F105" s="14">
        <f t="shared" si="88"/>
        <v>0</v>
      </c>
      <c r="G105" s="14">
        <f t="shared" si="88"/>
        <v>0</v>
      </c>
      <c r="H105" s="14">
        <f t="shared" si="88"/>
        <v>0</v>
      </c>
      <c r="I105" s="14">
        <f t="shared" si="88"/>
        <v>0</v>
      </c>
      <c r="J105" s="14">
        <f t="shared" si="88"/>
        <v>0</v>
      </c>
      <c r="K105" s="14">
        <f t="shared" si="88"/>
        <v>0</v>
      </c>
      <c r="L105" s="14">
        <f t="shared" si="88"/>
        <v>0</v>
      </c>
      <c r="M105" s="14">
        <f t="shared" si="88"/>
        <v>0</v>
      </c>
      <c r="N105" s="14">
        <f t="shared" si="88"/>
        <v>0</v>
      </c>
      <c r="O105" s="14">
        <f t="shared" si="88"/>
        <v>198.3333333</v>
      </c>
      <c r="P105" s="14">
        <f t="shared" si="88"/>
        <v>166.6666667</v>
      </c>
      <c r="Q105" s="14">
        <f t="shared" si="88"/>
        <v>0</v>
      </c>
      <c r="R105" s="14">
        <f t="shared" si="88"/>
        <v>377.75</v>
      </c>
      <c r="S105" s="14">
        <f t="shared" si="88"/>
        <v>208.3333333</v>
      </c>
      <c r="T105" s="14">
        <f t="shared" si="88"/>
        <v>279.1666667</v>
      </c>
      <c r="U105" s="14">
        <f t="shared" si="88"/>
        <v>1187.5</v>
      </c>
      <c r="V105" s="14">
        <v>308.75</v>
      </c>
      <c r="W105" s="14">
        <f>W22/12</f>
        <v>1614.583333</v>
      </c>
      <c r="X105" s="14">
        <v>417.60614583333336</v>
      </c>
      <c r="Y105" s="14">
        <f>Y22/12</f>
        <v>3317.5</v>
      </c>
      <c r="Z105" s="14">
        <v>313.11659375</v>
      </c>
      <c r="AA105" s="14">
        <f>AA22/12</f>
        <v>3795.833333</v>
      </c>
      <c r="AB105" s="14">
        <v>274.8478311197917</v>
      </c>
      <c r="AC105" s="14">
        <f>AC22/12</f>
        <v>1122.083333</v>
      </c>
      <c r="AD105" s="14">
        <v>926.0922044759083</v>
      </c>
      <c r="AE105" s="14">
        <f>AE22/12</f>
        <v>2756.25</v>
      </c>
      <c r="AF105" s="14">
        <v>595.5052655565066</v>
      </c>
      <c r="AG105" s="14">
        <f>AG22/12</f>
        <v>2019.791667</v>
      </c>
      <c r="AH105" s="14">
        <v>644.8039348472741</v>
      </c>
      <c r="AI105" s="14">
        <f>AI22/12</f>
        <v>3408</v>
      </c>
      <c r="AJ105" s="14">
        <v>758.5816041633725</v>
      </c>
      <c r="AK105" s="14">
        <f>AK22/12</f>
        <v>3240.625</v>
      </c>
      <c r="AL105" s="14">
        <v>839.9394812098917</v>
      </c>
      <c r="AM105" s="14">
        <f>AM22/12</f>
        <v>4531.845833</v>
      </c>
      <c r="AN105" s="14">
        <v>2750.0</v>
      </c>
      <c r="AO105" s="14">
        <f>AO22/12</f>
        <v>3359.0275</v>
      </c>
      <c r="AP105" s="14">
        <v>3004.1666666666665</v>
      </c>
      <c r="AQ105" s="14">
        <f>AQ22/12</f>
        <v>4211.333333</v>
      </c>
      <c r="AR105" s="14">
        <v>3094.2916666666665</v>
      </c>
      <c r="AS105" s="14">
        <f>AS22/12</f>
        <v>1937.5</v>
      </c>
      <c r="AT105" s="14">
        <v>3187.120416666667</v>
      </c>
      <c r="AU105" s="14">
        <f>AU22/12</f>
        <v>5242.708333</v>
      </c>
      <c r="AV105" s="14">
        <v>3282.7340291666665</v>
      </c>
      <c r="AW105" s="14">
        <f>AW22/12</f>
        <v>7412</v>
      </c>
      <c r="AX105" s="14">
        <v>3671.0345686166675</v>
      </c>
      <c r="AY105" s="14">
        <f>AY22/12</f>
        <v>3985.416667</v>
      </c>
      <c r="AZ105" s="14">
        <v>3980.174321763334</v>
      </c>
      <c r="BA105" s="14">
        <f>BA22/12</f>
        <v>4306.583333</v>
      </c>
      <c r="BB105" s="14">
        <v>4099.579551416234</v>
      </c>
      <c r="BC105" s="14">
        <f>BC22/12</f>
        <v>5116.416667</v>
      </c>
      <c r="BD105" s="14">
        <v>4222.566937958721</v>
      </c>
      <c r="BE105" s="14">
        <f>BE22/12</f>
        <v>4695.25</v>
      </c>
      <c r="BF105" s="14">
        <v>4566.706143402357</v>
      </c>
      <c r="BG105" s="14">
        <f>BG22/12</f>
        <v>3421.886667</v>
      </c>
      <c r="BH105" s="14">
        <v>4703.707327704427</v>
      </c>
      <c r="BI105" s="14">
        <f>BI22/12</f>
        <v>3882.4336</v>
      </c>
      <c r="BJ105" s="14">
        <v>5190.877015216672</v>
      </c>
      <c r="BK105" s="14">
        <f>BK22/12</f>
        <v>3528.380667</v>
      </c>
      <c r="BL105" s="14">
        <v>6777.298198016665</v>
      </c>
      <c r="BM105" s="14">
        <f>BM22/12</f>
        <v>4420.506</v>
      </c>
      <c r="BN105" s="14">
        <v>7059.077403864972</v>
      </c>
      <c r="BO105" s="14">
        <f>BO22/12</f>
        <v>4205.853955</v>
      </c>
      <c r="BP105" s="14">
        <v>7080.254636076566</v>
      </c>
      <c r="BQ105" s="14">
        <f>BQ22/12</f>
        <v>5458.24</v>
      </c>
      <c r="BR105" s="14">
        <v>7364.51374813238</v>
      </c>
      <c r="BS105" s="14">
        <f>BS22/12</f>
        <v>4778.815472</v>
      </c>
      <c r="BT105" s="14">
        <v>7386.607289376777</v>
      </c>
      <c r="BU105" s="14">
        <f>BU22/12</f>
        <v>4871.333333</v>
      </c>
      <c r="BV105" s="14">
        <v>7673.36593664651</v>
      </c>
      <c r="BW105" s="14">
        <f>BW22/12</f>
        <v>6943.033333</v>
      </c>
      <c r="BX105" s="14">
        <v>7696.386034456449</v>
      </c>
      <c r="BY105" s="14">
        <f>BY22/12</f>
        <v>4497.066667</v>
      </c>
      <c r="BZ105" s="14">
        <v>7719.4751925598175</v>
      </c>
      <c r="CA105" s="14">
        <f>CA22/12</f>
        <v>4966.75</v>
      </c>
      <c r="CB105" s="14">
        <v>8276.60835042284</v>
      </c>
      <c r="CC105" s="14">
        <f>CC22/12</f>
        <v>8727.420423</v>
      </c>
      <c r="CD105" s="14">
        <v>8301.43817547411</v>
      </c>
      <c r="CE105" s="14">
        <f>CE22/12</f>
        <v>3112.67</v>
      </c>
      <c r="CF105" s="14">
        <v>8326.34249000053</v>
      </c>
      <c r="CG105" s="14">
        <f>CG22/12</f>
        <v>7313.25</v>
      </c>
      <c r="CH105" s="14">
        <v>8351.321517470531</v>
      </c>
      <c r="CI105" s="14">
        <f>CI22/12</f>
        <v>6866.706667</v>
      </c>
      <c r="CJ105" s="14">
        <v>8646.58114273336</v>
      </c>
      <c r="CK105" s="14">
        <f>CK22/12</f>
        <v>2844.1</v>
      </c>
      <c r="CL105" s="14">
        <v>8672.52088616156</v>
      </c>
      <c r="CM105" s="14">
        <v>8698.538448820042</v>
      </c>
      <c r="CO105" s="42" t="s">
        <v>32</v>
      </c>
      <c r="CP105" s="12" t="b">
        <f t="shared" si="58"/>
        <v>0</v>
      </c>
    </row>
    <row r="106" ht="15.75" customHeight="1">
      <c r="A106" s="17" t="s">
        <v>11</v>
      </c>
      <c r="B106" s="19">
        <f>C106*12-C27</f>
        <v>0</v>
      </c>
      <c r="C106" s="9">
        <f t="shared" si="87"/>
        <v>4330.673389</v>
      </c>
      <c r="D106" s="42" t="s">
        <v>30</v>
      </c>
      <c r="E106" s="14">
        <f t="shared" ref="E106:U106" si="89">E27/12</f>
        <v>0</v>
      </c>
      <c r="F106" s="14">
        <f t="shared" si="89"/>
        <v>0</v>
      </c>
      <c r="G106" s="14">
        <f t="shared" si="89"/>
        <v>0</v>
      </c>
      <c r="H106" s="14">
        <f t="shared" si="89"/>
        <v>0</v>
      </c>
      <c r="I106" s="14">
        <f t="shared" si="89"/>
        <v>0</v>
      </c>
      <c r="J106" s="14">
        <f t="shared" si="89"/>
        <v>0</v>
      </c>
      <c r="K106" s="14">
        <f t="shared" si="89"/>
        <v>0</v>
      </c>
      <c r="L106" s="14">
        <f t="shared" si="89"/>
        <v>0</v>
      </c>
      <c r="M106" s="14">
        <f t="shared" si="89"/>
        <v>0</v>
      </c>
      <c r="N106" s="14">
        <f t="shared" si="89"/>
        <v>0</v>
      </c>
      <c r="O106" s="14">
        <f t="shared" si="89"/>
        <v>0</v>
      </c>
      <c r="P106" s="14">
        <f t="shared" si="89"/>
        <v>0</v>
      </c>
      <c r="Q106" s="14">
        <f t="shared" si="89"/>
        <v>0</v>
      </c>
      <c r="R106" s="14">
        <f t="shared" si="89"/>
        <v>0</v>
      </c>
      <c r="S106" s="14">
        <f t="shared" si="89"/>
        <v>0</v>
      </c>
      <c r="T106" s="14">
        <f t="shared" si="89"/>
        <v>0</v>
      </c>
      <c r="U106" s="14">
        <f t="shared" si="89"/>
        <v>0</v>
      </c>
      <c r="V106" s="14"/>
      <c r="W106" s="14">
        <f>W27/12</f>
        <v>0</v>
      </c>
      <c r="X106" s="14"/>
      <c r="Y106" s="14">
        <f>Y27/12</f>
        <v>0</v>
      </c>
      <c r="Z106" s="14"/>
      <c r="AA106" s="14">
        <f>AA27/12</f>
        <v>0</v>
      </c>
      <c r="AB106" s="14"/>
      <c r="AC106" s="14">
        <f>AC27/12</f>
        <v>0</v>
      </c>
      <c r="AD106" s="14"/>
      <c r="AE106" s="14">
        <f>AE27/12</f>
        <v>0</v>
      </c>
      <c r="AF106" s="14"/>
      <c r="AG106" s="14">
        <f>AG27/12</f>
        <v>0</v>
      </c>
      <c r="AH106" s="14"/>
      <c r="AI106" s="14">
        <f>AI27/12</f>
        <v>0</v>
      </c>
      <c r="AJ106" s="14"/>
      <c r="AK106" s="14">
        <f>AK27/12</f>
        <v>0</v>
      </c>
      <c r="AL106" s="14"/>
      <c r="AM106" s="14">
        <f>AM27/12</f>
        <v>46.91666667</v>
      </c>
      <c r="AN106" s="14"/>
      <c r="AO106" s="14">
        <f>AO27/12</f>
        <v>39.41666667</v>
      </c>
      <c r="AP106" s="14"/>
      <c r="AQ106" s="14">
        <f>AQ27/12</f>
        <v>12.5</v>
      </c>
      <c r="AR106" s="14"/>
      <c r="AS106" s="14">
        <f>AS27/12</f>
        <v>0</v>
      </c>
      <c r="AT106" s="14"/>
      <c r="AU106" s="14">
        <f>AU27/12</f>
        <v>250</v>
      </c>
      <c r="AV106" s="14"/>
      <c r="AW106" s="14">
        <f>AW27/12</f>
        <v>87.5</v>
      </c>
      <c r="AX106" s="14"/>
      <c r="AY106" s="14">
        <f>AY27/12</f>
        <v>101.0416667</v>
      </c>
      <c r="AZ106" s="14"/>
      <c r="BA106" s="14">
        <f>BA27/12</f>
        <v>105.2083333</v>
      </c>
      <c r="BB106" s="14"/>
      <c r="BC106" s="14">
        <f>BC27/12</f>
        <v>183.90625</v>
      </c>
      <c r="BD106" s="14"/>
      <c r="BE106" s="14">
        <f>BE27/12</f>
        <v>29.375</v>
      </c>
      <c r="BF106" s="14"/>
      <c r="BG106" s="14">
        <f>BG27/12</f>
        <v>53.125</v>
      </c>
      <c r="BH106" s="14"/>
      <c r="BI106" s="14">
        <f>BI27/12</f>
        <v>75</v>
      </c>
      <c r="BJ106" s="14"/>
      <c r="BK106" s="14">
        <f>BK27/12</f>
        <v>0</v>
      </c>
      <c r="BL106" s="14"/>
      <c r="BM106" s="14">
        <f>BM27/12</f>
        <v>91.015625</v>
      </c>
      <c r="BN106" s="14"/>
      <c r="BO106" s="14">
        <f>BO27/12</f>
        <v>102.1041667</v>
      </c>
      <c r="BP106" s="14"/>
      <c r="BQ106" s="14">
        <f>BQ27/12</f>
        <v>0</v>
      </c>
      <c r="BR106" s="14"/>
      <c r="BS106" s="14">
        <f>BS27/12</f>
        <v>62.5</v>
      </c>
      <c r="BT106" s="14"/>
      <c r="BU106" s="14">
        <f>BU27/12</f>
        <v>318.90625</v>
      </c>
      <c r="BV106" s="14"/>
      <c r="BW106" s="14">
        <f>BW27/12</f>
        <v>659.690625</v>
      </c>
      <c r="BX106" s="14"/>
      <c r="BY106" s="14">
        <f>BY27/12</f>
        <v>293.9583333</v>
      </c>
      <c r="BZ106" s="14"/>
      <c r="CA106" s="14">
        <f>CA27/12</f>
        <v>131.30625</v>
      </c>
      <c r="CB106" s="14"/>
      <c r="CC106" s="14">
        <f>CC27/12</f>
        <v>799.6224143</v>
      </c>
      <c r="CD106" s="14"/>
      <c r="CE106" s="14">
        <f>CE27/12</f>
        <v>483.015</v>
      </c>
      <c r="CF106" s="14"/>
      <c r="CG106" s="14">
        <f>CG27/12</f>
        <v>197.4401417</v>
      </c>
      <c r="CH106" s="14"/>
      <c r="CI106" s="14">
        <f>CI27/12</f>
        <v>58.33333333</v>
      </c>
      <c r="CJ106" s="14"/>
      <c r="CK106" s="14">
        <f>CK27/12</f>
        <v>148.7916667</v>
      </c>
      <c r="CL106" s="14"/>
      <c r="CM106" s="14"/>
      <c r="CO106" s="42" t="s">
        <v>33</v>
      </c>
      <c r="CP106" s="12" t="b">
        <f t="shared" si="58"/>
        <v>0</v>
      </c>
    </row>
    <row r="107" ht="15.75" customHeight="1">
      <c r="A107" s="17" t="s">
        <v>11</v>
      </c>
      <c r="B107" s="19">
        <f>C32+C107*12</f>
        <v>0.0000000002328306437</v>
      </c>
      <c r="C107" s="9">
        <f t="shared" si="87"/>
        <v>-173921.123</v>
      </c>
      <c r="D107" s="42" t="s">
        <v>31</v>
      </c>
      <c r="E107" s="14">
        <f t="shared" ref="E107:U107" si="90">-E32/12</f>
        <v>0</v>
      </c>
      <c r="F107" s="14">
        <f t="shared" si="90"/>
        <v>0</v>
      </c>
      <c r="G107" s="14">
        <f t="shared" si="90"/>
        <v>0</v>
      </c>
      <c r="H107" s="14">
        <f t="shared" si="90"/>
        <v>0</v>
      </c>
      <c r="I107" s="14">
        <f t="shared" si="90"/>
        <v>0</v>
      </c>
      <c r="J107" s="14">
        <f t="shared" si="90"/>
        <v>0</v>
      </c>
      <c r="K107" s="14">
        <f t="shared" si="90"/>
        <v>0</v>
      </c>
      <c r="L107" s="14">
        <f t="shared" si="90"/>
        <v>0</v>
      </c>
      <c r="M107" s="14">
        <f t="shared" si="90"/>
        <v>0</v>
      </c>
      <c r="N107" s="14">
        <f t="shared" si="90"/>
        <v>0</v>
      </c>
      <c r="O107" s="14">
        <f t="shared" si="90"/>
        <v>0</v>
      </c>
      <c r="P107" s="14">
        <f t="shared" si="90"/>
        <v>0</v>
      </c>
      <c r="Q107" s="14">
        <f t="shared" si="90"/>
        <v>-1000</v>
      </c>
      <c r="R107" s="14">
        <f t="shared" si="90"/>
        <v>-1250</v>
      </c>
      <c r="S107" s="14">
        <f t="shared" si="90"/>
        <v>-333.3333333</v>
      </c>
      <c r="T107" s="14">
        <f t="shared" si="90"/>
        <v>-375</v>
      </c>
      <c r="U107" s="14">
        <f t="shared" si="90"/>
        <v>-458.3333333</v>
      </c>
      <c r="V107" s="14">
        <v>-926.25</v>
      </c>
      <c r="W107" s="14">
        <f>-W32/12</f>
        <v>-2750</v>
      </c>
      <c r="X107" s="14">
        <v>-1165.4125000000001</v>
      </c>
      <c r="Y107" s="14">
        <f>-Y32/12</f>
        <v>-1833.333333</v>
      </c>
      <c r="Z107" s="14">
        <v>-812.85</v>
      </c>
      <c r="AA107" s="14">
        <f>-AA32/12</f>
        <v>-333.3333333</v>
      </c>
      <c r="AB107" s="14">
        <v>-663.725</v>
      </c>
      <c r="AC107" s="14">
        <f>-AC32/12</f>
        <v>-2388.333333</v>
      </c>
      <c r="AD107" s="14">
        <v>-2080.375</v>
      </c>
      <c r="AE107" s="14">
        <f>-AE32/12</f>
        <v>-750</v>
      </c>
      <c r="AF107" s="14">
        <v>-414.8043333333333</v>
      </c>
      <c r="AG107" s="14">
        <f>-AG32/12</f>
        <v>-3358.333333</v>
      </c>
      <c r="AH107" s="14">
        <v>-407.3629333175916</v>
      </c>
      <c r="AI107" s="14">
        <f>-AI32/12</f>
        <v>-2972.2225</v>
      </c>
      <c r="AJ107" s="14">
        <v>-434.66261489570337</v>
      </c>
      <c r="AK107" s="14">
        <f>-AK32/12</f>
        <v>-4888.75</v>
      </c>
      <c r="AL107" s="14">
        <v>-436.50993100901</v>
      </c>
      <c r="AM107" s="14">
        <f>-AM32/12</f>
        <v>-5253.270833</v>
      </c>
      <c r="AN107" s="14">
        <v>-7441.6925</v>
      </c>
      <c r="AO107" s="14">
        <f>-AO32/12</f>
        <v>-3602.083333</v>
      </c>
      <c r="AP107" s="14">
        <v>-7616.54595625</v>
      </c>
      <c r="AQ107" s="14">
        <f>-AQ32/12</f>
        <v>-4897.583333</v>
      </c>
      <c r="AR107" s="14">
        <v>-7796.756775786457</v>
      </c>
      <c r="AS107" s="14">
        <f>-AS32/12</f>
        <v>-6781.25</v>
      </c>
      <c r="AT107" s="14">
        <v>-7977.700310285664</v>
      </c>
      <c r="AU107" s="14">
        <f>-AU32/12</f>
        <v>-2118.220833</v>
      </c>
      <c r="AV107" s="14">
        <v>-8216.852829148642</v>
      </c>
      <c r="AW107" s="14">
        <f>-AW32/12</f>
        <v>-4437.5</v>
      </c>
      <c r="AX107" s="14">
        <v>-8484.9770550757</v>
      </c>
      <c r="AY107" s="14">
        <f>-AY32/12</f>
        <v>-520.8333333</v>
      </c>
      <c r="AZ107" s="14">
        <v>-6061.713064485535</v>
      </c>
      <c r="BA107" s="14">
        <f>-BA32/12</f>
        <v>-6209.25</v>
      </c>
      <c r="BB107" s="14">
        <v>-3328.863207588707</v>
      </c>
      <c r="BC107" s="14">
        <f>-BC32/12</f>
        <v>-4035.416667</v>
      </c>
      <c r="BD107" s="14">
        <v>-3496.365718414036</v>
      </c>
      <c r="BE107" s="14">
        <f>-BE32/12</f>
        <v>-5493.75</v>
      </c>
      <c r="BF107" s="14">
        <v>-3675.1874340732957</v>
      </c>
      <c r="BG107" s="14">
        <f>-BG32/12</f>
        <v>-5639.583333</v>
      </c>
      <c r="BH107" s="14">
        <v>-3867.838220182355</v>
      </c>
      <c r="BI107" s="14">
        <f>-BI32/12</f>
        <v>-5827.583333</v>
      </c>
      <c r="BJ107" s="14">
        <v>-4066.3685442585816</v>
      </c>
      <c r="BK107" s="14">
        <f>-BK32/12</f>
        <v>-4532.916667</v>
      </c>
      <c r="BL107" s="14">
        <v>-4079.3868823225166</v>
      </c>
      <c r="BM107" s="14">
        <f>-BM32/12</f>
        <v>-7608.333333</v>
      </c>
      <c r="BN107" s="14">
        <v>-4245.796220338625</v>
      </c>
      <c r="BO107" s="14">
        <f>-BO32/12</f>
        <v>-8114.583333</v>
      </c>
      <c r="BP107" s="14">
        <v>-4418.225712883818</v>
      </c>
      <c r="BQ107" s="14">
        <f>-BQ32/12</f>
        <v>-12952.86083</v>
      </c>
      <c r="BR107" s="14">
        <v>-3674.9501224834053</v>
      </c>
      <c r="BS107" s="14">
        <f>-BS32/12</f>
        <v>-3367.75</v>
      </c>
      <c r="BT107" s="14">
        <v>-3823.755917582543</v>
      </c>
      <c r="BU107" s="14">
        <f>-BU32/12</f>
        <v>-1318.866667</v>
      </c>
      <c r="BV107" s="14">
        <v>-3968.091712861374</v>
      </c>
      <c r="BW107" s="14">
        <f>-BW32/12</f>
        <v>-9755</v>
      </c>
      <c r="BX107" s="14">
        <v>-4077.9558807932694</v>
      </c>
      <c r="BY107" s="14">
        <f>-BY32/12</f>
        <v>-8382.541667</v>
      </c>
      <c r="BZ107" s="14">
        <v>-4187.288033221034</v>
      </c>
      <c r="CA107" s="14">
        <f>-CA32/12</f>
        <v>-7253.75</v>
      </c>
      <c r="CB107" s="14">
        <v>-4293.386412319413</v>
      </c>
      <c r="CC107" s="14">
        <f>-CC32/12</f>
        <v>-6310.416667</v>
      </c>
      <c r="CD107" s="14">
        <v>-3851.942360998784</v>
      </c>
      <c r="CE107" s="14">
        <f>-CE32/12</f>
        <v>-11522.35</v>
      </c>
      <c r="CF107" s="14">
        <v>-3942.1543597385953</v>
      </c>
      <c r="CG107" s="14">
        <f>-CG32/12</f>
        <v>-4522.333333</v>
      </c>
      <c r="CH107" s="14">
        <v>-4038.0967037298583</v>
      </c>
      <c r="CI107" s="14">
        <f>-CI32/12</f>
        <v>-5448.69</v>
      </c>
      <c r="CJ107" s="14">
        <v>-3545.811163298527</v>
      </c>
      <c r="CK107" s="14">
        <f>-CK32/12</f>
        <v>-5323.433</v>
      </c>
      <c r="CL107" s="14">
        <v>-3633.2004126518605</v>
      </c>
      <c r="CM107" s="14">
        <v>-3723.005334382073</v>
      </c>
      <c r="CO107" s="42" t="s">
        <v>34</v>
      </c>
      <c r="CP107" s="12" t="b">
        <f t="shared" si="58"/>
        <v>0</v>
      </c>
    </row>
    <row r="108" ht="15.75" customHeight="1">
      <c r="A108" s="17" t="s">
        <v>11</v>
      </c>
      <c r="B108" s="19">
        <f>C37+C108*12</f>
        <v>0</v>
      </c>
      <c r="C108" s="9">
        <f t="shared" si="87"/>
        <v>-32011.81437</v>
      </c>
      <c r="D108" s="42" t="s">
        <v>32</v>
      </c>
      <c r="E108" s="14">
        <f t="shared" ref="E108:U108" si="91">-E37/12</f>
        <v>0</v>
      </c>
      <c r="F108" s="14">
        <f t="shared" si="91"/>
        <v>0</v>
      </c>
      <c r="G108" s="14">
        <f t="shared" si="91"/>
        <v>0</v>
      </c>
      <c r="H108" s="14">
        <f t="shared" si="91"/>
        <v>0</v>
      </c>
      <c r="I108" s="14">
        <f t="shared" si="91"/>
        <v>0</v>
      </c>
      <c r="J108" s="14">
        <f t="shared" si="91"/>
        <v>0</v>
      </c>
      <c r="K108" s="14">
        <f t="shared" si="91"/>
        <v>0</v>
      </c>
      <c r="L108" s="14">
        <f t="shared" si="91"/>
        <v>0</v>
      </c>
      <c r="M108" s="14">
        <f t="shared" si="91"/>
        <v>0</v>
      </c>
      <c r="N108" s="14">
        <f t="shared" si="91"/>
        <v>0</v>
      </c>
      <c r="O108" s="14">
        <f t="shared" si="91"/>
        <v>0</v>
      </c>
      <c r="P108" s="14">
        <f t="shared" si="91"/>
        <v>0</v>
      </c>
      <c r="Q108" s="14">
        <f t="shared" si="91"/>
        <v>-46.75</v>
      </c>
      <c r="R108" s="14">
        <f t="shared" si="91"/>
        <v>0</v>
      </c>
      <c r="S108" s="14">
        <f t="shared" si="91"/>
        <v>-125</v>
      </c>
      <c r="T108" s="14">
        <f t="shared" si="91"/>
        <v>0</v>
      </c>
      <c r="U108" s="14">
        <f t="shared" si="91"/>
        <v>0</v>
      </c>
      <c r="V108" s="14"/>
      <c r="W108" s="14">
        <f>-W37/12</f>
        <v>-482.4166667</v>
      </c>
      <c r="X108" s="14"/>
      <c r="Y108" s="14">
        <f>-Y37/12</f>
        <v>-291.6666667</v>
      </c>
      <c r="Z108" s="14"/>
      <c r="AA108" s="14">
        <f>-AA37/12</f>
        <v>-83.33333333</v>
      </c>
      <c r="AB108" s="14"/>
      <c r="AC108" s="14">
        <f>-AC37/12</f>
        <v>-121</v>
      </c>
      <c r="AD108" s="14"/>
      <c r="AE108" s="14">
        <f>-AE37/12</f>
        <v>-608.3333333</v>
      </c>
      <c r="AF108" s="14"/>
      <c r="AG108" s="14">
        <f>-AG37/12</f>
        <v>-336.1666667</v>
      </c>
      <c r="AH108" s="14"/>
      <c r="AI108" s="14">
        <f>-AI37/12</f>
        <v>-404.5</v>
      </c>
      <c r="AJ108" s="14"/>
      <c r="AK108" s="14">
        <f>-AK37/12</f>
        <v>-519.25</v>
      </c>
      <c r="AL108" s="14"/>
      <c r="AM108" s="14">
        <f>-AM37/12</f>
        <v>-500</v>
      </c>
      <c r="AN108" s="14"/>
      <c r="AO108" s="14">
        <f>-AO37/12</f>
        <v>-425.9583333</v>
      </c>
      <c r="AP108" s="14"/>
      <c r="AQ108" s="14">
        <f>-AQ37/12</f>
        <v>-591.6666667</v>
      </c>
      <c r="AR108" s="14"/>
      <c r="AS108" s="14">
        <f>-AS37/12</f>
        <v>0</v>
      </c>
      <c r="AT108" s="14"/>
      <c r="AU108" s="14">
        <f>-AU37/12</f>
        <v>0</v>
      </c>
      <c r="AV108" s="14"/>
      <c r="AW108" s="14">
        <f>-AW37/12</f>
        <v>0</v>
      </c>
      <c r="AX108" s="14"/>
      <c r="AY108" s="14">
        <f>-AY37/12</f>
        <v>0</v>
      </c>
      <c r="AZ108" s="14"/>
      <c r="BA108" s="14">
        <f>-BA37/12</f>
        <v>-93.75</v>
      </c>
      <c r="BB108" s="14"/>
      <c r="BC108" s="14">
        <f>-BC37/12</f>
        <v>0</v>
      </c>
      <c r="BD108" s="14"/>
      <c r="BE108" s="14">
        <f>-BE37/12</f>
        <v>0</v>
      </c>
      <c r="BF108" s="14"/>
      <c r="BG108" s="14">
        <f>-BG37/12</f>
        <v>-458.3333333</v>
      </c>
      <c r="BH108" s="14"/>
      <c r="BI108" s="14">
        <f>-BI37/12</f>
        <v>-1657.041667</v>
      </c>
      <c r="BJ108" s="14"/>
      <c r="BK108" s="14">
        <f>-BK37/12</f>
        <v>0</v>
      </c>
      <c r="BL108" s="14"/>
      <c r="BM108" s="14">
        <f>-BM37/12</f>
        <v>-612.9166667</v>
      </c>
      <c r="BN108" s="14"/>
      <c r="BO108" s="14">
        <f>-BO37/12</f>
        <v>-416.6666667</v>
      </c>
      <c r="BP108" s="14"/>
      <c r="BQ108" s="14">
        <f>-BQ37/12</f>
        <v>-7797.5</v>
      </c>
      <c r="BR108" s="14"/>
      <c r="BS108" s="14">
        <f>-BS37/12</f>
        <v>-3529</v>
      </c>
      <c r="BT108" s="14"/>
      <c r="BU108" s="14">
        <f>-BU37/12</f>
        <v>-625</v>
      </c>
      <c r="BV108" s="14"/>
      <c r="BW108" s="14">
        <f>-BW37/12</f>
        <v>-334.4166667</v>
      </c>
      <c r="BX108" s="14"/>
      <c r="BY108" s="14">
        <f>-BY37/12</f>
        <v>-1763.583333</v>
      </c>
      <c r="BZ108" s="14"/>
      <c r="CA108" s="14">
        <f>-CA37/12</f>
        <v>-613.75</v>
      </c>
      <c r="CB108" s="14"/>
      <c r="CC108" s="14">
        <f>-CC37/12</f>
        <v>-2896.376572</v>
      </c>
      <c r="CD108" s="14"/>
      <c r="CE108" s="14">
        <f>-CE37/12</f>
        <v>-3574.668469</v>
      </c>
      <c r="CF108" s="14"/>
      <c r="CG108" s="14">
        <f>-CG37/12</f>
        <v>-545.1026667</v>
      </c>
      <c r="CH108" s="14"/>
      <c r="CI108" s="14">
        <f>-CI37/12</f>
        <v>-1199.673333</v>
      </c>
      <c r="CJ108" s="14"/>
      <c r="CK108" s="14">
        <f>-CK37/12</f>
        <v>-1357.993333</v>
      </c>
      <c r="CL108" s="14"/>
      <c r="CM108" s="14"/>
      <c r="CO108" s="42" t="s">
        <v>35</v>
      </c>
      <c r="CP108" s="12" t="b">
        <f t="shared" si="58"/>
        <v>0</v>
      </c>
    </row>
    <row r="109" ht="15.75" customHeight="1">
      <c r="C109" s="9">
        <f t="shared" si="87"/>
        <v>-53273.31887</v>
      </c>
      <c r="D109" s="42" t="s">
        <v>33</v>
      </c>
      <c r="E109" s="14">
        <f t="shared" ref="E109:CM109" si="92">SUM(E105:E108)</f>
        <v>0</v>
      </c>
      <c r="F109" s="14">
        <f t="shared" si="92"/>
        <v>0</v>
      </c>
      <c r="G109" s="14">
        <f t="shared" si="92"/>
        <v>0</v>
      </c>
      <c r="H109" s="14">
        <f t="shared" si="92"/>
        <v>0</v>
      </c>
      <c r="I109" s="14">
        <f t="shared" si="92"/>
        <v>0</v>
      </c>
      <c r="J109" s="14">
        <f t="shared" si="92"/>
        <v>0</v>
      </c>
      <c r="K109" s="14">
        <f t="shared" si="92"/>
        <v>0</v>
      </c>
      <c r="L109" s="14">
        <f t="shared" si="92"/>
        <v>0</v>
      </c>
      <c r="M109" s="14">
        <f t="shared" si="92"/>
        <v>0</v>
      </c>
      <c r="N109" s="14">
        <f t="shared" si="92"/>
        <v>0</v>
      </c>
      <c r="O109" s="14">
        <f t="shared" si="92"/>
        <v>198.3333333</v>
      </c>
      <c r="P109" s="14">
        <f t="shared" si="92"/>
        <v>166.6666667</v>
      </c>
      <c r="Q109" s="14">
        <f t="shared" si="92"/>
        <v>-1046.75</v>
      </c>
      <c r="R109" s="14">
        <f t="shared" si="92"/>
        <v>-872.25</v>
      </c>
      <c r="S109" s="14">
        <f t="shared" si="92"/>
        <v>-250</v>
      </c>
      <c r="T109" s="14">
        <f t="shared" si="92"/>
        <v>-95.83333333</v>
      </c>
      <c r="U109" s="14">
        <f t="shared" si="92"/>
        <v>729.1666667</v>
      </c>
      <c r="V109" s="14">
        <f t="shared" si="92"/>
        <v>-617.5</v>
      </c>
      <c r="W109" s="14">
        <f t="shared" si="92"/>
        <v>-1617.833333</v>
      </c>
      <c r="X109" s="14">
        <f t="shared" si="92"/>
        <v>-747.8063542</v>
      </c>
      <c r="Y109" s="14">
        <f t="shared" si="92"/>
        <v>1192.5</v>
      </c>
      <c r="Z109" s="14">
        <f t="shared" si="92"/>
        <v>-499.7334063</v>
      </c>
      <c r="AA109" s="14">
        <f t="shared" si="92"/>
        <v>3379.166667</v>
      </c>
      <c r="AB109" s="14">
        <f t="shared" si="92"/>
        <v>-388.8771689</v>
      </c>
      <c r="AC109" s="14">
        <f t="shared" si="92"/>
        <v>-1387.25</v>
      </c>
      <c r="AD109" s="14">
        <f t="shared" si="92"/>
        <v>-1154.282796</v>
      </c>
      <c r="AE109" s="14">
        <f t="shared" si="92"/>
        <v>1397.916667</v>
      </c>
      <c r="AF109" s="14">
        <f t="shared" si="92"/>
        <v>180.7009322</v>
      </c>
      <c r="AG109" s="14">
        <f t="shared" si="92"/>
        <v>-1674.708333</v>
      </c>
      <c r="AH109" s="14">
        <f t="shared" si="92"/>
        <v>237.4410015</v>
      </c>
      <c r="AI109" s="14">
        <f t="shared" si="92"/>
        <v>31.2775</v>
      </c>
      <c r="AJ109" s="14">
        <f t="shared" si="92"/>
        <v>323.9189893</v>
      </c>
      <c r="AK109" s="14">
        <f t="shared" si="92"/>
        <v>-2167.375</v>
      </c>
      <c r="AL109" s="14">
        <f t="shared" si="92"/>
        <v>403.4295502</v>
      </c>
      <c r="AM109" s="14">
        <f t="shared" si="92"/>
        <v>-1174.508333</v>
      </c>
      <c r="AN109" s="14">
        <f t="shared" si="92"/>
        <v>-4691.6925</v>
      </c>
      <c r="AO109" s="14">
        <f t="shared" si="92"/>
        <v>-629.5975</v>
      </c>
      <c r="AP109" s="14">
        <f t="shared" si="92"/>
        <v>-4612.37929</v>
      </c>
      <c r="AQ109" s="14">
        <f t="shared" si="92"/>
        <v>-1265.416667</v>
      </c>
      <c r="AR109" s="14">
        <f t="shared" si="92"/>
        <v>-4702.465109</v>
      </c>
      <c r="AS109" s="14">
        <f t="shared" si="92"/>
        <v>-4843.75</v>
      </c>
      <c r="AT109" s="14">
        <f t="shared" si="92"/>
        <v>-4790.579894</v>
      </c>
      <c r="AU109" s="14">
        <f t="shared" si="92"/>
        <v>3374.4875</v>
      </c>
      <c r="AV109" s="14">
        <f t="shared" si="92"/>
        <v>-4934.1188</v>
      </c>
      <c r="AW109" s="14">
        <f t="shared" si="92"/>
        <v>3062</v>
      </c>
      <c r="AX109" s="14">
        <f t="shared" si="92"/>
        <v>-4813.942486</v>
      </c>
      <c r="AY109" s="14">
        <f t="shared" si="92"/>
        <v>3565.625</v>
      </c>
      <c r="AZ109" s="14">
        <f t="shared" si="92"/>
        <v>-2081.538743</v>
      </c>
      <c r="BA109" s="14">
        <f t="shared" si="92"/>
        <v>-1891.208333</v>
      </c>
      <c r="BB109" s="14">
        <f t="shared" si="92"/>
        <v>770.7163438</v>
      </c>
      <c r="BC109" s="14">
        <f t="shared" si="92"/>
        <v>1264.90625</v>
      </c>
      <c r="BD109" s="14">
        <f t="shared" si="92"/>
        <v>726.2012195</v>
      </c>
      <c r="BE109" s="14">
        <f t="shared" si="92"/>
        <v>-769.125</v>
      </c>
      <c r="BF109" s="14">
        <f t="shared" si="92"/>
        <v>891.5187093</v>
      </c>
      <c r="BG109" s="14">
        <f t="shared" si="92"/>
        <v>-2622.905</v>
      </c>
      <c r="BH109" s="14">
        <f t="shared" si="92"/>
        <v>835.8691075</v>
      </c>
      <c r="BI109" s="14">
        <f t="shared" si="92"/>
        <v>-3527.1914</v>
      </c>
      <c r="BJ109" s="14">
        <f t="shared" si="92"/>
        <v>1124.508471</v>
      </c>
      <c r="BK109" s="14">
        <f t="shared" si="92"/>
        <v>-1004.536</v>
      </c>
      <c r="BL109" s="14">
        <f t="shared" si="92"/>
        <v>2697.911316</v>
      </c>
      <c r="BM109" s="14">
        <f t="shared" si="92"/>
        <v>-3709.728375</v>
      </c>
      <c r="BN109" s="14">
        <f t="shared" si="92"/>
        <v>2813.281184</v>
      </c>
      <c r="BO109" s="14">
        <f t="shared" si="92"/>
        <v>-4223.291878</v>
      </c>
      <c r="BP109" s="14">
        <f t="shared" si="92"/>
        <v>2662.028923</v>
      </c>
      <c r="BQ109" s="14">
        <f t="shared" si="92"/>
        <v>-15292.12083</v>
      </c>
      <c r="BR109" s="14">
        <f t="shared" si="92"/>
        <v>3689.563626</v>
      </c>
      <c r="BS109" s="14">
        <f t="shared" si="92"/>
        <v>-2055.434528</v>
      </c>
      <c r="BT109" s="14">
        <f t="shared" si="92"/>
        <v>3562.851372</v>
      </c>
      <c r="BU109" s="14">
        <f t="shared" si="92"/>
        <v>3246.372917</v>
      </c>
      <c r="BV109" s="14">
        <f t="shared" si="92"/>
        <v>3705.274224</v>
      </c>
      <c r="BW109" s="14">
        <f t="shared" si="92"/>
        <v>-2486.692708</v>
      </c>
      <c r="BX109" s="14">
        <f t="shared" si="92"/>
        <v>3618.430154</v>
      </c>
      <c r="BY109" s="14">
        <f t="shared" si="92"/>
        <v>-5355.1</v>
      </c>
      <c r="BZ109" s="14">
        <f t="shared" si="92"/>
        <v>3532.187159</v>
      </c>
      <c r="CA109" s="14">
        <f t="shared" si="92"/>
        <v>-2769.44375</v>
      </c>
      <c r="CB109" s="14">
        <f t="shared" si="92"/>
        <v>3983.221938</v>
      </c>
      <c r="CC109" s="14">
        <f t="shared" si="92"/>
        <v>320.2495985</v>
      </c>
      <c r="CD109" s="14">
        <f t="shared" si="92"/>
        <v>4449.495814</v>
      </c>
      <c r="CE109" s="14">
        <f t="shared" si="92"/>
        <v>-11501.33347</v>
      </c>
      <c r="CF109" s="14">
        <f t="shared" si="92"/>
        <v>4384.18813</v>
      </c>
      <c r="CG109" s="14">
        <f t="shared" si="92"/>
        <v>2443.254142</v>
      </c>
      <c r="CH109" s="14">
        <f t="shared" si="92"/>
        <v>4313.224814</v>
      </c>
      <c r="CI109" s="14">
        <f t="shared" si="92"/>
        <v>276.6766667</v>
      </c>
      <c r="CJ109" s="14">
        <f t="shared" si="92"/>
        <v>5100.769979</v>
      </c>
      <c r="CK109" s="14">
        <f t="shared" si="92"/>
        <v>-3688.534667</v>
      </c>
      <c r="CL109" s="14">
        <f t="shared" si="92"/>
        <v>5039.320474</v>
      </c>
      <c r="CM109" s="14">
        <f t="shared" si="92"/>
        <v>4975.533114</v>
      </c>
      <c r="CO109" s="44" t="s">
        <v>36</v>
      </c>
      <c r="CP109" s="12" t="b">
        <f t="shared" si="58"/>
        <v>0</v>
      </c>
    </row>
    <row r="110" ht="15.75" customHeight="1">
      <c r="B110" s="19">
        <f>C110*12</f>
        <v>156444851.1</v>
      </c>
      <c r="C110" s="9">
        <f t="shared" si="87"/>
        <v>13037070.92</v>
      </c>
      <c r="D110" s="42" t="s">
        <v>34</v>
      </c>
      <c r="E110" s="14">
        <f t="shared" ref="E110:CM110" si="93">E103+E104+E109</f>
        <v>1500</v>
      </c>
      <c r="F110" s="14">
        <f t="shared" si="93"/>
        <v>3083.333333</v>
      </c>
      <c r="G110" s="14">
        <f t="shared" si="93"/>
        <v>5666.666667</v>
      </c>
      <c r="H110" s="14">
        <f t="shared" si="93"/>
        <v>7687</v>
      </c>
      <c r="I110" s="14">
        <f t="shared" si="93"/>
        <v>9478.666667</v>
      </c>
      <c r="J110" s="14">
        <f t="shared" si="93"/>
        <v>16154.66667</v>
      </c>
      <c r="K110" s="14">
        <f t="shared" si="93"/>
        <v>21407.44417</v>
      </c>
      <c r="L110" s="14">
        <f t="shared" si="93"/>
        <v>24349.11083</v>
      </c>
      <c r="M110" s="14">
        <f t="shared" si="93"/>
        <v>27549.11083</v>
      </c>
      <c r="N110" s="14">
        <f t="shared" si="93"/>
        <v>36181.19417</v>
      </c>
      <c r="O110" s="14">
        <f t="shared" si="93"/>
        <v>48099.7775</v>
      </c>
      <c r="P110" s="14">
        <f t="shared" si="93"/>
        <v>57812.5</v>
      </c>
      <c r="Q110" s="14">
        <f t="shared" si="93"/>
        <v>64802.75</v>
      </c>
      <c r="R110" s="14">
        <f t="shared" si="93"/>
        <v>73505.5</v>
      </c>
      <c r="S110" s="14">
        <f t="shared" si="93"/>
        <v>83932.58333</v>
      </c>
      <c r="T110" s="14">
        <f t="shared" si="93"/>
        <v>97059.33333</v>
      </c>
      <c r="U110" s="14">
        <f t="shared" si="93"/>
        <v>117731.4167</v>
      </c>
      <c r="V110" s="14">
        <f t="shared" si="93"/>
        <v>134490.5833</v>
      </c>
      <c r="W110" s="14">
        <f t="shared" si="93"/>
        <v>128609.1667</v>
      </c>
      <c r="X110" s="14">
        <f t="shared" si="93"/>
        <v>151522.6103</v>
      </c>
      <c r="Y110" s="14">
        <f t="shared" si="93"/>
        <v>146153.3333</v>
      </c>
      <c r="Z110" s="14">
        <f t="shared" si="93"/>
        <v>169745.4273</v>
      </c>
      <c r="AA110" s="14">
        <f t="shared" si="93"/>
        <v>164076.7708</v>
      </c>
      <c r="AB110" s="14">
        <f t="shared" si="93"/>
        <v>187973.2063</v>
      </c>
      <c r="AC110" s="14">
        <f t="shared" si="93"/>
        <v>178114.1042</v>
      </c>
      <c r="AD110" s="14">
        <f t="shared" si="93"/>
        <v>205869.746</v>
      </c>
      <c r="AE110" s="14">
        <f t="shared" si="93"/>
        <v>199001.6042</v>
      </c>
      <c r="AF110" s="14">
        <f t="shared" si="93"/>
        <v>225546.2901</v>
      </c>
      <c r="AG110" s="14">
        <f t="shared" si="93"/>
        <v>211425.8542</v>
      </c>
      <c r="AH110" s="14">
        <f t="shared" si="93"/>
        <v>245735.7203</v>
      </c>
      <c r="AI110" s="14">
        <f t="shared" si="93"/>
        <v>222171.715</v>
      </c>
      <c r="AJ110" s="14">
        <f t="shared" si="93"/>
        <v>265880.1301</v>
      </c>
      <c r="AK110" s="14">
        <f t="shared" si="93"/>
        <v>233855.3817</v>
      </c>
      <c r="AL110" s="14">
        <f t="shared" si="93"/>
        <v>286568.3127</v>
      </c>
      <c r="AM110" s="14">
        <f t="shared" si="93"/>
        <v>249866.3317</v>
      </c>
      <c r="AN110" s="14">
        <f t="shared" si="93"/>
        <v>276965.3075</v>
      </c>
      <c r="AO110" s="14">
        <f t="shared" si="93"/>
        <v>263605.9842</v>
      </c>
      <c r="AP110" s="14">
        <f t="shared" si="93"/>
        <v>283518.4282</v>
      </c>
      <c r="AQ110" s="14">
        <f t="shared" si="93"/>
        <v>272487.5675</v>
      </c>
      <c r="AR110" s="14">
        <f t="shared" si="93"/>
        <v>290098.1931</v>
      </c>
      <c r="AS110" s="14">
        <f t="shared" si="93"/>
        <v>284670.9008</v>
      </c>
      <c r="AT110" s="14">
        <f t="shared" si="93"/>
        <v>298794.6483</v>
      </c>
      <c r="AU110" s="14">
        <f t="shared" si="93"/>
        <v>302663.1175</v>
      </c>
      <c r="AV110" s="14">
        <f t="shared" si="93"/>
        <v>308544.6202</v>
      </c>
      <c r="AW110" s="14">
        <f t="shared" si="93"/>
        <v>319468.8675</v>
      </c>
      <c r="AX110" s="14">
        <f t="shared" si="93"/>
        <v>319037.5297</v>
      </c>
      <c r="AY110" s="14">
        <f t="shared" si="93"/>
        <v>340068.6175</v>
      </c>
      <c r="AZ110" s="14">
        <f t="shared" si="93"/>
        <v>332886.3208</v>
      </c>
      <c r="BA110" s="14">
        <f t="shared" si="93"/>
        <v>352422.4508</v>
      </c>
      <c r="BB110" s="14">
        <f t="shared" si="93"/>
        <v>349636.5718</v>
      </c>
      <c r="BC110" s="14">
        <f t="shared" si="93"/>
        <v>362027.3571</v>
      </c>
      <c r="BD110" s="14">
        <f t="shared" si="93"/>
        <v>367518.7434</v>
      </c>
      <c r="BE110" s="14">
        <f t="shared" si="93"/>
        <v>379682.0654</v>
      </c>
      <c r="BF110" s="14">
        <f t="shared" si="93"/>
        <v>386783.822</v>
      </c>
      <c r="BG110" s="14">
        <f t="shared" si="93"/>
        <v>385868.9521</v>
      </c>
      <c r="BH110" s="14">
        <f t="shared" si="93"/>
        <v>406636.8544</v>
      </c>
      <c r="BI110" s="14">
        <f t="shared" si="93"/>
        <v>395885.5675</v>
      </c>
      <c r="BJ110" s="14">
        <f t="shared" si="93"/>
        <v>426848.1586</v>
      </c>
      <c r="BK110" s="14">
        <f t="shared" si="93"/>
        <v>416260.4845</v>
      </c>
      <c r="BL110" s="14">
        <f t="shared" si="93"/>
        <v>424579.622</v>
      </c>
      <c r="BM110" s="14">
        <f t="shared" si="93"/>
        <v>423587.2855</v>
      </c>
      <c r="BN110" s="14">
        <f t="shared" si="93"/>
        <v>441822.5713</v>
      </c>
      <c r="BO110" s="14">
        <f t="shared" si="93"/>
        <v>432595.0776</v>
      </c>
      <c r="BP110" s="14">
        <f t="shared" si="93"/>
        <v>459368.7653</v>
      </c>
      <c r="BQ110" s="14">
        <f t="shared" si="93"/>
        <v>437257.9333</v>
      </c>
      <c r="BR110" s="14">
        <f t="shared" si="93"/>
        <v>477969.4897</v>
      </c>
      <c r="BS110" s="14">
        <f t="shared" si="93"/>
        <v>448060.5978</v>
      </c>
      <c r="BT110" s="14">
        <f t="shared" si="93"/>
        <v>496011.4641</v>
      </c>
      <c r="BU110" s="14">
        <f t="shared" si="93"/>
        <v>471692.3041</v>
      </c>
      <c r="BV110" s="14">
        <f t="shared" si="93"/>
        <v>509744.4851</v>
      </c>
      <c r="BW110" s="14">
        <f t="shared" si="93"/>
        <v>489479.278</v>
      </c>
      <c r="BX110" s="14">
        <f t="shared" si="93"/>
        <v>523411.0042</v>
      </c>
      <c r="BY110" s="14">
        <f t="shared" si="93"/>
        <v>499894.5113</v>
      </c>
      <c r="BZ110" s="14">
        <f t="shared" si="93"/>
        <v>536673.3015</v>
      </c>
      <c r="CA110" s="14">
        <f t="shared" si="93"/>
        <v>513107.5643</v>
      </c>
      <c r="CB110" s="14">
        <f t="shared" si="93"/>
        <v>550277.4801</v>
      </c>
      <c r="CC110" s="14">
        <f t="shared" si="93"/>
        <v>533591.1472</v>
      </c>
      <c r="CD110" s="14">
        <f t="shared" si="93"/>
        <v>563164.9085</v>
      </c>
      <c r="CE110" s="14">
        <f t="shared" si="93"/>
        <v>542837.0137</v>
      </c>
      <c r="CF110" s="14">
        <f t="shared" si="93"/>
        <v>576870.9577</v>
      </c>
      <c r="CG110" s="14">
        <f t="shared" si="93"/>
        <v>562740.3779</v>
      </c>
      <c r="CH110" s="14">
        <f t="shared" si="93"/>
        <v>590968.5272</v>
      </c>
      <c r="CI110" s="14">
        <f t="shared" si="93"/>
        <v>582107.8045</v>
      </c>
      <c r="CJ110" s="14">
        <f t="shared" si="93"/>
        <v>605533.4021</v>
      </c>
      <c r="CK110" s="14">
        <f t="shared" si="93"/>
        <v>595732.7815</v>
      </c>
      <c r="CL110" s="14">
        <f t="shared" si="93"/>
        <v>620500.8891</v>
      </c>
      <c r="CM110" s="14">
        <f t="shared" si="93"/>
        <v>635425.5132</v>
      </c>
      <c r="CO110" s="44" t="s">
        <v>37</v>
      </c>
      <c r="CP110" s="12" t="b">
        <f t="shared" si="58"/>
        <v>0</v>
      </c>
    </row>
    <row r="111" ht="15.75" customHeight="1">
      <c r="B111" s="19">
        <f>B110-C111</f>
        <v>0.00000002980232239</v>
      </c>
      <c r="C111" s="9">
        <f t="shared" si="87"/>
        <v>156444851.1</v>
      </c>
      <c r="D111" s="42" t="s">
        <v>35</v>
      </c>
      <c r="E111" s="14">
        <f t="shared" ref="E111:CM111" si="94">E110*12</f>
        <v>18000</v>
      </c>
      <c r="F111" s="14">
        <f t="shared" si="94"/>
        <v>37000</v>
      </c>
      <c r="G111" s="14">
        <f t="shared" si="94"/>
        <v>68000</v>
      </c>
      <c r="H111" s="14">
        <f t="shared" si="94"/>
        <v>92244</v>
      </c>
      <c r="I111" s="14">
        <f t="shared" si="94"/>
        <v>113744</v>
      </c>
      <c r="J111" s="14">
        <f t="shared" si="94"/>
        <v>193856</v>
      </c>
      <c r="K111" s="14">
        <f t="shared" si="94"/>
        <v>256889.33</v>
      </c>
      <c r="L111" s="14">
        <f t="shared" si="94"/>
        <v>292189.33</v>
      </c>
      <c r="M111" s="14">
        <f t="shared" si="94"/>
        <v>330589.33</v>
      </c>
      <c r="N111" s="14">
        <f t="shared" si="94"/>
        <v>434174.33</v>
      </c>
      <c r="O111" s="14">
        <f t="shared" si="94"/>
        <v>577197.33</v>
      </c>
      <c r="P111" s="14">
        <f t="shared" si="94"/>
        <v>693750</v>
      </c>
      <c r="Q111" s="14">
        <f t="shared" si="94"/>
        <v>777633</v>
      </c>
      <c r="R111" s="14">
        <f t="shared" si="94"/>
        <v>882066</v>
      </c>
      <c r="S111" s="14">
        <f t="shared" si="94"/>
        <v>1007191</v>
      </c>
      <c r="T111" s="14">
        <f t="shared" si="94"/>
        <v>1164712</v>
      </c>
      <c r="U111" s="14">
        <f t="shared" si="94"/>
        <v>1412777</v>
      </c>
      <c r="V111" s="14">
        <f t="shared" si="94"/>
        <v>1613887</v>
      </c>
      <c r="W111" s="14">
        <f t="shared" si="94"/>
        <v>1543310</v>
      </c>
      <c r="X111" s="14">
        <f t="shared" si="94"/>
        <v>1818271.324</v>
      </c>
      <c r="Y111" s="50">
        <f t="shared" si="94"/>
        <v>1753840</v>
      </c>
      <c r="Z111" s="14">
        <f t="shared" si="94"/>
        <v>2036945.128</v>
      </c>
      <c r="AA111" s="50">
        <f t="shared" si="94"/>
        <v>1968921.25</v>
      </c>
      <c r="AB111" s="14">
        <f t="shared" si="94"/>
        <v>2255678.475</v>
      </c>
      <c r="AC111" s="50">
        <f t="shared" si="94"/>
        <v>2137369.25</v>
      </c>
      <c r="AD111" s="14">
        <f t="shared" si="94"/>
        <v>2470436.952</v>
      </c>
      <c r="AE111" s="50">
        <f t="shared" si="94"/>
        <v>2388019.25</v>
      </c>
      <c r="AF111" s="14">
        <f t="shared" si="94"/>
        <v>2706555.481</v>
      </c>
      <c r="AG111" s="50">
        <f t="shared" si="94"/>
        <v>2537110.25</v>
      </c>
      <c r="AH111" s="14">
        <f t="shared" si="94"/>
        <v>2948828.643</v>
      </c>
      <c r="AI111" s="50">
        <f t="shared" si="94"/>
        <v>2666060.58</v>
      </c>
      <c r="AJ111" s="14">
        <f t="shared" si="94"/>
        <v>3190561.561</v>
      </c>
      <c r="AK111" s="50">
        <f t="shared" si="94"/>
        <v>2806264.58</v>
      </c>
      <c r="AL111" s="14">
        <f t="shared" si="94"/>
        <v>3438819.753</v>
      </c>
      <c r="AM111" s="50">
        <f t="shared" si="94"/>
        <v>2998395.98</v>
      </c>
      <c r="AN111" s="14">
        <f t="shared" si="94"/>
        <v>3323583.69</v>
      </c>
      <c r="AO111" s="50">
        <f t="shared" si="94"/>
        <v>3163271.81</v>
      </c>
      <c r="AP111" s="14">
        <f t="shared" si="94"/>
        <v>3402221.139</v>
      </c>
      <c r="AQ111" s="50">
        <f t="shared" si="94"/>
        <v>3269850.81</v>
      </c>
      <c r="AR111" s="14">
        <f t="shared" si="94"/>
        <v>3481178.317</v>
      </c>
      <c r="AS111" s="50">
        <f t="shared" si="94"/>
        <v>3416050.81</v>
      </c>
      <c r="AT111" s="14">
        <f t="shared" si="94"/>
        <v>3585535.78</v>
      </c>
      <c r="AU111" s="50">
        <f t="shared" si="94"/>
        <v>3631957.41</v>
      </c>
      <c r="AV111" s="14">
        <f t="shared" si="94"/>
        <v>3702535.442</v>
      </c>
      <c r="AW111" s="50">
        <f t="shared" si="94"/>
        <v>3833626.41</v>
      </c>
      <c r="AX111" s="14">
        <f t="shared" si="94"/>
        <v>3828450.357</v>
      </c>
      <c r="AY111" s="50">
        <f t="shared" si="94"/>
        <v>4080823.41</v>
      </c>
      <c r="AZ111" s="14">
        <f t="shared" si="94"/>
        <v>3994635.849</v>
      </c>
      <c r="BA111" s="50">
        <f t="shared" si="94"/>
        <v>4229069.41</v>
      </c>
      <c r="BB111" s="14">
        <f t="shared" si="94"/>
        <v>4195638.862</v>
      </c>
      <c r="BC111" s="50">
        <f t="shared" si="94"/>
        <v>4344328.285</v>
      </c>
      <c r="BD111" s="14">
        <f t="shared" si="94"/>
        <v>4410224.921</v>
      </c>
      <c r="BE111" s="50">
        <f t="shared" si="94"/>
        <v>4556184.785</v>
      </c>
      <c r="BF111" s="14">
        <f t="shared" si="94"/>
        <v>4641405.864</v>
      </c>
      <c r="BG111" s="50">
        <f t="shared" si="94"/>
        <v>4630427.425</v>
      </c>
      <c r="BH111" s="14">
        <f t="shared" si="94"/>
        <v>4879642.253</v>
      </c>
      <c r="BI111" s="50">
        <f t="shared" si="94"/>
        <v>4750626.81</v>
      </c>
      <c r="BJ111" s="14">
        <f t="shared" si="94"/>
        <v>5122177.904</v>
      </c>
      <c r="BK111" s="50">
        <f t="shared" si="94"/>
        <v>4995125.814</v>
      </c>
      <c r="BL111" s="14">
        <f t="shared" si="94"/>
        <v>5094955.464</v>
      </c>
      <c r="BM111" s="50">
        <f t="shared" si="94"/>
        <v>5083047.426</v>
      </c>
      <c r="BN111" s="14">
        <f t="shared" si="94"/>
        <v>5301870.855</v>
      </c>
      <c r="BO111" s="50">
        <f t="shared" si="94"/>
        <v>5191140.931</v>
      </c>
      <c r="BP111" s="14">
        <f t="shared" si="94"/>
        <v>5512425.184</v>
      </c>
      <c r="BQ111" s="50">
        <f t="shared" si="94"/>
        <v>5247095.2</v>
      </c>
      <c r="BR111" s="14">
        <f t="shared" si="94"/>
        <v>5735633.876</v>
      </c>
      <c r="BS111" s="50">
        <f t="shared" si="94"/>
        <v>5376727.174</v>
      </c>
      <c r="BT111" s="14">
        <f t="shared" si="94"/>
        <v>5952137.569</v>
      </c>
      <c r="BU111" s="50">
        <f t="shared" si="94"/>
        <v>5660307.649</v>
      </c>
      <c r="BV111" s="14">
        <f t="shared" si="94"/>
        <v>6116933.821</v>
      </c>
      <c r="BW111" s="50">
        <f t="shared" si="94"/>
        <v>5873751.336</v>
      </c>
      <c r="BX111" s="14">
        <f t="shared" si="94"/>
        <v>6280932.05</v>
      </c>
      <c r="BY111" s="50">
        <f t="shared" si="94"/>
        <v>5998734.136</v>
      </c>
      <c r="BZ111" s="14">
        <f t="shared" si="94"/>
        <v>6440079.618</v>
      </c>
      <c r="CA111" s="50">
        <f t="shared" si="94"/>
        <v>6157290.771</v>
      </c>
      <c r="CB111" s="14">
        <f t="shared" si="94"/>
        <v>6603329.762</v>
      </c>
      <c r="CC111" s="50">
        <f t="shared" si="94"/>
        <v>6403093.766</v>
      </c>
      <c r="CD111" s="14">
        <f t="shared" si="94"/>
        <v>6757978.902</v>
      </c>
      <c r="CE111" s="50">
        <f t="shared" si="94"/>
        <v>6514044.165</v>
      </c>
      <c r="CF111" s="14">
        <f t="shared" si="94"/>
        <v>6922451.492</v>
      </c>
      <c r="CG111" s="50">
        <f t="shared" si="94"/>
        <v>6752884.534</v>
      </c>
      <c r="CH111" s="14">
        <f t="shared" si="94"/>
        <v>7091622.327</v>
      </c>
      <c r="CI111" s="50">
        <f t="shared" si="94"/>
        <v>6985293.654</v>
      </c>
      <c r="CJ111" s="14">
        <f t="shared" si="94"/>
        <v>7266400.825</v>
      </c>
      <c r="CK111" s="50">
        <f t="shared" si="94"/>
        <v>7148793.378</v>
      </c>
      <c r="CL111" s="14">
        <f t="shared" si="94"/>
        <v>7446010.669</v>
      </c>
      <c r="CM111" s="14">
        <f t="shared" si="94"/>
        <v>7625106.158</v>
      </c>
      <c r="CO111" s="44" t="s">
        <v>38</v>
      </c>
      <c r="CP111" s="12" t="b">
        <f t="shared" si="58"/>
        <v>0</v>
      </c>
    </row>
    <row r="112" ht="15.75" customHeight="1">
      <c r="C112" s="4"/>
      <c r="D112" s="44" t="s">
        <v>36</v>
      </c>
      <c r="E112" s="46">
        <f t="shared" ref="E112:CM112" si="95">IFERROR(E105/E$103,0)</f>
        <v>0</v>
      </c>
      <c r="F112" s="46">
        <f t="shared" si="95"/>
        <v>0</v>
      </c>
      <c r="G112" s="46">
        <f t="shared" si="95"/>
        <v>0</v>
      </c>
      <c r="H112" s="46">
        <f t="shared" si="95"/>
        <v>0</v>
      </c>
      <c r="I112" s="46">
        <f t="shared" si="95"/>
        <v>0</v>
      </c>
      <c r="J112" s="46">
        <f t="shared" si="95"/>
        <v>0</v>
      </c>
      <c r="K112" s="46">
        <f t="shared" si="95"/>
        <v>0</v>
      </c>
      <c r="L112" s="46">
        <f t="shared" si="95"/>
        <v>0</v>
      </c>
      <c r="M112" s="46">
        <f t="shared" si="95"/>
        <v>0</v>
      </c>
      <c r="N112" s="46">
        <f t="shared" si="95"/>
        <v>0</v>
      </c>
      <c r="O112" s="46">
        <f t="shared" si="95"/>
        <v>0.00548166908</v>
      </c>
      <c r="P112" s="46">
        <f t="shared" si="95"/>
        <v>0.003465019493</v>
      </c>
      <c r="Q112" s="46">
        <f t="shared" si="95"/>
        <v>0</v>
      </c>
      <c r="R112" s="46">
        <f t="shared" si="95"/>
        <v>0.005829227926</v>
      </c>
      <c r="S112" s="46">
        <f t="shared" si="95"/>
        <v>0.002834255033</v>
      </c>
      <c r="T112" s="46">
        <f t="shared" si="95"/>
        <v>0.003326082143</v>
      </c>
      <c r="U112" s="46">
        <f t="shared" si="95"/>
        <v>0.01223478422</v>
      </c>
      <c r="V112" s="46">
        <f t="shared" si="95"/>
        <v>0.002622494562</v>
      </c>
      <c r="W112" s="46">
        <f t="shared" si="95"/>
        <v>0.01371412473</v>
      </c>
      <c r="X112" s="46">
        <f t="shared" si="95"/>
        <v>0.003105095803</v>
      </c>
      <c r="Y112" s="46">
        <f t="shared" si="95"/>
        <v>0.02579520641</v>
      </c>
      <c r="Z112" s="46">
        <f t="shared" si="95"/>
        <v>0.002066467791</v>
      </c>
      <c r="AA112" s="46">
        <f t="shared" si="95"/>
        <v>0.02597158236</v>
      </c>
      <c r="AB112" s="46">
        <f t="shared" si="95"/>
        <v>0.001619176643</v>
      </c>
      <c r="AC112" s="46">
        <f t="shared" si="95"/>
        <v>0.006838770215</v>
      </c>
      <c r="AD112" s="46">
        <f t="shared" si="95"/>
        <v>0.00492672452</v>
      </c>
      <c r="AE112" s="46">
        <f t="shared" si="95"/>
        <v>0.01547463079</v>
      </c>
      <c r="AF112" s="46">
        <f t="shared" si="95"/>
        <v>0.002892631273</v>
      </c>
      <c r="AG112" s="46">
        <f t="shared" si="95"/>
        <v>0.01014962505</v>
      </c>
      <c r="AH112" s="46">
        <f t="shared" si="95"/>
        <v>0.002858854094</v>
      </c>
      <c r="AI112" s="46">
        <f t="shared" si="95"/>
        <v>0.01611912608</v>
      </c>
      <c r="AJ112" s="46">
        <f t="shared" si="95"/>
        <v>0.003086981426</v>
      </c>
      <c r="AK112" s="46">
        <f t="shared" si="95"/>
        <v>0.01458612767</v>
      </c>
      <c r="AL112" s="46">
        <f t="shared" si="95"/>
        <v>0.003159090831</v>
      </c>
      <c r="AM112" s="46">
        <f t="shared" si="95"/>
        <v>0.01937883918</v>
      </c>
      <c r="AN112" s="46">
        <f t="shared" si="95"/>
        <v>0.01016233874</v>
      </c>
      <c r="AO112" s="46">
        <f t="shared" si="95"/>
        <v>0.01344329777</v>
      </c>
      <c r="AP112" s="46">
        <f t="shared" si="95"/>
        <v>0.01084672551</v>
      </c>
      <c r="AQ112" s="46">
        <f t="shared" si="95"/>
        <v>0.01597586393</v>
      </c>
      <c r="AR112" s="46">
        <f t="shared" si="95"/>
        <v>0.01091389962</v>
      </c>
      <c r="AS112" s="46">
        <f t="shared" si="95"/>
        <v>0.007110416148</v>
      </c>
      <c r="AT112" s="46">
        <f t="shared" si="95"/>
        <v>0.01098635046</v>
      </c>
      <c r="AU112" s="46">
        <f t="shared" si="95"/>
        <v>0.01841673426</v>
      </c>
      <c r="AV112" s="46">
        <f t="shared" si="95"/>
        <v>0.01098658911</v>
      </c>
      <c r="AW112" s="46">
        <f t="shared" si="95"/>
        <v>0.02448927395</v>
      </c>
      <c r="AX112" s="46">
        <f t="shared" si="95"/>
        <v>0.01189790497</v>
      </c>
      <c r="AY112" s="46">
        <f t="shared" si="95"/>
        <v>0.01247513317</v>
      </c>
      <c r="AZ112" s="46">
        <f t="shared" si="95"/>
        <v>0.01247556777</v>
      </c>
      <c r="BA112" s="46">
        <f t="shared" si="95"/>
        <v>0.0126638658</v>
      </c>
      <c r="BB112" s="46">
        <f t="shared" si="95"/>
        <v>0.01231525387</v>
      </c>
      <c r="BC112" s="46">
        <f t="shared" si="95"/>
        <v>0.0145178511</v>
      </c>
      <c r="BD112" s="46">
        <f t="shared" si="95"/>
        <v>0.01207701733</v>
      </c>
      <c r="BE112" s="46">
        <f t="shared" si="95"/>
        <v>0.01296932375</v>
      </c>
      <c r="BF112" s="46">
        <f t="shared" si="95"/>
        <v>0.01242577753</v>
      </c>
      <c r="BG112" s="46">
        <f t="shared" si="95"/>
        <v>0.009012505405</v>
      </c>
      <c r="BH112" s="46">
        <f t="shared" si="95"/>
        <v>0.01216107567</v>
      </c>
      <c r="BI112" s="46">
        <f t="shared" si="95"/>
        <v>0.01006153405</v>
      </c>
      <c r="BJ112" s="46">
        <f t="shared" si="95"/>
        <v>0.01276538749</v>
      </c>
      <c r="BK112" s="46">
        <f t="shared" si="95"/>
        <v>0.00891262768</v>
      </c>
      <c r="BL112" s="46">
        <f t="shared" si="95"/>
        <v>0.01661352157</v>
      </c>
      <c r="BM112" s="46">
        <f t="shared" si="95"/>
        <v>0.01061956675</v>
      </c>
      <c r="BN112" s="46">
        <f t="shared" si="95"/>
        <v>0.01662603912</v>
      </c>
      <c r="BO112" s="46">
        <f t="shared" si="95"/>
        <v>0.009929131727</v>
      </c>
      <c r="BP112" s="46">
        <f t="shared" si="95"/>
        <v>0.01602510849</v>
      </c>
      <c r="BQ112" s="46">
        <f t="shared" si="95"/>
        <v>0.01261743437</v>
      </c>
      <c r="BR112" s="46">
        <f t="shared" si="95"/>
        <v>0.01603181214</v>
      </c>
      <c r="BS112" s="46">
        <f t="shared" si="95"/>
        <v>0.01092905379</v>
      </c>
      <c r="BT112" s="46">
        <f t="shared" si="95"/>
        <v>0.01545413975</v>
      </c>
      <c r="BU112" s="46">
        <f t="shared" si="95"/>
        <v>0.01087204132</v>
      </c>
      <c r="BV112" s="46">
        <f t="shared" si="95"/>
        <v>0.01547013828</v>
      </c>
      <c r="BW112" s="46">
        <f t="shared" si="95"/>
        <v>0.01471941194</v>
      </c>
      <c r="BX112" s="46">
        <f t="shared" si="95"/>
        <v>0.01509851751</v>
      </c>
      <c r="BY112" s="46">
        <f t="shared" si="95"/>
        <v>0.00918745056</v>
      </c>
      <c r="BZ112" s="46">
        <f t="shared" si="95"/>
        <v>0.01474840065</v>
      </c>
      <c r="CA112" s="46">
        <f t="shared" si="95"/>
        <v>0.009935596185</v>
      </c>
      <c r="CB112" s="46">
        <f t="shared" si="95"/>
        <v>0.01542206092</v>
      </c>
      <c r="CC112" s="46">
        <f t="shared" si="95"/>
        <v>0.01700894906</v>
      </c>
      <c r="CD112" s="46">
        <f t="shared" si="95"/>
        <v>0.01508591297</v>
      </c>
      <c r="CE112" s="46">
        <f t="shared" si="95"/>
        <v>0.005833436361</v>
      </c>
      <c r="CF112" s="46">
        <f t="shared" si="95"/>
        <v>0.01478491</v>
      </c>
      <c r="CG112" s="46">
        <f t="shared" si="95"/>
        <v>0.01347227587</v>
      </c>
      <c r="CH112" s="46">
        <f t="shared" si="95"/>
        <v>0.01447693181</v>
      </c>
      <c r="CI112" s="46">
        <f t="shared" si="95"/>
        <v>0.01220226402</v>
      </c>
      <c r="CJ112" s="46">
        <f t="shared" si="95"/>
        <v>0.01463120411</v>
      </c>
      <c r="CK112" s="46">
        <f t="shared" si="95"/>
        <v>0.004885864745</v>
      </c>
      <c r="CL112" s="46">
        <f t="shared" si="95"/>
        <v>0.01432211808</v>
      </c>
      <c r="CM112" s="46">
        <f t="shared" si="95"/>
        <v>0.01401857532</v>
      </c>
      <c r="CO112" s="44" t="s">
        <v>39</v>
      </c>
      <c r="CP112" s="12" t="b">
        <f t="shared" si="58"/>
        <v>0</v>
      </c>
    </row>
    <row r="113" ht="15.75" customHeight="1">
      <c r="C113" s="4"/>
      <c r="D113" s="44" t="s">
        <v>37</v>
      </c>
      <c r="E113" s="46">
        <f t="shared" ref="E113:CM113" si="96">IFERROR((E107+E108)/E$103,0)</f>
        <v>0</v>
      </c>
      <c r="F113" s="46">
        <f t="shared" si="96"/>
        <v>0</v>
      </c>
      <c r="G113" s="46">
        <f t="shared" si="96"/>
        <v>0</v>
      </c>
      <c r="H113" s="46">
        <f t="shared" si="96"/>
        <v>0</v>
      </c>
      <c r="I113" s="46">
        <f t="shared" si="96"/>
        <v>0</v>
      </c>
      <c r="J113" s="46">
        <f t="shared" si="96"/>
        <v>0</v>
      </c>
      <c r="K113" s="46">
        <f t="shared" si="96"/>
        <v>0</v>
      </c>
      <c r="L113" s="46">
        <f t="shared" si="96"/>
        <v>0</v>
      </c>
      <c r="M113" s="46">
        <f t="shared" si="96"/>
        <v>0</v>
      </c>
      <c r="N113" s="46">
        <f t="shared" si="96"/>
        <v>0</v>
      </c>
      <c r="O113" s="46">
        <f t="shared" si="96"/>
        <v>0</v>
      </c>
      <c r="P113" s="46">
        <f t="shared" si="96"/>
        <v>0</v>
      </c>
      <c r="Q113" s="46">
        <f t="shared" si="96"/>
        <v>-0.01810594595</v>
      </c>
      <c r="R113" s="46">
        <f t="shared" si="96"/>
        <v>-0.01928930485</v>
      </c>
      <c r="S113" s="46">
        <f t="shared" si="96"/>
        <v>-0.006235361073</v>
      </c>
      <c r="T113" s="46">
        <f t="shared" si="96"/>
        <v>-0.004467871536</v>
      </c>
      <c r="U113" s="46">
        <f t="shared" si="96"/>
        <v>-0.004722197419</v>
      </c>
      <c r="V113" s="46">
        <f t="shared" si="96"/>
        <v>-0.007867483686</v>
      </c>
      <c r="W113" s="46">
        <f t="shared" si="96"/>
        <v>-0.02745585467</v>
      </c>
      <c r="X113" s="46">
        <f t="shared" si="96"/>
        <v>-0.008665383636</v>
      </c>
      <c r="Y113" s="46">
        <f t="shared" si="96"/>
        <v>-0.01652292799</v>
      </c>
      <c r="Z113" s="46">
        <f t="shared" si="96"/>
        <v>-0.005364545914</v>
      </c>
      <c r="AA113" s="46">
        <f t="shared" si="96"/>
        <v>-0.002850887196</v>
      </c>
      <c r="AB113" s="46">
        <f t="shared" si="96"/>
        <v>-0.003910120058</v>
      </c>
      <c r="AC113" s="46">
        <f t="shared" si="96"/>
        <v>-0.01529365382</v>
      </c>
      <c r="AD113" s="46">
        <f t="shared" si="96"/>
        <v>-0.01106740179</v>
      </c>
      <c r="AE113" s="46">
        <f t="shared" si="96"/>
        <v>-0.007626197486</v>
      </c>
      <c r="AF113" s="46">
        <f t="shared" si="96"/>
        <v>-0.002014887284</v>
      </c>
      <c r="AG113" s="46">
        <f t="shared" si="96"/>
        <v>-0.01856517698</v>
      </c>
      <c r="AH113" s="46">
        <f t="shared" si="96"/>
        <v>-0.001806116754</v>
      </c>
      <c r="AI113" s="46">
        <f t="shared" si="96"/>
        <v>-0.01597119006</v>
      </c>
      <c r="AJ113" s="46">
        <f t="shared" si="96"/>
        <v>-0.001768821458</v>
      </c>
      <c r="AK113" s="46">
        <f t="shared" si="96"/>
        <v>-0.0243415324</v>
      </c>
      <c r="AL113" s="46">
        <f t="shared" si="96"/>
        <v>-0.001641754617</v>
      </c>
      <c r="AM113" s="46">
        <f t="shared" si="96"/>
        <v>-0.02460183209</v>
      </c>
      <c r="AN113" s="46">
        <f t="shared" si="96"/>
        <v>-0.0275</v>
      </c>
      <c r="AO113" s="46">
        <f t="shared" si="96"/>
        <v>-0.01612078602</v>
      </c>
      <c r="AP113" s="46">
        <f t="shared" si="96"/>
        <v>-0.0275</v>
      </c>
      <c r="AQ113" s="46">
        <f t="shared" si="96"/>
        <v>-0.02082369267</v>
      </c>
      <c r="AR113" s="46">
        <f t="shared" si="96"/>
        <v>-0.0275</v>
      </c>
      <c r="AS113" s="46">
        <f t="shared" si="96"/>
        <v>-0.02488645652</v>
      </c>
      <c r="AT113" s="46">
        <f t="shared" si="96"/>
        <v>-0.0275</v>
      </c>
      <c r="AU113" s="46">
        <f t="shared" si="96"/>
        <v>-0.007440946114</v>
      </c>
      <c r="AV113" s="46">
        <f t="shared" si="96"/>
        <v>-0.0275</v>
      </c>
      <c r="AW113" s="46">
        <f t="shared" si="96"/>
        <v>-0.01466151554</v>
      </c>
      <c r="AX113" s="46">
        <f t="shared" si="96"/>
        <v>-0.0275</v>
      </c>
      <c r="AY113" s="46">
        <f t="shared" si="96"/>
        <v>-0.001630310138</v>
      </c>
      <c r="AZ113" s="46">
        <f t="shared" si="96"/>
        <v>-0.019</v>
      </c>
      <c r="BA113" s="46">
        <f t="shared" si="96"/>
        <v>-0.01853449473</v>
      </c>
      <c r="BB113" s="46">
        <f t="shared" si="96"/>
        <v>-0.01</v>
      </c>
      <c r="BC113" s="46">
        <f t="shared" si="96"/>
        <v>-0.01145050963</v>
      </c>
      <c r="BD113" s="46">
        <f t="shared" si="96"/>
        <v>-0.01</v>
      </c>
      <c r="BE113" s="46">
        <f t="shared" si="96"/>
        <v>-0.01517495817</v>
      </c>
      <c r="BF113" s="46">
        <f t="shared" si="96"/>
        <v>-0.01</v>
      </c>
      <c r="BG113" s="46">
        <f t="shared" si="96"/>
        <v>-0.01606058653</v>
      </c>
      <c r="BH113" s="46">
        <f t="shared" si="96"/>
        <v>-0.01</v>
      </c>
      <c r="BI113" s="46">
        <f t="shared" si="96"/>
        <v>-0.01939680547</v>
      </c>
      <c r="BJ113" s="46">
        <f t="shared" si="96"/>
        <v>-0.01</v>
      </c>
      <c r="BK113" s="46">
        <f t="shared" si="96"/>
        <v>-0.011450068</v>
      </c>
      <c r="BL113" s="46">
        <f t="shared" si="96"/>
        <v>-0.01</v>
      </c>
      <c r="BM113" s="46">
        <f t="shared" si="96"/>
        <v>-0.01975025328</v>
      </c>
      <c r="BN113" s="46">
        <f t="shared" si="96"/>
        <v>-0.01</v>
      </c>
      <c r="BO113" s="46">
        <f t="shared" si="96"/>
        <v>-0.02014047705</v>
      </c>
      <c r="BP113" s="46">
        <f t="shared" si="96"/>
        <v>-0.01</v>
      </c>
      <c r="BQ113" s="46">
        <f t="shared" si="96"/>
        <v>-0.04796716816</v>
      </c>
      <c r="BR113" s="46">
        <f t="shared" si="96"/>
        <v>-0.008</v>
      </c>
      <c r="BS113" s="46">
        <f t="shared" si="96"/>
        <v>-0.01577272697</v>
      </c>
      <c r="BT113" s="46">
        <f t="shared" si="96"/>
        <v>-0.008</v>
      </c>
      <c r="BU113" s="46">
        <f t="shared" si="96"/>
        <v>-0.00433840127</v>
      </c>
      <c r="BV113" s="46">
        <f t="shared" si="96"/>
        <v>-0.008</v>
      </c>
      <c r="BW113" s="46">
        <f t="shared" si="96"/>
        <v>-0.02138982676</v>
      </c>
      <c r="BX113" s="46">
        <f t="shared" si="96"/>
        <v>-0.008</v>
      </c>
      <c r="BY113" s="46">
        <f t="shared" si="96"/>
        <v>-0.02072840558</v>
      </c>
      <c r="BZ113" s="46">
        <f t="shared" si="96"/>
        <v>-0.008</v>
      </c>
      <c r="CA113" s="46">
        <f t="shared" si="96"/>
        <v>-0.01573832043</v>
      </c>
      <c r="CB113" s="46">
        <f t="shared" si="96"/>
        <v>-0.008</v>
      </c>
      <c r="CC113" s="46">
        <f t="shared" si="96"/>
        <v>-0.0179432031</v>
      </c>
      <c r="CD113" s="46">
        <f t="shared" si="96"/>
        <v>-0.007</v>
      </c>
      <c r="CE113" s="46">
        <f t="shared" si="96"/>
        <v>-0.02829323265</v>
      </c>
      <c r="CF113" s="46">
        <f t="shared" si="96"/>
        <v>-0.007</v>
      </c>
      <c r="CG113" s="46">
        <f t="shared" si="96"/>
        <v>-0.009335096672</v>
      </c>
      <c r="CH113" s="46">
        <f t="shared" si="96"/>
        <v>-0.007</v>
      </c>
      <c r="CI113" s="46">
        <f t="shared" si="96"/>
        <v>-0.0118142639</v>
      </c>
      <c r="CJ113" s="46">
        <f t="shared" si="96"/>
        <v>-0.006</v>
      </c>
      <c r="CK113" s="46">
        <f t="shared" si="96"/>
        <v>-0.01147798789</v>
      </c>
      <c r="CL113" s="46">
        <f t="shared" si="96"/>
        <v>-0.006</v>
      </c>
      <c r="CM113" s="46">
        <f t="shared" si="96"/>
        <v>-0.006</v>
      </c>
      <c r="CO113" s="44" t="s">
        <v>40</v>
      </c>
      <c r="CP113" s="12" t="b">
        <f t="shared" si="58"/>
        <v>0</v>
      </c>
    </row>
    <row r="114" ht="15.75" customHeight="1">
      <c r="C114" s="4"/>
      <c r="D114" s="44" t="s">
        <v>38</v>
      </c>
      <c r="E114" s="46">
        <f t="shared" ref="E114:CM114" si="97">IFERROR(E109/E$103,0)</f>
        <v>0</v>
      </c>
      <c r="F114" s="46">
        <f t="shared" si="97"/>
        <v>0</v>
      </c>
      <c r="G114" s="46">
        <f t="shared" si="97"/>
        <v>0</v>
      </c>
      <c r="H114" s="46">
        <f t="shared" si="97"/>
        <v>0</v>
      </c>
      <c r="I114" s="46">
        <f t="shared" si="97"/>
        <v>0</v>
      </c>
      <c r="J114" s="46">
        <f t="shared" si="97"/>
        <v>0</v>
      </c>
      <c r="K114" s="46">
        <f t="shared" si="97"/>
        <v>0</v>
      </c>
      <c r="L114" s="46">
        <f t="shared" si="97"/>
        <v>0</v>
      </c>
      <c r="M114" s="46">
        <f t="shared" si="97"/>
        <v>0</v>
      </c>
      <c r="N114" s="46">
        <f t="shared" si="97"/>
        <v>0</v>
      </c>
      <c r="O114" s="46">
        <f t="shared" si="97"/>
        <v>0.00548166908</v>
      </c>
      <c r="P114" s="46">
        <f t="shared" si="97"/>
        <v>0.003465019493</v>
      </c>
      <c r="Q114" s="46">
        <f t="shared" si="97"/>
        <v>-0.01810594595</v>
      </c>
      <c r="R114" s="46">
        <f t="shared" si="97"/>
        <v>-0.01346007693</v>
      </c>
      <c r="S114" s="46">
        <f t="shared" si="97"/>
        <v>-0.00340110604</v>
      </c>
      <c r="T114" s="46">
        <f t="shared" si="97"/>
        <v>-0.001141789392</v>
      </c>
      <c r="U114" s="46">
        <f t="shared" si="97"/>
        <v>0.007512586803</v>
      </c>
      <c r="V114" s="46">
        <f t="shared" si="97"/>
        <v>-0.005244989124</v>
      </c>
      <c r="W114" s="46">
        <f t="shared" si="97"/>
        <v>-0.01374172994</v>
      </c>
      <c r="X114" s="46">
        <f t="shared" si="97"/>
        <v>-0.005560287833</v>
      </c>
      <c r="Y114" s="46">
        <f t="shared" si="97"/>
        <v>0.009272278415</v>
      </c>
      <c r="Z114" s="46">
        <f t="shared" si="97"/>
        <v>-0.003298078123</v>
      </c>
      <c r="AA114" s="46">
        <f t="shared" si="97"/>
        <v>0.02312069516</v>
      </c>
      <c r="AB114" s="46">
        <f t="shared" si="97"/>
        <v>-0.002290943415</v>
      </c>
      <c r="AC114" s="46">
        <f t="shared" si="97"/>
        <v>-0.008454883607</v>
      </c>
      <c r="AD114" s="46">
        <f t="shared" si="97"/>
        <v>-0.006140677272</v>
      </c>
      <c r="AE114" s="46">
        <f t="shared" si="97"/>
        <v>0.007848433302</v>
      </c>
      <c r="AF114" s="46">
        <f t="shared" si="97"/>
        <v>0.0008777439896</v>
      </c>
      <c r="AG114" s="46">
        <f t="shared" si="97"/>
        <v>-0.008415551927</v>
      </c>
      <c r="AH114" s="46">
        <f t="shared" si="97"/>
        <v>0.00105273734</v>
      </c>
      <c r="AI114" s="46">
        <f t="shared" si="97"/>
        <v>0.0001479360229</v>
      </c>
      <c r="AJ114" s="46">
        <f t="shared" si="97"/>
        <v>0.001318159968</v>
      </c>
      <c r="AK114" s="46">
        <f t="shared" si="97"/>
        <v>-0.009755404733</v>
      </c>
      <c r="AL114" s="46">
        <f t="shared" si="97"/>
        <v>0.001517336215</v>
      </c>
      <c r="AM114" s="46">
        <f t="shared" si="97"/>
        <v>-0.005022370343</v>
      </c>
      <c r="AN114" s="46">
        <f t="shared" si="97"/>
        <v>-0.01733766126</v>
      </c>
      <c r="AO114" s="46">
        <f t="shared" si="97"/>
        <v>-0.002519737236</v>
      </c>
      <c r="AP114" s="46">
        <f t="shared" si="97"/>
        <v>-0.01665327449</v>
      </c>
      <c r="AQ114" s="46">
        <f t="shared" si="97"/>
        <v>-0.004800409485</v>
      </c>
      <c r="AR114" s="46">
        <f t="shared" si="97"/>
        <v>-0.01658610038</v>
      </c>
      <c r="AS114" s="46">
        <f t="shared" si="97"/>
        <v>-0.01777604037</v>
      </c>
      <c r="AT114" s="46">
        <f t="shared" si="97"/>
        <v>-0.01651364954</v>
      </c>
      <c r="AU114" s="46">
        <f t="shared" si="97"/>
        <v>0.01185399523</v>
      </c>
      <c r="AV114" s="46">
        <f t="shared" si="97"/>
        <v>-0.01651341089</v>
      </c>
      <c r="AW114" s="46">
        <f t="shared" si="97"/>
        <v>0.01011685872</v>
      </c>
      <c r="AX114" s="46">
        <f t="shared" si="97"/>
        <v>-0.01560209503</v>
      </c>
      <c r="AY114" s="46">
        <f t="shared" si="97"/>
        <v>0.0111611032</v>
      </c>
      <c r="AZ114" s="46">
        <f t="shared" si="97"/>
        <v>-0.006524432234</v>
      </c>
      <c r="BA114" s="46">
        <f t="shared" si="97"/>
        <v>-0.0055612551</v>
      </c>
      <c r="BB114" s="46">
        <f t="shared" si="97"/>
        <v>0.002315253874</v>
      </c>
      <c r="BC114" s="46">
        <f t="shared" si="97"/>
        <v>0.003589176135</v>
      </c>
      <c r="BD114" s="46">
        <f t="shared" si="97"/>
        <v>0.002077017332</v>
      </c>
      <c r="BE114" s="46">
        <f t="shared" si="97"/>
        <v>-0.002124494144</v>
      </c>
      <c r="BF114" s="46">
        <f t="shared" si="97"/>
        <v>0.002425777529</v>
      </c>
      <c r="BG114" s="46">
        <f t="shared" si="97"/>
        <v>-0.00690816143</v>
      </c>
      <c r="BH114" s="46">
        <f t="shared" si="97"/>
        <v>0.002161075671</v>
      </c>
      <c r="BI114" s="46">
        <f t="shared" si="97"/>
        <v>-0.009140904913</v>
      </c>
      <c r="BJ114" s="46">
        <f t="shared" si="97"/>
        <v>0.002765387492</v>
      </c>
      <c r="BK114" s="46">
        <f t="shared" si="97"/>
        <v>-0.002537440317</v>
      </c>
      <c r="BL114" s="46">
        <f t="shared" si="97"/>
        <v>0.006613521574</v>
      </c>
      <c r="BM114" s="46">
        <f t="shared" si="97"/>
        <v>-0.008912035884</v>
      </c>
      <c r="BN114" s="46">
        <f t="shared" si="97"/>
        <v>0.006626039116</v>
      </c>
      <c r="BO114" s="46">
        <f t="shared" si="97"/>
        <v>-0.009970298974</v>
      </c>
      <c r="BP114" s="46">
        <f t="shared" si="97"/>
        <v>0.006025108485</v>
      </c>
      <c r="BQ114" s="46">
        <f t="shared" si="97"/>
        <v>-0.03534973379</v>
      </c>
      <c r="BR114" s="46">
        <f t="shared" si="97"/>
        <v>0.008031812139</v>
      </c>
      <c r="BS114" s="46">
        <f t="shared" si="97"/>
        <v>-0.00470073696</v>
      </c>
      <c r="BT114" s="46">
        <f t="shared" si="97"/>
        <v>0.007454139749</v>
      </c>
      <c r="BU114" s="46">
        <f t="shared" si="97"/>
        <v>0.007245388085</v>
      </c>
      <c r="BV114" s="46">
        <f t="shared" si="97"/>
        <v>0.007470138277</v>
      </c>
      <c r="BW114" s="46">
        <f t="shared" si="97"/>
        <v>-0.005271853467</v>
      </c>
      <c r="BX114" s="46">
        <f t="shared" si="97"/>
        <v>0.007098517511</v>
      </c>
      <c r="BY114" s="46">
        <f t="shared" si="97"/>
        <v>-0.01094040185</v>
      </c>
      <c r="BZ114" s="46">
        <f t="shared" si="97"/>
        <v>0.006748400648</v>
      </c>
      <c r="CA114" s="46">
        <f t="shared" si="97"/>
        <v>-0.005540056326</v>
      </c>
      <c r="CB114" s="46">
        <f t="shared" si="97"/>
        <v>0.00742206092</v>
      </c>
      <c r="CC114" s="46">
        <f t="shared" si="97"/>
        <v>0.000624137356</v>
      </c>
      <c r="CD114" s="46">
        <f t="shared" si="97"/>
        <v>0.008085912971</v>
      </c>
      <c r="CE114" s="46">
        <f t="shared" si="97"/>
        <v>-0.02155458075</v>
      </c>
      <c r="CF114" s="46">
        <f t="shared" si="97"/>
        <v>0.007784910004</v>
      </c>
      <c r="CG114" s="46">
        <f t="shared" si="97"/>
        <v>0.004500898207</v>
      </c>
      <c r="CH114" s="46">
        <f t="shared" si="97"/>
        <v>0.00747693181</v>
      </c>
      <c r="CI114" s="46">
        <f t="shared" si="97"/>
        <v>0.0004916595246</v>
      </c>
      <c r="CJ114" s="46">
        <f t="shared" si="97"/>
        <v>0.008631204107</v>
      </c>
      <c r="CK114" s="46">
        <f t="shared" si="97"/>
        <v>-0.006336514711</v>
      </c>
      <c r="CL114" s="46">
        <f t="shared" si="97"/>
        <v>0.00832211808</v>
      </c>
      <c r="CM114" s="46">
        <f t="shared" si="97"/>
        <v>0.008018575319</v>
      </c>
      <c r="CO114" s="4"/>
      <c r="CP114" s="12" t="b">
        <f t="shared" si="58"/>
        <v>0</v>
      </c>
    </row>
    <row r="115" ht="15.75" customHeight="1">
      <c r="C115" s="4"/>
      <c r="D115" s="44" t="s">
        <v>39</v>
      </c>
      <c r="E115" s="46"/>
      <c r="F115" s="46">
        <f t="shared" ref="F115:V115" si="98">F110/E110</f>
        <v>2.055555556</v>
      </c>
      <c r="G115" s="46">
        <f t="shared" si="98"/>
        <v>1.837837838</v>
      </c>
      <c r="H115" s="46">
        <f t="shared" si="98"/>
        <v>1.356529412</v>
      </c>
      <c r="I115" s="46">
        <f t="shared" si="98"/>
        <v>1.23307749</v>
      </c>
      <c r="J115" s="46">
        <f t="shared" si="98"/>
        <v>1.70431847</v>
      </c>
      <c r="K115" s="46">
        <f t="shared" si="98"/>
        <v>1.325155425</v>
      </c>
      <c r="L115" s="46">
        <f t="shared" si="98"/>
        <v>1.137413259</v>
      </c>
      <c r="M115" s="46">
        <f t="shared" si="98"/>
        <v>1.131421637</v>
      </c>
      <c r="N115" s="46">
        <f t="shared" si="98"/>
        <v>1.313334372</v>
      </c>
      <c r="O115" s="46">
        <f t="shared" si="98"/>
        <v>1.329413763</v>
      </c>
      <c r="P115" s="46">
        <f t="shared" si="98"/>
        <v>1.201928637</v>
      </c>
      <c r="Q115" s="46">
        <f t="shared" si="98"/>
        <v>1.120912432</v>
      </c>
      <c r="R115" s="46">
        <f t="shared" si="98"/>
        <v>1.134295998</v>
      </c>
      <c r="S115" s="46">
        <f t="shared" si="98"/>
        <v>1.141854464</v>
      </c>
      <c r="T115" s="46">
        <f t="shared" si="98"/>
        <v>1.156396354</v>
      </c>
      <c r="U115" s="46">
        <f t="shared" si="98"/>
        <v>1.212983982</v>
      </c>
      <c r="V115" s="46">
        <f t="shared" si="98"/>
        <v>1.142350845</v>
      </c>
      <c r="W115" s="46">
        <f t="shared" ref="W115:CL115" si="99">W110/U110</f>
        <v>1.092394624</v>
      </c>
      <c r="X115" s="46">
        <f t="shared" si="99"/>
        <v>1.126641037</v>
      </c>
      <c r="Y115" s="46">
        <f t="shared" si="99"/>
        <v>1.136414589</v>
      </c>
      <c r="Z115" s="46">
        <f t="shared" si="99"/>
        <v>1.120264672</v>
      </c>
      <c r="AA115" s="46">
        <f t="shared" si="99"/>
        <v>1.122634476</v>
      </c>
      <c r="AB115" s="46">
        <f t="shared" si="99"/>
        <v>1.107383034</v>
      </c>
      <c r="AC115" s="46">
        <f t="shared" si="99"/>
        <v>1.085553447</v>
      </c>
      <c r="AD115" s="46">
        <f t="shared" si="99"/>
        <v>1.095207929</v>
      </c>
      <c r="AE115" s="46">
        <f t="shared" si="99"/>
        <v>1.117270331</v>
      </c>
      <c r="AF115" s="46">
        <f t="shared" si="99"/>
        <v>1.095577638</v>
      </c>
      <c r="AG115" s="46">
        <f t="shared" si="99"/>
        <v>1.062432914</v>
      </c>
      <c r="AH115" s="46">
        <f t="shared" si="99"/>
        <v>1.089513466</v>
      </c>
      <c r="AI115" s="46">
        <f t="shared" si="99"/>
        <v>1.050825671</v>
      </c>
      <c r="AJ115" s="46">
        <f t="shared" si="99"/>
        <v>1.081975912</v>
      </c>
      <c r="AK115" s="46">
        <f t="shared" si="99"/>
        <v>1.052588452</v>
      </c>
      <c r="AL115" s="46">
        <f t="shared" si="99"/>
        <v>1.077810187</v>
      </c>
      <c r="AM115" s="46">
        <f t="shared" si="99"/>
        <v>1.068465177</v>
      </c>
      <c r="AN115" s="46">
        <f t="shared" si="99"/>
        <v>0.9664896473</v>
      </c>
      <c r="AO115" s="46">
        <f t="shared" si="99"/>
        <v>1.054988011</v>
      </c>
      <c r="AP115" s="46">
        <f t="shared" si="99"/>
        <v>1.023660439</v>
      </c>
      <c r="AQ115" s="46">
        <f t="shared" si="99"/>
        <v>1.033692647</v>
      </c>
      <c r="AR115" s="46">
        <f t="shared" si="99"/>
        <v>1.023207539</v>
      </c>
      <c r="AS115" s="46">
        <f t="shared" si="99"/>
        <v>1.04471152</v>
      </c>
      <c r="AT115" s="46">
        <f t="shared" si="99"/>
        <v>1.029977626</v>
      </c>
      <c r="AU115" s="46">
        <f t="shared" si="99"/>
        <v>1.063203568</v>
      </c>
      <c r="AV115" s="46">
        <f t="shared" si="99"/>
        <v>1.032631012</v>
      </c>
      <c r="AW115" s="46">
        <f t="shared" si="99"/>
        <v>1.055526257</v>
      </c>
      <c r="AX115" s="46">
        <f t="shared" si="99"/>
        <v>1.034007754</v>
      </c>
      <c r="AY115" s="46">
        <f t="shared" si="99"/>
        <v>1.064481244</v>
      </c>
      <c r="AZ115" s="46">
        <f t="shared" si="99"/>
        <v>1.043408031</v>
      </c>
      <c r="BA115" s="46">
        <f t="shared" si="99"/>
        <v>1.036327472</v>
      </c>
      <c r="BB115" s="46">
        <f t="shared" si="99"/>
        <v>1.050318232</v>
      </c>
      <c r="BC115" s="46">
        <f t="shared" si="99"/>
        <v>1.027253957</v>
      </c>
      <c r="BD115" s="46">
        <f t="shared" si="99"/>
        <v>1.051145026</v>
      </c>
      <c r="BE115" s="46">
        <f t="shared" si="99"/>
        <v>1.048766227</v>
      </c>
      <c r="BF115" s="46">
        <f t="shared" si="99"/>
        <v>1.052419309</v>
      </c>
      <c r="BG115" s="46">
        <f t="shared" si="99"/>
        <v>1.016294914</v>
      </c>
      <c r="BH115" s="46">
        <f t="shared" si="99"/>
        <v>1.051328497</v>
      </c>
      <c r="BI115" s="46">
        <f t="shared" si="99"/>
        <v>1.025958594</v>
      </c>
      <c r="BJ115" s="46">
        <f t="shared" si="99"/>
        <v>1.049703572</v>
      </c>
      <c r="BK115" s="46">
        <f t="shared" si="99"/>
        <v>1.051466683</v>
      </c>
      <c r="BL115" s="46">
        <f t="shared" si="99"/>
        <v>0.994685378</v>
      </c>
      <c r="BM115" s="46">
        <f t="shared" si="99"/>
        <v>1.017601481</v>
      </c>
      <c r="BN115" s="46">
        <f t="shared" si="99"/>
        <v>1.040611815</v>
      </c>
      <c r="BO115" s="46">
        <f t="shared" si="99"/>
        <v>1.021265492</v>
      </c>
      <c r="BP115" s="46">
        <f t="shared" si="99"/>
        <v>1.039713213</v>
      </c>
      <c r="BQ115" s="46">
        <f t="shared" si="99"/>
        <v>1.0107788</v>
      </c>
      <c r="BR115" s="46">
        <f t="shared" si="99"/>
        <v>1.040491922</v>
      </c>
      <c r="BS115" s="46">
        <f t="shared" si="99"/>
        <v>1.024705474</v>
      </c>
      <c r="BT115" s="46">
        <f t="shared" si="99"/>
        <v>1.037747126</v>
      </c>
      <c r="BU115" s="46">
        <f t="shared" si="99"/>
        <v>1.05274221</v>
      </c>
      <c r="BV115" s="46">
        <f t="shared" si="99"/>
        <v>1.027686902</v>
      </c>
      <c r="BW115" s="46">
        <f t="shared" si="99"/>
        <v>1.037708849</v>
      </c>
      <c r="BX115" s="46">
        <f t="shared" si="99"/>
        <v>1.026810529</v>
      </c>
      <c r="BY115" s="46">
        <f t="shared" si="99"/>
        <v>1.021278191</v>
      </c>
      <c r="BZ115" s="46">
        <f t="shared" si="99"/>
        <v>1.025338209</v>
      </c>
      <c r="CA115" s="46">
        <f t="shared" si="99"/>
        <v>1.026431682</v>
      </c>
      <c r="CB115" s="46">
        <f t="shared" si="99"/>
        <v>1.025349088</v>
      </c>
      <c r="CC115" s="46">
        <f t="shared" si="99"/>
        <v>1.039920641</v>
      </c>
      <c r="CD115" s="46">
        <f t="shared" si="99"/>
        <v>1.023419872</v>
      </c>
      <c r="CE115" s="46">
        <f t="shared" si="99"/>
        <v>1.017327624</v>
      </c>
      <c r="CF115" s="46">
        <f t="shared" si="99"/>
        <v>1.024337541</v>
      </c>
      <c r="CG115" s="46">
        <f t="shared" si="99"/>
        <v>1.036665451</v>
      </c>
      <c r="CH115" s="46">
        <f t="shared" si="99"/>
        <v>1.024437995</v>
      </c>
      <c r="CI115" s="46">
        <f t="shared" si="99"/>
        <v>1.034416273</v>
      </c>
      <c r="CJ115" s="46">
        <f t="shared" si="99"/>
        <v>1.024645771</v>
      </c>
      <c r="CK115" s="46">
        <f t="shared" si="99"/>
        <v>1.023406278</v>
      </c>
      <c r="CL115" s="46">
        <f t="shared" si="99"/>
        <v>1.024717855</v>
      </c>
      <c r="CM115" s="46">
        <f>CM110/CL110</f>
        <v>1.024052543</v>
      </c>
      <c r="CO115" s="42" t="s">
        <v>27</v>
      </c>
      <c r="CP115" s="12" t="b">
        <f t="shared" si="58"/>
        <v>0</v>
      </c>
    </row>
    <row r="116" ht="15.75" customHeight="1">
      <c r="C116" s="4"/>
      <c r="D116" s="44" t="s">
        <v>40</v>
      </c>
      <c r="E116" s="15"/>
      <c r="F116" s="15">
        <f t="shared" ref="F116:CM116" si="100">SUM(F103,F109)/F103</f>
        <v>1</v>
      </c>
      <c r="G116" s="15">
        <f t="shared" si="100"/>
        <v>1</v>
      </c>
      <c r="H116" s="15">
        <f t="shared" si="100"/>
        <v>1</v>
      </c>
      <c r="I116" s="15">
        <f t="shared" si="100"/>
        <v>1</v>
      </c>
      <c r="J116" s="15">
        <f t="shared" si="100"/>
        <v>1</v>
      </c>
      <c r="K116" s="15">
        <f t="shared" si="100"/>
        <v>1</v>
      </c>
      <c r="L116" s="15">
        <f t="shared" si="100"/>
        <v>1</v>
      </c>
      <c r="M116" s="15">
        <f t="shared" si="100"/>
        <v>1</v>
      </c>
      <c r="N116" s="15">
        <f t="shared" si="100"/>
        <v>1</v>
      </c>
      <c r="O116" s="15">
        <f t="shared" si="100"/>
        <v>1.005481669</v>
      </c>
      <c r="P116" s="15">
        <f t="shared" si="100"/>
        <v>1.003465019</v>
      </c>
      <c r="Q116" s="15">
        <f t="shared" si="100"/>
        <v>0.9818940541</v>
      </c>
      <c r="R116" s="15">
        <f t="shared" si="100"/>
        <v>0.9865399231</v>
      </c>
      <c r="S116" s="15">
        <f t="shared" si="100"/>
        <v>0.996598894</v>
      </c>
      <c r="T116" s="15">
        <f t="shared" si="100"/>
        <v>0.9988582106</v>
      </c>
      <c r="U116" s="15">
        <f t="shared" si="100"/>
        <v>1.007512587</v>
      </c>
      <c r="V116" s="15">
        <f t="shared" si="100"/>
        <v>0.9947550109</v>
      </c>
      <c r="W116" s="15">
        <f t="shared" si="100"/>
        <v>0.9862582701</v>
      </c>
      <c r="X116" s="15">
        <f t="shared" si="100"/>
        <v>0.9944397122</v>
      </c>
      <c r="Y116" s="15">
        <f t="shared" si="100"/>
        <v>1.009272278</v>
      </c>
      <c r="Z116" s="15">
        <f t="shared" si="100"/>
        <v>0.9967019219</v>
      </c>
      <c r="AA116" s="15">
        <f t="shared" si="100"/>
        <v>1.023120695</v>
      </c>
      <c r="AB116" s="15">
        <f t="shared" si="100"/>
        <v>0.9977090566</v>
      </c>
      <c r="AC116" s="15">
        <f t="shared" si="100"/>
        <v>0.9915451164</v>
      </c>
      <c r="AD116" s="15">
        <f t="shared" si="100"/>
        <v>0.9938593227</v>
      </c>
      <c r="AE116" s="15">
        <f t="shared" si="100"/>
        <v>1.007848433</v>
      </c>
      <c r="AF116" s="15">
        <f t="shared" si="100"/>
        <v>1.000877744</v>
      </c>
      <c r="AG116" s="15">
        <f t="shared" si="100"/>
        <v>0.9915844481</v>
      </c>
      <c r="AH116" s="15">
        <f t="shared" si="100"/>
        <v>1.001052737</v>
      </c>
      <c r="AI116" s="15">
        <f t="shared" si="100"/>
        <v>1.000147936</v>
      </c>
      <c r="AJ116" s="15">
        <f t="shared" si="100"/>
        <v>1.00131816</v>
      </c>
      <c r="AK116" s="15">
        <f t="shared" si="100"/>
        <v>0.9902445953</v>
      </c>
      <c r="AL116" s="15">
        <f t="shared" si="100"/>
        <v>1.001517336</v>
      </c>
      <c r="AM116" s="15">
        <f t="shared" si="100"/>
        <v>0.9949776297</v>
      </c>
      <c r="AN116" s="15">
        <f t="shared" si="100"/>
        <v>0.9826623387</v>
      </c>
      <c r="AO116" s="15">
        <f t="shared" si="100"/>
        <v>0.9974802628</v>
      </c>
      <c r="AP116" s="15">
        <f t="shared" si="100"/>
        <v>0.9833467255</v>
      </c>
      <c r="AQ116" s="15">
        <f t="shared" si="100"/>
        <v>0.9951995905</v>
      </c>
      <c r="AR116" s="15">
        <f t="shared" si="100"/>
        <v>0.9834138996</v>
      </c>
      <c r="AS116" s="15">
        <f t="shared" si="100"/>
        <v>0.9822239596</v>
      </c>
      <c r="AT116" s="15">
        <f t="shared" si="100"/>
        <v>0.9834863505</v>
      </c>
      <c r="AU116" s="15">
        <f t="shared" si="100"/>
        <v>1.011853995</v>
      </c>
      <c r="AV116" s="15">
        <f t="shared" si="100"/>
        <v>0.9834865891</v>
      </c>
      <c r="AW116" s="15">
        <f t="shared" si="100"/>
        <v>1.010116859</v>
      </c>
      <c r="AX116" s="15">
        <f t="shared" si="100"/>
        <v>0.984397905</v>
      </c>
      <c r="AY116" s="15">
        <f t="shared" si="100"/>
        <v>1.011161103</v>
      </c>
      <c r="AZ116" s="15">
        <f t="shared" si="100"/>
        <v>0.9934755678</v>
      </c>
      <c r="BA116" s="15">
        <f t="shared" si="100"/>
        <v>0.9944387449</v>
      </c>
      <c r="BB116" s="15">
        <f t="shared" si="100"/>
        <v>1.002315254</v>
      </c>
      <c r="BC116" s="15">
        <f t="shared" si="100"/>
        <v>1.003589176</v>
      </c>
      <c r="BD116" s="15">
        <f t="shared" si="100"/>
        <v>1.002077017</v>
      </c>
      <c r="BE116" s="15">
        <f t="shared" si="100"/>
        <v>0.9978755059</v>
      </c>
      <c r="BF116" s="15">
        <f t="shared" si="100"/>
        <v>1.002425778</v>
      </c>
      <c r="BG116" s="15">
        <f t="shared" si="100"/>
        <v>0.9930918386</v>
      </c>
      <c r="BH116" s="15">
        <f t="shared" si="100"/>
        <v>1.002161076</v>
      </c>
      <c r="BI116" s="15">
        <f t="shared" si="100"/>
        <v>0.9908590951</v>
      </c>
      <c r="BJ116" s="15">
        <f t="shared" si="100"/>
        <v>1.002765387</v>
      </c>
      <c r="BK116" s="15">
        <f t="shared" si="100"/>
        <v>0.9974625597</v>
      </c>
      <c r="BL116" s="15">
        <f t="shared" si="100"/>
        <v>1.006613522</v>
      </c>
      <c r="BM116" s="15">
        <f t="shared" si="100"/>
        <v>0.9910879641</v>
      </c>
      <c r="BN116" s="15">
        <f t="shared" si="100"/>
        <v>1.006626039</v>
      </c>
      <c r="BO116" s="15">
        <f t="shared" si="100"/>
        <v>0.990029701</v>
      </c>
      <c r="BP116" s="15">
        <f t="shared" si="100"/>
        <v>1.006025108</v>
      </c>
      <c r="BQ116" s="15">
        <f t="shared" si="100"/>
        <v>0.9646502662</v>
      </c>
      <c r="BR116" s="15">
        <f t="shared" si="100"/>
        <v>1.008031812</v>
      </c>
      <c r="BS116" s="15">
        <f t="shared" si="100"/>
        <v>0.995299263</v>
      </c>
      <c r="BT116" s="15">
        <f t="shared" si="100"/>
        <v>1.00745414</v>
      </c>
      <c r="BU116" s="15">
        <f t="shared" si="100"/>
        <v>1.007245388</v>
      </c>
      <c r="BV116" s="15">
        <f t="shared" si="100"/>
        <v>1.007470138</v>
      </c>
      <c r="BW116" s="15">
        <f t="shared" si="100"/>
        <v>0.9947281465</v>
      </c>
      <c r="BX116" s="15">
        <f t="shared" si="100"/>
        <v>1.007098518</v>
      </c>
      <c r="BY116" s="15">
        <f t="shared" si="100"/>
        <v>0.9890595981</v>
      </c>
      <c r="BZ116" s="15">
        <f t="shared" si="100"/>
        <v>1.006748401</v>
      </c>
      <c r="CA116" s="15">
        <f t="shared" si="100"/>
        <v>0.9944599437</v>
      </c>
      <c r="CB116" s="15">
        <f t="shared" si="100"/>
        <v>1.007422061</v>
      </c>
      <c r="CC116" s="15">
        <f t="shared" si="100"/>
        <v>1.000624137</v>
      </c>
      <c r="CD116" s="15">
        <f t="shared" si="100"/>
        <v>1.008085913</v>
      </c>
      <c r="CE116" s="15">
        <f t="shared" si="100"/>
        <v>0.9784454193</v>
      </c>
      <c r="CF116" s="15">
        <f t="shared" si="100"/>
        <v>1.00778491</v>
      </c>
      <c r="CG116" s="15">
        <f t="shared" si="100"/>
        <v>1.004500898</v>
      </c>
      <c r="CH116" s="15">
        <f t="shared" si="100"/>
        <v>1.007476932</v>
      </c>
      <c r="CI116" s="15">
        <f t="shared" si="100"/>
        <v>1.00049166</v>
      </c>
      <c r="CJ116" s="15">
        <f t="shared" si="100"/>
        <v>1.008631204</v>
      </c>
      <c r="CK116" s="15">
        <f t="shared" si="100"/>
        <v>0.9936634853</v>
      </c>
      <c r="CL116" s="15">
        <f t="shared" si="100"/>
        <v>1.008322118</v>
      </c>
      <c r="CM116" s="15">
        <f t="shared" si="100"/>
        <v>1.008018575</v>
      </c>
      <c r="CO116" s="42" t="s">
        <v>28</v>
      </c>
      <c r="CP116" s="12" t="b">
        <f t="shared" si="58"/>
        <v>0</v>
      </c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51"/>
      <c r="BN117" s="4"/>
      <c r="BO117" s="51"/>
      <c r="BP117" s="4"/>
      <c r="BQ117" s="51"/>
      <c r="BR117" s="4"/>
      <c r="BS117" s="51"/>
      <c r="BT117" s="4"/>
      <c r="BU117" s="51"/>
      <c r="BV117" s="4"/>
      <c r="BW117" s="51"/>
      <c r="BX117" s="4"/>
      <c r="BY117" s="51"/>
      <c r="BZ117" s="4"/>
      <c r="CA117" s="51"/>
      <c r="CB117" s="4"/>
      <c r="CC117" s="51"/>
      <c r="CD117" s="4"/>
      <c r="CE117" s="51"/>
      <c r="CF117" s="4"/>
      <c r="CG117" s="51"/>
      <c r="CH117" s="4"/>
      <c r="CI117" s="51"/>
      <c r="CJ117" s="4"/>
      <c r="CK117" s="51"/>
      <c r="CL117" s="4"/>
      <c r="CM117" s="4"/>
      <c r="CO117" s="42" t="s">
        <v>29</v>
      </c>
      <c r="CP117" s="12" t="b">
        <f t="shared" si="58"/>
        <v>0</v>
      </c>
    </row>
    <row r="118" ht="15.75" customHeight="1">
      <c r="C118" s="52" t="s">
        <v>43</v>
      </c>
      <c r="D118" s="13" t="s">
        <v>44</v>
      </c>
      <c r="E118" s="10">
        <f t="shared" ref="E118:CM118" si="101">(E74/E56)*12*3</f>
        <v>18000</v>
      </c>
      <c r="F118" s="10">
        <f t="shared" si="101"/>
        <v>20250</v>
      </c>
      <c r="G118" s="10">
        <f t="shared" si="101"/>
        <v>13500</v>
      </c>
      <c r="H118" s="10">
        <f t="shared" si="101"/>
        <v>14546.4</v>
      </c>
      <c r="I118" s="10">
        <f t="shared" si="101"/>
        <v>16125</v>
      </c>
      <c r="J118" s="10">
        <f t="shared" si="101"/>
        <v>21848.72727</v>
      </c>
      <c r="K118" s="10">
        <f t="shared" si="101"/>
        <v>21609.999</v>
      </c>
      <c r="L118" s="10">
        <f t="shared" si="101"/>
        <v>15675</v>
      </c>
      <c r="M118" s="10">
        <f t="shared" si="101"/>
        <v>11520</v>
      </c>
      <c r="N118" s="10">
        <f t="shared" si="101"/>
        <v>17539.73684</v>
      </c>
      <c r="O118" s="10">
        <f t="shared" si="101"/>
        <v>18478.03846</v>
      </c>
      <c r="P118" s="10">
        <f t="shared" si="101"/>
        <v>15834.3204</v>
      </c>
      <c r="Q118" s="10">
        <f t="shared" si="101"/>
        <v>15840.52174</v>
      </c>
      <c r="R118" s="10">
        <f t="shared" si="101"/>
        <v>17866.66667</v>
      </c>
      <c r="S118" s="10">
        <f t="shared" si="101"/>
        <v>17160.57692</v>
      </c>
      <c r="T118" s="10">
        <f t="shared" si="101"/>
        <v>17470.09091</v>
      </c>
      <c r="U118" s="10">
        <f t="shared" si="101"/>
        <v>17394.23077</v>
      </c>
      <c r="V118" s="10">
        <f t="shared" si="101"/>
        <v>21160.13423</v>
      </c>
      <c r="W118" s="10">
        <f t="shared" si="101"/>
        <v>19919</v>
      </c>
      <c r="X118" s="10">
        <f t="shared" si="101"/>
        <v>22083.01467</v>
      </c>
      <c r="Y118" s="10">
        <f t="shared" si="101"/>
        <v>22472.14286</v>
      </c>
      <c r="Z118" s="10">
        <f t="shared" si="101"/>
        <v>22654.17192</v>
      </c>
      <c r="AA118" s="10">
        <f t="shared" si="101"/>
        <v>26040.08152</v>
      </c>
      <c r="AB118" s="10">
        <f t="shared" si="101"/>
        <v>23224.39406</v>
      </c>
      <c r="AC118" s="10">
        <f t="shared" si="101"/>
        <v>22543.53659</v>
      </c>
      <c r="AD118" s="10">
        <f t="shared" si="101"/>
        <v>24692.63015</v>
      </c>
      <c r="AE118" s="10">
        <f t="shared" si="101"/>
        <v>22024.03846</v>
      </c>
      <c r="AF118" s="10">
        <f t="shared" si="101"/>
        <v>25986.68858</v>
      </c>
      <c r="AG118" s="10">
        <f t="shared" si="101"/>
        <v>23759.30556</v>
      </c>
      <c r="AH118" s="10">
        <f t="shared" si="101"/>
        <v>26751.42741</v>
      </c>
      <c r="AI118" s="10">
        <f t="shared" si="101"/>
        <v>27253.67647</v>
      </c>
      <c r="AJ118" s="10">
        <f t="shared" si="101"/>
        <v>28213.93851</v>
      </c>
      <c r="AK118" s="10">
        <f t="shared" si="101"/>
        <v>24225.9375</v>
      </c>
      <c r="AL118" s="10">
        <f t="shared" si="101"/>
        <v>29846.9605</v>
      </c>
      <c r="AM118" s="10">
        <f t="shared" si="101"/>
        <v>25648.5</v>
      </c>
      <c r="AN118" s="10">
        <f t="shared" si="101"/>
        <v>27600</v>
      </c>
      <c r="AO118" s="10">
        <f t="shared" si="101"/>
        <v>20560.34211</v>
      </c>
      <c r="AP118" s="10">
        <f t="shared" si="101"/>
        <v>27946.90909</v>
      </c>
      <c r="AQ118" s="10">
        <f t="shared" si="101"/>
        <v>21464.52632</v>
      </c>
      <c r="AR118" s="10">
        <f t="shared" si="101"/>
        <v>30946.40757</v>
      </c>
      <c r="AS118" s="10">
        <f t="shared" si="101"/>
        <v>22078.125</v>
      </c>
      <c r="AT118" s="10">
        <f t="shared" si="101"/>
        <v>30544.17667</v>
      </c>
      <c r="AU118" s="10">
        <f t="shared" si="101"/>
        <v>21983.79255</v>
      </c>
      <c r="AV118" s="10">
        <f t="shared" si="101"/>
        <v>30300.69685</v>
      </c>
      <c r="AW118" s="10">
        <f t="shared" si="101"/>
        <v>24672.27273</v>
      </c>
      <c r="AX118" s="10">
        <f t="shared" si="101"/>
        <v>29708.61017</v>
      </c>
      <c r="AY118" s="10">
        <f t="shared" si="101"/>
        <v>22101.15441</v>
      </c>
      <c r="AZ118" s="10">
        <f t="shared" si="101"/>
        <v>30083.24785</v>
      </c>
      <c r="BA118" s="10">
        <f t="shared" si="101"/>
        <v>19975.38375</v>
      </c>
      <c r="BB118" s="10">
        <f t="shared" si="101"/>
        <v>31061.45044</v>
      </c>
      <c r="BC118" s="10">
        <f t="shared" si="101"/>
        <v>20708.29787</v>
      </c>
      <c r="BD118" s="10">
        <f t="shared" si="101"/>
        <v>30902.08334</v>
      </c>
      <c r="BE118" s="10">
        <f t="shared" si="101"/>
        <v>19743.44</v>
      </c>
      <c r="BF118" s="10">
        <f t="shared" si="101"/>
        <v>30684.66678</v>
      </c>
      <c r="BG118" s="10">
        <f t="shared" si="101"/>
        <v>21117.83333</v>
      </c>
      <c r="BH118" s="10">
        <f t="shared" si="101"/>
        <v>30667.02372</v>
      </c>
      <c r="BI118" s="10">
        <f t="shared" si="101"/>
        <v>22190.8536</v>
      </c>
      <c r="BJ118" s="10">
        <f t="shared" si="101"/>
        <v>31761.80493</v>
      </c>
      <c r="BK118" s="10">
        <f t="shared" si="101"/>
        <v>19539.80694</v>
      </c>
      <c r="BL118" s="10">
        <f t="shared" si="101"/>
        <v>20540.75977</v>
      </c>
      <c r="BM118" s="10">
        <f t="shared" si="101"/>
        <v>22055.77143</v>
      </c>
      <c r="BN118" s="10">
        <f t="shared" si="101"/>
        <v>20887.16686</v>
      </c>
      <c r="BO118" s="10">
        <f t="shared" si="101"/>
        <v>23480.31062</v>
      </c>
      <c r="BP118" s="10">
        <f t="shared" si="101"/>
        <v>21242.21311</v>
      </c>
      <c r="BQ118" s="10">
        <f t="shared" si="101"/>
        <v>20898.70061</v>
      </c>
      <c r="BR118" s="10">
        <f t="shared" si="101"/>
        <v>21979.60264</v>
      </c>
      <c r="BS118" s="10">
        <f t="shared" si="101"/>
        <v>19962.73662</v>
      </c>
      <c r="BT118" s="10">
        <f t="shared" si="101"/>
        <v>22160.54676</v>
      </c>
      <c r="BU118" s="10">
        <f t="shared" si="101"/>
        <v>21970.14286</v>
      </c>
      <c r="BV118" s="10">
        <f t="shared" si="101"/>
        <v>23828.09337</v>
      </c>
      <c r="BW118" s="10">
        <f t="shared" si="101"/>
        <v>23967.55882</v>
      </c>
      <c r="BX118" s="10">
        <f t="shared" si="101"/>
        <v>24257.40705</v>
      </c>
      <c r="BY118" s="10">
        <f t="shared" si="101"/>
        <v>20899.59259</v>
      </c>
      <c r="BZ118" s="10">
        <f t="shared" si="101"/>
        <v>25162.88399</v>
      </c>
      <c r="CA118" s="10">
        <f t="shared" si="101"/>
        <v>23395.66533</v>
      </c>
      <c r="CB118" s="10">
        <f t="shared" si="101"/>
        <v>25829.65358</v>
      </c>
      <c r="CC118" s="10">
        <f t="shared" si="101"/>
        <v>20639.23469</v>
      </c>
      <c r="CD118" s="10">
        <f t="shared" si="101"/>
        <v>26756.17868</v>
      </c>
      <c r="CE118" s="10">
        <f t="shared" si="101"/>
        <v>21101.95714</v>
      </c>
      <c r="CF118" s="10">
        <f t="shared" si="101"/>
        <v>27109.81806</v>
      </c>
      <c r="CG118" s="10">
        <f t="shared" si="101"/>
        <v>23708.22682</v>
      </c>
      <c r="CH118" s="10">
        <f t="shared" si="101"/>
        <v>27699.53017</v>
      </c>
      <c r="CI118" s="10">
        <f t="shared" si="101"/>
        <v>23396</v>
      </c>
      <c r="CJ118" s="10">
        <f t="shared" si="101"/>
        <v>28784.07199</v>
      </c>
      <c r="CK118" s="10">
        <f t="shared" si="101"/>
        <v>21674.4856</v>
      </c>
      <c r="CL118" s="10">
        <f t="shared" si="101"/>
        <v>29470.12183</v>
      </c>
      <c r="CM118" s="10">
        <f t="shared" si="101"/>
        <v>30554.54544</v>
      </c>
      <c r="CO118" s="42" t="s">
        <v>30</v>
      </c>
      <c r="CP118" s="12" t="b">
        <f t="shared" si="58"/>
        <v>0</v>
      </c>
    </row>
    <row r="119" ht="15.75" customHeight="1">
      <c r="C119" s="52"/>
      <c r="D119" s="1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O119" s="42" t="s">
        <v>31</v>
      </c>
      <c r="CP119" s="12" t="b">
        <f t="shared" si="58"/>
        <v>0</v>
      </c>
    </row>
    <row r="120" ht="15.75" customHeight="1">
      <c r="C120" s="4"/>
      <c r="D120" s="18" t="s">
        <v>5</v>
      </c>
      <c r="E120" s="14" t="str">
        <f t="shared" ref="E120:U120" si="102">IFERROR((E89/E58)*12*3,"")</f>
        <v/>
      </c>
      <c r="F120" s="14">
        <f t="shared" si="102"/>
        <v>24000</v>
      </c>
      <c r="G120" s="14">
        <f t="shared" si="102"/>
        <v>15000</v>
      </c>
      <c r="H120" s="14" t="str">
        <f t="shared" si="102"/>
        <v/>
      </c>
      <c r="I120" s="14" t="str">
        <f t="shared" si="102"/>
        <v/>
      </c>
      <c r="J120" s="14" t="str">
        <f t="shared" si="102"/>
        <v/>
      </c>
      <c r="K120" s="14">
        <f t="shared" si="102"/>
        <v>27000</v>
      </c>
      <c r="L120" s="14">
        <f t="shared" si="102"/>
        <v>19500</v>
      </c>
      <c r="M120" s="14" t="str">
        <f t="shared" si="102"/>
        <v/>
      </c>
      <c r="N120" s="14">
        <f t="shared" si="102"/>
        <v>22500</v>
      </c>
      <c r="O120" s="14">
        <f t="shared" si="102"/>
        <v>11700</v>
      </c>
      <c r="P120" s="14">
        <f t="shared" si="102"/>
        <v>26100</v>
      </c>
      <c r="Q120" s="14">
        <f t="shared" si="102"/>
        <v>25000</v>
      </c>
      <c r="R120" s="14">
        <f t="shared" si="102"/>
        <v>27540</v>
      </c>
      <c r="S120" s="14">
        <f t="shared" si="102"/>
        <v>15450</v>
      </c>
      <c r="T120" s="14">
        <f t="shared" si="102"/>
        <v>20100</v>
      </c>
      <c r="U120" s="14">
        <f t="shared" si="102"/>
        <v>22926.66667</v>
      </c>
      <c r="V120" s="14"/>
      <c r="W120" s="14">
        <f>IFERROR((W89/W58)*12*3,"")</f>
        <v>27250</v>
      </c>
      <c r="X120" s="14"/>
      <c r="Y120" s="14">
        <f>IFERROR((Y89/Y58)*12*3,"")</f>
        <v>29597.5</v>
      </c>
      <c r="Z120" s="14"/>
      <c r="AA120" s="14">
        <f>IFERROR((AA89/AA58)*12*3,"")</f>
        <v>32107.14286</v>
      </c>
      <c r="AB120" s="14"/>
      <c r="AC120" s="14">
        <f>IFERROR((AC89/AC58)*12*3,"")</f>
        <v>36900</v>
      </c>
      <c r="AD120" s="14"/>
      <c r="AE120" s="14">
        <f>IFERROR((AE89/AE58)*12*3,"")</f>
        <v>29575</v>
      </c>
      <c r="AF120" s="14"/>
      <c r="AG120" s="14">
        <f>IFERROR((AG89/AG58)*12*3,"")</f>
        <v>28720</v>
      </c>
      <c r="AH120" s="53"/>
      <c r="AI120" s="14">
        <f>IFERROR((AI89/AI58)*12*3,"")</f>
        <v>31817.64706</v>
      </c>
      <c r="AJ120" s="53"/>
      <c r="AK120" s="14">
        <f>IFERROR((AK89/AK58)*12*3,"")</f>
        <v>33600</v>
      </c>
      <c r="AL120" s="53"/>
      <c r="AM120" s="14">
        <f>IFERROR((AM89/AM58)*12*3,"")</f>
        <v>29004.54545</v>
      </c>
      <c r="AN120" s="53"/>
      <c r="AO120" s="14">
        <f>IFERROR((AO89/AO58)*12*3,"")</f>
        <v>26400</v>
      </c>
      <c r="AP120" s="53"/>
      <c r="AQ120" s="14">
        <f>IFERROR((AQ89/AQ58)*12*3,"")</f>
        <v>28147.5</v>
      </c>
      <c r="AR120" s="53"/>
      <c r="AS120" s="14">
        <f>IFERROR((AS89/AS58)*12*3,"")</f>
        <v>25975</v>
      </c>
      <c r="AT120" s="53"/>
      <c r="AU120" s="14">
        <f>IFERROR((AU89/AU58)*12*3,"")</f>
        <v>29823.52941</v>
      </c>
      <c r="AV120" s="53"/>
      <c r="AW120" s="14">
        <f>IFERROR((AW89/AW58)*12*3,"")</f>
        <v>30792.85714</v>
      </c>
      <c r="AX120" s="53"/>
      <c r="AY120" s="14">
        <f>IFERROR((AY89/AY58)*12*3,"")</f>
        <v>27801.5625</v>
      </c>
      <c r="AZ120" s="53"/>
      <c r="BA120" s="14">
        <f>IFERROR((BA89/BA58)*12*3,"")</f>
        <v>26339.13</v>
      </c>
      <c r="BB120" s="53"/>
      <c r="BC120" s="14">
        <f>IFERROR((BC89/BC58)*12*3,"")</f>
        <v>24037.5</v>
      </c>
      <c r="BD120" s="53"/>
      <c r="BE120" s="14">
        <f>IFERROR((BE89/BE58)*12*3,"")</f>
        <v>24044.11765</v>
      </c>
      <c r="BF120" s="53"/>
      <c r="BG120" s="14">
        <f>IFERROR((BG89/BG58)*12*3,"")</f>
        <v>25326</v>
      </c>
      <c r="BH120" s="53"/>
      <c r="BI120" s="14">
        <f>IFERROR((BI89/BI58)*12*3,"")</f>
        <v>26878.97368</v>
      </c>
      <c r="BJ120" s="53"/>
      <c r="BK120" s="14">
        <f>IFERROR((BK89/BK58)*12*3,"")</f>
        <v>22655.55556</v>
      </c>
      <c r="BL120" s="53"/>
      <c r="BM120" s="14">
        <f>IFERROR((BM89/BM58)*12*3,"")</f>
        <v>27088.2</v>
      </c>
      <c r="BN120" s="53"/>
      <c r="BO120" s="14">
        <f>IFERROR((BO89/BO58)*12*3,"")</f>
        <v>27972.64286</v>
      </c>
      <c r="BP120" s="53"/>
      <c r="BQ120" s="14">
        <f>IFERROR((BQ89/BQ58)*12*3,"")</f>
        <v>23116.98113</v>
      </c>
      <c r="BR120" s="53"/>
      <c r="BS120" s="14">
        <f>IFERROR((BS89/BS58)*12*3,"")</f>
        <v>23362.5</v>
      </c>
      <c r="BT120" s="53"/>
      <c r="BU120" s="14">
        <f>IFERROR((BU89/BU58)*12*3,"")</f>
        <v>22686.12245</v>
      </c>
      <c r="BV120" s="53"/>
      <c r="BW120" s="14">
        <f>IFERROR((BW89/BW58)*12*3,"")</f>
        <v>31178.89091</v>
      </c>
      <c r="BX120" s="53"/>
      <c r="BY120" s="14">
        <f>IFERROR((BY89/BY58)*12*3,"")</f>
        <v>26788.92857</v>
      </c>
      <c r="BZ120" s="53"/>
      <c r="CA120" s="14">
        <f>IFERROR((CA89/CA58)*12*3,"")</f>
        <v>31229.38776</v>
      </c>
      <c r="CB120" s="53"/>
      <c r="CC120" s="14">
        <f>IFERROR((CC89/CC58)*12*3,"")</f>
        <v>25935.3</v>
      </c>
      <c r="CD120" s="53"/>
      <c r="CE120" s="14">
        <f>IFERROR((CE89/CE58)*12*3,"")</f>
        <v>26072.90323</v>
      </c>
      <c r="CF120" s="53"/>
      <c r="CG120" s="14">
        <f>IFERROR((CG89/CG58)*12*3,"")</f>
        <v>31690.43478</v>
      </c>
      <c r="CH120" s="53"/>
      <c r="CI120" s="14">
        <f>IFERROR((CI89/CI58)*12*3,"")</f>
        <v>30341.51786</v>
      </c>
      <c r="CJ120" s="53"/>
      <c r="CK120" s="14">
        <f>IFERROR((CK89/CK58)*12*3,"")</f>
        <v>29479.41176</v>
      </c>
      <c r="CL120" s="53"/>
      <c r="CM120" s="53"/>
      <c r="CO120" s="42" t="s">
        <v>32</v>
      </c>
      <c r="CP120" s="12" t="b">
        <f t="shared" si="58"/>
        <v>0</v>
      </c>
    </row>
    <row r="121" ht="15.75" customHeight="1">
      <c r="C121" s="4"/>
      <c r="D121" s="18" t="s">
        <v>7</v>
      </c>
      <c r="E121" s="14">
        <f t="shared" ref="E121:U121" si="103">IFERROR((E104/E59)*12*3,"")</f>
        <v>18000</v>
      </c>
      <c r="F121" s="14">
        <f t="shared" si="103"/>
        <v>19000</v>
      </c>
      <c r="G121" s="14">
        <f t="shared" si="103"/>
        <v>13285.71429</v>
      </c>
      <c r="H121" s="14">
        <f t="shared" si="103"/>
        <v>14546.4</v>
      </c>
      <c r="I121" s="14">
        <f t="shared" si="103"/>
        <v>16125</v>
      </c>
      <c r="J121" s="14">
        <f t="shared" si="103"/>
        <v>21848.72727</v>
      </c>
      <c r="K121" s="14">
        <f t="shared" si="103"/>
        <v>21011.11</v>
      </c>
      <c r="L121" s="14">
        <f t="shared" si="103"/>
        <v>15128.57143</v>
      </c>
      <c r="M121" s="14">
        <f t="shared" si="103"/>
        <v>11520</v>
      </c>
      <c r="N121" s="14">
        <f t="shared" si="103"/>
        <v>17264.16667</v>
      </c>
      <c r="O121" s="14">
        <f t="shared" si="103"/>
        <v>20091.85714</v>
      </c>
      <c r="P121" s="14">
        <f t="shared" si="103"/>
        <v>14941.65261</v>
      </c>
      <c r="Q121" s="14">
        <f t="shared" si="103"/>
        <v>14466.6</v>
      </c>
      <c r="R121" s="14">
        <f t="shared" si="103"/>
        <v>15668.18182</v>
      </c>
      <c r="S121" s="14">
        <f t="shared" si="103"/>
        <v>17471.59091</v>
      </c>
      <c r="T121" s="14">
        <f t="shared" si="103"/>
        <v>17000.46429</v>
      </c>
      <c r="U121" s="14">
        <f t="shared" si="103"/>
        <v>15275.42553</v>
      </c>
      <c r="V121" s="14"/>
      <c r="W121" s="14">
        <f>IFERROR((W104/W59)*12*3,"")</f>
        <v>16660.77778</v>
      </c>
      <c r="X121" s="14"/>
      <c r="Y121" s="14">
        <f>IFERROR((Y104/Y59)*12*3,"")</f>
        <v>19622</v>
      </c>
      <c r="Z121" s="14"/>
      <c r="AA121" s="14">
        <f>IFERROR((AA104/AA59)*12*3,"")</f>
        <v>20943.75</v>
      </c>
      <c r="AB121" s="14"/>
      <c r="AC121" s="14">
        <f>IFERROR((AC104/AC59)*12*3,"")</f>
        <v>17912.41935</v>
      </c>
      <c r="AD121" s="14"/>
      <c r="AE121" s="14">
        <f>IFERROR((AE104/AE59)*12*3,"")</f>
        <v>18962.83784</v>
      </c>
      <c r="AF121" s="14"/>
      <c r="AG121" s="14">
        <f>IFERROR((AG104/AG59)*12*3,"")</f>
        <v>18798.61111</v>
      </c>
      <c r="AH121" s="53"/>
      <c r="AI121" s="14">
        <f>IFERROR((AI104/AI59)*12*3,"")</f>
        <v>22689.70588</v>
      </c>
      <c r="AJ121" s="53"/>
      <c r="AK121" s="14">
        <f>IFERROR((AK104/AK59)*12*3,"")</f>
        <v>19178.36538</v>
      </c>
      <c r="AL121" s="53"/>
      <c r="AM121" s="14">
        <f>IFERROR((AM104/AM59)*12*3,"")</f>
        <v>22913.94444</v>
      </c>
      <c r="AN121" s="53"/>
      <c r="AO121" s="14">
        <f>IFERROR((AO104/AO59)*12*3,"")</f>
        <v>18474.75</v>
      </c>
      <c r="AP121" s="53"/>
      <c r="AQ121" s="14">
        <f>IFERROR((AQ104/AQ59)*12*3,"")</f>
        <v>16604.18182</v>
      </c>
      <c r="AR121" s="53"/>
      <c r="AS121" s="14">
        <f>IFERROR((AS104/AS59)*12*3,"")</f>
        <v>19155.46875</v>
      </c>
      <c r="AT121" s="53"/>
      <c r="AU121" s="14">
        <f>IFERROR((AU104/AU59)*12*3,"")</f>
        <v>17541.275</v>
      </c>
      <c r="AV121" s="53"/>
      <c r="AW121" s="14">
        <f>IFERROR((AW104/AW59)*12*3,"")</f>
        <v>18325</v>
      </c>
      <c r="AX121" s="53"/>
      <c r="AY121" s="14">
        <f>IFERROR((AY104/AY59)*12*3,"")</f>
        <v>17034.125</v>
      </c>
      <c r="AZ121" s="53"/>
      <c r="BA121" s="14">
        <f>IFERROR((BA104/BA59)*12*3,"")</f>
        <v>15540.04545</v>
      </c>
      <c r="BB121" s="53"/>
      <c r="BC121" s="14">
        <f>IFERROR((BC104/BC59)*12*3,"")</f>
        <v>15802.10526</v>
      </c>
      <c r="BD121" s="53"/>
      <c r="BE121" s="14">
        <f>IFERROR((BE104/BE59)*12*3,"")</f>
        <v>16177.02439</v>
      </c>
      <c r="BF121" s="53"/>
      <c r="BG121" s="14">
        <f>IFERROR((BG104/BG59)*12*3,"")</f>
        <v>15857.625</v>
      </c>
      <c r="BH121" s="53"/>
      <c r="BI121" s="14">
        <f>IFERROR((BI104/BI59)*12*3,"")</f>
        <v>16252.56816</v>
      </c>
      <c r="BJ121" s="53"/>
      <c r="BK121" s="14">
        <f>IFERROR((BK104/BK59)*12*3,"")</f>
        <v>16034.58975</v>
      </c>
      <c r="BL121" s="53"/>
      <c r="BM121" s="14">
        <f>IFERROR((BM104/BM59)*12*3,"")</f>
        <v>15281.34836</v>
      </c>
      <c r="BN121" s="53"/>
      <c r="BO121" s="14">
        <f>IFERROR((BO104/BO59)*12*3,"")</f>
        <v>15365.12981</v>
      </c>
      <c r="BP121" s="53"/>
      <c r="BQ121" s="14">
        <f>IFERROR((BQ104/BQ59)*12*3,"")</f>
        <v>17959.47891</v>
      </c>
      <c r="BR121" s="53"/>
      <c r="BS121" s="14">
        <f>IFERROR((BS104/BS59)*12*3,"")</f>
        <v>15429.71879</v>
      </c>
      <c r="BT121" s="53"/>
      <c r="BU121" s="14">
        <f>IFERROR((BU104/BU59)*12*3,"")</f>
        <v>20967.77143</v>
      </c>
      <c r="BV121" s="53"/>
      <c r="BW121" s="14">
        <f>IFERROR((BW104/BW59)*12*3,"")</f>
        <v>15528.76596</v>
      </c>
      <c r="BX121" s="53"/>
      <c r="BY121" s="14">
        <f>IFERROR((BY104/BY59)*12*3,"")</f>
        <v>14557.23077</v>
      </c>
      <c r="BZ121" s="53"/>
      <c r="CA121" s="14">
        <f>IFERROR((CA104/CA59)*12*3,"")</f>
        <v>14033.41171</v>
      </c>
      <c r="CB121" s="53"/>
      <c r="CC121" s="14">
        <f>IFERROR((CC104/CC59)*12*3,"")</f>
        <v>15122.5</v>
      </c>
      <c r="CD121" s="53"/>
      <c r="CE121" s="14">
        <f>IFERROR((CE104/CE59)*12*3,"")</f>
        <v>14937.984</v>
      </c>
      <c r="CF121" s="53"/>
      <c r="CG121" s="14">
        <f>IFERROR((CG104/CG59)*12*3,"")</f>
        <v>14965.80857</v>
      </c>
      <c r="CH121" s="53"/>
      <c r="CI121" s="14">
        <f>IFERROR((CI104/CI59)*12*3,"")</f>
        <v>14940.58696</v>
      </c>
      <c r="CJ121" s="53"/>
      <c r="CK121" s="14">
        <f>IFERROR((CK104/CK59)*12*3,"")</f>
        <v>15202.1078</v>
      </c>
      <c r="CL121" s="53"/>
      <c r="CM121" s="53"/>
      <c r="CO121" s="42" t="s">
        <v>33</v>
      </c>
      <c r="CP121" s="12" t="b">
        <f t="shared" si="58"/>
        <v>0</v>
      </c>
    </row>
    <row r="122" ht="15.75" customHeight="1">
      <c r="C122" s="52"/>
      <c r="D122" s="5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O122" s="42" t="s">
        <v>34</v>
      </c>
      <c r="CP122" s="12" t="b">
        <f t="shared" si="58"/>
        <v>0</v>
      </c>
    </row>
    <row r="123" ht="15.75" customHeight="1">
      <c r="C123" s="4"/>
      <c r="D123" s="5" t="s">
        <v>45</v>
      </c>
      <c r="E123" s="14">
        <f>'2. Financial Metrics Actual Aud'!F29/E56</f>
        <v>71.89211382</v>
      </c>
      <c r="F123" s="14">
        <f>'2. Financial Metrics Actual Aud'!G29/F56</f>
        <v>128.4943598</v>
      </c>
      <c r="G123" s="14">
        <f>'2. Financial Metrics Actual Aud'!H29/G56</f>
        <v>477.3677896</v>
      </c>
      <c r="H123" s="14">
        <f>'2. Financial Metrics Actual Aud'!I29/H56</f>
        <v>248.0000732</v>
      </c>
      <c r="I123" s="14">
        <f>'2. Financial Metrics Actual Aud'!J29/I56</f>
        <v>3042.972805</v>
      </c>
      <c r="J123" s="14">
        <f>'2. Financial Metrics Actual Aud'!K29/J56</f>
        <v>1387.238736</v>
      </c>
      <c r="K123" s="14">
        <f>'2. Financial Metrics Actual Aud'!L29/K56</f>
        <v>2231.145805</v>
      </c>
      <c r="L123" s="14">
        <f>'2. Financial Metrics Actual Aud'!M29/L56</f>
        <v>4055.325828</v>
      </c>
      <c r="M123" s="14">
        <f>'2. Financial Metrics Actual Aud'!N29/M56</f>
        <v>4118.639461</v>
      </c>
      <c r="N123" s="14">
        <f>'2. Financial Metrics Actual Aud'!O29/N56</f>
        <v>2170.954608</v>
      </c>
      <c r="O123" s="14">
        <f>'2. Financial Metrics Actual Aud'!P29/O56</f>
        <v>1944.511559</v>
      </c>
      <c r="P123" s="14">
        <f>'2. Financial Metrics Actual Aud'!Q29/P56</f>
        <v>3216.528243</v>
      </c>
      <c r="Q123" s="14">
        <f>'2. Financial Metrics Actual Aud'!R29/Q56</f>
        <v>3075.467969</v>
      </c>
      <c r="R123" s="14">
        <f>'2. Financial Metrics Actual Aud'!S29/R56</f>
        <v>4242.620303</v>
      </c>
      <c r="S123" s="14">
        <f>'2. Financial Metrics Actual Aud'!T29/S56</f>
        <v>5161.546363</v>
      </c>
      <c r="T123" s="14">
        <f>'2. Financial Metrics Actual Aud'!U29/T56</f>
        <v>6171.16428</v>
      </c>
      <c r="U123" s="14">
        <f>'2. Financial Metrics Actual Aud'!V29/U56</f>
        <v>3638.126774</v>
      </c>
      <c r="V123" s="14">
        <f>'2. Financial Metrics Actual Aud'!W29/V56</f>
        <v>8462.130815</v>
      </c>
      <c r="W123" s="14">
        <f>'2. Financial Metrics Actual Aud'!X29/W56</f>
        <v>7839.083511</v>
      </c>
      <c r="X123" s="14">
        <f>'2. Financial Metrics Actual Aud'!Y29/X56</f>
        <v>7785.067459</v>
      </c>
      <c r="Y123" s="14">
        <f>'2. Financial Metrics Actual Aud'!Z29/Y56</f>
        <v>8063.156232</v>
      </c>
      <c r="Z123" s="14">
        <f>'2. Financial Metrics Actual Aud'!AA29/Z56</f>
        <v>9369.831832</v>
      </c>
      <c r="AA123" s="14">
        <f>'2. Financial Metrics Actual Aud'!AB29/AA56</f>
        <v>6389.683176</v>
      </c>
      <c r="AB123" s="14">
        <f>'2. Financial Metrics Actual Aud'!AC29/AB56</f>
        <v>9096.97254</v>
      </c>
      <c r="AC123" s="14">
        <f>'2. Financial Metrics Actual Aud'!AD29/AC56</f>
        <v>7342.627108</v>
      </c>
      <c r="AD123" s="14">
        <f>'2. Financial Metrics Actual Aud'!AE29/AD56</f>
        <v>9092.221604</v>
      </c>
      <c r="AE123" s="14">
        <f>'2. Financial Metrics Actual Aud'!AF29/AE56</f>
        <v>6378.754406</v>
      </c>
      <c r="AF123" s="14">
        <f>'2. Financial Metrics Actual Aud'!AG29/AF56</f>
        <v>9365.768961</v>
      </c>
      <c r="AG123" s="14">
        <f>'2. Financial Metrics Actual Aud'!AH29/AG56</f>
        <v>6508.844147</v>
      </c>
      <c r="AH123" s="14">
        <f>'2. Financial Metrics Actual Aud'!AI29/AH56</f>
        <v>8945.457318</v>
      </c>
      <c r="AI123" s="14">
        <f>'2. Financial Metrics Actual Aud'!AJ29/AI56</f>
        <v>9056.14289</v>
      </c>
      <c r="AJ123" s="14">
        <f>'2. Financial Metrics Actual Aud'!AK29/AJ56</f>
        <v>9364.631916</v>
      </c>
      <c r="AK123" s="14">
        <f>'2. Financial Metrics Actual Aud'!AL29/AK56</f>
        <v>8079.183617</v>
      </c>
      <c r="AL123" s="14">
        <f>'2. Financial Metrics Actual Aud'!AM29/AL56</f>
        <v>9563.390264</v>
      </c>
      <c r="AM123" s="14">
        <f>'2. Financial Metrics Actual Aud'!AN29/AM56</f>
        <v>6237.164761</v>
      </c>
      <c r="AN123" s="14">
        <f>'2. Financial Metrics Actual Aud'!AO29/AN56</f>
        <v>14814.84608</v>
      </c>
      <c r="AO123" s="11">
        <f>'2. Financial Metrics Actual Aud'!AP29/AO56</f>
        <v>10791.62328</v>
      </c>
      <c r="AP123" s="14">
        <f>'2. Financial Metrics Actual Aud'!AQ29/AP56</f>
        <v>14870.89658</v>
      </c>
      <c r="AQ123" s="11">
        <f>'2. Financial Metrics Actual Aud'!AR29/AQ56</f>
        <v>11440.17129</v>
      </c>
      <c r="AR123" s="14">
        <f>'2. Financial Metrics Actual Aud'!AS29/AR56</f>
        <v>13887.15727</v>
      </c>
      <c r="AS123" s="11">
        <f>'2. Financial Metrics Actual Aud'!AT29/AS56</f>
        <v>8108.482031</v>
      </c>
      <c r="AT123" s="14">
        <f>'2. Financial Metrics Actual Aud'!AU29/AT56</f>
        <v>13717.61242</v>
      </c>
      <c r="AU123" s="11">
        <f>'2. Financial Metrics Actual Aud'!AV29/AU56</f>
        <v>10452.25819</v>
      </c>
      <c r="AV123" s="14">
        <f>'2. Financial Metrics Actual Aud'!AW29/AV56</f>
        <v>13126.18861</v>
      </c>
      <c r="AW123" s="11">
        <f>'2. Financial Metrics Actual Aud'!AX29/AW56</f>
        <v>8654.587175</v>
      </c>
      <c r="AX123" s="14">
        <f>'2. Financial Metrics Actual Aud'!AY29/AX56</f>
        <v>13266.9725</v>
      </c>
      <c r="AY123" s="11">
        <f>'2. Financial Metrics Actual Aud'!AZ29/AY56</f>
        <v>6213.663925</v>
      </c>
      <c r="AZ123" s="14">
        <f>'2. Financial Metrics Actual Aud'!BA29/AZ56</f>
        <v>10285.57104</v>
      </c>
      <c r="BA123" s="11">
        <f>'2. Financial Metrics Actual Aud'!BB29/BA56</f>
        <v>8714.035058</v>
      </c>
      <c r="BB123" s="14">
        <f>'2. Financial Metrics Actual Aud'!BC29/BB56</f>
        <v>10429.77423</v>
      </c>
      <c r="BC123" s="11">
        <f>'2. Financial Metrics Actual Aud'!BD29/BC56</f>
        <v>10919.34465</v>
      </c>
      <c r="BD123" s="14">
        <f>'2. Financial Metrics Actual Aud'!BE29/BD56</f>
        <v>11473.09289</v>
      </c>
      <c r="BE123" s="11">
        <f>'2. Financial Metrics Actual Aud'!BF29/BE56</f>
        <v>6779.416881</v>
      </c>
      <c r="BF123" s="14">
        <f>'2. Financial Metrics Actual Aud'!BG29/BF56</f>
        <v>12026.63113</v>
      </c>
      <c r="BG123" s="11">
        <f>'2. Financial Metrics Actual Aud'!BH29/BG56</f>
        <v>14853.56057</v>
      </c>
      <c r="BH123" s="14">
        <f>'2. Financial Metrics Actual Aud'!BI29/BH56</f>
        <v>11732.68122</v>
      </c>
      <c r="BI123" s="11">
        <f>'2. Financial Metrics Actual Aud'!BJ29/BI56</f>
        <v>8914.013997</v>
      </c>
      <c r="BJ123" s="14">
        <f>'2. Financial Metrics Actual Aud'!BK29/BJ56</f>
        <v>11669.64828</v>
      </c>
      <c r="BK123" s="11">
        <f>'2. Financial Metrics Actual Aud'!BL29/BK56</f>
        <v>6245.819262</v>
      </c>
      <c r="BL123" s="14">
        <f>'2. Financial Metrics Actual Aud'!BM29/BL56</f>
        <v>11237.06956</v>
      </c>
      <c r="BM123" s="11">
        <f>'2. Financial Metrics Actual Aud'!BN29/BM56</f>
        <v>10681.03537</v>
      </c>
      <c r="BN123" s="14">
        <f>'2. Financial Metrics Actual Aud'!BO29/BN56</f>
        <v>11094.35905</v>
      </c>
      <c r="BO123" s="11">
        <f>'2. Financial Metrics Actual Aud'!BP29/BO56</f>
        <v>8385.653</v>
      </c>
      <c r="BP123" s="14">
        <f>'2. Financial Metrics Actual Aud'!BQ29/BP56</f>
        <v>10603.62012</v>
      </c>
      <c r="BQ123" s="11">
        <f>'2. Financial Metrics Actual Aud'!BR29/BQ56</f>
        <v>8422.985657</v>
      </c>
      <c r="BR123" s="14">
        <f>'2. Financial Metrics Actual Aud'!BS29/BR56</f>
        <v>10387.47145</v>
      </c>
      <c r="BS123" s="11">
        <f>'2. Financial Metrics Actual Aud'!BT29/BS56</f>
        <v>11030.09548</v>
      </c>
      <c r="BT123" s="14">
        <f>'2. Financial Metrics Actual Aud'!BU29/BT56</f>
        <v>10775.42169</v>
      </c>
      <c r="BU123" s="11">
        <f>'2. Financial Metrics Actual Aud'!BV29/BU56</f>
        <v>9254.939494</v>
      </c>
      <c r="BV123" s="14">
        <f>'2. Financial Metrics Actual Aud'!BW29/BV56</f>
        <v>12677.15355</v>
      </c>
      <c r="BW123" s="11">
        <f>'2. Financial Metrics Actual Aud'!BX29/BW56</f>
        <v>8444.024302</v>
      </c>
      <c r="BX123" s="14">
        <f>'2. Financial Metrics Actual Aud'!BY29/BX56</f>
        <v>13057.29747</v>
      </c>
      <c r="BY123" s="11">
        <f>'2. Financial Metrics Actual Aud'!BZ29/BY56</f>
        <v>9661.442576</v>
      </c>
      <c r="BZ123" s="14">
        <f>'2. Financial Metrics Actual Aud'!CA29/BZ56</f>
        <v>12877.76745</v>
      </c>
      <c r="CA123" s="11">
        <f>'2. Financial Metrics Actual Aud'!CB29/CA56</f>
        <v>7775.418624</v>
      </c>
      <c r="CB123" s="14">
        <f>'2. Financial Metrics Actual Aud'!CC29/CB56</f>
        <v>12592.64637</v>
      </c>
      <c r="CC123" s="11">
        <f>'2. Financial Metrics Actual Aud'!CD29/CC56</f>
        <v>8774.027045</v>
      </c>
      <c r="CD123" s="14">
        <f>'2. Financial Metrics Actual Aud'!CE29/CD56</f>
        <v>14223.37735</v>
      </c>
      <c r="CE123" s="11">
        <f>'2. Financial Metrics Actual Aud'!CF29/CE56</f>
        <v>7964.626811</v>
      </c>
      <c r="CF123" s="14">
        <f>'2. Financial Metrics Actual Aud'!CG29/CF56</f>
        <v>13901.69207</v>
      </c>
      <c r="CG123" s="11">
        <f>'2. Financial Metrics Actual Aud'!CH29/CG56</f>
        <v>8449.040303</v>
      </c>
      <c r="CH123" s="14">
        <f>'2. Financial Metrics Actual Aud'!CI29/CH56</f>
        <v>14101.31603</v>
      </c>
      <c r="CI123" s="11">
        <f>'2. Financial Metrics Actual Aud'!CJ29/CI56</f>
        <v>7472.025262</v>
      </c>
      <c r="CJ123" s="14">
        <f>'2. Financial Metrics Actual Aud'!CK29/CJ56</f>
        <v>13972.00181</v>
      </c>
      <c r="CK123" s="11">
        <f>'2. Financial Metrics Actual Aud'!CM29/CK56</f>
        <v>11568.2836</v>
      </c>
      <c r="CL123" s="14">
        <f>'2. Financial Metrics Actual Aud'!CM29/CL56</f>
        <v>13348.01954</v>
      </c>
      <c r="CM123" s="14">
        <f>'2. Financial Metrics Actual Aud'!CN29/CM56</f>
        <v>13190.22264</v>
      </c>
      <c r="CO123" s="42" t="s">
        <v>35</v>
      </c>
      <c r="CP123" s="12" t="b">
        <f t="shared" si="58"/>
        <v>0</v>
      </c>
    </row>
    <row r="124" ht="15.75" customHeight="1">
      <c r="C124" s="4"/>
      <c r="D124" s="5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O124" s="44" t="s">
        <v>36</v>
      </c>
      <c r="CP124" s="12" t="b">
        <f t="shared" si="58"/>
        <v>0</v>
      </c>
    </row>
    <row r="125" ht="15.75" customHeight="1">
      <c r="C125" s="4"/>
      <c r="D125" s="5" t="s">
        <v>46</v>
      </c>
      <c r="E125" s="54">
        <f t="shared" ref="E125:CM125" si="104">IFERROR(E118/E123,0)</f>
        <v>250.3751669</v>
      </c>
      <c r="F125" s="54">
        <f t="shared" si="104"/>
        <v>157.5944659</v>
      </c>
      <c r="G125" s="54">
        <f t="shared" si="104"/>
        <v>28.28008151</v>
      </c>
      <c r="H125" s="54">
        <f t="shared" si="104"/>
        <v>58.6548214</v>
      </c>
      <c r="I125" s="54">
        <f t="shared" si="104"/>
        <v>5.299094351</v>
      </c>
      <c r="J125" s="54">
        <f t="shared" si="104"/>
        <v>15.74979613</v>
      </c>
      <c r="K125" s="54">
        <f t="shared" si="104"/>
        <v>9.685605913</v>
      </c>
      <c r="L125" s="54">
        <f t="shared" si="104"/>
        <v>3.865287443</v>
      </c>
      <c r="M125" s="54">
        <f t="shared" si="104"/>
        <v>2.797040166</v>
      </c>
      <c r="N125" s="54">
        <f t="shared" si="104"/>
        <v>8.07927387</v>
      </c>
      <c r="O125" s="54">
        <f t="shared" si="104"/>
        <v>9.502663215</v>
      </c>
      <c r="P125" s="54">
        <f t="shared" si="104"/>
        <v>4.922798497</v>
      </c>
      <c r="Q125" s="54">
        <f t="shared" si="104"/>
        <v>5.150605338</v>
      </c>
      <c r="R125" s="54">
        <f t="shared" si="104"/>
        <v>4.211233952</v>
      </c>
      <c r="S125" s="54">
        <f t="shared" si="104"/>
        <v>3.324696848</v>
      </c>
      <c r="T125" s="54">
        <f t="shared" si="104"/>
        <v>2.830923002</v>
      </c>
      <c r="U125" s="54">
        <f t="shared" si="104"/>
        <v>4.781095286</v>
      </c>
      <c r="V125" s="54">
        <f t="shared" si="104"/>
        <v>2.500568083</v>
      </c>
      <c r="W125" s="54">
        <f t="shared" si="104"/>
        <v>2.540985815</v>
      </c>
      <c r="X125" s="54">
        <f t="shared" si="104"/>
        <v>2.836586168</v>
      </c>
      <c r="Y125" s="54">
        <f t="shared" si="104"/>
        <v>2.787015681</v>
      </c>
      <c r="Z125" s="54">
        <f t="shared" si="104"/>
        <v>2.417777856</v>
      </c>
      <c r="AA125" s="54">
        <f t="shared" si="104"/>
        <v>4.075332188</v>
      </c>
      <c r="AB125" s="54">
        <f t="shared" si="104"/>
        <v>2.552980561</v>
      </c>
      <c r="AC125" s="54">
        <f t="shared" si="104"/>
        <v>3.070227625</v>
      </c>
      <c r="AD125" s="54">
        <f t="shared" si="104"/>
        <v>2.715797219</v>
      </c>
      <c r="AE125" s="54">
        <f t="shared" si="104"/>
        <v>3.452717735</v>
      </c>
      <c r="AF125" s="54">
        <f t="shared" si="104"/>
        <v>2.774645487</v>
      </c>
      <c r="AG125" s="54">
        <f t="shared" si="104"/>
        <v>3.650311026</v>
      </c>
      <c r="AH125" s="54">
        <f t="shared" si="104"/>
        <v>2.990504169</v>
      </c>
      <c r="AI125" s="54">
        <f t="shared" si="104"/>
        <v>3.009413257</v>
      </c>
      <c r="AJ125" s="54">
        <f t="shared" si="104"/>
        <v>3.012818738</v>
      </c>
      <c r="AK125" s="54">
        <f t="shared" si="104"/>
        <v>2.998562559</v>
      </c>
      <c r="AL125" s="54">
        <f t="shared" si="104"/>
        <v>3.120960212</v>
      </c>
      <c r="AM125" s="54">
        <f t="shared" si="104"/>
        <v>4.112204981</v>
      </c>
      <c r="AN125" s="54">
        <f t="shared" si="104"/>
        <v>1.862996068</v>
      </c>
      <c r="AO125" s="54">
        <f t="shared" si="104"/>
        <v>1.905213107</v>
      </c>
      <c r="AP125" s="54">
        <f t="shared" si="104"/>
        <v>1.879302228</v>
      </c>
      <c r="AQ125" s="54">
        <f t="shared" si="104"/>
        <v>1.876241691</v>
      </c>
      <c r="AR125" s="54">
        <f t="shared" si="104"/>
        <v>2.228419177</v>
      </c>
      <c r="AS125" s="54">
        <f t="shared" si="104"/>
        <v>2.72284318</v>
      </c>
      <c r="AT125" s="54">
        <f t="shared" si="104"/>
        <v>2.226639428</v>
      </c>
      <c r="AU125" s="54">
        <f t="shared" si="104"/>
        <v>2.103257703</v>
      </c>
      <c r="AV125" s="54">
        <f t="shared" si="104"/>
        <v>2.30841547</v>
      </c>
      <c r="AW125" s="54">
        <f t="shared" si="104"/>
        <v>2.850774072</v>
      </c>
      <c r="AX125" s="54">
        <f t="shared" si="104"/>
        <v>2.239290854</v>
      </c>
      <c r="AY125" s="54">
        <f t="shared" si="104"/>
        <v>3.556863499</v>
      </c>
      <c r="AZ125" s="54">
        <f t="shared" si="104"/>
        <v>2.92480094</v>
      </c>
      <c r="BA125" s="54">
        <f t="shared" si="104"/>
        <v>2.292323088</v>
      </c>
      <c r="BB125" s="54">
        <f t="shared" si="104"/>
        <v>2.978151755</v>
      </c>
      <c r="BC125" s="54">
        <f t="shared" si="104"/>
        <v>1.896478088</v>
      </c>
      <c r="BD125" s="54">
        <f t="shared" si="104"/>
        <v>2.693439654</v>
      </c>
      <c r="BE125" s="54">
        <f t="shared" si="104"/>
        <v>2.912262271</v>
      </c>
      <c r="BF125" s="54">
        <f t="shared" si="104"/>
        <v>2.551393359</v>
      </c>
      <c r="BG125" s="54">
        <f t="shared" si="104"/>
        <v>1.42173543</v>
      </c>
      <c r="BH125" s="54">
        <f t="shared" si="104"/>
        <v>2.613812065</v>
      </c>
      <c r="BI125" s="54">
        <f t="shared" si="104"/>
        <v>2.489434458</v>
      </c>
      <c r="BJ125" s="54">
        <f t="shared" si="104"/>
        <v>2.721744834</v>
      </c>
      <c r="BK125" s="54">
        <f t="shared" si="104"/>
        <v>3.128461795</v>
      </c>
      <c r="BL125" s="54">
        <f t="shared" si="104"/>
        <v>1.827946305</v>
      </c>
      <c r="BM125" s="54">
        <f t="shared" si="104"/>
        <v>2.064946953</v>
      </c>
      <c r="BN125" s="54">
        <f t="shared" si="104"/>
        <v>1.882683512</v>
      </c>
      <c r="BO125" s="54">
        <f t="shared" si="104"/>
        <v>2.800057505</v>
      </c>
      <c r="BP125" s="54">
        <f t="shared" si="104"/>
        <v>2.0032982</v>
      </c>
      <c r="BQ125" s="54">
        <f t="shared" si="104"/>
        <v>2.481151157</v>
      </c>
      <c r="BR125" s="54">
        <f t="shared" si="104"/>
        <v>2.115972375</v>
      </c>
      <c r="BS125" s="54">
        <f t="shared" si="104"/>
        <v>1.809842596</v>
      </c>
      <c r="BT125" s="54">
        <f t="shared" si="104"/>
        <v>2.056582786</v>
      </c>
      <c r="BU125" s="54">
        <f t="shared" si="104"/>
        <v>2.373882927</v>
      </c>
      <c r="BV125" s="54">
        <f t="shared" si="104"/>
        <v>1.879609116</v>
      </c>
      <c r="BW125" s="54">
        <f t="shared" si="104"/>
        <v>2.838404766</v>
      </c>
      <c r="BX125" s="54">
        <f t="shared" si="104"/>
        <v>1.857766289</v>
      </c>
      <c r="BY125" s="54">
        <f t="shared" si="104"/>
        <v>2.163195861</v>
      </c>
      <c r="BZ125" s="54">
        <f t="shared" si="104"/>
        <v>1.953978754</v>
      </c>
      <c r="CA125" s="54">
        <f t="shared" si="104"/>
        <v>3.008926781</v>
      </c>
      <c r="CB125" s="54">
        <f t="shared" si="104"/>
        <v>2.051169612</v>
      </c>
      <c r="CC125" s="54">
        <f t="shared" si="104"/>
        <v>2.352310357</v>
      </c>
      <c r="CD125" s="54">
        <f t="shared" si="104"/>
        <v>1.881141027</v>
      </c>
      <c r="CE125" s="54">
        <f t="shared" si="104"/>
        <v>2.649459622</v>
      </c>
      <c r="CF125" s="54">
        <f t="shared" si="104"/>
        <v>1.950109233</v>
      </c>
      <c r="CG125" s="54">
        <f t="shared" si="104"/>
        <v>2.806026006</v>
      </c>
      <c r="CH125" s="54">
        <f t="shared" si="104"/>
        <v>1.964322345</v>
      </c>
      <c r="CI125" s="54">
        <f t="shared" si="104"/>
        <v>3.131145731</v>
      </c>
      <c r="CJ125" s="54">
        <f t="shared" si="104"/>
        <v>2.060125126</v>
      </c>
      <c r="CK125" s="54">
        <f t="shared" si="104"/>
        <v>1.873612919</v>
      </c>
      <c r="CL125" s="54">
        <f t="shared" si="104"/>
        <v>2.207827292</v>
      </c>
      <c r="CM125" s="54">
        <f t="shared" si="104"/>
        <v>2.31645411</v>
      </c>
      <c r="CO125" s="44" t="s">
        <v>37</v>
      </c>
      <c r="CP125" s="12" t="b">
        <f t="shared" si="58"/>
        <v>0</v>
      </c>
    </row>
    <row r="126" ht="15.75" customHeight="1">
      <c r="C126" s="4"/>
      <c r="D126" s="5" t="s">
        <v>47</v>
      </c>
      <c r="E126" s="54">
        <f>E125*'2. Financial Metrics Actual Aud'!F25</f>
        <v>175.5953525</v>
      </c>
      <c r="F126" s="54">
        <f>F125*'2. Financial Metrics Actual Aud'!G25</f>
        <v>141.8601942</v>
      </c>
      <c r="G126" s="54">
        <f>G125*'2. Financial Metrics Actual Aud'!H25</f>
        <v>22.52675373</v>
      </c>
      <c r="H126" s="54">
        <f>H125*'2. Financial Metrics Actual Aud'!I25</f>
        <v>45.50817619</v>
      </c>
      <c r="I126" s="54">
        <f>I125*'2. Financial Metrics Actual Aud'!J25</f>
        <v>3.130114671</v>
      </c>
      <c r="J126" s="54">
        <f>J125*'2. Financial Metrics Actual Aud'!K25</f>
        <v>7.589734509</v>
      </c>
      <c r="K126" s="54">
        <f>K125*'2. Financial Metrics Actual Aud'!L25</f>
        <v>4.33347336</v>
      </c>
      <c r="L126" s="54">
        <f>L125*'2. Financial Metrics Actual Aud'!M25</f>
        <v>1.966987959</v>
      </c>
      <c r="M126" s="54">
        <f>M125*'2. Financial Metrics Actual Aud'!N25</f>
        <v>0.7872599239</v>
      </c>
      <c r="N126" s="54">
        <f>N125*'2. Financial Metrics Actual Aud'!O25</f>
        <v>4.150461065</v>
      </c>
      <c r="O126" s="54">
        <f>O125*'2. Financial Metrics Actual Aud'!P25</f>
        <v>5.00716207</v>
      </c>
      <c r="P126" s="54">
        <f>P125*'2. Financial Metrics Actual Aud'!Q25</f>
        <v>2.208343251</v>
      </c>
      <c r="Q126" s="54">
        <f>Q125*'2. Financial Metrics Actual Aud'!R25</f>
        <v>3.10742728</v>
      </c>
      <c r="R126" s="54">
        <f>R125*'2. Financial Metrics Actual Aud'!S25</f>
        <v>2.707671307</v>
      </c>
      <c r="S126" s="54">
        <f>S125*'2. Financial Metrics Actual Aud'!T25</f>
        <v>1.859517832</v>
      </c>
      <c r="T126" s="54">
        <f>T125*'2. Financial Metrics Actual Aud'!U25</f>
        <v>1.769077713</v>
      </c>
      <c r="U126" s="54">
        <f>U125*'2. Financial Metrics Actual Aud'!V25</f>
        <v>3.18080703</v>
      </c>
      <c r="V126" s="54">
        <f>V125*'2. Financial Metrics Actual Aud'!W25</f>
        <v>1.63164435</v>
      </c>
      <c r="W126" s="54">
        <f>W125*'2. Financial Metrics Actual Aud'!X25</f>
        <v>1.708184963</v>
      </c>
      <c r="X126" s="54">
        <f>X125*'2. Financial Metrics Actual Aud'!Y25</f>
        <v>1.891420755</v>
      </c>
      <c r="Y126" s="54">
        <f>Y125*'2. Financial Metrics Actual Aud'!Z25</f>
        <v>1.889545366</v>
      </c>
      <c r="Z126" s="54">
        <f>Z125*'2. Financial Metrics Actual Aud'!AA25</f>
        <v>1.666736521</v>
      </c>
      <c r="AA126" s="54">
        <f>AA125*'2. Financial Metrics Actual Aud'!AB25</f>
        <v>2.900397947</v>
      </c>
      <c r="AB126" s="54">
        <f>AB125*'2. Financial Metrics Actual Aud'!AC25</f>
        <v>1.795101246</v>
      </c>
      <c r="AC126" s="54">
        <f>AC125*'2. Financial Metrics Actual Aud'!AD25</f>
        <v>2.21240656</v>
      </c>
      <c r="AD126" s="54">
        <f>AD125*'2. Financial Metrics Actual Aud'!AE25</f>
        <v>1.9508591</v>
      </c>
      <c r="AE126" s="54">
        <f>AE125*'2. Financial Metrics Actual Aud'!AF25</f>
        <v>2.562809573</v>
      </c>
      <c r="AF126" s="54">
        <f>AF125*'2. Financial Metrics Actual Aud'!AG25</f>
        <v>1.988936887</v>
      </c>
      <c r="AG126" s="54">
        <f>AG125*'2. Financial Metrics Actual Aud'!AH25</f>
        <v>2.74279321</v>
      </c>
      <c r="AH126" s="54">
        <f>AH125*'2. Financial Metrics Actual Aud'!AI25</f>
        <v>2.185093902</v>
      </c>
      <c r="AI126" s="54">
        <f>AI125*'2. Financial Metrics Actual Aud'!AJ25</f>
        <v>2.235115781</v>
      </c>
      <c r="AJ126" s="54">
        <f>AJ125*'2. Financial Metrics Actual Aud'!AK25</f>
        <v>2.243204391</v>
      </c>
      <c r="AK126" s="54">
        <f>AK125*'2. Financial Metrics Actual Aud'!AL25</f>
        <v>2.237457347</v>
      </c>
      <c r="AL126" s="54">
        <f>AL125*'2. Financial Metrics Actual Aud'!AM25</f>
        <v>2.31207999</v>
      </c>
      <c r="AM126" s="54">
        <f>AM125*'2. Financial Metrics Actual Aud'!AN25</f>
        <v>3.032845603</v>
      </c>
      <c r="AN126" s="54">
        <f>AN125*'2. Financial Metrics Actual Aud'!AO25</f>
        <v>1.493674795</v>
      </c>
      <c r="AO126" s="54">
        <f>AO125*'2. Financial Metrics Actual Aud'!AP25</f>
        <v>1.429488827</v>
      </c>
      <c r="AP126" s="54">
        <f>AP125*'2. Financial Metrics Actual Aud'!AQ25</f>
        <v>1.54095574</v>
      </c>
      <c r="AQ126" s="54">
        <f>AQ125*'2. Financial Metrics Actual Aud'!AR25</f>
        <v>1.440171612</v>
      </c>
      <c r="AR126" s="54">
        <f>AR125*'2. Financial Metrics Actual Aud'!AS25</f>
        <v>1.809427887</v>
      </c>
      <c r="AS126" s="54">
        <f>AS125*'2. Financial Metrics Actual Aud'!AT25</f>
        <v>2.094468496</v>
      </c>
      <c r="AT126" s="54">
        <f>AT125*'2. Financial Metrics Actual Aud'!AU25</f>
        <v>1.789191782</v>
      </c>
      <c r="AU126" s="54">
        <f>AU125*'2. Financial Metrics Actual Aud'!AV25</f>
        <v>1.610932046</v>
      </c>
      <c r="AV126" s="54">
        <f>AV125*'2. Financial Metrics Actual Aud'!AW25</f>
        <v>1.833715457</v>
      </c>
      <c r="AW126" s="54">
        <f>AW125*'2. Financial Metrics Actual Aud'!AX25</f>
        <v>2.201828877</v>
      </c>
      <c r="AX126" s="54">
        <f>AX125*'2. Financial Metrics Actual Aud'!AY25</f>
        <v>1.79696206</v>
      </c>
      <c r="AY126" s="54">
        <f>AY125*'2. Financial Metrics Actual Aud'!AZ25</f>
        <v>2.840556341</v>
      </c>
      <c r="AZ126" s="54">
        <f>AZ125*'2. Financial Metrics Actual Aud'!BA25</f>
        <v>2.355361917</v>
      </c>
      <c r="BA126" s="54">
        <f>BA125*'2. Financial Metrics Actual Aud'!BB25</f>
        <v>1.823550752</v>
      </c>
      <c r="BB126" s="54">
        <f>BB125*'2. Financial Metrics Actual Aud'!BC25</f>
        <v>2.345372864</v>
      </c>
      <c r="BC126" s="54">
        <f>BC125*'2. Financial Metrics Actual Aud'!BD25</f>
        <v>1.509296288</v>
      </c>
      <c r="BD126" s="54">
        <f>BD125*'2. Financial Metrics Actual Aud'!BE25</f>
        <v>2.080959879</v>
      </c>
      <c r="BE126" s="54">
        <f>BE125*'2. Financial Metrics Actual Aud'!BF25</f>
        <v>2.335948379</v>
      </c>
      <c r="BF126" s="54">
        <f>BF125*'2. Financial Metrics Actual Aud'!BG25</f>
        <v>2.032555464</v>
      </c>
      <c r="BG126" s="54">
        <f>BG125*'2. Financial Metrics Actual Aud'!BH25</f>
        <v>1.134348298</v>
      </c>
      <c r="BH126" s="54">
        <f>BH125*'2. Financial Metrics Actual Aud'!BI25</f>
        <v>2.090488511</v>
      </c>
      <c r="BI126" s="54">
        <f>BI125*'2. Financial Metrics Actual Aud'!BJ25</f>
        <v>1.996134576</v>
      </c>
      <c r="BJ126" s="54">
        <f>BJ125*'2. Financial Metrics Actual Aud'!BK25</f>
        <v>2.195515051</v>
      </c>
      <c r="BK126" s="54">
        <f>BK125*'2. Financial Metrics Actual Aud'!BL25</f>
        <v>2.532892032</v>
      </c>
      <c r="BL126" s="54">
        <f>BL125*'2. Financial Metrics Actual Aud'!BM25</f>
        <v>1.476470877</v>
      </c>
      <c r="BM126" s="54">
        <f>BM125*'2. Financial Metrics Actual Aud'!BN25</f>
        <v>1.668685944</v>
      </c>
      <c r="BN126" s="54">
        <f>BN125*'2. Financial Metrics Actual Aud'!BO25</f>
        <v>1.521890361</v>
      </c>
      <c r="BO126" s="54">
        <f>BO125*'2. Financial Metrics Actual Aud'!BP25</f>
        <v>2.295455466</v>
      </c>
      <c r="BP126" s="54">
        <f>BP125*'2. Financial Metrics Actual Aud'!BQ25</f>
        <v>1.618096219</v>
      </c>
      <c r="BQ126" s="54">
        <f>BQ125*'2. Financial Metrics Actual Aud'!BR25</f>
        <v>2.041438566</v>
      </c>
      <c r="BR126" s="54">
        <f>BR125*'2. Financial Metrics Actual Aud'!BS25</f>
        <v>1.706278337</v>
      </c>
      <c r="BS126" s="54">
        <f>BS125*'2. Financial Metrics Actual Aud'!BT25</f>
        <v>1.463750832</v>
      </c>
      <c r="BT126" s="54">
        <f>BT125*'2. Financial Metrics Actual Aud'!BU25</f>
        <v>1.656060571</v>
      </c>
      <c r="BU126" s="55">
        <f>BU125*'2. Financial Metrics Actual Aud'!BV25</f>
        <v>1.927809592</v>
      </c>
      <c r="BV126" s="54">
        <f>BV125*'2. Financial Metrics Actual Aud'!BW25</f>
        <v>1.509840723</v>
      </c>
      <c r="BW126" s="56">
        <f>BW125*'2. Financial Metrics Actual Aud'!BX25</f>
        <v>2.301040983</v>
      </c>
      <c r="BX126" s="56">
        <f>BX125*'2. Financial Metrics Actual Aud'!BY25</f>
        <v>1.47726965</v>
      </c>
      <c r="BY126" s="56">
        <f>BY125*'2. Financial Metrics Actual Aud'!BZ25</f>
        <v>1.760944159</v>
      </c>
      <c r="BZ126" s="56">
        <f>BZ125*'2. Financial Metrics Actual Aud'!CA25</f>
        <v>1.552467177</v>
      </c>
      <c r="CA126" s="56">
        <f>CA125*'2. Financial Metrics Actual Aud'!CB25</f>
        <v>2.464136182</v>
      </c>
      <c r="CB126" s="56">
        <f>CB125*'2. Financial Metrics Actual Aud'!CC25</f>
        <v>1.622154653</v>
      </c>
      <c r="CC126" s="56">
        <f>CC125*'2. Financial Metrics Actual Aud'!CD25</f>
        <v>1.942425568</v>
      </c>
      <c r="CD126" s="54">
        <f>CD125*'2. Financial Metrics Actual Aud'!CE25</f>
        <v>1.48665584</v>
      </c>
      <c r="CE126" s="56">
        <f>CE125*'2. Financial Metrics Actual Aud'!CF25</f>
        <v>2.219592969</v>
      </c>
      <c r="CF126" s="54">
        <f>CF125*'2. Financial Metrics Actual Aud'!CG25</f>
        <v>1.540677351</v>
      </c>
      <c r="CG126" s="56">
        <f>CG125*'2. Financial Metrics Actual Aud'!CH25</f>
        <v>2.360687002</v>
      </c>
      <c r="CH126" s="54">
        <f>CH125*'2. Financial Metrics Actual Aud'!CI25</f>
        <v>1.551138321</v>
      </c>
      <c r="CI126" s="56">
        <f>CI125*'2. Financial Metrics Actual Aud'!CJ25</f>
        <v>2.637162872</v>
      </c>
      <c r="CJ126" s="54">
        <f>CJ125*'2. Financial Metrics Actual Aud'!CK25</f>
        <v>1.617242764</v>
      </c>
      <c r="CK126" s="56">
        <f>CK125*'2. Financial Metrics Actual Aud'!CM25</f>
        <v>1.465385537</v>
      </c>
      <c r="CL126" s="54">
        <f>CL125*'2. Financial Metrics Actual Aud'!CM25</f>
        <v>1.726780462</v>
      </c>
      <c r="CM126" s="54">
        <f>CM125*'2. Financial Metrics Actual Aud'!CN25</f>
        <v>1.804558849</v>
      </c>
      <c r="CO126" s="44" t="s">
        <v>38</v>
      </c>
      <c r="CP126" s="12" t="b">
        <f t="shared" si="58"/>
        <v>0</v>
      </c>
    </row>
    <row r="127" ht="15.75" customHeight="1">
      <c r="C127" s="4"/>
      <c r="D127" s="5" t="s">
        <v>48</v>
      </c>
      <c r="E127" s="54">
        <f t="shared" ref="E127:CM127" si="105">IFERROR((E123/E51),"")</f>
        <v>0.1437842276</v>
      </c>
      <c r="F127" s="54">
        <f t="shared" si="105"/>
        <v>0.2284344173</v>
      </c>
      <c r="G127" s="54">
        <f t="shared" si="105"/>
        <v>1.272980772</v>
      </c>
      <c r="H127" s="54">
        <f t="shared" si="105"/>
        <v>0.6137602867</v>
      </c>
      <c r="I127" s="54">
        <f t="shared" si="105"/>
        <v>6.793613704</v>
      </c>
      <c r="J127" s="54">
        <f t="shared" si="105"/>
        <v>2.285743873</v>
      </c>
      <c r="K127" s="54">
        <f t="shared" si="105"/>
        <v>3.716855747</v>
      </c>
      <c r="L127" s="54">
        <f t="shared" si="105"/>
        <v>9.313666974</v>
      </c>
      <c r="M127" s="54">
        <f t="shared" si="105"/>
        <v>12.87074831</v>
      </c>
      <c r="N127" s="54">
        <f t="shared" si="105"/>
        <v>4.45584598</v>
      </c>
      <c r="O127" s="54">
        <f t="shared" si="105"/>
        <v>3.788411647</v>
      </c>
      <c r="P127" s="54">
        <f t="shared" si="105"/>
        <v>7.312913584</v>
      </c>
      <c r="Q127" s="54">
        <f t="shared" si="105"/>
        <v>6.98946971</v>
      </c>
      <c r="R127" s="54">
        <f t="shared" si="105"/>
        <v>8.548563297</v>
      </c>
      <c r="S127" s="54">
        <f t="shared" si="105"/>
        <v>10.8280549</v>
      </c>
      <c r="T127" s="54">
        <f t="shared" si="105"/>
        <v>12.71670052</v>
      </c>
      <c r="U127" s="54">
        <f t="shared" si="105"/>
        <v>7.529655412</v>
      </c>
      <c r="V127" s="54">
        <f t="shared" si="105"/>
        <v>14.39672858</v>
      </c>
      <c r="W127" s="54">
        <f t="shared" si="105"/>
        <v>14.16772962</v>
      </c>
      <c r="X127" s="54">
        <f t="shared" si="105"/>
        <v>12.69131197</v>
      </c>
      <c r="Y127" s="54">
        <f t="shared" si="105"/>
        <v>12.9170425</v>
      </c>
      <c r="Z127" s="54">
        <f t="shared" si="105"/>
        <v>14.8897054</v>
      </c>
      <c r="AA127" s="54">
        <f t="shared" si="105"/>
        <v>8.833635722</v>
      </c>
      <c r="AB127" s="54">
        <f t="shared" si="105"/>
        <v>14.10116495</v>
      </c>
      <c r="AC127" s="54">
        <f t="shared" si="105"/>
        <v>11.72551498</v>
      </c>
      <c r="AD127" s="54">
        <f t="shared" si="105"/>
        <v>13.25577615</v>
      </c>
      <c r="AE127" s="54">
        <f t="shared" si="105"/>
        <v>10.42656909</v>
      </c>
      <c r="AF127" s="54">
        <f t="shared" si="105"/>
        <v>12.97463051</v>
      </c>
      <c r="AG127" s="54">
        <f t="shared" si="105"/>
        <v>9.862173318</v>
      </c>
      <c r="AH127" s="54">
        <f t="shared" si="105"/>
        <v>12.03810393</v>
      </c>
      <c r="AI127" s="54">
        <f t="shared" si="105"/>
        <v>11.96246475</v>
      </c>
      <c r="AJ127" s="54">
        <f t="shared" si="105"/>
        <v>11.94894321</v>
      </c>
      <c r="AK127" s="54">
        <f t="shared" si="105"/>
        <v>12.00575252</v>
      </c>
      <c r="AL127" s="54">
        <f t="shared" si="105"/>
        <v>11.53491155</v>
      </c>
      <c r="AM127" s="54">
        <f t="shared" si="105"/>
        <v>8.754427409</v>
      </c>
      <c r="AN127" s="54">
        <f t="shared" si="105"/>
        <v>19.32371228</v>
      </c>
      <c r="AO127" s="54">
        <f t="shared" si="105"/>
        <v>18.89552401</v>
      </c>
      <c r="AP127" s="54">
        <f t="shared" si="105"/>
        <v>19.15604603</v>
      </c>
      <c r="AQ127" s="54">
        <f t="shared" si="105"/>
        <v>19.1872935</v>
      </c>
      <c r="AR127" s="54">
        <f t="shared" si="105"/>
        <v>16.15494983</v>
      </c>
      <c r="AS127" s="54">
        <f t="shared" si="105"/>
        <v>13.22147389</v>
      </c>
      <c r="AT127" s="54">
        <f t="shared" si="105"/>
        <v>16.16786245</v>
      </c>
      <c r="AU127" s="54">
        <f t="shared" si="105"/>
        <v>17.11630484</v>
      </c>
      <c r="AV127" s="54">
        <f t="shared" si="105"/>
        <v>15.59511296</v>
      </c>
      <c r="AW127" s="54">
        <f t="shared" si="105"/>
        <v>12.62814909</v>
      </c>
      <c r="AX127" s="54">
        <f t="shared" si="105"/>
        <v>16.07651813</v>
      </c>
      <c r="AY127" s="54">
        <f t="shared" si="105"/>
        <v>10.1212768</v>
      </c>
      <c r="AZ127" s="54">
        <f t="shared" si="105"/>
        <v>12.30852996</v>
      </c>
      <c r="BA127" s="54">
        <f t="shared" si="105"/>
        <v>15.70459251</v>
      </c>
      <c r="BB127" s="54">
        <f t="shared" si="105"/>
        <v>12.08803411</v>
      </c>
      <c r="BC127" s="54">
        <f t="shared" si="105"/>
        <v>18.9825552</v>
      </c>
      <c r="BD127" s="54">
        <f t="shared" si="105"/>
        <v>13.36580901</v>
      </c>
      <c r="BE127" s="54">
        <f t="shared" si="105"/>
        <v>12.36152402</v>
      </c>
      <c r="BF127" s="54">
        <f t="shared" si="105"/>
        <v>14.10993718</v>
      </c>
      <c r="BG127" s="54">
        <f t="shared" si="105"/>
        <v>25.32116681</v>
      </c>
      <c r="BH127" s="54">
        <f t="shared" si="105"/>
        <v>13.77298716</v>
      </c>
      <c r="BI127" s="54">
        <f t="shared" si="105"/>
        <v>14.46111581</v>
      </c>
      <c r="BJ127" s="54">
        <f t="shared" si="105"/>
        <v>13.22680934</v>
      </c>
      <c r="BK127" s="54">
        <f t="shared" si="105"/>
        <v>11.50725256</v>
      </c>
      <c r="BL127" s="54">
        <f t="shared" si="105"/>
        <v>19.69423276</v>
      </c>
      <c r="BM127" s="54">
        <f t="shared" si="105"/>
        <v>17.4338619</v>
      </c>
      <c r="BN127" s="54">
        <f t="shared" si="105"/>
        <v>19.12164193</v>
      </c>
      <c r="BO127" s="54">
        <f t="shared" si="105"/>
        <v>12.85687881</v>
      </c>
      <c r="BP127" s="54">
        <f t="shared" si="105"/>
        <v>17.97036507</v>
      </c>
      <c r="BQ127" s="54">
        <f t="shared" si="105"/>
        <v>14.50939412</v>
      </c>
      <c r="BR127" s="54">
        <f t="shared" si="105"/>
        <v>17.01345463</v>
      </c>
      <c r="BS127" s="54">
        <f t="shared" si="105"/>
        <v>19.89123258</v>
      </c>
      <c r="BT127" s="54">
        <f t="shared" si="105"/>
        <v>17.50476579</v>
      </c>
      <c r="BU127" s="54">
        <f t="shared" si="105"/>
        <v>15.16502755</v>
      </c>
      <c r="BV127" s="54">
        <f t="shared" si="105"/>
        <v>19.15291839</v>
      </c>
      <c r="BW127" s="54">
        <f t="shared" si="105"/>
        <v>12.68318051</v>
      </c>
      <c r="BX127" s="54">
        <f t="shared" si="105"/>
        <v>19.37811027</v>
      </c>
      <c r="BY127" s="54">
        <f t="shared" si="105"/>
        <v>16.64204368</v>
      </c>
      <c r="BZ127" s="54">
        <f t="shared" si="105"/>
        <v>18.42394649</v>
      </c>
      <c r="CA127" s="54">
        <f t="shared" si="105"/>
        <v>11.96439881</v>
      </c>
      <c r="CB127" s="54">
        <f t="shared" si="105"/>
        <v>17.55096204</v>
      </c>
      <c r="CC127" s="54">
        <f t="shared" si="105"/>
        <v>15.304103</v>
      </c>
      <c r="CD127" s="54">
        <f t="shared" si="105"/>
        <v>19.13732117</v>
      </c>
      <c r="CE127" s="54">
        <f t="shared" si="105"/>
        <v>13.58767641</v>
      </c>
      <c r="CF127" s="54">
        <f t="shared" si="105"/>
        <v>18.46050436</v>
      </c>
      <c r="CG127" s="54">
        <f t="shared" si="105"/>
        <v>12.82953184</v>
      </c>
      <c r="CH127" s="54">
        <f t="shared" si="105"/>
        <v>18.32693096</v>
      </c>
      <c r="CI127" s="54">
        <f t="shared" si="105"/>
        <v>11.49738885</v>
      </c>
      <c r="CJ127" s="54">
        <f t="shared" si="105"/>
        <v>17.47466673</v>
      </c>
      <c r="CK127" s="54">
        <f t="shared" si="105"/>
        <v>19.21421423</v>
      </c>
      <c r="CL127" s="54">
        <f t="shared" si="105"/>
        <v>16.30562324</v>
      </c>
      <c r="CM127" s="54">
        <f t="shared" si="105"/>
        <v>15.54099425</v>
      </c>
      <c r="CO127" s="44" t="s">
        <v>39</v>
      </c>
      <c r="CP127" s="12" t="b">
        <f t="shared" si="58"/>
        <v>0</v>
      </c>
    </row>
    <row r="128" ht="15.75" customHeight="1">
      <c r="C128" s="4"/>
      <c r="D128" s="5" t="s">
        <v>49</v>
      </c>
      <c r="E128" s="32">
        <f>IFERROR(E127/'2. Financial Metrics Actual Aud'!F25,"")</f>
        <v>0.2050168155</v>
      </c>
      <c r="F128" s="32">
        <f>IFERROR(F127/'2. Financial Metrics Actual Aud'!G25,"")</f>
        <v>0.2537709765</v>
      </c>
      <c r="G128" s="32">
        <f>IFERROR(G127/'2. Financial Metrics Actual Aud'!H25,"")</f>
        <v>1.598099772</v>
      </c>
      <c r="H128" s="32">
        <f>IFERROR(H127/'2. Financial Metrics Actual Aud'!I25,"")</f>
        <v>0.7910666392</v>
      </c>
      <c r="I128" s="32">
        <f>IFERROR(I127/'2. Financial Metrics Actual Aud'!J25,"")</f>
        <v>11.50117609</v>
      </c>
      <c r="J128" s="32">
        <f>IFERROR(J127/'2. Financial Metrics Actual Aud'!K25,"")</f>
        <v>4.743248918</v>
      </c>
      <c r="K128" s="32">
        <f>IFERROR(K127/'2. Financial Metrics Actual Aud'!L25,"")</f>
        <v>8.307423863</v>
      </c>
      <c r="L128" s="32">
        <f>IFERROR(L127/'2. Financial Metrics Actual Aud'!M25,"")</f>
        <v>18.30209475</v>
      </c>
      <c r="M128" s="32">
        <f>IFERROR(M127/'2. Financial Metrics Actual Aud'!N25,"")</f>
        <v>45.72822635</v>
      </c>
      <c r="N128" s="32">
        <f>IFERROR(N127/'2. Financial Metrics Actual Aud'!O25,"")</f>
        <v>8.673735144</v>
      </c>
      <c r="O128" s="32">
        <f>IFERROR(O127/'2. Financial Metrics Actual Aud'!P25,"")</f>
        <v>7.189701371</v>
      </c>
      <c r="P128" s="32">
        <f>IFERROR(P127/'2. Financial Metrics Actual Aud'!Q25,"")</f>
        <v>16.30181358</v>
      </c>
      <c r="Q128" s="32">
        <f>IFERROR(Q127/'2. Financial Metrics Actual Aud'!R25,"")</f>
        <v>11.58514641</v>
      </c>
      <c r="R128" s="32">
        <f>IFERROR(R127/'2. Financial Metrics Actual Aud'!S25,"")</f>
        <v>13.29555766</v>
      </c>
      <c r="S128" s="32">
        <f>IFERROR(S127/'2. Financial Metrics Actual Aud'!T25,"")</f>
        <v>19.35985736</v>
      </c>
      <c r="T128" s="32">
        <f>IFERROR(T127/'2. Financial Metrics Actual Aud'!U25,"")</f>
        <v>20.34958653</v>
      </c>
      <c r="U128" s="32">
        <f>IFERROR(U127/'2. Financial Metrics Actual Aud'!V25,"")</f>
        <v>11.31788243</v>
      </c>
      <c r="V128" s="54">
        <f>IFERROR(V127/'2. Financial Metrics Actual Aud'!W25,"")</f>
        <v>22.06363169</v>
      </c>
      <c r="W128" s="32">
        <f>IFERROR(W127/'2. Financial Metrics Actual Aud'!X25,"")</f>
        <v>21.07500112</v>
      </c>
      <c r="X128" s="54">
        <f>IFERROR(X127/'2. Financial Metrics Actual Aud'!Y25,"")</f>
        <v>19.03331128</v>
      </c>
      <c r="Y128" s="32">
        <f>IFERROR(Y127/'2. Financial Metrics Actual Aud'!Z25,"")</f>
        <v>19.052202</v>
      </c>
      <c r="Z128" s="54">
        <f>IFERROR(Z127/'2. Financial Metrics Actual Aud'!AA25,"")</f>
        <v>21.59909473</v>
      </c>
      <c r="AA128" s="32">
        <f>IFERROR(AA127/'2. Financial Metrics Actual Aud'!AB25,"")</f>
        <v>12.41208988</v>
      </c>
      <c r="AB128" s="54">
        <f>IFERROR(AB127/'2. Financial Metrics Actual Aud'!AC25,"")</f>
        <v>20.05457913</v>
      </c>
      <c r="AC128" s="32">
        <f>IFERROR(AC127/'2. Financial Metrics Actual Aud'!AD25,"")</f>
        <v>16.27187365</v>
      </c>
      <c r="AD128" s="54">
        <f>IFERROR(AD127/'2. Financial Metrics Actual Aud'!AE25,"")</f>
        <v>18.45340855</v>
      </c>
      <c r="AE128" s="32">
        <f>IFERROR(AE127/'2. Financial Metrics Actual Aud'!AF25,"")</f>
        <v>14.04708347</v>
      </c>
      <c r="AF128" s="54">
        <f>IFERROR(AF127/'2. Financial Metrics Actual Aud'!AG25,"")</f>
        <v>18.10012185</v>
      </c>
      <c r="AG128" s="54">
        <f>IFERROR(AG127/'2. Financial Metrics Actual Aud'!AH25,"")</f>
        <v>13.12530593</v>
      </c>
      <c r="AH128" s="54">
        <f>IFERROR(AH127/'2. Financial Metrics Actual Aud'!AI25,"")</f>
        <v>16.47526451</v>
      </c>
      <c r="AI128" s="54">
        <f>IFERROR(AI127/'2. Financial Metrics Actual Aud'!AJ25,"")</f>
        <v>16.10654817</v>
      </c>
      <c r="AJ128" s="54">
        <f>IFERROR(AJ127/'2. Financial Metrics Actual Aud'!AK25,"")</f>
        <v>16.04847073</v>
      </c>
      <c r="AK128" s="54">
        <f>IFERROR(AK127/'2. Financial Metrics Actual Aud'!AL25,"")</f>
        <v>16.08969219</v>
      </c>
      <c r="AL128" s="54">
        <f>IFERROR(AL127/'2. Financial Metrics Actual Aud'!AM25,"")</f>
        <v>15.57039556</v>
      </c>
      <c r="AM128" s="32">
        <f>IFERROR(AM127/'2. Financial Metrics Actual Aud'!AN25,"")</f>
        <v>11.87004045</v>
      </c>
      <c r="AN128" s="54">
        <f>IFERROR(AN127/'2. Financial Metrics Actual Aud'!AO25,"")</f>
        <v>24.10163184</v>
      </c>
      <c r="AO128" s="32">
        <f>IFERROR(AO127/'2. Financial Metrics Actual Aud'!AP25,"")</f>
        <v>25.18382748</v>
      </c>
      <c r="AP128" s="54">
        <f>IFERROR(AP127/'2. Financial Metrics Actual Aud'!AQ25,"")</f>
        <v>23.3621246</v>
      </c>
      <c r="AQ128" s="32">
        <f>IFERROR(AQ127/'2. Financial Metrics Actual Aud'!AR25,"")</f>
        <v>24.99702099</v>
      </c>
      <c r="AR128" s="54">
        <f>IFERROR(AR127/'2. Financial Metrics Actual Aud'!AS25,"")</f>
        <v>19.89579151</v>
      </c>
      <c r="AS128" s="32">
        <f>IFERROR(AS127/'2. Financial Metrics Actual Aud'!AT25,"")</f>
        <v>17.18813153</v>
      </c>
      <c r="AT128" s="54">
        <f>IFERROR(AT127/'2. Financial Metrics Actual Aud'!AU25,"")</f>
        <v>20.12081677</v>
      </c>
      <c r="AU128" s="32">
        <f>IFERROR(AU127/'2. Financial Metrics Actual Aud'!AV25,"")</f>
        <v>22.34731135</v>
      </c>
      <c r="AV128" s="54">
        <f>IFERROR(AV127/'2. Financial Metrics Actual Aud'!AW25,"")</f>
        <v>19.63227166</v>
      </c>
      <c r="AW128" s="32">
        <f>IFERROR(AW127/'2. Financial Metrics Actual Aud'!AX25,"")</f>
        <v>16.35004444</v>
      </c>
      <c r="AX128" s="54">
        <f>IFERROR(AX127/'2. Financial Metrics Actual Aud'!AY25,"")</f>
        <v>20.03381196</v>
      </c>
      <c r="AY128" s="32">
        <f>IFERROR(AY127/'2. Financial Metrics Actual Aud'!AZ25,"")</f>
        <v>12.67357365</v>
      </c>
      <c r="AZ128" s="54">
        <f>IFERROR(AZ127/'2. Financial Metrics Actual Aud'!BA25,"")</f>
        <v>15.28427531</v>
      </c>
      <c r="BA128" s="32">
        <f>IFERROR(BA127/'2. Financial Metrics Actual Aud'!BB25,"")</f>
        <v>19.74170445</v>
      </c>
      <c r="BB128" s="54">
        <f>IFERROR(BB127/'2. Financial Metrics Actual Aud'!BC25,"")</f>
        <v>15.34937176</v>
      </c>
      <c r="BC128" s="32">
        <f>IFERROR(BC127/'2. Financial Metrics Actual Aud'!BD25,"")</f>
        <v>23.85217553</v>
      </c>
      <c r="BD128" s="54">
        <f>IFERROR(BD127/'2. Financial Metrics Actual Aud'!BE25,"")</f>
        <v>17.29970883</v>
      </c>
      <c r="BE128" s="32">
        <f>IFERROR(BE127/'2. Financial Metrics Actual Aud'!BF25,"")</f>
        <v>15.41129946</v>
      </c>
      <c r="BF128" s="54">
        <f>IFERROR(BF127/'2. Financial Metrics Actual Aud'!BG25,"")</f>
        <v>17.7116938</v>
      </c>
      <c r="BG128" s="32">
        <f>IFERROR(BG127/'2. Financial Metrics Actual Aud'!BH25,"")</f>
        <v>31.73628422</v>
      </c>
      <c r="BH128" s="54">
        <f>IFERROR(BH127/'2. Financial Metrics Actual Aud'!BI25,"")</f>
        <v>17.22085523</v>
      </c>
      <c r="BI128" s="32">
        <f>IFERROR(BI127/'2. Financial Metrics Actual Aud'!BJ25,"")</f>
        <v>18.03485619</v>
      </c>
      <c r="BJ128" s="54">
        <f>IFERROR(BJ127/'2. Financial Metrics Actual Aud'!BK25,"")</f>
        <v>16.39706364</v>
      </c>
      <c r="BK128" s="32">
        <f>IFERROR(BK127/'2. Financial Metrics Actual Aud'!BL25,"")</f>
        <v>14.21300219</v>
      </c>
      <c r="BL128" s="54">
        <f>IFERROR(BL127/'2. Financial Metrics Actual Aud'!BM25,"")</f>
        <v>24.38246535</v>
      </c>
      <c r="BM128" s="32">
        <f>IFERROR(BM127/'2. Financial Metrics Actual Aud'!BN25,"")</f>
        <v>21.57386183</v>
      </c>
      <c r="BN128" s="54">
        <f>IFERROR(BN127/'2. Financial Metrics Actual Aud'!BO25,"")</f>
        <v>23.65479204</v>
      </c>
      <c r="BO128" s="32">
        <f>IFERROR(BO127/'2. Financial Metrics Actual Aud'!BP25,"")</f>
        <v>15.68316203</v>
      </c>
      <c r="BP128" s="54">
        <f>IFERROR(BP127/'2. Financial Metrics Actual Aud'!BQ25,"")</f>
        <v>22.24836791</v>
      </c>
      <c r="BQ128" s="32">
        <f>IFERROR(BQ127/'2. Financial Metrics Actual Aud'!BR25,"")</f>
        <v>17.63462325</v>
      </c>
      <c r="BR128" s="54">
        <f>IFERROR(BR127/'2. Financial Metrics Actual Aud'!BS25,"")</f>
        <v>21.0985507</v>
      </c>
      <c r="BS128" s="32">
        <f>IFERROR(BS127/'2. Financial Metrics Actual Aud'!BT25,"")</f>
        <v>24.59434981</v>
      </c>
      <c r="BT128" s="54">
        <f>IFERROR(BT127/'2. Financial Metrics Actual Aud'!BU25,"")</f>
        <v>21.73833531</v>
      </c>
      <c r="BU128" s="32">
        <f>IFERROR(BU127/'2. Financial Metrics Actual Aud'!BV25,"")</f>
        <v>18.67404341</v>
      </c>
      <c r="BV128" s="54">
        <f>IFERROR(BV127/'2. Financial Metrics Actual Aud'!BW25,"")</f>
        <v>23.84357466</v>
      </c>
      <c r="BW128" s="32">
        <f>IFERROR(BW127/'2. Financial Metrics Actual Aud'!BX25,"")</f>
        <v>15.64509292</v>
      </c>
      <c r="BX128" s="54">
        <f>IFERROR(BX127/'2. Financial Metrics Actual Aud'!BY25,"")</f>
        <v>24.36928153</v>
      </c>
      <c r="BY128" s="32">
        <f>IFERROR(BY127/'2. Financial Metrics Actual Aud'!BZ25,"")</f>
        <v>20.44357842</v>
      </c>
      <c r="BZ128" s="54">
        <f>IFERROR(BZ127/'2. Financial Metrics Actual Aud'!CA25,"")</f>
        <v>23.18889605</v>
      </c>
      <c r="CA128" s="32">
        <f>IFERROR(CA127/'2. Financial Metrics Actual Aud'!CB25,"")</f>
        <v>14.60958216</v>
      </c>
      <c r="CB128" s="54">
        <f>IFERROR(CB127/'2. Financial Metrics Actual Aud'!CC25,"")</f>
        <v>22.1927052</v>
      </c>
      <c r="CC128" s="32">
        <f>IFERROR(CC127/'2. Financial Metrics Actual Aud'!CD25,"")</f>
        <v>18.5335287</v>
      </c>
      <c r="CD128" s="54">
        <f>IFERROR(CD127/'2. Financial Metrics Actual Aud'!CE25,"")</f>
        <v>24.21542299</v>
      </c>
      <c r="CE128" s="32">
        <f>IFERROR(CE127/'2. Financial Metrics Actual Aud'!CF25,"")</f>
        <v>16.21918996</v>
      </c>
      <c r="CF128" s="54">
        <f>IFERROR(CF127/'2. Financial Metrics Actual Aud'!CG25,"")</f>
        <v>23.36634597</v>
      </c>
      <c r="CG128" s="32">
        <f>IFERROR(CG127/'2. Financial Metrics Actual Aud'!CH25,"")</f>
        <v>15.24979803</v>
      </c>
      <c r="CH128" s="54">
        <f>IFERROR(CH127/'2. Financial Metrics Actual Aud'!CI25,"")</f>
        <v>23.20876193</v>
      </c>
      <c r="CI128" s="32">
        <f>IFERROR(CI127/'2. Financial Metrics Actual Aud'!CJ25,"")</f>
        <v>13.65103399</v>
      </c>
      <c r="CJ128" s="54">
        <f>IFERROR(CJ127/'2. Financial Metrics Actual Aud'!CK25,"")</f>
        <v>22.26010888</v>
      </c>
      <c r="CK128" s="32">
        <f>IFERROR(CK127/'2. Financial Metrics Actual Aud'!CM25,"")</f>
        <v>24.56691369</v>
      </c>
      <c r="CL128" s="54">
        <f>IFERROR(CL127/'2. Financial Metrics Actual Aud'!CM25,"")</f>
        <v>20.84804687</v>
      </c>
      <c r="CM128" s="54">
        <f>IFERROR(CM127/'2. Financial Metrics Actual Aud'!CN25,"")</f>
        <v>19.94947409</v>
      </c>
      <c r="CO128" s="44" t="s">
        <v>40</v>
      </c>
      <c r="CP128" s="12" t="b">
        <f t="shared" si="58"/>
        <v>0</v>
      </c>
    </row>
    <row r="129" ht="15.75" customHeight="1">
      <c r="C129" s="52"/>
      <c r="D129" s="5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O129" s="4"/>
      <c r="CP129" s="12" t="b">
        <f t="shared" si="58"/>
        <v>1</v>
      </c>
    </row>
    <row r="130" ht="15.75" customHeight="1">
      <c r="C130" s="52" t="s">
        <v>50</v>
      </c>
      <c r="D130" s="5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O130" s="13" t="s">
        <v>44</v>
      </c>
      <c r="CP130" s="12" t="b">
        <f t="shared" si="58"/>
        <v>0</v>
      </c>
    </row>
    <row r="131" ht="15.75" customHeight="1">
      <c r="C131" s="4"/>
      <c r="D131" s="5" t="s">
        <v>51</v>
      </c>
      <c r="E131" s="15">
        <f>'2. Financial Metrics Actual Aud'!F25</f>
        <v>0.7013289484</v>
      </c>
      <c r="F131" s="15">
        <f>'2. Financial Metrics Actual Aud'!G25</f>
        <v>0.9001597444</v>
      </c>
      <c r="G131" s="15">
        <f>'2. Financial Metrics Actual Aud'!H25</f>
        <v>0.79655901</v>
      </c>
      <c r="H131" s="15">
        <f>'2. Financial Metrics Actual Aud'!I25</f>
        <v>0.7758642019</v>
      </c>
      <c r="I131" s="15">
        <f>'2. Financial Metrics Actual Aud'!J25</f>
        <v>0.5906886089</v>
      </c>
      <c r="J131" s="15">
        <f>'2. Financial Metrics Actual Aud'!K25</f>
        <v>0.4818941431</v>
      </c>
      <c r="K131" s="15">
        <f>'2. Financial Metrics Actual Aud'!L25</f>
        <v>0.4474137601</v>
      </c>
      <c r="L131" s="15">
        <f>'2. Financial Metrics Actual Aud'!M25</f>
        <v>0.5088852998</v>
      </c>
      <c r="M131" s="15">
        <f>'2. Financial Metrics Actual Aud'!N25</f>
        <v>0.2814617872</v>
      </c>
      <c r="N131" s="15">
        <f>'2. Financial Metrics Actual Aud'!O25</f>
        <v>0.5137170903</v>
      </c>
      <c r="O131" s="15">
        <f>'2. Financial Metrics Actual Aud'!P25</f>
        <v>0.5269219751</v>
      </c>
      <c r="P131" s="15">
        <f>'2. Financial Metrics Actual Aud'!Q25</f>
        <v>0.4485950932</v>
      </c>
      <c r="Q131" s="15">
        <f>'2. Financial Metrics Actual Aud'!R25</f>
        <v>0.6033130236</v>
      </c>
      <c r="R131" s="15">
        <f>'2. Financial Metrics Actual Aud'!S25</f>
        <v>0.6429638766</v>
      </c>
      <c r="S131" s="15">
        <f>'2. Financial Metrics Actual Aud'!T25</f>
        <v>0.5593044772</v>
      </c>
      <c r="T131" s="15">
        <f>'2. Financial Metrics Actual Aud'!U25</f>
        <v>0.6249119853</v>
      </c>
      <c r="U131" s="15">
        <f>'2. Financial Metrics Actual Aud'!V25</f>
        <v>0.6652883574</v>
      </c>
      <c r="V131" s="15">
        <f>'2. Financial Metrics Actual Aud'!W25</f>
        <v>0.6525094683</v>
      </c>
      <c r="W131" s="15">
        <f>'2. Financial Metrics Actual Aud'!X25</f>
        <v>0.6722528527</v>
      </c>
      <c r="X131" s="15">
        <f>'2. Financial Metrics Actual Aud'!Y25</f>
        <v>0.6667947466</v>
      </c>
      <c r="Y131" s="15">
        <f>'2. Financial Metrics Actual Aud'!Z25</f>
        <v>0.6779816056</v>
      </c>
      <c r="Z131" s="15">
        <f>'2. Financial Metrics Actual Aud'!AA25</f>
        <v>0.6893671047</v>
      </c>
      <c r="AA131" s="15">
        <f>'2. Financial Metrics Actual Aud'!AB25</f>
        <v>0.7116960809</v>
      </c>
      <c r="AB131" s="15">
        <f>'2. Financial Metrics Actual Aud'!AC25</f>
        <v>0.7031394104</v>
      </c>
      <c r="AC131" s="15">
        <f>'2. Financial Metrics Actual Aud'!AD25</f>
        <v>0.7206001736</v>
      </c>
      <c r="AD131" s="15">
        <f>'2. Financial Metrics Actual Aud'!AE25</f>
        <v>0.7183375425</v>
      </c>
      <c r="AE131" s="15">
        <f>'2. Financial Metrics Actual Aud'!AF25</f>
        <v>0.7422586409</v>
      </c>
      <c r="AF131" s="15">
        <f>'2. Financial Metrics Actual Aud'!AG25</f>
        <v>0.7168255895</v>
      </c>
      <c r="AG131" s="15">
        <f>'2. Financial Metrics Actual Aud'!AH25</f>
        <v>0.7513861672</v>
      </c>
      <c r="AH131" s="15">
        <f>'2. Financial Metrics Actual Aud'!AI25</f>
        <v>0.7306774303</v>
      </c>
      <c r="AI131" s="15">
        <f>'2. Financial Metrics Actual Aud'!AJ25</f>
        <v>0.7427081594</v>
      </c>
      <c r="AJ131" s="15">
        <f>'2. Financial Metrics Actual Aud'!AK25</f>
        <v>0.7445533853</v>
      </c>
      <c r="AK131" s="15">
        <f>'2. Financial Metrics Actual Aud'!AL25</f>
        <v>0.7461766439</v>
      </c>
      <c r="AL131" s="15">
        <f>'2. Financial Metrics Actual Aud'!AM25</f>
        <v>0.7408232829</v>
      </c>
      <c r="AM131" s="15">
        <f>'2. Financial Metrics Actual Aud'!AN25</f>
        <v>0.7375229633</v>
      </c>
      <c r="AN131" s="15">
        <f>'2. Financial Metrics Actual Aud'!AO25</f>
        <v>0.8017594993</v>
      </c>
      <c r="AO131" s="15">
        <f>'2. Financial Metrics Actual Aud'!AP25</f>
        <v>0.7503039013</v>
      </c>
      <c r="AP131" s="15">
        <f>'2. Financial Metrics Actual Aud'!AQ25</f>
        <v>0.8199616414</v>
      </c>
      <c r="AQ131" s="15">
        <f>'2. Financial Metrics Actual Aud'!AR25</f>
        <v>0.7675832057</v>
      </c>
      <c r="AR131" s="15">
        <f>'2. Financial Metrics Actual Aud'!AS25</f>
        <v>0.8119782428</v>
      </c>
      <c r="AS131" s="15">
        <f>'2. Financial Metrics Actual Aud'!AT25</f>
        <v>0.7692211257</v>
      </c>
      <c r="AT131" s="15">
        <f>'2. Financial Metrics Actual Aud'!AU25</f>
        <v>0.8035390729</v>
      </c>
      <c r="AU131" s="15">
        <f>'2. Financial Metrics Actual Aud'!AV25</f>
        <v>0.7659223326</v>
      </c>
      <c r="AV131" s="15">
        <f>'2. Financial Metrics Actual Aud'!AW25</f>
        <v>0.7943611024</v>
      </c>
      <c r="AW131" s="15">
        <f>'2. Financial Metrics Actual Aud'!AX25</f>
        <v>0.7723617591</v>
      </c>
      <c r="AX131" s="15">
        <f>'2. Financial Metrics Actual Aud'!AY25</f>
        <v>0.8024692534</v>
      </c>
      <c r="AY131" s="15">
        <f>'2. Financial Metrics Actual Aud'!AZ25</f>
        <v>0.7986126939</v>
      </c>
      <c r="AZ131" s="15">
        <f>'2. Financial Metrics Actual Aud'!BA25</f>
        <v>0.8053067421</v>
      </c>
      <c r="BA131" s="15">
        <f>'2. Financial Metrics Actual Aud'!BB25</f>
        <v>0.7955033746</v>
      </c>
      <c r="BB131" s="15">
        <f>'2. Financial Metrics Actual Aud'!BC25</f>
        <v>0.7875263105</v>
      </c>
      <c r="BC131" s="15">
        <f>'2. Financial Metrics Actual Aud'!BD25</f>
        <v>0.7958416697</v>
      </c>
      <c r="BD131" s="15">
        <f>'2. Financial Metrics Actual Aud'!BE25</f>
        <v>0.7726031197</v>
      </c>
      <c r="BE131" s="15">
        <f>'2. Financial Metrics Actual Aud'!BF25</f>
        <v>0.802107833</v>
      </c>
      <c r="BF131" s="15">
        <f>'2. Financial Metrics Actual Aud'!BG25</f>
        <v>0.7966452749</v>
      </c>
      <c r="BG131" s="15">
        <f>'2. Financial Metrics Actual Aud'!BH25</f>
        <v>0.7978617356</v>
      </c>
      <c r="BH131" s="15">
        <f>'2. Financial Metrics Actual Aud'!BI25</f>
        <v>0.7997853169</v>
      </c>
      <c r="BI131" s="15">
        <f>'2. Financial Metrics Actual Aud'!BJ25</f>
        <v>0.801842591</v>
      </c>
      <c r="BJ131" s="15">
        <f>'2. Financial Metrics Actual Aud'!BK25</f>
        <v>0.8066571939</v>
      </c>
      <c r="BK131" s="15">
        <f>'2. Financial Metrics Actual Aud'!BL25</f>
        <v>0.8096285646</v>
      </c>
      <c r="BL131" s="15">
        <f>'2. Financial Metrics Actual Aud'!BM25</f>
        <v>0.8077211422</v>
      </c>
      <c r="BM131" s="15">
        <f>'2. Financial Metrics Actual Aud'!BN25</f>
        <v>0.8081011195</v>
      </c>
      <c r="BN131" s="15">
        <f>'2. Financial Metrics Actual Aud'!BO25</f>
        <v>0.8083622931</v>
      </c>
      <c r="BO131" s="15">
        <f>'2. Financial Metrics Actual Aud'!BP25</f>
        <v>0.819788687</v>
      </c>
      <c r="BP131" s="15">
        <f>'2. Financial Metrics Actual Aud'!BQ25</f>
        <v>0.8077161053</v>
      </c>
      <c r="BQ131" s="15">
        <f>'2. Financial Metrics Actual Aud'!BR25</f>
        <v>0.822778798</v>
      </c>
      <c r="BR131" s="15">
        <f>'2. Financial Metrics Actual Aud'!BS25</f>
        <v>0.806380252</v>
      </c>
      <c r="BS131" s="15">
        <f>'2. Financial Metrics Actual Aud'!BT25</f>
        <v>0.8087724512</v>
      </c>
      <c r="BT131" s="15">
        <f>'2. Financial Metrics Actual Aud'!BU25</f>
        <v>0.8052486787</v>
      </c>
      <c r="BU131" s="15">
        <f>'2. Financial Metrics Actual Aud'!BV25</f>
        <v>0.8120912662</v>
      </c>
      <c r="BV131" s="15">
        <f>'2. Financial Metrics Actual Aud'!BW25</f>
        <v>0.8032737818</v>
      </c>
      <c r="BW131" s="15">
        <f>'2. Financial Metrics Actual Aud'!BX25</f>
        <v>0.8106810596</v>
      </c>
      <c r="BX131" s="15">
        <f>'2. Financial Metrics Actual Aud'!BY25</f>
        <v>0.7951859494</v>
      </c>
      <c r="BY131" s="15">
        <f>'2. Financial Metrics Actual Aud'!BZ25</f>
        <v>0.814047489</v>
      </c>
      <c r="BZ131" s="15">
        <f>'2. Financial Metrics Actual Aud'!CA25</f>
        <v>0.7945158945</v>
      </c>
      <c r="CA131" s="15">
        <f>'2. Financial Metrics Actual Aud'!CB25</f>
        <v>0.8189418889</v>
      </c>
      <c r="CB131" s="15">
        <f>'2. Financial Metrics Actual Aud'!CC25</f>
        <v>0.7908437426</v>
      </c>
      <c r="CC131" s="15">
        <f>'2. Financial Metrics Actual Aud'!CD25</f>
        <v>0.8257522488</v>
      </c>
      <c r="CD131" s="15">
        <f>'2. Financial Metrics Actual Aud'!CE25</f>
        <v>0.7902947297</v>
      </c>
      <c r="CE131" s="15">
        <f>'2. Financial Metrics Actual Aud'!CF25</f>
        <v>0.8377530838</v>
      </c>
      <c r="CF131" s="15">
        <f>'2. Financial Metrics Actual Aud'!CG25</f>
        <v>0.7900466931</v>
      </c>
      <c r="CG131" s="15">
        <f>'2. Financial Metrics Actual Aud'!CH25</f>
        <v>0.8412919184</v>
      </c>
      <c r="CH131" s="15">
        <f>'2. Financial Metrics Actual Aud'!CI25</f>
        <v>0.7896556921</v>
      </c>
      <c r="CI131" s="15">
        <f>'2. Financial Metrics Actual Aud'!CJ25</f>
        <v>0.8422357497</v>
      </c>
      <c r="CJ131" s="15">
        <f>'2. Financial Metrics Actual Aud'!CK25</f>
        <v>0.7850216199</v>
      </c>
      <c r="CK131" s="15">
        <f>'2. Financial Metrics Actual Aud'!CM25</f>
        <v>0.7821175451</v>
      </c>
      <c r="CL131" s="15">
        <f>'2. Financial Metrics Actual Aud'!CM25</f>
        <v>0.7821175451</v>
      </c>
      <c r="CM131" s="15">
        <f>'2. Financial Metrics Actual Aud'!CN25</f>
        <v>0.7790177413</v>
      </c>
      <c r="CO131" s="13"/>
      <c r="CP131" s="12" t="b">
        <f t="shared" si="58"/>
        <v>0</v>
      </c>
    </row>
    <row r="132" ht="15.75" customHeight="1">
      <c r="A132" s="17" t="s">
        <v>52</v>
      </c>
      <c r="C132" s="4"/>
      <c r="D132" s="5" t="s">
        <v>53</v>
      </c>
      <c r="E132" s="57">
        <f>'2. Financial Metrics Actual Aud'!F83</f>
        <v>3596.02439</v>
      </c>
      <c r="F132" s="57">
        <f>'2. Financial Metrics Actual Aud'!G83</f>
        <v>3172.114146</v>
      </c>
      <c r="G132" s="57">
        <f>'2. Financial Metrics Actual Aud'!H83</f>
        <v>12777.26829</v>
      </c>
      <c r="H132" s="57">
        <f>'2. Financial Metrics Actual Aud'!I83</f>
        <v>4528.012195</v>
      </c>
      <c r="I132" s="57">
        <f>'2. Financial Metrics Actual Aud'!J83</f>
        <v>-2663399.878</v>
      </c>
      <c r="J132" s="57">
        <f>'2. Financial Metrics Actual Aud'!K83</f>
        <v>56065.5111</v>
      </c>
      <c r="K132" s="57">
        <f>'2. Financial Metrics Actual Aud'!L83</f>
        <v>69483.91427</v>
      </c>
      <c r="L132" s="57">
        <f>'2. Financial Metrics Actual Aud'!M83</f>
        <v>62530.25012</v>
      </c>
      <c r="M132" s="57">
        <f>'2. Financial Metrics Actual Aud'!N83</f>
        <v>119242.0412</v>
      </c>
      <c r="N132" s="57">
        <f>'2. Financial Metrics Actual Aud'!O83</f>
        <v>157031.3605</v>
      </c>
      <c r="O132" s="57">
        <f>'2. Financial Metrics Actual Aud'!P83</f>
        <v>110658.6244</v>
      </c>
      <c r="P132" s="57">
        <f>'2. Financial Metrics Actual Aud'!Q83</f>
        <v>187517.8993</v>
      </c>
      <c r="Q132" s="57">
        <f>'2. Financial Metrics Actual Aud'!R83</f>
        <v>142172.95</v>
      </c>
      <c r="R132" s="57">
        <f>'2. Financial Metrics Actual Aud'!S83</f>
        <v>220061.188</v>
      </c>
      <c r="S132" s="57">
        <f>'2. Financial Metrics Actual Aud'!T83</f>
        <v>197145.3298</v>
      </c>
      <c r="T132" s="57">
        <f>'2. Financial Metrics Actual Aud'!U83</f>
        <v>250480.6635</v>
      </c>
      <c r="U132" s="57">
        <f>'2. Financial Metrics Actual Aud'!V83</f>
        <v>381795.1272</v>
      </c>
      <c r="V132" s="57">
        <f>'2. Financial Metrics Actual Aud'!W83</f>
        <v>476273.5556</v>
      </c>
      <c r="W132" s="57">
        <f>'2. Financial Metrics Actual Aud'!X83</f>
        <v>449934.9713</v>
      </c>
      <c r="X132" s="57">
        <f>'2. Financial Metrics Actual Aud'!Y83</f>
        <v>417704.3814</v>
      </c>
      <c r="Y132" s="57">
        <f>'2. Financial Metrics Actual Aud'!Z83</f>
        <v>467099.9393</v>
      </c>
      <c r="Z132" s="57">
        <f>'2. Financial Metrics Actual Aud'!AA83</f>
        <v>433511.8755</v>
      </c>
      <c r="AA132" s="57">
        <f>'2. Financial Metrics Actual Aud'!AB83</f>
        <v>332512.9607</v>
      </c>
      <c r="AB132" s="57">
        <f>'2. Financial Metrics Actual Aud'!AC83</f>
        <v>423076.2641</v>
      </c>
      <c r="AC132" s="57">
        <f>'2. Financial Metrics Actual Aud'!AD83</f>
        <v>392619.0442</v>
      </c>
      <c r="AD132" s="57">
        <f>'2. Financial Metrics Actual Aud'!AE83</f>
        <v>425811.5542</v>
      </c>
      <c r="AE132" s="57">
        <f>'2. Financial Metrics Actual Aud'!AF83</f>
        <v>471208.8739</v>
      </c>
      <c r="AF132" s="57">
        <f>'2. Financial Metrics Actual Aud'!AG83</f>
        <v>470848.1269</v>
      </c>
      <c r="AG132" s="57">
        <f>'2. Financial Metrics Actual Aud'!AH83</f>
        <v>371847.6344</v>
      </c>
      <c r="AH132" s="57">
        <f>'2. Financial Metrics Actual Aud'!AI83</f>
        <v>409201.7108</v>
      </c>
      <c r="AI132" s="57">
        <f>'2. Financial Metrics Actual Aud'!AJ83</f>
        <v>455703.1176</v>
      </c>
      <c r="AJ132" s="57">
        <f>'2. Financial Metrics Actual Aud'!AK83</f>
        <v>402956.8267</v>
      </c>
      <c r="AK132" s="57">
        <f>'2. Financial Metrics Actual Aud'!AL83</f>
        <v>319925.5404</v>
      </c>
      <c r="AL132" s="57">
        <f>'2. Financial Metrics Actual Aud'!AM83</f>
        <v>441749.4273</v>
      </c>
      <c r="AM132" s="57">
        <f>'2. Financial Metrics Actual Aud'!AN83</f>
        <v>311483.9024</v>
      </c>
      <c r="AN132" s="57">
        <f>'2. Financial Metrics Actual Aud'!AO83</f>
        <v>514053.3608</v>
      </c>
      <c r="AO132" s="57">
        <f>'2. Financial Metrics Actual Aud'!AP83</f>
        <v>385134.0349</v>
      </c>
      <c r="AP132" s="57">
        <f>'2. Financial Metrics Actual Aud'!AQ83</f>
        <v>575575.089</v>
      </c>
      <c r="AQ132" s="57">
        <f>'2. Financial Metrics Actual Aud'!AR83</f>
        <v>226454.6531</v>
      </c>
      <c r="AR132" s="57">
        <f>'2. Financial Metrics Actual Aud'!AS83</f>
        <v>576334.7365</v>
      </c>
      <c r="AS132" s="57">
        <f>'2. Financial Metrics Actual Aud'!AT83</f>
        <v>239078.7767</v>
      </c>
      <c r="AT132" s="57">
        <f>'2. Financial Metrics Actual Aud'!AU83</f>
        <v>574435.3403</v>
      </c>
      <c r="AU132" s="57">
        <f>'2. Financial Metrics Actual Aud'!AV83</f>
        <v>514633.6007</v>
      </c>
      <c r="AV132" s="57">
        <f>'2. Financial Metrics Actual Aud'!AW83</f>
        <v>522363.9723</v>
      </c>
      <c r="AW132" s="57">
        <f>'2. Financial Metrics Actual Aud'!AX83</f>
        <v>448624.211</v>
      </c>
      <c r="AX132" s="57">
        <f>'2. Financial Metrics Actual Aud'!AY83</f>
        <v>470680.8993</v>
      </c>
      <c r="AY132" s="57">
        <f>'2. Financial Metrics Actual Aud'!AZ83</f>
        <v>307304.0477</v>
      </c>
      <c r="AZ132" s="57">
        <f>'2. Financial Metrics Actual Aud'!BA83</f>
        <v>559886.5025</v>
      </c>
      <c r="BA132" s="57">
        <f>'2. Financial Metrics Actual Aud'!BB83</f>
        <v>493660.1511</v>
      </c>
      <c r="BB132" s="57">
        <f>'2. Financial Metrics Actual Aud'!BC83</f>
        <v>509098.7144</v>
      </c>
      <c r="BC132" s="57">
        <f>'2. Financial Metrics Actual Aud'!BD83</f>
        <v>359408.3895</v>
      </c>
      <c r="BD132" s="57">
        <f>'2. Financial Metrics Actual Aud'!BE83</f>
        <v>581830.9013</v>
      </c>
      <c r="BE132" s="57">
        <f>'2. Financial Metrics Actual Aud'!BF83</f>
        <v>426897.0105</v>
      </c>
      <c r="BF132" s="57">
        <f>'2. Financial Metrics Actual Aud'!BG83</f>
        <v>611508.9964</v>
      </c>
      <c r="BG132" s="57">
        <f>'2. Financial Metrics Actual Aud'!BH83</f>
        <v>542099.3629</v>
      </c>
      <c r="BH132" s="57">
        <f>'2. Financial Metrics Actual Aud'!BI83</f>
        <v>596932.7993</v>
      </c>
      <c r="BI132" s="57">
        <f>'2. Financial Metrics Actual Aud'!BJ83</f>
        <v>448374.5663</v>
      </c>
      <c r="BJ132" s="57">
        <f>'2. Financial Metrics Actual Aud'!BK83</f>
        <v>694021.6345</v>
      </c>
      <c r="BK132" s="57">
        <f>'2. Financial Metrics Actual Aud'!BL83</f>
        <v>123960.1641</v>
      </c>
      <c r="BL132" s="57">
        <f>'2. Financial Metrics Actual Aud'!BM83</f>
        <v>436153.8566</v>
      </c>
      <c r="BM132" s="57">
        <f>'2. Financial Metrics Actual Aud'!BN83</f>
        <v>677279.6351</v>
      </c>
      <c r="BN132" s="57">
        <f>'2. Financial Metrics Actual Aud'!BO83</f>
        <v>502694.1636</v>
      </c>
      <c r="BO132" s="57">
        <f>'2. Financial Metrics Actual Aud'!BP83</f>
        <v>342921.6986</v>
      </c>
      <c r="BP132" s="57">
        <f>'2. Financial Metrics Actual Aud'!BQ83</f>
        <v>380775.195</v>
      </c>
      <c r="BQ132" s="57">
        <f>'2. Financial Metrics Actual Aud'!BR83</f>
        <v>111315.3311</v>
      </c>
      <c r="BR132" s="57">
        <f>'2. Financial Metrics Actual Aud'!BS83</f>
        <v>317527.7027</v>
      </c>
      <c r="BS132" s="57">
        <f>'2. Financial Metrics Actual Aud'!BT83</f>
        <v>744158.3268</v>
      </c>
      <c r="BT132" s="57">
        <f>'2. Financial Metrics Actual Aud'!BU83</f>
        <v>296994.3572</v>
      </c>
      <c r="BU132" s="57">
        <f>'2. Financial Metrics Actual Aud'!BV83</f>
        <v>566984.9512</v>
      </c>
      <c r="BV132" s="57">
        <f>'2. Financial Metrics Actual Aud'!BW83</f>
        <v>268593.6293</v>
      </c>
      <c r="BW132" s="57">
        <f>'2. Financial Metrics Actual Aud'!BX83</f>
        <v>272202.9053</v>
      </c>
      <c r="BX132" s="57">
        <f>'2. Financial Metrics Actual Aud'!BY83</f>
        <v>268266.3521</v>
      </c>
      <c r="BY132" s="57">
        <f>'2. Financial Metrics Actual Aud'!BZ83</f>
        <v>413302.8795</v>
      </c>
      <c r="BZ132" s="57">
        <f>'2. Financial Metrics Actual Aud'!CA83</f>
        <v>185315.2108</v>
      </c>
      <c r="CA132" s="57">
        <f>'2. Financial Metrics Actual Aud'!CB83</f>
        <v>239564.39</v>
      </c>
      <c r="CB132" s="57">
        <f>'2. Financial Metrics Actual Aud'!CC83</f>
        <v>200325.2832</v>
      </c>
      <c r="CC132" s="57">
        <f>'2. Financial Metrics Actual Aud'!CD83</f>
        <v>286862.9005</v>
      </c>
      <c r="CD132" s="57">
        <f>'2. Financial Metrics Actual Aud'!CE83</f>
        <v>226763.6525</v>
      </c>
      <c r="CE132" s="57">
        <f>'2. Financial Metrics Actual Aud'!CF83</f>
        <v>158694.6745</v>
      </c>
      <c r="CF132" s="57">
        <f>'2. Financial Metrics Actual Aud'!CG83</f>
        <v>185965.176</v>
      </c>
      <c r="CG132" s="57">
        <f>'2. Financial Metrics Actual Aud'!CH83</f>
        <v>690437.86</v>
      </c>
      <c r="CH132" s="57">
        <f>'2. Financial Metrics Actual Aud'!CI83</f>
        <v>211713.5764</v>
      </c>
      <c r="CI132" s="57">
        <f>'2. Financial Metrics Actual Aud'!CJ83</f>
        <v>204677.803</v>
      </c>
      <c r="CJ132" s="57">
        <f>'2. Financial Metrics Actual Aud'!CK83</f>
        <v>209728.4633</v>
      </c>
      <c r="CK132" s="57">
        <f>'2. Financial Metrics Actual Aud'!CM83</f>
        <v>1726467.239</v>
      </c>
      <c r="CL132" s="57">
        <f>'2. Financial Metrics Actual Aud'!CM83</f>
        <v>1726467.239</v>
      </c>
      <c r="CM132" s="57">
        <f>'2. Financial Metrics Actual Aud'!CN83</f>
        <v>1758233.3</v>
      </c>
      <c r="CO132" s="18" t="s">
        <v>5</v>
      </c>
      <c r="CP132" s="12" t="b">
        <f t="shared" si="58"/>
        <v>0</v>
      </c>
    </row>
    <row r="133" ht="15.75" customHeight="1">
      <c r="C133" s="52"/>
      <c r="D133" s="5"/>
      <c r="E133" s="32"/>
      <c r="F133" s="32"/>
      <c r="G133" s="32"/>
      <c r="H133" s="32"/>
      <c r="I133" s="32"/>
      <c r="J133" s="32"/>
      <c r="K133" s="32"/>
      <c r="L133" s="58"/>
      <c r="M133" s="58"/>
      <c r="N133" s="58"/>
      <c r="O133" s="5"/>
      <c r="P133" s="5"/>
      <c r="Q133" s="5"/>
      <c r="R133" s="5"/>
      <c r="S133" s="5"/>
      <c r="T133" s="32"/>
      <c r="U133" s="32"/>
      <c r="V133" s="5"/>
      <c r="W133" s="32"/>
      <c r="X133" s="5"/>
      <c r="Y133" s="32"/>
      <c r="Z133" s="5"/>
      <c r="AA133" s="32"/>
      <c r="AB133" s="5"/>
      <c r="AC133" s="32"/>
      <c r="AD133" s="5"/>
      <c r="AE133" s="32"/>
      <c r="AF133" s="5"/>
      <c r="AG133" s="32"/>
      <c r="AH133" s="5"/>
      <c r="AI133" s="32"/>
      <c r="AJ133" s="5"/>
      <c r="AK133" s="32"/>
      <c r="AL133" s="5"/>
      <c r="AM133" s="32"/>
      <c r="AN133" s="5"/>
      <c r="AO133" s="32"/>
      <c r="AP133" s="5"/>
      <c r="AQ133" s="32"/>
      <c r="AR133" s="55"/>
      <c r="AS133" s="32"/>
      <c r="AT133" s="55"/>
      <c r="AU133" s="32"/>
      <c r="AV133" s="55"/>
      <c r="AW133" s="32"/>
      <c r="AX133" s="55"/>
      <c r="AY133" s="32"/>
      <c r="AZ133" s="55"/>
      <c r="BA133" s="32"/>
      <c r="BB133" s="55"/>
      <c r="BC133" s="32"/>
      <c r="BD133" s="55"/>
      <c r="BE133" s="32"/>
      <c r="BF133" s="55"/>
      <c r="BG133" s="32"/>
      <c r="BH133" s="55"/>
      <c r="BI133" s="32"/>
      <c r="BJ133" s="55"/>
      <c r="BK133" s="32"/>
      <c r="BL133" s="55"/>
      <c r="BM133" s="32"/>
      <c r="BN133" s="55"/>
      <c r="BO133" s="32"/>
      <c r="BP133" s="55"/>
      <c r="BQ133" s="32"/>
      <c r="BR133" s="55"/>
      <c r="BS133" s="32"/>
      <c r="BT133" s="55"/>
      <c r="BU133" s="32"/>
      <c r="BV133" s="55"/>
      <c r="BW133" s="32"/>
      <c r="BX133" s="55"/>
      <c r="BY133" s="32"/>
      <c r="BZ133" s="55"/>
      <c r="CA133" s="32"/>
      <c r="CB133" s="55"/>
      <c r="CC133" s="32"/>
      <c r="CD133" s="55"/>
      <c r="CE133" s="32"/>
      <c r="CF133" s="55"/>
      <c r="CG133" s="32"/>
      <c r="CH133" s="55"/>
      <c r="CI133" s="32"/>
      <c r="CJ133" s="55"/>
      <c r="CK133" s="32"/>
      <c r="CL133" s="55"/>
      <c r="CM133" s="55"/>
      <c r="CO133" s="18" t="s">
        <v>7</v>
      </c>
      <c r="CP133" s="12" t="b">
        <f t="shared" si="58"/>
        <v>0</v>
      </c>
    </row>
    <row r="134" ht="15.75" customHeight="1">
      <c r="C134" s="4"/>
      <c r="D134" s="59" t="s">
        <v>54</v>
      </c>
      <c r="E134" s="60">
        <f>E4/'2. Financial Metrics Actual Aud'!F29</f>
        <v>83.45838898</v>
      </c>
      <c r="F134" s="60">
        <f>F4/'2. Financial Metrics Actual Aud'!G29</f>
        <v>52.53148864</v>
      </c>
      <c r="G134" s="60">
        <f>G4/'2. Financial Metrics Actual Aud'!H29</f>
        <v>9.426693836</v>
      </c>
      <c r="H134" s="60">
        <f>H4/'2. Financial Metrics Actual Aud'!I29</f>
        <v>19.55160713</v>
      </c>
      <c r="I134" s="60">
        <f>I4/'2. Financial Metrics Actual Aud'!J29</f>
        <v>1.766364784</v>
      </c>
      <c r="J134" s="60">
        <f>J4/'2. Financial Metrics Actual Aud'!K29</f>
        <v>5.249932042</v>
      </c>
      <c r="K134" s="60">
        <f>K4/'2. Financial Metrics Actual Aud'!L29</f>
        <v>3.228535304</v>
      </c>
      <c r="L134" s="60">
        <f>L4/'2. Financial Metrics Actual Aud'!M29</f>
        <v>1.288429148</v>
      </c>
      <c r="M134" s="60">
        <f>M4/'2. Financial Metrics Actual Aud'!N29</f>
        <v>0.9323467219</v>
      </c>
      <c r="N134" s="60">
        <f>N4/'2. Financial Metrics Actual Aud'!O29</f>
        <v>2.69309129</v>
      </c>
      <c r="O134" s="60">
        <f>O4/'2. Financial Metrics Actual Aud'!P29</f>
        <v>3.167554405</v>
      </c>
      <c r="P134" s="60">
        <f>P4/'2. Financial Metrics Actual Aud'!Q29</f>
        <v>1.640932832</v>
      </c>
      <c r="Q134" s="60">
        <f>Q4/'2. Financial Metrics Actual Aud'!R29</f>
        <v>1.716868446</v>
      </c>
      <c r="R134" s="60">
        <f>R4/'2. Financial Metrics Actual Aud'!S29</f>
        <v>1.403744651</v>
      </c>
      <c r="S134" s="60">
        <f>S4/'2. Financial Metrics Actual Aud'!T29</f>
        <v>1.108232283</v>
      </c>
      <c r="T134" s="60">
        <f>T4/'2. Financial Metrics Actual Aud'!U29</f>
        <v>0.9436410006</v>
      </c>
      <c r="U134" s="60">
        <f>U4/'2. Financial Metrics Actual Aud'!V29</f>
        <v>1.593698429</v>
      </c>
      <c r="V134" s="61"/>
      <c r="W134" s="60">
        <f>W4/'2. Financial Metrics Actual Aud'!X29</f>
        <v>0.8469952715</v>
      </c>
      <c r="X134" s="61"/>
      <c r="Y134" s="60">
        <f>Y4/'2. Financial Metrics Actual Aud'!Z29</f>
        <v>0.929005227</v>
      </c>
      <c r="Z134" s="61"/>
      <c r="AA134" s="60">
        <f>AA4/'2. Financial Metrics Actual Aud'!AB29</f>
        <v>1.358444063</v>
      </c>
      <c r="AB134" s="61"/>
      <c r="AC134" s="60">
        <f>AC4/'2. Financial Metrics Actual Aud'!AD29</f>
        <v>1.023409208</v>
      </c>
      <c r="AD134" s="61"/>
      <c r="AE134" s="60">
        <f>AE4/'2. Financial Metrics Actual Aud'!AF29</f>
        <v>1.150905912</v>
      </c>
      <c r="AF134" s="61"/>
      <c r="AG134" s="60">
        <f>AG4/'2. Financial Metrics Actual Aud'!AH29</f>
        <v>1.216770342</v>
      </c>
      <c r="AH134" s="61"/>
      <c r="AI134" s="60">
        <f>AI4/'2. Financial Metrics Actual Aud'!AJ29</f>
        <v>1.003137752</v>
      </c>
      <c r="AJ134" s="61"/>
      <c r="AK134" s="60">
        <f>AK4/'2. Financial Metrics Actual Aud'!AL29</f>
        <v>0.9995208529</v>
      </c>
      <c r="AL134" s="61"/>
      <c r="AM134" s="60">
        <f>AM4/'2. Financial Metrics Actual Aud'!AN29</f>
        <v>1.370734994</v>
      </c>
      <c r="AN134" s="61"/>
      <c r="AO134" s="60">
        <f>AO4/'2. Financial Metrics Actual Aud'!AP29</f>
        <v>0.6350710355</v>
      </c>
      <c r="AP134" s="61"/>
      <c r="AQ134" s="62">
        <f>AQ4/'2. Financial Metrics Actual Aud'!AR29</f>
        <v>0.6254138969</v>
      </c>
      <c r="AR134" s="61"/>
      <c r="AS134" s="62">
        <f>AS4/'2. Financial Metrics Actual Aud'!AT29</f>
        <v>0.9076143934</v>
      </c>
      <c r="AT134" s="61"/>
      <c r="AU134" s="62">
        <f>AU4/'2. Financial Metrics Actual Aud'!AV29</f>
        <v>0.7010859011</v>
      </c>
      <c r="AV134" s="61"/>
      <c r="AW134" s="62">
        <f>AW4/'2. Financial Metrics Actual Aud'!AX29</f>
        <v>0.9502580242</v>
      </c>
      <c r="AX134" s="61"/>
      <c r="AY134" s="62">
        <f>AY4/'2. Financial Metrics Actual Aud'!AZ29</f>
        <v>1.185621166</v>
      </c>
      <c r="AZ134" s="61"/>
      <c r="BA134" s="62">
        <f>BA4/'2. Financial Metrics Actual Aud'!BB29</f>
        <v>0.7641076959</v>
      </c>
      <c r="BB134" s="61"/>
      <c r="BC134" s="62">
        <f>BC4/'2. Financial Metrics Actual Aud'!BD29</f>
        <v>0.6321593627</v>
      </c>
      <c r="BD134" s="61"/>
      <c r="BE134" s="62">
        <f>BE4/'2. Financial Metrics Actual Aud'!BF29</f>
        <v>0.9707540902</v>
      </c>
      <c r="BF134" s="61"/>
      <c r="BG134" s="62">
        <f>BG4/'2. Financial Metrics Actual Aud'!BH29</f>
        <v>0.4739118102</v>
      </c>
      <c r="BH134" s="61"/>
      <c r="BI134" s="62">
        <f>BI4/'2. Financial Metrics Actual Aud'!BJ29</f>
        <v>0.8298114859</v>
      </c>
      <c r="BJ134" s="61"/>
      <c r="BK134" s="62">
        <f>BK4/'2. Financial Metrics Actual Aud'!BL29</f>
        <v>1.042820598</v>
      </c>
      <c r="BL134" s="61"/>
      <c r="BM134" s="62">
        <f>BM4/'2. Financial Metrics Actual Aud'!BN29</f>
        <v>0.6883156508</v>
      </c>
      <c r="BN134" s="61"/>
      <c r="BO134" s="62">
        <f>BO4/'2. Financial Metrics Actual Aud'!BP29</f>
        <v>0.9333525018</v>
      </c>
      <c r="BP134" s="61"/>
      <c r="BQ134" s="62">
        <f>BQ4/'2. Financial Metrics Actual Aud'!BR29</f>
        <v>0.8270503856</v>
      </c>
      <c r="BR134" s="61"/>
      <c r="BS134" s="62">
        <f>BS4/'2. Financial Metrics Actual Aud'!BT29</f>
        <v>0.6032808652</v>
      </c>
      <c r="BT134" s="61"/>
      <c r="BU134" s="63">
        <f>BU4/'2. Financial Metrics Actual Aud'!BV29</f>
        <v>0.791294309</v>
      </c>
      <c r="BV134" s="64"/>
      <c r="BW134" s="63">
        <f>BW4/'2. Financial Metrics Actual Aud'!BX29</f>
        <v>0.946134922</v>
      </c>
      <c r="BX134" s="64"/>
      <c r="BY134" s="63">
        <f>BY4/'2. Financial Metrics Actual Aud'!BZ29</f>
        <v>0.721065287</v>
      </c>
      <c r="BZ134" s="64"/>
      <c r="CA134" s="63">
        <f>CA4/'2. Financial Metrics Actual Aud'!CB29</f>
        <v>1.002975594</v>
      </c>
      <c r="CB134" s="64"/>
      <c r="CC134" s="63">
        <f>CC4/'2. Financial Metrics Actual Aud'!CD29</f>
        <v>0.7841034525</v>
      </c>
      <c r="CD134" s="61"/>
      <c r="CE134" s="63">
        <f>CE4/'2. Financial Metrics Actual Aud'!CF29</f>
        <v>0.8831532075</v>
      </c>
      <c r="CF134" s="61"/>
      <c r="CG134" s="63">
        <f>CG4/'2. Financial Metrics Actual Aud'!CH29</f>
        <v>0.9353420021</v>
      </c>
      <c r="CH134" s="61"/>
      <c r="CI134" s="63">
        <f>CI4/'2. Financial Metrics Actual Aud'!CJ29</f>
        <v>1.043715244</v>
      </c>
      <c r="CJ134" s="61"/>
      <c r="CK134" s="63">
        <f>CK4/'2. Financial Metrics Actual Aud'!CM29</f>
        <v>0.6245376396</v>
      </c>
      <c r="CL134" s="61"/>
      <c r="CM134" s="61"/>
      <c r="CO134" s="5"/>
      <c r="CP134" s="12" t="b">
        <f t="shared" si="58"/>
        <v>0</v>
      </c>
    </row>
    <row r="135" ht="15.75" customHeight="1">
      <c r="C135" s="4"/>
      <c r="D135" s="59" t="s">
        <v>55</v>
      </c>
      <c r="E135" s="65">
        <f>'2. Financial Metrics Actual Aud'!F83/((E74+E79)*12)</f>
        <v>0.1997791328</v>
      </c>
      <c r="F135" s="65">
        <f>'2. Financial Metrics Actual Aud'!G83/((F74+F79)*12)</f>
        <v>0.1174857091</v>
      </c>
      <c r="G135" s="65">
        <f>'2. Financial Metrics Actual Aud'!H83/((G74+G79)*12)</f>
        <v>0.3549241192</v>
      </c>
      <c r="H135" s="65">
        <f>'2. Financial Metrics Actual Aud'!I83/((H74+H79)*12)</f>
        <v>0.1867683631</v>
      </c>
      <c r="I135" s="65">
        <f>'2. Financial Metrics Actual Aud'!J83/((I74+I79)*12)</f>
        <v>-123.8790641</v>
      </c>
      <c r="J135" s="65">
        <f>'2. Financial Metrics Actual Aud'!K83/((J74+J79)*12)</f>
        <v>0.699839114</v>
      </c>
      <c r="K135" s="65">
        <f>'2. Financial Metrics Actual Aud'!L83/((K74+K79)*12)</f>
        <v>0.9646078318</v>
      </c>
      <c r="L135" s="65">
        <f>'2. Financial Metrics Actual Aud'!M83/((L74+L79)*12)</f>
        <v>1.495938998</v>
      </c>
      <c r="M135" s="65">
        <f>'2. Financial Metrics Actual Aud'!N83/((M74+M79)*12)</f>
        <v>3.10526149</v>
      </c>
      <c r="N135" s="65">
        <f>'2. Financial Metrics Actual Aud'!O83/((N74+N79)*12)</f>
        <v>1.413614444</v>
      </c>
      <c r="O135" s="65">
        <f>'2. Financial Metrics Actual Aud'!P83/((O74+O79)*12)</f>
        <v>0.6808797794</v>
      </c>
      <c r="P135" s="65">
        <f>'2. Financial Metrics Actual Aud'!Q83/((P74+P79)*12)</f>
        <v>1.399881759</v>
      </c>
      <c r="Q135" s="65">
        <f>'2. Financial Metrics Actual Aud'!R83/((Q74+Q79)*12)</f>
        <v>1.305740566</v>
      </c>
      <c r="R135" s="65">
        <f>'2. Financial Metrics Actual Aud'!S83/((R74+R79)*12)</f>
        <v>1.463824896</v>
      </c>
      <c r="S135" s="65">
        <f>'2. Financial Metrics Actual Aud'!T83/((S74+S79)*12)</f>
        <v>1.35285867</v>
      </c>
      <c r="T135" s="65">
        <f>'2. Financial Metrics Actual Aud'!U83/((T74+T79)*12)</f>
        <v>1.311272915</v>
      </c>
      <c r="U135" s="65">
        <f>'2. Financial Metrics Actual Aud'!V83/((U74+U79)*12)</f>
        <v>0.9748997821</v>
      </c>
      <c r="V135" s="65">
        <f>'2. Financial Metrics Actual Aud'!W83/((V74+V79)*12)</f>
        <v>1.327163919</v>
      </c>
      <c r="W135" s="65">
        <f>'2. Financial Metrics Actual Aud'!X83/((W74+W79)*12)</f>
        <v>1.87838407</v>
      </c>
      <c r="X135" s="65">
        <f>'2. Financial Metrics Actual Aud'!Y83/((X74+X79)*12)</f>
        <v>1.164210043</v>
      </c>
      <c r="Y135" s="65">
        <f>'2. Financial Metrics Actual Aud'!Z83/((Y74+Y79)*12)</f>
        <v>1.420101968</v>
      </c>
      <c r="Z135" s="65">
        <f>'2. Financial Metrics Actual Aud'!AA83/((Z74+Z79)*12)</f>
        <v>1.143456326</v>
      </c>
      <c r="AA135" s="65">
        <f>'2. Financial Metrics Actual Aud'!AB83/((AA74+AA79)*12)</f>
        <v>0.758761409</v>
      </c>
      <c r="AB135" s="65">
        <f>'2. Financial Metrics Actual Aud'!AC83/((AB74+AB79)*12)</f>
        <v>1.130802913</v>
      </c>
      <c r="AC135" s="65">
        <f>'2. Financial Metrics Actual Aud'!AD83/((AC74+AC79)*12)</f>
        <v>1.302443686</v>
      </c>
      <c r="AD135" s="65">
        <f>'2. Financial Metrics Actual Aud'!AE83/((AD74+AD79)*12)</f>
        <v>1.074190068</v>
      </c>
      <c r="AE135" s="65">
        <f>'2. Financial Metrics Actual Aud'!AF83/((AE74+AE79)*12)</f>
        <v>1.109444638</v>
      </c>
      <c r="AF135" s="65">
        <f>'2. Financial Metrics Actual Aud'!AG83/((AF74+AF79)*12)</f>
        <v>1.039660519</v>
      </c>
      <c r="AG135" s="65">
        <f>'2. Financial Metrics Actual Aud'!AH83/((AG74+AG79)*12)</f>
        <v>0.9213933469</v>
      </c>
      <c r="AH135" s="65">
        <f>'2. Financial Metrics Actual Aud'!AI83/((AH74+AH79)*12)</f>
        <v>0.8770975618</v>
      </c>
      <c r="AI135" s="65">
        <f>'2. Financial Metrics Actual Aud'!AJ83/((AI74+AI79)*12)</f>
        <v>1.515220673</v>
      </c>
      <c r="AJ135" s="65">
        <f>'2. Financial Metrics Actual Aud'!AK83/((AJ74+AJ79)*12)</f>
        <v>0.8021702858</v>
      </c>
      <c r="AK135" s="65">
        <f>'2. Financial Metrics Actual Aud'!AL83/((AK74+AK79)*12)</f>
        <v>1.278863227</v>
      </c>
      <c r="AL135" s="65">
        <f>'2. Financial Metrics Actual Aud'!AM83/((AL74+AL79)*12)</f>
        <v>0.8149058742</v>
      </c>
      <c r="AM135" s="65">
        <f>'2. Financial Metrics Actual Aud'!AN83/((AM74+AM79)*12)</f>
        <v>0.7967738136</v>
      </c>
      <c r="AN135" s="65">
        <f>'2. Financial Metrics Actual Aud'!AO83/((AN74+AN79)*12)</f>
        <v>2.211206209</v>
      </c>
      <c r="AO135" s="65">
        <f>'2. Financial Metrics Actual Aud'!AP83/((AO74+AO79)*12)</f>
        <v>1.400269314</v>
      </c>
      <c r="AP135" s="65">
        <f>'2. Financial Metrics Actual Aud'!AQ83/((AP74+AP79)*12)</f>
        <v>2.442291701</v>
      </c>
      <c r="AQ135" s="65">
        <f>'2. Financial Metrics Actual Aud'!AR83/((AQ74+AQ79)*12)</f>
        <v>0.9179390801</v>
      </c>
      <c r="AR135" s="65">
        <f>'2. Financial Metrics Actual Aud'!AS83/((AR74+AR79)*12)</f>
        <v>1.875643793</v>
      </c>
      <c r="AS135" s="65">
        <f>'2. Financial Metrics Actual Aud'!AT83/((AS74+AS79)*12)</f>
        <v>0.6905799444</v>
      </c>
      <c r="AT135" s="65">
        <f>'2. Financial Metrics Actual Aud'!AU83/((AT74+AT79)*12)</f>
        <v>1.844305139</v>
      </c>
      <c r="AU135" s="65">
        <f>'2. Financial Metrics Actual Aud'!AV83/((AU74+AU79)*12)</f>
        <v>1.339383853</v>
      </c>
      <c r="AV135" s="65">
        <f>'2. Financial Metrics Actual Aud'!AW83/((AV74+AV79)*12)</f>
        <v>1.559212126</v>
      </c>
      <c r="AW135" s="65">
        <f>'2. Financial Metrics Actual Aud'!AX83/((AW74+AW79)*12)</f>
        <v>0.8846745427</v>
      </c>
      <c r="AX135" s="65">
        <f>'2. Financial Metrics Actual Aud'!AY83/((AX74+AX79)*12)</f>
        <v>1.442385662</v>
      </c>
      <c r="AY135" s="65">
        <f>'2. Financial Metrics Actual Aud'!AZ83/((AY74+AY79)*12)</f>
        <v>0.5353141514</v>
      </c>
      <c r="AZ135" s="65">
        <f>'2. Financial Metrics Actual Aud'!BA83/((AZ74+AZ79)*12)</f>
        <v>1.152211481</v>
      </c>
      <c r="BA135" s="65">
        <f>'2. Financial Metrics Actual Aud'!BB83/((BA74+BA79)*12)</f>
        <v>1.282969517</v>
      </c>
      <c r="BB135" s="65">
        <f>'2. Financial Metrics Actual Aud'!BC83/((BB74+BB79)*12)</f>
        <v>0.8833047223</v>
      </c>
      <c r="BC135" s="65">
        <f>'2. Financial Metrics Actual Aud'!BD83/((BC74+BC79)*12)</f>
        <v>1.067764678</v>
      </c>
      <c r="BD135" s="65">
        <f>'2. Financial Metrics Actual Aud'!BE83/((BD74+BD79)*12)</f>
        <v>1.017843923</v>
      </c>
      <c r="BE135" s="65">
        <f>'2. Financial Metrics Actual Aud'!BF83/((BE74+BE79)*12)</f>
        <v>0.863313782</v>
      </c>
      <c r="BF135" s="65">
        <f>'2. Financial Metrics Actual Aud'!BG83/((BF74+BF79)*12)</f>
        <v>0.9958724238</v>
      </c>
      <c r="BG135" s="65">
        <f>'2. Financial Metrics Actual Aud'!BH83/((BG74+BG79)*12)</f>
        <v>1.723178784</v>
      </c>
      <c r="BH135" s="65">
        <f>'2. Financial Metrics Actual Aud'!BI83/((BH74+BH79)*12)</f>
        <v>0.9438375324</v>
      </c>
      <c r="BI135" s="65">
        <f>'2. Financial Metrics Actual Aud'!BJ83/((BI74+BI79)*12)</f>
        <v>1.076616463</v>
      </c>
      <c r="BJ135" s="65">
        <f>'2. Financial Metrics Actual Aud'!BK83/((BJ74+BJ79)*12)</f>
        <v>1.012820805</v>
      </c>
      <c r="BK135" s="65">
        <f>'2. Financial Metrics Actual Aud'!BL83/((BK74+BK79)*12)</f>
        <v>0.2023732878</v>
      </c>
      <c r="BL135" s="65">
        <f>'2. Financial Metrics Actual Aud'!BM83/((BL74+BL79)*12)</f>
        <v>0.915366207</v>
      </c>
      <c r="BM135" s="65">
        <f>'2. Financial Metrics Actual Aud'!BN83/((BM74+BM79)*12)</f>
        <v>1.716791616</v>
      </c>
      <c r="BN135" s="65">
        <f>'2. Financial Metrics Actual Aud'!BO83/((BN74+BN79)*12)</f>
        <v>1.000470401</v>
      </c>
      <c r="BO135" s="65">
        <f>'2. Financial Metrics Actual Aud'!BP83/((BO74+BO79)*12)</f>
        <v>0.5977520703</v>
      </c>
      <c r="BP135" s="65">
        <f>'2. Financial Metrics Actual Aud'!BQ83/((BP74+BP79)*12)</f>
        <v>0.7144769182</v>
      </c>
      <c r="BQ135" s="65">
        <f>'2. Financial Metrics Actual Aud'!BR83/((BQ74+BQ79)*12)</f>
        <v>0.2890100448</v>
      </c>
      <c r="BR135" s="65">
        <f>'2. Financial Metrics Actual Aud'!BS83/((BR74+BR79)*12)</f>
        <v>0.5622985405</v>
      </c>
      <c r="BS135" s="65">
        <f>'2. Financial Metrics Actual Aud'!BT83/((BS74+BS79)*12)</f>
        <v>1.920621843</v>
      </c>
      <c r="BT135" s="65">
        <f>'2. Financial Metrics Actual Aud'!BU83/((BT74+BT79)*12)</f>
        <v>0.5381845748</v>
      </c>
      <c r="BU135" s="65">
        <f>'2. Financial Metrics Actual Aud'!BV83/((BU74+BU79)*12)</f>
        <v>0.8437678167</v>
      </c>
      <c r="BV135" s="65">
        <f>'2. Financial Metrics Actual Aud'!BW83/((BV74+BV79)*12)</f>
        <v>0.5103979068</v>
      </c>
      <c r="BW135" s="65">
        <f>'2. Financial Metrics Actual Aud'!BX83/((BW74+BW79)*12)</f>
        <v>0.3544021922</v>
      </c>
      <c r="BX135" s="65">
        <f>'2. Financial Metrics Actual Aud'!BY83/((BX74+BX79)*12)</f>
        <v>0.4874483069</v>
      </c>
      <c r="BY135" s="65">
        <f>'2. Financial Metrics Actual Aud'!BZ83/((BY74+BY79)*12)</f>
        <v>0.829217296</v>
      </c>
      <c r="BZ135" s="65">
        <f>'2. Financial Metrics Actual Aud'!CA83/((BZ74+BZ79)*12)</f>
        <v>0.3202181147</v>
      </c>
      <c r="CA135" s="65">
        <f>'2. Financial Metrics Actual Aud'!CB83/((CA74+CA79)*12)</f>
        <v>0.414708655</v>
      </c>
      <c r="CB135" s="65">
        <f>'2. Financial Metrics Actual Aud'!CC83/((CB74+CB79)*12)</f>
        <v>0.3200149343</v>
      </c>
      <c r="CC135" s="65">
        <f>'2. Financial Metrics Actual Aud'!CD83/((CC74+CC79)*12)</f>
        <v>0.4732508032</v>
      </c>
      <c r="CD135" s="65">
        <f>'2. Financial Metrics Actual Aud'!CE83/((CD74+CD79)*12)</f>
        <v>0.3748082554</v>
      </c>
      <c r="CE135" s="65">
        <f>'2. Financial Metrics Actual Aud'!CF83/((CE74+CE79)*12)</f>
        <v>0.3226057888</v>
      </c>
      <c r="CF135" s="65">
        <f>'2. Financial Metrics Actual Aud'!CG83/((CF74+CF79)*12)</f>
        <v>0.2864252906</v>
      </c>
      <c r="CG135" s="65">
        <f>'2. Financial Metrics Actual Aud'!CH83/((CG74+CG79)*12)</f>
        <v>0.9346133951</v>
      </c>
      <c r="CH135" s="65">
        <f>'2. Financial Metrics Actual Aud'!CI83/((CH74+CH79)*12)</f>
        <v>0.3087380785</v>
      </c>
      <c r="CI135" s="65">
        <f>'2. Financial Metrics Actual Aud'!CJ83/((CI74+CI79)*12)</f>
        <v>0.2697231192</v>
      </c>
      <c r="CJ135" s="65">
        <f>'2. Financial Metrics Actual Aud'!CK83/((CJ74+CJ79)*12)</f>
        <v>0.289370708</v>
      </c>
      <c r="CK135" s="65">
        <f>'2. Financial Metrics Actual Aud'!CM83/((CK74+CK79)*12)</f>
        <v>3.328347995</v>
      </c>
      <c r="CL135" s="65">
        <f>'2. Financial Metrics Actual Aud'!CM83/((CL74+CL79)*12)</f>
        <v>2.232806567</v>
      </c>
      <c r="CM135" s="65">
        <f>'2. Financial Metrics Actual Aud'!CN83/((CM74+CM79)*12)</f>
        <v>2.114753094</v>
      </c>
      <c r="CO135" s="5" t="s">
        <v>45</v>
      </c>
      <c r="CP135" s="12" t="b">
        <f t="shared" si="58"/>
        <v>0</v>
      </c>
    </row>
    <row r="136" ht="15.75" customHeight="1">
      <c r="A136" s="17" t="s">
        <v>52</v>
      </c>
      <c r="C136" s="4"/>
      <c r="D136" s="59" t="s">
        <v>56</v>
      </c>
      <c r="E136" s="65">
        <f t="shared" ref="E136:CM136" si="106">1/E135</f>
        <v>5.005527785</v>
      </c>
      <c r="F136" s="65">
        <f t="shared" si="106"/>
        <v>8.511673526</v>
      </c>
      <c r="G136" s="65">
        <f t="shared" si="106"/>
        <v>2.817503646</v>
      </c>
      <c r="H136" s="65">
        <f t="shared" si="106"/>
        <v>5.354225862</v>
      </c>
      <c r="I136" s="65">
        <f t="shared" si="106"/>
        <v>-0.008072389046</v>
      </c>
      <c r="J136" s="65">
        <f t="shared" si="106"/>
        <v>1.428899843</v>
      </c>
      <c r="K136" s="65">
        <f t="shared" si="106"/>
        <v>1.036690733</v>
      </c>
      <c r="L136" s="65">
        <f t="shared" si="106"/>
        <v>0.6684764561</v>
      </c>
      <c r="M136" s="65">
        <f t="shared" si="106"/>
        <v>0.3220340713</v>
      </c>
      <c r="N136" s="65">
        <f t="shared" si="106"/>
        <v>0.7074064674</v>
      </c>
      <c r="O136" s="65">
        <f t="shared" si="106"/>
        <v>1.468688057</v>
      </c>
      <c r="P136" s="65">
        <f t="shared" si="106"/>
        <v>0.7143460466</v>
      </c>
      <c r="Q136" s="65">
        <f t="shared" si="106"/>
        <v>0.7658489185</v>
      </c>
      <c r="R136" s="65">
        <f t="shared" si="106"/>
        <v>0.6831418177</v>
      </c>
      <c r="S136" s="65">
        <f t="shared" si="106"/>
        <v>0.7391755117</v>
      </c>
      <c r="T136" s="65">
        <f t="shared" si="106"/>
        <v>0.7626177498</v>
      </c>
      <c r="U136" s="65">
        <f t="shared" si="106"/>
        <v>1.02574646</v>
      </c>
      <c r="V136" s="65">
        <f t="shared" si="106"/>
        <v>0.7534864277</v>
      </c>
      <c r="W136" s="65">
        <f t="shared" si="106"/>
        <v>0.5323724877</v>
      </c>
      <c r="X136" s="65">
        <f t="shared" si="106"/>
        <v>0.8589515318</v>
      </c>
      <c r="Y136" s="65">
        <f t="shared" si="106"/>
        <v>0.7041747865</v>
      </c>
      <c r="Z136" s="65">
        <f t="shared" si="106"/>
        <v>0.8745414907</v>
      </c>
      <c r="AA136" s="65">
        <f t="shared" si="106"/>
        <v>1.317937349</v>
      </c>
      <c r="AB136" s="65">
        <f t="shared" si="106"/>
        <v>0.8843274</v>
      </c>
      <c r="AC136" s="65">
        <f t="shared" si="106"/>
        <v>0.7677875143</v>
      </c>
      <c r="AD136" s="65">
        <f t="shared" si="106"/>
        <v>0.9309339469</v>
      </c>
      <c r="AE136" s="65">
        <f t="shared" si="106"/>
        <v>0.9013518707</v>
      </c>
      <c r="AF136" s="65">
        <f t="shared" si="106"/>
        <v>0.9618524333</v>
      </c>
      <c r="AG136" s="65">
        <f t="shared" si="106"/>
        <v>1.085312807</v>
      </c>
      <c r="AH136" s="65">
        <f t="shared" si="106"/>
        <v>1.140124022</v>
      </c>
      <c r="AI136" s="65">
        <f t="shared" si="106"/>
        <v>0.659969876</v>
      </c>
      <c r="AJ136" s="65">
        <f t="shared" si="106"/>
        <v>1.246618103</v>
      </c>
      <c r="AK136" s="65">
        <f t="shared" si="106"/>
        <v>0.7819444478</v>
      </c>
      <c r="AL136" s="65">
        <f t="shared" si="106"/>
        <v>1.227135589</v>
      </c>
      <c r="AM136" s="65">
        <f t="shared" si="106"/>
        <v>1.255061327</v>
      </c>
      <c r="AN136" s="65">
        <f t="shared" si="106"/>
        <v>0.4522418561</v>
      </c>
      <c r="AO136" s="65">
        <f t="shared" si="106"/>
        <v>0.7141483355</v>
      </c>
      <c r="AP136" s="65">
        <f t="shared" si="106"/>
        <v>0.4094514998</v>
      </c>
      <c r="AQ136" s="65">
        <f t="shared" si="106"/>
        <v>1.089396913</v>
      </c>
      <c r="AR136" s="65">
        <f t="shared" si="106"/>
        <v>0.5331502729</v>
      </c>
      <c r="AS136" s="65">
        <f t="shared" si="106"/>
        <v>1.448058271</v>
      </c>
      <c r="AT136" s="65">
        <f t="shared" si="106"/>
        <v>0.5422096263</v>
      </c>
      <c r="AU136" s="65">
        <f t="shared" si="106"/>
        <v>0.7466119574</v>
      </c>
      <c r="AV136" s="65">
        <f t="shared" si="106"/>
        <v>0.6413495532</v>
      </c>
      <c r="AW136" s="65">
        <f t="shared" si="106"/>
        <v>1.130359191</v>
      </c>
      <c r="AX136" s="65">
        <f t="shared" si="106"/>
        <v>0.6932958547</v>
      </c>
      <c r="AY136" s="65">
        <f t="shared" si="106"/>
        <v>1.868061954</v>
      </c>
      <c r="AZ136" s="65">
        <f t="shared" si="106"/>
        <v>0.8678962296</v>
      </c>
      <c r="BA136" s="65">
        <f t="shared" si="106"/>
        <v>0.7794417458</v>
      </c>
      <c r="BB136" s="65">
        <f t="shared" si="106"/>
        <v>1.132112141</v>
      </c>
      <c r="BC136" s="65">
        <f t="shared" si="106"/>
        <v>0.936535943</v>
      </c>
      <c r="BD136" s="65">
        <f t="shared" si="106"/>
        <v>0.9824689004</v>
      </c>
      <c r="BE136" s="65">
        <f t="shared" si="106"/>
        <v>1.15832739</v>
      </c>
      <c r="BF136" s="65">
        <f t="shared" si="106"/>
        <v>1.004144684</v>
      </c>
      <c r="BG136" s="65">
        <f t="shared" si="106"/>
        <v>0.5803228366</v>
      </c>
      <c r="BH136" s="65">
        <f t="shared" si="106"/>
        <v>1.05950438</v>
      </c>
      <c r="BI136" s="65">
        <f t="shared" si="106"/>
        <v>0.9288358799</v>
      </c>
      <c r="BJ136" s="65">
        <f t="shared" si="106"/>
        <v>0.9873414871</v>
      </c>
      <c r="BK136" s="65">
        <f t="shared" si="106"/>
        <v>4.94136361</v>
      </c>
      <c r="BL136" s="65">
        <f t="shared" si="106"/>
        <v>1.092458944</v>
      </c>
      <c r="BM136" s="65">
        <f t="shared" si="106"/>
        <v>0.5824818753</v>
      </c>
      <c r="BN136" s="65">
        <f t="shared" si="106"/>
        <v>0.9995298199</v>
      </c>
      <c r="BO136" s="65">
        <f t="shared" si="106"/>
        <v>1.672934398</v>
      </c>
      <c r="BP136" s="65">
        <f t="shared" si="106"/>
        <v>1.399625341</v>
      </c>
      <c r="BQ136" s="65">
        <f t="shared" si="106"/>
        <v>3.460087349</v>
      </c>
      <c r="BR136" s="65">
        <f t="shared" si="106"/>
        <v>1.778414717</v>
      </c>
      <c r="BS136" s="65">
        <f t="shared" si="106"/>
        <v>0.5206647021</v>
      </c>
      <c r="BT136" s="65">
        <f t="shared" si="106"/>
        <v>1.858098591</v>
      </c>
      <c r="BU136" s="65">
        <f t="shared" si="106"/>
        <v>1.185160159</v>
      </c>
      <c r="BV136" s="65">
        <f t="shared" si="106"/>
        <v>1.959255684</v>
      </c>
      <c r="BW136" s="65">
        <f t="shared" si="106"/>
        <v>2.821652975</v>
      </c>
      <c r="BX136" s="65">
        <f t="shared" si="106"/>
        <v>2.051499586</v>
      </c>
      <c r="BY136" s="65">
        <f t="shared" si="106"/>
        <v>1.205956514</v>
      </c>
      <c r="BZ136" s="65">
        <f t="shared" si="106"/>
        <v>3.122871424</v>
      </c>
      <c r="CA136" s="65">
        <f t="shared" si="106"/>
        <v>2.411331396</v>
      </c>
      <c r="CB136" s="65">
        <f t="shared" si="106"/>
        <v>3.124854164</v>
      </c>
      <c r="CC136" s="65">
        <f t="shared" si="106"/>
        <v>2.113044486</v>
      </c>
      <c r="CD136" s="65">
        <f t="shared" si="106"/>
        <v>2.668030882</v>
      </c>
      <c r="CE136" s="65">
        <f t="shared" si="106"/>
        <v>3.099758388</v>
      </c>
      <c r="CF136" s="65">
        <f t="shared" si="106"/>
        <v>3.491311811</v>
      </c>
      <c r="CG136" s="65">
        <f t="shared" si="106"/>
        <v>1.069961125</v>
      </c>
      <c r="CH136" s="65">
        <f t="shared" si="106"/>
        <v>3.238991461</v>
      </c>
      <c r="CI136" s="65">
        <f t="shared" si="106"/>
        <v>3.707505693</v>
      </c>
      <c r="CJ136" s="65">
        <f t="shared" si="106"/>
        <v>3.455774797</v>
      </c>
      <c r="CK136" s="65">
        <f t="shared" si="106"/>
        <v>0.3004493525</v>
      </c>
      <c r="CL136" s="65">
        <f t="shared" si="106"/>
        <v>0.4478668304</v>
      </c>
      <c r="CM136" s="65">
        <f t="shared" si="106"/>
        <v>0.4728684417</v>
      </c>
      <c r="CO136" s="5"/>
      <c r="CP136" s="12" t="b">
        <f t="shared" si="58"/>
        <v>0</v>
      </c>
    </row>
    <row r="137" ht="15.75" customHeight="1">
      <c r="C137" s="52"/>
      <c r="D137" s="5"/>
      <c r="E137" s="32"/>
      <c r="F137" s="32"/>
      <c r="G137" s="32"/>
      <c r="H137" s="32"/>
      <c r="I137" s="32"/>
      <c r="J137" s="32"/>
      <c r="K137" s="32"/>
      <c r="L137" s="58"/>
      <c r="M137" s="58"/>
      <c r="N137" s="58"/>
      <c r="O137" s="5"/>
      <c r="P137" s="5"/>
      <c r="Q137" s="5"/>
      <c r="R137" s="5"/>
      <c r="S137" s="5"/>
      <c r="T137" s="32"/>
      <c r="U137" s="32"/>
      <c r="V137" s="5"/>
      <c r="W137" s="32"/>
      <c r="X137" s="5"/>
      <c r="Y137" s="32"/>
      <c r="Z137" s="5"/>
      <c r="AA137" s="32"/>
      <c r="AB137" s="5"/>
      <c r="AC137" s="32"/>
      <c r="AD137" s="5"/>
      <c r="AE137" s="32"/>
      <c r="AF137" s="5"/>
      <c r="AG137" s="32"/>
      <c r="AH137" s="5"/>
      <c r="AI137" s="32"/>
      <c r="AJ137" s="5"/>
      <c r="AK137" s="32"/>
      <c r="AL137" s="5"/>
      <c r="AM137" s="32"/>
      <c r="AN137" s="5"/>
      <c r="AO137" s="32"/>
      <c r="AP137" s="5"/>
      <c r="AQ137" s="32"/>
      <c r="AR137" s="55"/>
      <c r="AS137" s="32"/>
      <c r="AT137" s="55"/>
      <c r="AU137" s="32"/>
      <c r="AV137" s="55"/>
      <c r="AW137" s="32"/>
      <c r="AX137" s="55"/>
      <c r="AY137" s="32"/>
      <c r="AZ137" s="55"/>
      <c r="BA137" s="32"/>
      <c r="BB137" s="55"/>
      <c r="BC137" s="32"/>
      <c r="BD137" s="55"/>
      <c r="BE137" s="32"/>
      <c r="BF137" s="55"/>
      <c r="BG137" s="32"/>
      <c r="BH137" s="55"/>
      <c r="BI137" s="32"/>
      <c r="BJ137" s="55"/>
      <c r="BK137" s="32"/>
      <c r="BL137" s="55"/>
      <c r="BM137" s="32"/>
      <c r="BN137" s="55"/>
      <c r="BO137" s="32"/>
      <c r="BP137" s="55"/>
      <c r="BQ137" s="32"/>
      <c r="BR137" s="55"/>
      <c r="BS137" s="32"/>
      <c r="BT137" s="55"/>
      <c r="BU137" s="32"/>
      <c r="BV137" s="55"/>
      <c r="BW137" s="32"/>
      <c r="BX137" s="55"/>
      <c r="BY137" s="32"/>
      <c r="BZ137" s="55"/>
      <c r="CA137" s="32"/>
      <c r="CB137" s="55"/>
      <c r="CC137" s="32"/>
      <c r="CD137" s="55"/>
      <c r="CE137" s="32"/>
      <c r="CF137" s="55"/>
      <c r="CG137" s="32"/>
      <c r="CH137" s="55"/>
      <c r="CI137" s="32"/>
      <c r="CJ137" s="55"/>
      <c r="CK137" s="32"/>
      <c r="CL137" s="55"/>
      <c r="CM137" s="55"/>
      <c r="CO137" s="5" t="s">
        <v>46</v>
      </c>
      <c r="CP137" s="12" t="b">
        <f t="shared" si="58"/>
        <v>0</v>
      </c>
    </row>
    <row r="138" ht="15.75" customHeight="1">
      <c r="C138" s="52" t="s">
        <v>57</v>
      </c>
      <c r="D138" s="5" t="s">
        <v>58</v>
      </c>
      <c r="E138" s="5">
        <v>0.0</v>
      </c>
      <c r="F138" s="33">
        <f t="shared" ref="F138:V138" si="107">E142</f>
        <v>3</v>
      </c>
      <c r="G138" s="33">
        <f t="shared" si="107"/>
        <v>7</v>
      </c>
      <c r="H138" s="33">
        <f t="shared" si="107"/>
        <v>15</v>
      </c>
      <c r="I138" s="33">
        <f t="shared" si="107"/>
        <v>20</v>
      </c>
      <c r="J138" s="33">
        <f t="shared" si="107"/>
        <v>24</v>
      </c>
      <c r="K138" s="33">
        <f t="shared" si="107"/>
        <v>35</v>
      </c>
      <c r="L138" s="33">
        <f t="shared" si="107"/>
        <v>45</v>
      </c>
      <c r="M138" s="33">
        <f t="shared" si="107"/>
        <v>53</v>
      </c>
      <c r="N138" s="33">
        <f t="shared" si="107"/>
        <v>63</v>
      </c>
      <c r="O138" s="33">
        <f t="shared" si="107"/>
        <v>82</v>
      </c>
      <c r="P138" s="33">
        <f t="shared" si="107"/>
        <v>108</v>
      </c>
      <c r="Q138" s="33">
        <f t="shared" si="107"/>
        <v>133</v>
      </c>
      <c r="R138" s="33">
        <f t="shared" si="107"/>
        <v>155</v>
      </c>
      <c r="S138" s="33">
        <f t="shared" si="107"/>
        <v>180</v>
      </c>
      <c r="T138" s="33">
        <f t="shared" si="107"/>
        <v>205</v>
      </c>
      <c r="U138" s="33">
        <f t="shared" si="107"/>
        <v>237</v>
      </c>
      <c r="V138" s="33">
        <f t="shared" si="107"/>
        <v>301</v>
      </c>
      <c r="W138" s="33">
        <f t="shared" ref="W138:AM138" si="108">U142</f>
        <v>301</v>
      </c>
      <c r="X138" s="33">
        <f t="shared" si="108"/>
        <v>353</v>
      </c>
      <c r="Y138" s="33">
        <f t="shared" si="108"/>
        <v>335</v>
      </c>
      <c r="Z138" s="33">
        <f t="shared" si="108"/>
        <v>403</v>
      </c>
      <c r="AA138" s="33">
        <f t="shared" si="108"/>
        <v>375</v>
      </c>
      <c r="AB138" s="33">
        <f t="shared" si="108"/>
        <v>454</v>
      </c>
      <c r="AC138" s="33">
        <f t="shared" si="108"/>
        <v>419</v>
      </c>
      <c r="AD138" s="33">
        <f t="shared" si="108"/>
        <v>503</v>
      </c>
      <c r="AE138" s="33">
        <f t="shared" si="108"/>
        <v>454</v>
      </c>
      <c r="AF138" s="33">
        <f t="shared" si="108"/>
        <v>553</v>
      </c>
      <c r="AG138" s="33">
        <f t="shared" si="108"/>
        <v>504</v>
      </c>
      <c r="AH138" s="33">
        <f t="shared" si="108"/>
        <v>605</v>
      </c>
      <c r="AI138" s="33">
        <f t="shared" si="108"/>
        <v>553</v>
      </c>
      <c r="AJ138" s="33">
        <f t="shared" si="108"/>
        <v>657</v>
      </c>
      <c r="AK138" s="33">
        <f t="shared" si="108"/>
        <v>579</v>
      </c>
      <c r="AL138" s="33">
        <f t="shared" si="108"/>
        <v>710</v>
      </c>
      <c r="AM138" s="33">
        <f t="shared" si="108"/>
        <v>604</v>
      </c>
      <c r="AN138" s="33">
        <f>AN145+AN152</f>
        <v>778</v>
      </c>
      <c r="AO138" s="33">
        <f t="shared" ref="AO138:BK138" si="109">AM142</f>
        <v>639</v>
      </c>
      <c r="AP138" s="33">
        <f t="shared" si="109"/>
        <v>809</v>
      </c>
      <c r="AQ138" s="33">
        <f t="shared" si="109"/>
        <v>669</v>
      </c>
      <c r="AR138" s="33">
        <f t="shared" si="109"/>
        <v>840</v>
      </c>
      <c r="AS138" s="33">
        <f t="shared" si="109"/>
        <v>691</v>
      </c>
      <c r="AT138" s="33">
        <f t="shared" si="109"/>
        <v>875</v>
      </c>
      <c r="AU138" s="33">
        <f t="shared" si="109"/>
        <v>730</v>
      </c>
      <c r="AV138" s="33">
        <f t="shared" si="109"/>
        <v>911</v>
      </c>
      <c r="AW138" s="33">
        <f t="shared" si="109"/>
        <v>771</v>
      </c>
      <c r="AX138" s="33">
        <f t="shared" si="109"/>
        <v>950</v>
      </c>
      <c r="AY138" s="33">
        <f t="shared" si="109"/>
        <v>819</v>
      </c>
      <c r="AZ138" s="33">
        <f t="shared" si="109"/>
        <v>989</v>
      </c>
      <c r="BA138" s="33">
        <f t="shared" si="109"/>
        <v>886</v>
      </c>
      <c r="BB138" s="33">
        <f t="shared" si="109"/>
        <v>1039</v>
      </c>
      <c r="BC138" s="33">
        <f t="shared" si="109"/>
        <v>930</v>
      </c>
      <c r="BD138" s="33">
        <f t="shared" si="109"/>
        <v>1092</v>
      </c>
      <c r="BE138" s="33">
        <f t="shared" si="109"/>
        <v>966</v>
      </c>
      <c r="BF138" s="33">
        <f t="shared" si="109"/>
        <v>1145</v>
      </c>
      <c r="BG138" s="33">
        <f t="shared" si="109"/>
        <v>1032</v>
      </c>
      <c r="BH138" s="33">
        <f t="shared" si="109"/>
        <v>1202</v>
      </c>
      <c r="BI138" s="33">
        <f t="shared" si="109"/>
        <v>1067</v>
      </c>
      <c r="BJ138" s="33">
        <f t="shared" si="109"/>
        <v>1261</v>
      </c>
      <c r="BK138" s="33">
        <f t="shared" si="109"/>
        <v>1116</v>
      </c>
      <c r="BL138" s="33">
        <f>BL145+BL152</f>
        <v>1312.12</v>
      </c>
      <c r="BM138" s="33">
        <f t="shared" ref="BM138:CL138" si="110">BK142</f>
        <v>1205</v>
      </c>
      <c r="BN138" s="33">
        <f t="shared" si="110"/>
        <v>1374.12</v>
      </c>
      <c r="BO138" s="33">
        <f t="shared" si="110"/>
        <v>1257</v>
      </c>
      <c r="BP138" s="33">
        <f t="shared" si="110"/>
        <v>1438.12</v>
      </c>
      <c r="BQ138" s="33">
        <f t="shared" si="110"/>
        <v>1317</v>
      </c>
      <c r="BR138" s="33">
        <f t="shared" si="110"/>
        <v>1505.12</v>
      </c>
      <c r="BS138" s="33">
        <f t="shared" si="110"/>
        <v>1364</v>
      </c>
      <c r="BT138" s="33">
        <f t="shared" si="110"/>
        <v>1574.12</v>
      </c>
      <c r="BU138" s="33">
        <f t="shared" si="110"/>
        <v>1419</v>
      </c>
      <c r="BV138" s="33">
        <f t="shared" si="110"/>
        <v>1639.12</v>
      </c>
      <c r="BW138" s="33">
        <f t="shared" si="110"/>
        <v>1500</v>
      </c>
      <c r="BX138" s="33">
        <f t="shared" si="110"/>
        <v>1696.12</v>
      </c>
      <c r="BY138" s="33">
        <f t="shared" si="110"/>
        <v>1578</v>
      </c>
      <c r="BZ138" s="33">
        <f t="shared" si="110"/>
        <v>1753.12</v>
      </c>
      <c r="CA138" s="33">
        <f t="shared" si="110"/>
        <v>1636</v>
      </c>
      <c r="CB138" s="33">
        <f t="shared" si="110"/>
        <v>1811.12</v>
      </c>
      <c r="CC138" s="33">
        <f t="shared" si="110"/>
        <v>1698</v>
      </c>
      <c r="CD138" s="33">
        <f t="shared" si="110"/>
        <v>1871.12</v>
      </c>
      <c r="CE138" s="33">
        <f t="shared" si="110"/>
        <v>1771</v>
      </c>
      <c r="CF138" s="33">
        <f t="shared" si="110"/>
        <v>1926.12</v>
      </c>
      <c r="CG138" s="33">
        <f t="shared" si="110"/>
        <v>1829</v>
      </c>
      <c r="CH138" s="33">
        <f t="shared" si="110"/>
        <v>1984.12</v>
      </c>
      <c r="CI138" s="33">
        <f t="shared" si="110"/>
        <v>1899</v>
      </c>
      <c r="CJ138" s="33">
        <f t="shared" si="110"/>
        <v>2044.12</v>
      </c>
      <c r="CK138" s="33">
        <f t="shared" si="110"/>
        <v>1986</v>
      </c>
      <c r="CL138" s="33">
        <f t="shared" si="110"/>
        <v>2104.12</v>
      </c>
      <c r="CM138" s="33">
        <f>CL142</f>
        <v>2166.12</v>
      </c>
      <c r="CO138" s="5" t="s">
        <v>47</v>
      </c>
      <c r="CP138" s="12" t="b">
        <f t="shared" si="58"/>
        <v>0</v>
      </c>
    </row>
    <row r="139" ht="15.75" customHeight="1">
      <c r="C139" s="9">
        <f t="shared" ref="C139:C143" si="112">SUM(E139:U139)+W139+Y139+AA139+AC139+AE139+AG139+AI139+AK139+AM139+AO139+AQ139+AS139+AU139+AW139+AY139+BA139+BC139+BE139+BG139+BI139+BK139+BM139+BO139+BQ139+BS139+BU139+BW139+BY139+CA139+CC139+CE139+CG139+CI139+CK139</f>
        <v>2542</v>
      </c>
      <c r="D139" s="5" t="s">
        <v>59</v>
      </c>
      <c r="E139" s="33">
        <f t="shared" ref="E139:CM139" si="111">E146+E153</f>
        <v>3</v>
      </c>
      <c r="F139" s="33">
        <f t="shared" si="111"/>
        <v>4</v>
      </c>
      <c r="G139" s="33">
        <f t="shared" si="111"/>
        <v>8</v>
      </c>
      <c r="H139" s="33">
        <f t="shared" si="111"/>
        <v>5</v>
      </c>
      <c r="I139" s="33">
        <f t="shared" si="111"/>
        <v>4</v>
      </c>
      <c r="J139" s="33">
        <f t="shared" si="111"/>
        <v>11</v>
      </c>
      <c r="K139" s="33">
        <f t="shared" si="111"/>
        <v>10</v>
      </c>
      <c r="L139" s="33">
        <f t="shared" si="111"/>
        <v>8</v>
      </c>
      <c r="M139" s="33">
        <f t="shared" si="111"/>
        <v>10</v>
      </c>
      <c r="N139" s="33">
        <f t="shared" si="111"/>
        <v>19</v>
      </c>
      <c r="O139" s="33">
        <f t="shared" si="111"/>
        <v>26</v>
      </c>
      <c r="P139" s="33">
        <f t="shared" si="111"/>
        <v>25</v>
      </c>
      <c r="Q139" s="33">
        <f t="shared" si="111"/>
        <v>23</v>
      </c>
      <c r="R139" s="33">
        <f t="shared" si="111"/>
        <v>27</v>
      </c>
      <c r="S139" s="33">
        <f t="shared" si="111"/>
        <v>26</v>
      </c>
      <c r="T139" s="33">
        <f t="shared" si="111"/>
        <v>33</v>
      </c>
      <c r="U139" s="33">
        <f t="shared" si="111"/>
        <v>65</v>
      </c>
      <c r="V139" s="33">
        <f t="shared" si="111"/>
        <v>52</v>
      </c>
      <c r="W139" s="33">
        <f t="shared" si="111"/>
        <v>39</v>
      </c>
      <c r="X139" s="33">
        <f t="shared" si="111"/>
        <v>50</v>
      </c>
      <c r="Y139" s="33">
        <f t="shared" si="111"/>
        <v>42</v>
      </c>
      <c r="Z139" s="33">
        <f t="shared" si="111"/>
        <v>51</v>
      </c>
      <c r="AA139" s="33">
        <f t="shared" si="111"/>
        <v>46</v>
      </c>
      <c r="AB139" s="33">
        <f t="shared" si="111"/>
        <v>49</v>
      </c>
      <c r="AC139" s="33">
        <f t="shared" si="111"/>
        <v>41</v>
      </c>
      <c r="AD139" s="33">
        <f t="shared" si="111"/>
        <v>50</v>
      </c>
      <c r="AE139" s="33">
        <f t="shared" si="111"/>
        <v>52</v>
      </c>
      <c r="AF139" s="33">
        <f t="shared" si="111"/>
        <v>52</v>
      </c>
      <c r="AG139" s="33">
        <f t="shared" si="111"/>
        <v>54</v>
      </c>
      <c r="AH139" s="33">
        <f t="shared" si="111"/>
        <v>52</v>
      </c>
      <c r="AI139" s="33">
        <f t="shared" si="111"/>
        <v>34</v>
      </c>
      <c r="AJ139" s="33">
        <f t="shared" si="111"/>
        <v>53</v>
      </c>
      <c r="AK139" s="33">
        <f t="shared" si="111"/>
        <v>40</v>
      </c>
      <c r="AL139" s="33">
        <f t="shared" si="111"/>
        <v>54</v>
      </c>
      <c r="AM139" s="33">
        <f t="shared" si="111"/>
        <v>49</v>
      </c>
      <c r="AN139" s="33">
        <f t="shared" si="111"/>
        <v>33</v>
      </c>
      <c r="AO139" s="33">
        <f t="shared" si="111"/>
        <v>38</v>
      </c>
      <c r="AP139" s="33">
        <f t="shared" si="111"/>
        <v>33</v>
      </c>
      <c r="AQ139" s="33">
        <f t="shared" si="111"/>
        <v>38</v>
      </c>
      <c r="AR139" s="33">
        <f t="shared" si="111"/>
        <v>37</v>
      </c>
      <c r="AS139" s="33">
        <f t="shared" si="111"/>
        <v>56</v>
      </c>
      <c r="AT139" s="33">
        <f t="shared" si="111"/>
        <v>38</v>
      </c>
      <c r="AU139" s="33">
        <f t="shared" si="111"/>
        <v>47</v>
      </c>
      <c r="AV139" s="33">
        <f t="shared" si="111"/>
        <v>41</v>
      </c>
      <c r="AW139" s="33">
        <f t="shared" si="111"/>
        <v>55</v>
      </c>
      <c r="AX139" s="33">
        <f t="shared" si="111"/>
        <v>41</v>
      </c>
      <c r="AY139" s="33">
        <f t="shared" si="111"/>
        <v>68</v>
      </c>
      <c r="AZ139" s="33">
        <f t="shared" si="111"/>
        <v>52</v>
      </c>
      <c r="BA139" s="33">
        <f t="shared" si="111"/>
        <v>56</v>
      </c>
      <c r="BB139" s="33">
        <f t="shared" si="111"/>
        <v>55</v>
      </c>
      <c r="BC139" s="33">
        <f t="shared" si="111"/>
        <v>47</v>
      </c>
      <c r="BD139" s="33">
        <f t="shared" si="111"/>
        <v>55</v>
      </c>
      <c r="BE139" s="33">
        <f t="shared" si="111"/>
        <v>75</v>
      </c>
      <c r="BF139" s="33">
        <f t="shared" si="111"/>
        <v>59</v>
      </c>
      <c r="BG139" s="33">
        <f t="shared" si="111"/>
        <v>45</v>
      </c>
      <c r="BH139" s="33">
        <f t="shared" si="111"/>
        <v>61</v>
      </c>
      <c r="BI139" s="33">
        <f t="shared" si="111"/>
        <v>68</v>
      </c>
      <c r="BJ139" s="33">
        <f t="shared" si="111"/>
        <v>63</v>
      </c>
      <c r="BK139" s="33">
        <f t="shared" si="111"/>
        <v>102</v>
      </c>
      <c r="BL139" s="33">
        <f t="shared" si="111"/>
        <v>64</v>
      </c>
      <c r="BM139" s="33">
        <f t="shared" si="111"/>
        <v>61</v>
      </c>
      <c r="BN139" s="33">
        <f t="shared" si="111"/>
        <v>66</v>
      </c>
      <c r="BO139" s="33">
        <f t="shared" si="111"/>
        <v>87</v>
      </c>
      <c r="BP139" s="33">
        <f t="shared" si="111"/>
        <v>69</v>
      </c>
      <c r="BQ139" s="33">
        <f t="shared" si="111"/>
        <v>93</v>
      </c>
      <c r="BR139" s="33">
        <f t="shared" si="111"/>
        <v>71</v>
      </c>
      <c r="BS139" s="33">
        <f t="shared" si="111"/>
        <v>70</v>
      </c>
      <c r="BT139" s="33">
        <f t="shared" si="111"/>
        <v>68</v>
      </c>
      <c r="BU139" s="33">
        <f t="shared" si="111"/>
        <v>84</v>
      </c>
      <c r="BV139" s="33">
        <f t="shared" si="111"/>
        <v>60</v>
      </c>
      <c r="BW139" s="33">
        <f t="shared" si="111"/>
        <v>102</v>
      </c>
      <c r="BX139" s="33">
        <f t="shared" si="111"/>
        <v>60</v>
      </c>
      <c r="BY139" s="33">
        <f t="shared" si="111"/>
        <v>81</v>
      </c>
      <c r="BZ139" s="33">
        <f t="shared" si="111"/>
        <v>61</v>
      </c>
      <c r="CA139" s="33">
        <f t="shared" si="111"/>
        <v>90</v>
      </c>
      <c r="CB139" s="33">
        <f t="shared" si="111"/>
        <v>63</v>
      </c>
      <c r="CC139" s="33">
        <f t="shared" si="111"/>
        <v>98</v>
      </c>
      <c r="CD139" s="33">
        <f t="shared" si="111"/>
        <v>58</v>
      </c>
      <c r="CE139" s="33">
        <f t="shared" si="111"/>
        <v>112</v>
      </c>
      <c r="CF139" s="33">
        <f t="shared" si="111"/>
        <v>61</v>
      </c>
      <c r="CG139" s="33">
        <f t="shared" si="111"/>
        <v>88</v>
      </c>
      <c r="CH139" s="33">
        <f t="shared" si="111"/>
        <v>63</v>
      </c>
      <c r="CI139" s="33">
        <f t="shared" si="111"/>
        <v>102</v>
      </c>
      <c r="CJ139" s="33">
        <f t="shared" si="111"/>
        <v>63</v>
      </c>
      <c r="CK139" s="33">
        <f t="shared" si="111"/>
        <v>75</v>
      </c>
      <c r="CL139" s="33">
        <f t="shared" si="111"/>
        <v>65</v>
      </c>
      <c r="CM139" s="33">
        <f t="shared" si="111"/>
        <v>67</v>
      </c>
      <c r="CO139" s="5" t="s">
        <v>48</v>
      </c>
      <c r="CP139" s="12" t="b">
        <f t="shared" si="58"/>
        <v>0</v>
      </c>
    </row>
    <row r="140" ht="15.75" customHeight="1">
      <c r="C140" s="9">
        <f t="shared" si="112"/>
        <v>502</v>
      </c>
      <c r="D140" s="5" t="s">
        <v>60</v>
      </c>
      <c r="E140" s="5">
        <f t="shared" ref="E140:CM140" si="113">E147+E154</f>
        <v>0</v>
      </c>
      <c r="F140" s="5">
        <f t="shared" si="113"/>
        <v>0</v>
      </c>
      <c r="G140" s="5">
        <f t="shared" si="113"/>
        <v>0</v>
      </c>
      <c r="H140" s="5">
        <f t="shared" si="113"/>
        <v>0</v>
      </c>
      <c r="I140" s="5">
        <f t="shared" si="113"/>
        <v>0</v>
      </c>
      <c r="J140" s="5">
        <f t="shared" si="113"/>
        <v>0</v>
      </c>
      <c r="K140" s="5">
        <f t="shared" si="113"/>
        <v>0</v>
      </c>
      <c r="L140" s="5">
        <f t="shared" si="113"/>
        <v>0</v>
      </c>
      <c r="M140" s="5">
        <f t="shared" si="113"/>
        <v>0</v>
      </c>
      <c r="N140" s="5">
        <f t="shared" si="113"/>
        <v>0</v>
      </c>
      <c r="O140" s="5">
        <f t="shared" si="113"/>
        <v>0</v>
      </c>
      <c r="P140" s="5">
        <f t="shared" si="113"/>
        <v>0</v>
      </c>
      <c r="Q140" s="5">
        <f t="shared" si="113"/>
        <v>1</v>
      </c>
      <c r="R140" s="5">
        <f t="shared" si="113"/>
        <v>2</v>
      </c>
      <c r="S140" s="5">
        <f t="shared" si="113"/>
        <v>1</v>
      </c>
      <c r="T140" s="5">
        <f t="shared" si="113"/>
        <v>1</v>
      </c>
      <c r="U140" s="5">
        <f t="shared" si="113"/>
        <v>1</v>
      </c>
      <c r="V140" s="5">
        <f t="shared" si="113"/>
        <v>0</v>
      </c>
      <c r="W140" s="5">
        <f t="shared" si="113"/>
        <v>5</v>
      </c>
      <c r="X140" s="5">
        <f t="shared" si="113"/>
        <v>0</v>
      </c>
      <c r="Y140" s="5">
        <f t="shared" si="113"/>
        <v>2</v>
      </c>
      <c r="Z140" s="5">
        <f t="shared" si="113"/>
        <v>0</v>
      </c>
      <c r="AA140" s="5">
        <f t="shared" si="113"/>
        <v>2</v>
      </c>
      <c r="AB140" s="5">
        <f t="shared" si="113"/>
        <v>0</v>
      </c>
      <c r="AC140" s="5">
        <f t="shared" si="113"/>
        <v>6</v>
      </c>
      <c r="AD140" s="5">
        <f t="shared" si="113"/>
        <v>0</v>
      </c>
      <c r="AE140" s="5">
        <f t="shared" si="113"/>
        <v>2</v>
      </c>
      <c r="AF140" s="5">
        <f t="shared" si="113"/>
        <v>0</v>
      </c>
      <c r="AG140" s="5">
        <f t="shared" si="113"/>
        <v>5</v>
      </c>
      <c r="AH140" s="5">
        <f t="shared" si="113"/>
        <v>0</v>
      </c>
      <c r="AI140" s="5">
        <f t="shared" si="113"/>
        <v>8</v>
      </c>
      <c r="AJ140" s="5">
        <f t="shared" si="113"/>
        <v>0</v>
      </c>
      <c r="AK140" s="5">
        <f t="shared" si="113"/>
        <v>15</v>
      </c>
      <c r="AL140" s="5">
        <f t="shared" si="113"/>
        <v>0</v>
      </c>
      <c r="AM140" s="5">
        <f t="shared" si="113"/>
        <v>14</v>
      </c>
      <c r="AN140" s="5">
        <f t="shared" si="113"/>
        <v>2</v>
      </c>
      <c r="AO140" s="5">
        <f t="shared" si="113"/>
        <v>8</v>
      </c>
      <c r="AP140" s="5">
        <f t="shared" si="113"/>
        <v>2</v>
      </c>
      <c r="AQ140" s="5">
        <f t="shared" si="113"/>
        <v>16</v>
      </c>
      <c r="AR140" s="5">
        <f t="shared" si="113"/>
        <v>2</v>
      </c>
      <c r="AS140" s="5">
        <f t="shared" si="113"/>
        <v>17</v>
      </c>
      <c r="AT140" s="5">
        <f t="shared" si="113"/>
        <v>2</v>
      </c>
      <c r="AU140" s="5">
        <f t="shared" si="113"/>
        <v>6</v>
      </c>
      <c r="AV140" s="5">
        <f t="shared" si="113"/>
        <v>2</v>
      </c>
      <c r="AW140" s="5">
        <f t="shared" si="113"/>
        <v>7</v>
      </c>
      <c r="AX140" s="5">
        <f t="shared" si="113"/>
        <v>2</v>
      </c>
      <c r="AY140" s="5">
        <f t="shared" si="113"/>
        <v>1</v>
      </c>
      <c r="AZ140" s="5">
        <f t="shared" si="113"/>
        <v>2</v>
      </c>
      <c r="BA140" s="5">
        <f t="shared" si="113"/>
        <v>12</v>
      </c>
      <c r="BB140" s="5">
        <f t="shared" si="113"/>
        <v>2</v>
      </c>
      <c r="BC140" s="5">
        <f t="shared" si="113"/>
        <v>11</v>
      </c>
      <c r="BD140" s="5">
        <f t="shared" si="113"/>
        <v>2</v>
      </c>
      <c r="BE140" s="5">
        <f t="shared" si="113"/>
        <v>9</v>
      </c>
      <c r="BF140" s="5">
        <f t="shared" si="113"/>
        <v>2</v>
      </c>
      <c r="BG140" s="5">
        <f t="shared" si="113"/>
        <v>10</v>
      </c>
      <c r="BH140" s="5">
        <f t="shared" si="113"/>
        <v>2</v>
      </c>
      <c r="BI140" s="5">
        <f t="shared" si="113"/>
        <v>19</v>
      </c>
      <c r="BJ140" s="5">
        <f t="shared" si="113"/>
        <v>2</v>
      </c>
      <c r="BK140" s="5">
        <f t="shared" si="113"/>
        <v>13</v>
      </c>
      <c r="BL140" s="5">
        <f t="shared" si="113"/>
        <v>2</v>
      </c>
      <c r="BM140" s="5">
        <f t="shared" si="113"/>
        <v>9</v>
      </c>
      <c r="BN140" s="5">
        <f t="shared" si="113"/>
        <v>2</v>
      </c>
      <c r="BO140" s="5">
        <f t="shared" si="113"/>
        <v>27</v>
      </c>
      <c r="BP140" s="5">
        <f t="shared" si="113"/>
        <v>2</v>
      </c>
      <c r="BQ140" s="5">
        <f t="shared" si="113"/>
        <v>46</v>
      </c>
      <c r="BR140" s="5">
        <f t="shared" si="113"/>
        <v>2</v>
      </c>
      <c r="BS140" s="5">
        <f t="shared" si="113"/>
        <v>15</v>
      </c>
      <c r="BT140" s="5">
        <f t="shared" si="113"/>
        <v>3</v>
      </c>
      <c r="BU140" s="5">
        <f t="shared" si="113"/>
        <v>3</v>
      </c>
      <c r="BV140" s="5">
        <f t="shared" si="113"/>
        <v>3</v>
      </c>
      <c r="BW140" s="5">
        <f t="shared" si="113"/>
        <v>24</v>
      </c>
      <c r="BX140" s="5">
        <f t="shared" si="113"/>
        <v>3</v>
      </c>
      <c r="BY140" s="5">
        <f t="shared" si="113"/>
        <v>23</v>
      </c>
      <c r="BZ140" s="5">
        <f t="shared" si="113"/>
        <v>3</v>
      </c>
      <c r="CA140" s="5">
        <f t="shared" si="113"/>
        <v>28</v>
      </c>
      <c r="CB140" s="5">
        <f t="shared" si="113"/>
        <v>3</v>
      </c>
      <c r="CC140" s="5">
        <f t="shared" si="113"/>
        <v>25</v>
      </c>
      <c r="CD140" s="5">
        <f t="shared" si="113"/>
        <v>3</v>
      </c>
      <c r="CE140" s="5">
        <f t="shared" si="113"/>
        <v>54</v>
      </c>
      <c r="CF140" s="5">
        <f t="shared" si="113"/>
        <v>3</v>
      </c>
      <c r="CG140" s="5">
        <f t="shared" si="113"/>
        <v>18</v>
      </c>
      <c r="CH140" s="5">
        <f t="shared" si="113"/>
        <v>3</v>
      </c>
      <c r="CI140" s="5">
        <f t="shared" si="113"/>
        <v>15</v>
      </c>
      <c r="CJ140" s="5">
        <f t="shared" si="113"/>
        <v>3</v>
      </c>
      <c r="CK140" s="5">
        <f t="shared" si="113"/>
        <v>21</v>
      </c>
      <c r="CL140" s="5">
        <f t="shared" si="113"/>
        <v>3</v>
      </c>
      <c r="CM140" s="5">
        <f t="shared" si="113"/>
        <v>3</v>
      </c>
      <c r="CO140" s="5" t="s">
        <v>49</v>
      </c>
      <c r="CP140" s="12" t="b">
        <f t="shared" si="58"/>
        <v>0</v>
      </c>
    </row>
    <row r="141" ht="15.75" customHeight="1">
      <c r="C141" s="9">
        <f t="shared" si="112"/>
        <v>2040</v>
      </c>
      <c r="D141" s="66" t="s">
        <v>61</v>
      </c>
      <c r="E141" s="67">
        <f t="shared" ref="E141:CM141" si="114">E139-E140</f>
        <v>3</v>
      </c>
      <c r="F141" s="67">
        <f t="shared" si="114"/>
        <v>4</v>
      </c>
      <c r="G141" s="67">
        <f t="shared" si="114"/>
        <v>8</v>
      </c>
      <c r="H141" s="67">
        <f t="shared" si="114"/>
        <v>5</v>
      </c>
      <c r="I141" s="67">
        <f t="shared" si="114"/>
        <v>4</v>
      </c>
      <c r="J141" s="67">
        <f t="shared" si="114"/>
        <v>11</v>
      </c>
      <c r="K141" s="67">
        <f t="shared" si="114"/>
        <v>10</v>
      </c>
      <c r="L141" s="67">
        <f t="shared" si="114"/>
        <v>8</v>
      </c>
      <c r="M141" s="67">
        <f t="shared" si="114"/>
        <v>10</v>
      </c>
      <c r="N141" s="67">
        <f t="shared" si="114"/>
        <v>19</v>
      </c>
      <c r="O141" s="67">
        <f t="shared" si="114"/>
        <v>26</v>
      </c>
      <c r="P141" s="67">
        <f t="shared" si="114"/>
        <v>25</v>
      </c>
      <c r="Q141" s="67">
        <f t="shared" si="114"/>
        <v>22</v>
      </c>
      <c r="R141" s="67">
        <f t="shared" si="114"/>
        <v>25</v>
      </c>
      <c r="S141" s="67">
        <f t="shared" si="114"/>
        <v>25</v>
      </c>
      <c r="T141" s="67">
        <f t="shared" si="114"/>
        <v>32</v>
      </c>
      <c r="U141" s="67">
        <f t="shared" si="114"/>
        <v>64</v>
      </c>
      <c r="V141" s="67">
        <f t="shared" si="114"/>
        <v>52</v>
      </c>
      <c r="W141" s="67">
        <f t="shared" si="114"/>
        <v>34</v>
      </c>
      <c r="X141" s="67">
        <f t="shared" si="114"/>
        <v>50</v>
      </c>
      <c r="Y141" s="67">
        <f t="shared" si="114"/>
        <v>40</v>
      </c>
      <c r="Z141" s="67">
        <f t="shared" si="114"/>
        <v>51</v>
      </c>
      <c r="AA141" s="67">
        <f t="shared" si="114"/>
        <v>44</v>
      </c>
      <c r="AB141" s="67">
        <f t="shared" si="114"/>
        <v>49</v>
      </c>
      <c r="AC141" s="67">
        <f t="shared" si="114"/>
        <v>35</v>
      </c>
      <c r="AD141" s="67">
        <f t="shared" si="114"/>
        <v>50</v>
      </c>
      <c r="AE141" s="67">
        <f t="shared" si="114"/>
        <v>50</v>
      </c>
      <c r="AF141" s="67">
        <f t="shared" si="114"/>
        <v>52</v>
      </c>
      <c r="AG141" s="67">
        <f t="shared" si="114"/>
        <v>49</v>
      </c>
      <c r="AH141" s="67">
        <f t="shared" si="114"/>
        <v>52</v>
      </c>
      <c r="AI141" s="67">
        <f t="shared" si="114"/>
        <v>26</v>
      </c>
      <c r="AJ141" s="67">
        <f t="shared" si="114"/>
        <v>53</v>
      </c>
      <c r="AK141" s="67">
        <f t="shared" si="114"/>
        <v>25</v>
      </c>
      <c r="AL141" s="67">
        <f t="shared" si="114"/>
        <v>54</v>
      </c>
      <c r="AM141" s="67">
        <f t="shared" si="114"/>
        <v>35</v>
      </c>
      <c r="AN141" s="67">
        <f t="shared" si="114"/>
        <v>31</v>
      </c>
      <c r="AO141" s="67">
        <f t="shared" si="114"/>
        <v>30</v>
      </c>
      <c r="AP141" s="67">
        <f t="shared" si="114"/>
        <v>31</v>
      </c>
      <c r="AQ141" s="67">
        <f t="shared" si="114"/>
        <v>22</v>
      </c>
      <c r="AR141" s="67">
        <f t="shared" si="114"/>
        <v>35</v>
      </c>
      <c r="AS141" s="67">
        <f t="shared" si="114"/>
        <v>39</v>
      </c>
      <c r="AT141" s="67">
        <f t="shared" si="114"/>
        <v>36</v>
      </c>
      <c r="AU141" s="67">
        <f t="shared" si="114"/>
        <v>41</v>
      </c>
      <c r="AV141" s="67">
        <f t="shared" si="114"/>
        <v>39</v>
      </c>
      <c r="AW141" s="67">
        <f t="shared" si="114"/>
        <v>48</v>
      </c>
      <c r="AX141" s="67">
        <f t="shared" si="114"/>
        <v>39</v>
      </c>
      <c r="AY141" s="67">
        <f t="shared" si="114"/>
        <v>67</v>
      </c>
      <c r="AZ141" s="67">
        <f t="shared" si="114"/>
        <v>50</v>
      </c>
      <c r="BA141" s="67">
        <f t="shared" si="114"/>
        <v>44</v>
      </c>
      <c r="BB141" s="67">
        <f t="shared" si="114"/>
        <v>53</v>
      </c>
      <c r="BC141" s="67">
        <f t="shared" si="114"/>
        <v>36</v>
      </c>
      <c r="BD141" s="67">
        <f t="shared" si="114"/>
        <v>53</v>
      </c>
      <c r="BE141" s="67">
        <f t="shared" si="114"/>
        <v>66</v>
      </c>
      <c r="BF141" s="67">
        <f t="shared" si="114"/>
        <v>57</v>
      </c>
      <c r="BG141" s="67">
        <f t="shared" si="114"/>
        <v>35</v>
      </c>
      <c r="BH141" s="67">
        <f t="shared" si="114"/>
        <v>59</v>
      </c>
      <c r="BI141" s="67">
        <f t="shared" si="114"/>
        <v>49</v>
      </c>
      <c r="BJ141" s="67">
        <f t="shared" si="114"/>
        <v>61</v>
      </c>
      <c r="BK141" s="67">
        <f t="shared" si="114"/>
        <v>89</v>
      </c>
      <c r="BL141" s="67">
        <f t="shared" si="114"/>
        <v>62</v>
      </c>
      <c r="BM141" s="67">
        <f t="shared" si="114"/>
        <v>52</v>
      </c>
      <c r="BN141" s="67">
        <f t="shared" si="114"/>
        <v>64</v>
      </c>
      <c r="BO141" s="67">
        <f t="shared" si="114"/>
        <v>60</v>
      </c>
      <c r="BP141" s="67">
        <f t="shared" si="114"/>
        <v>67</v>
      </c>
      <c r="BQ141" s="67">
        <f t="shared" si="114"/>
        <v>47</v>
      </c>
      <c r="BR141" s="67">
        <f t="shared" si="114"/>
        <v>69</v>
      </c>
      <c r="BS141" s="67">
        <f t="shared" si="114"/>
        <v>55</v>
      </c>
      <c r="BT141" s="67">
        <f t="shared" si="114"/>
        <v>65</v>
      </c>
      <c r="BU141" s="67">
        <f t="shared" si="114"/>
        <v>81</v>
      </c>
      <c r="BV141" s="67">
        <f t="shared" si="114"/>
        <v>57</v>
      </c>
      <c r="BW141" s="67">
        <f t="shared" si="114"/>
        <v>78</v>
      </c>
      <c r="BX141" s="67">
        <f t="shared" si="114"/>
        <v>57</v>
      </c>
      <c r="BY141" s="67">
        <f t="shared" si="114"/>
        <v>58</v>
      </c>
      <c r="BZ141" s="67">
        <f t="shared" si="114"/>
        <v>58</v>
      </c>
      <c r="CA141" s="67">
        <f t="shared" si="114"/>
        <v>62</v>
      </c>
      <c r="CB141" s="67">
        <f t="shared" si="114"/>
        <v>60</v>
      </c>
      <c r="CC141" s="67">
        <f t="shared" si="114"/>
        <v>73</v>
      </c>
      <c r="CD141" s="67">
        <f t="shared" si="114"/>
        <v>55</v>
      </c>
      <c r="CE141" s="67">
        <f t="shared" si="114"/>
        <v>58</v>
      </c>
      <c r="CF141" s="67">
        <f t="shared" si="114"/>
        <v>58</v>
      </c>
      <c r="CG141" s="67">
        <f t="shared" si="114"/>
        <v>70</v>
      </c>
      <c r="CH141" s="67">
        <f t="shared" si="114"/>
        <v>60</v>
      </c>
      <c r="CI141" s="67">
        <f t="shared" si="114"/>
        <v>87</v>
      </c>
      <c r="CJ141" s="67">
        <f t="shared" si="114"/>
        <v>60</v>
      </c>
      <c r="CK141" s="67">
        <f t="shared" si="114"/>
        <v>54</v>
      </c>
      <c r="CL141" s="67">
        <f t="shared" si="114"/>
        <v>62</v>
      </c>
      <c r="CM141" s="67">
        <f t="shared" si="114"/>
        <v>64</v>
      </c>
      <c r="CO141" s="5"/>
      <c r="CP141" s="12" t="b">
        <f t="shared" si="58"/>
        <v>0</v>
      </c>
    </row>
    <row r="142" ht="15.75" customHeight="1">
      <c r="C142" s="9">
        <f t="shared" si="112"/>
        <v>38304</v>
      </c>
      <c r="D142" s="66" t="s">
        <v>62</v>
      </c>
      <c r="E142" s="67">
        <f t="shared" ref="E142:CM142" si="115">E141+E138</f>
        <v>3</v>
      </c>
      <c r="F142" s="67">
        <f t="shared" si="115"/>
        <v>7</v>
      </c>
      <c r="G142" s="67">
        <f t="shared" si="115"/>
        <v>15</v>
      </c>
      <c r="H142" s="67">
        <f t="shared" si="115"/>
        <v>20</v>
      </c>
      <c r="I142" s="67">
        <f t="shared" si="115"/>
        <v>24</v>
      </c>
      <c r="J142" s="67">
        <f t="shared" si="115"/>
        <v>35</v>
      </c>
      <c r="K142" s="67">
        <f t="shared" si="115"/>
        <v>45</v>
      </c>
      <c r="L142" s="67">
        <f t="shared" si="115"/>
        <v>53</v>
      </c>
      <c r="M142" s="67">
        <f t="shared" si="115"/>
        <v>63</v>
      </c>
      <c r="N142" s="67">
        <f t="shared" si="115"/>
        <v>82</v>
      </c>
      <c r="O142" s="67">
        <f t="shared" si="115"/>
        <v>108</v>
      </c>
      <c r="P142" s="67">
        <f t="shared" si="115"/>
        <v>133</v>
      </c>
      <c r="Q142" s="67">
        <f t="shared" si="115"/>
        <v>155</v>
      </c>
      <c r="R142" s="67">
        <f t="shared" si="115"/>
        <v>180</v>
      </c>
      <c r="S142" s="67">
        <f t="shared" si="115"/>
        <v>205</v>
      </c>
      <c r="T142" s="67">
        <f t="shared" si="115"/>
        <v>237</v>
      </c>
      <c r="U142" s="67">
        <f t="shared" si="115"/>
        <v>301</v>
      </c>
      <c r="V142" s="67">
        <f t="shared" si="115"/>
        <v>353</v>
      </c>
      <c r="W142" s="67">
        <f t="shared" si="115"/>
        <v>335</v>
      </c>
      <c r="X142" s="67">
        <f t="shared" si="115"/>
        <v>403</v>
      </c>
      <c r="Y142" s="67">
        <f t="shared" si="115"/>
        <v>375</v>
      </c>
      <c r="Z142" s="67">
        <f t="shared" si="115"/>
        <v>454</v>
      </c>
      <c r="AA142" s="67">
        <f t="shared" si="115"/>
        <v>419</v>
      </c>
      <c r="AB142" s="67">
        <f t="shared" si="115"/>
        <v>503</v>
      </c>
      <c r="AC142" s="67">
        <f t="shared" si="115"/>
        <v>454</v>
      </c>
      <c r="AD142" s="67">
        <f t="shared" si="115"/>
        <v>553</v>
      </c>
      <c r="AE142" s="67">
        <f t="shared" si="115"/>
        <v>504</v>
      </c>
      <c r="AF142" s="67">
        <f t="shared" si="115"/>
        <v>605</v>
      </c>
      <c r="AG142" s="67">
        <f t="shared" si="115"/>
        <v>553</v>
      </c>
      <c r="AH142" s="67">
        <f t="shared" si="115"/>
        <v>657</v>
      </c>
      <c r="AI142" s="67">
        <f t="shared" si="115"/>
        <v>579</v>
      </c>
      <c r="AJ142" s="67">
        <f t="shared" si="115"/>
        <v>710</v>
      </c>
      <c r="AK142" s="67">
        <f t="shared" si="115"/>
        <v>604</v>
      </c>
      <c r="AL142" s="67">
        <f t="shared" si="115"/>
        <v>764</v>
      </c>
      <c r="AM142" s="67">
        <f t="shared" si="115"/>
        <v>639</v>
      </c>
      <c r="AN142" s="67">
        <f t="shared" si="115"/>
        <v>809</v>
      </c>
      <c r="AO142" s="67">
        <f t="shared" si="115"/>
        <v>669</v>
      </c>
      <c r="AP142" s="67">
        <f t="shared" si="115"/>
        <v>840</v>
      </c>
      <c r="AQ142" s="67">
        <f t="shared" si="115"/>
        <v>691</v>
      </c>
      <c r="AR142" s="67">
        <f t="shared" si="115"/>
        <v>875</v>
      </c>
      <c r="AS142" s="67">
        <f t="shared" si="115"/>
        <v>730</v>
      </c>
      <c r="AT142" s="67">
        <f t="shared" si="115"/>
        <v>911</v>
      </c>
      <c r="AU142" s="67">
        <f t="shared" si="115"/>
        <v>771</v>
      </c>
      <c r="AV142" s="67">
        <f t="shared" si="115"/>
        <v>950</v>
      </c>
      <c r="AW142" s="67">
        <f t="shared" si="115"/>
        <v>819</v>
      </c>
      <c r="AX142" s="67">
        <f t="shared" si="115"/>
        <v>989</v>
      </c>
      <c r="AY142" s="67">
        <f t="shared" si="115"/>
        <v>886</v>
      </c>
      <c r="AZ142" s="67">
        <f t="shared" si="115"/>
        <v>1039</v>
      </c>
      <c r="BA142" s="67">
        <f t="shared" si="115"/>
        <v>930</v>
      </c>
      <c r="BB142" s="67">
        <f t="shared" si="115"/>
        <v>1092</v>
      </c>
      <c r="BC142" s="67">
        <f t="shared" si="115"/>
        <v>966</v>
      </c>
      <c r="BD142" s="67">
        <f t="shared" si="115"/>
        <v>1145</v>
      </c>
      <c r="BE142" s="67">
        <f t="shared" si="115"/>
        <v>1032</v>
      </c>
      <c r="BF142" s="67">
        <f t="shared" si="115"/>
        <v>1202</v>
      </c>
      <c r="BG142" s="67">
        <f t="shared" si="115"/>
        <v>1067</v>
      </c>
      <c r="BH142" s="67">
        <f t="shared" si="115"/>
        <v>1261</v>
      </c>
      <c r="BI142" s="67">
        <f t="shared" si="115"/>
        <v>1116</v>
      </c>
      <c r="BJ142" s="67">
        <f t="shared" si="115"/>
        <v>1322</v>
      </c>
      <c r="BK142" s="67">
        <f t="shared" si="115"/>
        <v>1205</v>
      </c>
      <c r="BL142" s="67">
        <f t="shared" si="115"/>
        <v>1374.12</v>
      </c>
      <c r="BM142" s="67">
        <f t="shared" si="115"/>
        <v>1257</v>
      </c>
      <c r="BN142" s="67">
        <f t="shared" si="115"/>
        <v>1438.12</v>
      </c>
      <c r="BO142" s="67">
        <f t="shared" si="115"/>
        <v>1317</v>
      </c>
      <c r="BP142" s="67">
        <f t="shared" si="115"/>
        <v>1505.12</v>
      </c>
      <c r="BQ142" s="67">
        <f t="shared" si="115"/>
        <v>1364</v>
      </c>
      <c r="BR142" s="67">
        <f t="shared" si="115"/>
        <v>1574.12</v>
      </c>
      <c r="BS142" s="67">
        <f t="shared" si="115"/>
        <v>1419</v>
      </c>
      <c r="BT142" s="67">
        <f t="shared" si="115"/>
        <v>1639.12</v>
      </c>
      <c r="BU142" s="67">
        <f t="shared" si="115"/>
        <v>1500</v>
      </c>
      <c r="BV142" s="67">
        <f t="shared" si="115"/>
        <v>1696.12</v>
      </c>
      <c r="BW142" s="67">
        <f t="shared" si="115"/>
        <v>1578</v>
      </c>
      <c r="BX142" s="67">
        <f t="shared" si="115"/>
        <v>1753.12</v>
      </c>
      <c r="BY142" s="67">
        <f t="shared" si="115"/>
        <v>1636</v>
      </c>
      <c r="BZ142" s="67">
        <f t="shared" si="115"/>
        <v>1811.12</v>
      </c>
      <c r="CA142" s="67">
        <f t="shared" si="115"/>
        <v>1698</v>
      </c>
      <c r="CB142" s="67">
        <f t="shared" si="115"/>
        <v>1871.12</v>
      </c>
      <c r="CC142" s="67">
        <f t="shared" si="115"/>
        <v>1771</v>
      </c>
      <c r="CD142" s="67">
        <f t="shared" si="115"/>
        <v>1926.12</v>
      </c>
      <c r="CE142" s="67">
        <f t="shared" si="115"/>
        <v>1829</v>
      </c>
      <c r="CF142" s="67">
        <f t="shared" si="115"/>
        <v>1984.12</v>
      </c>
      <c r="CG142" s="67">
        <f t="shared" si="115"/>
        <v>1899</v>
      </c>
      <c r="CH142" s="67">
        <f t="shared" si="115"/>
        <v>2044.12</v>
      </c>
      <c r="CI142" s="67">
        <f t="shared" si="115"/>
        <v>1986</v>
      </c>
      <c r="CJ142" s="67">
        <f t="shared" si="115"/>
        <v>2104.12</v>
      </c>
      <c r="CK142" s="67">
        <f t="shared" si="115"/>
        <v>2040</v>
      </c>
      <c r="CL142" s="67">
        <f t="shared" si="115"/>
        <v>2166.12</v>
      </c>
      <c r="CM142" s="67">
        <f t="shared" si="115"/>
        <v>2230.12</v>
      </c>
      <c r="CO142" s="5"/>
      <c r="CP142" s="12" t="b">
        <f t="shared" si="58"/>
        <v>0</v>
      </c>
    </row>
    <row r="143" ht="15.75" customHeight="1">
      <c r="C143" s="9">
        <f t="shared" si="112"/>
        <v>502</v>
      </c>
      <c r="D143" s="25" t="s">
        <v>13</v>
      </c>
      <c r="E143" s="68">
        <f t="shared" ref="E143:CM143" si="116">E140</f>
        <v>0</v>
      </c>
      <c r="F143" s="68">
        <f t="shared" si="116"/>
        <v>0</v>
      </c>
      <c r="G143" s="68">
        <f t="shared" si="116"/>
        <v>0</v>
      </c>
      <c r="H143" s="68">
        <f t="shared" si="116"/>
        <v>0</v>
      </c>
      <c r="I143" s="68">
        <f t="shared" si="116"/>
        <v>0</v>
      </c>
      <c r="J143" s="68">
        <f t="shared" si="116"/>
        <v>0</v>
      </c>
      <c r="K143" s="68">
        <f t="shared" si="116"/>
        <v>0</v>
      </c>
      <c r="L143" s="68">
        <f t="shared" si="116"/>
        <v>0</v>
      </c>
      <c r="M143" s="68">
        <f t="shared" si="116"/>
        <v>0</v>
      </c>
      <c r="N143" s="68">
        <f t="shared" si="116"/>
        <v>0</v>
      </c>
      <c r="O143" s="68">
        <f t="shared" si="116"/>
        <v>0</v>
      </c>
      <c r="P143" s="68">
        <f t="shared" si="116"/>
        <v>0</v>
      </c>
      <c r="Q143" s="68">
        <f t="shared" si="116"/>
        <v>1</v>
      </c>
      <c r="R143" s="68">
        <f t="shared" si="116"/>
        <v>2</v>
      </c>
      <c r="S143" s="68">
        <f t="shared" si="116"/>
        <v>1</v>
      </c>
      <c r="T143" s="68">
        <f t="shared" si="116"/>
        <v>1</v>
      </c>
      <c r="U143" s="68">
        <f t="shared" si="116"/>
        <v>1</v>
      </c>
      <c r="V143" s="68">
        <f t="shared" si="116"/>
        <v>0</v>
      </c>
      <c r="W143" s="68">
        <f t="shared" si="116"/>
        <v>5</v>
      </c>
      <c r="X143" s="68">
        <f t="shared" si="116"/>
        <v>0</v>
      </c>
      <c r="Y143" s="68">
        <f t="shared" si="116"/>
        <v>2</v>
      </c>
      <c r="Z143" s="68">
        <f t="shared" si="116"/>
        <v>0</v>
      </c>
      <c r="AA143" s="68">
        <f t="shared" si="116"/>
        <v>2</v>
      </c>
      <c r="AB143" s="68">
        <f t="shared" si="116"/>
        <v>0</v>
      </c>
      <c r="AC143" s="68">
        <f t="shared" si="116"/>
        <v>6</v>
      </c>
      <c r="AD143" s="68">
        <f t="shared" si="116"/>
        <v>0</v>
      </c>
      <c r="AE143" s="68">
        <f t="shared" si="116"/>
        <v>2</v>
      </c>
      <c r="AF143" s="68">
        <f t="shared" si="116"/>
        <v>0</v>
      </c>
      <c r="AG143" s="68">
        <f t="shared" si="116"/>
        <v>5</v>
      </c>
      <c r="AH143" s="68">
        <f t="shared" si="116"/>
        <v>0</v>
      </c>
      <c r="AI143" s="68">
        <f t="shared" si="116"/>
        <v>8</v>
      </c>
      <c r="AJ143" s="68">
        <f t="shared" si="116"/>
        <v>0</v>
      </c>
      <c r="AK143" s="68">
        <f t="shared" si="116"/>
        <v>15</v>
      </c>
      <c r="AL143" s="68">
        <f t="shared" si="116"/>
        <v>0</v>
      </c>
      <c r="AM143" s="68">
        <f t="shared" si="116"/>
        <v>14</v>
      </c>
      <c r="AN143" s="68">
        <f t="shared" si="116"/>
        <v>2</v>
      </c>
      <c r="AO143" s="68">
        <f t="shared" si="116"/>
        <v>8</v>
      </c>
      <c r="AP143" s="68">
        <f t="shared" si="116"/>
        <v>2</v>
      </c>
      <c r="AQ143" s="68">
        <f t="shared" si="116"/>
        <v>16</v>
      </c>
      <c r="AR143" s="68">
        <f t="shared" si="116"/>
        <v>2</v>
      </c>
      <c r="AS143" s="68">
        <f t="shared" si="116"/>
        <v>17</v>
      </c>
      <c r="AT143" s="68">
        <f t="shared" si="116"/>
        <v>2</v>
      </c>
      <c r="AU143" s="68">
        <f t="shared" si="116"/>
        <v>6</v>
      </c>
      <c r="AV143" s="68">
        <f t="shared" si="116"/>
        <v>2</v>
      </c>
      <c r="AW143" s="68">
        <f t="shared" si="116"/>
        <v>7</v>
      </c>
      <c r="AX143" s="68">
        <f t="shared" si="116"/>
        <v>2</v>
      </c>
      <c r="AY143" s="68">
        <f t="shared" si="116"/>
        <v>1</v>
      </c>
      <c r="AZ143" s="68">
        <f t="shared" si="116"/>
        <v>2</v>
      </c>
      <c r="BA143" s="68">
        <f t="shared" si="116"/>
        <v>12</v>
      </c>
      <c r="BB143" s="68">
        <f t="shared" si="116"/>
        <v>2</v>
      </c>
      <c r="BC143" s="68">
        <f t="shared" si="116"/>
        <v>11</v>
      </c>
      <c r="BD143" s="68">
        <f t="shared" si="116"/>
        <v>2</v>
      </c>
      <c r="BE143" s="68">
        <f t="shared" si="116"/>
        <v>9</v>
      </c>
      <c r="BF143" s="68">
        <f t="shared" si="116"/>
        <v>2</v>
      </c>
      <c r="BG143" s="68">
        <f t="shared" si="116"/>
        <v>10</v>
      </c>
      <c r="BH143" s="68">
        <f t="shared" si="116"/>
        <v>2</v>
      </c>
      <c r="BI143" s="68">
        <f t="shared" si="116"/>
        <v>19</v>
      </c>
      <c r="BJ143" s="68">
        <f t="shared" si="116"/>
        <v>2</v>
      </c>
      <c r="BK143" s="68">
        <f t="shared" si="116"/>
        <v>13</v>
      </c>
      <c r="BL143" s="68">
        <f t="shared" si="116"/>
        <v>2</v>
      </c>
      <c r="BM143" s="68">
        <f t="shared" si="116"/>
        <v>9</v>
      </c>
      <c r="BN143" s="68">
        <f t="shared" si="116"/>
        <v>2</v>
      </c>
      <c r="BO143" s="68">
        <f t="shared" si="116"/>
        <v>27</v>
      </c>
      <c r="BP143" s="68">
        <f t="shared" si="116"/>
        <v>2</v>
      </c>
      <c r="BQ143" s="68">
        <f t="shared" si="116"/>
        <v>46</v>
      </c>
      <c r="BR143" s="68">
        <f t="shared" si="116"/>
        <v>2</v>
      </c>
      <c r="BS143" s="68">
        <f t="shared" si="116"/>
        <v>15</v>
      </c>
      <c r="BT143" s="68">
        <f t="shared" si="116"/>
        <v>3</v>
      </c>
      <c r="BU143" s="68">
        <f t="shared" si="116"/>
        <v>3</v>
      </c>
      <c r="BV143" s="68">
        <f t="shared" si="116"/>
        <v>3</v>
      </c>
      <c r="BW143" s="68">
        <f t="shared" si="116"/>
        <v>24</v>
      </c>
      <c r="BX143" s="68">
        <f t="shared" si="116"/>
        <v>3</v>
      </c>
      <c r="BY143" s="68">
        <f t="shared" si="116"/>
        <v>23</v>
      </c>
      <c r="BZ143" s="68">
        <f t="shared" si="116"/>
        <v>3</v>
      </c>
      <c r="CA143" s="68">
        <f t="shared" si="116"/>
        <v>28</v>
      </c>
      <c r="CB143" s="68">
        <f t="shared" si="116"/>
        <v>3</v>
      </c>
      <c r="CC143" s="68">
        <f t="shared" si="116"/>
        <v>25</v>
      </c>
      <c r="CD143" s="68">
        <f t="shared" si="116"/>
        <v>3</v>
      </c>
      <c r="CE143" s="68">
        <f t="shared" si="116"/>
        <v>54</v>
      </c>
      <c r="CF143" s="68">
        <f t="shared" si="116"/>
        <v>3</v>
      </c>
      <c r="CG143" s="68">
        <f t="shared" si="116"/>
        <v>18</v>
      </c>
      <c r="CH143" s="68">
        <f t="shared" si="116"/>
        <v>3</v>
      </c>
      <c r="CI143" s="68">
        <f t="shared" si="116"/>
        <v>15</v>
      </c>
      <c r="CJ143" s="68">
        <f t="shared" si="116"/>
        <v>3</v>
      </c>
      <c r="CK143" s="68">
        <f t="shared" si="116"/>
        <v>21</v>
      </c>
      <c r="CL143" s="68">
        <f t="shared" si="116"/>
        <v>3</v>
      </c>
      <c r="CM143" s="68">
        <f t="shared" si="116"/>
        <v>3</v>
      </c>
      <c r="CO143" s="5" t="s">
        <v>51</v>
      </c>
      <c r="CP143" s="12" t="b">
        <f t="shared" si="58"/>
        <v>0</v>
      </c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O144" s="5" t="s">
        <v>53</v>
      </c>
      <c r="CP144" s="12" t="b">
        <f t="shared" si="58"/>
        <v>0</v>
      </c>
    </row>
    <row r="145" ht="15.75" customHeight="1">
      <c r="C145" s="41" t="s">
        <v>5</v>
      </c>
      <c r="D145" s="5" t="s">
        <v>58</v>
      </c>
      <c r="E145" s="5">
        <v>0.0</v>
      </c>
      <c r="F145" s="33">
        <f t="shared" ref="F145:V145" si="117">E149</f>
        <v>0</v>
      </c>
      <c r="G145" s="33">
        <f t="shared" si="117"/>
        <v>1</v>
      </c>
      <c r="H145" s="33">
        <f t="shared" si="117"/>
        <v>2</v>
      </c>
      <c r="I145" s="33">
        <f t="shared" si="117"/>
        <v>2</v>
      </c>
      <c r="J145" s="33">
        <f t="shared" si="117"/>
        <v>2</v>
      </c>
      <c r="K145" s="33">
        <f t="shared" si="117"/>
        <v>2</v>
      </c>
      <c r="L145" s="33">
        <f t="shared" si="117"/>
        <v>3</v>
      </c>
      <c r="M145" s="33">
        <f t="shared" si="117"/>
        <v>4</v>
      </c>
      <c r="N145" s="33">
        <f t="shared" si="117"/>
        <v>4</v>
      </c>
      <c r="O145" s="33">
        <f t="shared" si="117"/>
        <v>5</v>
      </c>
      <c r="P145" s="33">
        <f t="shared" si="117"/>
        <v>10</v>
      </c>
      <c r="Q145" s="33">
        <f t="shared" si="117"/>
        <v>12</v>
      </c>
      <c r="R145" s="33">
        <f t="shared" si="117"/>
        <v>15</v>
      </c>
      <c r="S145" s="33">
        <f t="shared" si="117"/>
        <v>20</v>
      </c>
      <c r="T145" s="33">
        <f t="shared" si="117"/>
        <v>24</v>
      </c>
      <c r="U145" s="33">
        <f t="shared" si="117"/>
        <v>29</v>
      </c>
      <c r="V145" s="33">
        <f t="shared" si="117"/>
        <v>47</v>
      </c>
      <c r="W145" s="33">
        <f t="shared" ref="W145:AM145" si="118">U149</f>
        <v>47</v>
      </c>
      <c r="X145" s="33">
        <f t="shared" si="118"/>
        <v>65</v>
      </c>
      <c r="Y145" s="33">
        <f t="shared" si="118"/>
        <v>59</v>
      </c>
      <c r="Z145" s="33">
        <f t="shared" si="118"/>
        <v>81</v>
      </c>
      <c r="AA145" s="33">
        <f t="shared" si="118"/>
        <v>71</v>
      </c>
      <c r="AB145" s="33">
        <f t="shared" si="118"/>
        <v>97</v>
      </c>
      <c r="AC145" s="33">
        <f t="shared" si="118"/>
        <v>91</v>
      </c>
      <c r="AD145" s="33">
        <f t="shared" si="118"/>
        <v>112</v>
      </c>
      <c r="AE145" s="33">
        <f t="shared" si="118"/>
        <v>101</v>
      </c>
      <c r="AF145" s="33">
        <f t="shared" si="118"/>
        <v>128</v>
      </c>
      <c r="AG145" s="33">
        <f t="shared" si="118"/>
        <v>116</v>
      </c>
      <c r="AH145" s="33">
        <f t="shared" si="118"/>
        <v>146</v>
      </c>
      <c r="AI145" s="33">
        <f t="shared" si="118"/>
        <v>142</v>
      </c>
      <c r="AJ145" s="33">
        <f t="shared" si="118"/>
        <v>164</v>
      </c>
      <c r="AK145" s="33">
        <f t="shared" si="118"/>
        <v>158</v>
      </c>
      <c r="AL145" s="33">
        <f t="shared" si="118"/>
        <v>184</v>
      </c>
      <c r="AM145" s="33">
        <f t="shared" si="118"/>
        <v>168</v>
      </c>
      <c r="AN145" s="33">
        <v>204.0</v>
      </c>
      <c r="AO145" s="33">
        <f t="shared" ref="AO145:BK145" si="119">AM149</f>
        <v>188</v>
      </c>
      <c r="AP145" s="33">
        <f t="shared" si="119"/>
        <v>217</v>
      </c>
      <c r="AQ145" s="33">
        <f t="shared" si="119"/>
        <v>198</v>
      </c>
      <c r="AR145" s="33">
        <f t="shared" si="119"/>
        <v>230</v>
      </c>
      <c r="AS145" s="33">
        <f t="shared" si="119"/>
        <v>211</v>
      </c>
      <c r="AT145" s="33">
        <f t="shared" si="119"/>
        <v>247</v>
      </c>
      <c r="AU145" s="33">
        <f t="shared" si="119"/>
        <v>232</v>
      </c>
      <c r="AV145" s="33">
        <f t="shared" si="119"/>
        <v>263</v>
      </c>
      <c r="AW145" s="33">
        <f t="shared" si="119"/>
        <v>247</v>
      </c>
      <c r="AX145" s="33">
        <f t="shared" si="119"/>
        <v>280</v>
      </c>
      <c r="AY145" s="33">
        <f t="shared" si="119"/>
        <v>274</v>
      </c>
      <c r="AZ145" s="33">
        <f t="shared" si="119"/>
        <v>296</v>
      </c>
      <c r="BA145" s="33">
        <f t="shared" si="119"/>
        <v>306</v>
      </c>
      <c r="BB145" s="33">
        <f t="shared" si="119"/>
        <v>322</v>
      </c>
      <c r="BC145" s="33">
        <f t="shared" si="119"/>
        <v>327</v>
      </c>
      <c r="BD145" s="33">
        <f t="shared" si="119"/>
        <v>351</v>
      </c>
      <c r="BE145" s="33">
        <f t="shared" si="119"/>
        <v>351</v>
      </c>
      <c r="BF145" s="33">
        <f t="shared" si="119"/>
        <v>379</v>
      </c>
      <c r="BG145" s="33">
        <f t="shared" si="119"/>
        <v>384</v>
      </c>
      <c r="BH145" s="33">
        <f t="shared" si="119"/>
        <v>409</v>
      </c>
      <c r="BI145" s="33">
        <f t="shared" si="119"/>
        <v>407</v>
      </c>
      <c r="BJ145" s="33">
        <f t="shared" si="119"/>
        <v>440</v>
      </c>
      <c r="BK145" s="33">
        <f t="shared" si="119"/>
        <v>439</v>
      </c>
      <c r="BL145" s="33">
        <v>449.54</v>
      </c>
      <c r="BM145" s="33">
        <f t="shared" ref="BM145:CL145" si="120">BK149</f>
        <v>487</v>
      </c>
      <c r="BN145" s="33">
        <f t="shared" si="120"/>
        <v>478.54</v>
      </c>
      <c r="BO145" s="33">
        <f t="shared" si="120"/>
        <v>520</v>
      </c>
      <c r="BP145" s="33">
        <f t="shared" si="120"/>
        <v>508.54</v>
      </c>
      <c r="BQ145" s="33">
        <f t="shared" si="120"/>
        <v>566</v>
      </c>
      <c r="BR145" s="33">
        <f t="shared" si="120"/>
        <v>540.54</v>
      </c>
      <c r="BS145" s="33">
        <f t="shared" si="120"/>
        <v>601</v>
      </c>
      <c r="BT145" s="33">
        <f t="shared" si="120"/>
        <v>574.54</v>
      </c>
      <c r="BU145" s="33">
        <f t="shared" si="120"/>
        <v>634</v>
      </c>
      <c r="BV145" s="33">
        <f t="shared" si="120"/>
        <v>606.54</v>
      </c>
      <c r="BW145" s="33">
        <f t="shared" si="120"/>
        <v>682</v>
      </c>
      <c r="BX145" s="33">
        <f t="shared" si="120"/>
        <v>640.54</v>
      </c>
      <c r="BY145" s="33">
        <f t="shared" si="120"/>
        <v>728</v>
      </c>
      <c r="BZ145" s="33">
        <f t="shared" si="120"/>
        <v>674.54</v>
      </c>
      <c r="CA145" s="33">
        <f t="shared" si="120"/>
        <v>764</v>
      </c>
      <c r="CB145" s="33">
        <f t="shared" si="120"/>
        <v>710.54</v>
      </c>
      <c r="CC145" s="33">
        <f t="shared" si="120"/>
        <v>800</v>
      </c>
      <c r="CD145" s="33">
        <f t="shared" si="120"/>
        <v>748.54</v>
      </c>
      <c r="CE145" s="33">
        <f t="shared" si="120"/>
        <v>836</v>
      </c>
      <c r="CF145" s="33">
        <f t="shared" si="120"/>
        <v>784.54</v>
      </c>
      <c r="CG145" s="33">
        <f t="shared" si="120"/>
        <v>871</v>
      </c>
      <c r="CH145" s="33">
        <f t="shared" si="120"/>
        <v>821.54</v>
      </c>
      <c r="CI145" s="33">
        <f t="shared" si="120"/>
        <v>912</v>
      </c>
      <c r="CJ145" s="33">
        <f t="shared" si="120"/>
        <v>859.54</v>
      </c>
      <c r="CK145" s="33">
        <f t="shared" si="120"/>
        <v>961</v>
      </c>
      <c r="CL145" s="33">
        <f t="shared" si="120"/>
        <v>898.54</v>
      </c>
      <c r="CM145" s="33">
        <f>CL149</f>
        <v>938.54</v>
      </c>
      <c r="CO145" s="5"/>
      <c r="CP145" s="12" t="b">
        <f t="shared" si="58"/>
        <v>0</v>
      </c>
    </row>
    <row r="146" ht="15.75" customHeight="1">
      <c r="C146" s="9">
        <f t="shared" ref="C146:C150" si="122">SUM(E146:U146)+W146+Y146+AA146+AC146+AE146+AG146+AI146+AK146+AM146+AO146+AQ146+AS146+AU146+AW146+AY146+BA146+BC146+BE146+BG146+BI146+BK146+BM146+BO146+BQ146+BS146+BU146+BW146+BY146+CA146+CC146+CE146+CG146+CI146+CK146</f>
        <v>1153</v>
      </c>
      <c r="D146" s="5" t="s">
        <v>59</v>
      </c>
      <c r="E146" s="33" t="str">
        <f t="shared" ref="E146:CM146" si="121">E58</f>
        <v/>
      </c>
      <c r="F146" s="33">
        <f t="shared" si="121"/>
        <v>1</v>
      </c>
      <c r="G146" s="33">
        <f t="shared" si="121"/>
        <v>1</v>
      </c>
      <c r="H146" s="33" t="str">
        <f t="shared" si="121"/>
        <v/>
      </c>
      <c r="I146" s="33" t="str">
        <f t="shared" si="121"/>
        <v/>
      </c>
      <c r="J146" s="33" t="str">
        <f t="shared" si="121"/>
        <v/>
      </c>
      <c r="K146" s="33">
        <f t="shared" si="121"/>
        <v>1</v>
      </c>
      <c r="L146" s="33">
        <f t="shared" si="121"/>
        <v>1</v>
      </c>
      <c r="M146" s="33" t="str">
        <f t="shared" si="121"/>
        <v/>
      </c>
      <c r="N146" s="33">
        <f t="shared" si="121"/>
        <v>1</v>
      </c>
      <c r="O146" s="33">
        <f t="shared" si="121"/>
        <v>5</v>
      </c>
      <c r="P146" s="33">
        <f t="shared" si="121"/>
        <v>2</v>
      </c>
      <c r="Q146" s="33">
        <f t="shared" si="121"/>
        <v>3</v>
      </c>
      <c r="R146" s="33">
        <f t="shared" si="121"/>
        <v>5</v>
      </c>
      <c r="S146" s="33">
        <f t="shared" si="121"/>
        <v>4</v>
      </c>
      <c r="T146" s="33">
        <f t="shared" si="121"/>
        <v>5</v>
      </c>
      <c r="U146" s="33">
        <f t="shared" si="121"/>
        <v>18</v>
      </c>
      <c r="V146" s="33">
        <f t="shared" si="121"/>
        <v>18</v>
      </c>
      <c r="W146" s="33">
        <f t="shared" si="121"/>
        <v>12</v>
      </c>
      <c r="X146" s="33">
        <f t="shared" si="121"/>
        <v>16</v>
      </c>
      <c r="Y146" s="33">
        <f t="shared" si="121"/>
        <v>12</v>
      </c>
      <c r="Z146" s="33">
        <f t="shared" si="121"/>
        <v>16</v>
      </c>
      <c r="AA146" s="33">
        <f t="shared" si="121"/>
        <v>21</v>
      </c>
      <c r="AB146" s="33">
        <f t="shared" si="121"/>
        <v>15</v>
      </c>
      <c r="AC146" s="33">
        <f t="shared" si="121"/>
        <v>10</v>
      </c>
      <c r="AD146" s="33">
        <f t="shared" si="121"/>
        <v>16</v>
      </c>
      <c r="AE146" s="33">
        <f t="shared" si="121"/>
        <v>15</v>
      </c>
      <c r="AF146" s="33">
        <f t="shared" si="121"/>
        <v>18</v>
      </c>
      <c r="AG146" s="33">
        <f t="shared" si="121"/>
        <v>27</v>
      </c>
      <c r="AH146" s="33">
        <f t="shared" si="121"/>
        <v>18</v>
      </c>
      <c r="AI146" s="33">
        <f t="shared" si="121"/>
        <v>17</v>
      </c>
      <c r="AJ146" s="33">
        <f t="shared" si="121"/>
        <v>20</v>
      </c>
      <c r="AK146" s="33">
        <f t="shared" si="121"/>
        <v>14</v>
      </c>
      <c r="AL146" s="33">
        <f t="shared" si="121"/>
        <v>21</v>
      </c>
      <c r="AM146" s="33">
        <f t="shared" si="121"/>
        <v>22</v>
      </c>
      <c r="AN146" s="33">
        <f t="shared" si="121"/>
        <v>14</v>
      </c>
      <c r="AO146" s="33">
        <f t="shared" si="121"/>
        <v>10</v>
      </c>
      <c r="AP146" s="33">
        <f t="shared" si="121"/>
        <v>14</v>
      </c>
      <c r="AQ146" s="33">
        <f t="shared" si="121"/>
        <v>16</v>
      </c>
      <c r="AR146" s="33">
        <f t="shared" si="121"/>
        <v>18</v>
      </c>
      <c r="AS146" s="33">
        <f t="shared" si="121"/>
        <v>24</v>
      </c>
      <c r="AT146" s="33">
        <f t="shared" si="121"/>
        <v>17</v>
      </c>
      <c r="AU146" s="33">
        <f t="shared" si="121"/>
        <v>17</v>
      </c>
      <c r="AV146" s="33">
        <f t="shared" si="121"/>
        <v>18</v>
      </c>
      <c r="AW146" s="33">
        <f t="shared" si="121"/>
        <v>28</v>
      </c>
      <c r="AX146" s="33">
        <f t="shared" si="121"/>
        <v>17</v>
      </c>
      <c r="AY146" s="33">
        <f t="shared" si="121"/>
        <v>32</v>
      </c>
      <c r="AZ146" s="33">
        <f t="shared" si="121"/>
        <v>27</v>
      </c>
      <c r="BA146" s="33">
        <f t="shared" si="121"/>
        <v>23</v>
      </c>
      <c r="BB146" s="33">
        <f t="shared" si="121"/>
        <v>30</v>
      </c>
      <c r="BC146" s="33">
        <f t="shared" si="121"/>
        <v>28</v>
      </c>
      <c r="BD146" s="33">
        <f t="shared" si="121"/>
        <v>29</v>
      </c>
      <c r="BE146" s="33">
        <f t="shared" si="121"/>
        <v>34</v>
      </c>
      <c r="BF146" s="33">
        <f t="shared" si="121"/>
        <v>31</v>
      </c>
      <c r="BG146" s="33">
        <f t="shared" si="121"/>
        <v>25</v>
      </c>
      <c r="BH146" s="33">
        <f t="shared" si="121"/>
        <v>32</v>
      </c>
      <c r="BI146" s="33">
        <f t="shared" si="121"/>
        <v>38</v>
      </c>
      <c r="BJ146" s="33">
        <f t="shared" si="121"/>
        <v>34</v>
      </c>
      <c r="BK146" s="33">
        <f t="shared" si="121"/>
        <v>54</v>
      </c>
      <c r="BL146" s="33">
        <f t="shared" si="121"/>
        <v>30</v>
      </c>
      <c r="BM146" s="33">
        <f t="shared" si="121"/>
        <v>35</v>
      </c>
      <c r="BN146" s="33">
        <f t="shared" si="121"/>
        <v>31</v>
      </c>
      <c r="BO146" s="33">
        <f t="shared" si="121"/>
        <v>56</v>
      </c>
      <c r="BP146" s="33">
        <f t="shared" si="121"/>
        <v>33</v>
      </c>
      <c r="BQ146" s="33">
        <f t="shared" si="121"/>
        <v>53</v>
      </c>
      <c r="BR146" s="33">
        <f t="shared" si="121"/>
        <v>35</v>
      </c>
      <c r="BS146" s="33">
        <f t="shared" si="121"/>
        <v>40</v>
      </c>
      <c r="BT146" s="33">
        <f t="shared" si="121"/>
        <v>33</v>
      </c>
      <c r="BU146" s="33">
        <f t="shared" si="121"/>
        <v>49</v>
      </c>
      <c r="BV146" s="33">
        <f t="shared" si="121"/>
        <v>35</v>
      </c>
      <c r="BW146" s="33">
        <f t="shared" si="121"/>
        <v>55</v>
      </c>
      <c r="BX146" s="33">
        <f t="shared" si="121"/>
        <v>35</v>
      </c>
      <c r="BY146" s="33">
        <f t="shared" si="121"/>
        <v>42</v>
      </c>
      <c r="BZ146" s="33">
        <f t="shared" si="121"/>
        <v>37</v>
      </c>
      <c r="CA146" s="33">
        <f t="shared" si="121"/>
        <v>49</v>
      </c>
      <c r="CB146" s="33">
        <f t="shared" si="121"/>
        <v>39</v>
      </c>
      <c r="CC146" s="33">
        <f t="shared" si="121"/>
        <v>50</v>
      </c>
      <c r="CD146" s="33">
        <f t="shared" si="121"/>
        <v>37</v>
      </c>
      <c r="CE146" s="33">
        <f t="shared" si="121"/>
        <v>62</v>
      </c>
      <c r="CF146" s="33">
        <f t="shared" si="121"/>
        <v>38</v>
      </c>
      <c r="CG146" s="33">
        <f t="shared" si="121"/>
        <v>46</v>
      </c>
      <c r="CH146" s="33">
        <f t="shared" si="121"/>
        <v>39</v>
      </c>
      <c r="CI146" s="33">
        <f t="shared" si="121"/>
        <v>56</v>
      </c>
      <c r="CJ146" s="33">
        <f t="shared" si="121"/>
        <v>40</v>
      </c>
      <c r="CK146" s="33">
        <f t="shared" si="121"/>
        <v>34</v>
      </c>
      <c r="CL146" s="33">
        <f t="shared" si="121"/>
        <v>41</v>
      </c>
      <c r="CM146" s="33">
        <f t="shared" si="121"/>
        <v>43</v>
      </c>
      <c r="CO146" s="59" t="s">
        <v>54</v>
      </c>
      <c r="CP146" s="12" t="b">
        <f t="shared" si="58"/>
        <v>0</v>
      </c>
    </row>
    <row r="147" ht="15.75" customHeight="1">
      <c r="A147" s="17" t="s">
        <v>6</v>
      </c>
      <c r="C147" s="9">
        <f t="shared" si="122"/>
        <v>166</v>
      </c>
      <c r="D147" s="5" t="s">
        <v>60</v>
      </c>
      <c r="E147" s="5">
        <v>0.0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1.0</v>
      </c>
      <c r="AB147" s="5">
        <v>0.0</v>
      </c>
      <c r="AC147" s="5">
        <v>0.0</v>
      </c>
      <c r="AD147" s="5">
        <v>0.0</v>
      </c>
      <c r="AE147" s="5">
        <v>0.0</v>
      </c>
      <c r="AF147" s="5">
        <v>0.0</v>
      </c>
      <c r="AG147" s="5">
        <v>1.0</v>
      </c>
      <c r="AH147" s="5">
        <v>0.0</v>
      </c>
      <c r="AI147" s="5">
        <v>1.0</v>
      </c>
      <c r="AJ147" s="5">
        <v>0.0</v>
      </c>
      <c r="AK147" s="5">
        <v>4.0</v>
      </c>
      <c r="AL147" s="5">
        <v>0.0</v>
      </c>
      <c r="AM147" s="5">
        <v>2.0</v>
      </c>
      <c r="AN147" s="5">
        <v>1.0</v>
      </c>
      <c r="AO147" s="5">
        <v>0.0</v>
      </c>
      <c r="AP147" s="5">
        <v>1.0</v>
      </c>
      <c r="AQ147" s="5">
        <v>3.0</v>
      </c>
      <c r="AR147" s="5">
        <v>1.0</v>
      </c>
      <c r="AS147" s="5">
        <v>3.0</v>
      </c>
      <c r="AT147" s="5">
        <v>1.0</v>
      </c>
      <c r="AU147" s="5">
        <v>2.0</v>
      </c>
      <c r="AV147" s="5">
        <v>1.0</v>
      </c>
      <c r="AW147" s="5">
        <v>1.0</v>
      </c>
      <c r="AX147" s="5">
        <v>1.0</v>
      </c>
      <c r="AY147" s="5">
        <v>0.0</v>
      </c>
      <c r="AZ147" s="5">
        <v>1.0</v>
      </c>
      <c r="BA147" s="5">
        <v>2.0</v>
      </c>
      <c r="BB147" s="5">
        <v>1.0</v>
      </c>
      <c r="BC147" s="5">
        <v>4.0</v>
      </c>
      <c r="BD147" s="5">
        <v>1.0</v>
      </c>
      <c r="BE147" s="5">
        <v>1.0</v>
      </c>
      <c r="BF147" s="5">
        <v>1.0</v>
      </c>
      <c r="BG147" s="5">
        <v>2.0</v>
      </c>
      <c r="BH147" s="5">
        <v>1.0</v>
      </c>
      <c r="BI147" s="5">
        <v>6.0</v>
      </c>
      <c r="BJ147" s="5">
        <v>1.0</v>
      </c>
      <c r="BK147" s="5">
        <v>6.0</v>
      </c>
      <c r="BL147" s="5">
        <v>1.0</v>
      </c>
      <c r="BM147" s="5">
        <v>2.0</v>
      </c>
      <c r="BN147" s="5">
        <v>1.0</v>
      </c>
      <c r="BO147" s="5">
        <v>10.0</v>
      </c>
      <c r="BP147" s="5">
        <v>1.0</v>
      </c>
      <c r="BQ147" s="5">
        <v>18.0</v>
      </c>
      <c r="BR147" s="5">
        <v>1.0</v>
      </c>
      <c r="BS147" s="5">
        <v>7.0</v>
      </c>
      <c r="BT147" s="5">
        <v>1.0</v>
      </c>
      <c r="BU147" s="5">
        <v>1.0</v>
      </c>
      <c r="BV147" s="5">
        <v>1.0</v>
      </c>
      <c r="BW147" s="5">
        <v>9.0</v>
      </c>
      <c r="BX147" s="5">
        <v>1.0</v>
      </c>
      <c r="BY147" s="5">
        <v>6.0</v>
      </c>
      <c r="BZ147" s="5">
        <v>1.0</v>
      </c>
      <c r="CA147" s="5">
        <v>13.0</v>
      </c>
      <c r="CB147" s="5">
        <v>1.0</v>
      </c>
      <c r="CC147" s="5">
        <v>14.0</v>
      </c>
      <c r="CD147" s="5">
        <v>1.0</v>
      </c>
      <c r="CE147" s="5">
        <v>27.0</v>
      </c>
      <c r="CF147" s="5">
        <v>1.0</v>
      </c>
      <c r="CG147" s="5">
        <v>5.0</v>
      </c>
      <c r="CH147" s="5">
        <v>1.0</v>
      </c>
      <c r="CI147" s="5">
        <v>7.0</v>
      </c>
      <c r="CJ147" s="5">
        <v>1.0</v>
      </c>
      <c r="CK147" s="5">
        <v>8.0</v>
      </c>
      <c r="CL147" s="5">
        <v>1.0</v>
      </c>
      <c r="CM147" s="5">
        <v>1.0</v>
      </c>
      <c r="CO147" s="59" t="s">
        <v>55</v>
      </c>
      <c r="CP147" s="12" t="b">
        <f t="shared" si="58"/>
        <v>0</v>
      </c>
    </row>
    <row r="148" ht="15.75" customHeight="1">
      <c r="C148" s="9">
        <f t="shared" si="122"/>
        <v>987</v>
      </c>
      <c r="D148" s="66" t="s">
        <v>61</v>
      </c>
      <c r="E148" s="67">
        <f t="shared" ref="E148:CM148" si="123">E146-E147</f>
        <v>0</v>
      </c>
      <c r="F148" s="67">
        <f t="shared" si="123"/>
        <v>1</v>
      </c>
      <c r="G148" s="67">
        <f t="shared" si="123"/>
        <v>1</v>
      </c>
      <c r="H148" s="67">
        <f t="shared" si="123"/>
        <v>0</v>
      </c>
      <c r="I148" s="67">
        <f t="shared" si="123"/>
        <v>0</v>
      </c>
      <c r="J148" s="67">
        <f t="shared" si="123"/>
        <v>0</v>
      </c>
      <c r="K148" s="67">
        <f t="shared" si="123"/>
        <v>1</v>
      </c>
      <c r="L148" s="67">
        <f t="shared" si="123"/>
        <v>1</v>
      </c>
      <c r="M148" s="67">
        <f t="shared" si="123"/>
        <v>0</v>
      </c>
      <c r="N148" s="67">
        <f t="shared" si="123"/>
        <v>1</v>
      </c>
      <c r="O148" s="67">
        <f t="shared" si="123"/>
        <v>5</v>
      </c>
      <c r="P148" s="67">
        <f t="shared" si="123"/>
        <v>2</v>
      </c>
      <c r="Q148" s="67">
        <f t="shared" si="123"/>
        <v>3</v>
      </c>
      <c r="R148" s="67">
        <f t="shared" si="123"/>
        <v>5</v>
      </c>
      <c r="S148" s="67">
        <f t="shared" si="123"/>
        <v>4</v>
      </c>
      <c r="T148" s="67">
        <f t="shared" si="123"/>
        <v>5</v>
      </c>
      <c r="U148" s="67">
        <f t="shared" si="123"/>
        <v>18</v>
      </c>
      <c r="V148" s="67">
        <f t="shared" si="123"/>
        <v>18</v>
      </c>
      <c r="W148" s="67">
        <f t="shared" si="123"/>
        <v>12</v>
      </c>
      <c r="X148" s="67">
        <f t="shared" si="123"/>
        <v>16</v>
      </c>
      <c r="Y148" s="67">
        <f t="shared" si="123"/>
        <v>12</v>
      </c>
      <c r="Z148" s="67">
        <f t="shared" si="123"/>
        <v>16</v>
      </c>
      <c r="AA148" s="67">
        <f t="shared" si="123"/>
        <v>20</v>
      </c>
      <c r="AB148" s="67">
        <f t="shared" si="123"/>
        <v>15</v>
      </c>
      <c r="AC148" s="67">
        <f t="shared" si="123"/>
        <v>10</v>
      </c>
      <c r="AD148" s="67">
        <f t="shared" si="123"/>
        <v>16</v>
      </c>
      <c r="AE148" s="67">
        <f t="shared" si="123"/>
        <v>15</v>
      </c>
      <c r="AF148" s="67">
        <f t="shared" si="123"/>
        <v>18</v>
      </c>
      <c r="AG148" s="67">
        <f t="shared" si="123"/>
        <v>26</v>
      </c>
      <c r="AH148" s="67">
        <f t="shared" si="123"/>
        <v>18</v>
      </c>
      <c r="AI148" s="67">
        <f t="shared" si="123"/>
        <v>16</v>
      </c>
      <c r="AJ148" s="67">
        <f t="shared" si="123"/>
        <v>20</v>
      </c>
      <c r="AK148" s="67">
        <f t="shared" si="123"/>
        <v>10</v>
      </c>
      <c r="AL148" s="67">
        <f t="shared" si="123"/>
        <v>21</v>
      </c>
      <c r="AM148" s="67">
        <f t="shared" si="123"/>
        <v>20</v>
      </c>
      <c r="AN148" s="67">
        <f t="shared" si="123"/>
        <v>13</v>
      </c>
      <c r="AO148" s="67">
        <f t="shared" si="123"/>
        <v>10</v>
      </c>
      <c r="AP148" s="67">
        <f t="shared" si="123"/>
        <v>13</v>
      </c>
      <c r="AQ148" s="67">
        <f t="shared" si="123"/>
        <v>13</v>
      </c>
      <c r="AR148" s="67">
        <f t="shared" si="123"/>
        <v>17</v>
      </c>
      <c r="AS148" s="67">
        <f t="shared" si="123"/>
        <v>21</v>
      </c>
      <c r="AT148" s="67">
        <f t="shared" si="123"/>
        <v>16</v>
      </c>
      <c r="AU148" s="67">
        <f t="shared" si="123"/>
        <v>15</v>
      </c>
      <c r="AV148" s="67">
        <f t="shared" si="123"/>
        <v>17</v>
      </c>
      <c r="AW148" s="67">
        <f t="shared" si="123"/>
        <v>27</v>
      </c>
      <c r="AX148" s="67">
        <f t="shared" si="123"/>
        <v>16</v>
      </c>
      <c r="AY148" s="67">
        <f t="shared" si="123"/>
        <v>32</v>
      </c>
      <c r="AZ148" s="67">
        <f t="shared" si="123"/>
        <v>26</v>
      </c>
      <c r="BA148" s="67">
        <f t="shared" si="123"/>
        <v>21</v>
      </c>
      <c r="BB148" s="67">
        <f t="shared" si="123"/>
        <v>29</v>
      </c>
      <c r="BC148" s="67">
        <f t="shared" si="123"/>
        <v>24</v>
      </c>
      <c r="BD148" s="67">
        <f t="shared" si="123"/>
        <v>28</v>
      </c>
      <c r="BE148" s="67">
        <f t="shared" si="123"/>
        <v>33</v>
      </c>
      <c r="BF148" s="67">
        <f t="shared" si="123"/>
        <v>30</v>
      </c>
      <c r="BG148" s="67">
        <f t="shared" si="123"/>
        <v>23</v>
      </c>
      <c r="BH148" s="67">
        <f t="shared" si="123"/>
        <v>31</v>
      </c>
      <c r="BI148" s="67">
        <f t="shared" si="123"/>
        <v>32</v>
      </c>
      <c r="BJ148" s="67">
        <f t="shared" si="123"/>
        <v>33</v>
      </c>
      <c r="BK148" s="67">
        <f t="shared" si="123"/>
        <v>48</v>
      </c>
      <c r="BL148" s="67">
        <f t="shared" si="123"/>
        <v>29</v>
      </c>
      <c r="BM148" s="67">
        <f t="shared" si="123"/>
        <v>33</v>
      </c>
      <c r="BN148" s="67">
        <f t="shared" si="123"/>
        <v>30</v>
      </c>
      <c r="BO148" s="67">
        <f t="shared" si="123"/>
        <v>46</v>
      </c>
      <c r="BP148" s="67">
        <f t="shared" si="123"/>
        <v>32</v>
      </c>
      <c r="BQ148" s="67">
        <f t="shared" si="123"/>
        <v>35</v>
      </c>
      <c r="BR148" s="67">
        <f t="shared" si="123"/>
        <v>34</v>
      </c>
      <c r="BS148" s="67">
        <f t="shared" si="123"/>
        <v>33</v>
      </c>
      <c r="BT148" s="67">
        <f t="shared" si="123"/>
        <v>32</v>
      </c>
      <c r="BU148" s="67">
        <f t="shared" si="123"/>
        <v>48</v>
      </c>
      <c r="BV148" s="67">
        <f t="shared" si="123"/>
        <v>34</v>
      </c>
      <c r="BW148" s="67">
        <f t="shared" si="123"/>
        <v>46</v>
      </c>
      <c r="BX148" s="67">
        <f t="shared" si="123"/>
        <v>34</v>
      </c>
      <c r="BY148" s="67">
        <f t="shared" si="123"/>
        <v>36</v>
      </c>
      <c r="BZ148" s="67">
        <f t="shared" si="123"/>
        <v>36</v>
      </c>
      <c r="CA148" s="67">
        <f t="shared" si="123"/>
        <v>36</v>
      </c>
      <c r="CB148" s="67">
        <f t="shared" si="123"/>
        <v>38</v>
      </c>
      <c r="CC148" s="67">
        <f t="shared" si="123"/>
        <v>36</v>
      </c>
      <c r="CD148" s="67">
        <f t="shared" si="123"/>
        <v>36</v>
      </c>
      <c r="CE148" s="67">
        <f t="shared" si="123"/>
        <v>35</v>
      </c>
      <c r="CF148" s="67">
        <f t="shared" si="123"/>
        <v>37</v>
      </c>
      <c r="CG148" s="67">
        <f t="shared" si="123"/>
        <v>41</v>
      </c>
      <c r="CH148" s="67">
        <f t="shared" si="123"/>
        <v>38</v>
      </c>
      <c r="CI148" s="67">
        <f t="shared" si="123"/>
        <v>49</v>
      </c>
      <c r="CJ148" s="67">
        <f t="shared" si="123"/>
        <v>39</v>
      </c>
      <c r="CK148" s="67">
        <f t="shared" si="123"/>
        <v>26</v>
      </c>
      <c r="CL148" s="67">
        <f t="shared" si="123"/>
        <v>40</v>
      </c>
      <c r="CM148" s="67">
        <f t="shared" si="123"/>
        <v>42</v>
      </c>
      <c r="CO148" s="59" t="s">
        <v>56</v>
      </c>
      <c r="CP148" s="12" t="b">
        <f t="shared" si="58"/>
        <v>0</v>
      </c>
    </row>
    <row r="149" ht="15.75" customHeight="1">
      <c r="C149" s="9">
        <f t="shared" si="122"/>
        <v>15001</v>
      </c>
      <c r="D149" s="66" t="s">
        <v>62</v>
      </c>
      <c r="E149" s="67">
        <f t="shared" ref="E149:CM149" si="124">E148+E145</f>
        <v>0</v>
      </c>
      <c r="F149" s="67">
        <f t="shared" si="124"/>
        <v>1</v>
      </c>
      <c r="G149" s="67">
        <f t="shared" si="124"/>
        <v>2</v>
      </c>
      <c r="H149" s="67">
        <f t="shared" si="124"/>
        <v>2</v>
      </c>
      <c r="I149" s="67">
        <f t="shared" si="124"/>
        <v>2</v>
      </c>
      <c r="J149" s="67">
        <f t="shared" si="124"/>
        <v>2</v>
      </c>
      <c r="K149" s="67">
        <f t="shared" si="124"/>
        <v>3</v>
      </c>
      <c r="L149" s="67">
        <f t="shared" si="124"/>
        <v>4</v>
      </c>
      <c r="M149" s="67">
        <f t="shared" si="124"/>
        <v>4</v>
      </c>
      <c r="N149" s="67">
        <f t="shared" si="124"/>
        <v>5</v>
      </c>
      <c r="O149" s="67">
        <f t="shared" si="124"/>
        <v>10</v>
      </c>
      <c r="P149" s="67">
        <f t="shared" si="124"/>
        <v>12</v>
      </c>
      <c r="Q149" s="67">
        <f t="shared" si="124"/>
        <v>15</v>
      </c>
      <c r="R149" s="67">
        <f t="shared" si="124"/>
        <v>20</v>
      </c>
      <c r="S149" s="67">
        <f t="shared" si="124"/>
        <v>24</v>
      </c>
      <c r="T149" s="67">
        <f t="shared" si="124"/>
        <v>29</v>
      </c>
      <c r="U149" s="67">
        <f t="shared" si="124"/>
        <v>47</v>
      </c>
      <c r="V149" s="67">
        <f t="shared" si="124"/>
        <v>65</v>
      </c>
      <c r="W149" s="67">
        <f t="shared" si="124"/>
        <v>59</v>
      </c>
      <c r="X149" s="67">
        <f t="shared" si="124"/>
        <v>81</v>
      </c>
      <c r="Y149" s="67">
        <f t="shared" si="124"/>
        <v>71</v>
      </c>
      <c r="Z149" s="67">
        <f t="shared" si="124"/>
        <v>97</v>
      </c>
      <c r="AA149" s="67">
        <f t="shared" si="124"/>
        <v>91</v>
      </c>
      <c r="AB149" s="67">
        <f t="shared" si="124"/>
        <v>112</v>
      </c>
      <c r="AC149" s="67">
        <f t="shared" si="124"/>
        <v>101</v>
      </c>
      <c r="AD149" s="67">
        <f t="shared" si="124"/>
        <v>128</v>
      </c>
      <c r="AE149" s="67">
        <f t="shared" si="124"/>
        <v>116</v>
      </c>
      <c r="AF149" s="67">
        <f t="shared" si="124"/>
        <v>146</v>
      </c>
      <c r="AG149" s="67">
        <f t="shared" si="124"/>
        <v>142</v>
      </c>
      <c r="AH149" s="67">
        <f t="shared" si="124"/>
        <v>164</v>
      </c>
      <c r="AI149" s="67">
        <f t="shared" si="124"/>
        <v>158</v>
      </c>
      <c r="AJ149" s="67">
        <f t="shared" si="124"/>
        <v>184</v>
      </c>
      <c r="AK149" s="67">
        <f t="shared" si="124"/>
        <v>168</v>
      </c>
      <c r="AL149" s="67">
        <f t="shared" si="124"/>
        <v>205</v>
      </c>
      <c r="AM149" s="67">
        <f t="shared" si="124"/>
        <v>188</v>
      </c>
      <c r="AN149" s="67">
        <f t="shared" si="124"/>
        <v>217</v>
      </c>
      <c r="AO149" s="67">
        <f t="shared" si="124"/>
        <v>198</v>
      </c>
      <c r="AP149" s="67">
        <f t="shared" si="124"/>
        <v>230</v>
      </c>
      <c r="AQ149" s="67">
        <f t="shared" si="124"/>
        <v>211</v>
      </c>
      <c r="AR149" s="67">
        <f t="shared" si="124"/>
        <v>247</v>
      </c>
      <c r="AS149" s="67">
        <f t="shared" si="124"/>
        <v>232</v>
      </c>
      <c r="AT149" s="67">
        <f t="shared" si="124"/>
        <v>263</v>
      </c>
      <c r="AU149" s="67">
        <f t="shared" si="124"/>
        <v>247</v>
      </c>
      <c r="AV149" s="67">
        <f t="shared" si="124"/>
        <v>280</v>
      </c>
      <c r="AW149" s="67">
        <f t="shared" si="124"/>
        <v>274</v>
      </c>
      <c r="AX149" s="67">
        <f t="shared" si="124"/>
        <v>296</v>
      </c>
      <c r="AY149" s="67">
        <f t="shared" si="124"/>
        <v>306</v>
      </c>
      <c r="AZ149" s="67">
        <f t="shared" si="124"/>
        <v>322</v>
      </c>
      <c r="BA149" s="67">
        <f t="shared" si="124"/>
        <v>327</v>
      </c>
      <c r="BB149" s="67">
        <f t="shared" si="124"/>
        <v>351</v>
      </c>
      <c r="BC149" s="67">
        <f t="shared" si="124"/>
        <v>351</v>
      </c>
      <c r="BD149" s="67">
        <f t="shared" si="124"/>
        <v>379</v>
      </c>
      <c r="BE149" s="67">
        <f t="shared" si="124"/>
        <v>384</v>
      </c>
      <c r="BF149" s="67">
        <f t="shared" si="124"/>
        <v>409</v>
      </c>
      <c r="BG149" s="67">
        <f t="shared" si="124"/>
        <v>407</v>
      </c>
      <c r="BH149" s="67">
        <f t="shared" si="124"/>
        <v>440</v>
      </c>
      <c r="BI149" s="67">
        <f t="shared" si="124"/>
        <v>439</v>
      </c>
      <c r="BJ149" s="67">
        <f t="shared" si="124"/>
        <v>473</v>
      </c>
      <c r="BK149" s="67">
        <f t="shared" si="124"/>
        <v>487</v>
      </c>
      <c r="BL149" s="67">
        <f t="shared" si="124"/>
        <v>478.54</v>
      </c>
      <c r="BM149" s="67">
        <f t="shared" si="124"/>
        <v>520</v>
      </c>
      <c r="BN149" s="67">
        <f t="shared" si="124"/>
        <v>508.54</v>
      </c>
      <c r="BO149" s="67">
        <f t="shared" si="124"/>
        <v>566</v>
      </c>
      <c r="BP149" s="67">
        <f t="shared" si="124"/>
        <v>540.54</v>
      </c>
      <c r="BQ149" s="67">
        <f t="shared" si="124"/>
        <v>601</v>
      </c>
      <c r="BR149" s="67">
        <f t="shared" si="124"/>
        <v>574.54</v>
      </c>
      <c r="BS149" s="67">
        <f t="shared" si="124"/>
        <v>634</v>
      </c>
      <c r="BT149" s="67">
        <f t="shared" si="124"/>
        <v>606.54</v>
      </c>
      <c r="BU149" s="67">
        <f t="shared" si="124"/>
        <v>682</v>
      </c>
      <c r="BV149" s="67">
        <f t="shared" si="124"/>
        <v>640.54</v>
      </c>
      <c r="BW149" s="67">
        <f t="shared" si="124"/>
        <v>728</v>
      </c>
      <c r="BX149" s="67">
        <f t="shared" si="124"/>
        <v>674.54</v>
      </c>
      <c r="BY149" s="67">
        <f t="shared" si="124"/>
        <v>764</v>
      </c>
      <c r="BZ149" s="67">
        <f t="shared" si="124"/>
        <v>710.54</v>
      </c>
      <c r="CA149" s="67">
        <f t="shared" si="124"/>
        <v>800</v>
      </c>
      <c r="CB149" s="67">
        <f t="shared" si="124"/>
        <v>748.54</v>
      </c>
      <c r="CC149" s="67">
        <f t="shared" si="124"/>
        <v>836</v>
      </c>
      <c r="CD149" s="67">
        <f t="shared" si="124"/>
        <v>784.54</v>
      </c>
      <c r="CE149" s="67">
        <f t="shared" si="124"/>
        <v>871</v>
      </c>
      <c r="CF149" s="67">
        <f t="shared" si="124"/>
        <v>821.54</v>
      </c>
      <c r="CG149" s="67">
        <f t="shared" si="124"/>
        <v>912</v>
      </c>
      <c r="CH149" s="67">
        <f t="shared" si="124"/>
        <v>859.54</v>
      </c>
      <c r="CI149" s="67">
        <f t="shared" si="124"/>
        <v>961</v>
      </c>
      <c r="CJ149" s="67">
        <f t="shared" si="124"/>
        <v>898.54</v>
      </c>
      <c r="CK149" s="67">
        <f t="shared" si="124"/>
        <v>987</v>
      </c>
      <c r="CL149" s="67">
        <f t="shared" si="124"/>
        <v>938.54</v>
      </c>
      <c r="CM149" s="67">
        <f t="shared" si="124"/>
        <v>980.54</v>
      </c>
      <c r="CO149" s="5"/>
      <c r="CP149" s="12" t="b">
        <f t="shared" si="58"/>
        <v>0</v>
      </c>
    </row>
    <row r="150" ht="15.75" customHeight="1">
      <c r="C150" s="9">
        <f t="shared" si="122"/>
        <v>166</v>
      </c>
      <c r="D150" s="25" t="s">
        <v>13</v>
      </c>
      <c r="E150" s="68">
        <f t="shared" ref="E150:CM150" si="125">E147</f>
        <v>0</v>
      </c>
      <c r="F150" s="68">
        <f t="shared" si="125"/>
        <v>0</v>
      </c>
      <c r="G150" s="68">
        <f t="shared" si="125"/>
        <v>0</v>
      </c>
      <c r="H150" s="68">
        <f t="shared" si="125"/>
        <v>0</v>
      </c>
      <c r="I150" s="68">
        <f t="shared" si="125"/>
        <v>0</v>
      </c>
      <c r="J150" s="68">
        <f t="shared" si="125"/>
        <v>0</v>
      </c>
      <c r="K150" s="68">
        <f t="shared" si="125"/>
        <v>0</v>
      </c>
      <c r="L150" s="68">
        <f t="shared" si="125"/>
        <v>0</v>
      </c>
      <c r="M150" s="68">
        <f t="shared" si="125"/>
        <v>0</v>
      </c>
      <c r="N150" s="68">
        <f t="shared" si="125"/>
        <v>0</v>
      </c>
      <c r="O150" s="68">
        <f t="shared" si="125"/>
        <v>0</v>
      </c>
      <c r="P150" s="68">
        <f t="shared" si="125"/>
        <v>0</v>
      </c>
      <c r="Q150" s="68">
        <f t="shared" si="125"/>
        <v>0</v>
      </c>
      <c r="R150" s="68">
        <f t="shared" si="125"/>
        <v>0</v>
      </c>
      <c r="S150" s="68">
        <f t="shared" si="125"/>
        <v>0</v>
      </c>
      <c r="T150" s="68">
        <f t="shared" si="125"/>
        <v>0</v>
      </c>
      <c r="U150" s="68">
        <f t="shared" si="125"/>
        <v>0</v>
      </c>
      <c r="V150" s="68">
        <f t="shared" si="125"/>
        <v>0</v>
      </c>
      <c r="W150" s="68">
        <f t="shared" si="125"/>
        <v>0</v>
      </c>
      <c r="X150" s="68">
        <f t="shared" si="125"/>
        <v>0</v>
      </c>
      <c r="Y150" s="68">
        <f t="shared" si="125"/>
        <v>0</v>
      </c>
      <c r="Z150" s="68">
        <f t="shared" si="125"/>
        <v>0</v>
      </c>
      <c r="AA150" s="68">
        <f t="shared" si="125"/>
        <v>1</v>
      </c>
      <c r="AB150" s="68">
        <f t="shared" si="125"/>
        <v>0</v>
      </c>
      <c r="AC150" s="68">
        <f t="shared" si="125"/>
        <v>0</v>
      </c>
      <c r="AD150" s="68">
        <f t="shared" si="125"/>
        <v>0</v>
      </c>
      <c r="AE150" s="68">
        <f t="shared" si="125"/>
        <v>0</v>
      </c>
      <c r="AF150" s="68">
        <f t="shared" si="125"/>
        <v>0</v>
      </c>
      <c r="AG150" s="68">
        <f t="shared" si="125"/>
        <v>1</v>
      </c>
      <c r="AH150" s="68">
        <f t="shared" si="125"/>
        <v>0</v>
      </c>
      <c r="AI150" s="68">
        <f t="shared" si="125"/>
        <v>1</v>
      </c>
      <c r="AJ150" s="68">
        <f t="shared" si="125"/>
        <v>0</v>
      </c>
      <c r="AK150" s="68">
        <f t="shared" si="125"/>
        <v>4</v>
      </c>
      <c r="AL150" s="68">
        <f t="shared" si="125"/>
        <v>0</v>
      </c>
      <c r="AM150" s="68">
        <f t="shared" si="125"/>
        <v>2</v>
      </c>
      <c r="AN150" s="68">
        <f t="shared" si="125"/>
        <v>1</v>
      </c>
      <c r="AO150" s="68">
        <f t="shared" si="125"/>
        <v>0</v>
      </c>
      <c r="AP150" s="68">
        <f t="shared" si="125"/>
        <v>1</v>
      </c>
      <c r="AQ150" s="68">
        <f t="shared" si="125"/>
        <v>3</v>
      </c>
      <c r="AR150" s="68">
        <f t="shared" si="125"/>
        <v>1</v>
      </c>
      <c r="AS150" s="68">
        <f t="shared" si="125"/>
        <v>3</v>
      </c>
      <c r="AT150" s="68">
        <f t="shared" si="125"/>
        <v>1</v>
      </c>
      <c r="AU150" s="68">
        <f t="shared" si="125"/>
        <v>2</v>
      </c>
      <c r="AV150" s="68">
        <f t="shared" si="125"/>
        <v>1</v>
      </c>
      <c r="AW150" s="68">
        <f t="shared" si="125"/>
        <v>1</v>
      </c>
      <c r="AX150" s="68">
        <f t="shared" si="125"/>
        <v>1</v>
      </c>
      <c r="AY150" s="68">
        <f t="shared" si="125"/>
        <v>0</v>
      </c>
      <c r="AZ150" s="68">
        <f t="shared" si="125"/>
        <v>1</v>
      </c>
      <c r="BA150" s="68">
        <f t="shared" si="125"/>
        <v>2</v>
      </c>
      <c r="BB150" s="68">
        <f t="shared" si="125"/>
        <v>1</v>
      </c>
      <c r="BC150" s="68">
        <f t="shared" si="125"/>
        <v>4</v>
      </c>
      <c r="BD150" s="68">
        <f t="shared" si="125"/>
        <v>1</v>
      </c>
      <c r="BE150" s="68">
        <f t="shared" si="125"/>
        <v>1</v>
      </c>
      <c r="BF150" s="68">
        <f t="shared" si="125"/>
        <v>1</v>
      </c>
      <c r="BG150" s="68">
        <f t="shared" si="125"/>
        <v>2</v>
      </c>
      <c r="BH150" s="68">
        <f t="shared" si="125"/>
        <v>1</v>
      </c>
      <c r="BI150" s="68">
        <f t="shared" si="125"/>
        <v>6</v>
      </c>
      <c r="BJ150" s="68">
        <f t="shared" si="125"/>
        <v>1</v>
      </c>
      <c r="BK150" s="68">
        <f t="shared" si="125"/>
        <v>6</v>
      </c>
      <c r="BL150" s="68">
        <f t="shared" si="125"/>
        <v>1</v>
      </c>
      <c r="BM150" s="68">
        <f t="shared" si="125"/>
        <v>2</v>
      </c>
      <c r="BN150" s="68">
        <f t="shared" si="125"/>
        <v>1</v>
      </c>
      <c r="BO150" s="68">
        <f t="shared" si="125"/>
        <v>10</v>
      </c>
      <c r="BP150" s="68">
        <f t="shared" si="125"/>
        <v>1</v>
      </c>
      <c r="BQ150" s="68">
        <f t="shared" si="125"/>
        <v>18</v>
      </c>
      <c r="BR150" s="68">
        <f t="shared" si="125"/>
        <v>1</v>
      </c>
      <c r="BS150" s="68">
        <f t="shared" si="125"/>
        <v>7</v>
      </c>
      <c r="BT150" s="68">
        <f t="shared" si="125"/>
        <v>1</v>
      </c>
      <c r="BU150" s="68">
        <f t="shared" si="125"/>
        <v>1</v>
      </c>
      <c r="BV150" s="68">
        <f t="shared" si="125"/>
        <v>1</v>
      </c>
      <c r="BW150" s="68">
        <f t="shared" si="125"/>
        <v>9</v>
      </c>
      <c r="BX150" s="68">
        <f t="shared" si="125"/>
        <v>1</v>
      </c>
      <c r="BY150" s="68">
        <f t="shared" si="125"/>
        <v>6</v>
      </c>
      <c r="BZ150" s="68">
        <f t="shared" si="125"/>
        <v>1</v>
      </c>
      <c r="CA150" s="68">
        <f t="shared" si="125"/>
        <v>13</v>
      </c>
      <c r="CB150" s="68">
        <f t="shared" si="125"/>
        <v>1</v>
      </c>
      <c r="CC150" s="68">
        <f t="shared" si="125"/>
        <v>14</v>
      </c>
      <c r="CD150" s="68">
        <f t="shared" si="125"/>
        <v>1</v>
      </c>
      <c r="CE150" s="68">
        <f t="shared" si="125"/>
        <v>27</v>
      </c>
      <c r="CF150" s="68">
        <f t="shared" si="125"/>
        <v>1</v>
      </c>
      <c r="CG150" s="68">
        <f t="shared" si="125"/>
        <v>5</v>
      </c>
      <c r="CH150" s="68">
        <f t="shared" si="125"/>
        <v>1</v>
      </c>
      <c r="CI150" s="68">
        <f t="shared" si="125"/>
        <v>7</v>
      </c>
      <c r="CJ150" s="68">
        <f t="shared" si="125"/>
        <v>1</v>
      </c>
      <c r="CK150" s="68">
        <f t="shared" si="125"/>
        <v>8</v>
      </c>
      <c r="CL150" s="68">
        <f t="shared" si="125"/>
        <v>1</v>
      </c>
      <c r="CM150" s="68">
        <f t="shared" si="125"/>
        <v>1</v>
      </c>
      <c r="CO150" s="5" t="s">
        <v>58</v>
      </c>
      <c r="CP150" s="12" t="b">
        <f t="shared" si="58"/>
        <v>0</v>
      </c>
    </row>
    <row r="151" ht="15.75" customHeight="1"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O151" s="5" t="s">
        <v>59</v>
      </c>
      <c r="CP151" s="12" t="b">
        <f t="shared" si="58"/>
        <v>0</v>
      </c>
    </row>
    <row r="152" ht="15.75" customHeight="1">
      <c r="C152" s="41" t="s">
        <v>7</v>
      </c>
      <c r="D152" s="5" t="s">
        <v>58</v>
      </c>
      <c r="E152" s="5">
        <v>0.0</v>
      </c>
      <c r="F152" s="33">
        <f t="shared" ref="F152:V152" si="126">E156</f>
        <v>3</v>
      </c>
      <c r="G152" s="33">
        <f t="shared" si="126"/>
        <v>6</v>
      </c>
      <c r="H152" s="33">
        <f t="shared" si="126"/>
        <v>13</v>
      </c>
      <c r="I152" s="33">
        <f t="shared" si="126"/>
        <v>18</v>
      </c>
      <c r="J152" s="33">
        <f t="shared" si="126"/>
        <v>22</v>
      </c>
      <c r="K152" s="33">
        <f t="shared" si="126"/>
        <v>33</v>
      </c>
      <c r="L152" s="33">
        <f t="shared" si="126"/>
        <v>42</v>
      </c>
      <c r="M152" s="33">
        <f t="shared" si="126"/>
        <v>49</v>
      </c>
      <c r="N152" s="33">
        <f t="shared" si="126"/>
        <v>59</v>
      </c>
      <c r="O152" s="33">
        <f t="shared" si="126"/>
        <v>77</v>
      </c>
      <c r="P152" s="33">
        <f t="shared" si="126"/>
        <v>98</v>
      </c>
      <c r="Q152" s="33">
        <f t="shared" si="126"/>
        <v>121</v>
      </c>
      <c r="R152" s="33">
        <f t="shared" si="126"/>
        <v>140</v>
      </c>
      <c r="S152" s="33">
        <f t="shared" si="126"/>
        <v>160</v>
      </c>
      <c r="T152" s="33">
        <f t="shared" si="126"/>
        <v>181</v>
      </c>
      <c r="U152" s="33">
        <f t="shared" si="126"/>
        <v>208</v>
      </c>
      <c r="V152" s="33">
        <f t="shared" si="126"/>
        <v>254</v>
      </c>
      <c r="W152" s="33">
        <f t="shared" ref="W152:AM152" si="127">U156</f>
        <v>254</v>
      </c>
      <c r="X152" s="33">
        <f t="shared" si="127"/>
        <v>288</v>
      </c>
      <c r="Y152" s="33">
        <f t="shared" si="127"/>
        <v>276</v>
      </c>
      <c r="Z152" s="33">
        <f t="shared" si="127"/>
        <v>322</v>
      </c>
      <c r="AA152" s="33">
        <f t="shared" si="127"/>
        <v>304</v>
      </c>
      <c r="AB152" s="33">
        <f t="shared" si="127"/>
        <v>357</v>
      </c>
      <c r="AC152" s="33">
        <f t="shared" si="127"/>
        <v>328</v>
      </c>
      <c r="AD152" s="33">
        <f t="shared" si="127"/>
        <v>391</v>
      </c>
      <c r="AE152" s="33">
        <f t="shared" si="127"/>
        <v>353</v>
      </c>
      <c r="AF152" s="33">
        <f t="shared" si="127"/>
        <v>425</v>
      </c>
      <c r="AG152" s="33">
        <f t="shared" si="127"/>
        <v>388</v>
      </c>
      <c r="AH152" s="33">
        <f t="shared" si="127"/>
        <v>459</v>
      </c>
      <c r="AI152" s="33">
        <f t="shared" si="127"/>
        <v>411</v>
      </c>
      <c r="AJ152" s="33">
        <f t="shared" si="127"/>
        <v>493</v>
      </c>
      <c r="AK152" s="33">
        <f t="shared" si="127"/>
        <v>421</v>
      </c>
      <c r="AL152" s="33">
        <f t="shared" si="127"/>
        <v>526</v>
      </c>
      <c r="AM152" s="33">
        <f t="shared" si="127"/>
        <v>436</v>
      </c>
      <c r="AN152" s="33">
        <v>574.0</v>
      </c>
      <c r="AO152" s="33">
        <f t="shared" ref="AO152:BK152" si="128">AM156</f>
        <v>451</v>
      </c>
      <c r="AP152" s="33">
        <f t="shared" si="128"/>
        <v>592</v>
      </c>
      <c r="AQ152" s="33">
        <f t="shared" si="128"/>
        <v>471</v>
      </c>
      <c r="AR152" s="33">
        <f t="shared" si="128"/>
        <v>610</v>
      </c>
      <c r="AS152" s="33">
        <f t="shared" si="128"/>
        <v>480</v>
      </c>
      <c r="AT152" s="33">
        <f t="shared" si="128"/>
        <v>628</v>
      </c>
      <c r="AU152" s="33">
        <f t="shared" si="128"/>
        <v>498</v>
      </c>
      <c r="AV152" s="33">
        <f t="shared" si="128"/>
        <v>648</v>
      </c>
      <c r="AW152" s="33">
        <f t="shared" si="128"/>
        <v>524</v>
      </c>
      <c r="AX152" s="33">
        <f t="shared" si="128"/>
        <v>670</v>
      </c>
      <c r="AY152" s="33">
        <f t="shared" si="128"/>
        <v>545</v>
      </c>
      <c r="AZ152" s="33">
        <f t="shared" si="128"/>
        <v>693</v>
      </c>
      <c r="BA152" s="33">
        <f t="shared" si="128"/>
        <v>580</v>
      </c>
      <c r="BB152" s="33">
        <f t="shared" si="128"/>
        <v>717</v>
      </c>
      <c r="BC152" s="33">
        <f t="shared" si="128"/>
        <v>603</v>
      </c>
      <c r="BD152" s="33">
        <f t="shared" si="128"/>
        <v>741</v>
      </c>
      <c r="BE152" s="33">
        <f t="shared" si="128"/>
        <v>615</v>
      </c>
      <c r="BF152" s="33">
        <f t="shared" si="128"/>
        <v>766</v>
      </c>
      <c r="BG152" s="33">
        <f t="shared" si="128"/>
        <v>648</v>
      </c>
      <c r="BH152" s="33">
        <f t="shared" si="128"/>
        <v>793</v>
      </c>
      <c r="BI152" s="33">
        <f t="shared" si="128"/>
        <v>660</v>
      </c>
      <c r="BJ152" s="33">
        <f t="shared" si="128"/>
        <v>821</v>
      </c>
      <c r="BK152" s="33">
        <f t="shared" si="128"/>
        <v>677</v>
      </c>
      <c r="BL152" s="33">
        <v>862.58</v>
      </c>
      <c r="BM152" s="33">
        <f t="shared" ref="BM152:CL152" si="129">BK156</f>
        <v>718</v>
      </c>
      <c r="BN152" s="33">
        <f t="shared" si="129"/>
        <v>895.58</v>
      </c>
      <c r="BO152" s="33">
        <f t="shared" si="129"/>
        <v>737</v>
      </c>
      <c r="BP152" s="33">
        <f t="shared" si="129"/>
        <v>929.58</v>
      </c>
      <c r="BQ152" s="33">
        <f t="shared" si="129"/>
        <v>751</v>
      </c>
      <c r="BR152" s="33">
        <f t="shared" si="129"/>
        <v>964.58</v>
      </c>
      <c r="BS152" s="33">
        <f t="shared" si="129"/>
        <v>763</v>
      </c>
      <c r="BT152" s="33">
        <f t="shared" si="129"/>
        <v>999.58</v>
      </c>
      <c r="BU152" s="33">
        <f t="shared" si="129"/>
        <v>785</v>
      </c>
      <c r="BV152" s="33">
        <f t="shared" si="129"/>
        <v>1032.58</v>
      </c>
      <c r="BW152" s="33">
        <f t="shared" si="129"/>
        <v>818</v>
      </c>
      <c r="BX152" s="33">
        <f t="shared" si="129"/>
        <v>1055.58</v>
      </c>
      <c r="BY152" s="33">
        <f t="shared" si="129"/>
        <v>850</v>
      </c>
      <c r="BZ152" s="33">
        <f t="shared" si="129"/>
        <v>1078.58</v>
      </c>
      <c r="CA152" s="33">
        <f t="shared" si="129"/>
        <v>872</v>
      </c>
      <c r="CB152" s="33">
        <f t="shared" si="129"/>
        <v>1100.58</v>
      </c>
      <c r="CC152" s="33">
        <f t="shared" si="129"/>
        <v>898</v>
      </c>
      <c r="CD152" s="33">
        <f t="shared" si="129"/>
        <v>1122.58</v>
      </c>
      <c r="CE152" s="33">
        <f t="shared" si="129"/>
        <v>935</v>
      </c>
      <c r="CF152" s="33">
        <f t="shared" si="129"/>
        <v>1141.58</v>
      </c>
      <c r="CG152" s="33">
        <f t="shared" si="129"/>
        <v>958</v>
      </c>
      <c r="CH152" s="33">
        <f t="shared" si="129"/>
        <v>1162.58</v>
      </c>
      <c r="CI152" s="33">
        <f t="shared" si="129"/>
        <v>987</v>
      </c>
      <c r="CJ152" s="33">
        <f t="shared" si="129"/>
        <v>1184.58</v>
      </c>
      <c r="CK152" s="33">
        <f t="shared" si="129"/>
        <v>1025</v>
      </c>
      <c r="CL152" s="33">
        <f t="shared" si="129"/>
        <v>1205.58</v>
      </c>
      <c r="CM152" s="33">
        <f>CL156</f>
        <v>1227.58</v>
      </c>
      <c r="CO152" s="5" t="s">
        <v>60</v>
      </c>
      <c r="CP152" s="12" t="b">
        <f t="shared" si="58"/>
        <v>0</v>
      </c>
    </row>
    <row r="153" ht="15.75" customHeight="1">
      <c r="C153" s="9">
        <f t="shared" ref="C153:C157" si="131">SUM(E153:U153)+W153+Y153+AA153+AC153+AE153+AG153+AI153+AK153+AM153+AO153+AQ153+AS153+AU153+AW153+AY153+BA153+BC153+BE153+BG153+BI153+BK153+BM153+BO153+BQ153+BS153+BU153+BW153+BY153+CA153+CC153+CE153+CG153+CI153+CK153</f>
        <v>1389</v>
      </c>
      <c r="D153" s="5" t="s">
        <v>59</v>
      </c>
      <c r="E153" s="33">
        <f t="shared" ref="E153:CM153" si="130">E59</f>
        <v>3</v>
      </c>
      <c r="F153" s="33">
        <f t="shared" si="130"/>
        <v>3</v>
      </c>
      <c r="G153" s="33">
        <f t="shared" si="130"/>
        <v>7</v>
      </c>
      <c r="H153" s="33">
        <f t="shared" si="130"/>
        <v>5</v>
      </c>
      <c r="I153" s="33">
        <f t="shared" si="130"/>
        <v>4</v>
      </c>
      <c r="J153" s="33">
        <f t="shared" si="130"/>
        <v>11</v>
      </c>
      <c r="K153" s="33">
        <f t="shared" si="130"/>
        <v>9</v>
      </c>
      <c r="L153" s="33">
        <f t="shared" si="130"/>
        <v>7</v>
      </c>
      <c r="M153" s="33">
        <f t="shared" si="130"/>
        <v>10</v>
      </c>
      <c r="N153" s="33">
        <f t="shared" si="130"/>
        <v>18</v>
      </c>
      <c r="O153" s="33">
        <f t="shared" si="130"/>
        <v>21</v>
      </c>
      <c r="P153" s="33">
        <f t="shared" si="130"/>
        <v>23</v>
      </c>
      <c r="Q153" s="33">
        <f t="shared" si="130"/>
        <v>20</v>
      </c>
      <c r="R153" s="33">
        <f t="shared" si="130"/>
        <v>22</v>
      </c>
      <c r="S153" s="33">
        <f t="shared" si="130"/>
        <v>22</v>
      </c>
      <c r="T153" s="33">
        <f t="shared" si="130"/>
        <v>28</v>
      </c>
      <c r="U153" s="33">
        <f t="shared" si="130"/>
        <v>47</v>
      </c>
      <c r="V153" s="33">
        <f t="shared" si="130"/>
        <v>34</v>
      </c>
      <c r="W153" s="33">
        <f t="shared" si="130"/>
        <v>27</v>
      </c>
      <c r="X153" s="33">
        <f t="shared" si="130"/>
        <v>34</v>
      </c>
      <c r="Y153" s="33">
        <f t="shared" si="130"/>
        <v>30</v>
      </c>
      <c r="Z153" s="33">
        <f t="shared" si="130"/>
        <v>35</v>
      </c>
      <c r="AA153" s="33">
        <f t="shared" si="130"/>
        <v>25</v>
      </c>
      <c r="AB153" s="33">
        <f t="shared" si="130"/>
        <v>34</v>
      </c>
      <c r="AC153" s="33">
        <f t="shared" si="130"/>
        <v>31</v>
      </c>
      <c r="AD153" s="33">
        <f t="shared" si="130"/>
        <v>34</v>
      </c>
      <c r="AE153" s="33">
        <f t="shared" si="130"/>
        <v>37</v>
      </c>
      <c r="AF153" s="33">
        <f t="shared" si="130"/>
        <v>34</v>
      </c>
      <c r="AG153" s="33">
        <f t="shared" si="130"/>
        <v>27</v>
      </c>
      <c r="AH153" s="33">
        <f t="shared" si="130"/>
        <v>34</v>
      </c>
      <c r="AI153" s="33">
        <f t="shared" si="130"/>
        <v>17</v>
      </c>
      <c r="AJ153" s="33">
        <f t="shared" si="130"/>
        <v>33</v>
      </c>
      <c r="AK153" s="33">
        <f t="shared" si="130"/>
        <v>26</v>
      </c>
      <c r="AL153" s="33">
        <f t="shared" si="130"/>
        <v>33</v>
      </c>
      <c r="AM153" s="33">
        <f t="shared" si="130"/>
        <v>27</v>
      </c>
      <c r="AN153" s="33">
        <f t="shared" si="130"/>
        <v>19</v>
      </c>
      <c r="AO153" s="33">
        <f t="shared" si="130"/>
        <v>28</v>
      </c>
      <c r="AP153" s="33">
        <f t="shared" si="130"/>
        <v>19</v>
      </c>
      <c r="AQ153" s="33">
        <f t="shared" si="130"/>
        <v>22</v>
      </c>
      <c r="AR153" s="33">
        <f t="shared" si="130"/>
        <v>19</v>
      </c>
      <c r="AS153" s="33">
        <f t="shared" si="130"/>
        <v>32</v>
      </c>
      <c r="AT153" s="33">
        <f t="shared" si="130"/>
        <v>21</v>
      </c>
      <c r="AU153" s="33">
        <f t="shared" si="130"/>
        <v>30</v>
      </c>
      <c r="AV153" s="33">
        <f t="shared" si="130"/>
        <v>23</v>
      </c>
      <c r="AW153" s="33">
        <f t="shared" si="130"/>
        <v>27</v>
      </c>
      <c r="AX153" s="33">
        <f t="shared" si="130"/>
        <v>24</v>
      </c>
      <c r="AY153" s="33">
        <f t="shared" si="130"/>
        <v>36</v>
      </c>
      <c r="AZ153" s="33">
        <f t="shared" si="130"/>
        <v>25</v>
      </c>
      <c r="BA153" s="33">
        <f t="shared" si="130"/>
        <v>33</v>
      </c>
      <c r="BB153" s="33">
        <f t="shared" si="130"/>
        <v>25</v>
      </c>
      <c r="BC153" s="33">
        <f t="shared" si="130"/>
        <v>19</v>
      </c>
      <c r="BD153" s="33">
        <f t="shared" si="130"/>
        <v>26</v>
      </c>
      <c r="BE153" s="33">
        <f t="shared" si="130"/>
        <v>41</v>
      </c>
      <c r="BF153" s="33">
        <f t="shared" si="130"/>
        <v>28</v>
      </c>
      <c r="BG153" s="33">
        <f t="shared" si="130"/>
        <v>20</v>
      </c>
      <c r="BH153" s="33">
        <f t="shared" si="130"/>
        <v>29</v>
      </c>
      <c r="BI153" s="33">
        <f t="shared" si="130"/>
        <v>30</v>
      </c>
      <c r="BJ153" s="33">
        <f t="shared" si="130"/>
        <v>29</v>
      </c>
      <c r="BK153" s="33">
        <f t="shared" si="130"/>
        <v>48</v>
      </c>
      <c r="BL153" s="33">
        <f t="shared" si="130"/>
        <v>34</v>
      </c>
      <c r="BM153" s="33">
        <f t="shared" si="130"/>
        <v>26</v>
      </c>
      <c r="BN153" s="33">
        <f t="shared" si="130"/>
        <v>35</v>
      </c>
      <c r="BO153" s="33">
        <f t="shared" si="130"/>
        <v>31</v>
      </c>
      <c r="BP153" s="33">
        <f t="shared" si="130"/>
        <v>36</v>
      </c>
      <c r="BQ153" s="33">
        <f t="shared" si="130"/>
        <v>40</v>
      </c>
      <c r="BR153" s="33">
        <f t="shared" si="130"/>
        <v>36</v>
      </c>
      <c r="BS153" s="33">
        <f t="shared" si="130"/>
        <v>30</v>
      </c>
      <c r="BT153" s="33">
        <f t="shared" si="130"/>
        <v>35</v>
      </c>
      <c r="BU153" s="33">
        <f t="shared" si="130"/>
        <v>35</v>
      </c>
      <c r="BV153" s="33">
        <f t="shared" si="130"/>
        <v>25</v>
      </c>
      <c r="BW153" s="33">
        <f t="shared" si="130"/>
        <v>47</v>
      </c>
      <c r="BX153" s="33">
        <f t="shared" si="130"/>
        <v>25</v>
      </c>
      <c r="BY153" s="33">
        <f t="shared" si="130"/>
        <v>39</v>
      </c>
      <c r="BZ153" s="33">
        <f t="shared" si="130"/>
        <v>24</v>
      </c>
      <c r="CA153" s="33">
        <f t="shared" si="130"/>
        <v>41</v>
      </c>
      <c r="CB153" s="33">
        <f t="shared" si="130"/>
        <v>24</v>
      </c>
      <c r="CC153" s="33">
        <f t="shared" si="130"/>
        <v>48</v>
      </c>
      <c r="CD153" s="33">
        <f t="shared" si="130"/>
        <v>21</v>
      </c>
      <c r="CE153" s="33">
        <f t="shared" si="130"/>
        <v>50</v>
      </c>
      <c r="CF153" s="33">
        <f t="shared" si="130"/>
        <v>23</v>
      </c>
      <c r="CG153" s="33">
        <f t="shared" si="130"/>
        <v>42</v>
      </c>
      <c r="CH153" s="33">
        <f t="shared" si="130"/>
        <v>24</v>
      </c>
      <c r="CI153" s="33">
        <f t="shared" si="130"/>
        <v>46</v>
      </c>
      <c r="CJ153" s="33">
        <f t="shared" si="130"/>
        <v>23</v>
      </c>
      <c r="CK153" s="33">
        <f t="shared" si="130"/>
        <v>41</v>
      </c>
      <c r="CL153" s="33">
        <f t="shared" si="130"/>
        <v>24</v>
      </c>
      <c r="CM153" s="33">
        <f t="shared" si="130"/>
        <v>24</v>
      </c>
      <c r="CO153" s="66" t="s">
        <v>61</v>
      </c>
      <c r="CP153" s="12" t="b">
        <f t="shared" si="58"/>
        <v>0</v>
      </c>
    </row>
    <row r="154" ht="15.75" customHeight="1">
      <c r="A154" s="17" t="s">
        <v>6</v>
      </c>
      <c r="C154" s="9">
        <f t="shared" si="131"/>
        <v>336</v>
      </c>
      <c r="D154" s="5" t="s">
        <v>60</v>
      </c>
      <c r="E154" s="5">
        <v>0.0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  <c r="O154" s="5">
        <v>0.0</v>
      </c>
      <c r="P154" s="5">
        <v>0.0</v>
      </c>
      <c r="Q154" s="5">
        <v>1.0</v>
      </c>
      <c r="R154" s="5">
        <v>2.0</v>
      </c>
      <c r="S154" s="5">
        <v>1.0</v>
      </c>
      <c r="T154" s="5">
        <v>1.0</v>
      </c>
      <c r="U154" s="5">
        <v>1.0</v>
      </c>
      <c r="V154" s="5">
        <v>0.0</v>
      </c>
      <c r="W154" s="5">
        <v>5.0</v>
      </c>
      <c r="X154" s="5">
        <v>0.0</v>
      </c>
      <c r="Y154" s="5">
        <v>2.0</v>
      </c>
      <c r="Z154" s="5">
        <v>0.0</v>
      </c>
      <c r="AA154" s="5">
        <v>1.0</v>
      </c>
      <c r="AB154" s="5">
        <v>0.0</v>
      </c>
      <c r="AC154" s="5">
        <v>6.0</v>
      </c>
      <c r="AD154" s="5">
        <v>0.0</v>
      </c>
      <c r="AE154" s="5">
        <v>2.0</v>
      </c>
      <c r="AF154" s="5">
        <v>0.0</v>
      </c>
      <c r="AG154" s="5">
        <v>4.0</v>
      </c>
      <c r="AH154" s="5">
        <v>0.0</v>
      </c>
      <c r="AI154" s="5">
        <v>7.0</v>
      </c>
      <c r="AJ154" s="5">
        <v>0.0</v>
      </c>
      <c r="AK154" s="5">
        <v>11.0</v>
      </c>
      <c r="AL154" s="5">
        <v>0.0</v>
      </c>
      <c r="AM154" s="5">
        <v>12.0</v>
      </c>
      <c r="AN154" s="5">
        <v>1.0</v>
      </c>
      <c r="AO154" s="5">
        <v>8.0</v>
      </c>
      <c r="AP154" s="5">
        <v>1.0</v>
      </c>
      <c r="AQ154" s="5">
        <v>13.0</v>
      </c>
      <c r="AR154" s="5">
        <v>1.0</v>
      </c>
      <c r="AS154" s="5">
        <v>14.0</v>
      </c>
      <c r="AT154" s="5">
        <v>1.0</v>
      </c>
      <c r="AU154" s="5">
        <v>4.0</v>
      </c>
      <c r="AV154" s="5">
        <v>1.0</v>
      </c>
      <c r="AW154" s="5">
        <v>6.0</v>
      </c>
      <c r="AX154" s="5">
        <v>1.0</v>
      </c>
      <c r="AY154" s="5">
        <v>1.0</v>
      </c>
      <c r="AZ154" s="5">
        <v>1.0</v>
      </c>
      <c r="BA154" s="5">
        <v>10.0</v>
      </c>
      <c r="BB154" s="5">
        <v>1.0</v>
      </c>
      <c r="BC154" s="5">
        <v>7.0</v>
      </c>
      <c r="BD154" s="5">
        <v>1.0</v>
      </c>
      <c r="BE154" s="5">
        <v>8.0</v>
      </c>
      <c r="BF154" s="5">
        <v>1.0</v>
      </c>
      <c r="BG154" s="5">
        <v>8.0</v>
      </c>
      <c r="BH154" s="5">
        <v>1.0</v>
      </c>
      <c r="BI154" s="5">
        <v>13.0</v>
      </c>
      <c r="BJ154" s="5">
        <v>1.0</v>
      </c>
      <c r="BK154" s="5">
        <v>7.0</v>
      </c>
      <c r="BL154" s="5">
        <v>1.0</v>
      </c>
      <c r="BM154" s="5">
        <v>7.0</v>
      </c>
      <c r="BN154" s="5">
        <v>1.0</v>
      </c>
      <c r="BO154" s="5">
        <v>17.0</v>
      </c>
      <c r="BP154" s="5">
        <v>1.0</v>
      </c>
      <c r="BQ154" s="5">
        <v>28.0</v>
      </c>
      <c r="BR154" s="5">
        <v>1.0</v>
      </c>
      <c r="BS154" s="5">
        <v>8.0</v>
      </c>
      <c r="BT154" s="5">
        <v>2.0</v>
      </c>
      <c r="BU154" s="5">
        <v>2.0</v>
      </c>
      <c r="BV154" s="5">
        <v>2.0</v>
      </c>
      <c r="BW154" s="5">
        <v>15.0</v>
      </c>
      <c r="BX154" s="5">
        <v>2.0</v>
      </c>
      <c r="BY154" s="5">
        <v>17.0</v>
      </c>
      <c r="BZ154" s="5">
        <v>2.0</v>
      </c>
      <c r="CA154" s="5">
        <v>15.0</v>
      </c>
      <c r="CB154" s="5">
        <v>2.0</v>
      </c>
      <c r="CC154" s="5">
        <v>11.0</v>
      </c>
      <c r="CD154" s="5">
        <v>2.0</v>
      </c>
      <c r="CE154" s="5">
        <v>27.0</v>
      </c>
      <c r="CF154" s="5">
        <v>2.0</v>
      </c>
      <c r="CG154" s="5">
        <v>13.0</v>
      </c>
      <c r="CH154" s="5">
        <v>2.0</v>
      </c>
      <c r="CI154" s="5">
        <v>8.0</v>
      </c>
      <c r="CJ154" s="5">
        <v>2.0</v>
      </c>
      <c r="CK154" s="5">
        <v>13.0</v>
      </c>
      <c r="CL154" s="5">
        <v>2.0</v>
      </c>
      <c r="CM154" s="5">
        <v>2.0</v>
      </c>
      <c r="CO154" s="66" t="s">
        <v>62</v>
      </c>
      <c r="CP154" s="12" t="b">
        <f t="shared" si="58"/>
        <v>0</v>
      </c>
    </row>
    <row r="155" ht="15.75" customHeight="1">
      <c r="C155" s="9">
        <f t="shared" si="131"/>
        <v>1053</v>
      </c>
      <c r="D155" s="66" t="s">
        <v>61</v>
      </c>
      <c r="E155" s="67">
        <f t="shared" ref="E155:CM155" si="132">E153-E154</f>
        <v>3</v>
      </c>
      <c r="F155" s="67">
        <f t="shared" si="132"/>
        <v>3</v>
      </c>
      <c r="G155" s="67">
        <f t="shared" si="132"/>
        <v>7</v>
      </c>
      <c r="H155" s="67">
        <f t="shared" si="132"/>
        <v>5</v>
      </c>
      <c r="I155" s="67">
        <f t="shared" si="132"/>
        <v>4</v>
      </c>
      <c r="J155" s="67">
        <f t="shared" si="132"/>
        <v>11</v>
      </c>
      <c r="K155" s="67">
        <f t="shared" si="132"/>
        <v>9</v>
      </c>
      <c r="L155" s="67">
        <f t="shared" si="132"/>
        <v>7</v>
      </c>
      <c r="M155" s="67">
        <f t="shared" si="132"/>
        <v>10</v>
      </c>
      <c r="N155" s="67">
        <f t="shared" si="132"/>
        <v>18</v>
      </c>
      <c r="O155" s="67">
        <f t="shared" si="132"/>
        <v>21</v>
      </c>
      <c r="P155" s="67">
        <f t="shared" si="132"/>
        <v>23</v>
      </c>
      <c r="Q155" s="67">
        <f t="shared" si="132"/>
        <v>19</v>
      </c>
      <c r="R155" s="67">
        <f t="shared" si="132"/>
        <v>20</v>
      </c>
      <c r="S155" s="67">
        <f t="shared" si="132"/>
        <v>21</v>
      </c>
      <c r="T155" s="67">
        <f t="shared" si="132"/>
        <v>27</v>
      </c>
      <c r="U155" s="67">
        <f t="shared" si="132"/>
        <v>46</v>
      </c>
      <c r="V155" s="67">
        <f t="shared" si="132"/>
        <v>34</v>
      </c>
      <c r="W155" s="67">
        <f t="shared" si="132"/>
        <v>22</v>
      </c>
      <c r="X155" s="67">
        <f t="shared" si="132"/>
        <v>34</v>
      </c>
      <c r="Y155" s="67">
        <f t="shared" si="132"/>
        <v>28</v>
      </c>
      <c r="Z155" s="67">
        <f t="shared" si="132"/>
        <v>35</v>
      </c>
      <c r="AA155" s="67">
        <f t="shared" si="132"/>
        <v>24</v>
      </c>
      <c r="AB155" s="67">
        <f t="shared" si="132"/>
        <v>34</v>
      </c>
      <c r="AC155" s="67">
        <f t="shared" si="132"/>
        <v>25</v>
      </c>
      <c r="AD155" s="67">
        <f t="shared" si="132"/>
        <v>34</v>
      </c>
      <c r="AE155" s="67">
        <f t="shared" si="132"/>
        <v>35</v>
      </c>
      <c r="AF155" s="67">
        <f t="shared" si="132"/>
        <v>34</v>
      </c>
      <c r="AG155" s="67">
        <f t="shared" si="132"/>
        <v>23</v>
      </c>
      <c r="AH155" s="67">
        <f t="shared" si="132"/>
        <v>34</v>
      </c>
      <c r="AI155" s="67">
        <f t="shared" si="132"/>
        <v>10</v>
      </c>
      <c r="AJ155" s="67">
        <f t="shared" si="132"/>
        <v>33</v>
      </c>
      <c r="AK155" s="67">
        <f t="shared" si="132"/>
        <v>15</v>
      </c>
      <c r="AL155" s="67">
        <f t="shared" si="132"/>
        <v>33</v>
      </c>
      <c r="AM155" s="67">
        <f t="shared" si="132"/>
        <v>15</v>
      </c>
      <c r="AN155" s="67">
        <f t="shared" si="132"/>
        <v>18</v>
      </c>
      <c r="AO155" s="67">
        <f t="shared" si="132"/>
        <v>20</v>
      </c>
      <c r="AP155" s="67">
        <f t="shared" si="132"/>
        <v>18</v>
      </c>
      <c r="AQ155" s="67">
        <f t="shared" si="132"/>
        <v>9</v>
      </c>
      <c r="AR155" s="67">
        <f t="shared" si="132"/>
        <v>18</v>
      </c>
      <c r="AS155" s="67">
        <f t="shared" si="132"/>
        <v>18</v>
      </c>
      <c r="AT155" s="67">
        <f t="shared" si="132"/>
        <v>20</v>
      </c>
      <c r="AU155" s="67">
        <f t="shared" si="132"/>
        <v>26</v>
      </c>
      <c r="AV155" s="67">
        <f t="shared" si="132"/>
        <v>22</v>
      </c>
      <c r="AW155" s="67">
        <f t="shared" si="132"/>
        <v>21</v>
      </c>
      <c r="AX155" s="67">
        <f t="shared" si="132"/>
        <v>23</v>
      </c>
      <c r="AY155" s="67">
        <f t="shared" si="132"/>
        <v>35</v>
      </c>
      <c r="AZ155" s="67">
        <f t="shared" si="132"/>
        <v>24</v>
      </c>
      <c r="BA155" s="67">
        <f t="shared" si="132"/>
        <v>23</v>
      </c>
      <c r="BB155" s="67">
        <f t="shared" si="132"/>
        <v>24</v>
      </c>
      <c r="BC155" s="67">
        <f t="shared" si="132"/>
        <v>12</v>
      </c>
      <c r="BD155" s="67">
        <f t="shared" si="132"/>
        <v>25</v>
      </c>
      <c r="BE155" s="67">
        <f t="shared" si="132"/>
        <v>33</v>
      </c>
      <c r="BF155" s="67">
        <f t="shared" si="132"/>
        <v>27</v>
      </c>
      <c r="BG155" s="67">
        <f t="shared" si="132"/>
        <v>12</v>
      </c>
      <c r="BH155" s="67">
        <f t="shared" si="132"/>
        <v>28</v>
      </c>
      <c r="BI155" s="67">
        <f t="shared" si="132"/>
        <v>17</v>
      </c>
      <c r="BJ155" s="67">
        <f t="shared" si="132"/>
        <v>28</v>
      </c>
      <c r="BK155" s="67">
        <f t="shared" si="132"/>
        <v>41</v>
      </c>
      <c r="BL155" s="67">
        <f t="shared" si="132"/>
        <v>33</v>
      </c>
      <c r="BM155" s="67">
        <f t="shared" si="132"/>
        <v>19</v>
      </c>
      <c r="BN155" s="67">
        <f t="shared" si="132"/>
        <v>34</v>
      </c>
      <c r="BO155" s="67">
        <f t="shared" si="132"/>
        <v>14</v>
      </c>
      <c r="BP155" s="67">
        <f t="shared" si="132"/>
        <v>35</v>
      </c>
      <c r="BQ155" s="67">
        <f t="shared" si="132"/>
        <v>12</v>
      </c>
      <c r="BR155" s="67">
        <f t="shared" si="132"/>
        <v>35</v>
      </c>
      <c r="BS155" s="67">
        <f t="shared" si="132"/>
        <v>22</v>
      </c>
      <c r="BT155" s="67">
        <f t="shared" si="132"/>
        <v>33</v>
      </c>
      <c r="BU155" s="67">
        <f t="shared" si="132"/>
        <v>33</v>
      </c>
      <c r="BV155" s="67">
        <f t="shared" si="132"/>
        <v>23</v>
      </c>
      <c r="BW155" s="67">
        <f t="shared" si="132"/>
        <v>32</v>
      </c>
      <c r="BX155" s="67">
        <f t="shared" si="132"/>
        <v>23</v>
      </c>
      <c r="BY155" s="67">
        <f t="shared" si="132"/>
        <v>22</v>
      </c>
      <c r="BZ155" s="67">
        <f t="shared" si="132"/>
        <v>22</v>
      </c>
      <c r="CA155" s="67">
        <f t="shared" si="132"/>
        <v>26</v>
      </c>
      <c r="CB155" s="67">
        <f t="shared" si="132"/>
        <v>22</v>
      </c>
      <c r="CC155" s="67">
        <f t="shared" si="132"/>
        <v>37</v>
      </c>
      <c r="CD155" s="67">
        <f t="shared" si="132"/>
        <v>19</v>
      </c>
      <c r="CE155" s="67">
        <f t="shared" si="132"/>
        <v>23</v>
      </c>
      <c r="CF155" s="67">
        <f t="shared" si="132"/>
        <v>21</v>
      </c>
      <c r="CG155" s="67">
        <f t="shared" si="132"/>
        <v>29</v>
      </c>
      <c r="CH155" s="67">
        <f t="shared" si="132"/>
        <v>22</v>
      </c>
      <c r="CI155" s="67">
        <f t="shared" si="132"/>
        <v>38</v>
      </c>
      <c r="CJ155" s="67">
        <f t="shared" si="132"/>
        <v>21</v>
      </c>
      <c r="CK155" s="67">
        <f t="shared" si="132"/>
        <v>28</v>
      </c>
      <c r="CL155" s="67">
        <f t="shared" si="132"/>
        <v>22</v>
      </c>
      <c r="CM155" s="67">
        <f t="shared" si="132"/>
        <v>22</v>
      </c>
      <c r="CO155" s="25" t="s">
        <v>13</v>
      </c>
      <c r="CP155" s="12" t="b">
        <f t="shared" si="58"/>
        <v>0</v>
      </c>
    </row>
    <row r="156" ht="15.75" customHeight="1">
      <c r="C156" s="9">
        <f t="shared" si="131"/>
        <v>23303</v>
      </c>
      <c r="D156" s="66" t="s">
        <v>62</v>
      </c>
      <c r="E156" s="67">
        <f t="shared" ref="E156:CM156" si="133">E155+E152</f>
        <v>3</v>
      </c>
      <c r="F156" s="67">
        <f t="shared" si="133"/>
        <v>6</v>
      </c>
      <c r="G156" s="67">
        <f t="shared" si="133"/>
        <v>13</v>
      </c>
      <c r="H156" s="67">
        <f t="shared" si="133"/>
        <v>18</v>
      </c>
      <c r="I156" s="67">
        <f t="shared" si="133"/>
        <v>22</v>
      </c>
      <c r="J156" s="67">
        <f t="shared" si="133"/>
        <v>33</v>
      </c>
      <c r="K156" s="67">
        <f t="shared" si="133"/>
        <v>42</v>
      </c>
      <c r="L156" s="67">
        <f t="shared" si="133"/>
        <v>49</v>
      </c>
      <c r="M156" s="67">
        <f t="shared" si="133"/>
        <v>59</v>
      </c>
      <c r="N156" s="67">
        <f t="shared" si="133"/>
        <v>77</v>
      </c>
      <c r="O156" s="67">
        <f t="shared" si="133"/>
        <v>98</v>
      </c>
      <c r="P156" s="67">
        <f t="shared" si="133"/>
        <v>121</v>
      </c>
      <c r="Q156" s="67">
        <f t="shared" si="133"/>
        <v>140</v>
      </c>
      <c r="R156" s="67">
        <f t="shared" si="133"/>
        <v>160</v>
      </c>
      <c r="S156" s="67">
        <f t="shared" si="133"/>
        <v>181</v>
      </c>
      <c r="T156" s="67">
        <f t="shared" si="133"/>
        <v>208</v>
      </c>
      <c r="U156" s="67">
        <f t="shared" si="133"/>
        <v>254</v>
      </c>
      <c r="V156" s="67">
        <f t="shared" si="133"/>
        <v>288</v>
      </c>
      <c r="W156" s="67">
        <f t="shared" si="133"/>
        <v>276</v>
      </c>
      <c r="X156" s="67">
        <f t="shared" si="133"/>
        <v>322</v>
      </c>
      <c r="Y156" s="67">
        <f t="shared" si="133"/>
        <v>304</v>
      </c>
      <c r="Z156" s="67">
        <f t="shared" si="133"/>
        <v>357</v>
      </c>
      <c r="AA156" s="67">
        <f t="shared" si="133"/>
        <v>328</v>
      </c>
      <c r="AB156" s="67">
        <f t="shared" si="133"/>
        <v>391</v>
      </c>
      <c r="AC156" s="67">
        <f t="shared" si="133"/>
        <v>353</v>
      </c>
      <c r="AD156" s="67">
        <f t="shared" si="133"/>
        <v>425</v>
      </c>
      <c r="AE156" s="67">
        <f t="shared" si="133"/>
        <v>388</v>
      </c>
      <c r="AF156" s="67">
        <f t="shared" si="133"/>
        <v>459</v>
      </c>
      <c r="AG156" s="67">
        <f t="shared" si="133"/>
        <v>411</v>
      </c>
      <c r="AH156" s="67">
        <f t="shared" si="133"/>
        <v>493</v>
      </c>
      <c r="AI156" s="67">
        <f t="shared" si="133"/>
        <v>421</v>
      </c>
      <c r="AJ156" s="67">
        <f t="shared" si="133"/>
        <v>526</v>
      </c>
      <c r="AK156" s="67">
        <f t="shared" si="133"/>
        <v>436</v>
      </c>
      <c r="AL156" s="67">
        <f t="shared" si="133"/>
        <v>559</v>
      </c>
      <c r="AM156" s="67">
        <f t="shared" si="133"/>
        <v>451</v>
      </c>
      <c r="AN156" s="67">
        <f t="shared" si="133"/>
        <v>592</v>
      </c>
      <c r="AO156" s="67">
        <f t="shared" si="133"/>
        <v>471</v>
      </c>
      <c r="AP156" s="67">
        <f t="shared" si="133"/>
        <v>610</v>
      </c>
      <c r="AQ156" s="67">
        <f t="shared" si="133"/>
        <v>480</v>
      </c>
      <c r="AR156" s="67">
        <f t="shared" si="133"/>
        <v>628</v>
      </c>
      <c r="AS156" s="67">
        <f t="shared" si="133"/>
        <v>498</v>
      </c>
      <c r="AT156" s="67">
        <f t="shared" si="133"/>
        <v>648</v>
      </c>
      <c r="AU156" s="67">
        <f t="shared" si="133"/>
        <v>524</v>
      </c>
      <c r="AV156" s="67">
        <f t="shared" si="133"/>
        <v>670</v>
      </c>
      <c r="AW156" s="67">
        <f t="shared" si="133"/>
        <v>545</v>
      </c>
      <c r="AX156" s="67">
        <f t="shared" si="133"/>
        <v>693</v>
      </c>
      <c r="AY156" s="67">
        <f t="shared" si="133"/>
        <v>580</v>
      </c>
      <c r="AZ156" s="67">
        <f t="shared" si="133"/>
        <v>717</v>
      </c>
      <c r="BA156" s="67">
        <f t="shared" si="133"/>
        <v>603</v>
      </c>
      <c r="BB156" s="67">
        <f t="shared" si="133"/>
        <v>741</v>
      </c>
      <c r="BC156" s="67">
        <f t="shared" si="133"/>
        <v>615</v>
      </c>
      <c r="BD156" s="67">
        <f t="shared" si="133"/>
        <v>766</v>
      </c>
      <c r="BE156" s="67">
        <f t="shared" si="133"/>
        <v>648</v>
      </c>
      <c r="BF156" s="67">
        <f t="shared" si="133"/>
        <v>793</v>
      </c>
      <c r="BG156" s="67">
        <f t="shared" si="133"/>
        <v>660</v>
      </c>
      <c r="BH156" s="67">
        <f t="shared" si="133"/>
        <v>821</v>
      </c>
      <c r="BI156" s="67">
        <f t="shared" si="133"/>
        <v>677</v>
      </c>
      <c r="BJ156" s="67">
        <f t="shared" si="133"/>
        <v>849</v>
      </c>
      <c r="BK156" s="67">
        <f t="shared" si="133"/>
        <v>718</v>
      </c>
      <c r="BL156" s="67">
        <f t="shared" si="133"/>
        <v>895.58</v>
      </c>
      <c r="BM156" s="67">
        <f t="shared" si="133"/>
        <v>737</v>
      </c>
      <c r="BN156" s="67">
        <f t="shared" si="133"/>
        <v>929.58</v>
      </c>
      <c r="BO156" s="67">
        <f t="shared" si="133"/>
        <v>751</v>
      </c>
      <c r="BP156" s="67">
        <f t="shared" si="133"/>
        <v>964.58</v>
      </c>
      <c r="BQ156" s="67">
        <f t="shared" si="133"/>
        <v>763</v>
      </c>
      <c r="BR156" s="67">
        <f t="shared" si="133"/>
        <v>999.58</v>
      </c>
      <c r="BS156" s="67">
        <f t="shared" si="133"/>
        <v>785</v>
      </c>
      <c r="BT156" s="67">
        <f t="shared" si="133"/>
        <v>1032.58</v>
      </c>
      <c r="BU156" s="67">
        <f t="shared" si="133"/>
        <v>818</v>
      </c>
      <c r="BV156" s="67">
        <f t="shared" si="133"/>
        <v>1055.58</v>
      </c>
      <c r="BW156" s="67">
        <f t="shared" si="133"/>
        <v>850</v>
      </c>
      <c r="BX156" s="67">
        <f t="shared" si="133"/>
        <v>1078.58</v>
      </c>
      <c r="BY156" s="67">
        <f t="shared" si="133"/>
        <v>872</v>
      </c>
      <c r="BZ156" s="67">
        <f t="shared" si="133"/>
        <v>1100.58</v>
      </c>
      <c r="CA156" s="67">
        <f t="shared" si="133"/>
        <v>898</v>
      </c>
      <c r="CB156" s="67">
        <f t="shared" si="133"/>
        <v>1122.58</v>
      </c>
      <c r="CC156" s="67">
        <f t="shared" si="133"/>
        <v>935</v>
      </c>
      <c r="CD156" s="67">
        <f t="shared" si="133"/>
        <v>1141.58</v>
      </c>
      <c r="CE156" s="67">
        <f t="shared" si="133"/>
        <v>958</v>
      </c>
      <c r="CF156" s="67">
        <f t="shared" si="133"/>
        <v>1162.58</v>
      </c>
      <c r="CG156" s="67">
        <f t="shared" si="133"/>
        <v>987</v>
      </c>
      <c r="CH156" s="67">
        <f t="shared" si="133"/>
        <v>1184.58</v>
      </c>
      <c r="CI156" s="67">
        <f t="shared" si="133"/>
        <v>1025</v>
      </c>
      <c r="CJ156" s="67">
        <f t="shared" si="133"/>
        <v>1205.58</v>
      </c>
      <c r="CK156" s="67">
        <f t="shared" si="133"/>
        <v>1053</v>
      </c>
      <c r="CL156" s="67">
        <f t="shared" si="133"/>
        <v>1227.58</v>
      </c>
      <c r="CM156" s="67">
        <f t="shared" si="133"/>
        <v>1249.58</v>
      </c>
      <c r="CO156" s="1"/>
      <c r="CP156" s="12" t="b">
        <f t="shared" si="58"/>
        <v>0</v>
      </c>
    </row>
    <row r="157" ht="15.75" customHeight="1">
      <c r="C157" s="9">
        <f t="shared" si="131"/>
        <v>336</v>
      </c>
      <c r="D157" s="25" t="s">
        <v>13</v>
      </c>
      <c r="E157" s="68">
        <f t="shared" ref="E157:CM157" si="134">E154</f>
        <v>0</v>
      </c>
      <c r="F157" s="68">
        <f t="shared" si="134"/>
        <v>0</v>
      </c>
      <c r="G157" s="68">
        <f t="shared" si="134"/>
        <v>0</v>
      </c>
      <c r="H157" s="68">
        <f t="shared" si="134"/>
        <v>0</v>
      </c>
      <c r="I157" s="68">
        <f t="shared" si="134"/>
        <v>0</v>
      </c>
      <c r="J157" s="68">
        <f t="shared" si="134"/>
        <v>0</v>
      </c>
      <c r="K157" s="68">
        <f t="shared" si="134"/>
        <v>0</v>
      </c>
      <c r="L157" s="68">
        <f t="shared" si="134"/>
        <v>0</v>
      </c>
      <c r="M157" s="68">
        <f t="shared" si="134"/>
        <v>0</v>
      </c>
      <c r="N157" s="68">
        <f t="shared" si="134"/>
        <v>0</v>
      </c>
      <c r="O157" s="68">
        <f t="shared" si="134"/>
        <v>0</v>
      </c>
      <c r="P157" s="68">
        <f t="shared" si="134"/>
        <v>0</v>
      </c>
      <c r="Q157" s="68">
        <f t="shared" si="134"/>
        <v>1</v>
      </c>
      <c r="R157" s="68">
        <f t="shared" si="134"/>
        <v>2</v>
      </c>
      <c r="S157" s="68">
        <f t="shared" si="134"/>
        <v>1</v>
      </c>
      <c r="T157" s="68">
        <f t="shared" si="134"/>
        <v>1</v>
      </c>
      <c r="U157" s="68">
        <f t="shared" si="134"/>
        <v>1</v>
      </c>
      <c r="V157" s="68">
        <f t="shared" si="134"/>
        <v>0</v>
      </c>
      <c r="W157" s="68">
        <f t="shared" si="134"/>
        <v>5</v>
      </c>
      <c r="X157" s="68">
        <f t="shared" si="134"/>
        <v>0</v>
      </c>
      <c r="Y157" s="68">
        <f t="shared" si="134"/>
        <v>2</v>
      </c>
      <c r="Z157" s="68">
        <f t="shared" si="134"/>
        <v>0</v>
      </c>
      <c r="AA157" s="68">
        <f t="shared" si="134"/>
        <v>1</v>
      </c>
      <c r="AB157" s="68">
        <f t="shared" si="134"/>
        <v>0</v>
      </c>
      <c r="AC157" s="68">
        <f t="shared" si="134"/>
        <v>6</v>
      </c>
      <c r="AD157" s="68">
        <f t="shared" si="134"/>
        <v>0</v>
      </c>
      <c r="AE157" s="68">
        <f t="shared" si="134"/>
        <v>2</v>
      </c>
      <c r="AF157" s="68">
        <f t="shared" si="134"/>
        <v>0</v>
      </c>
      <c r="AG157" s="68">
        <f t="shared" si="134"/>
        <v>4</v>
      </c>
      <c r="AH157" s="68">
        <f t="shared" si="134"/>
        <v>0</v>
      </c>
      <c r="AI157" s="68">
        <f t="shared" si="134"/>
        <v>7</v>
      </c>
      <c r="AJ157" s="68">
        <f t="shared" si="134"/>
        <v>0</v>
      </c>
      <c r="AK157" s="68">
        <f t="shared" si="134"/>
        <v>11</v>
      </c>
      <c r="AL157" s="68">
        <f t="shared" si="134"/>
        <v>0</v>
      </c>
      <c r="AM157" s="68">
        <f t="shared" si="134"/>
        <v>12</v>
      </c>
      <c r="AN157" s="68">
        <f t="shared" si="134"/>
        <v>1</v>
      </c>
      <c r="AO157" s="68">
        <f t="shared" si="134"/>
        <v>8</v>
      </c>
      <c r="AP157" s="68">
        <f t="shared" si="134"/>
        <v>1</v>
      </c>
      <c r="AQ157" s="68">
        <f t="shared" si="134"/>
        <v>13</v>
      </c>
      <c r="AR157" s="68">
        <f t="shared" si="134"/>
        <v>1</v>
      </c>
      <c r="AS157" s="68">
        <f t="shared" si="134"/>
        <v>14</v>
      </c>
      <c r="AT157" s="68">
        <f t="shared" si="134"/>
        <v>1</v>
      </c>
      <c r="AU157" s="68">
        <f t="shared" si="134"/>
        <v>4</v>
      </c>
      <c r="AV157" s="68">
        <f t="shared" si="134"/>
        <v>1</v>
      </c>
      <c r="AW157" s="68">
        <f t="shared" si="134"/>
        <v>6</v>
      </c>
      <c r="AX157" s="68">
        <f t="shared" si="134"/>
        <v>1</v>
      </c>
      <c r="AY157" s="68">
        <f t="shared" si="134"/>
        <v>1</v>
      </c>
      <c r="AZ157" s="68">
        <f t="shared" si="134"/>
        <v>1</v>
      </c>
      <c r="BA157" s="68">
        <f t="shared" si="134"/>
        <v>10</v>
      </c>
      <c r="BB157" s="68">
        <f t="shared" si="134"/>
        <v>1</v>
      </c>
      <c r="BC157" s="68">
        <f t="shared" si="134"/>
        <v>7</v>
      </c>
      <c r="BD157" s="68">
        <f t="shared" si="134"/>
        <v>1</v>
      </c>
      <c r="BE157" s="68">
        <f t="shared" si="134"/>
        <v>8</v>
      </c>
      <c r="BF157" s="68">
        <f t="shared" si="134"/>
        <v>1</v>
      </c>
      <c r="BG157" s="68">
        <f t="shared" si="134"/>
        <v>8</v>
      </c>
      <c r="BH157" s="68">
        <f t="shared" si="134"/>
        <v>1</v>
      </c>
      <c r="BI157" s="68">
        <f t="shared" si="134"/>
        <v>13</v>
      </c>
      <c r="BJ157" s="68">
        <f t="shared" si="134"/>
        <v>1</v>
      </c>
      <c r="BK157" s="68">
        <f t="shared" si="134"/>
        <v>7</v>
      </c>
      <c r="BL157" s="68">
        <f t="shared" si="134"/>
        <v>1</v>
      </c>
      <c r="BM157" s="68">
        <f t="shared" si="134"/>
        <v>7</v>
      </c>
      <c r="BN157" s="68">
        <f t="shared" si="134"/>
        <v>1</v>
      </c>
      <c r="BO157" s="68">
        <f t="shared" si="134"/>
        <v>17</v>
      </c>
      <c r="BP157" s="68">
        <f t="shared" si="134"/>
        <v>1</v>
      </c>
      <c r="BQ157" s="68">
        <f t="shared" si="134"/>
        <v>28</v>
      </c>
      <c r="BR157" s="68">
        <f t="shared" si="134"/>
        <v>1</v>
      </c>
      <c r="BS157" s="68">
        <f t="shared" si="134"/>
        <v>8</v>
      </c>
      <c r="BT157" s="68">
        <f t="shared" si="134"/>
        <v>2</v>
      </c>
      <c r="BU157" s="68">
        <f t="shared" si="134"/>
        <v>2</v>
      </c>
      <c r="BV157" s="68">
        <f t="shared" si="134"/>
        <v>2</v>
      </c>
      <c r="BW157" s="68">
        <f t="shared" si="134"/>
        <v>15</v>
      </c>
      <c r="BX157" s="68">
        <f t="shared" si="134"/>
        <v>2</v>
      </c>
      <c r="BY157" s="68">
        <f t="shared" si="134"/>
        <v>17</v>
      </c>
      <c r="BZ157" s="68">
        <f t="shared" si="134"/>
        <v>2</v>
      </c>
      <c r="CA157" s="68">
        <f t="shared" si="134"/>
        <v>15</v>
      </c>
      <c r="CB157" s="68">
        <f t="shared" si="134"/>
        <v>2</v>
      </c>
      <c r="CC157" s="68">
        <f t="shared" si="134"/>
        <v>11</v>
      </c>
      <c r="CD157" s="68">
        <f t="shared" si="134"/>
        <v>2</v>
      </c>
      <c r="CE157" s="68">
        <f t="shared" si="134"/>
        <v>27</v>
      </c>
      <c r="CF157" s="68">
        <f t="shared" si="134"/>
        <v>2</v>
      </c>
      <c r="CG157" s="68">
        <f t="shared" si="134"/>
        <v>13</v>
      </c>
      <c r="CH157" s="68">
        <f t="shared" si="134"/>
        <v>2</v>
      </c>
      <c r="CI157" s="68">
        <f t="shared" si="134"/>
        <v>8</v>
      </c>
      <c r="CJ157" s="68">
        <f t="shared" si="134"/>
        <v>2</v>
      </c>
      <c r="CK157" s="68">
        <f t="shared" si="134"/>
        <v>13</v>
      </c>
      <c r="CL157" s="68">
        <f t="shared" si="134"/>
        <v>2</v>
      </c>
      <c r="CM157" s="68">
        <f t="shared" si="134"/>
        <v>2</v>
      </c>
      <c r="CO157" s="5" t="s">
        <v>58</v>
      </c>
      <c r="CP157" s="12" t="b">
        <f t="shared" si="58"/>
        <v>0</v>
      </c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O158" s="5" t="s">
        <v>59</v>
      </c>
      <c r="CP158" s="12" t="b">
        <f t="shared" si="58"/>
        <v>0</v>
      </c>
    </row>
    <row r="159" ht="15.75" hidden="1" customHeight="1">
      <c r="C159" s="4" t="s">
        <v>63</v>
      </c>
      <c r="D159" s="5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O159" s="5" t="s">
        <v>60</v>
      </c>
      <c r="CP159" s="12" t="b">
        <f t="shared" si="58"/>
        <v>0</v>
      </c>
    </row>
    <row r="160" ht="15.75" hidden="1" customHeight="1">
      <c r="C160" s="4"/>
      <c r="D160" s="5" t="s">
        <v>64</v>
      </c>
      <c r="E160" s="1"/>
      <c r="F160" s="1"/>
      <c r="G160" s="1"/>
      <c r="H160" s="1"/>
      <c r="I160" s="1"/>
      <c r="J160" s="1"/>
      <c r="K160" s="1"/>
      <c r="L160" s="1">
        <v>32.0</v>
      </c>
      <c r="M160" s="1">
        <v>60.0</v>
      </c>
      <c r="N160" s="1">
        <v>57.0</v>
      </c>
      <c r="O160" s="1">
        <v>90.0</v>
      </c>
      <c r="P160" s="1">
        <v>109.0</v>
      </c>
      <c r="Q160" s="1">
        <v>134.0</v>
      </c>
      <c r="R160" s="1">
        <v>104.0</v>
      </c>
      <c r="S160" s="1">
        <v>159.0</v>
      </c>
      <c r="T160" s="1">
        <v>199.0</v>
      </c>
      <c r="U160" s="1">
        <v>90.0</v>
      </c>
      <c r="V160" s="1"/>
      <c r="W160" s="1">
        <v>225.0</v>
      </c>
      <c r="X160" s="1"/>
      <c r="Y160" s="1">
        <v>182.0</v>
      </c>
      <c r="Z160" s="1"/>
      <c r="AA160" s="1">
        <v>208.0</v>
      </c>
      <c r="AB160" s="1"/>
      <c r="AC160" s="1">
        <v>167.0</v>
      </c>
      <c r="AD160" s="1"/>
      <c r="AE160" s="1">
        <v>196.0</v>
      </c>
      <c r="AF160" s="1"/>
      <c r="AG160" s="1">
        <v>219.0</v>
      </c>
      <c r="AH160" s="1"/>
      <c r="AI160" s="1">
        <v>130.0</v>
      </c>
      <c r="AJ160" s="1"/>
      <c r="AK160" s="1">
        <v>180.0</v>
      </c>
      <c r="AL160" s="1"/>
      <c r="AM160" s="1">
        <v>179.0</v>
      </c>
      <c r="AN160" s="1"/>
      <c r="AO160" s="1">
        <v>177.0</v>
      </c>
      <c r="AP160" s="1"/>
      <c r="AQ160" s="5">
        <v>151.0</v>
      </c>
      <c r="AR160" s="1"/>
      <c r="AS160" s="5">
        <v>165.0</v>
      </c>
      <c r="AT160" s="1"/>
      <c r="AU160" s="5">
        <v>169.0</v>
      </c>
      <c r="AV160" s="1"/>
      <c r="AW160" s="5">
        <v>224.0</v>
      </c>
      <c r="AX160" s="1"/>
      <c r="AY160" s="5">
        <v>186.0</v>
      </c>
      <c r="AZ160" s="1"/>
      <c r="BA160" s="5">
        <v>186.0</v>
      </c>
      <c r="BB160" s="1"/>
      <c r="BC160" s="5">
        <v>216.0</v>
      </c>
      <c r="BD160" s="1"/>
      <c r="BE160" s="5">
        <v>228.0</v>
      </c>
      <c r="BF160" s="1"/>
      <c r="BG160" s="5">
        <v>239.0</v>
      </c>
      <c r="BH160" s="1"/>
      <c r="BI160" s="5">
        <v>228.0</v>
      </c>
      <c r="BJ160" s="1"/>
      <c r="BK160" s="5">
        <v>188.0</v>
      </c>
      <c r="BL160" s="1"/>
      <c r="BM160" s="5">
        <v>196.0</v>
      </c>
      <c r="BN160" s="1"/>
      <c r="BO160" s="5"/>
      <c r="BP160" s="1"/>
      <c r="BQ160" s="5"/>
      <c r="BR160" s="1"/>
      <c r="BS160" s="5"/>
      <c r="BT160" s="1"/>
      <c r="BU160" s="5"/>
      <c r="BV160" s="1"/>
      <c r="BW160" s="5"/>
      <c r="BX160" s="1"/>
      <c r="BY160" s="5"/>
      <c r="BZ160" s="1"/>
      <c r="CA160" s="5"/>
      <c r="CB160" s="1"/>
      <c r="CC160" s="5"/>
      <c r="CD160" s="1"/>
      <c r="CE160" s="5"/>
      <c r="CF160" s="1"/>
      <c r="CG160" s="5"/>
      <c r="CH160" s="1"/>
      <c r="CI160" s="5"/>
      <c r="CJ160" s="1"/>
      <c r="CK160" s="5"/>
      <c r="CL160" s="1"/>
      <c r="CM160" s="1"/>
      <c r="CO160" s="66" t="s">
        <v>61</v>
      </c>
      <c r="CP160" s="12" t="b">
        <f t="shared" si="58"/>
        <v>0</v>
      </c>
    </row>
    <row r="161" ht="15.75" hidden="1" customHeight="1">
      <c r="C161" s="4"/>
      <c r="D161" s="5" t="s">
        <v>65</v>
      </c>
      <c r="E161" s="1"/>
      <c r="F161" s="1"/>
      <c r="G161" s="1"/>
      <c r="H161" s="1"/>
      <c r="I161" s="1"/>
      <c r="J161" s="1"/>
      <c r="K161" s="1"/>
      <c r="L161" s="1">
        <v>27.0</v>
      </c>
      <c r="M161" s="1">
        <v>48.0</v>
      </c>
      <c r="N161" s="1">
        <v>47.0</v>
      </c>
      <c r="O161" s="1">
        <v>66.0</v>
      </c>
      <c r="P161" s="1">
        <v>76.0</v>
      </c>
      <c r="Q161" s="1">
        <v>86.0</v>
      </c>
      <c r="R161" s="1">
        <v>68.0</v>
      </c>
      <c r="S161" s="1">
        <v>91.0</v>
      </c>
      <c r="T161" s="1">
        <v>68.0</v>
      </c>
      <c r="U161" s="1">
        <v>43.0</v>
      </c>
      <c r="V161" s="1"/>
      <c r="W161" s="1">
        <v>174.0</v>
      </c>
      <c r="X161" s="1"/>
      <c r="Y161" s="1">
        <v>84.0</v>
      </c>
      <c r="Z161" s="1"/>
      <c r="AA161" s="1">
        <v>88.0</v>
      </c>
      <c r="AB161" s="1"/>
      <c r="AC161" s="1">
        <v>69.0</v>
      </c>
      <c r="AD161" s="1"/>
      <c r="AE161" s="1">
        <v>98.0</v>
      </c>
      <c r="AF161" s="1"/>
      <c r="AG161" s="1">
        <v>94.0</v>
      </c>
      <c r="AH161" s="1"/>
      <c r="AI161" s="1">
        <v>62.0</v>
      </c>
      <c r="AJ161" s="1"/>
      <c r="AK161" s="1">
        <v>91.0</v>
      </c>
      <c r="AL161" s="1"/>
      <c r="AM161" s="1">
        <v>108.0</v>
      </c>
      <c r="AN161" s="1"/>
      <c r="AO161" s="1">
        <v>130.0</v>
      </c>
      <c r="AP161" s="1"/>
      <c r="AQ161" s="5">
        <v>105.0</v>
      </c>
      <c r="AR161" s="1"/>
      <c r="AS161" s="5">
        <v>105.0</v>
      </c>
      <c r="AT161" s="1"/>
      <c r="AU161" s="5">
        <v>130.0</v>
      </c>
      <c r="AV161" s="1"/>
      <c r="AW161" s="5">
        <v>161.0</v>
      </c>
      <c r="AX161" s="1"/>
      <c r="AY161" s="5">
        <v>132.0</v>
      </c>
      <c r="AZ161" s="1"/>
      <c r="BA161" s="5">
        <v>108.0</v>
      </c>
      <c r="BB161" s="1"/>
      <c r="BC161" s="5">
        <v>118.0</v>
      </c>
      <c r="BD161" s="1"/>
      <c r="BE161" s="5">
        <v>125.0</v>
      </c>
      <c r="BF161" s="1"/>
      <c r="BG161" s="5">
        <v>127.0</v>
      </c>
      <c r="BH161" s="1"/>
      <c r="BI161" s="5">
        <v>121.0</v>
      </c>
      <c r="BJ161" s="1"/>
      <c r="BK161" s="5">
        <v>118.0</v>
      </c>
      <c r="BL161" s="1"/>
      <c r="BM161" s="5">
        <v>134.0</v>
      </c>
      <c r="BN161" s="1"/>
      <c r="BO161" s="5"/>
      <c r="BP161" s="1"/>
      <c r="BQ161" s="5"/>
      <c r="BR161" s="1"/>
      <c r="BS161" s="5"/>
      <c r="BT161" s="1"/>
      <c r="BU161" s="5"/>
      <c r="BV161" s="1"/>
      <c r="BW161" s="5"/>
      <c r="BX161" s="1"/>
      <c r="BY161" s="5"/>
      <c r="BZ161" s="1"/>
      <c r="CA161" s="5"/>
      <c r="CB161" s="1"/>
      <c r="CC161" s="5"/>
      <c r="CD161" s="1"/>
      <c r="CE161" s="5"/>
      <c r="CF161" s="1"/>
      <c r="CG161" s="5"/>
      <c r="CH161" s="1"/>
      <c r="CI161" s="5"/>
      <c r="CJ161" s="1"/>
      <c r="CK161" s="5"/>
      <c r="CL161" s="1"/>
      <c r="CM161" s="1"/>
      <c r="CO161" s="66" t="s">
        <v>62</v>
      </c>
      <c r="CP161" s="12" t="b">
        <f t="shared" si="58"/>
        <v>0</v>
      </c>
    </row>
    <row r="162" ht="15.75" hidden="1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69"/>
      <c r="AR162" s="1"/>
      <c r="AS162" s="69"/>
      <c r="AT162" s="1"/>
      <c r="AU162" s="69"/>
      <c r="AV162" s="1"/>
      <c r="AW162" s="69"/>
      <c r="AX162" s="1"/>
      <c r="AY162" s="69"/>
      <c r="AZ162" s="1"/>
      <c r="BA162" s="69"/>
      <c r="BB162" s="1"/>
      <c r="BC162" s="69"/>
      <c r="BD162" s="1"/>
      <c r="BE162" s="69"/>
      <c r="BF162" s="1"/>
      <c r="BG162" s="69"/>
      <c r="BH162" s="1"/>
      <c r="BI162" s="69"/>
      <c r="BJ162" s="1"/>
      <c r="BK162" s="69"/>
      <c r="BL162" s="1"/>
      <c r="BM162" s="69"/>
      <c r="BN162" s="1"/>
      <c r="BO162" s="69"/>
      <c r="BP162" s="1"/>
      <c r="BQ162" s="69"/>
      <c r="BR162" s="1"/>
      <c r="BS162" s="69"/>
      <c r="BT162" s="1"/>
      <c r="BU162" s="69"/>
      <c r="BV162" s="1"/>
      <c r="BW162" s="69"/>
      <c r="BX162" s="1"/>
      <c r="BY162" s="69"/>
      <c r="BZ162" s="1"/>
      <c r="CA162" s="69"/>
      <c r="CB162" s="1"/>
      <c r="CC162" s="69"/>
      <c r="CD162" s="1"/>
      <c r="CE162" s="69"/>
      <c r="CF162" s="1"/>
      <c r="CG162" s="69"/>
      <c r="CH162" s="1"/>
      <c r="CI162" s="69"/>
      <c r="CJ162" s="1"/>
      <c r="CK162" s="69"/>
      <c r="CL162" s="1"/>
      <c r="CM162" s="1"/>
      <c r="CO162" s="25" t="s">
        <v>13</v>
      </c>
      <c r="CP162" s="12" t="b">
        <f t="shared" si="58"/>
        <v>0</v>
      </c>
    </row>
    <row r="163" ht="15.75" hidden="1" customHeight="1">
      <c r="C163" s="4"/>
      <c r="D163" s="5" t="s">
        <v>66</v>
      </c>
      <c r="E163" s="70">
        <f t="shared" ref="E163:U163" si="135">E56</f>
        <v>3</v>
      </c>
      <c r="F163" s="70">
        <f t="shared" si="135"/>
        <v>4</v>
      </c>
      <c r="G163" s="70">
        <f t="shared" si="135"/>
        <v>8</v>
      </c>
      <c r="H163" s="70">
        <f t="shared" si="135"/>
        <v>5</v>
      </c>
      <c r="I163" s="70">
        <f t="shared" si="135"/>
        <v>4</v>
      </c>
      <c r="J163" s="70">
        <f t="shared" si="135"/>
        <v>11</v>
      </c>
      <c r="K163" s="70">
        <f t="shared" si="135"/>
        <v>10</v>
      </c>
      <c r="L163" s="70">
        <f t="shared" si="135"/>
        <v>8</v>
      </c>
      <c r="M163" s="70">
        <f t="shared" si="135"/>
        <v>10</v>
      </c>
      <c r="N163" s="70">
        <f t="shared" si="135"/>
        <v>19</v>
      </c>
      <c r="O163" s="70">
        <f t="shared" si="135"/>
        <v>26</v>
      </c>
      <c r="P163" s="70">
        <f t="shared" si="135"/>
        <v>25</v>
      </c>
      <c r="Q163" s="70">
        <f t="shared" si="135"/>
        <v>23</v>
      </c>
      <c r="R163" s="70">
        <f t="shared" si="135"/>
        <v>27</v>
      </c>
      <c r="S163" s="70">
        <f t="shared" si="135"/>
        <v>26</v>
      </c>
      <c r="T163" s="70">
        <f t="shared" si="135"/>
        <v>33</v>
      </c>
      <c r="U163" s="70">
        <f t="shared" si="135"/>
        <v>65</v>
      </c>
      <c r="V163" s="1"/>
      <c r="W163" s="70">
        <f>W56</f>
        <v>39</v>
      </c>
      <c r="X163" s="1"/>
      <c r="Y163" s="70">
        <f>Y56</f>
        <v>42</v>
      </c>
      <c r="Z163" s="1"/>
      <c r="AA163" s="70">
        <f>AA56</f>
        <v>46</v>
      </c>
      <c r="AB163" s="1"/>
      <c r="AC163" s="70">
        <f>AC56</f>
        <v>41</v>
      </c>
      <c r="AD163" s="1"/>
      <c r="AE163" s="70">
        <f>AE56</f>
        <v>52</v>
      </c>
      <c r="AF163" s="1"/>
      <c r="AG163" s="70">
        <f>AG56</f>
        <v>54</v>
      </c>
      <c r="AH163" s="1"/>
      <c r="AI163" s="70">
        <f>AI56</f>
        <v>34</v>
      </c>
      <c r="AJ163" s="1"/>
      <c r="AK163" s="70">
        <f>AK56</f>
        <v>40</v>
      </c>
      <c r="AL163" s="1"/>
      <c r="AM163" s="70">
        <f>AM56</f>
        <v>49</v>
      </c>
      <c r="AN163" s="1"/>
      <c r="AO163" s="70">
        <f>AO56</f>
        <v>38</v>
      </c>
      <c r="AP163" s="1"/>
      <c r="AQ163" s="33">
        <f>AQ56</f>
        <v>38</v>
      </c>
      <c r="AR163" s="1"/>
      <c r="AS163" s="33">
        <f>AS56</f>
        <v>56</v>
      </c>
      <c r="AT163" s="1"/>
      <c r="AU163" s="33">
        <f>AU56</f>
        <v>47</v>
      </c>
      <c r="AV163" s="1"/>
      <c r="AW163" s="33">
        <f>AW56</f>
        <v>55</v>
      </c>
      <c r="AX163" s="1"/>
      <c r="AY163" s="33">
        <f>AY56</f>
        <v>68</v>
      </c>
      <c r="AZ163" s="1"/>
      <c r="BA163" s="33">
        <f>BA56</f>
        <v>56</v>
      </c>
      <c r="BB163" s="1"/>
      <c r="BC163" s="33">
        <f>BC56</f>
        <v>47</v>
      </c>
      <c r="BD163" s="1"/>
      <c r="BE163" s="33">
        <f>BE56</f>
        <v>75</v>
      </c>
      <c r="BF163" s="1"/>
      <c r="BG163" s="33">
        <f>BG56</f>
        <v>45</v>
      </c>
      <c r="BH163" s="1"/>
      <c r="BI163" s="33">
        <f>BI56</f>
        <v>68</v>
      </c>
      <c r="BJ163" s="1"/>
      <c r="BK163" s="33">
        <f>BK56</f>
        <v>102</v>
      </c>
      <c r="BL163" s="1"/>
      <c r="BM163" s="33">
        <f>BM56</f>
        <v>61</v>
      </c>
      <c r="BN163" s="1"/>
      <c r="BO163" s="33">
        <f>BO56</f>
        <v>87</v>
      </c>
      <c r="BP163" s="1"/>
      <c r="BQ163" s="33">
        <f>BQ56</f>
        <v>93</v>
      </c>
      <c r="BR163" s="1"/>
      <c r="BS163" s="33">
        <f>BS56</f>
        <v>70</v>
      </c>
      <c r="BT163" s="1"/>
      <c r="BU163" s="33">
        <f>BU56</f>
        <v>84</v>
      </c>
      <c r="BV163" s="1"/>
      <c r="BW163" s="33">
        <f>BW56</f>
        <v>102</v>
      </c>
      <c r="BX163" s="1"/>
      <c r="BY163" s="33">
        <f>BY56</f>
        <v>81</v>
      </c>
      <c r="BZ163" s="1"/>
      <c r="CA163" s="33">
        <f>CA56</f>
        <v>90</v>
      </c>
      <c r="CB163" s="1"/>
      <c r="CC163" s="33">
        <f>CC56</f>
        <v>98</v>
      </c>
      <c r="CD163" s="1"/>
      <c r="CE163" s="33">
        <f>CE56</f>
        <v>112</v>
      </c>
      <c r="CF163" s="1"/>
      <c r="CG163" s="33">
        <f>CG56</f>
        <v>88</v>
      </c>
      <c r="CH163" s="1"/>
      <c r="CI163" s="33">
        <f>CI56</f>
        <v>102</v>
      </c>
      <c r="CJ163" s="1"/>
      <c r="CK163" s="33">
        <f>CK56</f>
        <v>75</v>
      </c>
      <c r="CL163" s="1"/>
      <c r="CM163" s="1"/>
      <c r="CO163" s="52"/>
      <c r="CP163" s="12" t="b">
        <f t="shared" si="58"/>
        <v>0</v>
      </c>
    </row>
    <row r="164" ht="15.75" hidden="1" customHeight="1">
      <c r="C164" s="4"/>
      <c r="D164" s="5" t="s">
        <v>67</v>
      </c>
      <c r="E164" s="1"/>
      <c r="F164" s="1"/>
      <c r="G164" s="1"/>
      <c r="H164" s="1"/>
      <c r="I164" s="1">
        <v>5.0</v>
      </c>
      <c r="J164" s="1">
        <v>3.0</v>
      </c>
      <c r="K164" s="1">
        <v>6.0</v>
      </c>
      <c r="L164" s="1">
        <v>6.0</v>
      </c>
      <c r="M164" s="1">
        <v>1.0</v>
      </c>
      <c r="N164" s="1">
        <v>0.0</v>
      </c>
      <c r="O164" s="1">
        <v>2.0</v>
      </c>
      <c r="P164" s="1">
        <v>4.0</v>
      </c>
      <c r="Q164" s="1">
        <v>8.0</v>
      </c>
      <c r="R164" s="1">
        <v>18.0</v>
      </c>
      <c r="S164" s="1">
        <v>8.0</v>
      </c>
      <c r="T164" s="1">
        <v>8.0</v>
      </c>
      <c r="U164" s="1">
        <v>11.0</v>
      </c>
      <c r="V164" s="1"/>
      <c r="W164" s="1">
        <v>15.0</v>
      </c>
      <c r="X164" s="1"/>
      <c r="Y164" s="1">
        <v>27.0</v>
      </c>
      <c r="Z164" s="1"/>
      <c r="AA164" s="1">
        <v>27.0</v>
      </c>
      <c r="AB164" s="1"/>
      <c r="AC164" s="1">
        <v>22.0</v>
      </c>
      <c r="AD164" s="1"/>
      <c r="AE164" s="1">
        <v>28.0</v>
      </c>
      <c r="AF164" s="1"/>
      <c r="AG164" s="1">
        <v>17.0</v>
      </c>
      <c r="AH164" s="1"/>
      <c r="AI164" s="5">
        <v>7.0</v>
      </c>
      <c r="AJ164" s="1"/>
      <c r="AK164" s="5">
        <v>35.0</v>
      </c>
      <c r="AL164" s="1"/>
      <c r="AM164" s="5">
        <v>26.0</v>
      </c>
      <c r="AN164" s="1"/>
      <c r="AO164" s="5">
        <v>16.0</v>
      </c>
      <c r="AP164" s="1"/>
      <c r="AQ164" s="5">
        <v>67.0</v>
      </c>
      <c r="AR164" s="1"/>
      <c r="AS164" s="5">
        <v>40.0</v>
      </c>
      <c r="AT164" s="1"/>
      <c r="AU164" s="5">
        <v>26.0</v>
      </c>
      <c r="AV164" s="1"/>
      <c r="AW164" s="5">
        <v>25.0</v>
      </c>
      <c r="AX164" s="1"/>
      <c r="AY164" s="5">
        <v>43.0</v>
      </c>
      <c r="AZ164" s="1"/>
      <c r="BA164" s="5">
        <v>19.0</v>
      </c>
      <c r="BB164" s="1"/>
      <c r="BC164" s="5">
        <v>32.0</v>
      </c>
      <c r="BD164" s="1"/>
      <c r="BE164" s="5">
        <v>27.0</v>
      </c>
      <c r="BF164" s="1"/>
      <c r="BG164" s="5">
        <v>30.0</v>
      </c>
      <c r="BH164" s="1"/>
      <c r="BI164" s="5">
        <v>22.0</v>
      </c>
      <c r="BJ164" s="1"/>
      <c r="BK164" s="5">
        <v>30.0</v>
      </c>
      <c r="BL164" s="1"/>
      <c r="BM164" s="5">
        <v>19.0</v>
      </c>
      <c r="BN164" s="1"/>
      <c r="BO164" s="5">
        <v>35.0</v>
      </c>
      <c r="BP164" s="1"/>
      <c r="BQ164" s="5">
        <v>42.0</v>
      </c>
      <c r="BR164" s="1"/>
      <c r="BS164" s="5">
        <v>42.0</v>
      </c>
      <c r="BT164" s="1"/>
      <c r="BU164" s="5">
        <v>42.0</v>
      </c>
      <c r="BV164" s="1"/>
      <c r="BW164" s="5">
        <v>42.0</v>
      </c>
      <c r="BX164" s="1"/>
      <c r="BY164" s="5">
        <v>42.0</v>
      </c>
      <c r="BZ164" s="1"/>
      <c r="CA164" s="5">
        <v>42.0</v>
      </c>
      <c r="CB164" s="1"/>
      <c r="CC164" s="5">
        <v>42.0</v>
      </c>
      <c r="CD164" s="1"/>
      <c r="CE164" s="5">
        <v>42.0</v>
      </c>
      <c r="CF164" s="1"/>
      <c r="CG164" s="5">
        <v>42.0</v>
      </c>
      <c r="CH164" s="1"/>
      <c r="CI164" s="5">
        <v>42.0</v>
      </c>
      <c r="CJ164" s="1"/>
      <c r="CK164" s="5">
        <v>42.0</v>
      </c>
      <c r="CL164" s="1"/>
      <c r="CM164" s="1"/>
      <c r="CO164" s="5" t="s">
        <v>58</v>
      </c>
      <c r="CP164" s="12" t="b">
        <f t="shared" si="58"/>
        <v>0</v>
      </c>
    </row>
    <row r="165" ht="15.75" hidden="1" customHeight="1">
      <c r="C165" s="71"/>
      <c r="D165" s="72" t="s">
        <v>68</v>
      </c>
      <c r="E165" s="3"/>
      <c r="F165" s="3"/>
      <c r="G165" s="3"/>
      <c r="H165" s="3"/>
      <c r="I165" s="73">
        <f t="shared" ref="I165:U165" si="136">I163/(I163+I164)</f>
        <v>0.4444444444</v>
      </c>
      <c r="J165" s="73">
        <f t="shared" si="136"/>
        <v>0.7857142857</v>
      </c>
      <c r="K165" s="73">
        <f t="shared" si="136"/>
        <v>0.625</v>
      </c>
      <c r="L165" s="73">
        <f t="shared" si="136"/>
        <v>0.5714285714</v>
      </c>
      <c r="M165" s="73">
        <f t="shared" si="136"/>
        <v>0.9090909091</v>
      </c>
      <c r="N165" s="73">
        <f t="shared" si="136"/>
        <v>1</v>
      </c>
      <c r="O165" s="73">
        <f t="shared" si="136"/>
        <v>0.9285714286</v>
      </c>
      <c r="P165" s="73">
        <f t="shared" si="136"/>
        <v>0.8620689655</v>
      </c>
      <c r="Q165" s="73">
        <f t="shared" si="136"/>
        <v>0.7419354839</v>
      </c>
      <c r="R165" s="73">
        <f t="shared" si="136"/>
        <v>0.6</v>
      </c>
      <c r="S165" s="73">
        <f t="shared" si="136"/>
        <v>0.7647058824</v>
      </c>
      <c r="T165" s="73">
        <f t="shared" si="136"/>
        <v>0.8048780488</v>
      </c>
      <c r="U165" s="73">
        <f t="shared" si="136"/>
        <v>0.8552631579</v>
      </c>
      <c r="V165" s="3"/>
      <c r="W165" s="73">
        <f>W163/(W163+W164)</f>
        <v>0.7222222222</v>
      </c>
      <c r="X165" s="3"/>
      <c r="Y165" s="73">
        <f>Y163/(Y163+Y164)</f>
        <v>0.6086956522</v>
      </c>
      <c r="Z165" s="3"/>
      <c r="AA165" s="73">
        <f>AA163/(AA163+AA164)</f>
        <v>0.6301369863</v>
      </c>
      <c r="AB165" s="3"/>
      <c r="AC165" s="73">
        <f>AC163/(AC163+AC164)</f>
        <v>0.6507936508</v>
      </c>
      <c r="AD165" s="3"/>
      <c r="AE165" s="73">
        <f>AE163/(AE163+AE164)</f>
        <v>0.65</v>
      </c>
      <c r="AF165" s="3"/>
      <c r="AG165" s="73">
        <f>AG163/(AG163+AG164)</f>
        <v>0.7605633803</v>
      </c>
      <c r="AH165" s="3"/>
      <c r="AI165" s="73">
        <f>AI163/(AI163+AI164)</f>
        <v>0.8292682927</v>
      </c>
      <c r="AJ165" s="3"/>
      <c r="AK165" s="73">
        <f>AK163/(AK163+AK164)</f>
        <v>0.5333333333</v>
      </c>
      <c r="AL165" s="3"/>
      <c r="AM165" s="73">
        <f>AM163/(AM163+AM164)</f>
        <v>0.6533333333</v>
      </c>
      <c r="AN165" s="3"/>
      <c r="AO165" s="73">
        <f>AO163/(AO163+AO164)</f>
        <v>0.7037037037</v>
      </c>
      <c r="AP165" s="3"/>
      <c r="AQ165" s="73">
        <f>AQ163/(AQ163+AQ164)</f>
        <v>0.3619047619</v>
      </c>
      <c r="AR165" s="3"/>
      <c r="AS165" s="73">
        <f>AS163/(AS163+AS164)</f>
        <v>0.5833333333</v>
      </c>
      <c r="AT165" s="3"/>
      <c r="AU165" s="73">
        <f>AU163/(AU163+AU164)</f>
        <v>0.6438356164</v>
      </c>
      <c r="AV165" s="3"/>
      <c r="AW165" s="73">
        <f>AW163/(AW163+AW164)</f>
        <v>0.6875</v>
      </c>
      <c r="AX165" s="3"/>
      <c r="AY165" s="73">
        <f>AY163/(AY163+AY164)</f>
        <v>0.6126126126</v>
      </c>
      <c r="AZ165" s="3"/>
      <c r="BA165" s="73">
        <f>BA163/(BA163+BA164)</f>
        <v>0.7466666667</v>
      </c>
      <c r="BB165" s="3"/>
      <c r="BC165" s="73">
        <f>BC163/(BC163+BC164)</f>
        <v>0.5949367089</v>
      </c>
      <c r="BD165" s="3"/>
      <c r="BE165" s="73">
        <f>BE163/(BE163+BE164)</f>
        <v>0.7352941176</v>
      </c>
      <c r="BF165" s="3"/>
      <c r="BG165" s="73">
        <f>BG163/(BG163+BG164)</f>
        <v>0.6</v>
      </c>
      <c r="BH165" s="3"/>
      <c r="BI165" s="73">
        <f>BI163/(BI163+BI164)</f>
        <v>0.7555555556</v>
      </c>
      <c r="BJ165" s="3"/>
      <c r="BK165" s="73">
        <f>BK163/(BK163+BK164)</f>
        <v>0.7727272727</v>
      </c>
      <c r="BL165" s="3"/>
      <c r="BM165" s="73">
        <f>BM163/(BM163+BM164)</f>
        <v>0.7625</v>
      </c>
      <c r="BN165" s="3"/>
      <c r="BO165" s="73">
        <f>BO163/(BO163+BO164)</f>
        <v>0.7131147541</v>
      </c>
      <c r="BP165" s="3"/>
      <c r="BQ165" s="73">
        <f>BQ163/(BQ163+BQ164)</f>
        <v>0.6888888889</v>
      </c>
      <c r="BR165" s="3"/>
      <c r="BS165" s="73">
        <f>BS163/(BS163+BS164)</f>
        <v>0.625</v>
      </c>
      <c r="BT165" s="3"/>
      <c r="BU165" s="73">
        <f>BU163/(BU163+BU164)</f>
        <v>0.6666666667</v>
      </c>
      <c r="BV165" s="3"/>
      <c r="BW165" s="73">
        <f>BW163/(BW163+BW164)</f>
        <v>0.7083333333</v>
      </c>
      <c r="BX165" s="3"/>
      <c r="BY165" s="73">
        <f>BY163/(BY163+BY164)</f>
        <v>0.6585365854</v>
      </c>
      <c r="BZ165" s="3"/>
      <c r="CA165" s="73">
        <f>CA163/(CA163+CA164)</f>
        <v>0.6818181818</v>
      </c>
      <c r="CB165" s="3"/>
      <c r="CC165" s="73">
        <f>CC163/(CC163+CC164)</f>
        <v>0.7</v>
      </c>
      <c r="CD165" s="3"/>
      <c r="CE165" s="73">
        <f>CE163/(CE163+CE164)</f>
        <v>0.7272727273</v>
      </c>
      <c r="CF165" s="3"/>
      <c r="CG165" s="73">
        <f>CG163/(CG163+CG164)</f>
        <v>0.6769230769</v>
      </c>
      <c r="CH165" s="3"/>
      <c r="CI165" s="73">
        <f>CI163/(CI163+CI164)</f>
        <v>0.7083333333</v>
      </c>
      <c r="CJ165" s="3"/>
      <c r="CK165" s="73">
        <f>CK163/(CK163+CK164)</f>
        <v>0.641025641</v>
      </c>
      <c r="CL165" s="3"/>
      <c r="CM165" s="3"/>
      <c r="CO165" s="5" t="s">
        <v>59</v>
      </c>
      <c r="CP165" s="12" t="b">
        <f t="shared" si="58"/>
        <v>0</v>
      </c>
    </row>
    <row r="166" ht="15.75" hidden="1" customHeight="1">
      <c r="C166" s="71"/>
      <c r="D166" s="1"/>
      <c r="E166" s="1"/>
      <c r="F166" s="1"/>
      <c r="G166" s="1"/>
      <c r="H166" s="1"/>
      <c r="I166" s="74"/>
      <c r="J166" s="74"/>
      <c r="K166" s="74"/>
      <c r="L166" s="74"/>
      <c r="M166" s="74"/>
      <c r="N166" s="74"/>
      <c r="O166" s="75"/>
      <c r="P166" s="75"/>
      <c r="Q166" s="75"/>
      <c r="R166" s="75"/>
      <c r="S166" s="75"/>
      <c r="T166" s="75"/>
      <c r="U166" s="75"/>
      <c r="V166" s="1"/>
      <c r="W166" s="75"/>
      <c r="X166" s="1"/>
      <c r="Y166" s="75"/>
      <c r="Z166" s="1"/>
      <c r="AA166" s="75"/>
      <c r="AB166" s="1"/>
      <c r="AC166" s="75"/>
      <c r="AD166" s="1"/>
      <c r="AE166" s="75"/>
      <c r="AF166" s="1"/>
      <c r="AG166" s="75"/>
      <c r="AH166" s="1"/>
      <c r="AI166" s="75"/>
      <c r="AJ166" s="1"/>
      <c r="AK166" s="75"/>
      <c r="AL166" s="1"/>
      <c r="AM166" s="75"/>
      <c r="AN166" s="1"/>
      <c r="AO166" s="75"/>
      <c r="AP166" s="1"/>
      <c r="AQ166" s="75"/>
      <c r="AR166" s="1"/>
      <c r="AS166" s="75"/>
      <c r="AT166" s="1"/>
      <c r="AU166" s="75"/>
      <c r="AV166" s="1"/>
      <c r="AW166" s="75"/>
      <c r="AX166" s="1"/>
      <c r="AY166" s="75"/>
      <c r="AZ166" s="1"/>
      <c r="BA166" s="75"/>
      <c r="BB166" s="1"/>
      <c r="BC166" s="75"/>
      <c r="BD166" s="1"/>
      <c r="BE166" s="75"/>
      <c r="BF166" s="1"/>
      <c r="BG166" s="75"/>
      <c r="BH166" s="1"/>
      <c r="BI166" s="75"/>
      <c r="BJ166" s="1"/>
      <c r="BK166" s="75"/>
      <c r="BL166" s="1"/>
      <c r="BM166" s="75"/>
      <c r="BN166" s="1"/>
      <c r="BO166" s="75"/>
      <c r="BP166" s="1"/>
      <c r="BQ166" s="75"/>
      <c r="BR166" s="1"/>
      <c r="BS166" s="75"/>
      <c r="BT166" s="1"/>
      <c r="BU166" s="75"/>
      <c r="BV166" s="1"/>
      <c r="BW166" s="75"/>
      <c r="BX166" s="1"/>
      <c r="BY166" s="75"/>
      <c r="BZ166" s="1"/>
      <c r="CA166" s="75"/>
      <c r="CB166" s="1"/>
      <c r="CC166" s="75"/>
      <c r="CD166" s="1"/>
      <c r="CE166" s="75"/>
      <c r="CF166" s="1"/>
      <c r="CG166" s="75"/>
      <c r="CH166" s="1"/>
      <c r="CI166" s="75"/>
      <c r="CJ166" s="1"/>
      <c r="CK166" s="75"/>
      <c r="CL166" s="1"/>
      <c r="CM166" s="1"/>
      <c r="CO166" s="5" t="s">
        <v>60</v>
      </c>
      <c r="CP166" s="12" t="b">
        <f t="shared" si="58"/>
        <v>0</v>
      </c>
    </row>
    <row r="167" ht="15.75" customHeight="1">
      <c r="C167" s="76" t="s">
        <v>69</v>
      </c>
      <c r="D167" s="7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75"/>
      <c r="Q167" s="75"/>
      <c r="R167" s="75"/>
      <c r="S167" s="75"/>
      <c r="T167" s="75"/>
      <c r="U167" s="75"/>
      <c r="V167" s="1"/>
      <c r="W167" s="75"/>
      <c r="X167" s="1"/>
      <c r="Y167" s="75"/>
      <c r="Z167" s="1"/>
      <c r="AA167" s="75"/>
      <c r="AB167" s="1"/>
      <c r="AC167" s="75"/>
      <c r="AD167" s="1"/>
      <c r="AE167" s="75"/>
      <c r="AF167" s="1"/>
      <c r="AG167" s="75"/>
      <c r="AH167" s="1"/>
      <c r="AI167" s="75"/>
      <c r="AJ167" s="1"/>
      <c r="AK167" s="75"/>
      <c r="AL167" s="1"/>
      <c r="AM167" s="75"/>
      <c r="AN167" s="1"/>
      <c r="AO167" s="75"/>
      <c r="AP167" s="75"/>
      <c r="AQ167" s="75"/>
      <c r="AR167" s="75"/>
      <c r="AS167" s="75"/>
      <c r="AT167" s="1"/>
      <c r="AU167" s="75"/>
      <c r="AV167" s="1"/>
      <c r="AW167" s="75"/>
      <c r="AX167" s="1"/>
      <c r="AY167" s="75"/>
      <c r="AZ167" s="1"/>
      <c r="BA167" s="75"/>
      <c r="BB167" s="1"/>
      <c r="BC167" s="75"/>
      <c r="BD167" s="1"/>
      <c r="BE167" s="75"/>
      <c r="BF167" s="1"/>
      <c r="BG167" s="75"/>
      <c r="BH167" s="1"/>
      <c r="BI167" s="75"/>
      <c r="BJ167" s="1"/>
      <c r="BK167" s="75"/>
      <c r="BL167" s="1"/>
      <c r="BM167" s="75"/>
      <c r="BN167" s="1"/>
      <c r="BO167" s="75"/>
      <c r="BP167" s="1"/>
      <c r="BQ167" s="75"/>
      <c r="BR167" s="1"/>
      <c r="BS167" s="75"/>
      <c r="BT167" s="1"/>
      <c r="BU167" s="75"/>
      <c r="BV167" s="1"/>
      <c r="BW167" s="75"/>
      <c r="BX167" s="1"/>
      <c r="BY167" s="75"/>
      <c r="BZ167" s="1"/>
      <c r="CA167" s="75"/>
      <c r="CB167" s="1"/>
      <c r="CC167" s="75"/>
      <c r="CD167" s="1"/>
      <c r="CE167" s="75"/>
      <c r="CF167" s="1"/>
      <c r="CG167" s="75"/>
      <c r="CH167" s="1"/>
      <c r="CI167" s="75"/>
      <c r="CJ167" s="1"/>
      <c r="CK167" s="75"/>
      <c r="CL167" s="1"/>
      <c r="CM167" s="1"/>
      <c r="CO167" s="66" t="s">
        <v>61</v>
      </c>
      <c r="CP167" s="12" t="b">
        <f t="shared" si="58"/>
        <v>0</v>
      </c>
    </row>
    <row r="168" ht="15.75" customHeight="1">
      <c r="C168" s="41" t="s">
        <v>5</v>
      </c>
      <c r="D168" s="18" t="s">
        <v>70</v>
      </c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8">
        <v>158333.33333333334</v>
      </c>
      <c r="U168" s="78">
        <v>158333.33333333334</v>
      </c>
      <c r="V168" s="77"/>
      <c r="W168" s="78">
        <v>158333.33333333334</v>
      </c>
      <c r="X168" s="77"/>
      <c r="Y168" s="78">
        <v>158333.33333333334</v>
      </c>
      <c r="Z168" s="77"/>
      <c r="AA168" s="78">
        <v>158333.33333333334</v>
      </c>
      <c r="AB168" s="77"/>
      <c r="AC168" s="78">
        <v>158333.33333333334</v>
      </c>
      <c r="AD168" s="77"/>
      <c r="AE168" s="78">
        <v>158333.33333333334</v>
      </c>
      <c r="AF168" s="78"/>
      <c r="AG168" s="78">
        <v>144533.33333333334</v>
      </c>
      <c r="AH168" s="78"/>
      <c r="AI168" s="78">
        <v>158333.33333333334</v>
      </c>
      <c r="AJ168" s="78"/>
      <c r="AK168" s="78">
        <v>291666.6666666667</v>
      </c>
      <c r="AL168" s="78"/>
      <c r="AM168" s="78">
        <v>291666.6666666667</v>
      </c>
      <c r="AN168" s="78"/>
      <c r="AO168" s="78">
        <v>200000.0</v>
      </c>
      <c r="AP168" s="78"/>
      <c r="AQ168" s="78">
        <v>200000.0</v>
      </c>
      <c r="AR168" s="78"/>
      <c r="AS168" s="78">
        <v>200000.0</v>
      </c>
      <c r="AT168" s="78"/>
      <c r="AU168" s="78">
        <v>200000.0</v>
      </c>
      <c r="AV168" s="78"/>
      <c r="AW168" s="78">
        <v>200000.0</v>
      </c>
      <c r="AX168" s="78"/>
      <c r="AY168" s="78">
        <v>266666.6666666667</v>
      </c>
      <c r="AZ168" s="78"/>
      <c r="BA168" s="78">
        <v>266666.6666666667</v>
      </c>
      <c r="BB168" s="78"/>
      <c r="BC168" s="78">
        <v>283333.3333333334</v>
      </c>
      <c r="BD168" s="78"/>
      <c r="BE168" s="78">
        <v>283333.3333333334</v>
      </c>
      <c r="BF168" s="78"/>
      <c r="BG168" s="78">
        <v>333333.3333333334</v>
      </c>
      <c r="BH168" s="78"/>
      <c r="BI168" s="78">
        <v>333333.3333333334</v>
      </c>
      <c r="BJ168" s="78"/>
      <c r="BK168" s="78">
        <v>333333.3333333334</v>
      </c>
      <c r="BL168" s="78">
        <f>66667*BL169</f>
        <v>600003</v>
      </c>
      <c r="BM168" s="78">
        <v>483333.3333333334</v>
      </c>
      <c r="BN168" s="78">
        <f>66667*BN169</f>
        <v>600003</v>
      </c>
      <c r="BO168" s="78">
        <v>483333.3333333334</v>
      </c>
      <c r="BP168" s="78">
        <f>66667*BP169</f>
        <v>600003</v>
      </c>
      <c r="BQ168" s="78">
        <v>416666.6666666667</v>
      </c>
      <c r="BR168" s="78">
        <f>66667*BR169</f>
        <v>600003</v>
      </c>
      <c r="BS168" s="78">
        <v>516666.6666666666</v>
      </c>
      <c r="BT168" s="78">
        <f>66667*BT169</f>
        <v>600003</v>
      </c>
      <c r="BU168" s="78">
        <v>616666.6666666666</v>
      </c>
      <c r="BV168" s="78">
        <f>66667*BV169</f>
        <v>600003</v>
      </c>
      <c r="BW168" s="78">
        <v>566666.6666666666</v>
      </c>
      <c r="BX168" s="78">
        <f>66667*BX169</f>
        <v>600003</v>
      </c>
      <c r="BY168" s="78">
        <v>566666.6666666666</v>
      </c>
      <c r="BZ168" s="78">
        <f>66667*BZ169</f>
        <v>600003</v>
      </c>
      <c r="CA168" s="78">
        <v>566666.6666666666</v>
      </c>
      <c r="CB168" s="78">
        <f>66667*CB169</f>
        <v>600003</v>
      </c>
      <c r="CC168" s="78">
        <v>566666.6666666666</v>
      </c>
      <c r="CD168" s="78">
        <f>66667*CD169</f>
        <v>600003</v>
      </c>
      <c r="CE168" s="78">
        <v>600000.0</v>
      </c>
      <c r="CF168" s="78">
        <f>66667*CF169</f>
        <v>600003</v>
      </c>
      <c r="CG168" s="78">
        <v>600000.0</v>
      </c>
      <c r="CH168" s="78">
        <f>66667*CH169</f>
        <v>600003</v>
      </c>
      <c r="CI168" s="79">
        <v>600000.0</v>
      </c>
      <c r="CJ168" s="78">
        <f>66667*CJ169</f>
        <v>600003</v>
      </c>
      <c r="CK168" s="79">
        <v>600000.0</v>
      </c>
      <c r="CL168" s="78">
        <f t="shared" ref="CL168:CM168" si="137">66667*CL169</f>
        <v>600003</v>
      </c>
      <c r="CM168" s="78">
        <f t="shared" si="137"/>
        <v>666670</v>
      </c>
      <c r="CO168" s="66" t="s">
        <v>62</v>
      </c>
      <c r="CP168" s="12" t="b">
        <f t="shared" si="58"/>
        <v>0</v>
      </c>
    </row>
    <row r="169" ht="15.75" customHeight="1">
      <c r="C169" s="4"/>
      <c r="D169" s="18" t="s">
        <v>71</v>
      </c>
      <c r="E169" s="1"/>
      <c r="F169" s="1"/>
      <c r="G169" s="1"/>
      <c r="H169" s="1"/>
      <c r="I169" s="1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7">
        <v>2.0</v>
      </c>
      <c r="U169" s="77">
        <v>2.0</v>
      </c>
      <c r="V169" s="1"/>
      <c r="W169" s="77">
        <v>2.0</v>
      </c>
      <c r="X169" s="1"/>
      <c r="Y169" s="77">
        <v>2.0</v>
      </c>
      <c r="Z169" s="1"/>
      <c r="AA169" s="77">
        <v>2.0</v>
      </c>
      <c r="AB169" s="1"/>
      <c r="AC169" s="77">
        <v>2.0</v>
      </c>
      <c r="AD169" s="1"/>
      <c r="AE169" s="77">
        <v>2.0</v>
      </c>
      <c r="AF169" s="1"/>
      <c r="AG169" s="77">
        <v>2.0</v>
      </c>
      <c r="AH169" s="77"/>
      <c r="AI169" s="77">
        <v>2.0</v>
      </c>
      <c r="AJ169" s="77"/>
      <c r="AK169" s="77">
        <v>4.0</v>
      </c>
      <c r="AL169" s="77"/>
      <c r="AM169" s="77">
        <v>4.0</v>
      </c>
      <c r="AN169" s="77"/>
      <c r="AO169" s="77">
        <v>3.0</v>
      </c>
      <c r="AP169" s="77"/>
      <c r="AQ169" s="77">
        <v>3.0</v>
      </c>
      <c r="AR169" s="77"/>
      <c r="AS169" s="77">
        <v>3.0</v>
      </c>
      <c r="AT169" s="77"/>
      <c r="AU169" s="77">
        <v>3.0</v>
      </c>
      <c r="AV169" s="77"/>
      <c r="AW169" s="77">
        <v>3.0</v>
      </c>
      <c r="AX169" s="77"/>
      <c r="AY169" s="77">
        <v>4.0</v>
      </c>
      <c r="AZ169" s="77"/>
      <c r="BA169" s="77">
        <v>4.0</v>
      </c>
      <c r="BB169" s="77"/>
      <c r="BC169" s="77">
        <v>4.0</v>
      </c>
      <c r="BD169" s="77"/>
      <c r="BE169" s="77">
        <v>4.0</v>
      </c>
      <c r="BF169" s="77"/>
      <c r="BG169" s="77">
        <v>5.0</v>
      </c>
      <c r="BH169" s="77"/>
      <c r="BI169" s="77">
        <v>5.0</v>
      </c>
      <c r="BJ169" s="77"/>
      <c r="BK169" s="77">
        <v>5.0</v>
      </c>
      <c r="BL169" s="77">
        <v>9.0</v>
      </c>
      <c r="BM169" s="77">
        <v>7.0</v>
      </c>
      <c r="BN169" s="77">
        <v>9.0</v>
      </c>
      <c r="BO169" s="77">
        <v>7.0</v>
      </c>
      <c r="BP169" s="77">
        <v>9.0</v>
      </c>
      <c r="BQ169" s="77">
        <v>6.0</v>
      </c>
      <c r="BR169" s="77">
        <v>9.0</v>
      </c>
      <c r="BS169" s="77">
        <v>7.0</v>
      </c>
      <c r="BT169" s="77">
        <v>9.0</v>
      </c>
      <c r="BU169" s="77">
        <v>9.0</v>
      </c>
      <c r="BV169" s="77">
        <v>9.0</v>
      </c>
      <c r="BW169" s="77">
        <v>8.0</v>
      </c>
      <c r="BX169" s="77">
        <v>9.0</v>
      </c>
      <c r="BY169" s="77">
        <v>8.0</v>
      </c>
      <c r="BZ169" s="77">
        <v>9.0</v>
      </c>
      <c r="CA169" s="77">
        <v>8.0</v>
      </c>
      <c r="CB169" s="77">
        <v>9.0</v>
      </c>
      <c r="CC169" s="77">
        <v>8.0</v>
      </c>
      <c r="CD169" s="77">
        <v>9.0</v>
      </c>
      <c r="CE169" s="77">
        <v>8.0</v>
      </c>
      <c r="CF169" s="77">
        <v>9.0</v>
      </c>
      <c r="CG169" s="77">
        <v>8.0</v>
      </c>
      <c r="CH169" s="77">
        <v>9.0</v>
      </c>
      <c r="CI169" s="80">
        <v>8.0</v>
      </c>
      <c r="CJ169" s="77">
        <v>9.0</v>
      </c>
      <c r="CK169" s="80">
        <v>8.0</v>
      </c>
      <c r="CL169" s="77">
        <v>9.0</v>
      </c>
      <c r="CM169" s="77">
        <v>10.0</v>
      </c>
      <c r="CO169" s="25" t="s">
        <v>13</v>
      </c>
      <c r="CP169" s="12" t="b">
        <f t="shared" si="58"/>
        <v>0</v>
      </c>
    </row>
    <row r="170" ht="15.75" customHeight="1">
      <c r="C170" s="4"/>
      <c r="D170" s="18" t="s">
        <v>72</v>
      </c>
      <c r="E170" s="1"/>
      <c r="F170" s="1"/>
      <c r="G170" s="1"/>
      <c r="H170" s="1"/>
      <c r="I170" s="1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>
        <v>0.0</v>
      </c>
      <c r="U170" s="78">
        <v>0.0</v>
      </c>
      <c r="V170" s="1"/>
      <c r="W170" s="78">
        <v>66666.66666666667</v>
      </c>
      <c r="X170" s="1"/>
      <c r="Y170" s="78">
        <v>66666.66666666667</v>
      </c>
      <c r="Z170" s="1"/>
      <c r="AA170" s="78">
        <v>66666.66666666667</v>
      </c>
      <c r="AB170" s="1"/>
      <c r="AC170" s="78">
        <v>66666.66666666667</v>
      </c>
      <c r="AD170" s="1"/>
      <c r="AE170" s="78">
        <v>66666.66666666667</v>
      </c>
      <c r="AF170" s="78"/>
      <c r="AG170" s="78">
        <v>66666.66666666667</v>
      </c>
      <c r="AH170" s="78"/>
      <c r="AI170" s="78">
        <v>66666.66666666667</v>
      </c>
      <c r="AJ170" s="78"/>
      <c r="AK170" s="78">
        <v>66666.66666666667</v>
      </c>
      <c r="AL170" s="78"/>
      <c r="AM170" s="78">
        <v>66666.66666666667</v>
      </c>
      <c r="AN170" s="78"/>
      <c r="AO170" s="78">
        <v>200000.0</v>
      </c>
      <c r="AP170" s="78"/>
      <c r="AQ170" s="78">
        <v>200000.0</v>
      </c>
      <c r="AR170" s="78"/>
      <c r="AS170" s="78">
        <v>200000.0</v>
      </c>
      <c r="AT170" s="78"/>
      <c r="AU170" s="78">
        <v>200000.0</v>
      </c>
      <c r="AV170" s="78"/>
      <c r="AW170" s="78">
        <v>200000.0</v>
      </c>
      <c r="AX170" s="78"/>
      <c r="AY170" s="78">
        <v>200000.0</v>
      </c>
      <c r="AZ170" s="78"/>
      <c r="BA170" s="78">
        <v>200000.0</v>
      </c>
      <c r="BB170" s="78"/>
      <c r="BC170" s="78">
        <v>283333.3333333334</v>
      </c>
      <c r="BD170" s="78"/>
      <c r="BE170" s="78">
        <v>283333.3333333334</v>
      </c>
      <c r="BF170" s="78"/>
      <c r="BG170" s="78">
        <v>283333.3333333334</v>
      </c>
      <c r="BH170" s="78"/>
      <c r="BI170" s="78">
        <v>283333.3333333334</v>
      </c>
      <c r="BJ170" s="78"/>
      <c r="BK170" s="78">
        <v>283333.3333333334</v>
      </c>
      <c r="BL170" s="78" t="str">
        <f t="shared" ref="BL170:BL171" si="138">BH168</f>
        <v/>
      </c>
      <c r="BM170" s="78">
        <v>333333.3333333334</v>
      </c>
      <c r="BN170" s="78" t="str">
        <f t="shared" ref="BN170:BN171" si="139">BJ168</f>
        <v/>
      </c>
      <c r="BO170" s="78">
        <v>400000.00000000006</v>
      </c>
      <c r="BP170" s="78">
        <f t="shared" ref="BP170:BP171" si="140">BL168</f>
        <v>600003</v>
      </c>
      <c r="BQ170" s="78">
        <v>416666.6666666667</v>
      </c>
      <c r="BR170" s="78">
        <f t="shared" ref="BR170:BR171" si="141">BN168</f>
        <v>600003</v>
      </c>
      <c r="BS170" s="78">
        <v>350000.0</v>
      </c>
      <c r="BT170" s="78">
        <f t="shared" ref="BT170:BT171" si="142">BP168</f>
        <v>600003</v>
      </c>
      <c r="BU170" s="78">
        <v>350000.0</v>
      </c>
      <c r="BV170" s="78">
        <f t="shared" ref="BV170:BV171" si="143">BR168</f>
        <v>600003</v>
      </c>
      <c r="BW170" s="78">
        <v>466666.6666666666</v>
      </c>
      <c r="BX170" s="78">
        <f t="shared" ref="BX170:BX171" si="144">BT168</f>
        <v>600003</v>
      </c>
      <c r="BY170" s="78">
        <v>566666.6666666666</v>
      </c>
      <c r="BZ170" s="78">
        <f t="shared" ref="BZ170:BZ171" si="145">BV168</f>
        <v>600003</v>
      </c>
      <c r="CA170" s="78">
        <v>566666.6666666666</v>
      </c>
      <c r="CB170" s="78">
        <f t="shared" ref="CB170:CB171" si="146">BX168</f>
        <v>600003</v>
      </c>
      <c r="CC170" s="78">
        <v>566666.6666666666</v>
      </c>
      <c r="CD170" s="78">
        <f t="shared" ref="CD170:CD171" si="147">BZ168</f>
        <v>600003</v>
      </c>
      <c r="CE170" s="78">
        <v>600000.0</v>
      </c>
      <c r="CF170" s="78">
        <f t="shared" ref="CF170:CF171" si="148">CB168</f>
        <v>600003</v>
      </c>
      <c r="CG170" s="78">
        <v>600000.0</v>
      </c>
      <c r="CH170" s="78">
        <f t="shared" ref="CH170:CH171" si="149">CD168</f>
        <v>600003</v>
      </c>
      <c r="CI170" s="79">
        <v>600000.0</v>
      </c>
      <c r="CJ170" s="78">
        <f t="shared" ref="CJ170:CJ171" si="150">CF168</f>
        <v>600003</v>
      </c>
      <c r="CK170" s="79">
        <v>600000.0</v>
      </c>
      <c r="CL170" s="78">
        <f t="shared" ref="CL170:CL171" si="151">CH168</f>
        <v>600003</v>
      </c>
      <c r="CM170" s="78">
        <f t="shared" ref="CM170:CM171" si="152">CJ168</f>
        <v>600003</v>
      </c>
      <c r="CO170" s="1"/>
      <c r="CP170" s="12" t="b">
        <f t="shared" si="58"/>
        <v>0</v>
      </c>
    </row>
    <row r="171" ht="15.75" customHeight="1">
      <c r="C171" s="4"/>
      <c r="D171" s="18" t="s">
        <v>73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77">
        <v>0.0</v>
      </c>
      <c r="U171" s="77">
        <v>0.0</v>
      </c>
      <c r="V171" s="1"/>
      <c r="W171" s="77">
        <v>2.0</v>
      </c>
      <c r="X171" s="1"/>
      <c r="Y171" s="77">
        <v>2.0</v>
      </c>
      <c r="Z171" s="1"/>
      <c r="AA171" s="77">
        <v>2.0</v>
      </c>
      <c r="AB171" s="1"/>
      <c r="AC171" s="77">
        <v>2.0</v>
      </c>
      <c r="AD171" s="1"/>
      <c r="AE171" s="77">
        <v>2.0</v>
      </c>
      <c r="AF171" s="77"/>
      <c r="AG171" s="77">
        <v>2.0</v>
      </c>
      <c r="AH171" s="77"/>
      <c r="AI171" s="77">
        <v>2.0</v>
      </c>
      <c r="AJ171" s="77"/>
      <c r="AK171" s="77">
        <v>2.0</v>
      </c>
      <c r="AL171" s="77"/>
      <c r="AM171" s="77">
        <v>2.0</v>
      </c>
      <c r="AN171" s="77"/>
      <c r="AO171" s="77">
        <v>4.0</v>
      </c>
      <c r="AP171" s="77"/>
      <c r="AQ171" s="77">
        <v>4.0</v>
      </c>
      <c r="AR171" s="77"/>
      <c r="AS171" s="77">
        <v>4.0</v>
      </c>
      <c r="AT171" s="77"/>
      <c r="AU171" s="77">
        <v>4.0</v>
      </c>
      <c r="AV171" s="77"/>
      <c r="AW171" s="77">
        <v>4.0</v>
      </c>
      <c r="AX171" s="77"/>
      <c r="AY171" s="77">
        <v>4.0</v>
      </c>
      <c r="AZ171" s="77"/>
      <c r="BA171" s="77">
        <v>4.0</v>
      </c>
      <c r="BB171" s="77"/>
      <c r="BC171" s="77">
        <v>5.0</v>
      </c>
      <c r="BD171" s="77"/>
      <c r="BE171" s="77">
        <v>5.0</v>
      </c>
      <c r="BF171" s="77"/>
      <c r="BG171" s="77">
        <v>5.0</v>
      </c>
      <c r="BH171" s="77"/>
      <c r="BI171" s="77">
        <v>5.0</v>
      </c>
      <c r="BJ171" s="77"/>
      <c r="BK171" s="77">
        <v>5.0</v>
      </c>
      <c r="BL171" s="77" t="str">
        <f t="shared" si="138"/>
        <v/>
      </c>
      <c r="BM171" s="77">
        <v>5.0</v>
      </c>
      <c r="BN171" s="77" t="str">
        <f t="shared" si="139"/>
        <v/>
      </c>
      <c r="BO171" s="77">
        <v>6.0</v>
      </c>
      <c r="BP171" s="77">
        <f t="shared" si="140"/>
        <v>9</v>
      </c>
      <c r="BQ171" s="77">
        <v>6.0</v>
      </c>
      <c r="BR171" s="77">
        <f t="shared" si="141"/>
        <v>9</v>
      </c>
      <c r="BS171" s="77">
        <v>5.0</v>
      </c>
      <c r="BT171" s="77">
        <f t="shared" si="142"/>
        <v>9</v>
      </c>
      <c r="BU171" s="77">
        <v>5.0</v>
      </c>
      <c r="BV171" s="77">
        <f t="shared" si="143"/>
        <v>9</v>
      </c>
      <c r="BW171" s="77">
        <v>6.0</v>
      </c>
      <c r="BX171" s="77">
        <f t="shared" si="144"/>
        <v>9</v>
      </c>
      <c r="BY171" s="77">
        <v>8.0</v>
      </c>
      <c r="BZ171" s="77">
        <f t="shared" si="145"/>
        <v>9</v>
      </c>
      <c r="CA171" s="77">
        <v>8.0</v>
      </c>
      <c r="CB171" s="77">
        <f t="shared" si="146"/>
        <v>9</v>
      </c>
      <c r="CC171" s="77">
        <v>8.0</v>
      </c>
      <c r="CD171" s="77">
        <f t="shared" si="147"/>
        <v>9</v>
      </c>
      <c r="CE171" s="77">
        <v>8.0</v>
      </c>
      <c r="CF171" s="77">
        <f t="shared" si="148"/>
        <v>9</v>
      </c>
      <c r="CG171" s="77">
        <v>8.0</v>
      </c>
      <c r="CH171" s="77">
        <f t="shared" si="149"/>
        <v>9</v>
      </c>
      <c r="CI171" s="77">
        <v>8.0</v>
      </c>
      <c r="CJ171" s="77">
        <f t="shared" si="150"/>
        <v>9</v>
      </c>
      <c r="CK171" s="77">
        <v>8.0</v>
      </c>
      <c r="CL171" s="77">
        <f t="shared" si="151"/>
        <v>9</v>
      </c>
      <c r="CM171" s="77">
        <f t="shared" si="152"/>
        <v>9</v>
      </c>
      <c r="CO171" s="52"/>
      <c r="CP171" s="12" t="b">
        <f t="shared" si="58"/>
        <v>0</v>
      </c>
    </row>
    <row r="172" ht="15.75" customHeight="1">
      <c r="C172" s="4"/>
      <c r="D172" s="72" t="s">
        <v>74</v>
      </c>
      <c r="E172" s="3"/>
      <c r="F172" s="3"/>
      <c r="G172" s="3"/>
      <c r="H172" s="3"/>
      <c r="I172" s="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>
        <f t="shared" ref="T172:U172" si="153">T170/T168</f>
        <v>0</v>
      </c>
      <c r="U172" s="73">
        <f t="shared" si="153"/>
        <v>0</v>
      </c>
      <c r="V172" s="73"/>
      <c r="W172" s="73">
        <f>W170/W168</f>
        <v>0.4210526316</v>
      </c>
      <c r="X172" s="73"/>
      <c r="Y172" s="73">
        <f>Y170/Y168</f>
        <v>0.4210526316</v>
      </c>
      <c r="Z172" s="73"/>
      <c r="AA172" s="81">
        <f>AA170/AA168</f>
        <v>0.4210526316</v>
      </c>
      <c r="AB172" s="73"/>
      <c r="AC172" s="81">
        <f>AC170/AC168</f>
        <v>0.4210526316</v>
      </c>
      <c r="AD172" s="1"/>
      <c r="AE172" s="81">
        <f>AE170/AE168</f>
        <v>0.4210526316</v>
      </c>
      <c r="AF172" s="74"/>
      <c r="AG172" s="81">
        <f>AG170/AG168</f>
        <v>0.4612546125</v>
      </c>
      <c r="AH172" s="73"/>
      <c r="AI172" s="81">
        <f>AI170/AI168</f>
        <v>0.4210526316</v>
      </c>
      <c r="AJ172" s="73"/>
      <c r="AK172" s="81">
        <f>AK170/AK168</f>
        <v>0.2285714286</v>
      </c>
      <c r="AL172" s="73"/>
      <c r="AM172" s="81">
        <f>AM170/AM168</f>
        <v>0.2285714286</v>
      </c>
      <c r="AN172" s="73"/>
      <c r="AO172" s="81">
        <f>AO170/AO168</f>
        <v>1</v>
      </c>
      <c r="AP172" s="73"/>
      <c r="AQ172" s="81">
        <f>AQ170/AQ168</f>
        <v>1</v>
      </c>
      <c r="AR172" s="73"/>
      <c r="AS172" s="81">
        <f>AS170/AS168</f>
        <v>1</v>
      </c>
      <c r="AT172" s="73"/>
      <c r="AU172" s="81">
        <f>AU170/AU168</f>
        <v>1</v>
      </c>
      <c r="AV172" s="73"/>
      <c r="AW172" s="81">
        <f>AW170/AW168</f>
        <v>1</v>
      </c>
      <c r="AX172" s="73"/>
      <c r="AY172" s="81">
        <f>AY170/AY168</f>
        <v>0.75</v>
      </c>
      <c r="AZ172" s="73"/>
      <c r="BA172" s="81">
        <f>BA170/BA168</f>
        <v>0.75</v>
      </c>
      <c r="BB172" s="73"/>
      <c r="BC172" s="81">
        <f>BC170/BC168</f>
        <v>1</v>
      </c>
      <c r="BD172" s="73"/>
      <c r="BE172" s="81">
        <f t="shared" ref="BE172:BI172" si="154">BE170/BE168</f>
        <v>1</v>
      </c>
      <c r="BF172" s="73" t="str">
        <f t="shared" si="154"/>
        <v>#DIV/0!</v>
      </c>
      <c r="BG172" s="81">
        <f t="shared" si="154"/>
        <v>0.85</v>
      </c>
      <c r="BH172" s="73" t="str">
        <f t="shared" si="154"/>
        <v>#DIV/0!</v>
      </c>
      <c r="BI172" s="81">
        <f t="shared" si="154"/>
        <v>0.85</v>
      </c>
      <c r="BJ172" s="73"/>
      <c r="BK172" s="81">
        <f t="shared" ref="BK172:CM172" si="155">BK170/BK168</f>
        <v>0.85</v>
      </c>
      <c r="BL172" s="73">
        <f t="shared" si="155"/>
        <v>0</v>
      </c>
      <c r="BM172" s="81">
        <f t="shared" si="155"/>
        <v>0.6896551724</v>
      </c>
      <c r="BN172" s="73">
        <f t="shared" si="155"/>
        <v>0</v>
      </c>
      <c r="BO172" s="81">
        <f t="shared" si="155"/>
        <v>0.8275862069</v>
      </c>
      <c r="BP172" s="73">
        <f t="shared" si="155"/>
        <v>1</v>
      </c>
      <c r="BQ172" s="81">
        <f t="shared" si="155"/>
        <v>1</v>
      </c>
      <c r="BR172" s="73">
        <f t="shared" si="155"/>
        <v>1</v>
      </c>
      <c r="BS172" s="81">
        <f t="shared" si="155"/>
        <v>0.6774193548</v>
      </c>
      <c r="BT172" s="73">
        <f t="shared" si="155"/>
        <v>1</v>
      </c>
      <c r="BU172" s="81">
        <f t="shared" si="155"/>
        <v>0.5675675676</v>
      </c>
      <c r="BV172" s="73">
        <f t="shared" si="155"/>
        <v>1</v>
      </c>
      <c r="BW172" s="81">
        <f t="shared" si="155"/>
        <v>0.8235294118</v>
      </c>
      <c r="BX172" s="73">
        <f t="shared" si="155"/>
        <v>1</v>
      </c>
      <c r="BY172" s="81">
        <f t="shared" si="155"/>
        <v>1</v>
      </c>
      <c r="BZ172" s="73">
        <f t="shared" si="155"/>
        <v>1</v>
      </c>
      <c r="CA172" s="81">
        <f t="shared" si="155"/>
        <v>1</v>
      </c>
      <c r="CB172" s="73">
        <f t="shared" si="155"/>
        <v>1</v>
      </c>
      <c r="CC172" s="81">
        <f t="shared" si="155"/>
        <v>1</v>
      </c>
      <c r="CD172" s="73">
        <f t="shared" si="155"/>
        <v>1</v>
      </c>
      <c r="CE172" s="81">
        <f t="shared" si="155"/>
        <v>1</v>
      </c>
      <c r="CF172" s="73">
        <f t="shared" si="155"/>
        <v>1</v>
      </c>
      <c r="CG172" s="81">
        <f t="shared" si="155"/>
        <v>1</v>
      </c>
      <c r="CH172" s="73">
        <f t="shared" si="155"/>
        <v>1</v>
      </c>
      <c r="CI172" s="81">
        <f t="shared" si="155"/>
        <v>1</v>
      </c>
      <c r="CJ172" s="73">
        <f t="shared" si="155"/>
        <v>1</v>
      </c>
      <c r="CK172" s="81">
        <f t="shared" si="155"/>
        <v>1</v>
      </c>
      <c r="CL172" s="73">
        <f t="shared" si="155"/>
        <v>1</v>
      </c>
      <c r="CM172" s="73">
        <f t="shared" si="155"/>
        <v>0.9</v>
      </c>
      <c r="CO172" s="5" t="s">
        <v>64</v>
      </c>
      <c r="CP172" s="12" t="b">
        <f t="shared" si="58"/>
        <v>0</v>
      </c>
    </row>
    <row r="173" ht="15.75" customHeight="1">
      <c r="C173" s="4"/>
      <c r="D173" s="72" t="s">
        <v>75</v>
      </c>
      <c r="E173" s="3"/>
      <c r="F173" s="3"/>
      <c r="G173" s="3"/>
      <c r="H173" s="3"/>
      <c r="I173" s="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>
        <f t="shared" ref="T173:U173" si="156">IFERROR(T11/T170,0)</f>
        <v>0</v>
      </c>
      <c r="U173" s="73">
        <f t="shared" si="156"/>
        <v>0</v>
      </c>
      <c r="V173" s="1"/>
      <c r="W173" s="73">
        <f>IFERROR(W11/W170,0)</f>
        <v>1.635</v>
      </c>
      <c r="X173" s="1"/>
      <c r="Y173" s="73">
        <f>IFERROR(Y11/Y170,0)</f>
        <v>1.77585</v>
      </c>
      <c r="Z173" s="1"/>
      <c r="AA173" s="73">
        <f>IFERROR(AA11/AA170,0)</f>
        <v>3.42375</v>
      </c>
      <c r="AB173" s="1"/>
      <c r="AC173" s="73">
        <f>IFERROR(AC11/AC170,0)</f>
        <v>1.995</v>
      </c>
      <c r="AD173" s="1"/>
      <c r="AE173" s="73">
        <f>IFERROR(AE11/AE170,0)</f>
        <v>2.611125</v>
      </c>
      <c r="AF173" s="1"/>
      <c r="AG173" s="73">
        <f>IFERROR(AG11/AG170,0)</f>
        <v>3.8922</v>
      </c>
      <c r="AH173" s="1"/>
      <c r="AI173" s="73">
        <f>IFERROR(AI11/AI170,0)</f>
        <v>2.727</v>
      </c>
      <c r="AJ173" s="1"/>
      <c r="AK173" s="73">
        <f>IFERROR(AK11/AK170,0)</f>
        <v>2.412</v>
      </c>
      <c r="AL173" s="1"/>
      <c r="AM173" s="73">
        <f>IFERROR(AM11/AM170,0)</f>
        <v>3.252</v>
      </c>
      <c r="AN173" s="1"/>
      <c r="AO173" s="73">
        <f>IFERROR(AO11/AO170,0)</f>
        <v>0.555</v>
      </c>
      <c r="AP173" s="1"/>
      <c r="AQ173" s="73">
        <f>IFERROR(AQ11/AQ170,0)</f>
        <v>0.7806</v>
      </c>
      <c r="AR173" s="1"/>
      <c r="AS173" s="73">
        <f>IFERROR(AS11/AS170,0)</f>
        <v>1.1065</v>
      </c>
      <c r="AT173" s="1"/>
      <c r="AU173" s="73">
        <f>IFERROR(AU11/AU170,0)</f>
        <v>0.93</v>
      </c>
      <c r="AV173" s="1"/>
      <c r="AW173" s="73">
        <f>IFERROR(AW11/AW170,0)</f>
        <v>1.5695</v>
      </c>
      <c r="AX173" s="1"/>
      <c r="AY173" s="73">
        <f>IFERROR(AY11/AY170,0)</f>
        <v>1.60778</v>
      </c>
      <c r="AZ173" s="1"/>
      <c r="BA173" s="73">
        <f>IFERROR(BA11/BA170,0)</f>
        <v>1.25716665</v>
      </c>
      <c r="BB173" s="1"/>
      <c r="BC173" s="73">
        <f>IFERROR(BC11/BC170,0)</f>
        <v>0.8800588235</v>
      </c>
      <c r="BD173" s="1"/>
      <c r="BE173" s="73">
        <f>IFERROR(BE11/BE170,0)</f>
        <v>1.038705882</v>
      </c>
      <c r="BF173" s="1"/>
      <c r="BG173" s="73">
        <f>IFERROR(BG11/BG170,0)</f>
        <v>0.9125294118</v>
      </c>
      <c r="BH173" s="1"/>
      <c r="BI173" s="73">
        <f>IFERROR(BI11/BI170,0)</f>
        <v>1.228118824</v>
      </c>
      <c r="BJ173" s="1"/>
      <c r="BK173" s="73">
        <f>IFERROR(BK11/BK170,0)</f>
        <v>1.517005553</v>
      </c>
      <c r="BL173" s="1"/>
      <c r="BM173" s="73">
        <f>IFERROR(BM11/BM170,0)</f>
        <v>0.955587</v>
      </c>
      <c r="BN173" s="1"/>
      <c r="BO173" s="73">
        <f>IFERROR(BO11/BO170,0)</f>
        <v>1.36789</v>
      </c>
      <c r="BP173" s="1"/>
      <c r="BQ173" s="73">
        <f>IFERROR(BQ11/BQ170,0)</f>
        <v>1.17036</v>
      </c>
      <c r="BR173" s="1"/>
      <c r="BS173" s="73">
        <f>IFERROR(BS11/BS170,0)</f>
        <v>0.9374285714</v>
      </c>
      <c r="BT173" s="1"/>
      <c r="BU173" s="73">
        <f>IFERROR(BU11/BU170,0)</f>
        <v>1.112257143</v>
      </c>
      <c r="BV173" s="1"/>
      <c r="BW173" s="73">
        <f>IFERROR(BW11/BW170,0)</f>
        <v>1.367385</v>
      </c>
      <c r="BX173" s="1"/>
      <c r="BY173" s="73">
        <f>IFERROR(BY11/BY170,0)</f>
        <v>0.7523647059</v>
      </c>
      <c r="BZ173" s="1"/>
      <c r="CA173" s="73">
        <f>IFERROR(CA11/CA170,0)</f>
        <v>0.9770823529</v>
      </c>
      <c r="CB173" s="1"/>
      <c r="CC173" s="73">
        <f>IFERROR(CC11/CC170,0)</f>
        <v>0.9057</v>
      </c>
      <c r="CD173" s="1"/>
      <c r="CE173" s="73">
        <f>IFERROR(CE11/CE170,0)</f>
        <v>0.9988166667</v>
      </c>
      <c r="CF173" s="1"/>
      <c r="CG173" s="73">
        <f>IFERROR(CG11/CG170,0)</f>
        <v>0.9135333333</v>
      </c>
      <c r="CH173" s="1"/>
      <c r="CI173" s="73">
        <f>IFERROR(CI11/CI170,0)</f>
        <v>1.036625</v>
      </c>
      <c r="CJ173" s="1"/>
      <c r="CK173" s="73">
        <f>IFERROR(CK11/CK170,0)</f>
        <v>0.692975</v>
      </c>
      <c r="CL173" s="1"/>
      <c r="CM173" s="1"/>
      <c r="CO173" s="5" t="s">
        <v>65</v>
      </c>
      <c r="CP173" s="12" t="b">
        <f t="shared" si="58"/>
        <v>0</v>
      </c>
    </row>
    <row r="174" ht="15.75" customHeight="1">
      <c r="C174" s="4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75"/>
      <c r="AQ174" s="1"/>
      <c r="AR174" s="75"/>
      <c r="AS174" s="1"/>
      <c r="AT174" s="1"/>
      <c r="AU174" s="1"/>
      <c r="AV174" s="78"/>
      <c r="AW174" s="1"/>
      <c r="AX174" s="78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O174" s="1"/>
      <c r="CP174" s="12" t="b">
        <f t="shared" si="58"/>
        <v>1</v>
      </c>
    </row>
    <row r="175" ht="15.75" customHeight="1">
      <c r="C175" s="41" t="s">
        <v>7</v>
      </c>
      <c r="D175" s="18" t="s">
        <v>70</v>
      </c>
      <c r="E175" s="1"/>
      <c r="F175" s="1"/>
      <c r="G175" s="1"/>
      <c r="H175" s="1"/>
      <c r="I175" s="1"/>
      <c r="J175" s="78">
        <v>62500.0</v>
      </c>
      <c r="K175" s="78">
        <v>62500.0</v>
      </c>
      <c r="L175" s="78">
        <v>62500.0</v>
      </c>
      <c r="M175" s="78">
        <v>62500.0</v>
      </c>
      <c r="N175" s="78">
        <v>62500.0</v>
      </c>
      <c r="O175" s="78">
        <v>125000.0</v>
      </c>
      <c r="P175" s="78">
        <v>187500.0</v>
      </c>
      <c r="Q175" s="78">
        <v>250000.0</v>
      </c>
      <c r="R175" s="78">
        <v>250000.0</v>
      </c>
      <c r="S175" s="78">
        <v>187500.0</v>
      </c>
      <c r="T175" s="78">
        <v>187500.0</v>
      </c>
      <c r="U175" s="78">
        <v>187500.0</v>
      </c>
      <c r="V175" s="78"/>
      <c r="W175" s="78">
        <v>187500.0</v>
      </c>
      <c r="X175" s="1"/>
      <c r="Y175" s="78">
        <v>187500.0</v>
      </c>
      <c r="Z175" s="1"/>
      <c r="AA175" s="78">
        <v>187500.0</v>
      </c>
      <c r="AB175" s="1"/>
      <c r="AC175" s="78">
        <v>187500.0</v>
      </c>
      <c r="AD175" s="1"/>
      <c r="AE175" s="78">
        <v>187500.0</v>
      </c>
      <c r="AF175" s="77"/>
      <c r="AG175" s="78">
        <v>201300.0</v>
      </c>
      <c r="AH175" s="78"/>
      <c r="AI175" s="78">
        <v>187500.0</v>
      </c>
      <c r="AJ175" s="78"/>
      <c r="AK175" s="78">
        <v>187500.0</v>
      </c>
      <c r="AL175" s="78"/>
      <c r="AM175" s="78">
        <v>187500.0</v>
      </c>
      <c r="AN175" s="78"/>
      <c r="AO175" s="78">
        <v>187500.0</v>
      </c>
      <c r="AP175" s="78"/>
      <c r="AQ175" s="78">
        <v>187500.0</v>
      </c>
      <c r="AR175" s="78"/>
      <c r="AS175" s="78">
        <v>187500.0</v>
      </c>
      <c r="AT175" s="78"/>
      <c r="AU175" s="78">
        <v>187500.0</v>
      </c>
      <c r="AV175" s="78"/>
      <c r="AW175" s="78">
        <v>187500.0</v>
      </c>
      <c r="AX175" s="78"/>
      <c r="AY175" s="78">
        <v>187500.0</v>
      </c>
      <c r="AZ175" s="78"/>
      <c r="BA175" s="78">
        <v>187500.0</v>
      </c>
      <c r="BB175" s="78"/>
      <c r="BC175" s="78">
        <v>187500.0</v>
      </c>
      <c r="BD175" s="78"/>
      <c r="BE175" s="78">
        <v>187500.0</v>
      </c>
      <c r="BF175" s="78"/>
      <c r="BG175" s="78">
        <v>187500.0</v>
      </c>
      <c r="BH175" s="78"/>
      <c r="BI175" s="78">
        <v>237500.0</v>
      </c>
      <c r="BJ175" s="78"/>
      <c r="BK175" s="78">
        <v>237500.0</v>
      </c>
      <c r="BL175" s="78">
        <f>62500*BL176</f>
        <v>375000</v>
      </c>
      <c r="BM175" s="78">
        <v>237500.0</v>
      </c>
      <c r="BN175" s="78">
        <f>62500*BN176</f>
        <v>375000</v>
      </c>
      <c r="BO175" s="78">
        <v>175000.0</v>
      </c>
      <c r="BP175" s="78">
        <f>62500*BP176</f>
        <v>437500</v>
      </c>
      <c r="BQ175" s="78">
        <v>175000.0</v>
      </c>
      <c r="BR175" s="78">
        <f>62500*BR176</f>
        <v>437500</v>
      </c>
      <c r="BS175" s="78">
        <v>266666.6666666667</v>
      </c>
      <c r="BT175" s="78">
        <f>62500*BT176</f>
        <v>312500</v>
      </c>
      <c r="BU175" s="78">
        <v>266666.6666666667</v>
      </c>
      <c r="BV175" s="78">
        <f>62500*BV176</f>
        <v>312500</v>
      </c>
      <c r="BW175" s="78">
        <v>266666.6666666667</v>
      </c>
      <c r="BX175" s="78">
        <f>62500*BX176</f>
        <v>312500</v>
      </c>
      <c r="BY175" s="78">
        <v>266666.6666666667</v>
      </c>
      <c r="BZ175" s="78">
        <f>62500*BZ176</f>
        <v>312500</v>
      </c>
      <c r="CA175" s="78">
        <v>266666.6666666667</v>
      </c>
      <c r="CB175" s="78">
        <f>62500*CB176</f>
        <v>375000</v>
      </c>
      <c r="CC175" s="78">
        <v>266666.6666666667</v>
      </c>
      <c r="CD175" s="78">
        <f>62500*CD176</f>
        <v>375000</v>
      </c>
      <c r="CE175" s="78">
        <v>266666.6666666667</v>
      </c>
      <c r="CF175" s="78">
        <f>62500*CF176</f>
        <v>375000</v>
      </c>
      <c r="CG175" s="78">
        <v>266666.6666666667</v>
      </c>
      <c r="CH175" s="78">
        <f>62500*CH176</f>
        <v>375000</v>
      </c>
      <c r="CI175" s="78">
        <v>266666.6666666667</v>
      </c>
      <c r="CJ175" s="78">
        <f>62500*CJ176</f>
        <v>375000</v>
      </c>
      <c r="CK175" s="78">
        <v>266666.6666666667</v>
      </c>
      <c r="CL175" s="78">
        <f t="shared" ref="CL175:CM175" si="157">62500*CL176</f>
        <v>375000</v>
      </c>
      <c r="CM175" s="78">
        <f t="shared" si="157"/>
        <v>375000</v>
      </c>
      <c r="CO175" s="5" t="s">
        <v>66</v>
      </c>
      <c r="CP175" s="12" t="b">
        <f t="shared" si="58"/>
        <v>0</v>
      </c>
    </row>
    <row r="176" ht="15.75" customHeight="1">
      <c r="C176" s="4"/>
      <c r="D176" s="18" t="s">
        <v>71</v>
      </c>
      <c r="E176" s="1"/>
      <c r="F176" s="1"/>
      <c r="G176" s="1"/>
      <c r="H176" s="1"/>
      <c r="I176" s="1"/>
      <c r="J176" s="77">
        <v>1.0</v>
      </c>
      <c r="K176" s="77">
        <v>1.0</v>
      </c>
      <c r="L176" s="77">
        <v>1.0</v>
      </c>
      <c r="M176" s="77">
        <v>1.0</v>
      </c>
      <c r="N176" s="77">
        <v>1.0</v>
      </c>
      <c r="O176" s="77">
        <v>2.0</v>
      </c>
      <c r="P176" s="77">
        <v>3.0</v>
      </c>
      <c r="Q176" s="77">
        <v>4.0</v>
      </c>
      <c r="R176" s="77">
        <v>4.0</v>
      </c>
      <c r="S176" s="77">
        <v>3.0</v>
      </c>
      <c r="T176" s="77">
        <v>3.0</v>
      </c>
      <c r="U176" s="77">
        <v>3.0</v>
      </c>
      <c r="V176" s="77"/>
      <c r="W176" s="77">
        <v>3.0</v>
      </c>
      <c r="X176" s="1"/>
      <c r="Y176" s="77">
        <v>3.0</v>
      </c>
      <c r="Z176" s="1"/>
      <c r="AA176" s="77">
        <v>3.0</v>
      </c>
      <c r="AB176" s="1"/>
      <c r="AC176" s="77">
        <v>3.0</v>
      </c>
      <c r="AD176" s="1"/>
      <c r="AE176" s="77">
        <v>3.0</v>
      </c>
      <c r="AF176" s="1"/>
      <c r="AG176" s="77">
        <v>3.0</v>
      </c>
      <c r="AH176" s="77"/>
      <c r="AI176" s="77">
        <v>3.0</v>
      </c>
      <c r="AJ176" s="77"/>
      <c r="AK176" s="77">
        <v>3.0</v>
      </c>
      <c r="AL176" s="77"/>
      <c r="AM176" s="77">
        <v>3.0</v>
      </c>
      <c r="AN176" s="77"/>
      <c r="AO176" s="77">
        <v>3.0</v>
      </c>
      <c r="AP176" s="77"/>
      <c r="AQ176" s="77">
        <v>3.0</v>
      </c>
      <c r="AR176" s="77"/>
      <c r="AS176" s="77">
        <v>3.0</v>
      </c>
      <c r="AT176" s="77"/>
      <c r="AU176" s="77">
        <v>3.0</v>
      </c>
      <c r="AV176" s="77"/>
      <c r="AW176" s="77">
        <v>3.0</v>
      </c>
      <c r="AX176" s="77"/>
      <c r="AY176" s="77">
        <v>3.0</v>
      </c>
      <c r="AZ176" s="77"/>
      <c r="BA176" s="77">
        <v>3.0</v>
      </c>
      <c r="BB176" s="77"/>
      <c r="BC176" s="77">
        <v>3.0</v>
      </c>
      <c r="BD176" s="77"/>
      <c r="BE176" s="77">
        <v>3.0</v>
      </c>
      <c r="BF176" s="77"/>
      <c r="BG176" s="77">
        <v>3.0</v>
      </c>
      <c r="BH176" s="77"/>
      <c r="BI176" s="77">
        <v>4.0</v>
      </c>
      <c r="BJ176" s="77"/>
      <c r="BK176" s="77">
        <v>4.0</v>
      </c>
      <c r="BL176" s="77">
        <v>6.0</v>
      </c>
      <c r="BM176" s="77">
        <v>4.0</v>
      </c>
      <c r="BN176" s="77">
        <v>6.0</v>
      </c>
      <c r="BO176" s="77">
        <v>3.0</v>
      </c>
      <c r="BP176" s="77">
        <v>7.0</v>
      </c>
      <c r="BQ176" s="77">
        <v>3.0</v>
      </c>
      <c r="BR176" s="77">
        <v>7.0</v>
      </c>
      <c r="BS176" s="77">
        <v>4.0</v>
      </c>
      <c r="BT176" s="77">
        <v>5.0</v>
      </c>
      <c r="BU176" s="77">
        <v>4.0</v>
      </c>
      <c r="BV176" s="77">
        <v>5.0</v>
      </c>
      <c r="BW176" s="77">
        <v>4.0</v>
      </c>
      <c r="BX176" s="77">
        <v>5.0</v>
      </c>
      <c r="BY176" s="77">
        <v>4.0</v>
      </c>
      <c r="BZ176" s="77">
        <v>5.0</v>
      </c>
      <c r="CA176" s="77">
        <v>4.0</v>
      </c>
      <c r="CB176" s="77">
        <v>6.0</v>
      </c>
      <c r="CC176" s="77">
        <v>4.0</v>
      </c>
      <c r="CD176" s="77">
        <v>6.0</v>
      </c>
      <c r="CE176" s="77">
        <v>4.0</v>
      </c>
      <c r="CF176" s="77">
        <v>6.0</v>
      </c>
      <c r="CG176" s="77">
        <v>4.0</v>
      </c>
      <c r="CH176" s="77">
        <v>6.0</v>
      </c>
      <c r="CI176" s="77">
        <v>4.0</v>
      </c>
      <c r="CJ176" s="77">
        <v>6.0</v>
      </c>
      <c r="CK176" s="77">
        <v>4.0</v>
      </c>
      <c r="CL176" s="77">
        <v>6.0</v>
      </c>
      <c r="CM176" s="77">
        <v>6.0</v>
      </c>
      <c r="CO176" s="5" t="s">
        <v>67</v>
      </c>
      <c r="CP176" s="12" t="b">
        <f t="shared" si="58"/>
        <v>0</v>
      </c>
    </row>
    <row r="177" ht="15.75" customHeight="1">
      <c r="C177" s="4"/>
      <c r="D177" s="18" t="s">
        <v>72</v>
      </c>
      <c r="E177" s="1"/>
      <c r="F177" s="1"/>
      <c r="G177" s="1"/>
      <c r="H177" s="1"/>
      <c r="I177" s="1"/>
      <c r="J177" s="78">
        <v>0.0</v>
      </c>
      <c r="K177" s="78">
        <v>0.0</v>
      </c>
      <c r="L177" s="78">
        <v>62500.0</v>
      </c>
      <c r="M177" s="78">
        <v>62500.0</v>
      </c>
      <c r="N177" s="78">
        <v>62500.0</v>
      </c>
      <c r="O177" s="78">
        <v>62500.0</v>
      </c>
      <c r="P177" s="78">
        <v>62500.0</v>
      </c>
      <c r="Q177" s="78">
        <v>125000.0</v>
      </c>
      <c r="R177" s="78">
        <v>187500.0</v>
      </c>
      <c r="S177" s="78">
        <v>125000.0</v>
      </c>
      <c r="T177" s="78">
        <v>125000.0</v>
      </c>
      <c r="U177" s="78">
        <v>187500.0</v>
      </c>
      <c r="V177" s="78"/>
      <c r="W177" s="78">
        <v>125000.0</v>
      </c>
      <c r="X177" s="1"/>
      <c r="Y177" s="78">
        <v>125000.0</v>
      </c>
      <c r="Z177" s="1"/>
      <c r="AA177" s="78">
        <v>187500.0</v>
      </c>
      <c r="AB177" s="1"/>
      <c r="AC177" s="78">
        <v>187500.0</v>
      </c>
      <c r="AD177" s="1"/>
      <c r="AE177" s="78">
        <v>187500.0</v>
      </c>
      <c r="AF177" s="77"/>
      <c r="AG177" s="78">
        <v>187500.0</v>
      </c>
      <c r="AH177" s="78"/>
      <c r="AI177" s="78">
        <v>187500.0</v>
      </c>
      <c r="AJ177" s="78"/>
      <c r="AK177" s="78">
        <v>187500.0</v>
      </c>
      <c r="AL177" s="78"/>
      <c r="AM177" s="78">
        <v>187500.0</v>
      </c>
      <c r="AN177" s="78"/>
      <c r="AO177" s="78">
        <v>187500.0</v>
      </c>
      <c r="AP177" s="78"/>
      <c r="AQ177" s="78">
        <v>187500.0</v>
      </c>
      <c r="AR177" s="78"/>
      <c r="AS177" s="78">
        <v>187500.0</v>
      </c>
      <c r="AT177" s="78"/>
      <c r="AU177" s="78">
        <v>187500.0</v>
      </c>
      <c r="AV177" s="78"/>
      <c r="AW177" s="78">
        <v>187500.0</v>
      </c>
      <c r="AX177" s="78"/>
      <c r="AY177" s="78">
        <v>187500.0</v>
      </c>
      <c r="AZ177" s="78"/>
      <c r="BA177" s="78">
        <v>187500.0</v>
      </c>
      <c r="BB177" s="78"/>
      <c r="BC177" s="78">
        <v>187500.0</v>
      </c>
      <c r="BD177" s="78"/>
      <c r="BE177" s="78">
        <v>187500.0</v>
      </c>
      <c r="BF177" s="78"/>
      <c r="BG177" s="78">
        <v>187500.0</v>
      </c>
      <c r="BH177" s="78"/>
      <c r="BI177" s="78">
        <v>187500.0</v>
      </c>
      <c r="BJ177" s="78"/>
      <c r="BK177" s="78">
        <v>187500.0</v>
      </c>
      <c r="BL177" s="78" t="str">
        <f t="shared" ref="BL177:BL178" si="158">BH175</f>
        <v/>
      </c>
      <c r="BM177" s="78">
        <v>187500.0</v>
      </c>
      <c r="BN177" s="78" t="str">
        <f t="shared" ref="BN177:BN178" si="159">BJ175</f>
        <v/>
      </c>
      <c r="BO177" s="78">
        <v>175000.0</v>
      </c>
      <c r="BP177" s="78">
        <f t="shared" ref="BP177:BP178" si="160">BL175</f>
        <v>375000</v>
      </c>
      <c r="BQ177" s="78">
        <v>175000.0</v>
      </c>
      <c r="BR177" s="78">
        <f t="shared" ref="BR177:BR178" si="161">BN175</f>
        <v>375000</v>
      </c>
      <c r="BS177" s="78">
        <v>266666.6666666667</v>
      </c>
      <c r="BT177" s="78">
        <f t="shared" ref="BT177:BT178" si="162">BP175</f>
        <v>437500</v>
      </c>
      <c r="BU177" s="78">
        <v>266666.6666666667</v>
      </c>
      <c r="BV177" s="78">
        <f t="shared" ref="BV177:BV178" si="163">BR175</f>
        <v>437500</v>
      </c>
      <c r="BW177" s="78">
        <v>266666.6666666667</v>
      </c>
      <c r="BX177" s="78">
        <f t="shared" ref="BX177:BX178" si="164">BT175</f>
        <v>312500</v>
      </c>
      <c r="BY177" s="78">
        <v>266666.6666666667</v>
      </c>
      <c r="BZ177" s="78">
        <f t="shared" ref="BZ177:BZ178" si="165">BV175</f>
        <v>312500</v>
      </c>
      <c r="CA177" s="78">
        <v>266666.6666666667</v>
      </c>
      <c r="CB177" s="78">
        <f t="shared" ref="CB177:CB178" si="166">BX175</f>
        <v>312500</v>
      </c>
      <c r="CC177" s="78">
        <v>266666.6666666667</v>
      </c>
      <c r="CD177" s="78">
        <f t="shared" ref="CD177:CD178" si="167">BZ175</f>
        <v>312500</v>
      </c>
      <c r="CE177" s="78">
        <v>266666.6666666667</v>
      </c>
      <c r="CF177" s="78">
        <f t="shared" ref="CF177:CF178" si="168">CB175</f>
        <v>375000</v>
      </c>
      <c r="CG177" s="78">
        <v>266666.6666666667</v>
      </c>
      <c r="CH177" s="78">
        <f t="shared" ref="CH177:CH178" si="169">CD175</f>
        <v>375000</v>
      </c>
      <c r="CI177" s="78">
        <v>266666.6666666667</v>
      </c>
      <c r="CJ177" s="78">
        <f t="shared" ref="CJ177:CJ178" si="170">CF175</f>
        <v>375000</v>
      </c>
      <c r="CK177" s="78">
        <v>266666.6666666667</v>
      </c>
      <c r="CL177" s="78">
        <f t="shared" ref="CL177:CL178" si="171">CH175</f>
        <v>375000</v>
      </c>
      <c r="CM177" s="78">
        <f t="shared" ref="CM177:CM178" si="172">CJ175</f>
        <v>375000</v>
      </c>
      <c r="CO177" s="72" t="s">
        <v>68</v>
      </c>
      <c r="CP177" s="12" t="b">
        <f t="shared" si="58"/>
        <v>0</v>
      </c>
    </row>
    <row r="178" ht="15.75" customHeight="1">
      <c r="C178" s="4"/>
      <c r="D178" s="18" t="s">
        <v>73</v>
      </c>
      <c r="E178" s="1"/>
      <c r="F178" s="1"/>
      <c r="G178" s="1"/>
      <c r="H178" s="1"/>
      <c r="I178" s="1"/>
      <c r="J178" s="77">
        <v>0.0</v>
      </c>
      <c r="K178" s="77">
        <v>0.0</v>
      </c>
      <c r="L178" s="77">
        <v>1.0</v>
      </c>
      <c r="M178" s="77">
        <v>1.0</v>
      </c>
      <c r="N178" s="77">
        <v>1.0</v>
      </c>
      <c r="O178" s="77">
        <v>1.0</v>
      </c>
      <c r="P178" s="77">
        <v>1.0</v>
      </c>
      <c r="Q178" s="77">
        <v>2.0</v>
      </c>
      <c r="R178" s="77">
        <v>3.0</v>
      </c>
      <c r="S178" s="77">
        <v>2.0</v>
      </c>
      <c r="T178" s="77">
        <v>2.0</v>
      </c>
      <c r="U178" s="77">
        <v>3.0</v>
      </c>
      <c r="V178" s="77"/>
      <c r="W178" s="77">
        <v>2.0</v>
      </c>
      <c r="X178" s="1"/>
      <c r="Y178" s="77">
        <v>2.0</v>
      </c>
      <c r="Z178" s="1"/>
      <c r="AA178" s="77">
        <v>3.0</v>
      </c>
      <c r="AB178" s="1"/>
      <c r="AC178" s="77">
        <v>3.0</v>
      </c>
      <c r="AD178" s="1"/>
      <c r="AE178" s="77">
        <v>3.0</v>
      </c>
      <c r="AF178" s="77"/>
      <c r="AG178" s="77">
        <v>3.0</v>
      </c>
      <c r="AH178" s="77"/>
      <c r="AI178" s="77">
        <v>3.0</v>
      </c>
      <c r="AJ178" s="77"/>
      <c r="AK178" s="77">
        <v>3.0</v>
      </c>
      <c r="AL178" s="77"/>
      <c r="AM178" s="77">
        <v>3.0</v>
      </c>
      <c r="AN178" s="77"/>
      <c r="AO178" s="77">
        <v>3.0</v>
      </c>
      <c r="AP178" s="77"/>
      <c r="AQ178" s="77">
        <v>3.0</v>
      </c>
      <c r="AR178" s="77"/>
      <c r="AS178" s="77">
        <v>3.0</v>
      </c>
      <c r="AT178" s="77"/>
      <c r="AU178" s="77">
        <v>3.0</v>
      </c>
      <c r="AV178" s="77"/>
      <c r="AW178" s="77">
        <v>3.0</v>
      </c>
      <c r="AX178" s="77"/>
      <c r="AY178" s="77">
        <v>3.0</v>
      </c>
      <c r="AZ178" s="77"/>
      <c r="BA178" s="77">
        <v>3.0</v>
      </c>
      <c r="BB178" s="77"/>
      <c r="BC178" s="77">
        <v>3.0</v>
      </c>
      <c r="BD178" s="77"/>
      <c r="BE178" s="77">
        <v>3.0</v>
      </c>
      <c r="BF178" s="77"/>
      <c r="BG178" s="77">
        <v>3.0</v>
      </c>
      <c r="BH178" s="77"/>
      <c r="BI178" s="77">
        <v>3.0</v>
      </c>
      <c r="BJ178" s="77"/>
      <c r="BK178" s="77">
        <v>3.0</v>
      </c>
      <c r="BL178" s="77" t="str">
        <f t="shared" si="158"/>
        <v/>
      </c>
      <c r="BM178" s="77">
        <v>3.0</v>
      </c>
      <c r="BN178" s="77" t="str">
        <f t="shared" si="159"/>
        <v/>
      </c>
      <c r="BO178" s="77">
        <v>3.0</v>
      </c>
      <c r="BP178" s="77">
        <f t="shared" si="160"/>
        <v>6</v>
      </c>
      <c r="BQ178" s="77">
        <v>3.0</v>
      </c>
      <c r="BR178" s="77">
        <f t="shared" si="161"/>
        <v>6</v>
      </c>
      <c r="BS178" s="77">
        <v>4.0</v>
      </c>
      <c r="BT178" s="77">
        <f t="shared" si="162"/>
        <v>7</v>
      </c>
      <c r="BU178" s="77">
        <v>4.0</v>
      </c>
      <c r="BV178" s="77">
        <f t="shared" si="163"/>
        <v>7</v>
      </c>
      <c r="BW178" s="77">
        <v>4.0</v>
      </c>
      <c r="BX178" s="77">
        <f t="shared" si="164"/>
        <v>5</v>
      </c>
      <c r="BY178" s="77">
        <v>4.0</v>
      </c>
      <c r="BZ178" s="77">
        <f t="shared" si="165"/>
        <v>5</v>
      </c>
      <c r="CA178" s="77">
        <v>4.0</v>
      </c>
      <c r="CB178" s="77">
        <f t="shared" si="166"/>
        <v>5</v>
      </c>
      <c r="CC178" s="77">
        <v>4.0</v>
      </c>
      <c r="CD178" s="77">
        <f t="shared" si="167"/>
        <v>5</v>
      </c>
      <c r="CE178" s="77">
        <v>4.0</v>
      </c>
      <c r="CF178" s="77">
        <f t="shared" si="168"/>
        <v>6</v>
      </c>
      <c r="CG178" s="77">
        <v>4.0</v>
      </c>
      <c r="CH178" s="77">
        <f t="shared" si="169"/>
        <v>6</v>
      </c>
      <c r="CI178" s="77">
        <v>4.0</v>
      </c>
      <c r="CJ178" s="77">
        <f t="shared" si="170"/>
        <v>6</v>
      </c>
      <c r="CK178" s="77">
        <v>4.0</v>
      </c>
      <c r="CL178" s="77">
        <f t="shared" si="171"/>
        <v>6</v>
      </c>
      <c r="CM178" s="77">
        <f t="shared" si="172"/>
        <v>6</v>
      </c>
      <c r="CO178" s="1"/>
      <c r="CP178" s="12" t="b">
        <f t="shared" si="58"/>
        <v>0</v>
      </c>
    </row>
    <row r="179" ht="15.75" customHeight="1">
      <c r="C179" s="4"/>
      <c r="D179" s="72" t="s">
        <v>74</v>
      </c>
      <c r="E179" s="73"/>
      <c r="F179" s="73"/>
      <c r="G179" s="73"/>
      <c r="H179" s="73"/>
      <c r="I179" s="73"/>
      <c r="J179" s="73">
        <f t="shared" ref="J179:U179" si="173">J177/J175</f>
        <v>0</v>
      </c>
      <c r="K179" s="73">
        <f t="shared" si="173"/>
        <v>0</v>
      </c>
      <c r="L179" s="73">
        <f t="shared" si="173"/>
        <v>1</v>
      </c>
      <c r="M179" s="73">
        <f t="shared" si="173"/>
        <v>1</v>
      </c>
      <c r="N179" s="73">
        <f t="shared" si="173"/>
        <v>1</v>
      </c>
      <c r="O179" s="73">
        <f t="shared" si="173"/>
        <v>0.5</v>
      </c>
      <c r="P179" s="73">
        <f t="shared" si="173"/>
        <v>0.3333333333</v>
      </c>
      <c r="Q179" s="73">
        <f t="shared" si="173"/>
        <v>0.5</v>
      </c>
      <c r="R179" s="73">
        <f t="shared" si="173"/>
        <v>0.75</v>
      </c>
      <c r="S179" s="73">
        <f t="shared" si="173"/>
        <v>0.6666666667</v>
      </c>
      <c r="T179" s="73">
        <f t="shared" si="173"/>
        <v>0.6666666667</v>
      </c>
      <c r="U179" s="73">
        <f t="shared" si="173"/>
        <v>1</v>
      </c>
      <c r="V179" s="73"/>
      <c r="W179" s="73">
        <f>W177/W175</f>
        <v>0.6666666667</v>
      </c>
      <c r="X179" s="73"/>
      <c r="Y179" s="73">
        <f>Y177/Y175</f>
        <v>0.6666666667</v>
      </c>
      <c r="Z179" s="73"/>
      <c r="AA179" s="81">
        <f>AA177/AA175</f>
        <v>1</v>
      </c>
      <c r="AB179" s="73"/>
      <c r="AC179" s="81">
        <f>AC177/AC175</f>
        <v>1</v>
      </c>
      <c r="AD179" s="1"/>
      <c r="AE179" s="81">
        <f>AE177/AE175</f>
        <v>1</v>
      </c>
      <c r="AF179" s="1"/>
      <c r="AG179" s="81">
        <f>AG177/AG175</f>
        <v>0.9314456036</v>
      </c>
      <c r="AH179" s="73"/>
      <c r="AI179" s="81">
        <f>AI177/AI175</f>
        <v>1</v>
      </c>
      <c r="AJ179" s="73"/>
      <c r="AK179" s="81">
        <f>AK177/AK175</f>
        <v>1</v>
      </c>
      <c r="AL179" s="73"/>
      <c r="AM179" s="81">
        <f>AM177/AM175</f>
        <v>1</v>
      </c>
      <c r="AN179" s="73"/>
      <c r="AO179" s="81">
        <f>AO177/AO175</f>
        <v>1</v>
      </c>
      <c r="AP179" s="73"/>
      <c r="AQ179" s="81">
        <f>AQ177/AQ175</f>
        <v>1</v>
      </c>
      <c r="AR179" s="73"/>
      <c r="AS179" s="81">
        <f>AS177/AS175</f>
        <v>1</v>
      </c>
      <c r="AT179" s="73"/>
      <c r="AU179" s="81">
        <f>AU177/AU175</f>
        <v>1</v>
      </c>
      <c r="AV179" s="73"/>
      <c r="AW179" s="81">
        <f>AW177/AW175</f>
        <v>1</v>
      </c>
      <c r="AX179" s="73"/>
      <c r="AY179" s="81">
        <f>AY177/AY175</f>
        <v>1</v>
      </c>
      <c r="AZ179" s="73"/>
      <c r="BA179" s="81">
        <f>BA177/BA175</f>
        <v>1</v>
      </c>
      <c r="BB179" s="73"/>
      <c r="BC179" s="81">
        <f>BC177/BC175</f>
        <v>1</v>
      </c>
      <c r="BD179" s="73"/>
      <c r="BE179" s="81">
        <f t="shared" ref="BE179:BI179" si="174">BE177/BE175</f>
        <v>1</v>
      </c>
      <c r="BF179" s="73" t="str">
        <f t="shared" si="174"/>
        <v>#DIV/0!</v>
      </c>
      <c r="BG179" s="81">
        <f t="shared" si="174"/>
        <v>1</v>
      </c>
      <c r="BH179" s="73" t="str">
        <f t="shared" si="174"/>
        <v>#DIV/0!</v>
      </c>
      <c r="BI179" s="81">
        <f t="shared" si="174"/>
        <v>0.7894736842</v>
      </c>
      <c r="BJ179" s="73"/>
      <c r="BK179" s="81">
        <f t="shared" ref="BK179:CM179" si="175">BK177/BK175</f>
        <v>0.7894736842</v>
      </c>
      <c r="BL179" s="73">
        <f t="shared" si="175"/>
        <v>0</v>
      </c>
      <c r="BM179" s="81">
        <f t="shared" si="175"/>
        <v>0.7894736842</v>
      </c>
      <c r="BN179" s="73">
        <f t="shared" si="175"/>
        <v>0</v>
      </c>
      <c r="BO179" s="81">
        <f t="shared" si="175"/>
        <v>1</v>
      </c>
      <c r="BP179" s="73">
        <f t="shared" si="175"/>
        <v>0.8571428571</v>
      </c>
      <c r="BQ179" s="81">
        <f t="shared" si="175"/>
        <v>1</v>
      </c>
      <c r="BR179" s="73">
        <f t="shared" si="175"/>
        <v>0.8571428571</v>
      </c>
      <c r="BS179" s="81">
        <f t="shared" si="175"/>
        <v>1</v>
      </c>
      <c r="BT179" s="73">
        <f t="shared" si="175"/>
        <v>1.4</v>
      </c>
      <c r="BU179" s="81">
        <f t="shared" si="175"/>
        <v>1</v>
      </c>
      <c r="BV179" s="73">
        <f t="shared" si="175"/>
        <v>1.4</v>
      </c>
      <c r="BW179" s="81">
        <f t="shared" si="175"/>
        <v>1</v>
      </c>
      <c r="BX179" s="73">
        <f t="shared" si="175"/>
        <v>1</v>
      </c>
      <c r="BY179" s="81">
        <f t="shared" si="175"/>
        <v>1</v>
      </c>
      <c r="BZ179" s="73">
        <f t="shared" si="175"/>
        <v>1</v>
      </c>
      <c r="CA179" s="81">
        <f t="shared" si="175"/>
        <v>1</v>
      </c>
      <c r="CB179" s="73">
        <f t="shared" si="175"/>
        <v>0.8333333333</v>
      </c>
      <c r="CC179" s="81">
        <f t="shared" si="175"/>
        <v>1</v>
      </c>
      <c r="CD179" s="73">
        <f t="shared" si="175"/>
        <v>0.8333333333</v>
      </c>
      <c r="CE179" s="81">
        <f t="shared" si="175"/>
        <v>1</v>
      </c>
      <c r="CF179" s="73">
        <f t="shared" si="175"/>
        <v>1</v>
      </c>
      <c r="CG179" s="81">
        <f t="shared" si="175"/>
        <v>1</v>
      </c>
      <c r="CH179" s="73">
        <f t="shared" si="175"/>
        <v>1</v>
      </c>
      <c r="CI179" s="81">
        <f t="shared" si="175"/>
        <v>1</v>
      </c>
      <c r="CJ179" s="73">
        <f t="shared" si="175"/>
        <v>1</v>
      </c>
      <c r="CK179" s="81">
        <f t="shared" si="175"/>
        <v>1</v>
      </c>
      <c r="CL179" s="73">
        <f t="shared" si="175"/>
        <v>1</v>
      </c>
      <c r="CM179" s="73">
        <f t="shared" si="175"/>
        <v>1</v>
      </c>
      <c r="CO179" s="76"/>
      <c r="CP179" s="12" t="b">
        <f t="shared" si="58"/>
        <v>0</v>
      </c>
    </row>
    <row r="180" ht="15.75" customHeight="1">
      <c r="C180" s="4"/>
      <c r="D180" s="72" t="s">
        <v>75</v>
      </c>
      <c r="E180" s="73"/>
      <c r="F180" s="73"/>
      <c r="G180" s="73"/>
      <c r="H180" s="73"/>
      <c r="I180" s="73"/>
      <c r="J180" s="73">
        <f t="shared" ref="J180:U180" si="176">IFERROR(J12/J177,0)</f>
        <v>0</v>
      </c>
      <c r="K180" s="73">
        <f t="shared" si="176"/>
        <v>0</v>
      </c>
      <c r="L180" s="73">
        <f t="shared" si="176"/>
        <v>0.5648</v>
      </c>
      <c r="M180" s="73">
        <f t="shared" si="176"/>
        <v>0.6144</v>
      </c>
      <c r="N180" s="73">
        <f t="shared" si="176"/>
        <v>1.65736</v>
      </c>
      <c r="O180" s="73">
        <f t="shared" si="176"/>
        <v>2.288368</v>
      </c>
      <c r="P180" s="73">
        <f t="shared" si="176"/>
        <v>1.86484272</v>
      </c>
      <c r="Q180" s="73">
        <f t="shared" si="176"/>
        <v>0.771552</v>
      </c>
      <c r="R180" s="73">
        <f t="shared" si="176"/>
        <v>0.636976</v>
      </c>
      <c r="S180" s="73">
        <f t="shared" si="176"/>
        <v>1.045</v>
      </c>
      <c r="T180" s="73">
        <f t="shared" si="176"/>
        <v>1.296168</v>
      </c>
      <c r="U180" s="73">
        <f t="shared" si="176"/>
        <v>1.352346667</v>
      </c>
      <c r="V180" s="73"/>
      <c r="W180" s="73">
        <f>IFERROR(W12/W177,0)</f>
        <v>1.354576</v>
      </c>
      <c r="X180" s="73"/>
      <c r="Y180" s="73">
        <f>IFERROR(Y12/Y177,0)</f>
        <v>1.88824</v>
      </c>
      <c r="Z180" s="73"/>
      <c r="AA180" s="73">
        <f>IFERROR(AA12/AA177,0)</f>
        <v>1.173766667</v>
      </c>
      <c r="AB180" s="73"/>
      <c r="AC180" s="73">
        <f>IFERROR(AC12/AC177,0)</f>
        <v>1.058986667</v>
      </c>
      <c r="AD180" s="1"/>
      <c r="AE180" s="73">
        <f>IFERROR(AE12/AE177,0)</f>
        <v>1.423733333</v>
      </c>
      <c r="AF180" s="1"/>
      <c r="AG180" s="73">
        <f>IFERROR(AG12/AG177,0)</f>
        <v>1.0316</v>
      </c>
      <c r="AH180" s="73"/>
      <c r="AI180" s="73">
        <f>IFERROR(AI12/AI177,0)</f>
        <v>0.9038453333</v>
      </c>
      <c r="AJ180" s="73"/>
      <c r="AK180" s="73">
        <f>IFERROR(AK12/AK177,0)</f>
        <v>1.093866667</v>
      </c>
      <c r="AL180" s="73"/>
      <c r="AM180" s="73">
        <f>IFERROR(AM12/AM177,0)</f>
        <v>1.389907467</v>
      </c>
      <c r="AN180" s="73"/>
      <c r="AO180" s="73">
        <f>IFERROR(AO12/AO177,0)</f>
        <v>1.13460976</v>
      </c>
      <c r="AP180" s="73"/>
      <c r="AQ180" s="73">
        <f>IFERROR(AQ12/AQ177,0)</f>
        <v>0.9189333333</v>
      </c>
      <c r="AR180" s="73"/>
      <c r="AS180" s="73">
        <f>IFERROR(AS12/AS177,0)</f>
        <v>1.213733333</v>
      </c>
      <c r="AT180" s="73"/>
      <c r="AU180" s="73">
        <f>IFERROR(AU12/AU177,0)</f>
        <v>1.271068</v>
      </c>
      <c r="AV180" s="73"/>
      <c r="AW180" s="73">
        <f>IFERROR(AW12/AW177,0)</f>
        <v>1.353968</v>
      </c>
      <c r="AX180" s="73"/>
      <c r="AY180" s="73">
        <f>IFERROR(AY12/AY177,0)</f>
        <v>1.345250667</v>
      </c>
      <c r="AZ180" s="73"/>
      <c r="BA180" s="73">
        <f>IFERROR(BA12/BA177,0)</f>
        <v>1.187304</v>
      </c>
      <c r="BB180" s="73"/>
      <c r="BC180" s="73">
        <f>IFERROR(BC12/BC177,0)</f>
        <v>0.8612106667</v>
      </c>
      <c r="BD180" s="73"/>
      <c r="BE180" s="73">
        <f>IFERROR(BE12/BE177,0)</f>
        <v>1.479621333</v>
      </c>
      <c r="BF180" s="73"/>
      <c r="BG180" s="73">
        <f>IFERROR(BG12/BG177,0)</f>
        <v>0.7828274133</v>
      </c>
      <c r="BH180" s="73"/>
      <c r="BI180" s="73">
        <f>IFERROR(BI12/BI177,0)</f>
        <v>1.115279386</v>
      </c>
      <c r="BJ180" s="73"/>
      <c r="BK180" s="73">
        <f>IFERROR(BK12/BK177,0)</f>
        <v>1.594101355</v>
      </c>
      <c r="BL180" s="73"/>
      <c r="BM180" s="73">
        <f>IFERROR(BM12/BM177,0)</f>
        <v>0.989250264</v>
      </c>
      <c r="BN180" s="73"/>
      <c r="BO180" s="73">
        <f>IFERROR(BO12/BO177,0)</f>
        <v>1.195675746</v>
      </c>
      <c r="BP180" s="73"/>
      <c r="BQ180" s="73">
        <f>IFERROR(BQ12/BQ177,0)</f>
        <v>1.742620565</v>
      </c>
      <c r="BR180" s="73"/>
      <c r="BS180" s="73">
        <f>IFERROR(BS12/BS177,0)</f>
        <v>0.7936611509</v>
      </c>
      <c r="BT180" s="73"/>
      <c r="BU180" s="73">
        <f>IFERROR(BU12/BU177,0)</f>
        <v>1.13655</v>
      </c>
      <c r="BV180" s="73"/>
      <c r="BW180" s="73">
        <f>IFERROR(BW12/BW177,0)</f>
        <v>1.2247515</v>
      </c>
      <c r="BX180" s="73"/>
      <c r="BY180" s="73">
        <f>IFERROR(BY12/BY177,0)</f>
        <v>0.912033</v>
      </c>
      <c r="BZ180" s="73"/>
      <c r="CA180" s="73">
        <f>IFERROR(CA12/CA177,0)</f>
        <v>0.9427161</v>
      </c>
      <c r="CB180" s="73"/>
      <c r="CC180" s="73">
        <f>IFERROR(CC12/CC177,0)</f>
        <v>1.300083919</v>
      </c>
      <c r="CD180" s="73"/>
      <c r="CE180" s="73">
        <f>IFERROR(CE12/CE177,0)</f>
        <v>1.07369415</v>
      </c>
      <c r="CF180" s="73"/>
      <c r="CG180" s="73">
        <f>IFERROR(CG12/CG177,0)</f>
        <v>1.1148012</v>
      </c>
      <c r="CH180" s="73"/>
      <c r="CI180" s="73">
        <f>IFERROR(CI12/CI177,0)</f>
        <v>1.16808555</v>
      </c>
      <c r="CJ180" s="73"/>
      <c r="CK180" s="73">
        <f>IFERROR(CK12/CK177,0)</f>
        <v>0.907092525</v>
      </c>
      <c r="CL180" s="73"/>
      <c r="CM180" s="73"/>
      <c r="CO180" s="18" t="s">
        <v>70</v>
      </c>
      <c r="CP180" s="12" t="b">
        <f t="shared" si="58"/>
        <v>0</v>
      </c>
    </row>
    <row r="181" ht="15.75" hidden="1" customHeight="1">
      <c r="C181" s="76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O181" s="18" t="s">
        <v>71</v>
      </c>
      <c r="CP181" s="12" t="b">
        <f t="shared" si="58"/>
        <v>0</v>
      </c>
    </row>
    <row r="182" ht="15.75" hidden="1" customHeight="1">
      <c r="C182" s="25" t="s">
        <v>76</v>
      </c>
      <c r="D182" s="5"/>
      <c r="E182" s="1"/>
      <c r="F182" s="1"/>
      <c r="G182" s="1"/>
      <c r="H182" s="1"/>
      <c r="I182" s="1"/>
      <c r="J182" s="1"/>
      <c r="K182" s="1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1"/>
      <c r="W182" s="82"/>
      <c r="X182" s="1"/>
      <c r="Y182" s="82"/>
      <c r="Z182" s="1"/>
      <c r="AA182" s="82"/>
      <c r="AB182" s="1"/>
      <c r="AC182" s="82"/>
      <c r="AD182" s="1"/>
      <c r="AE182" s="82"/>
      <c r="AF182" s="1"/>
      <c r="AG182" s="82"/>
      <c r="AH182" s="1"/>
      <c r="AI182" s="82"/>
      <c r="AJ182" s="1"/>
      <c r="AK182" s="82"/>
      <c r="AL182" s="1"/>
      <c r="AM182" s="82"/>
      <c r="AN182" s="1"/>
      <c r="AO182" s="82"/>
      <c r="AP182" s="1"/>
      <c r="AQ182" s="82"/>
      <c r="AR182" s="1"/>
      <c r="AS182" s="82"/>
      <c r="AT182" s="1"/>
      <c r="AU182" s="82"/>
      <c r="AV182" s="1"/>
      <c r="AW182" s="82"/>
      <c r="AX182" s="1"/>
      <c r="AY182" s="82"/>
      <c r="AZ182" s="1"/>
      <c r="BA182" s="82"/>
      <c r="BB182" s="1"/>
      <c r="BC182" s="82"/>
      <c r="BD182" s="1"/>
      <c r="BE182" s="82"/>
      <c r="BF182" s="1"/>
      <c r="BG182" s="82"/>
      <c r="BH182" s="1"/>
      <c r="BI182" s="82"/>
      <c r="BJ182" s="1"/>
      <c r="BK182" s="82"/>
      <c r="BL182" s="1"/>
      <c r="BM182" s="82"/>
      <c r="BN182" s="1"/>
      <c r="BO182" s="82"/>
      <c r="BP182" s="1"/>
      <c r="BQ182" s="82"/>
      <c r="BR182" s="1"/>
      <c r="BS182" s="82"/>
      <c r="BT182" s="1"/>
      <c r="BU182" s="82"/>
      <c r="BV182" s="1"/>
      <c r="BW182" s="82"/>
      <c r="BX182" s="1"/>
      <c r="BY182" s="82"/>
      <c r="BZ182" s="1"/>
      <c r="CA182" s="82"/>
      <c r="CB182" s="1"/>
      <c r="CC182" s="82"/>
      <c r="CD182" s="1"/>
      <c r="CE182" s="82"/>
      <c r="CF182" s="1"/>
      <c r="CG182" s="82"/>
      <c r="CH182" s="1"/>
      <c r="CI182" s="82"/>
      <c r="CJ182" s="1"/>
      <c r="CK182" s="82"/>
      <c r="CL182" s="1"/>
      <c r="CM182" s="1"/>
      <c r="CO182" s="18" t="s">
        <v>72</v>
      </c>
      <c r="CP182" s="12" t="b">
        <f t="shared" si="58"/>
        <v>0</v>
      </c>
    </row>
    <row r="183" ht="15.75" hidden="1" customHeight="1">
      <c r="C183" s="83" t="s">
        <v>26</v>
      </c>
      <c r="D183" s="84" t="s">
        <v>77</v>
      </c>
      <c r="E183" s="3"/>
      <c r="F183" s="3"/>
      <c r="G183" s="3"/>
      <c r="H183" s="3"/>
      <c r="I183" s="3"/>
      <c r="J183" s="3"/>
      <c r="K183" s="3"/>
      <c r="L183" s="3">
        <f t="shared" ref="L183:M183" si="177">SUM(L184:L188)</f>
        <v>98</v>
      </c>
      <c r="M183" s="3">
        <f t="shared" si="177"/>
        <v>139</v>
      </c>
      <c r="N183" s="3">
        <v>152.0</v>
      </c>
      <c r="O183" s="3">
        <f t="shared" ref="O183:U183" si="178">SUM(O184:O188)</f>
        <v>245</v>
      </c>
      <c r="P183" s="3">
        <f t="shared" si="178"/>
        <v>318</v>
      </c>
      <c r="Q183" s="3">
        <f t="shared" si="178"/>
        <v>401</v>
      </c>
      <c r="R183" s="3">
        <f t="shared" si="178"/>
        <v>452</v>
      </c>
      <c r="S183" s="3">
        <f t="shared" si="178"/>
        <v>570</v>
      </c>
      <c r="T183" s="3">
        <f t="shared" si="178"/>
        <v>718</v>
      </c>
      <c r="U183" s="3">
        <f t="shared" si="178"/>
        <v>726</v>
      </c>
      <c r="V183" s="3"/>
      <c r="W183" s="3">
        <f>SUM(W184:W188)</f>
        <v>809</v>
      </c>
      <c r="X183" s="3"/>
      <c r="Y183" s="3">
        <f>SUM(Y184:Y188)</f>
        <v>911</v>
      </c>
      <c r="Z183" s="3"/>
      <c r="AA183" s="3">
        <f>SUM(AA184:AA188)</f>
        <v>1017</v>
      </c>
      <c r="AB183" s="3"/>
      <c r="AC183" s="3">
        <f>SUM(AC184:AC188)</f>
        <v>1111</v>
      </c>
      <c r="AD183" s="3"/>
      <c r="AE183" s="3">
        <f>SUM(AE184:AE188)</f>
        <v>1206</v>
      </c>
      <c r="AF183" s="3"/>
      <c r="AG183" s="3">
        <f>SUM(AG184:AG188)</f>
        <v>1343</v>
      </c>
      <c r="AH183" s="3"/>
      <c r="AI183" s="3">
        <f>SUM(AI184:AI188)</f>
        <v>1386</v>
      </c>
      <c r="AJ183" s="3"/>
      <c r="AK183" s="3">
        <f>SUM(AK184:AK188)</f>
        <v>1478</v>
      </c>
      <c r="AL183" s="3"/>
      <c r="AM183" s="3">
        <f>SUM(AM184:AM188)</f>
        <v>1542</v>
      </c>
      <c r="AN183" s="3"/>
      <c r="AO183" s="3">
        <f>SUM(AO184:AO188)</f>
        <v>1670</v>
      </c>
      <c r="AP183" s="3"/>
      <c r="AQ183" s="3">
        <f>SUM(AQ184:AQ188)</f>
        <v>1666</v>
      </c>
      <c r="AR183" s="3"/>
      <c r="AS183" s="3">
        <f>SUM(AS184:AS188)</f>
        <v>1726</v>
      </c>
      <c r="AT183" s="3"/>
      <c r="AU183" s="3">
        <f>SUM(AU184:AU188)</f>
        <v>1750</v>
      </c>
      <c r="AV183" s="3"/>
      <c r="AW183" s="3">
        <f>SUM(AW184:AW188)</f>
        <v>1840</v>
      </c>
      <c r="AX183" s="3"/>
      <c r="AY183" s="3">
        <f>SUM(AY184:AY188)</f>
        <v>1797</v>
      </c>
      <c r="AZ183" s="3"/>
      <c r="BA183" s="3">
        <f>SUM(BA184:BA188)</f>
        <v>1826</v>
      </c>
      <c r="BB183" s="3"/>
      <c r="BC183" s="3">
        <f>SUM(BC184:BC188)</f>
        <v>1864</v>
      </c>
      <c r="BD183" s="3"/>
      <c r="BE183" s="3">
        <f>SUM(BE184:BE188)</f>
        <v>1910</v>
      </c>
      <c r="BF183" s="3"/>
      <c r="BG183" s="3">
        <f>SUM(BG184:BG188)</f>
        <v>1977</v>
      </c>
      <c r="BH183" s="3"/>
      <c r="BI183" s="3">
        <f>SUM(BI184:BI188)</f>
        <v>1986</v>
      </c>
      <c r="BJ183" s="3"/>
      <c r="BK183" s="3">
        <f>SUM(BK184:BK188)</f>
        <v>1925</v>
      </c>
      <c r="BL183" s="3"/>
      <c r="BM183" s="3">
        <f>SUM(BM184:BM188)</f>
        <v>2573</v>
      </c>
      <c r="BN183" s="3"/>
      <c r="BO183" s="3">
        <f>SUM(BO184:BO188)</f>
        <v>0</v>
      </c>
      <c r="BP183" s="3"/>
      <c r="BQ183" s="3">
        <f>SUM(BQ184:BQ188)</f>
        <v>0</v>
      </c>
      <c r="BR183" s="3"/>
      <c r="BS183" s="3">
        <f>SUM(BS184:BS188)</f>
        <v>0</v>
      </c>
      <c r="BT183" s="3"/>
      <c r="BU183" s="3">
        <f>SUM(BU184:BU188)</f>
        <v>0</v>
      </c>
      <c r="BV183" s="3"/>
      <c r="BW183" s="3">
        <f>SUM(BW184:BW188)</f>
        <v>0</v>
      </c>
      <c r="BX183" s="3"/>
      <c r="BY183" s="3">
        <f>SUM(BY184:BY188)</f>
        <v>0</v>
      </c>
      <c r="BZ183" s="3"/>
      <c r="CA183" s="3">
        <f>SUM(CA184:CA188)</f>
        <v>0</v>
      </c>
      <c r="CB183" s="3"/>
      <c r="CC183" s="3">
        <f>SUM(CC184:CC188)</f>
        <v>0</v>
      </c>
      <c r="CD183" s="3"/>
      <c r="CE183" s="3">
        <f>SUM(CE184:CE188)</f>
        <v>0</v>
      </c>
      <c r="CF183" s="3"/>
      <c r="CG183" s="3">
        <f>SUM(CG184:CG188)</f>
        <v>0</v>
      </c>
      <c r="CH183" s="3"/>
      <c r="CI183" s="3">
        <f>SUM(CI184:CI188)</f>
        <v>0</v>
      </c>
      <c r="CJ183" s="3"/>
      <c r="CK183" s="3">
        <f>SUM(CK184:CK188)</f>
        <v>0</v>
      </c>
      <c r="CL183" s="3"/>
      <c r="CM183" s="3"/>
      <c r="CO183" s="18" t="s">
        <v>73</v>
      </c>
      <c r="CP183" s="12" t="b">
        <f t="shared" si="58"/>
        <v>0</v>
      </c>
    </row>
    <row r="184" ht="15.75" hidden="1" customHeight="1">
      <c r="C184" s="4"/>
      <c r="D184" s="18" t="s">
        <v>78</v>
      </c>
      <c r="E184" s="1"/>
      <c r="F184" s="1"/>
      <c r="G184" s="1"/>
      <c r="H184" s="1"/>
      <c r="I184" s="1"/>
      <c r="J184" s="1"/>
      <c r="K184" s="1"/>
      <c r="L184" s="1">
        <v>61.0</v>
      </c>
      <c r="M184" s="1">
        <v>77.0</v>
      </c>
      <c r="N184" s="1">
        <v>86.0</v>
      </c>
      <c r="O184" s="1">
        <v>107.0</v>
      </c>
      <c r="P184" s="1">
        <v>146.0</v>
      </c>
      <c r="Q184" s="1">
        <v>190.0</v>
      </c>
      <c r="R184" s="1">
        <v>305.0</v>
      </c>
      <c r="S184" s="1">
        <v>437.0</v>
      </c>
      <c r="T184" s="1">
        <v>570.0</v>
      </c>
      <c r="U184" s="1">
        <v>580.0</v>
      </c>
      <c r="V184" s="1"/>
      <c r="W184" s="1">
        <v>645.0</v>
      </c>
      <c r="X184" s="1"/>
      <c r="Y184" s="1">
        <v>727.0</v>
      </c>
      <c r="Z184" s="1"/>
      <c r="AA184" s="1">
        <v>835.0</v>
      </c>
      <c r="AB184" s="1"/>
      <c r="AC184" s="1">
        <v>923.0</v>
      </c>
      <c r="AD184" s="1"/>
      <c r="AE184" s="1">
        <v>1040.0</v>
      </c>
      <c r="AF184" s="1"/>
      <c r="AG184" s="1">
        <v>1178.0</v>
      </c>
      <c r="AH184" s="1"/>
      <c r="AI184" s="1">
        <v>1261.0</v>
      </c>
      <c r="AJ184" s="1"/>
      <c r="AK184" s="1">
        <v>1338.0</v>
      </c>
      <c r="AL184" s="1"/>
      <c r="AM184" s="1">
        <v>1390.0</v>
      </c>
      <c r="AN184" s="1"/>
      <c r="AO184" s="1">
        <v>1529.0</v>
      </c>
      <c r="AP184" s="1"/>
      <c r="AQ184" s="5">
        <v>1526.0</v>
      </c>
      <c r="AR184" s="1"/>
      <c r="AS184" s="5">
        <v>1600.0</v>
      </c>
      <c r="AT184" s="1"/>
      <c r="AU184" s="5">
        <v>1619.0</v>
      </c>
      <c r="AV184" s="1"/>
      <c r="AW184" s="5">
        <v>1673.0</v>
      </c>
      <c r="AX184" s="1"/>
      <c r="AY184" s="5">
        <v>1675.0</v>
      </c>
      <c r="AZ184" s="1"/>
      <c r="BA184" s="5">
        <v>1699.0</v>
      </c>
      <c r="BB184" s="1"/>
      <c r="BC184" s="5">
        <v>1728.0</v>
      </c>
      <c r="BD184" s="1"/>
      <c r="BE184" s="5">
        <v>1783.0</v>
      </c>
      <c r="BF184" s="1"/>
      <c r="BG184" s="5">
        <v>1817.0</v>
      </c>
      <c r="BH184" s="1"/>
      <c r="BI184" s="5">
        <v>1819.0</v>
      </c>
      <c r="BJ184" s="1"/>
      <c r="BK184" s="5">
        <v>1797.0</v>
      </c>
      <c r="BL184" s="1"/>
      <c r="BM184" s="5">
        <v>2438.0</v>
      </c>
      <c r="BN184" s="1"/>
      <c r="BO184" s="5"/>
      <c r="BP184" s="1"/>
      <c r="BQ184" s="5"/>
      <c r="BR184" s="1"/>
      <c r="BS184" s="5"/>
      <c r="BT184" s="1"/>
      <c r="BU184" s="5"/>
      <c r="BV184" s="1"/>
      <c r="BW184" s="5"/>
      <c r="BX184" s="1"/>
      <c r="BY184" s="5"/>
      <c r="BZ184" s="1"/>
      <c r="CA184" s="5"/>
      <c r="CB184" s="1"/>
      <c r="CC184" s="5"/>
      <c r="CD184" s="1"/>
      <c r="CE184" s="5"/>
      <c r="CF184" s="1"/>
      <c r="CG184" s="5"/>
      <c r="CH184" s="1"/>
      <c r="CI184" s="5"/>
      <c r="CJ184" s="1"/>
      <c r="CK184" s="5"/>
      <c r="CL184" s="1"/>
      <c r="CM184" s="1"/>
      <c r="CO184" s="72" t="s">
        <v>74</v>
      </c>
      <c r="CP184" s="12" t="b">
        <f t="shared" si="58"/>
        <v>0</v>
      </c>
    </row>
    <row r="185" ht="15.75" hidden="1" customHeight="1">
      <c r="C185" s="4"/>
      <c r="D185" s="18" t="s">
        <v>79</v>
      </c>
      <c r="E185" s="1"/>
      <c r="F185" s="1"/>
      <c r="G185" s="1"/>
      <c r="H185" s="1"/>
      <c r="I185" s="1"/>
      <c r="J185" s="1"/>
      <c r="K185" s="1"/>
      <c r="L185" s="1">
        <v>8.0</v>
      </c>
      <c r="M185" s="1">
        <v>6.0</v>
      </c>
      <c r="N185" s="1">
        <v>8.0</v>
      </c>
      <c r="O185" s="1">
        <v>8.0</v>
      </c>
      <c r="P185" s="1">
        <v>8.0</v>
      </c>
      <c r="Q185" s="1">
        <v>11.0</v>
      </c>
      <c r="R185" s="1">
        <v>21.0</v>
      </c>
      <c r="S185" s="1">
        <v>37.0</v>
      </c>
      <c r="T185" s="1">
        <v>47.0</v>
      </c>
      <c r="U185" s="1">
        <v>27.0</v>
      </c>
      <c r="V185" s="1"/>
      <c r="W185" s="1">
        <f>31-4</f>
        <v>27</v>
      </c>
      <c r="X185" s="1"/>
      <c r="Y185" s="1">
        <f>34-11</f>
        <v>23</v>
      </c>
      <c r="Z185" s="1"/>
      <c r="AA185" s="1">
        <f>39-12</f>
        <v>27</v>
      </c>
      <c r="AB185" s="1"/>
      <c r="AC185" s="1">
        <f>47-14</f>
        <v>33</v>
      </c>
      <c r="AD185" s="1"/>
      <c r="AE185" s="1">
        <f>34-11</f>
        <v>23</v>
      </c>
      <c r="AF185" s="1"/>
      <c r="AG185" s="1">
        <f>26-9</f>
        <v>17</v>
      </c>
      <c r="AH185" s="1"/>
      <c r="AI185" s="1">
        <f>28-15</f>
        <v>13</v>
      </c>
      <c r="AJ185" s="1"/>
      <c r="AK185" s="1">
        <v>14.0</v>
      </c>
      <c r="AL185" s="1"/>
      <c r="AM185" s="1">
        <v>11.0</v>
      </c>
      <c r="AN185" s="1"/>
      <c r="AO185" s="1">
        <v>7.0</v>
      </c>
      <c r="AP185" s="1"/>
      <c r="AQ185" s="5">
        <v>13.0</v>
      </c>
      <c r="AR185" s="1"/>
      <c r="AS185" s="5">
        <v>11.0</v>
      </c>
      <c r="AT185" s="1"/>
      <c r="AU185" s="5">
        <v>9.0</v>
      </c>
      <c r="AV185" s="1"/>
      <c r="AW185" s="5">
        <v>21.0</v>
      </c>
      <c r="AX185" s="1"/>
      <c r="AY185" s="5">
        <v>14.0</v>
      </c>
      <c r="AZ185" s="1"/>
      <c r="BA185" s="5">
        <v>15.0</v>
      </c>
      <c r="BB185" s="1"/>
      <c r="BC185" s="5">
        <v>13.0</v>
      </c>
      <c r="BD185" s="1"/>
      <c r="BE185" s="5">
        <v>14.0</v>
      </c>
      <c r="BF185" s="1"/>
      <c r="BG185" s="5">
        <v>12.0</v>
      </c>
      <c r="BH185" s="1"/>
      <c r="BI185" s="5">
        <v>15.0</v>
      </c>
      <c r="BJ185" s="1"/>
      <c r="BK185" s="5">
        <v>16.0</v>
      </c>
      <c r="BL185" s="1"/>
      <c r="BM185" s="5">
        <v>10.0</v>
      </c>
      <c r="BN185" s="1"/>
      <c r="BO185" s="5"/>
      <c r="BP185" s="1"/>
      <c r="BQ185" s="5"/>
      <c r="BR185" s="1"/>
      <c r="BS185" s="5"/>
      <c r="BT185" s="1"/>
      <c r="BU185" s="5"/>
      <c r="BV185" s="1"/>
      <c r="BW185" s="5"/>
      <c r="BX185" s="1"/>
      <c r="BY185" s="5"/>
      <c r="BZ185" s="1"/>
      <c r="CA185" s="5"/>
      <c r="CB185" s="1"/>
      <c r="CC185" s="5"/>
      <c r="CD185" s="1"/>
      <c r="CE185" s="5"/>
      <c r="CF185" s="1"/>
      <c r="CG185" s="5"/>
      <c r="CH185" s="1"/>
      <c r="CI185" s="5"/>
      <c r="CJ185" s="1"/>
      <c r="CK185" s="5"/>
      <c r="CL185" s="1"/>
      <c r="CM185" s="1"/>
      <c r="CO185" s="72" t="s">
        <v>75</v>
      </c>
      <c r="CP185" s="12" t="b">
        <f t="shared" si="58"/>
        <v>0</v>
      </c>
    </row>
    <row r="186" ht="15.75" hidden="1" customHeight="1">
      <c r="C186" s="4"/>
      <c r="D186" s="18" t="s">
        <v>80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>
        <v>4.0</v>
      </c>
      <c r="X186" s="1"/>
      <c r="Y186" s="1">
        <v>11.0</v>
      </c>
      <c r="Z186" s="1"/>
      <c r="AA186" s="1">
        <v>12.0</v>
      </c>
      <c r="AB186" s="1"/>
      <c r="AC186" s="1">
        <v>14.0</v>
      </c>
      <c r="AD186" s="1"/>
      <c r="AE186" s="1">
        <v>11.0</v>
      </c>
      <c r="AF186" s="1"/>
      <c r="AG186" s="1">
        <v>9.0</v>
      </c>
      <c r="AH186" s="1"/>
      <c r="AI186" s="1">
        <v>15.0</v>
      </c>
      <c r="AJ186" s="1"/>
      <c r="AK186" s="1">
        <v>15.0</v>
      </c>
      <c r="AL186" s="1"/>
      <c r="AM186" s="1">
        <v>14.0</v>
      </c>
      <c r="AN186" s="1"/>
      <c r="AO186" s="1">
        <v>13.0</v>
      </c>
      <c r="AP186" s="1"/>
      <c r="AQ186" s="5">
        <v>7.0</v>
      </c>
      <c r="AR186" s="1"/>
      <c r="AS186" s="5">
        <v>15.0</v>
      </c>
      <c r="AT186" s="1"/>
      <c r="AU186" s="5">
        <v>18.0</v>
      </c>
      <c r="AV186" s="1"/>
      <c r="AW186" s="5">
        <v>20.0</v>
      </c>
      <c r="AX186" s="1"/>
      <c r="AY186" s="5">
        <v>19.0</v>
      </c>
      <c r="AZ186" s="1"/>
      <c r="BA186" s="5">
        <v>18.0</v>
      </c>
      <c r="BB186" s="1"/>
      <c r="BC186" s="5">
        <v>17.0</v>
      </c>
      <c r="BD186" s="1"/>
      <c r="BE186" s="5">
        <v>15.0</v>
      </c>
      <c r="BF186" s="1"/>
      <c r="BG186" s="5">
        <v>17.0</v>
      </c>
      <c r="BH186" s="1"/>
      <c r="BI186" s="5">
        <v>18.0</v>
      </c>
      <c r="BJ186" s="1"/>
      <c r="BK186" s="5">
        <v>18.0</v>
      </c>
      <c r="BL186" s="1"/>
      <c r="BM186" s="5">
        <v>18.0</v>
      </c>
      <c r="BN186" s="1"/>
      <c r="BO186" s="5"/>
      <c r="BP186" s="1"/>
      <c r="BQ186" s="5"/>
      <c r="BR186" s="1"/>
      <c r="BS186" s="5"/>
      <c r="BT186" s="1"/>
      <c r="BU186" s="5"/>
      <c r="BV186" s="1"/>
      <c r="BW186" s="5"/>
      <c r="BX186" s="1"/>
      <c r="BY186" s="5"/>
      <c r="BZ186" s="1"/>
      <c r="CA186" s="5"/>
      <c r="CB186" s="1"/>
      <c r="CC186" s="5"/>
      <c r="CD186" s="1"/>
      <c r="CE186" s="5"/>
      <c r="CF186" s="1"/>
      <c r="CG186" s="5"/>
      <c r="CH186" s="1"/>
      <c r="CI186" s="5"/>
      <c r="CJ186" s="1"/>
      <c r="CK186" s="5"/>
      <c r="CL186" s="1"/>
      <c r="CM186" s="1"/>
      <c r="CO186" s="5"/>
      <c r="CP186" s="12" t="b">
        <f t="shared" si="58"/>
        <v>0</v>
      </c>
    </row>
    <row r="187" ht="15.75" hidden="1" customHeight="1">
      <c r="C187" s="4"/>
      <c r="D187" s="18" t="s">
        <v>81</v>
      </c>
      <c r="E187" s="1"/>
      <c r="F187" s="1"/>
      <c r="G187" s="1"/>
      <c r="H187" s="1"/>
      <c r="I187" s="1"/>
      <c r="J187" s="1"/>
      <c r="K187" s="1"/>
      <c r="L187" s="1">
        <v>21.0</v>
      </c>
      <c r="M187" s="1">
        <v>48.0</v>
      </c>
      <c r="N187" s="1">
        <v>64.0</v>
      </c>
      <c r="O187" s="1">
        <v>95.0</v>
      </c>
      <c r="P187" s="1">
        <v>124.0</v>
      </c>
      <c r="Q187" s="1">
        <v>163.0</v>
      </c>
      <c r="R187" s="1">
        <v>89.0</v>
      </c>
      <c r="S187" s="1">
        <v>51.0</v>
      </c>
      <c r="T187" s="1">
        <v>52.0</v>
      </c>
      <c r="U187" s="1">
        <v>70.0</v>
      </c>
      <c r="V187" s="1"/>
      <c r="W187" s="1">
        <v>95.0</v>
      </c>
      <c r="X187" s="1"/>
      <c r="Y187" s="1">
        <v>97.0</v>
      </c>
      <c r="Z187" s="1"/>
      <c r="AA187" s="1">
        <v>104.0</v>
      </c>
      <c r="AB187" s="1"/>
      <c r="AC187" s="1">
        <v>100.0</v>
      </c>
      <c r="AD187" s="1"/>
      <c r="AE187" s="1">
        <v>106.0</v>
      </c>
      <c r="AF187" s="1"/>
      <c r="AG187" s="1">
        <v>105.0</v>
      </c>
      <c r="AH187" s="1"/>
      <c r="AI187" s="1">
        <v>80.0</v>
      </c>
      <c r="AJ187" s="1"/>
      <c r="AK187" s="1">
        <v>80.0</v>
      </c>
      <c r="AL187" s="1"/>
      <c r="AM187" s="1">
        <v>96.0</v>
      </c>
      <c r="AN187" s="1"/>
      <c r="AO187" s="1">
        <v>89.0</v>
      </c>
      <c r="AP187" s="1"/>
      <c r="AQ187" s="5">
        <v>85.0</v>
      </c>
      <c r="AR187" s="1"/>
      <c r="AS187" s="5">
        <v>73.0</v>
      </c>
      <c r="AT187" s="1"/>
      <c r="AU187" s="5">
        <v>75.0</v>
      </c>
      <c r="AV187" s="1"/>
      <c r="AW187" s="5">
        <v>87.0</v>
      </c>
      <c r="AX187" s="1"/>
      <c r="AY187" s="5">
        <v>70.0</v>
      </c>
      <c r="AZ187" s="1"/>
      <c r="BA187" s="5">
        <v>69.0</v>
      </c>
      <c r="BB187" s="1"/>
      <c r="BC187" s="5">
        <v>69.0</v>
      </c>
      <c r="BD187" s="1"/>
      <c r="BE187" s="5">
        <v>68.0</v>
      </c>
      <c r="BF187" s="1"/>
      <c r="BG187" s="5">
        <v>94.0</v>
      </c>
      <c r="BH187" s="1"/>
      <c r="BI187" s="5">
        <v>84.0</v>
      </c>
      <c r="BJ187" s="1"/>
      <c r="BK187" s="5">
        <v>64.0</v>
      </c>
      <c r="BL187" s="1"/>
      <c r="BM187" s="5">
        <v>62.0</v>
      </c>
      <c r="BN187" s="1"/>
      <c r="BO187" s="5"/>
      <c r="BP187" s="1"/>
      <c r="BQ187" s="5"/>
      <c r="BR187" s="1"/>
      <c r="BS187" s="5"/>
      <c r="BT187" s="1"/>
      <c r="BU187" s="5"/>
      <c r="BV187" s="1"/>
      <c r="BW187" s="5"/>
      <c r="BX187" s="1"/>
      <c r="BY187" s="5"/>
      <c r="BZ187" s="1"/>
      <c r="CA187" s="5"/>
      <c r="CB187" s="1"/>
      <c r="CC187" s="5"/>
      <c r="CD187" s="1"/>
      <c r="CE187" s="5"/>
      <c r="CF187" s="1"/>
      <c r="CG187" s="5"/>
      <c r="CH187" s="1"/>
      <c r="CI187" s="5"/>
      <c r="CJ187" s="1"/>
      <c r="CK187" s="5"/>
      <c r="CL187" s="1"/>
      <c r="CM187" s="1"/>
      <c r="CO187" s="18" t="s">
        <v>70</v>
      </c>
      <c r="CP187" s="12" t="b">
        <f t="shared" si="58"/>
        <v>0</v>
      </c>
    </row>
    <row r="188" ht="15.75" hidden="1" customHeight="1">
      <c r="C188" s="4"/>
      <c r="D188" s="18" t="s">
        <v>82</v>
      </c>
      <c r="E188" s="1"/>
      <c r="F188" s="1"/>
      <c r="G188" s="1"/>
      <c r="H188" s="1"/>
      <c r="I188" s="1"/>
      <c r="J188" s="1"/>
      <c r="K188" s="1"/>
      <c r="L188" s="1">
        <v>8.0</v>
      </c>
      <c r="M188" s="1">
        <v>8.0</v>
      </c>
      <c r="N188" s="1">
        <v>11.0</v>
      </c>
      <c r="O188" s="1">
        <v>35.0</v>
      </c>
      <c r="P188" s="1">
        <v>40.0</v>
      </c>
      <c r="Q188" s="1">
        <v>37.0</v>
      </c>
      <c r="R188" s="1">
        <v>37.0</v>
      </c>
      <c r="S188" s="1">
        <v>45.0</v>
      </c>
      <c r="T188" s="1">
        <v>49.0</v>
      </c>
      <c r="U188" s="1">
        <v>49.0</v>
      </c>
      <c r="V188" s="1"/>
      <c r="W188" s="1">
        <v>38.0</v>
      </c>
      <c r="X188" s="1"/>
      <c r="Y188" s="1">
        <v>53.0</v>
      </c>
      <c r="Z188" s="1"/>
      <c r="AA188" s="1">
        <v>39.0</v>
      </c>
      <c r="AB188" s="1"/>
      <c r="AC188" s="1">
        <v>41.0</v>
      </c>
      <c r="AD188" s="1"/>
      <c r="AE188" s="1">
        <v>26.0</v>
      </c>
      <c r="AF188" s="1"/>
      <c r="AG188" s="1">
        <v>34.0</v>
      </c>
      <c r="AH188" s="1"/>
      <c r="AI188" s="1">
        <v>17.0</v>
      </c>
      <c r="AJ188" s="1"/>
      <c r="AK188" s="1">
        <v>31.0</v>
      </c>
      <c r="AL188" s="1"/>
      <c r="AM188" s="1">
        <v>31.0</v>
      </c>
      <c r="AN188" s="1"/>
      <c r="AO188" s="1">
        <v>32.0</v>
      </c>
      <c r="AP188" s="1"/>
      <c r="AQ188" s="5">
        <v>35.0</v>
      </c>
      <c r="AR188" s="1"/>
      <c r="AS188" s="5">
        <v>27.0</v>
      </c>
      <c r="AT188" s="1"/>
      <c r="AU188" s="5">
        <v>29.0</v>
      </c>
      <c r="AV188" s="1"/>
      <c r="AW188" s="5">
        <v>39.0</v>
      </c>
      <c r="AX188" s="1"/>
      <c r="AY188" s="5">
        <v>19.0</v>
      </c>
      <c r="AZ188" s="1"/>
      <c r="BA188" s="5">
        <v>25.0</v>
      </c>
      <c r="BB188" s="1"/>
      <c r="BC188" s="5">
        <v>37.0</v>
      </c>
      <c r="BD188" s="1"/>
      <c r="BE188" s="5">
        <v>30.0</v>
      </c>
      <c r="BF188" s="1"/>
      <c r="BG188" s="5">
        <v>37.0</v>
      </c>
      <c r="BH188" s="1"/>
      <c r="BI188" s="5">
        <v>50.0</v>
      </c>
      <c r="BJ188" s="1"/>
      <c r="BK188" s="5">
        <v>30.0</v>
      </c>
      <c r="BL188" s="1"/>
      <c r="BM188" s="5">
        <v>45.0</v>
      </c>
      <c r="BN188" s="1"/>
      <c r="BO188" s="5"/>
      <c r="BP188" s="1"/>
      <c r="BQ188" s="5"/>
      <c r="BR188" s="1"/>
      <c r="BS188" s="5"/>
      <c r="BT188" s="1"/>
      <c r="BU188" s="5"/>
      <c r="BV188" s="1"/>
      <c r="BW188" s="5"/>
      <c r="BX188" s="1"/>
      <c r="BY188" s="5"/>
      <c r="BZ188" s="1"/>
      <c r="CA188" s="5"/>
      <c r="CB188" s="1"/>
      <c r="CC188" s="5"/>
      <c r="CD188" s="1"/>
      <c r="CE188" s="5"/>
      <c r="CF188" s="1"/>
      <c r="CG188" s="5"/>
      <c r="CH188" s="1"/>
      <c r="CI188" s="5"/>
      <c r="CJ188" s="1"/>
      <c r="CK188" s="5"/>
      <c r="CL188" s="1"/>
      <c r="CM188" s="1"/>
      <c r="CO188" s="18" t="s">
        <v>71</v>
      </c>
      <c r="CP188" s="12" t="b">
        <f t="shared" si="58"/>
        <v>0</v>
      </c>
    </row>
    <row r="189" ht="15.75" hidden="1" customHeight="1">
      <c r="C189" s="25"/>
      <c r="D189" s="1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O189" s="18" t="s">
        <v>72</v>
      </c>
      <c r="CP189" s="12" t="b">
        <f t="shared" si="58"/>
        <v>0</v>
      </c>
    </row>
    <row r="190" ht="15.75" hidden="1" customHeight="1">
      <c r="C190" s="25" t="s">
        <v>83</v>
      </c>
      <c r="D190" s="1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O190" s="18" t="s">
        <v>73</v>
      </c>
      <c r="CP190" s="12" t="b">
        <f t="shared" si="58"/>
        <v>0</v>
      </c>
    </row>
    <row r="191" ht="15.75" hidden="1" customHeight="1">
      <c r="C191" s="3"/>
      <c r="D191" s="84" t="s">
        <v>84</v>
      </c>
      <c r="E191" s="3">
        <f t="shared" ref="E191:CM191" si="179">SUM(E192:E195)</f>
        <v>3</v>
      </c>
      <c r="F191" s="3">
        <f t="shared" si="179"/>
        <v>3</v>
      </c>
      <c r="G191" s="3">
        <f t="shared" si="179"/>
        <v>3</v>
      </c>
      <c r="H191" s="3">
        <f t="shared" si="179"/>
        <v>5</v>
      </c>
      <c r="I191" s="3">
        <f t="shared" si="179"/>
        <v>10</v>
      </c>
      <c r="J191" s="3">
        <f t="shared" si="179"/>
        <v>16</v>
      </c>
      <c r="K191" s="3">
        <f t="shared" si="179"/>
        <v>24</v>
      </c>
      <c r="L191" s="3">
        <f t="shared" si="179"/>
        <v>30</v>
      </c>
      <c r="M191" s="3">
        <f t="shared" si="179"/>
        <v>36</v>
      </c>
      <c r="N191" s="3">
        <f t="shared" si="179"/>
        <v>39</v>
      </c>
      <c r="O191" s="3">
        <f t="shared" si="179"/>
        <v>47</v>
      </c>
      <c r="P191" s="3">
        <f t="shared" si="179"/>
        <v>49</v>
      </c>
      <c r="Q191" s="3">
        <f t="shared" si="179"/>
        <v>58</v>
      </c>
      <c r="R191" s="3">
        <f t="shared" si="179"/>
        <v>62</v>
      </c>
      <c r="S191" s="3">
        <f t="shared" si="179"/>
        <v>71</v>
      </c>
      <c r="T191" s="3">
        <f t="shared" si="179"/>
        <v>77</v>
      </c>
      <c r="U191" s="3">
        <f t="shared" si="179"/>
        <v>84</v>
      </c>
      <c r="V191" s="85">
        <f t="shared" si="179"/>
        <v>101</v>
      </c>
      <c r="W191" s="3">
        <f t="shared" si="179"/>
        <v>86</v>
      </c>
      <c r="X191" s="85">
        <f t="shared" si="179"/>
        <v>103</v>
      </c>
      <c r="Y191" s="3">
        <f t="shared" si="179"/>
        <v>93</v>
      </c>
      <c r="Z191" s="85">
        <f t="shared" si="179"/>
        <v>104</v>
      </c>
      <c r="AA191" s="3">
        <f t="shared" si="179"/>
        <v>91</v>
      </c>
      <c r="AB191" s="85">
        <f t="shared" si="179"/>
        <v>125</v>
      </c>
      <c r="AC191" s="3">
        <f t="shared" si="179"/>
        <v>99</v>
      </c>
      <c r="AD191" s="85">
        <f t="shared" si="179"/>
        <v>125</v>
      </c>
      <c r="AE191" s="3">
        <f t="shared" si="179"/>
        <v>102</v>
      </c>
      <c r="AF191" s="85">
        <f t="shared" si="179"/>
        <v>126</v>
      </c>
      <c r="AG191" s="3">
        <f t="shared" si="179"/>
        <v>112</v>
      </c>
      <c r="AH191" s="85">
        <f t="shared" si="179"/>
        <v>138</v>
      </c>
      <c r="AI191" s="85">
        <f t="shared" si="179"/>
        <v>117</v>
      </c>
      <c r="AJ191" s="85">
        <f t="shared" si="179"/>
        <v>139</v>
      </c>
      <c r="AK191" s="85">
        <f t="shared" si="179"/>
        <v>131</v>
      </c>
      <c r="AL191" s="85">
        <f t="shared" si="179"/>
        <v>143</v>
      </c>
      <c r="AM191" s="85">
        <f t="shared" si="179"/>
        <v>129</v>
      </c>
      <c r="AN191" s="85">
        <f t="shared" si="179"/>
        <v>122.1088193</v>
      </c>
      <c r="AO191" s="85">
        <f t="shared" si="179"/>
        <v>126</v>
      </c>
      <c r="AP191" s="85">
        <f t="shared" si="179"/>
        <v>137.6390769</v>
      </c>
      <c r="AQ191" s="85">
        <f t="shared" si="179"/>
        <v>131</v>
      </c>
      <c r="AR191" s="85">
        <f t="shared" si="179"/>
        <v>149.3304412</v>
      </c>
      <c r="AS191" s="85">
        <f t="shared" si="179"/>
        <v>148</v>
      </c>
      <c r="AT191" s="85">
        <f t="shared" si="179"/>
        <v>177.0312361</v>
      </c>
      <c r="AU191" s="85">
        <f t="shared" si="179"/>
        <v>155</v>
      </c>
      <c r="AV191" s="85">
        <f t="shared" si="179"/>
        <v>178.7850264</v>
      </c>
      <c r="AW191" s="85">
        <f t="shared" si="179"/>
        <v>151</v>
      </c>
      <c r="AX191" s="85">
        <f t="shared" si="179"/>
        <v>179.5192489</v>
      </c>
      <c r="AY191" s="85">
        <f t="shared" si="179"/>
        <v>158</v>
      </c>
      <c r="AZ191" s="85">
        <f t="shared" si="179"/>
        <v>193.6125765</v>
      </c>
      <c r="BA191" s="85">
        <f t="shared" si="179"/>
        <v>167</v>
      </c>
      <c r="BB191" s="85">
        <f t="shared" si="179"/>
        <v>198.0093794</v>
      </c>
      <c r="BC191" s="85">
        <f t="shared" si="179"/>
        <v>170</v>
      </c>
      <c r="BD191" s="85">
        <f t="shared" si="179"/>
        <v>182.3455486</v>
      </c>
      <c r="BE191" s="85">
        <f t="shared" si="179"/>
        <v>173</v>
      </c>
      <c r="BF191" s="85">
        <f t="shared" si="179"/>
        <v>190.7771465</v>
      </c>
      <c r="BG191" s="85">
        <f t="shared" si="179"/>
        <v>179</v>
      </c>
      <c r="BH191" s="85">
        <f t="shared" si="179"/>
        <v>194.2501655</v>
      </c>
      <c r="BI191" s="85">
        <f t="shared" si="179"/>
        <v>179</v>
      </c>
      <c r="BJ191" s="85">
        <f t="shared" si="179"/>
        <v>198.8419473</v>
      </c>
      <c r="BK191" s="85">
        <f t="shared" si="179"/>
        <v>179</v>
      </c>
      <c r="BL191" s="85">
        <f t="shared" si="179"/>
        <v>185</v>
      </c>
      <c r="BM191" s="85">
        <f t="shared" si="179"/>
        <v>186</v>
      </c>
      <c r="BN191" s="85">
        <f t="shared" si="179"/>
        <v>188</v>
      </c>
      <c r="BO191" s="85">
        <f t="shared" si="179"/>
        <v>184</v>
      </c>
      <c r="BP191" s="85">
        <f t="shared" si="179"/>
        <v>0</v>
      </c>
      <c r="BQ191" s="85">
        <f t="shared" si="179"/>
        <v>185</v>
      </c>
      <c r="BR191" s="85">
        <f t="shared" si="179"/>
        <v>196</v>
      </c>
      <c r="BS191" s="85">
        <f t="shared" si="179"/>
        <v>184</v>
      </c>
      <c r="BT191" s="85">
        <f t="shared" si="179"/>
        <v>0</v>
      </c>
      <c r="BU191" s="85">
        <f t="shared" si="179"/>
        <v>191</v>
      </c>
      <c r="BV191" s="85">
        <f t="shared" si="179"/>
        <v>198</v>
      </c>
      <c r="BW191" s="85">
        <f t="shared" si="179"/>
        <v>191</v>
      </c>
      <c r="BX191" s="85">
        <f t="shared" si="179"/>
        <v>208</v>
      </c>
      <c r="BY191" s="85">
        <f t="shared" si="179"/>
        <v>191</v>
      </c>
      <c r="BZ191" s="85">
        <f t="shared" si="179"/>
        <v>207</v>
      </c>
      <c r="CA191" s="85">
        <f t="shared" si="179"/>
        <v>191</v>
      </c>
      <c r="CB191" s="85">
        <f t="shared" si="179"/>
        <v>210</v>
      </c>
      <c r="CC191" s="85">
        <f t="shared" si="179"/>
        <v>191</v>
      </c>
      <c r="CD191" s="85">
        <f t="shared" si="179"/>
        <v>218</v>
      </c>
      <c r="CE191" s="85">
        <f t="shared" si="179"/>
        <v>191</v>
      </c>
      <c r="CF191" s="85">
        <f t="shared" si="179"/>
        <v>220</v>
      </c>
      <c r="CG191" s="85">
        <f t="shared" si="179"/>
        <v>191</v>
      </c>
      <c r="CH191" s="85">
        <f t="shared" si="179"/>
        <v>223</v>
      </c>
      <c r="CI191" s="85">
        <f t="shared" si="179"/>
        <v>191</v>
      </c>
      <c r="CJ191" s="85">
        <f t="shared" si="179"/>
        <v>228</v>
      </c>
      <c r="CK191" s="85">
        <f t="shared" si="179"/>
        <v>191</v>
      </c>
      <c r="CL191" s="85">
        <f t="shared" si="179"/>
        <v>230</v>
      </c>
      <c r="CM191" s="85">
        <f t="shared" si="179"/>
        <v>231</v>
      </c>
      <c r="CO191" s="72" t="s">
        <v>74</v>
      </c>
      <c r="CP191" s="12" t="b">
        <f t="shared" si="58"/>
        <v>0</v>
      </c>
    </row>
    <row r="192" ht="15.75" hidden="1" customHeight="1">
      <c r="C192" s="4"/>
      <c r="D192" s="1" t="s">
        <v>85</v>
      </c>
      <c r="E192" s="1">
        <v>0.0</v>
      </c>
      <c r="F192" s="1">
        <v>0.0</v>
      </c>
      <c r="G192" s="1">
        <v>0.0</v>
      </c>
      <c r="H192" s="1">
        <v>1.0</v>
      </c>
      <c r="I192" s="1">
        <v>3.0</v>
      </c>
      <c r="J192" s="1">
        <v>6.0</v>
      </c>
      <c r="K192" s="1">
        <v>7.0</v>
      </c>
      <c r="L192" s="1">
        <v>7.0</v>
      </c>
      <c r="M192" s="1">
        <v>9.0</v>
      </c>
      <c r="N192" s="1">
        <v>9.0</v>
      </c>
      <c r="O192" s="1">
        <v>13.0</v>
      </c>
      <c r="P192" s="1">
        <v>12.0</v>
      </c>
      <c r="Q192" s="1">
        <v>12.0</v>
      </c>
      <c r="R192" s="1">
        <v>14.0</v>
      </c>
      <c r="S192" s="1">
        <v>16.0</v>
      </c>
      <c r="T192" s="1">
        <v>15.0</v>
      </c>
      <c r="U192" s="1">
        <v>16.0</v>
      </c>
      <c r="V192" s="86">
        <v>18.0</v>
      </c>
      <c r="W192" s="1">
        <f>18</f>
        <v>18</v>
      </c>
      <c r="X192" s="86">
        <v>18.0</v>
      </c>
      <c r="Y192" s="1">
        <v>20.0</v>
      </c>
      <c r="Z192" s="86">
        <v>18.0</v>
      </c>
      <c r="AA192" s="1">
        <f>21</f>
        <v>21</v>
      </c>
      <c r="AB192" s="86">
        <v>20.0</v>
      </c>
      <c r="AC192" s="1">
        <f>23</f>
        <v>23</v>
      </c>
      <c r="AD192" s="86">
        <v>20.0</v>
      </c>
      <c r="AE192" s="1">
        <f>22</f>
        <v>22</v>
      </c>
      <c r="AF192" s="86">
        <v>20.0</v>
      </c>
      <c r="AG192" s="1">
        <f>24</f>
        <v>24</v>
      </c>
      <c r="AH192" s="86">
        <v>21.0</v>
      </c>
      <c r="AI192" s="86">
        <f>23</f>
        <v>23</v>
      </c>
      <c r="AJ192" s="86">
        <v>21.0</v>
      </c>
      <c r="AK192" s="87">
        <f>24+11</f>
        <v>35</v>
      </c>
      <c r="AL192" s="86">
        <v>23.0</v>
      </c>
      <c r="AM192" s="86">
        <f>28+1</f>
        <v>29</v>
      </c>
      <c r="AN192" s="86">
        <v>18.108819253500002</v>
      </c>
      <c r="AO192" s="86">
        <f>28+1-4+1</f>
        <v>26</v>
      </c>
      <c r="AP192" s="86">
        <v>19.639076941269252</v>
      </c>
      <c r="AQ192" s="86">
        <f>28</f>
        <v>28</v>
      </c>
      <c r="AR192" s="86">
        <v>23.33044124076796</v>
      </c>
      <c r="AS192" s="86">
        <v>36.0</v>
      </c>
      <c r="AT192" s="86">
        <v>24.031236075967886</v>
      </c>
      <c r="AU192" s="86">
        <v>39.0</v>
      </c>
      <c r="AV192" s="86">
        <v>25.785026351425657</v>
      </c>
      <c r="AW192" s="86">
        <v>34.0</v>
      </c>
      <c r="AX192" s="86">
        <v>26.519248863154605</v>
      </c>
      <c r="AY192" s="86">
        <v>34.0</v>
      </c>
      <c r="AZ192" s="86">
        <v>28.61257647841951</v>
      </c>
      <c r="BA192" s="86">
        <v>37.0</v>
      </c>
      <c r="BB192" s="86">
        <v>28.00937935799797</v>
      </c>
      <c r="BC192" s="86">
        <v>37.0</v>
      </c>
      <c r="BD192" s="86">
        <v>29.34554858114718</v>
      </c>
      <c r="BE192" s="86">
        <v>37.0</v>
      </c>
      <c r="BF192" s="86">
        <v>30.77714647360621</v>
      </c>
      <c r="BG192" s="86">
        <v>39.0</v>
      </c>
      <c r="BH192" s="86">
        <v>32.250165533846435</v>
      </c>
      <c r="BI192" s="86">
        <v>35.0</v>
      </c>
      <c r="BJ192" s="86">
        <v>33.8419473272816</v>
      </c>
      <c r="BK192" s="86">
        <v>35.0</v>
      </c>
      <c r="BL192" s="86">
        <v>27.0</v>
      </c>
      <c r="BM192" s="86">
        <v>33.0</v>
      </c>
      <c r="BN192" s="86">
        <v>28.0</v>
      </c>
      <c r="BO192" s="86">
        <v>33.0</v>
      </c>
      <c r="BP192" s="86"/>
      <c r="BQ192" s="86">
        <v>33.0</v>
      </c>
      <c r="BR192" s="86">
        <v>31.0</v>
      </c>
      <c r="BS192" s="86">
        <v>35.0</v>
      </c>
      <c r="BT192" s="86"/>
      <c r="BU192" s="86">
        <v>36.0</v>
      </c>
      <c r="BV192" s="86">
        <v>34.0</v>
      </c>
      <c r="BW192" s="86">
        <v>36.0</v>
      </c>
      <c r="BX192" s="86">
        <v>35.0</v>
      </c>
      <c r="BY192" s="86">
        <v>36.0</v>
      </c>
      <c r="BZ192" s="86">
        <v>36.0</v>
      </c>
      <c r="CA192" s="86">
        <v>36.0</v>
      </c>
      <c r="CB192" s="86">
        <v>38.0</v>
      </c>
      <c r="CC192" s="86">
        <v>36.0</v>
      </c>
      <c r="CD192" s="86">
        <v>39.0</v>
      </c>
      <c r="CE192" s="86">
        <v>36.0</v>
      </c>
      <c r="CF192" s="86">
        <v>40.0</v>
      </c>
      <c r="CG192" s="86">
        <v>36.0</v>
      </c>
      <c r="CH192" s="86">
        <v>42.0</v>
      </c>
      <c r="CI192" s="86">
        <v>36.0</v>
      </c>
      <c r="CJ192" s="86">
        <v>44.0</v>
      </c>
      <c r="CK192" s="86">
        <v>36.0</v>
      </c>
      <c r="CL192" s="86">
        <v>46.0</v>
      </c>
      <c r="CM192" s="86">
        <v>47.0</v>
      </c>
      <c r="CO192" s="72" t="s">
        <v>75</v>
      </c>
      <c r="CP192" s="12" t="b">
        <f t="shared" si="58"/>
        <v>0</v>
      </c>
    </row>
    <row r="193" ht="15.75" hidden="1" customHeight="1">
      <c r="C193" s="4"/>
      <c r="D193" s="1" t="s">
        <v>86</v>
      </c>
      <c r="E193" s="1">
        <v>0.0</v>
      </c>
      <c r="F193" s="1">
        <v>0.0</v>
      </c>
      <c r="G193" s="1">
        <v>0.0</v>
      </c>
      <c r="H193" s="1">
        <v>1.0</v>
      </c>
      <c r="I193" s="1">
        <v>3.0</v>
      </c>
      <c r="J193" s="1">
        <v>4.0</v>
      </c>
      <c r="K193" s="1">
        <v>5.0</v>
      </c>
      <c r="L193" s="1">
        <v>10.0</v>
      </c>
      <c r="M193" s="1">
        <v>13.0</v>
      </c>
      <c r="N193" s="1">
        <v>14.0</v>
      </c>
      <c r="O193" s="1">
        <v>16.0</v>
      </c>
      <c r="P193" s="1">
        <v>19.0</v>
      </c>
      <c r="Q193" s="1">
        <v>24.0</v>
      </c>
      <c r="R193" s="1">
        <f>21+2</f>
        <v>23</v>
      </c>
      <c r="S193" s="1">
        <f>23+3</f>
        <v>26</v>
      </c>
      <c r="T193" s="1">
        <f>27+4</f>
        <v>31</v>
      </c>
      <c r="U193" s="1">
        <f>28+6</f>
        <v>34</v>
      </c>
      <c r="V193" s="86">
        <v>35.0</v>
      </c>
      <c r="W193" s="1">
        <f>29+7</f>
        <v>36</v>
      </c>
      <c r="X193" s="86">
        <v>37.0</v>
      </c>
      <c r="Y193" s="5">
        <f>30+7</f>
        <v>37</v>
      </c>
      <c r="Z193" s="86">
        <v>38.0</v>
      </c>
      <c r="AA193" s="1">
        <f>29+7</f>
        <v>36</v>
      </c>
      <c r="AB193" s="86">
        <v>39.0</v>
      </c>
      <c r="AC193" s="1">
        <f>30+7</f>
        <v>37</v>
      </c>
      <c r="AD193" s="86">
        <v>39.0</v>
      </c>
      <c r="AE193" s="1">
        <f>32+7</f>
        <v>39</v>
      </c>
      <c r="AF193" s="86">
        <v>40.0</v>
      </c>
      <c r="AG193" s="1">
        <f>37+7</f>
        <v>44</v>
      </c>
      <c r="AH193" s="86">
        <v>43.0</v>
      </c>
      <c r="AI193" s="86">
        <f>42+7</f>
        <v>49</v>
      </c>
      <c r="AJ193" s="86">
        <v>44.0</v>
      </c>
      <c r="AK193" s="87">
        <f>40+7</f>
        <v>47</v>
      </c>
      <c r="AL193" s="86">
        <v>46.0</v>
      </c>
      <c r="AM193" s="86">
        <f>42+7</f>
        <v>49</v>
      </c>
      <c r="AN193" s="86">
        <v>43.0</v>
      </c>
      <c r="AO193" s="86">
        <f>42+7-1-1+1</f>
        <v>48</v>
      </c>
      <c r="AP193" s="86">
        <v>46.0</v>
      </c>
      <c r="AQ193" s="86">
        <f>44+7</f>
        <v>51</v>
      </c>
      <c r="AR193" s="86">
        <v>47.0</v>
      </c>
      <c r="AS193" s="86">
        <f>45+7</f>
        <v>52</v>
      </c>
      <c r="AT193" s="86">
        <v>52.0</v>
      </c>
      <c r="AU193" s="86">
        <f>46+7</f>
        <v>53</v>
      </c>
      <c r="AV193" s="86">
        <v>52.0</v>
      </c>
      <c r="AW193" s="86">
        <v>52.0</v>
      </c>
      <c r="AX193" s="86">
        <v>52.0</v>
      </c>
      <c r="AY193" s="86">
        <f>47+7</f>
        <v>54</v>
      </c>
      <c r="AZ193" s="86">
        <v>55.0</v>
      </c>
      <c r="BA193" s="86">
        <f>48+7</f>
        <v>55</v>
      </c>
      <c r="BB193" s="86">
        <v>59.0</v>
      </c>
      <c r="BC193" s="86">
        <f>48+4</f>
        <v>52</v>
      </c>
      <c r="BD193" s="86">
        <v>60.0</v>
      </c>
      <c r="BE193" s="86">
        <v>50.0</v>
      </c>
      <c r="BF193" s="86">
        <v>65.0</v>
      </c>
      <c r="BG193" s="86">
        <v>51.0</v>
      </c>
      <c r="BH193" s="86">
        <v>65.0</v>
      </c>
      <c r="BI193" s="86">
        <v>59.0</v>
      </c>
      <c r="BJ193" s="86">
        <v>65.0</v>
      </c>
      <c r="BK193" s="86">
        <v>58.0</v>
      </c>
      <c r="BL193" s="86">
        <v>60.0</v>
      </c>
      <c r="BM193" s="86">
        <v>60.0</v>
      </c>
      <c r="BN193" s="86">
        <v>61.0</v>
      </c>
      <c r="BO193" s="86">
        <v>56.0</v>
      </c>
      <c r="BP193" s="86"/>
      <c r="BQ193" s="86">
        <v>51.0</v>
      </c>
      <c r="BR193" s="86">
        <v>63.0</v>
      </c>
      <c r="BS193" s="86">
        <v>49.0</v>
      </c>
      <c r="BT193" s="86"/>
      <c r="BU193" s="86">
        <v>51.0</v>
      </c>
      <c r="BV193" s="86">
        <v>61.0</v>
      </c>
      <c r="BW193" s="86">
        <v>51.0</v>
      </c>
      <c r="BX193" s="86">
        <v>63.0</v>
      </c>
      <c r="BY193" s="86">
        <v>51.0</v>
      </c>
      <c r="BZ193" s="86">
        <v>61.0</v>
      </c>
      <c r="CA193" s="86">
        <v>51.0</v>
      </c>
      <c r="CB193" s="86">
        <v>61.0</v>
      </c>
      <c r="CC193" s="86">
        <v>51.0</v>
      </c>
      <c r="CD193" s="86">
        <v>64.0</v>
      </c>
      <c r="CE193" s="86">
        <v>51.0</v>
      </c>
      <c r="CF193" s="86">
        <v>65.0</v>
      </c>
      <c r="CG193" s="86">
        <v>51.0</v>
      </c>
      <c r="CH193" s="86">
        <v>65.0</v>
      </c>
      <c r="CI193" s="86">
        <v>51.0</v>
      </c>
      <c r="CJ193" s="86">
        <v>66.0</v>
      </c>
      <c r="CK193" s="86">
        <v>51.0</v>
      </c>
      <c r="CL193" s="86">
        <v>66.0</v>
      </c>
      <c r="CM193" s="86">
        <v>66.0</v>
      </c>
      <c r="CO193" s="5"/>
      <c r="CP193" s="12" t="b">
        <f t="shared" si="58"/>
        <v>0</v>
      </c>
    </row>
    <row r="194" ht="15.75" hidden="1" customHeight="1">
      <c r="C194" s="4"/>
      <c r="D194" s="1" t="s">
        <v>87</v>
      </c>
      <c r="E194" s="1">
        <v>3.0</v>
      </c>
      <c r="F194" s="1">
        <v>3.0</v>
      </c>
      <c r="G194" s="1">
        <v>3.0</v>
      </c>
      <c r="H194" s="1">
        <v>3.0</v>
      </c>
      <c r="I194" s="1">
        <v>4.0</v>
      </c>
      <c r="J194" s="1">
        <v>6.0</v>
      </c>
      <c r="K194" s="1">
        <v>8.0</v>
      </c>
      <c r="L194" s="1">
        <v>9.0</v>
      </c>
      <c r="M194" s="1">
        <v>10.0</v>
      </c>
      <c r="N194" s="1">
        <v>12.0</v>
      </c>
      <c r="O194" s="1">
        <v>14.0</v>
      </c>
      <c r="P194" s="1">
        <v>13.0</v>
      </c>
      <c r="Q194" s="1">
        <v>15.0</v>
      </c>
      <c r="R194" s="1">
        <v>17.0</v>
      </c>
      <c r="S194" s="1">
        <v>20.0</v>
      </c>
      <c r="T194" s="1">
        <v>22.0</v>
      </c>
      <c r="U194" s="1">
        <v>25.0</v>
      </c>
      <c r="V194" s="86">
        <v>38.0</v>
      </c>
      <c r="W194" s="1">
        <f>23</f>
        <v>23</v>
      </c>
      <c r="X194" s="86">
        <v>38.0</v>
      </c>
      <c r="Y194" s="5">
        <f>28</f>
        <v>28</v>
      </c>
      <c r="Z194" s="86">
        <v>38.0</v>
      </c>
      <c r="AA194" s="1">
        <f>26</f>
        <v>26</v>
      </c>
      <c r="AB194" s="86">
        <v>54.0</v>
      </c>
      <c r="AC194" s="1">
        <f>30</f>
        <v>30</v>
      </c>
      <c r="AD194" s="86">
        <v>54.0</v>
      </c>
      <c r="AE194" s="1">
        <f>32</f>
        <v>32</v>
      </c>
      <c r="AF194" s="86">
        <v>54.0</v>
      </c>
      <c r="AG194" s="1">
        <f>34</f>
        <v>34</v>
      </c>
      <c r="AH194" s="86">
        <v>62.0</v>
      </c>
      <c r="AI194" s="86">
        <f>36</f>
        <v>36</v>
      </c>
      <c r="AJ194" s="86">
        <v>62.0</v>
      </c>
      <c r="AK194" s="87">
        <f>39+1</f>
        <v>40</v>
      </c>
      <c r="AL194" s="86">
        <v>62.0</v>
      </c>
      <c r="AM194" s="86">
        <f>41</f>
        <v>41</v>
      </c>
      <c r="AN194" s="86">
        <v>49.0</v>
      </c>
      <c r="AO194" s="86">
        <f>41</f>
        <v>41</v>
      </c>
      <c r="AP194" s="86">
        <v>59.0</v>
      </c>
      <c r="AQ194" s="86">
        <f>41</f>
        <v>41</v>
      </c>
      <c r="AR194" s="86">
        <v>66.0</v>
      </c>
      <c r="AS194" s="86">
        <v>47.0</v>
      </c>
      <c r="AT194" s="86">
        <v>85.0</v>
      </c>
      <c r="AU194" s="86">
        <v>50.0</v>
      </c>
      <c r="AV194" s="86">
        <v>85.0</v>
      </c>
      <c r="AW194" s="86">
        <v>50.0</v>
      </c>
      <c r="AX194" s="86">
        <v>85.0</v>
      </c>
      <c r="AY194" s="86">
        <v>54.0</v>
      </c>
      <c r="AZ194" s="86">
        <v>94.0</v>
      </c>
      <c r="BA194" s="86">
        <v>58.0</v>
      </c>
      <c r="BB194" s="86">
        <v>95.0</v>
      </c>
      <c r="BC194" s="86">
        <f>62+1</f>
        <v>63</v>
      </c>
      <c r="BD194" s="86">
        <v>77.0</v>
      </c>
      <c r="BE194" s="86">
        <v>66.0</v>
      </c>
      <c r="BF194" s="86">
        <v>79.0</v>
      </c>
      <c r="BG194" s="86">
        <v>69.0</v>
      </c>
      <c r="BH194" s="86">
        <v>81.0</v>
      </c>
      <c r="BI194" s="86">
        <v>67.0</v>
      </c>
      <c r="BJ194" s="86">
        <v>84.0</v>
      </c>
      <c r="BK194" s="86">
        <v>65.0</v>
      </c>
      <c r="BL194" s="86">
        <v>83.0</v>
      </c>
      <c r="BM194" s="86">
        <v>69.0</v>
      </c>
      <c r="BN194" s="86">
        <v>83.0</v>
      </c>
      <c r="BO194" s="86">
        <v>71.0</v>
      </c>
      <c r="BP194" s="86"/>
      <c r="BQ194" s="86">
        <v>77.0</v>
      </c>
      <c r="BR194" s="86">
        <v>86.0</v>
      </c>
      <c r="BS194" s="86">
        <v>77.0</v>
      </c>
      <c r="BT194" s="86"/>
      <c r="BU194" s="86">
        <v>79.0</v>
      </c>
      <c r="BV194" s="86">
        <v>87.0</v>
      </c>
      <c r="BW194" s="86">
        <v>79.0</v>
      </c>
      <c r="BX194" s="86">
        <v>94.0</v>
      </c>
      <c r="BY194" s="86">
        <v>79.0</v>
      </c>
      <c r="BZ194" s="86">
        <v>94.0</v>
      </c>
      <c r="CA194" s="86">
        <v>79.0</v>
      </c>
      <c r="CB194" s="86">
        <v>95.0</v>
      </c>
      <c r="CC194" s="86">
        <v>79.0</v>
      </c>
      <c r="CD194" s="86">
        <v>99.0</v>
      </c>
      <c r="CE194" s="86">
        <v>79.0</v>
      </c>
      <c r="CF194" s="86">
        <v>99.0</v>
      </c>
      <c r="CG194" s="86">
        <v>79.0</v>
      </c>
      <c r="CH194" s="86">
        <v>100.0</v>
      </c>
      <c r="CI194" s="86">
        <v>79.0</v>
      </c>
      <c r="CJ194" s="86">
        <v>102.0</v>
      </c>
      <c r="CK194" s="86">
        <v>79.0</v>
      </c>
      <c r="CL194" s="86">
        <v>102.0</v>
      </c>
      <c r="CM194" s="86">
        <v>102.0</v>
      </c>
      <c r="CO194" s="5"/>
      <c r="CP194" s="12" t="b">
        <f t="shared" si="58"/>
        <v>0</v>
      </c>
    </row>
    <row r="195" ht="15.75" hidden="1" customHeight="1">
      <c r="C195" s="4"/>
      <c r="D195" s="1" t="s">
        <v>88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4.0</v>
      </c>
      <c r="L195" s="1">
        <v>4.0</v>
      </c>
      <c r="M195" s="1">
        <v>4.0</v>
      </c>
      <c r="N195" s="1">
        <v>4.0</v>
      </c>
      <c r="O195" s="1">
        <v>4.0</v>
      </c>
      <c r="P195" s="1">
        <v>5.0</v>
      </c>
      <c r="Q195" s="1">
        <v>7.0</v>
      </c>
      <c r="R195" s="1">
        <v>8.0</v>
      </c>
      <c r="S195" s="1">
        <v>9.0</v>
      </c>
      <c r="T195" s="1">
        <v>9.0</v>
      </c>
      <c r="U195" s="1">
        <v>9.0</v>
      </c>
      <c r="V195" s="86">
        <v>10.0</v>
      </c>
      <c r="W195" s="1">
        <f>9</f>
        <v>9</v>
      </c>
      <c r="X195" s="86">
        <v>10.0</v>
      </c>
      <c r="Y195" s="1">
        <f>8</f>
        <v>8</v>
      </c>
      <c r="Z195" s="86">
        <v>10.0</v>
      </c>
      <c r="AA195" s="1">
        <f>8</f>
        <v>8</v>
      </c>
      <c r="AB195" s="86">
        <v>12.0</v>
      </c>
      <c r="AC195" s="1">
        <f>9</f>
        <v>9</v>
      </c>
      <c r="AD195" s="86">
        <v>12.0</v>
      </c>
      <c r="AE195" s="1">
        <v>9.0</v>
      </c>
      <c r="AF195" s="86">
        <v>12.0</v>
      </c>
      <c r="AG195" s="1">
        <v>10.0</v>
      </c>
      <c r="AH195" s="86">
        <v>12.0</v>
      </c>
      <c r="AI195" s="86">
        <v>9.0</v>
      </c>
      <c r="AJ195" s="86">
        <v>12.0</v>
      </c>
      <c r="AK195" s="87">
        <v>9.0</v>
      </c>
      <c r="AL195" s="86">
        <v>12.0</v>
      </c>
      <c r="AM195" s="86">
        <v>10.0</v>
      </c>
      <c r="AN195" s="86">
        <v>12.0</v>
      </c>
      <c r="AO195" s="86">
        <f>9+1+1</f>
        <v>11</v>
      </c>
      <c r="AP195" s="86">
        <v>13.0</v>
      </c>
      <c r="AQ195" s="86">
        <v>11.0</v>
      </c>
      <c r="AR195" s="86">
        <v>13.0</v>
      </c>
      <c r="AS195" s="86">
        <v>13.0</v>
      </c>
      <c r="AT195" s="86">
        <v>16.0</v>
      </c>
      <c r="AU195" s="86">
        <v>13.0</v>
      </c>
      <c r="AV195" s="86">
        <v>16.0</v>
      </c>
      <c r="AW195" s="86">
        <v>15.0</v>
      </c>
      <c r="AX195" s="86">
        <v>16.0</v>
      </c>
      <c r="AY195" s="86">
        <v>16.0</v>
      </c>
      <c r="AZ195" s="86">
        <v>16.0</v>
      </c>
      <c r="BA195" s="86">
        <v>17.0</v>
      </c>
      <c r="BB195" s="86">
        <v>16.0</v>
      </c>
      <c r="BC195" s="86">
        <f>17+1</f>
        <v>18</v>
      </c>
      <c r="BD195" s="86">
        <v>16.0</v>
      </c>
      <c r="BE195" s="86">
        <v>20.0</v>
      </c>
      <c r="BF195" s="86">
        <v>16.0</v>
      </c>
      <c r="BG195" s="86">
        <v>20.0</v>
      </c>
      <c r="BH195" s="86">
        <v>16.0</v>
      </c>
      <c r="BI195" s="86">
        <v>18.0</v>
      </c>
      <c r="BJ195" s="86">
        <v>16.0</v>
      </c>
      <c r="BK195" s="86">
        <v>21.0</v>
      </c>
      <c r="BL195" s="86">
        <v>15.0</v>
      </c>
      <c r="BM195" s="86">
        <v>24.0</v>
      </c>
      <c r="BN195" s="86">
        <v>16.0</v>
      </c>
      <c r="BO195" s="86">
        <v>24.0</v>
      </c>
      <c r="BP195" s="86"/>
      <c r="BQ195" s="86">
        <v>24.0</v>
      </c>
      <c r="BR195" s="86">
        <v>16.0</v>
      </c>
      <c r="BS195" s="86">
        <f>22+1</f>
        <v>23</v>
      </c>
      <c r="BT195" s="86"/>
      <c r="BU195" s="86">
        <f>24+1</f>
        <v>25</v>
      </c>
      <c r="BV195" s="86">
        <v>16.0</v>
      </c>
      <c r="BW195" s="86">
        <f>24+1</f>
        <v>25</v>
      </c>
      <c r="BX195" s="86">
        <v>16.0</v>
      </c>
      <c r="BY195" s="86">
        <f>24+1</f>
        <v>25</v>
      </c>
      <c r="BZ195" s="86">
        <v>16.0</v>
      </c>
      <c r="CA195" s="86">
        <f>24+1</f>
        <v>25</v>
      </c>
      <c r="CB195" s="86">
        <v>16.0</v>
      </c>
      <c r="CC195" s="86">
        <f>24+1</f>
        <v>25</v>
      </c>
      <c r="CD195" s="86">
        <v>16.0</v>
      </c>
      <c r="CE195" s="86">
        <f>24+1</f>
        <v>25</v>
      </c>
      <c r="CF195" s="86">
        <v>16.0</v>
      </c>
      <c r="CG195" s="86">
        <f>24+1</f>
        <v>25</v>
      </c>
      <c r="CH195" s="86">
        <v>16.0</v>
      </c>
      <c r="CI195" s="86">
        <f>24+1</f>
        <v>25</v>
      </c>
      <c r="CJ195" s="86">
        <v>16.0</v>
      </c>
      <c r="CK195" s="86">
        <f>24+1</f>
        <v>25</v>
      </c>
      <c r="CL195" s="86">
        <v>16.0</v>
      </c>
      <c r="CM195" s="86">
        <v>16.0</v>
      </c>
      <c r="CO195" s="84" t="s">
        <v>77</v>
      </c>
      <c r="CP195" s="12" t="b">
        <f t="shared" si="58"/>
        <v>0</v>
      </c>
    </row>
    <row r="196" ht="15.75" hidden="1" customHeight="1"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O196" s="18" t="s">
        <v>78</v>
      </c>
      <c r="CP196" s="12" t="b">
        <f t="shared" si="58"/>
        <v>0</v>
      </c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O197" s="18" t="s">
        <v>79</v>
      </c>
      <c r="CP197" s="12" t="b">
        <f t="shared" si="58"/>
        <v>0</v>
      </c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O198" s="18" t="s">
        <v>80</v>
      </c>
      <c r="CP198" s="12" t="b">
        <f t="shared" si="58"/>
        <v>0</v>
      </c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O199" s="18" t="s">
        <v>81</v>
      </c>
      <c r="CP199" s="12" t="b">
        <f t="shared" si="58"/>
        <v>0</v>
      </c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O200" s="18" t="s">
        <v>82</v>
      </c>
      <c r="CP200" s="12" t="b">
        <f t="shared" si="58"/>
        <v>0</v>
      </c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O201" s="18"/>
      <c r="CP201" s="12" t="b">
        <f t="shared" si="58"/>
        <v>1</v>
      </c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O202" s="18"/>
      <c r="CP202" s="12" t="b">
        <f t="shared" si="58"/>
        <v>1</v>
      </c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O203" s="84" t="s">
        <v>84</v>
      </c>
      <c r="CP203" s="12" t="b">
        <f t="shared" si="58"/>
        <v>0</v>
      </c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O204" s="1" t="s">
        <v>85</v>
      </c>
      <c r="CP204" s="12" t="b">
        <f t="shared" si="58"/>
        <v>0</v>
      </c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O205" s="1" t="s">
        <v>86</v>
      </c>
      <c r="CP205" s="12" t="b">
        <f t="shared" si="58"/>
        <v>0</v>
      </c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O206" s="1" t="s">
        <v>87</v>
      </c>
      <c r="CP206" s="12" t="b">
        <f t="shared" si="58"/>
        <v>0</v>
      </c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O207" s="1" t="s">
        <v>88</v>
      </c>
      <c r="CP207" s="12" t="b">
        <f t="shared" si="58"/>
        <v>0</v>
      </c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  <row r="231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</row>
    <row r="232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</row>
    <row r="233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</row>
    <row r="234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</row>
    <row r="23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</row>
    <row r="236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</row>
    <row r="237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</row>
    <row r="238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</row>
    <row r="239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</row>
    <row r="240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</row>
    <row r="241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</row>
    <row r="242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</row>
    <row r="243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</row>
    <row r="244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</row>
    <row r="24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</row>
    <row r="246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</row>
    <row r="247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</row>
    <row r="248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</row>
    <row r="249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</row>
    <row r="250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</row>
    <row r="251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</row>
    <row r="252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</row>
    <row r="253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</row>
    <row r="254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</row>
    <row r="25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</row>
    <row r="256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</row>
    <row r="257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</row>
    <row r="258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</row>
    <row r="259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</row>
    <row r="260" ht="15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</row>
    <row r="261" ht="15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</row>
    <row r="262" ht="15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</row>
    <row r="263" ht="15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</row>
    <row r="264" ht="15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</row>
    <row r="265" ht="15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</row>
    <row r="266" ht="15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</row>
    <row r="267" ht="15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</row>
    <row r="268" ht="15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</row>
    <row r="269" ht="15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</row>
    <row r="270" ht="15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</row>
    <row r="271" ht="15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</row>
    <row r="272" ht="15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</row>
    <row r="273" ht="15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</row>
    <row r="274" ht="15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</row>
    <row r="275" ht="15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</row>
    <row r="276" ht="15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</row>
    <row r="277" ht="15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</row>
    <row r="278" ht="15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</row>
    <row r="279" ht="15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</row>
    <row r="280" ht="15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</row>
    <row r="281" ht="15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</row>
    <row r="282" ht="15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</row>
    <row r="283" ht="15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</row>
    <row r="284" ht="15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</row>
    <row r="285" ht="15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</row>
    <row r="286" ht="15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</row>
    <row r="287" ht="15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</row>
    <row r="288" ht="15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</row>
    <row r="289" ht="15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</row>
    <row r="290" ht="15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</row>
    <row r="291" ht="15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</row>
    <row r="292" ht="15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</row>
    <row r="293" ht="15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</row>
    <row r="294" ht="15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</row>
    <row r="295" ht="15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</row>
    <row r="296" ht="15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</row>
    <row r="297" ht="15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</row>
    <row r="298" ht="15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</row>
    <row r="299" ht="15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</row>
    <row r="300" ht="15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</row>
    <row r="301" ht="15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</row>
    <row r="302" ht="15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</row>
    <row r="303" ht="15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</row>
    <row r="304" ht="15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</row>
    <row r="305" ht="15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</row>
    <row r="306" ht="15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</row>
    <row r="307" ht="15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</row>
    <row r="308" ht="15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</row>
    <row r="309" ht="15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</row>
    <row r="310" ht="15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</row>
    <row r="311" ht="15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</row>
    <row r="312" ht="15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</row>
    <row r="313" ht="15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</row>
    <row r="314" ht="15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</row>
    <row r="315" ht="15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</row>
    <row r="316" ht="15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</row>
    <row r="317" ht="15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</row>
    <row r="318" ht="15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</row>
    <row r="319" ht="15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</row>
    <row r="320" ht="15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</row>
    <row r="321" ht="15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</row>
    <row r="322" ht="15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</row>
    <row r="323" ht="15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</row>
    <row r="324" ht="15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</row>
    <row r="325" ht="15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</row>
    <row r="326" ht="15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</row>
    <row r="327" ht="15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</row>
    <row r="328" ht="15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</row>
    <row r="329" ht="15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</row>
    <row r="330" ht="15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</row>
    <row r="331" ht="15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</row>
    <row r="332" ht="15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</row>
    <row r="333" ht="15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</row>
    <row r="334" ht="15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</row>
    <row r="335" ht="15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</row>
    <row r="336" ht="15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</row>
    <row r="337" ht="15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</row>
    <row r="338" ht="15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</row>
    <row r="339" ht="15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</row>
    <row r="340" ht="15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</row>
    <row r="341" ht="15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</row>
    <row r="342" ht="15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</row>
    <row r="343" ht="15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</row>
    <row r="344" ht="15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</row>
    <row r="345" ht="15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</row>
    <row r="346" ht="15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</row>
    <row r="347" ht="15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</row>
    <row r="348" ht="15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</row>
    <row r="349" ht="15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</row>
    <row r="350" ht="15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</row>
    <row r="351" ht="15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</row>
    <row r="352" ht="15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</row>
    <row r="353" ht="15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</row>
    <row r="354" ht="15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</row>
    <row r="355" ht="15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</row>
    <row r="356" ht="15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</row>
    <row r="357" ht="15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</row>
    <row r="358" ht="15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</row>
    <row r="359" ht="15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</row>
    <row r="360" ht="15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</row>
    <row r="361" ht="15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</row>
    <row r="362" ht="15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</row>
    <row r="363" ht="15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</row>
    <row r="364" ht="15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</row>
    <row r="365" ht="15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</row>
    <row r="366" ht="15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</row>
    <row r="367" ht="15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</row>
    <row r="368" ht="15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</row>
    <row r="369" ht="15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</row>
    <row r="370" ht="15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</row>
    <row r="371" ht="15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</row>
    <row r="372" ht="15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</row>
    <row r="373" ht="15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</row>
    <row r="374" ht="15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</row>
    <row r="375" ht="15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</row>
    <row r="376" ht="15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</row>
    <row r="377" ht="15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</row>
    <row r="378" ht="15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</row>
    <row r="379" ht="15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</row>
    <row r="380" ht="15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</row>
    <row r="381" ht="15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</row>
    <row r="382" ht="15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</row>
    <row r="383" ht="15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</row>
    <row r="384" ht="15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</row>
    <row r="385" ht="15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</row>
    <row r="386" ht="15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</row>
    <row r="387" ht="15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</row>
    <row r="388" ht="15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</row>
    <row r="389" ht="15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</row>
    <row r="390" ht="15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</row>
    <row r="391" ht="15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</row>
    <row r="392" ht="15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</row>
    <row r="393" ht="15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</row>
    <row r="394" ht="15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</row>
    <row r="395" ht="15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</row>
    <row r="396" ht="15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</row>
    <row r="397" ht="15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</row>
    <row r="398" ht="15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</row>
    <row r="399" ht="15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</row>
    <row r="400" ht="15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</row>
    <row r="401" ht="15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</row>
    <row r="402" ht="15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</row>
    <row r="403" ht="15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</row>
    <row r="404" ht="15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</row>
    <row r="405" ht="15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</row>
    <row r="406" ht="15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</row>
    <row r="407" ht="15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</row>
  </sheetData>
  <conditionalFormatting sqref="E4:U4 W4 Y4 AA4 AC4 AE4 AG4 AI4 AK4 AM4 AO4 AQ4">
    <cfRule type="colorScale" priority="1">
      <colorScale>
        <cfvo type="min"/>
        <cfvo type="max"/>
        <color rgb="FFFFEF9C"/>
        <color rgb="FF63BE7B"/>
      </colorScale>
    </cfRule>
  </conditionalFormatting>
  <conditionalFormatting sqref="E4:U4 W4 Y4 AA4 AC4 AE4 AG4 AI4 AK4 AM4 AO4 AQ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U4 W4 Y4 AA4 AC4 AE4 AG4 AI4 AK4 AM4 AO4 AQ4">
    <cfRule type="colorScale" priority="3">
      <colorScale>
        <cfvo type="min"/>
        <cfvo type="max"/>
        <color rgb="FFFFEF9C"/>
        <color rgb="FF63BE7B"/>
      </colorScale>
    </cfRule>
  </conditionalFormatting>
  <conditionalFormatting sqref="E9:U9 W9 Y9 AA9 AC9 AE9 AG9 AI9 AK9 AM9 AO9 AQ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U9 W9 Y9 AA9 AC9 AE9">
    <cfRule type="colorScale" priority="5">
      <colorScale>
        <cfvo type="min"/>
        <cfvo type="max"/>
        <color rgb="FFFFEF9C"/>
        <color rgb="FF63BE7B"/>
      </colorScale>
    </cfRule>
  </conditionalFormatting>
  <conditionalFormatting sqref="E9:U9 W9 Y9 AA9 AC9 AE9 AG9 AI9 AK9 AM9 AO9 AQ9">
    <cfRule type="colorScale" priority="6">
      <colorScale>
        <cfvo type="min"/>
        <cfvo type="max"/>
        <color rgb="FFFFEF9C"/>
        <color rgb="FF63BE7B"/>
      </colorScale>
    </cfRule>
  </conditionalFormatting>
  <conditionalFormatting sqref="E14:U14 W14 Y14 AA14 AC14 AE14 AG14 AI14 AK14 AM14 AO14 AQ14">
    <cfRule type="colorScale" priority="7">
      <colorScale>
        <cfvo type="min"/>
        <cfvo type="max"/>
        <color rgb="FFFFEF9C"/>
        <color rgb="FF63BE7B"/>
      </colorScale>
    </cfRule>
  </conditionalFormatting>
  <conditionalFormatting sqref="E14:U14 W14 Y14 AA14 AC14 AE14 AG14 AI14 AK14 AM14 AO14 AQ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U14 W14 Y14 AA14 AC14 AE14 AG14 AI14 AK14 AM14 AO14 AQ14">
    <cfRule type="colorScale" priority="9">
      <colorScale>
        <cfvo type="min"/>
        <cfvo type="max"/>
        <color rgb="FFFFEF9C"/>
        <color rgb="FF63BE7B"/>
      </colorScale>
    </cfRule>
  </conditionalFormatting>
  <conditionalFormatting sqref="E19:U19 W19 Y19 AA19 AC19 AE19 AG19 AI19 AK19 AM19 AO19 AQ19">
    <cfRule type="colorScale" priority="10">
      <colorScale>
        <cfvo type="min"/>
        <cfvo type="max"/>
        <color rgb="FFFFEF9C"/>
        <color rgb="FF63BE7B"/>
      </colorScale>
    </cfRule>
  </conditionalFormatting>
  <conditionalFormatting sqref="E19:U19 W19 Y19 AA19 AC19 AE19 AG19 AI19 AK19 AM19 AO19 AQ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U24 W24 Y24 AA24 AC24 AE24 AG24 AI24 AK24 AM24 AO24 AQ24">
    <cfRule type="colorScale" priority="12">
      <colorScale>
        <cfvo type="min"/>
        <cfvo type="max"/>
        <color rgb="FFFFEF9C"/>
        <color rgb="FF63BE7B"/>
      </colorScale>
    </cfRule>
  </conditionalFormatting>
  <conditionalFormatting sqref="E24:U24 W24 Y24 AA24 AC24 AE24 AG24 AI24 AK24 AM24 AO24 AQ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U29 W29 Y29 AA29 AC29 AE29 AG29 AI29 AK29 AM29 AO29 AQ29">
    <cfRule type="colorScale" priority="14">
      <colorScale>
        <cfvo type="min"/>
        <cfvo type="max"/>
        <color rgb="FFFFEF9C"/>
        <color rgb="FF63BE7B"/>
      </colorScale>
    </cfRule>
  </conditionalFormatting>
  <conditionalFormatting sqref="E29:U29 W29 Y29 AA29 AC29 AE29 AG29 AI29 AK29 AM29 AO29 AQ2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U29 W29 Y29 AA29 AC29 AE29 AG29 AI29 AK29 AM29 AO29 AQ29">
    <cfRule type="colorScale" priority="16">
      <colorScale>
        <cfvo type="min"/>
        <cfvo type="max"/>
        <color rgb="FF63BE7B"/>
        <color rgb="FFFFEF9C"/>
      </colorScale>
    </cfRule>
  </conditionalFormatting>
  <conditionalFormatting sqref="E34:U34 W34 Y34 AA34 AC34 AE34 AG34 AI34 AK34 AM34 AO34 AQ34">
    <cfRule type="colorScale" priority="17">
      <colorScale>
        <cfvo type="min"/>
        <cfvo type="max"/>
        <color rgb="FFFFEF9C"/>
        <color rgb="FF63BE7B"/>
      </colorScale>
    </cfRule>
  </conditionalFormatting>
  <conditionalFormatting sqref="E34:U34 W34 Y34 AA34 AC34 AE34 AG34 AI34 AK34 AM34 AO34 AQ3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U34 W34 Y34 AA34 AC34 AE34 AG34 AI34 AK34 AM34 AO34 AQ34">
    <cfRule type="colorScale" priority="19">
      <colorScale>
        <cfvo type="min"/>
        <cfvo type="max"/>
        <color rgb="FF63BE7B"/>
        <color rgb="FFFFEF9C"/>
      </colorScale>
    </cfRule>
  </conditionalFormatting>
  <conditionalFormatting sqref="E41:U41 W41 Y41 AA41 AC41 AE41 AG41 AI41 AK41 AM41 AO41 AQ41">
    <cfRule type="colorScale" priority="20">
      <colorScale>
        <cfvo type="min"/>
        <cfvo type="max"/>
        <color rgb="FFFFEF9C"/>
        <color rgb="FF63BE7B"/>
      </colorScale>
    </cfRule>
  </conditionalFormatting>
  <conditionalFormatting sqref="E41:U41 W41 Y41 AA41 AC41 AE41 AG41 AI41 AK41 AM41 AO41 AQ4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U46 W46 Y46 AA46 AC46 AE46 AG46 AI46 AK46 AM46 AO46 AQ4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U51 W51 Y51 AA51 AC51 AE51 AG51 AI51 AK51 AM51 AO51 AQ5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U56 W56 Y56 AA56 AC56 AE56 AG56 AI56 AK56 AM56 AO56 AQ5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7:U97 W97 Y97 AA97 AC97 AE97 AG97 AI97 AK97 AM97">
    <cfRule type="colorScale" priority="25">
      <colorScale>
        <cfvo type="min"/>
        <cfvo type="max"/>
        <color rgb="FFFFEF9C"/>
        <color rgb="FF63BE7B"/>
      </colorScale>
    </cfRule>
  </conditionalFormatting>
  <conditionalFormatting sqref="E97:U97 W97 Y97 AA97 AC97 AE97 AG97 AI97 AK97 AM9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9:U99 W99 Y99 AA99 AC99 AE99 AG99 AI99 AK99 AM99">
    <cfRule type="colorScale" priority="27">
      <colorScale>
        <cfvo type="min"/>
        <cfvo type="max"/>
        <color rgb="FFFFEF9C"/>
        <color rgb="FF63BE7B"/>
      </colorScale>
    </cfRule>
  </conditionalFormatting>
  <conditionalFormatting sqref="E112:U112 W112 Y112 AA112 AC112 AE112 AG112 AI112 AK112 AM112">
    <cfRule type="colorScale" priority="28">
      <colorScale>
        <cfvo type="min"/>
        <cfvo type="max"/>
        <color rgb="FFFFEF9C"/>
        <color rgb="FF63BE7B"/>
      </colorScale>
    </cfRule>
  </conditionalFormatting>
  <conditionalFormatting sqref="E114:U114 W114 Y114 AA114 AC114 AE114 AG114 AI114 AK114 AM1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8:U128 W128 Y128 AA128 AC128 AE128 AG128 AI128 AK128 AM128 AO128 AQ128">
    <cfRule type="colorScale" priority="30">
      <colorScale>
        <cfvo type="min"/>
        <cfvo type="max"/>
        <color rgb="FF63BE7B"/>
        <color rgb="FFFFEF9C"/>
      </colorScale>
    </cfRule>
  </conditionalFormatting>
  <conditionalFormatting sqref="E128:U128 W128 Y128 AA128 AC128 AE128 AG128 AI128 AK128 AM128 AO128 AQ12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:CI61">
    <cfRule type="colorScale" priority="32">
      <colorScale>
        <cfvo type="min"/>
        <cfvo type="max"/>
        <color rgb="FFFFEF9C"/>
        <color rgb="FF63BE7B"/>
      </colorScale>
    </cfRule>
  </conditionalFormatting>
  <conditionalFormatting sqref="E61:CI6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2:CM82">
    <cfRule type="colorScale" priority="34">
      <colorScale>
        <cfvo type="min"/>
        <cfvo type="max"/>
        <color rgb="FFFFEF9C"/>
        <color rgb="FF63BE7B"/>
      </colorScale>
    </cfRule>
  </conditionalFormatting>
  <conditionalFormatting sqref="E82:CM8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2:CM8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4:CM84">
    <cfRule type="colorScale" priority="37">
      <colorScale>
        <cfvo type="min"/>
        <cfvo type="max"/>
        <color rgb="FFFFEF9C"/>
        <color rgb="FF63BE7B"/>
      </colorScale>
    </cfRule>
  </conditionalFormatting>
  <conditionalFormatting sqref="E84:CM8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5:U165 W165 Y165 AA165 AC165 AE165 AG165 AI165 AK165 AM165 AO165 AQ165">
    <cfRule type="colorScale" priority="39">
      <colorScale>
        <cfvo type="min"/>
        <cfvo type="max"/>
        <color rgb="FFFFEF9C"/>
        <color rgb="FF63BE7B"/>
      </colorScale>
    </cfRule>
  </conditionalFormatting>
  <conditionalFormatting sqref="I165:U165 W165 Y165 AA165 AC165 AE165 AG165 AI165 AK165 AM165 AO165 AQ16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0:U180 W180 Y180 AA180 AC180 AE180 AG180 AI180 AK180 AM180 AO180 AQ180 AS180 AU180 AW180 AY180 BA180 BC180 BE180 BG180 BI180 BK180 BM180 BO180">
    <cfRule type="colorScale" priority="41">
      <colorScale>
        <cfvo type="min"/>
        <cfvo type="max"/>
        <color rgb="FFFFEF9C"/>
        <color rgb="FF63BE7B"/>
      </colorScale>
    </cfRule>
  </conditionalFormatting>
  <conditionalFormatting sqref="T173:U173 W173 Y173 AA173 AC173 AE173 AG173 AI173 AK173 AM173 AO173 AQ173 AS173 AU173 AW173 AY173 BA173 BC173 BE173 BG173 BI173 BK173 BM173 BO173">
    <cfRule type="colorScale" priority="42">
      <colorScale>
        <cfvo type="min"/>
        <cfvo type="max"/>
        <color rgb="FFFFEF9C"/>
        <color rgb="FF63BE7B"/>
      </colorScale>
    </cfRule>
  </conditionalFormatting>
  <conditionalFormatting sqref="T173:U173 W173 Y173 AA173 AC173 AE173 AG173 AI173 AK173 AM173 AO173 AQ173 AS173 AU173 AW173 AY173 BA173 BC173 BE173 BG173 BI173 BK173 BM173 BO17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U51 W51 Y51 AA51 AC51 AE51 AG51 AI51 AK51 AM51 AO51 AQ51">
    <cfRule type="colorScale" priority="44">
      <colorScale>
        <cfvo type="min"/>
        <cfvo type="max"/>
        <color rgb="FFFFEF9C"/>
        <color rgb="FF63BE7B"/>
      </colorScale>
    </cfRule>
  </conditionalFormatting>
  <conditionalFormatting sqref="E99:U99 W99 Y99 AA99 AC99 AE99 AG99 AI99 AK99 AM9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U46 W46 Y46 AA46 AC46 AE46 AG46 AI46 AK46 AM46 AO46 AQ46">
    <cfRule type="colorScale" priority="46">
      <colorScale>
        <cfvo type="min"/>
        <cfvo type="max"/>
        <color rgb="FFFFEF9C"/>
        <color rgb="FF63BE7B"/>
      </colorScale>
    </cfRule>
  </conditionalFormatting>
  <conditionalFormatting sqref="E56:U56 W56 Y56 AA56 AC56 AE56 AG56 AI56 AK56 AM56 AO56 AQ56">
    <cfRule type="colorScale" priority="47">
      <colorScale>
        <cfvo type="min"/>
        <cfvo type="max"/>
        <color rgb="FFFFEF9C"/>
        <color rgb="FF63BE7B"/>
      </colorScale>
    </cfRule>
  </conditionalFormatting>
  <conditionalFormatting sqref="E114:U114 W114 Y114 AA114 AC114 AE114 AG114 AI114 AK114 AM114">
    <cfRule type="colorScale" priority="48">
      <colorScale>
        <cfvo type="min"/>
        <cfvo type="max"/>
        <color rgb="FFFFEF9C"/>
        <color rgb="FF63BE7B"/>
      </colorScale>
    </cfRule>
  </conditionalFormatting>
  <conditionalFormatting sqref="E123:U123 W123 Y123 AA123 AC123 AE123 AG123 AI123 AK123 AM123 AO123 AQ123">
    <cfRule type="colorScale" priority="49">
      <colorScale>
        <cfvo type="min"/>
        <cfvo type="max"/>
        <color rgb="FF63BE7B"/>
        <color rgb="FFFFEF9C"/>
      </colorScale>
    </cfRule>
  </conditionalFormatting>
  <conditionalFormatting sqref="E123:U123 W123 Y123 AA123 AC123 AE123 AG123 AI123 AK123 AM123 AO123 AQ123">
    <cfRule type="colorScale" priority="50">
      <colorScale>
        <cfvo type="min"/>
        <cfvo type="max"/>
        <color rgb="FF63BE7B"/>
        <color rgb="FFFFEF9C"/>
      </colorScale>
    </cfRule>
  </conditionalFormatting>
  <conditionalFormatting sqref="E123:U123 W123 Y123 AA123 AC123 AE123 AG123 AI123 AK123 AM123 AO123 AQ12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2:U112 W112 Y112 AA112 AC112 AE112 AG112 AI112 AK112 AM11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6:U126 W126 Y126 AA126 AC126 AE126 AG126 AI126 AK126 AM126 AO126 AQ126">
    <cfRule type="colorScale" priority="53">
      <colorScale>
        <cfvo type="min"/>
        <cfvo type="max"/>
        <color rgb="FF63BE7B"/>
        <color rgb="FFFFEF9C"/>
      </colorScale>
    </cfRule>
  </conditionalFormatting>
  <conditionalFormatting sqref="E126:U126 W126 Y126 AA126 AC126 AE126 AG126 AI126 AK126 AM126 AO126 AQ12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1:U131 W131 Y131 AA131 AC131 AE131 AG131 AI131 AK131 AM131 AO131 AQ131">
    <cfRule type="colorScale" priority="55">
      <colorScale>
        <cfvo type="min"/>
        <cfvo type="max"/>
        <color rgb="FFFFEF9C"/>
        <color rgb="FF63BE7B"/>
      </colorScale>
    </cfRule>
  </conditionalFormatting>
  <conditionalFormatting sqref="E131:U131 W131 Y131 AA131 AC131 AE131 AG131 AI131 AK131 AM131 AO131 AQ13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4:U134 W134 Y134 AA134 AC134 AE134 AG134 AI134 AK134 AM134 AO134 AQ134">
    <cfRule type="colorScale" priority="57">
      <colorScale>
        <cfvo type="min"/>
        <cfvo type="max"/>
        <color rgb="FFFFEF9C"/>
        <color rgb="FF63BE7B"/>
      </colorScale>
    </cfRule>
  </conditionalFormatting>
  <conditionalFormatting sqref="E134:U134 W134 Y134 AA134 AC134 AE134 AG134 AI134 AK134 AM134 AO134 AQ134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7">
    <cfRule type="colorScale" priority="59">
      <colorScale>
        <cfvo type="min"/>
        <cfvo type="max"/>
        <color rgb="FFFFEF9C"/>
        <color rgb="FF63BE7B"/>
      </colorScale>
    </cfRule>
  </conditionalFormatting>
  <conditionalFormatting sqref="AO9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9">
    <cfRule type="colorScale" priority="61">
      <colorScale>
        <cfvo type="min"/>
        <cfvo type="max"/>
        <color rgb="FFFFEF9C"/>
        <color rgb="FF63BE7B"/>
      </colorScale>
    </cfRule>
  </conditionalFormatting>
  <conditionalFormatting sqref="AO99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2">
    <cfRule type="colorScale" priority="63">
      <colorScale>
        <cfvo type="min"/>
        <cfvo type="max"/>
        <color rgb="FFFFEF9C"/>
        <color rgb="FF63BE7B"/>
      </colorScale>
    </cfRule>
  </conditionalFormatting>
  <conditionalFormatting sqref="AO112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14">
    <cfRule type="colorScale" priority="65">
      <colorScale>
        <cfvo type="min"/>
        <cfvo type="max"/>
        <color rgb="FFFFEF9C"/>
        <color rgb="FF63BE7B"/>
      </colorScale>
    </cfRule>
  </conditionalFormatting>
  <conditionalFormatting sqref="AO114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7">
    <cfRule type="colorScale" priority="68">
      <colorScale>
        <cfvo type="min"/>
        <cfvo type="max"/>
        <color rgb="FFFFEF9C"/>
        <color rgb="FF63BE7B"/>
      </colorScale>
    </cfRule>
  </conditionalFormatting>
  <conditionalFormatting sqref="AQ9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99">
    <cfRule type="colorScale" priority="70">
      <colorScale>
        <cfvo type="min"/>
        <cfvo type="max"/>
        <color rgb="FFFFEF9C"/>
        <color rgb="FF63BE7B"/>
      </colorScale>
    </cfRule>
  </conditionalFormatting>
  <conditionalFormatting sqref="AQ9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2">
    <cfRule type="colorScale" priority="72">
      <colorScale>
        <cfvo type="min"/>
        <cfvo type="max"/>
        <color rgb="FFFFEF9C"/>
        <color rgb="FF63BE7B"/>
      </colorScale>
    </cfRule>
  </conditionalFormatting>
  <conditionalFormatting sqref="AQ11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14">
    <cfRule type="colorScale" priority="74">
      <colorScale>
        <cfvo type="min"/>
        <cfvo type="max"/>
        <color rgb="FFFFEF9C"/>
        <color rgb="FF63BE7B"/>
      </colorScale>
    </cfRule>
  </conditionalFormatting>
  <conditionalFormatting sqref="AQ11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">
    <cfRule type="colorScale" priority="76">
      <colorScale>
        <cfvo type="min"/>
        <cfvo type="max"/>
        <color rgb="FFFFEF9C"/>
        <color rgb="FF63BE7B"/>
      </colorScale>
    </cfRule>
  </conditionalFormatting>
  <conditionalFormatting sqref="AS4">
    <cfRule type="colorScale" priority="77">
      <colorScale>
        <cfvo type="min"/>
        <cfvo type="max"/>
        <color rgb="FFFFEF9C"/>
        <color rgb="FF63BE7B"/>
      </colorScale>
    </cfRule>
  </conditionalFormatting>
  <conditionalFormatting sqref="AS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">
    <cfRule type="colorScale" priority="79">
      <colorScale>
        <cfvo type="min"/>
        <cfvo type="max"/>
        <color rgb="FFFFEF9C"/>
        <color rgb="FF63BE7B"/>
      </colorScale>
    </cfRule>
  </conditionalFormatting>
  <conditionalFormatting sqref="AS9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">
    <cfRule type="colorScale" priority="81">
      <colorScale>
        <cfvo type="min"/>
        <cfvo type="max"/>
        <color rgb="FFFFEF9C"/>
        <color rgb="FF63BE7B"/>
      </colorScale>
    </cfRule>
  </conditionalFormatting>
  <conditionalFormatting sqref="AS14">
    <cfRule type="colorScale" priority="82">
      <colorScale>
        <cfvo type="min"/>
        <cfvo type="max"/>
        <color rgb="FFFFEF9C"/>
        <color rgb="FF63BE7B"/>
      </colorScale>
    </cfRule>
  </conditionalFormatting>
  <conditionalFormatting sqref="AS1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 AU19 AW19 AY19 BA19 BC19 BE19 BG19 BI19 BK19 BM19 BO19 BQ19 BS19 BU19 BW19 BY19 CA19:CI19">
    <cfRule type="colorScale" priority="84">
      <colorScale>
        <cfvo type="min"/>
        <cfvo type="max"/>
        <color rgb="FFFFEF9C"/>
        <color rgb="FF63BE7B"/>
      </colorScale>
    </cfRule>
  </conditionalFormatting>
  <conditionalFormatting sqref="AS19 AU19 AW19 AY19 BA19 BC19 BE19 BG19 BI19 BK19 BM19 BO19 BQ19 BS19 BU19 BW19 BY19 CA19:CI1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9">
    <cfRule type="colorScale" priority="86">
      <colorScale>
        <cfvo type="min"/>
        <cfvo type="max"/>
        <color rgb="FF63BE7B"/>
        <color rgb="FFFFEF9C"/>
      </colorScale>
    </cfRule>
  </conditionalFormatting>
  <conditionalFormatting sqref="AS29">
    <cfRule type="colorScale" priority="87">
      <colorScale>
        <cfvo type="min"/>
        <cfvo type="max"/>
        <color rgb="FFFFEF9C"/>
        <color rgb="FF63BE7B"/>
      </colorScale>
    </cfRule>
  </conditionalFormatting>
  <conditionalFormatting sqref="AS29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4">
    <cfRule type="colorScale" priority="89">
      <colorScale>
        <cfvo type="min"/>
        <cfvo type="max"/>
        <color rgb="FF63BE7B"/>
        <color rgb="FFFFEF9C"/>
      </colorScale>
    </cfRule>
  </conditionalFormatting>
  <conditionalFormatting sqref="AS34">
    <cfRule type="colorScale" priority="90">
      <colorScale>
        <cfvo type="min"/>
        <cfvo type="max"/>
        <color rgb="FFFFEF9C"/>
        <color rgb="FF63BE7B"/>
      </colorScale>
    </cfRule>
  </conditionalFormatting>
  <conditionalFormatting sqref="AS3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1">
    <cfRule type="colorScale" priority="92">
      <colorScale>
        <cfvo type="min"/>
        <cfvo type="max"/>
        <color rgb="FFFFEF9C"/>
        <color rgb="FF63BE7B"/>
      </colorScale>
    </cfRule>
  </conditionalFormatting>
  <conditionalFormatting sqref="AS4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6">
    <cfRule type="colorScale" priority="94">
      <colorScale>
        <cfvo type="min"/>
        <cfvo type="max"/>
        <color rgb="FFFFEF9C"/>
        <color rgb="FF63BE7B"/>
      </colorScale>
    </cfRule>
  </conditionalFormatting>
  <conditionalFormatting sqref="AS4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1">
    <cfRule type="colorScale" priority="96">
      <colorScale>
        <cfvo type="min"/>
        <cfvo type="max"/>
        <color rgb="FFFFEF9C"/>
        <color rgb="FF63BE7B"/>
      </colorScale>
    </cfRule>
  </conditionalFormatting>
  <conditionalFormatting sqref="AS5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6">
    <cfRule type="colorScale" priority="98">
      <colorScale>
        <cfvo type="min"/>
        <cfvo type="max"/>
        <color rgb="FFFFEF9C"/>
        <color rgb="FF63BE7B"/>
      </colorScale>
    </cfRule>
  </conditionalFormatting>
  <conditionalFormatting sqref="AS5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7">
    <cfRule type="colorScale" priority="100">
      <colorScale>
        <cfvo type="min"/>
        <cfvo type="max"/>
        <color rgb="FFFFEF9C"/>
        <color rgb="FF63BE7B"/>
      </colorScale>
    </cfRule>
  </conditionalFormatting>
  <conditionalFormatting sqref="AS9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9">
    <cfRule type="colorScale" priority="102">
      <colorScale>
        <cfvo type="min"/>
        <cfvo type="max"/>
        <color rgb="FFFFEF9C"/>
        <color rgb="FF63BE7B"/>
      </colorScale>
    </cfRule>
  </conditionalFormatting>
  <conditionalFormatting sqref="AS99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2">
    <cfRule type="colorScale" priority="104">
      <colorScale>
        <cfvo type="min"/>
        <cfvo type="max"/>
        <color rgb="FFFFEF9C"/>
        <color rgb="FF63BE7B"/>
      </colorScale>
    </cfRule>
  </conditionalFormatting>
  <conditionalFormatting sqref="AS11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4">
    <cfRule type="colorScale" priority="106">
      <colorScale>
        <cfvo type="min"/>
        <cfvo type="max"/>
        <color rgb="FFFFEF9C"/>
        <color rgb="FF63BE7B"/>
      </colorScale>
    </cfRule>
  </conditionalFormatting>
  <conditionalFormatting sqref="AS11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3">
    <cfRule type="colorScale" priority="108">
      <colorScale>
        <cfvo type="min"/>
        <cfvo type="max"/>
        <color rgb="FF63BE7B"/>
        <color rgb="FFFFEF9C"/>
      </colorScale>
    </cfRule>
  </conditionalFormatting>
  <conditionalFormatting sqref="AS123">
    <cfRule type="colorScale" priority="109">
      <colorScale>
        <cfvo type="min"/>
        <cfvo type="max"/>
        <color rgb="FF63BE7B"/>
        <color rgb="FFFFEF9C"/>
      </colorScale>
    </cfRule>
  </conditionalFormatting>
  <conditionalFormatting sqref="AS123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6">
    <cfRule type="colorScale" priority="111">
      <colorScale>
        <cfvo type="min"/>
        <cfvo type="max"/>
        <color rgb="FF63BE7B"/>
        <color rgb="FFFFEF9C"/>
      </colorScale>
    </cfRule>
  </conditionalFormatting>
  <conditionalFormatting sqref="AS126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8">
    <cfRule type="colorScale" priority="113">
      <colorScale>
        <cfvo type="min"/>
        <cfvo type="max"/>
        <color rgb="FF63BE7B"/>
        <color rgb="FFFFEF9C"/>
      </colorScale>
    </cfRule>
  </conditionalFormatting>
  <conditionalFormatting sqref="AS128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1">
    <cfRule type="colorScale" priority="115">
      <colorScale>
        <cfvo type="min"/>
        <cfvo type="max"/>
        <color rgb="FFFFEF9C"/>
        <color rgb="FF63BE7B"/>
      </colorScale>
    </cfRule>
  </conditionalFormatting>
  <conditionalFormatting sqref="AS13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4">
    <cfRule type="colorScale" priority="117">
      <colorScale>
        <cfvo type="min"/>
        <cfvo type="max"/>
        <color rgb="FFFFEF9C"/>
        <color rgb="FF63BE7B"/>
      </colorScale>
    </cfRule>
  </conditionalFormatting>
  <conditionalFormatting sqref="AS134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5">
    <cfRule type="colorScale" priority="119">
      <colorScale>
        <cfvo type="min"/>
        <cfvo type="max"/>
        <color rgb="FFFFEF9C"/>
        <color rgb="FF63BE7B"/>
      </colorScale>
    </cfRule>
  </conditionalFormatting>
  <conditionalFormatting sqref="AS165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">
    <cfRule type="colorScale" priority="121">
      <colorScale>
        <cfvo type="min"/>
        <cfvo type="max"/>
        <color rgb="FFFFEF9C"/>
        <color rgb="FF63BE7B"/>
      </colorScale>
    </cfRule>
  </conditionalFormatting>
  <conditionalFormatting sqref="AU4">
    <cfRule type="colorScale" priority="122">
      <colorScale>
        <cfvo type="min"/>
        <cfvo type="max"/>
        <color rgb="FFFFEF9C"/>
        <color rgb="FF63BE7B"/>
      </colorScale>
    </cfRule>
  </conditionalFormatting>
  <conditionalFormatting sqref="AU4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">
    <cfRule type="colorScale" priority="124">
      <colorScale>
        <cfvo type="min"/>
        <cfvo type="max"/>
        <color rgb="FFFFEF9C"/>
        <color rgb="FF63BE7B"/>
      </colorScale>
    </cfRule>
  </conditionalFormatting>
  <conditionalFormatting sqref="AU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4">
    <cfRule type="colorScale" priority="126">
      <colorScale>
        <cfvo type="min"/>
        <cfvo type="max"/>
        <color rgb="FFFFEF9C"/>
        <color rgb="FF63BE7B"/>
      </colorScale>
    </cfRule>
  </conditionalFormatting>
  <conditionalFormatting sqref="AU14">
    <cfRule type="colorScale" priority="127">
      <colorScale>
        <cfvo type="min"/>
        <cfvo type="max"/>
        <color rgb="FFFFEF9C"/>
        <color rgb="FF63BE7B"/>
      </colorScale>
    </cfRule>
  </conditionalFormatting>
  <conditionalFormatting sqref="AU14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9">
    <cfRule type="colorScale" priority="129">
      <colorScale>
        <cfvo type="min"/>
        <cfvo type="max"/>
        <color rgb="FF63BE7B"/>
        <color rgb="FFFFEF9C"/>
      </colorScale>
    </cfRule>
  </conditionalFormatting>
  <conditionalFormatting sqref="AU29">
    <cfRule type="colorScale" priority="130">
      <colorScale>
        <cfvo type="min"/>
        <cfvo type="max"/>
        <color rgb="FFFFEF9C"/>
        <color rgb="FF63BE7B"/>
      </colorScale>
    </cfRule>
  </conditionalFormatting>
  <conditionalFormatting sqref="AU29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4">
    <cfRule type="colorScale" priority="132">
      <colorScale>
        <cfvo type="min"/>
        <cfvo type="max"/>
        <color rgb="FF63BE7B"/>
        <color rgb="FFFFEF9C"/>
      </colorScale>
    </cfRule>
  </conditionalFormatting>
  <conditionalFormatting sqref="AU34">
    <cfRule type="colorScale" priority="133">
      <colorScale>
        <cfvo type="min"/>
        <cfvo type="max"/>
        <color rgb="FFFFEF9C"/>
        <color rgb="FF63BE7B"/>
      </colorScale>
    </cfRule>
  </conditionalFormatting>
  <conditionalFormatting sqref="AU34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1">
    <cfRule type="colorScale" priority="135">
      <colorScale>
        <cfvo type="min"/>
        <cfvo type="max"/>
        <color rgb="FFFFEF9C"/>
        <color rgb="FF63BE7B"/>
      </colorScale>
    </cfRule>
  </conditionalFormatting>
  <conditionalFormatting sqref="AU41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6">
    <cfRule type="colorScale" priority="137">
      <colorScale>
        <cfvo type="min"/>
        <cfvo type="max"/>
        <color rgb="FFFFEF9C"/>
        <color rgb="FF63BE7B"/>
      </colorScale>
    </cfRule>
  </conditionalFormatting>
  <conditionalFormatting sqref="AU46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1">
    <cfRule type="colorScale" priority="139">
      <colorScale>
        <cfvo type="min"/>
        <cfvo type="max"/>
        <color rgb="FFFFEF9C"/>
        <color rgb="FF63BE7B"/>
      </colorScale>
    </cfRule>
  </conditionalFormatting>
  <conditionalFormatting sqref="AU51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6">
    <cfRule type="colorScale" priority="141">
      <colorScale>
        <cfvo type="min"/>
        <cfvo type="max"/>
        <color rgb="FFFFEF9C"/>
        <color rgb="FF63BE7B"/>
      </colorScale>
    </cfRule>
  </conditionalFormatting>
  <conditionalFormatting sqref="AU5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7">
    <cfRule type="colorScale" priority="143">
      <colorScale>
        <cfvo type="min"/>
        <cfvo type="max"/>
        <color rgb="FFFFEF9C"/>
        <color rgb="FF63BE7B"/>
      </colorScale>
    </cfRule>
  </conditionalFormatting>
  <conditionalFormatting sqref="AU97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99">
    <cfRule type="colorScale" priority="145">
      <colorScale>
        <cfvo type="min"/>
        <cfvo type="max"/>
        <color rgb="FFFFEF9C"/>
        <color rgb="FF63BE7B"/>
      </colorScale>
    </cfRule>
  </conditionalFormatting>
  <conditionalFormatting sqref="AU99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2">
    <cfRule type="colorScale" priority="147">
      <colorScale>
        <cfvo type="min"/>
        <cfvo type="max"/>
        <color rgb="FFFFEF9C"/>
        <color rgb="FF63BE7B"/>
      </colorScale>
    </cfRule>
  </conditionalFormatting>
  <conditionalFormatting sqref="AU112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14">
    <cfRule type="colorScale" priority="149">
      <colorScale>
        <cfvo type="min"/>
        <cfvo type="max"/>
        <color rgb="FFFFEF9C"/>
        <color rgb="FF63BE7B"/>
      </colorScale>
    </cfRule>
  </conditionalFormatting>
  <conditionalFormatting sqref="AU114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3">
    <cfRule type="colorScale" priority="151">
      <colorScale>
        <cfvo type="min"/>
        <cfvo type="max"/>
        <color rgb="FF63BE7B"/>
        <color rgb="FFFFEF9C"/>
      </colorScale>
    </cfRule>
  </conditionalFormatting>
  <conditionalFormatting sqref="AU123">
    <cfRule type="colorScale" priority="152">
      <colorScale>
        <cfvo type="min"/>
        <cfvo type="max"/>
        <color rgb="FF63BE7B"/>
        <color rgb="FFFFEF9C"/>
      </colorScale>
    </cfRule>
  </conditionalFormatting>
  <conditionalFormatting sqref="AU12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6">
    <cfRule type="colorScale" priority="154">
      <colorScale>
        <cfvo type="min"/>
        <cfvo type="max"/>
        <color rgb="FF63BE7B"/>
        <color rgb="FFFFEF9C"/>
      </colorScale>
    </cfRule>
  </conditionalFormatting>
  <conditionalFormatting sqref="AU12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28">
    <cfRule type="colorScale" priority="156">
      <colorScale>
        <cfvo type="min"/>
        <cfvo type="max"/>
        <color rgb="FF63BE7B"/>
        <color rgb="FFFFEF9C"/>
      </colorScale>
    </cfRule>
  </conditionalFormatting>
  <conditionalFormatting sqref="AU12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1">
    <cfRule type="colorScale" priority="158">
      <colorScale>
        <cfvo type="min"/>
        <cfvo type="max"/>
        <color rgb="FFFFEF9C"/>
        <color rgb="FF63BE7B"/>
      </colorScale>
    </cfRule>
  </conditionalFormatting>
  <conditionalFormatting sqref="AU131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34">
    <cfRule type="colorScale" priority="160">
      <colorScale>
        <cfvo type="min"/>
        <cfvo type="max"/>
        <color rgb="FFFFEF9C"/>
        <color rgb="FF63BE7B"/>
      </colorScale>
    </cfRule>
  </conditionalFormatting>
  <conditionalFormatting sqref="AU13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5">
    <cfRule type="colorScale" priority="162">
      <colorScale>
        <cfvo type="min"/>
        <cfvo type="max"/>
        <color rgb="FFFFEF9C"/>
        <color rgb="FF63BE7B"/>
      </colorScale>
    </cfRule>
  </conditionalFormatting>
  <conditionalFormatting sqref="AU165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">
    <cfRule type="colorScale" priority="164">
      <colorScale>
        <cfvo type="min"/>
        <cfvo type="max"/>
        <color rgb="FFFFEF9C"/>
        <color rgb="FF63BE7B"/>
      </colorScale>
    </cfRule>
  </conditionalFormatting>
  <conditionalFormatting sqref="AW4">
    <cfRule type="colorScale" priority="165">
      <colorScale>
        <cfvo type="min"/>
        <cfvo type="max"/>
        <color rgb="FFFFEF9C"/>
        <color rgb="FF63BE7B"/>
      </colorScale>
    </cfRule>
  </conditionalFormatting>
  <conditionalFormatting sqref="AW4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">
    <cfRule type="colorScale" priority="167">
      <colorScale>
        <cfvo type="min"/>
        <cfvo type="max"/>
        <color rgb="FFFFEF9C"/>
        <color rgb="FF63BE7B"/>
      </colorScale>
    </cfRule>
  </conditionalFormatting>
  <conditionalFormatting sqref="AW9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4">
    <cfRule type="colorScale" priority="169">
      <colorScale>
        <cfvo type="min"/>
        <cfvo type="max"/>
        <color rgb="FFFFEF9C"/>
        <color rgb="FF63BE7B"/>
      </colorScale>
    </cfRule>
  </conditionalFormatting>
  <conditionalFormatting sqref="AW14">
    <cfRule type="colorScale" priority="170">
      <colorScale>
        <cfvo type="min"/>
        <cfvo type="max"/>
        <color rgb="FFFFEF9C"/>
        <color rgb="FF63BE7B"/>
      </colorScale>
    </cfRule>
  </conditionalFormatting>
  <conditionalFormatting sqref="AW14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9">
    <cfRule type="colorScale" priority="172">
      <colorScale>
        <cfvo type="min"/>
        <cfvo type="max"/>
        <color rgb="FF63BE7B"/>
        <color rgb="FFFFEF9C"/>
      </colorScale>
    </cfRule>
  </conditionalFormatting>
  <conditionalFormatting sqref="AW29">
    <cfRule type="colorScale" priority="173">
      <colorScale>
        <cfvo type="min"/>
        <cfvo type="max"/>
        <color rgb="FFFFEF9C"/>
        <color rgb="FF63BE7B"/>
      </colorScale>
    </cfRule>
  </conditionalFormatting>
  <conditionalFormatting sqref="AW29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4">
    <cfRule type="colorScale" priority="175">
      <colorScale>
        <cfvo type="min"/>
        <cfvo type="max"/>
        <color rgb="FF63BE7B"/>
        <color rgb="FFFFEF9C"/>
      </colorScale>
    </cfRule>
  </conditionalFormatting>
  <conditionalFormatting sqref="AW34">
    <cfRule type="colorScale" priority="176">
      <colorScale>
        <cfvo type="min"/>
        <cfvo type="max"/>
        <color rgb="FFFFEF9C"/>
        <color rgb="FF63BE7B"/>
      </colorScale>
    </cfRule>
  </conditionalFormatting>
  <conditionalFormatting sqref="AW3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1">
    <cfRule type="colorScale" priority="178">
      <colorScale>
        <cfvo type="min"/>
        <cfvo type="max"/>
        <color rgb="FFFFEF9C"/>
        <color rgb="FF63BE7B"/>
      </colorScale>
    </cfRule>
  </conditionalFormatting>
  <conditionalFormatting sqref="AW4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6">
    <cfRule type="colorScale" priority="180">
      <colorScale>
        <cfvo type="min"/>
        <cfvo type="max"/>
        <color rgb="FFFFEF9C"/>
        <color rgb="FF63BE7B"/>
      </colorScale>
    </cfRule>
  </conditionalFormatting>
  <conditionalFormatting sqref="AW46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1">
    <cfRule type="colorScale" priority="182">
      <colorScale>
        <cfvo type="min"/>
        <cfvo type="max"/>
        <color rgb="FFFFEF9C"/>
        <color rgb="FF63BE7B"/>
      </colorScale>
    </cfRule>
  </conditionalFormatting>
  <conditionalFormatting sqref="AW51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6">
    <cfRule type="colorScale" priority="184">
      <colorScale>
        <cfvo type="min"/>
        <cfvo type="max"/>
        <color rgb="FFFFEF9C"/>
        <color rgb="FF63BE7B"/>
      </colorScale>
    </cfRule>
  </conditionalFormatting>
  <conditionalFormatting sqref="AW56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7">
    <cfRule type="colorScale" priority="186">
      <colorScale>
        <cfvo type="min"/>
        <cfvo type="max"/>
        <color rgb="FFFFEF9C"/>
        <color rgb="FF63BE7B"/>
      </colorScale>
    </cfRule>
  </conditionalFormatting>
  <conditionalFormatting sqref="AW97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9">
    <cfRule type="colorScale" priority="188">
      <colorScale>
        <cfvo type="min"/>
        <cfvo type="max"/>
        <color rgb="FFFFEF9C"/>
        <color rgb="FF63BE7B"/>
      </colorScale>
    </cfRule>
  </conditionalFormatting>
  <conditionalFormatting sqref="AW99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2">
    <cfRule type="colorScale" priority="190">
      <colorScale>
        <cfvo type="min"/>
        <cfvo type="max"/>
        <color rgb="FFFFEF9C"/>
        <color rgb="FF63BE7B"/>
      </colorScale>
    </cfRule>
  </conditionalFormatting>
  <conditionalFormatting sqref="AW112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14">
    <cfRule type="colorScale" priority="192">
      <colorScale>
        <cfvo type="min"/>
        <cfvo type="max"/>
        <color rgb="FFFFEF9C"/>
        <color rgb="FF63BE7B"/>
      </colorScale>
    </cfRule>
  </conditionalFormatting>
  <conditionalFormatting sqref="AW114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3">
    <cfRule type="colorScale" priority="194">
      <colorScale>
        <cfvo type="min"/>
        <cfvo type="max"/>
        <color rgb="FF63BE7B"/>
        <color rgb="FFFFEF9C"/>
      </colorScale>
    </cfRule>
  </conditionalFormatting>
  <conditionalFormatting sqref="AW123">
    <cfRule type="colorScale" priority="195">
      <colorScale>
        <cfvo type="min"/>
        <cfvo type="max"/>
        <color rgb="FF63BE7B"/>
        <color rgb="FFFFEF9C"/>
      </colorScale>
    </cfRule>
  </conditionalFormatting>
  <conditionalFormatting sqref="AW123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6">
    <cfRule type="colorScale" priority="197">
      <colorScale>
        <cfvo type="min"/>
        <cfvo type="max"/>
        <color rgb="FF63BE7B"/>
        <color rgb="FFFFEF9C"/>
      </colorScale>
    </cfRule>
  </conditionalFormatting>
  <conditionalFormatting sqref="AW126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28">
    <cfRule type="colorScale" priority="199">
      <colorScale>
        <cfvo type="min"/>
        <cfvo type="max"/>
        <color rgb="FF63BE7B"/>
        <color rgb="FFFFEF9C"/>
      </colorScale>
    </cfRule>
  </conditionalFormatting>
  <conditionalFormatting sqref="AW128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1">
    <cfRule type="colorScale" priority="201">
      <colorScale>
        <cfvo type="min"/>
        <cfvo type="max"/>
        <color rgb="FFFFEF9C"/>
        <color rgb="FF63BE7B"/>
      </colorScale>
    </cfRule>
  </conditionalFormatting>
  <conditionalFormatting sqref="AW131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34">
    <cfRule type="colorScale" priority="203">
      <colorScale>
        <cfvo type="min"/>
        <cfvo type="max"/>
        <color rgb="FFFFEF9C"/>
        <color rgb="FF63BE7B"/>
      </colorScale>
    </cfRule>
  </conditionalFormatting>
  <conditionalFormatting sqref="AW134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65">
    <cfRule type="colorScale" priority="205">
      <colorScale>
        <cfvo type="min"/>
        <cfvo type="max"/>
        <color rgb="FFFFEF9C"/>
        <color rgb="FF63BE7B"/>
      </colorScale>
    </cfRule>
  </conditionalFormatting>
  <conditionalFormatting sqref="AW165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">
    <cfRule type="colorScale" priority="207">
      <colorScale>
        <cfvo type="min"/>
        <cfvo type="max"/>
        <color rgb="FFFFEF9C"/>
        <color rgb="FF63BE7B"/>
      </colorScale>
    </cfRule>
  </conditionalFormatting>
  <conditionalFormatting sqref="AY4">
    <cfRule type="colorScale" priority="208">
      <colorScale>
        <cfvo type="min"/>
        <cfvo type="max"/>
        <color rgb="FFFFEF9C"/>
        <color rgb="FF63BE7B"/>
      </colorScale>
    </cfRule>
  </conditionalFormatting>
  <conditionalFormatting sqref="AY4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">
    <cfRule type="colorScale" priority="210">
      <colorScale>
        <cfvo type="min"/>
        <cfvo type="max"/>
        <color rgb="FFFFEF9C"/>
        <color rgb="FF63BE7B"/>
      </colorScale>
    </cfRule>
  </conditionalFormatting>
  <conditionalFormatting sqref="AY9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">
    <cfRule type="colorScale" priority="212">
      <colorScale>
        <cfvo type="min"/>
        <cfvo type="max"/>
        <color rgb="FFFFEF9C"/>
        <color rgb="FF63BE7B"/>
      </colorScale>
    </cfRule>
  </conditionalFormatting>
  <conditionalFormatting sqref="AY14">
    <cfRule type="colorScale" priority="213">
      <colorScale>
        <cfvo type="min"/>
        <cfvo type="max"/>
        <color rgb="FFFFEF9C"/>
        <color rgb="FF63BE7B"/>
      </colorScale>
    </cfRule>
  </conditionalFormatting>
  <conditionalFormatting sqref="AY14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9">
    <cfRule type="colorScale" priority="215">
      <colorScale>
        <cfvo type="min"/>
        <cfvo type="max"/>
        <color rgb="FF63BE7B"/>
        <color rgb="FFFFEF9C"/>
      </colorScale>
    </cfRule>
  </conditionalFormatting>
  <conditionalFormatting sqref="AY29">
    <cfRule type="colorScale" priority="216">
      <colorScale>
        <cfvo type="min"/>
        <cfvo type="max"/>
        <color rgb="FFFFEF9C"/>
        <color rgb="FF63BE7B"/>
      </colorScale>
    </cfRule>
  </conditionalFormatting>
  <conditionalFormatting sqref="AY29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4">
    <cfRule type="colorScale" priority="218">
      <colorScale>
        <cfvo type="min"/>
        <cfvo type="max"/>
        <color rgb="FF63BE7B"/>
        <color rgb="FFFFEF9C"/>
      </colorScale>
    </cfRule>
  </conditionalFormatting>
  <conditionalFormatting sqref="AY34">
    <cfRule type="colorScale" priority="219">
      <colorScale>
        <cfvo type="min"/>
        <cfvo type="max"/>
        <color rgb="FFFFEF9C"/>
        <color rgb="FF63BE7B"/>
      </colorScale>
    </cfRule>
  </conditionalFormatting>
  <conditionalFormatting sqref="AY34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1">
    <cfRule type="colorScale" priority="221">
      <colorScale>
        <cfvo type="min"/>
        <cfvo type="max"/>
        <color rgb="FFFFEF9C"/>
        <color rgb="FF63BE7B"/>
      </colorScale>
    </cfRule>
  </conditionalFormatting>
  <conditionalFormatting sqref="AY41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6">
    <cfRule type="colorScale" priority="223">
      <colorScale>
        <cfvo type="min"/>
        <cfvo type="max"/>
        <color rgb="FFFFEF9C"/>
        <color rgb="FF63BE7B"/>
      </colorScale>
    </cfRule>
  </conditionalFormatting>
  <conditionalFormatting sqref="AY46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1">
    <cfRule type="colorScale" priority="225">
      <colorScale>
        <cfvo type="min"/>
        <cfvo type="max"/>
        <color rgb="FFFFEF9C"/>
        <color rgb="FF63BE7B"/>
      </colorScale>
    </cfRule>
  </conditionalFormatting>
  <conditionalFormatting sqref="AY51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6">
    <cfRule type="colorScale" priority="227">
      <colorScale>
        <cfvo type="min"/>
        <cfvo type="max"/>
        <color rgb="FFFFEF9C"/>
        <color rgb="FF63BE7B"/>
      </colorScale>
    </cfRule>
  </conditionalFormatting>
  <conditionalFormatting sqref="AY56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7">
    <cfRule type="colorScale" priority="229">
      <colorScale>
        <cfvo type="min"/>
        <cfvo type="max"/>
        <color rgb="FFFFEF9C"/>
        <color rgb="FF63BE7B"/>
      </colorScale>
    </cfRule>
  </conditionalFormatting>
  <conditionalFormatting sqref="AY97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9">
    <cfRule type="colorScale" priority="231">
      <colorScale>
        <cfvo type="min"/>
        <cfvo type="max"/>
        <color rgb="FFFFEF9C"/>
        <color rgb="FF63BE7B"/>
      </colorScale>
    </cfRule>
  </conditionalFormatting>
  <conditionalFormatting sqref="AY99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2">
    <cfRule type="colorScale" priority="233">
      <colorScale>
        <cfvo type="min"/>
        <cfvo type="max"/>
        <color rgb="FFFFEF9C"/>
        <color rgb="FF63BE7B"/>
      </colorScale>
    </cfRule>
  </conditionalFormatting>
  <conditionalFormatting sqref="AY112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4">
    <cfRule type="colorScale" priority="235">
      <colorScale>
        <cfvo type="min"/>
        <cfvo type="max"/>
        <color rgb="FFFFEF9C"/>
        <color rgb="FF63BE7B"/>
      </colorScale>
    </cfRule>
  </conditionalFormatting>
  <conditionalFormatting sqref="AY114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3">
    <cfRule type="colorScale" priority="237">
      <colorScale>
        <cfvo type="min"/>
        <cfvo type="max"/>
        <color rgb="FF63BE7B"/>
        <color rgb="FFFFEF9C"/>
      </colorScale>
    </cfRule>
  </conditionalFormatting>
  <conditionalFormatting sqref="AY123">
    <cfRule type="colorScale" priority="238">
      <colorScale>
        <cfvo type="min"/>
        <cfvo type="max"/>
        <color rgb="FF63BE7B"/>
        <color rgb="FFFFEF9C"/>
      </colorScale>
    </cfRule>
  </conditionalFormatting>
  <conditionalFormatting sqref="AY123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6">
    <cfRule type="colorScale" priority="240">
      <colorScale>
        <cfvo type="min"/>
        <cfvo type="max"/>
        <color rgb="FF63BE7B"/>
        <color rgb="FFFFEF9C"/>
      </colorScale>
    </cfRule>
  </conditionalFormatting>
  <conditionalFormatting sqref="AY126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8">
    <cfRule type="colorScale" priority="242">
      <colorScale>
        <cfvo type="min"/>
        <cfvo type="max"/>
        <color rgb="FF63BE7B"/>
        <color rgb="FFFFEF9C"/>
      </colorScale>
    </cfRule>
  </conditionalFormatting>
  <conditionalFormatting sqref="AY128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1">
    <cfRule type="colorScale" priority="244">
      <colorScale>
        <cfvo type="min"/>
        <cfvo type="max"/>
        <color rgb="FFFFEF9C"/>
        <color rgb="FF63BE7B"/>
      </colorScale>
    </cfRule>
  </conditionalFormatting>
  <conditionalFormatting sqref="AY131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4">
    <cfRule type="colorScale" priority="246">
      <colorScale>
        <cfvo type="min"/>
        <cfvo type="max"/>
        <color rgb="FFFFEF9C"/>
        <color rgb="FF63BE7B"/>
      </colorScale>
    </cfRule>
  </conditionalFormatting>
  <conditionalFormatting sqref="AY134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5">
    <cfRule type="colorScale" priority="248">
      <colorScale>
        <cfvo type="min"/>
        <cfvo type="max"/>
        <color rgb="FFFFEF9C"/>
        <color rgb="FF63BE7B"/>
      </colorScale>
    </cfRule>
  </conditionalFormatting>
  <conditionalFormatting sqref="AY165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">
    <cfRule type="colorScale" priority="250">
      <colorScale>
        <cfvo type="min"/>
        <cfvo type="max"/>
        <color rgb="FFFFEF9C"/>
        <color rgb="FF63BE7B"/>
      </colorScale>
    </cfRule>
  </conditionalFormatting>
  <conditionalFormatting sqref="BA4">
    <cfRule type="colorScale" priority="251">
      <colorScale>
        <cfvo type="min"/>
        <cfvo type="max"/>
        <color rgb="FFFFEF9C"/>
        <color rgb="FF63BE7B"/>
      </colorScale>
    </cfRule>
  </conditionalFormatting>
  <conditionalFormatting sqref="BA4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">
    <cfRule type="colorScale" priority="253">
      <colorScale>
        <cfvo type="min"/>
        <cfvo type="max"/>
        <color rgb="FFFFEF9C"/>
        <color rgb="FF63BE7B"/>
      </colorScale>
    </cfRule>
  </conditionalFormatting>
  <conditionalFormatting sqref="BA9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4">
    <cfRule type="colorScale" priority="255">
      <colorScale>
        <cfvo type="min"/>
        <cfvo type="max"/>
        <color rgb="FFFFEF9C"/>
        <color rgb="FF63BE7B"/>
      </colorScale>
    </cfRule>
  </conditionalFormatting>
  <conditionalFormatting sqref="BA14">
    <cfRule type="colorScale" priority="256">
      <colorScale>
        <cfvo type="min"/>
        <cfvo type="max"/>
        <color rgb="FFFFEF9C"/>
        <color rgb="FF63BE7B"/>
      </colorScale>
    </cfRule>
  </conditionalFormatting>
  <conditionalFormatting sqref="BA14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9">
    <cfRule type="colorScale" priority="258">
      <colorScale>
        <cfvo type="min"/>
        <cfvo type="max"/>
        <color rgb="FF63BE7B"/>
        <color rgb="FFFFEF9C"/>
      </colorScale>
    </cfRule>
  </conditionalFormatting>
  <conditionalFormatting sqref="BA29">
    <cfRule type="colorScale" priority="259">
      <colorScale>
        <cfvo type="min"/>
        <cfvo type="max"/>
        <color rgb="FFFFEF9C"/>
        <color rgb="FF63BE7B"/>
      </colorScale>
    </cfRule>
  </conditionalFormatting>
  <conditionalFormatting sqref="BA29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4">
    <cfRule type="colorScale" priority="261">
      <colorScale>
        <cfvo type="min"/>
        <cfvo type="max"/>
        <color rgb="FF63BE7B"/>
        <color rgb="FFFFEF9C"/>
      </colorScale>
    </cfRule>
  </conditionalFormatting>
  <conditionalFormatting sqref="BA34">
    <cfRule type="colorScale" priority="262">
      <colorScale>
        <cfvo type="min"/>
        <cfvo type="max"/>
        <color rgb="FFFFEF9C"/>
        <color rgb="FF63BE7B"/>
      </colorScale>
    </cfRule>
  </conditionalFormatting>
  <conditionalFormatting sqref="BA34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">
    <cfRule type="colorScale" priority="264">
      <colorScale>
        <cfvo type="min"/>
        <cfvo type="max"/>
        <color rgb="FFFFEF9C"/>
        <color rgb="FF63BE7B"/>
      </colorScale>
    </cfRule>
  </conditionalFormatting>
  <conditionalFormatting sqref="BA4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6">
    <cfRule type="colorScale" priority="266">
      <colorScale>
        <cfvo type="min"/>
        <cfvo type="max"/>
        <color rgb="FFFFEF9C"/>
        <color rgb="FF63BE7B"/>
      </colorScale>
    </cfRule>
  </conditionalFormatting>
  <conditionalFormatting sqref="BA46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1">
    <cfRule type="colorScale" priority="268">
      <colorScale>
        <cfvo type="min"/>
        <cfvo type="max"/>
        <color rgb="FFFFEF9C"/>
        <color rgb="FF63BE7B"/>
      </colorScale>
    </cfRule>
  </conditionalFormatting>
  <conditionalFormatting sqref="BA51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6">
    <cfRule type="colorScale" priority="270">
      <colorScale>
        <cfvo type="min"/>
        <cfvo type="max"/>
        <color rgb="FFFFEF9C"/>
        <color rgb="FF63BE7B"/>
      </colorScale>
    </cfRule>
  </conditionalFormatting>
  <conditionalFormatting sqref="BA56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7">
    <cfRule type="colorScale" priority="272">
      <colorScale>
        <cfvo type="min"/>
        <cfvo type="max"/>
        <color rgb="FFFFEF9C"/>
        <color rgb="FF63BE7B"/>
      </colorScale>
    </cfRule>
  </conditionalFormatting>
  <conditionalFormatting sqref="BA97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9">
    <cfRule type="colorScale" priority="274">
      <colorScale>
        <cfvo type="min"/>
        <cfvo type="max"/>
        <color rgb="FFFFEF9C"/>
        <color rgb="FF63BE7B"/>
      </colorScale>
    </cfRule>
  </conditionalFormatting>
  <conditionalFormatting sqref="BA9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2">
    <cfRule type="colorScale" priority="276">
      <colorScale>
        <cfvo type="min"/>
        <cfvo type="max"/>
        <color rgb="FFFFEF9C"/>
        <color rgb="FF63BE7B"/>
      </colorScale>
    </cfRule>
  </conditionalFormatting>
  <conditionalFormatting sqref="BA112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14">
    <cfRule type="colorScale" priority="278">
      <colorScale>
        <cfvo type="min"/>
        <cfvo type="max"/>
        <color rgb="FFFFEF9C"/>
        <color rgb="FF63BE7B"/>
      </colorScale>
    </cfRule>
  </conditionalFormatting>
  <conditionalFormatting sqref="BA114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3">
    <cfRule type="colorScale" priority="280">
      <colorScale>
        <cfvo type="min"/>
        <cfvo type="max"/>
        <color rgb="FF63BE7B"/>
        <color rgb="FFFFEF9C"/>
      </colorScale>
    </cfRule>
  </conditionalFormatting>
  <conditionalFormatting sqref="BA123">
    <cfRule type="colorScale" priority="281">
      <colorScale>
        <cfvo type="min"/>
        <cfvo type="max"/>
        <color rgb="FF63BE7B"/>
        <color rgb="FFFFEF9C"/>
      </colorScale>
    </cfRule>
  </conditionalFormatting>
  <conditionalFormatting sqref="BA123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6">
    <cfRule type="colorScale" priority="283">
      <colorScale>
        <cfvo type="min"/>
        <cfvo type="max"/>
        <color rgb="FF63BE7B"/>
        <color rgb="FFFFEF9C"/>
      </colorScale>
    </cfRule>
  </conditionalFormatting>
  <conditionalFormatting sqref="BA126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28">
    <cfRule type="colorScale" priority="285">
      <colorScale>
        <cfvo type="min"/>
        <cfvo type="max"/>
        <color rgb="FF63BE7B"/>
        <color rgb="FFFFEF9C"/>
      </colorScale>
    </cfRule>
  </conditionalFormatting>
  <conditionalFormatting sqref="BA128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1">
    <cfRule type="colorScale" priority="287">
      <colorScale>
        <cfvo type="min"/>
        <cfvo type="max"/>
        <color rgb="FFFFEF9C"/>
        <color rgb="FF63BE7B"/>
      </colorScale>
    </cfRule>
  </conditionalFormatting>
  <conditionalFormatting sqref="BA131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34">
    <cfRule type="colorScale" priority="289">
      <colorScale>
        <cfvo type="min"/>
        <cfvo type="max"/>
        <color rgb="FFFFEF9C"/>
        <color rgb="FF63BE7B"/>
      </colorScale>
    </cfRule>
  </conditionalFormatting>
  <conditionalFormatting sqref="BA134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5">
    <cfRule type="colorScale" priority="291">
      <colorScale>
        <cfvo type="min"/>
        <cfvo type="max"/>
        <color rgb="FFFFEF9C"/>
        <color rgb="FF63BE7B"/>
      </colorScale>
    </cfRule>
  </conditionalFormatting>
  <conditionalFormatting sqref="BA165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">
    <cfRule type="colorScale" priority="293">
      <colorScale>
        <cfvo type="min"/>
        <cfvo type="max"/>
        <color rgb="FFFFEF9C"/>
        <color rgb="FF63BE7B"/>
      </colorScale>
    </cfRule>
  </conditionalFormatting>
  <conditionalFormatting sqref="BC4">
    <cfRule type="colorScale" priority="294">
      <colorScale>
        <cfvo type="min"/>
        <cfvo type="max"/>
        <color rgb="FFFFEF9C"/>
        <color rgb="FF63BE7B"/>
      </colorScale>
    </cfRule>
  </conditionalFormatting>
  <conditionalFormatting sqref="BC4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">
    <cfRule type="colorScale" priority="296">
      <colorScale>
        <cfvo type="min"/>
        <cfvo type="max"/>
        <color rgb="FFFFEF9C"/>
        <color rgb="FF63BE7B"/>
      </colorScale>
    </cfRule>
  </conditionalFormatting>
  <conditionalFormatting sqref="BC9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4">
    <cfRule type="colorScale" priority="298">
      <colorScale>
        <cfvo type="min"/>
        <cfvo type="max"/>
        <color rgb="FFFFEF9C"/>
        <color rgb="FF63BE7B"/>
      </colorScale>
    </cfRule>
  </conditionalFormatting>
  <conditionalFormatting sqref="BC14">
    <cfRule type="colorScale" priority="299">
      <colorScale>
        <cfvo type="min"/>
        <cfvo type="max"/>
        <color rgb="FFFFEF9C"/>
        <color rgb="FF63BE7B"/>
      </colorScale>
    </cfRule>
  </conditionalFormatting>
  <conditionalFormatting sqref="BC14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29">
    <cfRule type="colorScale" priority="301">
      <colorScale>
        <cfvo type="min"/>
        <cfvo type="max"/>
        <color rgb="FF63BE7B"/>
        <color rgb="FFFFEF9C"/>
      </colorScale>
    </cfRule>
  </conditionalFormatting>
  <conditionalFormatting sqref="BC29">
    <cfRule type="colorScale" priority="302">
      <colorScale>
        <cfvo type="min"/>
        <cfvo type="max"/>
        <color rgb="FFFFEF9C"/>
        <color rgb="FF63BE7B"/>
      </colorScale>
    </cfRule>
  </conditionalFormatting>
  <conditionalFormatting sqref="BC29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4">
    <cfRule type="colorScale" priority="304">
      <colorScale>
        <cfvo type="min"/>
        <cfvo type="max"/>
        <color rgb="FF63BE7B"/>
        <color rgb="FFFFEF9C"/>
      </colorScale>
    </cfRule>
  </conditionalFormatting>
  <conditionalFormatting sqref="BC34">
    <cfRule type="colorScale" priority="305">
      <colorScale>
        <cfvo type="min"/>
        <cfvo type="max"/>
        <color rgb="FFFFEF9C"/>
        <color rgb="FF63BE7B"/>
      </colorScale>
    </cfRule>
  </conditionalFormatting>
  <conditionalFormatting sqref="BC34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1">
    <cfRule type="colorScale" priority="307">
      <colorScale>
        <cfvo type="min"/>
        <cfvo type="max"/>
        <color rgb="FFFFEF9C"/>
        <color rgb="FF63BE7B"/>
      </colorScale>
    </cfRule>
  </conditionalFormatting>
  <conditionalFormatting sqref="BC41"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6">
    <cfRule type="colorScale" priority="309">
      <colorScale>
        <cfvo type="min"/>
        <cfvo type="max"/>
        <color rgb="FFFFEF9C"/>
        <color rgb="FF63BE7B"/>
      </colorScale>
    </cfRule>
  </conditionalFormatting>
  <conditionalFormatting sqref="BC46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1">
    <cfRule type="colorScale" priority="311">
      <colorScale>
        <cfvo type="min"/>
        <cfvo type="max"/>
        <color rgb="FFFFEF9C"/>
        <color rgb="FF63BE7B"/>
      </colorScale>
    </cfRule>
  </conditionalFormatting>
  <conditionalFormatting sqref="BC51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6">
    <cfRule type="colorScale" priority="313">
      <colorScale>
        <cfvo type="min"/>
        <cfvo type="max"/>
        <color rgb="FFFFEF9C"/>
        <color rgb="FF63BE7B"/>
      </colorScale>
    </cfRule>
  </conditionalFormatting>
  <conditionalFormatting sqref="BC56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7">
    <cfRule type="colorScale" priority="315">
      <colorScale>
        <cfvo type="min"/>
        <cfvo type="max"/>
        <color rgb="FFFFEF9C"/>
        <color rgb="FF63BE7B"/>
      </colorScale>
    </cfRule>
  </conditionalFormatting>
  <conditionalFormatting sqref="BC97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99">
    <cfRule type="colorScale" priority="317">
      <colorScale>
        <cfvo type="min"/>
        <cfvo type="max"/>
        <color rgb="FFFFEF9C"/>
        <color rgb="FF63BE7B"/>
      </colorScale>
    </cfRule>
  </conditionalFormatting>
  <conditionalFormatting sqref="BC99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2">
    <cfRule type="colorScale" priority="319">
      <colorScale>
        <cfvo type="min"/>
        <cfvo type="max"/>
        <color rgb="FFFFEF9C"/>
        <color rgb="FF63BE7B"/>
      </colorScale>
    </cfRule>
  </conditionalFormatting>
  <conditionalFormatting sqref="BC112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14">
    <cfRule type="colorScale" priority="321">
      <colorScale>
        <cfvo type="min"/>
        <cfvo type="max"/>
        <color rgb="FFFFEF9C"/>
        <color rgb="FF63BE7B"/>
      </colorScale>
    </cfRule>
  </conditionalFormatting>
  <conditionalFormatting sqref="BC114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3">
    <cfRule type="colorScale" priority="323">
      <colorScale>
        <cfvo type="min"/>
        <cfvo type="max"/>
        <color rgb="FF63BE7B"/>
        <color rgb="FFFFEF9C"/>
      </colorScale>
    </cfRule>
  </conditionalFormatting>
  <conditionalFormatting sqref="BC123">
    <cfRule type="colorScale" priority="324">
      <colorScale>
        <cfvo type="min"/>
        <cfvo type="max"/>
        <color rgb="FF63BE7B"/>
        <color rgb="FFFFEF9C"/>
      </colorScale>
    </cfRule>
  </conditionalFormatting>
  <conditionalFormatting sqref="BC123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6">
    <cfRule type="colorScale" priority="326">
      <colorScale>
        <cfvo type="min"/>
        <cfvo type="max"/>
        <color rgb="FF63BE7B"/>
        <color rgb="FFFFEF9C"/>
      </colorScale>
    </cfRule>
  </conditionalFormatting>
  <conditionalFormatting sqref="BC126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28">
    <cfRule type="colorScale" priority="328">
      <colorScale>
        <cfvo type="min"/>
        <cfvo type="max"/>
        <color rgb="FF63BE7B"/>
        <color rgb="FFFFEF9C"/>
      </colorScale>
    </cfRule>
  </conditionalFormatting>
  <conditionalFormatting sqref="BC128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1">
    <cfRule type="colorScale" priority="330">
      <colorScale>
        <cfvo type="min"/>
        <cfvo type="max"/>
        <color rgb="FFFFEF9C"/>
        <color rgb="FF63BE7B"/>
      </colorScale>
    </cfRule>
  </conditionalFormatting>
  <conditionalFormatting sqref="BC131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34">
    <cfRule type="colorScale" priority="332">
      <colorScale>
        <cfvo type="min"/>
        <cfvo type="max"/>
        <color rgb="FFFFEF9C"/>
        <color rgb="FF63BE7B"/>
      </colorScale>
    </cfRule>
  </conditionalFormatting>
  <conditionalFormatting sqref="BC134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65">
    <cfRule type="colorScale" priority="334">
      <colorScale>
        <cfvo type="min"/>
        <cfvo type="max"/>
        <color rgb="FFFFEF9C"/>
        <color rgb="FF63BE7B"/>
      </colorScale>
    </cfRule>
  </conditionalFormatting>
  <conditionalFormatting sqref="BC165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">
    <cfRule type="colorScale" priority="336">
      <colorScale>
        <cfvo type="min"/>
        <cfvo type="max"/>
        <color rgb="FFFFEF9C"/>
        <color rgb="FF63BE7B"/>
      </colorScale>
    </cfRule>
  </conditionalFormatting>
  <conditionalFormatting sqref="BE4">
    <cfRule type="colorScale" priority="337">
      <colorScale>
        <cfvo type="min"/>
        <cfvo type="max"/>
        <color rgb="FFFFEF9C"/>
        <color rgb="FF63BE7B"/>
      </colorScale>
    </cfRule>
  </conditionalFormatting>
  <conditionalFormatting sqref="BE4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">
    <cfRule type="colorScale" priority="339">
      <colorScale>
        <cfvo type="min"/>
        <cfvo type="max"/>
        <color rgb="FFFFEF9C"/>
        <color rgb="FF63BE7B"/>
      </colorScale>
    </cfRule>
  </conditionalFormatting>
  <conditionalFormatting sqref="BE9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4">
    <cfRule type="colorScale" priority="341">
      <colorScale>
        <cfvo type="min"/>
        <cfvo type="max"/>
        <color rgb="FFFFEF9C"/>
        <color rgb="FF63BE7B"/>
      </colorScale>
    </cfRule>
  </conditionalFormatting>
  <conditionalFormatting sqref="BE14">
    <cfRule type="colorScale" priority="342">
      <colorScale>
        <cfvo type="min"/>
        <cfvo type="max"/>
        <color rgb="FFFFEF9C"/>
        <color rgb="FF63BE7B"/>
      </colorScale>
    </cfRule>
  </conditionalFormatting>
  <conditionalFormatting sqref="BE14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9">
    <cfRule type="colorScale" priority="344">
      <colorScale>
        <cfvo type="min"/>
        <cfvo type="max"/>
        <color rgb="FF63BE7B"/>
        <color rgb="FFFFEF9C"/>
      </colorScale>
    </cfRule>
  </conditionalFormatting>
  <conditionalFormatting sqref="BE29">
    <cfRule type="colorScale" priority="345">
      <colorScale>
        <cfvo type="min"/>
        <cfvo type="max"/>
        <color rgb="FFFFEF9C"/>
        <color rgb="FF63BE7B"/>
      </colorScale>
    </cfRule>
  </conditionalFormatting>
  <conditionalFormatting sqref="BE29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4">
    <cfRule type="colorScale" priority="347">
      <colorScale>
        <cfvo type="min"/>
        <cfvo type="max"/>
        <color rgb="FF63BE7B"/>
        <color rgb="FFFFEF9C"/>
      </colorScale>
    </cfRule>
  </conditionalFormatting>
  <conditionalFormatting sqref="BE34">
    <cfRule type="colorScale" priority="348">
      <colorScale>
        <cfvo type="min"/>
        <cfvo type="max"/>
        <color rgb="FFFFEF9C"/>
        <color rgb="FF63BE7B"/>
      </colorScale>
    </cfRule>
  </conditionalFormatting>
  <conditionalFormatting sqref="BE34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1">
    <cfRule type="colorScale" priority="350">
      <colorScale>
        <cfvo type="min"/>
        <cfvo type="max"/>
        <color rgb="FFFFEF9C"/>
        <color rgb="FF63BE7B"/>
      </colorScale>
    </cfRule>
  </conditionalFormatting>
  <conditionalFormatting sqref="BE41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6">
    <cfRule type="colorScale" priority="352">
      <colorScale>
        <cfvo type="min"/>
        <cfvo type="max"/>
        <color rgb="FFFFEF9C"/>
        <color rgb="FF63BE7B"/>
      </colorScale>
    </cfRule>
  </conditionalFormatting>
  <conditionalFormatting sqref="BE46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1">
    <cfRule type="colorScale" priority="354">
      <colorScale>
        <cfvo type="min"/>
        <cfvo type="max"/>
        <color rgb="FFFFEF9C"/>
        <color rgb="FF63BE7B"/>
      </colorScale>
    </cfRule>
  </conditionalFormatting>
  <conditionalFormatting sqref="BE51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6">
    <cfRule type="colorScale" priority="356">
      <colorScale>
        <cfvo type="min"/>
        <cfvo type="max"/>
        <color rgb="FFFFEF9C"/>
        <color rgb="FF63BE7B"/>
      </colorScale>
    </cfRule>
  </conditionalFormatting>
  <conditionalFormatting sqref="BE56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7">
    <cfRule type="colorScale" priority="358">
      <colorScale>
        <cfvo type="min"/>
        <cfvo type="max"/>
        <color rgb="FFFFEF9C"/>
        <color rgb="FF63BE7B"/>
      </colorScale>
    </cfRule>
  </conditionalFormatting>
  <conditionalFormatting sqref="BE97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9">
    <cfRule type="colorScale" priority="360">
      <colorScale>
        <cfvo type="min"/>
        <cfvo type="max"/>
        <color rgb="FFFFEF9C"/>
        <color rgb="FF63BE7B"/>
      </colorScale>
    </cfRule>
  </conditionalFormatting>
  <conditionalFormatting sqref="BE99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2">
    <cfRule type="colorScale" priority="362">
      <colorScale>
        <cfvo type="min"/>
        <cfvo type="max"/>
        <color rgb="FFFFEF9C"/>
        <color rgb="FF63BE7B"/>
      </colorScale>
    </cfRule>
  </conditionalFormatting>
  <conditionalFormatting sqref="BE112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14">
    <cfRule type="colorScale" priority="364">
      <colorScale>
        <cfvo type="min"/>
        <cfvo type="max"/>
        <color rgb="FFFFEF9C"/>
        <color rgb="FF63BE7B"/>
      </colorScale>
    </cfRule>
  </conditionalFormatting>
  <conditionalFormatting sqref="BE114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3">
    <cfRule type="colorScale" priority="366">
      <colorScale>
        <cfvo type="min"/>
        <cfvo type="max"/>
        <color rgb="FF63BE7B"/>
        <color rgb="FFFFEF9C"/>
      </colorScale>
    </cfRule>
  </conditionalFormatting>
  <conditionalFormatting sqref="BE123">
    <cfRule type="colorScale" priority="367">
      <colorScale>
        <cfvo type="min"/>
        <cfvo type="max"/>
        <color rgb="FF63BE7B"/>
        <color rgb="FFFFEF9C"/>
      </colorScale>
    </cfRule>
  </conditionalFormatting>
  <conditionalFormatting sqref="BE123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6">
    <cfRule type="colorScale" priority="369">
      <colorScale>
        <cfvo type="min"/>
        <cfvo type="max"/>
        <color rgb="FF63BE7B"/>
        <color rgb="FFFFEF9C"/>
      </colorScale>
    </cfRule>
  </conditionalFormatting>
  <conditionalFormatting sqref="BE126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28">
    <cfRule type="colorScale" priority="371">
      <colorScale>
        <cfvo type="min"/>
        <cfvo type="max"/>
        <color rgb="FF63BE7B"/>
        <color rgb="FFFFEF9C"/>
      </colorScale>
    </cfRule>
  </conditionalFormatting>
  <conditionalFormatting sqref="BE128"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1">
    <cfRule type="colorScale" priority="373">
      <colorScale>
        <cfvo type="min"/>
        <cfvo type="max"/>
        <color rgb="FFFFEF9C"/>
        <color rgb="FF63BE7B"/>
      </colorScale>
    </cfRule>
  </conditionalFormatting>
  <conditionalFormatting sqref="BE131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34">
    <cfRule type="colorScale" priority="375">
      <colorScale>
        <cfvo type="min"/>
        <cfvo type="max"/>
        <color rgb="FFFFEF9C"/>
        <color rgb="FF63BE7B"/>
      </colorScale>
    </cfRule>
  </conditionalFormatting>
  <conditionalFormatting sqref="BE134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65">
    <cfRule type="colorScale" priority="377">
      <colorScale>
        <cfvo type="min"/>
        <cfvo type="max"/>
        <color rgb="FFFFEF9C"/>
        <color rgb="FF63BE7B"/>
      </colorScale>
    </cfRule>
  </conditionalFormatting>
  <conditionalFormatting sqref="BE165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">
    <cfRule type="colorScale" priority="379">
      <colorScale>
        <cfvo type="min"/>
        <cfvo type="max"/>
        <color rgb="FFFFEF9C"/>
        <color rgb="FF63BE7B"/>
      </colorScale>
    </cfRule>
  </conditionalFormatting>
  <conditionalFormatting sqref="BG4">
    <cfRule type="colorScale" priority="380">
      <colorScale>
        <cfvo type="min"/>
        <cfvo type="max"/>
        <color rgb="FFFFEF9C"/>
        <color rgb="FF63BE7B"/>
      </colorScale>
    </cfRule>
  </conditionalFormatting>
  <conditionalFormatting sqref="BG4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9">
    <cfRule type="colorScale" priority="382">
      <colorScale>
        <cfvo type="min"/>
        <cfvo type="max"/>
        <color rgb="FFFFEF9C"/>
        <color rgb="FF63BE7B"/>
      </colorScale>
    </cfRule>
  </conditionalFormatting>
  <conditionalFormatting sqref="BG9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4">
    <cfRule type="colorScale" priority="384">
      <colorScale>
        <cfvo type="min"/>
        <cfvo type="max"/>
        <color rgb="FFFFEF9C"/>
        <color rgb="FF63BE7B"/>
      </colorScale>
    </cfRule>
  </conditionalFormatting>
  <conditionalFormatting sqref="BG14">
    <cfRule type="colorScale" priority="385">
      <colorScale>
        <cfvo type="min"/>
        <cfvo type="max"/>
        <color rgb="FFFFEF9C"/>
        <color rgb="FF63BE7B"/>
      </colorScale>
    </cfRule>
  </conditionalFormatting>
  <conditionalFormatting sqref="BG14"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9">
    <cfRule type="colorScale" priority="387">
      <colorScale>
        <cfvo type="min"/>
        <cfvo type="max"/>
        <color rgb="FF63BE7B"/>
        <color rgb="FFFFEF9C"/>
      </colorScale>
    </cfRule>
  </conditionalFormatting>
  <conditionalFormatting sqref="BG29">
    <cfRule type="colorScale" priority="388">
      <colorScale>
        <cfvo type="min"/>
        <cfvo type="max"/>
        <color rgb="FFFFEF9C"/>
        <color rgb="FF63BE7B"/>
      </colorScale>
    </cfRule>
  </conditionalFormatting>
  <conditionalFormatting sqref="BG29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4">
    <cfRule type="colorScale" priority="390">
      <colorScale>
        <cfvo type="min"/>
        <cfvo type="max"/>
        <color rgb="FF63BE7B"/>
        <color rgb="FFFFEF9C"/>
      </colorScale>
    </cfRule>
  </conditionalFormatting>
  <conditionalFormatting sqref="BG34">
    <cfRule type="colorScale" priority="391">
      <colorScale>
        <cfvo type="min"/>
        <cfvo type="max"/>
        <color rgb="FFFFEF9C"/>
        <color rgb="FF63BE7B"/>
      </colorScale>
    </cfRule>
  </conditionalFormatting>
  <conditionalFormatting sqref="BG34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1">
    <cfRule type="colorScale" priority="393">
      <colorScale>
        <cfvo type="min"/>
        <cfvo type="max"/>
        <color rgb="FFFFEF9C"/>
        <color rgb="FF63BE7B"/>
      </colorScale>
    </cfRule>
  </conditionalFormatting>
  <conditionalFormatting sqref="BG41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6">
    <cfRule type="colorScale" priority="395">
      <colorScale>
        <cfvo type="min"/>
        <cfvo type="max"/>
        <color rgb="FFFFEF9C"/>
        <color rgb="FF63BE7B"/>
      </colorScale>
    </cfRule>
  </conditionalFormatting>
  <conditionalFormatting sqref="BG46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1">
    <cfRule type="colorScale" priority="397">
      <colorScale>
        <cfvo type="min"/>
        <cfvo type="max"/>
        <color rgb="FFFFEF9C"/>
        <color rgb="FF63BE7B"/>
      </colorScale>
    </cfRule>
  </conditionalFormatting>
  <conditionalFormatting sqref="BG51"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6">
    <cfRule type="colorScale" priority="399">
      <colorScale>
        <cfvo type="min"/>
        <cfvo type="max"/>
        <color rgb="FFFFEF9C"/>
        <color rgb="FF63BE7B"/>
      </colorScale>
    </cfRule>
  </conditionalFormatting>
  <conditionalFormatting sqref="BG56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97">
    <cfRule type="colorScale" priority="401">
      <colorScale>
        <cfvo type="min"/>
        <cfvo type="max"/>
        <color rgb="FFFFEF9C"/>
        <color rgb="FF63BE7B"/>
      </colorScale>
    </cfRule>
  </conditionalFormatting>
  <conditionalFormatting sqref="BG97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99">
    <cfRule type="colorScale" priority="403">
      <colorScale>
        <cfvo type="min"/>
        <cfvo type="max"/>
        <color rgb="FFFFEF9C"/>
        <color rgb="FF63BE7B"/>
      </colorScale>
    </cfRule>
  </conditionalFormatting>
  <conditionalFormatting sqref="BG99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12">
    <cfRule type="colorScale" priority="405">
      <colorScale>
        <cfvo type="min"/>
        <cfvo type="max"/>
        <color rgb="FFFFEF9C"/>
        <color rgb="FF63BE7B"/>
      </colorScale>
    </cfRule>
  </conditionalFormatting>
  <conditionalFormatting sqref="BG112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14">
    <cfRule type="colorScale" priority="407">
      <colorScale>
        <cfvo type="min"/>
        <cfvo type="max"/>
        <color rgb="FFFFEF9C"/>
        <color rgb="FF63BE7B"/>
      </colorScale>
    </cfRule>
  </conditionalFormatting>
  <conditionalFormatting sqref="BG114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23">
    <cfRule type="colorScale" priority="409">
      <colorScale>
        <cfvo type="min"/>
        <cfvo type="max"/>
        <color rgb="FF63BE7B"/>
        <color rgb="FFFFEF9C"/>
      </colorScale>
    </cfRule>
  </conditionalFormatting>
  <conditionalFormatting sqref="BG123">
    <cfRule type="colorScale" priority="410">
      <colorScale>
        <cfvo type="min"/>
        <cfvo type="max"/>
        <color rgb="FF63BE7B"/>
        <color rgb="FFFFEF9C"/>
      </colorScale>
    </cfRule>
  </conditionalFormatting>
  <conditionalFormatting sqref="BG123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26">
    <cfRule type="colorScale" priority="412">
      <colorScale>
        <cfvo type="min"/>
        <cfvo type="max"/>
        <color rgb="FF63BE7B"/>
        <color rgb="FFFFEF9C"/>
      </colorScale>
    </cfRule>
  </conditionalFormatting>
  <conditionalFormatting sqref="BG126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28">
    <cfRule type="colorScale" priority="414">
      <colorScale>
        <cfvo type="min"/>
        <cfvo type="max"/>
        <color rgb="FF63BE7B"/>
        <color rgb="FFFFEF9C"/>
      </colorScale>
    </cfRule>
  </conditionalFormatting>
  <conditionalFormatting sqref="BG128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31">
    <cfRule type="colorScale" priority="416">
      <colorScale>
        <cfvo type="min"/>
        <cfvo type="max"/>
        <color rgb="FFFFEF9C"/>
        <color rgb="FF63BE7B"/>
      </colorScale>
    </cfRule>
  </conditionalFormatting>
  <conditionalFormatting sqref="BG131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34">
    <cfRule type="colorScale" priority="418">
      <colorScale>
        <cfvo type="min"/>
        <cfvo type="max"/>
        <color rgb="FFFFEF9C"/>
        <color rgb="FF63BE7B"/>
      </colorScale>
    </cfRule>
  </conditionalFormatting>
  <conditionalFormatting sqref="BG134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65">
    <cfRule type="colorScale" priority="420">
      <colorScale>
        <cfvo type="min"/>
        <cfvo type="max"/>
        <color rgb="FFFFEF9C"/>
        <color rgb="FF63BE7B"/>
      </colorScale>
    </cfRule>
  </conditionalFormatting>
  <conditionalFormatting sqref="BG165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">
    <cfRule type="colorScale" priority="422">
      <colorScale>
        <cfvo type="min"/>
        <cfvo type="max"/>
        <color rgb="FFFFEF9C"/>
        <color rgb="FF63BE7B"/>
      </colorScale>
    </cfRule>
  </conditionalFormatting>
  <conditionalFormatting sqref="BI4">
    <cfRule type="colorScale" priority="423">
      <colorScale>
        <cfvo type="min"/>
        <cfvo type="max"/>
        <color rgb="FFFFEF9C"/>
        <color rgb="FF63BE7B"/>
      </colorScale>
    </cfRule>
  </conditionalFormatting>
  <conditionalFormatting sqref="BI4"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9">
    <cfRule type="colorScale" priority="425">
      <colorScale>
        <cfvo type="min"/>
        <cfvo type="max"/>
        <color rgb="FFFFEF9C"/>
        <color rgb="FF63BE7B"/>
      </colorScale>
    </cfRule>
  </conditionalFormatting>
  <conditionalFormatting sqref="BI9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4">
    <cfRule type="colorScale" priority="427">
      <colorScale>
        <cfvo type="min"/>
        <cfvo type="max"/>
        <color rgb="FFFFEF9C"/>
        <color rgb="FF63BE7B"/>
      </colorScale>
    </cfRule>
  </conditionalFormatting>
  <conditionalFormatting sqref="BI14">
    <cfRule type="colorScale" priority="428">
      <colorScale>
        <cfvo type="min"/>
        <cfvo type="max"/>
        <color rgb="FFFFEF9C"/>
        <color rgb="FF63BE7B"/>
      </colorScale>
    </cfRule>
  </conditionalFormatting>
  <conditionalFormatting sqref="BI14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9">
    <cfRule type="colorScale" priority="430">
      <colorScale>
        <cfvo type="min"/>
        <cfvo type="max"/>
        <color rgb="FF63BE7B"/>
        <color rgb="FFFFEF9C"/>
      </colorScale>
    </cfRule>
  </conditionalFormatting>
  <conditionalFormatting sqref="BI29">
    <cfRule type="colorScale" priority="431">
      <colorScale>
        <cfvo type="min"/>
        <cfvo type="max"/>
        <color rgb="FFFFEF9C"/>
        <color rgb="FF63BE7B"/>
      </colorScale>
    </cfRule>
  </conditionalFormatting>
  <conditionalFormatting sqref="BI29"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34">
    <cfRule type="colorScale" priority="433">
      <colorScale>
        <cfvo type="min"/>
        <cfvo type="max"/>
        <color rgb="FF63BE7B"/>
        <color rgb="FFFFEF9C"/>
      </colorScale>
    </cfRule>
  </conditionalFormatting>
  <conditionalFormatting sqref="BI34">
    <cfRule type="colorScale" priority="434">
      <colorScale>
        <cfvo type="min"/>
        <cfvo type="max"/>
        <color rgb="FFFFEF9C"/>
        <color rgb="FF63BE7B"/>
      </colorScale>
    </cfRule>
  </conditionalFormatting>
  <conditionalFormatting sqref="BI34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1">
    <cfRule type="colorScale" priority="436">
      <colorScale>
        <cfvo type="min"/>
        <cfvo type="max"/>
        <color rgb="FFFFEF9C"/>
        <color rgb="FF63BE7B"/>
      </colorScale>
    </cfRule>
  </conditionalFormatting>
  <conditionalFormatting sqref="BI41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6">
    <cfRule type="colorScale" priority="438">
      <colorScale>
        <cfvo type="min"/>
        <cfvo type="max"/>
        <color rgb="FFFFEF9C"/>
        <color rgb="FF63BE7B"/>
      </colorScale>
    </cfRule>
  </conditionalFormatting>
  <conditionalFormatting sqref="BI46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1">
    <cfRule type="colorScale" priority="440">
      <colorScale>
        <cfvo type="min"/>
        <cfvo type="max"/>
        <color rgb="FFFFEF9C"/>
        <color rgb="FF63BE7B"/>
      </colorScale>
    </cfRule>
  </conditionalFormatting>
  <conditionalFormatting sqref="BI51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6">
    <cfRule type="colorScale" priority="442">
      <colorScale>
        <cfvo type="min"/>
        <cfvo type="max"/>
        <color rgb="FFFFEF9C"/>
        <color rgb="FF63BE7B"/>
      </colorScale>
    </cfRule>
  </conditionalFormatting>
  <conditionalFormatting sqref="BI56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97">
    <cfRule type="colorScale" priority="444">
      <colorScale>
        <cfvo type="min"/>
        <cfvo type="max"/>
        <color rgb="FFFFEF9C"/>
        <color rgb="FF63BE7B"/>
      </colorScale>
    </cfRule>
  </conditionalFormatting>
  <conditionalFormatting sqref="BI97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99">
    <cfRule type="colorScale" priority="446">
      <colorScale>
        <cfvo type="min"/>
        <cfvo type="max"/>
        <color rgb="FFFFEF9C"/>
        <color rgb="FF63BE7B"/>
      </colorScale>
    </cfRule>
  </conditionalFormatting>
  <conditionalFormatting sqref="BI99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12">
    <cfRule type="colorScale" priority="448">
      <colorScale>
        <cfvo type="min"/>
        <cfvo type="max"/>
        <color rgb="FFFFEF9C"/>
        <color rgb="FF63BE7B"/>
      </colorScale>
    </cfRule>
  </conditionalFormatting>
  <conditionalFormatting sqref="BI112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14">
    <cfRule type="colorScale" priority="450">
      <colorScale>
        <cfvo type="min"/>
        <cfvo type="max"/>
        <color rgb="FFFFEF9C"/>
        <color rgb="FF63BE7B"/>
      </colorScale>
    </cfRule>
  </conditionalFormatting>
  <conditionalFormatting sqref="BI114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23">
    <cfRule type="colorScale" priority="452">
      <colorScale>
        <cfvo type="min"/>
        <cfvo type="max"/>
        <color rgb="FF63BE7B"/>
        <color rgb="FFFFEF9C"/>
      </colorScale>
    </cfRule>
  </conditionalFormatting>
  <conditionalFormatting sqref="BI123">
    <cfRule type="colorScale" priority="453">
      <colorScale>
        <cfvo type="min"/>
        <cfvo type="max"/>
        <color rgb="FF63BE7B"/>
        <color rgb="FFFFEF9C"/>
      </colorScale>
    </cfRule>
  </conditionalFormatting>
  <conditionalFormatting sqref="BI123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26">
    <cfRule type="colorScale" priority="455">
      <colorScale>
        <cfvo type="min"/>
        <cfvo type="max"/>
        <color rgb="FF63BE7B"/>
        <color rgb="FFFFEF9C"/>
      </colorScale>
    </cfRule>
  </conditionalFormatting>
  <conditionalFormatting sqref="BI126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28">
    <cfRule type="colorScale" priority="457">
      <colorScale>
        <cfvo type="min"/>
        <cfvo type="max"/>
        <color rgb="FF63BE7B"/>
        <color rgb="FFFFEF9C"/>
      </colorScale>
    </cfRule>
  </conditionalFormatting>
  <conditionalFormatting sqref="BI128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31">
    <cfRule type="colorScale" priority="459">
      <colorScale>
        <cfvo type="min"/>
        <cfvo type="max"/>
        <color rgb="FFFFEF9C"/>
        <color rgb="FF63BE7B"/>
      </colorScale>
    </cfRule>
  </conditionalFormatting>
  <conditionalFormatting sqref="BI131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34">
    <cfRule type="colorScale" priority="461">
      <colorScale>
        <cfvo type="min"/>
        <cfvo type="max"/>
        <color rgb="FFFFEF9C"/>
        <color rgb="FF63BE7B"/>
      </colorScale>
    </cfRule>
  </conditionalFormatting>
  <conditionalFormatting sqref="BI134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65">
    <cfRule type="colorScale" priority="463">
      <colorScale>
        <cfvo type="min"/>
        <cfvo type="max"/>
        <color rgb="FFFFEF9C"/>
        <color rgb="FF63BE7B"/>
      </colorScale>
    </cfRule>
  </conditionalFormatting>
  <conditionalFormatting sqref="BI165"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">
    <cfRule type="colorScale" priority="465">
      <colorScale>
        <cfvo type="min"/>
        <cfvo type="max"/>
        <color rgb="FFFFEF9C"/>
        <color rgb="FF63BE7B"/>
      </colorScale>
    </cfRule>
  </conditionalFormatting>
  <conditionalFormatting sqref="BK4">
    <cfRule type="colorScale" priority="466">
      <colorScale>
        <cfvo type="min"/>
        <cfvo type="max"/>
        <color rgb="FFFFEF9C"/>
        <color rgb="FF63BE7B"/>
      </colorScale>
    </cfRule>
  </conditionalFormatting>
  <conditionalFormatting sqref="BK4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9">
    <cfRule type="colorScale" priority="468">
      <colorScale>
        <cfvo type="min"/>
        <cfvo type="max"/>
        <color rgb="FFFFEF9C"/>
        <color rgb="FF63BE7B"/>
      </colorScale>
    </cfRule>
  </conditionalFormatting>
  <conditionalFormatting sqref="BK9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4">
    <cfRule type="colorScale" priority="470">
      <colorScale>
        <cfvo type="min"/>
        <cfvo type="max"/>
        <color rgb="FFFFEF9C"/>
        <color rgb="FF63BE7B"/>
      </colorScale>
    </cfRule>
  </conditionalFormatting>
  <conditionalFormatting sqref="BK14">
    <cfRule type="colorScale" priority="471">
      <colorScale>
        <cfvo type="min"/>
        <cfvo type="max"/>
        <color rgb="FFFFEF9C"/>
        <color rgb="FF63BE7B"/>
      </colorScale>
    </cfRule>
  </conditionalFormatting>
  <conditionalFormatting sqref="BK14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9">
    <cfRule type="colorScale" priority="473">
      <colorScale>
        <cfvo type="min"/>
        <cfvo type="max"/>
        <color rgb="FF63BE7B"/>
        <color rgb="FFFFEF9C"/>
      </colorScale>
    </cfRule>
  </conditionalFormatting>
  <conditionalFormatting sqref="BK29">
    <cfRule type="colorScale" priority="474">
      <colorScale>
        <cfvo type="min"/>
        <cfvo type="max"/>
        <color rgb="FFFFEF9C"/>
        <color rgb="FF63BE7B"/>
      </colorScale>
    </cfRule>
  </conditionalFormatting>
  <conditionalFormatting sqref="BK29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34">
    <cfRule type="colorScale" priority="476">
      <colorScale>
        <cfvo type="min"/>
        <cfvo type="max"/>
        <color rgb="FF63BE7B"/>
        <color rgb="FFFFEF9C"/>
      </colorScale>
    </cfRule>
  </conditionalFormatting>
  <conditionalFormatting sqref="BK34">
    <cfRule type="colorScale" priority="477">
      <colorScale>
        <cfvo type="min"/>
        <cfvo type="max"/>
        <color rgb="FFFFEF9C"/>
        <color rgb="FF63BE7B"/>
      </colorScale>
    </cfRule>
  </conditionalFormatting>
  <conditionalFormatting sqref="BK34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1">
    <cfRule type="colorScale" priority="479">
      <colorScale>
        <cfvo type="min"/>
        <cfvo type="max"/>
        <color rgb="FFFFEF9C"/>
        <color rgb="FF63BE7B"/>
      </colorScale>
    </cfRule>
  </conditionalFormatting>
  <conditionalFormatting sqref="BK41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6">
    <cfRule type="colorScale" priority="481">
      <colorScale>
        <cfvo type="min"/>
        <cfvo type="max"/>
        <color rgb="FFFFEF9C"/>
        <color rgb="FF63BE7B"/>
      </colorScale>
    </cfRule>
  </conditionalFormatting>
  <conditionalFormatting sqref="BK46"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51">
    <cfRule type="colorScale" priority="483">
      <colorScale>
        <cfvo type="min"/>
        <cfvo type="max"/>
        <color rgb="FFFFEF9C"/>
        <color rgb="FF63BE7B"/>
      </colorScale>
    </cfRule>
  </conditionalFormatting>
  <conditionalFormatting sqref="BK51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56">
    <cfRule type="colorScale" priority="485">
      <colorScale>
        <cfvo type="min"/>
        <cfvo type="max"/>
        <color rgb="FFFFEF9C"/>
        <color rgb="FF63BE7B"/>
      </colorScale>
    </cfRule>
  </conditionalFormatting>
  <conditionalFormatting sqref="BK56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97">
    <cfRule type="colorScale" priority="487">
      <colorScale>
        <cfvo type="min"/>
        <cfvo type="max"/>
        <color rgb="FFFFEF9C"/>
        <color rgb="FF63BE7B"/>
      </colorScale>
    </cfRule>
  </conditionalFormatting>
  <conditionalFormatting sqref="BK97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99">
    <cfRule type="colorScale" priority="489">
      <colorScale>
        <cfvo type="min"/>
        <cfvo type="max"/>
        <color rgb="FFFFEF9C"/>
        <color rgb="FF63BE7B"/>
      </colorScale>
    </cfRule>
  </conditionalFormatting>
  <conditionalFormatting sqref="BK99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12">
    <cfRule type="colorScale" priority="491">
      <colorScale>
        <cfvo type="min"/>
        <cfvo type="max"/>
        <color rgb="FFFFEF9C"/>
        <color rgb="FF63BE7B"/>
      </colorScale>
    </cfRule>
  </conditionalFormatting>
  <conditionalFormatting sqref="BK112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14">
    <cfRule type="colorScale" priority="493">
      <colorScale>
        <cfvo type="min"/>
        <cfvo type="max"/>
        <color rgb="FFFFEF9C"/>
        <color rgb="FF63BE7B"/>
      </colorScale>
    </cfRule>
  </conditionalFormatting>
  <conditionalFormatting sqref="BK114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23">
    <cfRule type="colorScale" priority="495">
      <colorScale>
        <cfvo type="min"/>
        <cfvo type="max"/>
        <color rgb="FF63BE7B"/>
        <color rgb="FFFFEF9C"/>
      </colorScale>
    </cfRule>
  </conditionalFormatting>
  <conditionalFormatting sqref="BK123">
    <cfRule type="colorScale" priority="496">
      <colorScale>
        <cfvo type="min"/>
        <cfvo type="max"/>
        <color rgb="FF63BE7B"/>
        <color rgb="FFFFEF9C"/>
      </colorScale>
    </cfRule>
  </conditionalFormatting>
  <conditionalFormatting sqref="BK123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26">
    <cfRule type="colorScale" priority="498">
      <colorScale>
        <cfvo type="min"/>
        <cfvo type="max"/>
        <color rgb="FF63BE7B"/>
        <color rgb="FFFFEF9C"/>
      </colorScale>
    </cfRule>
  </conditionalFormatting>
  <conditionalFormatting sqref="BK126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28">
    <cfRule type="colorScale" priority="500">
      <colorScale>
        <cfvo type="min"/>
        <cfvo type="max"/>
        <color rgb="FF63BE7B"/>
        <color rgb="FFFFEF9C"/>
      </colorScale>
    </cfRule>
  </conditionalFormatting>
  <conditionalFormatting sqref="BK128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31">
    <cfRule type="colorScale" priority="502">
      <colorScale>
        <cfvo type="min"/>
        <cfvo type="max"/>
        <color rgb="FFFFEF9C"/>
        <color rgb="FF63BE7B"/>
      </colorScale>
    </cfRule>
  </conditionalFormatting>
  <conditionalFormatting sqref="BK131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34">
    <cfRule type="colorScale" priority="504">
      <colorScale>
        <cfvo type="min"/>
        <cfvo type="max"/>
        <color rgb="FFFFEF9C"/>
        <color rgb="FF63BE7B"/>
      </colorScale>
    </cfRule>
  </conditionalFormatting>
  <conditionalFormatting sqref="BK134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65">
    <cfRule type="colorScale" priority="506">
      <colorScale>
        <cfvo type="min"/>
        <cfvo type="max"/>
        <color rgb="FFFFEF9C"/>
        <color rgb="FF63BE7B"/>
      </colorScale>
    </cfRule>
  </conditionalFormatting>
  <conditionalFormatting sqref="BK165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">
    <cfRule type="colorScale" priority="508">
      <colorScale>
        <cfvo type="min"/>
        <cfvo type="max"/>
        <color rgb="FFFFEF9C"/>
        <color rgb="FF63BE7B"/>
      </colorScale>
    </cfRule>
  </conditionalFormatting>
  <conditionalFormatting sqref="BM4">
    <cfRule type="colorScale" priority="509">
      <colorScale>
        <cfvo type="min"/>
        <cfvo type="max"/>
        <color rgb="FFFFEF9C"/>
        <color rgb="FF63BE7B"/>
      </colorScale>
    </cfRule>
  </conditionalFormatting>
  <conditionalFormatting sqref="BM4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9">
    <cfRule type="colorScale" priority="511">
      <colorScale>
        <cfvo type="min"/>
        <cfvo type="max"/>
        <color rgb="FFFFEF9C"/>
        <color rgb="FF63BE7B"/>
      </colorScale>
    </cfRule>
  </conditionalFormatting>
  <conditionalFormatting sqref="BM9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4">
    <cfRule type="colorScale" priority="513">
      <colorScale>
        <cfvo type="min"/>
        <cfvo type="max"/>
        <color rgb="FFFFEF9C"/>
        <color rgb="FF63BE7B"/>
      </colorScale>
    </cfRule>
  </conditionalFormatting>
  <conditionalFormatting sqref="BM14">
    <cfRule type="colorScale" priority="514">
      <colorScale>
        <cfvo type="min"/>
        <cfvo type="max"/>
        <color rgb="FFFFEF9C"/>
        <color rgb="FF63BE7B"/>
      </colorScale>
    </cfRule>
  </conditionalFormatting>
  <conditionalFormatting sqref="BM14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9">
    <cfRule type="colorScale" priority="516">
      <colorScale>
        <cfvo type="min"/>
        <cfvo type="max"/>
        <color rgb="FF63BE7B"/>
        <color rgb="FFFFEF9C"/>
      </colorScale>
    </cfRule>
  </conditionalFormatting>
  <conditionalFormatting sqref="BM29">
    <cfRule type="colorScale" priority="517">
      <colorScale>
        <cfvo type="min"/>
        <cfvo type="max"/>
        <color rgb="FFFFEF9C"/>
        <color rgb="FF63BE7B"/>
      </colorScale>
    </cfRule>
  </conditionalFormatting>
  <conditionalFormatting sqref="BM29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34">
    <cfRule type="colorScale" priority="519">
      <colorScale>
        <cfvo type="min"/>
        <cfvo type="max"/>
        <color rgb="FF63BE7B"/>
        <color rgb="FFFFEF9C"/>
      </colorScale>
    </cfRule>
  </conditionalFormatting>
  <conditionalFormatting sqref="BM34">
    <cfRule type="colorScale" priority="520">
      <colorScale>
        <cfvo type="min"/>
        <cfvo type="max"/>
        <color rgb="FFFFEF9C"/>
        <color rgb="FF63BE7B"/>
      </colorScale>
    </cfRule>
  </conditionalFormatting>
  <conditionalFormatting sqref="BM34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1">
    <cfRule type="colorScale" priority="522">
      <colorScale>
        <cfvo type="min"/>
        <cfvo type="max"/>
        <color rgb="FFFFEF9C"/>
        <color rgb="FF63BE7B"/>
      </colorScale>
    </cfRule>
  </conditionalFormatting>
  <conditionalFormatting sqref="BM41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6">
    <cfRule type="colorScale" priority="524">
      <colorScale>
        <cfvo type="min"/>
        <cfvo type="max"/>
        <color rgb="FFFFEF9C"/>
        <color rgb="FF63BE7B"/>
      </colorScale>
    </cfRule>
  </conditionalFormatting>
  <conditionalFormatting sqref="BM46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1">
    <cfRule type="colorScale" priority="526">
      <colorScale>
        <cfvo type="min"/>
        <cfvo type="max"/>
        <color rgb="FFFFEF9C"/>
        <color rgb="FF63BE7B"/>
      </colorScale>
    </cfRule>
  </conditionalFormatting>
  <conditionalFormatting sqref="BM51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6">
    <cfRule type="colorScale" priority="528">
      <colorScale>
        <cfvo type="min"/>
        <cfvo type="max"/>
        <color rgb="FFFFEF9C"/>
        <color rgb="FF63BE7B"/>
      </colorScale>
    </cfRule>
  </conditionalFormatting>
  <conditionalFormatting sqref="BM56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97">
    <cfRule type="colorScale" priority="530">
      <colorScale>
        <cfvo type="min"/>
        <cfvo type="max"/>
        <color rgb="FFFFEF9C"/>
        <color rgb="FF63BE7B"/>
      </colorScale>
    </cfRule>
  </conditionalFormatting>
  <conditionalFormatting sqref="BM97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99">
    <cfRule type="colorScale" priority="532">
      <colorScale>
        <cfvo type="min"/>
        <cfvo type="max"/>
        <color rgb="FFFFEF9C"/>
        <color rgb="FF63BE7B"/>
      </colorScale>
    </cfRule>
  </conditionalFormatting>
  <conditionalFormatting sqref="BM99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12">
    <cfRule type="colorScale" priority="534">
      <colorScale>
        <cfvo type="min"/>
        <cfvo type="max"/>
        <color rgb="FFFFEF9C"/>
        <color rgb="FF63BE7B"/>
      </colorScale>
    </cfRule>
  </conditionalFormatting>
  <conditionalFormatting sqref="BM112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14">
    <cfRule type="colorScale" priority="536">
      <colorScale>
        <cfvo type="min"/>
        <cfvo type="max"/>
        <color rgb="FFFFEF9C"/>
        <color rgb="FF63BE7B"/>
      </colorScale>
    </cfRule>
  </conditionalFormatting>
  <conditionalFormatting sqref="BM114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3">
    <cfRule type="colorScale" priority="538">
      <colorScale>
        <cfvo type="min"/>
        <cfvo type="max"/>
        <color rgb="FF63BE7B"/>
        <color rgb="FFFFEF9C"/>
      </colorScale>
    </cfRule>
  </conditionalFormatting>
  <conditionalFormatting sqref="BM123">
    <cfRule type="colorScale" priority="539">
      <colorScale>
        <cfvo type="min"/>
        <cfvo type="max"/>
        <color rgb="FF63BE7B"/>
        <color rgb="FFFFEF9C"/>
      </colorScale>
    </cfRule>
  </conditionalFormatting>
  <conditionalFormatting sqref="BM123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6">
    <cfRule type="colorScale" priority="541">
      <colorScale>
        <cfvo type="min"/>
        <cfvo type="max"/>
        <color rgb="FF63BE7B"/>
        <color rgb="FFFFEF9C"/>
      </colorScale>
    </cfRule>
  </conditionalFormatting>
  <conditionalFormatting sqref="BM126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28">
    <cfRule type="colorScale" priority="543">
      <colorScale>
        <cfvo type="min"/>
        <cfvo type="max"/>
        <color rgb="FF63BE7B"/>
        <color rgb="FFFFEF9C"/>
      </colorScale>
    </cfRule>
  </conditionalFormatting>
  <conditionalFormatting sqref="BM128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31">
    <cfRule type="colorScale" priority="545">
      <colorScale>
        <cfvo type="min"/>
        <cfvo type="max"/>
        <color rgb="FFFFEF9C"/>
        <color rgb="FF63BE7B"/>
      </colorScale>
    </cfRule>
  </conditionalFormatting>
  <conditionalFormatting sqref="BM131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34">
    <cfRule type="colorScale" priority="547">
      <colorScale>
        <cfvo type="min"/>
        <cfvo type="max"/>
        <color rgb="FFFFEF9C"/>
        <color rgb="FF63BE7B"/>
      </colorScale>
    </cfRule>
  </conditionalFormatting>
  <conditionalFormatting sqref="BM134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5">
    <cfRule type="colorScale" priority="549">
      <colorScale>
        <cfvo type="min"/>
        <cfvo type="max"/>
        <color rgb="FFFFEF9C"/>
        <color rgb="FF63BE7B"/>
      </colorScale>
    </cfRule>
  </conditionalFormatting>
  <conditionalFormatting sqref="BM165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">
    <cfRule type="colorScale" priority="551">
      <colorScale>
        <cfvo type="min"/>
        <cfvo type="max"/>
        <color rgb="FFFFEF9C"/>
        <color rgb="FF63BE7B"/>
      </colorScale>
    </cfRule>
  </conditionalFormatting>
  <conditionalFormatting sqref="BO4">
    <cfRule type="colorScale" priority="552">
      <colorScale>
        <cfvo type="min"/>
        <cfvo type="max"/>
        <color rgb="FFFFEF9C"/>
        <color rgb="FF63BE7B"/>
      </colorScale>
    </cfRule>
  </conditionalFormatting>
  <conditionalFormatting sqref="BO4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9">
    <cfRule type="colorScale" priority="554">
      <colorScale>
        <cfvo type="min"/>
        <cfvo type="max"/>
        <color rgb="FFFFEF9C"/>
        <color rgb="FF63BE7B"/>
      </colorScale>
    </cfRule>
  </conditionalFormatting>
  <conditionalFormatting sqref="BO9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4">
    <cfRule type="colorScale" priority="556">
      <colorScale>
        <cfvo type="min"/>
        <cfvo type="max"/>
        <color rgb="FFFFEF9C"/>
        <color rgb="FF63BE7B"/>
      </colorScale>
    </cfRule>
  </conditionalFormatting>
  <conditionalFormatting sqref="BO14">
    <cfRule type="colorScale" priority="557">
      <colorScale>
        <cfvo type="min"/>
        <cfvo type="max"/>
        <color rgb="FFFFEF9C"/>
        <color rgb="FF63BE7B"/>
      </colorScale>
    </cfRule>
  </conditionalFormatting>
  <conditionalFormatting sqref="BO14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9">
    <cfRule type="colorScale" priority="559">
      <colorScale>
        <cfvo type="min"/>
        <cfvo type="max"/>
        <color rgb="FF63BE7B"/>
        <color rgb="FFFFEF9C"/>
      </colorScale>
    </cfRule>
  </conditionalFormatting>
  <conditionalFormatting sqref="BO29">
    <cfRule type="colorScale" priority="560">
      <colorScale>
        <cfvo type="min"/>
        <cfvo type="max"/>
        <color rgb="FFFFEF9C"/>
        <color rgb="FF63BE7B"/>
      </colorScale>
    </cfRule>
  </conditionalFormatting>
  <conditionalFormatting sqref="BO29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4">
    <cfRule type="colorScale" priority="562">
      <colorScale>
        <cfvo type="min"/>
        <cfvo type="max"/>
        <color rgb="FF63BE7B"/>
        <color rgb="FFFFEF9C"/>
      </colorScale>
    </cfRule>
  </conditionalFormatting>
  <conditionalFormatting sqref="BO34">
    <cfRule type="colorScale" priority="563">
      <colorScale>
        <cfvo type="min"/>
        <cfvo type="max"/>
        <color rgb="FFFFEF9C"/>
        <color rgb="FF63BE7B"/>
      </colorScale>
    </cfRule>
  </conditionalFormatting>
  <conditionalFormatting sqref="BO34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1">
    <cfRule type="colorScale" priority="565">
      <colorScale>
        <cfvo type="min"/>
        <cfvo type="max"/>
        <color rgb="FFFFEF9C"/>
        <color rgb="FF63BE7B"/>
      </colorScale>
    </cfRule>
  </conditionalFormatting>
  <conditionalFormatting sqref="BO41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46">
    <cfRule type="colorScale" priority="567">
      <colorScale>
        <cfvo type="min"/>
        <cfvo type="max"/>
        <color rgb="FFFFEF9C"/>
        <color rgb="FF63BE7B"/>
      </colorScale>
    </cfRule>
  </conditionalFormatting>
  <conditionalFormatting sqref="BO46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1">
    <cfRule type="colorScale" priority="569">
      <colorScale>
        <cfvo type="min"/>
        <cfvo type="max"/>
        <color rgb="FFFFEF9C"/>
        <color rgb="FF63BE7B"/>
      </colorScale>
    </cfRule>
  </conditionalFormatting>
  <conditionalFormatting sqref="BO51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56">
    <cfRule type="colorScale" priority="571">
      <colorScale>
        <cfvo type="min"/>
        <cfvo type="max"/>
        <color rgb="FFFFEF9C"/>
        <color rgb="FF63BE7B"/>
      </colorScale>
    </cfRule>
  </conditionalFormatting>
  <conditionalFormatting sqref="BO56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97">
    <cfRule type="colorScale" priority="573">
      <colorScale>
        <cfvo type="min"/>
        <cfvo type="max"/>
        <color rgb="FFFFEF9C"/>
        <color rgb="FF63BE7B"/>
      </colorScale>
    </cfRule>
  </conditionalFormatting>
  <conditionalFormatting sqref="BO97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99">
    <cfRule type="colorScale" priority="575">
      <colorScale>
        <cfvo type="min"/>
        <cfvo type="max"/>
        <color rgb="FFFFEF9C"/>
        <color rgb="FF63BE7B"/>
      </colorScale>
    </cfRule>
  </conditionalFormatting>
  <conditionalFormatting sqref="BO99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12">
    <cfRule type="colorScale" priority="577">
      <colorScale>
        <cfvo type="min"/>
        <cfvo type="max"/>
        <color rgb="FFFFEF9C"/>
        <color rgb="FF63BE7B"/>
      </colorScale>
    </cfRule>
  </conditionalFormatting>
  <conditionalFormatting sqref="BO112"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14">
    <cfRule type="colorScale" priority="579">
      <colorScale>
        <cfvo type="min"/>
        <cfvo type="max"/>
        <color rgb="FFFFEF9C"/>
        <color rgb="FF63BE7B"/>
      </colorScale>
    </cfRule>
  </conditionalFormatting>
  <conditionalFormatting sqref="BO114">
    <cfRule type="colorScale" priority="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23">
    <cfRule type="colorScale" priority="581">
      <colorScale>
        <cfvo type="min"/>
        <cfvo type="max"/>
        <color rgb="FF63BE7B"/>
        <color rgb="FFFFEF9C"/>
      </colorScale>
    </cfRule>
  </conditionalFormatting>
  <conditionalFormatting sqref="BO123">
    <cfRule type="colorScale" priority="582">
      <colorScale>
        <cfvo type="min"/>
        <cfvo type="max"/>
        <color rgb="FF63BE7B"/>
        <color rgb="FFFFEF9C"/>
      </colorScale>
    </cfRule>
  </conditionalFormatting>
  <conditionalFormatting sqref="BO123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26">
    <cfRule type="colorScale" priority="584">
      <colorScale>
        <cfvo type="min"/>
        <cfvo type="max"/>
        <color rgb="FF63BE7B"/>
        <color rgb="FFFFEF9C"/>
      </colorScale>
    </cfRule>
  </conditionalFormatting>
  <conditionalFormatting sqref="BO126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28">
    <cfRule type="colorScale" priority="586">
      <colorScale>
        <cfvo type="min"/>
        <cfvo type="max"/>
        <color rgb="FF63BE7B"/>
        <color rgb="FFFFEF9C"/>
      </colorScale>
    </cfRule>
  </conditionalFormatting>
  <conditionalFormatting sqref="BO128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31">
    <cfRule type="colorScale" priority="588">
      <colorScale>
        <cfvo type="min"/>
        <cfvo type="max"/>
        <color rgb="FFFFEF9C"/>
        <color rgb="FF63BE7B"/>
      </colorScale>
    </cfRule>
  </conditionalFormatting>
  <conditionalFormatting sqref="BO131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34">
    <cfRule type="colorScale" priority="590">
      <colorScale>
        <cfvo type="min"/>
        <cfvo type="max"/>
        <color rgb="FFFFEF9C"/>
        <color rgb="FF63BE7B"/>
      </colorScale>
    </cfRule>
  </conditionalFormatting>
  <conditionalFormatting sqref="BO134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65">
    <cfRule type="colorScale" priority="592">
      <colorScale>
        <cfvo type="min"/>
        <cfvo type="max"/>
        <color rgb="FFFFEF9C"/>
        <color rgb="FF63BE7B"/>
      </colorScale>
    </cfRule>
  </conditionalFormatting>
  <conditionalFormatting sqref="BO165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4">
    <cfRule type="colorScale" priority="594">
      <colorScale>
        <cfvo type="min"/>
        <cfvo type="max"/>
        <color rgb="FFFFEF9C"/>
        <color rgb="FF63BE7B"/>
      </colorScale>
    </cfRule>
  </conditionalFormatting>
  <conditionalFormatting sqref="BQ4">
    <cfRule type="colorScale" priority="595">
      <colorScale>
        <cfvo type="min"/>
        <cfvo type="max"/>
        <color rgb="FFFFEF9C"/>
        <color rgb="FF63BE7B"/>
      </colorScale>
    </cfRule>
  </conditionalFormatting>
  <conditionalFormatting sqref="BQ4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9">
    <cfRule type="colorScale" priority="597">
      <colorScale>
        <cfvo type="min"/>
        <cfvo type="max"/>
        <color rgb="FFFFEF9C"/>
        <color rgb="FF63BE7B"/>
      </colorScale>
    </cfRule>
  </conditionalFormatting>
  <conditionalFormatting sqref="BQ9">
    <cfRule type="colorScale" priority="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4">
    <cfRule type="colorScale" priority="599">
      <colorScale>
        <cfvo type="min"/>
        <cfvo type="max"/>
        <color rgb="FFFFEF9C"/>
        <color rgb="FF63BE7B"/>
      </colorScale>
    </cfRule>
  </conditionalFormatting>
  <conditionalFormatting sqref="BQ14">
    <cfRule type="colorScale" priority="600">
      <colorScale>
        <cfvo type="min"/>
        <cfvo type="max"/>
        <color rgb="FFFFEF9C"/>
        <color rgb="FF63BE7B"/>
      </colorScale>
    </cfRule>
  </conditionalFormatting>
  <conditionalFormatting sqref="BQ14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 AU24 AW24 AY24 BA24 BC24 BE24 BG24 BI24 BK24 BM24 BO24 BQ24">
    <cfRule type="colorScale" priority="602">
      <colorScale>
        <cfvo type="min"/>
        <cfvo type="max"/>
        <color rgb="FFFFEF9C"/>
        <color rgb="FF63BE7B"/>
      </colorScale>
    </cfRule>
  </conditionalFormatting>
  <conditionalFormatting sqref="AS24 AU24 AW24 AY24 BA24 BC24 BE24 BG24 BI24 BK24 BM24 BO24 BQ24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9">
    <cfRule type="colorScale" priority="604">
      <colorScale>
        <cfvo type="min"/>
        <cfvo type="max"/>
        <color rgb="FF63BE7B"/>
        <color rgb="FFFFEF9C"/>
      </colorScale>
    </cfRule>
  </conditionalFormatting>
  <conditionalFormatting sqref="BQ29">
    <cfRule type="colorScale" priority="605">
      <colorScale>
        <cfvo type="min"/>
        <cfvo type="max"/>
        <color rgb="FFFFEF9C"/>
        <color rgb="FF63BE7B"/>
      </colorScale>
    </cfRule>
  </conditionalFormatting>
  <conditionalFormatting sqref="BQ29">
    <cfRule type="colorScale" priority="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34">
    <cfRule type="colorScale" priority="607">
      <colorScale>
        <cfvo type="min"/>
        <cfvo type="max"/>
        <color rgb="FF63BE7B"/>
        <color rgb="FFFFEF9C"/>
      </colorScale>
    </cfRule>
  </conditionalFormatting>
  <conditionalFormatting sqref="BQ34">
    <cfRule type="colorScale" priority="608">
      <colorScale>
        <cfvo type="min"/>
        <cfvo type="max"/>
        <color rgb="FFFFEF9C"/>
        <color rgb="FF63BE7B"/>
      </colorScale>
    </cfRule>
  </conditionalFormatting>
  <conditionalFormatting sqref="BQ34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41">
    <cfRule type="colorScale" priority="610">
      <colorScale>
        <cfvo type="min"/>
        <cfvo type="max"/>
        <color rgb="FFFFEF9C"/>
        <color rgb="FF63BE7B"/>
      </colorScale>
    </cfRule>
  </conditionalFormatting>
  <conditionalFormatting sqref="BQ41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46">
    <cfRule type="colorScale" priority="612">
      <colorScale>
        <cfvo type="min"/>
        <cfvo type="max"/>
        <color rgb="FFFFEF9C"/>
        <color rgb="FF63BE7B"/>
      </colorScale>
    </cfRule>
  </conditionalFormatting>
  <conditionalFormatting sqref="BQ46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51">
    <cfRule type="colorScale" priority="614">
      <colorScale>
        <cfvo type="min"/>
        <cfvo type="max"/>
        <color rgb="FFFFEF9C"/>
        <color rgb="FF63BE7B"/>
      </colorScale>
    </cfRule>
  </conditionalFormatting>
  <conditionalFormatting sqref="BQ51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56">
    <cfRule type="colorScale" priority="616">
      <colorScale>
        <cfvo type="min"/>
        <cfvo type="max"/>
        <color rgb="FFFFEF9C"/>
        <color rgb="FF63BE7B"/>
      </colorScale>
    </cfRule>
  </conditionalFormatting>
  <conditionalFormatting sqref="BQ56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97">
    <cfRule type="colorScale" priority="618">
      <colorScale>
        <cfvo type="min"/>
        <cfvo type="max"/>
        <color rgb="FFFFEF9C"/>
        <color rgb="FF63BE7B"/>
      </colorScale>
    </cfRule>
  </conditionalFormatting>
  <conditionalFormatting sqref="BQ97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99">
    <cfRule type="colorScale" priority="620">
      <colorScale>
        <cfvo type="min"/>
        <cfvo type="max"/>
        <color rgb="FFFFEF9C"/>
        <color rgb="FF63BE7B"/>
      </colorScale>
    </cfRule>
  </conditionalFormatting>
  <conditionalFormatting sqref="BQ99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12">
    <cfRule type="colorScale" priority="622">
      <colorScale>
        <cfvo type="min"/>
        <cfvo type="max"/>
        <color rgb="FFFFEF9C"/>
        <color rgb="FF63BE7B"/>
      </colorScale>
    </cfRule>
  </conditionalFormatting>
  <conditionalFormatting sqref="BQ112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14">
    <cfRule type="colorScale" priority="624">
      <colorScale>
        <cfvo type="min"/>
        <cfvo type="max"/>
        <color rgb="FFFFEF9C"/>
        <color rgb="FF63BE7B"/>
      </colorScale>
    </cfRule>
  </conditionalFormatting>
  <conditionalFormatting sqref="BQ114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23">
    <cfRule type="colorScale" priority="626">
      <colorScale>
        <cfvo type="min"/>
        <cfvo type="max"/>
        <color rgb="FF63BE7B"/>
        <color rgb="FFFFEF9C"/>
      </colorScale>
    </cfRule>
  </conditionalFormatting>
  <conditionalFormatting sqref="BQ123">
    <cfRule type="colorScale" priority="627">
      <colorScale>
        <cfvo type="min"/>
        <cfvo type="max"/>
        <color rgb="FF63BE7B"/>
        <color rgb="FFFFEF9C"/>
      </colorScale>
    </cfRule>
  </conditionalFormatting>
  <conditionalFormatting sqref="BQ123">
    <cfRule type="colorScale" priority="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26">
    <cfRule type="colorScale" priority="629">
      <colorScale>
        <cfvo type="min"/>
        <cfvo type="max"/>
        <color rgb="FF63BE7B"/>
        <color rgb="FFFFEF9C"/>
      </colorScale>
    </cfRule>
  </conditionalFormatting>
  <conditionalFormatting sqref="BQ126">
    <cfRule type="colorScale" priority="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28">
    <cfRule type="colorScale" priority="631">
      <colorScale>
        <cfvo type="min"/>
        <cfvo type="max"/>
        <color rgb="FF63BE7B"/>
        <color rgb="FFFFEF9C"/>
      </colorScale>
    </cfRule>
  </conditionalFormatting>
  <conditionalFormatting sqref="BQ128">
    <cfRule type="colorScale" priority="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31">
    <cfRule type="colorScale" priority="633">
      <colorScale>
        <cfvo type="min"/>
        <cfvo type="max"/>
        <color rgb="FFFFEF9C"/>
        <color rgb="FF63BE7B"/>
      </colorScale>
    </cfRule>
  </conditionalFormatting>
  <conditionalFormatting sqref="BQ131">
    <cfRule type="colorScale" priority="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34">
    <cfRule type="colorScale" priority="635">
      <colorScale>
        <cfvo type="min"/>
        <cfvo type="max"/>
        <color rgb="FFFFEF9C"/>
        <color rgb="FF63BE7B"/>
      </colorScale>
    </cfRule>
  </conditionalFormatting>
  <conditionalFormatting sqref="BQ134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65">
    <cfRule type="colorScale" priority="637">
      <colorScale>
        <cfvo type="min"/>
        <cfvo type="max"/>
        <color rgb="FFFFEF9C"/>
        <color rgb="FF63BE7B"/>
      </colorScale>
    </cfRule>
  </conditionalFormatting>
  <conditionalFormatting sqref="BQ165">
    <cfRule type="colorScale" priority="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73">
    <cfRule type="colorScale" priority="639">
      <colorScale>
        <cfvo type="min"/>
        <cfvo type="max"/>
        <color rgb="FFFFEF9C"/>
        <color rgb="FF63BE7B"/>
      </colorScale>
    </cfRule>
  </conditionalFormatting>
  <conditionalFormatting sqref="BQ173">
    <cfRule type="colorScale" priority="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80">
    <cfRule type="colorScale" priority="641">
      <colorScale>
        <cfvo type="min"/>
        <cfvo type="max"/>
        <color rgb="FFFFEF9C"/>
        <color rgb="FF63BE7B"/>
      </colorScale>
    </cfRule>
  </conditionalFormatting>
  <conditionalFormatting sqref="BS4">
    <cfRule type="colorScale" priority="642">
      <colorScale>
        <cfvo type="min"/>
        <cfvo type="max"/>
        <color rgb="FFFFEF9C"/>
        <color rgb="FF63BE7B"/>
      </colorScale>
    </cfRule>
  </conditionalFormatting>
  <conditionalFormatting sqref="BS4">
    <cfRule type="colorScale" priority="643">
      <colorScale>
        <cfvo type="min"/>
        <cfvo type="max"/>
        <color rgb="FFFFEF9C"/>
        <color rgb="FF63BE7B"/>
      </colorScale>
    </cfRule>
  </conditionalFormatting>
  <conditionalFormatting sqref="BS4">
    <cfRule type="colorScale" priority="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9">
    <cfRule type="colorScale" priority="645">
      <colorScale>
        <cfvo type="min"/>
        <cfvo type="max"/>
        <color rgb="FFFFEF9C"/>
        <color rgb="FF63BE7B"/>
      </colorScale>
    </cfRule>
  </conditionalFormatting>
  <conditionalFormatting sqref="BS9">
    <cfRule type="colorScale" priority="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4">
    <cfRule type="colorScale" priority="647">
      <colorScale>
        <cfvo type="min"/>
        <cfvo type="max"/>
        <color rgb="FFFFEF9C"/>
        <color rgb="FF63BE7B"/>
      </colorScale>
    </cfRule>
  </conditionalFormatting>
  <conditionalFormatting sqref="BS14">
    <cfRule type="colorScale" priority="648">
      <colorScale>
        <cfvo type="min"/>
        <cfvo type="max"/>
        <color rgb="FFFFEF9C"/>
        <color rgb="FF63BE7B"/>
      </colorScale>
    </cfRule>
  </conditionalFormatting>
  <conditionalFormatting sqref="BS14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4">
    <cfRule type="colorScale" priority="650">
      <colorScale>
        <cfvo type="min"/>
        <cfvo type="max"/>
        <color rgb="FFFFEF9C"/>
        <color rgb="FF63BE7B"/>
      </colorScale>
    </cfRule>
  </conditionalFormatting>
  <conditionalFormatting sqref="BS24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9">
    <cfRule type="colorScale" priority="652">
      <colorScale>
        <cfvo type="min"/>
        <cfvo type="max"/>
        <color rgb="FF63BE7B"/>
        <color rgb="FFFFEF9C"/>
      </colorScale>
    </cfRule>
  </conditionalFormatting>
  <conditionalFormatting sqref="BS29">
    <cfRule type="colorScale" priority="653">
      <colorScale>
        <cfvo type="min"/>
        <cfvo type="max"/>
        <color rgb="FFFFEF9C"/>
        <color rgb="FF63BE7B"/>
      </colorScale>
    </cfRule>
  </conditionalFormatting>
  <conditionalFormatting sqref="BS29">
    <cfRule type="colorScale" priority="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34">
    <cfRule type="colorScale" priority="655">
      <colorScale>
        <cfvo type="min"/>
        <cfvo type="max"/>
        <color rgb="FF63BE7B"/>
        <color rgb="FFFFEF9C"/>
      </colorScale>
    </cfRule>
  </conditionalFormatting>
  <conditionalFormatting sqref="BS34">
    <cfRule type="colorScale" priority="656">
      <colorScale>
        <cfvo type="min"/>
        <cfvo type="max"/>
        <color rgb="FFFFEF9C"/>
        <color rgb="FF63BE7B"/>
      </colorScale>
    </cfRule>
  </conditionalFormatting>
  <conditionalFormatting sqref="BS34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41">
    <cfRule type="colorScale" priority="658">
      <colorScale>
        <cfvo type="min"/>
        <cfvo type="max"/>
        <color rgb="FFFFEF9C"/>
        <color rgb="FF63BE7B"/>
      </colorScale>
    </cfRule>
  </conditionalFormatting>
  <conditionalFormatting sqref="BS41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46">
    <cfRule type="colorScale" priority="660">
      <colorScale>
        <cfvo type="min"/>
        <cfvo type="max"/>
        <color rgb="FFFFEF9C"/>
        <color rgb="FF63BE7B"/>
      </colorScale>
    </cfRule>
  </conditionalFormatting>
  <conditionalFormatting sqref="BS46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1">
    <cfRule type="colorScale" priority="662">
      <colorScale>
        <cfvo type="min"/>
        <cfvo type="max"/>
        <color rgb="FFFFEF9C"/>
        <color rgb="FF63BE7B"/>
      </colorScale>
    </cfRule>
  </conditionalFormatting>
  <conditionalFormatting sqref="BS51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6">
    <cfRule type="colorScale" priority="664">
      <colorScale>
        <cfvo type="min"/>
        <cfvo type="max"/>
        <color rgb="FFFFEF9C"/>
        <color rgb="FF63BE7B"/>
      </colorScale>
    </cfRule>
  </conditionalFormatting>
  <conditionalFormatting sqref="BS56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97">
    <cfRule type="colorScale" priority="666">
      <colorScale>
        <cfvo type="min"/>
        <cfvo type="max"/>
        <color rgb="FFFFEF9C"/>
        <color rgb="FF63BE7B"/>
      </colorScale>
    </cfRule>
  </conditionalFormatting>
  <conditionalFormatting sqref="BS97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99">
    <cfRule type="colorScale" priority="668">
      <colorScale>
        <cfvo type="min"/>
        <cfvo type="max"/>
        <color rgb="FFFFEF9C"/>
        <color rgb="FF63BE7B"/>
      </colorScale>
    </cfRule>
  </conditionalFormatting>
  <conditionalFormatting sqref="BS99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12">
    <cfRule type="colorScale" priority="670">
      <colorScale>
        <cfvo type="min"/>
        <cfvo type="max"/>
        <color rgb="FFFFEF9C"/>
        <color rgb="FF63BE7B"/>
      </colorScale>
    </cfRule>
  </conditionalFormatting>
  <conditionalFormatting sqref="BS112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14">
    <cfRule type="colorScale" priority="672">
      <colorScale>
        <cfvo type="min"/>
        <cfvo type="max"/>
        <color rgb="FFFFEF9C"/>
        <color rgb="FF63BE7B"/>
      </colorScale>
    </cfRule>
  </conditionalFormatting>
  <conditionalFormatting sqref="BS114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3">
    <cfRule type="colorScale" priority="674">
      <colorScale>
        <cfvo type="min"/>
        <cfvo type="max"/>
        <color rgb="FF63BE7B"/>
        <color rgb="FFFFEF9C"/>
      </colorScale>
    </cfRule>
  </conditionalFormatting>
  <conditionalFormatting sqref="BS123">
    <cfRule type="colorScale" priority="675">
      <colorScale>
        <cfvo type="min"/>
        <cfvo type="max"/>
        <color rgb="FF63BE7B"/>
        <color rgb="FFFFEF9C"/>
      </colorScale>
    </cfRule>
  </conditionalFormatting>
  <conditionalFormatting sqref="BS123">
    <cfRule type="colorScale" priority="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6">
    <cfRule type="colorScale" priority="677">
      <colorScale>
        <cfvo type="min"/>
        <cfvo type="max"/>
        <color rgb="FF63BE7B"/>
        <color rgb="FFFFEF9C"/>
      </colorScale>
    </cfRule>
  </conditionalFormatting>
  <conditionalFormatting sqref="BS126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28">
    <cfRule type="colorScale" priority="679">
      <colorScale>
        <cfvo type="min"/>
        <cfvo type="max"/>
        <color rgb="FF63BE7B"/>
        <color rgb="FFFFEF9C"/>
      </colorScale>
    </cfRule>
  </conditionalFormatting>
  <conditionalFormatting sqref="BS128"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1">
    <cfRule type="colorScale" priority="681">
      <colorScale>
        <cfvo type="min"/>
        <cfvo type="max"/>
        <color rgb="FFFFEF9C"/>
        <color rgb="FF63BE7B"/>
      </colorScale>
    </cfRule>
  </conditionalFormatting>
  <conditionalFormatting sqref="BS131">
    <cfRule type="colorScale" priority="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34">
    <cfRule type="colorScale" priority="683">
      <colorScale>
        <cfvo type="min"/>
        <cfvo type="max"/>
        <color rgb="FFFFEF9C"/>
        <color rgb="FF63BE7B"/>
      </colorScale>
    </cfRule>
  </conditionalFormatting>
  <conditionalFormatting sqref="BS134">
    <cfRule type="colorScale" priority="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65">
    <cfRule type="colorScale" priority="685">
      <colorScale>
        <cfvo type="min"/>
        <cfvo type="max"/>
        <color rgb="FFFFEF9C"/>
        <color rgb="FF63BE7B"/>
      </colorScale>
    </cfRule>
  </conditionalFormatting>
  <conditionalFormatting sqref="BS165">
    <cfRule type="colorScale" priority="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73">
    <cfRule type="colorScale" priority="687">
      <colorScale>
        <cfvo type="min"/>
        <cfvo type="max"/>
        <color rgb="FFFFEF9C"/>
        <color rgb="FF63BE7B"/>
      </colorScale>
    </cfRule>
  </conditionalFormatting>
  <conditionalFormatting sqref="BS173"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80">
    <cfRule type="colorScale" priority="689">
      <colorScale>
        <cfvo type="min"/>
        <cfvo type="max"/>
        <color rgb="FFFFEF9C"/>
        <color rgb="FF63BE7B"/>
      </colorScale>
    </cfRule>
  </conditionalFormatting>
  <conditionalFormatting sqref="BU4">
    <cfRule type="colorScale" priority="690">
      <colorScale>
        <cfvo type="min"/>
        <cfvo type="max"/>
        <color rgb="FFFFEF9C"/>
        <color rgb="FF63BE7B"/>
      </colorScale>
    </cfRule>
  </conditionalFormatting>
  <conditionalFormatting sqref="BU4">
    <cfRule type="colorScale" priority="691">
      <colorScale>
        <cfvo type="min"/>
        <cfvo type="max"/>
        <color rgb="FFFFEF9C"/>
        <color rgb="FF63BE7B"/>
      </colorScale>
    </cfRule>
  </conditionalFormatting>
  <conditionalFormatting sqref="BU4"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9">
    <cfRule type="colorScale" priority="693">
      <colorScale>
        <cfvo type="min"/>
        <cfvo type="max"/>
        <color rgb="FFFFEF9C"/>
        <color rgb="FF63BE7B"/>
      </colorScale>
    </cfRule>
  </conditionalFormatting>
  <conditionalFormatting sqref="BU9">
    <cfRule type="colorScale" priority="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4">
    <cfRule type="colorScale" priority="695">
      <colorScale>
        <cfvo type="min"/>
        <cfvo type="max"/>
        <color rgb="FFFFEF9C"/>
        <color rgb="FF63BE7B"/>
      </colorScale>
    </cfRule>
  </conditionalFormatting>
  <conditionalFormatting sqref="BU14">
    <cfRule type="colorScale" priority="696">
      <colorScale>
        <cfvo type="min"/>
        <cfvo type="max"/>
        <color rgb="FFFFEF9C"/>
        <color rgb="FF63BE7B"/>
      </colorScale>
    </cfRule>
  </conditionalFormatting>
  <conditionalFormatting sqref="BU14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4">
    <cfRule type="colorScale" priority="698">
      <colorScale>
        <cfvo type="min"/>
        <cfvo type="max"/>
        <color rgb="FFFFEF9C"/>
        <color rgb="FF63BE7B"/>
      </colorScale>
    </cfRule>
  </conditionalFormatting>
  <conditionalFormatting sqref="BU24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29">
    <cfRule type="colorScale" priority="700">
      <colorScale>
        <cfvo type="min"/>
        <cfvo type="max"/>
        <color rgb="FF63BE7B"/>
        <color rgb="FFFFEF9C"/>
      </colorScale>
    </cfRule>
  </conditionalFormatting>
  <conditionalFormatting sqref="BU29">
    <cfRule type="colorScale" priority="701">
      <colorScale>
        <cfvo type="min"/>
        <cfvo type="max"/>
        <color rgb="FFFFEF9C"/>
        <color rgb="FF63BE7B"/>
      </colorScale>
    </cfRule>
  </conditionalFormatting>
  <conditionalFormatting sqref="BU29">
    <cfRule type="colorScale" priority="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34">
    <cfRule type="colorScale" priority="703">
      <colorScale>
        <cfvo type="min"/>
        <cfvo type="max"/>
        <color rgb="FF63BE7B"/>
        <color rgb="FFFFEF9C"/>
      </colorScale>
    </cfRule>
  </conditionalFormatting>
  <conditionalFormatting sqref="BU34">
    <cfRule type="colorScale" priority="704">
      <colorScale>
        <cfvo type="min"/>
        <cfvo type="max"/>
        <color rgb="FFFFEF9C"/>
        <color rgb="FF63BE7B"/>
      </colorScale>
    </cfRule>
  </conditionalFormatting>
  <conditionalFormatting sqref="BU34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41">
    <cfRule type="colorScale" priority="706">
      <colorScale>
        <cfvo type="min"/>
        <cfvo type="max"/>
        <color rgb="FFFFEF9C"/>
        <color rgb="FF63BE7B"/>
      </colorScale>
    </cfRule>
  </conditionalFormatting>
  <conditionalFormatting sqref="BU41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46">
    <cfRule type="colorScale" priority="708">
      <colorScale>
        <cfvo type="min"/>
        <cfvo type="max"/>
        <color rgb="FFFFEF9C"/>
        <color rgb="FF63BE7B"/>
      </colorScale>
    </cfRule>
  </conditionalFormatting>
  <conditionalFormatting sqref="BU46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51">
    <cfRule type="colorScale" priority="710">
      <colorScale>
        <cfvo type="min"/>
        <cfvo type="max"/>
        <color rgb="FFFFEF9C"/>
        <color rgb="FF63BE7B"/>
      </colorScale>
    </cfRule>
  </conditionalFormatting>
  <conditionalFormatting sqref="BU51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56">
    <cfRule type="colorScale" priority="712">
      <colorScale>
        <cfvo type="min"/>
        <cfvo type="max"/>
        <color rgb="FFFFEF9C"/>
        <color rgb="FF63BE7B"/>
      </colorScale>
    </cfRule>
  </conditionalFormatting>
  <conditionalFormatting sqref="BU56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97">
    <cfRule type="colorScale" priority="714">
      <colorScale>
        <cfvo type="min"/>
        <cfvo type="max"/>
        <color rgb="FFFFEF9C"/>
        <color rgb="FF63BE7B"/>
      </colorScale>
    </cfRule>
  </conditionalFormatting>
  <conditionalFormatting sqref="BU97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99">
    <cfRule type="colorScale" priority="716">
      <colorScale>
        <cfvo type="min"/>
        <cfvo type="max"/>
        <color rgb="FFFFEF9C"/>
        <color rgb="FF63BE7B"/>
      </colorScale>
    </cfRule>
  </conditionalFormatting>
  <conditionalFormatting sqref="BU99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12">
    <cfRule type="colorScale" priority="718">
      <colorScale>
        <cfvo type="min"/>
        <cfvo type="max"/>
        <color rgb="FFFFEF9C"/>
        <color rgb="FF63BE7B"/>
      </colorScale>
    </cfRule>
  </conditionalFormatting>
  <conditionalFormatting sqref="BU112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14">
    <cfRule type="colorScale" priority="720">
      <colorScale>
        <cfvo type="min"/>
        <cfvo type="max"/>
        <color rgb="FFFFEF9C"/>
        <color rgb="FF63BE7B"/>
      </colorScale>
    </cfRule>
  </conditionalFormatting>
  <conditionalFormatting sqref="BU114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23">
    <cfRule type="colorScale" priority="722">
      <colorScale>
        <cfvo type="min"/>
        <cfvo type="max"/>
        <color rgb="FF63BE7B"/>
        <color rgb="FFFFEF9C"/>
      </colorScale>
    </cfRule>
  </conditionalFormatting>
  <conditionalFormatting sqref="BU123">
    <cfRule type="colorScale" priority="723">
      <colorScale>
        <cfvo type="min"/>
        <cfvo type="max"/>
        <color rgb="FF63BE7B"/>
        <color rgb="FFFFEF9C"/>
      </colorScale>
    </cfRule>
  </conditionalFormatting>
  <conditionalFormatting sqref="BU123">
    <cfRule type="colorScale" priority="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26">
    <cfRule type="colorScale" priority="725">
      <colorScale>
        <cfvo type="min"/>
        <cfvo type="max"/>
        <color rgb="FF63BE7B"/>
        <color rgb="FFFFEF9C"/>
      </colorScale>
    </cfRule>
  </conditionalFormatting>
  <conditionalFormatting sqref="BU126">
    <cfRule type="colorScale" priority="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28">
    <cfRule type="colorScale" priority="727">
      <colorScale>
        <cfvo type="min"/>
        <cfvo type="max"/>
        <color rgb="FF63BE7B"/>
        <color rgb="FFFFEF9C"/>
      </colorScale>
    </cfRule>
  </conditionalFormatting>
  <conditionalFormatting sqref="BU128">
    <cfRule type="colorScale" priority="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1">
    <cfRule type="colorScale" priority="729">
      <colorScale>
        <cfvo type="min"/>
        <cfvo type="max"/>
        <color rgb="FFFFEF9C"/>
        <color rgb="FF63BE7B"/>
      </colorScale>
    </cfRule>
  </conditionalFormatting>
  <conditionalFormatting sqref="BU131"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4">
    <cfRule type="colorScale" priority="731">
      <colorScale>
        <cfvo type="min"/>
        <cfvo type="max"/>
        <color rgb="FFFFEF9C"/>
        <color rgb="FF63BE7B"/>
      </colorScale>
    </cfRule>
  </conditionalFormatting>
  <conditionalFormatting sqref="BU134">
    <cfRule type="colorScale" priority="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65">
    <cfRule type="colorScale" priority="733">
      <colorScale>
        <cfvo type="min"/>
        <cfvo type="max"/>
        <color rgb="FFFFEF9C"/>
        <color rgb="FF63BE7B"/>
      </colorScale>
    </cfRule>
  </conditionalFormatting>
  <conditionalFormatting sqref="BU165">
    <cfRule type="colorScale" priority="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73">
    <cfRule type="colorScale" priority="735">
      <colorScale>
        <cfvo type="min"/>
        <cfvo type="max"/>
        <color rgb="FFFFEF9C"/>
        <color rgb="FF63BE7B"/>
      </colorScale>
    </cfRule>
  </conditionalFormatting>
  <conditionalFormatting sqref="BU173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80">
    <cfRule type="colorScale" priority="737">
      <colorScale>
        <cfvo type="min"/>
        <cfvo type="max"/>
        <color rgb="FFFFEF9C"/>
        <color rgb="FF63BE7B"/>
      </colorScale>
    </cfRule>
  </conditionalFormatting>
  <conditionalFormatting sqref="BW4">
    <cfRule type="colorScale" priority="738">
      <colorScale>
        <cfvo type="min"/>
        <cfvo type="max"/>
        <color rgb="FFFFEF9C"/>
        <color rgb="FF63BE7B"/>
      </colorScale>
    </cfRule>
  </conditionalFormatting>
  <conditionalFormatting sqref="BW4">
    <cfRule type="colorScale" priority="739">
      <colorScale>
        <cfvo type="min"/>
        <cfvo type="max"/>
        <color rgb="FFFFEF9C"/>
        <color rgb="FF63BE7B"/>
      </colorScale>
    </cfRule>
  </conditionalFormatting>
  <conditionalFormatting sqref="BW4">
    <cfRule type="colorScale" priority="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9">
    <cfRule type="colorScale" priority="741">
      <colorScale>
        <cfvo type="min"/>
        <cfvo type="max"/>
        <color rgb="FFFFEF9C"/>
        <color rgb="FF63BE7B"/>
      </colorScale>
    </cfRule>
  </conditionalFormatting>
  <conditionalFormatting sqref="BW9">
    <cfRule type="colorScale" priority="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4">
    <cfRule type="colorScale" priority="743">
      <colorScale>
        <cfvo type="min"/>
        <cfvo type="max"/>
        <color rgb="FFFFEF9C"/>
        <color rgb="FF63BE7B"/>
      </colorScale>
    </cfRule>
  </conditionalFormatting>
  <conditionalFormatting sqref="BW14">
    <cfRule type="colorScale" priority="744">
      <colorScale>
        <cfvo type="min"/>
        <cfvo type="max"/>
        <color rgb="FFFFEF9C"/>
        <color rgb="FF63BE7B"/>
      </colorScale>
    </cfRule>
  </conditionalFormatting>
  <conditionalFormatting sqref="BW14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24">
    <cfRule type="colorScale" priority="746">
      <colorScale>
        <cfvo type="min"/>
        <cfvo type="max"/>
        <color rgb="FFFFEF9C"/>
        <color rgb="FF63BE7B"/>
      </colorScale>
    </cfRule>
  </conditionalFormatting>
  <conditionalFormatting sqref="BW24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29">
    <cfRule type="colorScale" priority="748">
      <colorScale>
        <cfvo type="min"/>
        <cfvo type="max"/>
        <color rgb="FF63BE7B"/>
        <color rgb="FFFFEF9C"/>
      </colorScale>
    </cfRule>
  </conditionalFormatting>
  <conditionalFormatting sqref="BW29">
    <cfRule type="colorScale" priority="749">
      <colorScale>
        <cfvo type="min"/>
        <cfvo type="max"/>
        <color rgb="FFFFEF9C"/>
        <color rgb="FF63BE7B"/>
      </colorScale>
    </cfRule>
  </conditionalFormatting>
  <conditionalFormatting sqref="BW29">
    <cfRule type="colorScale" priority="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34">
    <cfRule type="colorScale" priority="751">
      <colorScale>
        <cfvo type="min"/>
        <cfvo type="max"/>
        <color rgb="FF63BE7B"/>
        <color rgb="FFFFEF9C"/>
      </colorScale>
    </cfRule>
  </conditionalFormatting>
  <conditionalFormatting sqref="BW34">
    <cfRule type="colorScale" priority="752">
      <colorScale>
        <cfvo type="min"/>
        <cfvo type="max"/>
        <color rgb="FFFFEF9C"/>
        <color rgb="FF63BE7B"/>
      </colorScale>
    </cfRule>
  </conditionalFormatting>
  <conditionalFormatting sqref="BW34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41">
    <cfRule type="colorScale" priority="754">
      <colorScale>
        <cfvo type="min"/>
        <cfvo type="max"/>
        <color rgb="FFFFEF9C"/>
        <color rgb="FF63BE7B"/>
      </colorScale>
    </cfRule>
  </conditionalFormatting>
  <conditionalFormatting sqref="BW41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46">
    <cfRule type="colorScale" priority="756">
      <colorScale>
        <cfvo type="min"/>
        <cfvo type="max"/>
        <color rgb="FFFFEF9C"/>
        <color rgb="FF63BE7B"/>
      </colorScale>
    </cfRule>
  </conditionalFormatting>
  <conditionalFormatting sqref="BW46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51">
    <cfRule type="colorScale" priority="758">
      <colorScale>
        <cfvo type="min"/>
        <cfvo type="max"/>
        <color rgb="FFFFEF9C"/>
        <color rgb="FF63BE7B"/>
      </colorScale>
    </cfRule>
  </conditionalFormatting>
  <conditionalFormatting sqref="BW51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56">
    <cfRule type="colorScale" priority="760">
      <colorScale>
        <cfvo type="min"/>
        <cfvo type="max"/>
        <color rgb="FFFFEF9C"/>
        <color rgb="FF63BE7B"/>
      </colorScale>
    </cfRule>
  </conditionalFormatting>
  <conditionalFormatting sqref="BW56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97">
    <cfRule type="colorScale" priority="762">
      <colorScale>
        <cfvo type="min"/>
        <cfvo type="max"/>
        <color rgb="FFFFEF9C"/>
        <color rgb="FF63BE7B"/>
      </colorScale>
    </cfRule>
  </conditionalFormatting>
  <conditionalFormatting sqref="BW97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99">
    <cfRule type="colorScale" priority="764">
      <colorScale>
        <cfvo type="min"/>
        <cfvo type="max"/>
        <color rgb="FFFFEF9C"/>
        <color rgb="FF63BE7B"/>
      </colorScale>
    </cfRule>
  </conditionalFormatting>
  <conditionalFormatting sqref="BW99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12">
    <cfRule type="colorScale" priority="766">
      <colorScale>
        <cfvo type="min"/>
        <cfvo type="max"/>
        <color rgb="FFFFEF9C"/>
        <color rgb="FF63BE7B"/>
      </colorScale>
    </cfRule>
  </conditionalFormatting>
  <conditionalFormatting sqref="BW112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14">
    <cfRule type="colorScale" priority="768">
      <colorScale>
        <cfvo type="min"/>
        <cfvo type="max"/>
        <color rgb="FFFFEF9C"/>
        <color rgb="FF63BE7B"/>
      </colorScale>
    </cfRule>
  </conditionalFormatting>
  <conditionalFormatting sqref="BW114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23">
    <cfRule type="colorScale" priority="770">
      <colorScale>
        <cfvo type="min"/>
        <cfvo type="max"/>
        <color rgb="FF63BE7B"/>
        <color rgb="FFFFEF9C"/>
      </colorScale>
    </cfRule>
  </conditionalFormatting>
  <conditionalFormatting sqref="BW123">
    <cfRule type="colorScale" priority="771">
      <colorScale>
        <cfvo type="min"/>
        <cfvo type="max"/>
        <color rgb="FF63BE7B"/>
        <color rgb="FFFFEF9C"/>
      </colorScale>
    </cfRule>
  </conditionalFormatting>
  <conditionalFormatting sqref="BW123">
    <cfRule type="colorScale" priority="7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26">
    <cfRule type="colorScale" priority="773">
      <colorScale>
        <cfvo type="min"/>
        <cfvo type="max"/>
        <color rgb="FF63BE7B"/>
        <color rgb="FFFFEF9C"/>
      </colorScale>
    </cfRule>
  </conditionalFormatting>
  <conditionalFormatting sqref="BW126">
    <cfRule type="colorScale" priority="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28">
    <cfRule type="colorScale" priority="775">
      <colorScale>
        <cfvo type="min"/>
        <cfvo type="max"/>
        <color rgb="FF63BE7B"/>
        <color rgb="FFFFEF9C"/>
      </colorScale>
    </cfRule>
  </conditionalFormatting>
  <conditionalFormatting sqref="BW128">
    <cfRule type="colorScale" priority="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31">
    <cfRule type="colorScale" priority="777">
      <colorScale>
        <cfvo type="min"/>
        <cfvo type="max"/>
        <color rgb="FFFFEF9C"/>
        <color rgb="FF63BE7B"/>
      </colorScale>
    </cfRule>
  </conditionalFormatting>
  <conditionalFormatting sqref="BW131">
    <cfRule type="colorScale" priority="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34">
    <cfRule type="colorScale" priority="779">
      <colorScale>
        <cfvo type="min"/>
        <cfvo type="max"/>
        <color rgb="FFFFEF9C"/>
        <color rgb="FF63BE7B"/>
      </colorScale>
    </cfRule>
  </conditionalFormatting>
  <conditionalFormatting sqref="BW134">
    <cfRule type="colorScale" priority="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65">
    <cfRule type="colorScale" priority="781">
      <colorScale>
        <cfvo type="min"/>
        <cfvo type="max"/>
        <color rgb="FFFFEF9C"/>
        <color rgb="FF63BE7B"/>
      </colorScale>
    </cfRule>
  </conditionalFormatting>
  <conditionalFormatting sqref="BW165">
    <cfRule type="colorScale" priority="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73">
    <cfRule type="colorScale" priority="783">
      <colorScale>
        <cfvo type="min"/>
        <cfvo type="max"/>
        <color rgb="FFFFEF9C"/>
        <color rgb="FF63BE7B"/>
      </colorScale>
    </cfRule>
  </conditionalFormatting>
  <conditionalFormatting sqref="BW173">
    <cfRule type="colorScale" priority="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80">
    <cfRule type="colorScale" priority="785">
      <colorScale>
        <cfvo type="min"/>
        <cfvo type="max"/>
        <color rgb="FFFFEF9C"/>
        <color rgb="FF63BE7B"/>
      </colorScale>
    </cfRule>
  </conditionalFormatting>
  <conditionalFormatting sqref="BY4">
    <cfRule type="colorScale" priority="786">
      <colorScale>
        <cfvo type="min"/>
        <cfvo type="max"/>
        <color rgb="FFFFEF9C"/>
        <color rgb="FF63BE7B"/>
      </colorScale>
    </cfRule>
  </conditionalFormatting>
  <conditionalFormatting sqref="BY4">
    <cfRule type="colorScale" priority="787">
      <colorScale>
        <cfvo type="min"/>
        <cfvo type="max"/>
        <color rgb="FFFFEF9C"/>
        <color rgb="FF63BE7B"/>
      </colorScale>
    </cfRule>
  </conditionalFormatting>
  <conditionalFormatting sqref="BY4">
    <cfRule type="colorScale" priority="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9">
    <cfRule type="colorScale" priority="789">
      <colorScale>
        <cfvo type="min"/>
        <cfvo type="max"/>
        <color rgb="FFFFEF9C"/>
        <color rgb="FF63BE7B"/>
      </colorScale>
    </cfRule>
  </conditionalFormatting>
  <conditionalFormatting sqref="BY9">
    <cfRule type="colorScale" priority="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4">
    <cfRule type="colorScale" priority="791">
      <colorScale>
        <cfvo type="min"/>
        <cfvo type="max"/>
        <color rgb="FFFFEF9C"/>
        <color rgb="FF63BE7B"/>
      </colorScale>
    </cfRule>
  </conditionalFormatting>
  <conditionalFormatting sqref="BY14">
    <cfRule type="colorScale" priority="792">
      <colorScale>
        <cfvo type="min"/>
        <cfvo type="max"/>
        <color rgb="FFFFEF9C"/>
        <color rgb="FF63BE7B"/>
      </colorScale>
    </cfRule>
  </conditionalFormatting>
  <conditionalFormatting sqref="BY14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24">
    <cfRule type="colorScale" priority="794">
      <colorScale>
        <cfvo type="min"/>
        <cfvo type="max"/>
        <color rgb="FFFFEF9C"/>
        <color rgb="FF63BE7B"/>
      </colorScale>
    </cfRule>
  </conditionalFormatting>
  <conditionalFormatting sqref="BY24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29">
    <cfRule type="colorScale" priority="796">
      <colorScale>
        <cfvo type="min"/>
        <cfvo type="max"/>
        <color rgb="FF63BE7B"/>
        <color rgb="FFFFEF9C"/>
      </colorScale>
    </cfRule>
  </conditionalFormatting>
  <conditionalFormatting sqref="BY29">
    <cfRule type="colorScale" priority="797">
      <colorScale>
        <cfvo type="min"/>
        <cfvo type="max"/>
        <color rgb="FFFFEF9C"/>
        <color rgb="FF63BE7B"/>
      </colorScale>
    </cfRule>
  </conditionalFormatting>
  <conditionalFormatting sqref="BY29">
    <cfRule type="colorScale" priority="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34">
    <cfRule type="colorScale" priority="799">
      <colorScale>
        <cfvo type="min"/>
        <cfvo type="max"/>
        <color rgb="FF63BE7B"/>
        <color rgb="FFFFEF9C"/>
      </colorScale>
    </cfRule>
  </conditionalFormatting>
  <conditionalFormatting sqref="BY34">
    <cfRule type="colorScale" priority="800">
      <colorScale>
        <cfvo type="min"/>
        <cfvo type="max"/>
        <color rgb="FFFFEF9C"/>
        <color rgb="FF63BE7B"/>
      </colorScale>
    </cfRule>
  </conditionalFormatting>
  <conditionalFormatting sqref="BY34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41">
    <cfRule type="colorScale" priority="802">
      <colorScale>
        <cfvo type="min"/>
        <cfvo type="max"/>
        <color rgb="FFFFEF9C"/>
        <color rgb="FF63BE7B"/>
      </colorScale>
    </cfRule>
  </conditionalFormatting>
  <conditionalFormatting sqref="BY41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46">
    <cfRule type="colorScale" priority="804">
      <colorScale>
        <cfvo type="min"/>
        <cfvo type="max"/>
        <color rgb="FFFFEF9C"/>
        <color rgb="FF63BE7B"/>
      </colorScale>
    </cfRule>
  </conditionalFormatting>
  <conditionalFormatting sqref="BY46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51">
    <cfRule type="colorScale" priority="806">
      <colorScale>
        <cfvo type="min"/>
        <cfvo type="max"/>
        <color rgb="FFFFEF9C"/>
        <color rgb="FF63BE7B"/>
      </colorScale>
    </cfRule>
  </conditionalFormatting>
  <conditionalFormatting sqref="BY51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56">
    <cfRule type="colorScale" priority="808">
      <colorScale>
        <cfvo type="min"/>
        <cfvo type="max"/>
        <color rgb="FFFFEF9C"/>
        <color rgb="FF63BE7B"/>
      </colorScale>
    </cfRule>
  </conditionalFormatting>
  <conditionalFormatting sqref="BY56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97">
    <cfRule type="colorScale" priority="810">
      <colorScale>
        <cfvo type="min"/>
        <cfvo type="max"/>
        <color rgb="FFFFEF9C"/>
        <color rgb="FF63BE7B"/>
      </colorScale>
    </cfRule>
  </conditionalFormatting>
  <conditionalFormatting sqref="BY97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99">
    <cfRule type="colorScale" priority="812">
      <colorScale>
        <cfvo type="min"/>
        <cfvo type="max"/>
        <color rgb="FFFFEF9C"/>
        <color rgb="FF63BE7B"/>
      </colorScale>
    </cfRule>
  </conditionalFormatting>
  <conditionalFormatting sqref="BY99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12">
    <cfRule type="colorScale" priority="814">
      <colorScale>
        <cfvo type="min"/>
        <cfvo type="max"/>
        <color rgb="FFFFEF9C"/>
        <color rgb="FF63BE7B"/>
      </colorScale>
    </cfRule>
  </conditionalFormatting>
  <conditionalFormatting sqref="BY112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14">
    <cfRule type="colorScale" priority="816">
      <colorScale>
        <cfvo type="min"/>
        <cfvo type="max"/>
        <color rgb="FFFFEF9C"/>
        <color rgb="FF63BE7B"/>
      </colorScale>
    </cfRule>
  </conditionalFormatting>
  <conditionalFormatting sqref="BY114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23">
    <cfRule type="colorScale" priority="818">
      <colorScale>
        <cfvo type="min"/>
        <cfvo type="max"/>
        <color rgb="FF63BE7B"/>
        <color rgb="FFFFEF9C"/>
      </colorScale>
    </cfRule>
  </conditionalFormatting>
  <conditionalFormatting sqref="BY123">
    <cfRule type="colorScale" priority="819">
      <colorScale>
        <cfvo type="min"/>
        <cfvo type="max"/>
        <color rgb="FF63BE7B"/>
        <color rgb="FFFFEF9C"/>
      </colorScale>
    </cfRule>
  </conditionalFormatting>
  <conditionalFormatting sqref="BY123">
    <cfRule type="colorScale" priority="8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26">
    <cfRule type="colorScale" priority="821">
      <colorScale>
        <cfvo type="min"/>
        <cfvo type="max"/>
        <color rgb="FF63BE7B"/>
        <color rgb="FFFFEF9C"/>
      </colorScale>
    </cfRule>
  </conditionalFormatting>
  <conditionalFormatting sqref="BY126">
    <cfRule type="colorScale" priority="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28">
    <cfRule type="colorScale" priority="823">
      <colorScale>
        <cfvo type="min"/>
        <cfvo type="max"/>
        <color rgb="FF63BE7B"/>
        <color rgb="FFFFEF9C"/>
      </colorScale>
    </cfRule>
  </conditionalFormatting>
  <conditionalFormatting sqref="BY128">
    <cfRule type="colorScale" priority="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31">
    <cfRule type="colorScale" priority="825">
      <colorScale>
        <cfvo type="min"/>
        <cfvo type="max"/>
        <color rgb="FFFFEF9C"/>
        <color rgb="FF63BE7B"/>
      </colorScale>
    </cfRule>
  </conditionalFormatting>
  <conditionalFormatting sqref="BY131">
    <cfRule type="colorScale" priority="8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34">
    <cfRule type="colorScale" priority="827">
      <colorScale>
        <cfvo type="min"/>
        <cfvo type="max"/>
        <color rgb="FFFFEF9C"/>
        <color rgb="FF63BE7B"/>
      </colorScale>
    </cfRule>
  </conditionalFormatting>
  <conditionalFormatting sqref="BY134">
    <cfRule type="colorScale" priority="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65">
    <cfRule type="colorScale" priority="829">
      <colorScale>
        <cfvo type="min"/>
        <cfvo type="max"/>
        <color rgb="FFFFEF9C"/>
        <color rgb="FF63BE7B"/>
      </colorScale>
    </cfRule>
  </conditionalFormatting>
  <conditionalFormatting sqref="BY165">
    <cfRule type="colorScale" priority="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73">
    <cfRule type="colorScale" priority="831">
      <colorScale>
        <cfvo type="min"/>
        <cfvo type="max"/>
        <color rgb="FFFFEF9C"/>
        <color rgb="FF63BE7B"/>
      </colorScale>
    </cfRule>
  </conditionalFormatting>
  <conditionalFormatting sqref="BY173">
    <cfRule type="colorScale" priority="8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80">
    <cfRule type="colorScale" priority="833">
      <colorScale>
        <cfvo type="min"/>
        <cfvo type="max"/>
        <color rgb="FFFFEF9C"/>
        <color rgb="FF63BE7B"/>
      </colorScale>
    </cfRule>
  </conditionalFormatting>
  <conditionalFormatting sqref="CA4">
    <cfRule type="colorScale" priority="834">
      <colorScale>
        <cfvo type="min"/>
        <cfvo type="max"/>
        <color rgb="FFFFEF9C"/>
        <color rgb="FF63BE7B"/>
      </colorScale>
    </cfRule>
  </conditionalFormatting>
  <conditionalFormatting sqref="CA4">
    <cfRule type="colorScale" priority="835">
      <colorScale>
        <cfvo type="min"/>
        <cfvo type="max"/>
        <color rgb="FFFFEF9C"/>
        <color rgb="FF63BE7B"/>
      </colorScale>
    </cfRule>
  </conditionalFormatting>
  <conditionalFormatting sqref="CA4">
    <cfRule type="colorScale" priority="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9">
    <cfRule type="colorScale" priority="837">
      <colorScale>
        <cfvo type="min"/>
        <cfvo type="max"/>
        <color rgb="FFFFEF9C"/>
        <color rgb="FF63BE7B"/>
      </colorScale>
    </cfRule>
  </conditionalFormatting>
  <conditionalFormatting sqref="CA9">
    <cfRule type="colorScale" priority="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4">
    <cfRule type="colorScale" priority="839">
      <colorScale>
        <cfvo type="min"/>
        <cfvo type="max"/>
        <color rgb="FFFFEF9C"/>
        <color rgb="FF63BE7B"/>
      </colorScale>
    </cfRule>
  </conditionalFormatting>
  <conditionalFormatting sqref="CA14">
    <cfRule type="colorScale" priority="840">
      <colorScale>
        <cfvo type="min"/>
        <cfvo type="max"/>
        <color rgb="FFFFEF9C"/>
        <color rgb="FF63BE7B"/>
      </colorScale>
    </cfRule>
  </conditionalFormatting>
  <conditionalFormatting sqref="CA14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24">
    <cfRule type="colorScale" priority="842">
      <colorScale>
        <cfvo type="min"/>
        <cfvo type="max"/>
        <color rgb="FFFFEF9C"/>
        <color rgb="FF63BE7B"/>
      </colorScale>
    </cfRule>
  </conditionalFormatting>
  <conditionalFormatting sqref="CA24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29">
    <cfRule type="colorScale" priority="844">
      <colorScale>
        <cfvo type="min"/>
        <cfvo type="max"/>
        <color rgb="FF63BE7B"/>
        <color rgb="FFFFEF9C"/>
      </colorScale>
    </cfRule>
  </conditionalFormatting>
  <conditionalFormatting sqref="CA29">
    <cfRule type="colorScale" priority="845">
      <colorScale>
        <cfvo type="min"/>
        <cfvo type="max"/>
        <color rgb="FFFFEF9C"/>
        <color rgb="FF63BE7B"/>
      </colorScale>
    </cfRule>
  </conditionalFormatting>
  <conditionalFormatting sqref="CA29">
    <cfRule type="colorScale" priority="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34">
    <cfRule type="colorScale" priority="847">
      <colorScale>
        <cfvo type="min"/>
        <cfvo type="max"/>
        <color rgb="FF63BE7B"/>
        <color rgb="FFFFEF9C"/>
      </colorScale>
    </cfRule>
  </conditionalFormatting>
  <conditionalFormatting sqref="CA34">
    <cfRule type="colorScale" priority="848">
      <colorScale>
        <cfvo type="min"/>
        <cfvo type="max"/>
        <color rgb="FFFFEF9C"/>
        <color rgb="FF63BE7B"/>
      </colorScale>
    </cfRule>
  </conditionalFormatting>
  <conditionalFormatting sqref="CA34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1">
    <cfRule type="colorScale" priority="850">
      <colorScale>
        <cfvo type="min"/>
        <cfvo type="max"/>
        <color rgb="FFFFEF9C"/>
        <color rgb="FF63BE7B"/>
      </colorScale>
    </cfRule>
  </conditionalFormatting>
  <conditionalFormatting sqref="CA41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6">
    <cfRule type="colorScale" priority="852">
      <colorScale>
        <cfvo type="min"/>
        <cfvo type="max"/>
        <color rgb="FFFFEF9C"/>
        <color rgb="FF63BE7B"/>
      </colorScale>
    </cfRule>
  </conditionalFormatting>
  <conditionalFormatting sqref="CA46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1">
    <cfRule type="colorScale" priority="854">
      <colorScale>
        <cfvo type="min"/>
        <cfvo type="max"/>
        <color rgb="FFFFEF9C"/>
        <color rgb="FF63BE7B"/>
      </colorScale>
    </cfRule>
  </conditionalFormatting>
  <conditionalFormatting sqref="CA51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6">
    <cfRule type="colorScale" priority="856">
      <colorScale>
        <cfvo type="min"/>
        <cfvo type="max"/>
        <color rgb="FFFFEF9C"/>
        <color rgb="FF63BE7B"/>
      </colorScale>
    </cfRule>
  </conditionalFormatting>
  <conditionalFormatting sqref="CA56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97">
    <cfRule type="colorScale" priority="858">
      <colorScale>
        <cfvo type="min"/>
        <cfvo type="max"/>
        <color rgb="FFFFEF9C"/>
        <color rgb="FF63BE7B"/>
      </colorScale>
    </cfRule>
  </conditionalFormatting>
  <conditionalFormatting sqref="CA97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99">
    <cfRule type="colorScale" priority="860">
      <colorScale>
        <cfvo type="min"/>
        <cfvo type="max"/>
        <color rgb="FFFFEF9C"/>
        <color rgb="FF63BE7B"/>
      </colorScale>
    </cfRule>
  </conditionalFormatting>
  <conditionalFormatting sqref="CA99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12">
    <cfRule type="colorScale" priority="862">
      <colorScale>
        <cfvo type="min"/>
        <cfvo type="max"/>
        <color rgb="FFFFEF9C"/>
        <color rgb="FF63BE7B"/>
      </colorScale>
    </cfRule>
  </conditionalFormatting>
  <conditionalFormatting sqref="CA112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14">
    <cfRule type="colorScale" priority="864">
      <colorScale>
        <cfvo type="min"/>
        <cfvo type="max"/>
        <color rgb="FFFFEF9C"/>
        <color rgb="FF63BE7B"/>
      </colorScale>
    </cfRule>
  </conditionalFormatting>
  <conditionalFormatting sqref="CA114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23">
    <cfRule type="colorScale" priority="866">
      <colorScale>
        <cfvo type="min"/>
        <cfvo type="max"/>
        <color rgb="FF63BE7B"/>
        <color rgb="FFFFEF9C"/>
      </colorScale>
    </cfRule>
  </conditionalFormatting>
  <conditionalFormatting sqref="CA123">
    <cfRule type="colorScale" priority="867">
      <colorScale>
        <cfvo type="min"/>
        <cfvo type="max"/>
        <color rgb="FF63BE7B"/>
        <color rgb="FFFFEF9C"/>
      </colorScale>
    </cfRule>
  </conditionalFormatting>
  <conditionalFormatting sqref="CA123">
    <cfRule type="colorScale" priority="8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26">
    <cfRule type="colorScale" priority="869">
      <colorScale>
        <cfvo type="min"/>
        <cfvo type="max"/>
        <color rgb="FF63BE7B"/>
        <color rgb="FFFFEF9C"/>
      </colorScale>
    </cfRule>
  </conditionalFormatting>
  <conditionalFormatting sqref="CA126">
    <cfRule type="colorScale" priority="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28">
    <cfRule type="colorScale" priority="871">
      <colorScale>
        <cfvo type="min"/>
        <cfvo type="max"/>
        <color rgb="FF63BE7B"/>
        <color rgb="FFFFEF9C"/>
      </colorScale>
    </cfRule>
  </conditionalFormatting>
  <conditionalFormatting sqref="CA128">
    <cfRule type="colorScale" priority="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31">
    <cfRule type="colorScale" priority="873">
      <colorScale>
        <cfvo type="min"/>
        <cfvo type="max"/>
        <color rgb="FFFFEF9C"/>
        <color rgb="FF63BE7B"/>
      </colorScale>
    </cfRule>
  </conditionalFormatting>
  <conditionalFormatting sqref="CA131">
    <cfRule type="colorScale" priority="8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34">
    <cfRule type="colorScale" priority="875">
      <colorScale>
        <cfvo type="min"/>
        <cfvo type="max"/>
        <color rgb="FFFFEF9C"/>
        <color rgb="FF63BE7B"/>
      </colorScale>
    </cfRule>
  </conditionalFormatting>
  <conditionalFormatting sqref="CA134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65">
    <cfRule type="colorScale" priority="877">
      <colorScale>
        <cfvo type="min"/>
        <cfvo type="max"/>
        <color rgb="FFFFEF9C"/>
        <color rgb="FF63BE7B"/>
      </colorScale>
    </cfRule>
  </conditionalFormatting>
  <conditionalFormatting sqref="CA165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73">
    <cfRule type="colorScale" priority="879">
      <colorScale>
        <cfvo type="min"/>
        <cfvo type="max"/>
        <color rgb="FFFFEF9C"/>
        <color rgb="FF63BE7B"/>
      </colorScale>
    </cfRule>
  </conditionalFormatting>
  <conditionalFormatting sqref="CA173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80">
    <cfRule type="colorScale" priority="881">
      <colorScale>
        <cfvo type="min"/>
        <cfvo type="max"/>
        <color rgb="FFFFEF9C"/>
        <color rgb="FF63BE7B"/>
      </colorScale>
    </cfRule>
  </conditionalFormatting>
  <conditionalFormatting sqref="CC4">
    <cfRule type="colorScale" priority="882">
      <colorScale>
        <cfvo type="min"/>
        <cfvo type="max"/>
        <color rgb="FFFFEF9C"/>
        <color rgb="FF63BE7B"/>
      </colorScale>
    </cfRule>
  </conditionalFormatting>
  <conditionalFormatting sqref="CC4">
    <cfRule type="colorScale" priority="883">
      <colorScale>
        <cfvo type="min"/>
        <cfvo type="max"/>
        <color rgb="FFFFEF9C"/>
        <color rgb="FF63BE7B"/>
      </colorScale>
    </cfRule>
  </conditionalFormatting>
  <conditionalFormatting sqref="CC4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9">
    <cfRule type="colorScale" priority="885">
      <colorScale>
        <cfvo type="min"/>
        <cfvo type="max"/>
        <color rgb="FFFFEF9C"/>
        <color rgb="FF63BE7B"/>
      </colorScale>
    </cfRule>
  </conditionalFormatting>
  <conditionalFormatting sqref="CC9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4">
    <cfRule type="colorScale" priority="887">
      <colorScale>
        <cfvo type="min"/>
        <cfvo type="max"/>
        <color rgb="FFFFEF9C"/>
        <color rgb="FF63BE7B"/>
      </colorScale>
    </cfRule>
  </conditionalFormatting>
  <conditionalFormatting sqref="CC14">
    <cfRule type="colorScale" priority="888">
      <colorScale>
        <cfvo type="min"/>
        <cfvo type="max"/>
        <color rgb="FFFFEF9C"/>
        <color rgb="FF63BE7B"/>
      </colorScale>
    </cfRule>
  </conditionalFormatting>
  <conditionalFormatting sqref="CC14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4">
    <cfRule type="colorScale" priority="890">
      <colorScale>
        <cfvo type="min"/>
        <cfvo type="max"/>
        <color rgb="FFFFEF9C"/>
        <color rgb="FF63BE7B"/>
      </colorScale>
    </cfRule>
  </conditionalFormatting>
  <conditionalFormatting sqref="CC24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9">
    <cfRule type="colorScale" priority="892">
      <colorScale>
        <cfvo type="min"/>
        <cfvo type="max"/>
        <color rgb="FF63BE7B"/>
        <color rgb="FFFFEF9C"/>
      </colorScale>
    </cfRule>
  </conditionalFormatting>
  <conditionalFormatting sqref="CC29">
    <cfRule type="colorScale" priority="893">
      <colorScale>
        <cfvo type="min"/>
        <cfvo type="max"/>
        <color rgb="FFFFEF9C"/>
        <color rgb="FF63BE7B"/>
      </colorScale>
    </cfRule>
  </conditionalFormatting>
  <conditionalFormatting sqref="CC29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34">
    <cfRule type="colorScale" priority="895">
      <colorScale>
        <cfvo type="min"/>
        <cfvo type="max"/>
        <color rgb="FF63BE7B"/>
        <color rgb="FFFFEF9C"/>
      </colorScale>
    </cfRule>
  </conditionalFormatting>
  <conditionalFormatting sqref="CC34">
    <cfRule type="colorScale" priority="896">
      <colorScale>
        <cfvo type="min"/>
        <cfvo type="max"/>
        <color rgb="FFFFEF9C"/>
        <color rgb="FF63BE7B"/>
      </colorScale>
    </cfRule>
  </conditionalFormatting>
  <conditionalFormatting sqref="CC34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41">
    <cfRule type="colorScale" priority="898">
      <colorScale>
        <cfvo type="min"/>
        <cfvo type="max"/>
        <color rgb="FFFFEF9C"/>
        <color rgb="FF63BE7B"/>
      </colorScale>
    </cfRule>
  </conditionalFormatting>
  <conditionalFormatting sqref="CC41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46">
    <cfRule type="colorScale" priority="900">
      <colorScale>
        <cfvo type="min"/>
        <cfvo type="max"/>
        <color rgb="FFFFEF9C"/>
        <color rgb="FF63BE7B"/>
      </colorScale>
    </cfRule>
  </conditionalFormatting>
  <conditionalFormatting sqref="CC46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51">
    <cfRule type="colorScale" priority="902">
      <colorScale>
        <cfvo type="min"/>
        <cfvo type="max"/>
        <color rgb="FFFFEF9C"/>
        <color rgb="FF63BE7B"/>
      </colorScale>
    </cfRule>
  </conditionalFormatting>
  <conditionalFormatting sqref="CC51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56">
    <cfRule type="colorScale" priority="904">
      <colorScale>
        <cfvo type="min"/>
        <cfvo type="max"/>
        <color rgb="FFFFEF9C"/>
        <color rgb="FF63BE7B"/>
      </colorScale>
    </cfRule>
  </conditionalFormatting>
  <conditionalFormatting sqref="CC56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97">
    <cfRule type="colorScale" priority="906">
      <colorScale>
        <cfvo type="min"/>
        <cfvo type="max"/>
        <color rgb="FFFFEF9C"/>
        <color rgb="FF63BE7B"/>
      </colorScale>
    </cfRule>
  </conditionalFormatting>
  <conditionalFormatting sqref="CC97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99">
    <cfRule type="colorScale" priority="908">
      <colorScale>
        <cfvo type="min"/>
        <cfvo type="max"/>
        <color rgb="FFFFEF9C"/>
        <color rgb="FF63BE7B"/>
      </colorScale>
    </cfRule>
  </conditionalFormatting>
  <conditionalFormatting sqref="CC99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12">
    <cfRule type="colorScale" priority="910">
      <colorScale>
        <cfvo type="min"/>
        <cfvo type="max"/>
        <color rgb="FFFFEF9C"/>
        <color rgb="FF63BE7B"/>
      </colorScale>
    </cfRule>
  </conditionalFormatting>
  <conditionalFormatting sqref="CC112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14">
    <cfRule type="colorScale" priority="912">
      <colorScale>
        <cfvo type="min"/>
        <cfvo type="max"/>
        <color rgb="FFFFEF9C"/>
        <color rgb="FF63BE7B"/>
      </colorScale>
    </cfRule>
  </conditionalFormatting>
  <conditionalFormatting sqref="CC114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23">
    <cfRule type="colorScale" priority="914">
      <colorScale>
        <cfvo type="min"/>
        <cfvo type="max"/>
        <color rgb="FF63BE7B"/>
        <color rgb="FFFFEF9C"/>
      </colorScale>
    </cfRule>
  </conditionalFormatting>
  <conditionalFormatting sqref="CC123">
    <cfRule type="colorScale" priority="915">
      <colorScale>
        <cfvo type="min"/>
        <cfvo type="max"/>
        <color rgb="FF63BE7B"/>
        <color rgb="FFFFEF9C"/>
      </colorScale>
    </cfRule>
  </conditionalFormatting>
  <conditionalFormatting sqref="CC123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26">
    <cfRule type="colorScale" priority="917">
      <colorScale>
        <cfvo type="min"/>
        <cfvo type="max"/>
        <color rgb="FF63BE7B"/>
        <color rgb="FFFFEF9C"/>
      </colorScale>
    </cfRule>
  </conditionalFormatting>
  <conditionalFormatting sqref="CC126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28">
    <cfRule type="colorScale" priority="919">
      <colorScale>
        <cfvo type="min"/>
        <cfvo type="max"/>
        <color rgb="FF63BE7B"/>
        <color rgb="FFFFEF9C"/>
      </colorScale>
    </cfRule>
  </conditionalFormatting>
  <conditionalFormatting sqref="CC128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31">
    <cfRule type="colorScale" priority="921">
      <colorScale>
        <cfvo type="min"/>
        <cfvo type="max"/>
        <color rgb="FFFFEF9C"/>
        <color rgb="FF63BE7B"/>
      </colorScale>
    </cfRule>
  </conditionalFormatting>
  <conditionalFormatting sqref="CC131"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34">
    <cfRule type="colorScale" priority="923">
      <colorScale>
        <cfvo type="min"/>
        <cfvo type="max"/>
        <color rgb="FFFFEF9C"/>
        <color rgb="FF63BE7B"/>
      </colorScale>
    </cfRule>
  </conditionalFormatting>
  <conditionalFormatting sqref="CC134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65">
    <cfRule type="colorScale" priority="925">
      <colorScale>
        <cfvo type="min"/>
        <cfvo type="max"/>
        <color rgb="FFFFEF9C"/>
        <color rgb="FF63BE7B"/>
      </colorScale>
    </cfRule>
  </conditionalFormatting>
  <conditionalFormatting sqref="CC165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73">
    <cfRule type="colorScale" priority="927">
      <colorScale>
        <cfvo type="min"/>
        <cfvo type="max"/>
        <color rgb="FFFFEF9C"/>
        <color rgb="FF63BE7B"/>
      </colorScale>
    </cfRule>
  </conditionalFormatting>
  <conditionalFormatting sqref="CC173">
    <cfRule type="colorScale" priority="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80">
    <cfRule type="colorScale" priority="929">
      <colorScale>
        <cfvo type="min"/>
        <cfvo type="max"/>
        <color rgb="FFFFEF9C"/>
        <color rgb="FF63BE7B"/>
      </colorScale>
    </cfRule>
  </conditionalFormatting>
  <conditionalFormatting sqref="CE4">
    <cfRule type="colorScale" priority="930">
      <colorScale>
        <cfvo type="min"/>
        <cfvo type="max"/>
        <color rgb="FFFFEF9C"/>
        <color rgb="FF63BE7B"/>
      </colorScale>
    </cfRule>
  </conditionalFormatting>
  <conditionalFormatting sqref="CE4">
    <cfRule type="colorScale" priority="931">
      <colorScale>
        <cfvo type="min"/>
        <cfvo type="max"/>
        <color rgb="FFFFEF9C"/>
        <color rgb="FF63BE7B"/>
      </colorScale>
    </cfRule>
  </conditionalFormatting>
  <conditionalFormatting sqref="CE4"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9">
    <cfRule type="colorScale" priority="933">
      <colorScale>
        <cfvo type="min"/>
        <cfvo type="max"/>
        <color rgb="FFFFEF9C"/>
        <color rgb="FF63BE7B"/>
      </colorScale>
    </cfRule>
  </conditionalFormatting>
  <conditionalFormatting sqref="CE9">
    <cfRule type="colorScale" priority="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4">
    <cfRule type="colorScale" priority="935">
      <colorScale>
        <cfvo type="min"/>
        <cfvo type="max"/>
        <color rgb="FFFFEF9C"/>
        <color rgb="FF63BE7B"/>
      </colorScale>
    </cfRule>
  </conditionalFormatting>
  <conditionalFormatting sqref="CE14">
    <cfRule type="colorScale" priority="936">
      <colorScale>
        <cfvo type="min"/>
        <cfvo type="max"/>
        <color rgb="FFFFEF9C"/>
        <color rgb="FF63BE7B"/>
      </colorScale>
    </cfRule>
  </conditionalFormatting>
  <conditionalFormatting sqref="CE14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24">
    <cfRule type="colorScale" priority="938">
      <colorScale>
        <cfvo type="min"/>
        <cfvo type="max"/>
        <color rgb="FFFFEF9C"/>
        <color rgb="FF63BE7B"/>
      </colorScale>
    </cfRule>
  </conditionalFormatting>
  <conditionalFormatting sqref="CE24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29">
    <cfRule type="colorScale" priority="940">
      <colorScale>
        <cfvo type="min"/>
        <cfvo type="max"/>
        <color rgb="FF63BE7B"/>
        <color rgb="FFFFEF9C"/>
      </colorScale>
    </cfRule>
  </conditionalFormatting>
  <conditionalFormatting sqref="CE29">
    <cfRule type="colorScale" priority="941">
      <colorScale>
        <cfvo type="min"/>
        <cfvo type="max"/>
        <color rgb="FFFFEF9C"/>
        <color rgb="FF63BE7B"/>
      </colorScale>
    </cfRule>
  </conditionalFormatting>
  <conditionalFormatting sqref="CE29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34">
    <cfRule type="colorScale" priority="943">
      <colorScale>
        <cfvo type="min"/>
        <cfvo type="max"/>
        <color rgb="FF63BE7B"/>
        <color rgb="FFFFEF9C"/>
      </colorScale>
    </cfRule>
  </conditionalFormatting>
  <conditionalFormatting sqref="CE34">
    <cfRule type="colorScale" priority="944">
      <colorScale>
        <cfvo type="min"/>
        <cfvo type="max"/>
        <color rgb="FFFFEF9C"/>
        <color rgb="FF63BE7B"/>
      </colorScale>
    </cfRule>
  </conditionalFormatting>
  <conditionalFormatting sqref="CE34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41">
    <cfRule type="colorScale" priority="946">
      <colorScale>
        <cfvo type="min"/>
        <cfvo type="max"/>
        <color rgb="FFFFEF9C"/>
        <color rgb="FF63BE7B"/>
      </colorScale>
    </cfRule>
  </conditionalFormatting>
  <conditionalFormatting sqref="CE41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46">
    <cfRule type="colorScale" priority="948">
      <colorScale>
        <cfvo type="min"/>
        <cfvo type="max"/>
        <color rgb="FFFFEF9C"/>
        <color rgb="FF63BE7B"/>
      </colorScale>
    </cfRule>
  </conditionalFormatting>
  <conditionalFormatting sqref="CE46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51">
    <cfRule type="colorScale" priority="950">
      <colorScale>
        <cfvo type="min"/>
        <cfvo type="max"/>
        <color rgb="FFFFEF9C"/>
        <color rgb="FF63BE7B"/>
      </colorScale>
    </cfRule>
  </conditionalFormatting>
  <conditionalFormatting sqref="CE51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56">
    <cfRule type="colorScale" priority="952">
      <colorScale>
        <cfvo type="min"/>
        <cfvo type="max"/>
        <color rgb="FFFFEF9C"/>
        <color rgb="FF63BE7B"/>
      </colorScale>
    </cfRule>
  </conditionalFormatting>
  <conditionalFormatting sqref="CE56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97">
    <cfRule type="colorScale" priority="954">
      <colorScale>
        <cfvo type="min"/>
        <cfvo type="max"/>
        <color rgb="FFFFEF9C"/>
        <color rgb="FF63BE7B"/>
      </colorScale>
    </cfRule>
  </conditionalFormatting>
  <conditionalFormatting sqref="CE97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99">
    <cfRule type="colorScale" priority="956">
      <colorScale>
        <cfvo type="min"/>
        <cfvo type="max"/>
        <color rgb="FFFFEF9C"/>
        <color rgb="FF63BE7B"/>
      </colorScale>
    </cfRule>
  </conditionalFormatting>
  <conditionalFormatting sqref="CE99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12">
    <cfRule type="colorScale" priority="958">
      <colorScale>
        <cfvo type="min"/>
        <cfvo type="max"/>
        <color rgb="FFFFEF9C"/>
        <color rgb="FF63BE7B"/>
      </colorScale>
    </cfRule>
  </conditionalFormatting>
  <conditionalFormatting sqref="CE112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14">
    <cfRule type="colorScale" priority="960">
      <colorScale>
        <cfvo type="min"/>
        <cfvo type="max"/>
        <color rgb="FFFFEF9C"/>
        <color rgb="FF63BE7B"/>
      </colorScale>
    </cfRule>
  </conditionalFormatting>
  <conditionalFormatting sqref="CE114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23">
    <cfRule type="colorScale" priority="962">
      <colorScale>
        <cfvo type="min"/>
        <cfvo type="max"/>
        <color rgb="FF63BE7B"/>
        <color rgb="FFFFEF9C"/>
      </colorScale>
    </cfRule>
  </conditionalFormatting>
  <conditionalFormatting sqref="CE123">
    <cfRule type="colorScale" priority="963">
      <colorScale>
        <cfvo type="min"/>
        <cfvo type="max"/>
        <color rgb="FF63BE7B"/>
        <color rgb="FFFFEF9C"/>
      </colorScale>
    </cfRule>
  </conditionalFormatting>
  <conditionalFormatting sqref="CE123">
    <cfRule type="colorScale" priority="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26">
    <cfRule type="colorScale" priority="965">
      <colorScale>
        <cfvo type="min"/>
        <cfvo type="max"/>
        <color rgb="FF63BE7B"/>
        <color rgb="FFFFEF9C"/>
      </colorScale>
    </cfRule>
  </conditionalFormatting>
  <conditionalFormatting sqref="CE126">
    <cfRule type="colorScale" priority="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28">
    <cfRule type="colorScale" priority="967">
      <colorScale>
        <cfvo type="min"/>
        <cfvo type="max"/>
        <color rgb="FF63BE7B"/>
        <color rgb="FFFFEF9C"/>
      </colorScale>
    </cfRule>
  </conditionalFormatting>
  <conditionalFormatting sqref="CE128">
    <cfRule type="colorScale" priority="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31">
    <cfRule type="colorScale" priority="969">
      <colorScale>
        <cfvo type="min"/>
        <cfvo type="max"/>
        <color rgb="FFFFEF9C"/>
        <color rgb="FF63BE7B"/>
      </colorScale>
    </cfRule>
  </conditionalFormatting>
  <conditionalFormatting sqref="CE131">
    <cfRule type="colorScale" priority="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34">
    <cfRule type="colorScale" priority="971">
      <colorScale>
        <cfvo type="min"/>
        <cfvo type="max"/>
        <color rgb="FFFFEF9C"/>
        <color rgb="FF63BE7B"/>
      </colorScale>
    </cfRule>
  </conditionalFormatting>
  <conditionalFormatting sqref="CE134"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65">
    <cfRule type="colorScale" priority="973">
      <colorScale>
        <cfvo type="min"/>
        <cfvo type="max"/>
        <color rgb="FFFFEF9C"/>
        <color rgb="FF63BE7B"/>
      </colorScale>
    </cfRule>
  </conditionalFormatting>
  <conditionalFormatting sqref="CE165">
    <cfRule type="colorScale" priority="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73">
    <cfRule type="colorScale" priority="975">
      <colorScale>
        <cfvo type="min"/>
        <cfvo type="max"/>
        <color rgb="FFFFEF9C"/>
        <color rgb="FF63BE7B"/>
      </colorScale>
    </cfRule>
  </conditionalFormatting>
  <conditionalFormatting sqref="CE173">
    <cfRule type="colorScale" priority="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80">
    <cfRule type="colorScale" priority="977">
      <colorScale>
        <cfvo type="min"/>
        <cfvo type="max"/>
        <color rgb="FFFFEF9C"/>
        <color rgb="FF63BE7B"/>
      </colorScale>
    </cfRule>
  </conditionalFormatting>
  <conditionalFormatting sqref="CG4">
    <cfRule type="colorScale" priority="978">
      <colorScale>
        <cfvo type="min"/>
        <cfvo type="max"/>
        <color rgb="FFFFEF9C"/>
        <color rgb="FF63BE7B"/>
      </colorScale>
    </cfRule>
  </conditionalFormatting>
  <conditionalFormatting sqref="CG4">
    <cfRule type="colorScale" priority="979">
      <colorScale>
        <cfvo type="min"/>
        <cfvo type="max"/>
        <color rgb="FFFFEF9C"/>
        <color rgb="FF63BE7B"/>
      </colorScale>
    </cfRule>
  </conditionalFormatting>
  <conditionalFormatting sqref="CG4">
    <cfRule type="colorScale" priority="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9">
    <cfRule type="colorScale" priority="981">
      <colorScale>
        <cfvo type="min"/>
        <cfvo type="max"/>
        <color rgb="FFFFEF9C"/>
        <color rgb="FF63BE7B"/>
      </colorScale>
    </cfRule>
  </conditionalFormatting>
  <conditionalFormatting sqref="CG9">
    <cfRule type="colorScale" priority="9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4">
    <cfRule type="colorScale" priority="983">
      <colorScale>
        <cfvo type="min"/>
        <cfvo type="max"/>
        <color rgb="FFFFEF9C"/>
        <color rgb="FF63BE7B"/>
      </colorScale>
    </cfRule>
  </conditionalFormatting>
  <conditionalFormatting sqref="CG14">
    <cfRule type="colorScale" priority="984">
      <colorScale>
        <cfvo type="min"/>
        <cfvo type="max"/>
        <color rgb="FFFFEF9C"/>
        <color rgb="FF63BE7B"/>
      </colorScale>
    </cfRule>
  </conditionalFormatting>
  <conditionalFormatting sqref="CG14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4">
    <cfRule type="colorScale" priority="986">
      <colorScale>
        <cfvo type="min"/>
        <cfvo type="max"/>
        <color rgb="FFFFEF9C"/>
        <color rgb="FF63BE7B"/>
      </colorScale>
    </cfRule>
  </conditionalFormatting>
  <conditionalFormatting sqref="CG24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9">
    <cfRule type="colorScale" priority="988">
      <colorScale>
        <cfvo type="min"/>
        <cfvo type="max"/>
        <color rgb="FF63BE7B"/>
        <color rgb="FFFFEF9C"/>
      </colorScale>
    </cfRule>
  </conditionalFormatting>
  <conditionalFormatting sqref="CG29">
    <cfRule type="colorScale" priority="989">
      <colorScale>
        <cfvo type="min"/>
        <cfvo type="max"/>
        <color rgb="FFFFEF9C"/>
        <color rgb="FF63BE7B"/>
      </colorScale>
    </cfRule>
  </conditionalFormatting>
  <conditionalFormatting sqref="CG29">
    <cfRule type="colorScale" priority="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34">
    <cfRule type="colorScale" priority="991">
      <colorScale>
        <cfvo type="min"/>
        <cfvo type="max"/>
        <color rgb="FF63BE7B"/>
        <color rgb="FFFFEF9C"/>
      </colorScale>
    </cfRule>
  </conditionalFormatting>
  <conditionalFormatting sqref="CG34">
    <cfRule type="colorScale" priority="992">
      <colorScale>
        <cfvo type="min"/>
        <cfvo type="max"/>
        <color rgb="FFFFEF9C"/>
        <color rgb="FF63BE7B"/>
      </colorScale>
    </cfRule>
  </conditionalFormatting>
  <conditionalFormatting sqref="CG34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41">
    <cfRule type="colorScale" priority="994">
      <colorScale>
        <cfvo type="min"/>
        <cfvo type="max"/>
        <color rgb="FFFFEF9C"/>
        <color rgb="FF63BE7B"/>
      </colorScale>
    </cfRule>
  </conditionalFormatting>
  <conditionalFormatting sqref="CG41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46">
    <cfRule type="colorScale" priority="996">
      <colorScale>
        <cfvo type="min"/>
        <cfvo type="max"/>
        <color rgb="FFFFEF9C"/>
        <color rgb="FF63BE7B"/>
      </colorScale>
    </cfRule>
  </conditionalFormatting>
  <conditionalFormatting sqref="CG46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51">
    <cfRule type="colorScale" priority="998">
      <colorScale>
        <cfvo type="min"/>
        <cfvo type="max"/>
        <color rgb="FFFFEF9C"/>
        <color rgb="FF63BE7B"/>
      </colorScale>
    </cfRule>
  </conditionalFormatting>
  <conditionalFormatting sqref="CG51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56">
    <cfRule type="colorScale" priority="1000">
      <colorScale>
        <cfvo type="min"/>
        <cfvo type="max"/>
        <color rgb="FFFFEF9C"/>
        <color rgb="FF63BE7B"/>
      </colorScale>
    </cfRule>
  </conditionalFormatting>
  <conditionalFormatting sqref="CG56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97">
    <cfRule type="colorScale" priority="1002">
      <colorScale>
        <cfvo type="min"/>
        <cfvo type="max"/>
        <color rgb="FFFFEF9C"/>
        <color rgb="FF63BE7B"/>
      </colorScale>
    </cfRule>
  </conditionalFormatting>
  <conditionalFormatting sqref="CG97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99">
    <cfRule type="colorScale" priority="1004">
      <colorScale>
        <cfvo type="min"/>
        <cfvo type="max"/>
        <color rgb="FFFFEF9C"/>
        <color rgb="FF63BE7B"/>
      </colorScale>
    </cfRule>
  </conditionalFormatting>
  <conditionalFormatting sqref="CG99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12">
    <cfRule type="colorScale" priority="1006">
      <colorScale>
        <cfvo type="min"/>
        <cfvo type="max"/>
        <color rgb="FFFFEF9C"/>
        <color rgb="FF63BE7B"/>
      </colorScale>
    </cfRule>
  </conditionalFormatting>
  <conditionalFormatting sqref="CG112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14">
    <cfRule type="colorScale" priority="1008">
      <colorScale>
        <cfvo type="min"/>
        <cfvo type="max"/>
        <color rgb="FFFFEF9C"/>
        <color rgb="FF63BE7B"/>
      </colorScale>
    </cfRule>
  </conditionalFormatting>
  <conditionalFormatting sqref="CG114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23">
    <cfRule type="colorScale" priority="1010">
      <colorScale>
        <cfvo type="min"/>
        <cfvo type="max"/>
        <color rgb="FF63BE7B"/>
        <color rgb="FFFFEF9C"/>
      </colorScale>
    </cfRule>
  </conditionalFormatting>
  <conditionalFormatting sqref="CG123">
    <cfRule type="colorScale" priority="1011">
      <colorScale>
        <cfvo type="min"/>
        <cfvo type="max"/>
        <color rgb="FF63BE7B"/>
        <color rgb="FFFFEF9C"/>
      </colorScale>
    </cfRule>
  </conditionalFormatting>
  <conditionalFormatting sqref="CG123">
    <cfRule type="colorScale" priority="10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26">
    <cfRule type="colorScale" priority="1013">
      <colorScale>
        <cfvo type="min"/>
        <cfvo type="max"/>
        <color rgb="FF63BE7B"/>
        <color rgb="FFFFEF9C"/>
      </colorScale>
    </cfRule>
  </conditionalFormatting>
  <conditionalFormatting sqref="CG126">
    <cfRule type="colorScale" priority="1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28">
    <cfRule type="colorScale" priority="1015">
      <colorScale>
        <cfvo type="min"/>
        <cfvo type="max"/>
        <color rgb="FF63BE7B"/>
        <color rgb="FFFFEF9C"/>
      </colorScale>
    </cfRule>
  </conditionalFormatting>
  <conditionalFormatting sqref="CG128">
    <cfRule type="colorScale" priority="1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31">
    <cfRule type="colorScale" priority="1017">
      <colorScale>
        <cfvo type="min"/>
        <cfvo type="max"/>
        <color rgb="FFFFEF9C"/>
        <color rgb="FF63BE7B"/>
      </colorScale>
    </cfRule>
  </conditionalFormatting>
  <conditionalFormatting sqref="CG131">
    <cfRule type="colorScale" priority="1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34">
    <cfRule type="colorScale" priority="1019">
      <colorScale>
        <cfvo type="min"/>
        <cfvo type="max"/>
        <color rgb="FFFFEF9C"/>
        <color rgb="FF63BE7B"/>
      </colorScale>
    </cfRule>
  </conditionalFormatting>
  <conditionalFormatting sqref="CG134">
    <cfRule type="colorScale" priority="1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65">
    <cfRule type="colorScale" priority="1021">
      <colorScale>
        <cfvo type="min"/>
        <cfvo type="max"/>
        <color rgb="FFFFEF9C"/>
        <color rgb="FF63BE7B"/>
      </colorScale>
    </cfRule>
  </conditionalFormatting>
  <conditionalFormatting sqref="CG165">
    <cfRule type="colorScale" priority="1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73">
    <cfRule type="colorScale" priority="1023">
      <colorScale>
        <cfvo type="min"/>
        <cfvo type="max"/>
        <color rgb="FFFFEF9C"/>
        <color rgb="FF63BE7B"/>
      </colorScale>
    </cfRule>
  </conditionalFormatting>
  <conditionalFormatting sqref="CG173">
    <cfRule type="colorScale" priority="1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180">
    <cfRule type="colorScale" priority="1025">
      <colorScale>
        <cfvo type="min"/>
        <cfvo type="max"/>
        <color rgb="FFFFEF9C"/>
        <color rgb="FF63BE7B"/>
      </colorScale>
    </cfRule>
  </conditionalFormatting>
  <conditionalFormatting sqref="CI4">
    <cfRule type="colorScale" priority="1026">
      <colorScale>
        <cfvo type="min"/>
        <cfvo type="max"/>
        <color rgb="FFFFEF9C"/>
        <color rgb="FF63BE7B"/>
      </colorScale>
    </cfRule>
  </conditionalFormatting>
  <conditionalFormatting sqref="CI4">
    <cfRule type="colorScale" priority="1027">
      <colorScale>
        <cfvo type="min"/>
        <cfvo type="max"/>
        <color rgb="FFFFEF9C"/>
        <color rgb="FF63BE7B"/>
      </colorScale>
    </cfRule>
  </conditionalFormatting>
  <conditionalFormatting sqref="CI4">
    <cfRule type="colorScale" priority="1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9">
    <cfRule type="colorScale" priority="1029">
      <colorScale>
        <cfvo type="min"/>
        <cfvo type="max"/>
        <color rgb="FFFFEF9C"/>
        <color rgb="FF63BE7B"/>
      </colorScale>
    </cfRule>
  </conditionalFormatting>
  <conditionalFormatting sqref="CI9">
    <cfRule type="colorScale" priority="1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4">
    <cfRule type="colorScale" priority="1031">
      <colorScale>
        <cfvo type="min"/>
        <cfvo type="max"/>
        <color rgb="FFFFEF9C"/>
        <color rgb="FF63BE7B"/>
      </colorScale>
    </cfRule>
  </conditionalFormatting>
  <conditionalFormatting sqref="CI14">
    <cfRule type="colorScale" priority="1032">
      <colorScale>
        <cfvo type="min"/>
        <cfvo type="max"/>
        <color rgb="FFFFEF9C"/>
        <color rgb="FF63BE7B"/>
      </colorScale>
    </cfRule>
  </conditionalFormatting>
  <conditionalFormatting sqref="CI14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4">
    <cfRule type="colorScale" priority="1034">
      <colorScale>
        <cfvo type="min"/>
        <cfvo type="max"/>
        <color rgb="FFFFEF9C"/>
        <color rgb="FF63BE7B"/>
      </colorScale>
    </cfRule>
  </conditionalFormatting>
  <conditionalFormatting sqref="CI24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9">
    <cfRule type="colorScale" priority="1036">
      <colorScale>
        <cfvo type="min"/>
        <cfvo type="max"/>
        <color rgb="FF63BE7B"/>
        <color rgb="FFFFEF9C"/>
      </colorScale>
    </cfRule>
  </conditionalFormatting>
  <conditionalFormatting sqref="CI29">
    <cfRule type="colorScale" priority="1037">
      <colorScale>
        <cfvo type="min"/>
        <cfvo type="max"/>
        <color rgb="FFFFEF9C"/>
        <color rgb="FF63BE7B"/>
      </colorScale>
    </cfRule>
  </conditionalFormatting>
  <conditionalFormatting sqref="CI29">
    <cfRule type="colorScale" priority="1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34">
    <cfRule type="colorScale" priority="1039">
      <colorScale>
        <cfvo type="min"/>
        <cfvo type="max"/>
        <color rgb="FF63BE7B"/>
        <color rgb="FFFFEF9C"/>
      </colorScale>
    </cfRule>
  </conditionalFormatting>
  <conditionalFormatting sqref="CI34">
    <cfRule type="colorScale" priority="1040">
      <colorScale>
        <cfvo type="min"/>
        <cfvo type="max"/>
        <color rgb="FFFFEF9C"/>
        <color rgb="FF63BE7B"/>
      </colorScale>
    </cfRule>
  </conditionalFormatting>
  <conditionalFormatting sqref="CI34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41">
    <cfRule type="colorScale" priority="1042">
      <colorScale>
        <cfvo type="min"/>
        <cfvo type="max"/>
        <color rgb="FFFFEF9C"/>
        <color rgb="FF63BE7B"/>
      </colorScale>
    </cfRule>
  </conditionalFormatting>
  <conditionalFormatting sqref="CI41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46">
    <cfRule type="colorScale" priority="1044">
      <colorScale>
        <cfvo type="min"/>
        <cfvo type="max"/>
        <color rgb="FFFFEF9C"/>
        <color rgb="FF63BE7B"/>
      </colorScale>
    </cfRule>
  </conditionalFormatting>
  <conditionalFormatting sqref="CI46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1">
    <cfRule type="colorScale" priority="1046">
      <colorScale>
        <cfvo type="min"/>
        <cfvo type="max"/>
        <color rgb="FFFFEF9C"/>
        <color rgb="FF63BE7B"/>
      </colorScale>
    </cfRule>
  </conditionalFormatting>
  <conditionalFormatting sqref="CI51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6">
    <cfRule type="colorScale" priority="1048">
      <colorScale>
        <cfvo type="min"/>
        <cfvo type="max"/>
        <color rgb="FFFFEF9C"/>
        <color rgb="FF63BE7B"/>
      </colorScale>
    </cfRule>
  </conditionalFormatting>
  <conditionalFormatting sqref="CI56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97">
    <cfRule type="colorScale" priority="1050">
      <colorScale>
        <cfvo type="min"/>
        <cfvo type="max"/>
        <color rgb="FFFFEF9C"/>
        <color rgb="FF63BE7B"/>
      </colorScale>
    </cfRule>
  </conditionalFormatting>
  <conditionalFormatting sqref="CI97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99">
    <cfRule type="colorScale" priority="1052">
      <colorScale>
        <cfvo type="min"/>
        <cfvo type="max"/>
        <color rgb="FFFFEF9C"/>
        <color rgb="FF63BE7B"/>
      </colorScale>
    </cfRule>
  </conditionalFormatting>
  <conditionalFormatting sqref="CI99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12">
    <cfRule type="colorScale" priority="1054">
      <colorScale>
        <cfvo type="min"/>
        <cfvo type="max"/>
        <color rgb="FFFFEF9C"/>
        <color rgb="FF63BE7B"/>
      </colorScale>
    </cfRule>
  </conditionalFormatting>
  <conditionalFormatting sqref="CI112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14">
    <cfRule type="colorScale" priority="1056">
      <colorScale>
        <cfvo type="min"/>
        <cfvo type="max"/>
        <color rgb="FFFFEF9C"/>
        <color rgb="FF63BE7B"/>
      </colorScale>
    </cfRule>
  </conditionalFormatting>
  <conditionalFormatting sqref="CI114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23">
    <cfRule type="colorScale" priority="1058">
      <colorScale>
        <cfvo type="min"/>
        <cfvo type="max"/>
        <color rgb="FF63BE7B"/>
        <color rgb="FFFFEF9C"/>
      </colorScale>
    </cfRule>
  </conditionalFormatting>
  <conditionalFormatting sqref="CI123">
    <cfRule type="colorScale" priority="1059">
      <colorScale>
        <cfvo type="min"/>
        <cfvo type="max"/>
        <color rgb="FF63BE7B"/>
        <color rgb="FFFFEF9C"/>
      </colorScale>
    </cfRule>
  </conditionalFormatting>
  <conditionalFormatting sqref="CI123">
    <cfRule type="colorScale" priority="1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26">
    <cfRule type="colorScale" priority="1061">
      <colorScale>
        <cfvo type="min"/>
        <cfvo type="max"/>
        <color rgb="FF63BE7B"/>
        <color rgb="FFFFEF9C"/>
      </colorScale>
    </cfRule>
  </conditionalFormatting>
  <conditionalFormatting sqref="CI126">
    <cfRule type="colorScale" priority="1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28">
    <cfRule type="colorScale" priority="1063">
      <colorScale>
        <cfvo type="min"/>
        <cfvo type="max"/>
        <color rgb="FF63BE7B"/>
        <color rgb="FFFFEF9C"/>
      </colorScale>
    </cfRule>
  </conditionalFormatting>
  <conditionalFormatting sqref="CI128">
    <cfRule type="colorScale" priority="1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31">
    <cfRule type="colorScale" priority="1065">
      <colorScale>
        <cfvo type="min"/>
        <cfvo type="max"/>
        <color rgb="FFFFEF9C"/>
        <color rgb="FF63BE7B"/>
      </colorScale>
    </cfRule>
  </conditionalFormatting>
  <conditionalFormatting sqref="CI131">
    <cfRule type="colorScale" priority="10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34">
    <cfRule type="colorScale" priority="1067">
      <colorScale>
        <cfvo type="min"/>
        <cfvo type="max"/>
        <color rgb="FFFFEF9C"/>
        <color rgb="FF63BE7B"/>
      </colorScale>
    </cfRule>
  </conditionalFormatting>
  <conditionalFormatting sqref="CI134">
    <cfRule type="colorScale" priority="1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65">
    <cfRule type="colorScale" priority="1069">
      <colorScale>
        <cfvo type="min"/>
        <cfvo type="max"/>
        <color rgb="FFFFEF9C"/>
        <color rgb="FF63BE7B"/>
      </colorScale>
    </cfRule>
  </conditionalFormatting>
  <conditionalFormatting sqref="CI165">
    <cfRule type="colorScale" priority="1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73">
    <cfRule type="colorScale" priority="1071">
      <colorScale>
        <cfvo type="min"/>
        <cfvo type="max"/>
        <color rgb="FFFFEF9C"/>
        <color rgb="FF63BE7B"/>
      </colorScale>
    </cfRule>
  </conditionalFormatting>
  <conditionalFormatting sqref="CI173">
    <cfRule type="colorScale" priority="10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80">
    <cfRule type="colorScale" priority="1073">
      <colorScale>
        <cfvo type="min"/>
        <cfvo type="max"/>
        <color rgb="FFFFEF9C"/>
        <color rgb="FF63BE7B"/>
      </colorScale>
    </cfRule>
  </conditionalFormatting>
  <conditionalFormatting sqref="CK4">
    <cfRule type="colorScale" priority="1074">
      <colorScale>
        <cfvo type="min"/>
        <cfvo type="max"/>
        <color rgb="FFFFEF9C"/>
        <color rgb="FF63BE7B"/>
      </colorScale>
    </cfRule>
  </conditionalFormatting>
  <conditionalFormatting sqref="CK4">
    <cfRule type="colorScale" priority="1075">
      <colorScale>
        <cfvo type="min"/>
        <cfvo type="max"/>
        <color rgb="FFFFEF9C"/>
        <color rgb="FF63BE7B"/>
      </colorScale>
    </cfRule>
  </conditionalFormatting>
  <conditionalFormatting sqref="CK4">
    <cfRule type="colorScale" priority="1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9">
    <cfRule type="colorScale" priority="1077">
      <colorScale>
        <cfvo type="min"/>
        <cfvo type="max"/>
        <color rgb="FFFFEF9C"/>
        <color rgb="FF63BE7B"/>
      </colorScale>
    </cfRule>
  </conditionalFormatting>
  <conditionalFormatting sqref="CK9">
    <cfRule type="colorScale" priority="1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4">
    <cfRule type="colorScale" priority="1079">
      <colorScale>
        <cfvo type="min"/>
        <cfvo type="max"/>
        <color rgb="FFFFEF9C"/>
        <color rgb="FF63BE7B"/>
      </colorScale>
    </cfRule>
  </conditionalFormatting>
  <conditionalFormatting sqref="CK14">
    <cfRule type="colorScale" priority="1080">
      <colorScale>
        <cfvo type="min"/>
        <cfvo type="max"/>
        <color rgb="FFFFEF9C"/>
        <color rgb="FF63BE7B"/>
      </colorScale>
    </cfRule>
  </conditionalFormatting>
  <conditionalFormatting sqref="CK14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9">
    <cfRule type="colorScale" priority="1082">
      <colorScale>
        <cfvo type="min"/>
        <cfvo type="max"/>
        <color rgb="FFFFEF9C"/>
        <color rgb="FF63BE7B"/>
      </colorScale>
    </cfRule>
  </conditionalFormatting>
  <conditionalFormatting sqref="CK19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24">
    <cfRule type="colorScale" priority="1084">
      <colorScale>
        <cfvo type="min"/>
        <cfvo type="max"/>
        <color rgb="FFFFEF9C"/>
        <color rgb="FF63BE7B"/>
      </colorScale>
    </cfRule>
  </conditionalFormatting>
  <conditionalFormatting sqref="CK24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29">
    <cfRule type="colorScale" priority="1086">
      <colorScale>
        <cfvo type="min"/>
        <cfvo type="max"/>
        <color rgb="FF63BE7B"/>
        <color rgb="FFFFEF9C"/>
      </colorScale>
    </cfRule>
  </conditionalFormatting>
  <conditionalFormatting sqref="CK29">
    <cfRule type="colorScale" priority="1087">
      <colorScale>
        <cfvo type="min"/>
        <cfvo type="max"/>
        <color rgb="FFFFEF9C"/>
        <color rgb="FF63BE7B"/>
      </colorScale>
    </cfRule>
  </conditionalFormatting>
  <conditionalFormatting sqref="CK29">
    <cfRule type="colorScale" priority="1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4">
    <cfRule type="colorScale" priority="1089">
      <colorScale>
        <cfvo type="min"/>
        <cfvo type="max"/>
        <color rgb="FF63BE7B"/>
        <color rgb="FFFFEF9C"/>
      </colorScale>
    </cfRule>
  </conditionalFormatting>
  <conditionalFormatting sqref="CK34">
    <cfRule type="colorScale" priority="1090">
      <colorScale>
        <cfvo type="min"/>
        <cfvo type="max"/>
        <color rgb="FFFFEF9C"/>
        <color rgb="FF63BE7B"/>
      </colorScale>
    </cfRule>
  </conditionalFormatting>
  <conditionalFormatting sqref="CK34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1">
    <cfRule type="colorScale" priority="1092">
      <colorScale>
        <cfvo type="min"/>
        <cfvo type="max"/>
        <color rgb="FFFFEF9C"/>
        <color rgb="FF63BE7B"/>
      </colorScale>
    </cfRule>
  </conditionalFormatting>
  <conditionalFormatting sqref="CK41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6">
    <cfRule type="colorScale" priority="1094">
      <colorScale>
        <cfvo type="min"/>
        <cfvo type="max"/>
        <color rgb="FFFFEF9C"/>
        <color rgb="FF63BE7B"/>
      </colorScale>
    </cfRule>
  </conditionalFormatting>
  <conditionalFormatting sqref="CK46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51">
    <cfRule type="colorScale" priority="1096">
      <colorScale>
        <cfvo type="min"/>
        <cfvo type="max"/>
        <color rgb="FFFFEF9C"/>
        <color rgb="FF63BE7B"/>
      </colorScale>
    </cfRule>
  </conditionalFormatting>
  <conditionalFormatting sqref="CK51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56">
    <cfRule type="colorScale" priority="1098">
      <colorScale>
        <cfvo type="min"/>
        <cfvo type="max"/>
        <color rgb="FFFFEF9C"/>
        <color rgb="FF63BE7B"/>
      </colorScale>
    </cfRule>
  </conditionalFormatting>
  <conditionalFormatting sqref="CK56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61">
    <cfRule type="colorScale" priority="1100">
      <colorScale>
        <cfvo type="min"/>
        <cfvo type="max"/>
        <color rgb="FFFFEF9C"/>
        <color rgb="FF63BE7B"/>
      </colorScale>
    </cfRule>
  </conditionalFormatting>
  <conditionalFormatting sqref="CK61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97">
    <cfRule type="colorScale" priority="1102">
      <colorScale>
        <cfvo type="min"/>
        <cfvo type="max"/>
        <color rgb="FFFFEF9C"/>
        <color rgb="FF63BE7B"/>
      </colorScale>
    </cfRule>
  </conditionalFormatting>
  <conditionalFormatting sqref="CK97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99">
    <cfRule type="colorScale" priority="1104">
      <colorScale>
        <cfvo type="min"/>
        <cfvo type="max"/>
        <color rgb="FFFFEF9C"/>
        <color rgb="FF63BE7B"/>
      </colorScale>
    </cfRule>
  </conditionalFormatting>
  <conditionalFormatting sqref="CK99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2">
    <cfRule type="colorScale" priority="1106">
      <colorScale>
        <cfvo type="min"/>
        <cfvo type="max"/>
        <color rgb="FFFFEF9C"/>
        <color rgb="FF63BE7B"/>
      </colorScale>
    </cfRule>
  </conditionalFormatting>
  <conditionalFormatting sqref="CK112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14">
    <cfRule type="colorScale" priority="1108">
      <colorScale>
        <cfvo type="min"/>
        <cfvo type="max"/>
        <color rgb="FFFFEF9C"/>
        <color rgb="FF63BE7B"/>
      </colorScale>
    </cfRule>
  </conditionalFormatting>
  <conditionalFormatting sqref="CK114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23">
    <cfRule type="colorScale" priority="1110">
      <colorScale>
        <cfvo type="min"/>
        <cfvo type="max"/>
        <color rgb="FF63BE7B"/>
        <color rgb="FFFFEF9C"/>
      </colorScale>
    </cfRule>
  </conditionalFormatting>
  <conditionalFormatting sqref="CK123">
    <cfRule type="colorScale" priority="1111">
      <colorScale>
        <cfvo type="min"/>
        <cfvo type="max"/>
        <color rgb="FF63BE7B"/>
        <color rgb="FFFFEF9C"/>
      </colorScale>
    </cfRule>
  </conditionalFormatting>
  <conditionalFormatting sqref="CK123">
    <cfRule type="colorScale" priority="1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26">
    <cfRule type="colorScale" priority="1113">
      <colorScale>
        <cfvo type="min"/>
        <cfvo type="max"/>
        <color rgb="FF63BE7B"/>
        <color rgb="FFFFEF9C"/>
      </colorScale>
    </cfRule>
  </conditionalFormatting>
  <conditionalFormatting sqref="CK126">
    <cfRule type="colorScale" priority="1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28">
    <cfRule type="colorScale" priority="1115">
      <colorScale>
        <cfvo type="min"/>
        <cfvo type="max"/>
        <color rgb="FF63BE7B"/>
        <color rgb="FFFFEF9C"/>
      </colorScale>
    </cfRule>
  </conditionalFormatting>
  <conditionalFormatting sqref="CK128">
    <cfRule type="colorScale" priority="1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31">
    <cfRule type="colorScale" priority="1117">
      <colorScale>
        <cfvo type="min"/>
        <cfvo type="max"/>
        <color rgb="FFFFEF9C"/>
        <color rgb="FF63BE7B"/>
      </colorScale>
    </cfRule>
  </conditionalFormatting>
  <conditionalFormatting sqref="CK131">
    <cfRule type="colorScale" priority="1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34">
    <cfRule type="colorScale" priority="1119">
      <colorScale>
        <cfvo type="min"/>
        <cfvo type="max"/>
        <color rgb="FFFFEF9C"/>
        <color rgb="FF63BE7B"/>
      </colorScale>
    </cfRule>
  </conditionalFormatting>
  <conditionalFormatting sqref="CK134">
    <cfRule type="colorScale" priority="1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65">
    <cfRule type="colorScale" priority="1121">
      <colorScale>
        <cfvo type="min"/>
        <cfvo type="max"/>
        <color rgb="FFFFEF9C"/>
        <color rgb="FF63BE7B"/>
      </colorScale>
    </cfRule>
  </conditionalFormatting>
  <conditionalFormatting sqref="CK165">
    <cfRule type="colorScale" priority="1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73">
    <cfRule type="colorScale" priority="1123">
      <colorScale>
        <cfvo type="min"/>
        <cfvo type="max"/>
        <color rgb="FFFFEF9C"/>
        <color rgb="FF63BE7B"/>
      </colorScale>
    </cfRule>
  </conditionalFormatting>
  <conditionalFormatting sqref="CK173">
    <cfRule type="colorScale" priority="1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80">
    <cfRule type="colorScale" priority="1125">
      <colorScale>
        <cfvo type="min"/>
        <cfvo type="max"/>
        <color rgb="FFFFEF9C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59.43"/>
    <col customWidth="1" hidden="1" min="2" max="2" width="11.0"/>
    <col customWidth="1" min="3" max="3" width="11.0"/>
    <col customWidth="1" min="4" max="4" width="13.57"/>
    <col customWidth="1" min="5" max="5" width="38.43"/>
    <col customWidth="1" min="6" max="11" width="12.57"/>
    <col customWidth="1" min="12" max="13" width="12.14"/>
    <col customWidth="1" min="14" max="20" width="12.57"/>
    <col customWidth="1" min="21" max="21" width="11.0"/>
    <col customWidth="1" min="22" max="22" width="11.57"/>
    <col customWidth="1" hidden="1" min="23" max="23" width="11.0"/>
    <col customWidth="1" min="24" max="24" width="11.57"/>
    <col customWidth="1" hidden="1" min="25" max="25" width="15.14"/>
    <col customWidth="1" min="26" max="26" width="11.57"/>
    <col customWidth="1" hidden="1" min="27" max="27" width="15.14"/>
    <col customWidth="1" min="28" max="28" width="11.57"/>
    <col customWidth="1" hidden="1" min="29" max="29" width="15.14"/>
    <col customWidth="1" min="30" max="30" width="11.57"/>
    <col customWidth="1" hidden="1" min="31" max="31" width="15.57"/>
    <col customWidth="1" min="32" max="32" width="11.57"/>
    <col customWidth="1" hidden="1" min="33" max="33" width="16.14"/>
    <col customWidth="1" min="34" max="34" width="11.57"/>
    <col customWidth="1" hidden="1" min="35" max="35" width="15.57"/>
    <col customWidth="1" min="36" max="36" width="11.57"/>
    <col customWidth="1" hidden="1" min="37" max="37" width="15.57"/>
    <col customWidth="1" min="38" max="38" width="11.57"/>
    <col customWidth="1" hidden="1" min="39" max="39" width="16.14"/>
    <col customWidth="1" min="40" max="40" width="11.57"/>
    <col customWidth="1" hidden="1" min="41" max="41" width="15.57"/>
    <col customWidth="1" min="42" max="42" width="11.57"/>
    <col customWidth="1" hidden="1" min="43" max="43" width="15.57"/>
    <col customWidth="1" min="44" max="44" width="11.57"/>
    <col customWidth="1" hidden="1" min="45" max="45" width="16.14"/>
    <col customWidth="1" min="46" max="46" width="12.0"/>
    <col customWidth="1" hidden="1" min="47" max="47" width="16.14"/>
    <col customWidth="1" min="48" max="48" width="12.0"/>
    <col customWidth="1" hidden="1" min="49" max="49" width="16.14"/>
    <col customWidth="1" min="50" max="50" width="14.86"/>
    <col customWidth="1" hidden="1" min="51" max="51" width="16.14"/>
    <col customWidth="1" min="52" max="52" width="14.86"/>
    <col customWidth="1" hidden="1" min="53" max="53" width="16.14"/>
    <col customWidth="1" min="54" max="54" width="14.86"/>
    <col customWidth="1" hidden="1" min="55" max="55" width="16.14"/>
    <col customWidth="1" min="56" max="56" width="14.86"/>
    <col customWidth="1" hidden="1" min="57" max="57" width="16.14"/>
    <col customWidth="1" min="58" max="58" width="14.86"/>
    <col customWidth="1" hidden="1" min="59" max="59" width="16.14"/>
    <col customWidth="1" min="60" max="60" width="14.86"/>
    <col customWidth="1" hidden="1" min="61" max="61" width="16.14"/>
    <col customWidth="1" min="62" max="62" width="14.86"/>
    <col customWidth="1" hidden="1" min="63" max="63" width="16.14"/>
    <col customWidth="1" min="64" max="64" width="14.86"/>
    <col customWidth="1" hidden="1" min="65" max="65" width="16.14"/>
    <col customWidth="1" min="66" max="66" width="14.86"/>
    <col customWidth="1" hidden="1" min="67" max="67" width="16.14"/>
    <col customWidth="1" min="68" max="68" width="14.86"/>
    <col customWidth="1" hidden="1" min="69" max="69" width="16.14"/>
    <col customWidth="1" min="70" max="70" width="14.86"/>
    <col customWidth="1" hidden="1" min="71" max="71" width="16.14"/>
    <col customWidth="1" min="72" max="72" width="16.14"/>
    <col customWidth="1" hidden="1" min="73" max="73" width="16.14"/>
    <col customWidth="1" min="74" max="74" width="16.14"/>
    <col customWidth="1" hidden="1" min="75" max="75" width="16.14"/>
    <col customWidth="1" min="76" max="76" width="16.14"/>
    <col customWidth="1" hidden="1" min="77" max="77" width="14.14"/>
    <col customWidth="1" min="78" max="78" width="16.14"/>
    <col customWidth="1" hidden="1" min="79" max="79" width="16.14"/>
    <col customWidth="1" min="80" max="80" width="16.14"/>
    <col customWidth="1" hidden="1" min="81" max="81" width="16.14"/>
    <col customWidth="1" min="82" max="82" width="16.14"/>
    <col customWidth="1" hidden="1" min="83" max="83" width="16.14"/>
    <col customWidth="1" min="84" max="84" width="16.14"/>
    <col customWidth="1" hidden="1" min="85" max="85" width="16.14"/>
    <col customWidth="1" min="86" max="86" width="16.14"/>
    <col customWidth="1" hidden="1" min="87" max="87" width="16.14"/>
    <col customWidth="1" min="88" max="88" width="16.14"/>
    <col customWidth="1" hidden="1" min="89" max="89" width="16.14"/>
    <col customWidth="1" min="90" max="90" width="13.43"/>
    <col customWidth="1" min="91" max="92" width="16.14"/>
    <col customWidth="1" min="94" max="94" width="17.43"/>
    <col customWidth="1" min="95" max="95" width="16.14"/>
  </cols>
  <sheetData>
    <row r="1" ht="15.75" customHeight="1">
      <c r="A1" s="88"/>
      <c r="B1" s="89"/>
      <c r="C1" s="89"/>
      <c r="D1" s="89"/>
      <c r="E1" s="90" t="s">
        <v>89</v>
      </c>
      <c r="F1" s="91">
        <v>44530.0</v>
      </c>
      <c r="G1" s="91">
        <f t="shared" ref="G1:V1" si="1">EOMONTH(F1,1)</f>
        <v>44561</v>
      </c>
      <c r="H1" s="91">
        <f t="shared" si="1"/>
        <v>44592</v>
      </c>
      <c r="I1" s="91">
        <f t="shared" si="1"/>
        <v>44620</v>
      </c>
      <c r="J1" s="91">
        <f t="shared" si="1"/>
        <v>44651</v>
      </c>
      <c r="K1" s="91">
        <f t="shared" si="1"/>
        <v>44681</v>
      </c>
      <c r="L1" s="91">
        <f t="shared" si="1"/>
        <v>44712</v>
      </c>
      <c r="M1" s="91">
        <f t="shared" si="1"/>
        <v>44742</v>
      </c>
      <c r="N1" s="91">
        <f t="shared" si="1"/>
        <v>44773</v>
      </c>
      <c r="O1" s="91">
        <f t="shared" si="1"/>
        <v>44804</v>
      </c>
      <c r="P1" s="91">
        <f t="shared" si="1"/>
        <v>44834</v>
      </c>
      <c r="Q1" s="91">
        <f t="shared" si="1"/>
        <v>44865</v>
      </c>
      <c r="R1" s="91">
        <f t="shared" si="1"/>
        <v>44895</v>
      </c>
      <c r="S1" s="91">
        <f t="shared" si="1"/>
        <v>44926</v>
      </c>
      <c r="T1" s="91">
        <f t="shared" si="1"/>
        <v>44957</v>
      </c>
      <c r="U1" s="91">
        <f t="shared" si="1"/>
        <v>44985</v>
      </c>
      <c r="V1" s="91">
        <f t="shared" si="1"/>
        <v>45016</v>
      </c>
      <c r="W1" s="92">
        <v>45046.0</v>
      </c>
      <c r="X1" s="92">
        <f>W1</f>
        <v>45046</v>
      </c>
      <c r="Y1" s="92">
        <v>45076.0</v>
      </c>
      <c r="Z1" s="92">
        <f>EOMONTH(X1,1)</f>
        <v>45077</v>
      </c>
      <c r="AA1" s="92">
        <v>45107.0</v>
      </c>
      <c r="AB1" s="92">
        <f>AA1</f>
        <v>45107</v>
      </c>
      <c r="AC1" s="92">
        <v>45137.0</v>
      </c>
      <c r="AD1" s="92">
        <f>EOMONTH(AB1,1)</f>
        <v>45138</v>
      </c>
      <c r="AE1" s="92">
        <v>45168.0</v>
      </c>
      <c r="AF1" s="92">
        <f>EOMONTH(AD1,1)</f>
        <v>45169</v>
      </c>
      <c r="AG1" s="92">
        <v>45199.0</v>
      </c>
      <c r="AH1" s="92">
        <f>EOMONTH(AF1,1)</f>
        <v>45199</v>
      </c>
      <c r="AI1" s="92">
        <v>45229.0</v>
      </c>
      <c r="AJ1" s="92">
        <f>EOMONTH(AH1,1)</f>
        <v>45230</v>
      </c>
      <c r="AK1" s="92">
        <v>45260.0</v>
      </c>
      <c r="AL1" s="92">
        <f>EOMONTH(AJ1,1)</f>
        <v>45260</v>
      </c>
      <c r="AM1" s="92">
        <v>45290.0</v>
      </c>
      <c r="AN1" s="92">
        <f>EOMONTH(AL1,1)</f>
        <v>45291</v>
      </c>
      <c r="AO1" s="92">
        <v>45321.0</v>
      </c>
      <c r="AP1" s="92">
        <f>EOMONTH(AN1,1)</f>
        <v>45322</v>
      </c>
      <c r="AQ1" s="92">
        <v>45351.0</v>
      </c>
      <c r="AR1" s="92">
        <f>EOMONTH(AP1,1)</f>
        <v>45351</v>
      </c>
      <c r="AS1" s="92">
        <v>45380.0</v>
      </c>
      <c r="AT1" s="92">
        <f t="shared" ref="AT1:AU1" si="2">EOMONTH(AR1,1)</f>
        <v>45382</v>
      </c>
      <c r="AU1" s="92">
        <f t="shared" si="2"/>
        <v>45412</v>
      </c>
      <c r="AV1" s="92">
        <f>AU1</f>
        <v>45412</v>
      </c>
      <c r="AW1" s="92">
        <f>EOMONTH(AU1,1)</f>
        <v>45443</v>
      </c>
      <c r="AX1" s="92">
        <f>AW1</f>
        <v>45443</v>
      </c>
      <c r="AY1" s="92">
        <f>EOMONTH(AW1,1)</f>
        <v>45473</v>
      </c>
      <c r="AZ1" s="92">
        <f>AY1</f>
        <v>45473</v>
      </c>
      <c r="BA1" s="92">
        <f>EOMONTH(AY1,1)</f>
        <v>45504</v>
      </c>
      <c r="BB1" s="92">
        <f>BA1</f>
        <v>45504</v>
      </c>
      <c r="BC1" s="92">
        <f>EOMONTH(BA1,1)</f>
        <v>45535</v>
      </c>
      <c r="BD1" s="92">
        <f>BC1</f>
        <v>45535</v>
      </c>
      <c r="BE1" s="92">
        <f>EOMONTH(BC1,1)</f>
        <v>45565</v>
      </c>
      <c r="BF1" s="92">
        <f>BE1</f>
        <v>45565</v>
      </c>
      <c r="BG1" s="92">
        <f>EOMONTH(BE1,1)</f>
        <v>45596</v>
      </c>
      <c r="BH1" s="92">
        <f>BG1</f>
        <v>45596</v>
      </c>
      <c r="BI1" s="92">
        <f>EOMONTH(BG1,1)</f>
        <v>45626</v>
      </c>
      <c r="BJ1" s="92">
        <f>BI1</f>
        <v>45626</v>
      </c>
      <c r="BK1" s="92">
        <f>EOMONTH(BI1,1)</f>
        <v>45657</v>
      </c>
      <c r="BL1" s="92">
        <f>BK1</f>
        <v>45657</v>
      </c>
      <c r="BM1" s="92">
        <f>EOMONTH(BK1,1)</f>
        <v>45688</v>
      </c>
      <c r="BN1" s="92">
        <f>BM1</f>
        <v>45688</v>
      </c>
      <c r="BO1" s="92">
        <f>EOMONTH(BM1,1)</f>
        <v>45716</v>
      </c>
      <c r="BP1" s="92">
        <f>BO1</f>
        <v>45716</v>
      </c>
      <c r="BQ1" s="92">
        <f>EOMONTH(BO1,1)</f>
        <v>45747</v>
      </c>
      <c r="BR1" s="92">
        <f>BQ1</f>
        <v>45747</v>
      </c>
      <c r="BS1" s="92">
        <f>EOMONTH(BQ1,1)</f>
        <v>45777</v>
      </c>
      <c r="BT1" s="92">
        <f>BS1</f>
        <v>45777</v>
      </c>
      <c r="BU1" s="92">
        <f>EOMONTH(BS1,1)</f>
        <v>45808</v>
      </c>
      <c r="BV1" s="92">
        <f>BU1</f>
        <v>45808</v>
      </c>
      <c r="BW1" s="92">
        <f>EOMONTH(BU1,1)</f>
        <v>45838</v>
      </c>
      <c r="BX1" s="92">
        <f>BW1</f>
        <v>45838</v>
      </c>
      <c r="BY1" s="92">
        <f>EOMONTH(BW1,1)</f>
        <v>45869</v>
      </c>
      <c r="BZ1" s="92">
        <f>BY1</f>
        <v>45869</v>
      </c>
      <c r="CA1" s="92">
        <f>EOMONTH(BY1,1)</f>
        <v>45900</v>
      </c>
      <c r="CB1" s="92">
        <f>CA1</f>
        <v>45900</v>
      </c>
      <c r="CC1" s="92">
        <f>EOMONTH(CA1,1)</f>
        <v>45930</v>
      </c>
      <c r="CD1" s="92">
        <f>CC1</f>
        <v>45930</v>
      </c>
      <c r="CE1" s="92">
        <f>EOMONTH(CC1,1)</f>
        <v>45961</v>
      </c>
      <c r="CF1" s="92">
        <f>CE1</f>
        <v>45961</v>
      </c>
      <c r="CG1" s="92">
        <f>EOMONTH(CE1,1)</f>
        <v>45991</v>
      </c>
      <c r="CH1" s="92">
        <f>CG1</f>
        <v>45991</v>
      </c>
      <c r="CI1" s="92">
        <f>EOMONTH(CG1,1)</f>
        <v>46022</v>
      </c>
      <c r="CJ1" s="92">
        <f>CI1</f>
        <v>46022</v>
      </c>
      <c r="CK1" s="92">
        <f>EOMONTH(CI1,1)</f>
        <v>46053</v>
      </c>
      <c r="CL1" s="92">
        <f>CK1</f>
        <v>46053</v>
      </c>
      <c r="CM1" s="92">
        <f>EOMONTH(CK1,1)</f>
        <v>46081</v>
      </c>
      <c r="CN1" s="92">
        <f>EOMONTH(CM1,1)</f>
        <v>46112</v>
      </c>
      <c r="CO1" s="93"/>
      <c r="CP1" s="93"/>
      <c r="CQ1" s="93"/>
    </row>
    <row r="2" ht="15.75" customHeight="1">
      <c r="A2" s="88"/>
      <c r="B2" s="89"/>
      <c r="C2" s="89"/>
      <c r="D2" s="89"/>
      <c r="F2" s="91" t="s">
        <v>90</v>
      </c>
      <c r="G2" s="91" t="s">
        <v>90</v>
      </c>
      <c r="H2" s="91" t="s">
        <v>90</v>
      </c>
      <c r="I2" s="91" t="s">
        <v>90</v>
      </c>
      <c r="J2" s="91" t="s">
        <v>90</v>
      </c>
      <c r="K2" s="91" t="s">
        <v>90</v>
      </c>
      <c r="L2" s="91" t="s">
        <v>90</v>
      </c>
      <c r="M2" s="91" t="s">
        <v>90</v>
      </c>
      <c r="N2" s="91" t="s">
        <v>90</v>
      </c>
      <c r="O2" s="91" t="s">
        <v>90</v>
      </c>
      <c r="P2" s="91" t="s">
        <v>90</v>
      </c>
      <c r="Q2" s="91" t="s">
        <v>90</v>
      </c>
      <c r="R2" s="91" t="s">
        <v>90</v>
      </c>
      <c r="S2" s="91" t="s">
        <v>90</v>
      </c>
      <c r="T2" s="91" t="s">
        <v>90</v>
      </c>
      <c r="U2" s="91" t="s">
        <v>90</v>
      </c>
      <c r="V2" s="91" t="s">
        <v>90</v>
      </c>
      <c r="W2" s="92" t="s">
        <v>91</v>
      </c>
      <c r="X2" s="91" t="s">
        <v>90</v>
      </c>
      <c r="Y2" s="92" t="s">
        <v>91</v>
      </c>
      <c r="Z2" s="91" t="s">
        <v>90</v>
      </c>
      <c r="AA2" s="92" t="s">
        <v>91</v>
      </c>
      <c r="AB2" s="91" t="s">
        <v>90</v>
      </c>
      <c r="AC2" s="92" t="s">
        <v>91</v>
      </c>
      <c r="AD2" s="91" t="s">
        <v>90</v>
      </c>
      <c r="AE2" s="92" t="s">
        <v>91</v>
      </c>
      <c r="AF2" s="91" t="s">
        <v>90</v>
      </c>
      <c r="AG2" s="92" t="s">
        <v>91</v>
      </c>
      <c r="AH2" s="91" t="s">
        <v>90</v>
      </c>
      <c r="AI2" s="92" t="s">
        <v>91</v>
      </c>
      <c r="AJ2" s="91" t="s">
        <v>90</v>
      </c>
      <c r="AK2" s="92" t="s">
        <v>91</v>
      </c>
      <c r="AL2" s="91" t="s">
        <v>90</v>
      </c>
      <c r="AM2" s="92" t="s">
        <v>91</v>
      </c>
      <c r="AN2" s="91" t="s">
        <v>90</v>
      </c>
      <c r="AO2" s="92" t="s">
        <v>91</v>
      </c>
      <c r="AP2" s="91" t="s">
        <v>90</v>
      </c>
      <c r="AQ2" s="92" t="s">
        <v>91</v>
      </c>
      <c r="AR2" s="91" t="s">
        <v>90</v>
      </c>
      <c r="AS2" s="92" t="s">
        <v>91</v>
      </c>
      <c r="AT2" s="91" t="s">
        <v>90</v>
      </c>
      <c r="AU2" s="92" t="s">
        <v>91</v>
      </c>
      <c r="AV2" s="91" t="s">
        <v>90</v>
      </c>
      <c r="AW2" s="92" t="s">
        <v>91</v>
      </c>
      <c r="AX2" s="91" t="s">
        <v>90</v>
      </c>
      <c r="AY2" s="92" t="s">
        <v>91</v>
      </c>
      <c r="AZ2" s="91" t="s">
        <v>90</v>
      </c>
      <c r="BA2" s="92" t="s">
        <v>91</v>
      </c>
      <c r="BB2" s="91" t="s">
        <v>90</v>
      </c>
      <c r="BC2" s="92" t="s">
        <v>91</v>
      </c>
      <c r="BD2" s="91" t="s">
        <v>90</v>
      </c>
      <c r="BE2" s="92" t="s">
        <v>91</v>
      </c>
      <c r="BF2" s="91" t="s">
        <v>90</v>
      </c>
      <c r="BG2" s="92" t="s">
        <v>91</v>
      </c>
      <c r="BH2" s="91" t="s">
        <v>90</v>
      </c>
      <c r="BI2" s="92" t="s">
        <v>91</v>
      </c>
      <c r="BJ2" s="91" t="s">
        <v>90</v>
      </c>
      <c r="BK2" s="92" t="s">
        <v>91</v>
      </c>
      <c r="BL2" s="91" t="s">
        <v>90</v>
      </c>
      <c r="BM2" s="92" t="s">
        <v>91</v>
      </c>
      <c r="BN2" s="91" t="s">
        <v>90</v>
      </c>
      <c r="BO2" s="92" t="s">
        <v>91</v>
      </c>
      <c r="BP2" s="91" t="s">
        <v>90</v>
      </c>
      <c r="BQ2" s="92" t="s">
        <v>91</v>
      </c>
      <c r="BR2" s="91" t="s">
        <v>90</v>
      </c>
      <c r="BS2" s="92" t="s">
        <v>91</v>
      </c>
      <c r="BT2" s="91" t="s">
        <v>90</v>
      </c>
      <c r="BU2" s="92" t="s">
        <v>91</v>
      </c>
      <c r="BV2" s="91" t="s">
        <v>90</v>
      </c>
      <c r="BW2" s="92" t="s">
        <v>91</v>
      </c>
      <c r="BX2" s="91" t="s">
        <v>90</v>
      </c>
      <c r="BY2" s="92" t="s">
        <v>91</v>
      </c>
      <c r="BZ2" s="91" t="s">
        <v>90</v>
      </c>
      <c r="CA2" s="92" t="s">
        <v>91</v>
      </c>
      <c r="CB2" s="91" t="s">
        <v>90</v>
      </c>
      <c r="CC2" s="92" t="s">
        <v>91</v>
      </c>
      <c r="CD2" s="91" t="s">
        <v>90</v>
      </c>
      <c r="CE2" s="92" t="s">
        <v>91</v>
      </c>
      <c r="CF2" s="91" t="s">
        <v>90</v>
      </c>
      <c r="CG2" s="92" t="s">
        <v>91</v>
      </c>
      <c r="CH2" s="91" t="s">
        <v>90</v>
      </c>
      <c r="CI2" s="92" t="s">
        <v>91</v>
      </c>
      <c r="CJ2" s="91" t="s">
        <v>90</v>
      </c>
      <c r="CK2" s="92" t="s">
        <v>91</v>
      </c>
      <c r="CL2" s="91" t="s">
        <v>90</v>
      </c>
      <c r="CM2" s="92" t="s">
        <v>91</v>
      </c>
      <c r="CN2" s="92" t="s">
        <v>91</v>
      </c>
      <c r="CO2" s="93"/>
      <c r="CP2" s="93"/>
      <c r="CQ2" s="93"/>
    </row>
    <row r="3" ht="15.75" customHeight="1">
      <c r="A3" s="94"/>
      <c r="B3" s="95">
        <f>X3+Z3+AB3+AD3+AF3+AH3+AJ3+AL3+AN3+AP3+AR3+AT3</f>
        <v>3771270</v>
      </c>
      <c r="C3" s="95"/>
      <c r="D3" s="19">
        <f>SUM(F3:V3)+X3+Z3+AB3+AD3+AF3+AH3+AJ3+AL3+AN3+AP3+AR3+AT3+AV3+AX3+AZ3+BB3+BD3+BF3+BH3+BJ3+BL3+BN3</f>
        <v>10827577</v>
      </c>
      <c r="E3" s="7" t="s">
        <v>92</v>
      </c>
      <c r="F3" s="96">
        <f t="shared" ref="F3:CN3" si="3">F5+F10</f>
        <v>2173</v>
      </c>
      <c r="G3" s="96">
        <f t="shared" si="3"/>
        <v>3756</v>
      </c>
      <c r="H3" s="96">
        <f t="shared" si="3"/>
        <v>6626</v>
      </c>
      <c r="I3" s="96">
        <f t="shared" si="3"/>
        <v>8675</v>
      </c>
      <c r="J3" s="96">
        <f t="shared" si="3"/>
        <v>10229</v>
      </c>
      <c r="K3" s="96">
        <f t="shared" si="3"/>
        <v>15888</v>
      </c>
      <c r="L3" s="96">
        <f t="shared" si="3"/>
        <v>20370</v>
      </c>
      <c r="M3" s="96">
        <f t="shared" si="3"/>
        <v>23751</v>
      </c>
      <c r="N3" s="96">
        <f t="shared" si="3"/>
        <v>26302</v>
      </c>
      <c r="O3" s="96">
        <f t="shared" si="3"/>
        <v>32680</v>
      </c>
      <c r="P3" s="96">
        <f t="shared" si="3"/>
        <v>44032</v>
      </c>
      <c r="Q3" s="96">
        <f t="shared" si="3"/>
        <v>53593</v>
      </c>
      <c r="R3" s="96">
        <f t="shared" si="3"/>
        <v>59764</v>
      </c>
      <c r="S3" s="96">
        <f t="shared" si="3"/>
        <v>70471</v>
      </c>
      <c r="T3" s="96">
        <f t="shared" si="3"/>
        <v>84692</v>
      </c>
      <c r="U3" s="96">
        <f t="shared" si="3"/>
        <v>100085</v>
      </c>
      <c r="V3" s="96">
        <f t="shared" si="3"/>
        <v>132152</v>
      </c>
      <c r="W3" s="96">
        <f t="shared" si="3"/>
        <v>194906.6383</v>
      </c>
      <c r="X3" s="11">
        <f t="shared" si="3"/>
        <v>153503</v>
      </c>
      <c r="Y3" s="96">
        <f t="shared" si="3"/>
        <v>224805.6232</v>
      </c>
      <c r="Z3" s="11">
        <f t="shared" si="3"/>
        <v>181425</v>
      </c>
      <c r="AA3" s="96">
        <f t="shared" si="3"/>
        <v>256399.3</v>
      </c>
      <c r="AB3" s="11">
        <f t="shared" si="3"/>
        <v>216397</v>
      </c>
      <c r="AC3" s="96">
        <f t="shared" si="3"/>
        <v>287577.4611</v>
      </c>
      <c r="AD3" s="11">
        <f t="shared" si="3"/>
        <v>241961</v>
      </c>
      <c r="AE3" s="96">
        <f t="shared" si="3"/>
        <v>320610.997</v>
      </c>
      <c r="AF3" s="11">
        <f t="shared" si="3"/>
        <v>275626</v>
      </c>
      <c r="AG3" s="96">
        <f t="shared" si="3"/>
        <v>358351.5317</v>
      </c>
      <c r="AH3" s="11">
        <f t="shared" si="3"/>
        <v>301775</v>
      </c>
      <c r="AI3" s="96">
        <f t="shared" si="3"/>
        <v>397229.9234</v>
      </c>
      <c r="AJ3" s="11">
        <f t="shared" si="3"/>
        <v>333174</v>
      </c>
      <c r="AK3" s="96">
        <f t="shared" si="3"/>
        <v>439091.0296</v>
      </c>
      <c r="AL3" s="11">
        <f t="shared" si="3"/>
        <v>358792</v>
      </c>
      <c r="AM3" s="96">
        <f t="shared" si="3"/>
        <v>484264.8999</v>
      </c>
      <c r="AN3" s="11">
        <f t="shared" si="3"/>
        <v>392408</v>
      </c>
      <c r="AO3" s="96">
        <f t="shared" si="3"/>
        <v>448474.7872</v>
      </c>
      <c r="AP3" s="11">
        <f t="shared" si="3"/>
        <v>416359</v>
      </c>
      <c r="AQ3" s="96">
        <f t="shared" si="3"/>
        <v>468113.9608</v>
      </c>
      <c r="AR3" s="11">
        <f t="shared" si="3"/>
        <v>435586</v>
      </c>
      <c r="AS3" s="96">
        <f t="shared" si="3"/>
        <v>493720.046</v>
      </c>
      <c r="AT3" s="11">
        <f t="shared" si="3"/>
        <v>464264</v>
      </c>
      <c r="AU3" s="96">
        <f t="shared" si="3"/>
        <v>519675.4102</v>
      </c>
      <c r="AV3" s="11">
        <f t="shared" si="3"/>
        <v>489525</v>
      </c>
      <c r="AW3" s="96">
        <f t="shared" si="3"/>
        <v>547593.5686</v>
      </c>
      <c r="AX3" s="11">
        <f t="shared" si="3"/>
        <v>527740</v>
      </c>
      <c r="AY3" s="96">
        <f t="shared" si="3"/>
        <v>574786.9949</v>
      </c>
      <c r="AZ3" s="11">
        <f t="shared" si="3"/>
        <v>566967</v>
      </c>
      <c r="BA3" s="96">
        <f t="shared" si="3"/>
        <v>615280.6103</v>
      </c>
      <c r="BB3" s="11">
        <f t="shared" si="3"/>
        <v>598236</v>
      </c>
      <c r="BC3" s="96">
        <f t="shared" si="3"/>
        <v>663310.3466</v>
      </c>
      <c r="BD3" s="11">
        <f t="shared" si="3"/>
        <v>610504</v>
      </c>
      <c r="BE3" s="96">
        <f t="shared" si="3"/>
        <v>710946.2437</v>
      </c>
      <c r="BF3" s="11">
        <f t="shared" si="3"/>
        <v>646900</v>
      </c>
      <c r="BG3" s="96">
        <f t="shared" si="3"/>
        <v>762116.5361</v>
      </c>
      <c r="BH3" s="11">
        <f t="shared" si="3"/>
        <v>671243</v>
      </c>
      <c r="BI3" s="96">
        <f t="shared" si="3"/>
        <v>814820.9457</v>
      </c>
      <c r="BJ3" s="11">
        <f t="shared" si="3"/>
        <v>709232</v>
      </c>
      <c r="BK3" s="96">
        <f t="shared" si="3"/>
        <v>871923.9751</v>
      </c>
      <c r="BL3" s="11">
        <f t="shared" si="3"/>
        <v>753105</v>
      </c>
      <c r="BM3" s="96">
        <f t="shared" si="3"/>
        <v>844261.1997</v>
      </c>
      <c r="BN3" s="11">
        <f t="shared" si="3"/>
        <v>787616</v>
      </c>
      <c r="BO3" s="96">
        <f t="shared" si="3"/>
        <v>886132.6836</v>
      </c>
      <c r="BP3" s="11">
        <f t="shared" si="3"/>
        <v>844132</v>
      </c>
      <c r="BQ3" s="96">
        <f t="shared" si="3"/>
        <v>930544.5679</v>
      </c>
      <c r="BR3" s="11">
        <f t="shared" si="3"/>
        <v>895625</v>
      </c>
      <c r="BS3" s="96">
        <f t="shared" si="3"/>
        <v>977602.5629</v>
      </c>
      <c r="BT3" s="11">
        <f t="shared" si="3"/>
        <v>930073</v>
      </c>
      <c r="BU3" s="96">
        <f t="shared" si="3"/>
        <v>1023589.629</v>
      </c>
      <c r="BV3" s="11">
        <f t="shared" si="3"/>
        <v>966604</v>
      </c>
      <c r="BW3" s="96">
        <f t="shared" si="3"/>
        <v>1067443.262</v>
      </c>
      <c r="BX3" s="11">
        <f t="shared" si="3"/>
        <v>1039598</v>
      </c>
      <c r="BY3" s="96">
        <f t="shared" si="3"/>
        <v>1113305.621</v>
      </c>
      <c r="BZ3" s="11">
        <f t="shared" si="3"/>
        <v>1088433</v>
      </c>
      <c r="CA3" s="96">
        <f t="shared" si="3"/>
        <v>1161531.919</v>
      </c>
      <c r="CB3" s="11">
        <f t="shared" si="3"/>
        <v>1145053</v>
      </c>
      <c r="CC3" s="96">
        <f t="shared" si="3"/>
        <v>1213697.527</v>
      </c>
      <c r="CD3" s="11">
        <f t="shared" si="3"/>
        <v>1208072</v>
      </c>
      <c r="CE3" s="96">
        <f t="shared" si="3"/>
        <v>1264115.23</v>
      </c>
      <c r="CF3" s="11">
        <f t="shared" si="3"/>
        <v>1267748</v>
      </c>
      <c r="CG3" s="96">
        <f t="shared" si="3"/>
        <v>1318220.431</v>
      </c>
      <c r="CH3" s="11">
        <f t="shared" si="3"/>
        <v>1328890</v>
      </c>
      <c r="CI3" s="96">
        <f t="shared" si="3"/>
        <v>1375365.303</v>
      </c>
      <c r="CJ3" s="11">
        <f t="shared" si="3"/>
        <v>1384107</v>
      </c>
      <c r="CK3" s="96">
        <f t="shared" si="3"/>
        <v>1435763.165</v>
      </c>
      <c r="CL3" s="11">
        <f t="shared" si="3"/>
        <v>1432972</v>
      </c>
      <c r="CM3" s="96">
        <f t="shared" si="3"/>
        <v>1500198.782</v>
      </c>
      <c r="CN3" s="96">
        <f t="shared" si="3"/>
        <v>1569483.202</v>
      </c>
    </row>
    <row r="4" ht="15.75" customHeight="1">
      <c r="A4" s="94"/>
      <c r="B4" s="97"/>
      <c r="C4" s="97"/>
      <c r="D4" s="97"/>
      <c r="E4" s="1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K4" s="1"/>
      <c r="AM4" s="1"/>
      <c r="AO4" s="1"/>
      <c r="AQ4" s="1"/>
      <c r="AS4" s="1"/>
      <c r="AU4" s="1"/>
      <c r="AW4" s="1"/>
      <c r="AY4" s="1"/>
      <c r="BA4" s="1"/>
      <c r="BC4" s="1"/>
      <c r="BE4" s="1"/>
      <c r="BG4" s="1"/>
      <c r="BI4" s="1"/>
      <c r="BK4" s="1"/>
      <c r="BM4" s="1"/>
      <c r="CJ4" s="99">
        <f>CJ5*12</f>
        <v>16487484</v>
      </c>
      <c r="CL4" s="99">
        <f>CL5*12</f>
        <v>17061168</v>
      </c>
      <c r="CM4" s="1"/>
      <c r="CN4" s="1"/>
    </row>
    <row r="5" ht="15.75" customHeight="1">
      <c r="A5" s="100">
        <f>AV5+AX5+AZ5+BB5+BD5+BF5</f>
        <v>3400255</v>
      </c>
      <c r="B5" s="4">
        <f>SUM(F5:V5)+X5+AP5+AN5+AL5+AJ5+AH5+AF5+AD5+AB5+Z5+AR5+AT5</f>
        <v>4411856</v>
      </c>
      <c r="C5" s="4"/>
      <c r="D5" s="19">
        <f>SUM(F5:V5)+X5+Z5+AB5+AD5+AF5+AH5+AJ5+AL5+AN5+AP5+AR5+AT5+AV5+AX5+AZ5+BB5+BD5+BF5+BH5+BJ5+BL5+BN5</f>
        <v>10701959</v>
      </c>
      <c r="E5" s="13" t="s">
        <v>93</v>
      </c>
      <c r="F5" s="101">
        <f t="shared" ref="F5:CN5" si="4">F7+F8</f>
        <v>2173</v>
      </c>
      <c r="G5" s="101">
        <f t="shared" si="4"/>
        <v>3756</v>
      </c>
      <c r="H5" s="101">
        <f t="shared" si="4"/>
        <v>6626</v>
      </c>
      <c r="I5" s="101">
        <f t="shared" si="4"/>
        <v>8675</v>
      </c>
      <c r="J5" s="101">
        <f t="shared" si="4"/>
        <v>10229</v>
      </c>
      <c r="K5" s="101">
        <f t="shared" si="4"/>
        <v>15888</v>
      </c>
      <c r="L5" s="101">
        <f t="shared" si="4"/>
        <v>20370</v>
      </c>
      <c r="M5" s="101">
        <f t="shared" si="4"/>
        <v>23751</v>
      </c>
      <c r="N5" s="101">
        <f t="shared" si="4"/>
        <v>26144</v>
      </c>
      <c r="O5" s="101">
        <f t="shared" si="4"/>
        <v>32457</v>
      </c>
      <c r="P5" s="101">
        <f t="shared" si="4"/>
        <v>43739</v>
      </c>
      <c r="Q5" s="101">
        <f t="shared" si="4"/>
        <v>52993</v>
      </c>
      <c r="R5" s="101">
        <f t="shared" si="4"/>
        <v>58856</v>
      </c>
      <c r="S5" s="101">
        <f t="shared" si="4"/>
        <v>69369</v>
      </c>
      <c r="T5" s="101">
        <f t="shared" si="4"/>
        <v>83472</v>
      </c>
      <c r="U5" s="101">
        <f t="shared" si="4"/>
        <v>98865</v>
      </c>
      <c r="V5" s="101">
        <f t="shared" si="4"/>
        <v>130455</v>
      </c>
      <c r="W5" s="101">
        <f t="shared" si="4"/>
        <v>194906.6383</v>
      </c>
      <c r="X5" s="101">
        <f t="shared" si="4"/>
        <v>150469</v>
      </c>
      <c r="Y5" s="101">
        <f t="shared" si="4"/>
        <v>224805.6232</v>
      </c>
      <c r="Z5" s="101">
        <f t="shared" si="4"/>
        <v>178337</v>
      </c>
      <c r="AA5" s="101">
        <f t="shared" si="4"/>
        <v>256399.3</v>
      </c>
      <c r="AB5" s="101">
        <f t="shared" si="4"/>
        <v>212958</v>
      </c>
      <c r="AC5" s="101">
        <f t="shared" si="4"/>
        <v>287577.4611</v>
      </c>
      <c r="AD5" s="101">
        <f t="shared" si="4"/>
        <v>238586</v>
      </c>
      <c r="AE5" s="101">
        <f t="shared" si="4"/>
        <v>320610.997</v>
      </c>
      <c r="AF5" s="101">
        <f t="shared" si="4"/>
        <v>272193</v>
      </c>
      <c r="AG5" s="101">
        <f t="shared" si="4"/>
        <v>358351.5317</v>
      </c>
      <c r="AH5" s="101">
        <f t="shared" si="4"/>
        <v>298226</v>
      </c>
      <c r="AI5" s="101">
        <f t="shared" si="4"/>
        <v>397229.9234</v>
      </c>
      <c r="AJ5" s="101">
        <f t="shared" si="4"/>
        <v>329237</v>
      </c>
      <c r="AK5" s="101">
        <f t="shared" si="4"/>
        <v>439091.0296</v>
      </c>
      <c r="AL5" s="101">
        <f t="shared" si="4"/>
        <v>355131</v>
      </c>
      <c r="AM5" s="101">
        <f t="shared" si="4"/>
        <v>484264.8999</v>
      </c>
      <c r="AN5" s="101">
        <f t="shared" si="4"/>
        <v>388175</v>
      </c>
      <c r="AO5" s="101">
        <f t="shared" si="4"/>
        <v>448474.7872</v>
      </c>
      <c r="AP5" s="101">
        <f t="shared" si="4"/>
        <v>411664</v>
      </c>
      <c r="AQ5" s="101">
        <f t="shared" si="4"/>
        <v>468113.9608</v>
      </c>
      <c r="AR5" s="101">
        <f t="shared" si="4"/>
        <v>430758</v>
      </c>
      <c r="AS5" s="101">
        <f t="shared" si="4"/>
        <v>493720.046</v>
      </c>
      <c r="AT5" s="101">
        <f t="shared" si="4"/>
        <v>458304</v>
      </c>
      <c r="AU5" s="101">
        <f t="shared" si="4"/>
        <v>519675.4102</v>
      </c>
      <c r="AV5" s="101">
        <f t="shared" si="4"/>
        <v>484273</v>
      </c>
      <c r="AW5" s="101">
        <f t="shared" si="4"/>
        <v>547593.5686</v>
      </c>
      <c r="AX5" s="101">
        <f t="shared" si="4"/>
        <v>521358</v>
      </c>
      <c r="AY5" s="101">
        <f t="shared" si="4"/>
        <v>574786.9949</v>
      </c>
      <c r="AZ5" s="101">
        <f t="shared" si="4"/>
        <v>560635</v>
      </c>
      <c r="BA5" s="101">
        <f t="shared" si="4"/>
        <v>615280.6103</v>
      </c>
      <c r="BB5" s="101">
        <f t="shared" si="4"/>
        <v>591330</v>
      </c>
      <c r="BC5" s="101">
        <f t="shared" si="4"/>
        <v>663310.3466</v>
      </c>
      <c r="BD5" s="101">
        <f t="shared" si="4"/>
        <v>603426</v>
      </c>
      <c r="BE5" s="101">
        <f t="shared" si="4"/>
        <v>710946.2437</v>
      </c>
      <c r="BF5" s="101">
        <f t="shared" si="4"/>
        <v>639233</v>
      </c>
      <c r="BG5" s="101">
        <f t="shared" si="4"/>
        <v>762116.5361</v>
      </c>
      <c r="BH5" s="101">
        <f t="shared" si="4"/>
        <v>663875</v>
      </c>
      <c r="BI5" s="101">
        <f t="shared" si="4"/>
        <v>814820.9457</v>
      </c>
      <c r="BJ5" s="101">
        <f t="shared" si="4"/>
        <v>701062</v>
      </c>
      <c r="BK5" s="101">
        <f t="shared" si="4"/>
        <v>871923.9751</v>
      </c>
      <c r="BL5" s="101">
        <f t="shared" si="4"/>
        <v>745201</v>
      </c>
      <c r="BM5" s="101">
        <f t="shared" si="4"/>
        <v>844261.1997</v>
      </c>
      <c r="BN5" s="101">
        <f t="shared" si="4"/>
        <v>779710</v>
      </c>
      <c r="BO5" s="101">
        <f t="shared" si="4"/>
        <v>886132.6836</v>
      </c>
      <c r="BP5" s="101">
        <f t="shared" si="4"/>
        <v>835009</v>
      </c>
      <c r="BQ5" s="101">
        <f t="shared" si="4"/>
        <v>930544.5679</v>
      </c>
      <c r="BR5" s="101">
        <f t="shared" si="4"/>
        <v>887376</v>
      </c>
      <c r="BS5" s="101">
        <f t="shared" si="4"/>
        <v>977602.5629</v>
      </c>
      <c r="BT5" s="101">
        <f t="shared" si="4"/>
        <v>921568</v>
      </c>
      <c r="BU5" s="101">
        <f t="shared" si="4"/>
        <v>1023589.629</v>
      </c>
      <c r="BV5" s="101">
        <f t="shared" si="4"/>
        <v>958624</v>
      </c>
      <c r="BW5" s="101">
        <f t="shared" si="4"/>
        <v>1067443.262</v>
      </c>
      <c r="BX5" s="101">
        <f t="shared" si="4"/>
        <v>1031191</v>
      </c>
      <c r="BY5" s="101">
        <f t="shared" si="4"/>
        <v>1113305.621</v>
      </c>
      <c r="BZ5" s="101">
        <f t="shared" si="4"/>
        <v>1080076</v>
      </c>
      <c r="CA5" s="101">
        <f t="shared" si="4"/>
        <v>1161531.919</v>
      </c>
      <c r="CB5" s="101">
        <f t="shared" si="4"/>
        <v>1136331</v>
      </c>
      <c r="CC5" s="101">
        <f t="shared" si="4"/>
        <v>1213697.527</v>
      </c>
      <c r="CD5" s="101">
        <f t="shared" si="4"/>
        <v>1198903</v>
      </c>
      <c r="CE5" s="101">
        <f t="shared" si="4"/>
        <v>1264115.23</v>
      </c>
      <c r="CF5" s="101">
        <f t="shared" si="4"/>
        <v>1258184</v>
      </c>
      <c r="CG5" s="101">
        <f t="shared" si="4"/>
        <v>1318220.431</v>
      </c>
      <c r="CH5" s="101">
        <f t="shared" si="4"/>
        <v>1319257</v>
      </c>
      <c r="CI5" s="101">
        <f t="shared" si="4"/>
        <v>1375365.303</v>
      </c>
      <c r="CJ5" s="101">
        <f t="shared" si="4"/>
        <v>1373957</v>
      </c>
      <c r="CK5" s="101">
        <f t="shared" si="4"/>
        <v>1435763.165</v>
      </c>
      <c r="CL5" s="101">
        <f t="shared" si="4"/>
        <v>1421764</v>
      </c>
      <c r="CM5" s="101">
        <f t="shared" si="4"/>
        <v>1500198.782</v>
      </c>
      <c r="CN5" s="101">
        <f t="shared" si="4"/>
        <v>1569483.202</v>
      </c>
    </row>
    <row r="6" ht="15.75" customHeight="1">
      <c r="A6" s="94"/>
      <c r="B6" s="97"/>
      <c r="C6" s="97"/>
      <c r="D6" s="97"/>
      <c r="E6" s="13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>
        <f>CF5*12</f>
        <v>15098208</v>
      </c>
      <c r="CG6" s="101"/>
      <c r="CH6" s="101"/>
      <c r="CI6" s="101"/>
      <c r="CJ6" s="101">
        <f>CJ8*12</f>
        <v>9642540</v>
      </c>
      <c r="CK6" s="101"/>
      <c r="CL6" s="101">
        <f>CL7*12</f>
        <v>7074120</v>
      </c>
      <c r="CM6" s="101"/>
      <c r="CN6" s="101"/>
    </row>
    <row r="7" ht="15.75" customHeight="1">
      <c r="A7" s="102"/>
      <c r="B7" s="4">
        <f>SUM(F7:V7)+X7+AP7+AN7+AL7+AJ7+AH7+AF7+AD7+AB7+Z7+AR7+AT7+AV7+AX7+AZ7+BB7+BD7+BF7</f>
        <v>4771921</v>
      </c>
      <c r="C7" s="4"/>
      <c r="D7" s="19">
        <f t="shared" ref="D7:D8" si="5">SUM(F7:V7)+X7+Z7+AB7+AD7+AF7+AH7+AJ7+AL7+AN7+AP7+AR7+AT7+AV7+AX7+AZ7+BB7+BD7+BF7+BH7+BJ7+BL7+BN7</f>
        <v>6210949</v>
      </c>
      <c r="E7" s="103" t="s">
        <v>7</v>
      </c>
      <c r="F7" s="11">
        <v>1506.0</v>
      </c>
      <c r="G7" s="11">
        <v>3089.0</v>
      </c>
      <c r="H7" s="11">
        <v>5542.0</v>
      </c>
      <c r="I7" s="11">
        <v>7591.0</v>
      </c>
      <c r="J7" s="11">
        <v>9145.0</v>
      </c>
      <c r="K7" s="11">
        <v>14804.0</v>
      </c>
      <c r="L7" s="11">
        <v>18536.0</v>
      </c>
      <c r="M7" s="11">
        <v>21417.0</v>
      </c>
      <c r="N7" s="11">
        <v>23810.0</v>
      </c>
      <c r="O7" s="11">
        <v>29498.0</v>
      </c>
      <c r="P7" s="11">
        <v>39142.0</v>
      </c>
      <c r="Q7" s="11">
        <v>47563.0</v>
      </c>
      <c r="R7" s="11">
        <v>51871.0</v>
      </c>
      <c r="S7" s="11">
        <v>58109.0</v>
      </c>
      <c r="T7" s="11">
        <v>70577.0</v>
      </c>
      <c r="U7" s="11">
        <v>83178.0</v>
      </c>
      <c r="V7" s="11">
        <v>102303.0</v>
      </c>
      <c r="W7" s="11">
        <v>42312.97166666667</v>
      </c>
      <c r="X7" s="11">
        <v>113400.0</v>
      </c>
      <c r="Y7" s="11">
        <v>55179.929543750004</v>
      </c>
      <c r="Z7" s="11">
        <v>131106.0</v>
      </c>
      <c r="AA7" s="11">
        <v>68550.78937490625</v>
      </c>
      <c r="AB7" s="11">
        <v>145203.0</v>
      </c>
      <c r="AC7" s="11">
        <v>81501.17145302657</v>
      </c>
      <c r="AD7" s="11">
        <v>160126.0</v>
      </c>
      <c r="AE7" s="11">
        <v>96638.16759859794</v>
      </c>
      <c r="AF7" s="11">
        <v>181367.0</v>
      </c>
      <c r="AG7" s="11">
        <v>114702.15827161021</v>
      </c>
      <c r="AH7" s="11">
        <v>191676.0</v>
      </c>
      <c r="AI7" s="11">
        <v>133391.11977846528</v>
      </c>
      <c r="AJ7" s="11">
        <v>202269.0</v>
      </c>
      <c r="AK7" s="11">
        <v>155107.81620067504</v>
      </c>
      <c r="AL7" s="11">
        <v>215514.0</v>
      </c>
      <c r="AM7" s="11">
        <v>179593.50385370362</v>
      </c>
      <c r="AN7" s="11">
        <v>234003.0</v>
      </c>
      <c r="AO7" s="11">
        <v>171509.47966666668</v>
      </c>
      <c r="AP7" s="11">
        <v>245191.0</v>
      </c>
      <c r="AQ7" s="11">
        <v>184595.53257733336</v>
      </c>
      <c r="AR7" s="11">
        <v>253609.0</v>
      </c>
      <c r="AS7" s="11">
        <v>203621.85285307202</v>
      </c>
      <c r="AT7" s="11">
        <v>264946.0</v>
      </c>
      <c r="AU7" s="11">
        <v>220880.7618883549</v>
      </c>
      <c r="AV7" s="11">
        <v>277680.0</v>
      </c>
      <c r="AW7" s="11">
        <v>239048.9483867497</v>
      </c>
      <c r="AX7" s="11">
        <v>291420.0</v>
      </c>
      <c r="AY7" s="11">
        <v>255749.4652218871</v>
      </c>
      <c r="AZ7" s="11">
        <v>305242.0</v>
      </c>
      <c r="BA7" s="11">
        <v>282394.289552963</v>
      </c>
      <c r="BB7" s="11">
        <v>317242.0</v>
      </c>
      <c r="BC7" s="11">
        <v>313673.77475111384</v>
      </c>
      <c r="BD7" s="101">
        <v>320934.0</v>
      </c>
      <c r="BE7" s="101">
        <v>343427.50033886224</v>
      </c>
      <c r="BF7" s="101">
        <v>333312.0</v>
      </c>
      <c r="BG7" s="101">
        <v>375332.7140412538</v>
      </c>
      <c r="BH7" s="101">
        <v>337979.0</v>
      </c>
      <c r="BI7" s="101">
        <v>408184.0912721579</v>
      </c>
      <c r="BJ7" s="101">
        <v>351369.0</v>
      </c>
      <c r="BK7" s="101">
        <v>445075.81643808546</v>
      </c>
      <c r="BL7" s="101">
        <v>371136.0</v>
      </c>
      <c r="BM7" s="101">
        <v>419681.57762949355</v>
      </c>
      <c r="BN7" s="101">
        <v>378544.0</v>
      </c>
      <c r="BO7" s="101">
        <v>444310.1122775962</v>
      </c>
      <c r="BP7" s="101">
        <v>391807.0</v>
      </c>
      <c r="BQ7" s="101">
        <v>471175.80259228754</v>
      </c>
      <c r="BR7" s="101">
        <v>411051.0</v>
      </c>
      <c r="BS7" s="101">
        <v>499633.0731754979</v>
      </c>
      <c r="BT7" s="101">
        <v>423123.0</v>
      </c>
      <c r="BU7" s="101">
        <v>527578.1651531408</v>
      </c>
      <c r="BV7" s="101">
        <v>440887.0</v>
      </c>
      <c r="BW7" s="101">
        <v>557698.7770679259</v>
      </c>
      <c r="BX7" s="101">
        <v>463987.0</v>
      </c>
      <c r="BY7" s="101">
        <v>589894.6172199518</v>
      </c>
      <c r="BZ7" s="101">
        <v>481220.0</v>
      </c>
      <c r="CA7" s="101">
        <v>624858.6178428504</v>
      </c>
      <c r="CB7" s="101">
        <v>496125.0</v>
      </c>
      <c r="CC7" s="11">
        <v>663420.0471922747</v>
      </c>
      <c r="CD7" s="101">
        <v>521879.0</v>
      </c>
      <c r="CE7" s="11">
        <v>700950.3211146538</v>
      </c>
      <c r="CF7" s="101">
        <v>540683.0</v>
      </c>
      <c r="CG7" s="11">
        <v>741349.4732667928</v>
      </c>
      <c r="CH7" s="101">
        <v>562524.0</v>
      </c>
      <c r="CI7" s="11">
        <v>784396.7759067811</v>
      </c>
      <c r="CJ7" s="101">
        <v>570412.0</v>
      </c>
      <c r="CK7" s="11">
        <v>830229.7625033512</v>
      </c>
      <c r="CL7" s="101">
        <v>589510.0</v>
      </c>
      <c r="CM7" s="11">
        <v>879697.8930476519</v>
      </c>
      <c r="CN7" s="11">
        <v>934057.6889559897</v>
      </c>
      <c r="CP7" s="49"/>
      <c r="CQ7" s="49"/>
    </row>
    <row r="8" ht="15.75" customHeight="1">
      <c r="A8" s="102"/>
      <c r="B8" s="95">
        <f>X8+Z8+AB8+AD8+AF8+AH8+AJ8+AL8+AN8+AP8+AR8+AT8</f>
        <v>1385628</v>
      </c>
      <c r="C8" s="95"/>
      <c r="D8" s="19">
        <f t="shared" si="5"/>
        <v>4491010</v>
      </c>
      <c r="E8" s="103" t="s">
        <v>5</v>
      </c>
      <c r="F8" s="11">
        <v>667.0</v>
      </c>
      <c r="G8" s="11">
        <v>667.0</v>
      </c>
      <c r="H8" s="11">
        <v>1084.0</v>
      </c>
      <c r="I8" s="11">
        <v>1084.0</v>
      </c>
      <c r="J8" s="11">
        <v>1084.0</v>
      </c>
      <c r="K8" s="11">
        <v>1084.0</v>
      </c>
      <c r="L8" s="11">
        <v>1834.0</v>
      </c>
      <c r="M8" s="11">
        <v>2334.0</v>
      </c>
      <c r="N8" s="11">
        <v>2334.0</v>
      </c>
      <c r="O8" s="11">
        <v>2959.0</v>
      </c>
      <c r="P8" s="11">
        <v>4597.0</v>
      </c>
      <c r="Q8" s="11">
        <v>5430.0</v>
      </c>
      <c r="R8" s="11">
        <v>6985.0</v>
      </c>
      <c r="S8" s="11">
        <v>11260.0</v>
      </c>
      <c r="T8" s="11">
        <v>12895.0</v>
      </c>
      <c r="U8" s="11">
        <v>15687.0</v>
      </c>
      <c r="V8" s="11">
        <v>28152.0</v>
      </c>
      <c r="W8" s="11">
        <v>152593.66666666666</v>
      </c>
      <c r="X8" s="11">
        <v>37069.0</v>
      </c>
      <c r="Y8" s="11">
        <v>169625.69364583332</v>
      </c>
      <c r="Z8" s="11">
        <v>47231.0</v>
      </c>
      <c r="AA8" s="11">
        <v>187848.5106302083</v>
      </c>
      <c r="AB8" s="11">
        <v>67755.0</v>
      </c>
      <c r="AC8" s="11">
        <v>206076.2896071614</v>
      </c>
      <c r="AD8" s="11">
        <v>78460.0</v>
      </c>
      <c r="AE8" s="11">
        <v>223972.82936111643</v>
      </c>
      <c r="AF8" s="11">
        <v>90826.0</v>
      </c>
      <c r="AG8" s="11">
        <v>243649.37340655582</v>
      </c>
      <c r="AH8" s="11">
        <v>106550.0</v>
      </c>
      <c r="AI8" s="11">
        <v>263838.803599132</v>
      </c>
      <c r="AJ8" s="11">
        <v>126968.0</v>
      </c>
      <c r="AK8" s="11">
        <v>283983.21341794665</v>
      </c>
      <c r="AL8" s="11">
        <v>139617.0</v>
      </c>
      <c r="AM8" s="11">
        <v>304671.39606843324</v>
      </c>
      <c r="AN8" s="11">
        <v>154172.0</v>
      </c>
      <c r="AO8" s="11">
        <v>276965.3075</v>
      </c>
      <c r="AP8" s="11">
        <v>166473.0</v>
      </c>
      <c r="AQ8" s="11">
        <v>283518.42821041663</v>
      </c>
      <c r="AR8" s="11">
        <v>177149.0</v>
      </c>
      <c r="AS8" s="11">
        <v>290098.19310129684</v>
      </c>
      <c r="AT8" s="11">
        <v>193358.0</v>
      </c>
      <c r="AU8" s="11">
        <v>298794.64833267784</v>
      </c>
      <c r="AV8" s="11">
        <v>206593.0</v>
      </c>
      <c r="AW8" s="11">
        <v>308544.6201845709</v>
      </c>
      <c r="AX8" s="11">
        <v>229938.0</v>
      </c>
      <c r="AY8" s="11">
        <v>319037.529709765</v>
      </c>
      <c r="AZ8" s="11">
        <v>255393.0</v>
      </c>
      <c r="BA8" s="11">
        <v>332886.3207588707</v>
      </c>
      <c r="BB8" s="11">
        <v>274088.0</v>
      </c>
      <c r="BC8" s="11">
        <v>349636.5718414036</v>
      </c>
      <c r="BD8" s="101">
        <v>282492.0</v>
      </c>
      <c r="BE8" s="101">
        <v>367518.74340732954</v>
      </c>
      <c r="BF8" s="101">
        <v>305921.0</v>
      </c>
      <c r="BG8" s="101">
        <v>386783.8220182355</v>
      </c>
      <c r="BH8" s="101">
        <v>325896.0</v>
      </c>
      <c r="BI8" s="101">
        <v>406636.8544258582</v>
      </c>
      <c r="BJ8" s="101">
        <v>349693.0</v>
      </c>
      <c r="BK8" s="101">
        <v>426848.1586464184</v>
      </c>
      <c r="BL8" s="101">
        <v>374065.0</v>
      </c>
      <c r="BM8" s="101">
        <v>424579.62203386246</v>
      </c>
      <c r="BN8" s="101">
        <v>401166.0</v>
      </c>
      <c r="BO8" s="101">
        <v>441822.57128838176</v>
      </c>
      <c r="BP8" s="101">
        <v>443202.0</v>
      </c>
      <c r="BQ8" s="101">
        <v>459368.7653104256</v>
      </c>
      <c r="BR8" s="101">
        <v>476325.0</v>
      </c>
      <c r="BS8" s="101">
        <v>477969.4896978179</v>
      </c>
      <c r="BT8" s="101">
        <v>498445.0</v>
      </c>
      <c r="BU8" s="101">
        <v>496011.46410767175</v>
      </c>
      <c r="BV8" s="101">
        <v>517737.0</v>
      </c>
      <c r="BW8" s="101">
        <v>509744.48509915866</v>
      </c>
      <c r="BX8" s="101">
        <v>567204.0</v>
      </c>
      <c r="BY8" s="101">
        <v>523411.00415262923</v>
      </c>
      <c r="BZ8" s="101">
        <v>598856.0</v>
      </c>
      <c r="CA8" s="101">
        <v>536673.3015399266</v>
      </c>
      <c r="CB8" s="101">
        <v>640206.0</v>
      </c>
      <c r="CC8" s="11">
        <v>550277.4801426835</v>
      </c>
      <c r="CD8" s="101">
        <v>677024.0</v>
      </c>
      <c r="CE8" s="11">
        <v>563164.908534085</v>
      </c>
      <c r="CF8" s="101">
        <v>717501.0</v>
      </c>
      <c r="CG8" s="11">
        <v>576870.9576756941</v>
      </c>
      <c r="CH8" s="101">
        <v>756733.0</v>
      </c>
      <c r="CI8" s="11">
        <v>590968.5272164211</v>
      </c>
      <c r="CJ8" s="101">
        <v>803545.0</v>
      </c>
      <c r="CK8" s="11">
        <v>605533.4021086433</v>
      </c>
      <c r="CL8" s="101">
        <v>832254.0</v>
      </c>
      <c r="CM8" s="11">
        <v>620500.8890636788</v>
      </c>
      <c r="CN8" s="11">
        <v>635425.5132071585</v>
      </c>
      <c r="CP8" s="49"/>
      <c r="CQ8" s="49"/>
    </row>
    <row r="9" ht="15.75" customHeight="1">
      <c r="A9" s="102"/>
      <c r="B9" s="95"/>
      <c r="C9" s="95"/>
      <c r="D9" s="95"/>
      <c r="E9" s="4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>
        <f>CJ7*12</f>
        <v>6844944</v>
      </c>
      <c r="CK9" s="101"/>
      <c r="CL9" s="101">
        <f>CL8*12</f>
        <v>9987048</v>
      </c>
      <c r="CM9" s="101"/>
      <c r="CN9" s="101"/>
      <c r="CP9" s="49"/>
    </row>
    <row r="10" ht="15.75" customHeight="1">
      <c r="A10" s="94"/>
      <c r="B10" s="4">
        <f>SUM(F10:V10)+X10+AP10+AN10+AL10+AJ10+AH10+AF10+AD10+AB10+Z10+AR10+AT10+AV10+AX10+AZ10+BB10+BD10+BF10</f>
        <v>94270</v>
      </c>
      <c r="C10" s="4"/>
      <c r="D10" s="19">
        <f>SUM(F10:V10)+X10+Z10+AB10+AD10+AF10+AH10+AJ10+AL10+AN10+AP10+AR10+AT10+AV10+AX10+AZ10+BB10+BD10+BF10+BH10+BJ10+BL10+BN10</f>
        <v>125618</v>
      </c>
      <c r="E10" s="13" t="s">
        <v>94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158.0</v>
      </c>
      <c r="O10" s="11">
        <v>223.0</v>
      </c>
      <c r="P10" s="11">
        <v>293.0</v>
      </c>
      <c r="Q10" s="11">
        <v>600.0</v>
      </c>
      <c r="R10" s="11">
        <v>908.0</v>
      </c>
      <c r="S10" s="11">
        <v>1102.0</v>
      </c>
      <c r="T10" s="11">
        <v>1220.0</v>
      </c>
      <c r="U10" s="11">
        <v>1220.0</v>
      </c>
      <c r="V10" s="11">
        <v>1697.0</v>
      </c>
      <c r="W10" s="101"/>
      <c r="X10" s="11">
        <v>3034.0</v>
      </c>
      <c r="Y10" s="101"/>
      <c r="Z10" s="11">
        <v>3088.0</v>
      </c>
      <c r="AA10" s="101"/>
      <c r="AB10" s="11">
        <v>3439.0</v>
      </c>
      <c r="AC10" s="101"/>
      <c r="AD10" s="11">
        <v>3375.0</v>
      </c>
      <c r="AE10" s="101"/>
      <c r="AF10" s="11">
        <v>3433.0</v>
      </c>
      <c r="AG10" s="101"/>
      <c r="AH10" s="11">
        <v>3549.0</v>
      </c>
      <c r="AI10" s="101"/>
      <c r="AJ10" s="11">
        <v>3937.0</v>
      </c>
      <c r="AK10" s="101"/>
      <c r="AL10" s="11">
        <v>3661.0</v>
      </c>
      <c r="AM10" s="101"/>
      <c r="AN10" s="11">
        <v>4233.0</v>
      </c>
      <c r="AO10" s="101"/>
      <c r="AP10" s="11">
        <v>4695.0</v>
      </c>
      <c r="AQ10" s="101"/>
      <c r="AR10" s="11">
        <v>4828.0</v>
      </c>
      <c r="AS10" s="101"/>
      <c r="AT10" s="11">
        <v>5960.0</v>
      </c>
      <c r="AU10" s="101"/>
      <c r="AV10" s="101">
        <v>5252.0</v>
      </c>
      <c r="AW10" s="101"/>
      <c r="AX10" s="101">
        <v>6382.0</v>
      </c>
      <c r="AY10" s="101"/>
      <c r="AZ10" s="101">
        <v>6332.0</v>
      </c>
      <c r="BA10" s="101"/>
      <c r="BB10" s="101">
        <v>6906.0</v>
      </c>
      <c r="BC10" s="101"/>
      <c r="BD10" s="101">
        <v>7078.0</v>
      </c>
      <c r="BE10" s="101"/>
      <c r="BF10" s="101">
        <v>7667.0</v>
      </c>
      <c r="BG10" s="101"/>
      <c r="BH10" s="101">
        <v>7368.0</v>
      </c>
      <c r="BI10" s="101"/>
      <c r="BJ10" s="101">
        <v>8170.0</v>
      </c>
      <c r="BK10" s="101"/>
      <c r="BL10" s="101">
        <v>7904.0</v>
      </c>
      <c r="BM10" s="101"/>
      <c r="BN10" s="101">
        <v>7906.0</v>
      </c>
      <c r="BO10" s="101"/>
      <c r="BP10" s="101">
        <v>9123.0</v>
      </c>
      <c r="BQ10" s="101"/>
      <c r="BR10" s="101">
        <v>8249.0</v>
      </c>
      <c r="BS10" s="101"/>
      <c r="BT10" s="101">
        <v>8505.0</v>
      </c>
      <c r="BU10" s="101"/>
      <c r="BV10" s="101">
        <v>7980.0</v>
      </c>
      <c r="BW10" s="101"/>
      <c r="BX10" s="101">
        <v>8407.0</v>
      </c>
      <c r="BY10" s="101"/>
      <c r="BZ10" s="101">
        <v>8357.0</v>
      </c>
      <c r="CA10" s="101"/>
      <c r="CB10" s="101">
        <v>8722.0</v>
      </c>
      <c r="CC10" s="101"/>
      <c r="CD10" s="101">
        <v>9169.0</v>
      </c>
      <c r="CE10" s="101"/>
      <c r="CF10" s="101">
        <v>9564.0</v>
      </c>
      <c r="CG10" s="101"/>
      <c r="CH10" s="101">
        <v>9633.0</v>
      </c>
      <c r="CI10" s="101"/>
      <c r="CJ10" s="101">
        <v>10150.0</v>
      </c>
      <c r="CK10" s="101"/>
      <c r="CL10" s="101">
        <v>11208.0</v>
      </c>
      <c r="CM10" s="101"/>
      <c r="CN10" s="101"/>
      <c r="CP10" s="49"/>
    </row>
    <row r="11" ht="15.75" customHeight="1">
      <c r="A11" s="94"/>
      <c r="B11" s="97"/>
      <c r="C11" s="97"/>
      <c r="D11" s="97"/>
      <c r="E11" s="5"/>
      <c r="F11" s="104"/>
      <c r="G11" s="57"/>
      <c r="H11" s="104"/>
      <c r="I11" s="104"/>
      <c r="J11" s="104"/>
      <c r="K11" s="104"/>
      <c r="L11" s="104"/>
      <c r="M11" s="104"/>
      <c r="N11" s="98"/>
      <c r="O11" s="98"/>
      <c r="P11" s="104"/>
      <c r="Q11" s="104"/>
      <c r="R11" s="104"/>
      <c r="S11" s="104"/>
      <c r="T11" s="5"/>
      <c r="U11" s="5"/>
      <c r="V11" s="5"/>
      <c r="W11" s="5"/>
      <c r="X11" s="5"/>
      <c r="Y11" s="5"/>
      <c r="Z11" s="5"/>
      <c r="AA11" s="1"/>
      <c r="AB11" s="5"/>
      <c r="AC11" s="1"/>
      <c r="AD11" s="5"/>
      <c r="AE11" s="1"/>
      <c r="AF11" s="5"/>
      <c r="AG11" s="1"/>
      <c r="AH11" s="5"/>
      <c r="AI11" s="1"/>
      <c r="AJ11" s="5"/>
      <c r="AK11" s="1"/>
      <c r="AL11" s="5"/>
      <c r="AM11" s="1"/>
      <c r="AN11" s="5"/>
      <c r="AO11" s="1"/>
      <c r="AP11" s="5"/>
      <c r="AQ11" s="1"/>
      <c r="AR11" s="5"/>
      <c r="AS11" s="1"/>
      <c r="AT11" s="5"/>
      <c r="AU11" s="1"/>
      <c r="AV11" s="5"/>
      <c r="AW11" s="1"/>
      <c r="AX11" s="5"/>
      <c r="AY11" s="1"/>
      <c r="AZ11" s="5"/>
      <c r="BA11" s="1"/>
      <c r="BB11" s="5"/>
      <c r="BC11" s="1"/>
      <c r="BD11" s="5"/>
      <c r="BE11" s="1"/>
      <c r="BF11" s="5"/>
      <c r="BG11" s="1"/>
      <c r="BH11" s="5"/>
      <c r="BI11" s="1"/>
      <c r="BJ11" s="5"/>
      <c r="BK11" s="1"/>
      <c r="BL11" s="5"/>
      <c r="BM11" s="1"/>
      <c r="BN11" s="5"/>
      <c r="BO11" s="1"/>
      <c r="BP11" s="5"/>
      <c r="BQ11" s="1"/>
      <c r="BR11" s="5"/>
      <c r="BS11" s="1"/>
      <c r="BT11" s="5"/>
      <c r="BU11" s="1"/>
      <c r="BV11" s="5"/>
      <c r="BW11" s="1"/>
      <c r="BX11" s="5"/>
      <c r="BY11" s="1"/>
      <c r="BZ11" s="5"/>
      <c r="CA11" s="1"/>
      <c r="CB11" s="5"/>
      <c r="CC11" s="1"/>
      <c r="CD11" s="5"/>
      <c r="CE11" s="1"/>
      <c r="CF11" s="5"/>
      <c r="CG11" s="1"/>
      <c r="CH11" s="5"/>
      <c r="CI11" s="1"/>
      <c r="CJ11" s="5"/>
      <c r="CK11" s="1"/>
      <c r="CL11" s="5"/>
      <c r="CM11" s="1"/>
      <c r="CN11" s="1"/>
      <c r="CP11" s="49"/>
    </row>
    <row r="12" ht="15.75" customHeight="1">
      <c r="A12" s="94"/>
      <c r="B12" s="97"/>
      <c r="C12" s="97"/>
      <c r="D12" s="97"/>
      <c r="E12" s="7" t="s">
        <v>95</v>
      </c>
      <c r="F12" s="96">
        <f t="shared" ref="F12:CN12" si="6">SUM(F14:F15)</f>
        <v>649.0121951</v>
      </c>
      <c r="G12" s="96">
        <f t="shared" si="6"/>
        <v>375</v>
      </c>
      <c r="H12" s="96">
        <f t="shared" si="6"/>
        <v>1348</v>
      </c>
      <c r="I12" s="96">
        <f t="shared" si="6"/>
        <v>1864</v>
      </c>
      <c r="J12" s="96">
        <f t="shared" si="6"/>
        <v>2245</v>
      </c>
      <c r="K12" s="96">
        <f t="shared" si="6"/>
        <v>3392.54878</v>
      </c>
      <c r="L12" s="96">
        <f t="shared" si="6"/>
        <v>5215.280488</v>
      </c>
      <c r="M12" s="96">
        <f t="shared" si="6"/>
        <v>5090.987805</v>
      </c>
      <c r="N12" s="96">
        <f t="shared" si="6"/>
        <v>5620</v>
      </c>
      <c r="O12" s="96">
        <f t="shared" si="6"/>
        <v>7509</v>
      </c>
      <c r="P12" s="96">
        <f t="shared" si="6"/>
        <v>9655.048057</v>
      </c>
      <c r="Q12" s="96">
        <f t="shared" si="6"/>
        <v>11546.9291</v>
      </c>
      <c r="R12" s="96">
        <f t="shared" si="6"/>
        <v>12889</v>
      </c>
      <c r="S12" s="96">
        <f t="shared" si="6"/>
        <v>14764</v>
      </c>
      <c r="T12" s="96">
        <f t="shared" si="6"/>
        <v>16808.53085</v>
      </c>
      <c r="U12" s="96">
        <f t="shared" si="6"/>
        <v>19694.33764</v>
      </c>
      <c r="V12" s="96">
        <f t="shared" si="6"/>
        <v>24573</v>
      </c>
      <c r="W12" s="96">
        <f t="shared" si="6"/>
        <v>39162.33333</v>
      </c>
      <c r="X12" s="96">
        <f t="shared" si="6"/>
        <v>28604.8561</v>
      </c>
      <c r="Y12" s="96">
        <f t="shared" si="6"/>
        <v>44146</v>
      </c>
      <c r="Z12" s="96">
        <f t="shared" si="6"/>
        <v>33405.03195</v>
      </c>
      <c r="AA12" s="96">
        <f t="shared" si="6"/>
        <v>49324.66667</v>
      </c>
      <c r="AB12" s="96">
        <f t="shared" si="6"/>
        <v>37756.04976</v>
      </c>
      <c r="AC12" s="96">
        <f t="shared" si="6"/>
        <v>54154</v>
      </c>
      <c r="AD12" s="96">
        <f t="shared" si="6"/>
        <v>40852.22195</v>
      </c>
      <c r="AE12" s="96">
        <f t="shared" si="6"/>
        <v>59087.66667</v>
      </c>
      <c r="AF12" s="96">
        <f t="shared" si="6"/>
        <v>47980.59988</v>
      </c>
      <c r="AG12" s="96">
        <f t="shared" si="6"/>
        <v>64265.66667</v>
      </c>
      <c r="AH12" s="96">
        <f t="shared" si="6"/>
        <v>52022.36037</v>
      </c>
      <c r="AI12" s="96">
        <f t="shared" si="6"/>
        <v>69562.66667</v>
      </c>
      <c r="AJ12" s="96">
        <f t="shared" si="6"/>
        <v>59874.01232</v>
      </c>
      <c r="AK12" s="96">
        <f t="shared" si="6"/>
        <v>74534</v>
      </c>
      <c r="AL12" s="96">
        <f t="shared" si="6"/>
        <v>65754.86744</v>
      </c>
      <c r="AM12" s="96">
        <f t="shared" si="6"/>
        <v>79471.33333</v>
      </c>
      <c r="AN12" s="96">
        <f t="shared" si="6"/>
        <v>70960.52366</v>
      </c>
      <c r="AO12" s="96">
        <f t="shared" si="6"/>
        <v>70000</v>
      </c>
      <c r="AP12" s="96">
        <f t="shared" si="6"/>
        <v>71699.25819</v>
      </c>
      <c r="AQ12" s="96">
        <f t="shared" si="6"/>
        <v>65170.52474</v>
      </c>
      <c r="AR12" s="96">
        <f t="shared" si="6"/>
        <v>74128.56337</v>
      </c>
      <c r="AS12" s="96">
        <f t="shared" si="6"/>
        <v>59757.21335</v>
      </c>
      <c r="AT12" s="96">
        <f t="shared" si="6"/>
        <v>77474.51458</v>
      </c>
      <c r="AU12" s="96">
        <f t="shared" si="6"/>
        <v>66170.72308</v>
      </c>
      <c r="AV12" s="96">
        <f t="shared" si="6"/>
        <v>76950.99369</v>
      </c>
      <c r="AW12" s="96">
        <f t="shared" si="6"/>
        <v>61685.84954</v>
      </c>
      <c r="AX12" s="96">
        <f t="shared" si="6"/>
        <v>83328.80083</v>
      </c>
      <c r="AY12" s="96">
        <f t="shared" si="6"/>
        <v>62377.60027</v>
      </c>
      <c r="AZ12" s="96">
        <f t="shared" si="6"/>
        <v>85370.41786</v>
      </c>
      <c r="BA12" s="96">
        <f t="shared" si="6"/>
        <v>65960.44677</v>
      </c>
      <c r="BB12" s="96">
        <f t="shared" si="6"/>
        <v>89133.1856</v>
      </c>
      <c r="BC12" s="96">
        <f t="shared" si="6"/>
        <v>86452.8146</v>
      </c>
      <c r="BD12" s="11">
        <f t="shared" si="6"/>
        <v>88693.77024</v>
      </c>
      <c r="BE12" s="96">
        <f t="shared" si="6"/>
        <v>98711.92912</v>
      </c>
      <c r="BF12" s="11">
        <f t="shared" si="6"/>
        <v>92674.19048</v>
      </c>
      <c r="BG12" s="96">
        <f t="shared" si="6"/>
        <v>99622.25622</v>
      </c>
      <c r="BH12" s="11">
        <f t="shared" si="6"/>
        <v>95730.43357</v>
      </c>
      <c r="BI12" s="96">
        <f t="shared" si="6"/>
        <v>106263.1135</v>
      </c>
      <c r="BJ12" s="11">
        <f t="shared" si="6"/>
        <v>98623.83548</v>
      </c>
      <c r="BK12" s="96">
        <f t="shared" si="6"/>
        <v>110101.137</v>
      </c>
      <c r="BL12" s="11">
        <f t="shared" si="6"/>
        <v>101015.7325</v>
      </c>
      <c r="BM12" s="96">
        <f t="shared" si="6"/>
        <v>120343.1265</v>
      </c>
      <c r="BN12" s="11">
        <f t="shared" si="6"/>
        <v>103144.9781</v>
      </c>
      <c r="BO12" s="96">
        <f t="shared" si="6"/>
        <v>126325.9828</v>
      </c>
      <c r="BP12" s="11">
        <f t="shared" si="6"/>
        <v>106527.978</v>
      </c>
      <c r="BQ12" s="96">
        <f t="shared" si="6"/>
        <v>134538.2811</v>
      </c>
      <c r="BR12" s="11">
        <f t="shared" si="6"/>
        <v>109500.978</v>
      </c>
      <c r="BS12" s="96">
        <f t="shared" si="6"/>
        <v>143392.7092</v>
      </c>
      <c r="BT12" s="11">
        <f t="shared" si="6"/>
        <v>118380.5045</v>
      </c>
      <c r="BU12" s="96">
        <f t="shared" si="6"/>
        <v>152554.9802</v>
      </c>
      <c r="BV12" s="11">
        <f t="shared" si="6"/>
        <v>116515.636</v>
      </c>
      <c r="BW12" s="96">
        <f t="shared" si="6"/>
        <v>161959.5782</v>
      </c>
      <c r="BX12" s="11">
        <f t="shared" si="6"/>
        <v>126775.6498</v>
      </c>
      <c r="BY12" s="96">
        <f t="shared" si="6"/>
        <v>166501.136</v>
      </c>
      <c r="BZ12" s="11">
        <f t="shared" si="6"/>
        <v>128557.2186</v>
      </c>
      <c r="CA12" s="96">
        <f t="shared" si="6"/>
        <v>177156.8496</v>
      </c>
      <c r="CB12" s="11">
        <f t="shared" si="6"/>
        <v>131934.9312</v>
      </c>
      <c r="CC12" s="96">
        <f t="shared" si="6"/>
        <v>188792.9346</v>
      </c>
      <c r="CD12" s="11">
        <f t="shared" si="6"/>
        <v>138899.4741</v>
      </c>
      <c r="CE12" s="96">
        <f t="shared" si="6"/>
        <v>200932.128</v>
      </c>
      <c r="CF12" s="11">
        <f t="shared" si="6"/>
        <v>134562.1191</v>
      </c>
      <c r="CG12" s="96">
        <f t="shared" si="6"/>
        <v>207565.2408</v>
      </c>
      <c r="CH12" s="11">
        <f t="shared" si="6"/>
        <v>135737.0908</v>
      </c>
      <c r="CI12" s="96">
        <f t="shared" si="6"/>
        <v>221600.7649</v>
      </c>
      <c r="CJ12" s="11">
        <f t="shared" si="6"/>
        <v>141694.5146</v>
      </c>
      <c r="CK12" s="96">
        <f t="shared" si="6"/>
        <v>236818.5414</v>
      </c>
      <c r="CL12" s="11">
        <f t="shared" si="6"/>
        <v>147072.6402</v>
      </c>
      <c r="CM12" s="96">
        <f t="shared" si="6"/>
        <v>253377.4955</v>
      </c>
      <c r="CN12" s="96">
        <f t="shared" si="6"/>
        <v>271448.4451</v>
      </c>
      <c r="CP12" s="49"/>
    </row>
    <row r="13" ht="15.75" hidden="1" customHeight="1">
      <c r="A13" s="94"/>
      <c r="B13" s="97"/>
      <c r="C13" s="97"/>
      <c r="D13" s="97"/>
      <c r="E13" s="13"/>
      <c r="F13" s="104"/>
      <c r="G13" s="104"/>
      <c r="H13" s="104"/>
      <c r="I13" s="104"/>
      <c r="J13" s="104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>
        <v>0.6</v>
      </c>
      <c r="X13" s="105"/>
      <c r="Y13" s="105">
        <v>0.6</v>
      </c>
      <c r="Z13" s="105"/>
      <c r="AA13" s="105">
        <v>0.6</v>
      </c>
      <c r="AB13" s="105"/>
      <c r="AC13" s="105">
        <v>0.6</v>
      </c>
      <c r="AD13" s="105"/>
      <c r="AE13" s="105">
        <v>0.6</v>
      </c>
      <c r="AF13" s="105"/>
      <c r="AG13" s="105">
        <v>0.6</v>
      </c>
      <c r="AH13" s="105"/>
      <c r="AI13" s="105">
        <v>0.6</v>
      </c>
      <c r="AJ13" s="105"/>
      <c r="AK13" s="105">
        <v>0.6</v>
      </c>
      <c r="AL13" s="105"/>
      <c r="AM13" s="105">
        <v>0.6</v>
      </c>
      <c r="AN13" s="105"/>
      <c r="AO13" s="105">
        <v>0.6</v>
      </c>
      <c r="AP13" s="105"/>
      <c r="AQ13" s="105">
        <v>0.6</v>
      </c>
      <c r="AR13" s="105"/>
      <c r="AS13" s="105">
        <v>0.6</v>
      </c>
      <c r="AT13" s="105"/>
      <c r="AU13" s="105">
        <v>0.6</v>
      </c>
      <c r="AV13" s="105"/>
      <c r="AW13" s="105">
        <v>0.6</v>
      </c>
      <c r="AX13" s="105"/>
      <c r="AY13" s="105">
        <v>0.6</v>
      </c>
      <c r="AZ13" s="105"/>
      <c r="BA13" s="105">
        <v>0.6</v>
      </c>
      <c r="BB13" s="105"/>
      <c r="BC13" s="105">
        <v>0.6</v>
      </c>
      <c r="BD13" s="105"/>
      <c r="BE13" s="105">
        <v>0.6</v>
      </c>
      <c r="BF13" s="105"/>
      <c r="BG13" s="105">
        <v>0.6</v>
      </c>
      <c r="BH13" s="105"/>
      <c r="BI13" s="105">
        <v>0.6</v>
      </c>
      <c r="BJ13" s="105"/>
      <c r="BK13" s="105">
        <v>0.6</v>
      </c>
      <c r="BL13" s="105"/>
      <c r="BM13" s="105">
        <v>0.6</v>
      </c>
      <c r="BN13" s="105"/>
      <c r="BO13" s="105">
        <v>0.6</v>
      </c>
      <c r="BP13" s="105"/>
      <c r="BQ13" s="105">
        <v>0.6</v>
      </c>
      <c r="BR13" s="105"/>
      <c r="BS13" s="105">
        <v>0.6</v>
      </c>
      <c r="BT13" s="105"/>
      <c r="BU13" s="105">
        <v>0.6</v>
      </c>
      <c r="BV13" s="105"/>
      <c r="BW13" s="105">
        <v>0.6</v>
      </c>
      <c r="BX13" s="105"/>
      <c r="BY13" s="105">
        <v>0.6</v>
      </c>
      <c r="BZ13" s="105"/>
      <c r="CA13" s="105">
        <v>0.6</v>
      </c>
      <c r="CB13" s="105"/>
      <c r="CC13" s="105">
        <v>0.6</v>
      </c>
      <c r="CD13" s="105"/>
      <c r="CE13" s="105">
        <v>0.6</v>
      </c>
      <c r="CF13" s="105"/>
      <c r="CG13" s="105">
        <v>0.6</v>
      </c>
      <c r="CH13" s="105"/>
      <c r="CI13" s="105">
        <v>0.6</v>
      </c>
      <c r="CJ13" s="105"/>
      <c r="CK13" s="105">
        <v>0.6</v>
      </c>
      <c r="CL13" s="105"/>
      <c r="CM13" s="105">
        <v>0.6</v>
      </c>
      <c r="CN13" s="105">
        <v>0.6</v>
      </c>
      <c r="CP13" s="49"/>
    </row>
    <row r="14" ht="15.75" customHeight="1">
      <c r="A14" s="94" t="str">
        <f t="shared" ref="A14:A15" si="7">$E$12&amp;E14</f>
        <v>Cost of Goods Sold (COGS)Server Hosting charges - Direct expenses</v>
      </c>
      <c r="B14" s="97"/>
      <c r="C14" s="97"/>
      <c r="D14" s="4"/>
      <c r="E14" s="5" t="s">
        <v>96</v>
      </c>
      <c r="F14" s="57">
        <v>649.0121951219512</v>
      </c>
      <c r="G14" s="57">
        <v>0.0</v>
      </c>
      <c r="H14" s="57">
        <v>0.0</v>
      </c>
      <c r="I14" s="57">
        <v>0.0</v>
      </c>
      <c r="J14" s="57">
        <v>0.0</v>
      </c>
      <c r="K14" s="57">
        <v>77.54878048780488</v>
      </c>
      <c r="L14" s="57">
        <v>927.280487804878</v>
      </c>
      <c r="M14" s="57">
        <v>187.9878048780488</v>
      </c>
      <c r="N14" s="57">
        <v>0.0</v>
      </c>
      <c r="O14" s="57">
        <v>0.0</v>
      </c>
      <c r="P14" s="57">
        <v>69.04805704836708</v>
      </c>
      <c r="Q14" s="57">
        <v>70.92910293509715</v>
      </c>
      <c r="R14" s="57">
        <v>0.0</v>
      </c>
      <c r="S14" s="57">
        <v>0.0</v>
      </c>
      <c r="T14" s="57">
        <v>3.530853658536585</v>
      </c>
      <c r="U14" s="57">
        <v>377.3376395204631</v>
      </c>
      <c r="V14" s="57">
        <v>0.0</v>
      </c>
      <c r="W14" s="57">
        <v>5629.0</v>
      </c>
      <c r="X14" s="57">
        <v>70.85609756097561</v>
      </c>
      <c r="Y14" s="57">
        <v>6396.0</v>
      </c>
      <c r="Z14" s="57">
        <v>233.0319512195122</v>
      </c>
      <c r="AA14" s="57">
        <v>7178.0</v>
      </c>
      <c r="AB14" s="57">
        <v>71.04975609756097</v>
      </c>
      <c r="AC14" s="57">
        <v>7929.0</v>
      </c>
      <c r="AD14" s="57">
        <v>71.22195121951219</v>
      </c>
      <c r="AE14" s="57">
        <v>8696.0</v>
      </c>
      <c r="AF14" s="57">
        <v>2885.5998780487807</v>
      </c>
      <c r="AG14" s="57">
        <v>9494.0</v>
      </c>
      <c r="AH14" s="57">
        <v>2393.3603658536585</v>
      </c>
      <c r="AI14" s="57">
        <v>10291.0</v>
      </c>
      <c r="AJ14" s="57">
        <v>10067.012317073171</v>
      </c>
      <c r="AK14" s="57">
        <v>11104.0</v>
      </c>
      <c r="AL14" s="57">
        <v>13594.867439024389</v>
      </c>
      <c r="AM14" s="57">
        <v>11933.0</v>
      </c>
      <c r="AN14" s="57">
        <v>14779.523658536587</v>
      </c>
      <c r="AO14" s="57">
        <v>20000.0</v>
      </c>
      <c r="AP14" s="57">
        <v>13933.258192771083</v>
      </c>
      <c r="AQ14" s="57">
        <v>21000.0</v>
      </c>
      <c r="AR14" s="57">
        <v>14861.563373493977</v>
      </c>
      <c r="AS14" s="57">
        <v>22050.0</v>
      </c>
      <c r="AT14" s="57">
        <v>16545.514578313254</v>
      </c>
      <c r="AU14" s="57">
        <v>23152.5</v>
      </c>
      <c r="AV14" s="57">
        <v>16194.99369047619</v>
      </c>
      <c r="AW14" s="57">
        <v>24310.125</v>
      </c>
      <c r="AX14" s="57">
        <v>21332.800833333335</v>
      </c>
      <c r="AY14" s="57">
        <v>25525.631250000002</v>
      </c>
      <c r="AZ14" s="57">
        <v>22090.417857142857</v>
      </c>
      <c r="BA14" s="57">
        <v>26801.912812500002</v>
      </c>
      <c r="BB14" s="57">
        <v>25852.185595238094</v>
      </c>
      <c r="BC14" s="57">
        <v>28142.008453125003</v>
      </c>
      <c r="BD14" s="57">
        <v>26012.77023809524</v>
      </c>
      <c r="BE14" s="57">
        <v>29549.108875781254</v>
      </c>
      <c r="BF14" s="57">
        <v>29337.190476190477</v>
      </c>
      <c r="BG14" s="57">
        <v>31026.56431957032</v>
      </c>
      <c r="BH14" s="57">
        <v>31880.43357142857</v>
      </c>
      <c r="BI14" s="57">
        <v>32577.892535548835</v>
      </c>
      <c r="BJ14" s="57">
        <v>32982.83547619048</v>
      </c>
      <c r="BK14" s="57">
        <v>34206.787162326276</v>
      </c>
      <c r="BL14" s="57">
        <v>33589.7325</v>
      </c>
      <c r="BM14" s="57">
        <v>35917.126520442594</v>
      </c>
      <c r="BN14" s="57">
        <v>35202.978063529416</v>
      </c>
      <c r="BO14" s="57">
        <v>37712.98284646473</v>
      </c>
      <c r="BP14" s="57">
        <v>35202.97802705882</v>
      </c>
      <c r="BQ14" s="57">
        <v>41484.2811311112</v>
      </c>
      <c r="BR14" s="57">
        <v>35202.97802705882</v>
      </c>
      <c r="BS14" s="57">
        <v>45632.70924422233</v>
      </c>
      <c r="BT14" s="57">
        <v>43998.50447058823</v>
      </c>
      <c r="BU14" s="57">
        <v>50195.980168644564</v>
      </c>
      <c r="BV14" s="57">
        <v>43457.636</v>
      </c>
      <c r="BW14" s="57">
        <v>55215.578185509024</v>
      </c>
      <c r="BX14" s="57">
        <v>49491.649764705886</v>
      </c>
      <c r="BY14" s="57">
        <v>60737.13600405993</v>
      </c>
      <c r="BZ14" s="57">
        <v>47989.21858823529</v>
      </c>
      <c r="CA14" s="57">
        <v>66810.84960446593</v>
      </c>
      <c r="CB14" s="57">
        <v>53346.93117647059</v>
      </c>
      <c r="CC14" s="57">
        <v>73491.93456491253</v>
      </c>
      <c r="CD14" s="57">
        <v>58932.474120000006</v>
      </c>
      <c r="CE14" s="57">
        <v>80841.1280214038</v>
      </c>
      <c r="CF14" s="57">
        <v>53610.11905882353</v>
      </c>
      <c r="CG14" s="57">
        <v>88925.24082354418</v>
      </c>
      <c r="CH14" s="57">
        <v>53267.09082352941</v>
      </c>
      <c r="CI14" s="57">
        <v>97817.76490589861</v>
      </c>
      <c r="CJ14" s="57">
        <v>58503.514588235295</v>
      </c>
      <c r="CK14" s="57">
        <v>107599.54139648848</v>
      </c>
      <c r="CL14" s="57">
        <v>61913.640235294115</v>
      </c>
      <c r="CM14" s="57">
        <v>118359.49553613734</v>
      </c>
      <c r="CN14" s="57">
        <v>130195.44508975108</v>
      </c>
      <c r="CP14" s="49"/>
    </row>
    <row r="15" ht="15.75" customHeight="1">
      <c r="A15" s="94" t="str">
        <f t="shared" si="7"/>
        <v>Cost of Goods Sold (COGS)Direct Expenses for third-party Audit</v>
      </c>
      <c r="B15" s="95">
        <f>X15+Z15+AB15+AD15+AF15+AH15+AJ15+AL15+AN15+AP15+AR15+AT15+SUM(F15:U15)</f>
        <v>687310</v>
      </c>
      <c r="C15" s="95"/>
      <c r="D15" s="4"/>
      <c r="E15" s="5" t="s">
        <v>97</v>
      </c>
      <c r="F15" s="57">
        <v>0.0</v>
      </c>
      <c r="G15" s="57">
        <v>375.0</v>
      </c>
      <c r="H15" s="57">
        <v>1348.0</v>
      </c>
      <c r="I15" s="57">
        <v>1864.0</v>
      </c>
      <c r="J15" s="57">
        <v>2245.0</v>
      </c>
      <c r="K15" s="57">
        <v>3315.0</v>
      </c>
      <c r="L15" s="57">
        <v>4288.0</v>
      </c>
      <c r="M15" s="57">
        <v>4903.0</v>
      </c>
      <c r="N15" s="57">
        <v>5620.0</v>
      </c>
      <c r="O15" s="57">
        <v>7509.0</v>
      </c>
      <c r="P15" s="57">
        <v>9586.0</v>
      </c>
      <c r="Q15" s="57">
        <v>11476.0</v>
      </c>
      <c r="R15" s="57">
        <v>12889.0</v>
      </c>
      <c r="S15" s="57">
        <v>14764.0</v>
      </c>
      <c r="T15" s="57">
        <v>16805.0</v>
      </c>
      <c r="U15" s="57">
        <v>19317.0</v>
      </c>
      <c r="V15" s="57">
        <v>24573.0</v>
      </c>
      <c r="W15" s="57">
        <v>33533.3333333333</v>
      </c>
      <c r="X15" s="57">
        <v>28534.0</v>
      </c>
      <c r="Y15" s="57">
        <v>37750.0</v>
      </c>
      <c r="Z15" s="57">
        <v>33172.0</v>
      </c>
      <c r="AA15" s="57">
        <v>42146.6666666667</v>
      </c>
      <c r="AB15" s="57">
        <v>37685.0</v>
      </c>
      <c r="AC15" s="57">
        <v>46225.0</v>
      </c>
      <c r="AD15" s="57">
        <v>40781.0</v>
      </c>
      <c r="AE15" s="57">
        <v>50391.6666666667</v>
      </c>
      <c r="AF15" s="57">
        <v>45095.0</v>
      </c>
      <c r="AG15" s="57">
        <v>54771.6666666667</v>
      </c>
      <c r="AH15" s="57">
        <v>49629.0</v>
      </c>
      <c r="AI15" s="57">
        <v>59271.6666666667</v>
      </c>
      <c r="AJ15" s="57">
        <v>49807.0</v>
      </c>
      <c r="AK15" s="57">
        <v>63430.0</v>
      </c>
      <c r="AL15" s="57">
        <v>52160.0</v>
      </c>
      <c r="AM15" s="57">
        <v>67538.3333333333</v>
      </c>
      <c r="AN15" s="57">
        <v>56181.0</v>
      </c>
      <c r="AO15" s="57">
        <v>50000.0</v>
      </c>
      <c r="AP15" s="57">
        <v>57766.0</v>
      </c>
      <c r="AQ15" s="57">
        <v>44170.52474</v>
      </c>
      <c r="AR15" s="57">
        <v>59267.0</v>
      </c>
      <c r="AS15" s="57">
        <v>37707.21335248001</v>
      </c>
      <c r="AT15" s="57">
        <v>60929.0</v>
      </c>
      <c r="AU15" s="57">
        <v>43018.223079919735</v>
      </c>
      <c r="AV15" s="57">
        <v>60756.0</v>
      </c>
      <c r="AW15" s="57">
        <v>37375.724543995966</v>
      </c>
      <c r="AX15" s="57">
        <v>61996.0</v>
      </c>
      <c r="AY15" s="57">
        <v>36851.969022379926</v>
      </c>
      <c r="AZ15" s="57">
        <v>63280.0</v>
      </c>
      <c r="BA15" s="57">
        <v>39158.53395887738</v>
      </c>
      <c r="BB15" s="57">
        <v>63281.0</v>
      </c>
      <c r="BC15" s="57">
        <v>58310.80614746147</v>
      </c>
      <c r="BD15" s="57">
        <v>62681.0</v>
      </c>
      <c r="BE15" s="57">
        <v>69162.82024418464</v>
      </c>
      <c r="BF15" s="57">
        <v>63337.0</v>
      </c>
      <c r="BG15" s="57">
        <v>68595.69190129107</v>
      </c>
      <c r="BH15" s="57">
        <v>63850.0</v>
      </c>
      <c r="BI15" s="57">
        <v>73685.22093114842</v>
      </c>
      <c r="BJ15" s="57">
        <v>65641.0</v>
      </c>
      <c r="BK15" s="57">
        <v>75894.34987947856</v>
      </c>
      <c r="BL15" s="57">
        <v>67426.0</v>
      </c>
      <c r="BM15" s="57">
        <v>84426.0</v>
      </c>
      <c r="BN15" s="57">
        <v>67942.0</v>
      </c>
      <c r="BO15" s="57">
        <v>88613.0</v>
      </c>
      <c r="BP15" s="57">
        <v>71325.0</v>
      </c>
      <c r="BQ15" s="57">
        <v>93054.0</v>
      </c>
      <c r="BR15" s="57">
        <v>74298.0</v>
      </c>
      <c r="BS15" s="57">
        <v>97760.0</v>
      </c>
      <c r="BT15" s="57">
        <v>74382.0</v>
      </c>
      <c r="BU15" s="57">
        <v>102359.0</v>
      </c>
      <c r="BV15" s="57">
        <v>73058.0</v>
      </c>
      <c r="BW15" s="57">
        <v>106744.0</v>
      </c>
      <c r="BX15" s="57">
        <v>77284.0</v>
      </c>
      <c r="BY15" s="57">
        <v>105764.0</v>
      </c>
      <c r="BZ15" s="57">
        <v>80568.0</v>
      </c>
      <c r="CA15" s="57">
        <v>110346.0</v>
      </c>
      <c r="CB15" s="57">
        <v>78588.0</v>
      </c>
      <c r="CC15" s="57">
        <v>115301.0</v>
      </c>
      <c r="CD15" s="57">
        <v>79967.0</v>
      </c>
      <c r="CE15" s="57">
        <v>120091.0</v>
      </c>
      <c r="CF15" s="57">
        <v>80952.0</v>
      </c>
      <c r="CG15" s="57">
        <v>118640.0</v>
      </c>
      <c r="CH15" s="57">
        <v>82470.0</v>
      </c>
      <c r="CI15" s="57">
        <v>123783.0</v>
      </c>
      <c r="CJ15" s="57">
        <v>83191.0</v>
      </c>
      <c r="CK15" s="57">
        <v>129219.0</v>
      </c>
      <c r="CL15" s="57">
        <v>85159.0</v>
      </c>
      <c r="CM15" s="57">
        <v>135018.0</v>
      </c>
      <c r="CN15" s="57">
        <v>141253.0</v>
      </c>
      <c r="CP15" s="49"/>
    </row>
    <row r="16" ht="15.75" customHeight="1">
      <c r="A16" s="94"/>
      <c r="B16" s="97"/>
      <c r="C16" s="97"/>
      <c r="D16" s="97"/>
      <c r="E16" s="5"/>
      <c r="F16" s="104"/>
      <c r="G16" s="104"/>
      <c r="H16" s="104"/>
      <c r="I16" s="104"/>
      <c r="J16" s="104"/>
      <c r="K16" s="104"/>
      <c r="L16" s="104"/>
      <c r="M16" s="106"/>
      <c r="N16" s="105"/>
      <c r="O16" s="105"/>
      <c r="P16" s="106"/>
      <c r="Q16" s="106"/>
      <c r="R16" s="106"/>
      <c r="S16" s="106"/>
      <c r="T16" s="106"/>
      <c r="U16" s="106"/>
      <c r="V16" s="106"/>
      <c r="W16" s="5"/>
      <c r="X16" s="106"/>
      <c r="Y16" s="5"/>
      <c r="Z16" s="105"/>
      <c r="AA16" s="1"/>
      <c r="AB16" s="105"/>
      <c r="AC16" s="1"/>
      <c r="AD16" s="105"/>
      <c r="AE16" s="1"/>
      <c r="AF16" s="105"/>
      <c r="AG16" s="1"/>
      <c r="AH16" s="105"/>
      <c r="AI16" s="1"/>
      <c r="AJ16" s="105"/>
      <c r="AK16" s="1"/>
      <c r="AL16" s="105"/>
      <c r="AM16" s="1"/>
      <c r="AN16" s="105"/>
      <c r="AO16" s="1"/>
      <c r="AP16" s="105"/>
      <c r="AQ16" s="1"/>
      <c r="AR16" s="1"/>
      <c r="AS16" s="1"/>
      <c r="AT16" s="1"/>
      <c r="AU16" s="10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P16" s="49"/>
    </row>
    <row r="17" ht="15.75" customHeight="1">
      <c r="A17" s="94"/>
      <c r="B17" s="97"/>
      <c r="C17" s="97"/>
      <c r="D17" s="97"/>
      <c r="E17" s="7" t="s">
        <v>85</v>
      </c>
      <c r="F17" s="96">
        <f t="shared" ref="F17:CN17" si="8">SUM(F18:F20)</f>
        <v>0</v>
      </c>
      <c r="G17" s="96">
        <f t="shared" si="8"/>
        <v>0</v>
      </c>
      <c r="H17" s="96">
        <f t="shared" si="8"/>
        <v>0</v>
      </c>
      <c r="I17" s="96">
        <f t="shared" si="8"/>
        <v>80.37804878</v>
      </c>
      <c r="J17" s="96">
        <f t="shared" si="8"/>
        <v>1941.84622</v>
      </c>
      <c r="K17" s="96">
        <f t="shared" si="8"/>
        <v>4839.117073</v>
      </c>
      <c r="L17" s="96">
        <f t="shared" si="8"/>
        <v>6040.90122</v>
      </c>
      <c r="M17" s="96">
        <f t="shared" si="8"/>
        <v>6573.477439</v>
      </c>
      <c r="N17" s="96">
        <f t="shared" si="8"/>
        <v>13278.99207</v>
      </c>
      <c r="O17" s="96">
        <f t="shared" si="8"/>
        <v>8382.725488</v>
      </c>
      <c r="P17" s="96">
        <f t="shared" si="8"/>
        <v>11175.52354</v>
      </c>
      <c r="Q17" s="96">
        <f t="shared" si="8"/>
        <v>18004.51407</v>
      </c>
      <c r="R17" s="96">
        <f t="shared" si="8"/>
        <v>10818.60046</v>
      </c>
      <c r="S17" s="96">
        <f t="shared" si="8"/>
        <v>10396.69265</v>
      </c>
      <c r="T17" s="96">
        <f t="shared" si="8"/>
        <v>20514.85436</v>
      </c>
      <c r="U17" s="96">
        <f t="shared" si="8"/>
        <v>17846.34631</v>
      </c>
      <c r="V17" s="96">
        <f t="shared" si="8"/>
        <v>19659.81299</v>
      </c>
      <c r="W17" s="108">
        <f t="shared" si="8"/>
        <v>28565.87805</v>
      </c>
      <c r="X17" s="11">
        <f t="shared" si="8"/>
        <v>21705.31425</v>
      </c>
      <c r="Y17" s="108">
        <f t="shared" si="8"/>
        <v>30760.41463</v>
      </c>
      <c r="Z17" s="11">
        <f t="shared" si="8"/>
        <v>25017.15525</v>
      </c>
      <c r="AA17" s="108">
        <f t="shared" si="8"/>
        <v>30321.39024</v>
      </c>
      <c r="AB17" s="11">
        <f t="shared" si="8"/>
        <v>24632.05342</v>
      </c>
      <c r="AC17" s="108">
        <f t="shared" si="8"/>
        <v>31216.41463</v>
      </c>
      <c r="AD17" s="11">
        <f t="shared" si="8"/>
        <v>26751.63944</v>
      </c>
      <c r="AE17" s="108">
        <f t="shared" si="8"/>
        <v>31216.41463</v>
      </c>
      <c r="AF17" s="11">
        <f t="shared" si="8"/>
        <v>23059.61996</v>
      </c>
      <c r="AG17" s="108">
        <f t="shared" si="8"/>
        <v>37210.31707</v>
      </c>
      <c r="AH17" s="11">
        <f t="shared" si="8"/>
        <v>23003.07904</v>
      </c>
      <c r="AI17" s="108">
        <f t="shared" si="8"/>
        <v>37420.31707</v>
      </c>
      <c r="AJ17" s="11">
        <f t="shared" si="8"/>
        <v>25848.93938</v>
      </c>
      <c r="AK17" s="108">
        <f t="shared" si="8"/>
        <v>37630.31707</v>
      </c>
      <c r="AL17" s="11">
        <f t="shared" si="8"/>
        <v>25314.92216</v>
      </c>
      <c r="AM17" s="108">
        <f t="shared" si="8"/>
        <v>46038.85366</v>
      </c>
      <c r="AN17" s="11">
        <f t="shared" si="8"/>
        <v>32037.56537</v>
      </c>
      <c r="AO17" s="108">
        <f t="shared" si="8"/>
        <v>18905.86638</v>
      </c>
      <c r="AP17" s="11">
        <f t="shared" si="8"/>
        <v>32263.95975</v>
      </c>
      <c r="AQ17" s="108">
        <f t="shared" si="8"/>
        <v>19107.94438</v>
      </c>
      <c r="AR17" s="11">
        <f t="shared" si="8"/>
        <v>27108.93838</v>
      </c>
      <c r="AS17" s="108">
        <f t="shared" si="8"/>
        <v>33072.89727</v>
      </c>
      <c r="AT17" s="11">
        <f t="shared" si="8"/>
        <v>29667.80874</v>
      </c>
      <c r="AU17" s="108">
        <f t="shared" si="8"/>
        <v>35925.18982</v>
      </c>
      <c r="AV17" s="11">
        <f t="shared" si="8"/>
        <v>37635.87643</v>
      </c>
      <c r="AW17" s="108">
        <f t="shared" si="8"/>
        <v>50920.68825</v>
      </c>
      <c r="AX17" s="11">
        <f t="shared" si="8"/>
        <v>36805.0044</v>
      </c>
      <c r="AY17" s="108">
        <f t="shared" si="8"/>
        <v>51160.50396</v>
      </c>
      <c r="AZ17" s="11">
        <f t="shared" si="8"/>
        <v>28809.53893</v>
      </c>
      <c r="BA17" s="108">
        <f t="shared" si="8"/>
        <v>53830.53976</v>
      </c>
      <c r="BB17" s="11">
        <f t="shared" si="8"/>
        <v>33204.05762</v>
      </c>
      <c r="BC17" s="108">
        <f t="shared" si="8"/>
        <v>54483.18199</v>
      </c>
      <c r="BD17" s="11">
        <f t="shared" si="8"/>
        <v>35945.70702</v>
      </c>
      <c r="BE17" s="108">
        <f t="shared" si="8"/>
        <v>62955.02876</v>
      </c>
      <c r="BF17" s="11">
        <f t="shared" si="8"/>
        <v>35342.25238</v>
      </c>
      <c r="BG17" s="108">
        <f t="shared" si="8"/>
        <v>55357.74243</v>
      </c>
      <c r="BH17" s="11">
        <f t="shared" si="8"/>
        <v>39953.46143</v>
      </c>
      <c r="BI17" s="108">
        <f t="shared" si="8"/>
        <v>56876.00396</v>
      </c>
      <c r="BJ17" s="11">
        <f t="shared" si="8"/>
        <v>41915.74</v>
      </c>
      <c r="BK17" s="108">
        <f t="shared" si="8"/>
        <v>58479.09098</v>
      </c>
      <c r="BL17" s="11">
        <f t="shared" si="8"/>
        <v>42353.94738</v>
      </c>
      <c r="BM17" s="108">
        <f t="shared" si="8"/>
        <v>41990.45262</v>
      </c>
      <c r="BN17" s="11">
        <f t="shared" si="8"/>
        <v>47997.65059</v>
      </c>
      <c r="BO17" s="108">
        <f t="shared" si="8"/>
        <v>43490.45262</v>
      </c>
      <c r="BP17" s="11">
        <f t="shared" si="8"/>
        <v>45594.158</v>
      </c>
      <c r="BQ17" s="108">
        <f t="shared" si="8"/>
        <v>44390.45262</v>
      </c>
      <c r="BR17" s="11">
        <f t="shared" si="8"/>
        <v>49222.76106</v>
      </c>
      <c r="BS17" s="108">
        <f t="shared" si="8"/>
        <v>45890.45262</v>
      </c>
      <c r="BT17" s="11">
        <f t="shared" si="8"/>
        <v>59475.07553</v>
      </c>
      <c r="BU17" s="108">
        <f t="shared" si="8"/>
        <v>46790.45262</v>
      </c>
      <c r="BV17" s="11">
        <f t="shared" si="8"/>
        <v>65117.69776</v>
      </c>
      <c r="BW17" s="108">
        <f t="shared" si="8"/>
        <v>48034.49788</v>
      </c>
      <c r="BX17" s="11">
        <f t="shared" si="8"/>
        <v>70039.942</v>
      </c>
      <c r="BY17" s="108">
        <f t="shared" si="8"/>
        <v>61519.49788</v>
      </c>
      <c r="BZ17" s="11">
        <f t="shared" si="8"/>
        <v>73839.63079</v>
      </c>
      <c r="CA17" s="108">
        <f t="shared" si="8"/>
        <v>61519.49788</v>
      </c>
      <c r="CB17" s="11">
        <f t="shared" si="8"/>
        <v>75386.20207</v>
      </c>
      <c r="CC17" s="108">
        <f t="shared" si="8"/>
        <v>65059.49788</v>
      </c>
      <c r="CD17" s="11">
        <f t="shared" si="8"/>
        <v>71604.35513</v>
      </c>
      <c r="CE17" s="108">
        <f t="shared" si="8"/>
        <v>64159.49788</v>
      </c>
      <c r="CF17" s="11">
        <f t="shared" si="8"/>
        <v>71126.08445</v>
      </c>
      <c r="CG17" s="108">
        <f t="shared" si="8"/>
        <v>69199.49788</v>
      </c>
      <c r="CH17" s="11">
        <f t="shared" si="8"/>
        <v>75168.49171</v>
      </c>
      <c r="CI17" s="108">
        <f t="shared" si="8"/>
        <v>67699.49788</v>
      </c>
      <c r="CJ17" s="11">
        <f t="shared" si="8"/>
        <v>76668.08855</v>
      </c>
      <c r="CK17" s="108">
        <f t="shared" si="8"/>
        <v>71839.49788</v>
      </c>
      <c r="CL17" s="11">
        <f t="shared" si="8"/>
        <v>74122.96714</v>
      </c>
      <c r="CM17" s="108">
        <f t="shared" si="8"/>
        <v>73489.49788</v>
      </c>
      <c r="CN17" s="108">
        <f t="shared" si="8"/>
        <v>75379.49788</v>
      </c>
      <c r="CP17" s="49"/>
    </row>
    <row r="18" ht="15.75" customHeight="1">
      <c r="A18" s="94" t="str">
        <f t="shared" ref="A18:A20" si="9">$E$17&amp;E18</f>
        <v>Customer SuccessPeople cost</v>
      </c>
      <c r="B18" s="97"/>
      <c r="C18" s="97"/>
      <c r="D18" s="4"/>
      <c r="E18" s="5" t="s">
        <v>98</v>
      </c>
      <c r="F18" s="57">
        <v>0.0</v>
      </c>
      <c r="G18" s="57">
        <v>0.0</v>
      </c>
      <c r="H18" s="57">
        <v>0.0</v>
      </c>
      <c r="I18" s="57">
        <v>80.3780487804878</v>
      </c>
      <c r="J18" s="57">
        <v>1811.565731707317</v>
      </c>
      <c r="K18" s="57">
        <v>4408.543902439024</v>
      </c>
      <c r="L18" s="57">
        <v>5494.7121951219515</v>
      </c>
      <c r="M18" s="57">
        <v>5518.30975609756</v>
      </c>
      <c r="N18" s="57">
        <v>12565.104878048782</v>
      </c>
      <c r="O18" s="57">
        <v>7347.578048780488</v>
      </c>
      <c r="P18" s="57">
        <v>9429.404634146342</v>
      </c>
      <c r="Q18" s="57">
        <v>15857.143902439024</v>
      </c>
      <c r="R18" s="57">
        <v>7281.592682926829</v>
      </c>
      <c r="S18" s="57">
        <v>8079.248780487805</v>
      </c>
      <c r="T18" s="57">
        <v>16948.287804878048</v>
      </c>
      <c r="U18" s="57">
        <v>15504.585365853658</v>
      </c>
      <c r="V18" s="57">
        <v>16942.426682926827</v>
      </c>
      <c r="W18" s="57">
        <v>26054.8780487805</v>
      </c>
      <c r="X18" s="57">
        <v>19138.476073170736</v>
      </c>
      <c r="Y18" s="57">
        <v>28213.4146341463</v>
      </c>
      <c r="Z18" s="57">
        <v>22591.85365853658</v>
      </c>
      <c r="AA18" s="57">
        <v>27774.3902439024</v>
      </c>
      <c r="AB18" s="57">
        <v>22756.431707317068</v>
      </c>
      <c r="AC18" s="57">
        <v>28213.4146341463</v>
      </c>
      <c r="AD18" s="57">
        <v>24854.164063729342</v>
      </c>
      <c r="AE18" s="57">
        <v>28213.4146341463</v>
      </c>
      <c r="AF18" s="57">
        <v>21100.620193089428</v>
      </c>
      <c r="AG18" s="57">
        <v>34207.3170731707</v>
      </c>
      <c r="AH18" s="57">
        <v>22127.45732317073</v>
      </c>
      <c r="AI18" s="57">
        <v>34207.3170731707</v>
      </c>
      <c r="AJ18" s="57">
        <v>24891.361608422943</v>
      </c>
      <c r="AK18" s="57">
        <v>34207.3170731707</v>
      </c>
      <c r="AL18" s="57">
        <v>24942.85711924119</v>
      </c>
      <c r="AM18" s="57">
        <v>42615.8536585366</v>
      </c>
      <c r="AN18" s="57">
        <v>29502.43667073171</v>
      </c>
      <c r="AO18" s="57">
        <v>17405.866380952382</v>
      </c>
      <c r="AP18" s="57">
        <v>31508.9557329965</v>
      </c>
      <c r="AQ18" s="57">
        <v>17607.944380952376</v>
      </c>
      <c r="AR18" s="57">
        <v>26173.211472659867</v>
      </c>
      <c r="AS18" s="57">
        <v>31572.89727295238</v>
      </c>
      <c r="AT18" s="57">
        <v>28861.033641334565</v>
      </c>
      <c r="AU18" s="57">
        <v>34425.18982081076</v>
      </c>
      <c r="AV18" s="57">
        <v>36691.33095238096</v>
      </c>
      <c r="AW18" s="57">
        <v>49420.68824576199</v>
      </c>
      <c r="AX18" s="57">
        <v>35241.280952380956</v>
      </c>
      <c r="AY18" s="57">
        <v>49660.50396005717</v>
      </c>
      <c r="AZ18" s="57">
        <v>27378.52380952381</v>
      </c>
      <c r="BA18" s="57">
        <v>52330.539760464075</v>
      </c>
      <c r="BB18" s="57">
        <v>31099.61666666666</v>
      </c>
      <c r="BC18" s="57">
        <v>52983.18199311202</v>
      </c>
      <c r="BD18" s="57">
        <v>32805.3380952381</v>
      </c>
      <c r="BE18" s="57">
        <v>61455.02876223638</v>
      </c>
      <c r="BF18" s="57">
        <v>33158.38809523809</v>
      </c>
      <c r="BG18" s="57">
        <v>53857.742432972795</v>
      </c>
      <c r="BH18" s="57">
        <v>37263.78095238095</v>
      </c>
      <c r="BI18" s="57">
        <v>55376.00396466099</v>
      </c>
      <c r="BJ18" s="57">
        <v>39643.066666666666</v>
      </c>
      <c r="BK18" s="57">
        <v>56979.09098018012</v>
      </c>
      <c r="BL18" s="57">
        <v>40054.28809523809</v>
      </c>
      <c r="BM18" s="57">
        <v>40490.45261904762</v>
      </c>
      <c r="BN18" s="57">
        <v>44544.27058823529</v>
      </c>
      <c r="BO18" s="57">
        <v>41990.45261904762</v>
      </c>
      <c r="BP18" s="57">
        <v>43095.58823529411</v>
      </c>
      <c r="BQ18" s="57">
        <v>42890.45261904762</v>
      </c>
      <c r="BR18" s="57">
        <v>43571.64235294117</v>
      </c>
      <c r="BS18" s="57">
        <v>44390.452619047624</v>
      </c>
      <c r="BT18" s="57">
        <v>55503.87411764706</v>
      </c>
      <c r="BU18" s="57">
        <v>45290.452619047624</v>
      </c>
      <c r="BV18" s="57">
        <v>63789.89882352942</v>
      </c>
      <c r="BW18" s="57">
        <v>46534.49788095238</v>
      </c>
      <c r="BX18" s="57">
        <v>67453.10294117648</v>
      </c>
      <c r="BY18" s="57">
        <v>60019.49788095238</v>
      </c>
      <c r="BZ18" s="57">
        <v>71392.14714285714</v>
      </c>
      <c r="CA18" s="57">
        <v>60019.49788095238</v>
      </c>
      <c r="CB18" s="57">
        <v>71485.0557142857</v>
      </c>
      <c r="CC18" s="57">
        <v>63559.49788095238</v>
      </c>
      <c r="CD18" s="57">
        <v>66824.74571428572</v>
      </c>
      <c r="CE18" s="57">
        <v>62659.49788095238</v>
      </c>
      <c r="CF18" s="57">
        <v>67964.12857142856</v>
      </c>
      <c r="CG18" s="57">
        <v>67699.49788095237</v>
      </c>
      <c r="CH18" s="57">
        <v>69770.34571428572</v>
      </c>
      <c r="CI18" s="57">
        <v>66199.49788095237</v>
      </c>
      <c r="CJ18" s="57">
        <v>72648.86714285714</v>
      </c>
      <c r="CK18" s="57">
        <v>70339.49788095239</v>
      </c>
      <c r="CL18" s="57">
        <v>71151.11714285714</v>
      </c>
      <c r="CM18" s="57">
        <v>71989.49788095239</v>
      </c>
      <c r="CN18" s="57">
        <v>73879.49788095237</v>
      </c>
      <c r="CP18" s="49"/>
    </row>
    <row r="19" ht="15.75" customHeight="1">
      <c r="A19" s="94" t="str">
        <f t="shared" si="9"/>
        <v>Customer SuccessTravel and expenses</v>
      </c>
      <c r="B19" s="97"/>
      <c r="C19" s="97"/>
      <c r="D19" s="4"/>
      <c r="E19" s="5" t="s">
        <v>99</v>
      </c>
      <c r="F19" s="57">
        <v>0.0</v>
      </c>
      <c r="G19" s="57">
        <v>0.0</v>
      </c>
      <c r="H19" s="57">
        <v>0.0</v>
      </c>
      <c r="I19" s="57">
        <v>0.0</v>
      </c>
      <c r="J19" s="57">
        <v>130.28048780487805</v>
      </c>
      <c r="K19" s="57">
        <v>248.9390243902439</v>
      </c>
      <c r="L19" s="57">
        <v>346.5548780487805</v>
      </c>
      <c r="M19" s="57">
        <v>341.280487804878</v>
      </c>
      <c r="N19" s="57">
        <v>0.0</v>
      </c>
      <c r="O19" s="57">
        <v>321.260243902439</v>
      </c>
      <c r="P19" s="57">
        <v>16.23170731707317</v>
      </c>
      <c r="Q19" s="57">
        <v>417.5853658536585</v>
      </c>
      <c r="R19" s="57">
        <v>1088.083780487805</v>
      </c>
      <c r="S19" s="57">
        <v>0.0</v>
      </c>
      <c r="T19" s="57">
        <v>348.96414634146345</v>
      </c>
      <c r="U19" s="57">
        <v>24.317073170731707</v>
      </c>
      <c r="V19" s="57">
        <v>317.9574390243902</v>
      </c>
      <c r="W19" s="16">
        <v>0.0</v>
      </c>
      <c r="X19" s="57">
        <v>0.0</v>
      </c>
      <c r="Y19" s="16">
        <v>0.0</v>
      </c>
      <c r="Z19" s="57">
        <v>35.426829268292686</v>
      </c>
      <c r="AA19" s="16">
        <v>0.0</v>
      </c>
      <c r="AB19" s="57">
        <v>0.0</v>
      </c>
      <c r="AC19" s="16">
        <v>0.0</v>
      </c>
      <c r="AD19" s="57">
        <v>21.853658536585368</v>
      </c>
      <c r="AE19" s="16">
        <v>0.0</v>
      </c>
      <c r="AF19" s="57">
        <v>83.3780487804878</v>
      </c>
      <c r="AG19" s="16">
        <v>0.0</v>
      </c>
      <c r="AH19" s="57">
        <v>0.0</v>
      </c>
      <c r="AI19" s="16">
        <v>0.0</v>
      </c>
      <c r="AJ19" s="57">
        <v>115.85365853658537</v>
      </c>
      <c r="AK19" s="16">
        <v>0.0</v>
      </c>
      <c r="AL19" s="57">
        <v>0.0</v>
      </c>
      <c r="AM19" s="16">
        <v>0.0</v>
      </c>
      <c r="AN19" s="57">
        <v>1777.0636585365853</v>
      </c>
      <c r="AO19" s="57">
        <v>0.0</v>
      </c>
      <c r="AP19" s="57">
        <v>0.0</v>
      </c>
      <c r="AQ19" s="57">
        <v>0.0</v>
      </c>
      <c r="AR19" s="57">
        <v>180.72289156626505</v>
      </c>
      <c r="AS19" s="57">
        <v>0.0</v>
      </c>
      <c r="AT19" s="57">
        <v>51.7710843373494</v>
      </c>
      <c r="AU19" s="57">
        <v>0.0</v>
      </c>
      <c r="AV19" s="57">
        <v>440.79547619047617</v>
      </c>
      <c r="AW19" s="57">
        <v>0.0</v>
      </c>
      <c r="AX19" s="57">
        <v>1059.9734523809525</v>
      </c>
      <c r="AY19" s="57">
        <v>0.0</v>
      </c>
      <c r="AZ19" s="57">
        <v>927.2651190476191</v>
      </c>
      <c r="BA19" s="57">
        <v>0.0</v>
      </c>
      <c r="BB19" s="57">
        <v>293.8809523809524</v>
      </c>
      <c r="BC19" s="57">
        <v>0.0</v>
      </c>
      <c r="BD19" s="57">
        <v>1329.8089285714284</v>
      </c>
      <c r="BE19" s="57">
        <v>0.0</v>
      </c>
      <c r="BF19" s="57">
        <v>373.30428571428575</v>
      </c>
      <c r="BG19" s="57">
        <v>0.0</v>
      </c>
      <c r="BH19" s="57">
        <v>879.1204761904761</v>
      </c>
      <c r="BI19" s="57">
        <v>0.0</v>
      </c>
      <c r="BJ19" s="57">
        <v>579.6533333333333</v>
      </c>
      <c r="BK19" s="57">
        <v>0.0</v>
      </c>
      <c r="BL19" s="57">
        <v>992.8492857142857</v>
      </c>
      <c r="BM19" s="57">
        <v>0.0</v>
      </c>
      <c r="BN19" s="57">
        <v>2146.5699999999997</v>
      </c>
      <c r="BO19" s="57">
        <v>0.0</v>
      </c>
      <c r="BP19" s="57">
        <v>1191.7597647058824</v>
      </c>
      <c r="BQ19" s="57">
        <v>0.0</v>
      </c>
      <c r="BR19" s="57">
        <v>4344.308705882353</v>
      </c>
      <c r="BS19" s="57">
        <v>0.0</v>
      </c>
      <c r="BT19" s="57">
        <v>2630.740588235294</v>
      </c>
      <c r="BU19" s="57">
        <v>0.0</v>
      </c>
      <c r="BV19" s="57">
        <v>0.0</v>
      </c>
      <c r="BW19" s="57">
        <v>0.0</v>
      </c>
      <c r="BX19" s="57">
        <v>891.5090588235292</v>
      </c>
      <c r="BY19" s="57">
        <v>0.0</v>
      </c>
      <c r="BZ19" s="57">
        <v>808.9636470588235</v>
      </c>
      <c r="CA19" s="57">
        <v>0.0</v>
      </c>
      <c r="CB19" s="57">
        <v>929.2963529411765</v>
      </c>
      <c r="CC19" s="57">
        <v>0.0</v>
      </c>
      <c r="CD19" s="57">
        <v>1807.7594117647056</v>
      </c>
      <c r="CE19" s="57">
        <v>0.0</v>
      </c>
      <c r="CF19" s="57">
        <v>202.3294117647059</v>
      </c>
      <c r="CG19" s="57">
        <v>0.0</v>
      </c>
      <c r="CH19" s="57">
        <v>484.33599999999996</v>
      </c>
      <c r="CI19" s="57">
        <v>0.0</v>
      </c>
      <c r="CJ19" s="57">
        <v>493.7614117647059</v>
      </c>
      <c r="CK19" s="57">
        <v>0.0</v>
      </c>
      <c r="CL19" s="57">
        <v>0.0</v>
      </c>
      <c r="CM19" s="57">
        <v>0.0</v>
      </c>
      <c r="CN19" s="57">
        <v>0.0</v>
      </c>
      <c r="CP19" s="49"/>
    </row>
    <row r="20" ht="15.75" customHeight="1">
      <c r="A20" s="94" t="str">
        <f t="shared" si="9"/>
        <v>Customer SuccessSoftware subscription</v>
      </c>
      <c r="B20" s="97"/>
      <c r="C20" s="97"/>
      <c r="D20" s="4"/>
      <c r="E20" s="5" t="s">
        <v>100</v>
      </c>
      <c r="F20" s="57">
        <v>0.0</v>
      </c>
      <c r="G20" s="57">
        <v>0.0</v>
      </c>
      <c r="H20" s="57">
        <v>0.0</v>
      </c>
      <c r="I20" s="57">
        <v>0.0</v>
      </c>
      <c r="J20" s="57">
        <v>0.0</v>
      </c>
      <c r="K20" s="57">
        <v>181.6341463414634</v>
      </c>
      <c r="L20" s="57">
        <v>199.6341463414634</v>
      </c>
      <c r="M20" s="57">
        <v>713.8871951219511</v>
      </c>
      <c r="N20" s="57">
        <v>713.8871951219511</v>
      </c>
      <c r="O20" s="57">
        <v>713.8871951219511</v>
      </c>
      <c r="P20" s="57">
        <v>1729.8871951219512</v>
      </c>
      <c r="Q20" s="57">
        <v>1729.7847967479674</v>
      </c>
      <c r="R20" s="57">
        <v>2448.9239939024387</v>
      </c>
      <c r="S20" s="57">
        <v>2317.4438719512195</v>
      </c>
      <c r="T20" s="57">
        <v>3217.6024085365857</v>
      </c>
      <c r="U20" s="57">
        <v>2317.4438719512195</v>
      </c>
      <c r="V20" s="57">
        <v>2399.428871951219</v>
      </c>
      <c r="W20" s="16">
        <v>2511.0</v>
      </c>
      <c r="X20" s="57">
        <v>2566.838180894309</v>
      </c>
      <c r="Y20" s="16">
        <v>2547.0</v>
      </c>
      <c r="Z20" s="57">
        <v>2389.8747662601627</v>
      </c>
      <c r="AA20" s="16">
        <v>2547.0</v>
      </c>
      <c r="AB20" s="57">
        <v>1875.6217174796748</v>
      </c>
      <c r="AC20" s="16">
        <v>3003.0</v>
      </c>
      <c r="AD20" s="57">
        <v>1875.6217174796748</v>
      </c>
      <c r="AE20" s="16">
        <v>3003.0</v>
      </c>
      <c r="AF20" s="57">
        <v>1875.6217174796748</v>
      </c>
      <c r="AG20" s="16">
        <v>3003.0</v>
      </c>
      <c r="AH20" s="57">
        <v>875.6217174796748</v>
      </c>
      <c r="AI20" s="16">
        <v>3213.0</v>
      </c>
      <c r="AJ20" s="57">
        <v>841.7241158536585</v>
      </c>
      <c r="AK20" s="16">
        <v>3423.0</v>
      </c>
      <c r="AL20" s="57">
        <v>372.0650406504065</v>
      </c>
      <c r="AM20" s="16">
        <v>3423.0</v>
      </c>
      <c r="AN20" s="57">
        <v>758.0650406504064</v>
      </c>
      <c r="AO20" s="57">
        <v>1500.0</v>
      </c>
      <c r="AP20" s="57">
        <v>755.004016064257</v>
      </c>
      <c r="AQ20" s="57">
        <v>1500.0</v>
      </c>
      <c r="AR20" s="57">
        <v>755.004016064257</v>
      </c>
      <c r="AS20" s="57">
        <v>1500.0</v>
      </c>
      <c r="AT20" s="57">
        <v>755.004016064257</v>
      </c>
      <c r="AU20" s="57">
        <v>1500.0</v>
      </c>
      <c r="AV20" s="57">
        <v>503.75</v>
      </c>
      <c r="AW20" s="57">
        <v>1500.0</v>
      </c>
      <c r="AX20" s="57">
        <v>503.75</v>
      </c>
      <c r="AY20" s="57">
        <v>1500.0</v>
      </c>
      <c r="AZ20" s="57">
        <v>503.75</v>
      </c>
      <c r="BA20" s="57">
        <v>1500.0</v>
      </c>
      <c r="BB20" s="57">
        <v>1810.56</v>
      </c>
      <c r="BC20" s="57">
        <v>1500.0</v>
      </c>
      <c r="BD20" s="57">
        <v>1810.56</v>
      </c>
      <c r="BE20" s="57">
        <v>1500.0</v>
      </c>
      <c r="BF20" s="57">
        <v>1810.56</v>
      </c>
      <c r="BG20" s="57">
        <v>1500.0</v>
      </c>
      <c r="BH20" s="57">
        <v>1810.56</v>
      </c>
      <c r="BI20" s="57">
        <v>1500.0</v>
      </c>
      <c r="BJ20" s="57">
        <v>1693.02</v>
      </c>
      <c r="BK20" s="57">
        <v>1500.0</v>
      </c>
      <c r="BL20" s="57">
        <v>1306.81</v>
      </c>
      <c r="BM20" s="57">
        <v>1500.0</v>
      </c>
      <c r="BN20" s="57">
        <v>1306.81</v>
      </c>
      <c r="BO20" s="57">
        <v>1500.0</v>
      </c>
      <c r="BP20" s="57">
        <v>1306.81</v>
      </c>
      <c r="BQ20" s="57">
        <v>1500.0</v>
      </c>
      <c r="BR20" s="57">
        <v>1306.81</v>
      </c>
      <c r="BS20" s="57">
        <v>1500.0</v>
      </c>
      <c r="BT20" s="57">
        <v>1340.4608235294118</v>
      </c>
      <c r="BU20" s="57">
        <v>1500.0</v>
      </c>
      <c r="BV20" s="57">
        <v>1327.7989411764706</v>
      </c>
      <c r="BW20" s="57">
        <v>1500.0</v>
      </c>
      <c r="BX20" s="57">
        <v>1695.33</v>
      </c>
      <c r="BY20" s="57">
        <v>1500.0</v>
      </c>
      <c r="BZ20" s="57">
        <v>1638.52</v>
      </c>
      <c r="CA20" s="57">
        <v>1500.0</v>
      </c>
      <c r="CB20" s="57">
        <v>2971.85</v>
      </c>
      <c r="CC20" s="57">
        <v>1500.0</v>
      </c>
      <c r="CD20" s="57">
        <v>2971.85</v>
      </c>
      <c r="CE20" s="57">
        <v>1500.0</v>
      </c>
      <c r="CF20" s="57">
        <v>2959.6264705882354</v>
      </c>
      <c r="CG20" s="57">
        <v>1500.0</v>
      </c>
      <c r="CH20" s="57">
        <v>4913.8099999999995</v>
      </c>
      <c r="CI20" s="57">
        <v>1500.0</v>
      </c>
      <c r="CJ20" s="57">
        <v>3525.46</v>
      </c>
      <c r="CK20" s="57">
        <v>1500.0</v>
      </c>
      <c r="CL20" s="57">
        <v>2971.85</v>
      </c>
      <c r="CM20" s="57">
        <v>1500.0</v>
      </c>
      <c r="CN20" s="57">
        <v>1500.0</v>
      </c>
      <c r="CP20" s="49"/>
    </row>
    <row r="21" ht="15.75" customHeight="1">
      <c r="A21" s="94"/>
      <c r="B21" s="97"/>
      <c r="C21" s="97"/>
      <c r="D21" s="97"/>
      <c r="E21" s="5"/>
      <c r="F21" s="57"/>
      <c r="G21" s="57"/>
      <c r="H21" s="57"/>
      <c r="I21" s="57"/>
      <c r="J21" s="57"/>
      <c r="K21" s="57"/>
      <c r="L21" s="57"/>
      <c r="M21" s="57"/>
      <c r="N21" s="57"/>
      <c r="O21" s="105"/>
      <c r="P21" s="105"/>
      <c r="Q21" s="105"/>
      <c r="R21" s="105"/>
      <c r="S21" s="105"/>
      <c r="T21" s="105"/>
      <c r="U21" s="105"/>
      <c r="V21" s="105"/>
      <c r="W21" s="5"/>
      <c r="X21" s="105"/>
      <c r="Y21" s="5"/>
      <c r="Z21" s="105"/>
      <c r="AA21" s="1"/>
      <c r="AB21" s="105"/>
      <c r="AC21" s="1"/>
      <c r="AD21" s="105"/>
      <c r="AE21" s="1"/>
      <c r="AF21" s="105"/>
      <c r="AG21" s="1"/>
      <c r="AH21" s="105"/>
      <c r="AI21" s="1"/>
      <c r="AJ21" s="105"/>
      <c r="AK21" s="1"/>
      <c r="AL21" s="105"/>
      <c r="AM21" s="1"/>
      <c r="AN21" s="105"/>
      <c r="AO21" s="1"/>
      <c r="AP21" s="105"/>
      <c r="AQ21" s="1"/>
      <c r="AR21" s="105"/>
      <c r="AS21" s="1"/>
      <c r="AT21" s="57"/>
      <c r="AU21" s="109"/>
      <c r="AV21" s="57"/>
      <c r="AW21" s="1"/>
      <c r="AX21" s="57"/>
      <c r="AY21" s="1"/>
      <c r="AZ21" s="57"/>
      <c r="BA21" s="1"/>
      <c r="BB21" s="57"/>
      <c r="BC21" s="1"/>
      <c r="BD21" s="57"/>
      <c r="BE21" s="1"/>
      <c r="BF21" s="57"/>
      <c r="BG21" s="1"/>
      <c r="BH21" s="57"/>
      <c r="BI21" s="1"/>
      <c r="BJ21" s="57"/>
      <c r="BK21" s="1"/>
      <c r="BL21" s="57"/>
      <c r="BM21" s="1"/>
      <c r="BN21" s="57"/>
      <c r="BO21" s="1"/>
      <c r="BP21" s="57"/>
      <c r="BQ21" s="1"/>
      <c r="BR21" s="57"/>
      <c r="BS21" s="1"/>
      <c r="BT21" s="57"/>
      <c r="BU21" s="1"/>
      <c r="BV21" s="57"/>
      <c r="BW21" s="1"/>
      <c r="BX21" s="57"/>
      <c r="BY21" s="1"/>
      <c r="BZ21" s="57"/>
      <c r="CA21" s="1"/>
      <c r="CB21" s="57"/>
      <c r="CC21" s="1"/>
      <c r="CD21" s="57"/>
      <c r="CE21" s="1"/>
      <c r="CF21" s="57"/>
      <c r="CG21" s="1"/>
      <c r="CH21" s="57"/>
      <c r="CI21" s="1"/>
      <c r="CJ21" s="57"/>
      <c r="CK21" s="1"/>
      <c r="CL21" s="57"/>
      <c r="CM21" s="1"/>
      <c r="CN21" s="1"/>
      <c r="CP21" s="49"/>
    </row>
    <row r="22" ht="15.75" customHeight="1">
      <c r="A22" s="94"/>
      <c r="B22" s="97"/>
      <c r="C22" s="97"/>
      <c r="D22" s="97"/>
      <c r="E22" s="7" t="s">
        <v>101</v>
      </c>
      <c r="F22" s="96">
        <f t="shared" ref="F22:CN22" si="10">SUM(F12,F17)</f>
        <v>649.0121951</v>
      </c>
      <c r="G22" s="96">
        <f t="shared" si="10"/>
        <v>375</v>
      </c>
      <c r="H22" s="96">
        <f t="shared" si="10"/>
        <v>1348</v>
      </c>
      <c r="I22" s="96">
        <f t="shared" si="10"/>
        <v>1944.378049</v>
      </c>
      <c r="J22" s="96">
        <f t="shared" si="10"/>
        <v>4186.84622</v>
      </c>
      <c r="K22" s="96">
        <f t="shared" si="10"/>
        <v>8231.665854</v>
      </c>
      <c r="L22" s="96">
        <f t="shared" si="10"/>
        <v>11256.18171</v>
      </c>
      <c r="M22" s="96">
        <f t="shared" si="10"/>
        <v>11664.46524</v>
      </c>
      <c r="N22" s="96">
        <f t="shared" si="10"/>
        <v>18898.99207</v>
      </c>
      <c r="O22" s="96">
        <f t="shared" si="10"/>
        <v>15891.72549</v>
      </c>
      <c r="P22" s="96">
        <f t="shared" si="10"/>
        <v>20830.57159</v>
      </c>
      <c r="Q22" s="96">
        <f t="shared" si="10"/>
        <v>29551.44317</v>
      </c>
      <c r="R22" s="96">
        <f t="shared" si="10"/>
        <v>23707.60046</v>
      </c>
      <c r="S22" s="96">
        <f t="shared" si="10"/>
        <v>25160.69265</v>
      </c>
      <c r="T22" s="96">
        <f t="shared" si="10"/>
        <v>37323.38521</v>
      </c>
      <c r="U22" s="96">
        <f t="shared" si="10"/>
        <v>37540.68395</v>
      </c>
      <c r="V22" s="96">
        <f t="shared" si="10"/>
        <v>44232.81299</v>
      </c>
      <c r="W22" s="108">
        <f t="shared" si="10"/>
        <v>67728.21138</v>
      </c>
      <c r="X22" s="96">
        <f t="shared" si="10"/>
        <v>50310.17035</v>
      </c>
      <c r="Y22" s="108">
        <f t="shared" si="10"/>
        <v>74906.41463</v>
      </c>
      <c r="Z22" s="96">
        <f t="shared" si="10"/>
        <v>58422.18721</v>
      </c>
      <c r="AA22" s="108">
        <f t="shared" si="10"/>
        <v>79646.05691</v>
      </c>
      <c r="AB22" s="96">
        <f t="shared" si="10"/>
        <v>62388.10318</v>
      </c>
      <c r="AC22" s="108">
        <f t="shared" si="10"/>
        <v>85370.41463</v>
      </c>
      <c r="AD22" s="96">
        <f t="shared" si="10"/>
        <v>67603.86139</v>
      </c>
      <c r="AE22" s="108">
        <f t="shared" si="10"/>
        <v>90304.0813</v>
      </c>
      <c r="AF22" s="96">
        <f t="shared" si="10"/>
        <v>71040.21984</v>
      </c>
      <c r="AG22" s="108">
        <f t="shared" si="10"/>
        <v>101475.9837</v>
      </c>
      <c r="AH22" s="96">
        <f t="shared" si="10"/>
        <v>75025.43941</v>
      </c>
      <c r="AI22" s="108">
        <f t="shared" si="10"/>
        <v>106982.9837</v>
      </c>
      <c r="AJ22" s="96">
        <f t="shared" si="10"/>
        <v>85722.9517</v>
      </c>
      <c r="AK22" s="108">
        <f t="shared" si="10"/>
        <v>112164.3171</v>
      </c>
      <c r="AL22" s="96">
        <f t="shared" si="10"/>
        <v>91069.7896</v>
      </c>
      <c r="AM22" s="108">
        <f t="shared" si="10"/>
        <v>125510.187</v>
      </c>
      <c r="AN22" s="96">
        <f t="shared" si="10"/>
        <v>102998.089</v>
      </c>
      <c r="AO22" s="108">
        <f t="shared" si="10"/>
        <v>88905.86638</v>
      </c>
      <c r="AP22" s="96">
        <f t="shared" si="10"/>
        <v>103963.2179</v>
      </c>
      <c r="AQ22" s="108">
        <f t="shared" si="10"/>
        <v>84278.46912</v>
      </c>
      <c r="AR22" s="96">
        <f t="shared" si="10"/>
        <v>101237.5018</v>
      </c>
      <c r="AS22" s="108">
        <f t="shared" si="10"/>
        <v>92830.11063</v>
      </c>
      <c r="AT22" s="96">
        <f t="shared" si="10"/>
        <v>107142.3233</v>
      </c>
      <c r="AU22" s="108">
        <f t="shared" si="10"/>
        <v>102095.9129</v>
      </c>
      <c r="AV22" s="96">
        <f t="shared" si="10"/>
        <v>114586.8701</v>
      </c>
      <c r="AW22" s="108">
        <f t="shared" si="10"/>
        <v>112606.5378</v>
      </c>
      <c r="AX22" s="96">
        <f t="shared" si="10"/>
        <v>120133.8052</v>
      </c>
      <c r="AY22" s="108">
        <f t="shared" si="10"/>
        <v>113538.1042</v>
      </c>
      <c r="AZ22" s="96">
        <f t="shared" si="10"/>
        <v>114179.9568</v>
      </c>
      <c r="BA22" s="108">
        <f t="shared" si="10"/>
        <v>119790.9865</v>
      </c>
      <c r="BB22" s="96">
        <f t="shared" si="10"/>
        <v>122337.2432</v>
      </c>
      <c r="BC22" s="108">
        <f t="shared" si="10"/>
        <v>140935.9966</v>
      </c>
      <c r="BD22" s="96">
        <f t="shared" si="10"/>
        <v>124639.4773</v>
      </c>
      <c r="BE22" s="108">
        <f t="shared" si="10"/>
        <v>161666.9579</v>
      </c>
      <c r="BF22" s="96">
        <f t="shared" si="10"/>
        <v>128016.4429</v>
      </c>
      <c r="BG22" s="108">
        <f t="shared" si="10"/>
        <v>154979.9987</v>
      </c>
      <c r="BH22" s="96">
        <f t="shared" si="10"/>
        <v>135683.895</v>
      </c>
      <c r="BI22" s="108">
        <f t="shared" si="10"/>
        <v>163139.1174</v>
      </c>
      <c r="BJ22" s="96">
        <f t="shared" si="10"/>
        <v>140539.5755</v>
      </c>
      <c r="BK22" s="108">
        <f t="shared" si="10"/>
        <v>168580.228</v>
      </c>
      <c r="BL22" s="96">
        <f t="shared" si="10"/>
        <v>143369.6799</v>
      </c>
      <c r="BM22" s="108">
        <f t="shared" si="10"/>
        <v>162333.5791</v>
      </c>
      <c r="BN22" s="96">
        <f t="shared" si="10"/>
        <v>151142.6287</v>
      </c>
      <c r="BO22" s="108">
        <f t="shared" si="10"/>
        <v>169816.4355</v>
      </c>
      <c r="BP22" s="96">
        <f t="shared" si="10"/>
        <v>152122.136</v>
      </c>
      <c r="BQ22" s="108">
        <f t="shared" si="10"/>
        <v>178928.7338</v>
      </c>
      <c r="BR22" s="96">
        <f t="shared" si="10"/>
        <v>158723.7391</v>
      </c>
      <c r="BS22" s="108">
        <f t="shared" si="10"/>
        <v>189283.1619</v>
      </c>
      <c r="BT22" s="96">
        <f t="shared" si="10"/>
        <v>177855.58</v>
      </c>
      <c r="BU22" s="108">
        <f t="shared" si="10"/>
        <v>199345.4328</v>
      </c>
      <c r="BV22" s="96">
        <f t="shared" si="10"/>
        <v>181633.3338</v>
      </c>
      <c r="BW22" s="108">
        <f t="shared" si="10"/>
        <v>209994.0761</v>
      </c>
      <c r="BX22" s="96">
        <f t="shared" si="10"/>
        <v>196815.5918</v>
      </c>
      <c r="BY22" s="108">
        <f t="shared" si="10"/>
        <v>228020.6339</v>
      </c>
      <c r="BZ22" s="96">
        <f t="shared" si="10"/>
        <v>202396.8494</v>
      </c>
      <c r="CA22" s="108">
        <f t="shared" si="10"/>
        <v>238676.3475</v>
      </c>
      <c r="CB22" s="96">
        <f t="shared" si="10"/>
        <v>207321.1332</v>
      </c>
      <c r="CC22" s="108">
        <f t="shared" si="10"/>
        <v>253852.4324</v>
      </c>
      <c r="CD22" s="96">
        <f t="shared" si="10"/>
        <v>210503.8292</v>
      </c>
      <c r="CE22" s="108">
        <f t="shared" si="10"/>
        <v>265091.6259</v>
      </c>
      <c r="CF22" s="96">
        <f t="shared" si="10"/>
        <v>205688.2035</v>
      </c>
      <c r="CG22" s="108">
        <f t="shared" si="10"/>
        <v>276764.7387</v>
      </c>
      <c r="CH22" s="96">
        <f t="shared" si="10"/>
        <v>210905.5825</v>
      </c>
      <c r="CI22" s="108">
        <f t="shared" si="10"/>
        <v>289300.2628</v>
      </c>
      <c r="CJ22" s="96">
        <f t="shared" si="10"/>
        <v>218362.6031</v>
      </c>
      <c r="CK22" s="108">
        <f t="shared" si="10"/>
        <v>308658.0393</v>
      </c>
      <c r="CL22" s="96">
        <f t="shared" si="10"/>
        <v>221195.6074</v>
      </c>
      <c r="CM22" s="108">
        <f t="shared" si="10"/>
        <v>326866.9934</v>
      </c>
      <c r="CN22" s="108">
        <f t="shared" si="10"/>
        <v>346827.943</v>
      </c>
      <c r="CP22" s="49"/>
    </row>
    <row r="23" ht="15.75" customHeight="1">
      <c r="A23" s="94"/>
      <c r="B23" s="97"/>
      <c r="C23" s="97"/>
      <c r="D23" s="97"/>
      <c r="E23" s="5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"/>
      <c r="X23" s="57"/>
      <c r="Y23" s="5"/>
      <c r="Z23" s="57"/>
      <c r="AA23" s="1"/>
      <c r="AB23" s="57"/>
      <c r="AC23" s="1"/>
      <c r="AD23" s="57"/>
      <c r="AE23" s="1"/>
      <c r="AF23" s="57"/>
      <c r="AG23" s="1"/>
      <c r="AH23" s="57"/>
      <c r="AI23" s="1"/>
      <c r="AJ23" s="57"/>
      <c r="AK23" s="1"/>
      <c r="AL23" s="57"/>
      <c r="AM23" s="1"/>
      <c r="AN23" s="57"/>
      <c r="AO23" s="1"/>
      <c r="AP23" s="57"/>
      <c r="AQ23" s="1"/>
      <c r="AR23" s="57"/>
      <c r="AS23" s="1"/>
      <c r="AT23" s="57"/>
      <c r="AU23" s="1"/>
      <c r="AV23" s="57"/>
      <c r="AW23" s="1"/>
      <c r="AX23" s="57"/>
      <c r="AY23" s="1"/>
      <c r="AZ23" s="57"/>
      <c r="BA23" s="1"/>
      <c r="BB23" s="57"/>
      <c r="BC23" s="1"/>
      <c r="BD23" s="57"/>
      <c r="BE23" s="1"/>
      <c r="BF23" s="57"/>
      <c r="BG23" s="1"/>
      <c r="BH23" s="57"/>
      <c r="BI23" s="1"/>
      <c r="BJ23" s="57"/>
      <c r="BK23" s="1"/>
      <c r="BL23" s="57"/>
      <c r="BM23" s="1"/>
      <c r="BN23" s="57"/>
      <c r="BO23" s="1"/>
      <c r="BP23" s="57"/>
      <c r="BQ23" s="1"/>
      <c r="BR23" s="57"/>
      <c r="BS23" s="1"/>
      <c r="BT23" s="57"/>
      <c r="BU23" s="1"/>
      <c r="BV23" s="57"/>
      <c r="BW23" s="1"/>
      <c r="BX23" s="57"/>
      <c r="BY23" s="1"/>
      <c r="BZ23" s="57"/>
      <c r="CA23" s="1"/>
      <c r="CB23" s="57"/>
      <c r="CC23" s="1"/>
      <c r="CD23" s="57"/>
      <c r="CE23" s="1"/>
      <c r="CF23" s="57"/>
      <c r="CG23" s="1"/>
      <c r="CH23" s="57"/>
      <c r="CI23" s="1"/>
      <c r="CJ23" s="57"/>
      <c r="CK23" s="1"/>
      <c r="CL23" s="57"/>
      <c r="CM23" s="1"/>
      <c r="CN23" s="1"/>
      <c r="CP23" s="49"/>
    </row>
    <row r="24" ht="15.75" customHeight="1">
      <c r="A24" s="110"/>
      <c r="B24" s="97"/>
      <c r="C24" s="97"/>
      <c r="D24" s="4"/>
      <c r="E24" s="111" t="s">
        <v>102</v>
      </c>
      <c r="F24" s="112">
        <f t="shared" ref="F24:CN24" si="11">F3-SUM(F14:F15)-SUM(F18:F20)</f>
        <v>1523.987805</v>
      </c>
      <c r="G24" s="112">
        <f t="shared" si="11"/>
        <v>3381</v>
      </c>
      <c r="H24" s="112">
        <f t="shared" si="11"/>
        <v>5278</v>
      </c>
      <c r="I24" s="112">
        <f t="shared" si="11"/>
        <v>6730.621951</v>
      </c>
      <c r="J24" s="112">
        <f t="shared" si="11"/>
        <v>6042.15378</v>
      </c>
      <c r="K24" s="112">
        <f t="shared" si="11"/>
        <v>7656.334146</v>
      </c>
      <c r="L24" s="112">
        <f t="shared" si="11"/>
        <v>9113.818293</v>
      </c>
      <c r="M24" s="112">
        <f t="shared" si="11"/>
        <v>12086.53476</v>
      </c>
      <c r="N24" s="112">
        <f t="shared" si="11"/>
        <v>7403.007927</v>
      </c>
      <c r="O24" s="112">
        <f t="shared" si="11"/>
        <v>16788.27451</v>
      </c>
      <c r="P24" s="112">
        <f t="shared" si="11"/>
        <v>23201.42841</v>
      </c>
      <c r="Q24" s="112">
        <f t="shared" si="11"/>
        <v>24041.55683</v>
      </c>
      <c r="R24" s="112">
        <f t="shared" si="11"/>
        <v>36056.39954</v>
      </c>
      <c r="S24" s="112">
        <f t="shared" si="11"/>
        <v>45310.30735</v>
      </c>
      <c r="T24" s="112">
        <f t="shared" si="11"/>
        <v>47368.61479</v>
      </c>
      <c r="U24" s="112">
        <f t="shared" si="11"/>
        <v>62544.31605</v>
      </c>
      <c r="V24" s="112">
        <f t="shared" si="11"/>
        <v>87919.18701</v>
      </c>
      <c r="W24" s="113">
        <f t="shared" si="11"/>
        <v>127178.427</v>
      </c>
      <c r="X24" s="112">
        <f t="shared" si="11"/>
        <v>103192.8296</v>
      </c>
      <c r="Y24" s="113">
        <f t="shared" si="11"/>
        <v>149899.2086</v>
      </c>
      <c r="Z24" s="112">
        <f t="shared" si="11"/>
        <v>123002.8128</v>
      </c>
      <c r="AA24" s="113">
        <f t="shared" si="11"/>
        <v>176753.2431</v>
      </c>
      <c r="AB24" s="112">
        <f t="shared" si="11"/>
        <v>154008.8968</v>
      </c>
      <c r="AC24" s="113">
        <f t="shared" si="11"/>
        <v>202207.0464</v>
      </c>
      <c r="AD24" s="112">
        <f t="shared" si="11"/>
        <v>174357.1386</v>
      </c>
      <c r="AE24" s="113">
        <f t="shared" si="11"/>
        <v>230306.9157</v>
      </c>
      <c r="AF24" s="112">
        <f t="shared" si="11"/>
        <v>204585.7802</v>
      </c>
      <c r="AG24" s="113">
        <f t="shared" si="11"/>
        <v>256875.5479</v>
      </c>
      <c r="AH24" s="112">
        <f t="shared" si="11"/>
        <v>226749.5606</v>
      </c>
      <c r="AI24" s="113">
        <f t="shared" si="11"/>
        <v>290246.9396</v>
      </c>
      <c r="AJ24" s="112">
        <f t="shared" si="11"/>
        <v>247451.0483</v>
      </c>
      <c r="AK24" s="113">
        <f t="shared" si="11"/>
        <v>326926.7125</v>
      </c>
      <c r="AL24" s="112">
        <f t="shared" si="11"/>
        <v>267722.2104</v>
      </c>
      <c r="AM24" s="113">
        <f t="shared" si="11"/>
        <v>358754.7129</v>
      </c>
      <c r="AN24" s="112">
        <f t="shared" si="11"/>
        <v>289409.911</v>
      </c>
      <c r="AO24" s="113">
        <f t="shared" si="11"/>
        <v>359568.9208</v>
      </c>
      <c r="AP24" s="112">
        <f t="shared" si="11"/>
        <v>312395.7821</v>
      </c>
      <c r="AQ24" s="113">
        <f t="shared" si="11"/>
        <v>383835.4917</v>
      </c>
      <c r="AR24" s="112">
        <f t="shared" si="11"/>
        <v>334348.4982</v>
      </c>
      <c r="AS24" s="114">
        <f t="shared" si="11"/>
        <v>400889.9353</v>
      </c>
      <c r="AT24" s="112">
        <f t="shared" si="11"/>
        <v>357121.6767</v>
      </c>
      <c r="AU24" s="114">
        <f t="shared" si="11"/>
        <v>417579.4973</v>
      </c>
      <c r="AV24" s="112">
        <f t="shared" si="11"/>
        <v>374938.1299</v>
      </c>
      <c r="AW24" s="114">
        <f t="shared" si="11"/>
        <v>434987.0308</v>
      </c>
      <c r="AX24" s="112">
        <f t="shared" si="11"/>
        <v>407606.1948</v>
      </c>
      <c r="AY24" s="114">
        <f t="shared" si="11"/>
        <v>461248.8907</v>
      </c>
      <c r="AZ24" s="112">
        <f t="shared" si="11"/>
        <v>452787.0432</v>
      </c>
      <c r="BA24" s="114">
        <f t="shared" si="11"/>
        <v>495489.6238</v>
      </c>
      <c r="BB24" s="112">
        <f t="shared" si="11"/>
        <v>475898.7568</v>
      </c>
      <c r="BC24" s="114">
        <f t="shared" si="11"/>
        <v>522374.35</v>
      </c>
      <c r="BD24" s="112">
        <f t="shared" si="11"/>
        <v>485864.5227</v>
      </c>
      <c r="BE24" s="114">
        <f t="shared" si="11"/>
        <v>549279.2859</v>
      </c>
      <c r="BF24" s="112">
        <f t="shared" si="11"/>
        <v>518883.5571</v>
      </c>
      <c r="BG24" s="114">
        <f t="shared" si="11"/>
        <v>607136.5374</v>
      </c>
      <c r="BH24" s="112">
        <f t="shared" si="11"/>
        <v>535559.105</v>
      </c>
      <c r="BI24" s="114">
        <f t="shared" si="11"/>
        <v>651681.8283</v>
      </c>
      <c r="BJ24" s="112">
        <f t="shared" si="11"/>
        <v>568692.4245</v>
      </c>
      <c r="BK24" s="114">
        <f t="shared" si="11"/>
        <v>703343.7471</v>
      </c>
      <c r="BL24" s="112">
        <f t="shared" si="11"/>
        <v>609735.3201</v>
      </c>
      <c r="BM24" s="114">
        <f t="shared" si="11"/>
        <v>681927.6205</v>
      </c>
      <c r="BN24" s="112">
        <f t="shared" si="11"/>
        <v>636473.3713</v>
      </c>
      <c r="BO24" s="114">
        <f t="shared" si="11"/>
        <v>716316.2481</v>
      </c>
      <c r="BP24" s="112">
        <f t="shared" si="11"/>
        <v>692009.864</v>
      </c>
      <c r="BQ24" s="114">
        <f t="shared" si="11"/>
        <v>751615.8342</v>
      </c>
      <c r="BR24" s="112">
        <f t="shared" si="11"/>
        <v>736901.2609</v>
      </c>
      <c r="BS24" s="114">
        <f t="shared" si="11"/>
        <v>788319.401</v>
      </c>
      <c r="BT24" s="112">
        <f t="shared" si="11"/>
        <v>752217.42</v>
      </c>
      <c r="BU24" s="115">
        <f t="shared" si="11"/>
        <v>824244.1965</v>
      </c>
      <c r="BV24" s="112">
        <f t="shared" si="11"/>
        <v>784970.6662</v>
      </c>
      <c r="BW24" s="114">
        <f t="shared" si="11"/>
        <v>857449.1861</v>
      </c>
      <c r="BX24" s="112">
        <f t="shared" si="11"/>
        <v>842782.4082</v>
      </c>
      <c r="BY24" s="114">
        <f t="shared" si="11"/>
        <v>885284.9875</v>
      </c>
      <c r="BZ24" s="112">
        <f t="shared" si="11"/>
        <v>886036.1506</v>
      </c>
      <c r="CA24" s="114">
        <f t="shared" si="11"/>
        <v>922855.5719</v>
      </c>
      <c r="CB24" s="112">
        <f t="shared" si="11"/>
        <v>937731.8668</v>
      </c>
      <c r="CC24" s="114">
        <f t="shared" si="11"/>
        <v>959845.0949</v>
      </c>
      <c r="CD24" s="112">
        <f t="shared" si="11"/>
        <v>997568.1708</v>
      </c>
      <c r="CE24" s="114">
        <f t="shared" si="11"/>
        <v>999023.6037</v>
      </c>
      <c r="CF24" s="112">
        <f t="shared" si="11"/>
        <v>1062059.796</v>
      </c>
      <c r="CG24" s="114">
        <f t="shared" si="11"/>
        <v>1041455.692</v>
      </c>
      <c r="CH24" s="112">
        <f t="shared" si="11"/>
        <v>1117984.417</v>
      </c>
      <c r="CI24" s="114">
        <f t="shared" si="11"/>
        <v>1086065.04</v>
      </c>
      <c r="CJ24" s="112">
        <f t="shared" si="11"/>
        <v>1165744.397</v>
      </c>
      <c r="CK24" s="114">
        <f t="shared" si="11"/>
        <v>1127105.125</v>
      </c>
      <c r="CL24" s="112">
        <f t="shared" si="11"/>
        <v>1211776.393</v>
      </c>
      <c r="CM24" s="114">
        <f t="shared" si="11"/>
        <v>1173331.789</v>
      </c>
      <c r="CN24" s="114">
        <f t="shared" si="11"/>
        <v>1222655.259</v>
      </c>
      <c r="CP24" s="49"/>
    </row>
    <row r="25" ht="15.75" customHeight="1">
      <c r="A25" s="116"/>
      <c r="B25" s="117"/>
      <c r="C25" s="117"/>
      <c r="D25" s="118"/>
      <c r="E25" s="119" t="s">
        <v>103</v>
      </c>
      <c r="F25" s="119">
        <f t="shared" ref="F25:J25" si="12">F24/F3</f>
        <v>0.7013289484</v>
      </c>
      <c r="G25" s="119">
        <f t="shared" si="12"/>
        <v>0.9001597444</v>
      </c>
      <c r="H25" s="119">
        <f t="shared" si="12"/>
        <v>0.79655901</v>
      </c>
      <c r="I25" s="119">
        <f t="shared" si="12"/>
        <v>0.7758642019</v>
      </c>
      <c r="J25" s="119">
        <f t="shared" si="12"/>
        <v>0.5906886089</v>
      </c>
      <c r="K25" s="119">
        <f t="shared" ref="K25:M25" si="13">+K24/K3</f>
        <v>0.4818941431</v>
      </c>
      <c r="L25" s="119">
        <f t="shared" si="13"/>
        <v>0.4474137601</v>
      </c>
      <c r="M25" s="119">
        <f t="shared" si="13"/>
        <v>0.5088852998</v>
      </c>
      <c r="N25" s="119">
        <f t="shared" ref="N25:CN25" si="14">N24/N3</f>
        <v>0.2814617872</v>
      </c>
      <c r="O25" s="119">
        <f t="shared" si="14"/>
        <v>0.5137170903</v>
      </c>
      <c r="P25" s="119">
        <f t="shared" si="14"/>
        <v>0.5269219751</v>
      </c>
      <c r="Q25" s="119">
        <f t="shared" si="14"/>
        <v>0.4485950932</v>
      </c>
      <c r="R25" s="119">
        <f t="shared" si="14"/>
        <v>0.6033130236</v>
      </c>
      <c r="S25" s="119">
        <f t="shared" si="14"/>
        <v>0.6429638766</v>
      </c>
      <c r="T25" s="119">
        <f t="shared" si="14"/>
        <v>0.5593044772</v>
      </c>
      <c r="U25" s="119">
        <f t="shared" si="14"/>
        <v>0.6249119853</v>
      </c>
      <c r="V25" s="119">
        <f t="shared" si="14"/>
        <v>0.6652883574</v>
      </c>
      <c r="W25" s="120">
        <f t="shared" si="14"/>
        <v>0.6525094683</v>
      </c>
      <c r="X25" s="119">
        <f t="shared" si="14"/>
        <v>0.6722528527</v>
      </c>
      <c r="Y25" s="120">
        <f t="shared" si="14"/>
        <v>0.6667947466</v>
      </c>
      <c r="Z25" s="119">
        <f t="shared" si="14"/>
        <v>0.6779816056</v>
      </c>
      <c r="AA25" s="120">
        <f t="shared" si="14"/>
        <v>0.6893671047</v>
      </c>
      <c r="AB25" s="119">
        <f t="shared" si="14"/>
        <v>0.7116960809</v>
      </c>
      <c r="AC25" s="120">
        <f t="shared" si="14"/>
        <v>0.7031394104</v>
      </c>
      <c r="AD25" s="119">
        <f t="shared" si="14"/>
        <v>0.7206001736</v>
      </c>
      <c r="AE25" s="120">
        <f t="shared" si="14"/>
        <v>0.7183375425</v>
      </c>
      <c r="AF25" s="120">
        <f t="shared" si="14"/>
        <v>0.7422586409</v>
      </c>
      <c r="AG25" s="120">
        <f t="shared" si="14"/>
        <v>0.7168255895</v>
      </c>
      <c r="AH25" s="120">
        <f t="shared" si="14"/>
        <v>0.7513861672</v>
      </c>
      <c r="AI25" s="120">
        <f t="shared" si="14"/>
        <v>0.7306774303</v>
      </c>
      <c r="AJ25" s="119">
        <f t="shared" si="14"/>
        <v>0.7427081594</v>
      </c>
      <c r="AK25" s="120">
        <f t="shared" si="14"/>
        <v>0.7445533853</v>
      </c>
      <c r="AL25" s="119">
        <f t="shared" si="14"/>
        <v>0.7461766439</v>
      </c>
      <c r="AM25" s="120">
        <f t="shared" si="14"/>
        <v>0.7408232829</v>
      </c>
      <c r="AN25" s="119">
        <f t="shared" si="14"/>
        <v>0.7375229633</v>
      </c>
      <c r="AO25" s="120">
        <f t="shared" si="14"/>
        <v>0.8017594993</v>
      </c>
      <c r="AP25" s="119">
        <f t="shared" si="14"/>
        <v>0.7503039013</v>
      </c>
      <c r="AQ25" s="120">
        <f t="shared" si="14"/>
        <v>0.8199616414</v>
      </c>
      <c r="AR25" s="119">
        <f t="shared" si="14"/>
        <v>0.7675832057</v>
      </c>
      <c r="AS25" s="121">
        <f t="shared" si="14"/>
        <v>0.8119782428</v>
      </c>
      <c r="AT25" s="119">
        <f t="shared" si="14"/>
        <v>0.7692211257</v>
      </c>
      <c r="AU25" s="121">
        <f t="shared" si="14"/>
        <v>0.8035390729</v>
      </c>
      <c r="AV25" s="119">
        <f t="shared" si="14"/>
        <v>0.7659223326</v>
      </c>
      <c r="AW25" s="121">
        <f t="shared" si="14"/>
        <v>0.7943611024</v>
      </c>
      <c r="AX25" s="119">
        <f t="shared" si="14"/>
        <v>0.7723617591</v>
      </c>
      <c r="AY25" s="121">
        <f t="shared" si="14"/>
        <v>0.8024692534</v>
      </c>
      <c r="AZ25" s="119">
        <f t="shared" si="14"/>
        <v>0.7986126939</v>
      </c>
      <c r="BA25" s="121">
        <f t="shared" si="14"/>
        <v>0.8053067421</v>
      </c>
      <c r="BB25" s="119">
        <f t="shared" si="14"/>
        <v>0.7955033746</v>
      </c>
      <c r="BC25" s="121">
        <f t="shared" si="14"/>
        <v>0.7875263105</v>
      </c>
      <c r="BD25" s="119">
        <f t="shared" si="14"/>
        <v>0.7958416697</v>
      </c>
      <c r="BE25" s="121">
        <f t="shared" si="14"/>
        <v>0.7726031197</v>
      </c>
      <c r="BF25" s="119">
        <f t="shared" si="14"/>
        <v>0.802107833</v>
      </c>
      <c r="BG25" s="121">
        <f t="shared" si="14"/>
        <v>0.7966452749</v>
      </c>
      <c r="BH25" s="119">
        <f t="shared" si="14"/>
        <v>0.7978617356</v>
      </c>
      <c r="BI25" s="121">
        <f t="shared" si="14"/>
        <v>0.7997853169</v>
      </c>
      <c r="BJ25" s="119">
        <f t="shared" si="14"/>
        <v>0.801842591</v>
      </c>
      <c r="BK25" s="121">
        <f t="shared" si="14"/>
        <v>0.8066571939</v>
      </c>
      <c r="BL25" s="119">
        <f t="shared" si="14"/>
        <v>0.8096285646</v>
      </c>
      <c r="BM25" s="121">
        <f t="shared" si="14"/>
        <v>0.8077211422</v>
      </c>
      <c r="BN25" s="119">
        <f t="shared" si="14"/>
        <v>0.8081011195</v>
      </c>
      <c r="BO25" s="121">
        <f t="shared" si="14"/>
        <v>0.8083622931</v>
      </c>
      <c r="BP25" s="119">
        <f t="shared" si="14"/>
        <v>0.819788687</v>
      </c>
      <c r="BQ25" s="121">
        <f t="shared" si="14"/>
        <v>0.8077161053</v>
      </c>
      <c r="BR25" s="119">
        <f t="shared" si="14"/>
        <v>0.822778798</v>
      </c>
      <c r="BS25" s="121">
        <f t="shared" si="14"/>
        <v>0.806380252</v>
      </c>
      <c r="BT25" s="119">
        <f t="shared" si="14"/>
        <v>0.8087724512</v>
      </c>
      <c r="BU25" s="122">
        <f t="shared" si="14"/>
        <v>0.8052486787</v>
      </c>
      <c r="BV25" s="119">
        <f t="shared" si="14"/>
        <v>0.8120912662</v>
      </c>
      <c r="BW25" s="121">
        <f t="shared" si="14"/>
        <v>0.8032737818</v>
      </c>
      <c r="BX25" s="119">
        <f t="shared" si="14"/>
        <v>0.8106810596</v>
      </c>
      <c r="BY25" s="121">
        <f t="shared" si="14"/>
        <v>0.7951859494</v>
      </c>
      <c r="BZ25" s="119">
        <f t="shared" si="14"/>
        <v>0.814047489</v>
      </c>
      <c r="CA25" s="121">
        <f t="shared" si="14"/>
        <v>0.7945158945</v>
      </c>
      <c r="CB25" s="119">
        <f t="shared" si="14"/>
        <v>0.8189418889</v>
      </c>
      <c r="CC25" s="121">
        <f t="shared" si="14"/>
        <v>0.7908437426</v>
      </c>
      <c r="CD25" s="119">
        <f t="shared" si="14"/>
        <v>0.8257522488</v>
      </c>
      <c r="CE25" s="121">
        <f t="shared" si="14"/>
        <v>0.7902947297</v>
      </c>
      <c r="CF25" s="119">
        <f t="shared" si="14"/>
        <v>0.8377530838</v>
      </c>
      <c r="CG25" s="121">
        <f t="shared" si="14"/>
        <v>0.7900466931</v>
      </c>
      <c r="CH25" s="119">
        <f t="shared" si="14"/>
        <v>0.8412919184</v>
      </c>
      <c r="CI25" s="121">
        <f t="shared" si="14"/>
        <v>0.7896556921</v>
      </c>
      <c r="CJ25" s="119">
        <f t="shared" si="14"/>
        <v>0.8422357497</v>
      </c>
      <c r="CK25" s="121">
        <f t="shared" si="14"/>
        <v>0.7850216199</v>
      </c>
      <c r="CL25" s="119">
        <f t="shared" si="14"/>
        <v>0.8456385698</v>
      </c>
      <c r="CM25" s="121">
        <f t="shared" si="14"/>
        <v>0.7821175451</v>
      </c>
      <c r="CN25" s="121">
        <f t="shared" si="14"/>
        <v>0.7790177413</v>
      </c>
      <c r="CO25" s="123"/>
      <c r="CP25" s="123"/>
      <c r="CQ25" s="123"/>
    </row>
    <row r="26" ht="15.75" customHeight="1">
      <c r="A26" s="94"/>
      <c r="B26" s="97"/>
      <c r="C26" s="97"/>
      <c r="D26" s="4"/>
      <c r="E26" s="5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5"/>
      <c r="S26" s="105"/>
      <c r="T26" s="105"/>
      <c r="U26" s="105"/>
      <c r="V26" s="105"/>
      <c r="W26" s="15"/>
      <c r="X26" s="105"/>
      <c r="Y26" s="5"/>
      <c r="Z26" s="105"/>
      <c r="AA26" s="1"/>
      <c r="AB26" s="104"/>
      <c r="AC26" s="1"/>
      <c r="AD26" s="104"/>
      <c r="AE26" s="1"/>
      <c r="AF26" s="104"/>
      <c r="AG26" s="1"/>
      <c r="AH26" s="104"/>
      <c r="AI26" s="1"/>
      <c r="AJ26" s="104"/>
      <c r="AK26" s="1"/>
      <c r="AL26" s="104"/>
      <c r="AM26" s="1"/>
      <c r="AN26" s="104"/>
      <c r="AO26" s="1"/>
      <c r="AP26" s="104"/>
      <c r="AQ26" s="1"/>
      <c r="AR26" s="104"/>
      <c r="AS26" s="1"/>
      <c r="AT26" s="104"/>
      <c r="AU26" s="1"/>
      <c r="AV26" s="104"/>
      <c r="AW26" s="1"/>
      <c r="AX26" s="104"/>
      <c r="AY26" s="1"/>
      <c r="AZ26" s="104"/>
      <c r="BA26" s="1"/>
      <c r="BB26" s="104"/>
      <c r="BC26" s="1"/>
      <c r="BD26" s="104"/>
      <c r="BE26" s="1"/>
      <c r="BF26" s="104"/>
      <c r="BG26" s="1"/>
      <c r="BH26" s="104"/>
      <c r="BI26" s="1"/>
      <c r="BJ26" s="104"/>
      <c r="BK26" s="1"/>
      <c r="BL26" s="104"/>
      <c r="BM26" s="1"/>
      <c r="BN26" s="104"/>
      <c r="BO26" s="74"/>
      <c r="BP26" s="104"/>
      <c r="BQ26" s="1"/>
      <c r="BR26" s="104"/>
      <c r="BS26" s="1"/>
      <c r="BT26" s="104"/>
      <c r="BU26" s="1"/>
      <c r="BV26" s="104"/>
      <c r="BW26" s="1"/>
      <c r="BX26" s="104"/>
      <c r="BY26" s="1"/>
      <c r="BZ26" s="104"/>
      <c r="CA26" s="1"/>
      <c r="CB26" s="104"/>
      <c r="CC26" s="1"/>
      <c r="CD26" s="104"/>
      <c r="CE26" s="1"/>
      <c r="CF26" s="104"/>
      <c r="CG26" s="1"/>
      <c r="CH26" s="104"/>
      <c r="CI26" s="1"/>
      <c r="CJ26" s="104"/>
      <c r="CK26" s="1"/>
      <c r="CL26" s="124"/>
      <c r="CM26" s="1"/>
      <c r="CN26" s="1"/>
      <c r="CP26" s="49"/>
    </row>
    <row r="27" ht="15.75" customHeight="1">
      <c r="A27" s="25" t="str">
        <f>E27&amp;E27</f>
        <v>Other IncomeOther Income</v>
      </c>
      <c r="B27" s="125"/>
      <c r="C27" s="125"/>
      <c r="D27" s="125"/>
      <c r="E27" s="13" t="s">
        <v>104</v>
      </c>
      <c r="F27" s="57">
        <v>0.0</v>
      </c>
      <c r="G27" s="57">
        <v>0.0</v>
      </c>
      <c r="H27" s="57">
        <v>0.0</v>
      </c>
      <c r="I27" s="57">
        <v>0.0</v>
      </c>
      <c r="J27" s="57">
        <v>0.0</v>
      </c>
      <c r="K27" s="57">
        <v>0.0</v>
      </c>
      <c r="L27" s="57">
        <v>0.0</v>
      </c>
      <c r="M27" s="57">
        <v>0.0</v>
      </c>
      <c r="N27" s="57">
        <v>0.0</v>
      </c>
      <c r="O27" s="57">
        <v>0.0</v>
      </c>
      <c r="P27" s="57"/>
      <c r="Q27" s="57"/>
      <c r="R27" s="57"/>
      <c r="S27" s="57"/>
      <c r="T27" s="57"/>
      <c r="U27" s="57"/>
      <c r="V27" s="57"/>
      <c r="W27" s="16">
        <v>0.0</v>
      </c>
      <c r="X27" s="57"/>
      <c r="Y27" s="16">
        <v>0.0</v>
      </c>
      <c r="Z27" s="57"/>
      <c r="AA27" s="16">
        <v>0.0</v>
      </c>
      <c r="AB27" s="57"/>
      <c r="AC27" s="16">
        <v>0.0</v>
      </c>
      <c r="AD27" s="57"/>
      <c r="AE27" s="16">
        <v>0.0</v>
      </c>
      <c r="AF27" s="57"/>
      <c r="AG27" s="16">
        <v>0.0</v>
      </c>
      <c r="AH27" s="57"/>
      <c r="AI27" s="16">
        <v>0.0</v>
      </c>
      <c r="AJ27" s="57"/>
      <c r="AK27" s="16">
        <v>0.0</v>
      </c>
      <c r="AL27" s="57"/>
      <c r="AM27" s="16">
        <v>0.0</v>
      </c>
      <c r="AN27" s="57"/>
      <c r="AO27" s="16">
        <v>0.0</v>
      </c>
      <c r="AP27" s="57"/>
      <c r="AQ27" s="16">
        <v>0.0</v>
      </c>
      <c r="AR27" s="57"/>
      <c r="AS27" s="16">
        <v>0.0</v>
      </c>
      <c r="AT27" s="57"/>
      <c r="AU27" s="16">
        <v>0.0</v>
      </c>
      <c r="AV27" s="57"/>
      <c r="AW27" s="16">
        <v>0.0</v>
      </c>
      <c r="AX27" s="57"/>
      <c r="AY27" s="16">
        <v>0.0</v>
      </c>
      <c r="AZ27" s="57"/>
      <c r="BA27" s="16">
        <v>0.0</v>
      </c>
      <c r="BB27" s="57"/>
      <c r="BC27" s="16">
        <v>0.0</v>
      </c>
      <c r="BD27" s="57"/>
      <c r="BE27" s="16">
        <v>0.0</v>
      </c>
      <c r="BF27" s="57"/>
      <c r="BG27" s="16">
        <v>0.0</v>
      </c>
      <c r="BH27" s="57"/>
      <c r="BI27" s="16">
        <v>0.0</v>
      </c>
      <c r="BJ27" s="57"/>
      <c r="BK27" s="16">
        <v>0.0</v>
      </c>
      <c r="BL27" s="57"/>
      <c r="BM27" s="16">
        <v>0.0</v>
      </c>
      <c r="BN27" s="57"/>
      <c r="BO27" s="16">
        <v>0.0</v>
      </c>
      <c r="BP27" s="57"/>
      <c r="BQ27" s="16">
        <v>0.0</v>
      </c>
      <c r="BR27" s="57"/>
      <c r="BS27" s="16">
        <v>0.0</v>
      </c>
      <c r="BT27" s="57"/>
      <c r="BU27" s="16">
        <v>0.0</v>
      </c>
      <c r="BV27" s="57"/>
      <c r="BW27" s="16">
        <v>0.0</v>
      </c>
      <c r="BX27" s="57"/>
      <c r="BY27" s="16">
        <v>0.0</v>
      </c>
      <c r="BZ27" s="57"/>
      <c r="CA27" s="16">
        <v>0.0</v>
      </c>
      <c r="CB27" s="57"/>
      <c r="CC27" s="16">
        <v>0.0</v>
      </c>
      <c r="CD27" s="57"/>
      <c r="CE27" s="16">
        <v>0.0</v>
      </c>
      <c r="CF27" s="57"/>
      <c r="CG27" s="16">
        <v>0.0</v>
      </c>
      <c r="CH27" s="57"/>
      <c r="CI27" s="16">
        <v>0.0</v>
      </c>
      <c r="CJ27" s="57"/>
      <c r="CK27" s="16">
        <v>0.0</v>
      </c>
      <c r="CL27" s="57"/>
      <c r="CM27" s="16">
        <v>0.0</v>
      </c>
      <c r="CN27" s="16">
        <v>0.0</v>
      </c>
      <c r="CP27" s="49"/>
    </row>
    <row r="28" ht="15.75" customHeight="1">
      <c r="A28" s="94"/>
      <c r="B28" s="97"/>
      <c r="C28" s="97"/>
      <c r="D28" s="97"/>
      <c r="E28" s="13" t="s">
        <v>105</v>
      </c>
      <c r="F28" s="104"/>
      <c r="G28" s="104"/>
      <c r="H28" s="104"/>
      <c r="I28" s="104"/>
      <c r="J28" s="104"/>
      <c r="K28" s="104"/>
      <c r="L28" s="104"/>
      <c r="M28" s="104"/>
      <c r="N28" s="104"/>
      <c r="O28" s="57"/>
      <c r="P28" s="104"/>
      <c r="Q28" s="104"/>
      <c r="R28" s="104"/>
      <c r="S28" s="104"/>
      <c r="T28" s="104"/>
      <c r="U28" s="104"/>
      <c r="V28" s="104"/>
      <c r="W28" s="5"/>
      <c r="X28" s="104"/>
      <c r="Y28" s="5"/>
      <c r="Z28" s="104"/>
      <c r="AA28" s="1"/>
      <c r="AB28" s="104"/>
      <c r="AC28" s="1"/>
      <c r="AD28" s="104"/>
      <c r="AE28" s="1"/>
      <c r="AF28" s="104"/>
      <c r="AG28" s="1"/>
      <c r="AH28" s="104"/>
      <c r="AI28" s="1"/>
      <c r="AJ28" s="104"/>
      <c r="AK28" s="1"/>
      <c r="AL28" s="104"/>
      <c r="AM28" s="1"/>
      <c r="AN28" s="104"/>
      <c r="AO28" s="1"/>
      <c r="AP28" s="104"/>
      <c r="AQ28" s="1"/>
      <c r="AR28" s="105"/>
      <c r="AS28" s="1"/>
      <c r="AT28" s="105"/>
      <c r="AU28" s="109"/>
      <c r="AV28" s="57"/>
      <c r="AW28" s="1"/>
      <c r="AX28" s="57"/>
      <c r="AY28" s="1"/>
      <c r="AZ28" s="57"/>
      <c r="BA28" s="1"/>
      <c r="BB28" s="57"/>
      <c r="BC28" s="1"/>
      <c r="BD28" s="57"/>
      <c r="BE28" s="1"/>
      <c r="BF28" s="57"/>
      <c r="BG28" s="1"/>
      <c r="BH28" s="57"/>
      <c r="BI28" s="1"/>
      <c r="BJ28" s="57"/>
      <c r="BK28" s="1"/>
      <c r="BL28" s="57"/>
      <c r="BM28" s="1"/>
      <c r="BN28" s="57"/>
      <c r="BO28" s="1"/>
      <c r="BP28" s="57"/>
      <c r="BQ28" s="1"/>
      <c r="BR28" s="57"/>
      <c r="BS28" s="1"/>
      <c r="BT28" s="57"/>
      <c r="BU28" s="1"/>
      <c r="BV28" s="57"/>
      <c r="BW28" s="1"/>
      <c r="BX28" s="57"/>
      <c r="BY28" s="1"/>
      <c r="BZ28" s="57"/>
      <c r="CA28" s="1"/>
      <c r="CB28" s="57"/>
      <c r="CC28" s="1"/>
      <c r="CD28" s="57"/>
      <c r="CE28" s="1"/>
      <c r="CF28" s="57"/>
      <c r="CG28" s="1"/>
      <c r="CH28" s="57"/>
      <c r="CI28" s="1"/>
      <c r="CJ28" s="57"/>
      <c r="CK28" s="1"/>
      <c r="CL28" s="57"/>
      <c r="CM28" s="1"/>
      <c r="CN28" s="1"/>
      <c r="CP28" s="49"/>
    </row>
    <row r="29" ht="15.75" customHeight="1">
      <c r="A29" s="94"/>
      <c r="B29" s="97"/>
      <c r="C29" s="97"/>
      <c r="D29" s="4"/>
      <c r="E29" s="7" t="s">
        <v>106</v>
      </c>
      <c r="F29" s="96">
        <f t="shared" ref="F29:AN29" si="15">SUM(F30:F37)</f>
        <v>215.6763415</v>
      </c>
      <c r="G29" s="96">
        <f t="shared" si="15"/>
        <v>513.977439</v>
      </c>
      <c r="H29" s="96">
        <f t="shared" si="15"/>
        <v>3818.942317</v>
      </c>
      <c r="I29" s="96">
        <f t="shared" si="15"/>
        <v>1240.000366</v>
      </c>
      <c r="J29" s="96">
        <f t="shared" si="15"/>
        <v>12171.89122</v>
      </c>
      <c r="K29" s="96">
        <f t="shared" si="15"/>
        <v>15259.6261</v>
      </c>
      <c r="L29" s="96">
        <f t="shared" si="15"/>
        <v>22311.45805</v>
      </c>
      <c r="M29" s="96">
        <f t="shared" si="15"/>
        <v>32442.60663</v>
      </c>
      <c r="N29" s="96">
        <f t="shared" si="15"/>
        <v>41186.39461</v>
      </c>
      <c r="O29" s="96">
        <f t="shared" si="15"/>
        <v>41248.13756</v>
      </c>
      <c r="P29" s="96">
        <f t="shared" si="15"/>
        <v>50557.30053</v>
      </c>
      <c r="Q29" s="96">
        <f t="shared" si="15"/>
        <v>80413.20607</v>
      </c>
      <c r="R29" s="96">
        <f t="shared" si="15"/>
        <v>70735.76329</v>
      </c>
      <c r="S29" s="96">
        <f t="shared" si="15"/>
        <v>114550.7482</v>
      </c>
      <c r="T29" s="96">
        <f t="shared" si="15"/>
        <v>134200.2054</v>
      </c>
      <c r="U29" s="96">
        <f t="shared" si="15"/>
        <v>203648.4213</v>
      </c>
      <c r="V29" s="96">
        <f t="shared" si="15"/>
        <v>236478.2403</v>
      </c>
      <c r="W29" s="108">
        <f t="shared" si="15"/>
        <v>440030.8024</v>
      </c>
      <c r="X29" s="96">
        <f t="shared" si="15"/>
        <v>305724.2569</v>
      </c>
      <c r="Y29" s="108">
        <f t="shared" si="15"/>
        <v>389253.373</v>
      </c>
      <c r="Z29" s="96">
        <f t="shared" si="15"/>
        <v>338652.5618</v>
      </c>
      <c r="AA29" s="108">
        <f t="shared" si="15"/>
        <v>477861.4235</v>
      </c>
      <c r="AB29" s="96">
        <f t="shared" si="15"/>
        <v>293925.4261</v>
      </c>
      <c r="AC29" s="108">
        <f t="shared" si="15"/>
        <v>445751.6545</v>
      </c>
      <c r="AD29" s="96">
        <f t="shared" si="15"/>
        <v>301047.7114</v>
      </c>
      <c r="AE29" s="108">
        <f t="shared" si="15"/>
        <v>454611.0802</v>
      </c>
      <c r="AF29" s="96">
        <f t="shared" si="15"/>
        <v>331695.2291</v>
      </c>
      <c r="AG29" s="108">
        <f t="shared" si="15"/>
        <v>487019.986</v>
      </c>
      <c r="AH29" s="96">
        <f t="shared" si="15"/>
        <v>351477.584</v>
      </c>
      <c r="AI29" s="108">
        <f t="shared" si="15"/>
        <v>465163.7805</v>
      </c>
      <c r="AJ29" s="96">
        <f t="shared" si="15"/>
        <v>307908.8583</v>
      </c>
      <c r="AK29" s="108">
        <f t="shared" si="15"/>
        <v>496325.4915</v>
      </c>
      <c r="AL29" s="96">
        <f t="shared" si="15"/>
        <v>323167.3447</v>
      </c>
      <c r="AM29" s="108">
        <f t="shared" si="15"/>
        <v>516423.0743</v>
      </c>
      <c r="AN29" s="96">
        <f t="shared" si="15"/>
        <v>305621.0733</v>
      </c>
      <c r="AO29" s="108">
        <f t="shared" ref="AO29:CN29" si="16">SUM(AO30:AO38)</f>
        <v>488889.9206</v>
      </c>
      <c r="AP29" s="108">
        <f t="shared" si="16"/>
        <v>410081.6845</v>
      </c>
      <c r="AQ29" s="108">
        <f t="shared" si="16"/>
        <v>490739.5873</v>
      </c>
      <c r="AR29" s="108">
        <f t="shared" si="16"/>
        <v>434726.5089</v>
      </c>
      <c r="AS29" s="108">
        <f t="shared" si="16"/>
        <v>513824.819</v>
      </c>
      <c r="AT29" s="108">
        <f t="shared" si="16"/>
        <v>454074.9937</v>
      </c>
      <c r="AU29" s="108">
        <f t="shared" si="16"/>
        <v>521269.2719</v>
      </c>
      <c r="AV29" s="108">
        <f t="shared" si="16"/>
        <v>491256.1349</v>
      </c>
      <c r="AW29" s="108">
        <f t="shared" si="16"/>
        <v>538173.733</v>
      </c>
      <c r="AX29" s="108">
        <f t="shared" si="16"/>
        <v>476002.2946</v>
      </c>
      <c r="AY29" s="108">
        <f t="shared" si="16"/>
        <v>543945.8724</v>
      </c>
      <c r="AZ29" s="108">
        <f t="shared" si="16"/>
        <v>422529.1469</v>
      </c>
      <c r="BA29" s="108">
        <f t="shared" si="16"/>
        <v>534849.6942</v>
      </c>
      <c r="BB29" s="108">
        <f t="shared" si="16"/>
        <v>487985.9633</v>
      </c>
      <c r="BC29" s="108">
        <f t="shared" si="16"/>
        <v>573637.5829</v>
      </c>
      <c r="BD29" s="108">
        <f t="shared" si="16"/>
        <v>513209.1987</v>
      </c>
      <c r="BE29" s="108">
        <f t="shared" si="16"/>
        <v>631020.109</v>
      </c>
      <c r="BF29" s="108">
        <f t="shared" si="16"/>
        <v>508456.2661</v>
      </c>
      <c r="BG29" s="108">
        <f t="shared" si="16"/>
        <v>709571.2365</v>
      </c>
      <c r="BH29" s="108">
        <f t="shared" si="16"/>
        <v>668410.2257</v>
      </c>
      <c r="BI29" s="108">
        <f t="shared" si="16"/>
        <v>715693.5543</v>
      </c>
      <c r="BJ29" s="108">
        <f t="shared" si="16"/>
        <v>606152.9518</v>
      </c>
      <c r="BK29" s="108">
        <f t="shared" si="16"/>
        <v>735187.8418</v>
      </c>
      <c r="BL29" s="108">
        <f t="shared" si="16"/>
        <v>637073.5648</v>
      </c>
      <c r="BM29" s="108">
        <f t="shared" si="16"/>
        <v>719172.4518</v>
      </c>
      <c r="BN29" s="108">
        <f t="shared" si="16"/>
        <v>651543.1575</v>
      </c>
      <c r="BO29" s="108">
        <f t="shared" si="16"/>
        <v>732227.697</v>
      </c>
      <c r="BP29" s="108">
        <f t="shared" si="16"/>
        <v>729551.811</v>
      </c>
      <c r="BQ29" s="108">
        <f t="shared" si="16"/>
        <v>731649.7886</v>
      </c>
      <c r="BR29" s="108">
        <f t="shared" si="16"/>
        <v>783337.6661</v>
      </c>
      <c r="BS29" s="108">
        <f t="shared" si="16"/>
        <v>737510.473</v>
      </c>
      <c r="BT29" s="108">
        <f t="shared" si="16"/>
        <v>772106.6833</v>
      </c>
      <c r="BU29" s="108">
        <f t="shared" si="16"/>
        <v>732728.6747</v>
      </c>
      <c r="BV29" s="108">
        <f t="shared" si="16"/>
        <v>777414.9175</v>
      </c>
      <c r="BW29" s="108">
        <f t="shared" si="16"/>
        <v>760629.2129</v>
      </c>
      <c r="BX29" s="108">
        <f t="shared" si="16"/>
        <v>861290.4788</v>
      </c>
      <c r="BY29" s="108">
        <f t="shared" si="16"/>
        <v>783437.8479</v>
      </c>
      <c r="BZ29" s="108">
        <f t="shared" si="16"/>
        <v>782576.8487</v>
      </c>
      <c r="CA29" s="108">
        <f t="shared" si="16"/>
        <v>785543.8144</v>
      </c>
      <c r="CB29" s="108">
        <f t="shared" si="16"/>
        <v>699787.6762</v>
      </c>
      <c r="CC29" s="108">
        <f t="shared" si="16"/>
        <v>793336.7216</v>
      </c>
      <c r="CD29" s="108">
        <f t="shared" si="16"/>
        <v>859854.6504</v>
      </c>
      <c r="CE29" s="108">
        <f t="shared" si="16"/>
        <v>824955.8864</v>
      </c>
      <c r="CF29" s="108">
        <f t="shared" si="16"/>
        <v>892038.2028</v>
      </c>
      <c r="CG29" s="108">
        <f t="shared" si="16"/>
        <v>848003.2165</v>
      </c>
      <c r="CH29" s="108">
        <f t="shared" si="16"/>
        <v>743515.5467</v>
      </c>
      <c r="CI29" s="108">
        <f t="shared" si="16"/>
        <v>888382.9099</v>
      </c>
      <c r="CJ29" s="108">
        <f t="shared" si="16"/>
        <v>762146.5768</v>
      </c>
      <c r="CK29" s="108">
        <f t="shared" si="16"/>
        <v>880236.1141</v>
      </c>
      <c r="CL29" s="108">
        <f t="shared" si="16"/>
        <v>751196.8341</v>
      </c>
      <c r="CM29" s="108">
        <f t="shared" si="16"/>
        <v>867621.2699</v>
      </c>
      <c r="CN29" s="108">
        <f t="shared" si="16"/>
        <v>883744.9168</v>
      </c>
      <c r="CP29" s="49"/>
    </row>
    <row r="30" ht="15.75" customHeight="1">
      <c r="A30" s="94" t="str">
        <f t="shared" ref="A30:A38" si="17">$E$29&amp;E30</f>
        <v>Sales and Marketing CostsPeople cost</v>
      </c>
      <c r="B30" s="97"/>
      <c r="C30" s="97"/>
      <c r="D30" s="4"/>
      <c r="E30" s="126" t="s">
        <v>98</v>
      </c>
      <c r="F30" s="57">
        <v>121.95121951219512</v>
      </c>
      <c r="G30" s="57">
        <v>0.0</v>
      </c>
      <c r="H30" s="57">
        <v>0.0</v>
      </c>
      <c r="I30" s="57">
        <v>609.3414634146341</v>
      </c>
      <c r="J30" s="57">
        <v>2987.3678048780484</v>
      </c>
      <c r="K30" s="57">
        <v>9462.40487804878</v>
      </c>
      <c r="L30" s="57">
        <v>9981.81743902439</v>
      </c>
      <c r="M30" s="57">
        <v>15489.497560975611</v>
      </c>
      <c r="N30" s="57">
        <v>27217.872469094556</v>
      </c>
      <c r="O30" s="57">
        <v>17267.460975609756</v>
      </c>
      <c r="P30" s="57">
        <v>22233.107642276424</v>
      </c>
      <c r="Q30" s="57">
        <v>47076.00731707318</v>
      </c>
      <c r="R30" s="57">
        <v>32462.960365853654</v>
      </c>
      <c r="S30" s="57">
        <v>55344.06353658537</v>
      </c>
      <c r="T30" s="57">
        <v>98013.45459480725</v>
      </c>
      <c r="U30" s="57">
        <v>124771.7561382114</v>
      </c>
      <c r="V30" s="57">
        <v>150036.62962601625</v>
      </c>
      <c r="W30" s="57">
        <v>185326.0</v>
      </c>
      <c r="X30" s="57">
        <v>190508.8725528455</v>
      </c>
      <c r="Y30" s="57">
        <v>185538.0</v>
      </c>
      <c r="Z30" s="57">
        <v>195476.52626016256</v>
      </c>
      <c r="AA30" s="57">
        <v>192048.0</v>
      </c>
      <c r="AB30" s="57">
        <v>172968.81902439025</v>
      </c>
      <c r="AC30" s="57">
        <v>187367.0</v>
      </c>
      <c r="AD30" s="57">
        <v>191208.82147652766</v>
      </c>
      <c r="AE30" s="57">
        <v>195370.0</v>
      </c>
      <c r="AF30" s="57">
        <v>177873.49721883473</v>
      </c>
      <c r="AG30" s="57">
        <v>198714.0</v>
      </c>
      <c r="AH30" s="57">
        <v>184108.3146361789</v>
      </c>
      <c r="AI30" s="57">
        <v>210528.0</v>
      </c>
      <c r="AJ30" s="57">
        <v>176158.70065809225</v>
      </c>
      <c r="AK30" s="57">
        <v>209995.0</v>
      </c>
      <c r="AL30" s="57">
        <v>190077.1863927193</v>
      </c>
      <c r="AM30" s="57">
        <v>223763.0</v>
      </c>
      <c r="AN30" s="57">
        <v>202423.03980725375</v>
      </c>
      <c r="AO30" s="57">
        <v>211168.25396825402</v>
      </c>
      <c r="AP30" s="57">
        <v>220160.56392121737</v>
      </c>
      <c r="AQ30" s="57">
        <v>217418.25396825402</v>
      </c>
      <c r="AR30" s="57">
        <v>219630.8658768304</v>
      </c>
      <c r="AS30" s="57">
        <v>236168.253968254</v>
      </c>
      <c r="AT30" s="57">
        <v>216705.8882969107</v>
      </c>
      <c r="AU30" s="57">
        <v>278039.3253968254</v>
      </c>
      <c r="AV30" s="57">
        <v>266256.47392857145</v>
      </c>
      <c r="AW30" s="57">
        <v>278039.3253968254</v>
      </c>
      <c r="AX30" s="57">
        <v>260064.42952380952</v>
      </c>
      <c r="AY30" s="57">
        <v>279351.8253968254</v>
      </c>
      <c r="AZ30" s="57">
        <v>242793.61428571428</v>
      </c>
      <c r="BA30" s="57">
        <v>266638.3333333334</v>
      </c>
      <c r="BB30" s="57">
        <v>293937.09015873016</v>
      </c>
      <c r="BC30" s="57">
        <v>274006.58730158734</v>
      </c>
      <c r="BD30" s="57">
        <v>231369.95361111112</v>
      </c>
      <c r="BE30" s="57">
        <v>292756.58730158734</v>
      </c>
      <c r="BF30" s="57">
        <v>252301.71396825396</v>
      </c>
      <c r="BG30" s="57">
        <v>307083.1746031746</v>
      </c>
      <c r="BH30" s="57">
        <v>276056.97214285715</v>
      </c>
      <c r="BI30" s="57">
        <v>307083.1746031746</v>
      </c>
      <c r="BJ30" s="57">
        <v>267971.97714285715</v>
      </c>
      <c r="BK30" s="57">
        <v>307083.1746031746</v>
      </c>
      <c r="BL30" s="57">
        <v>338969.4521428571</v>
      </c>
      <c r="BM30" s="57">
        <v>320245.91269841266</v>
      </c>
      <c r="BN30" s="57">
        <v>315548.1386666667</v>
      </c>
      <c r="BO30" s="57">
        <v>323192.57936507935</v>
      </c>
      <c r="BP30" s="57">
        <v>320184.4578431372</v>
      </c>
      <c r="BQ30" s="57">
        <v>311359.246031746</v>
      </c>
      <c r="BR30" s="57">
        <v>286909.5480784314</v>
      </c>
      <c r="BS30" s="57">
        <v>324497.5912698413</v>
      </c>
      <c r="BT30" s="57">
        <v>341285.99176470586</v>
      </c>
      <c r="BU30" s="57">
        <v>310072.59126984124</v>
      </c>
      <c r="BV30" s="57">
        <v>340828.9847058824</v>
      </c>
      <c r="BW30" s="57">
        <v>326709.5912698413</v>
      </c>
      <c r="BX30" s="57">
        <v>395297.82705882355</v>
      </c>
      <c r="BY30" s="57">
        <v>339694.51190476195</v>
      </c>
      <c r="BZ30" s="57">
        <v>311095.876929972</v>
      </c>
      <c r="CA30" s="57">
        <v>334397.0912698413</v>
      </c>
      <c r="CB30" s="57">
        <v>329903.88264985994</v>
      </c>
      <c r="CC30" s="57">
        <v>332060.503968254</v>
      </c>
      <c r="CD30" s="57">
        <v>344346.56088515406</v>
      </c>
      <c r="CE30" s="57">
        <v>357400.58333333343</v>
      </c>
      <c r="CF30" s="57">
        <v>379463.7087002801</v>
      </c>
      <c r="CG30" s="57">
        <v>374732.2500000001</v>
      </c>
      <c r="CH30" s="57">
        <v>376599.69461064425</v>
      </c>
      <c r="CI30" s="57">
        <v>416963.0833333334</v>
      </c>
      <c r="CJ30" s="57">
        <v>386587.34057703085</v>
      </c>
      <c r="CK30" s="57">
        <v>402394.6706349207</v>
      </c>
      <c r="CL30" s="57">
        <v>389680.68355742295</v>
      </c>
      <c r="CM30" s="57">
        <v>384592.6865079366</v>
      </c>
      <c r="CN30" s="57">
        <v>393759.3531746033</v>
      </c>
      <c r="CP30" s="49"/>
    </row>
    <row r="31" ht="15.75" customHeight="1">
      <c r="A31" s="94" t="str">
        <f t="shared" si="17"/>
        <v>Sales and Marketing CostsTravel and expenses</v>
      </c>
      <c r="B31" s="97"/>
      <c r="C31" s="97"/>
      <c r="D31" s="4"/>
      <c r="E31" s="126" t="s">
        <v>99</v>
      </c>
      <c r="F31" s="57">
        <v>0.0</v>
      </c>
      <c r="G31" s="57">
        <v>0.0</v>
      </c>
      <c r="H31" s="57">
        <v>0.0</v>
      </c>
      <c r="I31" s="57">
        <v>0.0</v>
      </c>
      <c r="J31" s="57">
        <v>0.0</v>
      </c>
      <c r="K31" s="57">
        <v>103.26829268292683</v>
      </c>
      <c r="L31" s="57">
        <v>783.280487804878</v>
      </c>
      <c r="M31" s="57">
        <v>296.2926829268293</v>
      </c>
      <c r="N31" s="57">
        <v>1886.5884146341464</v>
      </c>
      <c r="O31" s="57">
        <v>1373.6818292682926</v>
      </c>
      <c r="P31" s="57">
        <v>2993.9756097560976</v>
      </c>
      <c r="Q31" s="57">
        <v>1225.841463414634</v>
      </c>
      <c r="R31" s="57">
        <v>6800.080853658536</v>
      </c>
      <c r="S31" s="57">
        <v>13191.976219512193</v>
      </c>
      <c r="T31" s="57">
        <v>1981.8481707317071</v>
      </c>
      <c r="U31" s="57">
        <v>12469.122804878049</v>
      </c>
      <c r="V31" s="57">
        <v>5031.389390243903</v>
      </c>
      <c r="W31" s="57">
        <v>24097.5609756098</v>
      </c>
      <c r="X31" s="57">
        <v>7056.601707317073</v>
      </c>
      <c r="Y31" s="57">
        <v>24097.5609756098</v>
      </c>
      <c r="Z31" s="57">
        <v>14606.364390243903</v>
      </c>
      <c r="AA31" s="57">
        <v>24097.5609756098</v>
      </c>
      <c r="AB31" s="57">
        <v>5933.314268292683</v>
      </c>
      <c r="AC31" s="57">
        <v>23275.6097560976</v>
      </c>
      <c r="AD31" s="57">
        <v>24531.589756097565</v>
      </c>
      <c r="AE31" s="57">
        <v>23275.6097560976</v>
      </c>
      <c r="AF31" s="57">
        <v>20689.30512195122</v>
      </c>
      <c r="AG31" s="57">
        <v>23275.6097560976</v>
      </c>
      <c r="AH31" s="57">
        <v>41496.65805</v>
      </c>
      <c r="AI31" s="57">
        <v>23653.6585365854</v>
      </c>
      <c r="AJ31" s="57">
        <v>29052.20256097561</v>
      </c>
      <c r="AK31" s="57">
        <v>23653.6585365854</v>
      </c>
      <c r="AL31" s="57">
        <v>20648.60873414634</v>
      </c>
      <c r="AM31" s="57">
        <v>24409.756097561</v>
      </c>
      <c r="AN31" s="57">
        <v>8405.24975609756</v>
      </c>
      <c r="AO31" s="57">
        <v>26675.0</v>
      </c>
      <c r="AP31" s="57">
        <v>15032.623493975903</v>
      </c>
      <c r="AQ31" s="57">
        <v>28341.666666666668</v>
      </c>
      <c r="AR31" s="57">
        <v>23843.306265060237</v>
      </c>
      <c r="AS31" s="57">
        <v>28445.833333333336</v>
      </c>
      <c r="AT31" s="57">
        <v>22492.20024096386</v>
      </c>
      <c r="AU31" s="57">
        <v>29383.333333333336</v>
      </c>
      <c r="AV31" s="57">
        <v>44783.073809523805</v>
      </c>
      <c r="AW31" s="57">
        <v>29383.333333333336</v>
      </c>
      <c r="AX31" s="57">
        <v>22355.38261904761</v>
      </c>
      <c r="AY31" s="57">
        <v>29383.333333333336</v>
      </c>
      <c r="AZ31" s="57">
        <v>5171.216785714285</v>
      </c>
      <c r="BA31" s="57">
        <v>29591.666666666668</v>
      </c>
      <c r="BB31" s="57">
        <v>14462.176904761905</v>
      </c>
      <c r="BC31" s="57">
        <v>29800.0</v>
      </c>
      <c r="BD31" s="57">
        <v>11193.149642857144</v>
      </c>
      <c r="BE31" s="57">
        <v>30633.333333333336</v>
      </c>
      <c r="BF31" s="57">
        <v>3881.285238095238</v>
      </c>
      <c r="BG31" s="57">
        <v>31050.0</v>
      </c>
      <c r="BH31" s="57">
        <v>22174.0925</v>
      </c>
      <c r="BI31" s="57">
        <v>31050.0</v>
      </c>
      <c r="BJ31" s="57">
        <v>10667.802500000002</v>
      </c>
      <c r="BK31" s="57">
        <v>31050.0</v>
      </c>
      <c r="BL31" s="57">
        <v>15191.272142857142</v>
      </c>
      <c r="BM31" s="57">
        <v>12479.166666666666</v>
      </c>
      <c r="BN31" s="57">
        <v>5105.532117647058</v>
      </c>
      <c r="BO31" s="57">
        <v>12479.166666666666</v>
      </c>
      <c r="BP31" s="57">
        <v>1223.0978823529413</v>
      </c>
      <c r="BQ31" s="57">
        <v>12479.166666666666</v>
      </c>
      <c r="BR31" s="57">
        <v>9422.41188235294</v>
      </c>
      <c r="BS31" s="57">
        <v>12479.166666666666</v>
      </c>
      <c r="BT31" s="57">
        <v>10923.404705882349</v>
      </c>
      <c r="BU31" s="57">
        <v>12479.166666666666</v>
      </c>
      <c r="BV31" s="57">
        <v>19717.54811764704</v>
      </c>
      <c r="BW31" s="57">
        <v>12062.5</v>
      </c>
      <c r="BX31" s="57">
        <v>11143.985294117647</v>
      </c>
      <c r="BY31" s="57">
        <v>12479.166666666666</v>
      </c>
      <c r="BZ31" s="57">
        <v>2909.908235294117</v>
      </c>
      <c r="CA31" s="57">
        <v>12062.5</v>
      </c>
      <c r="CB31" s="57">
        <v>2788.2300000000005</v>
      </c>
      <c r="CC31" s="57">
        <v>12062.5</v>
      </c>
      <c r="CD31" s="57">
        <v>19087.38</v>
      </c>
      <c r="CE31" s="57">
        <v>12479.166666666666</v>
      </c>
      <c r="CF31" s="57">
        <v>14276.253294117649</v>
      </c>
      <c r="CG31" s="57">
        <v>12479.166666666666</v>
      </c>
      <c r="CH31" s="57">
        <v>1631.8597647058823</v>
      </c>
      <c r="CI31" s="57">
        <v>12479.166666666666</v>
      </c>
      <c r="CJ31" s="57">
        <v>7363.270117647058</v>
      </c>
      <c r="CK31" s="57">
        <v>12479.166666666666</v>
      </c>
      <c r="CL31" s="57">
        <v>20417.681176470585</v>
      </c>
      <c r="CM31" s="57">
        <v>12479.166666666666</v>
      </c>
      <c r="CN31" s="57">
        <v>12479.166666666666</v>
      </c>
      <c r="CP31" s="49"/>
    </row>
    <row r="32" ht="15.75" customHeight="1">
      <c r="A32" s="94" t="str">
        <f t="shared" si="17"/>
        <v>Sales and Marketing CostsDemand Gen</v>
      </c>
      <c r="B32" s="97"/>
      <c r="C32" s="97"/>
      <c r="D32" s="4"/>
      <c r="E32" s="126" t="s">
        <v>107</v>
      </c>
      <c r="F32" s="57">
        <v>24.365853658536587</v>
      </c>
      <c r="G32" s="57">
        <v>365.8536585365854</v>
      </c>
      <c r="H32" s="57">
        <v>205.08536585365854</v>
      </c>
      <c r="I32" s="57">
        <v>404.87841463414634</v>
      </c>
      <c r="J32" s="57">
        <v>6519.0609756097565</v>
      </c>
      <c r="K32" s="57">
        <v>4548.792682926829</v>
      </c>
      <c r="L32" s="57">
        <v>7638.766707317073</v>
      </c>
      <c r="M32" s="57">
        <v>5280.5</v>
      </c>
      <c r="N32" s="57">
        <v>3940.357585779248</v>
      </c>
      <c r="O32" s="57">
        <v>5303.170731707317</v>
      </c>
      <c r="P32" s="57">
        <v>9079.162926829269</v>
      </c>
      <c r="Q32" s="57">
        <v>12691.732648477331</v>
      </c>
      <c r="R32" s="57">
        <v>18908.637177897202</v>
      </c>
      <c r="S32" s="57">
        <v>20575.841463414636</v>
      </c>
      <c r="T32" s="57">
        <v>14591.844494970373</v>
      </c>
      <c r="U32" s="57">
        <v>11843.529251067934</v>
      </c>
      <c r="V32" s="57">
        <v>32730.90806448257</v>
      </c>
      <c r="W32" s="57">
        <v>113572.0</v>
      </c>
      <c r="X32" s="57">
        <v>19031.30699186992</v>
      </c>
      <c r="Y32" s="57">
        <v>117210.0</v>
      </c>
      <c r="Z32" s="57">
        <v>66417.07552845529</v>
      </c>
      <c r="AA32" s="57">
        <v>124143.0</v>
      </c>
      <c r="AB32" s="57">
        <v>42851.50821138211</v>
      </c>
      <c r="AC32" s="57">
        <v>132309.0</v>
      </c>
      <c r="AD32" s="57">
        <v>39497.35479674797</v>
      </c>
      <c r="AE32" s="57">
        <v>141354.0</v>
      </c>
      <c r="AF32" s="57">
        <v>58775.59600179139</v>
      </c>
      <c r="AG32" s="57">
        <v>145773.0</v>
      </c>
      <c r="AH32" s="57">
        <v>48956.37528455285</v>
      </c>
      <c r="AI32" s="57">
        <v>145591.0</v>
      </c>
      <c r="AJ32" s="57">
        <v>52157.08073170732</v>
      </c>
      <c r="AK32" s="57">
        <v>145410.0</v>
      </c>
      <c r="AL32" s="57">
        <v>66542.6762195122</v>
      </c>
      <c r="AM32" s="57">
        <v>144702.0</v>
      </c>
      <c r="AN32" s="57">
        <v>52985.61056910569</v>
      </c>
      <c r="AO32" s="57">
        <v>132733.33333333334</v>
      </c>
      <c r="AP32" s="57">
        <v>118497.86068273091</v>
      </c>
      <c r="AQ32" s="57">
        <v>125538.33333333334</v>
      </c>
      <c r="AR32" s="57">
        <v>125713.71445783132</v>
      </c>
      <c r="AS32" s="57">
        <v>129802.78333333334</v>
      </c>
      <c r="AT32" s="57">
        <v>125749.27506024094</v>
      </c>
      <c r="AU32" s="57">
        <v>107853.94575</v>
      </c>
      <c r="AV32" s="57">
        <v>106301.94035714286</v>
      </c>
      <c r="AW32" s="57">
        <v>118863.14630125</v>
      </c>
      <c r="AX32" s="57">
        <v>132156.59023809523</v>
      </c>
      <c r="AY32" s="57">
        <v>122053.63875254376</v>
      </c>
      <c r="AZ32" s="57">
        <v>111895.93904761903</v>
      </c>
      <c r="BA32" s="57">
        <v>124171.268301202</v>
      </c>
      <c r="BB32" s="57">
        <v>134984.70702380955</v>
      </c>
      <c r="BC32" s="57">
        <v>152685.31990421403</v>
      </c>
      <c r="BD32" s="57">
        <v>214443.17797619046</v>
      </c>
      <c r="BE32" s="57">
        <v>187557.71341125615</v>
      </c>
      <c r="BF32" s="57">
        <v>175400.46142857143</v>
      </c>
      <c r="BG32" s="57">
        <v>209649.87054536873</v>
      </c>
      <c r="BH32" s="57">
        <v>277428.8080952381</v>
      </c>
      <c r="BI32" s="57">
        <v>213182.7442508224</v>
      </c>
      <c r="BJ32" s="57">
        <v>249307.60202380954</v>
      </c>
      <c r="BK32" s="57">
        <v>224745.88356833064</v>
      </c>
      <c r="BL32" s="57">
        <v>195105.11702380952</v>
      </c>
      <c r="BM32" s="57">
        <v>248760.94185713894</v>
      </c>
      <c r="BN32" s="57">
        <v>243153.3405882353</v>
      </c>
      <c r="BO32" s="57">
        <v>257327.06221516346</v>
      </c>
      <c r="BP32" s="57">
        <v>297327.4844705883</v>
      </c>
      <c r="BQ32" s="57">
        <v>266292.1601127545</v>
      </c>
      <c r="BR32" s="57">
        <v>275907.0312941176</v>
      </c>
      <c r="BS32" s="57">
        <v>250741.42871764032</v>
      </c>
      <c r="BT32" s="57">
        <v>254066.70329411764</v>
      </c>
      <c r="BU32" s="57">
        <v>257819.5530298383</v>
      </c>
      <c r="BV32" s="57">
        <v>271400.6035294118</v>
      </c>
      <c r="BW32" s="57">
        <v>265251.5257435989</v>
      </c>
      <c r="BX32" s="57">
        <v>296909.7564705882</v>
      </c>
      <c r="BY32" s="57">
        <v>272546.05485190597</v>
      </c>
      <c r="BZ32" s="57">
        <v>309836.8884705882</v>
      </c>
      <c r="CA32" s="57">
        <v>276847.15182577097</v>
      </c>
      <c r="CB32" s="57">
        <v>267119.876</v>
      </c>
      <c r="CC32" s="57">
        <v>280257.92093212163</v>
      </c>
      <c r="CD32" s="57">
        <v>410063.5532941176</v>
      </c>
      <c r="CE32" s="57">
        <v>283794.512446457</v>
      </c>
      <c r="CF32" s="57">
        <v>425524.57635294116</v>
      </c>
      <c r="CG32" s="57">
        <v>286319.25571977213</v>
      </c>
      <c r="CH32" s="57">
        <v>278581.68200000003</v>
      </c>
      <c r="CI32" s="57">
        <v>288524.51614859316</v>
      </c>
      <c r="CJ32" s="57">
        <v>288037.5267058824</v>
      </c>
      <c r="CK32" s="57">
        <v>290768.9325752835</v>
      </c>
      <c r="CL32" s="57">
        <v>241478.75470588234</v>
      </c>
      <c r="CM32" s="57">
        <v>293053.751729501</v>
      </c>
      <c r="CN32" s="57">
        <v>294985.634669627</v>
      </c>
      <c r="CP32" s="49"/>
    </row>
    <row r="33" ht="15.75" customHeight="1">
      <c r="A33" s="94" t="str">
        <f t="shared" si="17"/>
        <v>Sales and Marketing CostsBranding and community</v>
      </c>
      <c r="B33" s="97"/>
      <c r="C33" s="97"/>
      <c r="D33" s="4"/>
      <c r="E33" s="126" t="s">
        <v>108</v>
      </c>
      <c r="F33" s="57">
        <v>0.0</v>
      </c>
      <c r="G33" s="57">
        <v>0.0</v>
      </c>
      <c r="H33" s="57">
        <v>0.0</v>
      </c>
      <c r="I33" s="57">
        <v>0.0</v>
      </c>
      <c r="J33" s="57">
        <v>0.0</v>
      </c>
      <c r="K33" s="57">
        <v>0.0</v>
      </c>
      <c r="L33" s="57">
        <v>0.0</v>
      </c>
      <c r="M33" s="57">
        <v>0.0</v>
      </c>
      <c r="N33" s="57">
        <v>2274.7073170731705</v>
      </c>
      <c r="O33" s="57">
        <v>2302.7195121951218</v>
      </c>
      <c r="P33" s="57">
        <v>0.0</v>
      </c>
      <c r="Q33" s="57">
        <v>408.66853658536587</v>
      </c>
      <c r="R33" s="57">
        <v>1941.0121951219512</v>
      </c>
      <c r="S33" s="57">
        <v>2176.2601219512194</v>
      </c>
      <c r="T33" s="57">
        <v>1707.3170731707316</v>
      </c>
      <c r="U33" s="57">
        <v>10934.83719512195</v>
      </c>
      <c r="V33" s="57">
        <v>2312.7347439024393</v>
      </c>
      <c r="W33" s="57">
        <v>8100.0</v>
      </c>
      <c r="X33" s="57">
        <v>19481.148536585366</v>
      </c>
      <c r="Y33" s="57">
        <v>8100.0</v>
      </c>
      <c r="Z33" s="57">
        <v>0.0</v>
      </c>
      <c r="AA33" s="57">
        <v>8100.0</v>
      </c>
      <c r="AB33" s="57">
        <v>0.0</v>
      </c>
      <c r="AC33" s="57">
        <v>20750.0</v>
      </c>
      <c r="AD33" s="57">
        <v>7637.033621951219</v>
      </c>
      <c r="AE33" s="57">
        <v>20750.0</v>
      </c>
      <c r="AF33" s="57">
        <v>10960.815329268293</v>
      </c>
      <c r="AG33" s="57">
        <v>20750.0</v>
      </c>
      <c r="AH33" s="57">
        <v>4288.922768292683</v>
      </c>
      <c r="AI33" s="57">
        <v>20750.0</v>
      </c>
      <c r="AJ33" s="57">
        <v>4288.922768292683</v>
      </c>
      <c r="AK33" s="57">
        <v>20750.0</v>
      </c>
      <c r="AL33" s="57">
        <v>6156.8435</v>
      </c>
      <c r="AM33" s="57">
        <v>20750.0</v>
      </c>
      <c r="AN33" s="57">
        <v>6156.8435</v>
      </c>
      <c r="AO33" s="57">
        <v>17250.0</v>
      </c>
      <c r="AP33" s="57">
        <v>6082.664662650603</v>
      </c>
      <c r="AQ33" s="57">
        <v>17250.0</v>
      </c>
      <c r="AR33" s="57">
        <v>6082.664662650603</v>
      </c>
      <c r="AS33" s="57">
        <v>17250.0</v>
      </c>
      <c r="AT33" s="57">
        <v>15934.171530120482</v>
      </c>
      <c r="AU33" s="57">
        <v>2916.6666666666665</v>
      </c>
      <c r="AV33" s="57">
        <v>25554.307500000003</v>
      </c>
      <c r="AW33" s="57">
        <v>2916.6666666666665</v>
      </c>
      <c r="AX33" s="57">
        <v>13938.935595238096</v>
      </c>
      <c r="AY33" s="57">
        <v>2916.6666666666665</v>
      </c>
      <c r="AZ33" s="57">
        <v>27157.88928571429</v>
      </c>
      <c r="BA33" s="57">
        <v>2916.6666666666665</v>
      </c>
      <c r="BB33" s="57">
        <v>3879.940238095238</v>
      </c>
      <c r="BC33" s="57">
        <v>2916.6666666666665</v>
      </c>
      <c r="BD33" s="57">
        <v>9544.940238095238</v>
      </c>
      <c r="BE33" s="57">
        <v>2916.6666666666665</v>
      </c>
      <c r="BF33" s="57">
        <v>31773.987857142856</v>
      </c>
      <c r="BG33" s="57">
        <v>27916.666666666668</v>
      </c>
      <c r="BH33" s="57">
        <v>32131.38690476191</v>
      </c>
      <c r="BI33" s="57">
        <v>27916.666666666668</v>
      </c>
      <c r="BJ33" s="57">
        <v>20908.630714285715</v>
      </c>
      <c r="BK33" s="57">
        <v>27916.666666666668</v>
      </c>
      <c r="BL33" s="57">
        <v>29640.390952380956</v>
      </c>
      <c r="BM33" s="57">
        <v>25833.333333333332</v>
      </c>
      <c r="BN33" s="57">
        <v>19194.15623529412</v>
      </c>
      <c r="BO33" s="57">
        <v>25833.333333333332</v>
      </c>
      <c r="BP33" s="57">
        <v>20601.97929411765</v>
      </c>
      <c r="BQ33" s="57">
        <v>25833.333333333332</v>
      </c>
      <c r="BR33" s="57">
        <v>56012.235882352936</v>
      </c>
      <c r="BS33" s="57">
        <v>29828.466666666667</v>
      </c>
      <c r="BT33" s="57">
        <v>69206.88847058822</v>
      </c>
      <c r="BU33" s="57">
        <v>29948.466666666667</v>
      </c>
      <c r="BV33" s="57">
        <v>76812.74329411764</v>
      </c>
      <c r="BW33" s="57">
        <v>30071.8</v>
      </c>
      <c r="BX33" s="57">
        <v>55728.50211764706</v>
      </c>
      <c r="BY33" s="57">
        <v>30198.466666666664</v>
      </c>
      <c r="BZ33" s="57">
        <v>42645.211294117646</v>
      </c>
      <c r="CA33" s="57">
        <v>30328.466666666664</v>
      </c>
      <c r="CB33" s="57">
        <v>20847.10552941176</v>
      </c>
      <c r="CC33" s="57">
        <v>32961.799999999996</v>
      </c>
      <c r="CD33" s="57">
        <v>18242.097294117648</v>
      </c>
      <c r="CE33" s="57">
        <v>33101.799999999996</v>
      </c>
      <c r="CF33" s="57">
        <v>11564.809647058824</v>
      </c>
      <c r="CG33" s="57">
        <v>33101.799999999996</v>
      </c>
      <c r="CH33" s="57">
        <v>11446.89411764706</v>
      </c>
      <c r="CI33" s="57">
        <v>33101.799999999996</v>
      </c>
      <c r="CJ33" s="57">
        <v>15433.449529411766</v>
      </c>
      <c r="CK33" s="57">
        <v>34833.33333333333</v>
      </c>
      <c r="CL33" s="57">
        <v>12705.141176470588</v>
      </c>
      <c r="CM33" s="57">
        <v>34833.33333333333</v>
      </c>
      <c r="CN33" s="57">
        <v>34833.33333333333</v>
      </c>
      <c r="CP33" s="49"/>
    </row>
    <row r="34" ht="15.75" customHeight="1">
      <c r="A34" s="94" t="str">
        <f t="shared" si="17"/>
        <v>Sales and Marketing CostsMarketing Tech Stack</v>
      </c>
      <c r="B34" s="97"/>
      <c r="C34" s="97"/>
      <c r="D34" s="4"/>
      <c r="E34" s="126" t="s">
        <v>109</v>
      </c>
      <c r="F34" s="57">
        <v>55.87146341463415</v>
      </c>
      <c r="G34" s="57">
        <v>28.400853658536583</v>
      </c>
      <c r="H34" s="57">
        <v>2691.856951219512</v>
      </c>
      <c r="I34" s="57">
        <v>0.0</v>
      </c>
      <c r="J34" s="57">
        <v>2433.084390243903</v>
      </c>
      <c r="K34" s="57">
        <v>763.520487804878</v>
      </c>
      <c r="L34" s="57">
        <v>2483.6121951219516</v>
      </c>
      <c r="M34" s="57">
        <v>3080.066869918699</v>
      </c>
      <c r="N34" s="57">
        <v>1923.3144308943088</v>
      </c>
      <c r="O34" s="57">
        <v>3820.8915853658536</v>
      </c>
      <c r="P34" s="57">
        <v>2771.573130081301</v>
      </c>
      <c r="Q34" s="57">
        <v>4246.698668699186</v>
      </c>
      <c r="R34" s="57">
        <v>5064.429034552845</v>
      </c>
      <c r="S34" s="57">
        <v>3388.6897662601627</v>
      </c>
      <c r="T34" s="57">
        <v>5399.906351626016</v>
      </c>
      <c r="U34" s="57">
        <v>3273.335132113821</v>
      </c>
      <c r="V34" s="57">
        <v>2186.5750967845534</v>
      </c>
      <c r="W34" s="57">
        <v>11921.9512195122</v>
      </c>
      <c r="X34" s="57">
        <v>49286.4168800813</v>
      </c>
      <c r="Y34" s="57">
        <v>11800.0</v>
      </c>
      <c r="Z34" s="57">
        <v>24708.868506097562</v>
      </c>
      <c r="AA34" s="57">
        <v>26150.0</v>
      </c>
      <c r="AB34" s="57">
        <v>24362.62167682927</v>
      </c>
      <c r="AC34" s="57">
        <v>11921.9512195122</v>
      </c>
      <c r="AD34" s="57">
        <v>15163.443953252032</v>
      </c>
      <c r="AE34" s="57">
        <v>12226.8292682927</v>
      </c>
      <c r="AF34" s="57">
        <v>17950.25395325203</v>
      </c>
      <c r="AG34" s="57">
        <v>12226.8292682927</v>
      </c>
      <c r="AH34" s="57">
        <v>18396.653953252033</v>
      </c>
      <c r="AI34" s="57">
        <v>12470.7317073171</v>
      </c>
      <c r="AJ34" s="57">
        <v>10471.585203252032</v>
      </c>
      <c r="AK34" s="57">
        <v>12470.7317073171</v>
      </c>
      <c r="AL34" s="57">
        <v>9041.705203252033</v>
      </c>
      <c r="AM34" s="57">
        <v>12714.6341463415</v>
      </c>
      <c r="AN34" s="57">
        <v>5898.455203252033</v>
      </c>
      <c r="AO34" s="57">
        <v>24330.0</v>
      </c>
      <c r="AP34" s="57">
        <v>11068.885502008034</v>
      </c>
      <c r="AQ34" s="57">
        <v>24795.0</v>
      </c>
      <c r="AR34" s="57">
        <v>16777.53550200803</v>
      </c>
      <c r="AS34" s="57">
        <v>25271.624999999996</v>
      </c>
      <c r="AT34" s="57">
        <v>20731.51574297189</v>
      </c>
      <c r="AU34" s="57">
        <v>26280.16562499999</v>
      </c>
      <c r="AV34" s="57">
        <v>19285.985595238097</v>
      </c>
      <c r="AW34" s="57">
        <v>26780.919765624993</v>
      </c>
      <c r="AX34" s="57">
        <v>28884.935833333337</v>
      </c>
      <c r="AY34" s="57">
        <v>27294.192759765614</v>
      </c>
      <c r="AZ34" s="57">
        <v>15876.186666666666</v>
      </c>
      <c r="BA34" s="57">
        <v>29077.908991927074</v>
      </c>
      <c r="BB34" s="57">
        <v>16990.749047619047</v>
      </c>
      <c r="BC34" s="57">
        <v>30073.265367217602</v>
      </c>
      <c r="BD34" s="57">
        <v>16444.84273809524</v>
      </c>
      <c r="BE34" s="57">
        <v>31115.780251081676</v>
      </c>
      <c r="BF34" s="57">
        <v>24737.16011904762</v>
      </c>
      <c r="BG34" s="57">
        <v>32207.746336193202</v>
      </c>
      <c r="BH34" s="57">
        <v>19972.812499999993</v>
      </c>
      <c r="BI34" s="57">
        <v>33351.56931904091</v>
      </c>
      <c r="BJ34" s="57">
        <v>21413.901904761908</v>
      </c>
      <c r="BK34" s="57">
        <v>34549.77350934861</v>
      </c>
      <c r="BL34" s="57">
        <v>25919.356428571427</v>
      </c>
      <c r="BM34" s="57">
        <v>35805.66991974515</v>
      </c>
      <c r="BN34" s="57">
        <v>20895.669294117644</v>
      </c>
      <c r="BO34" s="57">
        <v>37121.39240066152</v>
      </c>
      <c r="BP34" s="57">
        <v>25107.121529411765</v>
      </c>
      <c r="BQ34" s="57">
        <v>38499.8580368737</v>
      </c>
      <c r="BR34" s="57">
        <v>36684.91074509804</v>
      </c>
      <c r="BS34" s="57">
        <v>39661.33414177645</v>
      </c>
      <c r="BT34" s="57">
        <v>37555.48800000001</v>
      </c>
      <c r="BU34" s="57">
        <v>41043.542710778514</v>
      </c>
      <c r="BV34" s="57">
        <v>21009.777882352944</v>
      </c>
      <c r="BW34" s="57">
        <v>42494.861708230674</v>
      </c>
      <c r="BX34" s="57">
        <v>21059.61788235294</v>
      </c>
      <c r="BY34" s="57">
        <v>44018.74665555544</v>
      </c>
      <c r="BZ34" s="57">
        <v>23934.648000000005</v>
      </c>
      <c r="CA34" s="57">
        <v>45618.825850246445</v>
      </c>
      <c r="CB34" s="57">
        <v>21632.73788235294</v>
      </c>
      <c r="CC34" s="57">
        <v>47298.909004672</v>
      </c>
      <c r="CD34" s="57">
        <v>22646.587764705884</v>
      </c>
      <c r="CE34" s="57">
        <v>49062.99631681883</v>
      </c>
      <c r="CF34" s="57">
        <v>20957.32788235294</v>
      </c>
      <c r="CG34" s="57">
        <v>50915.28799457301</v>
      </c>
      <c r="CH34" s="57">
        <v>28042.402823529414</v>
      </c>
      <c r="CI34" s="57">
        <v>52860.19425621489</v>
      </c>
      <c r="CJ34" s="57">
        <v>23299.03282352941</v>
      </c>
      <c r="CK34" s="57">
        <v>54902.345830938866</v>
      </c>
      <c r="CL34" s="57">
        <v>23309.37823529412</v>
      </c>
      <c r="CM34" s="57">
        <v>57046.60498439904</v>
      </c>
      <c r="CN34" s="57">
        <v>59298.07709553223</v>
      </c>
      <c r="CP34" s="49"/>
    </row>
    <row r="35" ht="15.75" customHeight="1">
      <c r="A35" s="94" t="str">
        <f t="shared" si="17"/>
        <v>Sales and Marketing CostsContent</v>
      </c>
      <c r="B35" s="97"/>
      <c r="C35" s="97"/>
      <c r="D35" s="4"/>
      <c r="E35" s="126" t="s">
        <v>110</v>
      </c>
      <c r="F35" s="57">
        <v>13.487804878048781</v>
      </c>
      <c r="G35" s="57">
        <v>119.7229268292683</v>
      </c>
      <c r="H35" s="57">
        <v>922.0</v>
      </c>
      <c r="I35" s="57">
        <v>225.78048780487805</v>
      </c>
      <c r="J35" s="57">
        <v>232.3780487804878</v>
      </c>
      <c r="K35" s="57">
        <v>381.63975609756096</v>
      </c>
      <c r="L35" s="57">
        <v>40.17634146341464</v>
      </c>
      <c r="M35" s="57">
        <v>4714.969024390244</v>
      </c>
      <c r="N35" s="57">
        <v>40.17634146341464</v>
      </c>
      <c r="O35" s="57">
        <v>11115.456829268292</v>
      </c>
      <c r="P35" s="57">
        <v>12334.969024390244</v>
      </c>
      <c r="Q35" s="57">
        <v>9978.891585365853</v>
      </c>
      <c r="R35" s="57">
        <v>4186.69243902439</v>
      </c>
      <c r="S35" s="57">
        <v>6757.3553658536575</v>
      </c>
      <c r="T35" s="57">
        <v>8143.578658536585</v>
      </c>
      <c r="U35" s="57">
        <v>3774.7292682926827</v>
      </c>
      <c r="V35" s="57">
        <v>9567.279573170732</v>
      </c>
      <c r="W35" s="57">
        <v>13395.1219512195</v>
      </c>
      <c r="X35" s="57">
        <v>13715.524390243903</v>
      </c>
      <c r="Y35" s="57">
        <v>13395.1219512195</v>
      </c>
      <c r="Z35" s="57">
        <v>23324.329268292684</v>
      </c>
      <c r="AA35" s="57">
        <v>18395.1219512195</v>
      </c>
      <c r="AB35" s="57">
        <v>16886.256097560974</v>
      </c>
      <c r="AC35" s="57">
        <v>13395.1219512195</v>
      </c>
      <c r="AD35" s="57">
        <v>13370.375609756098</v>
      </c>
      <c r="AE35" s="57">
        <v>12195.1219512195</v>
      </c>
      <c r="AF35" s="57">
        <v>10898.915</v>
      </c>
      <c r="AG35" s="57">
        <v>21195.1219512195</v>
      </c>
      <c r="AH35" s="57">
        <v>10940.585365853658</v>
      </c>
      <c r="AI35" s="57">
        <v>16195.1219512195</v>
      </c>
      <c r="AJ35" s="57">
        <v>10531.273170731707</v>
      </c>
      <c r="AK35" s="57">
        <v>16195.1219512195</v>
      </c>
      <c r="AL35" s="57">
        <v>10699.153170731708</v>
      </c>
      <c r="AM35" s="57">
        <v>21195.1219512195</v>
      </c>
      <c r="AN35" s="57">
        <v>10785.39512195122</v>
      </c>
      <c r="AO35" s="57">
        <v>24033.333333333332</v>
      </c>
      <c r="AP35" s="57">
        <v>10490.325301204819</v>
      </c>
      <c r="AQ35" s="57">
        <v>24533.333333333332</v>
      </c>
      <c r="AR35" s="57">
        <v>10731.289156626506</v>
      </c>
      <c r="AS35" s="57">
        <v>23858.333333333332</v>
      </c>
      <c r="AT35" s="57">
        <v>12396.108433734938</v>
      </c>
      <c r="AU35" s="57">
        <v>24109.583333333332</v>
      </c>
      <c r="AV35" s="57">
        <v>6475.0</v>
      </c>
      <c r="AW35" s="57">
        <v>24688.395833333332</v>
      </c>
      <c r="AX35" s="57">
        <v>6475.0</v>
      </c>
      <c r="AY35" s="57">
        <v>25296.148958333335</v>
      </c>
      <c r="AZ35" s="57">
        <v>6825.0</v>
      </c>
      <c r="BA35" s="57">
        <v>24734.28973958333</v>
      </c>
      <c r="BB35" s="57">
        <v>6475.0</v>
      </c>
      <c r="BC35" s="57">
        <v>25404.337559895834</v>
      </c>
      <c r="BD35" s="57">
        <v>13425.0</v>
      </c>
      <c r="BE35" s="57">
        <v>24007.88777122396</v>
      </c>
      <c r="BF35" s="57">
        <v>0.0</v>
      </c>
      <c r="BG35" s="57">
        <v>24233.333333333332</v>
      </c>
      <c r="BH35" s="57">
        <v>9767.95</v>
      </c>
      <c r="BI35" s="57">
        <v>24233.333333333332</v>
      </c>
      <c r="BJ35" s="57">
        <v>0.0</v>
      </c>
      <c r="BK35" s="57">
        <v>30900.0</v>
      </c>
      <c r="BL35" s="57">
        <v>6733.67</v>
      </c>
      <c r="BM35" s="57">
        <v>18417.857142857145</v>
      </c>
      <c r="BN35" s="57">
        <v>1666.67</v>
      </c>
      <c r="BO35" s="57">
        <v>18496.607142857145</v>
      </c>
      <c r="BP35" s="57">
        <v>17021.67</v>
      </c>
      <c r="BQ35" s="57">
        <v>18579.294642857145</v>
      </c>
      <c r="BR35" s="57">
        <v>8666.67</v>
      </c>
      <c r="BS35" s="57">
        <v>18666.116517857143</v>
      </c>
      <c r="BT35" s="57">
        <v>1666.67</v>
      </c>
      <c r="BU35" s="57">
        <v>18757.279486607145</v>
      </c>
      <c r="BV35" s="57">
        <v>15666.67</v>
      </c>
      <c r="BW35" s="57">
        <v>18853.000603794644</v>
      </c>
      <c r="BX35" s="57">
        <v>8666.67</v>
      </c>
      <c r="BY35" s="57">
        <v>18953.507776841518</v>
      </c>
      <c r="BZ35" s="57">
        <v>8676.67</v>
      </c>
      <c r="CA35" s="57">
        <v>19059.040308540738</v>
      </c>
      <c r="CB35" s="57">
        <v>1676.67</v>
      </c>
      <c r="CC35" s="57">
        <v>19169.84946682492</v>
      </c>
      <c r="CD35" s="57">
        <v>1691.67</v>
      </c>
      <c r="CE35" s="57">
        <v>19286.199083023308</v>
      </c>
      <c r="CF35" s="57">
        <v>1691.67</v>
      </c>
      <c r="CG35" s="57">
        <v>19408.366180031615</v>
      </c>
      <c r="CH35" s="57">
        <v>17691.67</v>
      </c>
      <c r="CI35" s="57">
        <v>12869.974965223671</v>
      </c>
      <c r="CJ35" s="57">
        <v>2225.0</v>
      </c>
      <c r="CK35" s="57">
        <v>13004.664189675332</v>
      </c>
      <c r="CL35" s="57">
        <v>2225.0</v>
      </c>
      <c r="CM35" s="57">
        <v>13146.087875349574</v>
      </c>
      <c r="CN35" s="57">
        <v>13294.582745307529</v>
      </c>
      <c r="CP35" s="49"/>
    </row>
    <row r="36" ht="15.75" customHeight="1">
      <c r="A36" s="94" t="str">
        <f t="shared" si="17"/>
        <v>Sales and Marketing CostsReferrals and Expansion</v>
      </c>
      <c r="B36" s="97"/>
      <c r="C36" s="97"/>
      <c r="D36" s="4"/>
      <c r="E36" s="126" t="s">
        <v>111</v>
      </c>
      <c r="F36" s="57">
        <v>0.0</v>
      </c>
      <c r="G36" s="57">
        <v>0.0</v>
      </c>
      <c r="H36" s="57">
        <v>0.0</v>
      </c>
      <c r="I36" s="57">
        <v>0.0</v>
      </c>
      <c r="J36" s="57">
        <v>0.0</v>
      </c>
      <c r="K36" s="57">
        <v>0.0</v>
      </c>
      <c r="L36" s="57">
        <v>1383.8048780487804</v>
      </c>
      <c r="M36" s="57">
        <v>3581.2804878048782</v>
      </c>
      <c r="N36" s="57">
        <v>3828.4634146341464</v>
      </c>
      <c r="O36" s="57">
        <v>0.0</v>
      </c>
      <c r="P36" s="57">
        <v>0.0</v>
      </c>
      <c r="Q36" s="57">
        <v>3413.4146341463415</v>
      </c>
      <c r="R36" s="57">
        <v>0.0</v>
      </c>
      <c r="S36" s="57">
        <v>1189.0243902439024</v>
      </c>
      <c r="T36" s="57">
        <v>2990.3048780487807</v>
      </c>
      <c r="U36" s="57">
        <v>0.0</v>
      </c>
      <c r="V36" s="57">
        <v>2226.0731707317073</v>
      </c>
      <c r="W36" s="57">
        <v>13062.6126654632</v>
      </c>
      <c r="X36" s="57">
        <v>5040.614634146342</v>
      </c>
      <c r="Y36" s="57">
        <v>14112.6900434416</v>
      </c>
      <c r="Z36" s="57">
        <v>10778.085365853658</v>
      </c>
      <c r="AA36" s="57">
        <v>14927.740529554</v>
      </c>
      <c r="AB36" s="57">
        <v>18436.51219512195</v>
      </c>
      <c r="AC36" s="57">
        <v>15732.9715571197</v>
      </c>
      <c r="AD36" s="57">
        <v>3397.243902439024</v>
      </c>
      <c r="AE36" s="57">
        <v>16439.5192342987</v>
      </c>
      <c r="AF36" s="57">
        <v>14923.707317073171</v>
      </c>
      <c r="AG36" s="57">
        <v>17085.4250201948</v>
      </c>
      <c r="AH36" s="57">
        <v>14837.317073170732</v>
      </c>
      <c r="AI36" s="57">
        <v>17975.2683517947</v>
      </c>
      <c r="AJ36" s="57">
        <v>16714.951219512193</v>
      </c>
      <c r="AK36" s="57">
        <v>19850.9793336634</v>
      </c>
      <c r="AL36" s="57">
        <v>11075.30487804878</v>
      </c>
      <c r="AM36" s="57">
        <v>20888.5620617066</v>
      </c>
      <c r="AN36" s="57">
        <v>6690.243902439024</v>
      </c>
      <c r="AO36" s="57">
        <v>14500.0</v>
      </c>
      <c r="AP36" s="57">
        <v>18922.527710843373</v>
      </c>
      <c r="AQ36" s="57">
        <v>14663.0</v>
      </c>
      <c r="AR36" s="57">
        <v>14302.439759036144</v>
      </c>
      <c r="AS36" s="57">
        <v>14827.99</v>
      </c>
      <c r="AT36" s="57">
        <v>12793.524096385541</v>
      </c>
      <c r="AU36" s="57">
        <v>13811.251800000002</v>
      </c>
      <c r="AV36" s="57">
        <v>7142.857142857143</v>
      </c>
      <c r="AW36" s="57">
        <v>18626.945694000002</v>
      </c>
      <c r="AX36" s="57">
        <v>0.0</v>
      </c>
      <c r="AY36" s="57">
        <v>18775.066487580003</v>
      </c>
      <c r="AZ36" s="57">
        <v>1200.0</v>
      </c>
      <c r="BA36" s="57">
        <v>18844.560451803</v>
      </c>
      <c r="BB36" s="57">
        <v>5475.0</v>
      </c>
      <c r="BC36" s="57">
        <v>18876.40605632103</v>
      </c>
      <c r="BD36" s="57">
        <v>4499.0</v>
      </c>
      <c r="BE36" s="57">
        <v>22157.140233768485</v>
      </c>
      <c r="BF36" s="57">
        <v>2854.666666666667</v>
      </c>
      <c r="BG36" s="57">
        <v>22222.111636106165</v>
      </c>
      <c r="BH36" s="57">
        <v>8538.333333333332</v>
      </c>
      <c r="BI36" s="57">
        <v>23667.73275246723</v>
      </c>
      <c r="BJ36" s="57">
        <v>5522.619047619048</v>
      </c>
      <c r="BK36" s="57">
        <v>23734.010079991902</v>
      </c>
      <c r="BL36" s="57">
        <v>6408.428571428572</v>
      </c>
      <c r="BM36" s="57">
        <v>15296.236842614995</v>
      </c>
      <c r="BN36" s="57">
        <v>4551.470588235294</v>
      </c>
      <c r="BO36" s="57">
        <v>15444.222574678726</v>
      </c>
      <c r="BP36" s="57">
        <v>11320.5</v>
      </c>
      <c r="BQ36" s="57">
        <v>16273.39645144545</v>
      </c>
      <c r="BR36" s="57">
        <v>10351.088235294117</v>
      </c>
      <c r="BS36" s="57">
        <v>19136.369059151617</v>
      </c>
      <c r="BT36" s="57">
        <v>8295.0</v>
      </c>
      <c r="BU36" s="57">
        <v>20108.07483903129</v>
      </c>
      <c r="BV36" s="57">
        <v>14571.0</v>
      </c>
      <c r="BW36" s="57">
        <v>22685.933554403968</v>
      </c>
      <c r="BX36" s="57">
        <v>17820.75</v>
      </c>
      <c r="BY36" s="57">
        <v>23047.393378205918</v>
      </c>
      <c r="BZ36" s="57">
        <v>9690.0</v>
      </c>
      <c r="CA36" s="57">
        <v>24730.738475842914</v>
      </c>
      <c r="CB36" s="57">
        <v>14160.0</v>
      </c>
      <c r="CC36" s="57">
        <v>27025.23824760729</v>
      </c>
      <c r="CD36" s="57">
        <v>23017.906588235295</v>
      </c>
      <c r="CE36" s="57">
        <v>24830.62853835064</v>
      </c>
      <c r="CF36" s="57">
        <v>18245.653870588238</v>
      </c>
      <c r="CG36" s="57">
        <v>26047.089889635943</v>
      </c>
      <c r="CH36" s="57">
        <v>15581.691811764706</v>
      </c>
      <c r="CI36" s="57">
        <v>26584.174481846912</v>
      </c>
      <c r="CJ36" s="57">
        <v>16716.597</v>
      </c>
      <c r="CK36" s="57">
        <v>26853.000868253755</v>
      </c>
      <c r="CL36" s="57">
        <v>10807.688823529412</v>
      </c>
      <c r="CM36" s="57">
        <v>27469.638825588117</v>
      </c>
      <c r="CN36" s="57">
        <v>30094.769109956567</v>
      </c>
      <c r="CP36" s="49"/>
    </row>
    <row r="37" ht="15.75" customHeight="1">
      <c r="A37" s="94" t="str">
        <f t="shared" si="17"/>
        <v>Sales and Marketing CostsEvents</v>
      </c>
      <c r="B37" s="97"/>
      <c r="C37" s="97"/>
      <c r="D37" s="4"/>
      <c r="E37" s="126" t="s">
        <v>112</v>
      </c>
      <c r="F37" s="57">
        <v>0.0</v>
      </c>
      <c r="G37" s="57">
        <v>0.0</v>
      </c>
      <c r="H37" s="57">
        <v>0.0</v>
      </c>
      <c r="I37" s="57">
        <v>0.0</v>
      </c>
      <c r="J37" s="57">
        <v>0.0</v>
      </c>
      <c r="K37" s="57">
        <v>0.0</v>
      </c>
      <c r="L37" s="57">
        <v>0.0</v>
      </c>
      <c r="M37" s="57">
        <v>0.0</v>
      </c>
      <c r="N37" s="57">
        <v>74.91463414634147</v>
      </c>
      <c r="O37" s="57">
        <v>64.7560975609756</v>
      </c>
      <c r="P37" s="57">
        <v>1144.5121951219512</v>
      </c>
      <c r="Q37" s="57">
        <v>1371.9512195121952</v>
      </c>
      <c r="R37" s="57">
        <v>1371.9512195121952</v>
      </c>
      <c r="S37" s="57">
        <v>11927.537317073171</v>
      </c>
      <c r="T37" s="57">
        <v>1371.9512195121952</v>
      </c>
      <c r="U37" s="57">
        <v>36581.111463414636</v>
      </c>
      <c r="V37" s="57">
        <v>32386.650630487806</v>
      </c>
      <c r="W37" s="57">
        <v>70555.5555555556</v>
      </c>
      <c r="X37" s="57">
        <v>1603.771219512195</v>
      </c>
      <c r="Y37" s="57">
        <v>15000.0</v>
      </c>
      <c r="Z37" s="57">
        <v>3341.31243902439</v>
      </c>
      <c r="AA37" s="57">
        <v>70000.0</v>
      </c>
      <c r="AB37" s="57">
        <v>12486.394634146342</v>
      </c>
      <c r="AC37" s="57">
        <v>41000.0</v>
      </c>
      <c r="AD37" s="57">
        <v>6241.8482926829265</v>
      </c>
      <c r="AE37" s="57">
        <v>33000.0</v>
      </c>
      <c r="AF37" s="57">
        <v>19623.139146341462</v>
      </c>
      <c r="AG37" s="57">
        <v>48000.0</v>
      </c>
      <c r="AH37" s="57">
        <v>28452.75682926829</v>
      </c>
      <c r="AI37" s="57">
        <v>18000.0</v>
      </c>
      <c r="AJ37" s="57">
        <v>8534.141951219513</v>
      </c>
      <c r="AK37" s="57">
        <v>48000.0</v>
      </c>
      <c r="AL37" s="57">
        <v>8925.866585365853</v>
      </c>
      <c r="AM37" s="57">
        <v>48000.0</v>
      </c>
      <c r="AN37" s="57">
        <v>12276.235426829267</v>
      </c>
      <c r="AO37" s="57">
        <v>26666.666666666668</v>
      </c>
      <c r="AP37" s="57">
        <v>9826.233192771082</v>
      </c>
      <c r="AQ37" s="57">
        <v>26666.666666666668</v>
      </c>
      <c r="AR37" s="57">
        <v>17644.693192771083</v>
      </c>
      <c r="AS37" s="57">
        <v>26666.666666666668</v>
      </c>
      <c r="AT37" s="57">
        <v>27272.310341365464</v>
      </c>
      <c r="AU37" s="57">
        <v>26666.666666666668</v>
      </c>
      <c r="AV37" s="57">
        <v>15456.496547619048</v>
      </c>
      <c r="AW37" s="57">
        <v>26666.666666666668</v>
      </c>
      <c r="AX37" s="57">
        <v>12127.020833333334</v>
      </c>
      <c r="AY37" s="57">
        <v>26666.666666666668</v>
      </c>
      <c r="AZ37" s="57">
        <v>11609.300833333333</v>
      </c>
      <c r="BA37" s="57">
        <v>26666.666666666668</v>
      </c>
      <c r="BB37" s="57">
        <v>11781.299880952381</v>
      </c>
      <c r="BC37" s="57">
        <v>26666.666666666668</v>
      </c>
      <c r="BD37" s="57">
        <v>12289.134523809524</v>
      </c>
      <c r="BE37" s="57">
        <v>26666.666666666668</v>
      </c>
      <c r="BF37" s="57">
        <v>17506.990833333333</v>
      </c>
      <c r="BG37" s="57">
        <v>42000.0</v>
      </c>
      <c r="BH37" s="57">
        <v>22339.870238095238</v>
      </c>
      <c r="BI37" s="57">
        <v>42000.0</v>
      </c>
      <c r="BJ37" s="57">
        <v>30360.418452380953</v>
      </c>
      <c r="BK37" s="57">
        <v>42000.0</v>
      </c>
      <c r="BL37" s="57">
        <v>19105.8775</v>
      </c>
      <c r="BM37" s="57">
        <v>30000.0</v>
      </c>
      <c r="BN37" s="57">
        <v>41428.18</v>
      </c>
      <c r="BO37" s="57">
        <v>30000.0</v>
      </c>
      <c r="BP37" s="57">
        <v>36765.5</v>
      </c>
      <c r="BQ37" s="57">
        <v>30000.0</v>
      </c>
      <c r="BR37" s="57">
        <v>99383.76999999999</v>
      </c>
      <c r="BS37" s="57">
        <v>30000.0</v>
      </c>
      <c r="BT37" s="57">
        <v>49106.537058823524</v>
      </c>
      <c r="BU37" s="57">
        <v>30000.0</v>
      </c>
      <c r="BV37" s="57">
        <v>17407.59</v>
      </c>
      <c r="BW37" s="57">
        <v>30000.0</v>
      </c>
      <c r="BX37" s="57">
        <v>54663.36999999999</v>
      </c>
      <c r="BY37" s="57">
        <v>30000.0</v>
      </c>
      <c r="BZ37" s="57">
        <v>73787.64576470589</v>
      </c>
      <c r="CA37" s="57">
        <v>30000.0</v>
      </c>
      <c r="CB37" s="57">
        <v>41659.17411764705</v>
      </c>
      <c r="CC37" s="57">
        <v>30000.0</v>
      </c>
      <c r="CD37" s="57">
        <v>20758.894588235296</v>
      </c>
      <c r="CE37" s="57">
        <v>30000.0</v>
      </c>
      <c r="CF37" s="57">
        <v>20314.20305882353</v>
      </c>
      <c r="CG37" s="57">
        <v>30000.0</v>
      </c>
      <c r="CH37" s="57">
        <v>13939.651529411765</v>
      </c>
      <c r="CI37" s="57">
        <v>30000.0</v>
      </c>
      <c r="CJ37" s="57">
        <v>22484.359999999997</v>
      </c>
      <c r="CK37" s="57">
        <v>30000.0</v>
      </c>
      <c r="CL37" s="57">
        <v>50572.50647058824</v>
      </c>
      <c r="CM37" s="57">
        <v>30000.0</v>
      </c>
      <c r="CN37" s="57">
        <v>30000.0</v>
      </c>
      <c r="CP37" s="49"/>
    </row>
    <row r="38" ht="15.75" customHeight="1">
      <c r="A38" s="94" t="str">
        <f t="shared" si="17"/>
        <v>Sales and Marketing CostsPartnerships</v>
      </c>
      <c r="B38" s="97"/>
      <c r="C38" s="97"/>
      <c r="D38" s="4"/>
      <c r="E38" s="126" t="s">
        <v>113</v>
      </c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>
        <v>11533.333333333334</v>
      </c>
      <c r="AP38" s="57"/>
      <c r="AQ38" s="57">
        <v>11533.333333333334</v>
      </c>
      <c r="AR38" s="57"/>
      <c r="AS38" s="57">
        <v>11533.333333333334</v>
      </c>
      <c r="AT38" s="57"/>
      <c r="AU38" s="57">
        <v>12208.333333333334</v>
      </c>
      <c r="AV38" s="57">
        <v>0.0</v>
      </c>
      <c r="AW38" s="57">
        <v>12208.333333333334</v>
      </c>
      <c r="AX38" s="57">
        <v>0.0</v>
      </c>
      <c r="AY38" s="57">
        <v>12208.333333333334</v>
      </c>
      <c r="AZ38" s="57">
        <v>0.0</v>
      </c>
      <c r="BA38" s="57">
        <v>12208.333333333334</v>
      </c>
      <c r="BB38" s="57">
        <v>0.0</v>
      </c>
      <c r="BC38" s="57">
        <v>13208.333333333334</v>
      </c>
      <c r="BD38" s="57">
        <v>0.0</v>
      </c>
      <c r="BE38" s="57">
        <v>13208.333333333334</v>
      </c>
      <c r="BF38" s="57">
        <v>0.0</v>
      </c>
      <c r="BG38" s="57">
        <v>13208.333333333334</v>
      </c>
      <c r="BH38" s="57">
        <v>0.0</v>
      </c>
      <c r="BI38" s="57">
        <v>13208.333333333334</v>
      </c>
      <c r="BJ38" s="57">
        <v>0.0</v>
      </c>
      <c r="BK38" s="57">
        <v>13208.333333333334</v>
      </c>
      <c r="BL38" s="57">
        <v>0.0</v>
      </c>
      <c r="BM38" s="57">
        <v>12333.333333333334</v>
      </c>
      <c r="BN38" s="57">
        <v>0.0</v>
      </c>
      <c r="BO38" s="57">
        <v>12333.333333333334</v>
      </c>
      <c r="BP38" s="57">
        <v>0.0</v>
      </c>
      <c r="BQ38" s="57">
        <v>12333.333333333334</v>
      </c>
      <c r="BR38" s="57">
        <v>0.0</v>
      </c>
      <c r="BS38" s="57">
        <v>12500.0</v>
      </c>
      <c r="BT38" s="57">
        <v>0.0</v>
      </c>
      <c r="BU38" s="57">
        <v>12500.0</v>
      </c>
      <c r="BV38" s="57">
        <v>0.0</v>
      </c>
      <c r="BW38" s="57">
        <v>12500.0</v>
      </c>
      <c r="BX38" s="57">
        <v>0.0</v>
      </c>
      <c r="BY38" s="57">
        <v>12500.0</v>
      </c>
      <c r="BZ38" s="57">
        <v>0.0</v>
      </c>
      <c r="CA38" s="57">
        <v>12500.0</v>
      </c>
      <c r="CB38" s="57">
        <v>0.0</v>
      </c>
      <c r="CC38" s="57">
        <v>12500.0</v>
      </c>
      <c r="CD38" s="57">
        <v>0.0</v>
      </c>
      <c r="CE38" s="57">
        <v>15000.0</v>
      </c>
      <c r="CF38" s="57">
        <v>0.0</v>
      </c>
      <c r="CG38" s="57">
        <v>15000.0</v>
      </c>
      <c r="CH38" s="57">
        <v>0.0</v>
      </c>
      <c r="CI38" s="57">
        <v>15000.0</v>
      </c>
      <c r="CJ38" s="57">
        <v>0.0</v>
      </c>
      <c r="CK38" s="57">
        <v>15000.0</v>
      </c>
      <c r="CL38" s="57">
        <v>0.0</v>
      </c>
      <c r="CM38" s="57">
        <v>15000.0</v>
      </c>
      <c r="CN38" s="57">
        <v>15000.0</v>
      </c>
      <c r="CP38" s="49"/>
    </row>
    <row r="39" ht="15.75" customHeight="1">
      <c r="A39" s="94"/>
      <c r="B39" s="97"/>
      <c r="C39" s="97"/>
      <c r="D39" s="97"/>
      <c r="E39" s="126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5"/>
      <c r="X39" s="104"/>
      <c r="Y39" s="5"/>
      <c r="Z39" s="104"/>
      <c r="AA39" s="1"/>
      <c r="AB39" s="104"/>
      <c r="AC39" s="1"/>
      <c r="AD39" s="104"/>
      <c r="AE39" s="1"/>
      <c r="AF39" s="104"/>
      <c r="AG39" s="1"/>
      <c r="AH39" s="104"/>
      <c r="AI39" s="1"/>
      <c r="AJ39" s="104"/>
      <c r="AK39" s="1"/>
      <c r="AL39" s="104"/>
      <c r="AM39" s="1"/>
      <c r="AN39" s="104"/>
      <c r="AO39" s="1"/>
      <c r="AP39" s="104"/>
      <c r="AQ39" s="1"/>
      <c r="AR39" s="104"/>
      <c r="AS39" s="1"/>
      <c r="AT39" s="104"/>
      <c r="AU39" s="1"/>
      <c r="AV39" s="57"/>
      <c r="AW39" s="1"/>
      <c r="AX39" s="57"/>
      <c r="AY39" s="1"/>
      <c r="AZ39" s="57"/>
      <c r="BA39" s="1"/>
      <c r="BB39" s="57"/>
      <c r="BC39" s="1"/>
      <c r="BD39" s="57"/>
      <c r="BE39" s="1"/>
      <c r="BF39" s="57"/>
      <c r="BG39" s="1"/>
      <c r="BH39" s="57"/>
      <c r="BI39" s="1"/>
      <c r="BJ39" s="57"/>
      <c r="BK39" s="1"/>
      <c r="BL39" s="57"/>
      <c r="BM39" s="1"/>
      <c r="BN39" s="57"/>
      <c r="BO39" s="1"/>
      <c r="BP39" s="57"/>
      <c r="BQ39" s="1"/>
      <c r="BR39" s="57"/>
      <c r="BS39" s="1"/>
      <c r="BT39" s="57"/>
      <c r="BU39" s="1"/>
      <c r="BV39" s="57"/>
      <c r="BW39" s="1"/>
      <c r="BX39" s="57"/>
      <c r="BY39" s="1"/>
      <c r="BZ39" s="57"/>
      <c r="CA39" s="1"/>
      <c r="CB39" s="57"/>
      <c r="CC39" s="1"/>
      <c r="CD39" s="57"/>
      <c r="CE39" s="1"/>
      <c r="CF39" s="57"/>
      <c r="CG39" s="1"/>
      <c r="CH39" s="57"/>
      <c r="CI39" s="1"/>
      <c r="CJ39" s="57"/>
      <c r="CK39" s="1"/>
      <c r="CL39" s="57"/>
      <c r="CM39" s="1"/>
      <c r="CN39" s="1"/>
      <c r="CP39" s="49"/>
    </row>
    <row r="40" ht="15.75" customHeight="1">
      <c r="A40" s="94"/>
      <c r="B40" s="97"/>
      <c r="C40" s="97"/>
      <c r="D40" s="4"/>
      <c r="E40" s="7" t="s">
        <v>114</v>
      </c>
      <c r="F40" s="96">
        <f t="shared" ref="F40:CN40" si="18">SUM(F41:F46)</f>
        <v>1687.528415</v>
      </c>
      <c r="G40" s="96">
        <f t="shared" si="18"/>
        <v>1687.528415</v>
      </c>
      <c r="H40" s="96">
        <f t="shared" si="18"/>
        <v>1687.528415</v>
      </c>
      <c r="I40" s="96">
        <f t="shared" si="18"/>
        <v>1714.321098</v>
      </c>
      <c r="J40" s="96">
        <f t="shared" si="18"/>
        <v>4500.406829</v>
      </c>
      <c r="K40" s="96">
        <f t="shared" si="18"/>
        <v>9368.852683</v>
      </c>
      <c r="L40" s="96">
        <f t="shared" si="18"/>
        <v>17689.06872</v>
      </c>
      <c r="M40" s="96">
        <f t="shared" si="18"/>
        <v>22105.61221</v>
      </c>
      <c r="N40" s="96">
        <f t="shared" si="18"/>
        <v>27836.09873</v>
      </c>
      <c r="O40" s="96">
        <f t="shared" si="18"/>
        <v>27240.55757</v>
      </c>
      <c r="P40" s="96">
        <f t="shared" si="18"/>
        <v>31020.24319</v>
      </c>
      <c r="Q40" s="96">
        <f t="shared" si="18"/>
        <v>34668.96117</v>
      </c>
      <c r="R40" s="96">
        <f t="shared" si="18"/>
        <v>35391.17462</v>
      </c>
      <c r="S40" s="96">
        <f t="shared" si="18"/>
        <v>38388.50962</v>
      </c>
      <c r="T40" s="96">
        <f t="shared" si="18"/>
        <v>45229.04182</v>
      </c>
      <c r="U40" s="96">
        <f t="shared" si="18"/>
        <v>65978.55003</v>
      </c>
      <c r="V40" s="96">
        <f t="shared" si="18"/>
        <v>73075.25019</v>
      </c>
      <c r="W40" s="96">
        <f t="shared" si="18"/>
        <v>115348.7315</v>
      </c>
      <c r="X40" s="96">
        <f t="shared" si="18"/>
        <v>77990.67554</v>
      </c>
      <c r="Y40" s="96">
        <f t="shared" si="18"/>
        <v>136534.5071</v>
      </c>
      <c r="Z40" s="96">
        <f t="shared" si="18"/>
        <v>94817.42206</v>
      </c>
      <c r="AA40" s="96">
        <f t="shared" si="18"/>
        <v>140513.6011</v>
      </c>
      <c r="AB40" s="96">
        <f t="shared" si="18"/>
        <v>87574.78181</v>
      </c>
      <c r="AC40" s="96">
        <f t="shared" si="18"/>
        <v>183420.6205</v>
      </c>
      <c r="AD40" s="96">
        <f t="shared" si="18"/>
        <v>100675.3701</v>
      </c>
      <c r="AE40" s="96">
        <f t="shared" si="18"/>
        <v>184870.8182</v>
      </c>
      <c r="AF40" s="96">
        <f t="shared" si="18"/>
        <v>113367.3561</v>
      </c>
      <c r="AG40" s="96">
        <f t="shared" si="18"/>
        <v>187324.4201</v>
      </c>
      <c r="AH40" s="96">
        <f t="shared" si="18"/>
        <v>117717.0567</v>
      </c>
      <c r="AI40" s="96">
        <f t="shared" si="18"/>
        <v>223274.9818</v>
      </c>
      <c r="AJ40" s="96">
        <f t="shared" si="18"/>
        <v>132025.4534</v>
      </c>
      <c r="AK40" s="96">
        <f t="shared" si="18"/>
        <v>227103.7715</v>
      </c>
      <c r="AL40" s="96">
        <f t="shared" si="18"/>
        <v>131907.2241</v>
      </c>
      <c r="AM40" s="96">
        <f t="shared" si="18"/>
        <v>233991.8869</v>
      </c>
      <c r="AN40" s="96">
        <f t="shared" si="18"/>
        <v>147843.7827</v>
      </c>
      <c r="AO40" s="96">
        <f t="shared" si="18"/>
        <v>137042.3157</v>
      </c>
      <c r="AP40" s="96">
        <f t="shared" si="18"/>
        <v>147924.6487</v>
      </c>
      <c r="AQ40" s="96">
        <f t="shared" si="18"/>
        <v>197402.2311</v>
      </c>
      <c r="AR40" s="96">
        <f t="shared" si="18"/>
        <v>165393.272</v>
      </c>
      <c r="AS40" s="96">
        <f t="shared" si="18"/>
        <v>221855.5953</v>
      </c>
      <c r="AT40" s="96">
        <f t="shared" si="18"/>
        <v>171657.1294</v>
      </c>
      <c r="AU40" s="96">
        <f t="shared" si="18"/>
        <v>280202.0845</v>
      </c>
      <c r="AV40" s="96">
        <f t="shared" si="18"/>
        <v>256833.0677</v>
      </c>
      <c r="AW40" s="96">
        <f t="shared" si="18"/>
        <v>370003.1121</v>
      </c>
      <c r="AX40" s="96">
        <f t="shared" si="18"/>
        <v>250691.4791</v>
      </c>
      <c r="AY40" s="96">
        <f t="shared" si="18"/>
        <v>377155.4577</v>
      </c>
      <c r="AZ40" s="96">
        <f t="shared" si="18"/>
        <v>263129.3519</v>
      </c>
      <c r="BA40" s="96">
        <f t="shared" si="18"/>
        <v>379389.2425</v>
      </c>
      <c r="BB40" s="96">
        <f t="shared" si="18"/>
        <v>297509.637</v>
      </c>
      <c r="BC40" s="96">
        <f t="shared" si="18"/>
        <v>406064.0529</v>
      </c>
      <c r="BD40" s="96">
        <f t="shared" si="18"/>
        <v>268188.1202</v>
      </c>
      <c r="BE40" s="96">
        <f t="shared" si="18"/>
        <v>409576.2798</v>
      </c>
      <c r="BF40" s="96">
        <f t="shared" si="18"/>
        <v>266354.1087</v>
      </c>
      <c r="BG40" s="96">
        <f t="shared" si="18"/>
        <v>341165.186</v>
      </c>
      <c r="BH40" s="96">
        <f t="shared" si="18"/>
        <v>249145.4856</v>
      </c>
      <c r="BI40" s="96">
        <f t="shared" si="18"/>
        <v>357453.2701</v>
      </c>
      <c r="BJ40" s="96">
        <f t="shared" si="18"/>
        <v>256797.2233</v>
      </c>
      <c r="BK40" s="96">
        <f t="shared" si="18"/>
        <v>367613.2034</v>
      </c>
      <c r="BL40" s="96">
        <f t="shared" si="18"/>
        <v>254444.4615</v>
      </c>
      <c r="BM40" s="96">
        <f t="shared" si="18"/>
        <v>294723.0187</v>
      </c>
      <c r="BN40" s="96">
        <f t="shared" si="18"/>
        <v>253293.491</v>
      </c>
      <c r="BO40" s="96">
        <f t="shared" si="18"/>
        <v>295223.0187</v>
      </c>
      <c r="BP40" s="96">
        <f t="shared" si="18"/>
        <v>298643.0077</v>
      </c>
      <c r="BQ40" s="96">
        <f t="shared" si="18"/>
        <v>295523.0187</v>
      </c>
      <c r="BR40" s="96">
        <f t="shared" si="18"/>
        <v>326393.1702</v>
      </c>
      <c r="BS40" s="96">
        <f t="shared" si="18"/>
        <v>337997.6309</v>
      </c>
      <c r="BT40" s="96">
        <f t="shared" si="18"/>
        <v>377604.4795</v>
      </c>
      <c r="BU40" s="96">
        <f t="shared" si="18"/>
        <v>325646.4404</v>
      </c>
      <c r="BV40" s="96">
        <f t="shared" si="18"/>
        <v>360855.6034</v>
      </c>
      <c r="BW40" s="96">
        <f t="shared" si="18"/>
        <v>328711.1222</v>
      </c>
      <c r="BX40" s="96">
        <f t="shared" si="18"/>
        <v>361013.1059</v>
      </c>
      <c r="BY40" s="96">
        <f t="shared" si="18"/>
        <v>352174.3762</v>
      </c>
      <c r="BZ40" s="96">
        <f t="shared" si="18"/>
        <v>362504.1418</v>
      </c>
      <c r="CA40" s="96">
        <f t="shared" si="18"/>
        <v>369042.3881</v>
      </c>
      <c r="CB40" s="96">
        <f t="shared" si="18"/>
        <v>351114.1892</v>
      </c>
      <c r="CC40" s="96">
        <f t="shared" si="18"/>
        <v>356482.3484</v>
      </c>
      <c r="CD40" s="96">
        <f t="shared" si="18"/>
        <v>381453.0897</v>
      </c>
      <c r="CE40" s="96">
        <f t="shared" si="18"/>
        <v>373182.3484</v>
      </c>
      <c r="CF40" s="96">
        <f t="shared" si="18"/>
        <v>386360.6811</v>
      </c>
      <c r="CG40" s="96">
        <f t="shared" si="18"/>
        <v>365029.015</v>
      </c>
      <c r="CH40" s="96">
        <f t="shared" si="18"/>
        <v>401392.2526</v>
      </c>
      <c r="CI40" s="96">
        <f t="shared" si="18"/>
        <v>363854.4119</v>
      </c>
      <c r="CJ40" s="96">
        <f t="shared" si="18"/>
        <v>387597.1821</v>
      </c>
      <c r="CK40" s="96">
        <f t="shared" si="18"/>
        <v>370854.4079</v>
      </c>
      <c r="CL40" s="96">
        <f t="shared" si="18"/>
        <v>371411.6453</v>
      </c>
      <c r="CM40" s="96">
        <f t="shared" si="18"/>
        <v>370362.7809</v>
      </c>
      <c r="CN40" s="96">
        <f t="shared" si="18"/>
        <v>370992.7809</v>
      </c>
      <c r="CP40" s="49"/>
    </row>
    <row r="41" ht="15.75" customHeight="1">
      <c r="A41" s="94" t="str">
        <f>$E$40&amp;E41</f>
        <v>Product and EngineeringPeople cost- Product &amp; Engineering</v>
      </c>
      <c r="B41" s="97"/>
      <c r="C41" s="97"/>
      <c r="D41" s="4"/>
      <c r="E41" s="126" t="s">
        <v>115</v>
      </c>
      <c r="F41" s="57">
        <v>1687.5284146341464</v>
      </c>
      <c r="G41" s="57">
        <v>1687.5284146341464</v>
      </c>
      <c r="H41" s="57">
        <v>1687.5284146341464</v>
      </c>
      <c r="I41" s="57">
        <v>1714.3210975609757</v>
      </c>
      <c r="J41" s="57">
        <v>4500.406829268292</v>
      </c>
      <c r="K41" s="57">
        <v>9352.30731707317</v>
      </c>
      <c r="L41" s="57">
        <v>17468.860162601624</v>
      </c>
      <c r="M41" s="57">
        <v>21925.034146341462</v>
      </c>
      <c r="N41" s="57">
        <v>23519.24383561644</v>
      </c>
      <c r="O41" s="57">
        <v>22020.4</v>
      </c>
      <c r="P41" s="57">
        <v>28319.549512195124</v>
      </c>
      <c r="Q41" s="57">
        <v>28354.836585365854</v>
      </c>
      <c r="R41" s="57">
        <v>27643.185365853657</v>
      </c>
      <c r="S41" s="57">
        <v>33397.00975609756</v>
      </c>
      <c r="T41" s="57">
        <v>41242.18536585366</v>
      </c>
      <c r="U41" s="57">
        <v>46544.28455284553</v>
      </c>
      <c r="V41" s="57">
        <v>55408.467430894314</v>
      </c>
      <c r="W41" s="57">
        <v>104132.113821138</v>
      </c>
      <c r="X41" s="57">
        <v>62460.66244211382</v>
      </c>
      <c r="Y41" s="57">
        <v>123957.317073171</v>
      </c>
      <c r="Z41" s="57">
        <v>71433.26552845529</v>
      </c>
      <c r="AA41" s="57">
        <v>127367.886178862</v>
      </c>
      <c r="AB41" s="57">
        <v>71396.4406504065</v>
      </c>
      <c r="AC41" s="57">
        <v>167412.601626016</v>
      </c>
      <c r="AD41" s="57">
        <v>80098.38802808287</v>
      </c>
      <c r="AE41" s="57">
        <v>168428.861788618</v>
      </c>
      <c r="AF41" s="57">
        <v>88258.51670934958</v>
      </c>
      <c r="AG41" s="57">
        <v>170426.829268293</v>
      </c>
      <c r="AH41" s="57">
        <v>90849.5792703252</v>
      </c>
      <c r="AI41" s="57">
        <v>193410.569105691</v>
      </c>
      <c r="AJ41" s="57">
        <v>110434.63533710607</v>
      </c>
      <c r="AK41" s="57">
        <v>196662.601626016</v>
      </c>
      <c r="AL41" s="57">
        <v>108666.28651942186</v>
      </c>
      <c r="AM41" s="57">
        <v>202945.12195122</v>
      </c>
      <c r="AN41" s="57">
        <v>114278.67076016263</v>
      </c>
      <c r="AO41" s="57">
        <v>93945.01717460317</v>
      </c>
      <c r="AP41" s="57">
        <v>122530.16633413138</v>
      </c>
      <c r="AQ41" s="57">
        <v>130365.37212698412</v>
      </c>
      <c r="AR41" s="57">
        <v>132824.9183945011</v>
      </c>
      <c r="AS41" s="57">
        <v>152664.89019047617</v>
      </c>
      <c r="AT41" s="57">
        <v>139996.8195270312</v>
      </c>
      <c r="AU41" s="57">
        <v>208857.53321796827</v>
      </c>
      <c r="AV41" s="57">
        <v>206578.01031746034</v>
      </c>
      <c r="AW41" s="57">
        <v>287919.39720217494</v>
      </c>
      <c r="AX41" s="57">
        <v>186691.8726984127</v>
      </c>
      <c r="AY41" s="57">
        <v>292917.8966771587</v>
      </c>
      <c r="AZ41" s="57">
        <v>202740.86984126986</v>
      </c>
      <c r="BA41" s="57">
        <v>292997.83524859045</v>
      </c>
      <c r="BB41" s="57">
        <v>244436.8434920635</v>
      </c>
      <c r="BC41" s="57">
        <v>317518.79956301174</v>
      </c>
      <c r="BD41" s="57">
        <v>195391.3968253968</v>
      </c>
      <c r="BE41" s="57">
        <v>328877.18030722777</v>
      </c>
      <c r="BF41" s="57">
        <v>201530.4553968254</v>
      </c>
      <c r="BG41" s="57">
        <v>253847.95462709467</v>
      </c>
      <c r="BH41" s="57">
        <v>212218.40746031742</v>
      </c>
      <c r="BI41" s="57">
        <v>267982.1925173401</v>
      </c>
      <c r="BJ41" s="57">
        <v>214328.32603174602</v>
      </c>
      <c r="BK41" s="57">
        <v>275988.27969456953</v>
      </c>
      <c r="BL41" s="57">
        <v>214783.99507936506</v>
      </c>
      <c r="BM41" s="57">
        <v>242056.35206349206</v>
      </c>
      <c r="BN41" s="57">
        <v>221817.7492156863</v>
      </c>
      <c r="BO41" s="57">
        <v>242556.35206349206</v>
      </c>
      <c r="BP41" s="57">
        <v>229646.5374509804</v>
      </c>
      <c r="BQ41" s="57">
        <v>242856.35206349206</v>
      </c>
      <c r="BR41" s="57">
        <v>277111.54862745095</v>
      </c>
      <c r="BS41" s="57">
        <v>270330.96424603177</v>
      </c>
      <c r="BT41" s="57">
        <v>326852.13294117653</v>
      </c>
      <c r="BU41" s="57">
        <v>256413.1071031746</v>
      </c>
      <c r="BV41" s="57">
        <v>299504.8252941177</v>
      </c>
      <c r="BW41" s="57">
        <v>259477.78885714285</v>
      </c>
      <c r="BX41" s="57">
        <v>306621.65529411763</v>
      </c>
      <c r="BY41" s="57">
        <v>282941.0428253968</v>
      </c>
      <c r="BZ41" s="57">
        <v>313082.3161064426</v>
      </c>
      <c r="CA41" s="57">
        <v>299809.05473015876</v>
      </c>
      <c r="CB41" s="57">
        <v>311725.08170868346</v>
      </c>
      <c r="CC41" s="57">
        <v>287249.01504761906</v>
      </c>
      <c r="CD41" s="57">
        <v>317672.8281792717</v>
      </c>
      <c r="CE41" s="57">
        <v>303949.01504761906</v>
      </c>
      <c r="CF41" s="57">
        <v>318136.0471708684</v>
      </c>
      <c r="CG41" s="57">
        <v>295795.68171428575</v>
      </c>
      <c r="CH41" s="57">
        <v>321567.63602240896</v>
      </c>
      <c r="CI41" s="57">
        <v>294621.07853968255</v>
      </c>
      <c r="CJ41" s="57">
        <v>319157.8725770308</v>
      </c>
      <c r="CK41" s="57">
        <v>301621.0745714286</v>
      </c>
      <c r="CL41" s="57">
        <v>319813.04708683473</v>
      </c>
      <c r="CM41" s="57">
        <v>301129.4475873016</v>
      </c>
      <c r="CN41" s="57">
        <v>301759.4475873016</v>
      </c>
      <c r="CP41" s="49"/>
    </row>
    <row r="42" ht="15.75" customHeight="1">
      <c r="A42" s="94"/>
      <c r="B42" s="97"/>
      <c r="C42" s="97"/>
      <c r="D42" s="4"/>
      <c r="E42" s="126" t="s">
        <v>116</v>
      </c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>
        <v>10000.0</v>
      </c>
      <c r="AP42" s="57"/>
      <c r="AQ42" s="57">
        <v>24166.666666666664</v>
      </c>
      <c r="AR42" s="57"/>
      <c r="AS42" s="57">
        <v>24166.666666666664</v>
      </c>
      <c r="AT42" s="57"/>
      <c r="AU42" s="57">
        <v>24166.666666666664</v>
      </c>
      <c r="AV42" s="57">
        <v>0.0</v>
      </c>
      <c r="AW42" s="57">
        <v>32751.984126984124</v>
      </c>
      <c r="AX42" s="57">
        <v>0.0</v>
      </c>
      <c r="AY42" s="57">
        <v>32751.984126984124</v>
      </c>
      <c r="AZ42" s="57">
        <v>0.0</v>
      </c>
      <c r="BA42" s="57">
        <v>32751.984126984124</v>
      </c>
      <c r="BB42" s="57">
        <v>0.0</v>
      </c>
      <c r="BC42" s="57">
        <v>32751.984126984124</v>
      </c>
      <c r="BD42" s="57">
        <v>0.0</v>
      </c>
      <c r="BE42" s="57">
        <v>22751.984126984124</v>
      </c>
      <c r="BF42" s="57">
        <v>0.0</v>
      </c>
      <c r="BG42" s="57">
        <v>27216.269841269837</v>
      </c>
      <c r="BH42" s="57">
        <v>0.0</v>
      </c>
      <c r="BI42" s="57">
        <v>27216.269841269837</v>
      </c>
      <c r="BJ42" s="57">
        <v>0.0</v>
      </c>
      <c r="BK42" s="57">
        <v>27216.269841269837</v>
      </c>
      <c r="BL42" s="57">
        <v>0.0</v>
      </c>
      <c r="BM42" s="57">
        <v>15666.666666666666</v>
      </c>
      <c r="BN42" s="57">
        <v>0.0</v>
      </c>
      <c r="BO42" s="57">
        <v>15666.666666666666</v>
      </c>
      <c r="BP42" s="57">
        <v>0.0</v>
      </c>
      <c r="BQ42" s="57">
        <v>15666.666666666666</v>
      </c>
      <c r="BR42" s="57">
        <v>0.0</v>
      </c>
      <c r="BS42" s="57">
        <v>15666.666666666666</v>
      </c>
      <c r="BT42" s="57">
        <v>0.0</v>
      </c>
      <c r="BU42" s="57">
        <v>17233.333333333336</v>
      </c>
      <c r="BV42" s="57">
        <v>0.0</v>
      </c>
      <c r="BW42" s="57">
        <v>17233.333333333336</v>
      </c>
      <c r="BX42" s="57">
        <v>0.0</v>
      </c>
      <c r="BY42" s="57">
        <v>17233.333333333336</v>
      </c>
      <c r="BZ42" s="57">
        <v>0.0</v>
      </c>
      <c r="CA42" s="57">
        <v>17233.333333333336</v>
      </c>
      <c r="CB42" s="57">
        <v>0.0</v>
      </c>
      <c r="CC42" s="57">
        <v>17233.333333333336</v>
      </c>
      <c r="CD42" s="57">
        <v>0.0</v>
      </c>
      <c r="CE42" s="57">
        <v>17233.333333333336</v>
      </c>
      <c r="CF42" s="57">
        <v>0.0</v>
      </c>
      <c r="CG42" s="57">
        <v>17233.333333333336</v>
      </c>
      <c r="CH42" s="57">
        <v>0.0</v>
      </c>
      <c r="CI42" s="57">
        <v>17233.333333333336</v>
      </c>
      <c r="CJ42" s="57">
        <v>0.0</v>
      </c>
      <c r="CK42" s="57">
        <v>17233.333333333336</v>
      </c>
      <c r="CL42" s="57">
        <v>0.0</v>
      </c>
      <c r="CM42" s="57">
        <v>17233.333333333336</v>
      </c>
      <c r="CN42" s="57">
        <v>17233.333333333336</v>
      </c>
      <c r="CP42" s="49"/>
    </row>
    <row r="43" ht="15.75" customHeight="1">
      <c r="A43" s="94" t="str">
        <f t="shared" ref="A43:A46" si="19">$E$40&amp;E43</f>
        <v>Product and EngineeringTravel and expenses</v>
      </c>
      <c r="B43" s="97"/>
      <c r="C43" s="97"/>
      <c r="D43" s="4"/>
      <c r="E43" s="126" t="s">
        <v>99</v>
      </c>
      <c r="F43" s="57">
        <v>0.0</v>
      </c>
      <c r="G43" s="57">
        <v>0.0</v>
      </c>
      <c r="H43" s="57">
        <v>0.0</v>
      </c>
      <c r="I43" s="57">
        <v>0.0</v>
      </c>
      <c r="J43" s="57">
        <v>0.0</v>
      </c>
      <c r="K43" s="57">
        <v>9.585365853658537</v>
      </c>
      <c r="L43" s="57">
        <v>78.76219512195122</v>
      </c>
      <c r="M43" s="57">
        <v>0.0</v>
      </c>
      <c r="N43" s="57">
        <v>0.0</v>
      </c>
      <c r="O43" s="57">
        <v>1003.9331707317072</v>
      </c>
      <c r="P43" s="57">
        <v>680.0975609756098</v>
      </c>
      <c r="Q43" s="57">
        <v>202.6768292682927</v>
      </c>
      <c r="R43" s="57">
        <v>214.14634146341464</v>
      </c>
      <c r="S43" s="57">
        <v>270.7926829268293</v>
      </c>
      <c r="T43" s="57">
        <v>0.0</v>
      </c>
      <c r="U43" s="57">
        <v>0.0</v>
      </c>
      <c r="V43" s="57">
        <v>20.23170731707317</v>
      </c>
      <c r="W43" s="16">
        <v>0.0</v>
      </c>
      <c r="X43" s="57">
        <v>64.67073170731707</v>
      </c>
      <c r="Y43" s="16">
        <v>0.0</v>
      </c>
      <c r="Z43" s="57">
        <v>0.0</v>
      </c>
      <c r="AA43" s="16">
        <v>0.0</v>
      </c>
      <c r="AB43" s="57">
        <v>186.3890243902439</v>
      </c>
      <c r="AC43" s="16">
        <v>0.0</v>
      </c>
      <c r="AD43" s="57">
        <v>443.0243902439024</v>
      </c>
      <c r="AE43" s="16">
        <v>0.0</v>
      </c>
      <c r="AF43" s="57">
        <v>3.7560975609756095</v>
      </c>
      <c r="AG43" s="16">
        <v>0.0</v>
      </c>
      <c r="AH43" s="57">
        <v>176.0731707317073</v>
      </c>
      <c r="AI43" s="16">
        <v>0.0</v>
      </c>
      <c r="AJ43" s="57">
        <v>81.67804878048781</v>
      </c>
      <c r="AK43" s="16">
        <v>0.0</v>
      </c>
      <c r="AL43" s="57">
        <v>0.0</v>
      </c>
      <c r="AM43" s="16">
        <v>0.0</v>
      </c>
      <c r="AN43" s="57">
        <v>0.0</v>
      </c>
      <c r="AO43" s="57">
        <v>1562.5</v>
      </c>
      <c r="AP43" s="57">
        <v>0.0</v>
      </c>
      <c r="AQ43" s="57">
        <v>1562.5</v>
      </c>
      <c r="AR43" s="57">
        <v>0.0</v>
      </c>
      <c r="AS43" s="57">
        <v>1562.5</v>
      </c>
      <c r="AT43" s="57">
        <v>92.5421686746988</v>
      </c>
      <c r="AU43" s="57">
        <v>1562.5</v>
      </c>
      <c r="AV43" s="57">
        <v>12053.5025</v>
      </c>
      <c r="AW43" s="57">
        <v>1562.5</v>
      </c>
      <c r="AX43" s="57">
        <v>9643.51023809524</v>
      </c>
      <c r="AY43" s="57">
        <v>1562.5</v>
      </c>
      <c r="AZ43" s="57">
        <v>3555.247857142857</v>
      </c>
      <c r="BA43" s="57">
        <v>1562.5</v>
      </c>
      <c r="BB43" s="57">
        <v>5692.201428571429</v>
      </c>
      <c r="BC43" s="57">
        <v>1562.5</v>
      </c>
      <c r="BD43" s="57">
        <v>3183.0683333333336</v>
      </c>
      <c r="BE43" s="57">
        <v>1562.5</v>
      </c>
      <c r="BF43" s="57">
        <v>596.8067857142858</v>
      </c>
      <c r="BG43" s="57">
        <v>1562.5</v>
      </c>
      <c r="BH43" s="57">
        <v>9213.25880952381</v>
      </c>
      <c r="BI43" s="57">
        <v>1562.5</v>
      </c>
      <c r="BJ43" s="57">
        <v>6798.646785714285</v>
      </c>
      <c r="BK43" s="57">
        <v>1562.5</v>
      </c>
      <c r="BL43" s="57">
        <v>1081.6766666666667</v>
      </c>
      <c r="BM43" s="57">
        <v>0.0</v>
      </c>
      <c r="BN43" s="57">
        <v>2237.4197647058827</v>
      </c>
      <c r="BO43" s="57">
        <v>0.0</v>
      </c>
      <c r="BP43" s="57">
        <v>26429.856470588238</v>
      </c>
      <c r="BQ43" s="57">
        <v>0.0</v>
      </c>
      <c r="BR43" s="57">
        <v>13343.782470588236</v>
      </c>
      <c r="BS43" s="57">
        <v>0.0</v>
      </c>
      <c r="BT43" s="57">
        <v>15256.884941176468</v>
      </c>
      <c r="BU43" s="57">
        <v>0.0</v>
      </c>
      <c r="BV43" s="57">
        <v>21534.952</v>
      </c>
      <c r="BW43" s="57">
        <v>0.0</v>
      </c>
      <c r="BX43" s="57">
        <v>1366.7337647058823</v>
      </c>
      <c r="BY43" s="57">
        <v>0.0</v>
      </c>
      <c r="BZ43" s="57">
        <v>402.2062352941176</v>
      </c>
      <c r="CA43" s="57">
        <v>0.0</v>
      </c>
      <c r="CB43" s="57">
        <v>495.21541176470595</v>
      </c>
      <c r="CC43" s="57">
        <v>0.0</v>
      </c>
      <c r="CD43" s="57">
        <v>4304.285647058824</v>
      </c>
      <c r="CE43" s="57">
        <v>0.0</v>
      </c>
      <c r="CF43" s="57">
        <v>913.6037647058824</v>
      </c>
      <c r="CG43" s="57">
        <v>0.0</v>
      </c>
      <c r="CH43" s="57">
        <v>197.06447058823534</v>
      </c>
      <c r="CI43" s="57">
        <v>0.0</v>
      </c>
      <c r="CJ43" s="57">
        <v>5000.810117647059</v>
      </c>
      <c r="CK43" s="57">
        <v>0.0</v>
      </c>
      <c r="CL43" s="57">
        <v>300.5176470588235</v>
      </c>
      <c r="CM43" s="57">
        <v>0.0</v>
      </c>
      <c r="CN43" s="57">
        <v>0.0</v>
      </c>
      <c r="CP43" s="49"/>
    </row>
    <row r="44" ht="15.75" customHeight="1">
      <c r="A44" s="94" t="str">
        <f t="shared" si="19"/>
        <v>Product and EngineeringSoftware subscription</v>
      </c>
      <c r="B44" s="97"/>
      <c r="C44" s="97"/>
      <c r="D44" s="4"/>
      <c r="E44" s="126" t="s">
        <v>100</v>
      </c>
      <c r="F44" s="57">
        <v>0.0</v>
      </c>
      <c r="G44" s="57">
        <v>0.0</v>
      </c>
      <c r="H44" s="57">
        <v>0.0</v>
      </c>
      <c r="I44" s="57">
        <v>0.0</v>
      </c>
      <c r="J44" s="57">
        <v>0.0</v>
      </c>
      <c r="K44" s="57">
        <v>6.96</v>
      </c>
      <c r="L44" s="57">
        <v>141.44636213311287</v>
      </c>
      <c r="M44" s="57">
        <v>180.57806187129665</v>
      </c>
      <c r="N44" s="57">
        <v>560.7573301639796</v>
      </c>
      <c r="O44" s="57">
        <v>557.6878179688578</v>
      </c>
      <c r="P44" s="57">
        <v>2020.596116852694</v>
      </c>
      <c r="Q44" s="57">
        <v>2452.9111682316584</v>
      </c>
      <c r="R44" s="57">
        <v>2729.6965747357226</v>
      </c>
      <c r="S44" s="57">
        <v>2867.048647906455</v>
      </c>
      <c r="T44" s="57">
        <v>3047.8320625406013</v>
      </c>
      <c r="U44" s="57">
        <v>2980.038038150358</v>
      </c>
      <c r="V44" s="57">
        <v>5034.735689382066</v>
      </c>
      <c r="W44" s="57">
        <v>9387.349434325</v>
      </c>
      <c r="X44" s="57">
        <v>9130.655378452333</v>
      </c>
      <c r="Y44" s="57">
        <v>10747.9217363388</v>
      </c>
      <c r="Z44" s="57">
        <v>11518.071161440184</v>
      </c>
      <c r="AA44" s="57">
        <v>11316.4465911088</v>
      </c>
      <c r="AB44" s="57">
        <v>7086.122868757259</v>
      </c>
      <c r="AC44" s="57">
        <v>14178.7505714702</v>
      </c>
      <c r="AD44" s="57">
        <v>9753.242218350755</v>
      </c>
      <c r="AE44" s="57">
        <v>14612.6881000437</v>
      </c>
      <c r="AF44" s="57">
        <v>10536.733681765389</v>
      </c>
      <c r="AG44" s="57">
        <v>15068.3225050459</v>
      </c>
      <c r="AH44" s="57">
        <v>17210.371730545878</v>
      </c>
      <c r="AI44" s="57">
        <v>28035.1443533054</v>
      </c>
      <c r="AJ44" s="57">
        <v>12028.107479674796</v>
      </c>
      <c r="AK44" s="57">
        <v>28611.9015709706</v>
      </c>
      <c r="AL44" s="57">
        <v>13316.439593495936</v>
      </c>
      <c r="AM44" s="57">
        <v>29217.4966495192</v>
      </c>
      <c r="AN44" s="57">
        <v>22994.821300813008</v>
      </c>
      <c r="AO44" s="57">
        <v>14153.846153846154</v>
      </c>
      <c r="AP44" s="57">
        <v>16673.89401606426</v>
      </c>
      <c r="AQ44" s="57">
        <v>16307.692307692309</v>
      </c>
      <c r="AR44" s="57">
        <v>22018.84955823293</v>
      </c>
      <c r="AS44" s="57">
        <v>18461.53846153846</v>
      </c>
      <c r="AT44" s="57">
        <v>20919.468473895584</v>
      </c>
      <c r="AU44" s="57">
        <v>20615.384615384613</v>
      </c>
      <c r="AV44" s="57">
        <v>33941.03869047619</v>
      </c>
      <c r="AW44" s="57">
        <v>22769.230769230766</v>
      </c>
      <c r="AX44" s="57">
        <v>45440.03071428572</v>
      </c>
      <c r="AY44" s="57">
        <v>24923.07692307692</v>
      </c>
      <c r="AZ44" s="57">
        <v>34256.67833333334</v>
      </c>
      <c r="BA44" s="57">
        <v>27076.92307692307</v>
      </c>
      <c r="BB44" s="57">
        <v>36463.37642857143</v>
      </c>
      <c r="BC44" s="57">
        <v>29230.769230769223</v>
      </c>
      <c r="BD44" s="57">
        <v>46617.59404761905</v>
      </c>
      <c r="BE44" s="57">
        <v>31384.615384615376</v>
      </c>
      <c r="BF44" s="57">
        <v>59210.606428571424</v>
      </c>
      <c r="BG44" s="57">
        <v>33538.46153846153</v>
      </c>
      <c r="BH44" s="57">
        <v>25660.079285714288</v>
      </c>
      <c r="BI44" s="57">
        <v>35692.30769230769</v>
      </c>
      <c r="BJ44" s="57">
        <v>32671.53619047619</v>
      </c>
      <c r="BK44" s="57">
        <v>37846.153846153844</v>
      </c>
      <c r="BL44" s="57">
        <v>35507.36119047619</v>
      </c>
      <c r="BM44" s="57">
        <v>32000.0</v>
      </c>
      <c r="BN44" s="57">
        <v>24965.439647058825</v>
      </c>
      <c r="BO44" s="57">
        <v>32000.0</v>
      </c>
      <c r="BP44" s="57">
        <v>34442.23729411764</v>
      </c>
      <c r="BQ44" s="57">
        <v>32000.0</v>
      </c>
      <c r="BR44" s="57">
        <v>32879.015529411765</v>
      </c>
      <c r="BS44" s="57">
        <v>32000.0</v>
      </c>
      <c r="BT44" s="57">
        <v>33503.932235294116</v>
      </c>
      <c r="BU44" s="57">
        <v>32000.0</v>
      </c>
      <c r="BV44" s="57">
        <v>38693.00258823529</v>
      </c>
      <c r="BW44" s="57">
        <v>32000.0</v>
      </c>
      <c r="BX44" s="57">
        <v>41260.01094117647</v>
      </c>
      <c r="BY44" s="57">
        <v>32000.0</v>
      </c>
      <c r="BZ44" s="57">
        <v>49019.61941176471</v>
      </c>
      <c r="CA44" s="57">
        <v>32000.0</v>
      </c>
      <c r="CB44" s="57">
        <v>38893.89211764706</v>
      </c>
      <c r="CC44" s="57">
        <v>32000.0</v>
      </c>
      <c r="CD44" s="57">
        <v>53561.26425411765</v>
      </c>
      <c r="CE44" s="57">
        <v>32000.0</v>
      </c>
      <c r="CF44" s="57">
        <v>67311.03011764707</v>
      </c>
      <c r="CG44" s="57">
        <v>32000.0</v>
      </c>
      <c r="CH44" s="57">
        <v>77551.35847058824</v>
      </c>
      <c r="CI44" s="57">
        <v>32000.0</v>
      </c>
      <c r="CJ44" s="57">
        <v>63438.49941176471</v>
      </c>
      <c r="CK44" s="57">
        <v>32000.0</v>
      </c>
      <c r="CL44" s="57">
        <v>51298.08058823529</v>
      </c>
      <c r="CM44" s="57">
        <v>32000.0</v>
      </c>
      <c r="CN44" s="57">
        <v>32000.0</v>
      </c>
      <c r="CP44" s="49"/>
    </row>
    <row r="45" ht="15.75" customHeight="1">
      <c r="A45" s="94" t="str">
        <f t="shared" si="19"/>
        <v>Product and EngineeringResearch and development</v>
      </c>
      <c r="B45" s="97"/>
      <c r="C45" s="97"/>
      <c r="D45" s="4"/>
      <c r="E45" s="126" t="s">
        <v>117</v>
      </c>
      <c r="F45" s="57">
        <v>0.0</v>
      </c>
      <c r="G45" s="57">
        <v>0.0</v>
      </c>
      <c r="H45" s="57">
        <v>0.0</v>
      </c>
      <c r="I45" s="57">
        <v>0.0</v>
      </c>
      <c r="J45" s="57">
        <v>0.0</v>
      </c>
      <c r="K45" s="57">
        <v>0.0</v>
      </c>
      <c r="L45" s="57">
        <v>0.0</v>
      </c>
      <c r="M45" s="57">
        <v>0.0</v>
      </c>
      <c r="N45" s="57">
        <v>0.0</v>
      </c>
      <c r="O45" s="57">
        <v>0.0</v>
      </c>
      <c r="P45" s="57">
        <v>0.0</v>
      </c>
      <c r="Q45" s="57">
        <v>0.0</v>
      </c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16">
        <v>1829.26829268293</v>
      </c>
      <c r="X45" s="57">
        <v>5111.113821138211</v>
      </c>
      <c r="Y45" s="16">
        <v>1829.26829268293</v>
      </c>
      <c r="Z45" s="57">
        <v>5527.780487804878</v>
      </c>
      <c r="AA45" s="16">
        <v>1829.26829268293</v>
      </c>
      <c r="AB45" s="57">
        <v>5527.780487804878</v>
      </c>
      <c r="AC45" s="16">
        <v>1829.26829268293</v>
      </c>
      <c r="AD45" s="57">
        <v>5527.780487804878</v>
      </c>
      <c r="AE45" s="16">
        <v>1829.26829268293</v>
      </c>
      <c r="AF45" s="57">
        <v>5527.780487804878</v>
      </c>
      <c r="AG45" s="16">
        <v>1829.26829268293</v>
      </c>
      <c r="AH45" s="57">
        <v>5527.780487804878</v>
      </c>
      <c r="AI45" s="16">
        <v>1829.26829268293</v>
      </c>
      <c r="AJ45" s="57">
        <v>5527.780487804878</v>
      </c>
      <c r="AK45" s="16">
        <v>1829.26829268293</v>
      </c>
      <c r="AL45" s="57">
        <v>6093.197154471545</v>
      </c>
      <c r="AM45" s="16">
        <v>1829.26829268293</v>
      </c>
      <c r="AN45" s="57">
        <v>6093.197154471545</v>
      </c>
      <c r="AO45" s="57">
        <v>15000.0</v>
      </c>
      <c r="AP45" s="57">
        <v>6019.78514056225</v>
      </c>
      <c r="AQ45" s="57">
        <v>15000.0</v>
      </c>
      <c r="AR45" s="57">
        <v>6019.78514056225</v>
      </c>
      <c r="AS45" s="57">
        <v>15000.0</v>
      </c>
      <c r="AT45" s="57">
        <v>6019.78514056225</v>
      </c>
      <c r="AU45" s="57">
        <v>15000.0</v>
      </c>
      <c r="AV45" s="57">
        <v>807.625992063492</v>
      </c>
      <c r="AW45" s="57">
        <v>15000.0</v>
      </c>
      <c r="AX45" s="57">
        <v>-9.177301587301589</v>
      </c>
      <c r="AY45" s="57">
        <v>15000.0</v>
      </c>
      <c r="AZ45" s="57">
        <v>-9.177301587301589</v>
      </c>
      <c r="BA45" s="57">
        <v>15000.0</v>
      </c>
      <c r="BB45" s="57">
        <v>32.48948412698407</v>
      </c>
      <c r="BC45" s="57">
        <v>15000.0</v>
      </c>
      <c r="BD45" s="57">
        <v>-9.177063492063532</v>
      </c>
      <c r="BE45" s="57">
        <v>15000.0</v>
      </c>
      <c r="BF45" s="57">
        <v>551.9543650793651</v>
      </c>
      <c r="BG45" s="57">
        <v>15000.0</v>
      </c>
      <c r="BH45" s="57">
        <v>551.9543650793651</v>
      </c>
      <c r="BI45" s="57">
        <v>15000.0</v>
      </c>
      <c r="BJ45" s="57">
        <v>0.0</v>
      </c>
      <c r="BK45" s="57">
        <v>15000.0</v>
      </c>
      <c r="BL45" s="57">
        <v>0.0</v>
      </c>
      <c r="BM45" s="57">
        <v>0.0</v>
      </c>
      <c r="BN45" s="57">
        <v>0.0</v>
      </c>
      <c r="BO45" s="57">
        <v>0.0</v>
      </c>
      <c r="BP45" s="57">
        <v>0.0</v>
      </c>
      <c r="BQ45" s="57">
        <v>0.0</v>
      </c>
      <c r="BR45" s="57">
        <v>0.0</v>
      </c>
      <c r="BS45" s="57">
        <v>10000.0</v>
      </c>
      <c r="BT45" s="57">
        <v>0.0</v>
      </c>
      <c r="BU45" s="57">
        <v>10000.0</v>
      </c>
      <c r="BV45" s="57">
        <v>0.0</v>
      </c>
      <c r="BW45" s="57">
        <v>10000.0</v>
      </c>
      <c r="BX45" s="57">
        <v>0.0</v>
      </c>
      <c r="BY45" s="57">
        <v>10000.0</v>
      </c>
      <c r="BZ45" s="57">
        <v>0.0</v>
      </c>
      <c r="CA45" s="57">
        <v>10000.0</v>
      </c>
      <c r="CB45" s="57">
        <v>0.0</v>
      </c>
      <c r="CC45" s="57">
        <v>10000.0</v>
      </c>
      <c r="CD45" s="57">
        <v>0.0</v>
      </c>
      <c r="CE45" s="57">
        <v>10000.0</v>
      </c>
      <c r="CF45" s="57">
        <v>0.0</v>
      </c>
      <c r="CG45" s="57">
        <v>10000.0</v>
      </c>
      <c r="CH45" s="57">
        <v>0.0</v>
      </c>
      <c r="CI45" s="57">
        <v>10000.0</v>
      </c>
      <c r="CJ45" s="57">
        <v>0.0</v>
      </c>
      <c r="CK45" s="57">
        <v>10000.0</v>
      </c>
      <c r="CL45" s="57">
        <v>0.0</v>
      </c>
      <c r="CM45" s="57">
        <v>10000.0</v>
      </c>
      <c r="CN45" s="57">
        <v>10000.0</v>
      </c>
      <c r="CP45" s="49"/>
    </row>
    <row r="46" ht="15.75" customHeight="1">
      <c r="A46" s="94" t="str">
        <f t="shared" si="19"/>
        <v>Product and EngineeringExternal Consultants</v>
      </c>
      <c r="B46" s="97"/>
      <c r="C46" s="97"/>
      <c r="D46" s="4"/>
      <c r="E46" s="126" t="s">
        <v>118</v>
      </c>
      <c r="F46" s="57">
        <v>0.0</v>
      </c>
      <c r="G46" s="57">
        <v>0.0</v>
      </c>
      <c r="H46" s="57">
        <v>0.0</v>
      </c>
      <c r="I46" s="57">
        <v>0.0</v>
      </c>
      <c r="J46" s="57">
        <v>0.0</v>
      </c>
      <c r="K46" s="57">
        <v>0.0</v>
      </c>
      <c r="L46" s="57">
        <v>0.0</v>
      </c>
      <c r="M46" s="57">
        <v>0.0</v>
      </c>
      <c r="N46" s="57">
        <v>3756.0975609756097</v>
      </c>
      <c r="O46" s="57">
        <v>3658.5365853658536</v>
      </c>
      <c r="P46" s="57">
        <v>0.0</v>
      </c>
      <c r="Q46" s="57">
        <v>3658.5365853658536</v>
      </c>
      <c r="R46" s="57">
        <v>4804.1463414634145</v>
      </c>
      <c r="S46" s="57">
        <v>1853.658536585366</v>
      </c>
      <c r="T46" s="57">
        <v>939.0243902439024</v>
      </c>
      <c r="U46" s="57">
        <v>16454.227439024387</v>
      </c>
      <c r="V46" s="57">
        <v>12611.815365853658</v>
      </c>
      <c r="W46" s="16"/>
      <c r="X46" s="57">
        <v>1223.5731707317073</v>
      </c>
      <c r="Y46" s="16"/>
      <c r="Z46" s="57">
        <v>6338.304878048781</v>
      </c>
      <c r="AA46" s="16"/>
      <c r="AB46" s="57">
        <v>3378.048780487805</v>
      </c>
      <c r="AC46" s="16"/>
      <c r="AD46" s="57">
        <v>4852.934959349594</v>
      </c>
      <c r="AE46" s="16"/>
      <c r="AF46" s="57">
        <v>9040.569105691056</v>
      </c>
      <c r="AG46" s="16"/>
      <c r="AH46" s="57">
        <v>3953.2520325203254</v>
      </c>
      <c r="AI46" s="16"/>
      <c r="AJ46" s="57">
        <v>3953.2520325203254</v>
      </c>
      <c r="AK46" s="16"/>
      <c r="AL46" s="57">
        <v>3831.3008130081303</v>
      </c>
      <c r="AM46" s="16"/>
      <c r="AN46" s="57">
        <v>4477.09349593496</v>
      </c>
      <c r="AO46" s="57">
        <v>2380.9523809523807</v>
      </c>
      <c r="AP46" s="57">
        <v>2700.803212851406</v>
      </c>
      <c r="AQ46" s="57">
        <v>10000.0</v>
      </c>
      <c r="AR46" s="57">
        <v>4529.718875502008</v>
      </c>
      <c r="AS46" s="57">
        <v>10000.0</v>
      </c>
      <c r="AT46" s="57">
        <v>4628.5140562249</v>
      </c>
      <c r="AU46" s="57">
        <v>10000.0</v>
      </c>
      <c r="AV46" s="57">
        <v>3452.890238095238</v>
      </c>
      <c r="AW46" s="57">
        <v>10000.0</v>
      </c>
      <c r="AX46" s="57">
        <v>8925.242738095238</v>
      </c>
      <c r="AY46" s="57">
        <v>10000.0</v>
      </c>
      <c r="AZ46" s="57">
        <v>22585.733214285712</v>
      </c>
      <c r="BA46" s="57">
        <v>10000.0</v>
      </c>
      <c r="BB46" s="57">
        <v>10884.72619047619</v>
      </c>
      <c r="BC46" s="57">
        <v>10000.0</v>
      </c>
      <c r="BD46" s="57">
        <v>23005.238095238095</v>
      </c>
      <c r="BE46" s="57">
        <v>10000.0</v>
      </c>
      <c r="BF46" s="57">
        <v>4464.285714285715</v>
      </c>
      <c r="BG46" s="57">
        <v>10000.0</v>
      </c>
      <c r="BH46" s="57">
        <v>1501.7857142857142</v>
      </c>
      <c r="BI46" s="57">
        <v>10000.0</v>
      </c>
      <c r="BJ46" s="57">
        <v>2998.714285714286</v>
      </c>
      <c r="BK46" s="57">
        <v>10000.0</v>
      </c>
      <c r="BL46" s="57">
        <v>3071.4285714285716</v>
      </c>
      <c r="BM46" s="57">
        <v>5000.0</v>
      </c>
      <c r="BN46" s="57">
        <v>4272.882352941177</v>
      </c>
      <c r="BO46" s="57">
        <v>5000.0</v>
      </c>
      <c r="BP46" s="57">
        <v>8124.376470588235</v>
      </c>
      <c r="BQ46" s="57">
        <v>5000.0</v>
      </c>
      <c r="BR46" s="57">
        <v>3058.823529411765</v>
      </c>
      <c r="BS46" s="57">
        <v>10000.0</v>
      </c>
      <c r="BT46" s="57">
        <v>1991.5294117647059</v>
      </c>
      <c r="BU46" s="57">
        <v>10000.0</v>
      </c>
      <c r="BV46" s="57">
        <v>1122.8235294117646</v>
      </c>
      <c r="BW46" s="57">
        <v>10000.0</v>
      </c>
      <c r="BX46" s="57">
        <v>11764.70588235294</v>
      </c>
      <c r="BY46" s="57">
        <v>10000.0</v>
      </c>
      <c r="BZ46" s="57">
        <v>0.0</v>
      </c>
      <c r="CA46" s="57">
        <v>10000.0</v>
      </c>
      <c r="CB46" s="57">
        <v>0.0</v>
      </c>
      <c r="CC46" s="57">
        <v>10000.0</v>
      </c>
      <c r="CD46" s="57">
        <v>5914.7116470588235</v>
      </c>
      <c r="CE46" s="57">
        <v>10000.0</v>
      </c>
      <c r="CF46" s="57">
        <v>0.0</v>
      </c>
      <c r="CG46" s="57">
        <v>10000.0</v>
      </c>
      <c r="CH46" s="57">
        <v>2076.1936470588234</v>
      </c>
      <c r="CI46" s="57">
        <v>10000.0</v>
      </c>
      <c r="CJ46" s="57">
        <v>0.0</v>
      </c>
      <c r="CK46" s="57">
        <v>10000.0</v>
      </c>
      <c r="CL46" s="57">
        <v>0.0</v>
      </c>
      <c r="CM46" s="57">
        <v>10000.0</v>
      </c>
      <c r="CN46" s="57">
        <v>10000.0</v>
      </c>
      <c r="CP46" s="49"/>
    </row>
    <row r="47" ht="15.75" customHeight="1">
      <c r="A47" s="94"/>
      <c r="B47" s="97"/>
      <c r="C47" s="97"/>
      <c r="D47" s="97"/>
      <c r="E47" s="5"/>
      <c r="F47" s="104"/>
      <c r="G47" s="104"/>
      <c r="H47" s="104"/>
      <c r="I47" s="104"/>
      <c r="J47" s="104"/>
      <c r="K47" s="57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5"/>
      <c r="X47" s="104"/>
      <c r="Y47" s="5"/>
      <c r="Z47" s="104"/>
      <c r="AA47" s="1"/>
      <c r="AB47" s="104"/>
      <c r="AC47" s="1"/>
      <c r="AD47" s="104"/>
      <c r="AE47" s="1"/>
      <c r="AF47" s="104"/>
      <c r="AG47" s="1"/>
      <c r="AH47" s="104"/>
      <c r="AI47" s="1"/>
      <c r="AJ47" s="104"/>
      <c r="AK47" s="109"/>
      <c r="AL47" s="104"/>
      <c r="AM47" s="1"/>
      <c r="AN47" s="104"/>
      <c r="AO47" s="1"/>
      <c r="AP47" s="104"/>
      <c r="AQ47" s="1"/>
      <c r="AR47" s="104"/>
      <c r="AS47" s="57"/>
      <c r="AT47" s="104"/>
      <c r="AU47" s="1"/>
      <c r="AV47" s="106"/>
      <c r="AW47" s="1"/>
      <c r="AX47" s="106"/>
      <c r="AY47" s="1"/>
      <c r="AZ47" s="106"/>
      <c r="BA47" s="1"/>
      <c r="BB47" s="106"/>
      <c r="BC47" s="1"/>
      <c r="BD47" s="106"/>
      <c r="BE47" s="1"/>
      <c r="BF47" s="106"/>
      <c r="BG47" s="1"/>
      <c r="BH47" s="106"/>
      <c r="BI47" s="1"/>
      <c r="BJ47" s="106"/>
      <c r="BK47" s="1"/>
      <c r="BL47" s="106"/>
      <c r="BM47" s="1"/>
      <c r="BN47" s="106"/>
      <c r="BO47" s="1"/>
      <c r="BP47" s="106"/>
      <c r="BQ47" s="1"/>
      <c r="BR47" s="106"/>
      <c r="BS47" s="1"/>
      <c r="BT47" s="106"/>
      <c r="BU47" s="1"/>
      <c r="BV47" s="106"/>
      <c r="BW47" s="1"/>
      <c r="BX47" s="106"/>
      <c r="BY47" s="1"/>
      <c r="BZ47" s="106"/>
      <c r="CA47" s="1"/>
      <c r="CB47" s="106"/>
      <c r="CC47" s="1"/>
      <c r="CD47" s="106"/>
      <c r="CE47" s="1"/>
      <c r="CF47" s="106"/>
      <c r="CG47" s="1"/>
      <c r="CH47" s="106"/>
      <c r="CI47" s="1"/>
      <c r="CJ47" s="106"/>
      <c r="CK47" s="1"/>
      <c r="CL47" s="106"/>
      <c r="CM47" s="1"/>
      <c r="CN47" s="1"/>
      <c r="CP47" s="49"/>
    </row>
    <row r="48" ht="15.75" customHeight="1">
      <c r="A48" s="94"/>
      <c r="B48" s="97"/>
      <c r="C48" s="97"/>
      <c r="D48" s="4"/>
      <c r="E48" s="7" t="s">
        <v>119</v>
      </c>
      <c r="F48" s="96">
        <f t="shared" ref="F48:AN48" si="20">SUM(F49:F57)</f>
        <v>1321.973129</v>
      </c>
      <c r="G48" s="96">
        <f t="shared" si="20"/>
        <v>1159.817073</v>
      </c>
      <c r="H48" s="96">
        <f t="shared" si="20"/>
        <v>11702.1164</v>
      </c>
      <c r="I48" s="96">
        <f t="shared" si="20"/>
        <v>11165.56061</v>
      </c>
      <c r="J48" s="96">
        <f t="shared" si="20"/>
        <v>36437.60581</v>
      </c>
      <c r="K48" s="96">
        <f t="shared" si="20"/>
        <v>53053.97208</v>
      </c>
      <c r="L48" s="96">
        <f t="shared" si="20"/>
        <v>43697.10598</v>
      </c>
      <c r="M48" s="96">
        <f t="shared" si="20"/>
        <v>69403.85192</v>
      </c>
      <c r="N48" s="96">
        <f t="shared" si="20"/>
        <v>71806.86063</v>
      </c>
      <c r="O48" s="96">
        <f t="shared" si="20"/>
        <v>30297.81231</v>
      </c>
      <c r="P48" s="96">
        <f t="shared" si="20"/>
        <v>69738.14499</v>
      </c>
      <c r="Q48" s="96">
        <f t="shared" si="20"/>
        <v>64522.93373</v>
      </c>
      <c r="R48" s="96">
        <f t="shared" si="20"/>
        <v>87062.33471</v>
      </c>
      <c r="S48" s="96">
        <f t="shared" si="20"/>
        <v>128369.2895</v>
      </c>
      <c r="T48" s="96">
        <f t="shared" si="20"/>
        <v>154172.5549</v>
      </c>
      <c r="U48" s="96">
        <f t="shared" si="20"/>
        <v>111513.0367</v>
      </c>
      <c r="V48" s="96">
        <f t="shared" si="20"/>
        <v>199889.2668</v>
      </c>
      <c r="W48" s="96">
        <f t="shared" si="20"/>
        <v>93144.8103</v>
      </c>
      <c r="X48" s="96">
        <f t="shared" si="20"/>
        <v>171716.8319</v>
      </c>
      <c r="Y48" s="96">
        <f t="shared" si="20"/>
        <v>75598.08672</v>
      </c>
      <c r="Z48" s="96">
        <f t="shared" si="20"/>
        <v>151804.1894</v>
      </c>
      <c r="AA48" s="96">
        <f t="shared" si="20"/>
        <v>77966.79404</v>
      </c>
      <c r="AB48" s="96">
        <f t="shared" si="20"/>
        <v>138373.0724</v>
      </c>
      <c r="AC48" s="96">
        <f t="shared" si="20"/>
        <v>99501.57453</v>
      </c>
      <c r="AD48" s="96">
        <f t="shared" si="20"/>
        <v>117512.8843</v>
      </c>
      <c r="AE48" s="96">
        <f t="shared" si="20"/>
        <v>88044.57453</v>
      </c>
      <c r="AF48" s="96">
        <f t="shared" si="20"/>
        <v>136765.7229</v>
      </c>
      <c r="AG48" s="96">
        <f t="shared" si="20"/>
        <v>103493.7371</v>
      </c>
      <c r="AH48" s="96">
        <f t="shared" si="20"/>
        <v>129890.1217</v>
      </c>
      <c r="AI48" s="96">
        <f t="shared" si="20"/>
        <v>109067.9648</v>
      </c>
      <c r="AJ48" s="96">
        <f t="shared" si="20"/>
        <v>146946.1474</v>
      </c>
      <c r="AK48" s="96">
        <f t="shared" si="20"/>
        <v>100252.2466</v>
      </c>
      <c r="AL48" s="96">
        <f t="shared" si="20"/>
        <v>167574.8189</v>
      </c>
      <c r="AM48" s="96">
        <f t="shared" si="20"/>
        <v>112364.2791</v>
      </c>
      <c r="AN48" s="96">
        <f t="shared" si="20"/>
        <v>129769.813</v>
      </c>
      <c r="AO48" s="96">
        <f t="shared" ref="AO48:CN48" si="21">SUM(AO49:AO58)</f>
        <v>220651.2249</v>
      </c>
      <c r="AP48" s="96">
        <f t="shared" si="21"/>
        <v>114945.9842</v>
      </c>
      <c r="AQ48" s="96">
        <f t="shared" si="21"/>
        <v>265307.2625</v>
      </c>
      <c r="AR48" s="96">
        <f t="shared" si="21"/>
        <v>131000.3745</v>
      </c>
      <c r="AS48" s="96">
        <f t="shared" si="21"/>
        <v>269098.1895</v>
      </c>
      <c r="AT48" s="96">
        <f t="shared" si="21"/>
        <v>191666.1263</v>
      </c>
      <c r="AU48" s="96">
        <f t="shared" si="21"/>
        <v>251297.2067</v>
      </c>
      <c r="AV48" s="96">
        <f t="shared" si="21"/>
        <v>106275.0727</v>
      </c>
      <c r="AW48" s="96">
        <f t="shared" si="21"/>
        <v>145184.8882</v>
      </c>
      <c r="AX48" s="96">
        <f t="shared" si="21"/>
        <v>102030.3145</v>
      </c>
      <c r="AY48" s="96">
        <f t="shared" si="21"/>
        <v>145032.2498</v>
      </c>
      <c r="AZ48" s="96">
        <f t="shared" si="21"/>
        <v>165465.2305</v>
      </c>
      <c r="BA48" s="96">
        <f t="shared" si="21"/>
        <v>179332.2899</v>
      </c>
      <c r="BB48" s="96">
        <f t="shared" si="21"/>
        <v>193487.6447</v>
      </c>
      <c r="BC48" s="96">
        <f t="shared" si="21"/>
        <v>151449.0681</v>
      </c>
      <c r="BD48" s="96">
        <f t="shared" si="21"/>
        <v>168481.0886</v>
      </c>
      <c r="BE48" s="96">
        <f t="shared" si="21"/>
        <v>139234.0247</v>
      </c>
      <c r="BF48" s="96">
        <f t="shared" si="21"/>
        <v>147267.3948</v>
      </c>
      <c r="BG48" s="96">
        <f t="shared" si="21"/>
        <v>196178.382</v>
      </c>
      <c r="BH48" s="96">
        <f t="shared" si="21"/>
        <v>135611.3684</v>
      </c>
      <c r="BI48" s="96">
        <f t="shared" si="21"/>
        <v>165098.5934</v>
      </c>
      <c r="BJ48" s="96">
        <f t="shared" si="21"/>
        <v>129309.3993</v>
      </c>
      <c r="BK48" s="96">
        <f t="shared" si="21"/>
        <v>172646.1512</v>
      </c>
      <c r="BL48" s="96">
        <f t="shared" si="21"/>
        <v>154820.0787</v>
      </c>
      <c r="BM48" s="96">
        <f t="shared" si="21"/>
        <v>133963.0046</v>
      </c>
      <c r="BN48" s="96">
        <f t="shared" si="21"/>
        <v>176205.2272</v>
      </c>
      <c r="BO48" s="96">
        <f t="shared" si="21"/>
        <v>129470.9285</v>
      </c>
      <c r="BP48" s="96">
        <f t="shared" si="21"/>
        <v>106009.9858</v>
      </c>
      <c r="BQ48" s="96">
        <f t="shared" si="21"/>
        <v>136553.4316</v>
      </c>
      <c r="BR48" s="96">
        <f t="shared" si="21"/>
        <v>152915.6726</v>
      </c>
      <c r="BS48" s="96">
        <f t="shared" si="21"/>
        <v>133180.4416</v>
      </c>
      <c r="BT48" s="96">
        <f t="shared" si="21"/>
        <v>178728.1845</v>
      </c>
      <c r="BU48" s="96">
        <f t="shared" si="21"/>
        <v>151431.18</v>
      </c>
      <c r="BV48" s="96">
        <f t="shared" si="21"/>
        <v>148911.9405</v>
      </c>
      <c r="BW48" s="96">
        <f t="shared" si="21"/>
        <v>159675.5396</v>
      </c>
      <c r="BX48" s="96">
        <f t="shared" si="21"/>
        <v>108499.7526</v>
      </c>
      <c r="BY48" s="96">
        <f t="shared" si="21"/>
        <v>165618.4069</v>
      </c>
      <c r="BZ48" s="96">
        <f t="shared" si="21"/>
        <v>109147.5865</v>
      </c>
      <c r="CA48" s="96">
        <f t="shared" si="21"/>
        <v>140099.2431</v>
      </c>
      <c r="CB48" s="96">
        <f t="shared" si="21"/>
        <v>128882.3159</v>
      </c>
      <c r="CC48" s="96">
        <f t="shared" si="21"/>
        <v>153081.5006</v>
      </c>
      <c r="CD48" s="96">
        <f t="shared" si="21"/>
        <v>135156.2602</v>
      </c>
      <c r="CE48" s="96">
        <f t="shared" si="21"/>
        <v>162430.734</v>
      </c>
      <c r="CF48" s="96">
        <f t="shared" si="21"/>
        <v>187654.7536</v>
      </c>
      <c r="CG48" s="96">
        <f t="shared" si="21"/>
        <v>152243.2139</v>
      </c>
      <c r="CH48" s="96">
        <f t="shared" si="21"/>
        <v>219894.1041</v>
      </c>
      <c r="CI48" s="96">
        <f t="shared" si="21"/>
        <v>160059.8841</v>
      </c>
      <c r="CJ48" s="96">
        <f t="shared" si="21"/>
        <v>280512.832</v>
      </c>
      <c r="CK48" s="96">
        <f t="shared" si="21"/>
        <v>163101.3025</v>
      </c>
      <c r="CL48" s="96">
        <f t="shared" si="21"/>
        <v>211427.6147</v>
      </c>
      <c r="CM48" s="96">
        <f t="shared" si="21"/>
        <v>151265.1945</v>
      </c>
      <c r="CN48" s="96">
        <f t="shared" si="21"/>
        <v>146266.659</v>
      </c>
      <c r="CP48" s="49"/>
    </row>
    <row r="49" ht="15.75" customHeight="1">
      <c r="A49" s="94" t="str">
        <f t="shared" ref="A49:A57" si="22">$E$48&amp;E49</f>
        <v>General and AdministrativePeople cost</v>
      </c>
      <c r="B49" s="97"/>
      <c r="C49" s="97"/>
      <c r="D49" s="4"/>
      <c r="E49" s="126" t="s">
        <v>98</v>
      </c>
      <c r="F49" s="57">
        <v>634.1463414634146</v>
      </c>
      <c r="G49" s="57">
        <v>329.2682926829268</v>
      </c>
      <c r="H49" s="57">
        <v>0.0</v>
      </c>
      <c r="I49" s="57">
        <v>0.0</v>
      </c>
      <c r="J49" s="57">
        <v>0.0</v>
      </c>
      <c r="K49" s="57">
        <v>939.0243902439024</v>
      </c>
      <c r="L49" s="57">
        <v>8202.0</v>
      </c>
      <c r="M49" s="57">
        <v>10040.961463414635</v>
      </c>
      <c r="N49" s="57">
        <v>15181.217926829268</v>
      </c>
      <c r="O49" s="57">
        <v>10040.968780487805</v>
      </c>
      <c r="P49" s="57">
        <v>10162.92</v>
      </c>
      <c r="Q49" s="57">
        <v>17346.841219512196</v>
      </c>
      <c r="R49" s="57">
        <v>15823.407804878048</v>
      </c>
      <c r="S49" s="57">
        <v>20586.79804878049</v>
      </c>
      <c r="T49" s="57">
        <v>21663.181341463413</v>
      </c>
      <c r="U49" s="57">
        <v>23028.73707317073</v>
      </c>
      <c r="V49" s="57">
        <v>27623.583810975604</v>
      </c>
      <c r="W49" s="57">
        <v>24005.4200542005</v>
      </c>
      <c r="X49" s="57">
        <v>33404.49162601626</v>
      </c>
      <c r="Y49" s="57">
        <v>21647.6964769648</v>
      </c>
      <c r="Z49" s="57">
        <v>49287.223943089426</v>
      </c>
      <c r="AA49" s="57">
        <v>22379.4037940379</v>
      </c>
      <c r="AB49" s="57">
        <v>24673.338607723585</v>
      </c>
      <c r="AC49" s="57">
        <v>34178.1842818428</v>
      </c>
      <c r="AD49" s="57">
        <v>27910.55402439024</v>
      </c>
      <c r="AE49" s="57">
        <v>34178.1842818428</v>
      </c>
      <c r="AF49" s="57">
        <v>50339.593741148696</v>
      </c>
      <c r="AG49" s="57">
        <v>24188.3468834688</v>
      </c>
      <c r="AH49" s="57">
        <v>28834.448363821124</v>
      </c>
      <c r="AI49" s="57">
        <v>38202.5745257453</v>
      </c>
      <c r="AJ49" s="57">
        <v>54472.73525158537</v>
      </c>
      <c r="AK49" s="57">
        <v>41886.8563685637</v>
      </c>
      <c r="AL49" s="57">
        <v>31563.426829268286</v>
      </c>
      <c r="AM49" s="57">
        <v>28888.8888888889</v>
      </c>
      <c r="AN49" s="57">
        <v>28132.842672764225</v>
      </c>
      <c r="AO49" s="57">
        <v>33234.690375555554</v>
      </c>
      <c r="AP49" s="57">
        <v>33077.2919102008</v>
      </c>
      <c r="AQ49" s="57">
        <v>64318.38128865286</v>
      </c>
      <c r="AR49" s="57">
        <v>29680.907995057147</v>
      </c>
      <c r="AS49" s="57">
        <v>66035.95717690489</v>
      </c>
      <c r="AT49" s="57">
        <v>26208.269079394504</v>
      </c>
      <c r="AU49" s="57">
        <v>67688.76701779163</v>
      </c>
      <c r="AV49" s="57">
        <v>29444.0146031746</v>
      </c>
      <c r="AW49" s="57">
        <v>47146.32931021776</v>
      </c>
      <c r="AX49" s="57">
        <v>28096.646507936504</v>
      </c>
      <c r="AY49" s="57">
        <v>47834.37350747237</v>
      </c>
      <c r="AZ49" s="57">
        <v>32370.372698412695</v>
      </c>
      <c r="BA49" s="57">
        <v>57504.05845533481</v>
      </c>
      <c r="BB49" s="57">
        <v>34142.84</v>
      </c>
      <c r="BC49" s="57">
        <v>43754.17751881558</v>
      </c>
      <c r="BD49" s="57">
        <v>34815.88809523809</v>
      </c>
      <c r="BE49" s="57">
        <v>32164.86878975528</v>
      </c>
      <c r="BF49" s="57">
        <v>35367.63</v>
      </c>
      <c r="BG49" s="57">
        <v>47498.82436439316</v>
      </c>
      <c r="BH49" s="57">
        <v>34690.4519047619</v>
      </c>
      <c r="BI49" s="57">
        <v>47701.564863787244</v>
      </c>
      <c r="BJ49" s="57">
        <v>36384.061428571425</v>
      </c>
      <c r="BK49" s="57">
        <v>47938.87434671487</v>
      </c>
      <c r="BL49" s="57">
        <v>35903.90238095238</v>
      </c>
      <c r="BM49" s="57">
        <v>44009.903174603176</v>
      </c>
      <c r="BN49" s="57">
        <v>37554.45705882353</v>
      </c>
      <c r="BO49" s="57">
        <v>46509.90317460318</v>
      </c>
      <c r="BP49" s="57">
        <v>32308.541176470586</v>
      </c>
      <c r="BQ49" s="57">
        <v>46509.90317460318</v>
      </c>
      <c r="BR49" s="57">
        <v>33468.29058823529</v>
      </c>
      <c r="BS49" s="57">
        <v>54647.79432539683</v>
      </c>
      <c r="BT49" s="57">
        <v>38582.214705882354</v>
      </c>
      <c r="BU49" s="57">
        <v>71059.30226190476</v>
      </c>
      <c r="BV49" s="57">
        <v>38263.41470588235</v>
      </c>
      <c r="BW49" s="57">
        <v>68985.89349206351</v>
      </c>
      <c r="BX49" s="57">
        <v>38583.55470588235</v>
      </c>
      <c r="BY49" s="57">
        <v>52410.8934920635</v>
      </c>
      <c r="BZ49" s="57">
        <v>36564.78</v>
      </c>
      <c r="CA49" s="57">
        <v>50910.8934920635</v>
      </c>
      <c r="CB49" s="57">
        <v>40133.09764705882</v>
      </c>
      <c r="CC49" s="57">
        <v>53410.8934920635</v>
      </c>
      <c r="CD49" s="57">
        <v>38622.721176470586</v>
      </c>
      <c r="CE49" s="57">
        <v>52410.8934920635</v>
      </c>
      <c r="CF49" s="57">
        <v>46561.65588235294</v>
      </c>
      <c r="CG49" s="57">
        <v>50910.893492063515</v>
      </c>
      <c r="CH49" s="57">
        <v>41062.26235294118</v>
      </c>
      <c r="CI49" s="57">
        <v>56160.893492063515</v>
      </c>
      <c r="CJ49" s="57">
        <v>39637.83882352941</v>
      </c>
      <c r="CK49" s="57">
        <v>52410.893492063486</v>
      </c>
      <c r="CL49" s="57">
        <v>40869.21529411765</v>
      </c>
      <c r="CM49" s="57">
        <v>57660.893492063486</v>
      </c>
      <c r="CN49" s="57">
        <v>53660.8934920635</v>
      </c>
      <c r="CP49" s="49"/>
    </row>
    <row r="50" ht="15.75" customHeight="1">
      <c r="A50" s="94" t="str">
        <f t="shared" si="22"/>
        <v>General and AdministrativeTravel and expenses</v>
      </c>
      <c r="B50" s="97"/>
      <c r="C50" s="97"/>
      <c r="D50" s="4"/>
      <c r="E50" s="126" t="s">
        <v>99</v>
      </c>
      <c r="F50" s="57">
        <v>0.0</v>
      </c>
      <c r="G50" s="57">
        <v>313.780487804878</v>
      </c>
      <c r="H50" s="57">
        <v>0.0</v>
      </c>
      <c r="I50" s="57">
        <v>654.0853658536586</v>
      </c>
      <c r="J50" s="57">
        <v>902.1256097560976</v>
      </c>
      <c r="K50" s="57">
        <v>1046.6341463414635</v>
      </c>
      <c r="L50" s="57">
        <v>1227.7024390243903</v>
      </c>
      <c r="M50" s="57">
        <v>1446.6519512195123</v>
      </c>
      <c r="N50" s="57">
        <v>3853.7484146341462</v>
      </c>
      <c r="O50" s="57">
        <v>5367.361951219512</v>
      </c>
      <c r="P50" s="57">
        <v>3071.9145121951215</v>
      </c>
      <c r="Q50" s="57">
        <v>1699.6829268292684</v>
      </c>
      <c r="R50" s="57">
        <v>2696.580731707317</v>
      </c>
      <c r="S50" s="57">
        <v>573.1319512195122</v>
      </c>
      <c r="T50" s="57">
        <v>11078.157195121952</v>
      </c>
      <c r="U50" s="57">
        <v>9827.034756097564</v>
      </c>
      <c r="V50" s="57">
        <v>26006.977073170732</v>
      </c>
      <c r="W50" s="57">
        <v>15902.4390243902</v>
      </c>
      <c r="X50" s="57">
        <v>15339.706097560975</v>
      </c>
      <c r="Y50" s="57">
        <v>3402.43902439024</v>
      </c>
      <c r="Z50" s="57">
        <v>9142.578080487805</v>
      </c>
      <c r="AA50" s="57">
        <v>3402.43902439024</v>
      </c>
      <c r="AB50" s="57">
        <v>18985.256728048782</v>
      </c>
      <c r="AC50" s="57">
        <v>15902.4390243902</v>
      </c>
      <c r="AD50" s="57">
        <v>15275.405365853658</v>
      </c>
      <c r="AE50" s="57">
        <v>3402.43902439024</v>
      </c>
      <c r="AF50" s="57">
        <v>23032.868536585367</v>
      </c>
      <c r="AG50" s="57">
        <v>3402.43902439024</v>
      </c>
      <c r="AH50" s="57">
        <v>18394.109390243902</v>
      </c>
      <c r="AI50" s="57">
        <v>15902.4390243902</v>
      </c>
      <c r="AJ50" s="57">
        <v>5881.536585365854</v>
      </c>
      <c r="AK50" s="57">
        <v>3402.43902439024</v>
      </c>
      <c r="AL50" s="57">
        <v>21314.463514634142</v>
      </c>
      <c r="AM50" s="57">
        <v>3402.43902439024</v>
      </c>
      <c r="AN50" s="57">
        <v>6567.983536585366</v>
      </c>
      <c r="AO50" s="57">
        <v>13718.75</v>
      </c>
      <c r="AP50" s="57">
        <v>7427.917228915663</v>
      </c>
      <c r="AQ50" s="57">
        <v>13718.75</v>
      </c>
      <c r="AR50" s="57">
        <v>21208.304027710845</v>
      </c>
      <c r="AS50" s="57">
        <v>13718.75</v>
      </c>
      <c r="AT50" s="57">
        <v>16560.677590361447</v>
      </c>
      <c r="AU50" s="57">
        <v>13718.75</v>
      </c>
      <c r="AV50" s="57">
        <v>12751.961071428574</v>
      </c>
      <c r="AW50" s="57">
        <v>13718.75</v>
      </c>
      <c r="AX50" s="57">
        <v>8472.830238095237</v>
      </c>
      <c r="AY50" s="57">
        <v>13718.75</v>
      </c>
      <c r="AZ50" s="57">
        <v>4925.58869047619</v>
      </c>
      <c r="BA50" s="57">
        <v>13718.75</v>
      </c>
      <c r="BB50" s="57">
        <v>12416.077261904762</v>
      </c>
      <c r="BC50" s="57">
        <v>13718.75</v>
      </c>
      <c r="BD50" s="57">
        <v>11701.890595238094</v>
      </c>
      <c r="BE50" s="57">
        <v>13718.75</v>
      </c>
      <c r="BF50" s="57">
        <v>8265.925119047619</v>
      </c>
      <c r="BG50" s="57">
        <v>13718.75</v>
      </c>
      <c r="BH50" s="57">
        <v>8540.181904761905</v>
      </c>
      <c r="BI50" s="57">
        <v>13718.75</v>
      </c>
      <c r="BJ50" s="57">
        <v>5767.738690476191</v>
      </c>
      <c r="BK50" s="57">
        <v>13718.75</v>
      </c>
      <c r="BL50" s="57">
        <v>13610.134285714283</v>
      </c>
      <c r="BM50" s="57">
        <v>4500.0</v>
      </c>
      <c r="BN50" s="57">
        <v>4336.182117647059</v>
      </c>
      <c r="BO50" s="57">
        <v>4500.0</v>
      </c>
      <c r="BP50" s="57">
        <v>11289.92858823529</v>
      </c>
      <c r="BQ50" s="57">
        <v>4500.0</v>
      </c>
      <c r="BR50" s="57">
        <v>1341.506705882353</v>
      </c>
      <c r="BS50" s="57">
        <v>4500.0</v>
      </c>
      <c r="BT50" s="57">
        <v>5227.899882352942</v>
      </c>
      <c r="BU50" s="57">
        <v>4500.0</v>
      </c>
      <c r="BV50" s="57">
        <v>10660.111529411764</v>
      </c>
      <c r="BW50" s="57">
        <v>4500.0</v>
      </c>
      <c r="BX50" s="57">
        <v>3431.405176470589</v>
      </c>
      <c r="BY50" s="57">
        <v>4500.0</v>
      </c>
      <c r="BZ50" s="57">
        <v>2948.0911764705875</v>
      </c>
      <c r="CA50" s="57">
        <v>4500.0</v>
      </c>
      <c r="CB50" s="57">
        <v>2796.9921176470584</v>
      </c>
      <c r="CC50" s="57">
        <v>4500.0</v>
      </c>
      <c r="CD50" s="57">
        <v>1764.2210588235291</v>
      </c>
      <c r="CE50" s="57">
        <v>4500.0</v>
      </c>
      <c r="CF50" s="57">
        <v>10770.715882352943</v>
      </c>
      <c r="CG50" s="57">
        <v>4500.0</v>
      </c>
      <c r="CH50" s="57">
        <v>2054.6855294117645</v>
      </c>
      <c r="CI50" s="57">
        <v>4500.0</v>
      </c>
      <c r="CJ50" s="57">
        <v>16314.713294117651</v>
      </c>
      <c r="CK50" s="57">
        <v>4500.0</v>
      </c>
      <c r="CL50" s="57">
        <v>10593.364705882354</v>
      </c>
      <c r="CM50" s="57">
        <v>4500.0</v>
      </c>
      <c r="CN50" s="57">
        <v>4500.0</v>
      </c>
      <c r="CP50" s="49"/>
    </row>
    <row r="51" ht="15.75" customHeight="1">
      <c r="A51" s="94" t="str">
        <f t="shared" si="22"/>
        <v>General and AdministrativeRent and utilities</v>
      </c>
      <c r="B51" s="97"/>
      <c r="C51" s="97"/>
      <c r="D51" s="4"/>
      <c r="E51" s="126" t="s">
        <v>120</v>
      </c>
      <c r="F51" s="57">
        <v>0.0</v>
      </c>
      <c r="G51" s="57">
        <v>0.0</v>
      </c>
      <c r="H51" s="57">
        <v>0.0</v>
      </c>
      <c r="I51" s="57">
        <v>0.0</v>
      </c>
      <c r="J51" s="57">
        <v>2277.5975609756097</v>
      </c>
      <c r="K51" s="57">
        <v>1214.5514675485745</v>
      </c>
      <c r="L51" s="57">
        <v>991.9531707317074</v>
      </c>
      <c r="M51" s="57">
        <v>1100.248036378669</v>
      </c>
      <c r="N51" s="57">
        <v>995.3780487804878</v>
      </c>
      <c r="O51" s="57">
        <v>1031.8048780487804</v>
      </c>
      <c r="P51" s="57">
        <v>1445.8170731707316</v>
      </c>
      <c r="Q51" s="57">
        <v>5043.231707317073</v>
      </c>
      <c r="R51" s="57">
        <v>4725.854024390244</v>
      </c>
      <c r="S51" s="57">
        <v>5274.907317073171</v>
      </c>
      <c r="T51" s="57">
        <v>5111.119268292683</v>
      </c>
      <c r="U51" s="57">
        <v>5320.773658536586</v>
      </c>
      <c r="V51" s="57">
        <v>7166.245648792684</v>
      </c>
      <c r="W51" s="57">
        <v>11341.0</v>
      </c>
      <c r="X51" s="57">
        <v>6084.278414634146</v>
      </c>
      <c r="Y51" s="57">
        <v>11817.0</v>
      </c>
      <c r="Z51" s="57">
        <v>6532.743048780489</v>
      </c>
      <c r="AA51" s="57">
        <v>12610.0</v>
      </c>
      <c r="AB51" s="57">
        <v>5747.905243902439</v>
      </c>
      <c r="AC51" s="57">
        <v>14866.0</v>
      </c>
      <c r="AD51" s="57">
        <v>5774.844756097561</v>
      </c>
      <c r="AE51" s="57">
        <v>15366.0</v>
      </c>
      <c r="AF51" s="57">
        <v>6160.482073170731</v>
      </c>
      <c r="AG51" s="57">
        <v>15366.0</v>
      </c>
      <c r="AH51" s="57">
        <v>5667.993536585365</v>
      </c>
      <c r="AI51" s="57">
        <v>17744.0</v>
      </c>
      <c r="AJ51" s="57">
        <v>10950.1756504065</v>
      </c>
      <c r="AK51" s="57">
        <v>17744.0</v>
      </c>
      <c r="AL51" s="57">
        <v>13594.509756097561</v>
      </c>
      <c r="AM51" s="57">
        <v>17939.0</v>
      </c>
      <c r="AN51" s="57">
        <v>10841.785853658537</v>
      </c>
      <c r="AO51" s="57">
        <v>22400.0</v>
      </c>
      <c r="AP51" s="57">
        <v>9126.67265060241</v>
      </c>
      <c r="AQ51" s="57">
        <v>22400.0</v>
      </c>
      <c r="AR51" s="57">
        <v>11711.698313253011</v>
      </c>
      <c r="AS51" s="57">
        <v>22400.0</v>
      </c>
      <c r="AT51" s="57">
        <v>9893.418554216869</v>
      </c>
      <c r="AU51" s="57">
        <v>22400.0</v>
      </c>
      <c r="AV51" s="57">
        <v>11689.809523809523</v>
      </c>
      <c r="AW51" s="57">
        <v>22400.0</v>
      </c>
      <c r="AX51" s="57">
        <v>10831.827619047619</v>
      </c>
      <c r="AY51" s="57">
        <v>22400.0</v>
      </c>
      <c r="AZ51" s="57">
        <v>11067.71523809524</v>
      </c>
      <c r="BA51" s="57">
        <v>22400.0</v>
      </c>
      <c r="BB51" s="57">
        <v>10655.630476190478</v>
      </c>
      <c r="BC51" s="57">
        <v>16500.0</v>
      </c>
      <c r="BD51" s="57">
        <v>10472.539047619048</v>
      </c>
      <c r="BE51" s="57">
        <v>16500.0</v>
      </c>
      <c r="BF51" s="57">
        <v>10480.839047619047</v>
      </c>
      <c r="BG51" s="57">
        <v>16500.0</v>
      </c>
      <c r="BH51" s="57">
        <v>10963.66</v>
      </c>
      <c r="BI51" s="57">
        <v>16500.0</v>
      </c>
      <c r="BJ51" s="57">
        <v>12518.7</v>
      </c>
      <c r="BK51" s="57">
        <v>16500.0</v>
      </c>
      <c r="BL51" s="57">
        <v>10254.120476190477</v>
      </c>
      <c r="BM51" s="57">
        <v>14500.0</v>
      </c>
      <c r="BN51" s="57">
        <v>10006.173529411764</v>
      </c>
      <c r="BO51" s="57">
        <v>14500.0</v>
      </c>
      <c r="BP51" s="57">
        <v>10005.533529411763</v>
      </c>
      <c r="BQ51" s="57">
        <v>14500.0</v>
      </c>
      <c r="BR51" s="57">
        <v>11306.73</v>
      </c>
      <c r="BS51" s="57">
        <v>16500.0</v>
      </c>
      <c r="BT51" s="57">
        <v>10019.538235294118</v>
      </c>
      <c r="BU51" s="57">
        <v>16500.0</v>
      </c>
      <c r="BV51" s="57">
        <v>10194.073529411764</v>
      </c>
      <c r="BW51" s="57">
        <v>16500.0</v>
      </c>
      <c r="BX51" s="57">
        <v>10409.283529411765</v>
      </c>
      <c r="BY51" s="57">
        <v>16500.0</v>
      </c>
      <c r="BZ51" s="57">
        <v>10022.563529411764</v>
      </c>
      <c r="CA51" s="57">
        <v>16500.0</v>
      </c>
      <c r="CB51" s="57">
        <v>10018.763529411764</v>
      </c>
      <c r="CC51" s="57">
        <v>16500.0</v>
      </c>
      <c r="CD51" s="57">
        <v>9829.66705882353</v>
      </c>
      <c r="CE51" s="57">
        <v>16500.0</v>
      </c>
      <c r="CF51" s="57">
        <v>10466.380588235295</v>
      </c>
      <c r="CG51" s="57">
        <v>16500.0</v>
      </c>
      <c r="CH51" s="57">
        <v>10464.880588235295</v>
      </c>
      <c r="CI51" s="57">
        <v>16500.0</v>
      </c>
      <c r="CJ51" s="57">
        <v>10465.370588235295</v>
      </c>
      <c r="CK51" s="57">
        <v>16500.0</v>
      </c>
      <c r="CL51" s="57">
        <v>9763.835294117647</v>
      </c>
      <c r="CM51" s="57">
        <v>16500.0</v>
      </c>
      <c r="CN51" s="57">
        <v>16500.0</v>
      </c>
      <c r="CP51" s="49"/>
    </row>
    <row r="52" ht="15.75" customHeight="1">
      <c r="A52" s="94" t="str">
        <f t="shared" si="22"/>
        <v>General and AdministrativeProfessional Services (Legal, Recruitment, etc.)</v>
      </c>
      <c r="B52" s="97"/>
      <c r="C52" s="97"/>
      <c r="D52" s="4"/>
      <c r="E52" s="126" t="s">
        <v>121</v>
      </c>
      <c r="F52" s="57">
        <v>0.0</v>
      </c>
      <c r="G52" s="57">
        <v>0.0</v>
      </c>
      <c r="H52" s="57">
        <v>2450.0</v>
      </c>
      <c r="I52" s="57">
        <v>2256.0975609756097</v>
      </c>
      <c r="J52" s="57">
        <v>10282.632926829267</v>
      </c>
      <c r="K52" s="57">
        <v>30112.19512195122</v>
      </c>
      <c r="L52" s="57">
        <v>10519.739552845529</v>
      </c>
      <c r="M52" s="57">
        <v>7986.812723577231</v>
      </c>
      <c r="N52" s="57">
        <v>2769.739552845528</v>
      </c>
      <c r="O52" s="57">
        <v>2873.398089430894</v>
      </c>
      <c r="P52" s="57">
        <v>3536.5853658536585</v>
      </c>
      <c r="Q52" s="57">
        <v>25348.10975609756</v>
      </c>
      <c r="R52" s="57">
        <v>50926.83341463415</v>
      </c>
      <c r="S52" s="57">
        <v>50656.663902439024</v>
      </c>
      <c r="T52" s="57">
        <v>60504.83463414635</v>
      </c>
      <c r="U52" s="57">
        <v>17004.325731707315</v>
      </c>
      <c r="V52" s="57">
        <v>31201.918168292683</v>
      </c>
      <c r="W52" s="57">
        <v>20049.0</v>
      </c>
      <c r="X52" s="57">
        <v>59450.8837804878</v>
      </c>
      <c r="Y52" s="57">
        <v>16390.0</v>
      </c>
      <c r="Z52" s="57">
        <v>41306.39756097561</v>
      </c>
      <c r="AA52" s="57">
        <v>16380.0</v>
      </c>
      <c r="AB52" s="57">
        <v>22205.003902439024</v>
      </c>
      <c r="AC52" s="57">
        <v>9390.0</v>
      </c>
      <c r="AD52" s="57">
        <v>25174.92463414634</v>
      </c>
      <c r="AE52" s="57">
        <v>9390.0</v>
      </c>
      <c r="AF52" s="57">
        <v>30397.523170731707</v>
      </c>
      <c r="AG52" s="57">
        <v>34829.0</v>
      </c>
      <c r="AH52" s="57">
        <v>43348.144756097565</v>
      </c>
      <c r="AI52" s="57">
        <v>9390.0</v>
      </c>
      <c r="AJ52" s="57">
        <v>28641.135162601622</v>
      </c>
      <c r="AK52" s="57">
        <v>9390.0</v>
      </c>
      <c r="AL52" s="57">
        <v>54167.41085365853</v>
      </c>
      <c r="AM52" s="57">
        <v>34098.0</v>
      </c>
      <c r="AN52" s="57">
        <v>42512.027317073174</v>
      </c>
      <c r="AO52" s="57">
        <v>88640.90045113905</v>
      </c>
      <c r="AP52" s="57">
        <v>37669.35228915663</v>
      </c>
      <c r="AQ52" s="57">
        <v>102232.03282727937</v>
      </c>
      <c r="AR52" s="57">
        <v>38956.556385542164</v>
      </c>
      <c r="AS52" s="57">
        <v>107935.75072977993</v>
      </c>
      <c r="AT52" s="57">
        <v>87457.4156626506</v>
      </c>
      <c r="AU52" s="57">
        <v>52169.65234244859</v>
      </c>
      <c r="AV52" s="57">
        <v>6495.238095238095</v>
      </c>
      <c r="AW52" s="57">
        <v>14944.815458565488</v>
      </c>
      <c r="AX52" s="57">
        <v>17716.014761904764</v>
      </c>
      <c r="AY52" s="57">
        <v>15763.716496531146</v>
      </c>
      <c r="AZ52" s="57">
        <v>75906.58666666667</v>
      </c>
      <c r="BA52" s="57">
        <v>16764.956300386933</v>
      </c>
      <c r="BB52" s="57">
        <v>99650.14857142858</v>
      </c>
      <c r="BC52" s="57">
        <v>21006.019047619047</v>
      </c>
      <c r="BD52" s="57">
        <v>74102.88666666666</v>
      </c>
      <c r="BE52" s="57">
        <v>27561.904761904763</v>
      </c>
      <c r="BF52" s="57">
        <v>48172.27380952381</v>
      </c>
      <c r="BG52" s="57">
        <v>40174.77401665952</v>
      </c>
      <c r="BH52" s="57">
        <v>30276.96380952381</v>
      </c>
      <c r="BI52" s="57">
        <v>30755.19766508111</v>
      </c>
      <c r="BJ52" s="57">
        <v>24144.761904761905</v>
      </c>
      <c r="BK52" s="57">
        <v>35058.31279629028</v>
      </c>
      <c r="BL52" s="57">
        <v>62565.210952380956</v>
      </c>
      <c r="BM52" s="57">
        <v>10382.095238095237</v>
      </c>
      <c r="BN52" s="57">
        <v>86782.94764705883</v>
      </c>
      <c r="BO52" s="57">
        <v>10238.095238095237</v>
      </c>
      <c r="BP52" s="57">
        <v>12816.712352941177</v>
      </c>
      <c r="BQ52" s="57">
        <v>15038.095238095237</v>
      </c>
      <c r="BR52" s="57">
        <v>58374.23</v>
      </c>
      <c r="BS52" s="57">
        <v>5000.0</v>
      </c>
      <c r="BT52" s="57">
        <v>83742.88882352941</v>
      </c>
      <c r="BU52" s="57">
        <v>5000.0</v>
      </c>
      <c r="BV52" s="57">
        <v>22553.90529411765</v>
      </c>
      <c r="BW52" s="57">
        <v>5000.0</v>
      </c>
      <c r="BX52" s="57">
        <v>22443.961764705884</v>
      </c>
      <c r="BY52" s="57">
        <v>11159.314285714287</v>
      </c>
      <c r="BZ52" s="57">
        <v>10690.161764705881</v>
      </c>
      <c r="CA52" s="57">
        <v>646.3999999999996</v>
      </c>
      <c r="CB52" s="57">
        <v>13936.621764705884</v>
      </c>
      <c r="CC52" s="57">
        <v>5000.0</v>
      </c>
      <c r="CD52" s="57">
        <v>22094.279411764706</v>
      </c>
      <c r="CE52" s="57">
        <v>5000.0</v>
      </c>
      <c r="CF52" s="57">
        <v>25134.279411764706</v>
      </c>
      <c r="CG52" s="57">
        <v>5000.0</v>
      </c>
      <c r="CH52" s="57">
        <v>6830.10294117647</v>
      </c>
      <c r="CI52" s="57">
        <v>5000.0</v>
      </c>
      <c r="CJ52" s="57">
        <v>31624.92</v>
      </c>
      <c r="CK52" s="57">
        <v>7285.714285714286</v>
      </c>
      <c r="CL52" s="57">
        <v>3700.8023529411767</v>
      </c>
      <c r="CM52" s="57">
        <v>5000.0</v>
      </c>
      <c r="CN52" s="57">
        <v>5000.0</v>
      </c>
      <c r="CP52" s="49"/>
    </row>
    <row r="53" ht="15.75" customHeight="1">
      <c r="A53" s="94" t="str">
        <f t="shared" si="22"/>
        <v>General and AdministrativeFounders' Salary</v>
      </c>
      <c r="B53" s="97"/>
      <c r="C53" s="97"/>
      <c r="D53" s="4"/>
      <c r="E53" s="126" t="s">
        <v>122</v>
      </c>
      <c r="F53" s="57">
        <v>508.1341463414634</v>
      </c>
      <c r="G53" s="57">
        <v>508.1341463414634</v>
      </c>
      <c r="H53" s="57">
        <v>7808.926829268293</v>
      </c>
      <c r="I53" s="57">
        <v>4986.182926829269</v>
      </c>
      <c r="J53" s="57">
        <v>10757.339146341463</v>
      </c>
      <c r="K53" s="57">
        <v>7317.073170731707</v>
      </c>
      <c r="L53" s="57">
        <v>7317.073170731707</v>
      </c>
      <c r="M53" s="57">
        <v>7317.073170731707</v>
      </c>
      <c r="N53" s="57">
        <v>7317.073170731707</v>
      </c>
      <c r="O53" s="57">
        <v>7317.073170731707</v>
      </c>
      <c r="P53" s="57">
        <v>7317.073170731707</v>
      </c>
      <c r="Q53" s="57">
        <v>7317.073170731707</v>
      </c>
      <c r="R53" s="57">
        <v>7317.073170731707</v>
      </c>
      <c r="S53" s="57">
        <v>7317.073170731707</v>
      </c>
      <c r="T53" s="57">
        <v>7317.073170731707</v>
      </c>
      <c r="U53" s="57">
        <v>7317.073170731707</v>
      </c>
      <c r="V53" s="57">
        <v>7317.073170731707</v>
      </c>
      <c r="W53" s="57">
        <v>7621.9512195122</v>
      </c>
      <c r="X53" s="57">
        <v>7317.073170731707</v>
      </c>
      <c r="Y53" s="57">
        <v>7621.9512195122</v>
      </c>
      <c r="Z53" s="57">
        <v>7317.073170731707</v>
      </c>
      <c r="AA53" s="57">
        <v>7621.9512195122</v>
      </c>
      <c r="AB53" s="57">
        <v>7317.073170731707</v>
      </c>
      <c r="AC53" s="57">
        <v>7621.9512195122</v>
      </c>
      <c r="AD53" s="57">
        <v>7317.073170731707</v>
      </c>
      <c r="AE53" s="57">
        <v>7621.9512195122</v>
      </c>
      <c r="AF53" s="57">
        <v>7317.073170731707</v>
      </c>
      <c r="AG53" s="57">
        <v>7621.9512195122</v>
      </c>
      <c r="AH53" s="57">
        <v>7317.073170731707</v>
      </c>
      <c r="AI53" s="57">
        <v>7621.9512195122</v>
      </c>
      <c r="AJ53" s="57">
        <v>7317.073170731707</v>
      </c>
      <c r="AK53" s="57">
        <v>7621.9512195122</v>
      </c>
      <c r="AL53" s="57">
        <v>7317.073170731707</v>
      </c>
      <c r="AM53" s="57">
        <v>7621.9512195122</v>
      </c>
      <c r="AN53" s="57">
        <v>7317.073170731707</v>
      </c>
      <c r="AO53" s="57">
        <v>22936.50793650794</v>
      </c>
      <c r="AP53" s="57">
        <v>7228.915662650603</v>
      </c>
      <c r="AQ53" s="57">
        <v>22936.50793650794</v>
      </c>
      <c r="AR53" s="57">
        <v>7228.915662650603</v>
      </c>
      <c r="AS53" s="57">
        <v>22936.50793650794</v>
      </c>
      <c r="AT53" s="57">
        <v>17631.82469879518</v>
      </c>
      <c r="AU53" s="57">
        <v>22936.50793650794</v>
      </c>
      <c r="AV53" s="57">
        <v>22936.5</v>
      </c>
      <c r="AW53" s="57">
        <v>22936.50793650794</v>
      </c>
      <c r="AX53" s="57">
        <v>22936.5</v>
      </c>
      <c r="AY53" s="57">
        <v>22936.50793650794</v>
      </c>
      <c r="AZ53" s="57">
        <v>22936.5</v>
      </c>
      <c r="BA53" s="57">
        <v>22936.50793650794</v>
      </c>
      <c r="BB53" s="57">
        <v>22936.5</v>
      </c>
      <c r="BC53" s="57">
        <v>22936.50793650794</v>
      </c>
      <c r="BD53" s="57">
        <v>22936.5</v>
      </c>
      <c r="BE53" s="57">
        <v>22936.50793650794</v>
      </c>
      <c r="BF53" s="57">
        <v>22936.5</v>
      </c>
      <c r="BG53" s="57">
        <v>22936.50793650794</v>
      </c>
      <c r="BH53" s="57">
        <v>22936.5</v>
      </c>
      <c r="BI53" s="57">
        <v>22936.50793650794</v>
      </c>
      <c r="BJ53" s="57">
        <v>22936.5</v>
      </c>
      <c r="BK53" s="57">
        <v>22936.50793650794</v>
      </c>
      <c r="BL53" s="57">
        <v>22936.5</v>
      </c>
      <c r="BM53" s="57">
        <v>22936.50793650794</v>
      </c>
      <c r="BN53" s="57">
        <v>22843.129411764705</v>
      </c>
      <c r="BO53" s="57">
        <v>22936.50793650794</v>
      </c>
      <c r="BP53" s="57">
        <v>22843.129411764705</v>
      </c>
      <c r="BQ53" s="57">
        <v>22936.50793650794</v>
      </c>
      <c r="BR53" s="57">
        <v>22843.129411764705</v>
      </c>
      <c r="BS53" s="57">
        <v>22936.50793650794</v>
      </c>
      <c r="BT53" s="57">
        <v>22843.129411764705</v>
      </c>
      <c r="BU53" s="57">
        <v>22936.50793650794</v>
      </c>
      <c r="BV53" s="57">
        <v>22843.129411764705</v>
      </c>
      <c r="BW53" s="57">
        <v>22936.50793650794</v>
      </c>
      <c r="BX53" s="57">
        <v>22843.129411764705</v>
      </c>
      <c r="BY53" s="57">
        <v>22936.50793650794</v>
      </c>
      <c r="BZ53" s="57">
        <v>22843.129411764705</v>
      </c>
      <c r="CA53" s="57">
        <v>22936.50793650794</v>
      </c>
      <c r="CB53" s="57">
        <v>22843.129411764705</v>
      </c>
      <c r="CC53" s="57">
        <v>22936.50793650794</v>
      </c>
      <c r="CD53" s="57">
        <v>22843.129411764705</v>
      </c>
      <c r="CE53" s="57">
        <v>22936.50793650794</v>
      </c>
      <c r="CF53" s="57">
        <v>22843.129411764705</v>
      </c>
      <c r="CG53" s="57">
        <v>22936.50793650794</v>
      </c>
      <c r="CH53" s="57">
        <v>22843.129411764705</v>
      </c>
      <c r="CI53" s="57">
        <v>22936.50793650794</v>
      </c>
      <c r="CJ53" s="57">
        <v>22843.129411764705</v>
      </c>
      <c r="CK53" s="57">
        <v>22936.50793650794</v>
      </c>
      <c r="CL53" s="57">
        <v>22843.129411764705</v>
      </c>
      <c r="CM53" s="57">
        <v>22936.50793650794</v>
      </c>
      <c r="CN53" s="57">
        <v>22936.50793650794</v>
      </c>
      <c r="CP53" s="49"/>
    </row>
    <row r="54" ht="15.75" customHeight="1">
      <c r="A54" s="94" t="str">
        <f t="shared" si="22"/>
        <v>General and AdministrativeOther expenses</v>
      </c>
      <c r="B54" s="97"/>
      <c r="C54" s="97"/>
      <c r="D54" s="4"/>
      <c r="E54" s="126" t="s">
        <v>123</v>
      </c>
      <c r="F54" s="57">
        <v>4.317073170731708</v>
      </c>
      <c r="G54" s="57">
        <v>8.634146341463415</v>
      </c>
      <c r="H54" s="57">
        <v>7.000853658536586</v>
      </c>
      <c r="I54" s="57">
        <v>199.63378048780487</v>
      </c>
      <c r="J54" s="57">
        <v>29.640731707317073</v>
      </c>
      <c r="K54" s="57">
        <v>327.5121951219512</v>
      </c>
      <c r="L54" s="57">
        <v>2181.817073170732</v>
      </c>
      <c r="M54" s="57">
        <v>1123.9973170731707</v>
      </c>
      <c r="N54" s="57">
        <v>2144.7246341463415</v>
      </c>
      <c r="O54" s="57">
        <v>2250.1341463414633</v>
      </c>
      <c r="P54" s="57">
        <v>3571.7967479674803</v>
      </c>
      <c r="Q54" s="57">
        <v>5606.570772357723</v>
      </c>
      <c r="R54" s="57">
        <v>3305.5761382113824</v>
      </c>
      <c r="S54" s="57">
        <v>2702.21093495935</v>
      </c>
      <c r="T54" s="57">
        <v>5493.863170731707</v>
      </c>
      <c r="U54" s="57">
        <v>4722.576829268292</v>
      </c>
      <c r="V54" s="57">
        <v>19311.648536585366</v>
      </c>
      <c r="W54" s="57">
        <v>11024.0</v>
      </c>
      <c r="X54" s="57">
        <v>9912.002195121951</v>
      </c>
      <c r="Y54" s="57">
        <v>11134.0</v>
      </c>
      <c r="Z54" s="57">
        <v>6028.970365853659</v>
      </c>
      <c r="AA54" s="57">
        <v>11817.0</v>
      </c>
      <c r="AB54" s="57">
        <v>17932.33426829268</v>
      </c>
      <c r="AC54" s="57">
        <v>12976.0</v>
      </c>
      <c r="AD54" s="57">
        <v>14503.20987804878</v>
      </c>
      <c r="AE54" s="57">
        <v>13476.0</v>
      </c>
      <c r="AF54" s="57">
        <v>12542.062804878049</v>
      </c>
      <c r="AG54" s="57">
        <v>13476.0</v>
      </c>
      <c r="AH54" s="57">
        <v>12059.790569105691</v>
      </c>
      <c r="AI54" s="57">
        <v>15085.0</v>
      </c>
      <c r="AJ54" s="57">
        <v>20104.77735772358</v>
      </c>
      <c r="AK54" s="57">
        <v>15085.0</v>
      </c>
      <c r="AL54" s="57">
        <v>26627.165528455287</v>
      </c>
      <c r="AM54" s="57">
        <v>15207.0</v>
      </c>
      <c r="AN54" s="57">
        <v>19970.957601626018</v>
      </c>
      <c r="AO54" s="57">
        <v>34695.84724652977</v>
      </c>
      <c r="AP54" s="57">
        <v>14673.357751004016</v>
      </c>
      <c r="AQ54" s="57">
        <v>34571.52206387228</v>
      </c>
      <c r="AR54" s="57">
        <v>16263.250040160641</v>
      </c>
      <c r="AS54" s="57">
        <v>29509.09652310329</v>
      </c>
      <c r="AT54" s="57">
        <v>14224.694016064257</v>
      </c>
      <c r="AU54" s="57">
        <v>65612.57535255988</v>
      </c>
      <c r="AV54" s="57">
        <v>8270.699087301587</v>
      </c>
      <c r="AW54" s="57">
        <v>16796.46079124769</v>
      </c>
      <c r="AX54" s="57">
        <v>7101.436349206349</v>
      </c>
      <c r="AY54" s="57">
        <v>15310.812866590713</v>
      </c>
      <c r="AZ54" s="57">
        <v>7246.958611111112</v>
      </c>
      <c r="BA54" s="57">
        <v>35747.88287994615</v>
      </c>
      <c r="BB54" s="57">
        <v>8459.831587301589</v>
      </c>
      <c r="BC54" s="57">
        <v>21464.810233534256</v>
      </c>
      <c r="BD54" s="57">
        <v>7109.593253968254</v>
      </c>
      <c r="BE54" s="57">
        <v>14377.711225068284</v>
      </c>
      <c r="BF54" s="57">
        <v>15065.348015873014</v>
      </c>
      <c r="BG54" s="57">
        <v>42526.9888906889</v>
      </c>
      <c r="BH54" s="57">
        <v>19165.18718253968</v>
      </c>
      <c r="BI54" s="57">
        <v>20295.84796737502</v>
      </c>
      <c r="BJ54" s="57">
        <v>19258.42523809524</v>
      </c>
      <c r="BK54" s="57">
        <v>22247.312412014784</v>
      </c>
      <c r="BL54" s="57">
        <v>3277.0552380952377</v>
      </c>
      <c r="BM54" s="57">
        <v>19485.714285714286</v>
      </c>
      <c r="BN54" s="57">
        <v>6299.322470588233</v>
      </c>
      <c r="BO54" s="57">
        <v>13592.857142857143</v>
      </c>
      <c r="BP54" s="57">
        <v>7205.948470588234</v>
      </c>
      <c r="BQ54" s="57">
        <v>13964.285714285714</v>
      </c>
      <c r="BR54" s="57">
        <v>12484.57223529412</v>
      </c>
      <c r="BS54" s="57">
        <v>9642.857142857143</v>
      </c>
      <c r="BT54" s="57">
        <v>3891.244470588235</v>
      </c>
      <c r="BU54" s="57">
        <v>9750.0</v>
      </c>
      <c r="BV54" s="57">
        <v>28106.96129411765</v>
      </c>
      <c r="BW54" s="57">
        <v>9714.285714285714</v>
      </c>
      <c r="BX54" s="57">
        <v>2078.7507058823535</v>
      </c>
      <c r="BY54" s="57">
        <v>25071.428571428572</v>
      </c>
      <c r="BZ54" s="57">
        <v>8167.608235294118</v>
      </c>
      <c r="CA54" s="57">
        <v>10035.714285714286</v>
      </c>
      <c r="CB54" s="57">
        <v>16291.582470588235</v>
      </c>
      <c r="CC54" s="57">
        <v>14642.857142857143</v>
      </c>
      <c r="CD54" s="57">
        <v>29181.34670588236</v>
      </c>
      <c r="CE54" s="57">
        <v>22692.857142857145</v>
      </c>
      <c r="CF54" s="57">
        <v>64207.18905882354</v>
      </c>
      <c r="CG54" s="57">
        <v>13764.285714285714</v>
      </c>
      <c r="CH54" s="57">
        <v>14822.642</v>
      </c>
      <c r="CI54" s="57">
        <v>15371.428571428572</v>
      </c>
      <c r="CJ54" s="57">
        <v>29175.068470588234</v>
      </c>
      <c r="CK54" s="57">
        <v>18550.0</v>
      </c>
      <c r="CL54" s="57">
        <v>4294.189411764705</v>
      </c>
      <c r="CM54" s="57">
        <v>14121.428571428572</v>
      </c>
      <c r="CN54" s="57">
        <v>12657.142857142857</v>
      </c>
      <c r="CP54" s="49"/>
    </row>
    <row r="55" ht="15.75" customHeight="1">
      <c r="A55" s="94" t="str">
        <f t="shared" si="22"/>
        <v>General and AdministrativeProvision for Doubtful Debts</v>
      </c>
      <c r="B55" s="97"/>
      <c r="C55" s="97"/>
      <c r="D55" s="4"/>
      <c r="E55" s="126" t="s">
        <v>124</v>
      </c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>
        <v>0.0</v>
      </c>
      <c r="BU55" s="57"/>
      <c r="BV55" s="57">
        <v>0.0</v>
      </c>
      <c r="BW55" s="57">
        <v>9714.285714285714</v>
      </c>
      <c r="BX55" s="57">
        <v>0.0</v>
      </c>
      <c r="BY55" s="57">
        <v>10071.428571428572</v>
      </c>
      <c r="BZ55" s="57">
        <v>0.0</v>
      </c>
      <c r="CA55" s="57">
        <v>10035.714285714286</v>
      </c>
      <c r="CB55" s="57">
        <v>0.0</v>
      </c>
      <c r="CC55" s="57">
        <v>10142.857142857143</v>
      </c>
      <c r="CD55" s="57">
        <v>0.0</v>
      </c>
      <c r="CE55" s="57">
        <v>10692.857142857143</v>
      </c>
      <c r="CF55" s="57">
        <v>0.0</v>
      </c>
      <c r="CG55" s="57">
        <v>10764.285714285714</v>
      </c>
      <c r="CH55" s="57">
        <v>110988.23529411765</v>
      </c>
      <c r="CI55" s="57">
        <v>10871.428571428572</v>
      </c>
      <c r="CJ55" s="57">
        <v>110988.23529411765</v>
      </c>
      <c r="CK55" s="57">
        <v>11050.0</v>
      </c>
      <c r="CL55" s="57">
        <v>110988.23529411765</v>
      </c>
      <c r="CM55" s="57"/>
      <c r="CN55" s="57"/>
      <c r="CP55" s="49"/>
    </row>
    <row r="56" ht="15.75" customHeight="1">
      <c r="A56" s="94" t="str">
        <f t="shared" si="22"/>
        <v>General and AdministrativeSoftware subscription</v>
      </c>
      <c r="B56" s="97"/>
      <c r="C56" s="97"/>
      <c r="D56" s="4"/>
      <c r="E56" s="126" t="s">
        <v>100</v>
      </c>
      <c r="F56" s="57">
        <v>175.3755684167011</v>
      </c>
      <c r="G56" s="57">
        <v>0.0</v>
      </c>
      <c r="H56" s="57">
        <v>155.70090946672184</v>
      </c>
      <c r="I56" s="57">
        <v>203.70731707317074</v>
      </c>
      <c r="J56" s="57">
        <v>487.3553203803219</v>
      </c>
      <c r="K56" s="57">
        <v>396.0670731707317</v>
      </c>
      <c r="L56" s="57">
        <v>1555.906056910569</v>
      </c>
      <c r="M56" s="57">
        <v>2055.1072542498155</v>
      </c>
      <c r="N56" s="57">
        <v>1211.9788802660753</v>
      </c>
      <c r="O56" s="57">
        <v>1417.0712921901945</v>
      </c>
      <c r="P56" s="57">
        <v>1890.4644629219022</v>
      </c>
      <c r="Q56" s="57">
        <v>2161.4241783690563</v>
      </c>
      <c r="R56" s="57">
        <v>2267.0094222714956</v>
      </c>
      <c r="S56" s="57">
        <v>2699.105723084503</v>
      </c>
      <c r="T56" s="57">
        <v>4262.752430401576</v>
      </c>
      <c r="U56" s="57">
        <v>3416.7954385316575</v>
      </c>
      <c r="V56" s="57">
        <v>3855.339021458487</v>
      </c>
      <c r="W56" s="57">
        <v>3201.0</v>
      </c>
      <c r="X56" s="57">
        <v>1543.4889141414142</v>
      </c>
      <c r="Y56" s="57">
        <v>3585.0</v>
      </c>
      <c r="Z56" s="57">
        <v>1709.739837398374</v>
      </c>
      <c r="AA56" s="57">
        <v>3756.0</v>
      </c>
      <c r="AB56" s="57">
        <v>3411.550731707317</v>
      </c>
      <c r="AC56" s="57">
        <v>4567.0</v>
      </c>
      <c r="AD56" s="57">
        <v>6041.6285365853655</v>
      </c>
      <c r="AE56" s="57">
        <v>4610.0</v>
      </c>
      <c r="AF56" s="57">
        <v>1864.3470731707316</v>
      </c>
      <c r="AG56" s="57">
        <v>4610.0</v>
      </c>
      <c r="AH56" s="57">
        <v>2388.4968292682925</v>
      </c>
      <c r="AI56" s="57">
        <v>5122.0</v>
      </c>
      <c r="AJ56" s="57">
        <v>4115.575</v>
      </c>
      <c r="AK56" s="57">
        <v>5122.0</v>
      </c>
      <c r="AL56" s="57">
        <v>2491.7753658536585</v>
      </c>
      <c r="AM56" s="57">
        <v>5207.0</v>
      </c>
      <c r="AN56" s="57">
        <v>3989.1245121951224</v>
      </c>
      <c r="AO56" s="57">
        <v>375.0</v>
      </c>
      <c r="AP56" s="57">
        <v>2798.282530120482</v>
      </c>
      <c r="AQ56" s="57">
        <v>416.6666666666667</v>
      </c>
      <c r="AR56" s="57">
        <v>2999.063493975904</v>
      </c>
      <c r="AS56" s="57">
        <v>416.6666666666667</v>
      </c>
      <c r="AT56" s="57">
        <v>4271.2615662650605</v>
      </c>
      <c r="AU56" s="57">
        <v>541.6666666666666</v>
      </c>
      <c r="AV56" s="57">
        <v>10835.566428571428</v>
      </c>
      <c r="AW56" s="57">
        <v>541.6666666666666</v>
      </c>
      <c r="AX56" s="57">
        <v>3344.3429761904763</v>
      </c>
      <c r="AY56" s="57">
        <v>541.6666666666666</v>
      </c>
      <c r="AZ56" s="57">
        <v>7958.011666666666</v>
      </c>
      <c r="BA56" s="57">
        <v>541.6666666666666</v>
      </c>
      <c r="BB56" s="57">
        <v>2330.104047619048</v>
      </c>
      <c r="BC56" s="57">
        <v>541.6666666666666</v>
      </c>
      <c r="BD56" s="57">
        <v>4684.354642857143</v>
      </c>
      <c r="BE56" s="57">
        <v>541.6666666666666</v>
      </c>
      <c r="BF56" s="57">
        <v>4141.433571428571</v>
      </c>
      <c r="BG56" s="57">
        <v>541.6666666666666</v>
      </c>
      <c r="BH56" s="57">
        <v>8057.905476190475</v>
      </c>
      <c r="BI56" s="57">
        <v>541.6666666666666</v>
      </c>
      <c r="BJ56" s="57">
        <v>6962.890238095239</v>
      </c>
      <c r="BK56" s="57">
        <v>541.6666666666666</v>
      </c>
      <c r="BL56" s="57">
        <v>4111.943095238095</v>
      </c>
      <c r="BM56" s="57">
        <v>500.0</v>
      </c>
      <c r="BN56" s="57">
        <v>4115.342000000001</v>
      </c>
      <c r="BO56" s="57">
        <v>541.6666666666666</v>
      </c>
      <c r="BP56" s="57">
        <v>5326.9901176470585</v>
      </c>
      <c r="BQ56" s="57">
        <v>541.6666666666666</v>
      </c>
      <c r="BR56" s="57">
        <v>9923.297529411764</v>
      </c>
      <c r="BS56" s="57">
        <v>541.6666666666666</v>
      </c>
      <c r="BT56" s="57">
        <v>7550.466</v>
      </c>
      <c r="BU56" s="57">
        <v>541.6666666666666</v>
      </c>
      <c r="BV56" s="57">
        <v>9888.210470588236</v>
      </c>
      <c r="BW56" s="57">
        <v>541.6666666666666</v>
      </c>
      <c r="BX56" s="57">
        <v>6186.795882352942</v>
      </c>
      <c r="BY56" s="57">
        <v>541.6666666666666</v>
      </c>
      <c r="BZ56" s="57">
        <v>13899.220588235294</v>
      </c>
      <c r="CA56" s="57">
        <v>541.6666666666666</v>
      </c>
      <c r="CB56" s="57">
        <v>14269.078588235294</v>
      </c>
      <c r="CC56" s="57">
        <v>541.6666666666666</v>
      </c>
      <c r="CD56" s="57">
        <v>9888.113529411765</v>
      </c>
      <c r="CE56" s="57">
        <v>541.6666666666666</v>
      </c>
      <c r="CF56" s="57">
        <v>5710.753176470588</v>
      </c>
      <c r="CG56" s="57">
        <v>541.6666666666666</v>
      </c>
      <c r="CH56" s="57">
        <v>5798.664117647058</v>
      </c>
      <c r="CI56" s="57">
        <v>541.6666666666666</v>
      </c>
      <c r="CJ56" s="57">
        <v>9577.516823529411</v>
      </c>
      <c r="CK56" s="57">
        <v>541.6666666666666</v>
      </c>
      <c r="CL56" s="57">
        <v>4988.345882352942</v>
      </c>
      <c r="CM56" s="57">
        <v>541.6666666666666</v>
      </c>
      <c r="CN56" s="57">
        <v>541.6666666666666</v>
      </c>
      <c r="CP56" s="49"/>
    </row>
    <row r="57" ht="15.75" customHeight="1">
      <c r="A57" s="94" t="str">
        <f t="shared" si="22"/>
        <v>General and AdministrativeConsulting</v>
      </c>
      <c r="B57" s="97"/>
      <c r="C57" s="97"/>
      <c r="D57" s="4"/>
      <c r="E57" s="126" t="s">
        <v>125</v>
      </c>
      <c r="F57" s="57">
        <v>0.0</v>
      </c>
      <c r="G57" s="57">
        <v>0.0</v>
      </c>
      <c r="H57" s="57">
        <v>1280.4878048780488</v>
      </c>
      <c r="I57" s="57">
        <v>2865.8536585365855</v>
      </c>
      <c r="J57" s="57">
        <v>11700.914512195122</v>
      </c>
      <c r="K57" s="57">
        <v>11700.914512195122</v>
      </c>
      <c r="L57" s="57">
        <v>11700.914512195122</v>
      </c>
      <c r="M57" s="57">
        <v>38333.0</v>
      </c>
      <c r="N57" s="57">
        <v>38333.0</v>
      </c>
      <c r="O57" s="57">
        <v>0.0</v>
      </c>
      <c r="P57" s="57">
        <v>38741.57365853659</v>
      </c>
      <c r="Q57" s="57">
        <v>0.0</v>
      </c>
      <c r="R57" s="57">
        <v>0.0</v>
      </c>
      <c r="S57" s="57">
        <v>38559.398414634146</v>
      </c>
      <c r="T57" s="57">
        <v>38741.57365853659</v>
      </c>
      <c r="U57" s="57">
        <v>40875.72</v>
      </c>
      <c r="V57" s="57">
        <v>77406.48134146343</v>
      </c>
      <c r="W57" s="57">
        <v>0.0</v>
      </c>
      <c r="X57" s="57">
        <v>38664.90768292683</v>
      </c>
      <c r="Y57" s="57">
        <v>0.0</v>
      </c>
      <c r="Z57" s="57">
        <v>30479.463414634145</v>
      </c>
      <c r="AA57" s="57">
        <v>0.0</v>
      </c>
      <c r="AB57" s="57">
        <v>38100.60975609756</v>
      </c>
      <c r="AC57" s="57">
        <v>0.0</v>
      </c>
      <c r="AD57" s="57">
        <v>15515.243902439024</v>
      </c>
      <c r="AE57" s="57">
        <v>0.0</v>
      </c>
      <c r="AF57" s="57">
        <v>5111.772357723577</v>
      </c>
      <c r="AG57" s="57">
        <v>0.0</v>
      </c>
      <c r="AH57" s="57">
        <v>11880.065040650406</v>
      </c>
      <c r="AI57" s="57">
        <v>0.0</v>
      </c>
      <c r="AJ57" s="57">
        <v>15463.139227642274</v>
      </c>
      <c r="AK57" s="57">
        <v>0.0</v>
      </c>
      <c r="AL57" s="57">
        <v>10498.993902439024</v>
      </c>
      <c r="AM57" s="57">
        <v>0.0</v>
      </c>
      <c r="AN57" s="57">
        <v>10438.018292682927</v>
      </c>
      <c r="AO57" s="57">
        <v>0.0</v>
      </c>
      <c r="AP57" s="57">
        <v>2059.246987951807</v>
      </c>
      <c r="AQ57" s="57">
        <v>0.0</v>
      </c>
      <c r="AR57" s="57">
        <v>2249.7043373493975</v>
      </c>
      <c r="AS57" s="57">
        <v>0.0</v>
      </c>
      <c r="AT57" s="57">
        <v>14659.342891566264</v>
      </c>
      <c r="AU57" s="57">
        <v>0.0</v>
      </c>
      <c r="AV57" s="57">
        <v>2219.499523809524</v>
      </c>
      <c r="AW57" s="57">
        <v>0.0</v>
      </c>
      <c r="AX57" s="57">
        <v>2555.055119047619</v>
      </c>
      <c r="AY57" s="57">
        <v>0.0</v>
      </c>
      <c r="AZ57" s="57">
        <v>1840.7694047619048</v>
      </c>
      <c r="BA57" s="57">
        <v>0.0</v>
      </c>
      <c r="BB57" s="57">
        <v>1840.7694047619048</v>
      </c>
      <c r="BC57" s="57">
        <v>0.0</v>
      </c>
      <c r="BD57" s="57">
        <v>1652.579404761905</v>
      </c>
      <c r="BE57" s="57">
        <v>0.0</v>
      </c>
      <c r="BF57" s="57">
        <v>2069.2460714285717</v>
      </c>
      <c r="BG57" s="57">
        <v>0.0</v>
      </c>
      <c r="BH57" s="57">
        <v>0.0</v>
      </c>
      <c r="BI57" s="57">
        <v>0.0</v>
      </c>
      <c r="BJ57" s="57">
        <v>0.0</v>
      </c>
      <c r="BK57" s="57">
        <v>0.0</v>
      </c>
      <c r="BL57" s="57">
        <v>0.0</v>
      </c>
      <c r="BM57" s="57">
        <v>0.0</v>
      </c>
      <c r="BN57" s="57">
        <v>0.0</v>
      </c>
      <c r="BO57" s="57">
        <v>0.0</v>
      </c>
      <c r="BP57" s="57">
        <v>236.94329411764699</v>
      </c>
      <c r="BQ57" s="57">
        <v>0.0</v>
      </c>
      <c r="BR57" s="57">
        <v>0.0</v>
      </c>
      <c r="BS57" s="57">
        <v>0.0</v>
      </c>
      <c r="BT57" s="57">
        <v>3000.0</v>
      </c>
      <c r="BU57" s="57">
        <v>0.0</v>
      </c>
      <c r="BV57" s="57">
        <v>3000.0</v>
      </c>
      <c r="BW57" s="57">
        <v>0.0</v>
      </c>
      <c r="BX57" s="57">
        <v>470.5882352941176</v>
      </c>
      <c r="BY57" s="57">
        <v>0.0</v>
      </c>
      <c r="BZ57" s="57">
        <v>0.0</v>
      </c>
      <c r="CA57" s="57">
        <v>0.0</v>
      </c>
      <c r="CB57" s="57">
        <v>6885.0</v>
      </c>
      <c r="CC57" s="57">
        <v>0.0</v>
      </c>
      <c r="CD57" s="57">
        <v>588.2352941176471</v>
      </c>
      <c r="CE57" s="57">
        <v>0.0</v>
      </c>
      <c r="CF57" s="57">
        <v>0.0</v>
      </c>
      <c r="CG57" s="57">
        <v>0.0</v>
      </c>
      <c r="CH57" s="57">
        <v>1650.0</v>
      </c>
      <c r="CI57" s="57">
        <v>0.0</v>
      </c>
      <c r="CJ57" s="57">
        <v>2250.0</v>
      </c>
      <c r="CK57" s="57">
        <v>0.0</v>
      </c>
      <c r="CL57" s="57">
        <v>0.0</v>
      </c>
      <c r="CM57" s="57">
        <v>0.0</v>
      </c>
      <c r="CN57" s="57">
        <v>0.0</v>
      </c>
      <c r="CP57" s="49"/>
    </row>
    <row r="58" ht="15.75" customHeight="1">
      <c r="A58" s="94"/>
      <c r="B58" s="97"/>
      <c r="C58" s="97"/>
      <c r="D58" s="4"/>
      <c r="E58" s="126" t="s">
        <v>126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>
        <v>0.0</v>
      </c>
      <c r="Y58" s="57"/>
      <c r="Z58" s="57">
        <v>0.0</v>
      </c>
      <c r="AA58" s="57"/>
      <c r="AB58" s="57">
        <v>0.0</v>
      </c>
      <c r="AC58" s="57"/>
      <c r="AD58" s="57">
        <v>0.0</v>
      </c>
      <c r="AE58" s="57"/>
      <c r="AF58" s="57">
        <v>0.0</v>
      </c>
      <c r="AG58" s="57"/>
      <c r="AH58" s="57">
        <v>0.0</v>
      </c>
      <c r="AI58" s="57"/>
      <c r="AJ58" s="57">
        <v>0.0</v>
      </c>
      <c r="AK58" s="57"/>
      <c r="AL58" s="57">
        <v>0.0</v>
      </c>
      <c r="AM58" s="57"/>
      <c r="AN58" s="57">
        <v>0.0</v>
      </c>
      <c r="AO58" s="57">
        <v>4649.52892</v>
      </c>
      <c r="AP58" s="57">
        <v>884.9472289156625</v>
      </c>
      <c r="AQ58" s="57">
        <v>4713.401669060001</v>
      </c>
      <c r="AR58" s="57">
        <v>701.9742168674699</v>
      </c>
      <c r="AS58" s="57">
        <v>6145.460439988533</v>
      </c>
      <c r="AT58" s="57">
        <v>759.2222891566265</v>
      </c>
      <c r="AU58" s="57">
        <v>6229.287423999328</v>
      </c>
      <c r="AV58" s="57">
        <v>1631.7844047619046</v>
      </c>
      <c r="AW58" s="57">
        <v>6700.358004069077</v>
      </c>
      <c r="AX58" s="57">
        <v>975.6609523809525</v>
      </c>
      <c r="AY58" s="57">
        <v>6526.422326479564</v>
      </c>
      <c r="AZ58" s="57">
        <v>1212.7275</v>
      </c>
      <c r="BA58" s="57">
        <v>9718.46769124358</v>
      </c>
      <c r="BB58" s="57">
        <v>1055.7433333333333</v>
      </c>
      <c r="BC58" s="57">
        <v>11527.136707364107</v>
      </c>
      <c r="BD58" s="57">
        <v>1004.8569047619046</v>
      </c>
      <c r="BE58" s="57">
        <v>11432.615316881846</v>
      </c>
      <c r="BF58" s="57">
        <v>768.1991666666668</v>
      </c>
      <c r="BG58" s="57">
        <v>12280.870155191404</v>
      </c>
      <c r="BH58" s="57">
        <v>980.5180952380953</v>
      </c>
      <c r="BI58" s="57">
        <v>12649.058313246425</v>
      </c>
      <c r="BJ58" s="57">
        <v>1336.3217857142856</v>
      </c>
      <c r="BK58" s="57">
        <v>13704.727052757069</v>
      </c>
      <c r="BL58" s="57">
        <v>2161.2122619047623</v>
      </c>
      <c r="BM58" s="57">
        <v>17648.78395356909</v>
      </c>
      <c r="BN58" s="57">
        <v>4267.67294117647</v>
      </c>
      <c r="BO58" s="57">
        <v>16651.898321719462</v>
      </c>
      <c r="BP58" s="57">
        <v>3976.2588235294124</v>
      </c>
      <c r="BQ58" s="57">
        <v>18562.972904349608</v>
      </c>
      <c r="BR58" s="57">
        <v>3173.916117647059</v>
      </c>
      <c r="BS58" s="57">
        <v>19411.615553577518</v>
      </c>
      <c r="BT58" s="57">
        <v>3870.80294117647</v>
      </c>
      <c r="BU58" s="57">
        <v>21143.70313352982</v>
      </c>
      <c r="BV58" s="57">
        <v>3402.1342352941183</v>
      </c>
      <c r="BW58" s="57">
        <v>21782.900094868335</v>
      </c>
      <c r="BX58" s="57">
        <v>2052.283176470589</v>
      </c>
      <c r="BY58" s="57">
        <v>22427.16741293953</v>
      </c>
      <c r="BZ58" s="57">
        <v>4012.031764705882</v>
      </c>
      <c r="CA58" s="57">
        <v>23992.346429617835</v>
      </c>
      <c r="CB58" s="57">
        <v>1708.0503529411762</v>
      </c>
      <c r="CC58" s="57">
        <v>25406.718254945226</v>
      </c>
      <c r="CD58" s="57">
        <v>344.54658823529434</v>
      </c>
      <c r="CE58" s="57">
        <v>27155.951645793226</v>
      </c>
      <c r="CF58" s="57">
        <v>1960.650235294118</v>
      </c>
      <c r="CG58" s="57">
        <v>27325.574397000775</v>
      </c>
      <c r="CH58" s="57">
        <v>3379.501882352941</v>
      </c>
      <c r="CI58" s="57">
        <v>28177.958843350403</v>
      </c>
      <c r="CJ58" s="57">
        <v>7636.039294117649</v>
      </c>
      <c r="CK58" s="57">
        <v>29326.52016217506</v>
      </c>
      <c r="CL58" s="57">
        <v>3386.4970588235287</v>
      </c>
      <c r="CM58" s="57">
        <v>30004.697843404003</v>
      </c>
      <c r="CN58" s="57">
        <v>30470.448010035056</v>
      </c>
      <c r="CP58" s="49"/>
    </row>
    <row r="59" ht="15.75" customHeight="1">
      <c r="A59" s="94"/>
      <c r="B59" s="97"/>
      <c r="C59" s="97"/>
      <c r="D59" s="4"/>
      <c r="E59" s="126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P59" s="49"/>
    </row>
    <row r="60" ht="15.75" customHeight="1">
      <c r="A60" s="94"/>
      <c r="B60" s="97"/>
      <c r="C60" s="97"/>
      <c r="D60" s="4"/>
      <c r="E60" s="7" t="s">
        <v>127</v>
      </c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>
        <v>0.02630952380952381</v>
      </c>
      <c r="AW60" s="57">
        <v>0.0</v>
      </c>
      <c r="AX60" s="57">
        <v>0.0</v>
      </c>
      <c r="AY60" s="57">
        <v>0.0</v>
      </c>
      <c r="AZ60" s="57">
        <v>0.023809523809523815</v>
      </c>
      <c r="BA60" s="57">
        <v>0.0</v>
      </c>
      <c r="BB60" s="57">
        <v>0.03726190476190477</v>
      </c>
      <c r="BC60" s="57">
        <v>0.0</v>
      </c>
      <c r="BD60" s="57">
        <v>2204.214523809524</v>
      </c>
      <c r="BE60" s="57">
        <v>0.0</v>
      </c>
      <c r="BF60" s="57">
        <v>195.31464285714287</v>
      </c>
      <c r="BG60" s="57">
        <v>0.0</v>
      </c>
      <c r="BH60" s="57">
        <v>1580.357857142857</v>
      </c>
      <c r="BI60" s="57">
        <v>0.0</v>
      </c>
      <c r="BJ60" s="57">
        <v>24502.17988095238</v>
      </c>
      <c r="BK60" s="57">
        <v>0.0</v>
      </c>
      <c r="BL60" s="57">
        <v>9186.911666666667</v>
      </c>
      <c r="BM60" s="57">
        <v>0.0</v>
      </c>
      <c r="BN60" s="57">
        <v>3609.4492941176472</v>
      </c>
      <c r="BO60" s="57">
        <v>0.0</v>
      </c>
      <c r="BP60" s="57">
        <v>1473.5775294117648</v>
      </c>
      <c r="BQ60" s="57">
        <v>0.0</v>
      </c>
      <c r="BR60" s="57">
        <v>12392.27294117647</v>
      </c>
      <c r="BS60" s="57">
        <v>0.0</v>
      </c>
      <c r="BT60" s="57">
        <v>10049.726235294118</v>
      </c>
      <c r="BU60" s="57">
        <v>0.0</v>
      </c>
      <c r="BV60" s="57">
        <v>2221.315294117647</v>
      </c>
      <c r="BW60" s="57"/>
      <c r="BX60" s="57">
        <v>9908.713058823529</v>
      </c>
      <c r="BY60" s="57"/>
      <c r="BZ60" s="57">
        <v>0.092</v>
      </c>
      <c r="CA60" s="57"/>
      <c r="CB60" s="57">
        <v>0.07988235294117647</v>
      </c>
      <c r="CC60" s="57"/>
      <c r="CD60" s="57">
        <v>8356.505176470588</v>
      </c>
      <c r="CE60" s="57"/>
      <c r="CF60" s="57">
        <v>0.0</v>
      </c>
      <c r="CG60" s="57"/>
      <c r="CH60" s="57">
        <v>13579.316235294116</v>
      </c>
      <c r="CI60" s="57"/>
      <c r="CJ60" s="57">
        <v>0.0</v>
      </c>
      <c r="CK60" s="57"/>
      <c r="CL60" s="57">
        <v>0.0</v>
      </c>
      <c r="CM60" s="57"/>
      <c r="CN60" s="57"/>
      <c r="CP60" s="49"/>
    </row>
    <row r="61" ht="15.75" customHeight="1">
      <c r="A61" s="94"/>
      <c r="B61" s="97"/>
      <c r="C61" s="97"/>
      <c r="D61" s="97"/>
      <c r="E61" s="5"/>
      <c r="F61" s="57"/>
      <c r="G61" s="57"/>
      <c r="H61" s="57"/>
      <c r="I61" s="57"/>
      <c r="J61" s="57"/>
      <c r="K61" s="57"/>
      <c r="L61" s="57"/>
      <c r="M61" s="57"/>
      <c r="N61" s="104"/>
      <c r="O61" s="104"/>
      <c r="P61" s="104"/>
      <c r="Q61" s="104"/>
      <c r="R61" s="104"/>
      <c r="S61" s="104"/>
      <c r="T61" s="104"/>
      <c r="U61" s="104"/>
      <c r="V61" s="104"/>
      <c r="W61" s="5"/>
      <c r="X61" s="104"/>
      <c r="Y61" s="5"/>
      <c r="Z61" s="104"/>
      <c r="AA61" s="1"/>
      <c r="AB61" s="104"/>
      <c r="AC61" s="1"/>
      <c r="AD61" s="104"/>
      <c r="AE61" s="1"/>
      <c r="AF61" s="104"/>
      <c r="AG61" s="1"/>
      <c r="AH61" s="104"/>
      <c r="AI61" s="1"/>
      <c r="AJ61" s="104"/>
      <c r="AK61" s="109"/>
      <c r="AL61" s="104"/>
      <c r="AM61" s="1"/>
      <c r="AN61" s="104"/>
      <c r="AO61" s="1"/>
      <c r="AP61" s="104"/>
      <c r="AQ61" s="1"/>
      <c r="AR61" s="104"/>
      <c r="AS61" s="1"/>
      <c r="AT61" s="104"/>
      <c r="AU61" s="1"/>
      <c r="AV61" s="104"/>
      <c r="AW61" s="1"/>
      <c r="AX61" s="104"/>
      <c r="AY61" s="1"/>
      <c r="AZ61" s="104"/>
      <c r="BA61" s="1"/>
      <c r="BB61" s="104"/>
      <c r="BC61" s="1"/>
      <c r="BD61" s="104"/>
      <c r="BE61" s="1"/>
      <c r="BF61" s="104"/>
      <c r="BG61" s="1"/>
      <c r="BH61" s="104"/>
      <c r="BI61" s="1"/>
      <c r="BJ61" s="104"/>
      <c r="BK61" s="1"/>
      <c r="BL61" s="104"/>
      <c r="BM61" s="1"/>
      <c r="BN61" s="104"/>
      <c r="BO61" s="1"/>
      <c r="BP61" s="104"/>
      <c r="BQ61" s="1"/>
      <c r="BR61" s="104"/>
      <c r="BS61" s="1"/>
      <c r="BT61" s="104"/>
      <c r="BU61" s="1"/>
      <c r="BV61" s="104"/>
      <c r="BW61" s="1"/>
      <c r="BX61" s="104"/>
      <c r="BY61" s="1"/>
      <c r="BZ61" s="104"/>
      <c r="CA61" s="1"/>
      <c r="CB61" s="104"/>
      <c r="CC61" s="1"/>
      <c r="CD61" s="104"/>
      <c r="CE61" s="1"/>
      <c r="CF61" s="104"/>
      <c r="CG61" s="1"/>
      <c r="CH61" s="104"/>
      <c r="CI61" s="1"/>
      <c r="CJ61" s="104"/>
      <c r="CK61" s="1"/>
      <c r="CL61" s="57"/>
      <c r="CM61" s="1"/>
      <c r="CN61" s="1"/>
      <c r="CP61" s="49"/>
    </row>
    <row r="62" ht="15.75" customHeight="1">
      <c r="A62" s="94"/>
      <c r="B62" s="97"/>
      <c r="C62" s="97"/>
      <c r="D62" s="97"/>
      <c r="E62" s="127" t="s">
        <v>128</v>
      </c>
      <c r="F62" s="128">
        <f t="shared" ref="F62:AU62" si="23">SUM(F48,F40,F29)</f>
        <v>3225.177885</v>
      </c>
      <c r="G62" s="128">
        <f t="shared" si="23"/>
        <v>3361.322927</v>
      </c>
      <c r="H62" s="128">
        <f t="shared" si="23"/>
        <v>17208.58713</v>
      </c>
      <c r="I62" s="128">
        <f t="shared" si="23"/>
        <v>14119.88207</v>
      </c>
      <c r="J62" s="128">
        <f t="shared" si="23"/>
        <v>53109.90386</v>
      </c>
      <c r="K62" s="128">
        <f t="shared" si="23"/>
        <v>77682.45086</v>
      </c>
      <c r="L62" s="128">
        <f t="shared" si="23"/>
        <v>83697.63274</v>
      </c>
      <c r="M62" s="128">
        <f t="shared" si="23"/>
        <v>123952.0708</v>
      </c>
      <c r="N62" s="128">
        <f t="shared" si="23"/>
        <v>140829.354</v>
      </c>
      <c r="O62" s="128">
        <f t="shared" si="23"/>
        <v>98786.50744</v>
      </c>
      <c r="P62" s="128">
        <f t="shared" si="23"/>
        <v>151315.6887</v>
      </c>
      <c r="Q62" s="128">
        <f t="shared" si="23"/>
        <v>179605.101</v>
      </c>
      <c r="R62" s="128">
        <f t="shared" si="23"/>
        <v>193189.2726</v>
      </c>
      <c r="S62" s="128">
        <f t="shared" si="23"/>
        <v>281308.5473</v>
      </c>
      <c r="T62" s="128">
        <f t="shared" si="23"/>
        <v>333601.8021</v>
      </c>
      <c r="U62" s="128">
        <f t="shared" si="23"/>
        <v>381140.0079</v>
      </c>
      <c r="V62" s="128">
        <f t="shared" si="23"/>
        <v>509442.7573</v>
      </c>
      <c r="W62" s="128">
        <f t="shared" si="23"/>
        <v>648524.3442</v>
      </c>
      <c r="X62" s="128">
        <f t="shared" si="23"/>
        <v>555431.7643</v>
      </c>
      <c r="Y62" s="128">
        <f t="shared" si="23"/>
        <v>601385.9668</v>
      </c>
      <c r="Z62" s="128">
        <f t="shared" si="23"/>
        <v>585274.1732</v>
      </c>
      <c r="AA62" s="128">
        <f t="shared" si="23"/>
        <v>696341.8186</v>
      </c>
      <c r="AB62" s="128">
        <f t="shared" si="23"/>
        <v>519873.2803</v>
      </c>
      <c r="AC62" s="128">
        <f t="shared" si="23"/>
        <v>728673.8495</v>
      </c>
      <c r="AD62" s="128">
        <f t="shared" si="23"/>
        <v>519235.9658</v>
      </c>
      <c r="AE62" s="128">
        <f t="shared" si="23"/>
        <v>727526.4729</v>
      </c>
      <c r="AF62" s="128">
        <f t="shared" si="23"/>
        <v>581828.3081</v>
      </c>
      <c r="AG62" s="128">
        <f t="shared" si="23"/>
        <v>777838.1432</v>
      </c>
      <c r="AH62" s="128">
        <f t="shared" si="23"/>
        <v>599084.7623</v>
      </c>
      <c r="AI62" s="128">
        <f t="shared" si="23"/>
        <v>797506.7271</v>
      </c>
      <c r="AJ62" s="128">
        <f t="shared" si="23"/>
        <v>586880.4591</v>
      </c>
      <c r="AK62" s="128">
        <f t="shared" si="23"/>
        <v>823681.5096</v>
      </c>
      <c r="AL62" s="128">
        <f t="shared" si="23"/>
        <v>622649.3877</v>
      </c>
      <c r="AM62" s="128">
        <f t="shared" si="23"/>
        <v>862779.2403</v>
      </c>
      <c r="AN62" s="128">
        <f t="shared" si="23"/>
        <v>583234.669</v>
      </c>
      <c r="AO62" s="128">
        <f t="shared" si="23"/>
        <v>846583.4613</v>
      </c>
      <c r="AP62" s="128">
        <f t="shared" si="23"/>
        <v>672952.3174</v>
      </c>
      <c r="AQ62" s="128">
        <f t="shared" si="23"/>
        <v>953449.0809</v>
      </c>
      <c r="AR62" s="128">
        <f t="shared" si="23"/>
        <v>731120.1553</v>
      </c>
      <c r="AS62" s="128">
        <f t="shared" si="23"/>
        <v>1004778.604</v>
      </c>
      <c r="AT62" s="128">
        <f t="shared" si="23"/>
        <v>817398.2495</v>
      </c>
      <c r="AU62" s="128">
        <f t="shared" si="23"/>
        <v>1052768.563</v>
      </c>
      <c r="AV62" s="128">
        <f t="shared" ref="AV62:CN62" si="24">SUM(AV48,AV40,AV29,AV60)</f>
        <v>854364.3017</v>
      </c>
      <c r="AW62" s="128">
        <f t="shared" si="24"/>
        <v>1053361.733</v>
      </c>
      <c r="AX62" s="128">
        <f t="shared" si="24"/>
        <v>828724.0883</v>
      </c>
      <c r="AY62" s="128">
        <f t="shared" si="24"/>
        <v>1066133.58</v>
      </c>
      <c r="AZ62" s="128">
        <f t="shared" si="24"/>
        <v>851123.7531</v>
      </c>
      <c r="BA62" s="128">
        <f t="shared" si="24"/>
        <v>1093571.227</v>
      </c>
      <c r="BB62" s="128">
        <f t="shared" si="24"/>
        <v>978983.2822</v>
      </c>
      <c r="BC62" s="128">
        <f t="shared" si="24"/>
        <v>1131150.704</v>
      </c>
      <c r="BD62" s="128">
        <f t="shared" si="24"/>
        <v>952082.6221</v>
      </c>
      <c r="BE62" s="128">
        <f t="shared" si="24"/>
        <v>1179830.413</v>
      </c>
      <c r="BF62" s="128">
        <f t="shared" si="24"/>
        <v>922273.0842</v>
      </c>
      <c r="BG62" s="128">
        <f t="shared" si="24"/>
        <v>1246914.804</v>
      </c>
      <c r="BH62" s="128">
        <f t="shared" si="24"/>
        <v>1054747.438</v>
      </c>
      <c r="BI62" s="128">
        <f t="shared" si="24"/>
        <v>1238245.418</v>
      </c>
      <c r="BJ62" s="128">
        <f t="shared" si="24"/>
        <v>1016761.754</v>
      </c>
      <c r="BK62" s="128">
        <f t="shared" si="24"/>
        <v>1275447.196</v>
      </c>
      <c r="BL62" s="128">
        <f t="shared" si="24"/>
        <v>1055525.017</v>
      </c>
      <c r="BM62" s="128">
        <f t="shared" si="24"/>
        <v>1147858.475</v>
      </c>
      <c r="BN62" s="128">
        <f t="shared" si="24"/>
        <v>1084651.325</v>
      </c>
      <c r="BO62" s="128">
        <f t="shared" si="24"/>
        <v>1156921.644</v>
      </c>
      <c r="BP62" s="128">
        <f t="shared" si="24"/>
        <v>1135678.382</v>
      </c>
      <c r="BQ62" s="128">
        <f t="shared" si="24"/>
        <v>1163726.239</v>
      </c>
      <c r="BR62" s="128">
        <f t="shared" si="24"/>
        <v>1275038.782</v>
      </c>
      <c r="BS62" s="128">
        <f t="shared" si="24"/>
        <v>1208688.546</v>
      </c>
      <c r="BT62" s="128">
        <f t="shared" si="24"/>
        <v>1338489.074</v>
      </c>
      <c r="BU62" s="128">
        <f t="shared" si="24"/>
        <v>1209806.295</v>
      </c>
      <c r="BV62" s="128">
        <f t="shared" si="24"/>
        <v>1289403.777</v>
      </c>
      <c r="BW62" s="128">
        <f t="shared" si="24"/>
        <v>1249015.875</v>
      </c>
      <c r="BX62" s="128">
        <f t="shared" si="24"/>
        <v>1340712.05</v>
      </c>
      <c r="BY62" s="128">
        <f t="shared" si="24"/>
        <v>1301230.631</v>
      </c>
      <c r="BZ62" s="128">
        <f t="shared" si="24"/>
        <v>1254228.669</v>
      </c>
      <c r="CA62" s="128">
        <f t="shared" si="24"/>
        <v>1294685.446</v>
      </c>
      <c r="CB62" s="128">
        <f t="shared" si="24"/>
        <v>1179784.261</v>
      </c>
      <c r="CC62" s="128">
        <f t="shared" si="24"/>
        <v>1302900.571</v>
      </c>
      <c r="CD62" s="128">
        <f t="shared" si="24"/>
        <v>1384820.506</v>
      </c>
      <c r="CE62" s="128">
        <f t="shared" si="24"/>
        <v>1360568.969</v>
      </c>
      <c r="CF62" s="128">
        <f t="shared" si="24"/>
        <v>1466053.638</v>
      </c>
      <c r="CG62" s="128">
        <f t="shared" si="24"/>
        <v>1365275.445</v>
      </c>
      <c r="CH62" s="128">
        <f t="shared" si="24"/>
        <v>1378381.22</v>
      </c>
      <c r="CI62" s="128">
        <f t="shared" si="24"/>
        <v>1412297.206</v>
      </c>
      <c r="CJ62" s="128">
        <f t="shared" si="24"/>
        <v>1430256.591</v>
      </c>
      <c r="CK62" s="128">
        <f t="shared" si="24"/>
        <v>1414191.825</v>
      </c>
      <c r="CL62" s="128">
        <f t="shared" si="24"/>
        <v>1334036.094</v>
      </c>
      <c r="CM62" s="128">
        <f t="shared" si="24"/>
        <v>1389249.245</v>
      </c>
      <c r="CN62" s="128">
        <f t="shared" si="24"/>
        <v>1401004.357</v>
      </c>
      <c r="CP62" s="49"/>
    </row>
    <row r="63" ht="15.75" customHeight="1">
      <c r="A63" s="94"/>
      <c r="B63" s="97"/>
      <c r="C63" s="97"/>
      <c r="D63" s="97"/>
      <c r="E63" s="5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5"/>
      <c r="X63" s="104"/>
      <c r="Y63" s="5"/>
      <c r="Z63" s="104"/>
      <c r="AA63" s="1"/>
      <c r="AB63" s="104"/>
      <c r="AC63" s="1"/>
      <c r="AD63" s="104"/>
      <c r="AE63" s="1"/>
      <c r="AF63" s="104"/>
      <c r="AG63" s="1"/>
      <c r="AH63" s="104"/>
      <c r="AI63" s="1"/>
      <c r="AJ63" s="104"/>
      <c r="AK63" s="1"/>
      <c r="AL63" s="104"/>
      <c r="AM63" s="1"/>
      <c r="AN63" s="104"/>
      <c r="AO63" s="1"/>
      <c r="AP63" s="104"/>
      <c r="AQ63" s="1"/>
      <c r="AR63" s="104"/>
      <c r="AS63" s="1"/>
      <c r="AT63" s="104"/>
      <c r="AU63" s="1"/>
      <c r="AV63" s="104"/>
      <c r="AW63" s="1"/>
      <c r="AX63" s="105"/>
      <c r="AY63" s="1"/>
      <c r="AZ63" s="105"/>
      <c r="BA63" s="1"/>
      <c r="BB63" s="105"/>
      <c r="BC63" s="1"/>
      <c r="BD63" s="105"/>
      <c r="BE63" s="1"/>
      <c r="BF63" s="105"/>
      <c r="BG63" s="1"/>
      <c r="BH63" s="105"/>
      <c r="BI63" s="1"/>
      <c r="BJ63" s="105"/>
      <c r="BK63" s="1"/>
      <c r="BL63" s="105"/>
      <c r="BM63" s="1"/>
      <c r="BN63" s="105"/>
      <c r="BO63" s="1"/>
      <c r="BP63" s="105"/>
      <c r="BQ63" s="1"/>
      <c r="BR63" s="105"/>
      <c r="BS63" s="1"/>
      <c r="BT63" s="105"/>
      <c r="BU63" s="1"/>
      <c r="BV63" s="105"/>
      <c r="BW63" s="1"/>
      <c r="BX63" s="105"/>
      <c r="BY63" s="1"/>
      <c r="BZ63" s="105"/>
      <c r="CA63" s="1"/>
      <c r="CB63" s="105"/>
      <c r="CC63" s="1"/>
      <c r="CD63" s="105"/>
      <c r="CE63" s="1"/>
      <c r="CF63" s="105"/>
      <c r="CG63" s="1"/>
      <c r="CH63" s="105"/>
      <c r="CI63" s="1"/>
      <c r="CJ63" s="105"/>
      <c r="CK63" s="1"/>
      <c r="CL63" s="105"/>
      <c r="CM63" s="1"/>
      <c r="CN63" s="1"/>
      <c r="CP63" s="49"/>
    </row>
    <row r="64" ht="15.75" customHeight="1">
      <c r="A64" s="129"/>
      <c r="B64" s="130"/>
      <c r="C64" s="97"/>
      <c r="D64" s="97"/>
      <c r="E64" s="131" t="s">
        <v>129</v>
      </c>
      <c r="F64" s="132">
        <f t="shared" ref="F64:CN64" si="25">F3-F62-F22</f>
        <v>-1701.190081</v>
      </c>
      <c r="G64" s="132">
        <f t="shared" si="25"/>
        <v>19.67707317</v>
      </c>
      <c r="H64" s="132">
        <f t="shared" si="25"/>
        <v>-11930.58713</v>
      </c>
      <c r="I64" s="132">
        <f t="shared" si="25"/>
        <v>-7389.260122</v>
      </c>
      <c r="J64" s="132">
        <f t="shared" si="25"/>
        <v>-47067.75008</v>
      </c>
      <c r="K64" s="132">
        <f t="shared" si="25"/>
        <v>-70026.11671</v>
      </c>
      <c r="L64" s="132">
        <f t="shared" si="25"/>
        <v>-74583.81445</v>
      </c>
      <c r="M64" s="132">
        <f t="shared" si="25"/>
        <v>-111865.536</v>
      </c>
      <c r="N64" s="132">
        <f t="shared" si="25"/>
        <v>-133426.346</v>
      </c>
      <c r="O64" s="132">
        <f t="shared" si="25"/>
        <v>-81998.23293</v>
      </c>
      <c r="P64" s="132">
        <f t="shared" si="25"/>
        <v>-128114.2603</v>
      </c>
      <c r="Q64" s="132">
        <f t="shared" si="25"/>
        <v>-155563.5441</v>
      </c>
      <c r="R64" s="132">
        <f t="shared" si="25"/>
        <v>-157132.8731</v>
      </c>
      <c r="S64" s="132">
        <f t="shared" si="25"/>
        <v>-235998.2399</v>
      </c>
      <c r="T64" s="132">
        <f t="shared" si="25"/>
        <v>-286233.1873</v>
      </c>
      <c r="U64" s="132">
        <f t="shared" si="25"/>
        <v>-318595.6919</v>
      </c>
      <c r="V64" s="132">
        <f t="shared" si="25"/>
        <v>-421523.5703</v>
      </c>
      <c r="W64" s="132">
        <f t="shared" si="25"/>
        <v>-521345.9173</v>
      </c>
      <c r="X64" s="132">
        <f t="shared" si="25"/>
        <v>-452238.9347</v>
      </c>
      <c r="Y64" s="132">
        <f t="shared" si="25"/>
        <v>-451486.7582</v>
      </c>
      <c r="Z64" s="132">
        <f t="shared" si="25"/>
        <v>-462271.3604</v>
      </c>
      <c r="AA64" s="132">
        <f t="shared" si="25"/>
        <v>-519588.5755</v>
      </c>
      <c r="AB64" s="132">
        <f t="shared" si="25"/>
        <v>-365864.3835</v>
      </c>
      <c r="AC64" s="132">
        <f t="shared" si="25"/>
        <v>-526466.8031</v>
      </c>
      <c r="AD64" s="132">
        <f t="shared" si="25"/>
        <v>-344878.8272</v>
      </c>
      <c r="AE64" s="132">
        <f t="shared" si="25"/>
        <v>-497219.5573</v>
      </c>
      <c r="AF64" s="132">
        <f t="shared" si="25"/>
        <v>-377242.5279</v>
      </c>
      <c r="AG64" s="132">
        <f t="shared" si="25"/>
        <v>-520962.5953</v>
      </c>
      <c r="AH64" s="132">
        <f t="shared" si="25"/>
        <v>-372335.2017</v>
      </c>
      <c r="AI64" s="132">
        <f t="shared" si="25"/>
        <v>-507259.7874</v>
      </c>
      <c r="AJ64" s="57">
        <f t="shared" si="25"/>
        <v>-339429.4108</v>
      </c>
      <c r="AK64" s="132">
        <f t="shared" si="25"/>
        <v>-496754.7971</v>
      </c>
      <c r="AL64" s="57">
        <f t="shared" si="25"/>
        <v>-354927.1773</v>
      </c>
      <c r="AM64" s="132">
        <f t="shared" si="25"/>
        <v>-504024.5274</v>
      </c>
      <c r="AN64" s="57">
        <f t="shared" si="25"/>
        <v>-293824.758</v>
      </c>
      <c r="AO64" s="132">
        <f t="shared" si="25"/>
        <v>-487014.5405</v>
      </c>
      <c r="AP64" s="132">
        <f t="shared" si="25"/>
        <v>-360556.5354</v>
      </c>
      <c r="AQ64" s="132">
        <f t="shared" si="25"/>
        <v>-569613.5892</v>
      </c>
      <c r="AR64" s="57">
        <f t="shared" si="25"/>
        <v>-396771.6571</v>
      </c>
      <c r="AS64" s="132">
        <f t="shared" si="25"/>
        <v>-603888.6684</v>
      </c>
      <c r="AT64" s="57">
        <f t="shared" si="25"/>
        <v>-460276.5728</v>
      </c>
      <c r="AU64" s="132">
        <f t="shared" si="25"/>
        <v>-635189.0658</v>
      </c>
      <c r="AV64" s="57">
        <f t="shared" si="25"/>
        <v>-479426.1718</v>
      </c>
      <c r="AW64" s="132">
        <f t="shared" si="25"/>
        <v>-618374.7025</v>
      </c>
      <c r="AX64" s="57">
        <f t="shared" si="25"/>
        <v>-421117.8935</v>
      </c>
      <c r="AY64" s="132">
        <f t="shared" si="25"/>
        <v>-604884.6892</v>
      </c>
      <c r="AZ64" s="57">
        <f t="shared" si="25"/>
        <v>-398336.7099</v>
      </c>
      <c r="BA64" s="132">
        <f t="shared" si="25"/>
        <v>-598081.6028</v>
      </c>
      <c r="BB64" s="57">
        <f t="shared" si="25"/>
        <v>-503084.5254</v>
      </c>
      <c r="BC64" s="132">
        <f t="shared" si="25"/>
        <v>-608776.3539</v>
      </c>
      <c r="BD64" s="57">
        <f t="shared" si="25"/>
        <v>-466218.0994</v>
      </c>
      <c r="BE64" s="132">
        <f t="shared" si="25"/>
        <v>-630551.1276</v>
      </c>
      <c r="BF64" s="57">
        <f t="shared" si="25"/>
        <v>-403389.5271</v>
      </c>
      <c r="BG64" s="132">
        <f t="shared" si="25"/>
        <v>-639778.2671</v>
      </c>
      <c r="BH64" s="57">
        <f t="shared" si="25"/>
        <v>-519188.3326</v>
      </c>
      <c r="BI64" s="132">
        <f t="shared" si="25"/>
        <v>-586563.5895</v>
      </c>
      <c r="BJ64" s="57">
        <f t="shared" si="25"/>
        <v>-448069.3297</v>
      </c>
      <c r="BK64" s="132">
        <f t="shared" si="25"/>
        <v>-572103.4493</v>
      </c>
      <c r="BL64" s="57">
        <f t="shared" si="25"/>
        <v>-445789.6965</v>
      </c>
      <c r="BM64" s="132">
        <f t="shared" si="25"/>
        <v>-465930.8546</v>
      </c>
      <c r="BN64" s="57">
        <f t="shared" si="25"/>
        <v>-448177.9536</v>
      </c>
      <c r="BO64" s="132">
        <f t="shared" si="25"/>
        <v>-440605.3961</v>
      </c>
      <c r="BP64" s="57">
        <f t="shared" si="25"/>
        <v>-443668.518</v>
      </c>
      <c r="BQ64" s="132">
        <f t="shared" si="25"/>
        <v>-412110.4048</v>
      </c>
      <c r="BR64" s="57">
        <f t="shared" si="25"/>
        <v>-538137.5209</v>
      </c>
      <c r="BS64" s="132">
        <f t="shared" si="25"/>
        <v>-420369.1446</v>
      </c>
      <c r="BT64" s="57">
        <f t="shared" si="25"/>
        <v>-586271.6535</v>
      </c>
      <c r="BU64" s="132">
        <f t="shared" si="25"/>
        <v>-385562.0986</v>
      </c>
      <c r="BV64" s="57">
        <f t="shared" si="25"/>
        <v>-504433.1105</v>
      </c>
      <c r="BW64" s="132">
        <f t="shared" si="25"/>
        <v>-391566.6886</v>
      </c>
      <c r="BX64" s="57">
        <f t="shared" si="25"/>
        <v>-497929.6421</v>
      </c>
      <c r="BY64" s="132">
        <f t="shared" si="25"/>
        <v>-415945.6435</v>
      </c>
      <c r="BZ64" s="57">
        <f t="shared" si="25"/>
        <v>-368192.5183</v>
      </c>
      <c r="CA64" s="132">
        <f t="shared" si="25"/>
        <v>-371829.8737</v>
      </c>
      <c r="CB64" s="57">
        <f t="shared" si="25"/>
        <v>-242052.3944</v>
      </c>
      <c r="CC64" s="132">
        <f t="shared" si="25"/>
        <v>-343055.4757</v>
      </c>
      <c r="CD64" s="57">
        <f t="shared" si="25"/>
        <v>-387252.3348</v>
      </c>
      <c r="CE64" s="132">
        <f t="shared" si="25"/>
        <v>-361545.365</v>
      </c>
      <c r="CF64" s="57">
        <f t="shared" si="25"/>
        <v>-403993.841</v>
      </c>
      <c r="CG64" s="132">
        <f t="shared" si="25"/>
        <v>-323819.7532</v>
      </c>
      <c r="CH64" s="57">
        <f t="shared" si="25"/>
        <v>-260396.8022</v>
      </c>
      <c r="CI64" s="132">
        <f t="shared" si="25"/>
        <v>-326232.1655</v>
      </c>
      <c r="CJ64" s="57">
        <f t="shared" si="25"/>
        <v>-264512.194</v>
      </c>
      <c r="CK64" s="132">
        <f t="shared" si="25"/>
        <v>-287086.6992</v>
      </c>
      <c r="CL64" s="57">
        <f t="shared" si="25"/>
        <v>-122259.7016</v>
      </c>
      <c r="CM64" s="132">
        <f t="shared" si="25"/>
        <v>-215917.4567</v>
      </c>
      <c r="CN64" s="132">
        <f t="shared" si="25"/>
        <v>-178349.0975</v>
      </c>
      <c r="CP64" s="49"/>
    </row>
    <row r="65" ht="15.75" customHeight="1">
      <c r="A65" s="94"/>
      <c r="B65" s="97"/>
      <c r="C65" s="97"/>
      <c r="D65" s="97"/>
      <c r="E65" s="131" t="s">
        <v>130</v>
      </c>
      <c r="F65" s="133">
        <f t="shared" ref="F65:CN65" si="26">F64/F3</f>
        <v>-0.7828762451</v>
      </c>
      <c r="G65" s="133">
        <f t="shared" si="26"/>
        <v>0.005238837372</v>
      </c>
      <c r="H65" s="133">
        <f t="shared" si="26"/>
        <v>-1.800571556</v>
      </c>
      <c r="I65" s="133">
        <f t="shared" si="26"/>
        <v>-0.8517879103</v>
      </c>
      <c r="J65" s="133">
        <f t="shared" si="26"/>
        <v>-4.601402882</v>
      </c>
      <c r="K65" s="133">
        <f t="shared" si="26"/>
        <v>-4.407484687</v>
      </c>
      <c r="L65" s="133">
        <f t="shared" si="26"/>
        <v>-3.661453827</v>
      </c>
      <c r="M65" s="133">
        <f t="shared" si="26"/>
        <v>-4.709929519</v>
      </c>
      <c r="N65" s="133">
        <f t="shared" si="26"/>
        <v>-5.072859328</v>
      </c>
      <c r="O65" s="133">
        <f t="shared" si="26"/>
        <v>-2.509125855</v>
      </c>
      <c r="P65" s="133">
        <f t="shared" si="26"/>
        <v>-2.909571682</v>
      </c>
      <c r="Q65" s="133">
        <f t="shared" si="26"/>
        <v>-2.90268401</v>
      </c>
      <c r="R65" s="133">
        <f t="shared" si="26"/>
        <v>-2.629222828</v>
      </c>
      <c r="S65" s="133">
        <f t="shared" si="26"/>
        <v>-3.348870314</v>
      </c>
      <c r="T65" s="133">
        <f t="shared" si="26"/>
        <v>-3.37969569</v>
      </c>
      <c r="U65" s="133">
        <f t="shared" si="26"/>
        <v>-3.183251155</v>
      </c>
      <c r="V65" s="133">
        <f t="shared" si="26"/>
        <v>-3.189687407</v>
      </c>
      <c r="W65" s="38">
        <f t="shared" si="26"/>
        <v>-2.674849465</v>
      </c>
      <c r="X65" s="38">
        <f t="shared" si="26"/>
        <v>-2.946124406</v>
      </c>
      <c r="Y65" s="38">
        <f t="shared" si="26"/>
        <v>-2.008342816</v>
      </c>
      <c r="Z65" s="38">
        <f t="shared" si="26"/>
        <v>-2.548002538</v>
      </c>
      <c r="AA65" s="38">
        <f t="shared" si="26"/>
        <v>-2.026482036</v>
      </c>
      <c r="AB65" s="38">
        <f t="shared" si="26"/>
        <v>-1.69070913</v>
      </c>
      <c r="AC65" s="38">
        <f t="shared" si="26"/>
        <v>-1.830695636</v>
      </c>
      <c r="AD65" s="38">
        <f t="shared" si="26"/>
        <v>-1.425348825</v>
      </c>
      <c r="AE65" s="38">
        <f t="shared" si="26"/>
        <v>-1.550849977</v>
      </c>
      <c r="AF65" s="38">
        <f t="shared" si="26"/>
        <v>-1.368675408</v>
      </c>
      <c r="AG65" s="38">
        <f t="shared" si="26"/>
        <v>-1.453775271</v>
      </c>
      <c r="AH65" s="38">
        <f t="shared" si="26"/>
        <v>-1.233817254</v>
      </c>
      <c r="AI65" s="38">
        <f t="shared" si="26"/>
        <v>-1.276992889</v>
      </c>
      <c r="AJ65" s="105">
        <f t="shared" si="26"/>
        <v>-1.018775207</v>
      </c>
      <c r="AK65" s="38">
        <f t="shared" si="26"/>
        <v>-1.131325314</v>
      </c>
      <c r="AL65" s="105">
        <f t="shared" si="26"/>
        <v>-0.9892282361</v>
      </c>
      <c r="AM65" s="38">
        <f t="shared" si="26"/>
        <v>-1.040803344</v>
      </c>
      <c r="AN65" s="105">
        <f t="shared" si="26"/>
        <v>-0.7487736182</v>
      </c>
      <c r="AO65" s="38">
        <f t="shared" si="26"/>
        <v>-1.085935162</v>
      </c>
      <c r="AP65" s="38">
        <f t="shared" si="26"/>
        <v>-0.8659751209</v>
      </c>
      <c r="AQ65" s="38">
        <f t="shared" si="26"/>
        <v>-1.216826749</v>
      </c>
      <c r="AR65" s="105">
        <f t="shared" si="26"/>
        <v>-0.9108916656</v>
      </c>
      <c r="AS65" s="38">
        <f t="shared" si="26"/>
        <v>-1.223139861</v>
      </c>
      <c r="AT65" s="105">
        <f t="shared" si="26"/>
        <v>-0.9914112935</v>
      </c>
      <c r="AU65" s="38">
        <f t="shared" si="26"/>
        <v>-1.222280395</v>
      </c>
      <c r="AV65" s="105">
        <f t="shared" si="26"/>
        <v>-0.9793701482</v>
      </c>
      <c r="AW65" s="38">
        <f t="shared" si="26"/>
        <v>-1.129258519</v>
      </c>
      <c r="AX65" s="105">
        <f t="shared" si="26"/>
        <v>-0.7979647051</v>
      </c>
      <c r="AY65" s="38">
        <f t="shared" si="26"/>
        <v>-1.052363214</v>
      </c>
      <c r="AZ65" s="105">
        <f t="shared" si="26"/>
        <v>-0.7025747705</v>
      </c>
      <c r="BA65" s="38">
        <f t="shared" si="26"/>
        <v>-0.9720468884</v>
      </c>
      <c r="BB65" s="105">
        <f t="shared" si="26"/>
        <v>-0.840946592</v>
      </c>
      <c r="BC65" s="38">
        <f t="shared" si="26"/>
        <v>-0.9177851017</v>
      </c>
      <c r="BD65" s="134">
        <f t="shared" si="26"/>
        <v>-0.7636610069</v>
      </c>
      <c r="BE65" s="38">
        <f t="shared" si="26"/>
        <v>-0.8869181505</v>
      </c>
      <c r="BF65" s="134">
        <f t="shared" si="26"/>
        <v>-0.6235732371</v>
      </c>
      <c r="BG65" s="38">
        <f t="shared" si="26"/>
        <v>-0.8394756403</v>
      </c>
      <c r="BH65" s="134">
        <f t="shared" si="26"/>
        <v>-0.7734729935</v>
      </c>
      <c r="BI65" s="38">
        <f t="shared" si="26"/>
        <v>-0.7198680797</v>
      </c>
      <c r="BJ65" s="134">
        <f t="shared" si="26"/>
        <v>-0.6317669391</v>
      </c>
      <c r="BK65" s="38">
        <f t="shared" si="26"/>
        <v>-0.6561391424</v>
      </c>
      <c r="BL65" s="134">
        <f t="shared" si="26"/>
        <v>-0.5919356484</v>
      </c>
      <c r="BM65" s="38">
        <f t="shared" si="26"/>
        <v>-0.5518799807</v>
      </c>
      <c r="BN65" s="134">
        <f t="shared" si="26"/>
        <v>-0.5690310425</v>
      </c>
      <c r="BO65" s="38">
        <f t="shared" si="26"/>
        <v>-0.4972228249</v>
      </c>
      <c r="BP65" s="134">
        <f t="shared" si="26"/>
        <v>-0.5255913981</v>
      </c>
      <c r="BQ65" s="38">
        <f t="shared" si="26"/>
        <v>-0.4428701419</v>
      </c>
      <c r="BR65" s="134">
        <f t="shared" si="26"/>
        <v>-0.6008513841</v>
      </c>
      <c r="BS65" s="38">
        <f t="shared" si="26"/>
        <v>-0.4300000435</v>
      </c>
      <c r="BT65" s="134">
        <f t="shared" si="26"/>
        <v>-0.6303501484</v>
      </c>
      <c r="BU65" s="38">
        <f t="shared" si="26"/>
        <v>-0.376676441</v>
      </c>
      <c r="BV65" s="134">
        <f t="shared" si="26"/>
        <v>-0.5218611867</v>
      </c>
      <c r="BW65" s="38">
        <f t="shared" si="26"/>
        <v>-0.3668266993</v>
      </c>
      <c r="BX65" s="134">
        <f t="shared" si="26"/>
        <v>-0.4789636399</v>
      </c>
      <c r="BY65" s="38">
        <f t="shared" si="26"/>
        <v>-0.373613171</v>
      </c>
      <c r="BZ65" s="134">
        <f t="shared" si="26"/>
        <v>-0.3382776141</v>
      </c>
      <c r="CA65" s="38">
        <f t="shared" si="26"/>
        <v>-0.3201202373</v>
      </c>
      <c r="CB65" s="134">
        <f t="shared" si="26"/>
        <v>-0.2113896863</v>
      </c>
      <c r="CC65" s="38">
        <f t="shared" si="26"/>
        <v>-0.2826531883</v>
      </c>
      <c r="CD65" s="134">
        <f t="shared" si="26"/>
        <v>-0.320554019</v>
      </c>
      <c r="CE65" s="38">
        <f t="shared" si="26"/>
        <v>-0.2860066524</v>
      </c>
      <c r="CF65" s="134">
        <f t="shared" si="26"/>
        <v>-0.3186704621</v>
      </c>
      <c r="CG65" s="38">
        <f t="shared" si="26"/>
        <v>-0.2456491688</v>
      </c>
      <c r="CH65" s="134">
        <f t="shared" si="26"/>
        <v>-0.195950607</v>
      </c>
      <c r="CI65" s="38">
        <f t="shared" si="26"/>
        <v>-0.2371967395</v>
      </c>
      <c r="CJ65" s="134">
        <f t="shared" si="26"/>
        <v>-0.1911067526</v>
      </c>
      <c r="CK65" s="38">
        <f t="shared" si="26"/>
        <v>-0.1999540776</v>
      </c>
      <c r="CL65" s="134">
        <f t="shared" si="26"/>
        <v>-0.08531897452</v>
      </c>
      <c r="CM65" s="38">
        <f t="shared" si="26"/>
        <v>-0.1439258978</v>
      </c>
      <c r="CN65" s="38">
        <f t="shared" si="26"/>
        <v>-0.1136355567</v>
      </c>
      <c r="CP65" s="49"/>
    </row>
    <row r="66" ht="15.75" customHeight="1">
      <c r="A66" s="94"/>
      <c r="B66" s="97"/>
      <c r="C66" s="97"/>
      <c r="D66" s="97"/>
      <c r="E66" s="13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05"/>
      <c r="AK66" s="15"/>
      <c r="AL66" s="105"/>
      <c r="AM66" s="15"/>
      <c r="AN66" s="105"/>
      <c r="AO66" s="15"/>
      <c r="AP66" s="15"/>
      <c r="AQ66" s="15"/>
      <c r="AR66" s="105"/>
      <c r="AS66" s="15"/>
      <c r="AT66" s="105"/>
      <c r="AU66" s="15"/>
      <c r="AV66" s="105"/>
      <c r="AW66" s="15"/>
      <c r="AX66" s="105"/>
      <c r="AY66" s="15"/>
      <c r="AZ66" s="105"/>
      <c r="BA66" s="15"/>
      <c r="BB66" s="105"/>
      <c r="BC66" s="15"/>
      <c r="BD66" s="105"/>
      <c r="BE66" s="15"/>
      <c r="BF66" s="105"/>
      <c r="BG66" s="15"/>
      <c r="BH66" s="105"/>
      <c r="BI66" s="15"/>
      <c r="BJ66" s="105"/>
      <c r="BK66" s="15"/>
      <c r="BL66" s="105"/>
      <c r="BM66" s="15"/>
      <c r="BN66" s="105"/>
      <c r="BO66" s="15"/>
      <c r="BP66" s="105"/>
      <c r="BQ66" s="15"/>
      <c r="BR66" s="105"/>
      <c r="BS66" s="15"/>
      <c r="BT66" s="105"/>
      <c r="BU66" s="15"/>
      <c r="BV66" s="105"/>
      <c r="BW66" s="15"/>
      <c r="BX66" s="105"/>
      <c r="BY66" s="15"/>
      <c r="BZ66" s="105"/>
      <c r="CA66" s="15"/>
      <c r="CB66" s="105"/>
      <c r="CC66" s="15"/>
      <c r="CD66" s="105"/>
      <c r="CE66" s="15"/>
      <c r="CF66" s="105"/>
      <c r="CG66" s="15"/>
      <c r="CH66" s="105">
        <f>(CF64+CH64+CJ64)/SUM(CF3+CH3+CJ3)</f>
        <v>-0.233348993</v>
      </c>
      <c r="CI66" s="15"/>
      <c r="CJ66" s="105"/>
      <c r="CK66" s="15"/>
      <c r="CL66" s="105"/>
      <c r="CM66" s="15"/>
      <c r="CN66" s="15"/>
      <c r="CP66" s="49"/>
    </row>
    <row r="67" ht="15.75" customHeight="1">
      <c r="A67" s="94" t="s">
        <v>131</v>
      </c>
      <c r="B67" s="97"/>
      <c r="C67" s="97"/>
      <c r="D67" s="97"/>
      <c r="E67" s="5" t="s">
        <v>132</v>
      </c>
      <c r="F67" s="57">
        <v>0.0</v>
      </c>
      <c r="G67" s="57">
        <v>0.0</v>
      </c>
      <c r="H67" s="57">
        <v>0.0</v>
      </c>
      <c r="I67" s="57">
        <v>0.0</v>
      </c>
      <c r="J67" s="57">
        <v>0.0</v>
      </c>
      <c r="K67" s="57">
        <v>851.5702247972305</v>
      </c>
      <c r="L67" s="57">
        <v>1193.3858609549072</v>
      </c>
      <c r="M67" s="57">
        <v>1383.2042892619756</v>
      </c>
      <c r="N67" s="57">
        <v>1564.2548654265122</v>
      </c>
      <c r="O67" s="57">
        <v>1777.0183157189147</v>
      </c>
      <c r="P67" s="57">
        <v>2258.0722282770607</v>
      </c>
      <c r="Q67" s="57">
        <v>2563.9544545861827</v>
      </c>
      <c r="R67" s="57">
        <v>2880.8338784373414</v>
      </c>
      <c r="S67" s="57">
        <v>3076.825139600293</v>
      </c>
      <c r="T67" s="57">
        <v>3301.85209399661</v>
      </c>
      <c r="U67" s="57">
        <v>3495.5807504695977</v>
      </c>
      <c r="V67" s="57">
        <v>3899.655325991939</v>
      </c>
      <c r="W67" s="57">
        <v>3750.0</v>
      </c>
      <c r="X67" s="57">
        <v>4050.9266063393175</v>
      </c>
      <c r="Y67" s="57">
        <v>4200.0</v>
      </c>
      <c r="Z67" s="57">
        <v>4343.5908769711705</v>
      </c>
      <c r="AA67" s="57">
        <v>4400.0</v>
      </c>
      <c r="AB67" s="57">
        <v>4436.816384770817</v>
      </c>
      <c r="AC67" s="57">
        <v>5350.0</v>
      </c>
      <c r="AD67" s="57">
        <v>4470.219897498769</v>
      </c>
      <c r="AE67" s="57">
        <v>5400.0</v>
      </c>
      <c r="AF67" s="57">
        <v>4986.539358518976</v>
      </c>
      <c r="AG67" s="57">
        <v>5400.0</v>
      </c>
      <c r="AH67" s="57">
        <v>5419.0965322038055</v>
      </c>
      <c r="AI67" s="57">
        <v>6000.0</v>
      </c>
      <c r="AJ67" s="57">
        <v>6213.813189796503</v>
      </c>
      <c r="AK67" s="57">
        <v>6000.0</v>
      </c>
      <c r="AL67" s="57">
        <v>6161.9220837616995</v>
      </c>
      <c r="AM67" s="57">
        <v>6100.0</v>
      </c>
      <c r="AN67" s="57">
        <v>6302.276747967479</v>
      </c>
      <c r="AO67" s="57">
        <v>9628.153600175001</v>
      </c>
      <c r="AP67" s="57">
        <v>6103.410100839607</v>
      </c>
      <c r="AQ67" s="57">
        <v>10404.666484563462</v>
      </c>
      <c r="AR67" s="57">
        <v>6545.611970450565</v>
      </c>
      <c r="AS67" s="57">
        <v>10989.234699538398</v>
      </c>
      <c r="AT67" s="57">
        <v>7376.729121999923</v>
      </c>
      <c r="AU67" s="57">
        <v>12374.274441298394</v>
      </c>
      <c r="AV67" s="57">
        <v>6913.069285714285</v>
      </c>
      <c r="AW67" s="57">
        <v>12461.963955071282</v>
      </c>
      <c r="AX67" s="57">
        <v>7467.195833333333</v>
      </c>
      <c r="AY67" s="57">
        <v>12498.67508065773</v>
      </c>
      <c r="AZ67" s="57">
        <v>7719.864047619047</v>
      </c>
      <c r="BA67" s="57">
        <v>8802.341461420976</v>
      </c>
      <c r="BB67" s="57">
        <v>8487.314285714287</v>
      </c>
      <c r="BC67" s="57">
        <v>9022.1816053999</v>
      </c>
      <c r="BD67" s="57">
        <v>9216.888928571429</v>
      </c>
      <c r="BE67" s="57">
        <v>9022.1816053999</v>
      </c>
      <c r="BF67" s="57">
        <v>9257.240952380953</v>
      </c>
      <c r="BG67" s="57">
        <v>9443.76150002285</v>
      </c>
      <c r="BH67" s="57">
        <v>9826.018214285714</v>
      </c>
      <c r="BI67" s="57">
        <v>9617.41245303486</v>
      </c>
      <c r="BJ67" s="57">
        <v>9594.723452380953</v>
      </c>
      <c r="BK67" s="57">
        <v>9847.001542706621</v>
      </c>
      <c r="BL67" s="57">
        <v>10027.936547619049</v>
      </c>
      <c r="BM67" s="57">
        <v>8401.0</v>
      </c>
      <c r="BN67" s="57">
        <v>10080.469176470588</v>
      </c>
      <c r="BO67" s="57">
        <v>8551.0</v>
      </c>
      <c r="BP67" s="57">
        <v>9588.65905882353</v>
      </c>
      <c r="BQ67" s="57">
        <v>8701.0</v>
      </c>
      <c r="BR67" s="57">
        <v>11278.09305882353</v>
      </c>
      <c r="BS67" s="57">
        <v>8701.0</v>
      </c>
      <c r="BT67" s="57">
        <v>5702.470941176471</v>
      </c>
      <c r="BU67" s="57">
        <v>9201.0</v>
      </c>
      <c r="BV67" s="57">
        <v>6163.3748235294115</v>
      </c>
      <c r="BW67" s="57">
        <v>9201.0</v>
      </c>
      <c r="BX67" s="57">
        <v>6120.22694117647</v>
      </c>
      <c r="BY67" s="57">
        <v>9351.0</v>
      </c>
      <c r="BZ67" s="57">
        <v>6500.737176470589</v>
      </c>
      <c r="CA67" s="57">
        <v>9751.0</v>
      </c>
      <c r="CB67" s="57">
        <v>6500.737176470589</v>
      </c>
      <c r="CC67" s="57">
        <v>9851.0</v>
      </c>
      <c r="CD67" s="57">
        <v>6329.173294117647</v>
      </c>
      <c r="CE67" s="57">
        <v>10001.0</v>
      </c>
      <c r="CF67" s="57">
        <v>6567.054117647059</v>
      </c>
      <c r="CG67" s="57">
        <v>10251.0</v>
      </c>
      <c r="CH67" s="57">
        <v>6583.181529411765</v>
      </c>
      <c r="CI67" s="57">
        <v>10351.0</v>
      </c>
      <c r="CJ67" s="57">
        <v>7057.076117647059</v>
      </c>
      <c r="CK67" s="57">
        <v>10401.0</v>
      </c>
      <c r="CL67" s="57">
        <v>7057.070588235294</v>
      </c>
      <c r="CM67" s="57">
        <v>10351.0</v>
      </c>
      <c r="CN67" s="57">
        <v>10401.0</v>
      </c>
      <c r="CP67" s="49"/>
    </row>
    <row r="68" ht="15.75" customHeight="1">
      <c r="A68" s="94"/>
      <c r="B68" s="97"/>
      <c r="C68" s="97"/>
      <c r="D68" s="97"/>
      <c r="E68" s="5" t="s">
        <v>133</v>
      </c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>
        <v>1115.6149999999998</v>
      </c>
      <c r="AW68" s="57"/>
      <c r="AX68" s="57">
        <v>1556.6103571428569</v>
      </c>
      <c r="AY68" s="57"/>
      <c r="AZ68" s="57">
        <v>1319.8907142857151</v>
      </c>
      <c r="BA68" s="57"/>
      <c r="BB68" s="57">
        <v>1199.3345238095235</v>
      </c>
      <c r="BC68" s="57"/>
      <c r="BD68" s="57">
        <v>1614.4052380952382</v>
      </c>
      <c r="BE68" s="57"/>
      <c r="BF68" s="57">
        <v>1035.6069047619053</v>
      </c>
      <c r="BG68" s="57"/>
      <c r="BH68" s="57">
        <v>536.2967857142856</v>
      </c>
      <c r="BI68" s="57"/>
      <c r="BJ68" s="57">
        <v>332.62035714285713</v>
      </c>
      <c r="BK68" s="57"/>
      <c r="BL68" s="57">
        <v>-361.5994047619046</v>
      </c>
      <c r="BM68" s="57"/>
      <c r="BN68" s="57">
        <v>-8010.480470588235</v>
      </c>
      <c r="BO68" s="57"/>
      <c r="BP68" s="57">
        <v>-798.5856470588235</v>
      </c>
      <c r="BQ68" s="57"/>
      <c r="BR68" s="57">
        <v>-24.433647058823308</v>
      </c>
      <c r="BS68" s="57"/>
      <c r="BT68" s="57">
        <v>918.7803529411765</v>
      </c>
      <c r="BU68" s="57"/>
      <c r="BV68" s="57">
        <v>799.1134117647057</v>
      </c>
      <c r="BW68" s="57"/>
      <c r="BX68" s="57">
        <v>-317.820705882353</v>
      </c>
      <c r="BY68" s="57"/>
      <c r="BZ68" s="57">
        <v>340.666</v>
      </c>
      <c r="CA68" s="57"/>
      <c r="CB68" s="57">
        <v>-585.3202352941177</v>
      </c>
      <c r="CC68" s="57"/>
      <c r="CD68" s="57">
        <v>50.361999999999526</v>
      </c>
      <c r="CE68" s="57"/>
      <c r="CF68" s="57">
        <v>11.779058823529429</v>
      </c>
      <c r="CG68" s="57"/>
      <c r="CH68" s="57">
        <v>-528.9403529411766</v>
      </c>
      <c r="CI68" s="57"/>
      <c r="CJ68" s="57">
        <v>-288.3091764705882</v>
      </c>
      <c r="CK68" s="57"/>
      <c r="CL68" s="57">
        <v>-34471.92941176471</v>
      </c>
      <c r="CM68" s="57"/>
      <c r="CN68" s="57"/>
      <c r="CP68" s="49"/>
    </row>
    <row r="69" ht="15.75" customHeight="1">
      <c r="A69" s="94"/>
      <c r="B69" s="97"/>
      <c r="C69" s="97"/>
      <c r="D69" s="97"/>
      <c r="E69" s="5" t="s">
        <v>134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>
        <v>0.0</v>
      </c>
      <c r="AW69" s="57"/>
      <c r="AX69" s="57">
        <v>0.0</v>
      </c>
      <c r="AY69" s="57"/>
      <c r="AZ69" s="57">
        <v>0.0</v>
      </c>
      <c r="BA69" s="57"/>
      <c r="BB69" s="57">
        <v>0.0</v>
      </c>
      <c r="BC69" s="57"/>
      <c r="BD69" s="57">
        <v>0.0</v>
      </c>
      <c r="BE69" s="57"/>
      <c r="BF69" s="57">
        <v>0.0</v>
      </c>
      <c r="BG69" s="57"/>
      <c r="BH69" s="57">
        <v>0.0</v>
      </c>
      <c r="BI69" s="57"/>
      <c r="BJ69" s="57">
        <v>0.0</v>
      </c>
      <c r="BK69" s="57"/>
      <c r="BL69" s="57">
        <v>0.0</v>
      </c>
      <c r="BM69" s="57"/>
      <c r="BN69" s="57">
        <v>0.0</v>
      </c>
      <c r="BO69" s="57"/>
      <c r="BP69" s="57">
        <v>0.0</v>
      </c>
      <c r="BQ69" s="57">
        <v>100000.0</v>
      </c>
      <c r="BR69" s="57">
        <v>31543.44705882353</v>
      </c>
      <c r="BS69" s="57">
        <v>100000.0</v>
      </c>
      <c r="BT69" s="57">
        <v>36800.69411764706</v>
      </c>
      <c r="BU69" s="57">
        <v>100000.0</v>
      </c>
      <c r="BV69" s="57">
        <v>36800.69411764706</v>
      </c>
      <c r="BW69" s="57">
        <v>100000.0</v>
      </c>
      <c r="BX69" s="57">
        <v>22011.70588235294</v>
      </c>
      <c r="BY69" s="57">
        <v>100000.0</v>
      </c>
      <c r="BZ69" s="57">
        <v>10421.176470588236</v>
      </c>
      <c r="CA69" s="57">
        <v>100000.0</v>
      </c>
      <c r="CB69" s="57">
        <v>15095.69411764706</v>
      </c>
      <c r="CC69" s="57">
        <v>100000.0</v>
      </c>
      <c r="CD69" s="57">
        <v>10687.764705882353</v>
      </c>
      <c r="CE69" s="57">
        <v>100000.0</v>
      </c>
      <c r="CF69" s="57">
        <v>0.0</v>
      </c>
      <c r="CG69" s="57">
        <v>100000.0</v>
      </c>
      <c r="CH69" s="57">
        <v>0.0</v>
      </c>
      <c r="CI69" s="57">
        <v>100000.0</v>
      </c>
      <c r="CJ69" s="57">
        <v>0.0</v>
      </c>
      <c r="CK69" s="57">
        <v>100000.0</v>
      </c>
      <c r="CL69" s="57">
        <v>14656.470588235294</v>
      </c>
      <c r="CM69" s="57">
        <v>100000.0</v>
      </c>
      <c r="CN69" s="57">
        <v>100000.0</v>
      </c>
      <c r="CP69" s="49"/>
    </row>
    <row r="70" ht="15.75" customHeight="1">
      <c r="A70" s="94"/>
      <c r="B70" s="97"/>
      <c r="C70" s="97"/>
      <c r="D70" s="97"/>
      <c r="E70" s="5" t="s">
        <v>135</v>
      </c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P70" s="49"/>
    </row>
    <row r="71" ht="15.75" customHeight="1">
      <c r="A71" s="94"/>
      <c r="B71" s="97"/>
      <c r="C71" s="97"/>
      <c r="D71" s="97"/>
      <c r="E71" s="5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5"/>
      <c r="X71" s="5"/>
      <c r="Y71" s="5"/>
      <c r="Z71" s="5"/>
      <c r="AA71" s="1"/>
      <c r="AB71" s="104"/>
      <c r="AC71" s="1"/>
      <c r="AD71" s="104"/>
      <c r="AE71" s="1"/>
      <c r="AF71" s="104"/>
      <c r="AG71" s="1"/>
      <c r="AH71" s="104"/>
      <c r="AI71" s="1"/>
      <c r="AJ71" s="104"/>
      <c r="AK71" s="1"/>
      <c r="AL71" s="104"/>
      <c r="AM71" s="1"/>
      <c r="AN71" s="104"/>
      <c r="AO71" s="1"/>
      <c r="AP71" s="104"/>
      <c r="AQ71" s="1"/>
      <c r="AR71" s="104"/>
      <c r="AS71" s="1"/>
      <c r="AT71" s="104"/>
      <c r="AU71" s="1"/>
      <c r="AV71" s="104"/>
      <c r="AW71" s="1"/>
      <c r="AX71" s="104"/>
      <c r="AY71" s="1"/>
      <c r="AZ71" s="104"/>
      <c r="BA71" s="1"/>
      <c r="BB71" s="104"/>
      <c r="BC71" s="1"/>
      <c r="BD71" s="104"/>
      <c r="BE71" s="1"/>
      <c r="BF71" s="104"/>
      <c r="BG71" s="1"/>
      <c r="BH71" s="104"/>
      <c r="BI71" s="1"/>
      <c r="BJ71" s="104"/>
      <c r="BK71" s="1"/>
      <c r="BL71" s="104"/>
      <c r="BM71" s="1"/>
      <c r="BN71" s="104"/>
      <c r="BO71" s="1"/>
      <c r="BP71" s="104"/>
      <c r="BQ71" s="1"/>
      <c r="BR71" s="104"/>
      <c r="BS71" s="1"/>
      <c r="BT71" s="104"/>
      <c r="BU71" s="1"/>
      <c r="BV71" s="104"/>
      <c r="BW71" s="1"/>
      <c r="BX71" s="104"/>
      <c r="BY71" s="1"/>
      <c r="BZ71" s="104"/>
      <c r="CA71" s="1"/>
      <c r="CB71" s="104"/>
      <c r="CC71" s="1"/>
      <c r="CD71" s="104"/>
      <c r="CE71" s="1"/>
      <c r="CF71" s="104"/>
      <c r="CG71" s="1"/>
      <c r="CH71" s="104"/>
      <c r="CI71" s="1"/>
      <c r="CJ71" s="104"/>
      <c r="CK71" s="1"/>
      <c r="CL71" s="104"/>
      <c r="CM71" s="1"/>
      <c r="CN71" s="1"/>
    </row>
    <row r="72" ht="15.75" customHeight="1">
      <c r="A72" s="129"/>
      <c r="B72" s="130"/>
      <c r="C72" s="97"/>
      <c r="D72" s="97"/>
      <c r="E72" s="131" t="s">
        <v>136</v>
      </c>
      <c r="F72" s="132">
        <f t="shared" ref="F72:AN72" si="27">F64-F67</f>
        <v>-1701.190081</v>
      </c>
      <c r="G72" s="132">
        <f t="shared" si="27"/>
        <v>19.67707317</v>
      </c>
      <c r="H72" s="132">
        <f t="shared" si="27"/>
        <v>-11930.58713</v>
      </c>
      <c r="I72" s="132">
        <f t="shared" si="27"/>
        <v>-7389.260122</v>
      </c>
      <c r="J72" s="132">
        <f t="shared" si="27"/>
        <v>-47067.75008</v>
      </c>
      <c r="K72" s="132">
        <f t="shared" si="27"/>
        <v>-70877.68694</v>
      </c>
      <c r="L72" s="132">
        <f t="shared" si="27"/>
        <v>-75777.20031</v>
      </c>
      <c r="M72" s="132">
        <f t="shared" si="27"/>
        <v>-113248.7403</v>
      </c>
      <c r="N72" s="132">
        <f t="shared" si="27"/>
        <v>-134990.6009</v>
      </c>
      <c r="O72" s="132">
        <f t="shared" si="27"/>
        <v>-83775.25125</v>
      </c>
      <c r="P72" s="132">
        <f t="shared" si="27"/>
        <v>-130372.3325</v>
      </c>
      <c r="Q72" s="132">
        <f t="shared" si="27"/>
        <v>-158127.4986</v>
      </c>
      <c r="R72" s="132">
        <f t="shared" si="27"/>
        <v>-160013.707</v>
      </c>
      <c r="S72" s="132">
        <f t="shared" si="27"/>
        <v>-239075.0651</v>
      </c>
      <c r="T72" s="132">
        <f t="shared" si="27"/>
        <v>-289535.0394</v>
      </c>
      <c r="U72" s="132">
        <f t="shared" si="27"/>
        <v>-322091.2726</v>
      </c>
      <c r="V72" s="132">
        <f t="shared" si="27"/>
        <v>-425423.2256</v>
      </c>
      <c r="W72" s="132">
        <f t="shared" si="27"/>
        <v>-525095.9173</v>
      </c>
      <c r="X72" s="132">
        <f t="shared" si="27"/>
        <v>-456289.8613</v>
      </c>
      <c r="Y72" s="132">
        <f t="shared" si="27"/>
        <v>-455686.7582</v>
      </c>
      <c r="Z72" s="132">
        <f t="shared" si="27"/>
        <v>-466614.9513</v>
      </c>
      <c r="AA72" s="132">
        <f t="shared" si="27"/>
        <v>-523988.5755</v>
      </c>
      <c r="AB72" s="132">
        <f t="shared" si="27"/>
        <v>-370301.1999</v>
      </c>
      <c r="AC72" s="132">
        <f t="shared" si="27"/>
        <v>-531816.8031</v>
      </c>
      <c r="AD72" s="132">
        <f t="shared" si="27"/>
        <v>-349349.0471</v>
      </c>
      <c r="AE72" s="132">
        <f t="shared" si="27"/>
        <v>-502619.5573</v>
      </c>
      <c r="AF72" s="132">
        <f t="shared" si="27"/>
        <v>-382229.0673</v>
      </c>
      <c r="AG72" s="132">
        <f t="shared" si="27"/>
        <v>-526362.5953</v>
      </c>
      <c r="AH72" s="132">
        <f t="shared" si="27"/>
        <v>-377754.2982</v>
      </c>
      <c r="AI72" s="132">
        <f t="shared" si="27"/>
        <v>-513259.7874</v>
      </c>
      <c r="AJ72" s="57">
        <f t="shared" si="27"/>
        <v>-345643.2239</v>
      </c>
      <c r="AK72" s="132">
        <f t="shared" si="27"/>
        <v>-502754.7971</v>
      </c>
      <c r="AL72" s="57">
        <f t="shared" si="27"/>
        <v>-361089.0994</v>
      </c>
      <c r="AM72" s="132">
        <f t="shared" si="27"/>
        <v>-510124.5274</v>
      </c>
      <c r="AN72" s="57">
        <f t="shared" si="27"/>
        <v>-300127.0347</v>
      </c>
      <c r="AO72" s="132">
        <f t="shared" ref="AO72:CN72" si="28">AO64-AO67-AO69</f>
        <v>-496642.6941</v>
      </c>
      <c r="AP72" s="132">
        <f t="shared" si="28"/>
        <v>-366659.9455</v>
      </c>
      <c r="AQ72" s="132">
        <f t="shared" si="28"/>
        <v>-580018.2557</v>
      </c>
      <c r="AR72" s="132">
        <f t="shared" si="28"/>
        <v>-403317.269</v>
      </c>
      <c r="AS72" s="132">
        <f t="shared" si="28"/>
        <v>-614877.9031</v>
      </c>
      <c r="AT72" s="132">
        <f t="shared" si="28"/>
        <v>-467653.3019</v>
      </c>
      <c r="AU72" s="132">
        <f t="shared" si="28"/>
        <v>-647563.3403</v>
      </c>
      <c r="AV72" s="132">
        <f t="shared" si="28"/>
        <v>-486339.2411</v>
      </c>
      <c r="AW72" s="132">
        <f t="shared" si="28"/>
        <v>-630836.6664</v>
      </c>
      <c r="AX72" s="132">
        <f t="shared" si="28"/>
        <v>-428585.0893</v>
      </c>
      <c r="AY72" s="132">
        <f t="shared" si="28"/>
        <v>-617383.3643</v>
      </c>
      <c r="AZ72" s="132">
        <f t="shared" si="28"/>
        <v>-406056.574</v>
      </c>
      <c r="BA72" s="132">
        <f t="shared" si="28"/>
        <v>-606883.9442</v>
      </c>
      <c r="BB72" s="132">
        <f t="shared" si="28"/>
        <v>-511571.8397</v>
      </c>
      <c r="BC72" s="132">
        <f t="shared" si="28"/>
        <v>-617798.5355</v>
      </c>
      <c r="BD72" s="132">
        <f t="shared" si="28"/>
        <v>-475434.9883</v>
      </c>
      <c r="BE72" s="132">
        <f t="shared" si="28"/>
        <v>-639573.3092</v>
      </c>
      <c r="BF72" s="132">
        <f t="shared" si="28"/>
        <v>-412646.7681</v>
      </c>
      <c r="BG72" s="132">
        <f t="shared" si="28"/>
        <v>-649222.0286</v>
      </c>
      <c r="BH72" s="132">
        <f t="shared" si="28"/>
        <v>-529014.3508</v>
      </c>
      <c r="BI72" s="132">
        <f t="shared" si="28"/>
        <v>-596181.0019</v>
      </c>
      <c r="BJ72" s="132">
        <f t="shared" si="28"/>
        <v>-457664.0532</v>
      </c>
      <c r="BK72" s="132">
        <f t="shared" si="28"/>
        <v>-581950.4508</v>
      </c>
      <c r="BL72" s="132">
        <f t="shared" si="28"/>
        <v>-455817.6331</v>
      </c>
      <c r="BM72" s="132">
        <f t="shared" si="28"/>
        <v>-474331.8546</v>
      </c>
      <c r="BN72" s="132">
        <f t="shared" si="28"/>
        <v>-458258.4228</v>
      </c>
      <c r="BO72" s="132">
        <f t="shared" si="28"/>
        <v>-449156.3961</v>
      </c>
      <c r="BP72" s="132">
        <f t="shared" si="28"/>
        <v>-453257.1771</v>
      </c>
      <c r="BQ72" s="132">
        <f t="shared" si="28"/>
        <v>-520811.4048</v>
      </c>
      <c r="BR72" s="132">
        <f t="shared" si="28"/>
        <v>-580959.061</v>
      </c>
      <c r="BS72" s="132">
        <f t="shared" si="28"/>
        <v>-529070.1446</v>
      </c>
      <c r="BT72" s="132">
        <f t="shared" si="28"/>
        <v>-628774.8186</v>
      </c>
      <c r="BU72" s="132">
        <f t="shared" si="28"/>
        <v>-494763.0986</v>
      </c>
      <c r="BV72" s="132">
        <f t="shared" si="28"/>
        <v>-547397.1794</v>
      </c>
      <c r="BW72" s="132">
        <f t="shared" si="28"/>
        <v>-500767.6886</v>
      </c>
      <c r="BX72" s="132">
        <f t="shared" si="28"/>
        <v>-526061.5749</v>
      </c>
      <c r="BY72" s="132">
        <f t="shared" si="28"/>
        <v>-525296.6435</v>
      </c>
      <c r="BZ72" s="132">
        <f t="shared" si="28"/>
        <v>-385114.4319</v>
      </c>
      <c r="CA72" s="132">
        <f t="shared" si="28"/>
        <v>-481580.8737</v>
      </c>
      <c r="CB72" s="132">
        <f t="shared" si="28"/>
        <v>-263648.8257</v>
      </c>
      <c r="CC72" s="132">
        <f t="shared" si="28"/>
        <v>-452906.4757</v>
      </c>
      <c r="CD72" s="132">
        <f t="shared" si="28"/>
        <v>-404269.2728</v>
      </c>
      <c r="CE72" s="132">
        <f t="shared" si="28"/>
        <v>-471546.365</v>
      </c>
      <c r="CF72" s="132">
        <f t="shared" si="28"/>
        <v>-410560.8951</v>
      </c>
      <c r="CG72" s="132">
        <f t="shared" si="28"/>
        <v>-434070.7532</v>
      </c>
      <c r="CH72" s="132">
        <f t="shared" si="28"/>
        <v>-266979.9837</v>
      </c>
      <c r="CI72" s="132">
        <f t="shared" si="28"/>
        <v>-436583.1655</v>
      </c>
      <c r="CJ72" s="132">
        <f t="shared" si="28"/>
        <v>-271569.2701</v>
      </c>
      <c r="CK72" s="132">
        <f t="shared" si="28"/>
        <v>-397487.6992</v>
      </c>
      <c r="CL72" s="132">
        <f t="shared" si="28"/>
        <v>-143973.2427</v>
      </c>
      <c r="CM72" s="132">
        <f t="shared" si="28"/>
        <v>-326268.4567</v>
      </c>
      <c r="CN72" s="132">
        <f t="shared" si="28"/>
        <v>-288750.0975</v>
      </c>
    </row>
    <row r="73" ht="15.75" customHeight="1">
      <c r="A73" s="94"/>
      <c r="B73" s="97"/>
      <c r="C73" s="97"/>
      <c r="D73" s="97"/>
      <c r="E73" s="5"/>
      <c r="F73" s="104"/>
      <c r="G73" s="104"/>
      <c r="H73" s="104"/>
      <c r="I73" s="104"/>
      <c r="J73" s="104"/>
      <c r="K73" s="135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5"/>
      <c r="X73" s="5"/>
      <c r="Y73" s="5"/>
      <c r="Z73" s="5"/>
      <c r="AA73" s="1"/>
      <c r="AB73" s="104"/>
      <c r="AC73" s="1"/>
      <c r="AD73" s="104"/>
      <c r="AE73" s="1"/>
      <c r="AF73" s="104"/>
      <c r="AG73" s="1"/>
      <c r="AH73" s="104"/>
      <c r="AI73" s="1"/>
      <c r="AJ73" s="104"/>
      <c r="AK73" s="1"/>
      <c r="AL73" s="104"/>
      <c r="AM73" s="1"/>
      <c r="AN73" s="104"/>
      <c r="AO73" s="1"/>
      <c r="AP73" s="104"/>
      <c r="AQ73" s="1"/>
      <c r="AR73" s="104"/>
      <c r="AS73" s="1"/>
      <c r="AT73" s="104"/>
      <c r="AU73" s="1"/>
      <c r="AV73" s="104"/>
      <c r="AW73" s="1"/>
      <c r="AX73" s="104"/>
      <c r="AY73" s="1"/>
      <c r="AZ73" s="104"/>
      <c r="BA73" s="1"/>
      <c r="BB73" s="104"/>
      <c r="BC73" s="1"/>
      <c r="BD73" s="104"/>
      <c r="BE73" s="1"/>
      <c r="BF73" s="104"/>
      <c r="BG73" s="1"/>
      <c r="BH73" s="104"/>
      <c r="BI73" s="1"/>
      <c r="BJ73" s="104"/>
      <c r="BK73" s="1"/>
      <c r="BL73" s="104"/>
      <c r="BM73" s="1"/>
      <c r="BN73" s="104"/>
      <c r="BO73" s="1"/>
      <c r="BP73" s="104"/>
      <c r="BQ73" s="1"/>
      <c r="BR73" s="104"/>
      <c r="BS73" s="1"/>
      <c r="BT73" s="104"/>
      <c r="BU73" s="1"/>
      <c r="BV73" s="104"/>
      <c r="BW73" s="1"/>
      <c r="BX73" s="104"/>
      <c r="BY73" s="1"/>
      <c r="BZ73" s="104"/>
      <c r="CA73" s="1"/>
      <c r="CB73" s="104"/>
      <c r="CC73" s="1"/>
      <c r="CD73" s="104"/>
      <c r="CE73" s="1"/>
      <c r="CF73" s="104"/>
      <c r="CG73" s="1"/>
      <c r="CH73" s="104"/>
      <c r="CI73" s="1"/>
      <c r="CJ73" s="104"/>
      <c r="CK73" s="1"/>
      <c r="CL73" s="104"/>
      <c r="CM73" s="136"/>
      <c r="CN73" s="136"/>
    </row>
    <row r="74" ht="15.75" customHeight="1">
      <c r="A74" s="94"/>
      <c r="B74" s="97"/>
      <c r="C74" s="97"/>
      <c r="D74" s="97"/>
      <c r="E74" s="13" t="s">
        <v>137</v>
      </c>
      <c r="F74" s="137"/>
      <c r="G74" s="137"/>
      <c r="H74" s="137"/>
      <c r="I74" s="137"/>
      <c r="J74" s="137"/>
      <c r="K74" s="138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74"/>
      <c r="X74" s="74"/>
      <c r="Y74" s="74"/>
      <c r="Z74" s="74"/>
      <c r="AA74" s="74"/>
      <c r="AB74" s="137"/>
      <c r="AC74" s="74"/>
      <c r="AD74" s="137"/>
      <c r="AE74" s="74"/>
      <c r="AF74" s="137"/>
      <c r="AG74" s="74"/>
      <c r="AH74" s="137"/>
      <c r="AI74" s="74"/>
      <c r="AJ74" s="137"/>
      <c r="AK74" s="74"/>
      <c r="AL74" s="137"/>
      <c r="AM74" s="74"/>
      <c r="AN74" s="137"/>
      <c r="AO74" s="74"/>
      <c r="AP74" s="137"/>
      <c r="AQ74" s="74"/>
      <c r="AR74" s="137"/>
      <c r="AS74" s="74"/>
      <c r="AT74" s="137"/>
      <c r="AU74" s="74"/>
      <c r="AV74" s="137"/>
      <c r="AW74" s="74"/>
      <c r="AX74" s="137"/>
      <c r="AY74" s="74"/>
      <c r="AZ74" s="137"/>
      <c r="BA74" s="74"/>
      <c r="BB74" s="137"/>
      <c r="BC74" s="74"/>
      <c r="BD74" s="137"/>
      <c r="BE74" s="74"/>
      <c r="BF74" s="137"/>
      <c r="BG74" s="74"/>
      <c r="BH74" s="137"/>
      <c r="BI74" s="74"/>
      <c r="BJ74" s="137"/>
      <c r="BK74" s="74"/>
      <c r="BL74" s="137"/>
      <c r="BM74" s="74"/>
      <c r="BN74" s="137"/>
      <c r="BO74" s="74"/>
      <c r="BP74" s="137"/>
      <c r="BQ74" s="74"/>
      <c r="BR74" s="137"/>
      <c r="BS74" s="74"/>
      <c r="BT74" s="137"/>
      <c r="BU74" s="74"/>
      <c r="BV74" s="137"/>
      <c r="BW74" s="74"/>
      <c r="BX74" s="137"/>
      <c r="BY74" s="74"/>
      <c r="BZ74" s="137"/>
      <c r="CA74" s="74"/>
      <c r="CB74" s="137"/>
      <c r="CC74" s="74"/>
      <c r="CD74" s="137"/>
      <c r="CE74" s="74"/>
      <c r="CF74" s="137"/>
      <c r="CG74" s="74"/>
      <c r="CH74" s="137"/>
      <c r="CI74" s="74"/>
      <c r="CJ74" s="137"/>
      <c r="CK74" s="74"/>
      <c r="CL74" s="137"/>
      <c r="CM74" s="1"/>
      <c r="CN74" s="1"/>
    </row>
    <row r="75" ht="15.75" customHeight="1">
      <c r="A75" s="94"/>
      <c r="B75" s="97"/>
      <c r="C75" s="97"/>
      <c r="D75" s="97"/>
      <c r="E75" s="5" t="s">
        <v>138</v>
      </c>
      <c r="F75" s="57">
        <v>44807.7618292683</v>
      </c>
      <c r="G75" s="57">
        <f t="shared" ref="G75:V75" si="29">F81</f>
        <v>41211.73744</v>
      </c>
      <c r="H75" s="57">
        <f t="shared" si="29"/>
        <v>38039.62329</v>
      </c>
      <c r="I75" s="57">
        <f t="shared" si="29"/>
        <v>25262.355</v>
      </c>
      <c r="J75" s="57">
        <f t="shared" si="29"/>
        <v>20734.3428</v>
      </c>
      <c r="K75" s="57">
        <f t="shared" si="29"/>
        <v>2684134.221</v>
      </c>
      <c r="L75" s="57">
        <f t="shared" si="29"/>
        <v>2628068.71</v>
      </c>
      <c r="M75" s="57">
        <f t="shared" si="29"/>
        <v>2558584.795</v>
      </c>
      <c r="N75" s="57">
        <f t="shared" si="29"/>
        <v>2496054.545</v>
      </c>
      <c r="O75" s="57">
        <f t="shared" si="29"/>
        <v>2376812.504</v>
      </c>
      <c r="P75" s="57">
        <f t="shared" si="29"/>
        <v>2219781.144</v>
      </c>
      <c r="Q75" s="57">
        <f t="shared" si="29"/>
        <v>2109122.519</v>
      </c>
      <c r="R75" s="57">
        <f t="shared" si="29"/>
        <v>1921604.62</v>
      </c>
      <c r="S75" s="57">
        <f t="shared" si="29"/>
        <v>1779431.67</v>
      </c>
      <c r="T75" s="57">
        <f t="shared" si="29"/>
        <v>1559370.482</v>
      </c>
      <c r="U75" s="57">
        <f t="shared" si="29"/>
        <v>1362225.152</v>
      </c>
      <c r="V75" s="57">
        <f t="shared" si="29"/>
        <v>1111744.489</v>
      </c>
      <c r="W75" s="57">
        <v>8078547.0</v>
      </c>
      <c r="X75" s="57">
        <f t="shared" ref="X75:AN75" si="30">V81</f>
        <v>8088128.244</v>
      </c>
      <c r="Y75" s="57">
        <f t="shared" si="30"/>
        <v>7602273.444</v>
      </c>
      <c r="Z75" s="57">
        <f t="shared" si="30"/>
        <v>7638193.273</v>
      </c>
      <c r="AA75" s="57">
        <f t="shared" si="30"/>
        <v>7484569.063</v>
      </c>
      <c r="AB75" s="57">
        <f t="shared" si="30"/>
        <v>7171093.334</v>
      </c>
      <c r="AC75" s="57">
        <f t="shared" si="30"/>
        <v>7051057.188</v>
      </c>
      <c r="AD75" s="57">
        <f t="shared" si="30"/>
        <v>6838580.373</v>
      </c>
      <c r="AE75" s="57">
        <f t="shared" si="30"/>
        <v>6627980.923</v>
      </c>
      <c r="AF75" s="57">
        <f t="shared" si="30"/>
        <v>6445961.329</v>
      </c>
      <c r="AG75" s="57">
        <f t="shared" si="30"/>
        <v>6202169.369</v>
      </c>
      <c r="AH75" s="57">
        <f t="shared" si="30"/>
        <v>6074938.455</v>
      </c>
      <c r="AI75" s="57">
        <f t="shared" si="30"/>
        <v>5731321.242</v>
      </c>
      <c r="AJ75" s="57">
        <f t="shared" si="30"/>
        <v>5703445.557</v>
      </c>
      <c r="AK75" s="57">
        <f t="shared" si="30"/>
        <v>5322119.531</v>
      </c>
      <c r="AL75" s="57">
        <f t="shared" si="30"/>
        <v>5550513.762</v>
      </c>
      <c r="AM75" s="57">
        <f t="shared" si="30"/>
        <v>4919162.705</v>
      </c>
      <c r="AN75" s="57">
        <f t="shared" si="30"/>
        <v>5365984.703</v>
      </c>
      <c r="AO75" s="57">
        <v>5000000.0</v>
      </c>
      <c r="AP75" s="57">
        <f t="shared" ref="AP75:BB75" si="31">AN81</f>
        <v>5054500.801</v>
      </c>
      <c r="AQ75" s="57">
        <f t="shared" si="31"/>
        <v>13485946.64</v>
      </c>
      <c r="AR75" s="57">
        <f t="shared" si="31"/>
        <v>4669366.766</v>
      </c>
      <c r="AS75" s="57">
        <f t="shared" si="31"/>
        <v>12910371.55</v>
      </c>
      <c r="AT75" s="57">
        <f t="shared" si="31"/>
        <v>13448937.53</v>
      </c>
      <c r="AU75" s="57">
        <f t="shared" si="31"/>
        <v>12334036.81</v>
      </c>
      <c r="AV75" s="57">
        <f t="shared" si="31"/>
        <v>13209858.75</v>
      </c>
      <c r="AW75" s="57">
        <f t="shared" si="31"/>
        <v>11759601.47</v>
      </c>
      <c r="AX75" s="57">
        <f t="shared" si="31"/>
        <v>12695225.15</v>
      </c>
      <c r="AY75" s="57">
        <f t="shared" si="31"/>
        <v>11237237.5</v>
      </c>
      <c r="AZ75" s="57">
        <f t="shared" si="31"/>
        <v>13247255.97</v>
      </c>
      <c r="BA75" s="57">
        <f t="shared" si="31"/>
        <v>10766556.6</v>
      </c>
      <c r="BB75" s="57">
        <f t="shared" si="31"/>
        <v>12939951.92</v>
      </c>
      <c r="BC75" s="57">
        <v>1.2185327E7</v>
      </c>
      <c r="BD75" s="57">
        <f t="shared" ref="BD75:BL75" si="32">BB81</f>
        <v>12446291.77</v>
      </c>
      <c r="BE75" s="57">
        <f t="shared" si="32"/>
        <v>11676228.29</v>
      </c>
      <c r="BF75" s="57">
        <f t="shared" si="32"/>
        <v>12086883.38</v>
      </c>
      <c r="BG75" s="57">
        <f t="shared" si="32"/>
        <v>11094397.38</v>
      </c>
      <c r="BH75" s="57">
        <f t="shared" si="32"/>
        <v>11659986.37</v>
      </c>
      <c r="BI75" s="57">
        <f t="shared" si="32"/>
        <v>10482888.39</v>
      </c>
      <c r="BJ75" s="57">
        <f t="shared" si="32"/>
        <v>11117887.01</v>
      </c>
      <c r="BK75" s="57">
        <f t="shared" si="32"/>
        <v>9885955.589</v>
      </c>
      <c r="BL75" s="57">
        <f t="shared" si="32"/>
        <v>10669512.44</v>
      </c>
      <c r="BM75" s="57">
        <v>9952008.076287583</v>
      </c>
      <c r="BN75" s="57">
        <f t="shared" ref="BN75:BP75" si="33">BL81</f>
        <v>10545552.28</v>
      </c>
      <c r="BO75" s="57">
        <f t="shared" si="33"/>
        <v>9515854.22</v>
      </c>
      <c r="BP75" s="57">
        <f t="shared" si="33"/>
        <v>9868272.642</v>
      </c>
      <c r="BQ75" s="57">
        <f>BP81</f>
        <v>9525350.943</v>
      </c>
      <c r="BR75" s="57">
        <f>BP81</f>
        <v>9525350.943</v>
      </c>
      <c r="BS75" s="57">
        <f>BR81</f>
        <v>9414035.612</v>
      </c>
      <c r="BT75" s="57">
        <f t="shared" ref="BT75:CM75" si="34">BR81</f>
        <v>9414035.612</v>
      </c>
      <c r="BU75" s="57">
        <f t="shared" si="34"/>
        <v>9096507.91</v>
      </c>
      <c r="BV75" s="57">
        <f t="shared" si="34"/>
        <v>8669877.285</v>
      </c>
      <c r="BW75" s="57">
        <f t="shared" si="34"/>
        <v>8799513.552</v>
      </c>
      <c r="BX75" s="57">
        <f t="shared" si="34"/>
        <v>8102892.334</v>
      </c>
      <c r="BY75" s="57">
        <f t="shared" si="34"/>
        <v>8530919.923</v>
      </c>
      <c r="BZ75" s="57">
        <f t="shared" si="34"/>
        <v>7830689.429</v>
      </c>
      <c r="CA75" s="57">
        <f t="shared" si="34"/>
        <v>8262653.571</v>
      </c>
      <c r="CB75" s="57">
        <f t="shared" si="34"/>
        <v>7417386.549</v>
      </c>
      <c r="CC75" s="57">
        <f t="shared" si="34"/>
        <v>8077338.36</v>
      </c>
      <c r="CD75" s="57">
        <f t="shared" si="34"/>
        <v>7177822.159</v>
      </c>
      <c r="CE75" s="57">
        <f t="shared" si="34"/>
        <v>7877013.077</v>
      </c>
      <c r="CF75" s="57">
        <f t="shared" si="34"/>
        <v>6890959.259</v>
      </c>
      <c r="CG75" s="57">
        <f t="shared" si="34"/>
        <v>7650249.424</v>
      </c>
      <c r="CH75" s="57">
        <f t="shared" si="34"/>
        <v>6732264.584</v>
      </c>
      <c r="CI75" s="57">
        <f t="shared" si="34"/>
        <v>7464284.248</v>
      </c>
      <c r="CJ75" s="57">
        <f t="shared" si="34"/>
        <v>6041826.724</v>
      </c>
      <c r="CK75" s="57">
        <f t="shared" si="34"/>
        <v>7252570.672</v>
      </c>
      <c r="CL75" s="57">
        <f t="shared" si="34"/>
        <v>5837148.921</v>
      </c>
      <c r="CM75" s="57">
        <f t="shared" si="34"/>
        <v>7042842.209</v>
      </c>
      <c r="CN75" s="57">
        <f>CM81</f>
        <v>5316374.97</v>
      </c>
    </row>
    <row r="76" ht="15.75" customHeight="1">
      <c r="A76" s="94"/>
      <c r="B76" s="97"/>
      <c r="C76" s="97"/>
      <c r="D76" s="97"/>
      <c r="E76" s="5" t="s">
        <v>139</v>
      </c>
      <c r="F76" s="57">
        <v>9.07317073170732</v>
      </c>
      <c r="G76" s="57">
        <v>8.78048780487805</v>
      </c>
      <c r="H76" s="57">
        <v>9502.79268292683</v>
      </c>
      <c r="I76" s="57">
        <v>2732.73170731707</v>
      </c>
      <c r="J76" s="57">
        <v>2564.42682926829</v>
      </c>
      <c r="K76" s="57">
        <f>SUM('3. Cash Flow Statement '!C22,'3. Cash Flow Statement '!C34)</f>
        <v>20046.26598</v>
      </c>
      <c r="L76" s="57">
        <f>SUM('3. Cash Flow Statement '!D22,'3. Cash Flow Statement '!D34)</f>
        <v>11489.02427</v>
      </c>
      <c r="M76" s="57">
        <f>SUM('3. Cash Flow Statement '!E22,'3. Cash Flow Statement '!E34)</f>
        <v>29970.74171</v>
      </c>
      <c r="N76" s="57">
        <f>SUM('3. Cash Flow Statement '!F22,'3. Cash Flow Statement '!F34)</f>
        <v>51473.88134</v>
      </c>
      <c r="O76" s="57">
        <f>SUM('3. Cash Flow Statement '!G22,'3. Cash Flow Statement '!G34)</f>
        <v>28644.26756</v>
      </c>
      <c r="P76" s="57">
        <f>SUM('3. Cash Flow Statement '!H22,'3. Cash Flow Statement '!H34)</f>
        <v>74000.08098</v>
      </c>
      <c r="Q76" s="57">
        <f>SUM('3. Cash Flow Statement '!I22,'3. Cash Flow Statement '!I34)</f>
        <v>89887.90329</v>
      </c>
      <c r="R76" s="57">
        <f>SUM('3. Cash Flow Statement '!J22,'3. Cash Flow Statement '!J34)</f>
        <v>75287.56268</v>
      </c>
      <c r="S76" s="57">
        <f>SUM('3. Cash Flow Statement '!K22,'3. Cash Flow Statement '!K34)</f>
        <v>119944.1213</v>
      </c>
      <c r="T76" s="57">
        <f>SUM('3. Cash Flow Statement '!L22,'3. Cash Flow Statement '!L34)</f>
        <v>106949.4035</v>
      </c>
      <c r="U76" s="57">
        <f>SUM('3. Cash Flow Statement '!M22,'3. Cash Flow Statement '!M34)</f>
        <v>117178.6412</v>
      </c>
      <c r="V76" s="57">
        <f>SUM('3. Cash Flow Statement '!N22,'3. Cash Flow Statement '!N34)</f>
        <v>203656.7791</v>
      </c>
      <c r="W76" s="57">
        <v>243729.0</v>
      </c>
      <c r="X76" s="57">
        <f>SUM('3. Cash Flow Statement '!P22,'3. Cash Flow Statement '!P34)</f>
        <v>204631.4291</v>
      </c>
      <c r="Y76" s="57">
        <v>262788.0</v>
      </c>
      <c r="Z76" s="57">
        <f>SUM('3. Cash Flow Statement '!R22,'3. Cash Flow Statement '!R34)</f>
        <v>238942.0532</v>
      </c>
      <c r="AA76" s="57">
        <v>346876.0</v>
      </c>
      <c r="AB76" s="57">
        <f>SUM('3. Cash Flow Statement '!T22,'3. Cash Flow Statement '!T34)</f>
        <v>265925.5471</v>
      </c>
      <c r="AC76" s="57">
        <v>396318.0</v>
      </c>
      <c r="AD76" s="57">
        <f>SUM('3. Cash Flow Statement '!V22,'3. Cash Flow Statement '!V34)</f>
        <v>215309.88</v>
      </c>
      <c r="AE76" s="57">
        <v>397419.0</v>
      </c>
      <c r="AF76" s="57">
        <f>SUM('3. Cash Flow Statement '!X22,'3. Cash Flow Statement '!X34)</f>
        <v>259200.07</v>
      </c>
      <c r="AG76" s="57">
        <v>413866.0</v>
      </c>
      <c r="AH76" s="57">
        <f>SUM('3. Cash Flow Statement '!Z22,'3. Cash Flow Statement '!Z34)</f>
        <v>291726.6413</v>
      </c>
      <c r="AI76" s="57">
        <v>501288.0</v>
      </c>
      <c r="AJ76" s="57">
        <f>SUM('3. Cash Flow Statement '!AB22,'3. Cash Flow Statement '!AB34)</f>
        <v>291437.05</v>
      </c>
      <c r="AK76" s="57">
        <v>538889.0</v>
      </c>
      <c r="AL76" s="57">
        <f>SUM('3. Cash Flow Statement '!AD22,'3. Cash Flow Statement '!AD34)</f>
        <v>342119.8307</v>
      </c>
      <c r="AM76" s="57">
        <v>552640.0</v>
      </c>
      <c r="AN76" s="57">
        <f>SUM('3. Cash Flow Statement '!AF22,'3. Cash Flow Statement '!AF34)</f>
        <v>432680.477</v>
      </c>
      <c r="AO76" s="57">
        <v>431064.1205</v>
      </c>
      <c r="AP76" s="57">
        <f>SUM('3. Cash Flow Statement '!AH22,'3. Cash Flow Statement '!AH34)</f>
        <v>526035.9394</v>
      </c>
      <c r="AQ76" s="57">
        <v>472557.1274544167</v>
      </c>
      <c r="AR76" s="57">
        <f>SUM('3. Cash Flow Statement '!AJ22,'3. Cash Flow Statement '!AJ34)</f>
        <v>499490.0966</v>
      </c>
      <c r="AS76" s="57">
        <v>532263.2126210356</v>
      </c>
      <c r="AT76" s="57">
        <f>SUM('3. Cash Flow Statement '!AL22,'3. Cash Flow Statement '!AL34)</f>
        <v>548802.4393</v>
      </c>
      <c r="AU76" s="57">
        <v>592803.4102210328</v>
      </c>
      <c r="AV76" s="57">
        <f>SUM('3. Cash Flow Statement '!AN22,'3. Cash Flow Statement '!AN34)</f>
        <v>564295.0465</v>
      </c>
      <c r="AW76" s="57">
        <v>656066.2627379873</v>
      </c>
      <c r="AX76" s="57">
        <f>SUM('3. Cash Flow Statement '!AP22,'3. Cash Flow Statement '!AP34)</f>
        <v>597856.9692</v>
      </c>
      <c r="AY76" s="57">
        <v>721489.4599316522</v>
      </c>
      <c r="AZ76" s="57">
        <f>SUM('3. Cash Flow Statement '!AR22,'3. Cash Flow Statement '!AR34)</f>
        <v>569796.8358</v>
      </c>
      <c r="BA76" s="57">
        <v>662278.0519785003</v>
      </c>
      <c r="BB76" s="57">
        <f>SUM('3. Cash Flow Statement '!AT22,'3. Cash Flow Statement '!AT34)</f>
        <v>931081.4511</v>
      </c>
      <c r="BC76" s="57">
        <v>772010.1676841027</v>
      </c>
      <c r="BD76" s="57">
        <f>SUM('3. Cash Flow Statement '!AV22,'3. Cash Flow Statement '!AV34)</f>
        <v>682010.9857</v>
      </c>
      <c r="BE76" s="57">
        <v>768688.6516492323</v>
      </c>
      <c r="BF76" s="57">
        <f>SUM('3. Cash Flow Statement '!AX22,'3. Cash Flow Statement '!AX34)</f>
        <v>627332.3445</v>
      </c>
      <c r="BG76" s="57">
        <v>799829.5682491781</v>
      </c>
      <c r="BH76" s="57">
        <f>SUM('3. Cash Flow Statement '!AZ22,'3. Cash Flow Statement '!AZ34)</f>
        <v>773121.6078</v>
      </c>
      <c r="BI76" s="57">
        <v>814069.1483508293</v>
      </c>
      <c r="BJ76" s="57">
        <f>SUM('3. Cash Flow Statement '!BB22,'3. Cash Flow Statement '!BB34)</f>
        <v>703033.476</v>
      </c>
      <c r="BK76" s="57">
        <v>759852.7914541571</v>
      </c>
      <c r="BL76" s="57">
        <f>SUM('3. Cash Flow Statement '!BD22,'3. Cash Flow Statement '!BD34)</f>
        <v>946498.6169</v>
      </c>
      <c r="BM76" s="57">
        <v>882439.1976784545</v>
      </c>
      <c r="BN76" s="57">
        <f>SUM('3. Cash Flow Statement '!BF22,'3. Cash Flow Statement '!BF34)</f>
        <v>888969.5665</v>
      </c>
      <c r="BO76" s="57">
        <v>832594.9160859731</v>
      </c>
      <c r="BP76" s="57">
        <f>SUM('3. Cash Flow Statement '!BH22,'3. Cash Flow Statement '!BH34)</f>
        <v>784653.7166</v>
      </c>
      <c r="BQ76" s="57">
        <v>970580.777678876</v>
      </c>
      <c r="BR76" s="57">
        <f>SUM('3. Cash Flow Statement '!BJ22,'3. Cash Flow Statement '!BJ34)</f>
        <v>1198398.591</v>
      </c>
      <c r="BS76" s="57">
        <v>1089145.0047434168</v>
      </c>
      <c r="BT76" s="57">
        <f>SUM('3. Cash Flow Statement '!BL22,'3. Cash Flow Statement '!BL34)</f>
        <v>948577.9789</v>
      </c>
      <c r="BU76" s="57">
        <v>1121358.3706469764</v>
      </c>
      <c r="BV76" s="57">
        <f>SUM('3. Cash Flow Statement '!BN22,'3. Cash Flow Statement '!BN34)</f>
        <v>1022028.162</v>
      </c>
      <c r="BW76" s="57">
        <v>1199617.3214808917</v>
      </c>
      <c r="BX76" s="57">
        <f>SUM('3. Cash Flow Statement '!BP22,'3. Cash Flow Statement '!BP34)</f>
        <v>1176771.211</v>
      </c>
      <c r="BY76" s="57">
        <v>1270335.9127472613</v>
      </c>
      <c r="BZ76" s="57">
        <f>SUM('3. Cash Flow Statement '!BR22,'3. Cash Flow Statement '!BR34)</f>
        <v>1307449.417</v>
      </c>
      <c r="CA76" s="57">
        <v>1357797.5822896613</v>
      </c>
      <c r="CB76" s="57">
        <f>SUM('3. Cash Flow Statement '!BT22,'3. Cash Flow Statement '!BT34)</f>
        <v>1174430.44</v>
      </c>
      <c r="CC76" s="57">
        <v>1366278.7198500386</v>
      </c>
      <c r="CD76" s="57">
        <f>SUM('3. Cash Flow Statement '!BV22,'3. Cash Flow Statement '!BV34)</f>
        <v>1160804.682</v>
      </c>
      <c r="CE76" s="57">
        <v>1408897.94216752</v>
      </c>
      <c r="CF76" s="57">
        <f>SUM('3. Cash Flow Statement '!BX22,'3. Cash Flow Statement '!BX34)</f>
        <v>1275534.82</v>
      </c>
      <c r="CG76" s="57">
        <v>1466326.008108753</v>
      </c>
      <c r="CH76" s="57">
        <f>SUM('3. Cash Flow Statement '!BZ22,'3. Cash Flow Statement '!BZ34)</f>
        <v>1276138.65</v>
      </c>
      <c r="CI76" s="57">
        <v>1500234.8921702001</v>
      </c>
      <c r="CJ76" s="57">
        <f>SUM('3. Cash Flow Statement '!CB22,'3. Cash Flow Statement '!CB34)</f>
        <v>1533202.63</v>
      </c>
      <c r="CK76" s="57">
        <v>1523522.4005017527</v>
      </c>
      <c r="CL76" s="57">
        <f>SUM('3. Cash Flow Statement '!CD22,'3. Cash Flow Statement '!CD34)</f>
        <v>1284712.76</v>
      </c>
      <c r="CM76" s="57">
        <v>0.0</v>
      </c>
      <c r="CN76" s="57">
        <v>0.0</v>
      </c>
    </row>
    <row r="77" ht="15.75" customHeight="1">
      <c r="A77" s="94"/>
      <c r="B77" s="97"/>
      <c r="C77" s="97"/>
      <c r="D77" s="97"/>
      <c r="E77" s="5" t="s">
        <v>140</v>
      </c>
      <c r="F77" s="57"/>
      <c r="G77" s="57"/>
      <c r="H77" s="57"/>
      <c r="I77" s="57"/>
      <c r="J77" s="57"/>
      <c r="K77" s="57">
        <f>-'3. Cash Flow Statement '!C32</f>
        <v>0</v>
      </c>
      <c r="L77" s="57">
        <f>-'3. Cash Flow Statement '!D32</f>
        <v>0</v>
      </c>
      <c r="M77" s="57">
        <f>-'3. Cash Flow Statement '!E32</f>
        <v>0</v>
      </c>
      <c r="N77" s="57">
        <f>-'3. Cash Flow Statement '!F32</f>
        <v>0</v>
      </c>
      <c r="O77" s="57">
        <f>-'3. Cash Flow Statement '!G32</f>
        <v>0</v>
      </c>
      <c r="P77" s="57">
        <f>-'3. Cash Flow Statement '!H32</f>
        <v>0</v>
      </c>
      <c r="Q77" s="57">
        <f>-'3. Cash Flow Statement '!I32</f>
        <v>0</v>
      </c>
      <c r="R77" s="57">
        <f>-'3. Cash Flow Statement '!J32</f>
        <v>0</v>
      </c>
      <c r="S77" s="57">
        <f>-'3. Cash Flow Statement '!K32</f>
        <v>0</v>
      </c>
      <c r="T77" s="57">
        <f>-'3. Cash Flow Statement '!L32</f>
        <v>0</v>
      </c>
      <c r="U77" s="57">
        <f>-'3. Cash Flow Statement '!M32</f>
        <v>0</v>
      </c>
      <c r="V77" s="57">
        <f>-'3. Cash Flow Statement '!N32</f>
        <v>0</v>
      </c>
      <c r="W77" s="57"/>
      <c r="X77" s="57">
        <f>-'3. Cash Flow Statement '!P32</f>
        <v>-499969.5</v>
      </c>
      <c r="Y77" s="57"/>
      <c r="Z77" s="57">
        <f>-'3. Cash Flow Statement '!R32</f>
        <v>0</v>
      </c>
      <c r="AA77" s="57"/>
      <c r="AB77" s="57">
        <f>-'3. Cash Flow Statement '!T32</f>
        <v>0</v>
      </c>
      <c r="AC77" s="57"/>
      <c r="AD77" s="57">
        <f>-'3. Cash Flow Statement '!V32</f>
        <v>-50000</v>
      </c>
      <c r="AE77" s="57"/>
      <c r="AF77" s="57">
        <f>-'3. Cash Flow Statement '!X32</f>
        <v>-499960</v>
      </c>
      <c r="AG77" s="57"/>
      <c r="AH77" s="57">
        <f>-'3. Cash Flow Statement '!Z32</f>
        <v>0</v>
      </c>
      <c r="AI77" s="57"/>
      <c r="AJ77" s="57">
        <f>-'3. Cash Flow Statement '!AB32</f>
        <v>0</v>
      </c>
      <c r="AK77" s="57"/>
      <c r="AL77" s="57">
        <f>-'3. Cash Flow Statement '!AD32</f>
        <v>0</v>
      </c>
      <c r="AM77" s="57"/>
      <c r="AN77" s="57">
        <f>-'3. Cash Flow Statement '!AF32</f>
        <v>-1218439.024</v>
      </c>
      <c r="AO77" s="57"/>
      <c r="AP77" s="57">
        <f>-'3. Cash Flow Statement '!AH32</f>
        <v>0</v>
      </c>
      <c r="AQ77" s="57"/>
      <c r="AR77" s="57">
        <f>-'3. Cash Flow Statement '!AJ32</f>
        <v>0</v>
      </c>
      <c r="AS77" s="57"/>
      <c r="AT77" s="57">
        <f>-'3. Cash Flow Statement '!AL32</f>
        <v>0</v>
      </c>
      <c r="AU77" s="57"/>
      <c r="AV77" s="57">
        <f>-'3. Cash Flow Statement '!AN32</f>
        <v>0</v>
      </c>
      <c r="AW77" s="57"/>
      <c r="AX77" s="57">
        <f>-'3. Cash Flow Statement '!AP32</f>
        <v>0</v>
      </c>
      <c r="AY77" s="57"/>
      <c r="AZ77" s="57">
        <f>-'3. Cash Flow Statement '!AR32</f>
        <v>0</v>
      </c>
      <c r="BA77" s="57"/>
      <c r="BB77" s="57">
        <f>-'3. Cash Flow Statement '!AT32</f>
        <v>0</v>
      </c>
      <c r="BC77" s="57"/>
      <c r="BD77" s="57">
        <f>-'3. Cash Flow Statement '!AV32</f>
        <v>0</v>
      </c>
      <c r="BE77" s="57"/>
      <c r="BF77" s="57">
        <f>-'3. Cash Flow Statement '!AX32</f>
        <v>0</v>
      </c>
      <c r="BG77" s="57"/>
      <c r="BH77" s="57">
        <f>-'3. Cash Flow Statement '!AZ32</f>
        <v>0</v>
      </c>
      <c r="BI77" s="57"/>
      <c r="BJ77" s="57">
        <f>-'3. Cash Flow Statement '!BB32</f>
        <v>0</v>
      </c>
      <c r="BK77" s="57"/>
      <c r="BL77" s="57">
        <f>-'3. Cash Flow Statement '!BD32</f>
        <v>0</v>
      </c>
      <c r="BM77" s="57"/>
      <c r="BN77" s="57">
        <f>-'3. Cash Flow Statement '!BF32</f>
        <v>0</v>
      </c>
      <c r="BO77" s="57"/>
      <c r="BP77" s="57">
        <f>-'3. Cash Flow Statement '!BH32</f>
        <v>0</v>
      </c>
      <c r="BQ77" s="57"/>
      <c r="BR77" s="57">
        <f>-'3. Cash Flow Statement '!BJ32</f>
        <v>0</v>
      </c>
      <c r="BS77" s="57"/>
      <c r="BT77" s="57">
        <f>-'3. Cash Flow Statement '!BL32</f>
        <v>0</v>
      </c>
      <c r="BU77" s="57"/>
      <c r="BV77" s="57">
        <f>-'3. Cash Flow Statement '!BN32</f>
        <v>0</v>
      </c>
      <c r="BW77" s="57"/>
      <c r="BX77" s="57">
        <f>-'3. Cash Flow Statement '!BP32</f>
        <v>0</v>
      </c>
      <c r="BY77" s="57"/>
      <c r="BZ77" s="57">
        <f>-'3. Cash Flow Statement '!BR32</f>
        <v>0</v>
      </c>
      <c r="CA77" s="57"/>
      <c r="CB77" s="57">
        <f>-'3. Cash Flow Statement '!BT32</f>
        <v>0</v>
      </c>
      <c r="CC77" s="57"/>
      <c r="CD77" s="57">
        <f>-'3. Cash Flow Statement '!BV32</f>
        <v>0</v>
      </c>
      <c r="CE77" s="57"/>
      <c r="CF77" s="57">
        <f>-'3. Cash Flow Statement '!BX32</f>
        <v>0</v>
      </c>
      <c r="CG77" s="57"/>
      <c r="CH77" s="57">
        <f>-'3. Cash Flow Statement '!BZ32</f>
        <v>0</v>
      </c>
      <c r="CI77" s="57"/>
      <c r="CJ77" s="57">
        <f>-'3. Cash Flow Statement '!CB32</f>
        <v>0</v>
      </c>
      <c r="CK77" s="57"/>
      <c r="CL77" s="57">
        <f>-'3. Cash Flow Statement '!CD32</f>
        <v>-555516</v>
      </c>
      <c r="CM77" s="57"/>
      <c r="CN77" s="57"/>
    </row>
    <row r="78" ht="15.75" customHeight="1">
      <c r="A78" s="94"/>
      <c r="B78" s="97"/>
      <c r="C78" s="97"/>
      <c r="D78" s="97"/>
      <c r="E78" s="5" t="s">
        <v>141</v>
      </c>
      <c r="F78" s="57"/>
      <c r="G78" s="57"/>
      <c r="H78" s="57"/>
      <c r="I78" s="57"/>
      <c r="J78" s="57">
        <v>2756044.54878049</v>
      </c>
      <c r="K78" s="57">
        <f>'3. Cash Flow Statement '!C33</f>
        <v>0</v>
      </c>
      <c r="L78" s="57">
        <f>'3. Cash Flow Statement '!D33</f>
        <v>0</v>
      </c>
      <c r="M78" s="57">
        <f>'3. Cash Flow Statement '!E33</f>
        <v>0</v>
      </c>
      <c r="N78" s="57">
        <f>'3. Cash Flow Statement '!F33</f>
        <v>0</v>
      </c>
      <c r="O78" s="57">
        <f>'3. Cash Flow Statement '!G33</f>
        <v>0</v>
      </c>
      <c r="P78" s="57">
        <f>'3. Cash Flow Statement '!H33</f>
        <v>0</v>
      </c>
      <c r="Q78" s="57">
        <f>'3. Cash Flow Statement '!I33</f>
        <v>0</v>
      </c>
      <c r="R78" s="57">
        <f>'3. Cash Flow Statement '!J33</f>
        <v>0</v>
      </c>
      <c r="S78" s="57">
        <f>'3. Cash Flow Statement '!K33</f>
        <v>0</v>
      </c>
      <c r="T78" s="57">
        <f>'3. Cash Flow Statement '!L33</f>
        <v>0</v>
      </c>
      <c r="U78" s="57">
        <f>'3. Cash Flow Statement '!M33</f>
        <v>0</v>
      </c>
      <c r="V78" s="57">
        <f>'3. Cash Flow Statement '!N33</f>
        <v>7358178.883</v>
      </c>
      <c r="W78" s="5"/>
      <c r="X78" s="57">
        <f>'3. Cash Flow Statement '!P33</f>
        <v>0</v>
      </c>
      <c r="Y78" s="57">
        <v>300000.0</v>
      </c>
      <c r="Z78" s="57">
        <f>'3. Cash Flow Statement '!R33</f>
        <v>0</v>
      </c>
      <c r="AA78" s="1"/>
      <c r="AB78" s="57">
        <f>'3. Cash Flow Statement '!T33</f>
        <v>0</v>
      </c>
      <c r="AC78" s="1"/>
      <c r="AD78" s="57">
        <f>'3. Cash Flow Statement '!V33</f>
        <v>0</v>
      </c>
      <c r="AE78" s="1"/>
      <c r="AF78" s="57">
        <f>'3. Cash Flow Statement '!X33</f>
        <v>100186</v>
      </c>
      <c r="AG78" s="1"/>
      <c r="AH78" s="57">
        <f>'3. Cash Flow Statement '!Z33</f>
        <v>354.7369512</v>
      </c>
      <c r="AI78" s="1"/>
      <c r="AJ78" s="57">
        <f>'3. Cash Flow Statement '!AB33</f>
        <v>302771.3226</v>
      </c>
      <c r="AK78" s="1"/>
      <c r="AL78" s="57">
        <f>'3. Cash Flow Statement '!AD33</f>
        <v>135396.4813</v>
      </c>
      <c r="AM78" s="1"/>
      <c r="AN78" s="57" t="str">
        <f>'3. Cash Flow Statement '!AF33</f>
        <v/>
      </c>
      <c r="AO78" s="57">
        <v>9000000.0</v>
      </c>
      <c r="AP78" s="57" t="str">
        <f>'3. Cash Flow Statement '!AH33</f>
        <v/>
      </c>
      <c r="AQ78" s="1"/>
      <c r="AR78" s="57">
        <f>'3. Cash Flow Statement '!AJ33</f>
        <v>9006025.412</v>
      </c>
      <c r="AS78" s="107"/>
      <c r="AT78" s="57">
        <f>'3. Cash Flow Statement '!AL33</f>
        <v>0</v>
      </c>
      <c r="AU78" s="107"/>
      <c r="AV78" s="57" t="str">
        <f>'3. Cash Flow Statement '!AN33</f>
        <v/>
      </c>
      <c r="AW78" s="107"/>
      <c r="AX78" s="57">
        <f>'3. Cash Flow Statement '!AP33</f>
        <v>1000655.032</v>
      </c>
      <c r="AY78" s="107"/>
      <c r="AZ78" s="57">
        <f>'3. Cash Flow Statement '!AR33</f>
        <v>0</v>
      </c>
      <c r="BA78" s="107"/>
      <c r="BB78" s="57">
        <f>'3. Cash Flow Statement '!AT33</f>
        <v>0</v>
      </c>
      <c r="BC78" s="107"/>
      <c r="BD78" s="57">
        <f>'3. Cash Flow Statement '!AV33</f>
        <v>0</v>
      </c>
      <c r="BE78" s="107"/>
      <c r="BF78" s="57">
        <f>'3. Cash Flow Statement '!AX33</f>
        <v>0</v>
      </c>
      <c r="BG78" s="107"/>
      <c r="BH78" s="57">
        <f>'3. Cash Flow Statement '!AZ33</f>
        <v>0</v>
      </c>
      <c r="BI78" s="107"/>
      <c r="BJ78" s="57" t="str">
        <f>'3. Cash Flow Statement '!BB33</f>
        <v/>
      </c>
      <c r="BK78" s="107"/>
      <c r="BL78" s="57" t="str">
        <f>'3. Cash Flow Statement '!BD33</f>
        <v/>
      </c>
      <c r="BM78" s="107"/>
      <c r="BN78" s="57" t="str">
        <f>'3. Cash Flow Statement '!BF33</f>
        <v/>
      </c>
      <c r="BO78" s="107"/>
      <c r="BP78" s="57" t="str">
        <f>'3. Cash Flow Statement '!BH33</f>
        <v/>
      </c>
      <c r="BQ78" s="107"/>
      <c r="BR78" s="57" t="str">
        <f>'3. Cash Flow Statement '!BJ33</f>
        <v/>
      </c>
      <c r="BS78" s="107">
        <v>0.0</v>
      </c>
      <c r="BT78" s="57" t="str">
        <f>'3. Cash Flow Statement '!BL33</f>
        <v/>
      </c>
      <c r="BU78" s="107"/>
      <c r="BV78" s="57" t="str">
        <f>'3. Cash Flow Statement '!BN33</f>
        <v/>
      </c>
      <c r="BW78" s="107"/>
      <c r="BX78" s="57" t="str">
        <f>'3. Cash Flow Statement '!BP33</f>
        <v/>
      </c>
      <c r="BY78" s="107"/>
      <c r="BZ78" s="57" t="str">
        <f>'3. Cash Flow Statement '!BR33</f>
        <v/>
      </c>
      <c r="CA78" s="107"/>
      <c r="CB78" s="57" t="str">
        <f>'3. Cash Flow Statement '!BT33</f>
        <v/>
      </c>
      <c r="CC78" s="107"/>
      <c r="CD78" s="57" t="str">
        <f>'3. Cash Flow Statement '!BV33</f>
        <v/>
      </c>
      <c r="CE78" s="107"/>
      <c r="CF78" s="57" t="str">
        <f>'3. Cash Flow Statement '!BX33</f>
        <v/>
      </c>
      <c r="CG78" s="107"/>
      <c r="CH78" s="57" t="str">
        <f>'3. Cash Flow Statement '!BZ33</f>
        <v/>
      </c>
      <c r="CI78" s="107"/>
      <c r="CJ78" s="57" t="str">
        <f>'3. Cash Flow Statement '!CB33</f>
        <v/>
      </c>
      <c r="CK78" s="107"/>
      <c r="CL78" s="57" t="str">
        <f>'3. Cash Flow Statement '!CD33</f>
        <v/>
      </c>
      <c r="CM78" s="107"/>
      <c r="CN78" s="107"/>
    </row>
    <row r="79" ht="15.75" customHeight="1">
      <c r="A79" s="94"/>
      <c r="B79" s="97"/>
      <c r="C79" s="97"/>
      <c r="D79" s="97"/>
      <c r="E79" s="5" t="s">
        <v>142</v>
      </c>
      <c r="F79" s="57"/>
      <c r="G79" s="57"/>
      <c r="H79" s="57"/>
      <c r="I79" s="57"/>
      <c r="J79" s="57"/>
      <c r="K79" s="57">
        <f>'3. Cash Flow Statement '!C37</f>
        <v>0</v>
      </c>
      <c r="L79" s="57">
        <f>'3. Cash Flow Statement '!D37</f>
        <v>0</v>
      </c>
      <c r="M79" s="57">
        <f>'3. Cash Flow Statement '!E37</f>
        <v>0</v>
      </c>
      <c r="N79" s="57">
        <f>'3. Cash Flow Statement '!F37</f>
        <v>0</v>
      </c>
      <c r="O79" s="57">
        <f>'3. Cash Flow Statement '!G37</f>
        <v>0</v>
      </c>
      <c r="P79" s="57">
        <f>'3. Cash Flow Statement '!H37</f>
        <v>0</v>
      </c>
      <c r="Q79" s="57">
        <f>'3. Cash Flow Statement '!I37</f>
        <v>0</v>
      </c>
      <c r="R79" s="57">
        <f>'3. Cash Flow Statement '!J37</f>
        <v>0</v>
      </c>
      <c r="S79" s="57">
        <f>'3. Cash Flow Statement '!K37</f>
        <v>0</v>
      </c>
      <c r="T79" s="57">
        <f>'3. Cash Flow Statement '!L37</f>
        <v>0</v>
      </c>
      <c r="U79" s="57">
        <f>'3. Cash Flow Statement '!M37</f>
        <v>0</v>
      </c>
      <c r="V79" s="57">
        <f>'3. Cash Flow Statement '!N37</f>
        <v>0</v>
      </c>
      <c r="W79" s="5"/>
      <c r="X79" s="57">
        <f>'3. Cash Flow Statement '!P37</f>
        <v>499969.5</v>
      </c>
      <c r="Y79" s="57"/>
      <c r="Z79" s="57">
        <f>'3. Cash Flow Statement '!R37</f>
        <v>0</v>
      </c>
      <c r="AA79" s="1"/>
      <c r="AB79" s="57">
        <f>'3. Cash Flow Statement '!T37</f>
        <v>0</v>
      </c>
      <c r="AC79" s="1"/>
      <c r="AD79" s="57">
        <f>'3. Cash Flow Statement '!V37</f>
        <v>50000</v>
      </c>
      <c r="AE79" s="1"/>
      <c r="AF79" s="57">
        <f>'3. Cash Flow Statement '!X37</f>
        <v>499960</v>
      </c>
      <c r="AG79" s="1"/>
      <c r="AH79" s="57" t="str">
        <f>'3. Cash Flow Statement '!Z37</f>
        <v/>
      </c>
      <c r="AI79" s="1"/>
      <c r="AJ79" s="57" t="str">
        <f>'3. Cash Flow Statement '!AB37</f>
        <v/>
      </c>
      <c r="AK79" s="1"/>
      <c r="AL79" s="57" t="str">
        <f>'3. Cash Flow Statement '!AD37</f>
        <v/>
      </c>
      <c r="AM79" s="1"/>
      <c r="AN79" s="57">
        <f>'3. Cash Flow Statement '!AF37</f>
        <v>1218439.024</v>
      </c>
      <c r="AO79" s="1"/>
      <c r="AP79" s="57">
        <f>'3. Cash Flow Statement '!AH37</f>
        <v>0</v>
      </c>
      <c r="AQ79" s="1"/>
      <c r="AR79" s="57">
        <f>'3. Cash Flow Statement '!AJ37</f>
        <v>0</v>
      </c>
      <c r="AS79" s="107"/>
      <c r="AT79" s="57">
        <f>'3. Cash Flow Statement '!AL37</f>
        <v>0</v>
      </c>
      <c r="AU79" s="107"/>
      <c r="AV79" s="57" t="str">
        <f>'3. Cash Flow Statement '!AN37</f>
        <v/>
      </c>
      <c r="AW79" s="107"/>
      <c r="AX79" s="57" t="str">
        <f>'3. Cash Flow Statement '!AP37</f>
        <v/>
      </c>
      <c r="AY79" s="107"/>
      <c r="AZ79" s="57">
        <f>'3. Cash Flow Statement '!AR37</f>
        <v>0</v>
      </c>
      <c r="BA79" s="107"/>
      <c r="BB79" s="57">
        <f>'3. Cash Flow Statement '!AT37</f>
        <v>0</v>
      </c>
      <c r="BC79" s="107"/>
      <c r="BD79" s="57" t="str">
        <f>'3. Cash Flow Statement '!AV37</f>
        <v/>
      </c>
      <c r="BE79" s="107"/>
      <c r="BF79" s="57" t="str">
        <f>'3. Cash Flow Statement '!AX37</f>
        <v/>
      </c>
      <c r="BG79" s="107"/>
      <c r="BH79" s="57" t="str">
        <f>'3. Cash Flow Statement '!AZ37</f>
        <v/>
      </c>
      <c r="BI79" s="107"/>
      <c r="BJ79" s="57" t="str">
        <f>'3. Cash Flow Statement '!BB37</f>
        <v/>
      </c>
      <c r="BK79" s="107"/>
      <c r="BL79" s="57" t="str">
        <f>'3. Cash Flow Statement '!BD37</f>
        <v/>
      </c>
      <c r="BM79" s="107"/>
      <c r="BN79" s="57" t="str">
        <f>'3. Cash Flow Statement '!BF37</f>
        <v/>
      </c>
      <c r="BO79" s="107"/>
      <c r="BP79" s="57" t="str">
        <f>'3. Cash Flow Statement '!BH37</f>
        <v/>
      </c>
      <c r="BQ79" s="107"/>
      <c r="BR79" s="57" t="str">
        <f>'3. Cash Flow Statement '!BJ37</f>
        <v/>
      </c>
      <c r="BS79" s="107"/>
      <c r="BT79" s="57" t="str">
        <f>'3. Cash Flow Statement '!BL37</f>
        <v/>
      </c>
      <c r="BU79" s="107"/>
      <c r="BV79" s="57" t="str">
        <f>'3. Cash Flow Statement '!BN37</f>
        <v/>
      </c>
      <c r="BW79" s="107"/>
      <c r="BX79" s="57" t="str">
        <f>'3. Cash Flow Statement '!BP37</f>
        <v/>
      </c>
      <c r="BY79" s="107"/>
      <c r="BZ79" s="57" t="str">
        <f>'3. Cash Flow Statement '!BR37</f>
        <v/>
      </c>
      <c r="CA79" s="107"/>
      <c r="CB79" s="57" t="str">
        <f>'3. Cash Flow Statement '!BT37</f>
        <v/>
      </c>
      <c r="CC79" s="107"/>
      <c r="CD79" s="57" t="str">
        <f>'3. Cash Flow Statement '!BV37</f>
        <v/>
      </c>
      <c r="CE79" s="107"/>
      <c r="CF79" s="57" t="str">
        <f>'3. Cash Flow Statement '!BX37</f>
        <v/>
      </c>
      <c r="CG79" s="107"/>
      <c r="CH79" s="57" t="str">
        <f>'3. Cash Flow Statement '!BZ37</f>
        <v/>
      </c>
      <c r="CI79" s="107"/>
      <c r="CJ79" s="57" t="str">
        <f>'3. Cash Flow Statement '!CB37</f>
        <v/>
      </c>
      <c r="CK79" s="107"/>
      <c r="CL79" s="57">
        <f>'3. Cash Flow Statement '!CD37</f>
        <v>555516</v>
      </c>
      <c r="CM79" s="107"/>
      <c r="CN79" s="107"/>
    </row>
    <row r="80" ht="15.75" customHeight="1">
      <c r="A80" s="94"/>
      <c r="B80" s="97"/>
      <c r="C80" s="97"/>
      <c r="D80" s="97"/>
      <c r="E80" s="5" t="s">
        <v>143</v>
      </c>
      <c r="F80" s="57">
        <v>-3605.09756097561</v>
      </c>
      <c r="G80" s="57">
        <v>-3180.89463414634</v>
      </c>
      <c r="H80" s="57">
        <v>-22280.0609756098</v>
      </c>
      <c r="I80" s="57">
        <v>-7260.74390243902</v>
      </c>
      <c r="J80" s="57">
        <v>-95209.0975609756</v>
      </c>
      <c r="K80" s="57">
        <f>-SUM('3. Cash Flow Statement '!C24:C29,'3. Cash Flow Statement '!C36,'3. Cash Flow Statement '!C38:C40)</f>
        <v>-76111.77707</v>
      </c>
      <c r="L80" s="57">
        <f>-SUM('3. Cash Flow Statement '!D24:D29,'3. Cash Flow Statement '!D36,'3. Cash Flow Statement '!D38:D40)</f>
        <v>-80972.93854</v>
      </c>
      <c r="M80" s="57">
        <f>-SUM('3. Cash Flow Statement '!E24:E29,'3. Cash Flow Statement '!E36,'3. Cash Flow Statement '!E38:E40)</f>
        <v>-92500.99183</v>
      </c>
      <c r="N80" s="57">
        <f>-SUM('3. Cash Flow Statement '!F24:F29,'3. Cash Flow Statement '!F36,'3. Cash Flow Statement '!F38:F40)</f>
        <v>-170715.9226</v>
      </c>
      <c r="O80" s="57">
        <f>-SUM('3. Cash Flow Statement '!G24:G29,'3. Cash Flow Statement '!G36,'3. Cash Flow Statement '!G38:G40)</f>
        <v>-185675.628</v>
      </c>
      <c r="P80" s="57">
        <f>-SUM('3. Cash Flow Statement '!H24:H29,'3. Cash Flow Statement '!H36,'3. Cash Flow Statement '!H38:H40)</f>
        <v>-184658.7054</v>
      </c>
      <c r="Q80" s="57">
        <f>-SUM('3. Cash Flow Statement '!I24:I29,'3. Cash Flow Statement '!I36,'3. Cash Flow Statement '!I38:I40)</f>
        <v>-277405.8026</v>
      </c>
      <c r="R80" s="57">
        <f>-SUM('3. Cash Flow Statement '!J24:J29,'3. Cash Flow Statement '!J36,'3. Cash Flow Statement '!J38:J40)</f>
        <v>-217460.5127</v>
      </c>
      <c r="S80" s="57">
        <f>-SUM('3. Cash Flow Statement '!K24:K29,'3. Cash Flow Statement '!K36,'3. Cash Flow Statement '!K38:K40)</f>
        <v>-340005.3094</v>
      </c>
      <c r="T80" s="57">
        <f>-SUM('3. Cash Flow Statement '!L24:L29,'3. Cash Flow Statement '!L36,'3. Cash Flow Statement '!L38:L40)</f>
        <v>-304094.7333</v>
      </c>
      <c r="U80" s="57">
        <f>-SUM('3. Cash Flow Statement '!M24:M29,'3. Cash Flow Statement '!M36,'3. Cash Flow Statement '!M38:M40)</f>
        <v>-367659.3048</v>
      </c>
      <c r="V80" s="57">
        <f>-SUM('3. Cash Flow Statement '!N24:N29,'3. Cash Flow Statement '!N36,'3. Cash Flow Statement '!N38:N40)</f>
        <v>-585451.9063</v>
      </c>
      <c r="W80" s="57">
        <f>-SUM(W67,W62,W22)</f>
        <v>-720002.5556</v>
      </c>
      <c r="X80" s="57">
        <f>-SUM('3. Cash Flow Statement '!P24:P29,'3. Cash Flow Statement '!P36,'3. Cash Flow Statement '!P38:P40)</f>
        <v>-654566.4005</v>
      </c>
      <c r="Y80" s="57">
        <f>-SUM(Y67,Y62,Y22)</f>
        <v>-680492.3814</v>
      </c>
      <c r="Z80" s="57">
        <f>-SUM('3. Cash Flow Statement '!R24:R29,'3. Cash Flow Statement '!R36,'3. Cash Flow Statement '!R38:R40)</f>
        <v>-706041.9924</v>
      </c>
      <c r="AA80" s="57">
        <f>-SUM(AA67,AA62,AA22)</f>
        <v>-780387.8755</v>
      </c>
      <c r="AB80" s="57">
        <f>-SUM('3. Cash Flow Statement '!T24:T29,'3. Cash Flow Statement '!T36,'3. Cash Flow Statement '!T38:T40)</f>
        <v>-598438.5078</v>
      </c>
      <c r="AC80" s="57">
        <f>-SUM(AC67,AC62,AC22)</f>
        <v>-819394.2641</v>
      </c>
      <c r="AD80" s="57">
        <f>-SUM('3. Cash Flow Statement '!V24:V29,'3. Cash Flow Statement '!V36,'3. Cash Flow Statement '!V38:V40)</f>
        <v>-607928.9242</v>
      </c>
      <c r="AE80" s="57">
        <f>-SUM(AE67,AE62,AE22)</f>
        <v>-823230.5542</v>
      </c>
      <c r="AF80" s="139">
        <f>-SUM('3. Cash Flow Statement '!X24:X29,'3. Cash Flow Statement '!X36,'3. Cash Flow Statement '!X38:X39)</f>
        <v>-730408.9439</v>
      </c>
      <c r="AG80" s="57">
        <f>-SUM(AG67,AG62,AG22)</f>
        <v>-884714.1269</v>
      </c>
      <c r="AH80" s="139">
        <f>-SUM('3. Cash Flow Statement '!Z24:Z29,'3. Cash Flow Statement '!Z36,'3. Cash Flow Statement '!Z38:Z39)</f>
        <v>-663574.2757</v>
      </c>
      <c r="AI80" s="57">
        <f>-SUM(AI67,AI62,AI22)</f>
        <v>-910489.7108</v>
      </c>
      <c r="AJ80" s="139">
        <f>-SUM('3. Cash Flow Statement '!AB24:AB29,'3. Cash Flow Statement '!AB36,'3. Cash Flow Statement '!AB38:AB39)</f>
        <v>-747140.1676</v>
      </c>
      <c r="AK80" s="57">
        <f>-SUM(AK67,AK62,AK22)</f>
        <v>-941845.8267</v>
      </c>
      <c r="AL80" s="139">
        <f>-SUM('3. Cash Flow Statement '!AD24:AD29,'3. Cash Flow Statement '!AD36,'3. Cash Flow Statement '!AD38:AD39)</f>
        <v>-662045.3711</v>
      </c>
      <c r="AM80" s="57">
        <f>-SUM(AM67,AM62,AM22)</f>
        <v>-994389.4273</v>
      </c>
      <c r="AN80" s="139">
        <f>-SUM('3. Cash Flow Statement '!AF24:AF29,'3. Cash Flow Statement '!AF36,'3. Cash Flow Statement '!AF38:AF39)</f>
        <v>-744164.3794</v>
      </c>
      <c r="AO80" s="57">
        <f>-SUM(AO67,AO62,AO22)</f>
        <v>-945117.4813</v>
      </c>
      <c r="AP80" s="139">
        <f>-SUM('3. Cash Flow Statement '!AH24:AH29,'3. Cash Flow Statement '!AH36,'3. Cash Flow Statement '!AH38:AH39)</f>
        <v>-911169.9743</v>
      </c>
      <c r="AQ80" s="57">
        <f>-SUM(AQ67,AQ62,AQ22)</f>
        <v>-1048132.216</v>
      </c>
      <c r="AR80" s="139">
        <f>-SUM('3. Cash Flow Statement '!AJ24:AJ29,'3. Cash Flow Statement '!AJ36,'3. Cash Flow Statement '!AJ38:AJ39)</f>
        <v>-725944.7498</v>
      </c>
      <c r="AS80" s="57">
        <f>-SUM(AS67,AS62,AS22)</f>
        <v>-1108597.949</v>
      </c>
      <c r="AT80" s="139">
        <f>-SUM('3. Cash Flow Statement '!AL24:AL29,'3. Cash Flow Statement '!AL36,'3. Cash Flow Statement '!AL38:AL39)</f>
        <v>-787881.216</v>
      </c>
      <c r="AU80" s="57">
        <f>-SUM(AU67,AU62,AU22)</f>
        <v>-1167238.75</v>
      </c>
      <c r="AV80" s="139">
        <f>-SUM('3. Cash Flow Statement '!AN24:AN29,'3. Cash Flow Statement '!AN36,'3. Cash Flow Statement '!AN38:AN39)</f>
        <v>-1078928.647</v>
      </c>
      <c r="AW80" s="57">
        <f>-SUM(AW67,AW62,AW22)</f>
        <v>-1178430.235</v>
      </c>
      <c r="AX80" s="139">
        <f>-SUM('3. Cash Flow Statement '!AP24:AP29,'3. Cash Flow Statement '!AP36,'3. Cash Flow Statement '!AP38:AP39)</f>
        <v>-1046481.18</v>
      </c>
      <c r="AY80" s="57">
        <f>-SUM(AY67,AY62,AY22)</f>
        <v>-1192170.359</v>
      </c>
      <c r="AZ80" s="139">
        <f>-SUM('3. Cash Flow Statement '!AR24:AR29,'3. Cash Flow Statement '!AR36,'3. Cash Flow Statement '!AR38:AR39)</f>
        <v>-877100.8835</v>
      </c>
      <c r="BA80" s="57">
        <f>-SUM(BA67,BA62,BA22)</f>
        <v>-1222164.555</v>
      </c>
      <c r="BB80" s="139">
        <f>-SUM('3. Cash Flow Statement '!AT24:AT29,'3. Cash Flow Statement '!AT36,'3. Cash Flow Statement '!AT38:AT39)</f>
        <v>-1424741.602</v>
      </c>
      <c r="BC80" s="57">
        <f>-SUM(BC67,BC62,BC22)</f>
        <v>-1281108.882</v>
      </c>
      <c r="BD80" s="139">
        <f>-SUM('3. Cash Flow Statement '!AV24:AV29,'3. Cash Flow Statement '!AV36,'3. Cash Flow Statement '!AV38:AV39)</f>
        <v>-1041419.375</v>
      </c>
      <c r="BE80" s="57">
        <f>-SUM(BE67,BE62,BE22)</f>
        <v>-1350519.553</v>
      </c>
      <c r="BF80" s="139">
        <f>-SUM('3. Cash Flow Statement '!AX24:AX29,'3. Cash Flow Statement '!AX36,'3. Cash Flow Statement '!AX38:AX39)</f>
        <v>-1054229.355</v>
      </c>
      <c r="BG80" s="57">
        <f>-SUM(BG67,BG62,BG22)</f>
        <v>-1411338.565</v>
      </c>
      <c r="BH80" s="139">
        <f>-SUM('3. Cash Flow Statement '!AZ24:AZ29,'3. Cash Flow Statement '!AZ36,'3. Cash Flow Statement '!AZ38:AZ39)</f>
        <v>-1315220.971</v>
      </c>
      <c r="BI80" s="57">
        <f>-SUM(BI67,BI62,BI22)</f>
        <v>-1411001.948</v>
      </c>
      <c r="BJ80" s="139">
        <f>-SUM('3. Cash Flow Statement '!BB24:BB29,'3. Cash Flow Statement '!BB36,'3. Cash Flow Statement '!BB38:BB39)</f>
        <v>-1151408.042</v>
      </c>
      <c r="BK80" s="57">
        <f>-SUM(BK67,BK62,BK22)</f>
        <v>-1453874.426</v>
      </c>
      <c r="BL80" s="139">
        <f>-SUM('3. Cash Flow Statement '!BD24:BD29,'3. Cash Flow Statement '!BD36,'3. Cash Flow Statement '!BD38:BD39)</f>
        <v>-1070458.781</v>
      </c>
      <c r="BM80" s="57">
        <f>-SUM(BM67,BM62,BM22)</f>
        <v>-1318593.054</v>
      </c>
      <c r="BN80" s="139">
        <f>-SUM('3. Cash Flow Statement '!BF24:BF29,'3. Cash Flow Statement '!BF36,'3. Cash Flow Statement '!BF38:BF39)</f>
        <v>-1566249.202</v>
      </c>
      <c r="BO80" s="57">
        <f>-SUM(BO67,BO62,BO22)</f>
        <v>-1335289.08</v>
      </c>
      <c r="BP80" s="139">
        <f>-SUM('3. Cash Flow Statement '!BH24:BH29,'3. Cash Flow Statement '!BH36,'3. Cash Flow Statement '!BH38:BH39)</f>
        <v>-1127575.415</v>
      </c>
      <c r="BQ80" s="57">
        <f>-SUM(BQ67,BQ62,BQ22)</f>
        <v>-1351355.973</v>
      </c>
      <c r="BR80" s="139">
        <f>-SUM('3. Cash Flow Statement '!BJ24:BJ29,'3. Cash Flow Statement '!BJ36,'3. Cash Flow Statement '!BJ38:BJ39)</f>
        <v>-1309713.922</v>
      </c>
      <c r="BS80" s="57">
        <f>-SUM(BS67,BS62,BS22)</f>
        <v>-1406672.707</v>
      </c>
      <c r="BT80" s="139">
        <f>-SUM('3. Cash Flow Statement '!BL24:BL29,'3. Cash Flow Statement '!BL36,'3. Cash Flow Statement '!BL38:BL40)</f>
        <v>-1692736.306</v>
      </c>
      <c r="BU80" s="57">
        <f>-SUM(BU67,BU62,BU22)</f>
        <v>-1418352.728</v>
      </c>
      <c r="BV80" s="139">
        <f>-SUM('3. Cash Flow Statement '!BN24:BN29,'3. Cash Flow Statement '!BN36,'3. Cash Flow Statement '!BN38:BN40)</f>
        <v>-1589013.113</v>
      </c>
      <c r="BW80" s="57">
        <f>-SUM(BW67,BW62,BW22)</f>
        <v>-1468210.951</v>
      </c>
      <c r="BX80" s="139">
        <f>-SUM('3. Cash Flow Statement '!BP24:BP29,'3. Cash Flow Statement '!BP36,'3. Cash Flow Statement '!BP38:BP40)</f>
        <v>-1448974.116</v>
      </c>
      <c r="BY80" s="57">
        <f>-SUM(BY67,BY62,BY22)</f>
        <v>-1538602.265</v>
      </c>
      <c r="BZ80" s="139">
        <f>-SUM('3. Cash Flow Statement '!BR24:BR29,'3. Cash Flow Statement '!BR36,'3. Cash Flow Statement '!BR38:BR40)</f>
        <v>-1720752.296</v>
      </c>
      <c r="CA80" s="57">
        <f>-SUM(CA67,CA62,CA22)</f>
        <v>-1543112.793</v>
      </c>
      <c r="CB80" s="139">
        <f>-SUM('3. Cash Flow Statement '!BT24:BT29,'3. Cash Flow Statement '!BT36,'3. Cash Flow Statement '!BT38:BT40)</f>
        <v>-1413994.83</v>
      </c>
      <c r="CC80" s="57">
        <f>-SUM(CC67,CC62,CC22)</f>
        <v>-1566604.003</v>
      </c>
      <c r="CD80" s="139">
        <f>-SUM('3. Cash Flow Statement '!BV24:BV29,'3. Cash Flow Statement '!BV36,'3. Cash Flow Statement '!BV38:BV40)</f>
        <v>-1447667.582</v>
      </c>
      <c r="CE80" s="57">
        <f>-SUM(CE67,CE62,CE22)</f>
        <v>-1635661.595</v>
      </c>
      <c r="CF80" s="139">
        <f>-SUM('3. Cash Flow Statement '!BX24:BX29,'3. Cash Flow Statement '!BX36,'3. Cash Flow Statement '!BX38:BX40)</f>
        <v>-1434229.494</v>
      </c>
      <c r="CG80" s="57">
        <f>-SUM(CG67,CG62,CG22)</f>
        <v>-1652291.184</v>
      </c>
      <c r="CH80" s="139">
        <f>-SUM('3. Cash Flow Statement '!BZ24:BZ29,'3. Cash Flow Statement '!BZ36,'3. Cash Flow Statement '!BZ38:BZ40)</f>
        <v>-1966576.51</v>
      </c>
      <c r="CI80" s="57">
        <f>-SUM(CI67,CI62,CI22)</f>
        <v>-1711948.469</v>
      </c>
      <c r="CJ80" s="139">
        <f>-SUM('3. Cash Flow Statement '!CB24:CB29,'3. Cash Flow Statement '!CB36,'3. Cash Flow Statement '!CB38:CB40)</f>
        <v>-1737880.433</v>
      </c>
      <c r="CK80" s="57">
        <f>-SUM(CK67,CK62,CK22)</f>
        <v>-1733250.864</v>
      </c>
      <c r="CL80" s="139">
        <f>-SUM('3. Cash Flow Statement '!CD24:CD29,'3. Cash Flow Statement '!CD36,'3. Cash Flow Statement '!CD38:CD40)</f>
        <v>-1680016.04</v>
      </c>
      <c r="CM80" s="57">
        <f t="shared" ref="CM80:CN80" si="35">-SUM(CM67,CM62,CM22)</f>
        <v>-1726467.239</v>
      </c>
      <c r="CN80" s="57">
        <f t="shared" si="35"/>
        <v>-1758233.3</v>
      </c>
    </row>
    <row r="81" ht="15.75" customHeight="1">
      <c r="A81" s="94"/>
      <c r="B81" s="97"/>
      <c r="C81" s="97"/>
      <c r="D81" s="97"/>
      <c r="E81" s="140" t="s">
        <v>144</v>
      </c>
      <c r="F81" s="141">
        <f t="shared" ref="F81:AE81" si="36">F75+F76+F78+F80</f>
        <v>41211.73744</v>
      </c>
      <c r="G81" s="141">
        <f t="shared" si="36"/>
        <v>38039.62329</v>
      </c>
      <c r="H81" s="141">
        <f t="shared" si="36"/>
        <v>25262.355</v>
      </c>
      <c r="I81" s="141">
        <f t="shared" si="36"/>
        <v>20734.3428</v>
      </c>
      <c r="J81" s="141">
        <f t="shared" si="36"/>
        <v>2684134.221</v>
      </c>
      <c r="K81" s="141">
        <f t="shared" si="36"/>
        <v>2628068.71</v>
      </c>
      <c r="L81" s="141">
        <f t="shared" si="36"/>
        <v>2558584.795</v>
      </c>
      <c r="M81" s="141">
        <f t="shared" si="36"/>
        <v>2496054.545</v>
      </c>
      <c r="N81" s="141">
        <f t="shared" si="36"/>
        <v>2376812.504</v>
      </c>
      <c r="O81" s="141">
        <f t="shared" si="36"/>
        <v>2219781.144</v>
      </c>
      <c r="P81" s="141">
        <f t="shared" si="36"/>
        <v>2109122.519</v>
      </c>
      <c r="Q81" s="141">
        <f t="shared" si="36"/>
        <v>1921604.62</v>
      </c>
      <c r="R81" s="141">
        <f t="shared" si="36"/>
        <v>1779431.67</v>
      </c>
      <c r="S81" s="141">
        <f t="shared" si="36"/>
        <v>1559370.482</v>
      </c>
      <c r="T81" s="141">
        <f t="shared" si="36"/>
        <v>1362225.152</v>
      </c>
      <c r="U81" s="141">
        <f t="shared" si="36"/>
        <v>1111744.489</v>
      </c>
      <c r="V81" s="141">
        <f t="shared" si="36"/>
        <v>8088128.244</v>
      </c>
      <c r="W81" s="142">
        <f t="shared" si="36"/>
        <v>7602273.444</v>
      </c>
      <c r="X81" s="142">
        <f t="shared" si="36"/>
        <v>7638193.273</v>
      </c>
      <c r="Y81" s="142">
        <f t="shared" si="36"/>
        <v>7484569.063</v>
      </c>
      <c r="Z81" s="142">
        <f t="shared" si="36"/>
        <v>7171093.334</v>
      </c>
      <c r="AA81" s="142">
        <f t="shared" si="36"/>
        <v>7051057.188</v>
      </c>
      <c r="AB81" s="141">
        <f t="shared" si="36"/>
        <v>6838580.373</v>
      </c>
      <c r="AC81" s="142">
        <f t="shared" si="36"/>
        <v>6627980.923</v>
      </c>
      <c r="AD81" s="141">
        <f t="shared" si="36"/>
        <v>6445961.329</v>
      </c>
      <c r="AE81" s="142">
        <f t="shared" si="36"/>
        <v>6202169.369</v>
      </c>
      <c r="AF81" s="141">
        <f>SUM(AF75:AF80)</f>
        <v>6074938.455</v>
      </c>
      <c r="AG81" s="142">
        <f>AG75+AG76+AG78+AG80</f>
        <v>5731321.242</v>
      </c>
      <c r="AH81" s="141">
        <f>SUM(AH75:AH80)</f>
        <v>5703445.557</v>
      </c>
      <c r="AI81" s="142">
        <f>AI75+AI76+AI78+AI80</f>
        <v>5322119.531</v>
      </c>
      <c r="AJ81" s="141">
        <f>SUM(AJ75:AJ80)</f>
        <v>5550513.762</v>
      </c>
      <c r="AK81" s="142">
        <f>AK75+AK76+AK78+AK80</f>
        <v>4919162.705</v>
      </c>
      <c r="AL81" s="141">
        <f>SUM(AL75:AL80)</f>
        <v>5365984.703</v>
      </c>
      <c r="AM81" s="142">
        <f>AM75+AM76+AM78+AM80</f>
        <v>4477413.277</v>
      </c>
      <c r="AN81" s="141">
        <f>SUM(AN75:AN80)</f>
        <v>5054500.801</v>
      </c>
      <c r="AO81" s="142">
        <f>AO75+AO76+AO78+AO80</f>
        <v>13485946.64</v>
      </c>
      <c r="AP81" s="141">
        <f>SUM(AP75:AP80)</f>
        <v>4669366.766</v>
      </c>
      <c r="AQ81" s="142">
        <f>AQ75+AQ76+AQ78+AQ80</f>
        <v>12910371.55</v>
      </c>
      <c r="AR81" s="141">
        <f>SUM(AR75:AR80)</f>
        <v>13448937.53</v>
      </c>
      <c r="AS81" s="142">
        <f>AS75+AS76+AS78+AS80</f>
        <v>12334036.81</v>
      </c>
      <c r="AT81" s="141">
        <f>SUM(AT75:AT80)</f>
        <v>13209858.75</v>
      </c>
      <c r="AU81" s="142">
        <f>AU75+AU76+AU78+AU80</f>
        <v>11759601.47</v>
      </c>
      <c r="AV81" s="141">
        <f>SUM(AV75:AV80)</f>
        <v>12695225.15</v>
      </c>
      <c r="AW81" s="142">
        <f>AW75+AW76+AW78+AW80</f>
        <v>11237237.5</v>
      </c>
      <c r="AX81" s="141">
        <f>SUM(AX75:AX80)</f>
        <v>13247255.97</v>
      </c>
      <c r="AY81" s="142">
        <f>AY75+AY76+AY78+AY80</f>
        <v>10766556.6</v>
      </c>
      <c r="AZ81" s="141">
        <f>SUM(AZ75:AZ80)</f>
        <v>12939951.92</v>
      </c>
      <c r="BA81" s="142">
        <f>BA75+BA76+BA78+BA80</f>
        <v>10206670.1</v>
      </c>
      <c r="BB81" s="141">
        <f>SUM(BB75:BB80)</f>
        <v>12446291.77</v>
      </c>
      <c r="BC81" s="142">
        <f>BC75+BC76+BC78+BC80</f>
        <v>11676228.29</v>
      </c>
      <c r="BD81" s="141">
        <f>SUM(BD75:BD80)</f>
        <v>12086883.38</v>
      </c>
      <c r="BE81" s="142">
        <f>BE75+BE76+BE78+BE80</f>
        <v>11094397.38</v>
      </c>
      <c r="BF81" s="141">
        <f>SUM(BF75:BF80)</f>
        <v>11659986.37</v>
      </c>
      <c r="BG81" s="142">
        <f>BG75+BG76+BG78+BG80</f>
        <v>10482888.39</v>
      </c>
      <c r="BH81" s="141">
        <f>SUM(BH75:BH80)</f>
        <v>11117887.01</v>
      </c>
      <c r="BI81" s="142">
        <f>BI75+BI76+BI78+BI80</f>
        <v>9885955.589</v>
      </c>
      <c r="BJ81" s="141">
        <f>SUM(BJ75:BJ80)</f>
        <v>10669512.44</v>
      </c>
      <c r="BK81" s="142">
        <f>BK75+BK76+BK78+BK80</f>
        <v>9191933.954</v>
      </c>
      <c r="BL81" s="141">
        <f>SUM(BL75:BL80)</f>
        <v>10545552.28</v>
      </c>
      <c r="BM81" s="142">
        <f>BM75+BM76+BM78+BM80</f>
        <v>9515854.22</v>
      </c>
      <c r="BN81" s="141">
        <f>SUM(BN75:BN80)</f>
        <v>9868272.642</v>
      </c>
      <c r="BO81" s="142">
        <f>BO75+BO76+BO78+BO80</f>
        <v>9013160.056</v>
      </c>
      <c r="BP81" s="141">
        <f>SUM(BP75:BP80)</f>
        <v>9525350.943</v>
      </c>
      <c r="BQ81" s="142">
        <f>BQ75+BQ76+BQ78+BQ80</f>
        <v>9144575.748</v>
      </c>
      <c r="BR81" s="141">
        <f>SUM(BR75:BR80)</f>
        <v>9414035.612</v>
      </c>
      <c r="BS81" s="142">
        <f>BS75+BS76+BS78+BS80</f>
        <v>9096507.91</v>
      </c>
      <c r="BT81" s="141">
        <f>SUM(BT75:BT80)</f>
        <v>8669877.285</v>
      </c>
      <c r="BU81" s="142">
        <f>BU75+BU76+BU78+BU80</f>
        <v>8799513.552</v>
      </c>
      <c r="BV81" s="141">
        <f>SUM(BV75:BV80)</f>
        <v>8102892.334</v>
      </c>
      <c r="BW81" s="142">
        <f>BW75+BW76+BW78+BW80</f>
        <v>8530919.923</v>
      </c>
      <c r="BX81" s="141">
        <f>SUM(BX75:BX80)</f>
        <v>7830689.429</v>
      </c>
      <c r="BY81" s="142">
        <f>BY75+BY76+BY78+BY80</f>
        <v>8262653.571</v>
      </c>
      <c r="BZ81" s="141">
        <f>SUM(BZ75:BZ80)</f>
        <v>7417386.549</v>
      </c>
      <c r="CA81" s="142">
        <f>CA75+CA76+CA78+CA80</f>
        <v>8077338.36</v>
      </c>
      <c r="CB81" s="141">
        <f>SUM(CB75:CB80)</f>
        <v>7177822.159</v>
      </c>
      <c r="CC81" s="142">
        <f>CC75+CC76+CC78+CC80</f>
        <v>7877013.077</v>
      </c>
      <c r="CD81" s="141">
        <f>SUM(CD75:CD80)</f>
        <v>6890959.259</v>
      </c>
      <c r="CE81" s="142">
        <f>CE75+CE76+CE78+CE80</f>
        <v>7650249.424</v>
      </c>
      <c r="CF81" s="141">
        <f>SUM(CF75:CF80)</f>
        <v>6732264.584</v>
      </c>
      <c r="CG81" s="142">
        <f>CG75+CG76+CG78+CG80</f>
        <v>7464284.248</v>
      </c>
      <c r="CH81" s="141">
        <f>SUM(CH75:CH80)</f>
        <v>6041826.724</v>
      </c>
      <c r="CI81" s="142">
        <f>CI75+CI76+CI78+CI80</f>
        <v>7252570.672</v>
      </c>
      <c r="CJ81" s="141">
        <f>SUM(CJ75:CJ80)</f>
        <v>5837148.921</v>
      </c>
      <c r="CK81" s="142">
        <f>CK75+CK76+CK78+CK80</f>
        <v>7042842.209</v>
      </c>
      <c r="CL81" s="141">
        <f>SUM(CL75:CL80)</f>
        <v>5441845.641</v>
      </c>
      <c r="CM81" s="142">
        <f t="shared" ref="CM81:CN81" si="37">CM75+CM76+CM78+CM80</f>
        <v>5316374.97</v>
      </c>
      <c r="CN81" s="142">
        <f t="shared" si="37"/>
        <v>3558141.67</v>
      </c>
    </row>
    <row r="82" ht="15.75" customHeight="1">
      <c r="A82" s="94"/>
      <c r="B82" s="97"/>
      <c r="C82" s="97"/>
      <c r="D82" s="97"/>
      <c r="E82" s="5"/>
      <c r="F82" s="57"/>
      <c r="G82" s="57"/>
      <c r="H82" s="57"/>
      <c r="I82" s="57"/>
      <c r="J82" s="57"/>
      <c r="K82" s="57"/>
      <c r="L82" s="57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5"/>
      <c r="X82" s="5"/>
      <c r="Y82" s="5"/>
      <c r="Z82" s="5"/>
      <c r="AA82" s="1"/>
      <c r="AB82" s="143"/>
      <c r="AC82" s="1"/>
      <c r="AD82" s="143"/>
      <c r="AE82" s="1"/>
      <c r="AF82" s="143"/>
      <c r="AG82" s="1"/>
      <c r="AH82" s="143"/>
      <c r="AI82" s="1"/>
      <c r="AJ82" s="143"/>
      <c r="AK82" s="1"/>
      <c r="AL82" s="143"/>
      <c r="AM82" s="1"/>
      <c r="AN82" s="143"/>
      <c r="AO82" s="1"/>
      <c r="AP82" s="143"/>
      <c r="AQ82" s="1"/>
      <c r="AR82" s="143"/>
      <c r="AS82" s="1"/>
      <c r="AT82" s="143"/>
      <c r="AU82" s="1"/>
      <c r="AV82" s="143"/>
      <c r="AW82" s="1"/>
      <c r="AX82" s="143"/>
      <c r="AY82" s="1"/>
      <c r="AZ82" s="143"/>
      <c r="BA82" s="1"/>
      <c r="BB82" s="143"/>
      <c r="BC82" s="1"/>
      <c r="BD82" s="143"/>
      <c r="BE82" s="1"/>
      <c r="BF82" s="143"/>
      <c r="BG82" s="1"/>
      <c r="BH82" s="143"/>
      <c r="BI82" s="1"/>
      <c r="BJ82" s="143"/>
      <c r="BK82" s="1"/>
      <c r="BL82" s="143"/>
      <c r="BM82" s="1"/>
      <c r="BN82" s="143"/>
      <c r="BO82" s="1"/>
      <c r="BP82" s="143"/>
      <c r="BQ82" s="1"/>
      <c r="BR82" s="143"/>
      <c r="BS82" s="1"/>
      <c r="BT82" s="143"/>
      <c r="BU82" s="1"/>
      <c r="BV82" s="143"/>
      <c r="BW82" s="1"/>
      <c r="BX82" s="143"/>
      <c r="BY82" s="1"/>
      <c r="BZ82" s="143"/>
      <c r="CA82" s="1"/>
      <c r="CB82" s="143"/>
      <c r="CC82" s="1"/>
      <c r="CD82" s="143"/>
      <c r="CE82" s="1"/>
      <c r="CF82" s="143"/>
      <c r="CG82" s="1"/>
      <c r="CH82" s="143"/>
      <c r="CI82" s="1"/>
      <c r="CJ82" s="143"/>
      <c r="CK82" s="1"/>
      <c r="CL82" s="143"/>
      <c r="CM82" s="1"/>
      <c r="CN82" s="1"/>
    </row>
    <row r="83" ht="15.75" customHeight="1">
      <c r="A83" s="94"/>
      <c r="B83" s="97"/>
      <c r="C83" s="97"/>
      <c r="D83" s="97"/>
      <c r="E83" s="140" t="s">
        <v>145</v>
      </c>
      <c r="F83" s="57">
        <f t="shared" ref="F83:J83" si="38">F75-F81</f>
        <v>3596.02439</v>
      </c>
      <c r="G83" s="57">
        <f t="shared" si="38"/>
        <v>3172.114146</v>
      </c>
      <c r="H83" s="57">
        <f t="shared" si="38"/>
        <v>12777.26829</v>
      </c>
      <c r="I83" s="57">
        <f t="shared" si="38"/>
        <v>4528.012195</v>
      </c>
      <c r="J83" s="57">
        <f t="shared" si="38"/>
        <v>-2663399.878</v>
      </c>
      <c r="K83" s="57">
        <f t="shared" ref="K83:W83" si="39">K75-K81+K78</f>
        <v>56065.5111</v>
      </c>
      <c r="L83" s="57">
        <f t="shared" si="39"/>
        <v>69483.91427</v>
      </c>
      <c r="M83" s="57">
        <f t="shared" si="39"/>
        <v>62530.25012</v>
      </c>
      <c r="N83" s="57">
        <f t="shared" si="39"/>
        <v>119242.0412</v>
      </c>
      <c r="O83" s="57">
        <f t="shared" si="39"/>
        <v>157031.3605</v>
      </c>
      <c r="P83" s="57">
        <f t="shared" si="39"/>
        <v>110658.6244</v>
      </c>
      <c r="Q83" s="57">
        <f t="shared" si="39"/>
        <v>187517.8993</v>
      </c>
      <c r="R83" s="57">
        <f t="shared" si="39"/>
        <v>142172.95</v>
      </c>
      <c r="S83" s="57">
        <f t="shared" si="39"/>
        <v>220061.188</v>
      </c>
      <c r="T83" s="57">
        <f t="shared" si="39"/>
        <v>197145.3298</v>
      </c>
      <c r="U83" s="57">
        <f t="shared" si="39"/>
        <v>250480.6635</v>
      </c>
      <c r="V83" s="57">
        <f t="shared" si="39"/>
        <v>381795.1272</v>
      </c>
      <c r="W83" s="57">
        <f t="shared" si="39"/>
        <v>476273.5556</v>
      </c>
      <c r="X83" s="16">
        <f>X75-X81</f>
        <v>449934.9713</v>
      </c>
      <c r="Y83" s="16">
        <f>-(Y81-Y75-Y78)</f>
        <v>417704.3814</v>
      </c>
      <c r="Z83" s="16">
        <f>Z75-Z81</f>
        <v>467099.9393</v>
      </c>
      <c r="AA83" s="16">
        <f>-(AA81-AA75-AA78)</f>
        <v>433511.8755</v>
      </c>
      <c r="AB83" s="57">
        <f>AB75-AB81</f>
        <v>332512.9607</v>
      </c>
      <c r="AC83" s="16">
        <f>-(AC81-AC75-AC78)</f>
        <v>423076.2641</v>
      </c>
      <c r="AD83" s="57">
        <f>AD75-AD81</f>
        <v>392619.0442</v>
      </c>
      <c r="AE83" s="16">
        <f t="shared" ref="AE83:CN83" si="40">-(AE81-AE75-AE78)</f>
        <v>425811.5542</v>
      </c>
      <c r="AF83" s="57">
        <f t="shared" si="40"/>
        <v>471208.8739</v>
      </c>
      <c r="AG83" s="16">
        <f t="shared" si="40"/>
        <v>470848.1269</v>
      </c>
      <c r="AH83" s="57">
        <f t="shared" si="40"/>
        <v>371847.6344</v>
      </c>
      <c r="AI83" s="16">
        <f t="shared" si="40"/>
        <v>409201.7108</v>
      </c>
      <c r="AJ83" s="57">
        <f t="shared" si="40"/>
        <v>455703.1176</v>
      </c>
      <c r="AK83" s="16">
        <f t="shared" si="40"/>
        <v>402956.8267</v>
      </c>
      <c r="AL83" s="57">
        <f t="shared" si="40"/>
        <v>319925.5404</v>
      </c>
      <c r="AM83" s="16">
        <f t="shared" si="40"/>
        <v>441749.4273</v>
      </c>
      <c r="AN83" s="57">
        <f t="shared" si="40"/>
        <v>311483.9024</v>
      </c>
      <c r="AO83" s="16">
        <f t="shared" si="40"/>
        <v>514053.3608</v>
      </c>
      <c r="AP83" s="57">
        <f t="shared" si="40"/>
        <v>385134.0349</v>
      </c>
      <c r="AQ83" s="16">
        <f t="shared" si="40"/>
        <v>575575.089</v>
      </c>
      <c r="AR83" s="57">
        <f t="shared" si="40"/>
        <v>226454.6531</v>
      </c>
      <c r="AS83" s="16">
        <f t="shared" si="40"/>
        <v>576334.7365</v>
      </c>
      <c r="AT83" s="57">
        <f t="shared" si="40"/>
        <v>239078.7767</v>
      </c>
      <c r="AU83" s="16">
        <f t="shared" si="40"/>
        <v>574435.3403</v>
      </c>
      <c r="AV83" s="57">
        <f t="shared" si="40"/>
        <v>514633.6007</v>
      </c>
      <c r="AW83" s="16">
        <f t="shared" si="40"/>
        <v>522363.9723</v>
      </c>
      <c r="AX83" s="57">
        <f t="shared" si="40"/>
        <v>448624.211</v>
      </c>
      <c r="AY83" s="16">
        <f t="shared" si="40"/>
        <v>470680.8993</v>
      </c>
      <c r="AZ83" s="57">
        <f t="shared" si="40"/>
        <v>307304.0477</v>
      </c>
      <c r="BA83" s="16">
        <f t="shared" si="40"/>
        <v>559886.5025</v>
      </c>
      <c r="BB83" s="57">
        <f t="shared" si="40"/>
        <v>493660.1511</v>
      </c>
      <c r="BC83" s="16">
        <f t="shared" si="40"/>
        <v>509098.7144</v>
      </c>
      <c r="BD83" s="57">
        <f t="shared" si="40"/>
        <v>359408.3895</v>
      </c>
      <c r="BE83" s="16">
        <f t="shared" si="40"/>
        <v>581830.9013</v>
      </c>
      <c r="BF83" s="57">
        <f t="shared" si="40"/>
        <v>426897.0105</v>
      </c>
      <c r="BG83" s="16">
        <f t="shared" si="40"/>
        <v>611508.9964</v>
      </c>
      <c r="BH83" s="57">
        <f t="shared" si="40"/>
        <v>542099.3629</v>
      </c>
      <c r="BI83" s="16">
        <f t="shared" si="40"/>
        <v>596932.7993</v>
      </c>
      <c r="BJ83" s="57">
        <f t="shared" si="40"/>
        <v>448374.5663</v>
      </c>
      <c r="BK83" s="16">
        <f t="shared" si="40"/>
        <v>694021.6345</v>
      </c>
      <c r="BL83" s="57">
        <f t="shared" si="40"/>
        <v>123960.1641</v>
      </c>
      <c r="BM83" s="16">
        <f t="shared" si="40"/>
        <v>436153.8566</v>
      </c>
      <c r="BN83" s="57">
        <f t="shared" si="40"/>
        <v>677279.6351</v>
      </c>
      <c r="BO83" s="16">
        <f t="shared" si="40"/>
        <v>502694.1636</v>
      </c>
      <c r="BP83" s="57">
        <f t="shared" si="40"/>
        <v>342921.6986</v>
      </c>
      <c r="BQ83" s="16">
        <f t="shared" si="40"/>
        <v>380775.195</v>
      </c>
      <c r="BR83" s="57">
        <f t="shared" si="40"/>
        <v>111315.3311</v>
      </c>
      <c r="BS83" s="16">
        <f t="shared" si="40"/>
        <v>317527.7027</v>
      </c>
      <c r="BT83" s="57">
        <f t="shared" si="40"/>
        <v>744158.3268</v>
      </c>
      <c r="BU83" s="16">
        <f t="shared" si="40"/>
        <v>296994.3572</v>
      </c>
      <c r="BV83" s="57">
        <f t="shared" si="40"/>
        <v>566984.9512</v>
      </c>
      <c r="BW83" s="16">
        <f t="shared" si="40"/>
        <v>268593.6293</v>
      </c>
      <c r="BX83" s="57">
        <f t="shared" si="40"/>
        <v>272202.9053</v>
      </c>
      <c r="BY83" s="16">
        <f t="shared" si="40"/>
        <v>268266.3521</v>
      </c>
      <c r="BZ83" s="57">
        <f t="shared" si="40"/>
        <v>413302.8795</v>
      </c>
      <c r="CA83" s="16">
        <f t="shared" si="40"/>
        <v>185315.2108</v>
      </c>
      <c r="CB83" s="57">
        <f t="shared" si="40"/>
        <v>239564.39</v>
      </c>
      <c r="CC83" s="16">
        <f t="shared" si="40"/>
        <v>200325.2832</v>
      </c>
      <c r="CD83" s="57">
        <f t="shared" si="40"/>
        <v>286862.9005</v>
      </c>
      <c r="CE83" s="16">
        <f t="shared" si="40"/>
        <v>226763.6525</v>
      </c>
      <c r="CF83" s="57">
        <f t="shared" si="40"/>
        <v>158694.6745</v>
      </c>
      <c r="CG83" s="16">
        <f t="shared" si="40"/>
        <v>185965.176</v>
      </c>
      <c r="CH83" s="57">
        <f t="shared" si="40"/>
        <v>690437.86</v>
      </c>
      <c r="CI83" s="16">
        <f t="shared" si="40"/>
        <v>211713.5764</v>
      </c>
      <c r="CJ83" s="57">
        <f t="shared" si="40"/>
        <v>204677.803</v>
      </c>
      <c r="CK83" s="16">
        <f t="shared" si="40"/>
        <v>209728.4633</v>
      </c>
      <c r="CL83" s="57">
        <f t="shared" si="40"/>
        <v>395303.2804</v>
      </c>
      <c r="CM83" s="16">
        <f t="shared" si="40"/>
        <v>1726467.239</v>
      </c>
      <c r="CN83" s="16">
        <f t="shared" si="40"/>
        <v>1758233.3</v>
      </c>
    </row>
    <row r="84" ht="15.75" customHeight="1">
      <c r="A84" s="94"/>
      <c r="B84" s="97"/>
      <c r="C84" s="97"/>
      <c r="D84" s="97"/>
      <c r="E84" s="1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"/>
      <c r="X84" s="5"/>
      <c r="Y84" s="5"/>
      <c r="Z84" s="5"/>
      <c r="AA84" s="5"/>
      <c r="AB84" s="57"/>
      <c r="AC84" s="5"/>
      <c r="AD84" s="57"/>
      <c r="AE84" s="5"/>
      <c r="AF84" s="57"/>
      <c r="AG84" s="5"/>
      <c r="AH84" s="57"/>
      <c r="AI84" s="5"/>
      <c r="AJ84" s="57"/>
      <c r="AK84" s="5"/>
      <c r="AL84" s="57"/>
      <c r="AM84" s="5"/>
      <c r="AN84" s="57"/>
      <c r="AO84" s="5"/>
      <c r="AP84" s="57"/>
      <c r="AQ84" s="5"/>
      <c r="AR84" s="57"/>
      <c r="AS84" s="5"/>
      <c r="AT84" s="57"/>
      <c r="AU84" s="5"/>
      <c r="AV84" s="57"/>
      <c r="AW84" s="5"/>
      <c r="AX84" s="57"/>
      <c r="AY84" s="5"/>
      <c r="AZ84" s="57"/>
      <c r="BA84" s="5"/>
      <c r="BB84" s="57"/>
      <c r="BC84" s="5"/>
      <c r="BD84" s="57"/>
      <c r="BE84" s="5"/>
      <c r="BF84" s="57"/>
      <c r="BG84" s="5"/>
      <c r="BH84" s="57"/>
      <c r="BI84" s="5"/>
      <c r="BJ84" s="57"/>
      <c r="BK84" s="5"/>
      <c r="BL84" s="57"/>
      <c r="BM84" s="5"/>
      <c r="BN84" s="57"/>
      <c r="BO84" s="5"/>
      <c r="BP84" s="57"/>
      <c r="BQ84" s="5"/>
      <c r="BR84" s="57"/>
      <c r="BS84" s="5"/>
      <c r="BT84" s="57"/>
      <c r="BU84" s="5"/>
      <c r="BV84" s="57"/>
      <c r="BW84" s="5"/>
      <c r="BX84" s="57"/>
      <c r="BY84" s="5"/>
      <c r="BZ84" s="57"/>
      <c r="CA84" s="5"/>
      <c r="CB84" s="57"/>
      <c r="CC84" s="5"/>
      <c r="CD84" s="57"/>
      <c r="CE84" s="5"/>
      <c r="CF84" s="57"/>
      <c r="CG84" s="5"/>
      <c r="CH84" s="57"/>
      <c r="CI84" s="5"/>
      <c r="CJ84" s="57">
        <f>CF83+CH83+CJ83</f>
        <v>1053810.337</v>
      </c>
      <c r="CK84" s="5"/>
      <c r="CL84" s="57"/>
      <c r="CM84" s="5"/>
      <c r="CN84" s="5"/>
    </row>
    <row r="85" ht="15.75" customHeight="1">
      <c r="A85" s="94"/>
      <c r="B85" s="97"/>
      <c r="C85" s="97"/>
      <c r="D85" s="97"/>
      <c r="E85" s="140" t="s">
        <v>146</v>
      </c>
      <c r="F85" s="136">
        <f t="shared" ref="F85:AN85" si="41">IFERROR(F81/F83,0)</f>
        <v>11.46036093</v>
      </c>
      <c r="G85" s="136">
        <f t="shared" si="41"/>
        <v>11.9918835</v>
      </c>
      <c r="H85" s="136">
        <f t="shared" si="41"/>
        <v>1.977132703</v>
      </c>
      <c r="I85" s="136">
        <f t="shared" si="41"/>
        <v>4.579126979</v>
      </c>
      <c r="J85" s="136">
        <f t="shared" si="41"/>
        <v>-1.007784915</v>
      </c>
      <c r="K85" s="136">
        <f t="shared" si="41"/>
        <v>46.87496213</v>
      </c>
      <c r="L85" s="136">
        <f t="shared" si="41"/>
        <v>36.82269231</v>
      </c>
      <c r="M85" s="136">
        <f t="shared" si="41"/>
        <v>39.91755255</v>
      </c>
      <c r="N85" s="136">
        <f t="shared" si="41"/>
        <v>19.93267207</v>
      </c>
      <c r="O85" s="136">
        <f t="shared" si="41"/>
        <v>14.13590977</v>
      </c>
      <c r="P85" s="136">
        <f t="shared" si="41"/>
        <v>19.05972111</v>
      </c>
      <c r="Q85" s="136">
        <f t="shared" si="41"/>
        <v>10.24757971</v>
      </c>
      <c r="R85" s="136">
        <f t="shared" si="41"/>
        <v>12.51596503</v>
      </c>
      <c r="S85" s="136">
        <f t="shared" si="41"/>
        <v>7.086076812</v>
      </c>
      <c r="T85" s="136">
        <f t="shared" si="41"/>
        <v>6.909751065</v>
      </c>
      <c r="U85" s="136">
        <f t="shared" si="41"/>
        <v>4.438444361</v>
      </c>
      <c r="V85" s="136">
        <f t="shared" si="41"/>
        <v>21.18447216</v>
      </c>
      <c r="W85" s="136">
        <f t="shared" si="41"/>
        <v>15.9619894</v>
      </c>
      <c r="X85" s="136">
        <f t="shared" si="41"/>
        <v>16.97621603</v>
      </c>
      <c r="Y85" s="136">
        <f t="shared" si="41"/>
        <v>17.91833985</v>
      </c>
      <c r="Z85" s="136">
        <f t="shared" si="41"/>
        <v>15.35237479</v>
      </c>
      <c r="AA85" s="136">
        <f t="shared" si="41"/>
        <v>16.26496894</v>
      </c>
      <c r="AB85" s="136">
        <f t="shared" si="41"/>
        <v>20.56635735</v>
      </c>
      <c r="AC85" s="136">
        <f t="shared" si="41"/>
        <v>15.66616113</v>
      </c>
      <c r="AD85" s="136">
        <f t="shared" si="41"/>
        <v>16.41785192</v>
      </c>
      <c r="AE85" s="136">
        <f t="shared" si="41"/>
        <v>14.56552625</v>
      </c>
      <c r="AF85" s="136">
        <f t="shared" si="41"/>
        <v>12.89224119</v>
      </c>
      <c r="AG85" s="136">
        <f t="shared" si="41"/>
        <v>12.17233523</v>
      </c>
      <c r="AH85" s="136">
        <f t="shared" si="41"/>
        <v>15.33812516</v>
      </c>
      <c r="AI85" s="136">
        <f t="shared" si="41"/>
        <v>13.00610284</v>
      </c>
      <c r="AJ85" s="136">
        <f t="shared" si="41"/>
        <v>12.18010926</v>
      </c>
      <c r="AK85" s="136">
        <f t="shared" si="41"/>
        <v>12.20766687</v>
      </c>
      <c r="AL85" s="136">
        <f t="shared" si="41"/>
        <v>16.77260495</v>
      </c>
      <c r="AM85" s="136">
        <f t="shared" si="41"/>
        <v>10.13564025</v>
      </c>
      <c r="AN85" s="136">
        <f t="shared" si="41"/>
        <v>16.22716539</v>
      </c>
      <c r="AO85" s="136">
        <f t="shared" ref="AO85:BJ85" si="42">AO81/AVERAGE(AM83,AK83,AO83)</f>
        <v>29.77556845</v>
      </c>
      <c r="AP85" s="136">
        <f t="shared" si="42"/>
        <v>13.78012904</v>
      </c>
      <c r="AQ85" s="136">
        <f t="shared" si="42"/>
        <v>25.29167701</v>
      </c>
      <c r="AR85" s="136">
        <f t="shared" si="42"/>
        <v>43.70925211</v>
      </c>
      <c r="AS85" s="136">
        <f t="shared" si="42"/>
        <v>22.21064112</v>
      </c>
      <c r="AT85" s="136">
        <f t="shared" si="42"/>
        <v>46.58644874</v>
      </c>
      <c r="AU85" s="136">
        <f t="shared" si="42"/>
        <v>20.43554506</v>
      </c>
      <c r="AV85" s="136">
        <f t="shared" si="42"/>
        <v>38.85631148</v>
      </c>
      <c r="AW85" s="136">
        <f t="shared" si="42"/>
        <v>20.14884135</v>
      </c>
      <c r="AX85" s="136">
        <f t="shared" si="42"/>
        <v>33.05377902</v>
      </c>
      <c r="AY85" s="136">
        <f t="shared" si="42"/>
        <v>20.60611009</v>
      </c>
      <c r="AZ85" s="136">
        <f t="shared" si="42"/>
        <v>30.55329851</v>
      </c>
      <c r="BA85" s="136">
        <f t="shared" si="42"/>
        <v>19.71755533</v>
      </c>
      <c r="BB85" s="136">
        <f t="shared" si="42"/>
        <v>29.88093921</v>
      </c>
      <c r="BC85" s="136">
        <f t="shared" si="42"/>
        <v>22.75083181</v>
      </c>
      <c r="BD85" s="136">
        <f t="shared" si="42"/>
        <v>31.24914403</v>
      </c>
      <c r="BE85" s="136">
        <f t="shared" si="42"/>
        <v>20.16165931</v>
      </c>
      <c r="BF85" s="136">
        <f t="shared" si="42"/>
        <v>27.32882856</v>
      </c>
      <c r="BG85" s="136">
        <f t="shared" si="42"/>
        <v>18.4727161</v>
      </c>
      <c r="BH85" s="136">
        <f t="shared" si="42"/>
        <v>25.10805588</v>
      </c>
      <c r="BI85" s="136">
        <f t="shared" si="42"/>
        <v>16.56611689</v>
      </c>
      <c r="BJ85" s="136">
        <f t="shared" si="42"/>
        <v>22.58303485</v>
      </c>
      <c r="BK85" s="136">
        <f>BK81/AVERAGE(BG83,BI83,BK83)</f>
        <v>14.49478683</v>
      </c>
      <c r="BL85" s="136">
        <f>BL81/AVERAGE(BJ83,BH83,BL83)</f>
        <v>28.38809134</v>
      </c>
      <c r="BM85" s="136">
        <f>BM81/AVERAGE(BI83,BK83,BM83)</f>
        <v>16.52910985</v>
      </c>
      <c r="BN85" s="136">
        <f>BN81/AVERAGE(BL83,BJ83,BN83)</f>
        <v>23.69116324</v>
      </c>
      <c r="BO85" s="136">
        <f>BO81/AVERAGE(BK83,BM83,BO83)</f>
        <v>16.55948476</v>
      </c>
      <c r="BP85" s="136">
        <f>BP81/AVERAGE(BN83,BL83,BP83)</f>
        <v>24.97554138</v>
      </c>
      <c r="BQ85" s="136">
        <f>BQ81/AVERAGE(BO83,BP83,BQ83)</f>
        <v>22.36947757</v>
      </c>
      <c r="BR85" s="136">
        <f>BR81/AVERAGE(BP83,BN83,BR83)</f>
        <v>24.95951471</v>
      </c>
      <c r="BS85" s="136">
        <f>BS81/AVERAGE(BQ83,BR83,BS83)</f>
        <v>33.70665674</v>
      </c>
      <c r="BT85" s="136">
        <f>BT81/AVERAGE(BR83,BP83,BT83)</f>
        <v>21.70371549</v>
      </c>
      <c r="BU85" s="136">
        <f>BU81/AVERAGE(BR83,BS83,BU83)</f>
        <v>36.36977233</v>
      </c>
      <c r="BV85" s="136">
        <f>BV81/AVERAGE(BT83,BR83,BV83)</f>
        <v>17.08919813</v>
      </c>
      <c r="BW85" s="136">
        <f>BW81/AVERAGE(BS83,BU83,BW83)</f>
        <v>28.98007598</v>
      </c>
      <c r="BX85" s="136">
        <f>BX81/AVERAGE(BV83,BT83,BX83)</f>
        <v>14.83697535</v>
      </c>
      <c r="BY85" s="136">
        <f>BY81/AVERAGE(BU83,BW83,BY83)</f>
        <v>29.72696737</v>
      </c>
      <c r="BZ85" s="136">
        <f>BZ81/AVERAGE(BX83,BV83,BZ83)</f>
        <v>17.76632673</v>
      </c>
      <c r="CA85" s="136">
        <f>CA81/AVERAGE(BW83,BY83,CA83)</f>
        <v>33.55420588</v>
      </c>
      <c r="CB85" s="136">
        <f>CB81/AVERAGE(BZ83,BX83,CB83)</f>
        <v>23.27765727</v>
      </c>
      <c r="CC85" s="136">
        <f>CC81/AVERAGE(BY83,CA83,CC83)</f>
        <v>36.13823494</v>
      </c>
      <c r="CD85" s="136">
        <f>CD81/AVERAGE(CB83,BZ83,CD83)</f>
        <v>21.99873797</v>
      </c>
      <c r="CE85" s="136">
        <f>CE81/AVERAGE(CA83,CC83,CE83)</f>
        <v>37.47647432</v>
      </c>
      <c r="CF85" s="136">
        <f>CF81/AVERAGE(CD83,CB83,CF83)</f>
        <v>29.47912166</v>
      </c>
      <c r="CG85" s="136">
        <f>CG81/AVERAGE(CC83,CE83,CG83)</f>
        <v>36.52671488</v>
      </c>
      <c r="CH85" s="136">
        <f>CH81/AVERAGE(CF83,CD83,CH83)</f>
        <v>15.95559244</v>
      </c>
      <c r="CI85" s="136">
        <f>CI81/AVERAGE(CE83,CG83,CI83)</f>
        <v>34.84342486</v>
      </c>
      <c r="CJ85" s="136">
        <f>CJ81/AVERAGE(CH83,CF83,CJ83)</f>
        <v>16.61726607</v>
      </c>
      <c r="CK85" s="136">
        <f>CK81/AVERAGE(CG83,CI83,CK83)</f>
        <v>34.78478042</v>
      </c>
      <c r="CL85" s="136">
        <f>CL81/AVERAGE(CJ83,CH83,CL83)</f>
        <v>12.6513463</v>
      </c>
      <c r="CM85" s="136">
        <f>CM81/AVERAGE(CI83,CK83,CM83)</f>
        <v>7.425418321</v>
      </c>
      <c r="CN85" s="136">
        <f>CN81/AVERAGE(CK83,CM83,CN83)</f>
        <v>2.889330125</v>
      </c>
    </row>
    <row r="86" ht="15.75" customHeight="1">
      <c r="A86" s="94"/>
      <c r="B86" s="97"/>
      <c r="C86" s="97"/>
      <c r="D86" s="97"/>
      <c r="E86" s="5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5"/>
      <c r="T86" s="5"/>
      <c r="U86" s="5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1"/>
      <c r="BZ86" s="32"/>
      <c r="CA86" s="1"/>
      <c r="CB86" s="32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</row>
    <row r="87" ht="15.75" customHeight="1">
      <c r="A87" s="94"/>
      <c r="B87" s="97"/>
      <c r="C87" s="97"/>
      <c r="D87" s="97"/>
      <c r="E87" s="5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5"/>
      <c r="T87" s="5"/>
      <c r="U87" s="5"/>
      <c r="V87" s="5"/>
      <c r="W87" s="5"/>
      <c r="X87" s="5"/>
      <c r="Y87" s="5"/>
      <c r="Z87" s="5"/>
      <c r="AA87" s="1"/>
      <c r="AB87" s="5"/>
      <c r="AC87" s="1"/>
      <c r="AD87" s="5"/>
      <c r="AE87" s="1"/>
      <c r="AF87" s="5"/>
      <c r="AG87" s="1"/>
      <c r="AH87" s="5"/>
      <c r="AI87" s="1"/>
      <c r="AJ87" s="5"/>
      <c r="AK87" s="1"/>
      <c r="AL87" s="5"/>
      <c r="AM87" s="1"/>
      <c r="AN87" s="5"/>
      <c r="AO87" s="1"/>
      <c r="AP87" s="5"/>
      <c r="AQ87" s="1"/>
      <c r="AR87" s="5"/>
      <c r="AS87" s="1"/>
      <c r="AT87" s="5"/>
      <c r="AU87" s="1"/>
      <c r="AV87" s="5"/>
      <c r="AW87" s="1"/>
      <c r="AX87" s="5"/>
      <c r="AY87" s="1"/>
      <c r="AZ87" s="5"/>
      <c r="BA87" s="1"/>
      <c r="BB87" s="5"/>
      <c r="BC87" s="1"/>
      <c r="BD87" s="5"/>
      <c r="BE87" s="1"/>
      <c r="BF87" s="5"/>
      <c r="BG87" s="1"/>
      <c r="BH87" s="5"/>
      <c r="BI87" s="1"/>
      <c r="BJ87" s="5"/>
      <c r="BK87" s="1"/>
      <c r="BL87" s="5"/>
      <c r="BM87" s="1"/>
      <c r="BN87" s="5"/>
      <c r="BO87" s="1"/>
      <c r="BP87" s="5"/>
      <c r="BQ87" s="1"/>
      <c r="BR87" s="144">
        <f>SUM(BN64,BP64,BR64)/SUM(BR3,BP3,BN3)</f>
        <v>-0.5657985555</v>
      </c>
      <c r="BS87" s="1"/>
      <c r="BT87" s="1"/>
      <c r="BU87" s="1"/>
      <c r="BV87" s="1"/>
      <c r="BW87" s="1"/>
      <c r="BX87" s="144">
        <f>SUM(BT64,BV64,BX64)/SUM(BX3,BV3,BT3)</f>
        <v>-0.5410373368</v>
      </c>
      <c r="BY87" s="1"/>
      <c r="BZ87" s="1"/>
      <c r="CA87" s="1"/>
      <c r="CB87" s="1"/>
      <c r="CC87" s="1"/>
      <c r="CD87" s="144">
        <f>SUM(BZ64,CB64,CD64)/SUM(CD3,CB3,BZ3)</f>
        <v>-0.2898388601</v>
      </c>
      <c r="CE87" s="1"/>
      <c r="CF87" s="1"/>
      <c r="CG87" s="1"/>
      <c r="CH87" s="1"/>
      <c r="CI87" s="1"/>
      <c r="CJ87" s="144">
        <f>SUM(CF64,CH64,CJ64)/SUM(CJ3,CH3,CF3)</f>
        <v>-0.233348993</v>
      </c>
      <c r="CK87" s="1"/>
      <c r="CL87" s="1"/>
      <c r="CM87" s="1"/>
      <c r="CN87" s="1"/>
    </row>
    <row r="88" ht="15.75" customHeight="1">
      <c r="A88" s="94"/>
      <c r="B88" s="97"/>
      <c r="C88" s="97"/>
      <c r="D88" s="97"/>
      <c r="E88" s="5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5"/>
      <c r="T88" s="5"/>
      <c r="U88" s="5"/>
      <c r="V88" s="5"/>
      <c r="W88" s="5"/>
      <c r="X88" s="5"/>
      <c r="Y88" s="5"/>
      <c r="Z88" s="5"/>
      <c r="AA88" s="1"/>
      <c r="AB88" s="5"/>
      <c r="AC88" s="1"/>
      <c r="AD88" s="5"/>
      <c r="AE88" s="1"/>
      <c r="AF88" s="5"/>
      <c r="AG88" s="1"/>
      <c r="AH88" s="5"/>
      <c r="AI88" s="1"/>
      <c r="AJ88" s="5"/>
      <c r="AK88" s="1"/>
      <c r="AL88" s="5"/>
      <c r="AM88" s="1"/>
      <c r="AN88" s="5"/>
      <c r="AO88" s="1"/>
      <c r="AP88" s="5"/>
      <c r="AQ88" s="1"/>
      <c r="AR88" s="5"/>
      <c r="AS88" s="1"/>
      <c r="AT88" s="5"/>
      <c r="AU88" s="1"/>
      <c r="AV88" s="5"/>
      <c r="AW88" s="1"/>
      <c r="AX88" s="5"/>
      <c r="AY88" s="1"/>
      <c r="AZ88" s="5"/>
      <c r="BA88" s="1"/>
      <c r="BB88" s="5"/>
      <c r="BC88" s="1"/>
      <c r="BD88" s="5"/>
      <c r="BE88" s="1"/>
      <c r="BF88" s="5"/>
      <c r="BG88" s="1"/>
      <c r="BH88" s="5"/>
      <c r="BI88" s="1"/>
      <c r="BJ88" s="5"/>
      <c r="BK88" s="1"/>
      <c r="BL88" s="5"/>
      <c r="BM88" s="1"/>
      <c r="BN88" s="5"/>
      <c r="BO88" s="1"/>
      <c r="BP88" s="5"/>
      <c r="BQ88" s="1"/>
      <c r="BR88" s="5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</row>
    <row r="89" ht="15.75" customHeight="1">
      <c r="A89" s="94"/>
      <c r="B89" s="97"/>
      <c r="C89" s="97"/>
      <c r="D89" s="97"/>
      <c r="E89" s="5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5"/>
      <c r="T89" s="5"/>
      <c r="U89" s="5"/>
      <c r="V89" s="5"/>
      <c r="W89" s="5"/>
      <c r="X89" s="5"/>
      <c r="Y89" s="5"/>
      <c r="Z89" s="5"/>
      <c r="AA89" s="1"/>
      <c r="AB89" s="5"/>
      <c r="AC89" s="1"/>
      <c r="AD89" s="5"/>
      <c r="AE89" s="1"/>
      <c r="AF89" s="5"/>
      <c r="AG89" s="1"/>
      <c r="AH89" s="5"/>
      <c r="AI89" s="1"/>
      <c r="AJ89" s="5"/>
      <c r="AK89" s="1"/>
      <c r="AL89" s="5"/>
      <c r="AM89" s="1"/>
      <c r="AN89" s="5"/>
      <c r="AO89" s="1"/>
      <c r="AP89" s="5"/>
      <c r="AQ89" s="1"/>
      <c r="AR89" s="5"/>
      <c r="AS89" s="1"/>
      <c r="AT89" s="5"/>
      <c r="AU89" s="1"/>
      <c r="AV89" s="5"/>
      <c r="AW89" s="1"/>
      <c r="AX89" s="5"/>
      <c r="AY89" s="1"/>
      <c r="AZ89" s="5"/>
      <c r="BA89" s="1"/>
      <c r="BB89" s="5"/>
      <c r="BC89" s="1"/>
      <c r="BD89" s="5"/>
      <c r="BE89" s="1"/>
      <c r="BF89" s="5"/>
      <c r="BG89" s="1"/>
      <c r="BH89" s="5"/>
      <c r="BI89" s="1"/>
      <c r="BJ89" s="5"/>
      <c r="BK89" s="1"/>
      <c r="BL89" s="5"/>
      <c r="BM89" s="1"/>
      <c r="BN89" s="5"/>
      <c r="BO89" s="1"/>
      <c r="BP89" s="5"/>
      <c r="BQ89" s="1"/>
      <c r="BR89" s="5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</row>
    <row r="90" ht="15.75" customHeight="1">
      <c r="A90" s="94"/>
      <c r="B90" s="97"/>
      <c r="C90" s="97"/>
      <c r="D90" s="97"/>
      <c r="E90" s="5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5"/>
      <c r="T90" s="5"/>
      <c r="U90" s="5"/>
      <c r="V90" s="5"/>
      <c r="W90" s="5"/>
      <c r="X90" s="5"/>
      <c r="Y90" s="5"/>
      <c r="Z90" s="5"/>
      <c r="AA90" s="1"/>
      <c r="AB90" s="5"/>
      <c r="AC90" s="1"/>
      <c r="AD90" s="5"/>
      <c r="AE90" s="1"/>
      <c r="AF90" s="5"/>
      <c r="AG90" s="1"/>
      <c r="AH90" s="5"/>
      <c r="AI90" s="1"/>
      <c r="AJ90" s="5"/>
      <c r="AK90" s="1"/>
      <c r="AL90" s="5"/>
      <c r="AM90" s="1"/>
      <c r="AN90" s="5"/>
      <c r="AO90" s="1"/>
      <c r="AP90" s="5"/>
      <c r="AQ90" s="1"/>
      <c r="AR90" s="5"/>
      <c r="AS90" s="1"/>
      <c r="AT90" s="5"/>
      <c r="AU90" s="1"/>
      <c r="AV90" s="5"/>
      <c r="AW90" s="1"/>
      <c r="AX90" s="5"/>
      <c r="AY90" s="1"/>
      <c r="AZ90" s="5"/>
      <c r="BA90" s="1"/>
      <c r="BB90" s="5"/>
      <c r="BC90" s="1"/>
      <c r="BD90" s="5"/>
      <c r="BE90" s="1"/>
      <c r="BF90" s="5"/>
      <c r="BG90" s="1"/>
      <c r="BH90" s="5"/>
      <c r="BI90" s="1"/>
      <c r="BJ90" s="5"/>
      <c r="BK90" s="1"/>
      <c r="BL90" s="5"/>
      <c r="BM90" s="1"/>
      <c r="BN90" s="5"/>
      <c r="BO90" s="1"/>
      <c r="BP90" s="5"/>
      <c r="BQ90" s="1"/>
      <c r="BR90" s="5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77"/>
      <c r="CE90" s="77"/>
      <c r="CF90" s="77"/>
      <c r="CG90" s="77"/>
      <c r="CH90" s="77"/>
      <c r="CI90" s="77"/>
      <c r="CJ90" s="77"/>
      <c r="CK90" s="77"/>
      <c r="CL90" s="77"/>
      <c r="CM90" s="1"/>
      <c r="CN90" s="1"/>
    </row>
    <row r="91" ht="15.75" customHeight="1">
      <c r="A91" s="94"/>
      <c r="B91" s="97"/>
      <c r="C91" s="97"/>
      <c r="D91" s="97"/>
      <c r="E91" s="5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5"/>
      <c r="T91" s="5"/>
      <c r="U91" s="5"/>
      <c r="V91" s="5"/>
      <c r="W91" s="5"/>
      <c r="X91" s="5"/>
      <c r="Y91" s="5"/>
      <c r="Z91" s="5"/>
      <c r="AA91" s="1"/>
      <c r="AB91" s="5"/>
      <c r="AC91" s="1"/>
      <c r="AD91" s="5"/>
      <c r="AE91" s="1"/>
      <c r="AF91" s="5"/>
      <c r="AG91" s="1"/>
      <c r="AH91" s="5"/>
      <c r="AI91" s="1"/>
      <c r="AJ91" s="5"/>
      <c r="AK91" s="1"/>
      <c r="AL91" s="5"/>
      <c r="AM91" s="1"/>
      <c r="AN91" s="5"/>
      <c r="AO91" s="1"/>
      <c r="AP91" s="5"/>
      <c r="AQ91" s="1"/>
      <c r="AR91" s="5"/>
      <c r="AS91" s="1"/>
      <c r="AT91" s="5"/>
      <c r="AU91" s="1"/>
      <c r="AV91" s="5"/>
      <c r="AW91" s="1"/>
      <c r="AX91" s="5"/>
      <c r="AY91" s="1"/>
      <c r="AZ91" s="5"/>
      <c r="BA91" s="1"/>
      <c r="BB91" s="5"/>
      <c r="BC91" s="1"/>
      <c r="BD91" s="5"/>
      <c r="BE91" s="1"/>
      <c r="BF91" s="5"/>
      <c r="BG91" s="1"/>
      <c r="BH91" s="5"/>
      <c r="BI91" s="1"/>
      <c r="BJ91" s="5"/>
      <c r="BK91" s="1"/>
      <c r="BL91" s="5"/>
      <c r="BM91" s="1"/>
      <c r="BN91" s="5"/>
      <c r="BO91" s="1"/>
      <c r="BP91" s="5"/>
      <c r="BQ91" s="1"/>
      <c r="BR91" s="5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45"/>
      <c r="CM91" s="1"/>
      <c r="CN91" s="1"/>
    </row>
    <row r="92" ht="15.75" customHeight="1">
      <c r="A92" s="94"/>
      <c r="B92" s="97"/>
      <c r="C92" s="97"/>
      <c r="D92" s="97"/>
      <c r="E92" s="5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5"/>
      <c r="T92" s="5"/>
      <c r="U92" s="5"/>
      <c r="V92" s="5"/>
      <c r="W92" s="5"/>
      <c r="X92" s="5"/>
      <c r="Y92" s="5"/>
      <c r="Z92" s="5"/>
      <c r="AA92" s="1"/>
      <c r="AB92" s="5"/>
      <c r="AC92" s="1"/>
      <c r="AD92" s="5"/>
      <c r="AE92" s="1"/>
      <c r="AF92" s="5"/>
      <c r="AG92" s="1"/>
      <c r="AH92" s="5"/>
      <c r="AI92" s="1"/>
      <c r="AJ92" s="5"/>
      <c r="AK92" s="1"/>
      <c r="AL92" s="5"/>
      <c r="AM92" s="1"/>
      <c r="AN92" s="5"/>
      <c r="AO92" s="1"/>
      <c r="AP92" s="5"/>
      <c r="AQ92" s="1"/>
      <c r="AR92" s="5"/>
      <c r="AS92" s="1"/>
      <c r="AT92" s="5"/>
      <c r="AU92" s="1"/>
      <c r="AV92" s="5"/>
      <c r="AW92" s="1"/>
      <c r="AX92" s="5"/>
      <c r="AY92" s="1"/>
      <c r="AZ92" s="5"/>
      <c r="BA92" s="1"/>
      <c r="BB92" s="5"/>
      <c r="BC92" s="1"/>
      <c r="BD92" s="5"/>
      <c r="BE92" s="1"/>
      <c r="BF92" s="5"/>
      <c r="BG92" s="1"/>
      <c r="BH92" s="5"/>
      <c r="BI92" s="1"/>
      <c r="BJ92" s="5"/>
      <c r="BK92" s="1"/>
      <c r="BL92" s="5"/>
      <c r="BM92" s="1"/>
      <c r="BN92" s="5"/>
      <c r="BO92" s="1"/>
      <c r="BP92" s="5"/>
      <c r="BQ92" s="1"/>
      <c r="BR92" s="5"/>
      <c r="BS92" s="1"/>
      <c r="BT92" s="1"/>
      <c r="BU92" s="1"/>
      <c r="BV92" s="1"/>
      <c r="BW92" s="1"/>
      <c r="BX92" s="1"/>
      <c r="BY92" s="1"/>
      <c r="BZ92" s="107"/>
      <c r="CA92" s="1"/>
      <c r="CB92" s="1"/>
      <c r="CC92" s="1"/>
      <c r="CD92" s="1"/>
      <c r="CE92" s="1"/>
      <c r="CF92" s="107"/>
      <c r="CG92" s="1"/>
      <c r="CH92" s="1"/>
      <c r="CI92" s="1"/>
      <c r="CJ92" s="1"/>
      <c r="CK92" s="1"/>
      <c r="CL92" s="1"/>
      <c r="CM92" s="1"/>
      <c r="CN92" s="1"/>
    </row>
    <row r="93" ht="15.75" customHeight="1">
      <c r="A93" s="94"/>
      <c r="B93" s="97"/>
      <c r="C93" s="97"/>
      <c r="D93" s="97"/>
      <c r="E93" s="5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5"/>
      <c r="T93" s="5"/>
      <c r="U93" s="5"/>
      <c r="V93" s="5"/>
      <c r="W93" s="5"/>
      <c r="X93" s="5"/>
      <c r="Y93" s="5"/>
      <c r="Z93" s="5"/>
      <c r="AA93" s="1"/>
      <c r="AB93" s="5"/>
      <c r="AC93" s="1"/>
      <c r="AD93" s="5"/>
      <c r="AE93" s="1"/>
      <c r="AF93" s="5"/>
      <c r="AG93" s="1"/>
      <c r="AH93" s="5"/>
      <c r="AI93" s="1"/>
      <c r="AJ93" s="5"/>
      <c r="AK93" s="1"/>
      <c r="AL93" s="5"/>
      <c r="AM93" s="1"/>
      <c r="AN93" s="5"/>
      <c r="AO93" s="1"/>
      <c r="AP93" s="5"/>
      <c r="AQ93" s="1"/>
      <c r="AR93" s="5"/>
      <c r="AS93" s="1"/>
      <c r="AT93" s="5"/>
      <c r="AU93" s="1"/>
      <c r="AV93" s="5"/>
      <c r="AW93" s="1"/>
      <c r="AX93" s="5"/>
      <c r="AY93" s="1"/>
      <c r="AZ93" s="5"/>
      <c r="BA93" s="1"/>
      <c r="BB93" s="5"/>
      <c r="BC93" s="1"/>
      <c r="BD93" s="5"/>
      <c r="BE93" s="1"/>
      <c r="BF93" s="5"/>
      <c r="BG93" s="1"/>
      <c r="BH93" s="5"/>
      <c r="BI93" s="1"/>
      <c r="BJ93" s="5"/>
      <c r="BK93" s="1"/>
      <c r="BL93" s="5"/>
      <c r="BM93" s="1"/>
      <c r="BN93" s="5"/>
      <c r="BO93" s="1"/>
      <c r="BP93" s="5"/>
      <c r="BQ93" s="1"/>
      <c r="BR93" s="5"/>
      <c r="BS93" s="1"/>
      <c r="BT93" s="1"/>
      <c r="BU93" s="1"/>
      <c r="BV93" s="1"/>
      <c r="BW93" s="1"/>
      <c r="BX93" s="1"/>
      <c r="BY93" s="1"/>
      <c r="BZ93" s="107"/>
      <c r="CA93" s="1"/>
      <c r="CB93" s="1"/>
      <c r="CC93" s="1"/>
      <c r="CD93" s="1"/>
      <c r="CE93" s="1"/>
      <c r="CF93" s="107"/>
      <c r="CG93" s="1"/>
      <c r="CH93" s="1"/>
      <c r="CI93" s="1"/>
      <c r="CJ93" s="1"/>
      <c r="CK93" s="1"/>
      <c r="CL93" s="1"/>
      <c r="CM93" s="1"/>
      <c r="CN93" s="1"/>
    </row>
    <row r="94" ht="15.75" customHeight="1">
      <c r="A94" s="94"/>
      <c r="B94" s="97"/>
      <c r="C94" s="97"/>
      <c r="D94" s="97"/>
      <c r="E94" s="5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5"/>
      <c r="T94" s="5"/>
      <c r="U94" s="5"/>
      <c r="V94" s="5"/>
      <c r="W94" s="5"/>
      <c r="X94" s="5"/>
      <c r="Y94" s="5"/>
      <c r="Z94" s="5"/>
      <c r="AA94" s="1"/>
      <c r="AB94" s="5"/>
      <c r="AC94" s="1"/>
      <c r="AD94" s="5"/>
      <c r="AE94" s="1"/>
      <c r="AF94" s="5"/>
      <c r="AG94" s="1"/>
      <c r="AH94" s="5"/>
      <c r="AI94" s="1"/>
      <c r="AJ94" s="5"/>
      <c r="AK94" s="1"/>
      <c r="AL94" s="5"/>
      <c r="AM94" s="1"/>
      <c r="AN94" s="5"/>
      <c r="AO94" s="1"/>
      <c r="AP94" s="5"/>
      <c r="AQ94" s="1"/>
      <c r="AR94" s="5"/>
      <c r="AS94" s="1"/>
      <c r="AT94" s="5"/>
      <c r="AU94" s="1"/>
      <c r="AV94" s="5"/>
      <c r="AW94" s="1"/>
      <c r="AX94" s="5"/>
      <c r="AY94" s="1"/>
      <c r="AZ94" s="5"/>
      <c r="BA94" s="1"/>
      <c r="BB94" s="5"/>
      <c r="BC94" s="1"/>
      <c r="BD94" s="5"/>
      <c r="BE94" s="1"/>
      <c r="BF94" s="5"/>
      <c r="BG94" s="1"/>
      <c r="BH94" s="5"/>
      <c r="BI94" s="1"/>
      <c r="BJ94" s="5"/>
      <c r="BK94" s="1"/>
      <c r="BL94" s="5"/>
      <c r="BM94" s="1"/>
      <c r="BN94" s="5"/>
      <c r="BO94" s="1"/>
      <c r="BP94" s="5"/>
      <c r="BQ94" s="1"/>
      <c r="BR94" s="5"/>
      <c r="BS94" s="1"/>
      <c r="BT94" s="1"/>
      <c r="BU94" s="1"/>
      <c r="BV94" s="1"/>
      <c r="BW94" s="1"/>
      <c r="BX94" s="1"/>
      <c r="BY94" s="1"/>
      <c r="BZ94" s="74"/>
      <c r="CA94" s="1"/>
      <c r="CB94" s="1"/>
      <c r="CC94" s="1"/>
      <c r="CD94" s="1"/>
      <c r="CE94" s="1"/>
      <c r="CF94" s="74"/>
      <c r="CG94" s="1"/>
      <c r="CH94" s="1"/>
      <c r="CI94" s="1"/>
      <c r="CJ94" s="1"/>
      <c r="CK94" s="1"/>
      <c r="CL94" s="1"/>
      <c r="CM94" s="1"/>
      <c r="CN94" s="1"/>
    </row>
    <row r="95" ht="15.75" customHeight="1">
      <c r="A95" s="94"/>
      <c r="B95" s="97"/>
      <c r="C95" s="97"/>
      <c r="D95" s="97"/>
      <c r="E95" s="5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5"/>
      <c r="T95" s="5"/>
      <c r="U95" s="5"/>
      <c r="V95" s="5"/>
      <c r="W95" s="5"/>
      <c r="X95" s="5"/>
      <c r="Y95" s="5"/>
      <c r="Z95" s="5"/>
      <c r="AA95" s="1"/>
      <c r="AB95" s="5"/>
      <c r="AC95" s="1"/>
      <c r="AD95" s="5"/>
      <c r="AE95" s="1"/>
      <c r="AF95" s="5"/>
      <c r="AG95" s="1"/>
      <c r="AH95" s="5"/>
      <c r="AI95" s="1"/>
      <c r="AJ95" s="5"/>
      <c r="AK95" s="1"/>
      <c r="AL95" s="5"/>
      <c r="AM95" s="1"/>
      <c r="AN95" s="5"/>
      <c r="AO95" s="1"/>
      <c r="AP95" s="5"/>
      <c r="AQ95" s="1"/>
      <c r="AR95" s="5"/>
      <c r="AS95" s="1"/>
      <c r="AT95" s="5"/>
      <c r="AU95" s="1"/>
      <c r="AV95" s="5"/>
      <c r="AW95" s="1"/>
      <c r="AX95" s="5"/>
      <c r="AY95" s="1"/>
      <c r="AZ95" s="5"/>
      <c r="BA95" s="1"/>
      <c r="BB95" s="5"/>
      <c r="BC95" s="1"/>
      <c r="BD95" s="5"/>
      <c r="BE95" s="1"/>
      <c r="BF95" s="5"/>
      <c r="BG95" s="1"/>
      <c r="BH95" s="5"/>
      <c r="BI95" s="1"/>
      <c r="BJ95" s="5"/>
      <c r="BK95" s="1"/>
      <c r="BL95" s="5"/>
      <c r="BM95" s="1"/>
      <c r="BN95" s="5"/>
      <c r="BO95" s="1"/>
      <c r="BP95" s="5"/>
      <c r="BQ95" s="1"/>
      <c r="BR95" s="5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</row>
    <row r="96" ht="15.75" customHeight="1">
      <c r="A96" s="94"/>
      <c r="B96" s="97"/>
      <c r="C96" s="97"/>
      <c r="D96" s="97"/>
      <c r="E96" s="5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5"/>
      <c r="T96" s="5"/>
      <c r="U96" s="5"/>
      <c r="V96" s="5"/>
      <c r="W96" s="5"/>
      <c r="X96" s="5"/>
      <c r="Y96" s="5"/>
      <c r="Z96" s="5"/>
      <c r="AA96" s="1"/>
      <c r="AB96" s="5"/>
      <c r="AC96" s="1"/>
      <c r="AD96" s="5"/>
      <c r="AE96" s="1"/>
      <c r="AF96" s="5"/>
      <c r="AG96" s="1"/>
      <c r="AH96" s="5"/>
      <c r="AI96" s="1"/>
      <c r="AJ96" s="5"/>
      <c r="AK96" s="1"/>
      <c r="AL96" s="5"/>
      <c r="AM96" s="1"/>
      <c r="AN96" s="5"/>
      <c r="AO96" s="1"/>
      <c r="AP96" s="5"/>
      <c r="AQ96" s="1"/>
      <c r="AR96" s="5"/>
      <c r="AS96" s="1"/>
      <c r="AT96" s="5"/>
      <c r="AU96" s="1"/>
      <c r="AV96" s="5"/>
      <c r="AW96" s="1"/>
      <c r="AX96" s="5"/>
      <c r="AY96" s="1"/>
      <c r="AZ96" s="5"/>
      <c r="BA96" s="1"/>
      <c r="BB96" s="5"/>
      <c r="BC96" s="1"/>
      <c r="BD96" s="5"/>
      <c r="BE96" s="1"/>
      <c r="BF96" s="5"/>
      <c r="BG96" s="1"/>
      <c r="BH96" s="5"/>
      <c r="BI96" s="1"/>
      <c r="BJ96" s="5"/>
      <c r="BK96" s="1"/>
      <c r="BL96" s="5"/>
      <c r="BM96" s="1"/>
      <c r="BN96" s="5"/>
      <c r="BO96" s="1"/>
      <c r="BP96" s="5"/>
      <c r="BQ96" s="1"/>
      <c r="BR96" s="5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</row>
    <row r="97" ht="15.75" customHeight="1">
      <c r="A97" s="94"/>
      <c r="B97" s="97"/>
      <c r="C97" s="97"/>
      <c r="D97" s="97"/>
      <c r="E97" s="5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5"/>
      <c r="T97" s="5"/>
      <c r="U97" s="5"/>
      <c r="V97" s="5"/>
      <c r="W97" s="5"/>
      <c r="X97" s="5"/>
      <c r="Y97" s="5"/>
      <c r="Z97" s="5"/>
      <c r="AA97" s="1"/>
      <c r="AB97" s="5"/>
      <c r="AC97" s="1"/>
      <c r="AD97" s="5"/>
      <c r="AE97" s="1"/>
      <c r="AF97" s="5"/>
      <c r="AG97" s="1"/>
      <c r="AH97" s="5"/>
      <c r="AI97" s="1"/>
      <c r="AJ97" s="5"/>
      <c r="AK97" s="1"/>
      <c r="AL97" s="5"/>
      <c r="AM97" s="1"/>
      <c r="AN97" s="5"/>
      <c r="AO97" s="1"/>
      <c r="AP97" s="5"/>
      <c r="AQ97" s="1"/>
      <c r="AR97" s="5"/>
      <c r="AS97" s="1"/>
      <c r="AT97" s="5"/>
      <c r="AU97" s="1"/>
      <c r="AV97" s="5"/>
      <c r="AW97" s="1"/>
      <c r="AX97" s="5"/>
      <c r="AY97" s="1"/>
      <c r="AZ97" s="5"/>
      <c r="BA97" s="1"/>
      <c r="BB97" s="5"/>
      <c r="BC97" s="1"/>
      <c r="BD97" s="5"/>
      <c r="BE97" s="1"/>
      <c r="BF97" s="5"/>
      <c r="BG97" s="1"/>
      <c r="BH97" s="5"/>
      <c r="BI97" s="1"/>
      <c r="BJ97" s="5"/>
      <c r="BK97" s="1"/>
      <c r="BL97" s="5"/>
      <c r="BM97" s="1"/>
      <c r="BN97" s="5"/>
      <c r="BO97" s="1"/>
      <c r="BP97" s="5"/>
      <c r="BQ97" s="1"/>
      <c r="BR97" s="5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</row>
    <row r="98" ht="15.75" customHeight="1">
      <c r="A98" s="94"/>
      <c r="B98" s="97"/>
      <c r="C98" s="97"/>
      <c r="D98" s="97"/>
      <c r="E98" s="5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5"/>
      <c r="T98" s="5"/>
      <c r="U98" s="5"/>
      <c r="V98" s="5"/>
      <c r="W98" s="5"/>
      <c r="X98" s="5"/>
      <c r="Y98" s="5"/>
      <c r="Z98" s="5"/>
      <c r="AA98" s="1"/>
      <c r="AB98" s="5"/>
      <c r="AC98" s="1"/>
      <c r="AD98" s="5"/>
      <c r="AE98" s="1"/>
      <c r="AF98" s="5"/>
      <c r="AG98" s="1"/>
      <c r="AH98" s="5"/>
      <c r="AI98" s="1"/>
      <c r="AJ98" s="5"/>
      <c r="AK98" s="1"/>
      <c r="AL98" s="5"/>
      <c r="AM98" s="1"/>
      <c r="AN98" s="5"/>
      <c r="AO98" s="1"/>
      <c r="AP98" s="5"/>
      <c r="AQ98" s="1"/>
      <c r="AR98" s="5"/>
      <c r="AS98" s="1"/>
      <c r="AT98" s="5"/>
      <c r="AU98" s="1"/>
      <c r="AV98" s="5"/>
      <c r="AW98" s="1"/>
      <c r="AX98" s="5"/>
      <c r="AY98" s="1"/>
      <c r="AZ98" s="5"/>
      <c r="BA98" s="1"/>
      <c r="BB98" s="5"/>
      <c r="BC98" s="1"/>
      <c r="BD98" s="5"/>
      <c r="BE98" s="1"/>
      <c r="BF98" s="5"/>
      <c r="BG98" s="1"/>
      <c r="BH98" s="5"/>
      <c r="BI98" s="1"/>
      <c r="BJ98" s="5"/>
      <c r="BK98" s="1"/>
      <c r="BL98" s="5"/>
      <c r="BM98" s="1"/>
      <c r="BN98" s="5"/>
      <c r="BO98" s="1"/>
      <c r="BP98" s="5"/>
      <c r="BQ98" s="1"/>
      <c r="BR98" s="5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</row>
    <row r="99" ht="15.75" customHeight="1">
      <c r="A99" s="94"/>
      <c r="B99" s="97"/>
      <c r="C99" s="97"/>
      <c r="D99" s="97"/>
      <c r="E99" s="5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5"/>
      <c r="T99" s="5"/>
      <c r="U99" s="5"/>
      <c r="V99" s="5"/>
      <c r="W99" s="5"/>
      <c r="X99" s="5"/>
      <c r="Y99" s="5"/>
      <c r="Z99" s="5"/>
      <c r="AA99" s="1"/>
      <c r="AB99" s="5"/>
      <c r="AC99" s="1"/>
      <c r="AD99" s="5"/>
      <c r="AE99" s="1"/>
      <c r="AF99" s="5"/>
      <c r="AG99" s="1"/>
      <c r="AH99" s="5"/>
      <c r="AI99" s="1"/>
      <c r="AJ99" s="5"/>
      <c r="AK99" s="1"/>
      <c r="AL99" s="5"/>
      <c r="AM99" s="1"/>
      <c r="AN99" s="5"/>
      <c r="AO99" s="1"/>
      <c r="AP99" s="5"/>
      <c r="AQ99" s="1"/>
      <c r="AR99" s="5"/>
      <c r="AS99" s="1"/>
      <c r="AT99" s="5"/>
      <c r="AU99" s="1"/>
      <c r="AV99" s="5"/>
      <c r="AW99" s="1"/>
      <c r="AX99" s="5"/>
      <c r="AY99" s="1"/>
      <c r="AZ99" s="5"/>
      <c r="BA99" s="1"/>
      <c r="BB99" s="5"/>
      <c r="BC99" s="1"/>
      <c r="BD99" s="5"/>
      <c r="BE99" s="1"/>
      <c r="BF99" s="5"/>
      <c r="BG99" s="1"/>
      <c r="BH99" s="5"/>
      <c r="BI99" s="1"/>
      <c r="BJ99" s="5"/>
      <c r="BK99" s="1"/>
      <c r="BL99" s="5"/>
      <c r="BM99" s="1"/>
      <c r="BN99" s="5"/>
      <c r="BO99" s="1"/>
      <c r="BP99" s="5"/>
      <c r="BQ99" s="1"/>
      <c r="BR99" s="5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</row>
    <row r="100" ht="15.75" customHeight="1">
      <c r="A100" s="94"/>
      <c r="B100" s="97"/>
      <c r="C100" s="97"/>
      <c r="D100" s="97"/>
      <c r="E100" s="5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5"/>
      <c r="T100" s="5"/>
      <c r="U100" s="5"/>
      <c r="V100" s="5"/>
      <c r="W100" s="5"/>
      <c r="X100" s="5"/>
      <c r="Y100" s="5"/>
      <c r="Z100" s="5"/>
      <c r="AA100" s="1"/>
      <c r="AB100" s="5"/>
      <c r="AC100" s="1"/>
      <c r="AD100" s="5"/>
      <c r="AE100" s="1"/>
      <c r="AF100" s="5"/>
      <c r="AG100" s="1"/>
      <c r="AH100" s="5"/>
      <c r="AI100" s="1"/>
      <c r="AJ100" s="5"/>
      <c r="AK100" s="1"/>
      <c r="AL100" s="5"/>
      <c r="AM100" s="1"/>
      <c r="AN100" s="5"/>
      <c r="AO100" s="1"/>
      <c r="AP100" s="5"/>
      <c r="AQ100" s="1"/>
      <c r="AR100" s="5"/>
      <c r="AS100" s="1"/>
      <c r="AT100" s="5"/>
      <c r="AU100" s="1"/>
      <c r="AV100" s="5"/>
      <c r="AW100" s="1"/>
      <c r="AX100" s="5"/>
      <c r="AY100" s="1"/>
      <c r="AZ100" s="5"/>
      <c r="BA100" s="1"/>
      <c r="BB100" s="5"/>
      <c r="BC100" s="1"/>
      <c r="BD100" s="5"/>
      <c r="BE100" s="1"/>
      <c r="BF100" s="5"/>
      <c r="BG100" s="1"/>
      <c r="BH100" s="5"/>
      <c r="BI100" s="1"/>
      <c r="BJ100" s="5"/>
      <c r="BK100" s="1"/>
      <c r="BL100" s="5"/>
      <c r="BM100" s="1"/>
      <c r="BN100" s="5"/>
      <c r="BO100" s="1"/>
      <c r="BP100" s="5"/>
      <c r="BQ100" s="1"/>
      <c r="BR100" s="5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</row>
    <row r="101" ht="15.75" customHeight="1">
      <c r="A101" s="94"/>
      <c r="B101" s="97"/>
      <c r="C101" s="97"/>
      <c r="D101" s="97"/>
      <c r="E101" s="5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5"/>
      <c r="T101" s="5"/>
      <c r="U101" s="5"/>
      <c r="V101" s="5"/>
      <c r="W101" s="5"/>
      <c r="X101" s="5"/>
      <c r="Y101" s="5"/>
      <c r="Z101" s="5"/>
      <c r="AA101" s="1"/>
      <c r="AB101" s="5"/>
      <c r="AC101" s="1"/>
      <c r="AD101" s="5"/>
      <c r="AE101" s="1"/>
      <c r="AF101" s="5"/>
      <c r="AG101" s="1"/>
      <c r="AH101" s="5"/>
      <c r="AI101" s="1"/>
      <c r="AJ101" s="5"/>
      <c r="AK101" s="1"/>
      <c r="AL101" s="5"/>
      <c r="AM101" s="1"/>
      <c r="AN101" s="5"/>
      <c r="AO101" s="1"/>
      <c r="AP101" s="5"/>
      <c r="AQ101" s="1"/>
      <c r="AR101" s="5"/>
      <c r="AS101" s="1"/>
      <c r="AT101" s="5"/>
      <c r="AU101" s="1"/>
      <c r="AV101" s="5"/>
      <c r="AW101" s="1"/>
      <c r="AX101" s="5"/>
      <c r="AY101" s="1"/>
      <c r="AZ101" s="5"/>
      <c r="BA101" s="1"/>
      <c r="BB101" s="5"/>
      <c r="BC101" s="1"/>
      <c r="BD101" s="5"/>
      <c r="BE101" s="1"/>
      <c r="BF101" s="5"/>
      <c r="BG101" s="1"/>
      <c r="BH101" s="5"/>
      <c r="BI101" s="1"/>
      <c r="BJ101" s="5"/>
      <c r="BK101" s="1"/>
      <c r="BL101" s="5"/>
      <c r="BM101" s="1"/>
      <c r="BN101" s="5"/>
      <c r="BO101" s="1"/>
      <c r="BP101" s="5"/>
      <c r="BQ101" s="1"/>
      <c r="BR101" s="5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</row>
    <row r="102" ht="15.75" customHeight="1">
      <c r="A102" s="94"/>
      <c r="B102" s="97"/>
      <c r="C102" s="97"/>
      <c r="D102" s="97"/>
      <c r="E102" s="5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5"/>
      <c r="T102" s="5"/>
      <c r="U102" s="5"/>
      <c r="V102" s="5"/>
      <c r="W102" s="5"/>
      <c r="X102" s="5"/>
      <c r="Y102" s="5"/>
      <c r="Z102" s="5"/>
      <c r="AA102" s="1"/>
      <c r="AB102" s="5"/>
      <c r="AC102" s="1"/>
      <c r="AD102" s="5"/>
      <c r="AE102" s="1"/>
      <c r="AF102" s="5"/>
      <c r="AG102" s="1"/>
      <c r="AH102" s="5"/>
      <c r="AI102" s="1"/>
      <c r="AJ102" s="5"/>
      <c r="AK102" s="1"/>
      <c r="AL102" s="5"/>
      <c r="AM102" s="1"/>
      <c r="AN102" s="5"/>
      <c r="AO102" s="1"/>
      <c r="AP102" s="5"/>
      <c r="AQ102" s="1"/>
      <c r="AR102" s="5"/>
      <c r="AS102" s="1"/>
      <c r="AT102" s="5"/>
      <c r="AU102" s="1"/>
      <c r="AV102" s="5"/>
      <c r="AW102" s="1"/>
      <c r="AX102" s="5"/>
      <c r="AY102" s="1"/>
      <c r="AZ102" s="5"/>
      <c r="BA102" s="1"/>
      <c r="BB102" s="5"/>
      <c r="BC102" s="1"/>
      <c r="BD102" s="5"/>
      <c r="BE102" s="1"/>
      <c r="BF102" s="5"/>
      <c r="BG102" s="1"/>
      <c r="BH102" s="5"/>
      <c r="BI102" s="1"/>
      <c r="BJ102" s="5"/>
      <c r="BK102" s="1"/>
      <c r="BL102" s="5"/>
      <c r="BM102" s="1"/>
      <c r="BN102" s="5"/>
      <c r="BO102" s="1"/>
      <c r="BP102" s="5"/>
      <c r="BQ102" s="1"/>
      <c r="BR102" s="5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</row>
    <row r="103" ht="15.75" customHeight="1">
      <c r="A103" s="94"/>
      <c r="B103" s="97"/>
      <c r="C103" s="97"/>
      <c r="D103" s="97"/>
      <c r="E103" s="5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5"/>
      <c r="T103" s="5"/>
      <c r="U103" s="5"/>
      <c r="V103" s="5"/>
      <c r="W103" s="5"/>
      <c r="X103" s="5"/>
      <c r="Y103" s="5"/>
      <c r="Z103" s="5"/>
      <c r="AA103" s="1"/>
      <c r="AB103" s="5"/>
      <c r="AC103" s="1"/>
      <c r="AD103" s="5"/>
      <c r="AE103" s="1"/>
      <c r="AF103" s="5"/>
      <c r="AG103" s="1"/>
      <c r="AH103" s="5"/>
      <c r="AI103" s="1"/>
      <c r="AJ103" s="5"/>
      <c r="AK103" s="1"/>
      <c r="AL103" s="5"/>
      <c r="AM103" s="1"/>
      <c r="AN103" s="5"/>
      <c r="AO103" s="1"/>
      <c r="AP103" s="5"/>
      <c r="AQ103" s="1"/>
      <c r="AR103" s="5"/>
      <c r="AS103" s="1"/>
      <c r="AT103" s="5"/>
      <c r="AU103" s="1"/>
      <c r="AV103" s="5"/>
      <c r="AW103" s="1"/>
      <c r="AX103" s="5"/>
      <c r="AY103" s="1"/>
      <c r="AZ103" s="5"/>
      <c r="BA103" s="1"/>
      <c r="BB103" s="5"/>
      <c r="BC103" s="1"/>
      <c r="BD103" s="5"/>
      <c r="BE103" s="1"/>
      <c r="BF103" s="5"/>
      <c r="BG103" s="1"/>
      <c r="BH103" s="5"/>
      <c r="BI103" s="1"/>
      <c r="BJ103" s="5"/>
      <c r="BK103" s="1"/>
      <c r="BL103" s="5"/>
      <c r="BM103" s="1"/>
      <c r="BN103" s="5"/>
      <c r="BO103" s="1"/>
      <c r="BP103" s="5"/>
      <c r="BQ103" s="1"/>
      <c r="BR103" s="5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</row>
    <row r="104" ht="15.75" customHeight="1">
      <c r="A104" s="94"/>
      <c r="B104" s="97"/>
      <c r="C104" s="97"/>
      <c r="D104" s="97"/>
      <c r="E104" s="5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5"/>
      <c r="T104" s="5"/>
      <c r="U104" s="5"/>
      <c r="V104" s="5"/>
      <c r="W104" s="5"/>
      <c r="X104" s="5"/>
      <c r="Y104" s="5"/>
      <c r="Z104" s="5"/>
      <c r="AA104" s="1"/>
      <c r="AB104" s="5"/>
      <c r="AC104" s="1"/>
      <c r="AD104" s="5"/>
      <c r="AE104" s="1"/>
      <c r="AF104" s="5"/>
      <c r="AG104" s="1"/>
      <c r="AH104" s="5"/>
      <c r="AI104" s="1"/>
      <c r="AJ104" s="5"/>
      <c r="AK104" s="1"/>
      <c r="AL104" s="5"/>
      <c r="AM104" s="1"/>
      <c r="AN104" s="5"/>
      <c r="AO104" s="1"/>
      <c r="AP104" s="5"/>
      <c r="AQ104" s="1"/>
      <c r="AR104" s="5"/>
      <c r="AS104" s="1"/>
      <c r="AT104" s="5"/>
      <c r="AU104" s="1"/>
      <c r="AV104" s="5"/>
      <c r="AW104" s="1"/>
      <c r="AX104" s="5"/>
      <c r="AY104" s="1"/>
      <c r="AZ104" s="5"/>
      <c r="BA104" s="1"/>
      <c r="BB104" s="5"/>
      <c r="BC104" s="1"/>
      <c r="BD104" s="5"/>
      <c r="BE104" s="1"/>
      <c r="BF104" s="5"/>
      <c r="BG104" s="1"/>
      <c r="BH104" s="5"/>
      <c r="BI104" s="1"/>
      <c r="BJ104" s="5"/>
      <c r="BK104" s="1"/>
      <c r="BL104" s="5"/>
      <c r="BM104" s="1"/>
      <c r="BN104" s="5"/>
      <c r="BO104" s="1"/>
      <c r="BP104" s="5"/>
      <c r="BQ104" s="1"/>
      <c r="BR104" s="5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</row>
    <row r="105" ht="15.75" customHeight="1">
      <c r="A105" s="94"/>
      <c r="B105" s="97"/>
      <c r="C105" s="97"/>
      <c r="D105" s="97"/>
      <c r="E105" s="5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5"/>
      <c r="T105" s="5"/>
      <c r="U105" s="5"/>
      <c r="V105" s="5"/>
      <c r="W105" s="5"/>
      <c r="X105" s="5"/>
      <c r="Y105" s="5"/>
      <c r="Z105" s="5"/>
      <c r="AA105" s="1"/>
      <c r="AB105" s="5"/>
      <c r="AC105" s="1"/>
      <c r="AD105" s="5"/>
      <c r="AE105" s="1"/>
      <c r="AF105" s="5"/>
      <c r="AG105" s="1"/>
      <c r="AH105" s="5"/>
      <c r="AI105" s="1"/>
      <c r="AJ105" s="5"/>
      <c r="AK105" s="1"/>
      <c r="AL105" s="5"/>
      <c r="AM105" s="1"/>
      <c r="AN105" s="5"/>
      <c r="AO105" s="1"/>
      <c r="AP105" s="5"/>
      <c r="AQ105" s="1"/>
      <c r="AR105" s="5"/>
      <c r="AS105" s="1"/>
      <c r="AT105" s="5"/>
      <c r="AU105" s="1"/>
      <c r="AV105" s="5"/>
      <c r="AW105" s="1"/>
      <c r="AX105" s="5"/>
      <c r="AY105" s="1"/>
      <c r="AZ105" s="5"/>
      <c r="BA105" s="1"/>
      <c r="BB105" s="5"/>
      <c r="BC105" s="1"/>
      <c r="BD105" s="5"/>
      <c r="BE105" s="1"/>
      <c r="BF105" s="5"/>
      <c r="BG105" s="1"/>
      <c r="BH105" s="5"/>
      <c r="BI105" s="1"/>
      <c r="BJ105" s="5"/>
      <c r="BK105" s="1"/>
      <c r="BL105" s="5"/>
      <c r="BM105" s="1"/>
      <c r="BN105" s="5"/>
      <c r="BO105" s="1"/>
      <c r="BP105" s="5"/>
      <c r="BQ105" s="1"/>
      <c r="BR105" s="5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</row>
    <row r="106" ht="15.75" customHeight="1">
      <c r="A106" s="94"/>
      <c r="B106" s="97"/>
      <c r="C106" s="97"/>
      <c r="D106" s="97"/>
      <c r="E106" s="5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5"/>
      <c r="T106" s="5"/>
      <c r="U106" s="5"/>
      <c r="V106" s="5"/>
      <c r="W106" s="5"/>
      <c r="X106" s="5"/>
      <c r="Y106" s="5"/>
      <c r="Z106" s="5"/>
      <c r="AA106" s="1"/>
      <c r="AB106" s="5"/>
      <c r="AC106" s="1"/>
      <c r="AD106" s="5"/>
      <c r="AE106" s="1"/>
      <c r="AF106" s="5"/>
      <c r="AG106" s="1"/>
      <c r="AH106" s="5"/>
      <c r="AI106" s="1"/>
      <c r="AJ106" s="5"/>
      <c r="AK106" s="1"/>
      <c r="AL106" s="5"/>
      <c r="AM106" s="1"/>
      <c r="AN106" s="5"/>
      <c r="AO106" s="1"/>
      <c r="AP106" s="5"/>
      <c r="AQ106" s="1"/>
      <c r="AR106" s="5"/>
      <c r="AS106" s="1"/>
      <c r="AT106" s="5"/>
      <c r="AU106" s="1"/>
      <c r="AV106" s="5"/>
      <c r="AW106" s="1"/>
      <c r="AX106" s="5"/>
      <c r="AY106" s="1"/>
      <c r="AZ106" s="5"/>
      <c r="BA106" s="1"/>
      <c r="BB106" s="5"/>
      <c r="BC106" s="1"/>
      <c r="BD106" s="5"/>
      <c r="BE106" s="1"/>
      <c r="BF106" s="5"/>
      <c r="BG106" s="1"/>
      <c r="BH106" s="5"/>
      <c r="BI106" s="1"/>
      <c r="BJ106" s="5"/>
      <c r="BK106" s="1"/>
      <c r="BL106" s="5"/>
      <c r="BM106" s="1"/>
      <c r="BN106" s="5"/>
      <c r="BO106" s="1"/>
      <c r="BP106" s="5"/>
      <c r="BQ106" s="1"/>
      <c r="BR106" s="5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</row>
    <row r="107" ht="15.75" customHeight="1">
      <c r="A107" s="94"/>
      <c r="B107" s="97"/>
      <c r="C107" s="97"/>
      <c r="D107" s="97"/>
      <c r="E107" s="5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5"/>
      <c r="T107" s="5"/>
      <c r="U107" s="5"/>
      <c r="V107" s="5"/>
      <c r="W107" s="5"/>
      <c r="X107" s="5"/>
      <c r="Y107" s="5"/>
      <c r="Z107" s="5"/>
      <c r="AA107" s="1"/>
      <c r="AB107" s="5"/>
      <c r="AC107" s="1"/>
      <c r="AD107" s="5"/>
      <c r="AE107" s="1"/>
      <c r="AF107" s="5"/>
      <c r="AG107" s="1"/>
      <c r="AH107" s="5"/>
      <c r="AI107" s="1"/>
      <c r="AJ107" s="5"/>
      <c r="AK107" s="1"/>
      <c r="AL107" s="5"/>
      <c r="AM107" s="1"/>
      <c r="AN107" s="5"/>
      <c r="AO107" s="1"/>
      <c r="AP107" s="5"/>
      <c r="AQ107" s="1"/>
      <c r="AR107" s="5"/>
      <c r="AS107" s="1"/>
      <c r="AT107" s="5"/>
      <c r="AU107" s="1"/>
      <c r="AV107" s="5"/>
      <c r="AW107" s="1"/>
      <c r="AX107" s="5"/>
      <c r="AY107" s="1"/>
      <c r="AZ107" s="5"/>
      <c r="BA107" s="1"/>
      <c r="BB107" s="5"/>
      <c r="BC107" s="1"/>
      <c r="BD107" s="5"/>
      <c r="BE107" s="1"/>
      <c r="BF107" s="5"/>
      <c r="BG107" s="1"/>
      <c r="BH107" s="5"/>
      <c r="BI107" s="1"/>
      <c r="BJ107" s="5"/>
      <c r="BK107" s="1"/>
      <c r="BL107" s="5"/>
      <c r="BM107" s="1"/>
      <c r="BN107" s="5"/>
      <c r="BO107" s="1"/>
      <c r="BP107" s="5"/>
      <c r="BQ107" s="1"/>
      <c r="BR107" s="5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</row>
    <row r="108" ht="15.75" customHeight="1">
      <c r="A108" s="94"/>
      <c r="B108" s="97"/>
      <c r="C108" s="97"/>
      <c r="D108" s="97"/>
      <c r="E108" s="5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5"/>
      <c r="T108" s="5"/>
      <c r="U108" s="5"/>
      <c r="V108" s="5"/>
      <c r="W108" s="5"/>
      <c r="X108" s="5"/>
      <c r="Y108" s="5"/>
      <c r="Z108" s="5"/>
      <c r="AA108" s="1"/>
      <c r="AB108" s="5"/>
      <c r="AC108" s="1"/>
      <c r="AD108" s="5"/>
      <c r="AE108" s="1"/>
      <c r="AF108" s="5"/>
      <c r="AG108" s="1"/>
      <c r="AH108" s="5"/>
      <c r="AI108" s="1"/>
      <c r="AJ108" s="5"/>
      <c r="AK108" s="1"/>
      <c r="AL108" s="5"/>
      <c r="AM108" s="1"/>
      <c r="AN108" s="5"/>
      <c r="AO108" s="1"/>
      <c r="AP108" s="5"/>
      <c r="AQ108" s="1"/>
      <c r="AR108" s="5"/>
      <c r="AS108" s="1"/>
      <c r="AT108" s="5"/>
      <c r="AU108" s="1"/>
      <c r="AV108" s="5"/>
      <c r="AW108" s="1"/>
      <c r="AX108" s="5"/>
      <c r="AY108" s="1"/>
      <c r="AZ108" s="5"/>
      <c r="BA108" s="1"/>
      <c r="BB108" s="5"/>
      <c r="BC108" s="1"/>
      <c r="BD108" s="5"/>
      <c r="BE108" s="1"/>
      <c r="BF108" s="5"/>
      <c r="BG108" s="1"/>
      <c r="BH108" s="5"/>
      <c r="BI108" s="1"/>
      <c r="BJ108" s="5"/>
      <c r="BK108" s="1"/>
      <c r="BL108" s="5"/>
      <c r="BM108" s="1"/>
      <c r="BN108" s="5"/>
      <c r="BO108" s="1"/>
      <c r="BP108" s="5"/>
      <c r="BQ108" s="1"/>
      <c r="BR108" s="5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</row>
    <row r="109" ht="15.75" customHeight="1">
      <c r="A109" s="94"/>
      <c r="B109" s="97"/>
      <c r="C109" s="97"/>
      <c r="D109" s="97"/>
      <c r="E109" s="5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5"/>
      <c r="T109" s="5"/>
      <c r="U109" s="5"/>
      <c r="V109" s="5"/>
      <c r="W109" s="5"/>
      <c r="X109" s="5"/>
      <c r="Y109" s="5"/>
      <c r="Z109" s="5"/>
      <c r="AA109" s="1"/>
      <c r="AB109" s="5"/>
      <c r="AC109" s="1"/>
      <c r="AD109" s="5"/>
      <c r="AE109" s="1"/>
      <c r="AF109" s="5"/>
      <c r="AG109" s="1"/>
      <c r="AH109" s="5"/>
      <c r="AI109" s="1"/>
      <c r="AJ109" s="5"/>
      <c r="AK109" s="1"/>
      <c r="AL109" s="5"/>
      <c r="AM109" s="1"/>
      <c r="AN109" s="5"/>
      <c r="AO109" s="1"/>
      <c r="AP109" s="5"/>
      <c r="AQ109" s="1"/>
      <c r="AR109" s="5"/>
      <c r="AS109" s="1"/>
      <c r="AT109" s="5"/>
      <c r="AU109" s="1"/>
      <c r="AV109" s="5"/>
      <c r="AW109" s="1"/>
      <c r="AX109" s="5"/>
      <c r="AY109" s="1"/>
      <c r="AZ109" s="5"/>
      <c r="BA109" s="1"/>
      <c r="BB109" s="5"/>
      <c r="BC109" s="1"/>
      <c r="BD109" s="5"/>
      <c r="BE109" s="1"/>
      <c r="BF109" s="5"/>
      <c r="BG109" s="1"/>
      <c r="BH109" s="5"/>
      <c r="BI109" s="1"/>
      <c r="BJ109" s="5"/>
      <c r="BK109" s="1"/>
      <c r="BL109" s="5"/>
      <c r="BM109" s="1"/>
      <c r="BN109" s="5"/>
      <c r="BO109" s="1"/>
      <c r="BP109" s="5"/>
      <c r="BQ109" s="1"/>
      <c r="BR109" s="5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</row>
    <row r="110" ht="15.75" customHeight="1">
      <c r="A110" s="94"/>
      <c r="B110" s="97"/>
      <c r="C110" s="97"/>
      <c r="D110" s="97"/>
      <c r="E110" s="5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5"/>
      <c r="T110" s="5"/>
      <c r="U110" s="5"/>
      <c r="V110" s="5"/>
      <c r="W110" s="5"/>
      <c r="X110" s="5"/>
      <c r="Y110" s="5"/>
      <c r="Z110" s="5"/>
      <c r="AA110" s="1"/>
      <c r="AB110" s="5"/>
      <c r="AC110" s="1"/>
      <c r="AD110" s="5"/>
      <c r="AE110" s="1"/>
      <c r="AF110" s="5"/>
      <c r="AG110" s="1"/>
      <c r="AH110" s="5"/>
      <c r="AI110" s="1"/>
      <c r="AJ110" s="5"/>
      <c r="AK110" s="1"/>
      <c r="AL110" s="5"/>
      <c r="AM110" s="1"/>
      <c r="AN110" s="5"/>
      <c r="AO110" s="1"/>
      <c r="AP110" s="5"/>
      <c r="AQ110" s="1"/>
      <c r="AR110" s="5"/>
      <c r="AS110" s="1"/>
      <c r="AT110" s="5"/>
      <c r="AU110" s="1"/>
      <c r="AV110" s="5"/>
      <c r="AW110" s="1"/>
      <c r="AX110" s="5"/>
      <c r="AY110" s="1"/>
      <c r="AZ110" s="5"/>
      <c r="BA110" s="1"/>
      <c r="BB110" s="5"/>
      <c r="BC110" s="1"/>
      <c r="BD110" s="5"/>
      <c r="BE110" s="1"/>
      <c r="BF110" s="5"/>
      <c r="BG110" s="1"/>
      <c r="BH110" s="5"/>
      <c r="BI110" s="1"/>
      <c r="BJ110" s="5"/>
      <c r="BK110" s="1"/>
      <c r="BL110" s="5"/>
      <c r="BM110" s="1"/>
      <c r="BN110" s="5"/>
      <c r="BO110" s="1"/>
      <c r="BP110" s="5"/>
      <c r="BQ110" s="1"/>
      <c r="BR110" s="5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</row>
    <row r="111" ht="15.75" customHeight="1">
      <c r="A111" s="94"/>
      <c r="B111" s="97"/>
      <c r="C111" s="97"/>
      <c r="D111" s="97"/>
      <c r="E111" s="5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5"/>
      <c r="T111" s="5"/>
      <c r="U111" s="5"/>
      <c r="V111" s="5"/>
      <c r="W111" s="5"/>
      <c r="X111" s="5"/>
      <c r="Y111" s="5"/>
      <c r="Z111" s="5"/>
      <c r="AA111" s="1"/>
      <c r="AB111" s="5"/>
      <c r="AC111" s="1"/>
      <c r="AD111" s="5"/>
      <c r="AE111" s="1"/>
      <c r="AF111" s="5"/>
      <c r="AG111" s="1"/>
      <c r="AH111" s="5"/>
      <c r="AI111" s="1"/>
      <c r="AJ111" s="5"/>
      <c r="AK111" s="1"/>
      <c r="AL111" s="5"/>
      <c r="AM111" s="1"/>
      <c r="AN111" s="5"/>
      <c r="AO111" s="1"/>
      <c r="AP111" s="5"/>
      <c r="AQ111" s="1"/>
      <c r="AR111" s="5"/>
      <c r="AS111" s="1"/>
      <c r="AT111" s="5"/>
      <c r="AU111" s="1"/>
      <c r="AV111" s="5"/>
      <c r="AW111" s="1"/>
      <c r="AX111" s="5"/>
      <c r="AY111" s="1"/>
      <c r="AZ111" s="5"/>
      <c r="BA111" s="1"/>
      <c r="BB111" s="5"/>
      <c r="BC111" s="1"/>
      <c r="BD111" s="5"/>
      <c r="BE111" s="1"/>
      <c r="BF111" s="5"/>
      <c r="BG111" s="1"/>
      <c r="BH111" s="5"/>
      <c r="BI111" s="1"/>
      <c r="BJ111" s="5"/>
      <c r="BK111" s="1"/>
      <c r="BL111" s="5"/>
      <c r="BM111" s="1"/>
      <c r="BN111" s="5"/>
      <c r="BO111" s="1"/>
      <c r="BP111" s="5"/>
      <c r="BQ111" s="1"/>
      <c r="BR111" s="5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</row>
    <row r="112" ht="15.75" customHeight="1">
      <c r="A112" s="94"/>
      <c r="B112" s="97"/>
      <c r="C112" s="97"/>
      <c r="D112" s="97"/>
      <c r="E112" s="5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5"/>
      <c r="T112" s="5"/>
      <c r="U112" s="5"/>
      <c r="V112" s="5"/>
      <c r="W112" s="5"/>
      <c r="X112" s="5"/>
      <c r="Y112" s="5"/>
      <c r="Z112" s="5"/>
      <c r="AA112" s="1"/>
      <c r="AB112" s="5"/>
      <c r="AC112" s="1"/>
      <c r="AD112" s="5"/>
      <c r="AE112" s="1"/>
      <c r="AF112" s="5"/>
      <c r="AG112" s="1"/>
      <c r="AH112" s="5"/>
      <c r="AI112" s="1"/>
      <c r="AJ112" s="5"/>
      <c r="AK112" s="1"/>
      <c r="AL112" s="5"/>
      <c r="AM112" s="1"/>
      <c r="AN112" s="5"/>
      <c r="AO112" s="1"/>
      <c r="AP112" s="5"/>
      <c r="AQ112" s="1"/>
      <c r="AR112" s="5"/>
      <c r="AS112" s="1"/>
      <c r="AT112" s="5"/>
      <c r="AU112" s="1"/>
      <c r="AV112" s="5"/>
      <c r="AW112" s="1"/>
      <c r="AX112" s="5"/>
      <c r="AY112" s="1"/>
      <c r="AZ112" s="5"/>
      <c r="BA112" s="1"/>
      <c r="BB112" s="5"/>
      <c r="BC112" s="1"/>
      <c r="BD112" s="5"/>
      <c r="BE112" s="1"/>
      <c r="BF112" s="5"/>
      <c r="BG112" s="1"/>
      <c r="BH112" s="5"/>
      <c r="BI112" s="1"/>
      <c r="BJ112" s="5"/>
      <c r="BK112" s="1"/>
      <c r="BL112" s="5"/>
      <c r="BM112" s="1"/>
      <c r="BN112" s="5"/>
      <c r="BO112" s="1"/>
      <c r="BP112" s="5"/>
      <c r="BQ112" s="1"/>
      <c r="BR112" s="5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</row>
    <row r="113" ht="15.75" customHeight="1">
      <c r="A113" s="94"/>
      <c r="B113" s="97"/>
      <c r="C113" s="97"/>
      <c r="D113" s="97"/>
      <c r="E113" s="5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5"/>
      <c r="T113" s="5"/>
      <c r="U113" s="5"/>
      <c r="V113" s="5"/>
      <c r="W113" s="5"/>
      <c r="X113" s="5"/>
      <c r="Y113" s="5"/>
      <c r="Z113" s="5"/>
      <c r="AA113" s="1"/>
      <c r="AB113" s="5"/>
      <c r="AC113" s="1"/>
      <c r="AD113" s="5"/>
      <c r="AE113" s="1"/>
      <c r="AF113" s="5"/>
      <c r="AG113" s="1"/>
      <c r="AH113" s="5"/>
      <c r="AI113" s="1"/>
      <c r="AJ113" s="5"/>
      <c r="AK113" s="1"/>
      <c r="AL113" s="5"/>
      <c r="AM113" s="1"/>
      <c r="AN113" s="5"/>
      <c r="AO113" s="1"/>
      <c r="AP113" s="5"/>
      <c r="AQ113" s="1"/>
      <c r="AR113" s="5"/>
      <c r="AS113" s="1"/>
      <c r="AT113" s="5"/>
      <c r="AU113" s="1"/>
      <c r="AV113" s="5"/>
      <c r="AW113" s="1"/>
      <c r="AX113" s="5"/>
      <c r="AY113" s="1"/>
      <c r="AZ113" s="5"/>
      <c r="BA113" s="1"/>
      <c r="BB113" s="5"/>
      <c r="BC113" s="1"/>
      <c r="BD113" s="5"/>
      <c r="BE113" s="1"/>
      <c r="BF113" s="5"/>
      <c r="BG113" s="1"/>
      <c r="BH113" s="5"/>
      <c r="BI113" s="1"/>
      <c r="BJ113" s="5"/>
      <c r="BK113" s="1"/>
      <c r="BL113" s="5"/>
      <c r="BM113" s="1"/>
      <c r="BN113" s="5"/>
      <c r="BO113" s="1"/>
      <c r="BP113" s="5"/>
      <c r="BQ113" s="1"/>
      <c r="BR113" s="5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</row>
    <row r="114" ht="15.75" customHeight="1">
      <c r="A114" s="94"/>
      <c r="B114" s="97"/>
      <c r="C114" s="97"/>
      <c r="D114" s="97"/>
      <c r="E114" s="5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5"/>
      <c r="T114" s="5"/>
      <c r="U114" s="5"/>
      <c r="V114" s="5"/>
      <c r="W114" s="5"/>
      <c r="X114" s="5"/>
      <c r="Y114" s="5"/>
      <c r="Z114" s="5"/>
      <c r="AA114" s="1"/>
      <c r="AB114" s="5"/>
      <c r="AC114" s="1"/>
      <c r="AD114" s="5"/>
      <c r="AE114" s="1"/>
      <c r="AF114" s="5"/>
      <c r="AG114" s="1"/>
      <c r="AH114" s="5"/>
      <c r="AI114" s="1"/>
      <c r="AJ114" s="5"/>
      <c r="AK114" s="1"/>
      <c r="AL114" s="5"/>
      <c r="AM114" s="1"/>
      <c r="AN114" s="5"/>
      <c r="AO114" s="1"/>
      <c r="AP114" s="5"/>
      <c r="AQ114" s="1"/>
      <c r="AR114" s="5"/>
      <c r="AS114" s="1"/>
      <c r="AT114" s="5"/>
      <c r="AU114" s="1"/>
      <c r="AV114" s="5"/>
      <c r="AW114" s="1"/>
      <c r="AX114" s="5"/>
      <c r="AY114" s="1"/>
      <c r="AZ114" s="5"/>
      <c r="BA114" s="1"/>
      <c r="BB114" s="5"/>
      <c r="BC114" s="1"/>
      <c r="BD114" s="5"/>
      <c r="BE114" s="1"/>
      <c r="BF114" s="5"/>
      <c r="BG114" s="1"/>
      <c r="BH114" s="5"/>
      <c r="BI114" s="1"/>
      <c r="BJ114" s="5"/>
      <c r="BK114" s="1"/>
      <c r="BL114" s="5"/>
      <c r="BM114" s="1"/>
      <c r="BN114" s="5"/>
      <c r="BO114" s="1"/>
      <c r="BP114" s="5"/>
      <c r="BQ114" s="1"/>
      <c r="BR114" s="5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</row>
    <row r="115" ht="15.75" customHeight="1">
      <c r="A115" s="94"/>
      <c r="B115" s="97"/>
      <c r="C115" s="97"/>
      <c r="D115" s="97"/>
      <c r="E115" s="5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5"/>
      <c r="T115" s="5"/>
      <c r="U115" s="5"/>
      <c r="V115" s="5"/>
      <c r="W115" s="5"/>
      <c r="X115" s="5"/>
      <c r="Y115" s="5"/>
      <c r="Z115" s="5"/>
      <c r="AA115" s="1"/>
      <c r="AB115" s="5"/>
      <c r="AC115" s="1"/>
      <c r="AD115" s="5"/>
      <c r="AE115" s="1"/>
      <c r="AF115" s="5"/>
      <c r="AG115" s="1"/>
      <c r="AH115" s="5"/>
      <c r="AI115" s="1"/>
      <c r="AJ115" s="5"/>
      <c r="AK115" s="1"/>
      <c r="AL115" s="5"/>
      <c r="AM115" s="1"/>
      <c r="AN115" s="5"/>
      <c r="AO115" s="1"/>
      <c r="AP115" s="5"/>
      <c r="AQ115" s="1"/>
      <c r="AR115" s="5"/>
      <c r="AS115" s="1"/>
      <c r="AT115" s="5"/>
      <c r="AU115" s="1"/>
      <c r="AV115" s="5"/>
      <c r="AW115" s="1"/>
      <c r="AX115" s="5"/>
      <c r="AY115" s="1"/>
      <c r="AZ115" s="5"/>
      <c r="BA115" s="1"/>
      <c r="BB115" s="5"/>
      <c r="BC115" s="1"/>
      <c r="BD115" s="5"/>
      <c r="BE115" s="1"/>
      <c r="BF115" s="5"/>
      <c r="BG115" s="1"/>
      <c r="BH115" s="5"/>
      <c r="BI115" s="1"/>
      <c r="BJ115" s="5"/>
      <c r="BK115" s="1"/>
      <c r="BL115" s="5"/>
      <c r="BM115" s="1"/>
      <c r="BN115" s="5"/>
      <c r="BO115" s="1"/>
      <c r="BP115" s="5"/>
      <c r="BQ115" s="1"/>
      <c r="BR115" s="5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ht="15.75" customHeight="1">
      <c r="A116" s="94"/>
      <c r="B116" s="97"/>
      <c r="C116" s="97"/>
      <c r="D116" s="97"/>
      <c r="E116" s="5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5"/>
      <c r="T116" s="5"/>
      <c r="U116" s="5"/>
      <c r="V116" s="5"/>
      <c r="W116" s="5"/>
      <c r="X116" s="5"/>
      <c r="Y116" s="5"/>
      <c r="Z116" s="5"/>
      <c r="AA116" s="1"/>
      <c r="AB116" s="5"/>
      <c r="AC116" s="1"/>
      <c r="AD116" s="5"/>
      <c r="AE116" s="1"/>
      <c r="AF116" s="5"/>
      <c r="AG116" s="1"/>
      <c r="AH116" s="5"/>
      <c r="AI116" s="1"/>
      <c r="AJ116" s="5"/>
      <c r="AK116" s="1"/>
      <c r="AL116" s="5"/>
      <c r="AM116" s="1"/>
      <c r="AN116" s="5"/>
      <c r="AO116" s="1"/>
      <c r="AP116" s="5"/>
      <c r="AQ116" s="1"/>
      <c r="AR116" s="5"/>
      <c r="AS116" s="1"/>
      <c r="AT116" s="5"/>
      <c r="AU116" s="1"/>
      <c r="AV116" s="5"/>
      <c r="AW116" s="1"/>
      <c r="AX116" s="5"/>
      <c r="AY116" s="1"/>
      <c r="AZ116" s="5"/>
      <c r="BA116" s="1"/>
      <c r="BB116" s="5"/>
      <c r="BC116" s="1"/>
      <c r="BD116" s="5"/>
      <c r="BE116" s="1"/>
      <c r="BF116" s="5"/>
      <c r="BG116" s="1"/>
      <c r="BH116" s="5"/>
      <c r="BI116" s="1"/>
      <c r="BJ116" s="5"/>
      <c r="BK116" s="1"/>
      <c r="BL116" s="5"/>
      <c r="BM116" s="1"/>
      <c r="BN116" s="5"/>
      <c r="BO116" s="1"/>
      <c r="BP116" s="5"/>
      <c r="BQ116" s="1"/>
      <c r="BR116" s="5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</row>
    <row r="117" ht="15.75" customHeight="1">
      <c r="A117" s="94"/>
      <c r="B117" s="97"/>
      <c r="C117" s="97"/>
      <c r="D117" s="97"/>
      <c r="E117" s="5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5"/>
      <c r="T117" s="5"/>
      <c r="U117" s="5"/>
      <c r="V117" s="5"/>
      <c r="W117" s="5"/>
      <c r="X117" s="5"/>
      <c r="Y117" s="5"/>
      <c r="Z117" s="5"/>
      <c r="AA117" s="1"/>
      <c r="AB117" s="5"/>
      <c r="AC117" s="1"/>
      <c r="AD117" s="5"/>
      <c r="AE117" s="1"/>
      <c r="AF117" s="5"/>
      <c r="AG117" s="1"/>
      <c r="AH117" s="5"/>
      <c r="AI117" s="1"/>
      <c r="AJ117" s="5"/>
      <c r="AK117" s="1"/>
      <c r="AL117" s="5"/>
      <c r="AM117" s="1"/>
      <c r="AN117" s="5"/>
      <c r="AO117" s="1"/>
      <c r="AP117" s="5"/>
      <c r="AQ117" s="1"/>
      <c r="AR117" s="5"/>
      <c r="AS117" s="1"/>
      <c r="AT117" s="5"/>
      <c r="AU117" s="1"/>
      <c r="AV117" s="5"/>
      <c r="AW117" s="1"/>
      <c r="AX117" s="5"/>
      <c r="AY117" s="1"/>
      <c r="AZ117" s="5"/>
      <c r="BA117" s="1"/>
      <c r="BB117" s="5"/>
      <c r="BC117" s="1"/>
      <c r="BD117" s="5"/>
      <c r="BE117" s="1"/>
      <c r="BF117" s="5"/>
      <c r="BG117" s="1"/>
      <c r="BH117" s="5"/>
      <c r="BI117" s="1"/>
      <c r="BJ117" s="5"/>
      <c r="BK117" s="1"/>
      <c r="BL117" s="5"/>
      <c r="BM117" s="1"/>
      <c r="BN117" s="5"/>
      <c r="BO117" s="1"/>
      <c r="BP117" s="5"/>
      <c r="BQ117" s="1"/>
      <c r="BR117" s="5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</row>
    <row r="118" ht="15.75" customHeight="1">
      <c r="A118" s="94"/>
      <c r="B118" s="97"/>
      <c r="C118" s="97"/>
      <c r="D118" s="97"/>
      <c r="E118" s="5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5"/>
      <c r="T118" s="5"/>
      <c r="U118" s="5"/>
      <c r="V118" s="5"/>
      <c r="W118" s="5"/>
      <c r="X118" s="5"/>
      <c r="Y118" s="5"/>
      <c r="Z118" s="5"/>
      <c r="AA118" s="1"/>
      <c r="AB118" s="5"/>
      <c r="AC118" s="1"/>
      <c r="AD118" s="5"/>
      <c r="AE118" s="1"/>
      <c r="AF118" s="5"/>
      <c r="AG118" s="1"/>
      <c r="AH118" s="5"/>
      <c r="AI118" s="1"/>
      <c r="AJ118" s="5"/>
      <c r="AK118" s="1"/>
      <c r="AL118" s="5"/>
      <c r="AM118" s="1"/>
      <c r="AN118" s="5"/>
      <c r="AO118" s="1"/>
      <c r="AP118" s="5"/>
      <c r="AQ118" s="1"/>
      <c r="AR118" s="5"/>
      <c r="AS118" s="1"/>
      <c r="AT118" s="5"/>
      <c r="AU118" s="1"/>
      <c r="AV118" s="5"/>
      <c r="AW118" s="1"/>
      <c r="AX118" s="5"/>
      <c r="AY118" s="1"/>
      <c r="AZ118" s="5"/>
      <c r="BA118" s="1"/>
      <c r="BB118" s="5"/>
      <c r="BC118" s="1"/>
      <c r="BD118" s="5"/>
      <c r="BE118" s="1"/>
      <c r="BF118" s="5"/>
      <c r="BG118" s="1"/>
      <c r="BH118" s="5"/>
      <c r="BI118" s="1"/>
      <c r="BJ118" s="5"/>
      <c r="BK118" s="1"/>
      <c r="BL118" s="5"/>
      <c r="BM118" s="1"/>
      <c r="BN118" s="5"/>
      <c r="BO118" s="1"/>
      <c r="BP118" s="5"/>
      <c r="BQ118" s="1"/>
      <c r="BR118" s="5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</row>
    <row r="119" ht="15.75" customHeight="1">
      <c r="A119" s="94"/>
      <c r="B119" s="97"/>
      <c r="C119" s="97"/>
      <c r="D119" s="97"/>
      <c r="E119" s="5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5"/>
      <c r="T119" s="5"/>
      <c r="U119" s="5"/>
      <c r="V119" s="5"/>
      <c r="W119" s="5"/>
      <c r="X119" s="5"/>
      <c r="Y119" s="5"/>
      <c r="Z119" s="5"/>
      <c r="AA119" s="1"/>
      <c r="AB119" s="5"/>
      <c r="AC119" s="1"/>
      <c r="AD119" s="5"/>
      <c r="AE119" s="1"/>
      <c r="AF119" s="5"/>
      <c r="AG119" s="1"/>
      <c r="AH119" s="5"/>
      <c r="AI119" s="1"/>
      <c r="AJ119" s="5"/>
      <c r="AK119" s="1"/>
      <c r="AL119" s="5"/>
      <c r="AM119" s="1"/>
      <c r="AN119" s="5"/>
      <c r="AO119" s="1"/>
      <c r="AP119" s="5"/>
      <c r="AQ119" s="1"/>
      <c r="AR119" s="5"/>
      <c r="AS119" s="1"/>
      <c r="AT119" s="5"/>
      <c r="AU119" s="1"/>
      <c r="AV119" s="5"/>
      <c r="AW119" s="1"/>
      <c r="AX119" s="5"/>
      <c r="AY119" s="1"/>
      <c r="AZ119" s="5"/>
      <c r="BA119" s="1"/>
      <c r="BB119" s="5"/>
      <c r="BC119" s="1"/>
      <c r="BD119" s="5"/>
      <c r="BE119" s="1"/>
      <c r="BF119" s="5"/>
      <c r="BG119" s="1"/>
      <c r="BH119" s="5"/>
      <c r="BI119" s="1"/>
      <c r="BJ119" s="5"/>
      <c r="BK119" s="1"/>
      <c r="BL119" s="5"/>
      <c r="BM119" s="1"/>
      <c r="BN119" s="5"/>
      <c r="BO119" s="1"/>
      <c r="BP119" s="5"/>
      <c r="BQ119" s="1"/>
      <c r="BR119" s="5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</row>
    <row r="120" ht="15.75" customHeight="1">
      <c r="A120" s="94"/>
      <c r="B120" s="97"/>
      <c r="C120" s="97"/>
      <c r="D120" s="97"/>
      <c r="E120" s="5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5"/>
      <c r="T120" s="5"/>
      <c r="U120" s="5"/>
      <c r="V120" s="5"/>
      <c r="W120" s="5"/>
      <c r="X120" s="5"/>
      <c r="Y120" s="5"/>
      <c r="Z120" s="5"/>
      <c r="AA120" s="1"/>
      <c r="AB120" s="5"/>
      <c r="AC120" s="1"/>
      <c r="AD120" s="5"/>
      <c r="AE120" s="1"/>
      <c r="AF120" s="5"/>
      <c r="AG120" s="1"/>
      <c r="AH120" s="5"/>
      <c r="AI120" s="1"/>
      <c r="AJ120" s="5"/>
      <c r="AK120" s="1"/>
      <c r="AL120" s="5"/>
      <c r="AM120" s="1"/>
      <c r="AN120" s="5"/>
      <c r="AO120" s="1"/>
      <c r="AP120" s="5"/>
      <c r="AQ120" s="1"/>
      <c r="AR120" s="5"/>
      <c r="AS120" s="1"/>
      <c r="AT120" s="5"/>
      <c r="AU120" s="1"/>
      <c r="AV120" s="5"/>
      <c r="AW120" s="1"/>
      <c r="AX120" s="5"/>
      <c r="AY120" s="1"/>
      <c r="AZ120" s="5"/>
      <c r="BA120" s="1"/>
      <c r="BB120" s="5"/>
      <c r="BC120" s="1"/>
      <c r="BD120" s="5"/>
      <c r="BE120" s="1"/>
      <c r="BF120" s="5"/>
      <c r="BG120" s="1"/>
      <c r="BH120" s="5"/>
      <c r="BI120" s="1"/>
      <c r="BJ120" s="5"/>
      <c r="BK120" s="1"/>
      <c r="BL120" s="5"/>
      <c r="BM120" s="1"/>
      <c r="BN120" s="5"/>
      <c r="BO120" s="1"/>
      <c r="BP120" s="5"/>
      <c r="BQ120" s="1"/>
      <c r="BR120" s="5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</row>
    <row r="121" ht="15.75" customHeight="1">
      <c r="A121" s="94"/>
      <c r="B121" s="97"/>
      <c r="C121" s="97"/>
      <c r="D121" s="97"/>
      <c r="E121" s="5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5"/>
      <c r="T121" s="5"/>
      <c r="U121" s="5"/>
      <c r="V121" s="5"/>
      <c r="W121" s="5"/>
      <c r="X121" s="5"/>
      <c r="Y121" s="5"/>
      <c r="Z121" s="5"/>
      <c r="AA121" s="1"/>
      <c r="AB121" s="5"/>
      <c r="AC121" s="1"/>
      <c r="AD121" s="5"/>
      <c r="AE121" s="1"/>
      <c r="AF121" s="5"/>
      <c r="AG121" s="1"/>
      <c r="AH121" s="5"/>
      <c r="AI121" s="1"/>
      <c r="AJ121" s="5"/>
      <c r="AK121" s="1"/>
      <c r="AL121" s="5"/>
      <c r="AM121" s="1"/>
      <c r="AN121" s="5"/>
      <c r="AO121" s="1"/>
      <c r="AP121" s="5"/>
      <c r="AQ121" s="1"/>
      <c r="AR121" s="5"/>
      <c r="AS121" s="1"/>
      <c r="AT121" s="5"/>
      <c r="AU121" s="1"/>
      <c r="AV121" s="5"/>
      <c r="AW121" s="1"/>
      <c r="AX121" s="5"/>
      <c r="AY121" s="1"/>
      <c r="AZ121" s="5"/>
      <c r="BA121" s="1"/>
      <c r="BB121" s="5"/>
      <c r="BC121" s="1"/>
      <c r="BD121" s="5"/>
      <c r="BE121" s="1"/>
      <c r="BF121" s="5"/>
      <c r="BG121" s="1"/>
      <c r="BH121" s="5"/>
      <c r="BI121" s="1"/>
      <c r="BJ121" s="5"/>
      <c r="BK121" s="1"/>
      <c r="BL121" s="5"/>
      <c r="BM121" s="1"/>
      <c r="BN121" s="5"/>
      <c r="BO121" s="1"/>
      <c r="BP121" s="5"/>
      <c r="BQ121" s="1"/>
      <c r="BR121" s="5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</row>
    <row r="122" ht="15.75" customHeight="1">
      <c r="A122" s="94"/>
      <c r="B122" s="97"/>
      <c r="C122" s="97"/>
      <c r="D122" s="97"/>
      <c r="E122" s="5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5"/>
      <c r="T122" s="5"/>
      <c r="U122" s="5"/>
      <c r="V122" s="5"/>
      <c r="W122" s="5"/>
      <c r="X122" s="5"/>
      <c r="Y122" s="5"/>
      <c r="Z122" s="5"/>
      <c r="AA122" s="1"/>
      <c r="AB122" s="5"/>
      <c r="AC122" s="1"/>
      <c r="AD122" s="5"/>
      <c r="AE122" s="1"/>
      <c r="AF122" s="5"/>
      <c r="AG122" s="1"/>
      <c r="AH122" s="5"/>
      <c r="AI122" s="1"/>
      <c r="AJ122" s="5"/>
      <c r="AK122" s="1"/>
      <c r="AL122" s="5"/>
      <c r="AM122" s="1"/>
      <c r="AN122" s="5"/>
      <c r="AO122" s="1"/>
      <c r="AP122" s="5"/>
      <c r="AQ122" s="1"/>
      <c r="AR122" s="5"/>
      <c r="AS122" s="1"/>
      <c r="AT122" s="5"/>
      <c r="AU122" s="1"/>
      <c r="AV122" s="5"/>
      <c r="AW122" s="1"/>
      <c r="AX122" s="5"/>
      <c r="AY122" s="1"/>
      <c r="AZ122" s="5"/>
      <c r="BA122" s="1"/>
      <c r="BB122" s="5"/>
      <c r="BC122" s="1"/>
      <c r="BD122" s="5"/>
      <c r="BE122" s="1"/>
      <c r="BF122" s="5"/>
      <c r="BG122" s="1"/>
      <c r="BH122" s="5"/>
      <c r="BI122" s="1"/>
      <c r="BJ122" s="5"/>
      <c r="BK122" s="1"/>
      <c r="BL122" s="5"/>
      <c r="BM122" s="1"/>
      <c r="BN122" s="5"/>
      <c r="BO122" s="1"/>
      <c r="BP122" s="5"/>
      <c r="BQ122" s="1"/>
      <c r="BR122" s="5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</row>
    <row r="123" ht="15.75" customHeight="1">
      <c r="A123" s="94"/>
      <c r="B123" s="97"/>
      <c r="C123" s="97"/>
      <c r="D123" s="97"/>
      <c r="E123" s="5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5"/>
      <c r="T123" s="5"/>
      <c r="U123" s="5"/>
      <c r="V123" s="5"/>
      <c r="W123" s="5"/>
      <c r="X123" s="5"/>
      <c r="Y123" s="5"/>
      <c r="Z123" s="5"/>
      <c r="AA123" s="1"/>
      <c r="AB123" s="5"/>
      <c r="AC123" s="1"/>
      <c r="AD123" s="5"/>
      <c r="AE123" s="1"/>
      <c r="AF123" s="5"/>
      <c r="AG123" s="1"/>
      <c r="AH123" s="5"/>
      <c r="AI123" s="1"/>
      <c r="AJ123" s="5"/>
      <c r="AK123" s="1"/>
      <c r="AL123" s="5"/>
      <c r="AM123" s="1"/>
      <c r="AN123" s="5"/>
      <c r="AO123" s="1"/>
      <c r="AP123" s="5"/>
      <c r="AQ123" s="1"/>
      <c r="AR123" s="5"/>
      <c r="AS123" s="1"/>
      <c r="AT123" s="5"/>
      <c r="AU123" s="1"/>
      <c r="AV123" s="5"/>
      <c r="AW123" s="1"/>
      <c r="AX123" s="5"/>
      <c r="AY123" s="1"/>
      <c r="AZ123" s="5"/>
      <c r="BA123" s="1"/>
      <c r="BB123" s="5"/>
      <c r="BC123" s="1"/>
      <c r="BD123" s="5"/>
      <c r="BE123" s="1"/>
      <c r="BF123" s="5"/>
      <c r="BG123" s="1"/>
      <c r="BH123" s="5"/>
      <c r="BI123" s="1"/>
      <c r="BJ123" s="5"/>
      <c r="BK123" s="1"/>
      <c r="BL123" s="5"/>
      <c r="BM123" s="1"/>
      <c r="BN123" s="5"/>
      <c r="BO123" s="1"/>
      <c r="BP123" s="5"/>
      <c r="BQ123" s="1"/>
      <c r="BR123" s="5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</row>
    <row r="124" ht="15.75" customHeight="1">
      <c r="A124" s="94"/>
      <c r="B124" s="97"/>
      <c r="C124" s="97"/>
      <c r="D124" s="97"/>
      <c r="E124" s="5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5"/>
      <c r="T124" s="5"/>
      <c r="U124" s="5"/>
      <c r="V124" s="5"/>
      <c r="W124" s="5"/>
      <c r="X124" s="5"/>
      <c r="Y124" s="5"/>
      <c r="Z124" s="5"/>
      <c r="AA124" s="1"/>
      <c r="AB124" s="5"/>
      <c r="AC124" s="1"/>
      <c r="AD124" s="5"/>
      <c r="AE124" s="1"/>
      <c r="AF124" s="5"/>
      <c r="AG124" s="1"/>
      <c r="AH124" s="5"/>
      <c r="AI124" s="1"/>
      <c r="AJ124" s="5"/>
      <c r="AK124" s="1"/>
      <c r="AL124" s="5"/>
      <c r="AM124" s="1"/>
      <c r="AN124" s="5"/>
      <c r="AO124" s="1"/>
      <c r="AP124" s="5"/>
      <c r="AQ124" s="1"/>
      <c r="AR124" s="5"/>
      <c r="AS124" s="1"/>
      <c r="AT124" s="5"/>
      <c r="AU124" s="1"/>
      <c r="AV124" s="5"/>
      <c r="AW124" s="1"/>
      <c r="AX124" s="5"/>
      <c r="AY124" s="1"/>
      <c r="AZ124" s="5"/>
      <c r="BA124" s="1"/>
      <c r="BB124" s="5"/>
      <c r="BC124" s="1"/>
      <c r="BD124" s="5"/>
      <c r="BE124" s="1"/>
      <c r="BF124" s="5"/>
      <c r="BG124" s="1"/>
      <c r="BH124" s="5"/>
      <c r="BI124" s="1"/>
      <c r="BJ124" s="5"/>
      <c r="BK124" s="1"/>
      <c r="BL124" s="5"/>
      <c r="BM124" s="1"/>
      <c r="BN124" s="5"/>
      <c r="BO124" s="1"/>
      <c r="BP124" s="5"/>
      <c r="BQ124" s="1"/>
      <c r="BR124" s="5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</row>
    <row r="125" ht="15.75" customHeight="1">
      <c r="A125" s="94"/>
      <c r="B125" s="97"/>
      <c r="C125" s="97"/>
      <c r="D125" s="97"/>
      <c r="E125" s="5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5"/>
      <c r="T125" s="5"/>
      <c r="U125" s="5"/>
      <c r="V125" s="5"/>
      <c r="W125" s="5"/>
      <c r="X125" s="5"/>
      <c r="Y125" s="5"/>
      <c r="Z125" s="5"/>
      <c r="AA125" s="1"/>
      <c r="AB125" s="5"/>
      <c r="AC125" s="1"/>
      <c r="AD125" s="5"/>
      <c r="AE125" s="1"/>
      <c r="AF125" s="5"/>
      <c r="AG125" s="1"/>
      <c r="AH125" s="5"/>
      <c r="AI125" s="1"/>
      <c r="AJ125" s="5"/>
      <c r="AK125" s="1"/>
      <c r="AL125" s="5"/>
      <c r="AM125" s="1"/>
      <c r="AN125" s="5"/>
      <c r="AO125" s="1"/>
      <c r="AP125" s="5"/>
      <c r="AQ125" s="1"/>
      <c r="AR125" s="5"/>
      <c r="AS125" s="1"/>
      <c r="AT125" s="5"/>
      <c r="AU125" s="1"/>
      <c r="AV125" s="5"/>
      <c r="AW125" s="1"/>
      <c r="AX125" s="5"/>
      <c r="AY125" s="1"/>
      <c r="AZ125" s="5"/>
      <c r="BA125" s="1"/>
      <c r="BB125" s="5"/>
      <c r="BC125" s="1"/>
      <c r="BD125" s="5"/>
      <c r="BE125" s="1"/>
      <c r="BF125" s="5"/>
      <c r="BG125" s="1"/>
      <c r="BH125" s="5"/>
      <c r="BI125" s="1"/>
      <c r="BJ125" s="5"/>
      <c r="BK125" s="1"/>
      <c r="BL125" s="5"/>
      <c r="BM125" s="1"/>
      <c r="BN125" s="5"/>
      <c r="BO125" s="1"/>
      <c r="BP125" s="5"/>
      <c r="BQ125" s="1"/>
      <c r="BR125" s="5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</row>
    <row r="126" ht="15.75" customHeight="1">
      <c r="A126" s="94"/>
      <c r="B126" s="97"/>
      <c r="C126" s="97"/>
      <c r="D126" s="97"/>
      <c r="E126" s="5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5"/>
      <c r="T126" s="5"/>
      <c r="U126" s="5"/>
      <c r="V126" s="5"/>
      <c r="W126" s="5"/>
      <c r="X126" s="5"/>
      <c r="Y126" s="5"/>
      <c r="Z126" s="5"/>
      <c r="AA126" s="1"/>
      <c r="AB126" s="5"/>
      <c r="AC126" s="1"/>
      <c r="AD126" s="5"/>
      <c r="AE126" s="1"/>
      <c r="AF126" s="5"/>
      <c r="AG126" s="1"/>
      <c r="AH126" s="5"/>
      <c r="AI126" s="1"/>
      <c r="AJ126" s="5"/>
      <c r="AK126" s="1"/>
      <c r="AL126" s="5"/>
      <c r="AM126" s="1"/>
      <c r="AN126" s="5"/>
      <c r="AO126" s="1"/>
      <c r="AP126" s="5"/>
      <c r="AQ126" s="1"/>
      <c r="AR126" s="5"/>
      <c r="AS126" s="1"/>
      <c r="AT126" s="5"/>
      <c r="AU126" s="1"/>
      <c r="AV126" s="5"/>
      <c r="AW126" s="1"/>
      <c r="AX126" s="5"/>
      <c r="AY126" s="1"/>
      <c r="AZ126" s="5"/>
      <c r="BA126" s="1"/>
      <c r="BB126" s="5"/>
      <c r="BC126" s="1"/>
      <c r="BD126" s="5"/>
      <c r="BE126" s="1"/>
      <c r="BF126" s="5"/>
      <c r="BG126" s="1"/>
      <c r="BH126" s="5"/>
      <c r="BI126" s="1"/>
      <c r="BJ126" s="5"/>
      <c r="BK126" s="1"/>
      <c r="BL126" s="5"/>
      <c r="BM126" s="1"/>
      <c r="BN126" s="5"/>
      <c r="BO126" s="1"/>
      <c r="BP126" s="5"/>
      <c r="BQ126" s="1"/>
      <c r="BR126" s="5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</row>
    <row r="127" ht="15.75" customHeight="1">
      <c r="A127" s="94"/>
      <c r="B127" s="97"/>
      <c r="C127" s="97"/>
      <c r="D127" s="97"/>
      <c r="E127" s="5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5"/>
      <c r="T127" s="5"/>
      <c r="U127" s="5"/>
      <c r="V127" s="5"/>
      <c r="W127" s="5"/>
      <c r="X127" s="5"/>
      <c r="Y127" s="5"/>
      <c r="Z127" s="5"/>
      <c r="AA127" s="1"/>
      <c r="AB127" s="5"/>
      <c r="AC127" s="1"/>
      <c r="AD127" s="5"/>
      <c r="AE127" s="1"/>
      <c r="AF127" s="5"/>
      <c r="AG127" s="1"/>
      <c r="AH127" s="5"/>
      <c r="AI127" s="1"/>
      <c r="AJ127" s="5"/>
      <c r="AK127" s="1"/>
      <c r="AL127" s="5"/>
      <c r="AM127" s="1"/>
      <c r="AN127" s="5"/>
      <c r="AO127" s="1"/>
      <c r="AP127" s="5"/>
      <c r="AQ127" s="1"/>
      <c r="AR127" s="5"/>
      <c r="AS127" s="1"/>
      <c r="AT127" s="5"/>
      <c r="AU127" s="1"/>
      <c r="AV127" s="5"/>
      <c r="AW127" s="1"/>
      <c r="AX127" s="5"/>
      <c r="AY127" s="1"/>
      <c r="AZ127" s="5"/>
      <c r="BA127" s="1"/>
      <c r="BB127" s="5"/>
      <c r="BC127" s="1"/>
      <c r="BD127" s="5"/>
      <c r="BE127" s="1"/>
      <c r="BF127" s="5"/>
      <c r="BG127" s="1"/>
      <c r="BH127" s="5"/>
      <c r="BI127" s="1"/>
      <c r="BJ127" s="5"/>
      <c r="BK127" s="1"/>
      <c r="BL127" s="5"/>
      <c r="BM127" s="1"/>
      <c r="BN127" s="5"/>
      <c r="BO127" s="1"/>
      <c r="BP127" s="5"/>
      <c r="BQ127" s="1"/>
      <c r="BR127" s="5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</row>
    <row r="128" ht="15.75" customHeight="1">
      <c r="A128" s="94"/>
      <c r="B128" s="97"/>
      <c r="C128" s="97"/>
      <c r="D128" s="97"/>
      <c r="E128" s="5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5"/>
      <c r="T128" s="5"/>
      <c r="U128" s="5"/>
      <c r="V128" s="5"/>
      <c r="W128" s="5"/>
      <c r="X128" s="5"/>
      <c r="Y128" s="5"/>
      <c r="Z128" s="5"/>
      <c r="AA128" s="1"/>
      <c r="AB128" s="5"/>
      <c r="AC128" s="1"/>
      <c r="AD128" s="5"/>
      <c r="AE128" s="1"/>
      <c r="AF128" s="5"/>
      <c r="AG128" s="1"/>
      <c r="AH128" s="5"/>
      <c r="AI128" s="1"/>
      <c r="AJ128" s="5"/>
      <c r="AK128" s="1"/>
      <c r="AL128" s="5"/>
      <c r="AM128" s="1"/>
      <c r="AN128" s="5"/>
      <c r="AO128" s="1"/>
      <c r="AP128" s="5"/>
      <c r="AQ128" s="1"/>
      <c r="AR128" s="5"/>
      <c r="AS128" s="1"/>
      <c r="AT128" s="5"/>
      <c r="AU128" s="1"/>
      <c r="AV128" s="5"/>
      <c r="AW128" s="1"/>
      <c r="AX128" s="5"/>
      <c r="AY128" s="1"/>
      <c r="AZ128" s="5"/>
      <c r="BA128" s="1"/>
      <c r="BB128" s="5"/>
      <c r="BC128" s="1"/>
      <c r="BD128" s="5"/>
      <c r="BE128" s="1"/>
      <c r="BF128" s="5"/>
      <c r="BG128" s="1"/>
      <c r="BH128" s="5"/>
      <c r="BI128" s="1"/>
      <c r="BJ128" s="5"/>
      <c r="BK128" s="1"/>
      <c r="BL128" s="5"/>
      <c r="BM128" s="1"/>
      <c r="BN128" s="5"/>
      <c r="BO128" s="1"/>
      <c r="BP128" s="5"/>
      <c r="BQ128" s="1"/>
      <c r="BR128" s="5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ht="15.75" customHeight="1">
      <c r="A129" s="94"/>
      <c r="B129" s="97"/>
      <c r="C129" s="97"/>
      <c r="D129" s="97"/>
      <c r="E129" s="5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5"/>
      <c r="T129" s="5"/>
      <c r="U129" s="5"/>
      <c r="V129" s="5"/>
      <c r="W129" s="5"/>
      <c r="X129" s="5"/>
      <c r="Y129" s="5"/>
      <c r="Z129" s="5"/>
      <c r="AA129" s="1"/>
      <c r="AB129" s="5"/>
      <c r="AC129" s="1"/>
      <c r="AD129" s="5"/>
      <c r="AE129" s="1"/>
      <c r="AF129" s="5"/>
      <c r="AG129" s="1"/>
      <c r="AH129" s="5"/>
      <c r="AI129" s="1"/>
      <c r="AJ129" s="5"/>
      <c r="AK129" s="1"/>
      <c r="AL129" s="5"/>
      <c r="AM129" s="1"/>
      <c r="AN129" s="5"/>
      <c r="AO129" s="1"/>
      <c r="AP129" s="5"/>
      <c r="AQ129" s="1"/>
      <c r="AR129" s="5"/>
      <c r="AS129" s="1"/>
      <c r="AT129" s="5"/>
      <c r="AU129" s="1"/>
      <c r="AV129" s="5"/>
      <c r="AW129" s="1"/>
      <c r="AX129" s="5"/>
      <c r="AY129" s="1"/>
      <c r="AZ129" s="5"/>
      <c r="BA129" s="1"/>
      <c r="BB129" s="5"/>
      <c r="BC129" s="1"/>
      <c r="BD129" s="5"/>
      <c r="BE129" s="1"/>
      <c r="BF129" s="5"/>
      <c r="BG129" s="1"/>
      <c r="BH129" s="5"/>
      <c r="BI129" s="1"/>
      <c r="BJ129" s="5"/>
      <c r="BK129" s="1"/>
      <c r="BL129" s="5"/>
      <c r="BM129" s="1"/>
      <c r="BN129" s="5"/>
      <c r="BO129" s="1"/>
      <c r="BP129" s="5"/>
      <c r="BQ129" s="1"/>
      <c r="BR129" s="5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</row>
    <row r="130" ht="15.75" customHeight="1">
      <c r="A130" s="94"/>
      <c r="B130" s="97"/>
      <c r="C130" s="97"/>
      <c r="D130" s="97"/>
      <c r="E130" s="5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5"/>
      <c r="T130" s="5"/>
      <c r="U130" s="5"/>
      <c r="V130" s="5"/>
      <c r="W130" s="5"/>
      <c r="X130" s="5"/>
      <c r="Y130" s="5"/>
      <c r="Z130" s="5"/>
      <c r="AA130" s="1"/>
      <c r="AB130" s="5"/>
      <c r="AC130" s="1"/>
      <c r="AD130" s="5"/>
      <c r="AE130" s="1"/>
      <c r="AF130" s="5"/>
      <c r="AG130" s="1"/>
      <c r="AH130" s="5"/>
      <c r="AI130" s="1"/>
      <c r="AJ130" s="5"/>
      <c r="AK130" s="1"/>
      <c r="AL130" s="5"/>
      <c r="AM130" s="1"/>
      <c r="AN130" s="5"/>
      <c r="AO130" s="1"/>
      <c r="AP130" s="5"/>
      <c r="AQ130" s="1"/>
      <c r="AR130" s="5"/>
      <c r="AS130" s="1"/>
      <c r="AT130" s="5"/>
      <c r="AU130" s="1"/>
      <c r="AV130" s="5"/>
      <c r="AW130" s="1"/>
      <c r="AX130" s="5"/>
      <c r="AY130" s="1"/>
      <c r="AZ130" s="5"/>
      <c r="BA130" s="1"/>
      <c r="BB130" s="5"/>
      <c r="BC130" s="1"/>
      <c r="BD130" s="5"/>
      <c r="BE130" s="1"/>
      <c r="BF130" s="5"/>
      <c r="BG130" s="1"/>
      <c r="BH130" s="5"/>
      <c r="BI130" s="1"/>
      <c r="BJ130" s="5"/>
      <c r="BK130" s="1"/>
      <c r="BL130" s="5"/>
      <c r="BM130" s="1"/>
      <c r="BN130" s="5"/>
      <c r="BO130" s="1"/>
      <c r="BP130" s="5"/>
      <c r="BQ130" s="1"/>
      <c r="BR130" s="5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</row>
    <row r="131" ht="15.75" customHeight="1">
      <c r="A131" s="94"/>
      <c r="B131" s="97"/>
      <c r="C131" s="97"/>
      <c r="D131" s="97"/>
      <c r="E131" s="5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5"/>
      <c r="T131" s="5"/>
      <c r="U131" s="5"/>
      <c r="V131" s="5"/>
      <c r="W131" s="5"/>
      <c r="X131" s="5"/>
      <c r="Y131" s="5"/>
      <c r="Z131" s="5"/>
      <c r="AA131" s="1"/>
      <c r="AB131" s="5"/>
      <c r="AC131" s="1"/>
      <c r="AD131" s="5"/>
      <c r="AE131" s="1"/>
      <c r="AF131" s="5"/>
      <c r="AG131" s="1"/>
      <c r="AH131" s="5"/>
      <c r="AI131" s="1"/>
      <c r="AJ131" s="5"/>
      <c r="AK131" s="1"/>
      <c r="AL131" s="5"/>
      <c r="AM131" s="1"/>
      <c r="AN131" s="5"/>
      <c r="AO131" s="1"/>
      <c r="AP131" s="5"/>
      <c r="AQ131" s="1"/>
      <c r="AR131" s="5"/>
      <c r="AS131" s="1"/>
      <c r="AT131" s="5"/>
      <c r="AU131" s="1"/>
      <c r="AV131" s="5"/>
      <c r="AW131" s="1"/>
      <c r="AX131" s="5"/>
      <c r="AY131" s="1"/>
      <c r="AZ131" s="5"/>
      <c r="BA131" s="1"/>
      <c r="BB131" s="5"/>
      <c r="BC131" s="1"/>
      <c r="BD131" s="5"/>
      <c r="BE131" s="1"/>
      <c r="BF131" s="5"/>
      <c r="BG131" s="1"/>
      <c r="BH131" s="5"/>
      <c r="BI131" s="1"/>
      <c r="BJ131" s="5"/>
      <c r="BK131" s="1"/>
      <c r="BL131" s="5"/>
      <c r="BM131" s="1"/>
      <c r="BN131" s="5"/>
      <c r="BO131" s="1"/>
      <c r="BP131" s="5"/>
      <c r="BQ131" s="1"/>
      <c r="BR131" s="5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</row>
    <row r="132" ht="15.75" customHeight="1">
      <c r="A132" s="94"/>
      <c r="B132" s="97"/>
      <c r="C132" s="97"/>
      <c r="D132" s="97"/>
      <c r="E132" s="5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5"/>
      <c r="T132" s="5"/>
      <c r="U132" s="5"/>
      <c r="V132" s="5"/>
      <c r="W132" s="5"/>
      <c r="X132" s="5"/>
      <c r="Y132" s="5"/>
      <c r="Z132" s="5"/>
      <c r="AA132" s="1"/>
      <c r="AB132" s="5"/>
      <c r="AC132" s="1"/>
      <c r="AD132" s="5"/>
      <c r="AE132" s="1"/>
      <c r="AF132" s="5"/>
      <c r="AG132" s="1"/>
      <c r="AH132" s="5"/>
      <c r="AI132" s="1"/>
      <c r="AJ132" s="5"/>
      <c r="AK132" s="1"/>
      <c r="AL132" s="5"/>
      <c r="AM132" s="1"/>
      <c r="AN132" s="5"/>
      <c r="AO132" s="1"/>
      <c r="AP132" s="5"/>
      <c r="AQ132" s="1"/>
      <c r="AR132" s="5"/>
      <c r="AS132" s="1"/>
      <c r="AT132" s="5"/>
      <c r="AU132" s="1"/>
      <c r="AV132" s="5"/>
      <c r="AW132" s="1"/>
      <c r="AX132" s="5"/>
      <c r="AY132" s="1"/>
      <c r="AZ132" s="5"/>
      <c r="BA132" s="1"/>
      <c r="BB132" s="5"/>
      <c r="BC132" s="1"/>
      <c r="BD132" s="5"/>
      <c r="BE132" s="1"/>
      <c r="BF132" s="5"/>
      <c r="BG132" s="1"/>
      <c r="BH132" s="5"/>
      <c r="BI132" s="1"/>
      <c r="BJ132" s="5"/>
      <c r="BK132" s="1"/>
      <c r="BL132" s="5"/>
      <c r="BM132" s="1"/>
      <c r="BN132" s="5"/>
      <c r="BO132" s="1"/>
      <c r="BP132" s="5"/>
      <c r="BQ132" s="1"/>
      <c r="BR132" s="5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</row>
    <row r="133" ht="15.75" customHeight="1">
      <c r="A133" s="94"/>
      <c r="B133" s="97"/>
      <c r="C133" s="97"/>
      <c r="D133" s="97"/>
      <c r="E133" s="5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5"/>
      <c r="T133" s="5"/>
      <c r="U133" s="5"/>
      <c r="V133" s="5"/>
      <c r="W133" s="5"/>
      <c r="X133" s="5"/>
      <c r="Y133" s="5"/>
      <c r="Z133" s="5"/>
      <c r="AA133" s="1"/>
      <c r="AB133" s="5"/>
      <c r="AC133" s="1"/>
      <c r="AD133" s="5"/>
      <c r="AE133" s="1"/>
      <c r="AF133" s="5"/>
      <c r="AG133" s="1"/>
      <c r="AH133" s="5"/>
      <c r="AI133" s="1"/>
      <c r="AJ133" s="5"/>
      <c r="AK133" s="1"/>
      <c r="AL133" s="5"/>
      <c r="AM133" s="1"/>
      <c r="AN133" s="5"/>
      <c r="AO133" s="1"/>
      <c r="AP133" s="5"/>
      <c r="AQ133" s="1"/>
      <c r="AR133" s="5"/>
      <c r="AS133" s="1"/>
      <c r="AT133" s="5"/>
      <c r="AU133" s="1"/>
      <c r="AV133" s="5"/>
      <c r="AW133" s="1"/>
      <c r="AX133" s="5"/>
      <c r="AY133" s="1"/>
      <c r="AZ133" s="5"/>
      <c r="BA133" s="1"/>
      <c r="BB133" s="5"/>
      <c r="BC133" s="1"/>
      <c r="BD133" s="5"/>
      <c r="BE133" s="1"/>
      <c r="BF133" s="5"/>
      <c r="BG133" s="1"/>
      <c r="BH133" s="5"/>
      <c r="BI133" s="1"/>
      <c r="BJ133" s="5"/>
      <c r="BK133" s="1"/>
      <c r="BL133" s="5"/>
      <c r="BM133" s="1"/>
      <c r="BN133" s="5"/>
      <c r="BO133" s="1"/>
      <c r="BP133" s="5"/>
      <c r="BQ133" s="1"/>
      <c r="BR133" s="5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</row>
    <row r="134" ht="15.75" customHeight="1">
      <c r="A134" s="94"/>
      <c r="B134" s="97"/>
      <c r="C134" s="97"/>
      <c r="D134" s="97"/>
      <c r="E134" s="5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5"/>
      <c r="T134" s="5"/>
      <c r="U134" s="5"/>
      <c r="V134" s="5"/>
      <c r="W134" s="5"/>
      <c r="X134" s="5"/>
      <c r="Y134" s="5"/>
      <c r="Z134" s="5"/>
      <c r="AA134" s="1"/>
      <c r="AB134" s="5"/>
      <c r="AC134" s="1"/>
      <c r="AD134" s="5"/>
      <c r="AE134" s="1"/>
      <c r="AF134" s="5"/>
      <c r="AG134" s="1"/>
      <c r="AH134" s="5"/>
      <c r="AI134" s="1"/>
      <c r="AJ134" s="5"/>
      <c r="AK134" s="1"/>
      <c r="AL134" s="5"/>
      <c r="AM134" s="1"/>
      <c r="AN134" s="5"/>
      <c r="AO134" s="1"/>
      <c r="AP134" s="5"/>
      <c r="AQ134" s="1"/>
      <c r="AR134" s="5"/>
      <c r="AS134" s="1"/>
      <c r="AT134" s="5"/>
      <c r="AU134" s="1"/>
      <c r="AV134" s="5"/>
      <c r="AW134" s="1"/>
      <c r="AX134" s="5"/>
      <c r="AY134" s="1"/>
      <c r="AZ134" s="5"/>
      <c r="BA134" s="1"/>
      <c r="BB134" s="5"/>
      <c r="BC134" s="1"/>
      <c r="BD134" s="5"/>
      <c r="BE134" s="1"/>
      <c r="BF134" s="5"/>
      <c r="BG134" s="1"/>
      <c r="BH134" s="5"/>
      <c r="BI134" s="1"/>
      <c r="BJ134" s="5"/>
      <c r="BK134" s="1"/>
      <c r="BL134" s="5"/>
      <c r="BM134" s="1"/>
      <c r="BN134" s="5"/>
      <c r="BO134" s="1"/>
      <c r="BP134" s="5"/>
      <c r="BQ134" s="1"/>
      <c r="BR134" s="5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</row>
    <row r="135" ht="15.75" customHeight="1">
      <c r="A135" s="94"/>
      <c r="B135" s="97"/>
      <c r="C135" s="97"/>
      <c r="D135" s="97"/>
      <c r="E135" s="5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5"/>
      <c r="T135" s="5"/>
      <c r="U135" s="5"/>
      <c r="V135" s="5"/>
      <c r="W135" s="5"/>
      <c r="X135" s="5"/>
      <c r="Y135" s="5"/>
      <c r="Z135" s="5"/>
      <c r="AA135" s="1"/>
      <c r="AB135" s="5"/>
      <c r="AC135" s="1"/>
      <c r="AD135" s="5"/>
      <c r="AE135" s="1"/>
      <c r="AF135" s="5"/>
      <c r="AG135" s="1"/>
      <c r="AH135" s="5"/>
      <c r="AI135" s="1"/>
      <c r="AJ135" s="5"/>
      <c r="AK135" s="1"/>
      <c r="AL135" s="5"/>
      <c r="AM135" s="1"/>
      <c r="AN135" s="5"/>
      <c r="AO135" s="1"/>
      <c r="AP135" s="5"/>
      <c r="AQ135" s="1"/>
      <c r="AR135" s="5"/>
      <c r="AS135" s="1"/>
      <c r="AT135" s="5"/>
      <c r="AU135" s="1"/>
      <c r="AV135" s="5"/>
      <c r="AW135" s="1"/>
      <c r="AX135" s="5"/>
      <c r="AY135" s="1"/>
      <c r="AZ135" s="5"/>
      <c r="BA135" s="1"/>
      <c r="BB135" s="5"/>
      <c r="BC135" s="1"/>
      <c r="BD135" s="5"/>
      <c r="BE135" s="1"/>
      <c r="BF135" s="5"/>
      <c r="BG135" s="1"/>
      <c r="BH135" s="5"/>
      <c r="BI135" s="1"/>
      <c r="BJ135" s="5"/>
      <c r="BK135" s="1"/>
      <c r="BL135" s="5"/>
      <c r="BM135" s="1"/>
      <c r="BN135" s="5"/>
      <c r="BO135" s="1"/>
      <c r="BP135" s="5"/>
      <c r="BQ135" s="1"/>
      <c r="BR135" s="5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</row>
    <row r="136" ht="15.75" customHeight="1">
      <c r="A136" s="94"/>
      <c r="B136" s="97"/>
      <c r="C136" s="97"/>
      <c r="D136" s="97"/>
      <c r="E136" s="5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5"/>
      <c r="T136" s="5"/>
      <c r="U136" s="5"/>
      <c r="V136" s="5"/>
      <c r="W136" s="5"/>
      <c r="X136" s="5"/>
      <c r="Y136" s="5"/>
      <c r="Z136" s="5"/>
      <c r="AA136" s="1"/>
      <c r="AB136" s="5"/>
      <c r="AC136" s="1"/>
      <c r="AD136" s="5"/>
      <c r="AE136" s="1"/>
      <c r="AF136" s="5"/>
      <c r="AG136" s="1"/>
      <c r="AH136" s="5"/>
      <c r="AI136" s="1"/>
      <c r="AJ136" s="5"/>
      <c r="AK136" s="1"/>
      <c r="AL136" s="5"/>
      <c r="AM136" s="1"/>
      <c r="AN136" s="5"/>
      <c r="AO136" s="1"/>
      <c r="AP136" s="5"/>
      <c r="AQ136" s="1"/>
      <c r="AR136" s="5"/>
      <c r="AS136" s="1"/>
      <c r="AT136" s="5"/>
      <c r="AU136" s="1"/>
      <c r="AV136" s="5"/>
      <c r="AW136" s="1"/>
      <c r="AX136" s="5"/>
      <c r="AY136" s="1"/>
      <c r="AZ136" s="5"/>
      <c r="BA136" s="1"/>
      <c r="BB136" s="5"/>
      <c r="BC136" s="1"/>
      <c r="BD136" s="5"/>
      <c r="BE136" s="1"/>
      <c r="BF136" s="5"/>
      <c r="BG136" s="1"/>
      <c r="BH136" s="5"/>
      <c r="BI136" s="1"/>
      <c r="BJ136" s="5"/>
      <c r="BK136" s="1"/>
      <c r="BL136" s="5"/>
      <c r="BM136" s="1"/>
      <c r="BN136" s="5"/>
      <c r="BO136" s="1"/>
      <c r="BP136" s="5"/>
      <c r="BQ136" s="1"/>
      <c r="BR136" s="5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</row>
    <row r="137" ht="15.75" customHeight="1">
      <c r="A137" s="94"/>
      <c r="B137" s="97"/>
      <c r="C137" s="97"/>
      <c r="D137" s="97"/>
      <c r="E137" s="5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5"/>
      <c r="T137" s="5"/>
      <c r="U137" s="5"/>
      <c r="V137" s="5"/>
      <c r="W137" s="5"/>
      <c r="X137" s="5"/>
      <c r="Y137" s="5"/>
      <c r="Z137" s="5"/>
      <c r="AA137" s="1"/>
      <c r="AB137" s="5"/>
      <c r="AC137" s="1"/>
      <c r="AD137" s="5"/>
      <c r="AE137" s="1"/>
      <c r="AF137" s="5"/>
      <c r="AG137" s="1"/>
      <c r="AH137" s="5"/>
      <c r="AI137" s="1"/>
      <c r="AJ137" s="5"/>
      <c r="AK137" s="1"/>
      <c r="AL137" s="5"/>
      <c r="AM137" s="1"/>
      <c r="AN137" s="5"/>
      <c r="AO137" s="1"/>
      <c r="AP137" s="5"/>
      <c r="AQ137" s="1"/>
      <c r="AR137" s="5"/>
      <c r="AS137" s="1"/>
      <c r="AT137" s="5"/>
      <c r="AU137" s="1"/>
      <c r="AV137" s="5"/>
      <c r="AW137" s="1"/>
      <c r="AX137" s="5"/>
      <c r="AY137" s="1"/>
      <c r="AZ137" s="5"/>
      <c r="BA137" s="1"/>
      <c r="BB137" s="5"/>
      <c r="BC137" s="1"/>
      <c r="BD137" s="5"/>
      <c r="BE137" s="1"/>
      <c r="BF137" s="5"/>
      <c r="BG137" s="1"/>
      <c r="BH137" s="5"/>
      <c r="BI137" s="1"/>
      <c r="BJ137" s="5"/>
      <c r="BK137" s="1"/>
      <c r="BL137" s="5"/>
      <c r="BM137" s="1"/>
      <c r="BN137" s="5"/>
      <c r="BO137" s="1"/>
      <c r="BP137" s="5"/>
      <c r="BQ137" s="1"/>
      <c r="BR137" s="5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</row>
    <row r="138" ht="15.75" customHeight="1">
      <c r="A138" s="94"/>
      <c r="B138" s="97"/>
      <c r="C138" s="97"/>
      <c r="D138" s="97"/>
      <c r="E138" s="5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5"/>
      <c r="T138" s="5"/>
      <c r="U138" s="5"/>
      <c r="V138" s="5"/>
      <c r="W138" s="5"/>
      <c r="X138" s="5"/>
      <c r="Y138" s="5"/>
      <c r="Z138" s="5"/>
      <c r="AA138" s="1"/>
      <c r="AB138" s="5"/>
      <c r="AC138" s="1"/>
      <c r="AD138" s="5"/>
      <c r="AE138" s="1"/>
      <c r="AF138" s="5"/>
      <c r="AG138" s="1"/>
      <c r="AH138" s="5"/>
      <c r="AI138" s="1"/>
      <c r="AJ138" s="5"/>
      <c r="AK138" s="1"/>
      <c r="AL138" s="5"/>
      <c r="AM138" s="1"/>
      <c r="AN138" s="5"/>
      <c r="AO138" s="1"/>
      <c r="AP138" s="5"/>
      <c r="AQ138" s="1"/>
      <c r="AR138" s="5"/>
      <c r="AS138" s="1"/>
      <c r="AT138" s="5"/>
      <c r="AU138" s="1"/>
      <c r="AV138" s="5"/>
      <c r="AW138" s="1"/>
      <c r="AX138" s="5"/>
      <c r="AY138" s="1"/>
      <c r="AZ138" s="5"/>
      <c r="BA138" s="1"/>
      <c r="BB138" s="5"/>
      <c r="BC138" s="1"/>
      <c r="BD138" s="5"/>
      <c r="BE138" s="1"/>
      <c r="BF138" s="5"/>
      <c r="BG138" s="1"/>
      <c r="BH138" s="5"/>
      <c r="BI138" s="1"/>
      <c r="BJ138" s="5"/>
      <c r="BK138" s="1"/>
      <c r="BL138" s="5"/>
      <c r="BM138" s="1"/>
      <c r="BN138" s="5"/>
      <c r="BO138" s="1"/>
      <c r="BP138" s="5"/>
      <c r="BQ138" s="1"/>
      <c r="BR138" s="5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</row>
    <row r="139" ht="15.75" customHeight="1">
      <c r="A139" s="94"/>
      <c r="B139" s="97"/>
      <c r="C139" s="97"/>
      <c r="D139" s="97"/>
      <c r="E139" s="5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5"/>
      <c r="T139" s="5"/>
      <c r="U139" s="5"/>
      <c r="V139" s="5"/>
      <c r="W139" s="5"/>
      <c r="X139" s="5"/>
      <c r="Y139" s="5"/>
      <c r="Z139" s="5"/>
      <c r="AA139" s="1"/>
      <c r="AB139" s="5"/>
      <c r="AC139" s="1"/>
      <c r="AD139" s="5"/>
      <c r="AE139" s="1"/>
      <c r="AF139" s="5"/>
      <c r="AG139" s="1"/>
      <c r="AH139" s="5"/>
      <c r="AI139" s="1"/>
      <c r="AJ139" s="5"/>
      <c r="AK139" s="1"/>
      <c r="AL139" s="5"/>
      <c r="AM139" s="1"/>
      <c r="AN139" s="5"/>
      <c r="AO139" s="1"/>
      <c r="AP139" s="5"/>
      <c r="AQ139" s="1"/>
      <c r="AR139" s="5"/>
      <c r="AS139" s="1"/>
      <c r="AT139" s="5"/>
      <c r="AU139" s="1"/>
      <c r="AV139" s="5"/>
      <c r="AW139" s="1"/>
      <c r="AX139" s="5"/>
      <c r="AY139" s="1"/>
      <c r="AZ139" s="5"/>
      <c r="BA139" s="1"/>
      <c r="BB139" s="5"/>
      <c r="BC139" s="1"/>
      <c r="BD139" s="5"/>
      <c r="BE139" s="1"/>
      <c r="BF139" s="5"/>
      <c r="BG139" s="1"/>
      <c r="BH139" s="5"/>
      <c r="BI139" s="1"/>
      <c r="BJ139" s="5"/>
      <c r="BK139" s="1"/>
      <c r="BL139" s="5"/>
      <c r="BM139" s="1"/>
      <c r="BN139" s="5"/>
      <c r="BO139" s="1"/>
      <c r="BP139" s="5"/>
      <c r="BQ139" s="1"/>
      <c r="BR139" s="5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</row>
    <row r="140" ht="15.75" customHeight="1">
      <c r="A140" s="94"/>
      <c r="B140" s="97"/>
      <c r="C140" s="97"/>
      <c r="D140" s="97"/>
      <c r="E140" s="5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5"/>
      <c r="T140" s="5"/>
      <c r="U140" s="5"/>
      <c r="V140" s="5"/>
      <c r="W140" s="5"/>
      <c r="X140" s="5"/>
      <c r="Y140" s="5"/>
      <c r="Z140" s="5"/>
      <c r="AA140" s="1"/>
      <c r="AB140" s="5"/>
      <c r="AC140" s="1"/>
      <c r="AD140" s="5"/>
      <c r="AE140" s="1"/>
      <c r="AF140" s="5"/>
      <c r="AG140" s="1"/>
      <c r="AH140" s="5"/>
      <c r="AI140" s="1"/>
      <c r="AJ140" s="5"/>
      <c r="AK140" s="1"/>
      <c r="AL140" s="5"/>
      <c r="AM140" s="1"/>
      <c r="AN140" s="5"/>
      <c r="AO140" s="1"/>
      <c r="AP140" s="5"/>
      <c r="AQ140" s="1"/>
      <c r="AR140" s="5"/>
      <c r="AS140" s="1"/>
      <c r="AT140" s="5"/>
      <c r="AU140" s="1"/>
      <c r="AV140" s="5"/>
      <c r="AW140" s="1"/>
      <c r="AX140" s="5"/>
      <c r="AY140" s="1"/>
      <c r="AZ140" s="5"/>
      <c r="BA140" s="1"/>
      <c r="BB140" s="5"/>
      <c r="BC140" s="1"/>
      <c r="BD140" s="5"/>
      <c r="BE140" s="1"/>
      <c r="BF140" s="5"/>
      <c r="BG140" s="1"/>
      <c r="BH140" s="5"/>
      <c r="BI140" s="1"/>
      <c r="BJ140" s="5"/>
      <c r="BK140" s="1"/>
      <c r="BL140" s="5"/>
      <c r="BM140" s="1"/>
      <c r="BN140" s="5"/>
      <c r="BO140" s="1"/>
      <c r="BP140" s="5"/>
      <c r="BQ140" s="1"/>
      <c r="BR140" s="5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</row>
    <row r="141" ht="15.75" customHeight="1">
      <c r="A141" s="94"/>
      <c r="B141" s="97"/>
      <c r="C141" s="97"/>
      <c r="D141" s="97"/>
      <c r="E141" s="5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5"/>
      <c r="T141" s="5"/>
      <c r="U141" s="5"/>
      <c r="V141" s="5"/>
      <c r="W141" s="5"/>
      <c r="X141" s="5"/>
      <c r="Y141" s="5"/>
      <c r="Z141" s="5"/>
      <c r="AA141" s="1"/>
      <c r="AB141" s="5"/>
      <c r="AC141" s="1"/>
      <c r="AD141" s="5"/>
      <c r="AE141" s="1"/>
      <c r="AF141" s="5"/>
      <c r="AG141" s="1"/>
      <c r="AH141" s="5"/>
      <c r="AI141" s="1"/>
      <c r="AJ141" s="5"/>
      <c r="AK141" s="1"/>
      <c r="AL141" s="5"/>
      <c r="AM141" s="1"/>
      <c r="AN141" s="5"/>
      <c r="AO141" s="1"/>
      <c r="AP141" s="5"/>
      <c r="AQ141" s="1"/>
      <c r="AR141" s="5"/>
      <c r="AS141" s="1"/>
      <c r="AT141" s="5"/>
      <c r="AU141" s="1"/>
      <c r="AV141" s="5"/>
      <c r="AW141" s="1"/>
      <c r="AX141" s="5"/>
      <c r="AY141" s="1"/>
      <c r="AZ141" s="5"/>
      <c r="BA141" s="1"/>
      <c r="BB141" s="5"/>
      <c r="BC141" s="1"/>
      <c r="BD141" s="5"/>
      <c r="BE141" s="1"/>
      <c r="BF141" s="5"/>
      <c r="BG141" s="1"/>
      <c r="BH141" s="5"/>
      <c r="BI141" s="1"/>
      <c r="BJ141" s="5"/>
      <c r="BK141" s="1"/>
      <c r="BL141" s="5"/>
      <c r="BM141" s="1"/>
      <c r="BN141" s="5"/>
      <c r="BO141" s="1"/>
      <c r="BP141" s="5"/>
      <c r="BQ141" s="1"/>
      <c r="BR141" s="5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</row>
    <row r="142" ht="15.75" customHeight="1">
      <c r="A142" s="94"/>
      <c r="B142" s="97"/>
      <c r="C142" s="97"/>
      <c r="D142" s="97"/>
      <c r="E142" s="5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5"/>
      <c r="T142" s="5"/>
      <c r="U142" s="5"/>
      <c r="V142" s="5"/>
      <c r="W142" s="5"/>
      <c r="X142" s="5"/>
      <c r="Y142" s="5"/>
      <c r="Z142" s="5"/>
      <c r="AA142" s="1"/>
      <c r="AB142" s="5"/>
      <c r="AC142" s="1"/>
      <c r="AD142" s="5"/>
      <c r="AE142" s="1"/>
      <c r="AF142" s="5"/>
      <c r="AG142" s="1"/>
      <c r="AH142" s="5"/>
      <c r="AI142" s="1"/>
      <c r="AJ142" s="5"/>
      <c r="AK142" s="1"/>
      <c r="AL142" s="5"/>
      <c r="AM142" s="1"/>
      <c r="AN142" s="5"/>
      <c r="AO142" s="1"/>
      <c r="AP142" s="5"/>
      <c r="AQ142" s="1"/>
      <c r="AR142" s="5"/>
      <c r="AS142" s="1"/>
      <c r="AT142" s="5"/>
      <c r="AU142" s="1"/>
      <c r="AV142" s="5"/>
      <c r="AW142" s="1"/>
      <c r="AX142" s="5"/>
      <c r="AY142" s="1"/>
      <c r="AZ142" s="5"/>
      <c r="BA142" s="1"/>
      <c r="BB142" s="5"/>
      <c r="BC142" s="1"/>
      <c r="BD142" s="5"/>
      <c r="BE142" s="1"/>
      <c r="BF142" s="5"/>
      <c r="BG142" s="1"/>
      <c r="BH142" s="5"/>
      <c r="BI142" s="1"/>
      <c r="BJ142" s="5"/>
      <c r="BK142" s="1"/>
      <c r="BL142" s="5"/>
      <c r="BM142" s="1"/>
      <c r="BN142" s="5"/>
      <c r="BO142" s="1"/>
      <c r="BP142" s="5"/>
      <c r="BQ142" s="1"/>
      <c r="BR142" s="5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</row>
    <row r="143" ht="15.75" customHeight="1">
      <c r="A143" s="94"/>
      <c r="B143" s="97"/>
      <c r="C143" s="97"/>
      <c r="D143" s="97"/>
      <c r="E143" s="5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5"/>
      <c r="T143" s="5"/>
      <c r="U143" s="5"/>
      <c r="V143" s="5"/>
      <c r="W143" s="5"/>
      <c r="X143" s="5"/>
      <c r="Y143" s="5"/>
      <c r="Z143" s="5"/>
      <c r="AA143" s="1"/>
      <c r="AB143" s="5"/>
      <c r="AC143" s="1"/>
      <c r="AD143" s="5"/>
      <c r="AE143" s="1"/>
      <c r="AF143" s="5"/>
      <c r="AG143" s="1"/>
      <c r="AH143" s="5"/>
      <c r="AI143" s="1"/>
      <c r="AJ143" s="5"/>
      <c r="AK143" s="1"/>
      <c r="AL143" s="5"/>
      <c r="AM143" s="1"/>
      <c r="AN143" s="5"/>
      <c r="AO143" s="1"/>
      <c r="AP143" s="5"/>
      <c r="AQ143" s="1"/>
      <c r="AR143" s="5"/>
      <c r="AS143" s="1"/>
      <c r="AT143" s="5"/>
      <c r="AU143" s="1"/>
      <c r="AV143" s="5"/>
      <c r="AW143" s="1"/>
      <c r="AX143" s="5"/>
      <c r="AY143" s="1"/>
      <c r="AZ143" s="5"/>
      <c r="BA143" s="1"/>
      <c r="BB143" s="5"/>
      <c r="BC143" s="1"/>
      <c r="BD143" s="5"/>
      <c r="BE143" s="1"/>
      <c r="BF143" s="5"/>
      <c r="BG143" s="1"/>
      <c r="BH143" s="5"/>
      <c r="BI143" s="1"/>
      <c r="BJ143" s="5"/>
      <c r="BK143" s="1"/>
      <c r="BL143" s="5"/>
      <c r="BM143" s="1"/>
      <c r="BN143" s="5"/>
      <c r="BO143" s="1"/>
      <c r="BP143" s="5"/>
      <c r="BQ143" s="1"/>
      <c r="BR143" s="5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</row>
    <row r="144" ht="15.75" customHeight="1">
      <c r="A144" s="94"/>
      <c r="B144" s="97"/>
      <c r="C144" s="97"/>
      <c r="D144" s="97"/>
      <c r="E144" s="5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5"/>
      <c r="T144" s="5"/>
      <c r="U144" s="5"/>
      <c r="V144" s="5"/>
      <c r="W144" s="5"/>
      <c r="X144" s="5"/>
      <c r="Y144" s="5"/>
      <c r="Z144" s="5"/>
      <c r="AA144" s="1"/>
      <c r="AB144" s="5"/>
      <c r="AC144" s="1"/>
      <c r="AD144" s="5"/>
      <c r="AE144" s="1"/>
      <c r="AF144" s="5"/>
      <c r="AG144" s="1"/>
      <c r="AH144" s="5"/>
      <c r="AI144" s="1"/>
      <c r="AJ144" s="5"/>
      <c r="AK144" s="1"/>
      <c r="AL144" s="5"/>
      <c r="AM144" s="1"/>
      <c r="AN144" s="5"/>
      <c r="AO144" s="1"/>
      <c r="AP144" s="5"/>
      <c r="AQ144" s="1"/>
      <c r="AR144" s="5"/>
      <c r="AS144" s="1"/>
      <c r="AT144" s="5"/>
      <c r="AU144" s="1"/>
      <c r="AV144" s="5"/>
      <c r="AW144" s="1"/>
      <c r="AX144" s="5"/>
      <c r="AY144" s="1"/>
      <c r="AZ144" s="5"/>
      <c r="BA144" s="1"/>
      <c r="BB144" s="5"/>
      <c r="BC144" s="1"/>
      <c r="BD144" s="5"/>
      <c r="BE144" s="1"/>
      <c r="BF144" s="5"/>
      <c r="BG144" s="1"/>
      <c r="BH144" s="5"/>
      <c r="BI144" s="1"/>
      <c r="BJ144" s="5"/>
      <c r="BK144" s="1"/>
      <c r="BL144" s="5"/>
      <c r="BM144" s="1"/>
      <c r="BN144" s="5"/>
      <c r="BO144" s="1"/>
      <c r="BP144" s="5"/>
      <c r="BQ144" s="1"/>
      <c r="BR144" s="5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</row>
    <row r="145" ht="15.75" customHeight="1">
      <c r="A145" s="94"/>
      <c r="B145" s="97"/>
      <c r="C145" s="97"/>
      <c r="D145" s="97"/>
      <c r="E145" s="5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5"/>
      <c r="T145" s="5"/>
      <c r="U145" s="5"/>
      <c r="V145" s="5"/>
      <c r="W145" s="5"/>
      <c r="X145" s="5"/>
      <c r="Y145" s="5"/>
      <c r="Z145" s="5"/>
      <c r="AA145" s="1"/>
      <c r="AB145" s="5"/>
      <c r="AC145" s="1"/>
      <c r="AD145" s="5"/>
      <c r="AE145" s="1"/>
      <c r="AF145" s="5"/>
      <c r="AG145" s="1"/>
      <c r="AH145" s="5"/>
      <c r="AI145" s="1"/>
      <c r="AJ145" s="5"/>
      <c r="AK145" s="1"/>
      <c r="AL145" s="5"/>
      <c r="AM145" s="1"/>
      <c r="AN145" s="5"/>
      <c r="AO145" s="1"/>
      <c r="AP145" s="5"/>
      <c r="AQ145" s="1"/>
      <c r="AR145" s="5"/>
      <c r="AS145" s="1"/>
      <c r="AT145" s="5"/>
      <c r="AU145" s="1"/>
      <c r="AV145" s="5"/>
      <c r="AW145" s="1"/>
      <c r="AX145" s="5"/>
      <c r="AY145" s="1"/>
      <c r="AZ145" s="5"/>
      <c r="BA145" s="1"/>
      <c r="BB145" s="5"/>
      <c r="BC145" s="1"/>
      <c r="BD145" s="5"/>
      <c r="BE145" s="1"/>
      <c r="BF145" s="5"/>
      <c r="BG145" s="1"/>
      <c r="BH145" s="5"/>
      <c r="BI145" s="1"/>
      <c r="BJ145" s="5"/>
      <c r="BK145" s="1"/>
      <c r="BL145" s="5"/>
      <c r="BM145" s="1"/>
      <c r="BN145" s="5"/>
      <c r="BO145" s="1"/>
      <c r="BP145" s="5"/>
      <c r="BQ145" s="1"/>
      <c r="BR145" s="5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</row>
    <row r="146" ht="15.75" customHeight="1">
      <c r="A146" s="94"/>
      <c r="B146" s="97"/>
      <c r="C146" s="97"/>
      <c r="D146" s="97"/>
      <c r="E146" s="5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5"/>
      <c r="T146" s="5"/>
      <c r="U146" s="5"/>
      <c r="V146" s="5"/>
      <c r="W146" s="5"/>
      <c r="X146" s="5"/>
      <c r="Y146" s="5"/>
      <c r="Z146" s="5"/>
      <c r="AA146" s="1"/>
      <c r="AB146" s="5"/>
      <c r="AC146" s="1"/>
      <c r="AD146" s="5"/>
      <c r="AE146" s="1"/>
      <c r="AF146" s="5"/>
      <c r="AG146" s="1"/>
      <c r="AH146" s="5"/>
      <c r="AI146" s="1"/>
      <c r="AJ146" s="5"/>
      <c r="AK146" s="1"/>
      <c r="AL146" s="5"/>
      <c r="AM146" s="1"/>
      <c r="AN146" s="5"/>
      <c r="AO146" s="1"/>
      <c r="AP146" s="5"/>
      <c r="AQ146" s="1"/>
      <c r="AR146" s="5"/>
      <c r="AS146" s="1"/>
      <c r="AT146" s="5"/>
      <c r="AU146" s="1"/>
      <c r="AV146" s="5"/>
      <c r="AW146" s="1"/>
      <c r="AX146" s="5"/>
      <c r="AY146" s="1"/>
      <c r="AZ146" s="5"/>
      <c r="BA146" s="1"/>
      <c r="BB146" s="5"/>
      <c r="BC146" s="1"/>
      <c r="BD146" s="5"/>
      <c r="BE146" s="1"/>
      <c r="BF146" s="5"/>
      <c r="BG146" s="1"/>
      <c r="BH146" s="5"/>
      <c r="BI146" s="1"/>
      <c r="BJ146" s="5"/>
      <c r="BK146" s="1"/>
      <c r="BL146" s="5"/>
      <c r="BM146" s="1"/>
      <c r="BN146" s="5"/>
      <c r="BO146" s="1"/>
      <c r="BP146" s="5"/>
      <c r="BQ146" s="1"/>
      <c r="BR146" s="5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</row>
    <row r="147" ht="15.75" customHeight="1">
      <c r="A147" s="94"/>
      <c r="B147" s="97"/>
      <c r="C147" s="97"/>
      <c r="D147" s="97"/>
      <c r="E147" s="5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5"/>
      <c r="T147" s="5"/>
      <c r="U147" s="5"/>
      <c r="V147" s="5"/>
      <c r="W147" s="5"/>
      <c r="X147" s="5"/>
      <c r="Y147" s="5"/>
      <c r="Z147" s="5"/>
      <c r="AA147" s="1"/>
      <c r="AB147" s="5"/>
      <c r="AC147" s="1"/>
      <c r="AD147" s="5"/>
      <c r="AE147" s="1"/>
      <c r="AF147" s="5"/>
      <c r="AG147" s="1"/>
      <c r="AH147" s="5"/>
      <c r="AI147" s="1"/>
      <c r="AJ147" s="5"/>
      <c r="AK147" s="1"/>
      <c r="AL147" s="5"/>
      <c r="AM147" s="1"/>
      <c r="AN147" s="5"/>
      <c r="AO147" s="1"/>
      <c r="AP147" s="5"/>
      <c r="AQ147" s="1"/>
      <c r="AR147" s="5"/>
      <c r="AS147" s="1"/>
      <c r="AT147" s="5"/>
      <c r="AU147" s="1"/>
      <c r="AV147" s="5"/>
      <c r="AW147" s="1"/>
      <c r="AX147" s="5"/>
      <c r="AY147" s="1"/>
      <c r="AZ147" s="5"/>
      <c r="BA147" s="1"/>
      <c r="BB147" s="5"/>
      <c r="BC147" s="1"/>
      <c r="BD147" s="5"/>
      <c r="BE147" s="1"/>
      <c r="BF147" s="5"/>
      <c r="BG147" s="1"/>
      <c r="BH147" s="5"/>
      <c r="BI147" s="1"/>
      <c r="BJ147" s="5"/>
      <c r="BK147" s="1"/>
      <c r="BL147" s="5"/>
      <c r="BM147" s="1"/>
      <c r="BN147" s="5"/>
      <c r="BO147" s="1"/>
      <c r="BP147" s="5"/>
      <c r="BQ147" s="1"/>
      <c r="BR147" s="5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</row>
    <row r="148" ht="15.75" customHeight="1">
      <c r="A148" s="94"/>
      <c r="B148" s="97"/>
      <c r="C148" s="97"/>
      <c r="D148" s="97"/>
      <c r="E148" s="5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5"/>
      <c r="T148" s="5"/>
      <c r="U148" s="5"/>
      <c r="V148" s="5"/>
      <c r="W148" s="5"/>
      <c r="X148" s="5"/>
      <c r="Y148" s="5"/>
      <c r="Z148" s="5"/>
      <c r="AA148" s="1"/>
      <c r="AB148" s="5"/>
      <c r="AC148" s="1"/>
      <c r="AD148" s="5"/>
      <c r="AE148" s="1"/>
      <c r="AF148" s="5"/>
      <c r="AG148" s="1"/>
      <c r="AH148" s="5"/>
      <c r="AI148" s="1"/>
      <c r="AJ148" s="5"/>
      <c r="AK148" s="1"/>
      <c r="AL148" s="5"/>
      <c r="AM148" s="1"/>
      <c r="AN148" s="5"/>
      <c r="AO148" s="1"/>
      <c r="AP148" s="5"/>
      <c r="AQ148" s="1"/>
      <c r="AR148" s="5"/>
      <c r="AS148" s="1"/>
      <c r="AT148" s="5"/>
      <c r="AU148" s="1"/>
      <c r="AV148" s="5"/>
      <c r="AW148" s="1"/>
      <c r="AX148" s="5"/>
      <c r="AY148" s="1"/>
      <c r="AZ148" s="5"/>
      <c r="BA148" s="1"/>
      <c r="BB148" s="5"/>
      <c r="BC148" s="1"/>
      <c r="BD148" s="5"/>
      <c r="BE148" s="1"/>
      <c r="BF148" s="5"/>
      <c r="BG148" s="1"/>
      <c r="BH148" s="5"/>
      <c r="BI148" s="1"/>
      <c r="BJ148" s="5"/>
      <c r="BK148" s="1"/>
      <c r="BL148" s="5"/>
      <c r="BM148" s="1"/>
      <c r="BN148" s="5"/>
      <c r="BO148" s="1"/>
      <c r="BP148" s="5"/>
      <c r="BQ148" s="1"/>
      <c r="BR148" s="5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</row>
    <row r="149" ht="15.75" customHeight="1">
      <c r="A149" s="94"/>
      <c r="B149" s="97"/>
      <c r="C149" s="97"/>
      <c r="D149" s="97"/>
      <c r="E149" s="5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5"/>
      <c r="T149" s="5"/>
      <c r="U149" s="5"/>
      <c r="V149" s="5"/>
      <c r="W149" s="5"/>
      <c r="X149" s="5"/>
      <c r="Y149" s="5"/>
      <c r="Z149" s="5"/>
      <c r="AA149" s="1"/>
      <c r="AB149" s="5"/>
      <c r="AC149" s="1"/>
      <c r="AD149" s="5"/>
      <c r="AE149" s="1"/>
      <c r="AF149" s="5"/>
      <c r="AG149" s="1"/>
      <c r="AH149" s="5"/>
      <c r="AI149" s="1"/>
      <c r="AJ149" s="5"/>
      <c r="AK149" s="1"/>
      <c r="AL149" s="5"/>
      <c r="AM149" s="1"/>
      <c r="AN149" s="5"/>
      <c r="AO149" s="1"/>
      <c r="AP149" s="5"/>
      <c r="AQ149" s="1"/>
      <c r="AR149" s="5"/>
      <c r="AS149" s="1"/>
      <c r="AT149" s="5"/>
      <c r="AU149" s="1"/>
      <c r="AV149" s="5"/>
      <c r="AW149" s="1"/>
      <c r="AX149" s="5"/>
      <c r="AY149" s="1"/>
      <c r="AZ149" s="5"/>
      <c r="BA149" s="1"/>
      <c r="BB149" s="5"/>
      <c r="BC149" s="1"/>
      <c r="BD149" s="5"/>
      <c r="BE149" s="1"/>
      <c r="BF149" s="5"/>
      <c r="BG149" s="1"/>
      <c r="BH149" s="5"/>
      <c r="BI149" s="1"/>
      <c r="BJ149" s="5"/>
      <c r="BK149" s="1"/>
      <c r="BL149" s="5"/>
      <c r="BM149" s="1"/>
      <c r="BN149" s="5"/>
      <c r="BO149" s="1"/>
      <c r="BP149" s="5"/>
      <c r="BQ149" s="1"/>
      <c r="BR149" s="5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</row>
    <row r="150" ht="15.75" customHeight="1">
      <c r="A150" s="94"/>
      <c r="B150" s="97"/>
      <c r="C150" s="97"/>
      <c r="D150" s="97"/>
      <c r="E150" s="5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5"/>
      <c r="T150" s="5"/>
      <c r="U150" s="5"/>
      <c r="V150" s="5"/>
      <c r="W150" s="5"/>
      <c r="X150" s="5"/>
      <c r="Y150" s="5"/>
      <c r="Z150" s="5"/>
      <c r="AA150" s="1"/>
      <c r="AB150" s="5"/>
      <c r="AC150" s="1"/>
      <c r="AD150" s="5"/>
      <c r="AE150" s="1"/>
      <c r="AF150" s="5"/>
      <c r="AG150" s="1"/>
      <c r="AH150" s="5"/>
      <c r="AI150" s="1"/>
      <c r="AJ150" s="5"/>
      <c r="AK150" s="1"/>
      <c r="AL150" s="5"/>
      <c r="AM150" s="1"/>
      <c r="AN150" s="5"/>
      <c r="AO150" s="1"/>
      <c r="AP150" s="5"/>
      <c r="AQ150" s="1"/>
      <c r="AR150" s="5"/>
      <c r="AS150" s="1"/>
      <c r="AT150" s="5"/>
      <c r="AU150" s="1"/>
      <c r="AV150" s="5"/>
      <c r="AW150" s="1"/>
      <c r="AX150" s="5"/>
      <c r="AY150" s="1"/>
      <c r="AZ150" s="5"/>
      <c r="BA150" s="1"/>
      <c r="BB150" s="5"/>
      <c r="BC150" s="1"/>
      <c r="BD150" s="5"/>
      <c r="BE150" s="1"/>
      <c r="BF150" s="5"/>
      <c r="BG150" s="1"/>
      <c r="BH150" s="5"/>
      <c r="BI150" s="1"/>
      <c r="BJ150" s="5"/>
      <c r="BK150" s="1"/>
      <c r="BL150" s="5"/>
      <c r="BM150" s="1"/>
      <c r="BN150" s="5"/>
      <c r="BO150" s="1"/>
      <c r="BP150" s="5"/>
      <c r="BQ150" s="1"/>
      <c r="BR150" s="5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</row>
    <row r="151" ht="15.75" customHeight="1">
      <c r="A151" s="94"/>
      <c r="B151" s="97"/>
      <c r="C151" s="97"/>
      <c r="D151" s="97"/>
      <c r="E151" s="5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5"/>
      <c r="T151" s="5"/>
      <c r="U151" s="5"/>
      <c r="V151" s="5"/>
      <c r="W151" s="5"/>
      <c r="X151" s="5"/>
      <c r="Y151" s="5"/>
      <c r="Z151" s="5"/>
      <c r="AA151" s="1"/>
      <c r="AB151" s="5"/>
      <c r="AC151" s="1"/>
      <c r="AD151" s="5"/>
      <c r="AE151" s="1"/>
      <c r="AF151" s="5"/>
      <c r="AG151" s="1"/>
      <c r="AH151" s="5"/>
      <c r="AI151" s="1"/>
      <c r="AJ151" s="5"/>
      <c r="AK151" s="1"/>
      <c r="AL151" s="5"/>
      <c r="AM151" s="1"/>
      <c r="AN151" s="5"/>
      <c r="AO151" s="1"/>
      <c r="AP151" s="5"/>
      <c r="AQ151" s="1"/>
      <c r="AR151" s="5"/>
      <c r="AS151" s="1"/>
      <c r="AT151" s="5"/>
      <c r="AU151" s="1"/>
      <c r="AV151" s="5"/>
      <c r="AW151" s="1"/>
      <c r="AX151" s="5"/>
      <c r="AY151" s="1"/>
      <c r="AZ151" s="5"/>
      <c r="BA151" s="1"/>
      <c r="BB151" s="5"/>
      <c r="BC151" s="1"/>
      <c r="BD151" s="5"/>
      <c r="BE151" s="1"/>
      <c r="BF151" s="5"/>
      <c r="BG151" s="1"/>
      <c r="BH151" s="5"/>
      <c r="BI151" s="1"/>
      <c r="BJ151" s="5"/>
      <c r="BK151" s="1"/>
      <c r="BL151" s="5"/>
      <c r="BM151" s="1"/>
      <c r="BN151" s="5"/>
      <c r="BO151" s="1"/>
      <c r="BP151" s="5"/>
      <c r="BQ151" s="1"/>
      <c r="BR151" s="5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</row>
    <row r="152" ht="15.75" customHeight="1">
      <c r="A152" s="94"/>
      <c r="B152" s="97"/>
      <c r="C152" s="97"/>
      <c r="D152" s="97"/>
      <c r="E152" s="5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5"/>
      <c r="T152" s="5"/>
      <c r="U152" s="5"/>
      <c r="V152" s="5"/>
      <c r="W152" s="5"/>
      <c r="X152" s="5"/>
      <c r="Y152" s="5"/>
      <c r="Z152" s="5"/>
      <c r="AA152" s="1"/>
      <c r="AB152" s="5"/>
      <c r="AC152" s="1"/>
      <c r="AD152" s="5"/>
      <c r="AE152" s="1"/>
      <c r="AF152" s="5"/>
      <c r="AG152" s="1"/>
      <c r="AH152" s="5"/>
      <c r="AI152" s="1"/>
      <c r="AJ152" s="5"/>
      <c r="AK152" s="1"/>
      <c r="AL152" s="5"/>
      <c r="AM152" s="1"/>
      <c r="AN152" s="5"/>
      <c r="AO152" s="1"/>
      <c r="AP152" s="5"/>
      <c r="AQ152" s="1"/>
      <c r="AR152" s="5"/>
      <c r="AS152" s="1"/>
      <c r="AT152" s="5"/>
      <c r="AU152" s="1"/>
      <c r="AV152" s="5"/>
      <c r="AW152" s="1"/>
      <c r="AX152" s="5"/>
      <c r="AY152" s="1"/>
      <c r="AZ152" s="5"/>
      <c r="BA152" s="1"/>
      <c r="BB152" s="5"/>
      <c r="BC152" s="1"/>
      <c r="BD152" s="5"/>
      <c r="BE152" s="1"/>
      <c r="BF152" s="5"/>
      <c r="BG152" s="1"/>
      <c r="BH152" s="5"/>
      <c r="BI152" s="1"/>
      <c r="BJ152" s="5"/>
      <c r="BK152" s="1"/>
      <c r="BL152" s="5"/>
      <c r="BM152" s="1"/>
      <c r="BN152" s="5"/>
      <c r="BO152" s="1"/>
      <c r="BP152" s="5"/>
      <c r="BQ152" s="1"/>
      <c r="BR152" s="5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</row>
    <row r="153" ht="15.75" customHeight="1">
      <c r="A153" s="94"/>
      <c r="B153" s="97"/>
      <c r="C153" s="97"/>
      <c r="D153" s="97"/>
      <c r="E153" s="5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5"/>
      <c r="T153" s="5"/>
      <c r="U153" s="5"/>
      <c r="V153" s="5"/>
      <c r="W153" s="5"/>
      <c r="X153" s="5"/>
      <c r="Y153" s="5"/>
      <c r="Z153" s="5"/>
      <c r="AA153" s="1"/>
      <c r="AB153" s="5"/>
      <c r="AC153" s="1"/>
      <c r="AD153" s="5"/>
      <c r="AE153" s="1"/>
      <c r="AF153" s="5"/>
      <c r="AG153" s="1"/>
      <c r="AH153" s="5"/>
      <c r="AI153" s="1"/>
      <c r="AJ153" s="5"/>
      <c r="AK153" s="1"/>
      <c r="AL153" s="5"/>
      <c r="AM153" s="1"/>
      <c r="AN153" s="5"/>
      <c r="AO153" s="1"/>
      <c r="AP153" s="5"/>
      <c r="AQ153" s="1"/>
      <c r="AR153" s="5"/>
      <c r="AS153" s="1"/>
      <c r="AT153" s="5"/>
      <c r="AU153" s="1"/>
      <c r="AV153" s="5"/>
      <c r="AW153" s="1"/>
      <c r="AX153" s="5"/>
      <c r="AY153" s="1"/>
      <c r="AZ153" s="5"/>
      <c r="BA153" s="1"/>
      <c r="BB153" s="5"/>
      <c r="BC153" s="1"/>
      <c r="BD153" s="5"/>
      <c r="BE153" s="1"/>
      <c r="BF153" s="5"/>
      <c r="BG153" s="1"/>
      <c r="BH153" s="5"/>
      <c r="BI153" s="1"/>
      <c r="BJ153" s="5"/>
      <c r="BK153" s="1"/>
      <c r="BL153" s="5"/>
      <c r="BM153" s="1"/>
      <c r="BN153" s="5"/>
      <c r="BO153" s="1"/>
      <c r="BP153" s="5"/>
      <c r="BQ153" s="1"/>
      <c r="BR153" s="5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</row>
    <row r="154" ht="15.75" customHeight="1">
      <c r="A154" s="94"/>
      <c r="B154" s="97"/>
      <c r="C154" s="97"/>
      <c r="D154" s="97"/>
      <c r="E154" s="5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5"/>
      <c r="T154" s="5"/>
      <c r="U154" s="5"/>
      <c r="V154" s="5"/>
      <c r="W154" s="5"/>
      <c r="X154" s="5"/>
      <c r="Y154" s="5"/>
      <c r="Z154" s="5"/>
      <c r="AA154" s="1"/>
      <c r="AB154" s="5"/>
      <c r="AC154" s="1"/>
      <c r="AD154" s="5"/>
      <c r="AE154" s="1"/>
      <c r="AF154" s="5"/>
      <c r="AG154" s="1"/>
      <c r="AH154" s="5"/>
      <c r="AI154" s="1"/>
      <c r="AJ154" s="5"/>
      <c r="AK154" s="1"/>
      <c r="AL154" s="5"/>
      <c r="AM154" s="1"/>
      <c r="AN154" s="5"/>
      <c r="AO154" s="1"/>
      <c r="AP154" s="5"/>
      <c r="AQ154" s="1"/>
      <c r="AR154" s="5"/>
      <c r="AS154" s="1"/>
      <c r="AT154" s="5"/>
      <c r="AU154" s="1"/>
      <c r="AV154" s="5"/>
      <c r="AW154" s="1"/>
      <c r="AX154" s="5"/>
      <c r="AY154" s="1"/>
      <c r="AZ154" s="5"/>
      <c r="BA154" s="1"/>
      <c r="BB154" s="5"/>
      <c r="BC154" s="1"/>
      <c r="BD154" s="5"/>
      <c r="BE154" s="1"/>
      <c r="BF154" s="5"/>
      <c r="BG154" s="1"/>
      <c r="BH154" s="5"/>
      <c r="BI154" s="1"/>
      <c r="BJ154" s="5"/>
      <c r="BK154" s="1"/>
      <c r="BL154" s="5"/>
      <c r="BM154" s="1"/>
      <c r="BN154" s="5"/>
      <c r="BO154" s="1"/>
      <c r="BP154" s="5"/>
      <c r="BQ154" s="1"/>
      <c r="BR154" s="5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</row>
    <row r="155" ht="15.75" customHeight="1">
      <c r="A155" s="94"/>
      <c r="B155" s="97"/>
      <c r="C155" s="97"/>
      <c r="D155" s="97"/>
      <c r="E155" s="5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5"/>
      <c r="T155" s="5"/>
      <c r="U155" s="5"/>
      <c r="V155" s="5"/>
      <c r="W155" s="5"/>
      <c r="X155" s="5"/>
      <c r="Y155" s="5"/>
      <c r="Z155" s="5"/>
      <c r="AA155" s="1"/>
      <c r="AB155" s="5"/>
      <c r="AC155" s="1"/>
      <c r="AD155" s="5"/>
      <c r="AE155" s="1"/>
      <c r="AF155" s="5"/>
      <c r="AG155" s="1"/>
      <c r="AH155" s="5"/>
      <c r="AI155" s="1"/>
      <c r="AJ155" s="5"/>
      <c r="AK155" s="1"/>
      <c r="AL155" s="5"/>
      <c r="AM155" s="1"/>
      <c r="AN155" s="5"/>
      <c r="AO155" s="1"/>
      <c r="AP155" s="5"/>
      <c r="AQ155" s="1"/>
      <c r="AR155" s="5"/>
      <c r="AS155" s="1"/>
      <c r="AT155" s="5"/>
      <c r="AU155" s="1"/>
      <c r="AV155" s="5"/>
      <c r="AW155" s="1"/>
      <c r="AX155" s="5"/>
      <c r="AY155" s="1"/>
      <c r="AZ155" s="5"/>
      <c r="BA155" s="1"/>
      <c r="BB155" s="5"/>
      <c r="BC155" s="1"/>
      <c r="BD155" s="5"/>
      <c r="BE155" s="1"/>
      <c r="BF155" s="5"/>
      <c r="BG155" s="1"/>
      <c r="BH155" s="5"/>
      <c r="BI155" s="1"/>
      <c r="BJ155" s="5"/>
      <c r="BK155" s="1"/>
      <c r="BL155" s="5"/>
      <c r="BM155" s="1"/>
      <c r="BN155" s="5"/>
      <c r="BO155" s="1"/>
      <c r="BP155" s="5"/>
      <c r="BQ155" s="1"/>
      <c r="BR155" s="5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</row>
    <row r="156" ht="15.75" customHeight="1">
      <c r="A156" s="94"/>
      <c r="B156" s="97"/>
      <c r="C156" s="97"/>
      <c r="D156" s="97"/>
      <c r="E156" s="5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5"/>
      <c r="T156" s="5"/>
      <c r="U156" s="5"/>
      <c r="V156" s="5"/>
      <c r="W156" s="5"/>
      <c r="X156" s="5"/>
      <c r="Y156" s="5"/>
      <c r="Z156" s="5"/>
      <c r="AA156" s="1"/>
      <c r="AB156" s="5"/>
      <c r="AC156" s="1"/>
      <c r="AD156" s="5"/>
      <c r="AE156" s="1"/>
      <c r="AF156" s="5"/>
      <c r="AG156" s="1"/>
      <c r="AH156" s="5"/>
      <c r="AI156" s="1"/>
      <c r="AJ156" s="5"/>
      <c r="AK156" s="1"/>
      <c r="AL156" s="5"/>
      <c r="AM156" s="1"/>
      <c r="AN156" s="5"/>
      <c r="AO156" s="1"/>
      <c r="AP156" s="5"/>
      <c r="AQ156" s="1"/>
      <c r="AR156" s="5"/>
      <c r="AS156" s="1"/>
      <c r="AT156" s="5"/>
      <c r="AU156" s="1"/>
      <c r="AV156" s="5"/>
      <c r="AW156" s="1"/>
      <c r="AX156" s="5"/>
      <c r="AY156" s="1"/>
      <c r="AZ156" s="5"/>
      <c r="BA156" s="1"/>
      <c r="BB156" s="5"/>
      <c r="BC156" s="1"/>
      <c r="BD156" s="5"/>
      <c r="BE156" s="1"/>
      <c r="BF156" s="5"/>
      <c r="BG156" s="1"/>
      <c r="BH156" s="5"/>
      <c r="BI156" s="1"/>
      <c r="BJ156" s="5"/>
      <c r="BK156" s="1"/>
      <c r="BL156" s="5"/>
      <c r="BM156" s="1"/>
      <c r="BN156" s="5"/>
      <c r="BO156" s="1"/>
      <c r="BP156" s="5"/>
      <c r="BQ156" s="1"/>
      <c r="BR156" s="5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</row>
    <row r="157" ht="15.75" customHeight="1">
      <c r="A157" s="94"/>
      <c r="B157" s="97"/>
      <c r="C157" s="97"/>
      <c r="D157" s="97"/>
      <c r="E157" s="5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5"/>
      <c r="T157" s="5"/>
      <c r="U157" s="5"/>
      <c r="V157" s="5"/>
      <c r="W157" s="5"/>
      <c r="X157" s="5"/>
      <c r="Y157" s="5"/>
      <c r="Z157" s="5"/>
      <c r="AA157" s="1"/>
      <c r="AB157" s="5"/>
      <c r="AC157" s="1"/>
      <c r="AD157" s="5"/>
      <c r="AE157" s="1"/>
      <c r="AF157" s="5"/>
      <c r="AG157" s="1"/>
      <c r="AH157" s="5"/>
      <c r="AI157" s="1"/>
      <c r="AJ157" s="5"/>
      <c r="AK157" s="1"/>
      <c r="AL157" s="5"/>
      <c r="AM157" s="1"/>
      <c r="AN157" s="5"/>
      <c r="AO157" s="1"/>
      <c r="AP157" s="5"/>
      <c r="AQ157" s="1"/>
      <c r="AR157" s="5"/>
      <c r="AS157" s="1"/>
      <c r="AT157" s="5"/>
      <c r="AU157" s="1"/>
      <c r="AV157" s="5"/>
      <c r="AW157" s="1"/>
      <c r="AX157" s="5"/>
      <c r="AY157" s="1"/>
      <c r="AZ157" s="5"/>
      <c r="BA157" s="1"/>
      <c r="BB157" s="5"/>
      <c r="BC157" s="1"/>
      <c r="BD157" s="5"/>
      <c r="BE157" s="1"/>
      <c r="BF157" s="5"/>
      <c r="BG157" s="1"/>
      <c r="BH157" s="5"/>
      <c r="BI157" s="1"/>
      <c r="BJ157" s="5"/>
      <c r="BK157" s="1"/>
      <c r="BL157" s="5"/>
      <c r="BM157" s="1"/>
      <c r="BN157" s="5"/>
      <c r="BO157" s="1"/>
      <c r="BP157" s="5"/>
      <c r="BQ157" s="1"/>
      <c r="BR157" s="5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</row>
    <row r="158" ht="15.75" customHeight="1">
      <c r="A158" s="94"/>
      <c r="B158" s="97"/>
      <c r="C158" s="97"/>
      <c r="D158" s="97"/>
      <c r="E158" s="5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5"/>
      <c r="T158" s="5"/>
      <c r="U158" s="5"/>
      <c r="V158" s="5"/>
      <c r="W158" s="5"/>
      <c r="X158" s="5"/>
      <c r="Y158" s="5"/>
      <c r="Z158" s="5"/>
      <c r="AA158" s="1"/>
      <c r="AB158" s="5"/>
      <c r="AC158" s="1"/>
      <c r="AD158" s="5"/>
      <c r="AE158" s="1"/>
      <c r="AF158" s="5"/>
      <c r="AG158" s="1"/>
      <c r="AH158" s="5"/>
      <c r="AI158" s="1"/>
      <c r="AJ158" s="5"/>
      <c r="AK158" s="1"/>
      <c r="AL158" s="5"/>
      <c r="AM158" s="1"/>
      <c r="AN158" s="5"/>
      <c r="AO158" s="1"/>
      <c r="AP158" s="5"/>
      <c r="AQ158" s="1"/>
      <c r="AR158" s="5"/>
      <c r="AS158" s="1"/>
      <c r="AT158" s="5"/>
      <c r="AU158" s="1"/>
      <c r="AV158" s="5"/>
      <c r="AW158" s="1"/>
      <c r="AX158" s="5"/>
      <c r="AY158" s="1"/>
      <c r="AZ158" s="5"/>
      <c r="BA158" s="1"/>
      <c r="BB158" s="5"/>
      <c r="BC158" s="1"/>
      <c r="BD158" s="5"/>
      <c r="BE158" s="1"/>
      <c r="BF158" s="5"/>
      <c r="BG158" s="1"/>
      <c r="BH158" s="5"/>
      <c r="BI158" s="1"/>
      <c r="BJ158" s="5"/>
      <c r="BK158" s="1"/>
      <c r="BL158" s="5"/>
      <c r="BM158" s="1"/>
      <c r="BN158" s="5"/>
      <c r="BO158" s="1"/>
      <c r="BP158" s="5"/>
      <c r="BQ158" s="1"/>
      <c r="BR158" s="5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</row>
    <row r="159" ht="15.75" customHeight="1">
      <c r="A159" s="94"/>
      <c r="B159" s="97"/>
      <c r="C159" s="97"/>
      <c r="D159" s="97"/>
      <c r="E159" s="5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5"/>
      <c r="T159" s="5"/>
      <c r="U159" s="5"/>
      <c r="V159" s="5"/>
      <c r="W159" s="5"/>
      <c r="X159" s="5"/>
      <c r="Y159" s="5"/>
      <c r="Z159" s="5"/>
      <c r="AA159" s="1"/>
      <c r="AB159" s="5"/>
      <c r="AC159" s="1"/>
      <c r="AD159" s="5"/>
      <c r="AE159" s="1"/>
      <c r="AF159" s="5"/>
      <c r="AG159" s="1"/>
      <c r="AH159" s="5"/>
      <c r="AI159" s="1"/>
      <c r="AJ159" s="5"/>
      <c r="AK159" s="1"/>
      <c r="AL159" s="5"/>
      <c r="AM159" s="1"/>
      <c r="AN159" s="5"/>
      <c r="AO159" s="1"/>
      <c r="AP159" s="5"/>
      <c r="AQ159" s="1"/>
      <c r="AR159" s="5"/>
      <c r="AS159" s="1"/>
      <c r="AT159" s="5"/>
      <c r="AU159" s="1"/>
      <c r="AV159" s="5"/>
      <c r="AW159" s="1"/>
      <c r="AX159" s="5"/>
      <c r="AY159" s="1"/>
      <c r="AZ159" s="5"/>
      <c r="BA159" s="1"/>
      <c r="BB159" s="5"/>
      <c r="BC159" s="1"/>
      <c r="BD159" s="5"/>
      <c r="BE159" s="1"/>
      <c r="BF159" s="5"/>
      <c r="BG159" s="1"/>
      <c r="BH159" s="5"/>
      <c r="BI159" s="1"/>
      <c r="BJ159" s="5"/>
      <c r="BK159" s="1"/>
      <c r="BL159" s="5"/>
      <c r="BM159" s="1"/>
      <c r="BN159" s="5"/>
      <c r="BO159" s="1"/>
      <c r="BP159" s="5"/>
      <c r="BQ159" s="1"/>
      <c r="BR159" s="5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</row>
    <row r="160" ht="15.75" customHeight="1">
      <c r="A160" s="94"/>
      <c r="B160" s="97"/>
      <c r="C160" s="97"/>
      <c r="D160" s="97"/>
      <c r="E160" s="5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5"/>
      <c r="T160" s="5"/>
      <c r="U160" s="5"/>
      <c r="V160" s="5"/>
      <c r="W160" s="5"/>
      <c r="X160" s="5"/>
      <c r="Y160" s="5"/>
      <c r="Z160" s="5"/>
      <c r="AA160" s="1"/>
      <c r="AB160" s="5"/>
      <c r="AC160" s="1"/>
      <c r="AD160" s="5"/>
      <c r="AE160" s="1"/>
      <c r="AF160" s="5"/>
      <c r="AG160" s="1"/>
      <c r="AH160" s="5"/>
      <c r="AI160" s="1"/>
      <c r="AJ160" s="5"/>
      <c r="AK160" s="1"/>
      <c r="AL160" s="5"/>
      <c r="AM160" s="1"/>
      <c r="AN160" s="5"/>
      <c r="AO160" s="1"/>
      <c r="AP160" s="5"/>
      <c r="AQ160" s="1"/>
      <c r="AR160" s="5"/>
      <c r="AS160" s="1"/>
      <c r="AT160" s="5"/>
      <c r="AU160" s="1"/>
      <c r="AV160" s="5"/>
      <c r="AW160" s="1"/>
      <c r="AX160" s="5"/>
      <c r="AY160" s="1"/>
      <c r="AZ160" s="5"/>
      <c r="BA160" s="1"/>
      <c r="BB160" s="5"/>
      <c r="BC160" s="1"/>
      <c r="BD160" s="5"/>
      <c r="BE160" s="1"/>
      <c r="BF160" s="5"/>
      <c r="BG160" s="1"/>
      <c r="BH160" s="5"/>
      <c r="BI160" s="1"/>
      <c r="BJ160" s="5"/>
      <c r="BK160" s="1"/>
      <c r="BL160" s="5"/>
      <c r="BM160" s="1"/>
      <c r="BN160" s="5"/>
      <c r="BO160" s="1"/>
      <c r="BP160" s="5"/>
      <c r="BQ160" s="1"/>
      <c r="BR160" s="5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</row>
    <row r="161" ht="15.75" customHeight="1">
      <c r="A161" s="94"/>
      <c r="B161" s="97"/>
      <c r="C161" s="97"/>
      <c r="D161" s="97"/>
      <c r="E161" s="5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5"/>
      <c r="T161" s="5"/>
      <c r="U161" s="5"/>
      <c r="V161" s="5"/>
      <c r="W161" s="5"/>
      <c r="X161" s="5"/>
      <c r="Y161" s="5"/>
      <c r="Z161" s="5"/>
      <c r="AA161" s="1"/>
      <c r="AB161" s="5"/>
      <c r="AC161" s="1"/>
      <c r="AD161" s="5"/>
      <c r="AE161" s="1"/>
      <c r="AF161" s="5"/>
      <c r="AG161" s="1"/>
      <c r="AH161" s="5"/>
      <c r="AI161" s="1"/>
      <c r="AJ161" s="5"/>
      <c r="AK161" s="1"/>
      <c r="AL161" s="5"/>
      <c r="AM161" s="1"/>
      <c r="AN161" s="5"/>
      <c r="AO161" s="1"/>
      <c r="AP161" s="5"/>
      <c r="AQ161" s="1"/>
      <c r="AR161" s="5"/>
      <c r="AS161" s="1"/>
      <c r="AT161" s="5"/>
      <c r="AU161" s="1"/>
      <c r="AV161" s="5"/>
      <c r="AW161" s="1"/>
      <c r="AX161" s="5"/>
      <c r="AY161" s="1"/>
      <c r="AZ161" s="5"/>
      <c r="BA161" s="1"/>
      <c r="BB161" s="5"/>
      <c r="BC161" s="1"/>
      <c r="BD161" s="5"/>
      <c r="BE161" s="1"/>
      <c r="BF161" s="5"/>
      <c r="BG161" s="1"/>
      <c r="BH161" s="5"/>
      <c r="BI161" s="1"/>
      <c r="BJ161" s="5"/>
      <c r="BK161" s="1"/>
      <c r="BL161" s="5"/>
      <c r="BM161" s="1"/>
      <c r="BN161" s="5"/>
      <c r="BO161" s="1"/>
      <c r="BP161" s="5"/>
      <c r="BQ161" s="1"/>
      <c r="BR161" s="5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</row>
    <row r="162" ht="15.75" customHeight="1">
      <c r="A162" s="94"/>
      <c r="B162" s="97"/>
      <c r="C162" s="97"/>
      <c r="D162" s="97"/>
      <c r="E162" s="5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5"/>
      <c r="T162" s="5"/>
      <c r="U162" s="5"/>
      <c r="V162" s="5"/>
      <c r="W162" s="5"/>
      <c r="X162" s="5"/>
      <c r="Y162" s="5"/>
      <c r="Z162" s="5"/>
      <c r="AA162" s="1"/>
      <c r="AB162" s="5"/>
      <c r="AC162" s="1"/>
      <c r="AD162" s="5"/>
      <c r="AE162" s="1"/>
      <c r="AF162" s="5"/>
      <c r="AG162" s="1"/>
      <c r="AH162" s="5"/>
      <c r="AI162" s="1"/>
      <c r="AJ162" s="5"/>
      <c r="AK162" s="1"/>
      <c r="AL162" s="5"/>
      <c r="AM162" s="1"/>
      <c r="AN162" s="5"/>
      <c r="AO162" s="1"/>
      <c r="AP162" s="5"/>
      <c r="AQ162" s="1"/>
      <c r="AR162" s="5"/>
      <c r="AS162" s="1"/>
      <c r="AT162" s="5"/>
      <c r="AU162" s="1"/>
      <c r="AV162" s="5"/>
      <c r="AW162" s="1"/>
      <c r="AX162" s="5"/>
      <c r="AY162" s="1"/>
      <c r="AZ162" s="5"/>
      <c r="BA162" s="1"/>
      <c r="BB162" s="5"/>
      <c r="BC162" s="1"/>
      <c r="BD162" s="5"/>
      <c r="BE162" s="1"/>
      <c r="BF162" s="5"/>
      <c r="BG162" s="1"/>
      <c r="BH162" s="5"/>
      <c r="BI162" s="1"/>
      <c r="BJ162" s="5"/>
      <c r="BK162" s="1"/>
      <c r="BL162" s="5"/>
      <c r="BM162" s="1"/>
      <c r="BN162" s="5"/>
      <c r="BO162" s="1"/>
      <c r="BP162" s="5"/>
      <c r="BQ162" s="1"/>
      <c r="BR162" s="5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</row>
    <row r="163" ht="15.75" customHeight="1">
      <c r="A163" s="94"/>
      <c r="B163" s="97"/>
      <c r="C163" s="97"/>
      <c r="D163" s="97"/>
      <c r="E163" s="5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5"/>
      <c r="T163" s="5"/>
      <c r="U163" s="5"/>
      <c r="V163" s="5"/>
      <c r="W163" s="5"/>
      <c r="X163" s="5"/>
      <c r="Y163" s="5"/>
      <c r="Z163" s="5"/>
      <c r="AA163" s="1"/>
      <c r="AB163" s="5"/>
      <c r="AC163" s="1"/>
      <c r="AD163" s="5"/>
      <c r="AE163" s="1"/>
      <c r="AF163" s="5"/>
      <c r="AG163" s="1"/>
      <c r="AH163" s="5"/>
      <c r="AI163" s="1"/>
      <c r="AJ163" s="5"/>
      <c r="AK163" s="1"/>
      <c r="AL163" s="5"/>
      <c r="AM163" s="1"/>
      <c r="AN163" s="5"/>
      <c r="AO163" s="1"/>
      <c r="AP163" s="5"/>
      <c r="AQ163" s="1"/>
      <c r="AR163" s="5"/>
      <c r="AS163" s="1"/>
      <c r="AT163" s="5"/>
      <c r="AU163" s="1"/>
      <c r="AV163" s="5"/>
      <c r="AW163" s="1"/>
      <c r="AX163" s="5"/>
      <c r="AY163" s="1"/>
      <c r="AZ163" s="5"/>
      <c r="BA163" s="1"/>
      <c r="BB163" s="5"/>
      <c r="BC163" s="1"/>
      <c r="BD163" s="5"/>
      <c r="BE163" s="1"/>
      <c r="BF163" s="5"/>
      <c r="BG163" s="1"/>
      <c r="BH163" s="5"/>
      <c r="BI163" s="1"/>
      <c r="BJ163" s="5"/>
      <c r="BK163" s="1"/>
      <c r="BL163" s="5"/>
      <c r="BM163" s="1"/>
      <c r="BN163" s="5"/>
      <c r="BO163" s="1"/>
      <c r="BP163" s="5"/>
      <c r="BQ163" s="1"/>
      <c r="BR163" s="5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</row>
    <row r="164" ht="15.75" customHeight="1">
      <c r="A164" s="94"/>
      <c r="B164" s="97"/>
      <c r="C164" s="97"/>
      <c r="D164" s="97"/>
      <c r="E164" s="5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5"/>
      <c r="T164" s="5"/>
      <c r="U164" s="5"/>
      <c r="V164" s="5"/>
      <c r="W164" s="5"/>
      <c r="X164" s="5"/>
      <c r="Y164" s="5"/>
      <c r="Z164" s="5"/>
      <c r="AA164" s="1"/>
      <c r="AB164" s="5"/>
      <c r="AC164" s="1"/>
      <c r="AD164" s="5"/>
      <c r="AE164" s="1"/>
      <c r="AF164" s="5"/>
      <c r="AG164" s="1"/>
      <c r="AH164" s="5"/>
      <c r="AI164" s="1"/>
      <c r="AJ164" s="5"/>
      <c r="AK164" s="1"/>
      <c r="AL164" s="5"/>
      <c r="AM164" s="1"/>
      <c r="AN164" s="5"/>
      <c r="AO164" s="1"/>
      <c r="AP164" s="5"/>
      <c r="AQ164" s="1"/>
      <c r="AR164" s="5"/>
      <c r="AS164" s="1"/>
      <c r="AT164" s="5"/>
      <c r="AU164" s="1"/>
      <c r="AV164" s="5"/>
      <c r="AW164" s="1"/>
      <c r="AX164" s="5"/>
      <c r="AY164" s="1"/>
      <c r="AZ164" s="5"/>
      <c r="BA164" s="1"/>
      <c r="BB164" s="5"/>
      <c r="BC164" s="1"/>
      <c r="BD164" s="5"/>
      <c r="BE164" s="1"/>
      <c r="BF164" s="5"/>
      <c r="BG164" s="1"/>
      <c r="BH164" s="5"/>
      <c r="BI164" s="1"/>
      <c r="BJ164" s="5"/>
      <c r="BK164" s="1"/>
      <c r="BL164" s="5"/>
      <c r="BM164" s="1"/>
      <c r="BN164" s="5"/>
      <c r="BO164" s="1"/>
      <c r="BP164" s="5"/>
      <c r="BQ164" s="1"/>
      <c r="BR164" s="5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</row>
    <row r="165" ht="15.75" hidden="1" customHeight="1">
      <c r="A165" s="94"/>
      <c r="B165" s="97"/>
      <c r="C165" s="97"/>
      <c r="D165" s="97"/>
      <c r="E165" s="5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5"/>
      <c r="T165" s="5"/>
      <c r="U165" s="5"/>
      <c r="V165" s="5"/>
      <c r="W165" s="5"/>
      <c r="X165" s="5"/>
      <c r="Y165" s="5"/>
      <c r="Z165" s="5"/>
      <c r="AA165" s="1"/>
      <c r="AB165" s="5"/>
      <c r="AC165" s="1"/>
      <c r="AD165" s="5"/>
      <c r="AE165" s="1"/>
      <c r="AF165" s="5"/>
      <c r="AG165" s="1"/>
      <c r="AH165" s="5"/>
      <c r="AI165" s="1"/>
      <c r="AJ165" s="5"/>
      <c r="AK165" s="1"/>
      <c r="AL165" s="5"/>
      <c r="AM165" s="1"/>
      <c r="AN165" s="5"/>
      <c r="AO165" s="1"/>
      <c r="AP165" s="5"/>
      <c r="AQ165" s="1"/>
      <c r="AR165" s="5"/>
      <c r="AS165" s="1"/>
      <c r="AT165" s="5"/>
      <c r="AU165" s="1"/>
      <c r="AV165" s="5"/>
      <c r="AW165" s="1"/>
      <c r="AX165" s="5"/>
      <c r="AY165" s="1"/>
      <c r="AZ165" s="5"/>
      <c r="BA165" s="1"/>
      <c r="BB165" s="5"/>
      <c r="BC165" s="1"/>
      <c r="BD165" s="5"/>
      <c r="BE165" s="1"/>
      <c r="BF165" s="5"/>
      <c r="BG165" s="1"/>
      <c r="BH165" s="5"/>
      <c r="BI165" s="1"/>
      <c r="BJ165" s="5"/>
      <c r="BK165" s="1"/>
      <c r="BL165" s="5"/>
      <c r="BM165" s="1"/>
      <c r="BN165" s="5"/>
      <c r="BO165" s="1"/>
      <c r="BP165" s="5"/>
      <c r="BQ165" s="1"/>
      <c r="BR165" s="5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</row>
    <row r="166" ht="15.75" hidden="1" customHeight="1">
      <c r="A166" s="94"/>
      <c r="B166" s="97"/>
      <c r="C166" s="97"/>
      <c r="D166" s="97"/>
      <c r="E166" s="5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5"/>
      <c r="T166" s="5"/>
      <c r="U166" s="5"/>
      <c r="V166" s="5"/>
      <c r="W166" s="5"/>
      <c r="X166" s="5"/>
      <c r="Y166" s="5"/>
      <c r="Z166" s="5"/>
      <c r="AA166" s="1"/>
      <c r="AB166" s="5"/>
      <c r="AC166" s="1"/>
      <c r="AD166" s="5"/>
      <c r="AE166" s="1"/>
      <c r="AF166" s="5"/>
      <c r="AG166" s="1"/>
      <c r="AH166" s="5"/>
      <c r="AI166" s="1"/>
      <c r="AJ166" s="5"/>
      <c r="AK166" s="1"/>
      <c r="AL166" s="5"/>
      <c r="AM166" s="1"/>
      <c r="AN166" s="5"/>
      <c r="AO166" s="1"/>
      <c r="AP166" s="5"/>
      <c r="AQ166" s="1"/>
      <c r="AR166" s="5"/>
      <c r="AS166" s="1"/>
      <c r="AT166" s="5"/>
      <c r="AU166" s="1"/>
      <c r="AV166" s="5"/>
      <c r="AW166" s="1"/>
      <c r="AX166" s="5"/>
      <c r="AY166" s="1"/>
      <c r="AZ166" s="5"/>
      <c r="BA166" s="1"/>
      <c r="BB166" s="5"/>
      <c r="BC166" s="1"/>
      <c r="BD166" s="5"/>
      <c r="BE166" s="1"/>
      <c r="BF166" s="5"/>
      <c r="BG166" s="1"/>
      <c r="BH166" s="5"/>
      <c r="BI166" s="1"/>
      <c r="BJ166" s="5"/>
      <c r="BK166" s="1"/>
      <c r="BL166" s="5"/>
      <c r="BM166" s="1"/>
      <c r="BN166" s="5"/>
      <c r="BO166" s="1"/>
      <c r="BP166" s="5"/>
      <c r="BQ166" s="1"/>
      <c r="BR166" s="5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</row>
    <row r="167" ht="15.75" hidden="1" customHeight="1">
      <c r="A167" s="94"/>
      <c r="B167" s="97"/>
      <c r="C167" s="97"/>
      <c r="D167" s="97"/>
      <c r="E167" s="5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5"/>
      <c r="T167" s="5"/>
      <c r="U167" s="5"/>
      <c r="V167" s="5"/>
      <c r="W167" s="5"/>
      <c r="X167" s="5"/>
      <c r="Y167" s="5"/>
      <c r="Z167" s="5"/>
      <c r="AA167" s="1"/>
      <c r="AB167" s="5"/>
      <c r="AC167" s="1"/>
      <c r="AD167" s="5"/>
      <c r="AE167" s="1"/>
      <c r="AF167" s="5"/>
      <c r="AG167" s="1"/>
      <c r="AH167" s="5"/>
      <c r="AI167" s="1"/>
      <c r="AJ167" s="5"/>
      <c r="AK167" s="1"/>
      <c r="AL167" s="5"/>
      <c r="AM167" s="1"/>
      <c r="AN167" s="5"/>
      <c r="AO167" s="1"/>
      <c r="AP167" s="5"/>
      <c r="AQ167" s="1"/>
      <c r="AR167" s="5"/>
      <c r="AS167" s="1"/>
      <c r="AT167" s="5"/>
      <c r="AU167" s="1"/>
      <c r="AV167" s="5"/>
      <c r="AW167" s="1"/>
      <c r="AX167" s="5"/>
      <c r="AY167" s="1"/>
      <c r="AZ167" s="5"/>
      <c r="BA167" s="1"/>
      <c r="BB167" s="5"/>
      <c r="BC167" s="1"/>
      <c r="BD167" s="5"/>
      <c r="BE167" s="1"/>
      <c r="BF167" s="5"/>
      <c r="BG167" s="1"/>
      <c r="BH167" s="5"/>
      <c r="BI167" s="1"/>
      <c r="BJ167" s="5"/>
      <c r="BK167" s="1"/>
      <c r="BL167" s="5"/>
      <c r="BM167" s="1"/>
      <c r="BN167" s="5"/>
      <c r="BO167" s="1"/>
      <c r="BP167" s="5"/>
      <c r="BQ167" s="1"/>
      <c r="BR167" s="5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</row>
    <row r="168" ht="15.75" hidden="1" customHeight="1">
      <c r="A168" s="94"/>
      <c r="B168" s="97"/>
      <c r="C168" s="97"/>
      <c r="D168" s="97"/>
      <c r="E168" s="5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5"/>
      <c r="T168" s="5"/>
      <c r="U168" s="5"/>
      <c r="V168" s="5"/>
      <c r="W168" s="5"/>
      <c r="X168" s="5"/>
      <c r="Y168" s="5"/>
      <c r="Z168" s="5"/>
      <c r="AA168" s="1"/>
      <c r="AB168" s="5"/>
      <c r="AC168" s="1"/>
      <c r="AD168" s="5"/>
      <c r="AE168" s="1"/>
      <c r="AF168" s="5"/>
      <c r="AG168" s="1"/>
      <c r="AH168" s="5"/>
      <c r="AI168" s="1"/>
      <c r="AJ168" s="5"/>
      <c r="AK168" s="1"/>
      <c r="AL168" s="5"/>
      <c r="AM168" s="1"/>
      <c r="AN168" s="5"/>
      <c r="AO168" s="1"/>
      <c r="AP168" s="5"/>
      <c r="AQ168" s="1"/>
      <c r="AR168" s="5"/>
      <c r="AS168" s="1"/>
      <c r="AT168" s="5"/>
      <c r="AU168" s="1"/>
      <c r="AV168" s="5"/>
      <c r="AW168" s="1"/>
      <c r="AX168" s="5"/>
      <c r="AY168" s="1"/>
      <c r="AZ168" s="5"/>
      <c r="BA168" s="1"/>
      <c r="BB168" s="5"/>
      <c r="BC168" s="1"/>
      <c r="BD168" s="5"/>
      <c r="BE168" s="1"/>
      <c r="BF168" s="5"/>
      <c r="BG168" s="1"/>
      <c r="BH168" s="5"/>
      <c r="BI168" s="1"/>
      <c r="BJ168" s="5"/>
      <c r="BK168" s="1"/>
      <c r="BL168" s="5"/>
      <c r="BM168" s="1"/>
      <c r="BN168" s="5"/>
      <c r="BO168" s="1"/>
      <c r="BP168" s="5"/>
      <c r="BQ168" s="1"/>
      <c r="BR168" s="5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</row>
    <row r="169" ht="15.75" hidden="1" customHeight="1">
      <c r="A169" s="94"/>
      <c r="B169" s="97"/>
      <c r="C169" s="97"/>
      <c r="D169" s="97"/>
      <c r="E169" s="5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5"/>
      <c r="T169" s="5"/>
      <c r="U169" s="5"/>
      <c r="V169" s="5"/>
      <c r="W169" s="5"/>
      <c r="X169" s="5"/>
      <c r="Y169" s="5"/>
      <c r="Z169" s="5"/>
      <c r="AA169" s="1"/>
      <c r="AB169" s="5"/>
      <c r="AC169" s="1"/>
      <c r="AD169" s="5"/>
      <c r="AE169" s="1"/>
      <c r="AF169" s="5"/>
      <c r="AG169" s="1"/>
      <c r="AH169" s="5"/>
      <c r="AI169" s="1"/>
      <c r="AJ169" s="5"/>
      <c r="AK169" s="1"/>
      <c r="AL169" s="5"/>
      <c r="AM169" s="1"/>
      <c r="AN169" s="5"/>
      <c r="AO169" s="1"/>
      <c r="AP169" s="5"/>
      <c r="AQ169" s="1"/>
      <c r="AR169" s="5"/>
      <c r="AS169" s="1"/>
      <c r="AT169" s="5"/>
      <c r="AU169" s="1"/>
      <c r="AV169" s="5"/>
      <c r="AW169" s="1"/>
      <c r="AX169" s="5"/>
      <c r="AY169" s="1"/>
      <c r="AZ169" s="5"/>
      <c r="BA169" s="1"/>
      <c r="BB169" s="5"/>
      <c r="BC169" s="1"/>
      <c r="BD169" s="5"/>
      <c r="BE169" s="1"/>
      <c r="BF169" s="5"/>
      <c r="BG169" s="1"/>
      <c r="BH169" s="5"/>
      <c r="BI169" s="1"/>
      <c r="BJ169" s="5"/>
      <c r="BK169" s="1"/>
      <c r="BL169" s="5"/>
      <c r="BM169" s="1"/>
      <c r="BN169" s="5"/>
      <c r="BO169" s="1"/>
      <c r="BP169" s="5"/>
      <c r="BQ169" s="1"/>
      <c r="BR169" s="5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</row>
    <row r="170" ht="15.75" hidden="1" customHeight="1">
      <c r="A170" s="94"/>
      <c r="B170" s="97"/>
      <c r="C170" s="97"/>
      <c r="D170" s="97"/>
      <c r="E170" s="5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5"/>
      <c r="T170" s="5"/>
      <c r="U170" s="5"/>
      <c r="V170" s="5"/>
      <c r="W170" s="5"/>
      <c r="X170" s="5"/>
      <c r="Y170" s="5"/>
      <c r="Z170" s="5"/>
      <c r="AA170" s="1"/>
      <c r="AB170" s="5"/>
      <c r="AC170" s="1"/>
      <c r="AD170" s="5"/>
      <c r="AE170" s="1"/>
      <c r="AF170" s="5"/>
      <c r="AG170" s="1"/>
      <c r="AH170" s="5"/>
      <c r="AI170" s="1"/>
      <c r="AJ170" s="5"/>
      <c r="AK170" s="1"/>
      <c r="AL170" s="5"/>
      <c r="AM170" s="1"/>
      <c r="AN170" s="5"/>
      <c r="AO170" s="1"/>
      <c r="AP170" s="5"/>
      <c r="AQ170" s="1"/>
      <c r="AR170" s="5"/>
      <c r="AS170" s="1"/>
      <c r="AT170" s="5"/>
      <c r="AU170" s="1"/>
      <c r="AV170" s="5"/>
      <c r="AW170" s="1"/>
      <c r="AX170" s="5"/>
      <c r="AY170" s="1"/>
      <c r="AZ170" s="5"/>
      <c r="BA170" s="1"/>
      <c r="BB170" s="5"/>
      <c r="BC170" s="1"/>
      <c r="BD170" s="5"/>
      <c r="BE170" s="1"/>
      <c r="BF170" s="5"/>
      <c r="BG170" s="1"/>
      <c r="BH170" s="5"/>
      <c r="BI170" s="1"/>
      <c r="BJ170" s="5"/>
      <c r="BK170" s="1"/>
      <c r="BL170" s="5"/>
      <c r="BM170" s="1"/>
      <c r="BN170" s="5"/>
      <c r="BO170" s="1"/>
      <c r="BP170" s="5"/>
      <c r="BQ170" s="1"/>
      <c r="BR170" s="5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</row>
    <row r="171" ht="15.75" hidden="1" customHeight="1">
      <c r="A171" s="94"/>
      <c r="B171" s="97"/>
      <c r="C171" s="97"/>
      <c r="D171" s="97"/>
      <c r="E171" s="5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5"/>
      <c r="T171" s="5"/>
      <c r="U171" s="5"/>
      <c r="V171" s="5"/>
      <c r="W171" s="5"/>
      <c r="X171" s="5"/>
      <c r="Y171" s="5"/>
      <c r="Z171" s="5"/>
      <c r="AA171" s="1"/>
      <c r="AB171" s="5"/>
      <c r="AC171" s="1"/>
      <c r="AD171" s="5"/>
      <c r="AE171" s="1"/>
      <c r="AF171" s="5"/>
      <c r="AG171" s="1"/>
      <c r="AH171" s="5"/>
      <c r="AI171" s="1"/>
      <c r="AJ171" s="5"/>
      <c r="AK171" s="1"/>
      <c r="AL171" s="5"/>
      <c r="AM171" s="1"/>
      <c r="AN171" s="5"/>
      <c r="AO171" s="1"/>
      <c r="AP171" s="5"/>
      <c r="AQ171" s="1"/>
      <c r="AR171" s="5"/>
      <c r="AS171" s="1"/>
      <c r="AT171" s="5"/>
      <c r="AU171" s="1"/>
      <c r="AV171" s="5"/>
      <c r="AW171" s="1"/>
      <c r="AX171" s="5"/>
      <c r="AY171" s="1"/>
      <c r="AZ171" s="5"/>
      <c r="BA171" s="1"/>
      <c r="BB171" s="5"/>
      <c r="BC171" s="1"/>
      <c r="BD171" s="5"/>
      <c r="BE171" s="1"/>
      <c r="BF171" s="5"/>
      <c r="BG171" s="1"/>
      <c r="BH171" s="5"/>
      <c r="BI171" s="1"/>
      <c r="BJ171" s="5"/>
      <c r="BK171" s="1"/>
      <c r="BL171" s="5"/>
      <c r="BM171" s="1"/>
      <c r="BN171" s="5"/>
      <c r="BO171" s="1"/>
      <c r="BP171" s="5"/>
      <c r="BQ171" s="1"/>
      <c r="BR171" s="5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</row>
    <row r="172" ht="15.75" hidden="1" customHeight="1">
      <c r="A172" s="94"/>
      <c r="B172" s="97"/>
      <c r="C172" s="97"/>
      <c r="D172" s="97"/>
      <c r="E172" s="5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5"/>
      <c r="T172" s="5"/>
      <c r="U172" s="5"/>
      <c r="V172" s="5"/>
      <c r="W172" s="5"/>
      <c r="X172" s="5"/>
      <c r="Y172" s="5"/>
      <c r="Z172" s="5"/>
      <c r="AA172" s="1"/>
      <c r="AB172" s="5"/>
      <c r="AC172" s="1"/>
      <c r="AD172" s="5"/>
      <c r="AE172" s="1"/>
      <c r="AF172" s="5"/>
      <c r="AG172" s="1"/>
      <c r="AH172" s="5"/>
      <c r="AI172" s="1"/>
      <c r="AJ172" s="5"/>
      <c r="AK172" s="1"/>
      <c r="AL172" s="5"/>
      <c r="AM172" s="1"/>
      <c r="AN172" s="5"/>
      <c r="AO172" s="1"/>
      <c r="AP172" s="5"/>
      <c r="AQ172" s="1"/>
      <c r="AR172" s="5"/>
      <c r="AS172" s="1"/>
      <c r="AT172" s="5"/>
      <c r="AU172" s="1"/>
      <c r="AV172" s="5"/>
      <c r="AW172" s="1"/>
      <c r="AX172" s="5"/>
      <c r="AY172" s="1"/>
      <c r="AZ172" s="5"/>
      <c r="BA172" s="1"/>
      <c r="BB172" s="5"/>
      <c r="BC172" s="1"/>
      <c r="BD172" s="5"/>
      <c r="BE172" s="1"/>
      <c r="BF172" s="5"/>
      <c r="BG172" s="1"/>
      <c r="BH172" s="5"/>
      <c r="BI172" s="1"/>
      <c r="BJ172" s="5"/>
      <c r="BK172" s="1"/>
      <c r="BL172" s="5"/>
      <c r="BM172" s="1"/>
      <c r="BN172" s="5"/>
      <c r="BO172" s="1"/>
      <c r="BP172" s="5"/>
      <c r="BQ172" s="1"/>
      <c r="BR172" s="5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</row>
    <row r="173" ht="15.75" customHeight="1">
      <c r="A173" s="94"/>
      <c r="B173" s="97"/>
      <c r="C173" s="97"/>
      <c r="D173" s="97"/>
      <c r="E173" s="5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5"/>
      <c r="T173" s="5"/>
      <c r="U173" s="5"/>
      <c r="V173" s="5"/>
      <c r="W173" s="5"/>
      <c r="X173" s="5"/>
      <c r="Y173" s="5"/>
      <c r="Z173" s="5"/>
      <c r="AA173" s="1"/>
      <c r="AB173" s="5"/>
      <c r="AC173" s="1"/>
      <c r="AD173" s="5"/>
      <c r="AE173" s="1"/>
      <c r="AF173" s="5"/>
      <c r="AG173" s="1"/>
      <c r="AH173" s="5"/>
      <c r="AI173" s="1"/>
      <c r="AJ173" s="5"/>
      <c r="AK173" s="1"/>
      <c r="AL173" s="5"/>
      <c r="AM173" s="1"/>
      <c r="AN173" s="5"/>
      <c r="AO173" s="1"/>
      <c r="AP173" s="5"/>
      <c r="AQ173" s="1"/>
      <c r="AR173" s="5"/>
      <c r="AS173" s="1"/>
      <c r="AT173" s="5"/>
      <c r="AU173" s="1"/>
      <c r="AV173" s="5"/>
      <c r="AW173" s="1"/>
      <c r="AX173" s="5"/>
      <c r="AY173" s="1"/>
      <c r="AZ173" s="5"/>
      <c r="BA173" s="1"/>
      <c r="BB173" s="5"/>
      <c r="BC173" s="1"/>
      <c r="BD173" s="5"/>
      <c r="BE173" s="1"/>
      <c r="BF173" s="5"/>
      <c r="BG173" s="1"/>
      <c r="BH173" s="5"/>
      <c r="BI173" s="1"/>
      <c r="BJ173" s="5"/>
      <c r="BK173" s="1"/>
      <c r="BL173" s="5"/>
      <c r="BM173" s="1"/>
      <c r="BN173" s="5"/>
      <c r="BO173" s="1"/>
      <c r="BP173" s="5"/>
      <c r="BQ173" s="1"/>
      <c r="BR173" s="5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</row>
    <row r="174" ht="15.75" customHeight="1">
      <c r="A174" s="94"/>
      <c r="B174" s="97"/>
      <c r="C174" s="97"/>
      <c r="D174" s="97"/>
      <c r="E174" s="5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5"/>
      <c r="T174" s="5"/>
      <c r="U174" s="5"/>
      <c r="V174" s="5"/>
      <c r="W174" s="5"/>
      <c r="X174" s="5"/>
      <c r="Y174" s="5"/>
      <c r="Z174" s="5"/>
      <c r="AA174" s="1"/>
      <c r="AB174" s="5"/>
      <c r="AC174" s="1"/>
      <c r="AD174" s="5"/>
      <c r="AE174" s="1"/>
      <c r="AF174" s="5"/>
      <c r="AG174" s="1"/>
      <c r="AH174" s="5"/>
      <c r="AI174" s="1"/>
      <c r="AJ174" s="5"/>
      <c r="AK174" s="1"/>
      <c r="AL174" s="5"/>
      <c r="AM174" s="1"/>
      <c r="AN174" s="5"/>
      <c r="AO174" s="1"/>
      <c r="AP174" s="5"/>
      <c r="AQ174" s="1"/>
      <c r="AR174" s="5"/>
      <c r="AS174" s="1"/>
      <c r="AT174" s="5"/>
      <c r="AU174" s="1"/>
      <c r="AV174" s="5"/>
      <c r="AW174" s="1"/>
      <c r="AX174" s="5"/>
      <c r="AY174" s="1"/>
      <c r="AZ174" s="5"/>
      <c r="BA174" s="1"/>
      <c r="BB174" s="5"/>
      <c r="BC174" s="1"/>
      <c r="BD174" s="5"/>
      <c r="BE174" s="1"/>
      <c r="BF174" s="5"/>
      <c r="BG174" s="1"/>
      <c r="BH174" s="5"/>
      <c r="BI174" s="1"/>
      <c r="BJ174" s="5"/>
      <c r="BK174" s="1"/>
      <c r="BL174" s="5"/>
      <c r="BM174" s="1"/>
      <c r="BN174" s="5"/>
      <c r="BO174" s="1"/>
      <c r="BP174" s="5"/>
      <c r="BQ174" s="1"/>
      <c r="BR174" s="5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</row>
    <row r="175" ht="15.75" customHeight="1">
      <c r="A175" s="94"/>
      <c r="B175" s="97"/>
      <c r="C175" s="97"/>
      <c r="D175" s="97"/>
      <c r="E175" s="5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5"/>
      <c r="T175" s="5"/>
      <c r="U175" s="5"/>
      <c r="V175" s="5"/>
      <c r="W175" s="5"/>
      <c r="X175" s="5"/>
      <c r="Y175" s="5"/>
      <c r="Z175" s="5"/>
      <c r="AA175" s="1"/>
      <c r="AB175" s="5"/>
      <c r="AC175" s="1"/>
      <c r="AD175" s="5"/>
      <c r="AE175" s="1"/>
      <c r="AF175" s="5"/>
      <c r="AG175" s="1"/>
      <c r="AH175" s="5"/>
      <c r="AI175" s="1"/>
      <c r="AJ175" s="5"/>
      <c r="AK175" s="1"/>
      <c r="AL175" s="5"/>
      <c r="AM175" s="1"/>
      <c r="AN175" s="5"/>
      <c r="AO175" s="1"/>
      <c r="AP175" s="5"/>
      <c r="AQ175" s="1"/>
      <c r="AR175" s="5"/>
      <c r="AS175" s="1"/>
      <c r="AT175" s="5"/>
      <c r="AU175" s="1"/>
      <c r="AV175" s="5"/>
      <c r="AW175" s="1"/>
      <c r="AX175" s="5"/>
      <c r="AY175" s="1"/>
      <c r="AZ175" s="5"/>
      <c r="BA175" s="1"/>
      <c r="BB175" s="5"/>
      <c r="BC175" s="1"/>
      <c r="BD175" s="5"/>
      <c r="BE175" s="1"/>
      <c r="BF175" s="5"/>
      <c r="BG175" s="1"/>
      <c r="BH175" s="5"/>
      <c r="BI175" s="1"/>
      <c r="BJ175" s="5"/>
      <c r="BK175" s="1"/>
      <c r="BL175" s="5"/>
      <c r="BM175" s="1"/>
      <c r="BN175" s="5"/>
      <c r="BO175" s="1"/>
      <c r="BP175" s="5"/>
      <c r="BQ175" s="1"/>
      <c r="BR175" s="5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</row>
    <row r="176" ht="15.75" customHeight="1">
      <c r="A176" s="94"/>
      <c r="B176" s="97"/>
      <c r="C176" s="97"/>
      <c r="D176" s="97"/>
      <c r="E176" s="5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5"/>
      <c r="T176" s="5"/>
      <c r="U176" s="5"/>
      <c r="V176" s="5"/>
      <c r="W176" s="5"/>
      <c r="X176" s="5"/>
      <c r="Y176" s="5"/>
      <c r="Z176" s="5"/>
      <c r="AA176" s="1"/>
      <c r="AB176" s="5"/>
      <c r="AC176" s="1"/>
      <c r="AD176" s="5"/>
      <c r="AE176" s="1"/>
      <c r="AF176" s="5"/>
      <c r="AG176" s="1"/>
      <c r="AH176" s="5"/>
      <c r="AI176" s="1"/>
      <c r="AJ176" s="5"/>
      <c r="AK176" s="1"/>
      <c r="AL176" s="5"/>
      <c r="AM176" s="1"/>
      <c r="AN176" s="5"/>
      <c r="AO176" s="1"/>
      <c r="AP176" s="5"/>
      <c r="AQ176" s="1"/>
      <c r="AR176" s="5"/>
      <c r="AS176" s="1"/>
      <c r="AT176" s="5"/>
      <c r="AU176" s="1"/>
      <c r="AV176" s="5"/>
      <c r="AW176" s="1"/>
      <c r="AX176" s="5"/>
      <c r="AY176" s="1"/>
      <c r="AZ176" s="5"/>
      <c r="BA176" s="1"/>
      <c r="BB176" s="5"/>
      <c r="BC176" s="1"/>
      <c r="BD176" s="5"/>
      <c r="BE176" s="1"/>
      <c r="BF176" s="5"/>
      <c r="BG176" s="1"/>
      <c r="BH176" s="5"/>
      <c r="BI176" s="1"/>
      <c r="BJ176" s="5"/>
      <c r="BK176" s="1"/>
      <c r="BL176" s="5"/>
      <c r="BM176" s="1"/>
      <c r="BN176" s="5"/>
      <c r="BO176" s="1"/>
      <c r="BP176" s="5"/>
      <c r="BQ176" s="1"/>
      <c r="BR176" s="5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</row>
    <row r="177" ht="15.75" customHeight="1">
      <c r="A177" s="94"/>
      <c r="B177" s="97"/>
      <c r="C177" s="97"/>
      <c r="D177" s="97"/>
      <c r="E177" s="5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5"/>
      <c r="T177" s="5"/>
      <c r="U177" s="5"/>
      <c r="V177" s="5"/>
      <c r="W177" s="5"/>
      <c r="X177" s="5"/>
      <c r="Y177" s="5"/>
      <c r="Z177" s="5"/>
      <c r="AA177" s="1"/>
      <c r="AB177" s="5"/>
      <c r="AC177" s="1"/>
      <c r="AD177" s="5"/>
      <c r="AE177" s="1"/>
      <c r="AF177" s="5"/>
      <c r="AG177" s="1"/>
      <c r="AH177" s="5"/>
      <c r="AI177" s="1"/>
      <c r="AJ177" s="5"/>
      <c r="AK177" s="1"/>
      <c r="AL177" s="5"/>
      <c r="AM177" s="1"/>
      <c r="AN177" s="5"/>
      <c r="AO177" s="1"/>
      <c r="AP177" s="5"/>
      <c r="AQ177" s="1"/>
      <c r="AR177" s="5"/>
      <c r="AS177" s="1"/>
      <c r="AT177" s="5"/>
      <c r="AU177" s="1"/>
      <c r="AV177" s="5"/>
      <c r="AW177" s="1"/>
      <c r="AX177" s="5"/>
      <c r="AY177" s="1"/>
      <c r="AZ177" s="5"/>
      <c r="BA177" s="1"/>
      <c r="BB177" s="5"/>
      <c r="BC177" s="1"/>
      <c r="BD177" s="5"/>
      <c r="BE177" s="1"/>
      <c r="BF177" s="5"/>
      <c r="BG177" s="1"/>
      <c r="BH177" s="5"/>
      <c r="BI177" s="1"/>
      <c r="BJ177" s="5"/>
      <c r="BK177" s="1"/>
      <c r="BL177" s="5"/>
      <c r="BM177" s="1"/>
      <c r="BN177" s="5"/>
      <c r="BO177" s="1"/>
      <c r="BP177" s="5"/>
      <c r="BQ177" s="1"/>
      <c r="BR177" s="5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</row>
    <row r="178" ht="15.75" customHeight="1">
      <c r="A178" s="94"/>
      <c r="B178" s="97"/>
      <c r="C178" s="97"/>
      <c r="D178" s="97"/>
      <c r="E178" s="5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5"/>
      <c r="T178" s="5"/>
      <c r="U178" s="5"/>
      <c r="V178" s="5"/>
      <c r="W178" s="5"/>
      <c r="X178" s="5"/>
      <c r="Y178" s="5"/>
      <c r="Z178" s="5"/>
      <c r="AA178" s="1"/>
      <c r="AB178" s="5"/>
      <c r="AC178" s="1"/>
      <c r="AD178" s="5"/>
      <c r="AE178" s="1"/>
      <c r="AF178" s="5"/>
      <c r="AG178" s="1"/>
      <c r="AH178" s="5"/>
      <c r="AI178" s="1"/>
      <c r="AJ178" s="5"/>
      <c r="AK178" s="1"/>
      <c r="AL178" s="5"/>
      <c r="AM178" s="1"/>
      <c r="AN178" s="5"/>
      <c r="AO178" s="1"/>
      <c r="AP178" s="5"/>
      <c r="AQ178" s="1"/>
      <c r="AR178" s="5"/>
      <c r="AS178" s="1"/>
      <c r="AT178" s="5"/>
      <c r="AU178" s="1"/>
      <c r="AV178" s="5"/>
      <c r="AW178" s="1"/>
      <c r="AX178" s="5"/>
      <c r="AY178" s="1"/>
      <c r="AZ178" s="5"/>
      <c r="BA178" s="1"/>
      <c r="BB178" s="5"/>
      <c r="BC178" s="1"/>
      <c r="BD178" s="5"/>
      <c r="BE178" s="1"/>
      <c r="BF178" s="5"/>
      <c r="BG178" s="1"/>
      <c r="BH178" s="5"/>
      <c r="BI178" s="1"/>
      <c r="BJ178" s="5"/>
      <c r="BK178" s="1"/>
      <c r="BL178" s="5"/>
      <c r="BM178" s="1"/>
      <c r="BN178" s="5"/>
      <c r="BO178" s="1"/>
      <c r="BP178" s="5"/>
      <c r="BQ178" s="1"/>
      <c r="BR178" s="5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</row>
    <row r="179" ht="15.75" customHeight="1">
      <c r="A179" s="94"/>
      <c r="B179" s="97"/>
      <c r="C179" s="97"/>
      <c r="D179" s="97"/>
      <c r="E179" s="5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5"/>
      <c r="T179" s="5"/>
      <c r="U179" s="5"/>
      <c r="V179" s="5"/>
      <c r="W179" s="5"/>
      <c r="X179" s="5"/>
      <c r="Y179" s="5"/>
      <c r="Z179" s="5"/>
      <c r="AA179" s="1"/>
      <c r="AB179" s="5"/>
      <c r="AC179" s="1"/>
      <c r="AD179" s="5"/>
      <c r="AE179" s="1"/>
      <c r="AF179" s="5"/>
      <c r="AG179" s="1"/>
      <c r="AH179" s="5"/>
      <c r="AI179" s="1"/>
      <c r="AJ179" s="5"/>
      <c r="AK179" s="1"/>
      <c r="AL179" s="5"/>
      <c r="AM179" s="1"/>
      <c r="AN179" s="5"/>
      <c r="AO179" s="1"/>
      <c r="AP179" s="5"/>
      <c r="AQ179" s="1"/>
      <c r="AR179" s="5"/>
      <c r="AS179" s="1"/>
      <c r="AT179" s="5"/>
      <c r="AU179" s="1"/>
      <c r="AV179" s="5"/>
      <c r="AW179" s="1"/>
      <c r="AX179" s="5"/>
      <c r="AY179" s="1"/>
      <c r="AZ179" s="5"/>
      <c r="BA179" s="1"/>
      <c r="BB179" s="5"/>
      <c r="BC179" s="1"/>
      <c r="BD179" s="5"/>
      <c r="BE179" s="1"/>
      <c r="BF179" s="5"/>
      <c r="BG179" s="1"/>
      <c r="BH179" s="5"/>
      <c r="BI179" s="1"/>
      <c r="BJ179" s="5"/>
      <c r="BK179" s="1"/>
      <c r="BL179" s="5"/>
      <c r="BM179" s="1"/>
      <c r="BN179" s="5"/>
      <c r="BO179" s="1"/>
      <c r="BP179" s="5"/>
      <c r="BQ179" s="1"/>
      <c r="BR179" s="5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</row>
    <row r="180" ht="15.75" customHeight="1">
      <c r="A180" s="94"/>
      <c r="B180" s="97"/>
      <c r="C180" s="97"/>
      <c r="D180" s="97"/>
      <c r="E180" s="5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5"/>
      <c r="T180" s="5"/>
      <c r="U180" s="5"/>
      <c r="V180" s="5"/>
      <c r="W180" s="5"/>
      <c r="X180" s="5"/>
      <c r="Y180" s="5"/>
      <c r="Z180" s="5"/>
      <c r="AA180" s="1"/>
      <c r="AB180" s="5"/>
      <c r="AC180" s="1"/>
      <c r="AD180" s="5"/>
      <c r="AE180" s="1"/>
      <c r="AF180" s="5"/>
      <c r="AG180" s="1"/>
      <c r="AH180" s="5"/>
      <c r="AI180" s="1"/>
      <c r="AJ180" s="5"/>
      <c r="AK180" s="1"/>
      <c r="AL180" s="5"/>
      <c r="AM180" s="1"/>
      <c r="AN180" s="5"/>
      <c r="AO180" s="1"/>
      <c r="AP180" s="5"/>
      <c r="AQ180" s="1"/>
      <c r="AR180" s="5"/>
      <c r="AS180" s="1"/>
      <c r="AT180" s="5"/>
      <c r="AU180" s="1"/>
      <c r="AV180" s="5"/>
      <c r="AW180" s="1"/>
      <c r="AX180" s="5"/>
      <c r="AY180" s="1"/>
      <c r="AZ180" s="5"/>
      <c r="BA180" s="1"/>
      <c r="BB180" s="5"/>
      <c r="BC180" s="1"/>
      <c r="BD180" s="5"/>
      <c r="BE180" s="1"/>
      <c r="BF180" s="5"/>
      <c r="BG180" s="1"/>
      <c r="BH180" s="5"/>
      <c r="BI180" s="1"/>
      <c r="BJ180" s="5"/>
      <c r="BK180" s="1"/>
      <c r="BL180" s="5"/>
      <c r="BM180" s="1"/>
      <c r="BN180" s="5"/>
      <c r="BO180" s="1"/>
      <c r="BP180" s="5"/>
      <c r="BQ180" s="1"/>
      <c r="BR180" s="5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</row>
    <row r="181" ht="15.75" customHeight="1">
      <c r="A181" s="94"/>
      <c r="B181" s="97"/>
      <c r="C181" s="97"/>
      <c r="D181" s="97"/>
      <c r="E181" s="5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5"/>
      <c r="T181" s="5"/>
      <c r="U181" s="5"/>
      <c r="V181" s="5"/>
      <c r="W181" s="5"/>
      <c r="X181" s="5"/>
      <c r="Y181" s="5"/>
      <c r="Z181" s="5"/>
      <c r="AA181" s="1"/>
      <c r="AB181" s="5"/>
      <c r="AC181" s="1"/>
      <c r="AD181" s="5"/>
      <c r="AE181" s="1"/>
      <c r="AF181" s="5"/>
      <c r="AG181" s="1"/>
      <c r="AH181" s="5"/>
      <c r="AI181" s="1"/>
      <c r="AJ181" s="5"/>
      <c r="AK181" s="1"/>
      <c r="AL181" s="5"/>
      <c r="AM181" s="1"/>
      <c r="AN181" s="5"/>
      <c r="AO181" s="1"/>
      <c r="AP181" s="5"/>
      <c r="AQ181" s="1"/>
      <c r="AR181" s="5"/>
      <c r="AS181" s="1"/>
      <c r="AT181" s="5"/>
      <c r="AU181" s="1"/>
      <c r="AV181" s="5"/>
      <c r="AW181" s="1"/>
      <c r="AX181" s="5"/>
      <c r="AY181" s="1"/>
      <c r="AZ181" s="5"/>
      <c r="BA181" s="1"/>
      <c r="BB181" s="5"/>
      <c r="BC181" s="1"/>
      <c r="BD181" s="5"/>
      <c r="BE181" s="1"/>
      <c r="BF181" s="5"/>
      <c r="BG181" s="1"/>
      <c r="BH181" s="5"/>
      <c r="BI181" s="1"/>
      <c r="BJ181" s="5"/>
      <c r="BK181" s="1"/>
      <c r="BL181" s="5"/>
      <c r="BM181" s="1"/>
      <c r="BN181" s="5"/>
      <c r="BO181" s="1"/>
      <c r="BP181" s="5"/>
      <c r="BQ181" s="1"/>
      <c r="BR181" s="5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</row>
    <row r="182" ht="15.75" customHeight="1">
      <c r="A182" s="94"/>
      <c r="B182" s="97"/>
      <c r="C182" s="97"/>
      <c r="D182" s="97"/>
      <c r="E182" s="5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5"/>
      <c r="T182" s="5"/>
      <c r="U182" s="5"/>
      <c r="V182" s="5"/>
      <c r="W182" s="5"/>
      <c r="X182" s="5"/>
      <c r="Y182" s="5"/>
      <c r="Z182" s="5"/>
      <c r="AA182" s="1"/>
      <c r="AB182" s="5"/>
      <c r="AC182" s="1"/>
      <c r="AD182" s="5"/>
      <c r="AE182" s="1"/>
      <c r="AF182" s="5"/>
      <c r="AG182" s="1"/>
      <c r="AH182" s="5"/>
      <c r="AI182" s="1"/>
      <c r="AJ182" s="5"/>
      <c r="AK182" s="1"/>
      <c r="AL182" s="5"/>
      <c r="AM182" s="1"/>
      <c r="AN182" s="5"/>
      <c r="AO182" s="1"/>
      <c r="AP182" s="5"/>
      <c r="AQ182" s="1"/>
      <c r="AR182" s="5"/>
      <c r="AS182" s="1"/>
      <c r="AT182" s="5"/>
      <c r="AU182" s="1"/>
      <c r="AV182" s="5"/>
      <c r="AW182" s="1"/>
      <c r="AX182" s="5"/>
      <c r="AY182" s="1"/>
      <c r="AZ182" s="5"/>
      <c r="BA182" s="1"/>
      <c r="BB182" s="5"/>
      <c r="BC182" s="1"/>
      <c r="BD182" s="5"/>
      <c r="BE182" s="1"/>
      <c r="BF182" s="5"/>
      <c r="BG182" s="1"/>
      <c r="BH182" s="5"/>
      <c r="BI182" s="1"/>
      <c r="BJ182" s="5"/>
      <c r="BK182" s="1"/>
      <c r="BL182" s="5"/>
      <c r="BM182" s="1"/>
      <c r="BN182" s="5"/>
      <c r="BO182" s="1"/>
      <c r="BP182" s="5"/>
      <c r="BQ182" s="1"/>
      <c r="BR182" s="5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</row>
    <row r="183" ht="15.75" customHeight="1">
      <c r="A183" s="94"/>
      <c r="B183" s="97"/>
      <c r="C183" s="97"/>
      <c r="D183" s="97"/>
      <c r="E183" s="5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5"/>
      <c r="T183" s="5"/>
      <c r="U183" s="5"/>
      <c r="V183" s="5"/>
      <c r="W183" s="5"/>
      <c r="X183" s="5"/>
      <c r="Y183" s="5"/>
      <c r="Z183" s="5"/>
      <c r="AA183" s="1"/>
      <c r="AB183" s="5"/>
      <c r="AC183" s="1"/>
      <c r="AD183" s="5"/>
      <c r="AE183" s="1"/>
      <c r="AF183" s="5"/>
      <c r="AG183" s="1"/>
      <c r="AH183" s="5"/>
      <c r="AI183" s="1"/>
      <c r="AJ183" s="5"/>
      <c r="AK183" s="1"/>
      <c r="AL183" s="5"/>
      <c r="AM183" s="1"/>
      <c r="AN183" s="5"/>
      <c r="AO183" s="1"/>
      <c r="AP183" s="5"/>
      <c r="AQ183" s="1"/>
      <c r="AR183" s="5"/>
      <c r="AS183" s="1"/>
      <c r="AT183" s="5"/>
      <c r="AU183" s="1"/>
      <c r="AV183" s="5"/>
      <c r="AW183" s="1"/>
      <c r="AX183" s="5"/>
      <c r="AY183" s="1"/>
      <c r="AZ183" s="5"/>
      <c r="BA183" s="1"/>
      <c r="BB183" s="5"/>
      <c r="BC183" s="1"/>
      <c r="BD183" s="5"/>
      <c r="BE183" s="1"/>
      <c r="BF183" s="5"/>
      <c r="BG183" s="1"/>
      <c r="BH183" s="5"/>
      <c r="BI183" s="1"/>
      <c r="BJ183" s="5"/>
      <c r="BK183" s="1"/>
      <c r="BL183" s="5"/>
      <c r="BM183" s="1"/>
      <c r="BN183" s="5"/>
      <c r="BO183" s="1"/>
      <c r="BP183" s="5"/>
      <c r="BQ183" s="1"/>
      <c r="BR183" s="5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</row>
    <row r="184" ht="15.75" customHeight="1">
      <c r="A184" s="94"/>
      <c r="B184" s="97"/>
      <c r="C184" s="97"/>
      <c r="D184" s="97"/>
      <c r="E184" s="5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5"/>
      <c r="T184" s="5"/>
      <c r="U184" s="5"/>
      <c r="V184" s="5"/>
      <c r="W184" s="5"/>
      <c r="X184" s="5"/>
      <c r="Y184" s="5"/>
      <c r="Z184" s="5"/>
      <c r="AA184" s="1"/>
      <c r="AB184" s="5"/>
      <c r="AC184" s="1"/>
      <c r="AD184" s="5"/>
      <c r="AE184" s="1"/>
      <c r="AF184" s="5"/>
      <c r="AG184" s="1"/>
      <c r="AH184" s="5"/>
      <c r="AI184" s="1"/>
      <c r="AJ184" s="5"/>
      <c r="AK184" s="1"/>
      <c r="AL184" s="5"/>
      <c r="AM184" s="1"/>
      <c r="AN184" s="5"/>
      <c r="AO184" s="1"/>
      <c r="AP184" s="5"/>
      <c r="AQ184" s="1"/>
      <c r="AR184" s="5"/>
      <c r="AS184" s="1"/>
      <c r="AT184" s="5"/>
      <c r="AU184" s="1"/>
      <c r="AV184" s="5"/>
      <c r="AW184" s="1"/>
      <c r="AX184" s="5"/>
      <c r="AY184" s="1"/>
      <c r="AZ184" s="5"/>
      <c r="BA184" s="1"/>
      <c r="BB184" s="5"/>
      <c r="BC184" s="1"/>
      <c r="BD184" s="5"/>
      <c r="BE184" s="1"/>
      <c r="BF184" s="5"/>
      <c r="BG184" s="1"/>
      <c r="BH184" s="5"/>
      <c r="BI184" s="1"/>
      <c r="BJ184" s="5"/>
      <c r="BK184" s="1"/>
      <c r="BL184" s="5"/>
      <c r="BM184" s="1"/>
      <c r="BN184" s="5"/>
      <c r="BO184" s="1"/>
      <c r="BP184" s="5"/>
      <c r="BQ184" s="1"/>
      <c r="BR184" s="5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</row>
    <row r="185" ht="15.75" customHeight="1">
      <c r="A185" s="94"/>
      <c r="B185" s="97"/>
      <c r="C185" s="97"/>
      <c r="D185" s="97"/>
      <c r="E185" s="5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5"/>
      <c r="T185" s="5"/>
      <c r="U185" s="5"/>
      <c r="V185" s="5"/>
      <c r="W185" s="5"/>
      <c r="X185" s="5"/>
      <c r="Y185" s="5"/>
      <c r="Z185" s="5"/>
      <c r="AA185" s="1"/>
      <c r="AB185" s="5"/>
      <c r="AC185" s="1"/>
      <c r="AD185" s="5"/>
      <c r="AE185" s="1"/>
      <c r="AF185" s="5"/>
      <c r="AG185" s="1"/>
      <c r="AH185" s="5"/>
      <c r="AI185" s="1"/>
      <c r="AJ185" s="5"/>
      <c r="AK185" s="1"/>
      <c r="AL185" s="5"/>
      <c r="AM185" s="1"/>
      <c r="AN185" s="5"/>
      <c r="AO185" s="1"/>
      <c r="AP185" s="5"/>
      <c r="AQ185" s="1"/>
      <c r="AR185" s="5"/>
      <c r="AS185" s="1"/>
      <c r="AT185" s="5"/>
      <c r="AU185" s="1"/>
      <c r="AV185" s="5"/>
      <c r="AW185" s="1"/>
      <c r="AX185" s="5"/>
      <c r="AY185" s="1"/>
      <c r="AZ185" s="5"/>
      <c r="BA185" s="1"/>
      <c r="BB185" s="5"/>
      <c r="BC185" s="1"/>
      <c r="BD185" s="5"/>
      <c r="BE185" s="1"/>
      <c r="BF185" s="5"/>
      <c r="BG185" s="1"/>
      <c r="BH185" s="5"/>
      <c r="BI185" s="1"/>
      <c r="BJ185" s="5"/>
      <c r="BK185" s="1"/>
      <c r="BL185" s="5"/>
      <c r="BM185" s="1"/>
      <c r="BN185" s="5"/>
      <c r="BO185" s="1"/>
      <c r="BP185" s="5"/>
      <c r="BQ185" s="1"/>
      <c r="BR185" s="5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</row>
    <row r="186" ht="15.75" customHeight="1">
      <c r="A186" s="94"/>
      <c r="B186" s="97"/>
      <c r="C186" s="97"/>
      <c r="D186" s="97"/>
      <c r="E186" s="5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5"/>
      <c r="T186" s="5"/>
      <c r="U186" s="5"/>
      <c r="V186" s="5"/>
      <c r="W186" s="5"/>
      <c r="X186" s="5"/>
      <c r="Y186" s="5"/>
      <c r="Z186" s="5"/>
      <c r="AA186" s="1"/>
      <c r="AB186" s="5"/>
      <c r="AC186" s="1"/>
      <c r="AD186" s="5"/>
      <c r="AE186" s="1"/>
      <c r="AF186" s="5"/>
      <c r="AG186" s="1"/>
      <c r="AH186" s="5"/>
      <c r="AI186" s="1"/>
      <c r="AJ186" s="5"/>
      <c r="AK186" s="1"/>
      <c r="AL186" s="5"/>
      <c r="AM186" s="1"/>
      <c r="AN186" s="5"/>
      <c r="AO186" s="1"/>
      <c r="AP186" s="5"/>
      <c r="AQ186" s="1"/>
      <c r="AR186" s="5"/>
      <c r="AS186" s="1"/>
      <c r="AT186" s="5"/>
      <c r="AU186" s="1"/>
      <c r="AV186" s="5"/>
      <c r="AW186" s="1"/>
      <c r="AX186" s="5"/>
      <c r="AY186" s="1"/>
      <c r="AZ186" s="5"/>
      <c r="BA186" s="1"/>
      <c r="BB186" s="5"/>
      <c r="BC186" s="1"/>
      <c r="BD186" s="5"/>
      <c r="BE186" s="1"/>
      <c r="BF186" s="5"/>
      <c r="BG186" s="1"/>
      <c r="BH186" s="5"/>
      <c r="BI186" s="1"/>
      <c r="BJ186" s="5"/>
      <c r="BK186" s="1"/>
      <c r="BL186" s="5"/>
      <c r="BM186" s="1"/>
      <c r="BN186" s="5"/>
      <c r="BO186" s="1"/>
      <c r="BP186" s="5"/>
      <c r="BQ186" s="1"/>
      <c r="BR186" s="5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</row>
    <row r="187" ht="15.75" customHeight="1">
      <c r="A187" s="94"/>
      <c r="B187" s="97"/>
      <c r="C187" s="97"/>
      <c r="D187" s="97"/>
      <c r="E187" s="5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5"/>
      <c r="T187" s="5"/>
      <c r="U187" s="5"/>
      <c r="V187" s="5"/>
      <c r="W187" s="5"/>
      <c r="X187" s="5"/>
      <c r="Y187" s="5"/>
      <c r="Z187" s="5"/>
      <c r="AA187" s="1"/>
      <c r="AB187" s="5"/>
      <c r="AC187" s="1"/>
      <c r="AD187" s="5"/>
      <c r="AE187" s="1"/>
      <c r="AF187" s="5"/>
      <c r="AG187" s="1"/>
      <c r="AH187" s="5"/>
      <c r="AI187" s="1"/>
      <c r="AJ187" s="5"/>
      <c r="AK187" s="1"/>
      <c r="AL187" s="5"/>
      <c r="AM187" s="1"/>
      <c r="AN187" s="5"/>
      <c r="AO187" s="1"/>
      <c r="AP187" s="5"/>
      <c r="AQ187" s="1"/>
      <c r="AR187" s="5"/>
      <c r="AS187" s="1"/>
      <c r="AT187" s="5"/>
      <c r="AU187" s="1"/>
      <c r="AV187" s="5"/>
      <c r="AW187" s="1"/>
      <c r="AX187" s="5"/>
      <c r="AY187" s="1"/>
      <c r="AZ187" s="5"/>
      <c r="BA187" s="1"/>
      <c r="BB187" s="5"/>
      <c r="BC187" s="1"/>
      <c r="BD187" s="5"/>
      <c r="BE187" s="1"/>
      <c r="BF187" s="5"/>
      <c r="BG187" s="1"/>
      <c r="BH187" s="5"/>
      <c r="BI187" s="1"/>
      <c r="BJ187" s="5"/>
      <c r="BK187" s="1"/>
      <c r="BL187" s="5"/>
      <c r="BM187" s="1"/>
      <c r="BN187" s="5"/>
      <c r="BO187" s="1"/>
      <c r="BP187" s="5"/>
      <c r="BQ187" s="1"/>
      <c r="BR187" s="5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</row>
    <row r="188" ht="15.75" customHeight="1">
      <c r="A188" s="94"/>
      <c r="B188" s="97"/>
      <c r="C188" s="97"/>
      <c r="D188" s="97"/>
      <c r="E188" s="5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5"/>
      <c r="T188" s="5"/>
      <c r="U188" s="5"/>
      <c r="V188" s="5"/>
      <c r="W188" s="5"/>
      <c r="X188" s="5"/>
      <c r="Y188" s="5"/>
      <c r="Z188" s="5"/>
      <c r="AA188" s="1"/>
      <c r="AB188" s="5"/>
      <c r="AC188" s="1"/>
      <c r="AD188" s="5"/>
      <c r="AE188" s="1"/>
      <c r="AF188" s="5"/>
      <c r="AG188" s="1"/>
      <c r="AH188" s="5"/>
      <c r="AI188" s="1"/>
      <c r="AJ188" s="5"/>
      <c r="AK188" s="1"/>
      <c r="AL188" s="5"/>
      <c r="AM188" s="1"/>
      <c r="AN188" s="5"/>
      <c r="AO188" s="1"/>
      <c r="AP188" s="5"/>
      <c r="AQ188" s="1"/>
      <c r="AR188" s="5"/>
      <c r="AS188" s="1"/>
      <c r="AT188" s="5"/>
      <c r="AU188" s="1"/>
      <c r="AV188" s="5"/>
      <c r="AW188" s="1"/>
      <c r="AX188" s="5"/>
      <c r="AY188" s="1"/>
      <c r="AZ188" s="5"/>
      <c r="BA188" s="1"/>
      <c r="BB188" s="5"/>
      <c r="BC188" s="1"/>
      <c r="BD188" s="5"/>
      <c r="BE188" s="1"/>
      <c r="BF188" s="5"/>
      <c r="BG188" s="1"/>
      <c r="BH188" s="5"/>
      <c r="BI188" s="1"/>
      <c r="BJ188" s="5"/>
      <c r="BK188" s="1"/>
      <c r="BL188" s="5"/>
      <c r="BM188" s="1"/>
      <c r="BN188" s="5"/>
      <c r="BO188" s="1"/>
      <c r="BP188" s="5"/>
      <c r="BQ188" s="1"/>
      <c r="BR188" s="5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</row>
    <row r="189" ht="15.75" customHeight="1">
      <c r="A189" s="94"/>
      <c r="B189" s="97"/>
      <c r="C189" s="97"/>
      <c r="D189" s="97"/>
      <c r="E189" s="5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5"/>
      <c r="T189" s="5"/>
      <c r="U189" s="5"/>
      <c r="V189" s="5"/>
      <c r="W189" s="5"/>
      <c r="X189" s="5"/>
      <c r="Y189" s="5"/>
      <c r="Z189" s="5"/>
      <c r="AA189" s="1"/>
      <c r="AB189" s="5"/>
      <c r="AC189" s="1"/>
      <c r="AD189" s="5"/>
      <c r="AE189" s="1"/>
      <c r="AF189" s="5"/>
      <c r="AG189" s="1"/>
      <c r="AH189" s="5"/>
      <c r="AI189" s="1"/>
      <c r="AJ189" s="5"/>
      <c r="AK189" s="1"/>
      <c r="AL189" s="5"/>
      <c r="AM189" s="1"/>
      <c r="AN189" s="5"/>
      <c r="AO189" s="1"/>
      <c r="AP189" s="5"/>
      <c r="AQ189" s="1"/>
      <c r="AR189" s="5"/>
      <c r="AS189" s="1"/>
      <c r="AT189" s="5"/>
      <c r="AU189" s="1"/>
      <c r="AV189" s="5"/>
      <c r="AW189" s="1"/>
      <c r="AX189" s="5"/>
      <c r="AY189" s="1"/>
      <c r="AZ189" s="5"/>
      <c r="BA189" s="1"/>
      <c r="BB189" s="5"/>
      <c r="BC189" s="1"/>
      <c r="BD189" s="5"/>
      <c r="BE189" s="1"/>
      <c r="BF189" s="5"/>
      <c r="BG189" s="1"/>
      <c r="BH189" s="5"/>
      <c r="BI189" s="1"/>
      <c r="BJ189" s="5"/>
      <c r="BK189" s="1"/>
      <c r="BL189" s="5"/>
      <c r="BM189" s="1"/>
      <c r="BN189" s="5"/>
      <c r="BO189" s="1"/>
      <c r="BP189" s="5"/>
      <c r="BQ189" s="1"/>
      <c r="BR189" s="5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</row>
    <row r="190" ht="15.75" customHeight="1">
      <c r="A190" s="94"/>
      <c r="B190" s="97"/>
      <c r="C190" s="97"/>
      <c r="D190" s="97"/>
      <c r="E190" s="5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5"/>
      <c r="T190" s="5"/>
      <c r="U190" s="5"/>
      <c r="V190" s="5"/>
      <c r="W190" s="5"/>
      <c r="X190" s="5"/>
      <c r="Y190" s="5"/>
      <c r="Z190" s="5"/>
      <c r="AA190" s="1"/>
      <c r="AB190" s="5"/>
      <c r="AC190" s="1"/>
      <c r="AD190" s="5"/>
      <c r="AE190" s="1"/>
      <c r="AF190" s="5"/>
      <c r="AG190" s="1"/>
      <c r="AH190" s="5"/>
      <c r="AI190" s="1"/>
      <c r="AJ190" s="5"/>
      <c r="AK190" s="1"/>
      <c r="AL190" s="5"/>
      <c r="AM190" s="1"/>
      <c r="AN190" s="5"/>
      <c r="AO190" s="1"/>
      <c r="AP190" s="5"/>
      <c r="AQ190" s="1"/>
      <c r="AR190" s="5"/>
      <c r="AS190" s="1"/>
      <c r="AT190" s="5"/>
      <c r="AU190" s="1"/>
      <c r="AV190" s="5"/>
      <c r="AW190" s="1"/>
      <c r="AX190" s="5"/>
      <c r="AY190" s="1"/>
      <c r="AZ190" s="5"/>
      <c r="BA190" s="1"/>
      <c r="BB190" s="5"/>
      <c r="BC190" s="1"/>
      <c r="BD190" s="5"/>
      <c r="BE190" s="1"/>
      <c r="BF190" s="5"/>
      <c r="BG190" s="1"/>
      <c r="BH190" s="5"/>
      <c r="BI190" s="1"/>
      <c r="BJ190" s="5"/>
      <c r="BK190" s="1"/>
      <c r="BL190" s="5"/>
      <c r="BM190" s="1"/>
      <c r="BN190" s="5"/>
      <c r="BO190" s="1"/>
      <c r="BP190" s="5"/>
      <c r="BQ190" s="1"/>
      <c r="BR190" s="5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</row>
    <row r="191" ht="15.75" customHeight="1">
      <c r="A191" s="94"/>
      <c r="B191" s="97"/>
      <c r="C191" s="97"/>
      <c r="D191" s="97"/>
      <c r="E191" s="5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5"/>
      <c r="T191" s="5"/>
      <c r="U191" s="5"/>
      <c r="V191" s="5"/>
      <c r="W191" s="5"/>
      <c r="X191" s="5"/>
      <c r="Y191" s="5"/>
      <c r="Z191" s="5"/>
      <c r="AA191" s="1"/>
      <c r="AB191" s="5"/>
      <c r="AC191" s="1"/>
      <c r="AD191" s="5"/>
      <c r="AE191" s="1"/>
      <c r="AF191" s="5"/>
      <c r="AG191" s="1"/>
      <c r="AH191" s="5"/>
      <c r="AI191" s="1"/>
      <c r="AJ191" s="5"/>
      <c r="AK191" s="1"/>
      <c r="AL191" s="5"/>
      <c r="AM191" s="1"/>
      <c r="AN191" s="5"/>
      <c r="AO191" s="1"/>
      <c r="AP191" s="5"/>
      <c r="AQ191" s="1"/>
      <c r="AR191" s="5"/>
      <c r="AS191" s="1"/>
      <c r="AT191" s="5"/>
      <c r="AU191" s="1"/>
      <c r="AV191" s="5"/>
      <c r="AW191" s="1"/>
      <c r="AX191" s="5"/>
      <c r="AY191" s="1"/>
      <c r="AZ191" s="5"/>
      <c r="BA191" s="1"/>
      <c r="BB191" s="5"/>
      <c r="BC191" s="1"/>
      <c r="BD191" s="5"/>
      <c r="BE191" s="1"/>
      <c r="BF191" s="5"/>
      <c r="BG191" s="1"/>
      <c r="BH191" s="5"/>
      <c r="BI191" s="1"/>
      <c r="BJ191" s="5"/>
      <c r="BK191" s="1"/>
      <c r="BL191" s="5"/>
      <c r="BM191" s="1"/>
      <c r="BN191" s="5"/>
      <c r="BO191" s="1"/>
      <c r="BP191" s="5"/>
      <c r="BQ191" s="1"/>
      <c r="BR191" s="5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</row>
    <row r="192" ht="15.75" customHeight="1">
      <c r="A192" s="94"/>
      <c r="B192" s="97"/>
      <c r="C192" s="97"/>
      <c r="D192" s="97"/>
      <c r="E192" s="5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5"/>
      <c r="T192" s="5"/>
      <c r="U192" s="5"/>
      <c r="V192" s="5"/>
      <c r="W192" s="5"/>
      <c r="X192" s="5"/>
      <c r="Y192" s="5"/>
      <c r="Z192" s="5"/>
      <c r="AA192" s="1"/>
      <c r="AB192" s="5"/>
      <c r="AC192" s="1"/>
      <c r="AD192" s="5"/>
      <c r="AE192" s="1"/>
      <c r="AF192" s="5"/>
      <c r="AG192" s="1"/>
      <c r="AH192" s="5"/>
      <c r="AI192" s="1"/>
      <c r="AJ192" s="5"/>
      <c r="AK192" s="1"/>
      <c r="AL192" s="5"/>
      <c r="AM192" s="1"/>
      <c r="AN192" s="5"/>
      <c r="AO192" s="1"/>
      <c r="AP192" s="5"/>
      <c r="AQ192" s="1"/>
      <c r="AR192" s="5"/>
      <c r="AS192" s="1"/>
      <c r="AT192" s="5"/>
      <c r="AU192" s="1"/>
      <c r="AV192" s="5"/>
      <c r="AW192" s="1"/>
      <c r="AX192" s="5"/>
      <c r="AY192" s="1"/>
      <c r="AZ192" s="5"/>
      <c r="BA192" s="1"/>
      <c r="BB192" s="5"/>
      <c r="BC192" s="1"/>
      <c r="BD192" s="5"/>
      <c r="BE192" s="1"/>
      <c r="BF192" s="5"/>
      <c r="BG192" s="1"/>
      <c r="BH192" s="5"/>
      <c r="BI192" s="1"/>
      <c r="BJ192" s="5"/>
      <c r="BK192" s="1"/>
      <c r="BL192" s="5"/>
      <c r="BM192" s="1"/>
      <c r="BN192" s="5"/>
      <c r="BO192" s="1"/>
      <c r="BP192" s="5"/>
      <c r="BQ192" s="1"/>
      <c r="BR192" s="5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</row>
    <row r="193" ht="15.75" customHeight="1">
      <c r="A193" s="94"/>
      <c r="B193" s="97"/>
      <c r="C193" s="97"/>
      <c r="D193" s="97"/>
      <c r="E193" s="5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5"/>
      <c r="T193" s="5"/>
      <c r="U193" s="5"/>
      <c r="V193" s="5"/>
      <c r="W193" s="5"/>
      <c r="X193" s="5"/>
      <c r="Y193" s="5"/>
      <c r="Z193" s="5"/>
      <c r="AA193" s="1"/>
      <c r="AB193" s="5"/>
      <c r="AC193" s="1"/>
      <c r="AD193" s="5"/>
      <c r="AE193" s="1"/>
      <c r="AF193" s="5"/>
      <c r="AG193" s="1"/>
      <c r="AH193" s="5"/>
      <c r="AI193" s="1"/>
      <c r="AJ193" s="5"/>
      <c r="AK193" s="1"/>
      <c r="AL193" s="5"/>
      <c r="AM193" s="1"/>
      <c r="AN193" s="5"/>
      <c r="AO193" s="1"/>
      <c r="AP193" s="5"/>
      <c r="AQ193" s="1"/>
      <c r="AR193" s="5"/>
      <c r="AS193" s="1"/>
      <c r="AT193" s="5"/>
      <c r="AU193" s="1"/>
      <c r="AV193" s="5"/>
      <c r="AW193" s="1"/>
      <c r="AX193" s="5"/>
      <c r="AY193" s="1"/>
      <c r="AZ193" s="5"/>
      <c r="BA193" s="1"/>
      <c r="BB193" s="5"/>
      <c r="BC193" s="1"/>
      <c r="BD193" s="5"/>
      <c r="BE193" s="1"/>
      <c r="BF193" s="5"/>
      <c r="BG193" s="1"/>
      <c r="BH193" s="5"/>
      <c r="BI193" s="1"/>
      <c r="BJ193" s="5"/>
      <c r="BK193" s="1"/>
      <c r="BL193" s="5"/>
      <c r="BM193" s="1"/>
      <c r="BN193" s="5"/>
      <c r="BO193" s="1"/>
      <c r="BP193" s="5"/>
      <c r="BQ193" s="1"/>
      <c r="BR193" s="5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</row>
    <row r="194" ht="15.75" customHeight="1">
      <c r="A194" s="94"/>
      <c r="B194" s="97"/>
      <c r="C194" s="97"/>
      <c r="D194" s="97"/>
      <c r="E194" s="5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5"/>
      <c r="T194" s="5"/>
      <c r="U194" s="5"/>
      <c r="V194" s="5"/>
      <c r="W194" s="5"/>
      <c r="X194" s="5"/>
      <c r="Y194" s="5"/>
      <c r="Z194" s="5"/>
      <c r="AA194" s="1"/>
      <c r="AB194" s="5"/>
      <c r="AC194" s="1"/>
      <c r="AD194" s="5"/>
      <c r="AE194" s="1"/>
      <c r="AF194" s="5"/>
      <c r="AG194" s="1"/>
      <c r="AH194" s="5"/>
      <c r="AI194" s="1"/>
      <c r="AJ194" s="5"/>
      <c r="AK194" s="1"/>
      <c r="AL194" s="5"/>
      <c r="AM194" s="1"/>
      <c r="AN194" s="5"/>
      <c r="AO194" s="1"/>
      <c r="AP194" s="5"/>
      <c r="AQ194" s="1"/>
      <c r="AR194" s="5"/>
      <c r="AS194" s="1"/>
      <c r="AT194" s="5"/>
      <c r="AU194" s="1"/>
      <c r="AV194" s="5"/>
      <c r="AW194" s="1"/>
      <c r="AX194" s="5"/>
      <c r="AY194" s="1"/>
      <c r="AZ194" s="5"/>
      <c r="BA194" s="1"/>
      <c r="BB194" s="5"/>
      <c r="BC194" s="1"/>
      <c r="BD194" s="5"/>
      <c r="BE194" s="1"/>
      <c r="BF194" s="5"/>
      <c r="BG194" s="1"/>
      <c r="BH194" s="5"/>
      <c r="BI194" s="1"/>
      <c r="BJ194" s="5"/>
      <c r="BK194" s="1"/>
      <c r="BL194" s="5"/>
      <c r="BM194" s="1"/>
      <c r="BN194" s="5"/>
      <c r="BO194" s="1"/>
      <c r="BP194" s="5"/>
      <c r="BQ194" s="1"/>
      <c r="BR194" s="5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</row>
    <row r="195" ht="15.75" customHeight="1">
      <c r="A195" s="94"/>
      <c r="B195" s="97"/>
      <c r="C195" s="97"/>
      <c r="D195" s="97"/>
      <c r="E195" s="5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5"/>
      <c r="T195" s="5"/>
      <c r="U195" s="5"/>
      <c r="V195" s="5"/>
      <c r="W195" s="5"/>
      <c r="X195" s="5"/>
      <c r="Y195" s="5"/>
      <c r="Z195" s="5"/>
      <c r="AA195" s="1"/>
      <c r="AB195" s="5"/>
      <c r="AC195" s="1"/>
      <c r="AD195" s="5"/>
      <c r="AE195" s="1"/>
      <c r="AF195" s="5"/>
      <c r="AG195" s="1"/>
      <c r="AH195" s="5"/>
      <c r="AI195" s="1"/>
      <c r="AJ195" s="5"/>
      <c r="AK195" s="1"/>
      <c r="AL195" s="5"/>
      <c r="AM195" s="1"/>
      <c r="AN195" s="5"/>
      <c r="AO195" s="1"/>
      <c r="AP195" s="5"/>
      <c r="AQ195" s="1"/>
      <c r="AR195" s="5"/>
      <c r="AS195" s="1"/>
      <c r="AT195" s="5"/>
      <c r="AU195" s="1"/>
      <c r="AV195" s="5"/>
      <c r="AW195" s="1"/>
      <c r="AX195" s="5"/>
      <c r="AY195" s="1"/>
      <c r="AZ195" s="5"/>
      <c r="BA195" s="1"/>
      <c r="BB195" s="5"/>
      <c r="BC195" s="1"/>
      <c r="BD195" s="5"/>
      <c r="BE195" s="1"/>
      <c r="BF195" s="5"/>
      <c r="BG195" s="1"/>
      <c r="BH195" s="5"/>
      <c r="BI195" s="1"/>
      <c r="BJ195" s="5"/>
      <c r="BK195" s="1"/>
      <c r="BL195" s="5"/>
      <c r="BM195" s="1"/>
      <c r="BN195" s="5"/>
      <c r="BO195" s="1"/>
      <c r="BP195" s="5"/>
      <c r="BQ195" s="1"/>
      <c r="BR195" s="5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</row>
    <row r="196" ht="15.75" customHeight="1">
      <c r="A196" s="94"/>
      <c r="B196" s="97"/>
      <c r="C196" s="97"/>
      <c r="D196" s="97"/>
      <c r="E196" s="5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5"/>
      <c r="T196" s="5"/>
      <c r="U196" s="5"/>
      <c r="V196" s="5"/>
      <c r="W196" s="5"/>
      <c r="X196" s="5"/>
      <c r="Y196" s="5"/>
      <c r="Z196" s="5"/>
      <c r="AA196" s="1"/>
      <c r="AB196" s="5"/>
      <c r="AC196" s="1"/>
      <c r="AD196" s="5"/>
      <c r="AE196" s="1"/>
      <c r="AF196" s="5"/>
      <c r="AG196" s="1"/>
      <c r="AH196" s="5"/>
      <c r="AI196" s="1"/>
      <c r="AJ196" s="5"/>
      <c r="AK196" s="1"/>
      <c r="AL196" s="5"/>
      <c r="AM196" s="1"/>
      <c r="AN196" s="5"/>
      <c r="AO196" s="1"/>
      <c r="AP196" s="5"/>
      <c r="AQ196" s="1"/>
      <c r="AR196" s="5"/>
      <c r="AS196" s="1"/>
      <c r="AT196" s="5"/>
      <c r="AU196" s="1"/>
      <c r="AV196" s="5"/>
      <c r="AW196" s="1"/>
      <c r="AX196" s="5"/>
      <c r="AY196" s="1"/>
      <c r="AZ196" s="5"/>
      <c r="BA196" s="1"/>
      <c r="BB196" s="5"/>
      <c r="BC196" s="1"/>
      <c r="BD196" s="5"/>
      <c r="BE196" s="1"/>
      <c r="BF196" s="5"/>
      <c r="BG196" s="1"/>
      <c r="BH196" s="5"/>
      <c r="BI196" s="1"/>
      <c r="BJ196" s="5"/>
      <c r="BK196" s="1"/>
      <c r="BL196" s="5"/>
      <c r="BM196" s="1"/>
      <c r="BN196" s="5"/>
      <c r="BO196" s="1"/>
      <c r="BP196" s="5"/>
      <c r="BQ196" s="1"/>
      <c r="BR196" s="5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</row>
    <row r="197" ht="15.75" customHeight="1">
      <c r="A197" s="94"/>
      <c r="B197" s="97"/>
      <c r="C197" s="97"/>
      <c r="D197" s="97"/>
      <c r="E197" s="5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5"/>
      <c r="T197" s="5"/>
      <c r="U197" s="5"/>
      <c r="V197" s="5"/>
      <c r="W197" s="5"/>
      <c r="X197" s="5"/>
      <c r="Y197" s="5"/>
      <c r="Z197" s="5"/>
      <c r="AA197" s="1"/>
      <c r="AB197" s="5"/>
      <c r="AC197" s="1"/>
      <c r="AD197" s="5"/>
      <c r="AE197" s="1"/>
      <c r="AF197" s="5"/>
      <c r="AG197" s="1"/>
      <c r="AH197" s="5"/>
      <c r="AI197" s="1"/>
      <c r="AJ197" s="5"/>
      <c r="AK197" s="1"/>
      <c r="AL197" s="5"/>
      <c r="AM197" s="1"/>
      <c r="AN197" s="5"/>
      <c r="AO197" s="1"/>
      <c r="AP197" s="5"/>
      <c r="AQ197" s="1"/>
      <c r="AR197" s="5"/>
      <c r="AS197" s="1"/>
      <c r="AT197" s="5"/>
      <c r="AU197" s="1"/>
      <c r="AV197" s="5"/>
      <c r="AW197" s="1"/>
      <c r="AX197" s="5"/>
      <c r="AY197" s="1"/>
      <c r="AZ197" s="5"/>
      <c r="BA197" s="1"/>
      <c r="BB197" s="5"/>
      <c r="BC197" s="1"/>
      <c r="BD197" s="5"/>
      <c r="BE197" s="1"/>
      <c r="BF197" s="5"/>
      <c r="BG197" s="1"/>
      <c r="BH197" s="5"/>
      <c r="BI197" s="1"/>
      <c r="BJ197" s="5"/>
      <c r="BK197" s="1"/>
      <c r="BL197" s="5"/>
      <c r="BM197" s="1"/>
      <c r="BN197" s="5"/>
      <c r="BO197" s="1"/>
      <c r="BP197" s="5"/>
      <c r="BQ197" s="1"/>
      <c r="BR197" s="5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</row>
    <row r="198" ht="15.75" customHeight="1">
      <c r="A198" s="94"/>
      <c r="B198" s="97"/>
      <c r="C198" s="97"/>
      <c r="D198" s="97"/>
      <c r="E198" s="5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5"/>
      <c r="T198" s="5"/>
      <c r="U198" s="5"/>
      <c r="V198" s="5"/>
      <c r="W198" s="5"/>
      <c r="X198" s="5"/>
      <c r="Y198" s="5"/>
      <c r="Z198" s="5"/>
      <c r="AA198" s="1"/>
      <c r="AB198" s="5"/>
      <c r="AC198" s="1"/>
      <c r="AD198" s="5"/>
      <c r="AE198" s="1"/>
      <c r="AF198" s="5"/>
      <c r="AG198" s="1"/>
      <c r="AH198" s="5"/>
      <c r="AI198" s="1"/>
      <c r="AJ198" s="5"/>
      <c r="AK198" s="1"/>
      <c r="AL198" s="5"/>
      <c r="AM198" s="1"/>
      <c r="AN198" s="5"/>
      <c r="AO198" s="1"/>
      <c r="AP198" s="5"/>
      <c r="AQ198" s="1"/>
      <c r="AR198" s="5"/>
      <c r="AS198" s="1"/>
      <c r="AT198" s="5"/>
      <c r="AU198" s="1"/>
      <c r="AV198" s="5"/>
      <c r="AW198" s="1"/>
      <c r="AX198" s="5"/>
      <c r="AY198" s="1"/>
      <c r="AZ198" s="5"/>
      <c r="BA198" s="1"/>
      <c r="BB198" s="5"/>
      <c r="BC198" s="1"/>
      <c r="BD198" s="5"/>
      <c r="BE198" s="1"/>
      <c r="BF198" s="5"/>
      <c r="BG198" s="1"/>
      <c r="BH198" s="5"/>
      <c r="BI198" s="1"/>
      <c r="BJ198" s="5"/>
      <c r="BK198" s="1"/>
      <c r="BL198" s="5"/>
      <c r="BM198" s="1"/>
      <c r="BN198" s="5"/>
      <c r="BO198" s="1"/>
      <c r="BP198" s="5"/>
      <c r="BQ198" s="1"/>
      <c r="BR198" s="5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</row>
    <row r="199" ht="15.75" customHeight="1">
      <c r="A199" s="94"/>
      <c r="B199" s="97"/>
      <c r="C199" s="97"/>
      <c r="D199" s="97"/>
      <c r="E199" s="5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5"/>
      <c r="T199" s="5"/>
      <c r="U199" s="5"/>
      <c r="V199" s="5"/>
      <c r="W199" s="5"/>
      <c r="X199" s="5"/>
      <c r="Y199" s="5"/>
      <c r="Z199" s="5"/>
      <c r="AA199" s="1"/>
      <c r="AB199" s="5"/>
      <c r="AC199" s="1"/>
      <c r="AD199" s="5"/>
      <c r="AE199" s="1"/>
      <c r="AF199" s="5"/>
      <c r="AG199" s="1"/>
      <c r="AH199" s="5"/>
      <c r="AI199" s="1"/>
      <c r="AJ199" s="5"/>
      <c r="AK199" s="1"/>
      <c r="AL199" s="5"/>
      <c r="AM199" s="1"/>
      <c r="AN199" s="5"/>
      <c r="AO199" s="1"/>
      <c r="AP199" s="5"/>
      <c r="AQ199" s="1"/>
      <c r="AR199" s="5"/>
      <c r="AS199" s="1"/>
      <c r="AT199" s="5"/>
      <c r="AU199" s="1"/>
      <c r="AV199" s="5"/>
      <c r="AW199" s="1"/>
      <c r="AX199" s="5"/>
      <c r="AY199" s="1"/>
      <c r="AZ199" s="5"/>
      <c r="BA199" s="1"/>
      <c r="BB199" s="5"/>
      <c r="BC199" s="1"/>
      <c r="BD199" s="5"/>
      <c r="BE199" s="1"/>
      <c r="BF199" s="5"/>
      <c r="BG199" s="1"/>
      <c r="BH199" s="5"/>
      <c r="BI199" s="1"/>
      <c r="BJ199" s="5"/>
      <c r="BK199" s="1"/>
      <c r="BL199" s="5"/>
      <c r="BM199" s="1"/>
      <c r="BN199" s="5"/>
      <c r="BO199" s="1"/>
      <c r="BP199" s="5"/>
      <c r="BQ199" s="1"/>
      <c r="BR199" s="5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</row>
    <row r="200" ht="15.75" customHeight="1">
      <c r="A200" s="94"/>
      <c r="B200" s="97"/>
      <c r="C200" s="97"/>
      <c r="D200" s="97"/>
      <c r="E200" s="5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5"/>
      <c r="T200" s="5"/>
      <c r="U200" s="5"/>
      <c r="V200" s="5"/>
      <c r="W200" s="5"/>
      <c r="X200" s="5"/>
      <c r="Y200" s="5"/>
      <c r="Z200" s="5"/>
      <c r="AA200" s="1"/>
      <c r="AB200" s="5"/>
      <c r="AC200" s="1"/>
      <c r="AD200" s="5"/>
      <c r="AE200" s="1"/>
      <c r="AF200" s="5"/>
      <c r="AG200" s="1"/>
      <c r="AH200" s="5"/>
      <c r="AI200" s="1"/>
      <c r="AJ200" s="5"/>
      <c r="AK200" s="1"/>
      <c r="AL200" s="5"/>
      <c r="AM200" s="1"/>
      <c r="AN200" s="5"/>
      <c r="AO200" s="1"/>
      <c r="AP200" s="5"/>
      <c r="AQ200" s="1"/>
      <c r="AR200" s="5"/>
      <c r="AS200" s="1"/>
      <c r="AT200" s="5"/>
      <c r="AU200" s="1"/>
      <c r="AV200" s="5"/>
      <c r="AW200" s="1"/>
      <c r="AX200" s="5"/>
      <c r="AY200" s="1"/>
      <c r="AZ200" s="5"/>
      <c r="BA200" s="1"/>
      <c r="BB200" s="5"/>
      <c r="BC200" s="1"/>
      <c r="BD200" s="5"/>
      <c r="BE200" s="1"/>
      <c r="BF200" s="5"/>
      <c r="BG200" s="1"/>
      <c r="BH200" s="5"/>
      <c r="BI200" s="1"/>
      <c r="BJ200" s="5"/>
      <c r="BK200" s="1"/>
      <c r="BL200" s="5"/>
      <c r="BM200" s="1"/>
      <c r="BN200" s="5"/>
      <c r="BO200" s="1"/>
      <c r="BP200" s="5"/>
      <c r="BQ200" s="1"/>
      <c r="BR200" s="5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</row>
    <row r="201" ht="15.75" customHeight="1">
      <c r="A201" s="94"/>
      <c r="B201" s="97"/>
      <c r="C201" s="97"/>
      <c r="D201" s="97"/>
      <c r="E201" s="5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5"/>
      <c r="T201" s="5"/>
      <c r="U201" s="5"/>
      <c r="V201" s="5"/>
      <c r="W201" s="5"/>
      <c r="X201" s="5"/>
      <c r="Y201" s="5"/>
      <c r="Z201" s="5"/>
      <c r="AA201" s="1"/>
      <c r="AB201" s="5"/>
      <c r="AC201" s="1"/>
      <c r="AD201" s="5"/>
      <c r="AE201" s="1"/>
      <c r="AF201" s="5"/>
      <c r="AG201" s="1"/>
      <c r="AH201" s="5"/>
      <c r="AI201" s="1"/>
      <c r="AJ201" s="5"/>
      <c r="AK201" s="1"/>
      <c r="AL201" s="5"/>
      <c r="AM201" s="1"/>
      <c r="AN201" s="5"/>
      <c r="AO201" s="1"/>
      <c r="AP201" s="5"/>
      <c r="AQ201" s="1"/>
      <c r="AR201" s="5"/>
      <c r="AS201" s="1"/>
      <c r="AT201" s="5"/>
      <c r="AU201" s="1"/>
      <c r="AV201" s="5"/>
      <c r="AW201" s="1"/>
      <c r="AX201" s="5"/>
      <c r="AY201" s="1"/>
      <c r="AZ201" s="5"/>
      <c r="BA201" s="1"/>
      <c r="BB201" s="5"/>
      <c r="BC201" s="1"/>
      <c r="BD201" s="5"/>
      <c r="BE201" s="1"/>
      <c r="BF201" s="5"/>
      <c r="BG201" s="1"/>
      <c r="BH201" s="5"/>
      <c r="BI201" s="1"/>
      <c r="BJ201" s="5"/>
      <c r="BK201" s="1"/>
      <c r="BL201" s="5"/>
      <c r="BM201" s="1"/>
      <c r="BN201" s="5"/>
      <c r="BO201" s="1"/>
      <c r="BP201" s="5"/>
      <c r="BQ201" s="1"/>
      <c r="BR201" s="5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</row>
    <row r="202" ht="15.75" customHeight="1">
      <c r="A202" s="94"/>
      <c r="B202" s="97"/>
      <c r="C202" s="97"/>
      <c r="D202" s="97"/>
      <c r="E202" s="5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5"/>
      <c r="T202" s="5"/>
      <c r="U202" s="5"/>
      <c r="V202" s="5"/>
      <c r="W202" s="5"/>
      <c r="X202" s="5"/>
      <c r="Y202" s="5"/>
      <c r="Z202" s="5"/>
      <c r="AA202" s="1"/>
      <c r="AB202" s="5"/>
      <c r="AC202" s="1"/>
      <c r="AD202" s="5"/>
      <c r="AE202" s="1"/>
      <c r="AF202" s="5"/>
      <c r="AG202" s="1"/>
      <c r="AH202" s="5"/>
      <c r="AI202" s="1"/>
      <c r="AJ202" s="5"/>
      <c r="AK202" s="1"/>
      <c r="AL202" s="5"/>
      <c r="AM202" s="1"/>
      <c r="AN202" s="5"/>
      <c r="AO202" s="1"/>
      <c r="AP202" s="5"/>
      <c r="AQ202" s="1"/>
      <c r="AR202" s="5"/>
      <c r="AS202" s="1"/>
      <c r="AT202" s="5"/>
      <c r="AU202" s="1"/>
      <c r="AV202" s="5"/>
      <c r="AW202" s="1"/>
      <c r="AX202" s="5"/>
      <c r="AY202" s="1"/>
      <c r="AZ202" s="5"/>
      <c r="BA202" s="1"/>
      <c r="BB202" s="5"/>
      <c r="BC202" s="1"/>
      <c r="BD202" s="5"/>
      <c r="BE202" s="1"/>
      <c r="BF202" s="5"/>
      <c r="BG202" s="1"/>
      <c r="BH202" s="5"/>
      <c r="BI202" s="1"/>
      <c r="BJ202" s="5"/>
      <c r="BK202" s="1"/>
      <c r="BL202" s="5"/>
      <c r="BM202" s="1"/>
      <c r="BN202" s="5"/>
      <c r="BO202" s="1"/>
      <c r="BP202" s="5"/>
      <c r="BQ202" s="1"/>
      <c r="BR202" s="5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</row>
    <row r="203" ht="15.75" customHeight="1">
      <c r="A203" s="94"/>
      <c r="B203" s="97"/>
      <c r="C203" s="97"/>
      <c r="D203" s="97"/>
      <c r="E203" s="5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5"/>
      <c r="T203" s="5"/>
      <c r="U203" s="5"/>
      <c r="V203" s="5"/>
      <c r="W203" s="5"/>
      <c r="X203" s="5"/>
      <c r="Y203" s="5"/>
      <c r="Z203" s="5"/>
      <c r="AA203" s="1"/>
      <c r="AB203" s="5"/>
      <c r="AC203" s="1"/>
      <c r="AD203" s="5"/>
      <c r="AE203" s="1"/>
      <c r="AF203" s="5"/>
      <c r="AG203" s="1"/>
      <c r="AH203" s="5"/>
      <c r="AI203" s="1"/>
      <c r="AJ203" s="5"/>
      <c r="AK203" s="1"/>
      <c r="AL203" s="5"/>
      <c r="AM203" s="1"/>
      <c r="AN203" s="5"/>
      <c r="AO203" s="1"/>
      <c r="AP203" s="5"/>
      <c r="AQ203" s="1"/>
      <c r="AR203" s="5"/>
      <c r="AS203" s="1"/>
      <c r="AT203" s="5"/>
      <c r="AU203" s="1"/>
      <c r="AV203" s="5"/>
      <c r="AW203" s="1"/>
      <c r="AX203" s="5"/>
      <c r="AY203" s="1"/>
      <c r="AZ203" s="5"/>
      <c r="BA203" s="1"/>
      <c r="BB203" s="5"/>
      <c r="BC203" s="1"/>
      <c r="BD203" s="5"/>
      <c r="BE203" s="1"/>
      <c r="BF203" s="5"/>
      <c r="BG203" s="1"/>
      <c r="BH203" s="5"/>
      <c r="BI203" s="1"/>
      <c r="BJ203" s="5"/>
      <c r="BK203" s="1"/>
      <c r="BL203" s="5"/>
      <c r="BM203" s="1"/>
      <c r="BN203" s="5"/>
      <c r="BO203" s="1"/>
      <c r="BP203" s="5"/>
      <c r="BQ203" s="1"/>
      <c r="BR203" s="5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</row>
    <row r="204" ht="15.75" customHeight="1">
      <c r="A204" s="94"/>
      <c r="B204" s="97"/>
      <c r="C204" s="97"/>
      <c r="D204" s="97"/>
      <c r="E204" s="5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5"/>
      <c r="T204" s="5"/>
      <c r="U204" s="5"/>
      <c r="V204" s="5"/>
      <c r="W204" s="5"/>
      <c r="X204" s="5"/>
      <c r="Y204" s="5"/>
      <c r="Z204" s="5"/>
      <c r="AA204" s="1"/>
      <c r="AB204" s="5"/>
      <c r="AC204" s="1"/>
      <c r="AD204" s="5"/>
      <c r="AE204" s="1"/>
      <c r="AF204" s="5"/>
      <c r="AG204" s="1"/>
      <c r="AH204" s="5"/>
      <c r="AI204" s="1"/>
      <c r="AJ204" s="5"/>
      <c r="AK204" s="1"/>
      <c r="AL204" s="5"/>
      <c r="AM204" s="1"/>
      <c r="AN204" s="5"/>
      <c r="AO204" s="1"/>
      <c r="AP204" s="5"/>
      <c r="AQ204" s="1"/>
      <c r="AR204" s="5"/>
      <c r="AS204" s="1"/>
      <c r="AT204" s="5"/>
      <c r="AU204" s="1"/>
      <c r="AV204" s="5"/>
      <c r="AW204" s="1"/>
      <c r="AX204" s="5"/>
      <c r="AY204" s="1"/>
      <c r="AZ204" s="5"/>
      <c r="BA204" s="1"/>
      <c r="BB204" s="5"/>
      <c r="BC204" s="1"/>
      <c r="BD204" s="5"/>
      <c r="BE204" s="1"/>
      <c r="BF204" s="5"/>
      <c r="BG204" s="1"/>
      <c r="BH204" s="5"/>
      <c r="BI204" s="1"/>
      <c r="BJ204" s="5"/>
      <c r="BK204" s="1"/>
      <c r="BL204" s="5"/>
      <c r="BM204" s="1"/>
      <c r="BN204" s="5"/>
      <c r="BO204" s="1"/>
      <c r="BP204" s="5"/>
      <c r="BQ204" s="1"/>
      <c r="BR204" s="5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</row>
    <row r="205" ht="15.75" customHeight="1">
      <c r="A205" s="94"/>
      <c r="B205" s="97"/>
      <c r="C205" s="97"/>
      <c r="D205" s="97"/>
      <c r="E205" s="5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5"/>
      <c r="T205" s="5"/>
      <c r="U205" s="5"/>
      <c r="V205" s="5"/>
      <c r="W205" s="5"/>
      <c r="X205" s="5"/>
      <c r="Y205" s="5"/>
      <c r="Z205" s="5"/>
      <c r="AA205" s="1"/>
      <c r="AB205" s="5"/>
      <c r="AC205" s="1"/>
      <c r="AD205" s="5"/>
      <c r="AE205" s="1"/>
      <c r="AF205" s="5"/>
      <c r="AG205" s="1"/>
      <c r="AH205" s="5"/>
      <c r="AI205" s="1"/>
      <c r="AJ205" s="5"/>
      <c r="AK205" s="1"/>
      <c r="AL205" s="5"/>
      <c r="AM205" s="1"/>
      <c r="AN205" s="5"/>
      <c r="AO205" s="1"/>
      <c r="AP205" s="5"/>
      <c r="AQ205" s="1"/>
      <c r="AR205" s="5"/>
      <c r="AS205" s="1"/>
      <c r="AT205" s="5"/>
      <c r="AU205" s="1"/>
      <c r="AV205" s="5"/>
      <c r="AW205" s="1"/>
      <c r="AX205" s="5"/>
      <c r="AY205" s="1"/>
      <c r="AZ205" s="5"/>
      <c r="BA205" s="1"/>
      <c r="BB205" s="5"/>
      <c r="BC205" s="1"/>
      <c r="BD205" s="5"/>
      <c r="BE205" s="1"/>
      <c r="BF205" s="5"/>
      <c r="BG205" s="1"/>
      <c r="BH205" s="5"/>
      <c r="BI205" s="1"/>
      <c r="BJ205" s="5"/>
      <c r="BK205" s="1"/>
      <c r="BL205" s="5"/>
      <c r="BM205" s="1"/>
      <c r="BN205" s="5"/>
      <c r="BO205" s="1"/>
      <c r="BP205" s="5"/>
      <c r="BQ205" s="1"/>
      <c r="BR205" s="5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</row>
    <row r="206" ht="15.75" customHeight="1">
      <c r="A206" s="94"/>
      <c r="B206" s="97"/>
      <c r="C206" s="97"/>
      <c r="D206" s="97"/>
      <c r="E206" s="5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5"/>
      <c r="T206" s="5"/>
      <c r="U206" s="5"/>
      <c r="V206" s="5"/>
      <c r="W206" s="5"/>
      <c r="X206" s="5"/>
      <c r="Y206" s="5"/>
      <c r="Z206" s="5"/>
      <c r="AA206" s="1"/>
      <c r="AB206" s="5"/>
      <c r="AC206" s="1"/>
      <c r="AD206" s="5"/>
      <c r="AE206" s="1"/>
      <c r="AF206" s="5"/>
      <c r="AG206" s="1"/>
      <c r="AH206" s="5"/>
      <c r="AI206" s="1"/>
      <c r="AJ206" s="5"/>
      <c r="AK206" s="1"/>
      <c r="AL206" s="5"/>
      <c r="AM206" s="1"/>
      <c r="AN206" s="5"/>
      <c r="AO206" s="1"/>
      <c r="AP206" s="5"/>
      <c r="AQ206" s="1"/>
      <c r="AR206" s="5"/>
      <c r="AS206" s="1"/>
      <c r="AT206" s="5"/>
      <c r="AU206" s="1"/>
      <c r="AV206" s="5"/>
      <c r="AW206" s="1"/>
      <c r="AX206" s="5"/>
      <c r="AY206" s="1"/>
      <c r="AZ206" s="5"/>
      <c r="BA206" s="1"/>
      <c r="BB206" s="5"/>
      <c r="BC206" s="1"/>
      <c r="BD206" s="5"/>
      <c r="BE206" s="1"/>
      <c r="BF206" s="5"/>
      <c r="BG206" s="1"/>
      <c r="BH206" s="5"/>
      <c r="BI206" s="1"/>
      <c r="BJ206" s="5"/>
      <c r="BK206" s="1"/>
      <c r="BL206" s="5"/>
      <c r="BM206" s="1"/>
      <c r="BN206" s="5"/>
      <c r="BO206" s="1"/>
      <c r="BP206" s="5"/>
      <c r="BQ206" s="1"/>
      <c r="BR206" s="5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</row>
    <row r="207" ht="15.75" customHeight="1">
      <c r="A207" s="94"/>
      <c r="B207" s="97"/>
      <c r="C207" s="97"/>
      <c r="D207" s="97"/>
      <c r="E207" s="5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5"/>
      <c r="T207" s="5"/>
      <c r="U207" s="5"/>
      <c r="V207" s="5"/>
      <c r="W207" s="5"/>
      <c r="X207" s="5"/>
      <c r="Y207" s="5"/>
      <c r="Z207" s="5"/>
      <c r="AA207" s="1"/>
      <c r="AB207" s="5"/>
      <c r="AC207" s="1"/>
      <c r="AD207" s="5"/>
      <c r="AE207" s="1"/>
      <c r="AF207" s="5"/>
      <c r="AG207" s="1"/>
      <c r="AH207" s="5"/>
      <c r="AI207" s="1"/>
      <c r="AJ207" s="5"/>
      <c r="AK207" s="1"/>
      <c r="AL207" s="5"/>
      <c r="AM207" s="1"/>
      <c r="AN207" s="5"/>
      <c r="AO207" s="1"/>
      <c r="AP207" s="5"/>
      <c r="AQ207" s="1"/>
      <c r="AR207" s="5"/>
      <c r="AS207" s="1"/>
      <c r="AT207" s="5"/>
      <c r="AU207" s="1"/>
      <c r="AV207" s="5"/>
      <c r="AW207" s="1"/>
      <c r="AX207" s="5"/>
      <c r="AY207" s="1"/>
      <c r="AZ207" s="5"/>
      <c r="BA207" s="1"/>
      <c r="BB207" s="5"/>
      <c r="BC207" s="1"/>
      <c r="BD207" s="5"/>
      <c r="BE207" s="1"/>
      <c r="BF207" s="5"/>
      <c r="BG207" s="1"/>
      <c r="BH207" s="5"/>
      <c r="BI207" s="1"/>
      <c r="BJ207" s="5"/>
      <c r="BK207" s="1"/>
      <c r="BL207" s="5"/>
      <c r="BM207" s="1"/>
      <c r="BN207" s="5"/>
      <c r="BO207" s="1"/>
      <c r="BP207" s="5"/>
      <c r="BQ207" s="1"/>
      <c r="BR207" s="5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</row>
    <row r="208" ht="15.75" customHeight="1">
      <c r="A208" s="94"/>
      <c r="B208" s="97"/>
      <c r="C208" s="97"/>
      <c r="D208" s="97"/>
      <c r="E208" s="5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5"/>
      <c r="T208" s="5"/>
      <c r="U208" s="5"/>
      <c r="V208" s="5"/>
      <c r="W208" s="5"/>
      <c r="X208" s="5"/>
      <c r="Y208" s="5"/>
      <c r="Z208" s="5"/>
      <c r="AA208" s="1"/>
      <c r="AB208" s="5"/>
      <c r="AC208" s="1"/>
      <c r="AD208" s="5"/>
      <c r="AE208" s="1"/>
      <c r="AF208" s="5"/>
      <c r="AG208" s="1"/>
      <c r="AH208" s="5"/>
      <c r="AI208" s="1"/>
      <c r="AJ208" s="5"/>
      <c r="AK208" s="1"/>
      <c r="AL208" s="5"/>
      <c r="AM208" s="1"/>
      <c r="AN208" s="5"/>
      <c r="AO208" s="1"/>
      <c r="AP208" s="5"/>
      <c r="AQ208" s="1"/>
      <c r="AR208" s="5"/>
      <c r="AS208" s="1"/>
      <c r="AT208" s="5"/>
      <c r="AU208" s="1"/>
      <c r="AV208" s="5"/>
      <c r="AW208" s="1"/>
      <c r="AX208" s="5"/>
      <c r="AY208" s="1"/>
      <c r="AZ208" s="5"/>
      <c r="BA208" s="1"/>
      <c r="BB208" s="5"/>
      <c r="BC208" s="1"/>
      <c r="BD208" s="5"/>
      <c r="BE208" s="1"/>
      <c r="BF208" s="5"/>
      <c r="BG208" s="1"/>
      <c r="BH208" s="5"/>
      <c r="BI208" s="1"/>
      <c r="BJ208" s="5"/>
      <c r="BK208" s="1"/>
      <c r="BL208" s="5"/>
      <c r="BM208" s="1"/>
      <c r="BN208" s="5"/>
      <c r="BO208" s="1"/>
      <c r="BP208" s="5"/>
      <c r="BQ208" s="1"/>
      <c r="BR208" s="5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</row>
    <row r="209" ht="15.75" customHeight="1">
      <c r="A209" s="94"/>
      <c r="B209" s="97"/>
      <c r="C209" s="97"/>
      <c r="D209" s="97"/>
      <c r="E209" s="5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5"/>
      <c r="T209" s="5"/>
      <c r="U209" s="5"/>
      <c r="V209" s="5"/>
      <c r="W209" s="5"/>
      <c r="X209" s="5"/>
      <c r="Y209" s="5"/>
      <c r="Z209" s="5"/>
      <c r="AA209" s="1"/>
      <c r="AB209" s="5"/>
      <c r="AC209" s="1"/>
      <c r="AD209" s="5"/>
      <c r="AE209" s="1"/>
      <c r="AF209" s="5"/>
      <c r="AG209" s="1"/>
      <c r="AH209" s="5"/>
      <c r="AI209" s="1"/>
      <c r="AJ209" s="5"/>
      <c r="AK209" s="1"/>
      <c r="AL209" s="5"/>
      <c r="AM209" s="1"/>
      <c r="AN209" s="5"/>
      <c r="AO209" s="1"/>
      <c r="AP209" s="5"/>
      <c r="AQ209" s="1"/>
      <c r="AR209" s="5"/>
      <c r="AS209" s="1"/>
      <c r="AT209" s="5"/>
      <c r="AU209" s="1"/>
      <c r="AV209" s="5"/>
      <c r="AW209" s="1"/>
      <c r="AX209" s="5"/>
      <c r="AY209" s="1"/>
      <c r="AZ209" s="5"/>
      <c r="BA209" s="1"/>
      <c r="BB209" s="5"/>
      <c r="BC209" s="1"/>
      <c r="BD209" s="5"/>
      <c r="BE209" s="1"/>
      <c r="BF209" s="5"/>
      <c r="BG209" s="1"/>
      <c r="BH209" s="5"/>
      <c r="BI209" s="1"/>
      <c r="BJ209" s="5"/>
      <c r="BK209" s="1"/>
      <c r="BL209" s="5"/>
      <c r="BM209" s="1"/>
      <c r="BN209" s="5"/>
      <c r="BO209" s="1"/>
      <c r="BP209" s="5"/>
      <c r="BQ209" s="1"/>
      <c r="BR209" s="5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</row>
    <row r="210" ht="15.75" customHeight="1">
      <c r="A210" s="94"/>
      <c r="B210" s="97"/>
      <c r="C210" s="97"/>
      <c r="D210" s="97"/>
      <c r="E210" s="5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5"/>
      <c r="T210" s="5"/>
      <c r="U210" s="5"/>
      <c r="V210" s="5"/>
      <c r="W210" s="5"/>
      <c r="X210" s="5"/>
      <c r="Y210" s="5"/>
      <c r="Z210" s="5"/>
      <c r="AA210" s="1"/>
      <c r="AB210" s="5"/>
      <c r="AC210" s="1"/>
      <c r="AD210" s="5"/>
      <c r="AE210" s="1"/>
      <c r="AF210" s="5"/>
      <c r="AG210" s="1"/>
      <c r="AH210" s="5"/>
      <c r="AI210" s="1"/>
      <c r="AJ210" s="5"/>
      <c r="AK210" s="1"/>
      <c r="AL210" s="5"/>
      <c r="AM210" s="1"/>
      <c r="AN210" s="5"/>
      <c r="AO210" s="1"/>
      <c r="AP210" s="5"/>
      <c r="AQ210" s="1"/>
      <c r="AR210" s="5"/>
      <c r="AS210" s="1"/>
      <c r="AT210" s="5"/>
      <c r="AU210" s="1"/>
      <c r="AV210" s="5"/>
      <c r="AW210" s="1"/>
      <c r="AX210" s="5"/>
      <c r="AY210" s="1"/>
      <c r="AZ210" s="5"/>
      <c r="BA210" s="1"/>
      <c r="BB210" s="5"/>
      <c r="BC210" s="1"/>
      <c r="BD210" s="5"/>
      <c r="BE210" s="1"/>
      <c r="BF210" s="5"/>
      <c r="BG210" s="1"/>
      <c r="BH210" s="5"/>
      <c r="BI210" s="1"/>
      <c r="BJ210" s="5"/>
      <c r="BK210" s="1"/>
      <c r="BL210" s="5"/>
      <c r="BM210" s="1"/>
      <c r="BN210" s="5"/>
      <c r="BO210" s="1"/>
      <c r="BP210" s="5"/>
      <c r="BQ210" s="1"/>
      <c r="BR210" s="5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</row>
    <row r="211" ht="15.75" customHeight="1">
      <c r="A211" s="94"/>
      <c r="B211" s="97"/>
      <c r="C211" s="97"/>
      <c r="D211" s="97"/>
      <c r="E211" s="5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5"/>
      <c r="T211" s="5"/>
      <c r="U211" s="5"/>
      <c r="V211" s="5"/>
      <c r="W211" s="5"/>
      <c r="X211" s="5"/>
      <c r="Y211" s="5"/>
      <c r="Z211" s="5"/>
      <c r="AA211" s="1"/>
      <c r="AB211" s="5"/>
      <c r="AC211" s="1"/>
      <c r="AD211" s="5"/>
      <c r="AE211" s="1"/>
      <c r="AF211" s="5"/>
      <c r="AG211" s="1"/>
      <c r="AH211" s="5"/>
      <c r="AI211" s="1"/>
      <c r="AJ211" s="5"/>
      <c r="AK211" s="1"/>
      <c r="AL211" s="5"/>
      <c r="AM211" s="1"/>
      <c r="AN211" s="5"/>
      <c r="AO211" s="1"/>
      <c r="AP211" s="5"/>
      <c r="AQ211" s="1"/>
      <c r="AR211" s="5"/>
      <c r="AS211" s="1"/>
      <c r="AT211" s="5"/>
      <c r="AU211" s="1"/>
      <c r="AV211" s="5"/>
      <c r="AW211" s="1"/>
      <c r="AX211" s="5"/>
      <c r="AY211" s="1"/>
      <c r="AZ211" s="5"/>
      <c r="BA211" s="1"/>
      <c r="BB211" s="5"/>
      <c r="BC211" s="1"/>
      <c r="BD211" s="5"/>
      <c r="BE211" s="1"/>
      <c r="BF211" s="5"/>
      <c r="BG211" s="1"/>
      <c r="BH211" s="5"/>
      <c r="BI211" s="1"/>
      <c r="BJ211" s="5"/>
      <c r="BK211" s="1"/>
      <c r="BL211" s="5"/>
      <c r="BM211" s="1"/>
      <c r="BN211" s="5"/>
      <c r="BO211" s="1"/>
      <c r="BP211" s="5"/>
      <c r="BQ211" s="1"/>
      <c r="BR211" s="5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</row>
    <row r="212" ht="15.75" customHeight="1">
      <c r="A212" s="94"/>
      <c r="B212" s="97"/>
      <c r="C212" s="97"/>
      <c r="D212" s="97"/>
      <c r="E212" s="5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5"/>
      <c r="T212" s="5"/>
      <c r="U212" s="5"/>
      <c r="V212" s="5"/>
      <c r="W212" s="5"/>
      <c r="X212" s="5"/>
      <c r="Y212" s="5"/>
      <c r="Z212" s="5"/>
      <c r="AA212" s="1"/>
      <c r="AB212" s="5"/>
      <c r="AC212" s="1"/>
      <c r="AD212" s="5"/>
      <c r="AE212" s="1"/>
      <c r="AF212" s="5"/>
      <c r="AG212" s="1"/>
      <c r="AH212" s="5"/>
      <c r="AI212" s="1"/>
      <c r="AJ212" s="5"/>
      <c r="AK212" s="1"/>
      <c r="AL212" s="5"/>
      <c r="AM212" s="1"/>
      <c r="AN212" s="5"/>
      <c r="AO212" s="1"/>
      <c r="AP212" s="5"/>
      <c r="AQ212" s="1"/>
      <c r="AR212" s="5"/>
      <c r="AS212" s="1"/>
      <c r="AT212" s="5"/>
      <c r="AU212" s="1"/>
      <c r="AV212" s="5"/>
      <c r="AW212" s="1"/>
      <c r="AX212" s="5"/>
      <c r="AY212" s="1"/>
      <c r="AZ212" s="5"/>
      <c r="BA212" s="1"/>
      <c r="BB212" s="5"/>
      <c r="BC212" s="1"/>
      <c r="BD212" s="5"/>
      <c r="BE212" s="1"/>
      <c r="BF212" s="5"/>
      <c r="BG212" s="1"/>
      <c r="BH212" s="5"/>
      <c r="BI212" s="1"/>
      <c r="BJ212" s="5"/>
      <c r="BK212" s="1"/>
      <c r="BL212" s="5"/>
      <c r="BM212" s="1"/>
      <c r="BN212" s="5"/>
      <c r="BO212" s="1"/>
      <c r="BP212" s="5"/>
      <c r="BQ212" s="1"/>
      <c r="BR212" s="5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</row>
    <row r="213" ht="15.75" customHeight="1">
      <c r="A213" s="94"/>
      <c r="B213" s="97"/>
      <c r="C213" s="97"/>
      <c r="D213" s="97"/>
      <c r="E213" s="5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5"/>
      <c r="T213" s="5"/>
      <c r="U213" s="5"/>
      <c r="V213" s="5"/>
      <c r="W213" s="5"/>
      <c r="X213" s="5"/>
      <c r="Y213" s="5"/>
      <c r="Z213" s="5"/>
      <c r="AA213" s="1"/>
      <c r="AB213" s="5"/>
      <c r="AC213" s="1"/>
      <c r="AD213" s="5"/>
      <c r="AE213" s="1"/>
      <c r="AF213" s="5"/>
      <c r="AG213" s="1"/>
      <c r="AH213" s="5"/>
      <c r="AI213" s="1"/>
      <c r="AJ213" s="5"/>
      <c r="AK213" s="1"/>
      <c r="AL213" s="5"/>
      <c r="AM213" s="1"/>
      <c r="AN213" s="5"/>
      <c r="AO213" s="1"/>
      <c r="AP213" s="5"/>
      <c r="AQ213" s="1"/>
      <c r="AR213" s="5"/>
      <c r="AS213" s="1"/>
      <c r="AT213" s="5"/>
      <c r="AU213" s="1"/>
      <c r="AV213" s="5"/>
      <c r="AW213" s="1"/>
      <c r="AX213" s="5"/>
      <c r="AY213" s="1"/>
      <c r="AZ213" s="5"/>
      <c r="BA213" s="1"/>
      <c r="BB213" s="5"/>
      <c r="BC213" s="1"/>
      <c r="BD213" s="5"/>
      <c r="BE213" s="1"/>
      <c r="BF213" s="5"/>
      <c r="BG213" s="1"/>
      <c r="BH213" s="5"/>
      <c r="BI213" s="1"/>
      <c r="BJ213" s="5"/>
      <c r="BK213" s="1"/>
      <c r="BL213" s="5"/>
      <c r="BM213" s="1"/>
      <c r="BN213" s="5"/>
      <c r="BO213" s="1"/>
      <c r="BP213" s="5"/>
      <c r="BQ213" s="1"/>
      <c r="BR213" s="5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ht="15.75" customHeight="1">
      <c r="A214" s="94"/>
      <c r="B214" s="97"/>
      <c r="C214" s="97"/>
      <c r="D214" s="97"/>
      <c r="E214" s="5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5"/>
      <c r="T214" s="5"/>
      <c r="U214" s="5"/>
      <c r="V214" s="5"/>
      <c r="W214" s="5"/>
      <c r="X214" s="5"/>
      <c r="Y214" s="5"/>
      <c r="Z214" s="5"/>
      <c r="AA214" s="1"/>
      <c r="AB214" s="5"/>
      <c r="AC214" s="1"/>
      <c r="AD214" s="5"/>
      <c r="AE214" s="1"/>
      <c r="AF214" s="5"/>
      <c r="AG214" s="1"/>
      <c r="AH214" s="5"/>
      <c r="AI214" s="1"/>
      <c r="AJ214" s="5"/>
      <c r="AK214" s="1"/>
      <c r="AL214" s="5"/>
      <c r="AM214" s="1"/>
      <c r="AN214" s="5"/>
      <c r="AO214" s="1"/>
      <c r="AP214" s="5"/>
      <c r="AQ214" s="1"/>
      <c r="AR214" s="5"/>
      <c r="AS214" s="1"/>
      <c r="AT214" s="5"/>
      <c r="AU214" s="1"/>
      <c r="AV214" s="5"/>
      <c r="AW214" s="1"/>
      <c r="AX214" s="5"/>
      <c r="AY214" s="1"/>
      <c r="AZ214" s="5"/>
      <c r="BA214" s="1"/>
      <c r="BB214" s="5"/>
      <c r="BC214" s="1"/>
      <c r="BD214" s="5"/>
      <c r="BE214" s="1"/>
      <c r="BF214" s="5"/>
      <c r="BG214" s="1"/>
      <c r="BH214" s="5"/>
      <c r="BI214" s="1"/>
      <c r="BJ214" s="5"/>
      <c r="BK214" s="1"/>
      <c r="BL214" s="5"/>
      <c r="BM214" s="1"/>
      <c r="BN214" s="5"/>
      <c r="BO214" s="1"/>
      <c r="BP214" s="5"/>
      <c r="BQ214" s="1"/>
      <c r="BR214" s="5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ht="15.75" customHeight="1">
      <c r="A215" s="94"/>
      <c r="B215" s="97"/>
      <c r="C215" s="97"/>
      <c r="D215" s="97"/>
      <c r="E215" s="5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5"/>
      <c r="T215" s="5"/>
      <c r="U215" s="5"/>
      <c r="V215" s="5"/>
      <c r="W215" s="5"/>
      <c r="X215" s="5"/>
      <c r="Y215" s="5"/>
      <c r="Z215" s="5"/>
      <c r="AA215" s="1"/>
      <c r="AB215" s="5"/>
      <c r="AC215" s="1"/>
      <c r="AD215" s="5"/>
      <c r="AE215" s="1"/>
      <c r="AF215" s="5"/>
      <c r="AG215" s="1"/>
      <c r="AH215" s="5"/>
      <c r="AI215" s="1"/>
      <c r="AJ215" s="5"/>
      <c r="AK215" s="1"/>
      <c r="AL215" s="5"/>
      <c r="AM215" s="1"/>
      <c r="AN215" s="5"/>
      <c r="AO215" s="1"/>
      <c r="AP215" s="5"/>
      <c r="AQ215" s="1"/>
      <c r="AR215" s="5"/>
      <c r="AS215" s="1"/>
      <c r="AT215" s="5"/>
      <c r="AU215" s="1"/>
      <c r="AV215" s="5"/>
      <c r="AW215" s="1"/>
      <c r="AX215" s="5"/>
      <c r="AY215" s="1"/>
      <c r="AZ215" s="5"/>
      <c r="BA215" s="1"/>
      <c r="BB215" s="5"/>
      <c r="BC215" s="1"/>
      <c r="BD215" s="5"/>
      <c r="BE215" s="1"/>
      <c r="BF215" s="5"/>
      <c r="BG215" s="1"/>
      <c r="BH215" s="5"/>
      <c r="BI215" s="1"/>
      <c r="BJ215" s="5"/>
      <c r="BK215" s="1"/>
      <c r="BL215" s="5"/>
      <c r="BM215" s="1"/>
      <c r="BN215" s="5"/>
      <c r="BO215" s="1"/>
      <c r="BP215" s="5"/>
      <c r="BQ215" s="1"/>
      <c r="BR215" s="5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</row>
    <row r="216" ht="15.75" customHeight="1">
      <c r="A216" s="94"/>
      <c r="B216" s="97"/>
      <c r="C216" s="97"/>
      <c r="D216" s="97"/>
      <c r="E216" s="5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5"/>
      <c r="T216" s="5"/>
      <c r="U216" s="5"/>
      <c r="V216" s="5"/>
      <c r="W216" s="5"/>
      <c r="X216" s="5"/>
      <c r="Y216" s="5"/>
      <c r="Z216" s="5"/>
      <c r="AA216" s="1"/>
      <c r="AB216" s="5"/>
      <c r="AC216" s="1"/>
      <c r="AD216" s="5"/>
      <c r="AE216" s="1"/>
      <c r="AF216" s="5"/>
      <c r="AG216" s="1"/>
      <c r="AH216" s="5"/>
      <c r="AI216" s="1"/>
      <c r="AJ216" s="5"/>
      <c r="AK216" s="1"/>
      <c r="AL216" s="5"/>
      <c r="AM216" s="1"/>
      <c r="AN216" s="5"/>
      <c r="AO216" s="1"/>
      <c r="AP216" s="5"/>
      <c r="AQ216" s="1"/>
      <c r="AR216" s="5"/>
      <c r="AS216" s="1"/>
      <c r="AT216" s="5"/>
      <c r="AU216" s="1"/>
      <c r="AV216" s="5"/>
      <c r="AW216" s="1"/>
      <c r="AX216" s="5"/>
      <c r="AY216" s="1"/>
      <c r="AZ216" s="5"/>
      <c r="BA216" s="1"/>
      <c r="BB216" s="5"/>
      <c r="BC216" s="1"/>
      <c r="BD216" s="5"/>
      <c r="BE216" s="1"/>
      <c r="BF216" s="5"/>
      <c r="BG216" s="1"/>
      <c r="BH216" s="5"/>
      <c r="BI216" s="1"/>
      <c r="BJ216" s="5"/>
      <c r="BK216" s="1"/>
      <c r="BL216" s="5"/>
      <c r="BM216" s="1"/>
      <c r="BN216" s="5"/>
      <c r="BO216" s="1"/>
      <c r="BP216" s="5"/>
      <c r="BQ216" s="1"/>
      <c r="BR216" s="5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ht="15.75" customHeight="1">
      <c r="A217" s="94"/>
      <c r="B217" s="97"/>
      <c r="C217" s="97"/>
      <c r="D217" s="97"/>
      <c r="E217" s="5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5"/>
      <c r="T217" s="5"/>
      <c r="U217" s="5"/>
      <c r="V217" s="5"/>
      <c r="W217" s="5"/>
      <c r="X217" s="5"/>
      <c r="Y217" s="5"/>
      <c r="Z217" s="5"/>
      <c r="AA217" s="1"/>
      <c r="AB217" s="5"/>
      <c r="AC217" s="1"/>
      <c r="AD217" s="5"/>
      <c r="AE217" s="1"/>
      <c r="AF217" s="5"/>
      <c r="AG217" s="1"/>
      <c r="AH217" s="5"/>
      <c r="AI217" s="1"/>
      <c r="AJ217" s="5"/>
      <c r="AK217" s="1"/>
      <c r="AL217" s="5"/>
      <c r="AM217" s="1"/>
      <c r="AN217" s="5"/>
      <c r="AO217" s="1"/>
      <c r="AP217" s="5"/>
      <c r="AQ217" s="1"/>
      <c r="AR217" s="5"/>
      <c r="AS217" s="1"/>
      <c r="AT217" s="5"/>
      <c r="AU217" s="1"/>
      <c r="AV217" s="5"/>
      <c r="AW217" s="1"/>
      <c r="AX217" s="5"/>
      <c r="AY217" s="1"/>
      <c r="AZ217" s="5"/>
      <c r="BA217" s="1"/>
      <c r="BB217" s="5"/>
      <c r="BC217" s="1"/>
      <c r="BD217" s="5"/>
      <c r="BE217" s="1"/>
      <c r="BF217" s="5"/>
      <c r="BG217" s="1"/>
      <c r="BH217" s="5"/>
      <c r="BI217" s="1"/>
      <c r="BJ217" s="5"/>
      <c r="BK217" s="1"/>
      <c r="BL217" s="5"/>
      <c r="BM217" s="1"/>
      <c r="BN217" s="5"/>
      <c r="BO217" s="1"/>
      <c r="BP217" s="5"/>
      <c r="BQ217" s="1"/>
      <c r="BR217" s="5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</row>
    <row r="218" ht="15.75" customHeight="1">
      <c r="A218" s="94"/>
      <c r="B218" s="97"/>
      <c r="C218" s="97"/>
      <c r="D218" s="97"/>
      <c r="E218" s="5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5"/>
      <c r="T218" s="5"/>
      <c r="U218" s="5"/>
      <c r="V218" s="5"/>
      <c r="W218" s="5"/>
      <c r="X218" s="5"/>
      <c r="Y218" s="5"/>
      <c r="Z218" s="5"/>
      <c r="AA218" s="1"/>
      <c r="AB218" s="5"/>
      <c r="AC218" s="1"/>
      <c r="AD218" s="5"/>
      <c r="AE218" s="1"/>
      <c r="AF218" s="5"/>
      <c r="AG218" s="1"/>
      <c r="AH218" s="5"/>
      <c r="AI218" s="1"/>
      <c r="AJ218" s="5"/>
      <c r="AK218" s="1"/>
      <c r="AL218" s="5"/>
      <c r="AM218" s="1"/>
      <c r="AN218" s="5"/>
      <c r="AO218" s="1"/>
      <c r="AP218" s="5"/>
      <c r="AQ218" s="1"/>
      <c r="AR218" s="5"/>
      <c r="AS218" s="1"/>
      <c r="AT218" s="5"/>
      <c r="AU218" s="1"/>
      <c r="AV218" s="5"/>
      <c r="AW218" s="1"/>
      <c r="AX218" s="5"/>
      <c r="AY218" s="1"/>
      <c r="AZ218" s="5"/>
      <c r="BA218" s="1"/>
      <c r="BB218" s="5"/>
      <c r="BC218" s="1"/>
      <c r="BD218" s="5"/>
      <c r="BE218" s="1"/>
      <c r="BF218" s="5"/>
      <c r="BG218" s="1"/>
      <c r="BH218" s="5"/>
      <c r="BI218" s="1"/>
      <c r="BJ218" s="5"/>
      <c r="BK218" s="1"/>
      <c r="BL218" s="5"/>
      <c r="BM218" s="1"/>
      <c r="BN218" s="5"/>
      <c r="BO218" s="1"/>
      <c r="BP218" s="5"/>
      <c r="BQ218" s="1"/>
      <c r="BR218" s="5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ht="15.75" customHeight="1">
      <c r="A219" s="94"/>
      <c r="B219" s="97"/>
      <c r="C219" s="97"/>
      <c r="D219" s="97"/>
      <c r="E219" s="5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5"/>
      <c r="T219" s="5"/>
      <c r="U219" s="5"/>
      <c r="V219" s="5"/>
      <c r="W219" s="5"/>
      <c r="X219" s="5"/>
      <c r="Y219" s="5"/>
      <c r="Z219" s="5"/>
      <c r="AA219" s="1"/>
      <c r="AB219" s="5"/>
      <c r="AC219" s="1"/>
      <c r="AD219" s="5"/>
      <c r="AE219" s="1"/>
      <c r="AF219" s="5"/>
      <c r="AG219" s="1"/>
      <c r="AH219" s="5"/>
      <c r="AI219" s="1"/>
      <c r="AJ219" s="5"/>
      <c r="AK219" s="1"/>
      <c r="AL219" s="5"/>
      <c r="AM219" s="1"/>
      <c r="AN219" s="5"/>
      <c r="AO219" s="1"/>
      <c r="AP219" s="5"/>
      <c r="AQ219" s="1"/>
      <c r="AR219" s="5"/>
      <c r="AS219" s="1"/>
      <c r="AT219" s="5"/>
      <c r="AU219" s="1"/>
      <c r="AV219" s="5"/>
      <c r="AW219" s="1"/>
      <c r="AX219" s="5"/>
      <c r="AY219" s="1"/>
      <c r="AZ219" s="5"/>
      <c r="BA219" s="1"/>
      <c r="BB219" s="5"/>
      <c r="BC219" s="1"/>
      <c r="BD219" s="5"/>
      <c r="BE219" s="1"/>
      <c r="BF219" s="5"/>
      <c r="BG219" s="1"/>
      <c r="BH219" s="5"/>
      <c r="BI219" s="1"/>
      <c r="BJ219" s="5"/>
      <c r="BK219" s="1"/>
      <c r="BL219" s="5"/>
      <c r="BM219" s="1"/>
      <c r="BN219" s="5"/>
      <c r="BO219" s="1"/>
      <c r="BP219" s="5"/>
      <c r="BQ219" s="1"/>
      <c r="BR219" s="5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ht="15.75" customHeight="1">
      <c r="A220" s="94"/>
      <c r="B220" s="97"/>
      <c r="C220" s="97"/>
      <c r="D220" s="97"/>
      <c r="E220" s="5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5"/>
      <c r="T220" s="5"/>
      <c r="U220" s="5"/>
      <c r="V220" s="5"/>
      <c r="W220" s="5"/>
      <c r="X220" s="5"/>
      <c r="Y220" s="5"/>
      <c r="Z220" s="5"/>
      <c r="AA220" s="1"/>
      <c r="AB220" s="5"/>
      <c r="AC220" s="1"/>
      <c r="AD220" s="5"/>
      <c r="AE220" s="1"/>
      <c r="AF220" s="5"/>
      <c r="AG220" s="1"/>
      <c r="AH220" s="5"/>
      <c r="AI220" s="1"/>
      <c r="AJ220" s="5"/>
      <c r="AK220" s="1"/>
      <c r="AL220" s="5"/>
      <c r="AM220" s="1"/>
      <c r="AN220" s="5"/>
      <c r="AO220" s="1"/>
      <c r="AP220" s="5"/>
      <c r="AQ220" s="1"/>
      <c r="AR220" s="5"/>
      <c r="AS220" s="1"/>
      <c r="AT220" s="5"/>
      <c r="AU220" s="1"/>
      <c r="AV220" s="5"/>
      <c r="AW220" s="1"/>
      <c r="AX220" s="5"/>
      <c r="AY220" s="1"/>
      <c r="AZ220" s="5"/>
      <c r="BA220" s="1"/>
      <c r="BB220" s="5"/>
      <c r="BC220" s="1"/>
      <c r="BD220" s="5"/>
      <c r="BE220" s="1"/>
      <c r="BF220" s="5"/>
      <c r="BG220" s="1"/>
      <c r="BH220" s="5"/>
      <c r="BI220" s="1"/>
      <c r="BJ220" s="5"/>
      <c r="BK220" s="1"/>
      <c r="BL220" s="5"/>
      <c r="BM220" s="1"/>
      <c r="BN220" s="5"/>
      <c r="BO220" s="1"/>
      <c r="BP220" s="5"/>
      <c r="BQ220" s="1"/>
      <c r="BR220" s="5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ht="15.75" customHeight="1">
      <c r="A221" s="94"/>
      <c r="B221" s="97"/>
      <c r="C221" s="97"/>
      <c r="D221" s="97"/>
      <c r="E221" s="5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5"/>
      <c r="T221" s="5"/>
      <c r="U221" s="5"/>
      <c r="V221" s="5"/>
      <c r="W221" s="5"/>
      <c r="X221" s="5"/>
      <c r="Y221" s="5"/>
      <c r="Z221" s="5"/>
      <c r="AA221" s="1"/>
      <c r="AB221" s="5"/>
      <c r="AC221" s="1"/>
      <c r="AD221" s="5"/>
      <c r="AE221" s="1"/>
      <c r="AF221" s="5"/>
      <c r="AG221" s="1"/>
      <c r="AH221" s="5"/>
      <c r="AI221" s="1"/>
      <c r="AJ221" s="5"/>
      <c r="AK221" s="1"/>
      <c r="AL221" s="5"/>
      <c r="AM221" s="1"/>
      <c r="AN221" s="5"/>
      <c r="AO221" s="1"/>
      <c r="AP221" s="5"/>
      <c r="AQ221" s="1"/>
      <c r="AR221" s="5"/>
      <c r="AS221" s="1"/>
      <c r="AT221" s="5"/>
      <c r="AU221" s="1"/>
      <c r="AV221" s="5"/>
      <c r="AW221" s="1"/>
      <c r="AX221" s="5"/>
      <c r="AY221" s="1"/>
      <c r="AZ221" s="5"/>
      <c r="BA221" s="1"/>
      <c r="BB221" s="5"/>
      <c r="BC221" s="1"/>
      <c r="BD221" s="5"/>
      <c r="BE221" s="1"/>
      <c r="BF221" s="5"/>
      <c r="BG221" s="1"/>
      <c r="BH221" s="5"/>
      <c r="BI221" s="1"/>
      <c r="BJ221" s="5"/>
      <c r="BK221" s="1"/>
      <c r="BL221" s="5"/>
      <c r="BM221" s="1"/>
      <c r="BN221" s="5"/>
      <c r="BO221" s="1"/>
      <c r="BP221" s="5"/>
      <c r="BQ221" s="1"/>
      <c r="BR221" s="5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ht="15.75" customHeight="1">
      <c r="A222" s="94"/>
      <c r="B222" s="97"/>
      <c r="C222" s="97"/>
      <c r="D222" s="97"/>
      <c r="E222" s="5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5"/>
      <c r="T222" s="5"/>
      <c r="U222" s="5"/>
      <c r="V222" s="5"/>
      <c r="W222" s="5"/>
      <c r="X222" s="5"/>
      <c r="Y222" s="5"/>
      <c r="Z222" s="5"/>
      <c r="AA222" s="1"/>
      <c r="AB222" s="5"/>
      <c r="AC222" s="1"/>
      <c r="AD222" s="5"/>
      <c r="AE222" s="1"/>
      <c r="AF222" s="5"/>
      <c r="AG222" s="1"/>
      <c r="AH222" s="5"/>
      <c r="AI222" s="1"/>
      <c r="AJ222" s="5"/>
      <c r="AK222" s="1"/>
      <c r="AL222" s="5"/>
      <c r="AM222" s="1"/>
      <c r="AN222" s="5"/>
      <c r="AO222" s="1"/>
      <c r="AP222" s="5"/>
      <c r="AQ222" s="1"/>
      <c r="AR222" s="5"/>
      <c r="AS222" s="1"/>
      <c r="AT222" s="5"/>
      <c r="AU222" s="1"/>
      <c r="AV222" s="5"/>
      <c r="AW222" s="1"/>
      <c r="AX222" s="5"/>
      <c r="AY222" s="1"/>
      <c r="AZ222" s="5"/>
      <c r="BA222" s="1"/>
      <c r="BB222" s="5"/>
      <c r="BC222" s="1"/>
      <c r="BD222" s="5"/>
      <c r="BE222" s="1"/>
      <c r="BF222" s="5"/>
      <c r="BG222" s="1"/>
      <c r="BH222" s="5"/>
      <c r="BI222" s="1"/>
      <c r="BJ222" s="5"/>
      <c r="BK222" s="1"/>
      <c r="BL222" s="5"/>
      <c r="BM222" s="1"/>
      <c r="BN222" s="5"/>
      <c r="BO222" s="1"/>
      <c r="BP222" s="5"/>
      <c r="BQ222" s="1"/>
      <c r="BR222" s="5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</row>
    <row r="223" ht="15.75" customHeight="1">
      <c r="A223" s="94"/>
      <c r="B223" s="97"/>
      <c r="C223" s="97"/>
      <c r="D223" s="97"/>
      <c r="E223" s="5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5"/>
      <c r="T223" s="5"/>
      <c r="U223" s="5"/>
      <c r="V223" s="5"/>
      <c r="W223" s="5"/>
      <c r="X223" s="5"/>
      <c r="Y223" s="5"/>
      <c r="Z223" s="5"/>
      <c r="AA223" s="1"/>
      <c r="AB223" s="5"/>
      <c r="AC223" s="1"/>
      <c r="AD223" s="5"/>
      <c r="AE223" s="1"/>
      <c r="AF223" s="5"/>
      <c r="AG223" s="1"/>
      <c r="AH223" s="5"/>
      <c r="AI223" s="1"/>
      <c r="AJ223" s="5"/>
      <c r="AK223" s="1"/>
      <c r="AL223" s="5"/>
      <c r="AM223" s="1"/>
      <c r="AN223" s="5"/>
      <c r="AO223" s="1"/>
      <c r="AP223" s="5"/>
      <c r="AQ223" s="1"/>
      <c r="AR223" s="5"/>
      <c r="AS223" s="1"/>
      <c r="AT223" s="5"/>
      <c r="AU223" s="1"/>
      <c r="AV223" s="5"/>
      <c r="AW223" s="1"/>
      <c r="AX223" s="5"/>
      <c r="AY223" s="1"/>
      <c r="AZ223" s="5"/>
      <c r="BA223" s="1"/>
      <c r="BB223" s="5"/>
      <c r="BC223" s="1"/>
      <c r="BD223" s="5"/>
      <c r="BE223" s="1"/>
      <c r="BF223" s="5"/>
      <c r="BG223" s="1"/>
      <c r="BH223" s="5"/>
      <c r="BI223" s="1"/>
      <c r="BJ223" s="5"/>
      <c r="BK223" s="1"/>
      <c r="BL223" s="5"/>
      <c r="BM223" s="1"/>
      <c r="BN223" s="5"/>
      <c r="BO223" s="1"/>
      <c r="BP223" s="5"/>
      <c r="BQ223" s="1"/>
      <c r="BR223" s="5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</row>
    <row r="224" ht="15.75" customHeight="1">
      <c r="A224" s="94"/>
      <c r="B224" s="97"/>
      <c r="C224" s="97"/>
      <c r="D224" s="97"/>
      <c r="E224" s="5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5"/>
      <c r="T224" s="5"/>
      <c r="U224" s="5"/>
      <c r="V224" s="5"/>
      <c r="W224" s="5"/>
      <c r="X224" s="5"/>
      <c r="Y224" s="5"/>
      <c r="Z224" s="5"/>
      <c r="AA224" s="1"/>
      <c r="AB224" s="5"/>
      <c r="AC224" s="1"/>
      <c r="AD224" s="5"/>
      <c r="AE224" s="1"/>
      <c r="AF224" s="5"/>
      <c r="AG224" s="1"/>
      <c r="AH224" s="5"/>
      <c r="AI224" s="1"/>
      <c r="AJ224" s="5"/>
      <c r="AK224" s="1"/>
      <c r="AL224" s="5"/>
      <c r="AM224" s="1"/>
      <c r="AN224" s="5"/>
      <c r="AO224" s="1"/>
      <c r="AP224" s="5"/>
      <c r="AQ224" s="1"/>
      <c r="AR224" s="5"/>
      <c r="AS224" s="1"/>
      <c r="AT224" s="5"/>
      <c r="AU224" s="1"/>
      <c r="AV224" s="5"/>
      <c r="AW224" s="1"/>
      <c r="AX224" s="5"/>
      <c r="AY224" s="1"/>
      <c r="AZ224" s="5"/>
      <c r="BA224" s="1"/>
      <c r="BB224" s="5"/>
      <c r="BC224" s="1"/>
      <c r="BD224" s="5"/>
      <c r="BE224" s="1"/>
      <c r="BF224" s="5"/>
      <c r="BG224" s="1"/>
      <c r="BH224" s="5"/>
      <c r="BI224" s="1"/>
      <c r="BJ224" s="5"/>
      <c r="BK224" s="1"/>
      <c r="BL224" s="5"/>
      <c r="BM224" s="1"/>
      <c r="BN224" s="5"/>
      <c r="BO224" s="1"/>
      <c r="BP224" s="5"/>
      <c r="BQ224" s="1"/>
      <c r="BR224" s="5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ht="15.75" customHeight="1">
      <c r="A225" s="94"/>
      <c r="B225" s="97"/>
      <c r="C225" s="97"/>
      <c r="D225" s="97"/>
      <c r="E225" s="5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5"/>
      <c r="T225" s="5"/>
      <c r="U225" s="5"/>
      <c r="V225" s="5"/>
      <c r="W225" s="5"/>
      <c r="X225" s="5"/>
      <c r="Y225" s="5"/>
      <c r="Z225" s="5"/>
      <c r="AA225" s="1"/>
      <c r="AB225" s="5"/>
      <c r="AC225" s="1"/>
      <c r="AD225" s="5"/>
      <c r="AE225" s="1"/>
      <c r="AF225" s="5"/>
      <c r="AG225" s="1"/>
      <c r="AH225" s="5"/>
      <c r="AI225" s="1"/>
      <c r="AJ225" s="5"/>
      <c r="AK225" s="1"/>
      <c r="AL225" s="5"/>
      <c r="AM225" s="1"/>
      <c r="AN225" s="5"/>
      <c r="AO225" s="1"/>
      <c r="AP225" s="5"/>
      <c r="AQ225" s="1"/>
      <c r="AR225" s="5"/>
      <c r="AS225" s="1"/>
      <c r="AT225" s="5"/>
      <c r="AU225" s="1"/>
      <c r="AV225" s="5"/>
      <c r="AW225" s="1"/>
      <c r="AX225" s="5"/>
      <c r="AY225" s="1"/>
      <c r="AZ225" s="5"/>
      <c r="BA225" s="1"/>
      <c r="BB225" s="5"/>
      <c r="BC225" s="1"/>
      <c r="BD225" s="5"/>
      <c r="BE225" s="1"/>
      <c r="BF225" s="5"/>
      <c r="BG225" s="1"/>
      <c r="BH225" s="5"/>
      <c r="BI225" s="1"/>
      <c r="BJ225" s="5"/>
      <c r="BK225" s="1"/>
      <c r="BL225" s="5"/>
      <c r="BM225" s="1"/>
      <c r="BN225" s="5"/>
      <c r="BO225" s="1"/>
      <c r="BP225" s="5"/>
      <c r="BQ225" s="1"/>
      <c r="BR225" s="5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</row>
    <row r="226" ht="15.75" customHeight="1">
      <c r="A226" s="94"/>
      <c r="B226" s="97"/>
      <c r="C226" s="97"/>
      <c r="D226" s="97"/>
      <c r="E226" s="5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5"/>
      <c r="T226" s="5"/>
      <c r="U226" s="5"/>
      <c r="V226" s="5"/>
      <c r="W226" s="5"/>
      <c r="X226" s="5"/>
      <c r="Y226" s="5"/>
      <c r="Z226" s="5"/>
      <c r="AA226" s="1"/>
      <c r="AB226" s="5"/>
      <c r="AC226" s="1"/>
      <c r="AD226" s="5"/>
      <c r="AE226" s="1"/>
      <c r="AF226" s="5"/>
      <c r="AG226" s="1"/>
      <c r="AH226" s="5"/>
      <c r="AI226" s="1"/>
      <c r="AJ226" s="5"/>
      <c r="AK226" s="1"/>
      <c r="AL226" s="5"/>
      <c r="AM226" s="1"/>
      <c r="AN226" s="5"/>
      <c r="AO226" s="1"/>
      <c r="AP226" s="5"/>
      <c r="AQ226" s="1"/>
      <c r="AR226" s="5"/>
      <c r="AS226" s="1"/>
      <c r="AT226" s="5"/>
      <c r="AU226" s="1"/>
      <c r="AV226" s="5"/>
      <c r="AW226" s="1"/>
      <c r="AX226" s="5"/>
      <c r="AY226" s="1"/>
      <c r="AZ226" s="5"/>
      <c r="BA226" s="1"/>
      <c r="BB226" s="5"/>
      <c r="BC226" s="1"/>
      <c r="BD226" s="5"/>
      <c r="BE226" s="1"/>
      <c r="BF226" s="5"/>
      <c r="BG226" s="1"/>
      <c r="BH226" s="5"/>
      <c r="BI226" s="1"/>
      <c r="BJ226" s="5"/>
      <c r="BK226" s="1"/>
      <c r="BL226" s="5"/>
      <c r="BM226" s="1"/>
      <c r="BN226" s="5"/>
      <c r="BO226" s="1"/>
      <c r="BP226" s="5"/>
      <c r="BQ226" s="1"/>
      <c r="BR226" s="5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</row>
    <row r="227" ht="15.75" customHeight="1">
      <c r="A227" s="94"/>
      <c r="B227" s="97"/>
      <c r="C227" s="97"/>
      <c r="D227" s="97"/>
      <c r="E227" s="5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5"/>
      <c r="T227" s="5"/>
      <c r="U227" s="5"/>
      <c r="V227" s="5"/>
      <c r="W227" s="5"/>
      <c r="X227" s="5"/>
      <c r="Y227" s="5"/>
      <c r="Z227" s="5"/>
      <c r="AA227" s="1"/>
      <c r="AB227" s="5"/>
      <c r="AC227" s="1"/>
      <c r="AD227" s="5"/>
      <c r="AE227" s="1"/>
      <c r="AF227" s="5"/>
      <c r="AG227" s="1"/>
      <c r="AH227" s="5"/>
      <c r="AI227" s="1"/>
      <c r="AJ227" s="5"/>
      <c r="AK227" s="1"/>
      <c r="AL227" s="5"/>
      <c r="AM227" s="1"/>
      <c r="AN227" s="5"/>
      <c r="AO227" s="1"/>
      <c r="AP227" s="5"/>
      <c r="AQ227" s="1"/>
      <c r="AR227" s="5"/>
      <c r="AS227" s="1"/>
      <c r="AT227" s="5"/>
      <c r="AU227" s="1"/>
      <c r="AV227" s="5"/>
      <c r="AW227" s="1"/>
      <c r="AX227" s="5"/>
      <c r="AY227" s="1"/>
      <c r="AZ227" s="5"/>
      <c r="BA227" s="1"/>
      <c r="BB227" s="5"/>
      <c r="BC227" s="1"/>
      <c r="BD227" s="5"/>
      <c r="BE227" s="1"/>
      <c r="BF227" s="5"/>
      <c r="BG227" s="1"/>
      <c r="BH227" s="5"/>
      <c r="BI227" s="1"/>
      <c r="BJ227" s="5"/>
      <c r="BK227" s="1"/>
      <c r="BL227" s="5"/>
      <c r="BM227" s="1"/>
      <c r="BN227" s="5"/>
      <c r="BO227" s="1"/>
      <c r="BP227" s="5"/>
      <c r="BQ227" s="1"/>
      <c r="BR227" s="5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ht="15.75" customHeight="1">
      <c r="A228" s="94"/>
      <c r="B228" s="97"/>
      <c r="C228" s="97"/>
      <c r="D228" s="97"/>
      <c r="E228" s="5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5"/>
      <c r="T228" s="5"/>
      <c r="U228" s="5"/>
      <c r="V228" s="5"/>
      <c r="W228" s="5"/>
      <c r="X228" s="5"/>
      <c r="Y228" s="5"/>
      <c r="Z228" s="5"/>
      <c r="AA228" s="1"/>
      <c r="AB228" s="5"/>
      <c r="AC228" s="1"/>
      <c r="AD228" s="5"/>
      <c r="AE228" s="1"/>
      <c r="AF228" s="5"/>
      <c r="AG228" s="1"/>
      <c r="AH228" s="5"/>
      <c r="AI228" s="1"/>
      <c r="AJ228" s="5"/>
      <c r="AK228" s="1"/>
      <c r="AL228" s="5"/>
      <c r="AM228" s="1"/>
      <c r="AN228" s="5"/>
      <c r="AO228" s="1"/>
      <c r="AP228" s="5"/>
      <c r="AQ228" s="1"/>
      <c r="AR228" s="5"/>
      <c r="AS228" s="1"/>
      <c r="AT228" s="5"/>
      <c r="AU228" s="1"/>
      <c r="AV228" s="5"/>
      <c r="AW228" s="1"/>
      <c r="AX228" s="5"/>
      <c r="AY228" s="1"/>
      <c r="AZ228" s="5"/>
      <c r="BA228" s="1"/>
      <c r="BB228" s="5"/>
      <c r="BC228" s="1"/>
      <c r="BD228" s="5"/>
      <c r="BE228" s="1"/>
      <c r="BF228" s="5"/>
      <c r="BG228" s="1"/>
      <c r="BH228" s="5"/>
      <c r="BI228" s="1"/>
      <c r="BJ228" s="5"/>
      <c r="BK228" s="1"/>
      <c r="BL228" s="5"/>
      <c r="BM228" s="1"/>
      <c r="BN228" s="5"/>
      <c r="BO228" s="1"/>
      <c r="BP228" s="5"/>
      <c r="BQ228" s="1"/>
      <c r="BR228" s="5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</row>
    <row r="229" ht="15.75" customHeight="1">
      <c r="A229" s="94"/>
      <c r="B229" s="97"/>
      <c r="C229" s="97"/>
      <c r="D229" s="97"/>
      <c r="E229" s="5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5"/>
      <c r="T229" s="5"/>
      <c r="U229" s="5"/>
      <c r="V229" s="5"/>
      <c r="W229" s="5"/>
      <c r="X229" s="5"/>
      <c r="Y229" s="5"/>
      <c r="Z229" s="5"/>
      <c r="AA229" s="1"/>
      <c r="AB229" s="5"/>
      <c r="AC229" s="1"/>
      <c r="AD229" s="5"/>
      <c r="AE229" s="1"/>
      <c r="AF229" s="5"/>
      <c r="AG229" s="1"/>
      <c r="AH229" s="5"/>
      <c r="AI229" s="1"/>
      <c r="AJ229" s="5"/>
      <c r="AK229" s="1"/>
      <c r="AL229" s="5"/>
      <c r="AM229" s="1"/>
      <c r="AN229" s="5"/>
      <c r="AO229" s="1"/>
      <c r="AP229" s="5"/>
      <c r="AQ229" s="1"/>
      <c r="AR229" s="5"/>
      <c r="AS229" s="1"/>
      <c r="AT229" s="5"/>
      <c r="AU229" s="1"/>
      <c r="AV229" s="5"/>
      <c r="AW229" s="1"/>
      <c r="AX229" s="5"/>
      <c r="AY229" s="1"/>
      <c r="AZ229" s="5"/>
      <c r="BA229" s="1"/>
      <c r="BB229" s="5"/>
      <c r="BC229" s="1"/>
      <c r="BD229" s="5"/>
      <c r="BE229" s="1"/>
      <c r="BF229" s="5"/>
      <c r="BG229" s="1"/>
      <c r="BH229" s="5"/>
      <c r="BI229" s="1"/>
      <c r="BJ229" s="5"/>
      <c r="BK229" s="1"/>
      <c r="BL229" s="5"/>
      <c r="BM229" s="1"/>
      <c r="BN229" s="5"/>
      <c r="BO229" s="1"/>
      <c r="BP229" s="5"/>
      <c r="BQ229" s="1"/>
      <c r="BR229" s="5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ht="15.75" customHeight="1">
      <c r="A230" s="94"/>
      <c r="B230" s="97"/>
      <c r="C230" s="97"/>
      <c r="D230" s="97"/>
      <c r="E230" s="5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5"/>
      <c r="T230" s="5"/>
      <c r="U230" s="5"/>
      <c r="V230" s="5"/>
      <c r="W230" s="5"/>
      <c r="X230" s="5"/>
      <c r="Y230" s="5"/>
      <c r="Z230" s="5"/>
      <c r="AA230" s="1"/>
      <c r="AB230" s="5"/>
      <c r="AC230" s="1"/>
      <c r="AD230" s="5"/>
      <c r="AE230" s="1"/>
      <c r="AF230" s="5"/>
      <c r="AG230" s="1"/>
      <c r="AH230" s="5"/>
      <c r="AI230" s="1"/>
      <c r="AJ230" s="5"/>
      <c r="AK230" s="1"/>
      <c r="AL230" s="5"/>
      <c r="AM230" s="1"/>
      <c r="AN230" s="5"/>
      <c r="AO230" s="1"/>
      <c r="AP230" s="5"/>
      <c r="AQ230" s="1"/>
      <c r="AR230" s="5"/>
      <c r="AS230" s="1"/>
      <c r="AT230" s="5"/>
      <c r="AU230" s="1"/>
      <c r="AV230" s="5"/>
      <c r="AW230" s="1"/>
      <c r="AX230" s="5"/>
      <c r="AY230" s="1"/>
      <c r="AZ230" s="5"/>
      <c r="BA230" s="1"/>
      <c r="BB230" s="5"/>
      <c r="BC230" s="1"/>
      <c r="BD230" s="5"/>
      <c r="BE230" s="1"/>
      <c r="BF230" s="5"/>
      <c r="BG230" s="1"/>
      <c r="BH230" s="5"/>
      <c r="BI230" s="1"/>
      <c r="BJ230" s="5"/>
      <c r="BK230" s="1"/>
      <c r="BL230" s="5"/>
      <c r="BM230" s="1"/>
      <c r="BN230" s="5"/>
      <c r="BO230" s="1"/>
      <c r="BP230" s="5"/>
      <c r="BQ230" s="1"/>
      <c r="BR230" s="5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</row>
    <row r="231" ht="15.75" customHeight="1">
      <c r="A231" s="94"/>
      <c r="B231" s="97"/>
      <c r="C231" s="97"/>
      <c r="D231" s="97"/>
      <c r="E231" s="5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5"/>
      <c r="T231" s="5"/>
      <c r="U231" s="5"/>
      <c r="V231" s="5"/>
      <c r="W231" s="5"/>
      <c r="X231" s="5"/>
      <c r="Y231" s="5"/>
      <c r="Z231" s="5"/>
      <c r="AA231" s="1"/>
      <c r="AB231" s="5"/>
      <c r="AC231" s="1"/>
      <c r="AD231" s="5"/>
      <c r="AE231" s="1"/>
      <c r="AF231" s="5"/>
      <c r="AG231" s="1"/>
      <c r="AH231" s="5"/>
      <c r="AI231" s="1"/>
      <c r="AJ231" s="5"/>
      <c r="AK231" s="1"/>
      <c r="AL231" s="5"/>
      <c r="AM231" s="1"/>
      <c r="AN231" s="5"/>
      <c r="AO231" s="1"/>
      <c r="AP231" s="5"/>
      <c r="AQ231" s="1"/>
      <c r="AR231" s="5"/>
      <c r="AS231" s="1"/>
      <c r="AT231" s="5"/>
      <c r="AU231" s="1"/>
      <c r="AV231" s="5"/>
      <c r="AW231" s="1"/>
      <c r="AX231" s="5"/>
      <c r="AY231" s="1"/>
      <c r="AZ231" s="5"/>
      <c r="BA231" s="1"/>
      <c r="BB231" s="5"/>
      <c r="BC231" s="1"/>
      <c r="BD231" s="5"/>
      <c r="BE231" s="1"/>
      <c r="BF231" s="5"/>
      <c r="BG231" s="1"/>
      <c r="BH231" s="5"/>
      <c r="BI231" s="1"/>
      <c r="BJ231" s="5"/>
      <c r="BK231" s="1"/>
      <c r="BL231" s="5"/>
      <c r="BM231" s="1"/>
      <c r="BN231" s="5"/>
      <c r="BO231" s="1"/>
      <c r="BP231" s="5"/>
      <c r="BQ231" s="1"/>
      <c r="BR231" s="5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ht="15.75" customHeight="1">
      <c r="A232" s="94"/>
      <c r="B232" s="97"/>
      <c r="C232" s="97"/>
      <c r="D232" s="97"/>
      <c r="E232" s="5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5"/>
      <c r="T232" s="5"/>
      <c r="U232" s="5"/>
      <c r="V232" s="5"/>
      <c r="W232" s="5"/>
      <c r="X232" s="5"/>
      <c r="Y232" s="5"/>
      <c r="Z232" s="5"/>
      <c r="AA232" s="1"/>
      <c r="AB232" s="5"/>
      <c r="AC232" s="1"/>
      <c r="AD232" s="5"/>
      <c r="AE232" s="1"/>
      <c r="AF232" s="5"/>
      <c r="AG232" s="1"/>
      <c r="AH232" s="5"/>
      <c r="AI232" s="1"/>
      <c r="AJ232" s="5"/>
      <c r="AK232" s="1"/>
      <c r="AL232" s="5"/>
      <c r="AM232" s="1"/>
      <c r="AN232" s="5"/>
      <c r="AO232" s="1"/>
      <c r="AP232" s="5"/>
      <c r="AQ232" s="1"/>
      <c r="AR232" s="5"/>
      <c r="AS232" s="1"/>
      <c r="AT232" s="5"/>
      <c r="AU232" s="1"/>
      <c r="AV232" s="5"/>
      <c r="AW232" s="1"/>
      <c r="AX232" s="5"/>
      <c r="AY232" s="1"/>
      <c r="AZ232" s="5"/>
      <c r="BA232" s="1"/>
      <c r="BB232" s="5"/>
      <c r="BC232" s="1"/>
      <c r="BD232" s="5"/>
      <c r="BE232" s="1"/>
      <c r="BF232" s="5"/>
      <c r="BG232" s="1"/>
      <c r="BH232" s="5"/>
      <c r="BI232" s="1"/>
      <c r="BJ232" s="5"/>
      <c r="BK232" s="1"/>
      <c r="BL232" s="5"/>
      <c r="BM232" s="1"/>
      <c r="BN232" s="5"/>
      <c r="BO232" s="1"/>
      <c r="BP232" s="5"/>
      <c r="BQ232" s="1"/>
      <c r="BR232" s="5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ht="15.75" customHeight="1">
      <c r="A233" s="94"/>
      <c r="B233" s="97"/>
      <c r="C233" s="97"/>
      <c r="D233" s="97"/>
      <c r="E233" s="5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5"/>
      <c r="T233" s="5"/>
      <c r="U233" s="5"/>
      <c r="V233" s="5"/>
      <c r="W233" s="5"/>
      <c r="X233" s="5"/>
      <c r="Y233" s="5"/>
      <c r="Z233" s="5"/>
      <c r="AA233" s="1"/>
      <c r="AB233" s="5"/>
      <c r="AC233" s="1"/>
      <c r="AD233" s="5"/>
      <c r="AE233" s="1"/>
      <c r="AF233" s="5"/>
      <c r="AG233" s="1"/>
      <c r="AH233" s="5"/>
      <c r="AI233" s="1"/>
      <c r="AJ233" s="5"/>
      <c r="AK233" s="1"/>
      <c r="AL233" s="5"/>
      <c r="AM233" s="1"/>
      <c r="AN233" s="5"/>
      <c r="AO233" s="1"/>
      <c r="AP233" s="5"/>
      <c r="AQ233" s="1"/>
      <c r="AR233" s="5"/>
      <c r="AS233" s="1"/>
      <c r="AT233" s="5"/>
      <c r="AU233" s="1"/>
      <c r="AV233" s="5"/>
      <c r="AW233" s="1"/>
      <c r="AX233" s="5"/>
      <c r="AY233" s="1"/>
      <c r="AZ233" s="5"/>
      <c r="BA233" s="1"/>
      <c r="BB233" s="5"/>
      <c r="BC233" s="1"/>
      <c r="BD233" s="5"/>
      <c r="BE233" s="1"/>
      <c r="BF233" s="5"/>
      <c r="BG233" s="1"/>
      <c r="BH233" s="5"/>
      <c r="BI233" s="1"/>
      <c r="BJ233" s="5"/>
      <c r="BK233" s="1"/>
      <c r="BL233" s="5"/>
      <c r="BM233" s="1"/>
      <c r="BN233" s="5"/>
      <c r="BO233" s="1"/>
      <c r="BP233" s="5"/>
      <c r="BQ233" s="1"/>
      <c r="BR233" s="5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</row>
    <row r="234" ht="15.75" customHeight="1">
      <c r="A234" s="94"/>
      <c r="B234" s="97"/>
      <c r="C234" s="97"/>
      <c r="D234" s="97"/>
      <c r="E234" s="5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5"/>
      <c r="T234" s="5"/>
      <c r="U234" s="5"/>
      <c r="V234" s="5"/>
      <c r="W234" s="5"/>
      <c r="X234" s="5"/>
      <c r="Y234" s="5"/>
      <c r="Z234" s="5"/>
      <c r="AA234" s="1"/>
      <c r="AB234" s="5"/>
      <c r="AC234" s="1"/>
      <c r="AD234" s="5"/>
      <c r="AE234" s="1"/>
      <c r="AF234" s="5"/>
      <c r="AG234" s="1"/>
      <c r="AH234" s="5"/>
      <c r="AI234" s="1"/>
      <c r="AJ234" s="5"/>
      <c r="AK234" s="1"/>
      <c r="AL234" s="5"/>
      <c r="AM234" s="1"/>
      <c r="AN234" s="5"/>
      <c r="AO234" s="1"/>
      <c r="AP234" s="5"/>
      <c r="AQ234" s="1"/>
      <c r="AR234" s="5"/>
      <c r="AS234" s="1"/>
      <c r="AT234" s="5"/>
      <c r="AU234" s="1"/>
      <c r="AV234" s="5"/>
      <c r="AW234" s="1"/>
      <c r="AX234" s="5"/>
      <c r="AY234" s="1"/>
      <c r="AZ234" s="5"/>
      <c r="BA234" s="1"/>
      <c r="BB234" s="5"/>
      <c r="BC234" s="1"/>
      <c r="BD234" s="5"/>
      <c r="BE234" s="1"/>
      <c r="BF234" s="5"/>
      <c r="BG234" s="1"/>
      <c r="BH234" s="5"/>
      <c r="BI234" s="1"/>
      <c r="BJ234" s="5"/>
      <c r="BK234" s="1"/>
      <c r="BL234" s="5"/>
      <c r="BM234" s="1"/>
      <c r="BN234" s="5"/>
      <c r="BO234" s="1"/>
      <c r="BP234" s="5"/>
      <c r="BQ234" s="1"/>
      <c r="BR234" s="5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ht="15.75" customHeight="1">
      <c r="A235" s="94"/>
      <c r="B235" s="97"/>
      <c r="C235" s="97"/>
      <c r="D235" s="97"/>
      <c r="E235" s="5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5"/>
      <c r="T235" s="5"/>
      <c r="U235" s="5"/>
      <c r="V235" s="5"/>
      <c r="W235" s="5"/>
      <c r="X235" s="5"/>
      <c r="Y235" s="5"/>
      <c r="Z235" s="5"/>
      <c r="AA235" s="1"/>
      <c r="AB235" s="5"/>
      <c r="AC235" s="1"/>
      <c r="AD235" s="5"/>
      <c r="AE235" s="1"/>
      <c r="AF235" s="5"/>
      <c r="AG235" s="1"/>
      <c r="AH235" s="5"/>
      <c r="AI235" s="1"/>
      <c r="AJ235" s="5"/>
      <c r="AK235" s="1"/>
      <c r="AL235" s="5"/>
      <c r="AM235" s="1"/>
      <c r="AN235" s="5"/>
      <c r="AO235" s="1"/>
      <c r="AP235" s="5"/>
      <c r="AQ235" s="1"/>
      <c r="AR235" s="5"/>
      <c r="AS235" s="1"/>
      <c r="AT235" s="5"/>
      <c r="AU235" s="1"/>
      <c r="AV235" s="5"/>
      <c r="AW235" s="1"/>
      <c r="AX235" s="5"/>
      <c r="AY235" s="1"/>
      <c r="AZ235" s="5"/>
      <c r="BA235" s="1"/>
      <c r="BB235" s="5"/>
      <c r="BC235" s="1"/>
      <c r="BD235" s="5"/>
      <c r="BE235" s="1"/>
      <c r="BF235" s="5"/>
      <c r="BG235" s="1"/>
      <c r="BH235" s="5"/>
      <c r="BI235" s="1"/>
      <c r="BJ235" s="5"/>
      <c r="BK235" s="1"/>
      <c r="BL235" s="5"/>
      <c r="BM235" s="1"/>
      <c r="BN235" s="5"/>
      <c r="BO235" s="1"/>
      <c r="BP235" s="5"/>
      <c r="BQ235" s="1"/>
      <c r="BR235" s="5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</row>
    <row r="236" ht="15.75" customHeight="1">
      <c r="A236" s="94"/>
      <c r="B236" s="97"/>
      <c r="C236" s="97"/>
      <c r="D236" s="97"/>
      <c r="E236" s="5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5"/>
      <c r="T236" s="5"/>
      <c r="U236" s="5"/>
      <c r="V236" s="5"/>
      <c r="W236" s="5"/>
      <c r="X236" s="5"/>
      <c r="Y236" s="5"/>
      <c r="Z236" s="5"/>
      <c r="AA236" s="1"/>
      <c r="AB236" s="5"/>
      <c r="AC236" s="1"/>
      <c r="AD236" s="5"/>
      <c r="AE236" s="1"/>
      <c r="AF236" s="5"/>
      <c r="AG236" s="1"/>
      <c r="AH236" s="5"/>
      <c r="AI236" s="1"/>
      <c r="AJ236" s="5"/>
      <c r="AK236" s="1"/>
      <c r="AL236" s="5"/>
      <c r="AM236" s="1"/>
      <c r="AN236" s="5"/>
      <c r="AO236" s="1"/>
      <c r="AP236" s="5"/>
      <c r="AQ236" s="1"/>
      <c r="AR236" s="5"/>
      <c r="AS236" s="1"/>
      <c r="AT236" s="5"/>
      <c r="AU236" s="1"/>
      <c r="AV236" s="5"/>
      <c r="AW236" s="1"/>
      <c r="AX236" s="5"/>
      <c r="AY236" s="1"/>
      <c r="AZ236" s="5"/>
      <c r="BA236" s="1"/>
      <c r="BB236" s="5"/>
      <c r="BC236" s="1"/>
      <c r="BD236" s="5"/>
      <c r="BE236" s="1"/>
      <c r="BF236" s="5"/>
      <c r="BG236" s="1"/>
      <c r="BH236" s="5"/>
      <c r="BI236" s="1"/>
      <c r="BJ236" s="5"/>
      <c r="BK236" s="1"/>
      <c r="BL236" s="5"/>
      <c r="BM236" s="1"/>
      <c r="BN236" s="5"/>
      <c r="BO236" s="1"/>
      <c r="BP236" s="5"/>
      <c r="BQ236" s="1"/>
      <c r="BR236" s="5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</row>
    <row r="237" ht="15.75" customHeight="1">
      <c r="A237" s="94"/>
      <c r="B237" s="97"/>
      <c r="C237" s="97"/>
      <c r="D237" s="97"/>
      <c r="E237" s="5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5"/>
      <c r="T237" s="5"/>
      <c r="U237" s="5"/>
      <c r="V237" s="5"/>
      <c r="W237" s="5"/>
      <c r="X237" s="5"/>
      <c r="Y237" s="5"/>
      <c r="Z237" s="5"/>
      <c r="AA237" s="1"/>
      <c r="AB237" s="5"/>
      <c r="AC237" s="1"/>
      <c r="AD237" s="5"/>
      <c r="AE237" s="1"/>
      <c r="AF237" s="5"/>
      <c r="AG237" s="1"/>
      <c r="AH237" s="5"/>
      <c r="AI237" s="1"/>
      <c r="AJ237" s="5"/>
      <c r="AK237" s="1"/>
      <c r="AL237" s="5"/>
      <c r="AM237" s="1"/>
      <c r="AN237" s="5"/>
      <c r="AO237" s="1"/>
      <c r="AP237" s="5"/>
      <c r="AQ237" s="1"/>
      <c r="AR237" s="5"/>
      <c r="AS237" s="1"/>
      <c r="AT237" s="5"/>
      <c r="AU237" s="1"/>
      <c r="AV237" s="5"/>
      <c r="AW237" s="1"/>
      <c r="AX237" s="5"/>
      <c r="AY237" s="1"/>
      <c r="AZ237" s="5"/>
      <c r="BA237" s="1"/>
      <c r="BB237" s="5"/>
      <c r="BC237" s="1"/>
      <c r="BD237" s="5"/>
      <c r="BE237" s="1"/>
      <c r="BF237" s="5"/>
      <c r="BG237" s="1"/>
      <c r="BH237" s="5"/>
      <c r="BI237" s="1"/>
      <c r="BJ237" s="5"/>
      <c r="BK237" s="1"/>
      <c r="BL237" s="5"/>
      <c r="BM237" s="1"/>
      <c r="BN237" s="5"/>
      <c r="BO237" s="1"/>
      <c r="BP237" s="5"/>
      <c r="BQ237" s="1"/>
      <c r="BR237" s="5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</row>
    <row r="238" ht="15.75" customHeight="1">
      <c r="A238" s="94"/>
      <c r="B238" s="97"/>
      <c r="C238" s="97"/>
      <c r="D238" s="97"/>
      <c r="E238" s="5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5"/>
      <c r="T238" s="5"/>
      <c r="U238" s="5"/>
      <c r="V238" s="5"/>
      <c r="W238" s="5"/>
      <c r="X238" s="5"/>
      <c r="Y238" s="5"/>
      <c r="Z238" s="5"/>
      <c r="AA238" s="1"/>
      <c r="AB238" s="5"/>
      <c r="AC238" s="1"/>
      <c r="AD238" s="5"/>
      <c r="AE238" s="1"/>
      <c r="AF238" s="5"/>
      <c r="AG238" s="1"/>
      <c r="AH238" s="5"/>
      <c r="AI238" s="1"/>
      <c r="AJ238" s="5"/>
      <c r="AK238" s="1"/>
      <c r="AL238" s="5"/>
      <c r="AM238" s="1"/>
      <c r="AN238" s="5"/>
      <c r="AO238" s="1"/>
      <c r="AP238" s="5"/>
      <c r="AQ238" s="1"/>
      <c r="AR238" s="5"/>
      <c r="AS238" s="1"/>
      <c r="AT238" s="5"/>
      <c r="AU238" s="1"/>
      <c r="AV238" s="5"/>
      <c r="AW238" s="1"/>
      <c r="AX238" s="5"/>
      <c r="AY238" s="1"/>
      <c r="AZ238" s="5"/>
      <c r="BA238" s="1"/>
      <c r="BB238" s="5"/>
      <c r="BC238" s="1"/>
      <c r="BD238" s="5"/>
      <c r="BE238" s="1"/>
      <c r="BF238" s="5"/>
      <c r="BG238" s="1"/>
      <c r="BH238" s="5"/>
      <c r="BI238" s="1"/>
      <c r="BJ238" s="5"/>
      <c r="BK238" s="1"/>
      <c r="BL238" s="5"/>
      <c r="BM238" s="1"/>
      <c r="BN238" s="5"/>
      <c r="BO238" s="1"/>
      <c r="BP238" s="5"/>
      <c r="BQ238" s="1"/>
      <c r="BR238" s="5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</row>
    <row r="239" ht="15.75" customHeight="1">
      <c r="A239" s="94"/>
      <c r="B239" s="97"/>
      <c r="C239" s="97"/>
      <c r="D239" s="97"/>
      <c r="E239" s="5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5"/>
      <c r="T239" s="5"/>
      <c r="U239" s="5"/>
      <c r="V239" s="5"/>
      <c r="W239" s="5"/>
      <c r="X239" s="5"/>
      <c r="Y239" s="5"/>
      <c r="Z239" s="5"/>
      <c r="AA239" s="1"/>
      <c r="AB239" s="5"/>
      <c r="AC239" s="1"/>
      <c r="AD239" s="5"/>
      <c r="AE239" s="1"/>
      <c r="AF239" s="5"/>
      <c r="AG239" s="1"/>
      <c r="AH239" s="5"/>
      <c r="AI239" s="1"/>
      <c r="AJ239" s="5"/>
      <c r="AK239" s="1"/>
      <c r="AL239" s="5"/>
      <c r="AM239" s="1"/>
      <c r="AN239" s="5"/>
      <c r="AO239" s="1"/>
      <c r="AP239" s="5"/>
      <c r="AQ239" s="1"/>
      <c r="AR239" s="5"/>
      <c r="AS239" s="1"/>
      <c r="AT239" s="5"/>
      <c r="AU239" s="1"/>
      <c r="AV239" s="5"/>
      <c r="AW239" s="1"/>
      <c r="AX239" s="5"/>
      <c r="AY239" s="1"/>
      <c r="AZ239" s="5"/>
      <c r="BA239" s="1"/>
      <c r="BB239" s="5"/>
      <c r="BC239" s="1"/>
      <c r="BD239" s="5"/>
      <c r="BE239" s="1"/>
      <c r="BF239" s="5"/>
      <c r="BG239" s="1"/>
      <c r="BH239" s="5"/>
      <c r="BI239" s="1"/>
      <c r="BJ239" s="5"/>
      <c r="BK239" s="1"/>
      <c r="BL239" s="5"/>
      <c r="BM239" s="1"/>
      <c r="BN239" s="5"/>
      <c r="BO239" s="1"/>
      <c r="BP239" s="5"/>
      <c r="BQ239" s="1"/>
      <c r="BR239" s="5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</row>
    <row r="240" ht="15.75" customHeight="1">
      <c r="A240" s="94"/>
      <c r="B240" s="97"/>
      <c r="C240" s="97"/>
      <c r="D240" s="97"/>
      <c r="E240" s="5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5"/>
      <c r="T240" s="5"/>
      <c r="U240" s="5"/>
      <c r="V240" s="5"/>
      <c r="W240" s="5"/>
      <c r="X240" s="5"/>
      <c r="Y240" s="5"/>
      <c r="Z240" s="5"/>
      <c r="AA240" s="1"/>
      <c r="AB240" s="5"/>
      <c r="AC240" s="1"/>
      <c r="AD240" s="5"/>
      <c r="AE240" s="1"/>
      <c r="AF240" s="5"/>
      <c r="AG240" s="1"/>
      <c r="AH240" s="5"/>
      <c r="AI240" s="1"/>
      <c r="AJ240" s="5"/>
      <c r="AK240" s="1"/>
      <c r="AL240" s="5"/>
      <c r="AM240" s="1"/>
      <c r="AN240" s="5"/>
      <c r="AO240" s="1"/>
      <c r="AP240" s="5"/>
      <c r="AQ240" s="1"/>
      <c r="AR240" s="5"/>
      <c r="AS240" s="1"/>
      <c r="AT240" s="5"/>
      <c r="AU240" s="1"/>
      <c r="AV240" s="5"/>
      <c r="AW240" s="1"/>
      <c r="AX240" s="5"/>
      <c r="AY240" s="1"/>
      <c r="AZ240" s="5"/>
      <c r="BA240" s="1"/>
      <c r="BB240" s="5"/>
      <c r="BC240" s="1"/>
      <c r="BD240" s="5"/>
      <c r="BE240" s="1"/>
      <c r="BF240" s="5"/>
      <c r="BG240" s="1"/>
      <c r="BH240" s="5"/>
      <c r="BI240" s="1"/>
      <c r="BJ240" s="5"/>
      <c r="BK240" s="1"/>
      <c r="BL240" s="5"/>
      <c r="BM240" s="1"/>
      <c r="BN240" s="5"/>
      <c r="BO240" s="1"/>
      <c r="BP240" s="5"/>
      <c r="BQ240" s="1"/>
      <c r="BR240" s="5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</row>
    <row r="241" ht="15.75" customHeight="1">
      <c r="A241" s="94"/>
      <c r="B241" s="97"/>
      <c r="C241" s="97"/>
      <c r="D241" s="97"/>
      <c r="E241" s="5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5"/>
      <c r="T241" s="5"/>
      <c r="U241" s="5"/>
      <c r="V241" s="5"/>
      <c r="W241" s="5"/>
      <c r="X241" s="5"/>
      <c r="Y241" s="5"/>
      <c r="Z241" s="5"/>
      <c r="AA241" s="1"/>
      <c r="AB241" s="5"/>
      <c r="AC241" s="1"/>
      <c r="AD241" s="5"/>
      <c r="AE241" s="1"/>
      <c r="AF241" s="5"/>
      <c r="AG241" s="1"/>
      <c r="AH241" s="5"/>
      <c r="AI241" s="1"/>
      <c r="AJ241" s="5"/>
      <c r="AK241" s="1"/>
      <c r="AL241" s="5"/>
      <c r="AM241" s="1"/>
      <c r="AN241" s="5"/>
      <c r="AO241" s="1"/>
      <c r="AP241" s="5"/>
      <c r="AQ241" s="1"/>
      <c r="AR241" s="5"/>
      <c r="AS241" s="1"/>
      <c r="AT241" s="5"/>
      <c r="AU241" s="1"/>
      <c r="AV241" s="5"/>
      <c r="AW241" s="1"/>
      <c r="AX241" s="5"/>
      <c r="AY241" s="1"/>
      <c r="AZ241" s="5"/>
      <c r="BA241" s="1"/>
      <c r="BB241" s="5"/>
      <c r="BC241" s="1"/>
      <c r="BD241" s="5"/>
      <c r="BE241" s="1"/>
      <c r="BF241" s="5"/>
      <c r="BG241" s="1"/>
      <c r="BH241" s="5"/>
      <c r="BI241" s="1"/>
      <c r="BJ241" s="5"/>
      <c r="BK241" s="1"/>
      <c r="BL241" s="5"/>
      <c r="BM241" s="1"/>
      <c r="BN241" s="5"/>
      <c r="BO241" s="1"/>
      <c r="BP241" s="5"/>
      <c r="BQ241" s="1"/>
      <c r="BR241" s="5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</row>
    <row r="242" ht="15.75" customHeight="1">
      <c r="A242" s="94"/>
      <c r="B242" s="97"/>
      <c r="C242" s="97"/>
      <c r="D242" s="97"/>
      <c r="E242" s="5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5"/>
      <c r="T242" s="5"/>
      <c r="U242" s="5"/>
      <c r="V242" s="5"/>
      <c r="W242" s="5"/>
      <c r="X242" s="5"/>
      <c r="Y242" s="5"/>
      <c r="Z242" s="5"/>
      <c r="AA242" s="1"/>
      <c r="AB242" s="5"/>
      <c r="AC242" s="1"/>
      <c r="AD242" s="5"/>
      <c r="AE242" s="1"/>
      <c r="AF242" s="5"/>
      <c r="AG242" s="1"/>
      <c r="AH242" s="5"/>
      <c r="AI242" s="1"/>
      <c r="AJ242" s="5"/>
      <c r="AK242" s="1"/>
      <c r="AL242" s="5"/>
      <c r="AM242" s="1"/>
      <c r="AN242" s="5"/>
      <c r="AO242" s="1"/>
      <c r="AP242" s="5"/>
      <c r="AQ242" s="1"/>
      <c r="AR242" s="5"/>
      <c r="AS242" s="1"/>
      <c r="AT242" s="5"/>
      <c r="AU242" s="1"/>
      <c r="AV242" s="5"/>
      <c r="AW242" s="1"/>
      <c r="AX242" s="5"/>
      <c r="AY242" s="1"/>
      <c r="AZ242" s="5"/>
      <c r="BA242" s="1"/>
      <c r="BB242" s="5"/>
      <c r="BC242" s="1"/>
      <c r="BD242" s="5"/>
      <c r="BE242" s="1"/>
      <c r="BF242" s="5"/>
      <c r="BG242" s="1"/>
      <c r="BH242" s="5"/>
      <c r="BI242" s="1"/>
      <c r="BJ242" s="5"/>
      <c r="BK242" s="1"/>
      <c r="BL242" s="5"/>
      <c r="BM242" s="1"/>
      <c r="BN242" s="5"/>
      <c r="BO242" s="1"/>
      <c r="BP242" s="5"/>
      <c r="BQ242" s="1"/>
      <c r="BR242" s="5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</row>
    <row r="243" ht="15.75" customHeight="1">
      <c r="A243" s="94"/>
      <c r="B243" s="97"/>
      <c r="C243" s="97"/>
      <c r="D243" s="97"/>
      <c r="E243" s="5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5"/>
      <c r="T243" s="5"/>
      <c r="U243" s="5"/>
      <c r="V243" s="5"/>
      <c r="W243" s="5"/>
      <c r="X243" s="5"/>
      <c r="Y243" s="5"/>
      <c r="Z243" s="5"/>
      <c r="AA243" s="1"/>
      <c r="AB243" s="5"/>
      <c r="AC243" s="1"/>
      <c r="AD243" s="5"/>
      <c r="AE243" s="1"/>
      <c r="AF243" s="5"/>
      <c r="AG243" s="1"/>
      <c r="AH243" s="5"/>
      <c r="AI243" s="1"/>
      <c r="AJ243" s="5"/>
      <c r="AK243" s="1"/>
      <c r="AL243" s="5"/>
      <c r="AM243" s="1"/>
      <c r="AN243" s="5"/>
      <c r="AO243" s="1"/>
      <c r="AP243" s="5"/>
      <c r="AQ243" s="1"/>
      <c r="AR243" s="5"/>
      <c r="AS243" s="1"/>
      <c r="AT243" s="5"/>
      <c r="AU243" s="1"/>
      <c r="AV243" s="5"/>
      <c r="AW243" s="1"/>
      <c r="AX243" s="5"/>
      <c r="AY243" s="1"/>
      <c r="AZ243" s="5"/>
      <c r="BA243" s="1"/>
      <c r="BB243" s="5"/>
      <c r="BC243" s="1"/>
      <c r="BD243" s="5"/>
      <c r="BE243" s="1"/>
      <c r="BF243" s="5"/>
      <c r="BG243" s="1"/>
      <c r="BH243" s="5"/>
      <c r="BI243" s="1"/>
      <c r="BJ243" s="5"/>
      <c r="BK243" s="1"/>
      <c r="BL243" s="5"/>
      <c r="BM243" s="1"/>
      <c r="BN243" s="5"/>
      <c r="BO243" s="1"/>
      <c r="BP243" s="5"/>
      <c r="BQ243" s="1"/>
      <c r="BR243" s="5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</row>
    <row r="244" ht="15.75" customHeight="1">
      <c r="A244" s="94"/>
      <c r="B244" s="97"/>
      <c r="C244" s="97"/>
      <c r="D244" s="97"/>
      <c r="E244" s="5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5"/>
      <c r="T244" s="5"/>
      <c r="U244" s="5"/>
      <c r="V244" s="5"/>
      <c r="W244" s="5"/>
      <c r="X244" s="5"/>
      <c r="Y244" s="5"/>
      <c r="Z244" s="5"/>
      <c r="AA244" s="1"/>
      <c r="AB244" s="5"/>
      <c r="AC244" s="1"/>
      <c r="AD244" s="5"/>
      <c r="AE244" s="1"/>
      <c r="AF244" s="5"/>
      <c r="AG244" s="1"/>
      <c r="AH244" s="5"/>
      <c r="AI244" s="1"/>
      <c r="AJ244" s="5"/>
      <c r="AK244" s="1"/>
      <c r="AL244" s="5"/>
      <c r="AM244" s="1"/>
      <c r="AN244" s="5"/>
      <c r="AO244" s="1"/>
      <c r="AP244" s="5"/>
      <c r="AQ244" s="1"/>
      <c r="AR244" s="5"/>
      <c r="AS244" s="1"/>
      <c r="AT244" s="5"/>
      <c r="AU244" s="1"/>
      <c r="AV244" s="5"/>
      <c r="AW244" s="1"/>
      <c r="AX244" s="5"/>
      <c r="AY244" s="1"/>
      <c r="AZ244" s="5"/>
      <c r="BA244" s="1"/>
      <c r="BB244" s="5"/>
      <c r="BC244" s="1"/>
      <c r="BD244" s="5"/>
      <c r="BE244" s="1"/>
      <c r="BF244" s="5"/>
      <c r="BG244" s="1"/>
      <c r="BH244" s="5"/>
      <c r="BI244" s="1"/>
      <c r="BJ244" s="5"/>
      <c r="BK244" s="1"/>
      <c r="BL244" s="5"/>
      <c r="BM244" s="1"/>
      <c r="BN244" s="5"/>
      <c r="BO244" s="1"/>
      <c r="BP244" s="5"/>
      <c r="BQ244" s="1"/>
      <c r="BR244" s="5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</row>
    <row r="245" ht="15.75" customHeight="1">
      <c r="A245" s="94"/>
      <c r="B245" s="97"/>
      <c r="C245" s="97"/>
      <c r="D245" s="97"/>
      <c r="E245" s="5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5"/>
      <c r="T245" s="5"/>
      <c r="U245" s="5"/>
      <c r="V245" s="5"/>
      <c r="W245" s="5"/>
      <c r="X245" s="5"/>
      <c r="Y245" s="5"/>
      <c r="Z245" s="5"/>
      <c r="AA245" s="1"/>
      <c r="AB245" s="5"/>
      <c r="AC245" s="1"/>
      <c r="AD245" s="5"/>
      <c r="AE245" s="1"/>
      <c r="AF245" s="5"/>
      <c r="AG245" s="1"/>
      <c r="AH245" s="5"/>
      <c r="AI245" s="1"/>
      <c r="AJ245" s="5"/>
      <c r="AK245" s="1"/>
      <c r="AL245" s="5"/>
      <c r="AM245" s="1"/>
      <c r="AN245" s="5"/>
      <c r="AO245" s="1"/>
      <c r="AP245" s="5"/>
      <c r="AQ245" s="1"/>
      <c r="AR245" s="5"/>
      <c r="AS245" s="1"/>
      <c r="AT245" s="5"/>
      <c r="AU245" s="1"/>
      <c r="AV245" s="5"/>
      <c r="AW245" s="1"/>
      <c r="AX245" s="5"/>
      <c r="AY245" s="1"/>
      <c r="AZ245" s="5"/>
      <c r="BA245" s="1"/>
      <c r="BB245" s="5"/>
      <c r="BC245" s="1"/>
      <c r="BD245" s="5"/>
      <c r="BE245" s="1"/>
      <c r="BF245" s="5"/>
      <c r="BG245" s="1"/>
      <c r="BH245" s="5"/>
      <c r="BI245" s="1"/>
      <c r="BJ245" s="5"/>
      <c r="BK245" s="1"/>
      <c r="BL245" s="5"/>
      <c r="BM245" s="1"/>
      <c r="BN245" s="5"/>
      <c r="BO245" s="1"/>
      <c r="BP245" s="5"/>
      <c r="BQ245" s="1"/>
      <c r="BR245" s="5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</row>
    <row r="246" ht="15.75" customHeight="1">
      <c r="A246" s="94"/>
      <c r="B246" s="97"/>
      <c r="C246" s="97"/>
      <c r="D246" s="97"/>
      <c r="E246" s="5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5"/>
      <c r="T246" s="5"/>
      <c r="U246" s="5"/>
      <c r="V246" s="5"/>
      <c r="W246" s="5"/>
      <c r="X246" s="5"/>
      <c r="Y246" s="5"/>
      <c r="Z246" s="5"/>
      <c r="AA246" s="1"/>
      <c r="AB246" s="5"/>
      <c r="AC246" s="1"/>
      <c r="AD246" s="5"/>
      <c r="AE246" s="1"/>
      <c r="AF246" s="5"/>
      <c r="AG246" s="1"/>
      <c r="AH246" s="5"/>
      <c r="AI246" s="1"/>
      <c r="AJ246" s="5"/>
      <c r="AK246" s="1"/>
      <c r="AL246" s="5"/>
      <c r="AM246" s="1"/>
      <c r="AN246" s="5"/>
      <c r="AO246" s="1"/>
      <c r="AP246" s="5"/>
      <c r="AQ246" s="1"/>
      <c r="AR246" s="5"/>
      <c r="AS246" s="1"/>
      <c r="AT246" s="5"/>
      <c r="AU246" s="1"/>
      <c r="AV246" s="5"/>
      <c r="AW246" s="1"/>
      <c r="AX246" s="5"/>
      <c r="AY246" s="1"/>
      <c r="AZ246" s="5"/>
      <c r="BA246" s="1"/>
      <c r="BB246" s="5"/>
      <c r="BC246" s="1"/>
      <c r="BD246" s="5"/>
      <c r="BE246" s="1"/>
      <c r="BF246" s="5"/>
      <c r="BG246" s="1"/>
      <c r="BH246" s="5"/>
      <c r="BI246" s="1"/>
      <c r="BJ246" s="5"/>
      <c r="BK246" s="1"/>
      <c r="BL246" s="5"/>
      <c r="BM246" s="1"/>
      <c r="BN246" s="5"/>
      <c r="BO246" s="1"/>
      <c r="BP246" s="5"/>
      <c r="BQ246" s="1"/>
      <c r="BR246" s="5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</row>
    <row r="247" ht="15.75" customHeight="1">
      <c r="A247" s="94"/>
      <c r="B247" s="97"/>
      <c r="C247" s="97"/>
      <c r="D247" s="97"/>
      <c r="E247" s="5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5"/>
      <c r="T247" s="5"/>
      <c r="U247" s="5"/>
      <c r="V247" s="5"/>
      <c r="W247" s="5"/>
      <c r="X247" s="5"/>
      <c r="Y247" s="5"/>
      <c r="Z247" s="5"/>
      <c r="AA247" s="1"/>
      <c r="AB247" s="5"/>
      <c r="AC247" s="1"/>
      <c r="AD247" s="5"/>
      <c r="AE247" s="1"/>
      <c r="AF247" s="5"/>
      <c r="AG247" s="1"/>
      <c r="AH247" s="5"/>
      <c r="AI247" s="1"/>
      <c r="AJ247" s="5"/>
      <c r="AK247" s="1"/>
      <c r="AL247" s="5"/>
      <c r="AM247" s="1"/>
      <c r="AN247" s="5"/>
      <c r="AO247" s="1"/>
      <c r="AP247" s="5"/>
      <c r="AQ247" s="1"/>
      <c r="AR247" s="5"/>
      <c r="AS247" s="1"/>
      <c r="AT247" s="5"/>
      <c r="AU247" s="1"/>
      <c r="AV247" s="5"/>
      <c r="AW247" s="1"/>
      <c r="AX247" s="5"/>
      <c r="AY247" s="1"/>
      <c r="AZ247" s="5"/>
      <c r="BA247" s="1"/>
      <c r="BB247" s="5"/>
      <c r="BC247" s="1"/>
      <c r="BD247" s="5"/>
      <c r="BE247" s="1"/>
      <c r="BF247" s="5"/>
      <c r="BG247" s="1"/>
      <c r="BH247" s="5"/>
      <c r="BI247" s="1"/>
      <c r="BJ247" s="5"/>
      <c r="BK247" s="1"/>
      <c r="BL247" s="5"/>
      <c r="BM247" s="1"/>
      <c r="BN247" s="5"/>
      <c r="BO247" s="1"/>
      <c r="BP247" s="5"/>
      <c r="BQ247" s="1"/>
      <c r="BR247" s="5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</row>
    <row r="248" ht="15.75" customHeight="1">
      <c r="A248" s="94"/>
      <c r="B248" s="97"/>
      <c r="C248" s="97"/>
      <c r="D248" s="97"/>
      <c r="E248" s="5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5"/>
      <c r="T248" s="5"/>
      <c r="U248" s="5"/>
      <c r="V248" s="5"/>
      <c r="W248" s="5"/>
      <c r="X248" s="5"/>
      <c r="Y248" s="5"/>
      <c r="Z248" s="5"/>
      <c r="AA248" s="1"/>
      <c r="AB248" s="5"/>
      <c r="AC248" s="1"/>
      <c r="AD248" s="5"/>
      <c r="AE248" s="1"/>
      <c r="AF248" s="5"/>
      <c r="AG248" s="1"/>
      <c r="AH248" s="5"/>
      <c r="AI248" s="1"/>
      <c r="AJ248" s="5"/>
      <c r="AK248" s="1"/>
      <c r="AL248" s="5"/>
      <c r="AM248" s="1"/>
      <c r="AN248" s="5"/>
      <c r="AO248" s="1"/>
      <c r="AP248" s="5"/>
      <c r="AQ248" s="1"/>
      <c r="AR248" s="5"/>
      <c r="AS248" s="1"/>
      <c r="AT248" s="5"/>
      <c r="AU248" s="1"/>
      <c r="AV248" s="5"/>
      <c r="AW248" s="1"/>
      <c r="AX248" s="5"/>
      <c r="AY248" s="1"/>
      <c r="AZ248" s="5"/>
      <c r="BA248" s="1"/>
      <c r="BB248" s="5"/>
      <c r="BC248" s="1"/>
      <c r="BD248" s="5"/>
      <c r="BE248" s="1"/>
      <c r="BF248" s="5"/>
      <c r="BG248" s="1"/>
      <c r="BH248" s="5"/>
      <c r="BI248" s="1"/>
      <c r="BJ248" s="5"/>
      <c r="BK248" s="1"/>
      <c r="BL248" s="5"/>
      <c r="BM248" s="1"/>
      <c r="BN248" s="5"/>
      <c r="BO248" s="1"/>
      <c r="BP248" s="5"/>
      <c r="BQ248" s="1"/>
      <c r="BR248" s="5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</row>
    <row r="249" ht="15.75" customHeight="1">
      <c r="A249" s="94"/>
      <c r="B249" s="97"/>
      <c r="C249" s="97"/>
      <c r="D249" s="97"/>
      <c r="E249" s="5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5"/>
      <c r="T249" s="5"/>
      <c r="U249" s="5"/>
      <c r="V249" s="5"/>
      <c r="W249" s="5"/>
      <c r="X249" s="5"/>
      <c r="Y249" s="5"/>
      <c r="Z249" s="5"/>
      <c r="AA249" s="1"/>
      <c r="AB249" s="5"/>
      <c r="AC249" s="1"/>
      <c r="AD249" s="5"/>
      <c r="AE249" s="1"/>
      <c r="AF249" s="5"/>
      <c r="AG249" s="1"/>
      <c r="AH249" s="5"/>
      <c r="AI249" s="1"/>
      <c r="AJ249" s="5"/>
      <c r="AK249" s="1"/>
      <c r="AL249" s="5"/>
      <c r="AM249" s="1"/>
      <c r="AN249" s="5"/>
      <c r="AO249" s="1"/>
      <c r="AP249" s="5"/>
      <c r="AQ249" s="1"/>
      <c r="AR249" s="5"/>
      <c r="AS249" s="1"/>
      <c r="AT249" s="5"/>
      <c r="AU249" s="1"/>
      <c r="AV249" s="5"/>
      <c r="AW249" s="1"/>
      <c r="AX249" s="5"/>
      <c r="AY249" s="1"/>
      <c r="AZ249" s="5"/>
      <c r="BA249" s="1"/>
      <c r="BB249" s="5"/>
      <c r="BC249" s="1"/>
      <c r="BD249" s="5"/>
      <c r="BE249" s="1"/>
      <c r="BF249" s="5"/>
      <c r="BG249" s="1"/>
      <c r="BH249" s="5"/>
      <c r="BI249" s="1"/>
      <c r="BJ249" s="5"/>
      <c r="BK249" s="1"/>
      <c r="BL249" s="5"/>
      <c r="BM249" s="1"/>
      <c r="BN249" s="5"/>
      <c r="BO249" s="1"/>
      <c r="BP249" s="5"/>
      <c r="BQ249" s="1"/>
      <c r="BR249" s="5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</row>
    <row r="250" ht="15.75" customHeight="1">
      <c r="A250" s="94"/>
      <c r="B250" s="97"/>
      <c r="C250" s="97"/>
      <c r="D250" s="97"/>
      <c r="E250" s="5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5"/>
      <c r="T250" s="5"/>
      <c r="U250" s="5"/>
      <c r="V250" s="5"/>
      <c r="W250" s="5"/>
      <c r="X250" s="5"/>
      <c r="Y250" s="5"/>
      <c r="Z250" s="5"/>
      <c r="AA250" s="1"/>
      <c r="AB250" s="5"/>
      <c r="AC250" s="1"/>
      <c r="AD250" s="5"/>
      <c r="AE250" s="1"/>
      <c r="AF250" s="5"/>
      <c r="AG250" s="1"/>
      <c r="AH250" s="5"/>
      <c r="AI250" s="1"/>
      <c r="AJ250" s="5"/>
      <c r="AK250" s="1"/>
      <c r="AL250" s="5"/>
      <c r="AM250" s="1"/>
      <c r="AN250" s="5"/>
      <c r="AO250" s="1"/>
      <c r="AP250" s="5"/>
      <c r="AQ250" s="1"/>
      <c r="AR250" s="5"/>
      <c r="AS250" s="1"/>
      <c r="AT250" s="5"/>
      <c r="AU250" s="1"/>
      <c r="AV250" s="5"/>
      <c r="AW250" s="1"/>
      <c r="AX250" s="5"/>
      <c r="AY250" s="1"/>
      <c r="AZ250" s="5"/>
      <c r="BA250" s="1"/>
      <c r="BB250" s="5"/>
      <c r="BC250" s="1"/>
      <c r="BD250" s="5"/>
      <c r="BE250" s="1"/>
      <c r="BF250" s="5"/>
      <c r="BG250" s="1"/>
      <c r="BH250" s="5"/>
      <c r="BI250" s="1"/>
      <c r="BJ250" s="5"/>
      <c r="BK250" s="1"/>
      <c r="BL250" s="5"/>
      <c r="BM250" s="1"/>
      <c r="BN250" s="5"/>
      <c r="BO250" s="1"/>
      <c r="BP250" s="5"/>
      <c r="BQ250" s="1"/>
      <c r="BR250" s="5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</row>
    <row r="251" ht="15.75" customHeight="1">
      <c r="A251" s="94"/>
      <c r="B251" s="97"/>
      <c r="C251" s="97"/>
      <c r="D251" s="97"/>
      <c r="E251" s="5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5"/>
      <c r="T251" s="5"/>
      <c r="U251" s="5"/>
      <c r="V251" s="5"/>
      <c r="W251" s="5"/>
      <c r="X251" s="5"/>
      <c r="Y251" s="5"/>
      <c r="Z251" s="5"/>
      <c r="AA251" s="1"/>
      <c r="AB251" s="5"/>
      <c r="AC251" s="1"/>
      <c r="AD251" s="5"/>
      <c r="AE251" s="1"/>
      <c r="AF251" s="5"/>
      <c r="AG251" s="1"/>
      <c r="AH251" s="5"/>
      <c r="AI251" s="1"/>
      <c r="AJ251" s="5"/>
      <c r="AK251" s="1"/>
      <c r="AL251" s="5"/>
      <c r="AM251" s="1"/>
      <c r="AN251" s="5"/>
      <c r="AO251" s="1"/>
      <c r="AP251" s="5"/>
      <c r="AQ251" s="1"/>
      <c r="AR251" s="5"/>
      <c r="AS251" s="1"/>
      <c r="AT251" s="5"/>
      <c r="AU251" s="1"/>
      <c r="AV251" s="5"/>
      <c r="AW251" s="1"/>
      <c r="AX251" s="5"/>
      <c r="AY251" s="1"/>
      <c r="AZ251" s="5"/>
      <c r="BA251" s="1"/>
      <c r="BB251" s="5"/>
      <c r="BC251" s="1"/>
      <c r="BD251" s="5"/>
      <c r="BE251" s="1"/>
      <c r="BF251" s="5"/>
      <c r="BG251" s="1"/>
      <c r="BH251" s="5"/>
      <c r="BI251" s="1"/>
      <c r="BJ251" s="5"/>
      <c r="BK251" s="1"/>
      <c r="BL251" s="5"/>
      <c r="BM251" s="1"/>
      <c r="BN251" s="5"/>
      <c r="BO251" s="1"/>
      <c r="BP251" s="5"/>
      <c r="BQ251" s="1"/>
      <c r="BR251" s="5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</row>
    <row r="252" ht="15.75" customHeight="1">
      <c r="A252" s="94"/>
      <c r="B252" s="97"/>
      <c r="C252" s="97"/>
      <c r="D252" s="97"/>
      <c r="E252" s="5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5"/>
      <c r="T252" s="5"/>
      <c r="U252" s="5"/>
      <c r="V252" s="5"/>
      <c r="W252" s="5"/>
      <c r="X252" s="5"/>
      <c r="Y252" s="5"/>
      <c r="Z252" s="5"/>
      <c r="AA252" s="1"/>
      <c r="AB252" s="5"/>
      <c r="AC252" s="1"/>
      <c r="AD252" s="5"/>
      <c r="AE252" s="1"/>
      <c r="AF252" s="5"/>
      <c r="AG252" s="1"/>
      <c r="AH252" s="5"/>
      <c r="AI252" s="1"/>
      <c r="AJ252" s="5"/>
      <c r="AK252" s="1"/>
      <c r="AL252" s="5"/>
      <c r="AM252" s="1"/>
      <c r="AN252" s="5"/>
      <c r="AO252" s="1"/>
      <c r="AP252" s="5"/>
      <c r="AQ252" s="1"/>
      <c r="AR252" s="5"/>
      <c r="AS252" s="1"/>
      <c r="AT252" s="5"/>
      <c r="AU252" s="1"/>
      <c r="AV252" s="5"/>
      <c r="AW252" s="1"/>
      <c r="AX252" s="5"/>
      <c r="AY252" s="1"/>
      <c r="AZ252" s="5"/>
      <c r="BA252" s="1"/>
      <c r="BB252" s="5"/>
      <c r="BC252" s="1"/>
      <c r="BD252" s="5"/>
      <c r="BE252" s="1"/>
      <c r="BF252" s="5"/>
      <c r="BG252" s="1"/>
      <c r="BH252" s="5"/>
      <c r="BI252" s="1"/>
      <c r="BJ252" s="5"/>
      <c r="BK252" s="1"/>
      <c r="BL252" s="5"/>
      <c r="BM252" s="1"/>
      <c r="BN252" s="5"/>
      <c r="BO252" s="1"/>
      <c r="BP252" s="5"/>
      <c r="BQ252" s="1"/>
      <c r="BR252" s="5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</row>
    <row r="253" ht="15.75" customHeight="1">
      <c r="A253" s="94"/>
      <c r="B253" s="97"/>
      <c r="C253" s="97"/>
      <c r="D253" s="97"/>
      <c r="E253" s="5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5"/>
      <c r="T253" s="5"/>
      <c r="U253" s="5"/>
      <c r="V253" s="5"/>
      <c r="W253" s="5"/>
      <c r="X253" s="5"/>
      <c r="Y253" s="5"/>
      <c r="Z253" s="5"/>
      <c r="AA253" s="1"/>
      <c r="AB253" s="5"/>
      <c r="AC253" s="1"/>
      <c r="AD253" s="5"/>
      <c r="AE253" s="1"/>
      <c r="AF253" s="5"/>
      <c r="AG253" s="1"/>
      <c r="AH253" s="5"/>
      <c r="AI253" s="1"/>
      <c r="AJ253" s="5"/>
      <c r="AK253" s="1"/>
      <c r="AL253" s="5"/>
      <c r="AM253" s="1"/>
      <c r="AN253" s="5"/>
      <c r="AO253" s="1"/>
      <c r="AP253" s="5"/>
      <c r="AQ253" s="1"/>
      <c r="AR253" s="5"/>
      <c r="AS253" s="1"/>
      <c r="AT253" s="5"/>
      <c r="AU253" s="1"/>
      <c r="AV253" s="5"/>
      <c r="AW253" s="1"/>
      <c r="AX253" s="5"/>
      <c r="AY253" s="1"/>
      <c r="AZ253" s="5"/>
      <c r="BA253" s="1"/>
      <c r="BB253" s="5"/>
      <c r="BC253" s="1"/>
      <c r="BD253" s="5"/>
      <c r="BE253" s="1"/>
      <c r="BF253" s="5"/>
      <c r="BG253" s="1"/>
      <c r="BH253" s="5"/>
      <c r="BI253" s="1"/>
      <c r="BJ253" s="5"/>
      <c r="BK253" s="1"/>
      <c r="BL253" s="5"/>
      <c r="BM253" s="1"/>
      <c r="BN253" s="5"/>
      <c r="BO253" s="1"/>
      <c r="BP253" s="5"/>
      <c r="BQ253" s="1"/>
      <c r="BR253" s="5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</row>
    <row r="254" ht="15.75" customHeight="1">
      <c r="A254" s="94"/>
      <c r="B254" s="97"/>
      <c r="C254" s="97"/>
      <c r="D254" s="97"/>
      <c r="E254" s="5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5"/>
      <c r="T254" s="5"/>
      <c r="U254" s="5"/>
      <c r="V254" s="5"/>
      <c r="W254" s="5"/>
      <c r="X254" s="5"/>
      <c r="Y254" s="5"/>
      <c r="Z254" s="5"/>
      <c r="AA254" s="1"/>
      <c r="AB254" s="5"/>
      <c r="AC254" s="1"/>
      <c r="AD254" s="5"/>
      <c r="AE254" s="1"/>
      <c r="AF254" s="5"/>
      <c r="AG254" s="1"/>
      <c r="AH254" s="5"/>
      <c r="AI254" s="1"/>
      <c r="AJ254" s="5"/>
      <c r="AK254" s="1"/>
      <c r="AL254" s="5"/>
      <c r="AM254" s="1"/>
      <c r="AN254" s="5"/>
      <c r="AO254" s="1"/>
      <c r="AP254" s="5"/>
      <c r="AQ254" s="1"/>
      <c r="AR254" s="5"/>
      <c r="AS254" s="1"/>
      <c r="AT254" s="5"/>
      <c r="AU254" s="1"/>
      <c r="AV254" s="5"/>
      <c r="AW254" s="1"/>
      <c r="AX254" s="5"/>
      <c r="AY254" s="1"/>
      <c r="AZ254" s="5"/>
      <c r="BA254" s="1"/>
      <c r="BB254" s="5"/>
      <c r="BC254" s="1"/>
      <c r="BD254" s="5"/>
      <c r="BE254" s="1"/>
      <c r="BF254" s="5"/>
      <c r="BG254" s="1"/>
      <c r="BH254" s="5"/>
      <c r="BI254" s="1"/>
      <c r="BJ254" s="5"/>
      <c r="BK254" s="1"/>
      <c r="BL254" s="5"/>
      <c r="BM254" s="1"/>
      <c r="BN254" s="5"/>
      <c r="BO254" s="1"/>
      <c r="BP254" s="5"/>
      <c r="BQ254" s="1"/>
      <c r="BR254" s="5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ht="15.75" customHeight="1">
      <c r="A255" s="94"/>
      <c r="B255" s="97"/>
      <c r="C255" s="97"/>
      <c r="D255" s="97"/>
      <c r="E255" s="5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5"/>
      <c r="T255" s="5"/>
      <c r="U255" s="5"/>
      <c r="V255" s="5"/>
      <c r="W255" s="5"/>
      <c r="X255" s="5"/>
      <c r="Y255" s="5"/>
      <c r="Z255" s="5"/>
      <c r="AA255" s="1"/>
      <c r="AB255" s="5"/>
      <c r="AC255" s="1"/>
      <c r="AD255" s="5"/>
      <c r="AE255" s="1"/>
      <c r="AF255" s="5"/>
      <c r="AG255" s="1"/>
      <c r="AH255" s="5"/>
      <c r="AI255" s="1"/>
      <c r="AJ255" s="5"/>
      <c r="AK255" s="1"/>
      <c r="AL255" s="5"/>
      <c r="AM255" s="1"/>
      <c r="AN255" s="5"/>
      <c r="AO255" s="1"/>
      <c r="AP255" s="5"/>
      <c r="AQ255" s="1"/>
      <c r="AR255" s="5"/>
      <c r="AS255" s="1"/>
      <c r="AT255" s="5"/>
      <c r="AU255" s="1"/>
      <c r="AV255" s="5"/>
      <c r="AW255" s="1"/>
      <c r="AX255" s="5"/>
      <c r="AY255" s="1"/>
      <c r="AZ255" s="5"/>
      <c r="BA255" s="1"/>
      <c r="BB255" s="5"/>
      <c r="BC255" s="1"/>
      <c r="BD255" s="5"/>
      <c r="BE255" s="1"/>
      <c r="BF255" s="5"/>
      <c r="BG255" s="1"/>
      <c r="BH255" s="5"/>
      <c r="BI255" s="1"/>
      <c r="BJ255" s="5"/>
      <c r="BK255" s="1"/>
      <c r="BL255" s="5"/>
      <c r="BM255" s="1"/>
      <c r="BN255" s="5"/>
      <c r="BO255" s="1"/>
      <c r="BP255" s="5"/>
      <c r="BQ255" s="1"/>
      <c r="BR255" s="5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</row>
    <row r="256" ht="15.75" customHeight="1">
      <c r="A256" s="94"/>
      <c r="B256" s="97"/>
      <c r="C256" s="97"/>
      <c r="D256" s="97"/>
      <c r="E256" s="5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5"/>
      <c r="T256" s="5"/>
      <c r="U256" s="5"/>
      <c r="V256" s="5"/>
      <c r="W256" s="5"/>
      <c r="X256" s="5"/>
      <c r="Y256" s="5"/>
      <c r="Z256" s="5"/>
      <c r="AA256" s="1"/>
      <c r="AB256" s="5"/>
      <c r="AC256" s="1"/>
      <c r="AD256" s="5"/>
      <c r="AE256" s="1"/>
      <c r="AF256" s="5"/>
      <c r="AG256" s="1"/>
      <c r="AH256" s="5"/>
      <c r="AI256" s="1"/>
      <c r="AJ256" s="5"/>
      <c r="AK256" s="1"/>
      <c r="AL256" s="5"/>
      <c r="AM256" s="1"/>
      <c r="AN256" s="5"/>
      <c r="AO256" s="1"/>
      <c r="AP256" s="5"/>
      <c r="AQ256" s="1"/>
      <c r="AR256" s="5"/>
      <c r="AS256" s="1"/>
      <c r="AT256" s="5"/>
      <c r="AU256" s="1"/>
      <c r="AV256" s="5"/>
      <c r="AW256" s="1"/>
      <c r="AX256" s="5"/>
      <c r="AY256" s="1"/>
      <c r="AZ256" s="5"/>
      <c r="BA256" s="1"/>
      <c r="BB256" s="5"/>
      <c r="BC256" s="1"/>
      <c r="BD256" s="5"/>
      <c r="BE256" s="1"/>
      <c r="BF256" s="5"/>
      <c r="BG256" s="1"/>
      <c r="BH256" s="5"/>
      <c r="BI256" s="1"/>
      <c r="BJ256" s="5"/>
      <c r="BK256" s="1"/>
      <c r="BL256" s="5"/>
      <c r="BM256" s="1"/>
      <c r="BN256" s="5"/>
      <c r="BO256" s="1"/>
      <c r="BP256" s="5"/>
      <c r="BQ256" s="1"/>
      <c r="BR256" s="5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</row>
    <row r="257" ht="15.75" customHeight="1">
      <c r="A257" s="94"/>
      <c r="B257" s="97"/>
      <c r="C257" s="97"/>
      <c r="D257" s="97"/>
      <c r="E257" s="5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5"/>
      <c r="T257" s="5"/>
      <c r="U257" s="5"/>
      <c r="V257" s="5"/>
      <c r="W257" s="5"/>
      <c r="X257" s="5"/>
      <c r="Y257" s="5"/>
      <c r="Z257" s="5"/>
      <c r="AA257" s="1"/>
      <c r="AB257" s="5"/>
      <c r="AC257" s="1"/>
      <c r="AD257" s="5"/>
      <c r="AE257" s="1"/>
      <c r="AF257" s="5"/>
      <c r="AG257" s="1"/>
      <c r="AH257" s="5"/>
      <c r="AI257" s="1"/>
      <c r="AJ257" s="5"/>
      <c r="AK257" s="1"/>
      <c r="AL257" s="5"/>
      <c r="AM257" s="1"/>
      <c r="AN257" s="5"/>
      <c r="AO257" s="1"/>
      <c r="AP257" s="5"/>
      <c r="AQ257" s="1"/>
      <c r="AR257" s="5"/>
      <c r="AS257" s="1"/>
      <c r="AT257" s="5"/>
      <c r="AU257" s="1"/>
      <c r="AV257" s="5"/>
      <c r="AW257" s="1"/>
      <c r="AX257" s="5"/>
      <c r="AY257" s="1"/>
      <c r="AZ257" s="5"/>
      <c r="BA257" s="1"/>
      <c r="BB257" s="5"/>
      <c r="BC257" s="1"/>
      <c r="BD257" s="5"/>
      <c r="BE257" s="1"/>
      <c r="BF257" s="5"/>
      <c r="BG257" s="1"/>
      <c r="BH257" s="5"/>
      <c r="BI257" s="1"/>
      <c r="BJ257" s="5"/>
      <c r="BK257" s="1"/>
      <c r="BL257" s="5"/>
      <c r="BM257" s="1"/>
      <c r="BN257" s="5"/>
      <c r="BO257" s="1"/>
      <c r="BP257" s="5"/>
      <c r="BQ257" s="1"/>
      <c r="BR257" s="5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ht="15.75" customHeight="1">
      <c r="A258" s="94"/>
      <c r="B258" s="97"/>
      <c r="C258" s="97"/>
      <c r="D258" s="97"/>
      <c r="E258" s="5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5"/>
      <c r="T258" s="5"/>
      <c r="U258" s="5"/>
      <c r="V258" s="5"/>
      <c r="W258" s="5"/>
      <c r="X258" s="5"/>
      <c r="Y258" s="5"/>
      <c r="Z258" s="5"/>
      <c r="AA258" s="1"/>
      <c r="AB258" s="5"/>
      <c r="AC258" s="1"/>
      <c r="AD258" s="5"/>
      <c r="AE258" s="1"/>
      <c r="AF258" s="5"/>
      <c r="AG258" s="1"/>
      <c r="AH258" s="5"/>
      <c r="AI258" s="1"/>
      <c r="AJ258" s="5"/>
      <c r="AK258" s="1"/>
      <c r="AL258" s="5"/>
      <c r="AM258" s="1"/>
      <c r="AN258" s="5"/>
      <c r="AO258" s="1"/>
      <c r="AP258" s="5"/>
      <c r="AQ258" s="1"/>
      <c r="AR258" s="5"/>
      <c r="AS258" s="1"/>
      <c r="AT258" s="5"/>
      <c r="AU258" s="1"/>
      <c r="AV258" s="5"/>
      <c r="AW258" s="1"/>
      <c r="AX258" s="5"/>
      <c r="AY258" s="1"/>
      <c r="AZ258" s="5"/>
      <c r="BA258" s="1"/>
      <c r="BB258" s="5"/>
      <c r="BC258" s="1"/>
      <c r="BD258" s="5"/>
      <c r="BE258" s="1"/>
      <c r="BF258" s="5"/>
      <c r="BG258" s="1"/>
      <c r="BH258" s="5"/>
      <c r="BI258" s="1"/>
      <c r="BJ258" s="5"/>
      <c r="BK258" s="1"/>
      <c r="BL258" s="5"/>
      <c r="BM258" s="1"/>
      <c r="BN258" s="5"/>
      <c r="BO258" s="1"/>
      <c r="BP258" s="5"/>
      <c r="BQ258" s="1"/>
      <c r="BR258" s="5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</row>
    <row r="259" ht="15.75" customHeight="1">
      <c r="A259" s="94"/>
      <c r="B259" s="97"/>
      <c r="C259" s="97"/>
      <c r="D259" s="97"/>
      <c r="E259" s="5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5"/>
      <c r="T259" s="5"/>
      <c r="U259" s="5"/>
      <c r="V259" s="5"/>
      <c r="W259" s="5"/>
      <c r="X259" s="5"/>
      <c r="Y259" s="5"/>
      <c r="Z259" s="5"/>
      <c r="AA259" s="1"/>
      <c r="AB259" s="5"/>
      <c r="AC259" s="1"/>
      <c r="AD259" s="5"/>
      <c r="AE259" s="1"/>
      <c r="AF259" s="5"/>
      <c r="AG259" s="1"/>
      <c r="AH259" s="5"/>
      <c r="AI259" s="1"/>
      <c r="AJ259" s="5"/>
      <c r="AK259" s="1"/>
      <c r="AL259" s="5"/>
      <c r="AM259" s="1"/>
      <c r="AN259" s="5"/>
      <c r="AO259" s="1"/>
      <c r="AP259" s="5"/>
      <c r="AQ259" s="1"/>
      <c r="AR259" s="5"/>
      <c r="AS259" s="1"/>
      <c r="AT259" s="5"/>
      <c r="AU259" s="1"/>
      <c r="AV259" s="5"/>
      <c r="AW259" s="1"/>
      <c r="AX259" s="5"/>
      <c r="AY259" s="1"/>
      <c r="AZ259" s="5"/>
      <c r="BA259" s="1"/>
      <c r="BB259" s="5"/>
      <c r="BC259" s="1"/>
      <c r="BD259" s="5"/>
      <c r="BE259" s="1"/>
      <c r="BF259" s="5"/>
      <c r="BG259" s="1"/>
      <c r="BH259" s="5"/>
      <c r="BI259" s="1"/>
      <c r="BJ259" s="5"/>
      <c r="BK259" s="1"/>
      <c r="BL259" s="5"/>
      <c r="BM259" s="1"/>
      <c r="BN259" s="5"/>
      <c r="BO259" s="1"/>
      <c r="BP259" s="5"/>
      <c r="BQ259" s="1"/>
      <c r="BR259" s="5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</row>
    <row r="260" ht="15.75" customHeight="1">
      <c r="A260" s="94"/>
      <c r="B260" s="97"/>
      <c r="C260" s="97"/>
      <c r="D260" s="97"/>
      <c r="E260" s="5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5"/>
      <c r="T260" s="5"/>
      <c r="U260" s="5"/>
      <c r="V260" s="5"/>
      <c r="W260" s="5"/>
      <c r="X260" s="5"/>
      <c r="Y260" s="5"/>
      <c r="Z260" s="5"/>
      <c r="AA260" s="1"/>
      <c r="AB260" s="5"/>
      <c r="AC260" s="1"/>
      <c r="AD260" s="5"/>
      <c r="AE260" s="1"/>
      <c r="AF260" s="5"/>
      <c r="AG260" s="1"/>
      <c r="AH260" s="5"/>
      <c r="AI260" s="1"/>
      <c r="AJ260" s="5"/>
      <c r="AK260" s="1"/>
      <c r="AL260" s="5"/>
      <c r="AM260" s="1"/>
      <c r="AN260" s="5"/>
      <c r="AO260" s="1"/>
      <c r="AP260" s="5"/>
      <c r="AQ260" s="1"/>
      <c r="AR260" s="5"/>
      <c r="AS260" s="1"/>
      <c r="AT260" s="5"/>
      <c r="AU260" s="1"/>
      <c r="AV260" s="5"/>
      <c r="AW260" s="1"/>
      <c r="AX260" s="5"/>
      <c r="AY260" s="1"/>
      <c r="AZ260" s="5"/>
      <c r="BA260" s="1"/>
      <c r="BB260" s="5"/>
      <c r="BC260" s="1"/>
      <c r="BD260" s="5"/>
      <c r="BE260" s="1"/>
      <c r="BF260" s="5"/>
      <c r="BG260" s="1"/>
      <c r="BH260" s="5"/>
      <c r="BI260" s="1"/>
      <c r="BJ260" s="5"/>
      <c r="BK260" s="1"/>
      <c r="BL260" s="5"/>
      <c r="BM260" s="1"/>
      <c r="BN260" s="5"/>
      <c r="BO260" s="1"/>
      <c r="BP260" s="5"/>
      <c r="BQ260" s="1"/>
      <c r="BR260" s="5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ht="15.75" customHeight="1">
      <c r="A261" s="94"/>
      <c r="B261" s="97"/>
      <c r="C261" s="97"/>
      <c r="D261" s="97"/>
      <c r="E261" s="5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5"/>
      <c r="T261" s="5"/>
      <c r="U261" s="5"/>
      <c r="V261" s="5"/>
      <c r="W261" s="5"/>
      <c r="X261" s="5"/>
      <c r="Y261" s="5"/>
      <c r="Z261" s="5"/>
      <c r="AA261" s="1"/>
      <c r="AB261" s="5"/>
      <c r="AC261" s="1"/>
      <c r="AD261" s="5"/>
      <c r="AE261" s="1"/>
      <c r="AF261" s="5"/>
      <c r="AG261" s="1"/>
      <c r="AH261" s="5"/>
      <c r="AI261" s="1"/>
      <c r="AJ261" s="5"/>
      <c r="AK261" s="1"/>
      <c r="AL261" s="5"/>
      <c r="AM261" s="1"/>
      <c r="AN261" s="5"/>
      <c r="AO261" s="1"/>
      <c r="AP261" s="5"/>
      <c r="AQ261" s="1"/>
      <c r="AR261" s="5"/>
      <c r="AS261" s="1"/>
      <c r="AT261" s="5"/>
      <c r="AU261" s="1"/>
      <c r="AV261" s="5"/>
      <c r="AW261" s="1"/>
      <c r="AX261" s="5"/>
      <c r="AY261" s="1"/>
      <c r="AZ261" s="5"/>
      <c r="BA261" s="1"/>
      <c r="BB261" s="5"/>
      <c r="BC261" s="1"/>
      <c r="BD261" s="5"/>
      <c r="BE261" s="1"/>
      <c r="BF261" s="5"/>
      <c r="BG261" s="1"/>
      <c r="BH261" s="5"/>
      <c r="BI261" s="1"/>
      <c r="BJ261" s="5"/>
      <c r="BK261" s="1"/>
      <c r="BL261" s="5"/>
      <c r="BM261" s="1"/>
      <c r="BN261" s="5"/>
      <c r="BO261" s="1"/>
      <c r="BP261" s="5"/>
      <c r="BQ261" s="1"/>
      <c r="BR261" s="5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</row>
    <row r="262" ht="15.75" customHeight="1">
      <c r="A262" s="94"/>
      <c r="B262" s="97"/>
      <c r="C262" s="97"/>
      <c r="D262" s="97"/>
      <c r="E262" s="5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5"/>
      <c r="T262" s="5"/>
      <c r="U262" s="5"/>
      <c r="V262" s="5"/>
      <c r="W262" s="5"/>
      <c r="X262" s="5"/>
      <c r="Y262" s="5"/>
      <c r="Z262" s="5"/>
      <c r="AA262" s="1"/>
      <c r="AB262" s="5"/>
      <c r="AC262" s="1"/>
      <c r="AD262" s="5"/>
      <c r="AE262" s="1"/>
      <c r="AF262" s="5"/>
      <c r="AG262" s="1"/>
      <c r="AH262" s="5"/>
      <c r="AI262" s="1"/>
      <c r="AJ262" s="5"/>
      <c r="AK262" s="1"/>
      <c r="AL262" s="5"/>
      <c r="AM262" s="1"/>
      <c r="AN262" s="5"/>
      <c r="AO262" s="1"/>
      <c r="AP262" s="5"/>
      <c r="AQ262" s="1"/>
      <c r="AR262" s="5"/>
      <c r="AS262" s="1"/>
      <c r="AT262" s="5"/>
      <c r="AU262" s="1"/>
      <c r="AV262" s="5"/>
      <c r="AW262" s="1"/>
      <c r="AX262" s="5"/>
      <c r="AY262" s="1"/>
      <c r="AZ262" s="5"/>
      <c r="BA262" s="1"/>
      <c r="BB262" s="5"/>
      <c r="BC262" s="1"/>
      <c r="BD262" s="5"/>
      <c r="BE262" s="1"/>
      <c r="BF262" s="5"/>
      <c r="BG262" s="1"/>
      <c r="BH262" s="5"/>
      <c r="BI262" s="1"/>
      <c r="BJ262" s="5"/>
      <c r="BK262" s="1"/>
      <c r="BL262" s="5"/>
      <c r="BM262" s="1"/>
      <c r="BN262" s="5"/>
      <c r="BO262" s="1"/>
      <c r="BP262" s="5"/>
      <c r="BQ262" s="1"/>
      <c r="BR262" s="5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</row>
    <row r="263" ht="15.75" customHeight="1">
      <c r="A263" s="94"/>
      <c r="B263" s="97"/>
      <c r="C263" s="97"/>
      <c r="D263" s="97"/>
      <c r="E263" s="5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5"/>
      <c r="T263" s="5"/>
      <c r="U263" s="5"/>
      <c r="V263" s="5"/>
      <c r="W263" s="5"/>
      <c r="X263" s="5"/>
      <c r="Y263" s="5"/>
      <c r="Z263" s="5"/>
      <c r="AA263" s="1"/>
      <c r="AB263" s="5"/>
      <c r="AC263" s="1"/>
      <c r="AD263" s="5"/>
      <c r="AE263" s="1"/>
      <c r="AF263" s="5"/>
      <c r="AG263" s="1"/>
      <c r="AH263" s="5"/>
      <c r="AI263" s="1"/>
      <c r="AJ263" s="5"/>
      <c r="AK263" s="1"/>
      <c r="AL263" s="5"/>
      <c r="AM263" s="1"/>
      <c r="AN263" s="5"/>
      <c r="AO263" s="1"/>
      <c r="AP263" s="5"/>
      <c r="AQ263" s="1"/>
      <c r="AR263" s="5"/>
      <c r="AS263" s="1"/>
      <c r="AT263" s="5"/>
      <c r="AU263" s="1"/>
      <c r="AV263" s="5"/>
      <c r="AW263" s="1"/>
      <c r="AX263" s="5"/>
      <c r="AY263" s="1"/>
      <c r="AZ263" s="5"/>
      <c r="BA263" s="1"/>
      <c r="BB263" s="5"/>
      <c r="BC263" s="1"/>
      <c r="BD263" s="5"/>
      <c r="BE263" s="1"/>
      <c r="BF263" s="5"/>
      <c r="BG263" s="1"/>
      <c r="BH263" s="5"/>
      <c r="BI263" s="1"/>
      <c r="BJ263" s="5"/>
      <c r="BK263" s="1"/>
      <c r="BL263" s="5"/>
      <c r="BM263" s="1"/>
      <c r="BN263" s="5"/>
      <c r="BO263" s="1"/>
      <c r="BP263" s="5"/>
      <c r="BQ263" s="1"/>
      <c r="BR263" s="5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</row>
    <row r="264" ht="15.75" customHeight="1">
      <c r="A264" s="94"/>
      <c r="B264" s="97"/>
      <c r="C264" s="97"/>
      <c r="D264" s="97"/>
      <c r="E264" s="5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5"/>
      <c r="T264" s="5"/>
      <c r="U264" s="5"/>
      <c r="V264" s="5"/>
      <c r="W264" s="5"/>
      <c r="X264" s="5"/>
      <c r="Y264" s="5"/>
      <c r="Z264" s="5"/>
      <c r="AA264" s="1"/>
      <c r="AB264" s="5"/>
      <c r="AC264" s="1"/>
      <c r="AD264" s="5"/>
      <c r="AE264" s="1"/>
      <c r="AF264" s="5"/>
      <c r="AG264" s="1"/>
      <c r="AH264" s="5"/>
      <c r="AI264" s="1"/>
      <c r="AJ264" s="5"/>
      <c r="AK264" s="1"/>
      <c r="AL264" s="5"/>
      <c r="AM264" s="1"/>
      <c r="AN264" s="5"/>
      <c r="AO264" s="1"/>
      <c r="AP264" s="5"/>
      <c r="AQ264" s="1"/>
      <c r="AR264" s="5"/>
      <c r="AS264" s="1"/>
      <c r="AT264" s="5"/>
      <c r="AU264" s="1"/>
      <c r="AV264" s="5"/>
      <c r="AW264" s="1"/>
      <c r="AX264" s="5"/>
      <c r="AY264" s="1"/>
      <c r="AZ264" s="5"/>
      <c r="BA264" s="1"/>
      <c r="BB264" s="5"/>
      <c r="BC264" s="1"/>
      <c r="BD264" s="5"/>
      <c r="BE264" s="1"/>
      <c r="BF264" s="5"/>
      <c r="BG264" s="1"/>
      <c r="BH264" s="5"/>
      <c r="BI264" s="1"/>
      <c r="BJ264" s="5"/>
      <c r="BK264" s="1"/>
      <c r="BL264" s="5"/>
      <c r="BM264" s="1"/>
      <c r="BN264" s="5"/>
      <c r="BO264" s="1"/>
      <c r="BP264" s="5"/>
      <c r="BQ264" s="1"/>
      <c r="BR264" s="5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</row>
    <row r="265" ht="15.75" customHeight="1">
      <c r="A265" s="94"/>
      <c r="B265" s="97"/>
      <c r="C265" s="97"/>
      <c r="D265" s="97"/>
      <c r="E265" s="5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5"/>
      <c r="T265" s="5"/>
      <c r="U265" s="5"/>
      <c r="V265" s="5"/>
      <c r="W265" s="5"/>
      <c r="X265" s="5"/>
      <c r="Y265" s="5"/>
      <c r="Z265" s="5"/>
      <c r="AA265" s="1"/>
      <c r="AB265" s="5"/>
      <c r="AC265" s="1"/>
      <c r="AD265" s="5"/>
      <c r="AE265" s="1"/>
      <c r="AF265" s="5"/>
      <c r="AG265" s="1"/>
      <c r="AH265" s="5"/>
      <c r="AI265" s="1"/>
      <c r="AJ265" s="5"/>
      <c r="AK265" s="1"/>
      <c r="AL265" s="5"/>
      <c r="AM265" s="1"/>
      <c r="AN265" s="5"/>
      <c r="AO265" s="1"/>
      <c r="AP265" s="5"/>
      <c r="AQ265" s="1"/>
      <c r="AR265" s="5"/>
      <c r="AS265" s="1"/>
      <c r="AT265" s="5"/>
      <c r="AU265" s="1"/>
      <c r="AV265" s="5"/>
      <c r="AW265" s="1"/>
      <c r="AX265" s="5"/>
      <c r="AY265" s="1"/>
      <c r="AZ265" s="5"/>
      <c r="BA265" s="1"/>
      <c r="BB265" s="5"/>
      <c r="BC265" s="1"/>
      <c r="BD265" s="5"/>
      <c r="BE265" s="1"/>
      <c r="BF265" s="5"/>
      <c r="BG265" s="1"/>
      <c r="BH265" s="5"/>
      <c r="BI265" s="1"/>
      <c r="BJ265" s="5"/>
      <c r="BK265" s="1"/>
      <c r="BL265" s="5"/>
      <c r="BM265" s="1"/>
      <c r="BN265" s="5"/>
      <c r="BO265" s="1"/>
      <c r="BP265" s="5"/>
      <c r="BQ265" s="1"/>
      <c r="BR265" s="5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</row>
    <row r="266" ht="15.75" customHeight="1">
      <c r="A266" s="94"/>
      <c r="B266" s="97"/>
      <c r="C266" s="97"/>
      <c r="D266" s="97"/>
      <c r="E266" s="1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5"/>
      <c r="AK266" s="1"/>
      <c r="AL266" s="5"/>
      <c r="AM266" s="1"/>
      <c r="AN266" s="5"/>
      <c r="AO266" s="1"/>
      <c r="AP266" s="5"/>
      <c r="AQ266" s="1"/>
      <c r="AR266" s="5"/>
      <c r="AS266" s="1"/>
      <c r="AT266" s="5"/>
      <c r="AU266" s="1"/>
      <c r="AV266" s="5"/>
      <c r="AW266" s="1"/>
      <c r="AX266" s="5"/>
      <c r="AY266" s="1"/>
      <c r="AZ266" s="5"/>
      <c r="BA266" s="1"/>
      <c r="BB266" s="5"/>
      <c r="BC266" s="1"/>
      <c r="BD266" s="5"/>
      <c r="BE266" s="1"/>
      <c r="BF266" s="5"/>
      <c r="BG266" s="1"/>
      <c r="BH266" s="5"/>
      <c r="BI266" s="1"/>
      <c r="BJ266" s="5"/>
      <c r="BK266" s="1"/>
      <c r="BL266" s="5"/>
      <c r="BM266" s="1"/>
      <c r="BN266" s="5"/>
      <c r="BO266" s="1"/>
      <c r="BP266" s="5"/>
      <c r="BQ266" s="1"/>
      <c r="BR266" s="5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</row>
    <row r="267" ht="15.75" customHeight="1">
      <c r="A267" s="94"/>
      <c r="B267" s="97"/>
      <c r="C267" s="97"/>
      <c r="D267" s="97"/>
      <c r="E267" s="1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5"/>
      <c r="AK267" s="1"/>
      <c r="AL267" s="5"/>
      <c r="AM267" s="1"/>
      <c r="AN267" s="5"/>
      <c r="AO267" s="1"/>
      <c r="AP267" s="5"/>
      <c r="AQ267" s="1"/>
      <c r="AR267" s="5"/>
      <c r="AS267" s="1"/>
      <c r="AT267" s="5"/>
      <c r="AU267" s="1"/>
      <c r="AV267" s="5"/>
      <c r="AW267" s="1"/>
      <c r="AX267" s="5"/>
      <c r="AY267" s="1"/>
      <c r="AZ267" s="5"/>
      <c r="BA267" s="1"/>
      <c r="BB267" s="5"/>
      <c r="BC267" s="1"/>
      <c r="BD267" s="5"/>
      <c r="BE267" s="1"/>
      <c r="BF267" s="5"/>
      <c r="BG267" s="1"/>
      <c r="BH267" s="5"/>
      <c r="BI267" s="1"/>
      <c r="BJ267" s="5"/>
      <c r="BK267" s="1"/>
      <c r="BL267" s="5"/>
      <c r="BM267" s="1"/>
      <c r="BN267" s="5"/>
      <c r="BO267" s="1"/>
      <c r="BP267" s="5"/>
      <c r="BQ267" s="1"/>
      <c r="BR267" s="5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</row>
    <row r="268" ht="15.75" customHeight="1">
      <c r="A268" s="94"/>
      <c r="B268" s="97"/>
      <c r="C268" s="97"/>
      <c r="D268" s="97"/>
      <c r="E268" s="1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5"/>
      <c r="AK268" s="1"/>
      <c r="AL268" s="5"/>
      <c r="AM268" s="1"/>
      <c r="AN268" s="5"/>
      <c r="AO268" s="1"/>
      <c r="AP268" s="5"/>
      <c r="AQ268" s="1"/>
      <c r="AR268" s="5"/>
      <c r="AS268" s="1"/>
      <c r="AT268" s="5"/>
      <c r="AU268" s="1"/>
      <c r="AV268" s="5"/>
      <c r="AW268" s="1"/>
      <c r="AX268" s="5"/>
      <c r="AY268" s="1"/>
      <c r="AZ268" s="5"/>
      <c r="BA268" s="1"/>
      <c r="BB268" s="5"/>
      <c r="BC268" s="1"/>
      <c r="BD268" s="5"/>
      <c r="BE268" s="1"/>
      <c r="BF268" s="5"/>
      <c r="BG268" s="1"/>
      <c r="BH268" s="5"/>
      <c r="BI268" s="1"/>
      <c r="BJ268" s="5"/>
      <c r="BK268" s="1"/>
      <c r="BL268" s="5"/>
      <c r="BM268" s="1"/>
      <c r="BN268" s="5"/>
      <c r="BO268" s="1"/>
      <c r="BP268" s="5"/>
      <c r="BQ268" s="1"/>
      <c r="BR268" s="5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</row>
    <row r="269" ht="15.75" customHeight="1">
      <c r="A269" s="94"/>
      <c r="B269" s="97"/>
      <c r="C269" s="97"/>
      <c r="D269" s="97"/>
      <c r="E269" s="1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5"/>
      <c r="AK269" s="1"/>
      <c r="AL269" s="5"/>
      <c r="AM269" s="1"/>
      <c r="AN269" s="5"/>
      <c r="AO269" s="1"/>
      <c r="AP269" s="5"/>
      <c r="AQ269" s="1"/>
      <c r="AR269" s="5"/>
      <c r="AS269" s="1"/>
      <c r="AT269" s="5"/>
      <c r="AU269" s="1"/>
      <c r="AV269" s="5"/>
      <c r="AW269" s="1"/>
      <c r="AX269" s="5"/>
      <c r="AY269" s="1"/>
      <c r="AZ269" s="5"/>
      <c r="BA269" s="1"/>
      <c r="BB269" s="5"/>
      <c r="BC269" s="1"/>
      <c r="BD269" s="5"/>
      <c r="BE269" s="1"/>
      <c r="BF269" s="5"/>
      <c r="BG269" s="1"/>
      <c r="BH269" s="5"/>
      <c r="BI269" s="1"/>
      <c r="BJ269" s="5"/>
      <c r="BK269" s="1"/>
      <c r="BL269" s="5"/>
      <c r="BM269" s="1"/>
      <c r="BN269" s="5"/>
      <c r="BO269" s="1"/>
      <c r="BP269" s="5"/>
      <c r="BQ269" s="1"/>
      <c r="BR269" s="5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ht="15.75" customHeight="1">
      <c r="A270" s="94"/>
      <c r="B270" s="97"/>
      <c r="C270" s="97"/>
      <c r="D270" s="97"/>
      <c r="E270" s="1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5"/>
      <c r="AK270" s="1"/>
      <c r="AL270" s="5"/>
      <c r="AM270" s="1"/>
      <c r="AN270" s="5"/>
      <c r="AO270" s="1"/>
      <c r="AP270" s="5"/>
      <c r="AQ270" s="1"/>
      <c r="AR270" s="5"/>
      <c r="AS270" s="1"/>
      <c r="AT270" s="5"/>
      <c r="AU270" s="1"/>
      <c r="AV270" s="5"/>
      <c r="AW270" s="1"/>
      <c r="AX270" s="5"/>
      <c r="AY270" s="1"/>
      <c r="AZ270" s="5"/>
      <c r="BA270" s="1"/>
      <c r="BB270" s="5"/>
      <c r="BC270" s="1"/>
      <c r="BD270" s="5"/>
      <c r="BE270" s="1"/>
      <c r="BF270" s="5"/>
      <c r="BG270" s="1"/>
      <c r="BH270" s="5"/>
      <c r="BI270" s="1"/>
      <c r="BJ270" s="5"/>
      <c r="BK270" s="1"/>
      <c r="BL270" s="5"/>
      <c r="BM270" s="1"/>
      <c r="BN270" s="5"/>
      <c r="BO270" s="1"/>
      <c r="BP270" s="5"/>
      <c r="BQ270" s="1"/>
      <c r="BR270" s="5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ht="15.75" customHeight="1">
      <c r="A271" s="94"/>
      <c r="B271" s="97"/>
      <c r="C271" s="97"/>
      <c r="D271" s="97"/>
      <c r="E271" s="1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5"/>
      <c r="AK271" s="1"/>
      <c r="AL271" s="5"/>
      <c r="AM271" s="1"/>
      <c r="AN271" s="5"/>
      <c r="AO271" s="1"/>
      <c r="AP271" s="5"/>
      <c r="AQ271" s="1"/>
      <c r="AR271" s="5"/>
      <c r="AS271" s="1"/>
      <c r="AT271" s="5"/>
      <c r="AU271" s="1"/>
      <c r="AV271" s="5"/>
      <c r="AW271" s="1"/>
      <c r="AX271" s="5"/>
      <c r="AY271" s="1"/>
      <c r="AZ271" s="5"/>
      <c r="BA271" s="1"/>
      <c r="BB271" s="5"/>
      <c r="BC271" s="1"/>
      <c r="BD271" s="5"/>
      <c r="BE271" s="1"/>
      <c r="BF271" s="5"/>
      <c r="BG271" s="1"/>
      <c r="BH271" s="5"/>
      <c r="BI271" s="1"/>
      <c r="BJ271" s="5"/>
      <c r="BK271" s="1"/>
      <c r="BL271" s="5"/>
      <c r="BM271" s="1"/>
      <c r="BN271" s="5"/>
      <c r="BO271" s="1"/>
      <c r="BP271" s="5"/>
      <c r="BQ271" s="1"/>
      <c r="BR271" s="5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ht="15.75" customHeight="1">
      <c r="A272" s="94"/>
      <c r="B272" s="97"/>
      <c r="C272" s="97"/>
      <c r="D272" s="97"/>
      <c r="E272" s="1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5"/>
      <c r="AK272" s="1"/>
      <c r="AL272" s="5"/>
      <c r="AM272" s="1"/>
      <c r="AN272" s="5"/>
      <c r="AO272" s="1"/>
      <c r="AP272" s="5"/>
      <c r="AQ272" s="1"/>
      <c r="AR272" s="5"/>
      <c r="AS272" s="1"/>
      <c r="AT272" s="5"/>
      <c r="AU272" s="1"/>
      <c r="AV272" s="5"/>
      <c r="AW272" s="1"/>
      <c r="AX272" s="5"/>
      <c r="AY272" s="1"/>
      <c r="AZ272" s="5"/>
      <c r="BA272" s="1"/>
      <c r="BB272" s="5"/>
      <c r="BC272" s="1"/>
      <c r="BD272" s="5"/>
      <c r="BE272" s="1"/>
      <c r="BF272" s="5"/>
      <c r="BG272" s="1"/>
      <c r="BH272" s="5"/>
      <c r="BI272" s="1"/>
      <c r="BJ272" s="5"/>
      <c r="BK272" s="1"/>
      <c r="BL272" s="5"/>
      <c r="BM272" s="1"/>
      <c r="BN272" s="5"/>
      <c r="BO272" s="1"/>
      <c r="BP272" s="5"/>
      <c r="BQ272" s="1"/>
      <c r="BR272" s="5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ht="15.75" customHeight="1">
      <c r="A273" s="94"/>
      <c r="B273" s="97"/>
      <c r="C273" s="97"/>
      <c r="D273" s="97"/>
      <c r="E273" s="1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5"/>
      <c r="AK273" s="1"/>
      <c r="AL273" s="5"/>
      <c r="AM273" s="1"/>
      <c r="AN273" s="5"/>
      <c r="AO273" s="1"/>
      <c r="AP273" s="5"/>
      <c r="AQ273" s="1"/>
      <c r="AR273" s="5"/>
      <c r="AS273" s="1"/>
      <c r="AT273" s="5"/>
      <c r="AU273" s="1"/>
      <c r="AV273" s="5"/>
      <c r="AW273" s="1"/>
      <c r="AX273" s="5"/>
      <c r="AY273" s="1"/>
      <c r="AZ273" s="5"/>
      <c r="BA273" s="1"/>
      <c r="BB273" s="5"/>
      <c r="BC273" s="1"/>
      <c r="BD273" s="5"/>
      <c r="BE273" s="1"/>
      <c r="BF273" s="5"/>
      <c r="BG273" s="1"/>
      <c r="BH273" s="5"/>
      <c r="BI273" s="1"/>
      <c r="BJ273" s="5"/>
      <c r="BK273" s="1"/>
      <c r="BL273" s="5"/>
      <c r="BM273" s="1"/>
      <c r="BN273" s="5"/>
      <c r="BO273" s="1"/>
      <c r="BP273" s="5"/>
      <c r="BQ273" s="1"/>
      <c r="BR273" s="5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</row>
    <row r="274" ht="15.75" customHeight="1">
      <c r="A274" s="94"/>
      <c r="B274" s="97"/>
      <c r="C274" s="97"/>
      <c r="D274" s="97"/>
      <c r="E274" s="1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5"/>
      <c r="AK274" s="1"/>
      <c r="AL274" s="5"/>
      <c r="AM274" s="1"/>
      <c r="AN274" s="5"/>
      <c r="AO274" s="1"/>
      <c r="AP274" s="5"/>
      <c r="AQ274" s="1"/>
      <c r="AR274" s="5"/>
      <c r="AS274" s="1"/>
      <c r="AT274" s="5"/>
      <c r="AU274" s="1"/>
      <c r="AV274" s="5"/>
      <c r="AW274" s="1"/>
      <c r="AX274" s="5"/>
      <c r="AY274" s="1"/>
      <c r="AZ274" s="5"/>
      <c r="BA274" s="1"/>
      <c r="BB274" s="5"/>
      <c r="BC274" s="1"/>
      <c r="BD274" s="5"/>
      <c r="BE274" s="1"/>
      <c r="BF274" s="5"/>
      <c r="BG274" s="1"/>
      <c r="BH274" s="5"/>
      <c r="BI274" s="1"/>
      <c r="BJ274" s="5"/>
      <c r="BK274" s="1"/>
      <c r="BL274" s="5"/>
      <c r="BM274" s="1"/>
      <c r="BN274" s="5"/>
      <c r="BO274" s="1"/>
      <c r="BP274" s="5"/>
      <c r="BQ274" s="1"/>
      <c r="BR274" s="5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</row>
    <row r="275" ht="15.75" customHeight="1">
      <c r="A275" s="94"/>
      <c r="B275" s="97"/>
      <c r="C275" s="97"/>
      <c r="D275" s="97"/>
      <c r="E275" s="1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5"/>
      <c r="AK275" s="1"/>
      <c r="AL275" s="5"/>
      <c r="AM275" s="1"/>
      <c r="AN275" s="5"/>
      <c r="AO275" s="1"/>
      <c r="AP275" s="5"/>
      <c r="AQ275" s="1"/>
      <c r="AR275" s="5"/>
      <c r="AS275" s="1"/>
      <c r="AT275" s="5"/>
      <c r="AU275" s="1"/>
      <c r="AV275" s="5"/>
      <c r="AW275" s="1"/>
      <c r="AX275" s="5"/>
      <c r="AY275" s="1"/>
      <c r="AZ275" s="5"/>
      <c r="BA275" s="1"/>
      <c r="BB275" s="5"/>
      <c r="BC275" s="1"/>
      <c r="BD275" s="5"/>
      <c r="BE275" s="1"/>
      <c r="BF275" s="5"/>
      <c r="BG275" s="1"/>
      <c r="BH275" s="5"/>
      <c r="BI275" s="1"/>
      <c r="BJ275" s="5"/>
      <c r="BK275" s="1"/>
      <c r="BL275" s="5"/>
      <c r="BM275" s="1"/>
      <c r="BN275" s="5"/>
      <c r="BO275" s="1"/>
      <c r="BP275" s="5"/>
      <c r="BQ275" s="1"/>
      <c r="BR275" s="5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</row>
    <row r="276" ht="15.75" customHeight="1">
      <c r="A276" s="94"/>
      <c r="B276" s="97"/>
      <c r="C276" s="97"/>
      <c r="D276" s="97"/>
      <c r="E276" s="1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5"/>
      <c r="AK276" s="1"/>
      <c r="AL276" s="5"/>
      <c r="AM276" s="1"/>
      <c r="AN276" s="5"/>
      <c r="AO276" s="1"/>
      <c r="AP276" s="5"/>
      <c r="AQ276" s="1"/>
      <c r="AR276" s="5"/>
      <c r="AS276" s="1"/>
      <c r="AT276" s="5"/>
      <c r="AU276" s="1"/>
      <c r="AV276" s="5"/>
      <c r="AW276" s="1"/>
      <c r="AX276" s="5"/>
      <c r="AY276" s="1"/>
      <c r="AZ276" s="5"/>
      <c r="BA276" s="1"/>
      <c r="BB276" s="5"/>
      <c r="BC276" s="1"/>
      <c r="BD276" s="5"/>
      <c r="BE276" s="1"/>
      <c r="BF276" s="5"/>
      <c r="BG276" s="1"/>
      <c r="BH276" s="5"/>
      <c r="BI276" s="1"/>
      <c r="BJ276" s="5"/>
      <c r="BK276" s="1"/>
      <c r="BL276" s="5"/>
      <c r="BM276" s="1"/>
      <c r="BN276" s="5"/>
      <c r="BO276" s="1"/>
      <c r="BP276" s="5"/>
      <c r="BQ276" s="1"/>
      <c r="BR276" s="5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</row>
    <row r="277" ht="15.75" customHeight="1">
      <c r="A277" s="94"/>
      <c r="B277" s="97"/>
      <c r="C277" s="97"/>
      <c r="D277" s="97"/>
      <c r="E277" s="1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5"/>
      <c r="AK277" s="1"/>
      <c r="AL277" s="5"/>
      <c r="AM277" s="1"/>
      <c r="AN277" s="5"/>
      <c r="AO277" s="1"/>
      <c r="AP277" s="5"/>
      <c r="AQ277" s="1"/>
      <c r="AR277" s="5"/>
      <c r="AS277" s="1"/>
      <c r="AT277" s="5"/>
      <c r="AU277" s="1"/>
      <c r="AV277" s="5"/>
      <c r="AW277" s="1"/>
      <c r="AX277" s="5"/>
      <c r="AY277" s="1"/>
      <c r="AZ277" s="5"/>
      <c r="BA277" s="1"/>
      <c r="BB277" s="5"/>
      <c r="BC277" s="1"/>
      <c r="BD277" s="5"/>
      <c r="BE277" s="1"/>
      <c r="BF277" s="5"/>
      <c r="BG277" s="1"/>
      <c r="BH277" s="5"/>
      <c r="BI277" s="1"/>
      <c r="BJ277" s="5"/>
      <c r="BK277" s="1"/>
      <c r="BL277" s="5"/>
      <c r="BM277" s="1"/>
      <c r="BN277" s="5"/>
      <c r="BO277" s="1"/>
      <c r="BP277" s="5"/>
      <c r="BQ277" s="1"/>
      <c r="BR277" s="5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ht="15.75" customHeight="1">
      <c r="A278" s="94"/>
      <c r="B278" s="97"/>
      <c r="C278" s="97"/>
      <c r="D278" s="97"/>
      <c r="E278" s="1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5"/>
      <c r="AK278" s="1"/>
      <c r="AL278" s="5"/>
      <c r="AM278" s="1"/>
      <c r="AN278" s="5"/>
      <c r="AO278" s="1"/>
      <c r="AP278" s="5"/>
      <c r="AQ278" s="1"/>
      <c r="AR278" s="5"/>
      <c r="AS278" s="1"/>
      <c r="AT278" s="5"/>
      <c r="AU278" s="1"/>
      <c r="AV278" s="5"/>
      <c r="AW278" s="1"/>
      <c r="AX278" s="5"/>
      <c r="AY278" s="1"/>
      <c r="AZ278" s="5"/>
      <c r="BA278" s="1"/>
      <c r="BB278" s="5"/>
      <c r="BC278" s="1"/>
      <c r="BD278" s="5"/>
      <c r="BE278" s="1"/>
      <c r="BF278" s="5"/>
      <c r="BG278" s="1"/>
      <c r="BH278" s="5"/>
      <c r="BI278" s="1"/>
      <c r="BJ278" s="5"/>
      <c r="BK278" s="1"/>
      <c r="BL278" s="5"/>
      <c r="BM278" s="1"/>
      <c r="BN278" s="5"/>
      <c r="BO278" s="1"/>
      <c r="BP278" s="5"/>
      <c r="BQ278" s="1"/>
      <c r="BR278" s="5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ht="15.75" customHeight="1">
      <c r="A279" s="94"/>
      <c r="B279" s="97"/>
      <c r="C279" s="97"/>
      <c r="D279" s="97"/>
      <c r="E279" s="1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5"/>
      <c r="AK279" s="1"/>
      <c r="AL279" s="5"/>
      <c r="AM279" s="1"/>
      <c r="AN279" s="5"/>
      <c r="AO279" s="1"/>
      <c r="AP279" s="5"/>
      <c r="AQ279" s="1"/>
      <c r="AR279" s="5"/>
      <c r="AS279" s="1"/>
      <c r="AT279" s="5"/>
      <c r="AU279" s="1"/>
      <c r="AV279" s="5"/>
      <c r="AW279" s="1"/>
      <c r="AX279" s="5"/>
      <c r="AY279" s="1"/>
      <c r="AZ279" s="5"/>
      <c r="BA279" s="1"/>
      <c r="BB279" s="5"/>
      <c r="BC279" s="1"/>
      <c r="BD279" s="5"/>
      <c r="BE279" s="1"/>
      <c r="BF279" s="5"/>
      <c r="BG279" s="1"/>
      <c r="BH279" s="5"/>
      <c r="BI279" s="1"/>
      <c r="BJ279" s="5"/>
      <c r="BK279" s="1"/>
      <c r="BL279" s="5"/>
      <c r="BM279" s="1"/>
      <c r="BN279" s="5"/>
      <c r="BO279" s="1"/>
      <c r="BP279" s="5"/>
      <c r="BQ279" s="1"/>
      <c r="BR279" s="5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</row>
    <row r="280" ht="15.75" customHeight="1">
      <c r="A280" s="94"/>
      <c r="B280" s="97"/>
      <c r="C280" s="97"/>
      <c r="D280" s="97"/>
      <c r="E280" s="1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5"/>
      <c r="AK280" s="1"/>
      <c r="AL280" s="5"/>
      <c r="AM280" s="1"/>
      <c r="AN280" s="5"/>
      <c r="AO280" s="1"/>
      <c r="AP280" s="5"/>
      <c r="AQ280" s="1"/>
      <c r="AR280" s="5"/>
      <c r="AS280" s="1"/>
      <c r="AT280" s="5"/>
      <c r="AU280" s="1"/>
      <c r="AV280" s="5"/>
      <c r="AW280" s="1"/>
      <c r="AX280" s="5"/>
      <c r="AY280" s="1"/>
      <c r="AZ280" s="5"/>
      <c r="BA280" s="1"/>
      <c r="BB280" s="5"/>
      <c r="BC280" s="1"/>
      <c r="BD280" s="5"/>
      <c r="BE280" s="1"/>
      <c r="BF280" s="5"/>
      <c r="BG280" s="1"/>
      <c r="BH280" s="5"/>
      <c r="BI280" s="1"/>
      <c r="BJ280" s="5"/>
      <c r="BK280" s="1"/>
      <c r="BL280" s="5"/>
      <c r="BM280" s="1"/>
      <c r="BN280" s="5"/>
      <c r="BO280" s="1"/>
      <c r="BP280" s="5"/>
      <c r="BQ280" s="1"/>
      <c r="BR280" s="5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ht="15.75" customHeight="1">
      <c r="A281" s="94"/>
      <c r="B281" s="97"/>
      <c r="C281" s="97"/>
      <c r="D281" s="97"/>
      <c r="E281" s="1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5"/>
      <c r="AK281" s="1"/>
      <c r="AL281" s="5"/>
      <c r="AM281" s="1"/>
      <c r="AN281" s="5"/>
      <c r="AO281" s="1"/>
      <c r="AP281" s="5"/>
      <c r="AQ281" s="1"/>
      <c r="AR281" s="5"/>
      <c r="AS281" s="1"/>
      <c r="AT281" s="5"/>
      <c r="AU281" s="1"/>
      <c r="AV281" s="5"/>
      <c r="AW281" s="1"/>
      <c r="AX281" s="5"/>
      <c r="AY281" s="1"/>
      <c r="AZ281" s="5"/>
      <c r="BA281" s="1"/>
      <c r="BB281" s="5"/>
      <c r="BC281" s="1"/>
      <c r="BD281" s="5"/>
      <c r="BE281" s="1"/>
      <c r="BF281" s="5"/>
      <c r="BG281" s="1"/>
      <c r="BH281" s="5"/>
      <c r="BI281" s="1"/>
      <c r="BJ281" s="5"/>
      <c r="BK281" s="1"/>
      <c r="BL281" s="5"/>
      <c r="BM281" s="1"/>
      <c r="BN281" s="5"/>
      <c r="BO281" s="1"/>
      <c r="BP281" s="5"/>
      <c r="BQ281" s="1"/>
      <c r="BR281" s="5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</row>
    <row r="282" ht="15.75" customHeight="1">
      <c r="A282" s="94"/>
      <c r="B282" s="97"/>
      <c r="C282" s="97"/>
      <c r="D282" s="97"/>
      <c r="E282" s="1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5"/>
      <c r="AK282" s="1"/>
      <c r="AL282" s="5"/>
      <c r="AM282" s="1"/>
      <c r="AN282" s="5"/>
      <c r="AO282" s="1"/>
      <c r="AP282" s="5"/>
      <c r="AQ282" s="1"/>
      <c r="AR282" s="5"/>
      <c r="AS282" s="1"/>
      <c r="AT282" s="5"/>
      <c r="AU282" s="1"/>
      <c r="AV282" s="5"/>
      <c r="AW282" s="1"/>
      <c r="AX282" s="5"/>
      <c r="AY282" s="1"/>
      <c r="AZ282" s="5"/>
      <c r="BA282" s="1"/>
      <c r="BB282" s="5"/>
      <c r="BC282" s="1"/>
      <c r="BD282" s="5"/>
      <c r="BE282" s="1"/>
      <c r="BF282" s="5"/>
      <c r="BG282" s="1"/>
      <c r="BH282" s="5"/>
      <c r="BI282" s="1"/>
      <c r="BJ282" s="5"/>
      <c r="BK282" s="1"/>
      <c r="BL282" s="5"/>
      <c r="BM282" s="1"/>
      <c r="BN282" s="5"/>
      <c r="BO282" s="1"/>
      <c r="BP282" s="5"/>
      <c r="BQ282" s="1"/>
      <c r="BR282" s="5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</row>
    <row r="283" ht="15.75" customHeight="1">
      <c r="A283" s="94"/>
      <c r="B283" s="97"/>
      <c r="C283" s="97"/>
      <c r="D283" s="97"/>
      <c r="E283" s="1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5"/>
      <c r="AK283" s="1"/>
      <c r="AL283" s="5"/>
      <c r="AM283" s="1"/>
      <c r="AN283" s="5"/>
      <c r="AO283" s="1"/>
      <c r="AP283" s="5"/>
      <c r="AQ283" s="1"/>
      <c r="AR283" s="5"/>
      <c r="AS283" s="1"/>
      <c r="AT283" s="5"/>
      <c r="AU283" s="1"/>
      <c r="AV283" s="5"/>
      <c r="AW283" s="1"/>
      <c r="AX283" s="5"/>
      <c r="AY283" s="1"/>
      <c r="AZ283" s="5"/>
      <c r="BA283" s="1"/>
      <c r="BB283" s="5"/>
      <c r="BC283" s="1"/>
      <c r="BD283" s="5"/>
      <c r="BE283" s="1"/>
      <c r="BF283" s="5"/>
      <c r="BG283" s="1"/>
      <c r="BH283" s="5"/>
      <c r="BI283" s="1"/>
      <c r="BJ283" s="5"/>
      <c r="BK283" s="1"/>
      <c r="BL283" s="5"/>
      <c r="BM283" s="1"/>
      <c r="BN283" s="5"/>
      <c r="BO283" s="1"/>
      <c r="BP283" s="5"/>
      <c r="BQ283" s="1"/>
      <c r="BR283" s="5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</row>
    <row r="284" ht="15.75" customHeight="1">
      <c r="A284" s="94"/>
      <c r="B284" s="97"/>
      <c r="C284" s="97"/>
      <c r="D284" s="97"/>
      <c r="E284" s="1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5"/>
      <c r="AK284" s="1"/>
      <c r="AL284" s="5"/>
      <c r="AM284" s="1"/>
      <c r="AN284" s="5"/>
      <c r="AO284" s="1"/>
      <c r="AP284" s="5"/>
      <c r="AQ284" s="1"/>
      <c r="AR284" s="5"/>
      <c r="AS284" s="1"/>
      <c r="AT284" s="5"/>
      <c r="AU284" s="1"/>
      <c r="AV284" s="5"/>
      <c r="AW284" s="1"/>
      <c r="AX284" s="5"/>
      <c r="AY284" s="1"/>
      <c r="AZ284" s="5"/>
      <c r="BA284" s="1"/>
      <c r="BB284" s="5"/>
      <c r="BC284" s="1"/>
      <c r="BD284" s="5"/>
      <c r="BE284" s="1"/>
      <c r="BF284" s="5"/>
      <c r="BG284" s="1"/>
      <c r="BH284" s="5"/>
      <c r="BI284" s="1"/>
      <c r="BJ284" s="5"/>
      <c r="BK284" s="1"/>
      <c r="BL284" s="5"/>
      <c r="BM284" s="1"/>
      <c r="BN284" s="5"/>
      <c r="BO284" s="1"/>
      <c r="BP284" s="5"/>
      <c r="BQ284" s="1"/>
      <c r="BR284" s="5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</row>
    <row r="285" ht="15.75" customHeight="1">
      <c r="A285" s="94"/>
      <c r="B285" s="97"/>
      <c r="C285" s="97"/>
      <c r="D285" s="97"/>
      <c r="E285" s="1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5"/>
      <c r="AK285" s="1"/>
      <c r="AL285" s="5"/>
      <c r="AM285" s="1"/>
      <c r="AN285" s="5"/>
      <c r="AO285" s="1"/>
      <c r="AP285" s="5"/>
      <c r="AQ285" s="1"/>
      <c r="AR285" s="5"/>
      <c r="AS285" s="1"/>
      <c r="AT285" s="5"/>
      <c r="AU285" s="1"/>
      <c r="AV285" s="5"/>
      <c r="AW285" s="1"/>
      <c r="AX285" s="5"/>
      <c r="AY285" s="1"/>
      <c r="AZ285" s="5"/>
      <c r="BA285" s="1"/>
      <c r="BB285" s="5"/>
      <c r="BC285" s="1"/>
      <c r="BD285" s="5"/>
      <c r="BE285" s="1"/>
      <c r="BF285" s="5"/>
      <c r="BG285" s="1"/>
      <c r="BH285" s="5"/>
      <c r="BI285" s="1"/>
      <c r="BJ285" s="5"/>
      <c r="BK285" s="1"/>
      <c r="BL285" s="5"/>
      <c r="BM285" s="1"/>
      <c r="BN285" s="5"/>
      <c r="BO285" s="1"/>
      <c r="BP285" s="5"/>
      <c r="BQ285" s="1"/>
      <c r="BR285" s="5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</row>
    <row r="286" ht="15.75" customHeight="1">
      <c r="A286" s="94"/>
      <c r="B286" s="97"/>
      <c r="C286" s="97"/>
      <c r="D286" s="97"/>
      <c r="E286" s="1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5"/>
      <c r="AK286" s="1"/>
      <c r="AL286" s="5"/>
      <c r="AM286" s="1"/>
      <c r="AN286" s="5"/>
      <c r="AO286" s="1"/>
      <c r="AP286" s="5"/>
      <c r="AQ286" s="1"/>
      <c r="AR286" s="5"/>
      <c r="AS286" s="1"/>
      <c r="AT286" s="5"/>
      <c r="AU286" s="1"/>
      <c r="AV286" s="5"/>
      <c r="AW286" s="1"/>
      <c r="AX286" s="5"/>
      <c r="AY286" s="1"/>
      <c r="AZ286" s="5"/>
      <c r="BA286" s="1"/>
      <c r="BB286" s="5"/>
      <c r="BC286" s="1"/>
      <c r="BD286" s="5"/>
      <c r="BE286" s="1"/>
      <c r="BF286" s="5"/>
      <c r="BG286" s="1"/>
      <c r="BH286" s="5"/>
      <c r="BI286" s="1"/>
      <c r="BJ286" s="5"/>
      <c r="BK286" s="1"/>
      <c r="BL286" s="5"/>
      <c r="BM286" s="1"/>
      <c r="BN286" s="5"/>
      <c r="BO286" s="1"/>
      <c r="BP286" s="5"/>
      <c r="BQ286" s="1"/>
      <c r="BR286" s="5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</row>
    <row r="287" ht="15.75" customHeight="1">
      <c r="A287" s="94"/>
      <c r="B287" s="97"/>
      <c r="C287" s="97"/>
      <c r="D287" s="97"/>
      <c r="E287" s="1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5"/>
      <c r="AK287" s="1"/>
      <c r="AL287" s="5"/>
      <c r="AM287" s="1"/>
      <c r="AN287" s="5"/>
      <c r="AO287" s="1"/>
      <c r="AP287" s="5"/>
      <c r="AQ287" s="1"/>
      <c r="AR287" s="5"/>
      <c r="AS287" s="1"/>
      <c r="AT287" s="5"/>
      <c r="AU287" s="1"/>
      <c r="AV287" s="5"/>
      <c r="AW287" s="1"/>
      <c r="AX287" s="5"/>
      <c r="AY287" s="1"/>
      <c r="AZ287" s="5"/>
      <c r="BA287" s="1"/>
      <c r="BB287" s="5"/>
      <c r="BC287" s="1"/>
      <c r="BD287" s="5"/>
      <c r="BE287" s="1"/>
      <c r="BF287" s="5"/>
      <c r="BG287" s="1"/>
      <c r="BH287" s="5"/>
      <c r="BI287" s="1"/>
      <c r="BJ287" s="5"/>
      <c r="BK287" s="1"/>
      <c r="BL287" s="5"/>
      <c r="BM287" s="1"/>
      <c r="BN287" s="5"/>
      <c r="BO287" s="1"/>
      <c r="BP287" s="5"/>
      <c r="BQ287" s="1"/>
      <c r="BR287" s="5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</row>
  </sheetData>
  <mergeCells count="1">
    <mergeCell ref="E1:E2"/>
  </mergeCells>
  <conditionalFormatting sqref="F6:CL6 BZ24:BZ25">
    <cfRule type="expression" dxfId="0" priority="1">
      <formula>((F6-E6)/F6)&lt;=0</formula>
    </cfRule>
  </conditionalFormatting>
  <conditionalFormatting sqref="F6:CL6 BZ24:BZ25">
    <cfRule type="expression" dxfId="1" priority="2">
      <formula>((F6-E6)/F6)&gt;=0</formula>
    </cfRule>
  </conditionalFormatting>
  <conditionalFormatting sqref="Z16">
    <cfRule type="expression" dxfId="1" priority="3">
      <formula>((Z16-Y16)/Z16)&gt;=0</formula>
    </cfRule>
  </conditionalFormatting>
  <conditionalFormatting sqref="Z16">
    <cfRule type="expression" dxfId="1" priority="4">
      <formula>((Z16-Y16)/Z16)&lt;=0</formula>
    </cfRule>
  </conditionalFormatting>
  <conditionalFormatting sqref="AV67:AV70">
    <cfRule type="expression" dxfId="1" priority="5">
      <formula>((AV67-AU67)/AV67)&lt;=0</formula>
    </cfRule>
  </conditionalFormatting>
  <conditionalFormatting sqref="AV67:AV70">
    <cfRule type="expression" dxfId="1" priority="6">
      <formula>((AV67-AU67)/AV67)&gt;=0</formula>
    </cfRule>
  </conditionalFormatting>
  <conditionalFormatting sqref="AX67:AX70">
    <cfRule type="expression" dxfId="1" priority="7">
      <formula>((AX67-AW67)/AX67)&lt;=0</formula>
    </cfRule>
  </conditionalFormatting>
  <conditionalFormatting sqref="AX67:AX70">
    <cfRule type="expression" dxfId="1" priority="8">
      <formula>((AX67-AW67)/AX67)&gt;=0</formula>
    </cfRule>
  </conditionalFormatting>
  <conditionalFormatting sqref="AZ67:AZ70">
    <cfRule type="expression" dxfId="1" priority="9">
      <formula>((AZ67-AY67)/AZ67)&lt;=0</formula>
    </cfRule>
  </conditionalFormatting>
  <conditionalFormatting sqref="AZ67:AZ70">
    <cfRule type="expression" dxfId="1" priority="10">
      <formula>((AZ67-AY67)/AZ67)&gt;=0</formula>
    </cfRule>
  </conditionalFormatting>
  <conditionalFormatting sqref="BB67:BB70">
    <cfRule type="expression" dxfId="1" priority="11">
      <formula>((BB67-BA67)/BB67)&lt;=0</formula>
    </cfRule>
  </conditionalFormatting>
  <conditionalFormatting sqref="BB67:BB70">
    <cfRule type="expression" dxfId="1" priority="12">
      <formula>((BB67-BA67)/BB67)&gt;=0</formula>
    </cfRule>
  </conditionalFormatting>
  <conditionalFormatting sqref="BD3:BD5 BD7:BD8 BD24:BD25">
    <cfRule type="expression" dxfId="0" priority="13">
      <formula>((BD3-BC3)/BD3)&lt;=0</formula>
    </cfRule>
  </conditionalFormatting>
  <conditionalFormatting sqref="BD12:BD15">
    <cfRule type="expression" dxfId="1" priority="14">
      <formula>((BD12-BC12)/BD12)&gt;=0</formula>
    </cfRule>
  </conditionalFormatting>
  <conditionalFormatting sqref="BD17:BD19 BD21:BD22">
    <cfRule type="expression" dxfId="1" priority="15">
      <formula>((BD17-BC17)/BD17)&gt;=0</formula>
    </cfRule>
  </conditionalFormatting>
  <conditionalFormatting sqref="BD30:BD38">
    <cfRule type="expression" dxfId="1" priority="16">
      <formula>((BD30-BC30)/BD30)&gt;=0</formula>
    </cfRule>
  </conditionalFormatting>
  <conditionalFormatting sqref="BD40:BD59">
    <cfRule type="expression" dxfId="1" priority="17">
      <formula>((BD40-BC40)/BD40)&gt;=0</formula>
    </cfRule>
  </conditionalFormatting>
  <conditionalFormatting sqref="BD64">
    <cfRule type="expression" dxfId="1" priority="18">
      <formula>((BD64-BC64)/BD64)&gt;=0.1</formula>
    </cfRule>
  </conditionalFormatting>
  <conditionalFormatting sqref="BD64">
    <cfRule type="expression" dxfId="0" priority="19">
      <formula>((BD64-BC64)/BD64)&lt;=-0.1</formula>
    </cfRule>
  </conditionalFormatting>
  <conditionalFormatting sqref="BD64:BD66">
    <cfRule type="expression" dxfId="1" priority="20">
      <formula>((BD64-BC64)/BD64)&lt;=-0.1</formula>
    </cfRule>
  </conditionalFormatting>
  <conditionalFormatting sqref="BD64:BD66">
    <cfRule type="expression" dxfId="1" priority="21">
      <formula>((BD64-BC64)/BD64)&lt;=-0.1</formula>
    </cfRule>
  </conditionalFormatting>
  <conditionalFormatting sqref="BD65:BD66">
    <cfRule type="expression" dxfId="0" priority="22">
      <formula>((BD65-BC65)/BD65)&lt;=-0.1</formula>
    </cfRule>
  </conditionalFormatting>
  <conditionalFormatting sqref="BD67:BD70">
    <cfRule type="expression" dxfId="1" priority="23">
      <formula>((BD67-BC67)/BD67)&lt;=0</formula>
    </cfRule>
  </conditionalFormatting>
  <conditionalFormatting sqref="BD67:BD70">
    <cfRule type="expression" dxfId="1" priority="24">
      <formula>((BD67-BC67)/BD67)&gt;=0</formula>
    </cfRule>
  </conditionalFormatting>
  <conditionalFormatting sqref="BD75">
    <cfRule type="expression" dxfId="0" priority="25">
      <formula>((BD75-BC75)/BD75)&lt;=0</formula>
    </cfRule>
  </conditionalFormatting>
  <conditionalFormatting sqref="BF3:BF5 BF7:BF8">
    <cfRule type="expression" dxfId="0" priority="26">
      <formula>((BF3-BE3)/BF3)&lt;=0</formula>
    </cfRule>
  </conditionalFormatting>
  <conditionalFormatting sqref="BF12:BF15">
    <cfRule type="expression" dxfId="1" priority="27">
      <formula>((BF12-BE12)/BF12)&gt;=0</formula>
    </cfRule>
  </conditionalFormatting>
  <conditionalFormatting sqref="BF17:BF19 BF21:BF22">
    <cfRule type="expression" dxfId="1" priority="28">
      <formula>((BF17-BE17)/BF17)&gt;=0</formula>
    </cfRule>
  </conditionalFormatting>
  <conditionalFormatting sqref="BF24:BF25">
    <cfRule type="expression" dxfId="0" priority="29">
      <formula>((BF24-BE24)/BF24)&lt;=0</formula>
    </cfRule>
  </conditionalFormatting>
  <conditionalFormatting sqref="BF30:BF38">
    <cfRule type="expression" dxfId="1" priority="30">
      <formula>((BF30-BE30)/BF30)&gt;=0</formula>
    </cfRule>
  </conditionalFormatting>
  <conditionalFormatting sqref="BF40:BF59">
    <cfRule type="expression" dxfId="1" priority="31">
      <formula>((BF40-BE40)/BF40)&gt;=0</formula>
    </cfRule>
  </conditionalFormatting>
  <conditionalFormatting sqref="BF64">
    <cfRule type="expression" dxfId="1" priority="32">
      <formula>((BF64-BE64)/BF64)&gt;=0.1</formula>
    </cfRule>
  </conditionalFormatting>
  <conditionalFormatting sqref="BF64">
    <cfRule type="expression" dxfId="0" priority="33">
      <formula>((BF64-BE64)/BF64)&lt;=-0.1</formula>
    </cfRule>
  </conditionalFormatting>
  <conditionalFormatting sqref="BF64:BF66">
    <cfRule type="expression" dxfId="1" priority="34">
      <formula>((BF64-BE64)/BF64)&lt;=-0.1</formula>
    </cfRule>
  </conditionalFormatting>
  <conditionalFormatting sqref="BF64:BF66">
    <cfRule type="expression" dxfId="1" priority="35">
      <formula>((BF64-BE64)/BF64)&lt;=-0.1</formula>
    </cfRule>
  </conditionalFormatting>
  <conditionalFormatting sqref="BF65:BF66">
    <cfRule type="expression" dxfId="0" priority="36">
      <formula>((BF65-BE65)/BF65)&lt;=-0.1</formula>
    </cfRule>
  </conditionalFormatting>
  <conditionalFormatting sqref="BF67:BF70">
    <cfRule type="expression" dxfId="1" priority="37">
      <formula>((BF67-BE67)/BF67)&lt;=0</formula>
    </cfRule>
  </conditionalFormatting>
  <conditionalFormatting sqref="BF67:BF70">
    <cfRule type="expression" dxfId="1" priority="38">
      <formula>((BF67-BE67)/BF67)&gt;=0</formula>
    </cfRule>
  </conditionalFormatting>
  <conditionalFormatting sqref="BF75">
    <cfRule type="expression" dxfId="0" priority="39">
      <formula>((BF75-BE75)/BF75)&lt;=0</formula>
    </cfRule>
  </conditionalFormatting>
  <conditionalFormatting sqref="BF83">
    <cfRule type="expression" dxfId="1" priority="40">
      <formula>((BF83-BE83)/BF83)&gt;=0</formula>
    </cfRule>
  </conditionalFormatting>
  <conditionalFormatting sqref="BF83">
    <cfRule type="expression" dxfId="1" priority="41">
      <formula>((BF83-BE83)/BF83)&lt;=0</formula>
    </cfRule>
  </conditionalFormatting>
  <conditionalFormatting sqref="BH3:BH5 BH7:BH8 BH24:BH25">
    <cfRule type="expression" dxfId="0" priority="42">
      <formula>((BH3-BG3)/BH3)&lt;=0</formula>
    </cfRule>
  </conditionalFormatting>
  <conditionalFormatting sqref="BH12:BH15">
    <cfRule type="expression" dxfId="1" priority="43">
      <formula>((BH12-BG12)/BH12)&gt;=0</formula>
    </cfRule>
  </conditionalFormatting>
  <conditionalFormatting sqref="BH17:BH19 BH21:BH22">
    <cfRule type="expression" dxfId="1" priority="44">
      <formula>((BH17-BG17)/BH17)&gt;=0</formula>
    </cfRule>
  </conditionalFormatting>
  <conditionalFormatting sqref="BH30:BH38">
    <cfRule type="expression" dxfId="1" priority="45">
      <formula>((BH30-BG30)/BH30)&gt;=0</formula>
    </cfRule>
  </conditionalFormatting>
  <conditionalFormatting sqref="BH40:BH59">
    <cfRule type="expression" dxfId="1" priority="46">
      <formula>((BH40-BG40)/BH40)&gt;=0</formula>
    </cfRule>
  </conditionalFormatting>
  <conditionalFormatting sqref="BH64">
    <cfRule type="expression" dxfId="1" priority="47">
      <formula>((BH64-BG64)/BH64)&gt;=0.1</formula>
    </cfRule>
  </conditionalFormatting>
  <conditionalFormatting sqref="BH64">
    <cfRule type="expression" dxfId="0" priority="48">
      <formula>((BH64-BG64)/BH64)&lt;=-0.1</formula>
    </cfRule>
  </conditionalFormatting>
  <conditionalFormatting sqref="BH64:BH66">
    <cfRule type="expression" dxfId="1" priority="49">
      <formula>((BH64-BG64)/BH64)&lt;=-0.1</formula>
    </cfRule>
  </conditionalFormatting>
  <conditionalFormatting sqref="BH64:BH66">
    <cfRule type="expression" dxfId="1" priority="50">
      <formula>((BH64-BG64)/BH64)&lt;=-0.1</formula>
    </cfRule>
  </conditionalFormatting>
  <conditionalFormatting sqref="BH65:BH66">
    <cfRule type="expression" dxfId="0" priority="51">
      <formula>((BH65-BG65)/BH65)&lt;=-0.1</formula>
    </cfRule>
  </conditionalFormatting>
  <conditionalFormatting sqref="BH67:BH70">
    <cfRule type="expression" dxfId="1" priority="52">
      <formula>((BH67-BG67)/BH67)&lt;=0</formula>
    </cfRule>
  </conditionalFormatting>
  <conditionalFormatting sqref="BH67:BH70">
    <cfRule type="expression" dxfId="1" priority="53">
      <formula>((BH67-BG67)/BH67)&gt;=0</formula>
    </cfRule>
  </conditionalFormatting>
  <conditionalFormatting sqref="BH75">
    <cfRule type="expression" dxfId="0" priority="54">
      <formula>((BH75-BG75)/BH75)&lt;=0</formula>
    </cfRule>
  </conditionalFormatting>
  <conditionalFormatting sqref="BH83">
    <cfRule type="expression" dxfId="1" priority="55">
      <formula>((BH83-BG83)/BH83)&gt;=0</formula>
    </cfRule>
  </conditionalFormatting>
  <conditionalFormatting sqref="BH83">
    <cfRule type="expression" dxfId="1" priority="56">
      <formula>((BH83-BG83)/BH83)&lt;=0</formula>
    </cfRule>
  </conditionalFormatting>
  <conditionalFormatting sqref="BJ3:BJ5 BJ7:BJ8 BJ24:BJ25">
    <cfRule type="expression" dxfId="0" priority="57">
      <formula>((BJ3-BI3)/BJ3)&lt;=0</formula>
    </cfRule>
  </conditionalFormatting>
  <conditionalFormatting sqref="BJ12:BJ15">
    <cfRule type="expression" dxfId="1" priority="58">
      <formula>((BJ12-BI12)/BJ12)&gt;=0</formula>
    </cfRule>
  </conditionalFormatting>
  <conditionalFormatting sqref="BJ17:BJ19 BJ21:BJ22">
    <cfRule type="expression" dxfId="1" priority="59">
      <formula>((BJ17-BI17)/BJ17)&gt;=0</formula>
    </cfRule>
  </conditionalFormatting>
  <conditionalFormatting sqref="BJ30:BJ38">
    <cfRule type="expression" dxfId="1" priority="60">
      <formula>((BJ30-BI30)/BJ30)&gt;=0</formula>
    </cfRule>
  </conditionalFormatting>
  <conditionalFormatting sqref="BJ40:BJ59">
    <cfRule type="expression" dxfId="1" priority="61">
      <formula>((BJ40-BI40)/BJ40)&gt;=0</formula>
    </cfRule>
  </conditionalFormatting>
  <conditionalFormatting sqref="BJ64">
    <cfRule type="expression" dxfId="1" priority="62">
      <formula>((BJ64-BI64)/BJ64)&gt;=0.1</formula>
    </cfRule>
  </conditionalFormatting>
  <conditionalFormatting sqref="BJ64">
    <cfRule type="expression" dxfId="0" priority="63">
      <formula>((BJ64-BI64)/BJ64)&lt;=-0.1</formula>
    </cfRule>
  </conditionalFormatting>
  <conditionalFormatting sqref="BJ64:BJ66">
    <cfRule type="expression" dxfId="1" priority="64">
      <formula>((BJ64-BI64)/BJ64)&lt;=-0.1</formula>
    </cfRule>
  </conditionalFormatting>
  <conditionalFormatting sqref="BJ64:BJ66">
    <cfRule type="expression" dxfId="1" priority="65">
      <formula>((BJ64-BI64)/BJ64)&lt;=-0.1</formula>
    </cfRule>
  </conditionalFormatting>
  <conditionalFormatting sqref="BJ65:BJ66">
    <cfRule type="expression" dxfId="0" priority="66">
      <formula>((BJ65-BI65)/BJ65)&lt;=-0.1</formula>
    </cfRule>
  </conditionalFormatting>
  <conditionalFormatting sqref="BJ67:BJ70">
    <cfRule type="expression" dxfId="1" priority="67">
      <formula>((BJ67-BI67)/BJ67)&lt;=0</formula>
    </cfRule>
  </conditionalFormatting>
  <conditionalFormatting sqref="BJ67:BJ70">
    <cfRule type="expression" dxfId="1" priority="68">
      <formula>((BJ67-BI67)/BJ67)&gt;=0</formula>
    </cfRule>
  </conditionalFormatting>
  <conditionalFormatting sqref="BJ75">
    <cfRule type="expression" dxfId="0" priority="69">
      <formula>((BJ75-BI75)/BJ75)&lt;=0</formula>
    </cfRule>
  </conditionalFormatting>
  <conditionalFormatting sqref="BJ83">
    <cfRule type="expression" dxfId="1" priority="70">
      <formula>((BJ83-BI83)/BJ83)&gt;=0</formula>
    </cfRule>
  </conditionalFormatting>
  <conditionalFormatting sqref="BJ83">
    <cfRule type="expression" dxfId="1" priority="71">
      <formula>((BJ83-BI83)/BJ83)&lt;=0</formula>
    </cfRule>
  </conditionalFormatting>
  <conditionalFormatting sqref="BL3:BL5 BL7:BL8 BL24:BL25">
    <cfRule type="expression" dxfId="0" priority="72">
      <formula>((BL3-BK3)/BL3)&lt;=0</formula>
    </cfRule>
  </conditionalFormatting>
  <conditionalFormatting sqref="BL12:BL15">
    <cfRule type="expression" dxfId="1" priority="73">
      <formula>((BL12-BK12)/BL12)&gt;=0</formula>
    </cfRule>
  </conditionalFormatting>
  <conditionalFormatting sqref="BL17:BL19 BL21:BL22">
    <cfRule type="expression" dxfId="1" priority="74">
      <formula>((BL17-BK17)/BL17)&gt;=0</formula>
    </cfRule>
  </conditionalFormatting>
  <conditionalFormatting sqref="BL30:BL38">
    <cfRule type="expression" dxfId="1" priority="75">
      <formula>((BL30-BK30)/BL30)&gt;=0</formula>
    </cfRule>
  </conditionalFormatting>
  <conditionalFormatting sqref="BL40:BL59">
    <cfRule type="expression" dxfId="1" priority="76">
      <formula>((BL40-BK40)/BL40)&gt;=0</formula>
    </cfRule>
  </conditionalFormatting>
  <conditionalFormatting sqref="BL64">
    <cfRule type="expression" dxfId="1" priority="77">
      <formula>((BL64-BK64)/BL64)&gt;=0.1</formula>
    </cfRule>
  </conditionalFormatting>
  <conditionalFormatting sqref="BL64">
    <cfRule type="expression" dxfId="0" priority="78">
      <formula>((BL64-BK64)/BL64)&lt;=-0.1</formula>
    </cfRule>
  </conditionalFormatting>
  <conditionalFormatting sqref="BL64:BL66">
    <cfRule type="expression" dxfId="1" priority="79">
      <formula>((BL64-BK64)/BL64)&lt;=-0.1</formula>
    </cfRule>
  </conditionalFormatting>
  <conditionalFormatting sqref="BL64:BL66">
    <cfRule type="expression" dxfId="1" priority="80">
      <formula>((BL64-BK64)/BL64)&lt;=-0.1</formula>
    </cfRule>
  </conditionalFormatting>
  <conditionalFormatting sqref="BL65:BL66">
    <cfRule type="expression" dxfId="0" priority="81">
      <formula>((BL65-BK65)/BL65)&lt;=-0.1</formula>
    </cfRule>
  </conditionalFormatting>
  <conditionalFormatting sqref="BL67:BL70">
    <cfRule type="expression" dxfId="1" priority="82">
      <formula>((BL67-BK67)/BL67)&lt;=0</formula>
    </cfRule>
  </conditionalFormatting>
  <conditionalFormatting sqref="BL67:BL70">
    <cfRule type="expression" dxfId="1" priority="83">
      <formula>((BL67-BK67)/BL67)&gt;=0</formula>
    </cfRule>
  </conditionalFormatting>
  <conditionalFormatting sqref="BL75">
    <cfRule type="expression" dxfId="0" priority="84">
      <formula>((BL75-BK75)/BL75)&lt;=0</formula>
    </cfRule>
  </conditionalFormatting>
  <conditionalFormatting sqref="BL83">
    <cfRule type="expression" dxfId="1" priority="85">
      <formula>((BL83-BK83)/BL83)&gt;=0</formula>
    </cfRule>
  </conditionalFormatting>
  <conditionalFormatting sqref="BL83">
    <cfRule type="expression" dxfId="1" priority="86">
      <formula>((BL83-BK83)/BL83)&lt;=0</formula>
    </cfRule>
  </conditionalFormatting>
  <conditionalFormatting sqref="BN3:BN5 BN7:BN8 BN24:BN25 BO4:CL4">
    <cfRule type="expression" dxfId="0" priority="87">
      <formula>((BN3-BM3)/BN3)&lt;=0</formula>
    </cfRule>
  </conditionalFormatting>
  <conditionalFormatting sqref="BN12:BN15">
    <cfRule type="expression" dxfId="1" priority="88">
      <formula>((BN12-BM12)/BN12)&lt;=0</formula>
    </cfRule>
  </conditionalFormatting>
  <conditionalFormatting sqref="BN17:BN19 BN21:BN22">
    <cfRule type="expression" dxfId="1" priority="89">
      <formula>((BN17-BM17)/BN17)&lt;=0</formula>
    </cfRule>
  </conditionalFormatting>
  <conditionalFormatting sqref="BN30:BN38">
    <cfRule type="expression" dxfId="1" priority="90">
      <formula>((BN30-BM30)/BN30)&lt;=0</formula>
    </cfRule>
  </conditionalFormatting>
  <conditionalFormatting sqref="BN40 BN47:BN59">
    <cfRule type="expression" dxfId="1" priority="91">
      <formula>((BN40-BM40)/BN40)&lt;=0</formula>
    </cfRule>
  </conditionalFormatting>
  <conditionalFormatting sqref="BN40:BN59">
    <cfRule type="expression" dxfId="1" priority="92">
      <formula>((BN40-BM40)/BN40)&gt;=0</formula>
    </cfRule>
  </conditionalFormatting>
  <conditionalFormatting sqref="BN64">
    <cfRule type="expression" dxfId="1" priority="93">
      <formula>((BN64-BM64)/BN64)&gt;=0.1</formula>
    </cfRule>
  </conditionalFormatting>
  <conditionalFormatting sqref="BN64">
    <cfRule type="expression" dxfId="0" priority="94">
      <formula>((BN64-BM64)/BN64)&lt;=-0.1</formula>
    </cfRule>
  </conditionalFormatting>
  <conditionalFormatting sqref="BN64:BN66">
    <cfRule type="expression" dxfId="1" priority="95">
      <formula>((BN64-BM64)/BN64)&lt;=-0.1</formula>
    </cfRule>
  </conditionalFormatting>
  <conditionalFormatting sqref="BN64:BN66">
    <cfRule type="expression" dxfId="1" priority="96">
      <formula>((BN64-BM64)/BN64)&lt;=-0.1</formula>
    </cfRule>
  </conditionalFormatting>
  <conditionalFormatting sqref="BN64:BN66">
    <cfRule type="expression" dxfId="1" priority="97">
      <formula>((BN64-BM64)/BN64)&gt;=0.1</formula>
    </cfRule>
  </conditionalFormatting>
  <conditionalFormatting sqref="BN65:BN66">
    <cfRule type="expression" dxfId="0" priority="98">
      <formula>((BN65-BM65)/BN65)&lt;=-0.1</formula>
    </cfRule>
  </conditionalFormatting>
  <conditionalFormatting sqref="BN65:BN66">
    <cfRule type="expression" dxfId="1" priority="99">
      <formula>((BN65-BM65)/BN65)&gt;=0.1</formula>
    </cfRule>
  </conditionalFormatting>
  <conditionalFormatting sqref="BN67:BN70">
    <cfRule type="expression" dxfId="1" priority="100">
      <formula>((BN67-BM67)/BN67)&lt;=0</formula>
    </cfRule>
  </conditionalFormatting>
  <conditionalFormatting sqref="BN67:BN70">
    <cfRule type="expression" dxfId="1" priority="101">
      <formula>((BN67-BM67)/BN67)&gt;=0</formula>
    </cfRule>
  </conditionalFormatting>
  <conditionalFormatting sqref="BN75">
    <cfRule type="expression" dxfId="1" priority="102">
      <formula>((BN75-BM75)/BN75)&gt;=0</formula>
    </cfRule>
  </conditionalFormatting>
  <conditionalFormatting sqref="BN83">
    <cfRule type="expression" dxfId="1" priority="103">
      <formula>((BN83-BM83)/BN83)&gt;=0</formula>
    </cfRule>
  </conditionalFormatting>
  <conditionalFormatting sqref="BN83">
    <cfRule type="expression" dxfId="1" priority="104">
      <formula>((BN83-BM83)/BN83)&lt;=0</formula>
    </cfRule>
  </conditionalFormatting>
  <conditionalFormatting sqref="BP3 BP5 BP7:BP8 BP24:BP25">
    <cfRule type="expression" dxfId="0" priority="105">
      <formula>((BP3-BO3)/BP3)&lt;=0</formula>
    </cfRule>
  </conditionalFormatting>
  <conditionalFormatting sqref="BP3 BP5 BP7:BP8 BP24:BP25">
    <cfRule type="expression" dxfId="1" priority="106">
      <formula>((BP3-BO3)/BP3)&gt;=0</formula>
    </cfRule>
  </conditionalFormatting>
  <conditionalFormatting sqref="BP12:BP15">
    <cfRule type="expression" dxfId="1" priority="107">
      <formula>((BP12-BO12)/BP12)&gt;=0</formula>
    </cfRule>
  </conditionalFormatting>
  <conditionalFormatting sqref="BP12:BP15">
    <cfRule type="expression" dxfId="1" priority="108">
      <formula>((BP12-BO12)/BP12)&lt;=0</formula>
    </cfRule>
  </conditionalFormatting>
  <conditionalFormatting sqref="BP17:BP19 BP21:BP22">
    <cfRule type="expression" dxfId="1" priority="109">
      <formula>((BP17-BO17)/BP17)&gt;=0</formula>
    </cfRule>
  </conditionalFormatting>
  <conditionalFormatting sqref="BP17:BP19 BP21:BP22">
    <cfRule type="expression" dxfId="1" priority="110">
      <formula>((BP17-BO17)/BP17)&lt;=0</formula>
    </cfRule>
  </conditionalFormatting>
  <conditionalFormatting sqref="BP30:BP38">
    <cfRule type="expression" dxfId="1" priority="111">
      <formula>((BP30-BO30)/BP30)&lt;=0</formula>
    </cfRule>
  </conditionalFormatting>
  <conditionalFormatting sqref="BP30:BP38">
    <cfRule type="expression" dxfId="1" priority="112">
      <formula>((BP30-BO30)/BP30)&gt;=0</formula>
    </cfRule>
  </conditionalFormatting>
  <conditionalFormatting sqref="BP40:BP59">
    <cfRule type="expression" dxfId="1" priority="113">
      <formula>((BP40-BO40)/BP40)&lt;=0</formula>
    </cfRule>
  </conditionalFormatting>
  <conditionalFormatting sqref="BP41:BP46">
    <cfRule type="expression" dxfId="1" priority="114">
      <formula>((BP41-BO41)/BP41)&gt;=0</formula>
    </cfRule>
  </conditionalFormatting>
  <conditionalFormatting sqref="BP64">
    <cfRule type="expression" dxfId="1" priority="115">
      <formula>((BP64-BO64)/BP64)&gt;=0.1</formula>
    </cfRule>
  </conditionalFormatting>
  <conditionalFormatting sqref="BP64">
    <cfRule type="expression" dxfId="0" priority="116">
      <formula>((BP64-BO64)/BP64)&lt;=-0.1</formula>
    </cfRule>
  </conditionalFormatting>
  <conditionalFormatting sqref="BP64:BP66">
    <cfRule type="expression" dxfId="1" priority="117">
      <formula>((BP64-BO64)/BP64)&lt;=-0.1</formula>
    </cfRule>
  </conditionalFormatting>
  <conditionalFormatting sqref="BP64:BP66">
    <cfRule type="expression" dxfId="1" priority="118">
      <formula>((BP64-BO64)/BP64)&lt;=-0.1</formula>
    </cfRule>
  </conditionalFormatting>
  <conditionalFormatting sqref="BP64:BP66">
    <cfRule type="expression" dxfId="1" priority="119">
      <formula>((BP64-BO64)/BP64)&gt;=0.1</formula>
    </cfRule>
  </conditionalFormatting>
  <conditionalFormatting sqref="BP65:BP66">
    <cfRule type="expression" dxfId="0" priority="120">
      <formula>((BP65-BO65)/BP65)&lt;=-0.1</formula>
    </cfRule>
  </conditionalFormatting>
  <conditionalFormatting sqref="BP65:BP66">
    <cfRule type="expression" dxfId="1" priority="121">
      <formula>((BP65-BO65)/BP65)&gt;=0.1</formula>
    </cfRule>
  </conditionalFormatting>
  <conditionalFormatting sqref="BP67:BP70">
    <cfRule type="expression" dxfId="1" priority="122">
      <formula>((BP67-BO67)/BP67)&lt;=0</formula>
    </cfRule>
  </conditionalFormatting>
  <conditionalFormatting sqref="BP67:BP70">
    <cfRule type="expression" dxfId="1" priority="123">
      <formula>((BP67-BO67)/BP67)&gt;=0</formula>
    </cfRule>
  </conditionalFormatting>
  <conditionalFormatting sqref="BP75">
    <cfRule type="expression" dxfId="1" priority="124">
      <formula>((BP75-BO75)/BP75)&gt;=0</formula>
    </cfRule>
  </conditionalFormatting>
  <conditionalFormatting sqref="BP81">
    <cfRule type="expression" dxfId="0" priority="125">
      <formula>((BP81-BO81)/BP81)&lt;=0</formula>
    </cfRule>
  </conditionalFormatting>
  <conditionalFormatting sqref="BP81">
    <cfRule type="expression" dxfId="1" priority="126">
      <formula>((BP81-BO81)/BP81)&gt;=0</formula>
    </cfRule>
  </conditionalFormatting>
  <conditionalFormatting sqref="BP83">
    <cfRule type="expression" dxfId="1" priority="127">
      <formula>((BP83-BO83)/BP83)&gt;=0</formula>
    </cfRule>
  </conditionalFormatting>
  <conditionalFormatting sqref="BP83">
    <cfRule type="expression" dxfId="1" priority="128">
      <formula>((BP83-BO83)/BP83)&lt;=0</formula>
    </cfRule>
  </conditionalFormatting>
  <conditionalFormatting sqref="BR3 BR5 BR7:BR8 BR24:BR25">
    <cfRule type="expression" dxfId="0" priority="129">
      <formula>((BR3-BQ3)/BR3)&lt;=0</formula>
    </cfRule>
  </conditionalFormatting>
  <conditionalFormatting sqref="BR3 BR5 BR7:BR8 BR24:BR25">
    <cfRule type="expression" dxfId="1" priority="130">
      <formula>((BR3-BQ3)/BR3)&gt;=0</formula>
    </cfRule>
  </conditionalFormatting>
  <conditionalFormatting sqref="BR12:BR15">
    <cfRule type="expression" dxfId="1" priority="131">
      <formula>((BR12-BQ12)/BR12)&gt;=0</formula>
    </cfRule>
  </conditionalFormatting>
  <conditionalFormatting sqref="BR12:BR15">
    <cfRule type="expression" dxfId="1" priority="132">
      <formula>((BR12-BQ12)/BR12)&lt;=0</formula>
    </cfRule>
  </conditionalFormatting>
  <conditionalFormatting sqref="BR17:BR19 BR21:BR22">
    <cfRule type="expression" dxfId="1" priority="133">
      <formula>((BR17-BQ17)/BR17)&gt;=0</formula>
    </cfRule>
  </conditionalFormatting>
  <conditionalFormatting sqref="BR17:BR19 BR21:BR22">
    <cfRule type="expression" dxfId="1" priority="134">
      <formula>((BR17-BQ17)/BR17)&lt;=0</formula>
    </cfRule>
  </conditionalFormatting>
  <conditionalFormatting sqref="BR30:BR38">
    <cfRule type="expression" dxfId="1" priority="135">
      <formula>((BR30-BQ30)/BR30)&lt;=0</formula>
    </cfRule>
  </conditionalFormatting>
  <conditionalFormatting sqref="BR30:BR38">
    <cfRule type="expression" dxfId="1" priority="136">
      <formula>((BR30-BQ30)/BR30)&gt;=0</formula>
    </cfRule>
  </conditionalFormatting>
  <conditionalFormatting sqref="BR40 BR47:BR59">
    <cfRule type="expression" dxfId="1" priority="137">
      <formula>((BR40-BQ40)/BR40)&lt;=0</formula>
    </cfRule>
  </conditionalFormatting>
  <conditionalFormatting sqref="BR40:BR59">
    <cfRule type="expression" dxfId="1" priority="138">
      <formula>((BR40-BQ40)/BR40)&gt;=0</formula>
    </cfRule>
  </conditionalFormatting>
  <conditionalFormatting sqref="BR41:BR46">
    <cfRule type="expression" dxfId="1" priority="139">
      <formula>((BR41-BQ41)/BR41)&lt;=0</formula>
    </cfRule>
  </conditionalFormatting>
  <conditionalFormatting sqref="BR64">
    <cfRule type="expression" dxfId="1" priority="140">
      <formula>((BR64-BQ64)/BR64)&gt;=0.1</formula>
    </cfRule>
  </conditionalFormatting>
  <conditionalFormatting sqref="BR64">
    <cfRule type="expression" dxfId="0" priority="141">
      <formula>((BR64-BQ64)/BR64)&lt;=-0.1</formula>
    </cfRule>
  </conditionalFormatting>
  <conditionalFormatting sqref="BR64:BR66">
    <cfRule type="expression" dxfId="1" priority="142">
      <formula>((BR64-BQ64)/BR64)&lt;=-0.1</formula>
    </cfRule>
  </conditionalFormatting>
  <conditionalFormatting sqref="BR64:BR66">
    <cfRule type="expression" dxfId="1" priority="143">
      <formula>((BR64-BQ64)/BR64)&lt;=-0.1</formula>
    </cfRule>
  </conditionalFormatting>
  <conditionalFormatting sqref="BR64:BR66">
    <cfRule type="expression" dxfId="1" priority="144">
      <formula>((BR64-BQ64)/BR64)&gt;=0.1</formula>
    </cfRule>
  </conditionalFormatting>
  <conditionalFormatting sqref="BR65:BR66">
    <cfRule type="expression" dxfId="0" priority="145">
      <formula>((BR65-BQ65)/BR65)&lt;=-0.1</formula>
    </cfRule>
  </conditionalFormatting>
  <conditionalFormatting sqref="BR65:BR66">
    <cfRule type="expression" dxfId="1" priority="146">
      <formula>((BR65-BQ65)/BR65)&gt;=0.1</formula>
    </cfRule>
  </conditionalFormatting>
  <conditionalFormatting sqref="BR67:BR70">
    <cfRule type="expression" dxfId="1" priority="147">
      <formula>((BR67-BQ67)/BR67)&lt;=0</formula>
    </cfRule>
  </conditionalFormatting>
  <conditionalFormatting sqref="BR67:BR70">
    <cfRule type="expression" dxfId="1" priority="148">
      <formula>((BR67-BQ67)/BR67)&gt;=0</formula>
    </cfRule>
  </conditionalFormatting>
  <conditionalFormatting sqref="BR75">
    <cfRule type="expression" dxfId="1" priority="149">
      <formula>((BR75-BQ75)/BR75)&gt;=0</formula>
    </cfRule>
  </conditionalFormatting>
  <conditionalFormatting sqref="BR81">
    <cfRule type="expression" dxfId="0" priority="150">
      <formula>((BR81-BQ81)/BR81)&lt;=0</formula>
    </cfRule>
  </conditionalFormatting>
  <conditionalFormatting sqref="BR81">
    <cfRule type="expression" dxfId="1" priority="151">
      <formula>((BR81-BQ81)/BR81)&gt;=0</formula>
    </cfRule>
  </conditionalFormatting>
  <conditionalFormatting sqref="BR83">
    <cfRule type="expression" dxfId="1" priority="152">
      <formula>((BR83-BQ83)/BR83)&gt;=0</formula>
    </cfRule>
  </conditionalFormatting>
  <conditionalFormatting sqref="BR83">
    <cfRule type="expression" dxfId="1" priority="153">
      <formula>((BR83-BQ83)/BR83)&lt;=0</formula>
    </cfRule>
  </conditionalFormatting>
  <conditionalFormatting sqref="BT3 BT5 BT7:BT8 BT24:BT25">
    <cfRule type="expression" dxfId="0" priority="154">
      <formula>((BT3-BS3)/BT3)&lt;=0</formula>
    </cfRule>
  </conditionalFormatting>
  <conditionalFormatting sqref="BT3 BT5 BT7:BT8 BT24:BT25">
    <cfRule type="expression" dxfId="1" priority="155">
      <formula>((BT3-BS3)/BT3)&gt;=0</formula>
    </cfRule>
  </conditionalFormatting>
  <conditionalFormatting sqref="BT12:BT15">
    <cfRule type="expression" dxfId="1" priority="156">
      <formula>((BT12-BS12)/BT12)&gt;=0</formula>
    </cfRule>
  </conditionalFormatting>
  <conditionalFormatting sqref="BT12:BT15">
    <cfRule type="expression" dxfId="1" priority="157">
      <formula>((BT12-BS12)/BT12)&lt;=0</formula>
    </cfRule>
  </conditionalFormatting>
  <conditionalFormatting sqref="BT17:BT19 BT21:BT22">
    <cfRule type="expression" dxfId="1" priority="158">
      <formula>((BT17-BS17)/BT17)&gt;=0</formula>
    </cfRule>
  </conditionalFormatting>
  <conditionalFormatting sqref="BT17:BT19 BT21:BT22">
    <cfRule type="expression" dxfId="1" priority="159">
      <formula>((BT17-BS17)/BT17)&lt;=0</formula>
    </cfRule>
  </conditionalFormatting>
  <conditionalFormatting sqref="BT30:BT38">
    <cfRule type="expression" dxfId="1" priority="160">
      <formula>((BT30-BS30)/BT30)&lt;=0</formula>
    </cfRule>
  </conditionalFormatting>
  <conditionalFormatting sqref="BT30:BT38">
    <cfRule type="expression" dxfId="1" priority="161">
      <formula>((BT30-BS30)/BT30)&gt;=0</formula>
    </cfRule>
  </conditionalFormatting>
  <conditionalFormatting sqref="BT40:BT59">
    <cfRule type="expression" dxfId="1" priority="162">
      <formula>((BT40-BS40)/BT40)&lt;=0</formula>
    </cfRule>
  </conditionalFormatting>
  <conditionalFormatting sqref="BT41:BT46">
    <cfRule type="expression" dxfId="1" priority="163">
      <formula>((BT41-BS41)/BT41)&gt;=0</formula>
    </cfRule>
  </conditionalFormatting>
  <conditionalFormatting sqref="BT64">
    <cfRule type="expression" dxfId="1" priority="164">
      <formula>((BT64-BS64)/BT64)&gt;=0.1</formula>
    </cfRule>
  </conditionalFormatting>
  <conditionalFormatting sqref="BT64">
    <cfRule type="expression" dxfId="0" priority="165">
      <formula>((BT64-BS64)/BT64)&lt;=-0.1</formula>
    </cfRule>
  </conditionalFormatting>
  <conditionalFormatting sqref="BT64:BT66">
    <cfRule type="expression" dxfId="1" priority="166">
      <formula>((BT64-BS64)/BT64)&lt;=-0.1</formula>
    </cfRule>
  </conditionalFormatting>
  <conditionalFormatting sqref="BT64:BT66">
    <cfRule type="expression" dxfId="1" priority="167">
      <formula>((BT64-BS64)/BT64)&lt;=-0.1</formula>
    </cfRule>
  </conditionalFormatting>
  <conditionalFormatting sqref="BT64:BT66">
    <cfRule type="expression" dxfId="1" priority="168">
      <formula>((BT64-BS64)/BT64)&gt;=0.1</formula>
    </cfRule>
  </conditionalFormatting>
  <conditionalFormatting sqref="BT65:BT66">
    <cfRule type="expression" dxfId="0" priority="169">
      <formula>((BT65-BS65)/BT65)&lt;=-0.1</formula>
    </cfRule>
  </conditionalFormatting>
  <conditionalFormatting sqref="BT65:BT66">
    <cfRule type="expression" dxfId="1" priority="170">
      <formula>((BT65-BS65)/BT65)&gt;=0.1</formula>
    </cfRule>
  </conditionalFormatting>
  <conditionalFormatting sqref="BT67:BT70">
    <cfRule type="expression" dxfId="1" priority="171">
      <formula>((BT67-BS67)/BT67)&lt;=0</formula>
    </cfRule>
  </conditionalFormatting>
  <conditionalFormatting sqref="BT67:BT70">
    <cfRule type="expression" dxfId="1" priority="172">
      <formula>((BT67-BS67)/BT67)&gt;=0</formula>
    </cfRule>
  </conditionalFormatting>
  <conditionalFormatting sqref="BT75">
    <cfRule type="expression" dxfId="1" priority="173">
      <formula>((BT75-BS75)/BT75)&gt;=0</formula>
    </cfRule>
  </conditionalFormatting>
  <conditionalFormatting sqref="BT81">
    <cfRule type="expression" dxfId="0" priority="174">
      <formula>((BT81-BS81)/BT81)&lt;=0</formula>
    </cfRule>
  </conditionalFormatting>
  <conditionalFormatting sqref="BT81">
    <cfRule type="expression" dxfId="1" priority="175">
      <formula>((BT81-BS81)/BT81)&gt;=0</formula>
    </cfRule>
  </conditionalFormatting>
  <conditionalFormatting sqref="BT83">
    <cfRule type="expression" dxfId="1" priority="176">
      <formula>((BT83-BS83)/BT83)&gt;=0</formula>
    </cfRule>
  </conditionalFormatting>
  <conditionalFormatting sqref="BT83">
    <cfRule type="expression" dxfId="1" priority="177">
      <formula>((BT83-BS83)/BT83)&lt;=0</formula>
    </cfRule>
  </conditionalFormatting>
  <conditionalFormatting sqref="BV3 BV5 BV7:BV8 BV24:BV25">
    <cfRule type="expression" dxfId="0" priority="178">
      <formula>((BV3-BU3)/BV3)&lt;=0</formula>
    </cfRule>
  </conditionalFormatting>
  <conditionalFormatting sqref="BV3 BV5 BV7:BV8 BV24:BV25">
    <cfRule type="expression" dxfId="1" priority="179">
      <formula>((BV3-BU3)/BV3)&gt;=0</formula>
    </cfRule>
  </conditionalFormatting>
  <conditionalFormatting sqref="BV12:BV15">
    <cfRule type="expression" dxfId="1" priority="180">
      <formula>((BV12-BU12)/BV12)&gt;=0</formula>
    </cfRule>
  </conditionalFormatting>
  <conditionalFormatting sqref="BV12:BV15">
    <cfRule type="expression" dxfId="1" priority="181">
      <formula>((BV12-BU12)/BV12)&lt;=0</formula>
    </cfRule>
  </conditionalFormatting>
  <conditionalFormatting sqref="BV17:BV19 BV21:BV22">
    <cfRule type="expression" dxfId="1" priority="182">
      <formula>((BV17-BU17)/BV17)&gt;=0</formula>
    </cfRule>
  </conditionalFormatting>
  <conditionalFormatting sqref="BV17:BV19 BV21:BV22">
    <cfRule type="expression" dxfId="1" priority="183">
      <formula>((BV17-BU17)/BV17)&lt;=0</formula>
    </cfRule>
  </conditionalFormatting>
  <conditionalFormatting sqref="BV30:BV38">
    <cfRule type="expression" dxfId="1" priority="184">
      <formula>((BV30-BU30)/BV30)&lt;=0</formula>
    </cfRule>
  </conditionalFormatting>
  <conditionalFormatting sqref="BV30:BV38">
    <cfRule type="expression" dxfId="1" priority="185">
      <formula>((BV30-BU30)/BV30)&gt;=0</formula>
    </cfRule>
  </conditionalFormatting>
  <conditionalFormatting sqref="BV40:BV59">
    <cfRule type="expression" dxfId="1" priority="186">
      <formula>((BV40-BU40)/BV40)&lt;=0</formula>
    </cfRule>
  </conditionalFormatting>
  <conditionalFormatting sqref="BV41:BV46">
    <cfRule type="expression" dxfId="1" priority="187">
      <formula>((BV41-BU41)/BV41)&gt;=0</formula>
    </cfRule>
  </conditionalFormatting>
  <conditionalFormatting sqref="BV64">
    <cfRule type="expression" dxfId="1" priority="188">
      <formula>((BV64-BU64)/BV64)&gt;=0.1</formula>
    </cfRule>
  </conditionalFormatting>
  <conditionalFormatting sqref="BV64">
    <cfRule type="expression" dxfId="0" priority="189">
      <formula>((BV64-BU64)/BV64)&lt;=-0.1</formula>
    </cfRule>
  </conditionalFormatting>
  <conditionalFormatting sqref="BV64:BV66">
    <cfRule type="expression" dxfId="1" priority="190">
      <formula>((BV64-BU64)/BV64)&lt;=-0.1</formula>
    </cfRule>
  </conditionalFormatting>
  <conditionalFormatting sqref="BV64:BV66">
    <cfRule type="expression" dxfId="1" priority="191">
      <formula>((BV64-BU64)/BV64)&lt;=-0.1</formula>
    </cfRule>
  </conditionalFormatting>
  <conditionalFormatting sqref="BV64:BV66">
    <cfRule type="expression" dxfId="1" priority="192">
      <formula>((BV64-BU64)/BV64)&gt;=0.1</formula>
    </cfRule>
  </conditionalFormatting>
  <conditionalFormatting sqref="BV65:BV66">
    <cfRule type="expression" dxfId="0" priority="193">
      <formula>((BV65-BU65)/BV65)&lt;=-0.1</formula>
    </cfRule>
  </conditionalFormatting>
  <conditionalFormatting sqref="BV65:BV66">
    <cfRule type="expression" dxfId="1" priority="194">
      <formula>((BV65-BU65)/BV65)&gt;=0.1</formula>
    </cfRule>
  </conditionalFormatting>
  <conditionalFormatting sqref="BV67:BV70">
    <cfRule type="expression" dxfId="1" priority="195">
      <formula>((BV67-BU67)/BV67)&lt;=0</formula>
    </cfRule>
  </conditionalFormatting>
  <conditionalFormatting sqref="BV67:BV70">
    <cfRule type="expression" dxfId="1" priority="196">
      <formula>((BV67-BU67)/BV67)&gt;=0</formula>
    </cfRule>
  </conditionalFormatting>
  <conditionalFormatting sqref="BV75">
    <cfRule type="expression" dxfId="1" priority="197">
      <formula>((BV75-BU75)/BV75)&gt;=0</formula>
    </cfRule>
  </conditionalFormatting>
  <conditionalFormatting sqref="BV81">
    <cfRule type="expression" dxfId="0" priority="198">
      <formula>((BV81-BU81)/BV81)&lt;=0</formula>
    </cfRule>
  </conditionalFormatting>
  <conditionalFormatting sqref="BV81">
    <cfRule type="expression" dxfId="1" priority="199">
      <formula>((BV81-BU81)/BV81)&gt;=0</formula>
    </cfRule>
  </conditionalFormatting>
  <conditionalFormatting sqref="BV83">
    <cfRule type="expression" dxfId="1" priority="200">
      <formula>((BV83-BU83)/BV83)&gt;=0</formula>
    </cfRule>
  </conditionalFormatting>
  <conditionalFormatting sqref="BV83">
    <cfRule type="expression" dxfId="1" priority="201">
      <formula>((BV83-BU83)/BV83)&lt;=0</formula>
    </cfRule>
  </conditionalFormatting>
  <conditionalFormatting sqref="BX3 BX5 BX7:BX8 BX24:BX25">
    <cfRule type="expression" dxfId="0" priority="202">
      <formula>((BX3-BW3)/BX3)&lt;=0</formula>
    </cfRule>
  </conditionalFormatting>
  <conditionalFormatting sqref="BX3 BX5 BX7:BX8 BX24:BX25">
    <cfRule type="expression" dxfId="1" priority="203">
      <formula>((BX3-BW3)/BX3)&gt;=0</formula>
    </cfRule>
  </conditionalFormatting>
  <conditionalFormatting sqref="BX12:BX15">
    <cfRule type="expression" dxfId="1" priority="204">
      <formula>((BX12-BW12)/BX12)&gt;=0</formula>
    </cfRule>
  </conditionalFormatting>
  <conditionalFormatting sqref="BX12:BX15">
    <cfRule type="expression" dxfId="1" priority="205">
      <formula>((BX12-BW12)/BX12)&lt;=0</formula>
    </cfRule>
  </conditionalFormatting>
  <conditionalFormatting sqref="BX17:BX19 BX21:BX22">
    <cfRule type="expression" dxfId="1" priority="206">
      <formula>((BX17-BW17)/BX17)&gt;=0</formula>
    </cfRule>
  </conditionalFormatting>
  <conditionalFormatting sqref="BX17:BX19 BX21:BX22">
    <cfRule type="expression" dxfId="1" priority="207">
      <formula>((BX17-BW17)/BX17)&lt;=0</formula>
    </cfRule>
  </conditionalFormatting>
  <conditionalFormatting sqref="BX30:BX38">
    <cfRule type="expression" dxfId="1" priority="208">
      <formula>((BX30-BW30)/BX30)&lt;=0</formula>
    </cfRule>
  </conditionalFormatting>
  <conditionalFormatting sqref="BX30:BX38">
    <cfRule type="expression" dxfId="1" priority="209">
      <formula>((BX30-BW30)/BX30)&gt;=0</formula>
    </cfRule>
  </conditionalFormatting>
  <conditionalFormatting sqref="BX40:BX59">
    <cfRule type="expression" dxfId="1" priority="210">
      <formula>((BX40-BW40)/BX40)&lt;=0</formula>
    </cfRule>
  </conditionalFormatting>
  <conditionalFormatting sqref="BX41:BX46">
    <cfRule type="expression" dxfId="1" priority="211">
      <formula>((BX41-BW41)/BX41)&gt;=0</formula>
    </cfRule>
  </conditionalFormatting>
  <conditionalFormatting sqref="BX64">
    <cfRule type="expression" dxfId="1" priority="212">
      <formula>((BX64-BW64)/BX64)&gt;=0.1</formula>
    </cfRule>
  </conditionalFormatting>
  <conditionalFormatting sqref="BX64">
    <cfRule type="expression" dxfId="0" priority="213">
      <formula>((BX64-BW64)/BX64)&lt;=-0.1</formula>
    </cfRule>
  </conditionalFormatting>
  <conditionalFormatting sqref="BX64:BX66">
    <cfRule type="expression" dxfId="1" priority="214">
      <formula>((BX64-BW64)/BX64)&lt;=-0.1</formula>
    </cfRule>
  </conditionalFormatting>
  <conditionalFormatting sqref="BX64:BX66">
    <cfRule type="expression" dxfId="1" priority="215">
      <formula>((BX64-BW64)/BX64)&lt;=-0.1</formula>
    </cfRule>
  </conditionalFormatting>
  <conditionalFormatting sqref="BX64:BX66">
    <cfRule type="expression" dxfId="1" priority="216">
      <formula>((BX64-BW64)/BX64)&gt;=0.1</formula>
    </cfRule>
  </conditionalFormatting>
  <conditionalFormatting sqref="BX65:BX66">
    <cfRule type="expression" dxfId="0" priority="217">
      <formula>((BX65-BW65)/BX65)&lt;=-0.1</formula>
    </cfRule>
  </conditionalFormatting>
  <conditionalFormatting sqref="BX65:BX66">
    <cfRule type="expression" dxfId="1" priority="218">
      <formula>((BX65-BW65)/BX65)&gt;=0.1</formula>
    </cfRule>
  </conditionalFormatting>
  <conditionalFormatting sqref="BX67:BX70">
    <cfRule type="expression" dxfId="1" priority="219">
      <formula>((BX67-BW67)/BX67)&lt;=0</formula>
    </cfRule>
  </conditionalFormatting>
  <conditionalFormatting sqref="BX67:BX70">
    <cfRule type="expression" dxfId="1" priority="220">
      <formula>((BX67-BW67)/BX67)&gt;=0</formula>
    </cfRule>
  </conditionalFormatting>
  <conditionalFormatting sqref="BX75">
    <cfRule type="expression" dxfId="1" priority="221">
      <formula>((BX75-BW75)/BX75)&gt;=0</formula>
    </cfRule>
  </conditionalFormatting>
  <conditionalFormatting sqref="BX81">
    <cfRule type="expression" dxfId="0" priority="222">
      <formula>((BX81-BW81)/BX81)&lt;=0</formula>
    </cfRule>
  </conditionalFormatting>
  <conditionalFormatting sqref="BX81">
    <cfRule type="expression" dxfId="1" priority="223">
      <formula>((BX81-BW81)/BX81)&gt;=0</formula>
    </cfRule>
  </conditionalFormatting>
  <conditionalFormatting sqref="BX83">
    <cfRule type="expression" dxfId="1" priority="224">
      <formula>((BX83-BW83)/BX83)&gt;=0</formula>
    </cfRule>
  </conditionalFormatting>
  <conditionalFormatting sqref="BX83">
    <cfRule type="expression" dxfId="1" priority="225">
      <formula>((BX83-BW83)/BX83)&lt;=0</formula>
    </cfRule>
  </conditionalFormatting>
  <conditionalFormatting sqref="BZ3 BZ5 BZ7:BZ8">
    <cfRule type="expression" dxfId="0" priority="226">
      <formula>((BZ3-BY3)/BZ3)&lt;=0</formula>
    </cfRule>
  </conditionalFormatting>
  <conditionalFormatting sqref="BZ3 BZ5 BZ7:BZ8">
    <cfRule type="expression" dxfId="1" priority="227">
      <formula>((BZ3-BY3)/BZ3)&gt;=0</formula>
    </cfRule>
  </conditionalFormatting>
  <conditionalFormatting sqref="BZ12:BZ15">
    <cfRule type="expression" dxfId="1" priority="228">
      <formula>((BZ12-BY12)/BZ12)&gt;=0</formula>
    </cfRule>
  </conditionalFormatting>
  <conditionalFormatting sqref="BZ12:BZ15">
    <cfRule type="expression" dxfId="1" priority="229">
      <formula>((BZ12-BY12)/BZ12)&lt;=0</formula>
    </cfRule>
  </conditionalFormatting>
  <conditionalFormatting sqref="BZ17:BZ19">
    <cfRule type="expression" dxfId="1" priority="230">
      <formula>((BZ17-BY17)/BZ17)&gt;=0</formula>
    </cfRule>
  </conditionalFormatting>
  <conditionalFormatting sqref="BZ17:BZ19">
    <cfRule type="expression" dxfId="1" priority="231">
      <formula>((BZ17-BY17)/BZ17)&lt;=0</formula>
    </cfRule>
  </conditionalFormatting>
  <conditionalFormatting sqref="BD83 BZ21:BZ22">
    <cfRule type="expression" dxfId="1" priority="232">
      <formula>((BD21-BC21)/BD21)&gt;=0</formula>
    </cfRule>
  </conditionalFormatting>
  <conditionalFormatting sqref="BD83 BZ21:BZ22">
    <cfRule type="expression" dxfId="1" priority="233">
      <formula>((BD21-BC21)/BD21)&lt;=0</formula>
    </cfRule>
  </conditionalFormatting>
  <conditionalFormatting sqref="BZ30:BZ38">
    <cfRule type="expression" dxfId="1" priority="234">
      <formula>((BZ30-BY30)/BZ30)&lt;=0</formula>
    </cfRule>
  </conditionalFormatting>
  <conditionalFormatting sqref="BZ30:BZ38">
    <cfRule type="expression" dxfId="1" priority="235">
      <formula>((BZ30-BY30)/BZ30)&gt;=0</formula>
    </cfRule>
  </conditionalFormatting>
  <conditionalFormatting sqref="BZ40:BZ59">
    <cfRule type="expression" dxfId="1" priority="236">
      <formula>((BZ40-BY40)/BZ40)&lt;=0</formula>
    </cfRule>
  </conditionalFormatting>
  <conditionalFormatting sqref="BZ41:BZ46">
    <cfRule type="expression" dxfId="1" priority="237">
      <formula>((BZ41-BY41)/BZ41)&gt;=0</formula>
    </cfRule>
  </conditionalFormatting>
  <conditionalFormatting sqref="BZ64">
    <cfRule type="expression" dxfId="1" priority="238">
      <formula>((BZ64-BY64)/BZ64)&gt;=0.1</formula>
    </cfRule>
  </conditionalFormatting>
  <conditionalFormatting sqref="BZ64">
    <cfRule type="expression" dxfId="0" priority="239">
      <formula>((BZ64-BY64)/BZ64)&lt;=-0.1</formula>
    </cfRule>
  </conditionalFormatting>
  <conditionalFormatting sqref="BZ64:BZ66">
    <cfRule type="expression" dxfId="1" priority="240">
      <formula>((BZ64-BY64)/BZ64)&lt;=-0.1</formula>
    </cfRule>
  </conditionalFormatting>
  <conditionalFormatting sqref="BZ64:BZ66">
    <cfRule type="expression" dxfId="1" priority="241">
      <formula>((BZ64-BY64)/BZ64)&lt;=-0.1</formula>
    </cfRule>
  </conditionalFormatting>
  <conditionalFormatting sqref="BZ64:BZ66">
    <cfRule type="expression" dxfId="1" priority="242">
      <formula>((BZ64-BY64)/BZ64)&gt;=0.1</formula>
    </cfRule>
  </conditionalFormatting>
  <conditionalFormatting sqref="BZ65:BZ66">
    <cfRule type="expression" dxfId="0" priority="243">
      <formula>((BZ65-BY65)/BZ65)&lt;=-0.1</formula>
    </cfRule>
  </conditionalFormatting>
  <conditionalFormatting sqref="BZ65:BZ66">
    <cfRule type="expression" dxfId="1" priority="244">
      <formula>((BZ65-BY65)/BZ65)&gt;=0.1</formula>
    </cfRule>
  </conditionalFormatting>
  <conditionalFormatting sqref="BZ67:BZ70">
    <cfRule type="expression" dxfId="1" priority="245">
      <formula>((BZ67-BY67)/BZ67)&lt;=0</formula>
    </cfRule>
  </conditionalFormatting>
  <conditionalFormatting sqref="BZ67:BZ70">
    <cfRule type="expression" dxfId="1" priority="246">
      <formula>((BZ67-BY67)/BZ67)&gt;=0</formula>
    </cfRule>
  </conditionalFormatting>
  <conditionalFormatting sqref="BZ75">
    <cfRule type="expression" dxfId="1" priority="247">
      <formula>((BZ75-BY75)/BZ75)&gt;=0</formula>
    </cfRule>
  </conditionalFormatting>
  <conditionalFormatting sqref="BZ81">
    <cfRule type="expression" dxfId="0" priority="248">
      <formula>((BZ81-BY81)/BZ81)&lt;=0</formula>
    </cfRule>
  </conditionalFormatting>
  <conditionalFormatting sqref="BZ81">
    <cfRule type="expression" dxfId="1" priority="249">
      <formula>((BZ81-BY81)/BZ81)&gt;=0</formula>
    </cfRule>
  </conditionalFormatting>
  <conditionalFormatting sqref="BZ83">
    <cfRule type="expression" dxfId="1" priority="250">
      <formula>((BZ83-BY83)/BZ83)&gt;=0</formula>
    </cfRule>
  </conditionalFormatting>
  <conditionalFormatting sqref="BZ83">
    <cfRule type="expression" dxfId="1" priority="251">
      <formula>((BZ83-BY83)/BZ83)&lt;=0</formula>
    </cfRule>
  </conditionalFormatting>
  <conditionalFormatting sqref="CB3 CB5 CB7:CB8">
    <cfRule type="expression" dxfId="0" priority="252">
      <formula>((CB3-CA3)/CB3)&lt;=0</formula>
    </cfRule>
  </conditionalFormatting>
  <conditionalFormatting sqref="CB3 CB5 CB7:CB8">
    <cfRule type="expression" dxfId="1" priority="253">
      <formula>((CB3-CA3)/CB3)&gt;=0</formula>
    </cfRule>
  </conditionalFormatting>
  <conditionalFormatting sqref="CB12:CB15">
    <cfRule type="expression" dxfId="1" priority="254">
      <formula>((CB12-CA12)/CB12)&gt;=0</formula>
    </cfRule>
  </conditionalFormatting>
  <conditionalFormatting sqref="CB12:CB15">
    <cfRule type="expression" dxfId="1" priority="255">
      <formula>((CB12-CA12)/CB12)&lt;=0</formula>
    </cfRule>
  </conditionalFormatting>
  <conditionalFormatting sqref="CB17:CB19">
    <cfRule type="expression" dxfId="1" priority="256">
      <formula>((CB17-CA17)/CB17)&gt;=0</formula>
    </cfRule>
  </conditionalFormatting>
  <conditionalFormatting sqref="CB17:CB19">
    <cfRule type="expression" dxfId="1" priority="257">
      <formula>((CB17-CA17)/CB17)&lt;=0</formula>
    </cfRule>
  </conditionalFormatting>
  <conditionalFormatting sqref="CB21:CB22">
    <cfRule type="expression" dxfId="1" priority="258">
      <formula>((CB21-CA21)/CB21)&gt;=0</formula>
    </cfRule>
  </conditionalFormatting>
  <conditionalFormatting sqref="CB21:CB22">
    <cfRule type="expression" dxfId="1" priority="259">
      <formula>((CB21-CA21)/CB21)&lt;=0</formula>
    </cfRule>
  </conditionalFormatting>
  <conditionalFormatting sqref="CB24:CB25">
    <cfRule type="expression" dxfId="0" priority="260">
      <formula>((CB24-CA24)/CB24)&lt;=0</formula>
    </cfRule>
  </conditionalFormatting>
  <conditionalFormatting sqref="CB24:CB25">
    <cfRule type="expression" dxfId="1" priority="261">
      <formula>((CB24-CA24)/CB24)&gt;=0</formula>
    </cfRule>
  </conditionalFormatting>
  <conditionalFormatting sqref="CB30:CB38">
    <cfRule type="expression" dxfId="1" priority="262">
      <formula>((CB30-CA30)/CB30)&lt;=0</formula>
    </cfRule>
  </conditionalFormatting>
  <conditionalFormatting sqref="CB30:CB38">
    <cfRule type="expression" dxfId="1" priority="263">
      <formula>((CB30-CA30)/CB30)&gt;=0</formula>
    </cfRule>
  </conditionalFormatting>
  <conditionalFormatting sqref="CB40:CB59">
    <cfRule type="expression" dxfId="1" priority="264">
      <formula>((CB40-CA40)/CB40)&lt;=0</formula>
    </cfRule>
  </conditionalFormatting>
  <conditionalFormatting sqref="CB41:CB46">
    <cfRule type="expression" dxfId="1" priority="265">
      <formula>((CB41-CA41)/CB41)&gt;=0</formula>
    </cfRule>
  </conditionalFormatting>
  <conditionalFormatting sqref="CB64">
    <cfRule type="expression" dxfId="1" priority="266">
      <formula>((CB64-CA64)/CB64)&gt;=0.1</formula>
    </cfRule>
  </conditionalFormatting>
  <conditionalFormatting sqref="CB64">
    <cfRule type="expression" dxfId="0" priority="267">
      <formula>((CB64-CA64)/CB64)&lt;=-0.1</formula>
    </cfRule>
  </conditionalFormatting>
  <conditionalFormatting sqref="CB64:CB66">
    <cfRule type="expression" dxfId="1" priority="268">
      <formula>((CB64-CA64)/CB64)&lt;=-0.1</formula>
    </cfRule>
  </conditionalFormatting>
  <conditionalFormatting sqref="CB64:CB66">
    <cfRule type="expression" dxfId="1" priority="269">
      <formula>((CB64-CA64)/CB64)&lt;=-0.1</formula>
    </cfRule>
  </conditionalFormatting>
  <conditionalFormatting sqref="CB64:CB66">
    <cfRule type="expression" dxfId="1" priority="270">
      <formula>((CB64-CA64)/CB64)&gt;=0.1</formula>
    </cfRule>
  </conditionalFormatting>
  <conditionalFormatting sqref="CB65:CB66">
    <cfRule type="expression" dxfId="0" priority="271">
      <formula>((CB65-CA65)/CB65)&lt;=-0.1</formula>
    </cfRule>
  </conditionalFormatting>
  <conditionalFormatting sqref="CB65:CB66">
    <cfRule type="expression" dxfId="1" priority="272">
      <formula>((CB65-CA65)/CB65)&gt;=0.1</formula>
    </cfRule>
  </conditionalFormatting>
  <conditionalFormatting sqref="CB67:CB70">
    <cfRule type="expression" dxfId="1" priority="273">
      <formula>((CB67-CA67)/CB67)&lt;=0</formula>
    </cfRule>
  </conditionalFormatting>
  <conditionalFormatting sqref="CB67:CB70">
    <cfRule type="expression" dxfId="1" priority="274">
      <formula>((CB67-CA67)/CB67)&gt;=0</formula>
    </cfRule>
  </conditionalFormatting>
  <conditionalFormatting sqref="CB75">
    <cfRule type="expression" dxfId="1" priority="275">
      <formula>((CB75-CA75)/CB75)&gt;=0</formula>
    </cfRule>
  </conditionalFormatting>
  <conditionalFormatting sqref="CB81">
    <cfRule type="expression" dxfId="0" priority="276">
      <formula>((CB81-CA81)/CB81)&lt;=0</formula>
    </cfRule>
  </conditionalFormatting>
  <conditionalFormatting sqref="CB81">
    <cfRule type="expression" dxfId="1" priority="277">
      <formula>((CB81-CA81)/CB81)&gt;=0</formula>
    </cfRule>
  </conditionalFormatting>
  <conditionalFormatting sqref="CB83">
    <cfRule type="expression" dxfId="1" priority="278">
      <formula>((CB83-CA83)/CB83)&gt;=0</formula>
    </cfRule>
  </conditionalFormatting>
  <conditionalFormatting sqref="CB83">
    <cfRule type="expression" dxfId="1" priority="279">
      <formula>((CB83-CA83)/CB83)&lt;=0</formula>
    </cfRule>
  </conditionalFormatting>
  <conditionalFormatting sqref="CD3 CD5 CD7:CD8">
    <cfRule type="expression" dxfId="0" priority="280">
      <formula>((CD3-CC3)/CD3)&lt;=0</formula>
    </cfRule>
  </conditionalFormatting>
  <conditionalFormatting sqref="CD3 CD5 CD7:CD8">
    <cfRule type="expression" dxfId="1" priority="281">
      <formula>((CD3-CC3)/CD3)&gt;=0</formula>
    </cfRule>
  </conditionalFormatting>
  <conditionalFormatting sqref="CD12:CD15">
    <cfRule type="expression" dxfId="1" priority="282">
      <formula>((CD12-CC12)/CD12)&gt;=0</formula>
    </cfRule>
  </conditionalFormatting>
  <conditionalFormatting sqref="CD12:CD15">
    <cfRule type="expression" dxfId="1" priority="283">
      <formula>((CD12-CC12)/CD12)&lt;=0</formula>
    </cfRule>
  </conditionalFormatting>
  <conditionalFormatting sqref="CD17:CD19">
    <cfRule type="expression" dxfId="1" priority="284">
      <formula>((CD17-CC17)/CD17)&gt;=0</formula>
    </cfRule>
  </conditionalFormatting>
  <conditionalFormatting sqref="CD17:CD19">
    <cfRule type="expression" dxfId="1" priority="285">
      <formula>((CD17-CC17)/CD17)&lt;=0</formula>
    </cfRule>
  </conditionalFormatting>
  <conditionalFormatting sqref="CD21:CD22">
    <cfRule type="expression" dxfId="1" priority="286">
      <formula>((CD21-CC21)/CD21)&gt;=0</formula>
    </cfRule>
  </conditionalFormatting>
  <conditionalFormatting sqref="CD21:CD22">
    <cfRule type="expression" dxfId="1" priority="287">
      <formula>((CD21-CC21)/CD21)&lt;=0</formula>
    </cfRule>
  </conditionalFormatting>
  <conditionalFormatting sqref="CD24:CD25">
    <cfRule type="expression" dxfId="0" priority="288">
      <formula>((CD24-CC24)/CD24)&lt;=0</formula>
    </cfRule>
  </conditionalFormatting>
  <conditionalFormatting sqref="CD24:CD25">
    <cfRule type="expression" dxfId="1" priority="289">
      <formula>((CD24-CC24)/CD24)&gt;=0</formula>
    </cfRule>
  </conditionalFormatting>
  <conditionalFormatting sqref="CD30:CD38">
    <cfRule type="expression" dxfId="1" priority="290">
      <formula>((CD30-CC30)/CD30)&lt;=0</formula>
    </cfRule>
  </conditionalFormatting>
  <conditionalFormatting sqref="CD30:CD38">
    <cfRule type="expression" dxfId="1" priority="291">
      <formula>((CD30-CC30)/CD30)&gt;=0</formula>
    </cfRule>
  </conditionalFormatting>
  <conditionalFormatting sqref="CD40:CD59">
    <cfRule type="expression" dxfId="1" priority="292">
      <formula>((CD40-CC40)/CD40)&lt;=0</formula>
    </cfRule>
  </conditionalFormatting>
  <conditionalFormatting sqref="CD41:CD46">
    <cfRule type="expression" dxfId="1" priority="293">
      <formula>((CD41-CC41)/CD41)&gt;=0</formula>
    </cfRule>
  </conditionalFormatting>
  <conditionalFormatting sqref="CD64">
    <cfRule type="expression" dxfId="1" priority="294">
      <formula>((CD64-CC64)/CD64)&gt;=0.1</formula>
    </cfRule>
  </conditionalFormatting>
  <conditionalFormatting sqref="CD64">
    <cfRule type="expression" dxfId="0" priority="295">
      <formula>((CD64-CC64)/CD64)&lt;=-0.1</formula>
    </cfRule>
  </conditionalFormatting>
  <conditionalFormatting sqref="CD64:CD66">
    <cfRule type="expression" dxfId="1" priority="296">
      <formula>((CD64-CC64)/CD64)&lt;=-0.1</formula>
    </cfRule>
  </conditionalFormatting>
  <conditionalFormatting sqref="CD64:CD66">
    <cfRule type="expression" dxfId="1" priority="297">
      <formula>((CD64-CC64)/CD64)&lt;=-0.1</formula>
    </cfRule>
  </conditionalFormatting>
  <conditionalFormatting sqref="CD64:CD66">
    <cfRule type="expression" dxfId="1" priority="298">
      <formula>((CD64-CC64)/CD64)&gt;=0.1</formula>
    </cfRule>
  </conditionalFormatting>
  <conditionalFormatting sqref="CD65:CD66">
    <cfRule type="expression" dxfId="0" priority="299">
      <formula>((CD65-CC65)/CD65)&lt;=-0.1</formula>
    </cfRule>
  </conditionalFormatting>
  <conditionalFormatting sqref="CD65:CD66">
    <cfRule type="expression" dxfId="1" priority="300">
      <formula>((CD65-CC65)/CD65)&gt;=0.1</formula>
    </cfRule>
  </conditionalFormatting>
  <conditionalFormatting sqref="CD67:CD70">
    <cfRule type="expression" dxfId="1" priority="301">
      <formula>((CD67-CC67)/CD67)&lt;=0</formula>
    </cfRule>
  </conditionalFormatting>
  <conditionalFormatting sqref="CD67:CD70">
    <cfRule type="expression" dxfId="1" priority="302">
      <formula>((CD67-CC67)/CD67)&gt;=0</formula>
    </cfRule>
  </conditionalFormatting>
  <conditionalFormatting sqref="CD75">
    <cfRule type="expression" dxfId="1" priority="303">
      <formula>((CD75-CC75)/CD75)&gt;=0</formula>
    </cfRule>
  </conditionalFormatting>
  <conditionalFormatting sqref="CD81">
    <cfRule type="expression" dxfId="0" priority="304">
      <formula>((CD81-CC81)/CD81)&lt;=0</formula>
    </cfRule>
  </conditionalFormatting>
  <conditionalFormatting sqref="CD81">
    <cfRule type="expression" dxfId="1" priority="305">
      <formula>((CD81-CC81)/CD81)&gt;=0</formula>
    </cfRule>
  </conditionalFormatting>
  <conditionalFormatting sqref="CD83">
    <cfRule type="expression" dxfId="1" priority="306">
      <formula>((CD83-CC83)/CD83)&gt;=0</formula>
    </cfRule>
  </conditionalFormatting>
  <conditionalFormatting sqref="CD83">
    <cfRule type="expression" dxfId="1" priority="307">
      <formula>((CD83-CC83)/CD83)&lt;=0</formula>
    </cfRule>
  </conditionalFormatting>
  <conditionalFormatting sqref="CF3 CF5 CF7:CF8">
    <cfRule type="expression" dxfId="0" priority="308">
      <formula>((CF3-CE3)/CF3)&lt;=0</formula>
    </cfRule>
  </conditionalFormatting>
  <conditionalFormatting sqref="CF3 CF5 CF7:CF8">
    <cfRule type="expression" dxfId="1" priority="309">
      <formula>((CF3-CE3)/CF3)&gt;=0</formula>
    </cfRule>
  </conditionalFormatting>
  <conditionalFormatting sqref="CF12:CF15">
    <cfRule type="expression" dxfId="1" priority="310">
      <formula>((CF12-CE12)/CF12)&gt;=0</formula>
    </cfRule>
  </conditionalFormatting>
  <conditionalFormatting sqref="CF12:CF15">
    <cfRule type="expression" dxfId="1" priority="311">
      <formula>((CF12-CE12)/CF12)&lt;=0</formula>
    </cfRule>
  </conditionalFormatting>
  <conditionalFormatting sqref="CF17:CF19">
    <cfRule type="expression" dxfId="1" priority="312">
      <formula>((CF17-CE17)/CF17)&gt;=0</formula>
    </cfRule>
  </conditionalFormatting>
  <conditionalFormatting sqref="CF17:CF19">
    <cfRule type="expression" dxfId="1" priority="313">
      <formula>((CF17-CE17)/CF17)&lt;=0</formula>
    </cfRule>
  </conditionalFormatting>
  <conditionalFormatting sqref="CF21:CF22">
    <cfRule type="expression" dxfId="1" priority="314">
      <formula>((CF21-CE21)/CF21)&gt;=0</formula>
    </cfRule>
  </conditionalFormatting>
  <conditionalFormatting sqref="CF21:CF22">
    <cfRule type="expression" dxfId="1" priority="315">
      <formula>((CF21-CE21)/CF21)&lt;=0</formula>
    </cfRule>
  </conditionalFormatting>
  <conditionalFormatting sqref="CF24:CF25">
    <cfRule type="expression" dxfId="0" priority="316">
      <formula>((CF24-CE24)/CF24)&lt;=0</formula>
    </cfRule>
  </conditionalFormatting>
  <conditionalFormatting sqref="CF24:CF25">
    <cfRule type="expression" dxfId="1" priority="317">
      <formula>((CF24-CE24)/CF24)&gt;=0</formula>
    </cfRule>
  </conditionalFormatting>
  <conditionalFormatting sqref="CF30:CF38">
    <cfRule type="expression" dxfId="1" priority="318">
      <formula>((CF30-CE30)/CF30)&lt;=0</formula>
    </cfRule>
  </conditionalFormatting>
  <conditionalFormatting sqref="CF30:CF38">
    <cfRule type="expression" dxfId="1" priority="319">
      <formula>((CF30-CE30)/CF30)&gt;=0</formula>
    </cfRule>
  </conditionalFormatting>
  <conditionalFormatting sqref="CF40:CF59">
    <cfRule type="expression" dxfId="1" priority="320">
      <formula>((CF40-CE40)/CF40)&lt;=0</formula>
    </cfRule>
  </conditionalFormatting>
  <conditionalFormatting sqref="CF41:CF46">
    <cfRule type="expression" dxfId="1" priority="321">
      <formula>((CF41-CE41)/CF41)&gt;=0</formula>
    </cfRule>
  </conditionalFormatting>
  <conditionalFormatting sqref="CF64">
    <cfRule type="expression" dxfId="1" priority="322">
      <formula>((CF64-CE64)/CF64)&gt;=0.1</formula>
    </cfRule>
  </conditionalFormatting>
  <conditionalFormatting sqref="CF64">
    <cfRule type="expression" dxfId="0" priority="323">
      <formula>((CF64-CE64)/CF64)&lt;=-0.1</formula>
    </cfRule>
  </conditionalFormatting>
  <conditionalFormatting sqref="CF64:CF66">
    <cfRule type="expression" dxfId="1" priority="324">
      <formula>((CF64-CE64)/CF64)&lt;=-0.1</formula>
    </cfRule>
  </conditionalFormatting>
  <conditionalFormatting sqref="CF64:CF66">
    <cfRule type="expression" dxfId="1" priority="325">
      <formula>((CF64-CE64)/CF64)&lt;=-0.1</formula>
    </cfRule>
  </conditionalFormatting>
  <conditionalFormatting sqref="CF64:CF66">
    <cfRule type="expression" dxfId="1" priority="326">
      <formula>((CF64-CE64)/CF64)&gt;=0.1</formula>
    </cfRule>
  </conditionalFormatting>
  <conditionalFormatting sqref="CF65:CF66">
    <cfRule type="expression" dxfId="0" priority="327">
      <formula>((CF65-CE65)/CF65)&lt;=-0.1</formula>
    </cfRule>
  </conditionalFormatting>
  <conditionalFormatting sqref="CF65:CF66">
    <cfRule type="expression" dxfId="1" priority="328">
      <formula>((CF65-CE65)/CF65)&gt;=0.1</formula>
    </cfRule>
  </conditionalFormatting>
  <conditionalFormatting sqref="CF67:CF70">
    <cfRule type="expression" dxfId="1" priority="329">
      <formula>((CF67-CE67)/CF67)&lt;=0</formula>
    </cfRule>
  </conditionalFormatting>
  <conditionalFormatting sqref="CF67:CF70">
    <cfRule type="expression" dxfId="1" priority="330">
      <formula>((CF67-CE67)/CF67)&gt;=0</formula>
    </cfRule>
  </conditionalFormatting>
  <conditionalFormatting sqref="CF75">
    <cfRule type="expression" dxfId="1" priority="331">
      <formula>((CF75-CE75)/CF75)&gt;=0</formula>
    </cfRule>
  </conditionalFormatting>
  <conditionalFormatting sqref="CF81">
    <cfRule type="expression" dxfId="0" priority="332">
      <formula>((CF81-CE81)/CF81)&lt;=0</formula>
    </cfRule>
  </conditionalFormatting>
  <conditionalFormatting sqref="CF81">
    <cfRule type="expression" dxfId="1" priority="333">
      <formula>((CF81-CE81)/CF81)&gt;=0</formula>
    </cfRule>
  </conditionalFormatting>
  <conditionalFormatting sqref="CF83">
    <cfRule type="expression" dxfId="1" priority="334">
      <formula>((CF83-CE83)/CF83)&gt;=0</formula>
    </cfRule>
  </conditionalFormatting>
  <conditionalFormatting sqref="CF83">
    <cfRule type="expression" dxfId="1" priority="335">
      <formula>((CF83-CE83)/CF83)&lt;=0</formula>
    </cfRule>
  </conditionalFormatting>
  <conditionalFormatting sqref="CH3 CH5 CH7:CH8">
    <cfRule type="expression" dxfId="0" priority="336">
      <formula>((CH3-CG3)/CH3)&lt;=0</formula>
    </cfRule>
  </conditionalFormatting>
  <conditionalFormatting sqref="CH3 CH5 CH7:CH8">
    <cfRule type="expression" dxfId="1" priority="337">
      <formula>((CH3-CG3)/CH3)&gt;=0</formula>
    </cfRule>
  </conditionalFormatting>
  <conditionalFormatting sqref="CH12:CH15">
    <cfRule type="expression" dxfId="1" priority="338">
      <formula>((CH12-CG12)/CH12)&gt;=0</formula>
    </cfRule>
  </conditionalFormatting>
  <conditionalFormatting sqref="CH12:CH15">
    <cfRule type="expression" dxfId="1" priority="339">
      <formula>((CH12-CG12)/CH12)&lt;=0</formula>
    </cfRule>
  </conditionalFormatting>
  <conditionalFormatting sqref="CH17:CH19">
    <cfRule type="expression" dxfId="1" priority="340">
      <formula>((CH17-CG17)/CH17)&gt;=0</formula>
    </cfRule>
  </conditionalFormatting>
  <conditionalFormatting sqref="CH17:CH19">
    <cfRule type="expression" dxfId="1" priority="341">
      <formula>((CH17-CG17)/CH17)&lt;=0</formula>
    </cfRule>
  </conditionalFormatting>
  <conditionalFormatting sqref="CH21:CH22">
    <cfRule type="expression" dxfId="1" priority="342">
      <formula>((CH21-CG21)/CH21)&gt;=0</formula>
    </cfRule>
  </conditionalFormatting>
  <conditionalFormatting sqref="CH21:CH22">
    <cfRule type="expression" dxfId="1" priority="343">
      <formula>((CH21-CG21)/CH21)&lt;=0</formula>
    </cfRule>
  </conditionalFormatting>
  <conditionalFormatting sqref="CH24:CH25">
    <cfRule type="expression" dxfId="0" priority="344">
      <formula>((CH24-CG24)/CH24)&lt;=0</formula>
    </cfRule>
  </conditionalFormatting>
  <conditionalFormatting sqref="CH24:CH25">
    <cfRule type="expression" dxfId="1" priority="345">
      <formula>((CH24-CG24)/CH24)&gt;=0</formula>
    </cfRule>
  </conditionalFormatting>
  <conditionalFormatting sqref="CH30:CH38">
    <cfRule type="expression" dxfId="1" priority="346">
      <formula>((CH30-CG30)/CH30)&lt;=0</formula>
    </cfRule>
  </conditionalFormatting>
  <conditionalFormatting sqref="CH30:CH38">
    <cfRule type="expression" dxfId="1" priority="347">
      <formula>((CH30-CG30)/CH30)&gt;=0</formula>
    </cfRule>
  </conditionalFormatting>
  <conditionalFormatting sqref="CH40:CH59">
    <cfRule type="expression" dxfId="1" priority="348">
      <formula>((CH40-CG40)/CH40)&lt;=0</formula>
    </cfRule>
  </conditionalFormatting>
  <conditionalFormatting sqref="CH41:CH46">
    <cfRule type="expression" dxfId="1" priority="349">
      <formula>((CH41-CG41)/CH41)&gt;=0</formula>
    </cfRule>
  </conditionalFormatting>
  <conditionalFormatting sqref="CH64">
    <cfRule type="expression" dxfId="1" priority="350">
      <formula>((CH64-CG64)/CH64)&gt;=0.1</formula>
    </cfRule>
  </conditionalFormatting>
  <conditionalFormatting sqref="CH64">
    <cfRule type="expression" dxfId="0" priority="351">
      <formula>((CH64-CG64)/CH64)&lt;=-0.1</formula>
    </cfRule>
  </conditionalFormatting>
  <conditionalFormatting sqref="CH64:CH66">
    <cfRule type="expression" dxfId="1" priority="352">
      <formula>((CH64-CG64)/CH64)&lt;=-0.1</formula>
    </cfRule>
  </conditionalFormatting>
  <conditionalFormatting sqref="CH64:CH66">
    <cfRule type="expression" dxfId="1" priority="353">
      <formula>((CH64-CG64)/CH64)&lt;=-0.1</formula>
    </cfRule>
  </conditionalFormatting>
  <conditionalFormatting sqref="CH64:CH66">
    <cfRule type="expression" dxfId="1" priority="354">
      <formula>((CH64-CG64)/CH64)&gt;=0.1</formula>
    </cfRule>
  </conditionalFormatting>
  <conditionalFormatting sqref="CH65:CH66">
    <cfRule type="expression" dxfId="0" priority="355">
      <formula>((CH65-CG65)/CH65)&lt;=-0.1</formula>
    </cfRule>
  </conditionalFormatting>
  <conditionalFormatting sqref="CH65:CH66">
    <cfRule type="expression" dxfId="1" priority="356">
      <formula>((CH65-CG65)/CH65)&gt;=0.1</formula>
    </cfRule>
  </conditionalFormatting>
  <conditionalFormatting sqref="CH67:CH70">
    <cfRule type="expression" dxfId="1" priority="357">
      <formula>((CH67-CG67)/CH67)&lt;=0</formula>
    </cfRule>
  </conditionalFormatting>
  <conditionalFormatting sqref="CH67:CH70">
    <cfRule type="expression" dxfId="1" priority="358">
      <formula>((CH67-CG67)/CH67)&gt;=0</formula>
    </cfRule>
  </conditionalFormatting>
  <conditionalFormatting sqref="CH75">
    <cfRule type="expression" dxfId="1" priority="359">
      <formula>((CH75-CG75)/CH75)&gt;=0</formula>
    </cfRule>
  </conditionalFormatting>
  <conditionalFormatting sqref="CH81">
    <cfRule type="expression" dxfId="0" priority="360">
      <formula>((CH81-CG81)/CH81)&lt;=0</formula>
    </cfRule>
  </conditionalFormatting>
  <conditionalFormatting sqref="CH81">
    <cfRule type="expression" dxfId="1" priority="361">
      <formula>((CH81-CG81)/CH81)&gt;=0</formula>
    </cfRule>
  </conditionalFormatting>
  <conditionalFormatting sqref="CH83">
    <cfRule type="expression" dxfId="1" priority="362">
      <formula>((CH83-CG83)/CH83)&gt;=0</formula>
    </cfRule>
  </conditionalFormatting>
  <conditionalFormatting sqref="CH83">
    <cfRule type="expression" dxfId="1" priority="363">
      <formula>((CH83-CG83)/CH83)&lt;=0</formula>
    </cfRule>
  </conditionalFormatting>
  <conditionalFormatting sqref="CJ3 CJ5 CJ7:CJ8">
    <cfRule type="expression" dxfId="0" priority="364">
      <formula>((CJ3-CI3)/CJ3)&lt;=0</formula>
    </cfRule>
  </conditionalFormatting>
  <conditionalFormatting sqref="CJ3 CJ5 CJ7:CJ8">
    <cfRule type="expression" dxfId="1" priority="365">
      <formula>((CJ3-CI3)/CJ3)&gt;=0</formula>
    </cfRule>
  </conditionalFormatting>
  <conditionalFormatting sqref="CJ12:CJ15">
    <cfRule type="expression" dxfId="1" priority="366">
      <formula>((CJ12-CI12)/CJ12)&gt;=0</formula>
    </cfRule>
  </conditionalFormatting>
  <conditionalFormatting sqref="CJ12:CJ15">
    <cfRule type="expression" dxfId="1" priority="367">
      <formula>((CJ12-CI12)/CJ12)&lt;=0</formula>
    </cfRule>
  </conditionalFormatting>
  <conditionalFormatting sqref="CJ17:CJ19">
    <cfRule type="expression" dxfId="1" priority="368">
      <formula>((CJ17-CI17)/CJ17)&gt;=0</formula>
    </cfRule>
  </conditionalFormatting>
  <conditionalFormatting sqref="CJ17:CJ19">
    <cfRule type="expression" dxfId="1" priority="369">
      <formula>((CJ17-CI17)/CJ17)&lt;=0</formula>
    </cfRule>
  </conditionalFormatting>
  <conditionalFormatting sqref="CJ21:CJ22">
    <cfRule type="expression" dxfId="1" priority="370">
      <formula>((CJ21-CI21)/CJ21)&gt;=0</formula>
    </cfRule>
  </conditionalFormatting>
  <conditionalFormatting sqref="CJ21:CJ22">
    <cfRule type="expression" dxfId="1" priority="371">
      <formula>((CJ21-CI21)/CJ21)&lt;=0</formula>
    </cfRule>
  </conditionalFormatting>
  <conditionalFormatting sqref="CJ24:CJ25">
    <cfRule type="expression" dxfId="0" priority="372">
      <formula>((CJ24-CI24)/CJ24)&lt;=0</formula>
    </cfRule>
  </conditionalFormatting>
  <conditionalFormatting sqref="CJ24:CJ25">
    <cfRule type="expression" dxfId="1" priority="373">
      <formula>((CJ24-CI24)/CJ24)&gt;=0</formula>
    </cfRule>
  </conditionalFormatting>
  <conditionalFormatting sqref="CJ30:CJ38">
    <cfRule type="expression" dxfId="1" priority="374">
      <formula>((CJ30-CI30)/CJ30)&lt;=0</formula>
    </cfRule>
  </conditionalFormatting>
  <conditionalFormatting sqref="CJ30:CJ38">
    <cfRule type="expression" dxfId="1" priority="375">
      <formula>((CJ30-CI30)/CJ30)&gt;=0</formula>
    </cfRule>
  </conditionalFormatting>
  <conditionalFormatting sqref="CJ40:CJ59">
    <cfRule type="expression" dxfId="1" priority="376">
      <formula>((CJ40-CI40)/CJ40)&lt;=0</formula>
    </cfRule>
  </conditionalFormatting>
  <conditionalFormatting sqref="CJ41:CJ46">
    <cfRule type="expression" dxfId="1" priority="377">
      <formula>((CJ41-CI41)/CJ41)&gt;=0</formula>
    </cfRule>
  </conditionalFormatting>
  <conditionalFormatting sqref="CJ64">
    <cfRule type="expression" dxfId="1" priority="378">
      <formula>((CJ64-CI64)/CJ64)&gt;=0.1</formula>
    </cfRule>
  </conditionalFormatting>
  <conditionalFormatting sqref="CJ64">
    <cfRule type="expression" dxfId="0" priority="379">
      <formula>((CJ64-CI64)/CJ64)&lt;=-0.1</formula>
    </cfRule>
  </conditionalFormatting>
  <conditionalFormatting sqref="CJ64:CJ66">
    <cfRule type="expression" dxfId="1" priority="380">
      <formula>((CJ64-CI64)/CJ64)&lt;=-0.1</formula>
    </cfRule>
  </conditionalFormatting>
  <conditionalFormatting sqref="CJ64:CJ66">
    <cfRule type="expression" dxfId="1" priority="381">
      <formula>((CJ64-CI64)/CJ64)&lt;=-0.1</formula>
    </cfRule>
  </conditionalFormatting>
  <conditionalFormatting sqref="CJ64:CJ66">
    <cfRule type="expression" dxfId="1" priority="382">
      <formula>((CJ64-CI64)/CJ64)&gt;=0.1</formula>
    </cfRule>
  </conditionalFormatting>
  <conditionalFormatting sqref="CJ65:CJ66">
    <cfRule type="expression" dxfId="0" priority="383">
      <formula>((CJ65-CI65)/CJ65)&lt;=-0.1</formula>
    </cfRule>
  </conditionalFormatting>
  <conditionalFormatting sqref="CJ65:CJ66">
    <cfRule type="expression" dxfId="1" priority="384">
      <formula>((CJ65-CI65)/CJ65)&gt;=0.1</formula>
    </cfRule>
  </conditionalFormatting>
  <conditionalFormatting sqref="CJ67:CJ70">
    <cfRule type="expression" dxfId="1" priority="385">
      <formula>((CJ67-CI67)/CJ67)&lt;=0</formula>
    </cfRule>
  </conditionalFormatting>
  <conditionalFormatting sqref="CJ67:CJ70">
    <cfRule type="expression" dxfId="1" priority="386">
      <formula>((CJ67-CI67)/CJ67)&gt;=0</formula>
    </cfRule>
  </conditionalFormatting>
  <conditionalFormatting sqref="CJ75">
    <cfRule type="expression" dxfId="1" priority="387">
      <formula>((CJ75-CI75)/CJ75)&gt;=0</formula>
    </cfRule>
  </conditionalFormatting>
  <conditionalFormatting sqref="CJ81">
    <cfRule type="expression" dxfId="0" priority="388">
      <formula>((CJ81-CI81)/CJ81)&lt;=0</formula>
    </cfRule>
  </conditionalFormatting>
  <conditionalFormatting sqref="CJ81">
    <cfRule type="expression" dxfId="1" priority="389">
      <formula>((CJ81-CI81)/CJ81)&gt;=0</formula>
    </cfRule>
  </conditionalFormatting>
  <conditionalFormatting sqref="CJ83">
    <cfRule type="expression" dxfId="1" priority="390">
      <formula>((CJ83-CI83)/CJ83)&gt;=0</formula>
    </cfRule>
  </conditionalFormatting>
  <conditionalFormatting sqref="CJ83">
    <cfRule type="expression" dxfId="1" priority="391">
      <formula>((CJ83-CI83)/CJ83)&lt;=0</formula>
    </cfRule>
  </conditionalFormatting>
  <conditionalFormatting sqref="CL3 CL5 CL7:CL8">
    <cfRule type="expression" dxfId="0" priority="392">
      <formula>((CL3-CK3)/CL3)&lt;=0</formula>
    </cfRule>
  </conditionalFormatting>
  <conditionalFormatting sqref="CL3 CL5 CL7:CL8">
    <cfRule type="expression" dxfId="1" priority="393">
      <formula>((CL3-CK3)/CL3)&gt;=0</formula>
    </cfRule>
  </conditionalFormatting>
  <conditionalFormatting sqref="CL12:CL15">
    <cfRule type="expression" dxfId="1" priority="394">
      <formula>((CL12-CK12)/CL12)&gt;=0</formula>
    </cfRule>
  </conditionalFormatting>
  <conditionalFormatting sqref="CL12:CL15">
    <cfRule type="expression" dxfId="1" priority="395">
      <formula>((CL12-CK12)/CL12)&lt;=0</formula>
    </cfRule>
  </conditionalFormatting>
  <conditionalFormatting sqref="CL17:CL19">
    <cfRule type="expression" dxfId="1" priority="396">
      <formula>((CL17-CK17)/CL17)&gt;=0</formula>
    </cfRule>
  </conditionalFormatting>
  <conditionalFormatting sqref="CL17:CL19">
    <cfRule type="expression" dxfId="1" priority="397">
      <formula>((CL17-CK17)/CL17)&lt;=0</formula>
    </cfRule>
  </conditionalFormatting>
  <conditionalFormatting sqref="CL21:CL22">
    <cfRule type="expression" dxfId="1" priority="398">
      <formula>((CL21-CK21)/CL21)&gt;=0</formula>
    </cfRule>
  </conditionalFormatting>
  <conditionalFormatting sqref="CL21:CL22">
    <cfRule type="expression" dxfId="1" priority="399">
      <formula>((CL21-CK21)/CL21)&lt;=0</formula>
    </cfRule>
  </conditionalFormatting>
  <conditionalFormatting sqref="CL24:CL25">
    <cfRule type="expression" dxfId="0" priority="400">
      <formula>((CL24-CK24)/CL24)&lt;=0</formula>
    </cfRule>
  </conditionalFormatting>
  <conditionalFormatting sqref="CL24:CL25">
    <cfRule type="expression" dxfId="1" priority="401">
      <formula>((CL24-CK24)/CL24)&gt;=0</formula>
    </cfRule>
  </conditionalFormatting>
  <conditionalFormatting sqref="CL30:CL38">
    <cfRule type="expression" dxfId="1" priority="402">
      <formula>((CL30-CK30)/CL30)&lt;=0</formula>
    </cfRule>
  </conditionalFormatting>
  <conditionalFormatting sqref="CL30:CL38">
    <cfRule type="expression" dxfId="1" priority="403">
      <formula>((CL30-CK30)/CL30)&gt;=0</formula>
    </cfRule>
  </conditionalFormatting>
  <conditionalFormatting sqref="CL40:CL59">
    <cfRule type="expression" dxfId="1" priority="404">
      <formula>((CL40-CK40)/CL40)&lt;=0</formula>
    </cfRule>
  </conditionalFormatting>
  <conditionalFormatting sqref="CL41:CL46">
    <cfRule type="expression" dxfId="1" priority="405">
      <formula>((CL41-CK41)/CL41)&gt;=0</formula>
    </cfRule>
  </conditionalFormatting>
  <conditionalFormatting sqref="CL64">
    <cfRule type="expression" dxfId="1" priority="406">
      <formula>((CL64-CK64)/CL64)&gt;=0.1</formula>
    </cfRule>
  </conditionalFormatting>
  <conditionalFormatting sqref="CL64">
    <cfRule type="expression" dxfId="0" priority="407">
      <formula>((CL64-CK64)/CL64)&lt;=-0.1</formula>
    </cfRule>
  </conditionalFormatting>
  <conditionalFormatting sqref="CL64:CL66">
    <cfRule type="expression" dxfId="1" priority="408">
      <formula>((CL64-CK64)/CL64)&lt;=-0.1</formula>
    </cfRule>
  </conditionalFormatting>
  <conditionalFormatting sqref="CL64:CL66">
    <cfRule type="expression" dxfId="1" priority="409">
      <formula>((CL64-CK64)/CL64)&lt;=-0.1</formula>
    </cfRule>
  </conditionalFormatting>
  <conditionalFormatting sqref="CL64:CL66">
    <cfRule type="expression" dxfId="1" priority="410">
      <formula>((CL64-CK64)/CL64)&gt;=0.1</formula>
    </cfRule>
  </conditionalFormatting>
  <conditionalFormatting sqref="CL65:CL66">
    <cfRule type="expression" dxfId="0" priority="411">
      <formula>((CL65-CK65)/CL65)&lt;=-0.1</formula>
    </cfRule>
  </conditionalFormatting>
  <conditionalFormatting sqref="CL65:CL66">
    <cfRule type="expression" dxfId="1" priority="412">
      <formula>((CL65-CK65)/CL65)&gt;=0.1</formula>
    </cfRule>
  </conditionalFormatting>
  <conditionalFormatting sqref="CL67:CL70">
    <cfRule type="expression" dxfId="1" priority="413">
      <formula>((CL67-CK67)/CL67)&lt;=0</formula>
    </cfRule>
  </conditionalFormatting>
  <conditionalFormatting sqref="CL67:CL70">
    <cfRule type="expression" dxfId="1" priority="414">
      <formula>((CL67-CK67)/CL67)&gt;=0</formula>
    </cfRule>
  </conditionalFormatting>
  <conditionalFormatting sqref="CL75">
    <cfRule type="expression" dxfId="1" priority="415">
      <formula>((CL75-CK75)/CL75)&gt;=0</formula>
    </cfRule>
  </conditionalFormatting>
  <conditionalFormatting sqref="CL81">
    <cfRule type="expression" dxfId="0" priority="416">
      <formula>((CL81-CK81)/CL81)&lt;=0</formula>
    </cfRule>
  </conditionalFormatting>
  <conditionalFormatting sqref="CL81">
    <cfRule type="expression" dxfId="1" priority="417">
      <formula>((CL81-CK81)/CL81)&gt;=0</formula>
    </cfRule>
  </conditionalFormatting>
  <conditionalFormatting sqref="CL83">
    <cfRule type="expression" dxfId="1" priority="418">
      <formula>((CL83-CK83)/CL83)&gt;=0</formula>
    </cfRule>
  </conditionalFormatting>
  <conditionalFormatting sqref="CL83">
    <cfRule type="expression" dxfId="1" priority="419">
      <formula>((CL83-CK83)/CL83)&lt;=0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43"/>
    <col customWidth="1" min="2" max="2" width="32.43"/>
    <col customWidth="1" min="3" max="13" width="14.86"/>
    <col customWidth="1" min="14" max="14" width="15.57"/>
    <col customWidth="1" min="15" max="15" width="1.0"/>
    <col customWidth="1" min="16" max="16" width="14.86"/>
    <col customWidth="1" min="17" max="17" width="1.0"/>
    <col customWidth="1" min="18" max="18" width="14.86"/>
    <col customWidth="1" min="19" max="19" width="1.0"/>
    <col customWidth="1" min="20" max="20" width="18.0"/>
    <col customWidth="1" min="21" max="21" width="1.0"/>
    <col customWidth="1" min="22" max="22" width="14.14"/>
    <col customWidth="1" min="23" max="23" width="1.0"/>
    <col customWidth="1" min="24" max="24" width="14.14"/>
    <col customWidth="1" min="25" max="25" width="1.0"/>
    <col customWidth="1" min="26" max="26" width="13.57"/>
    <col customWidth="1" min="27" max="27" width="1.0"/>
    <col customWidth="1" min="28" max="28" width="15.0"/>
    <col customWidth="1" min="29" max="29" width="1.0"/>
    <col customWidth="1" min="30" max="30" width="15.0"/>
    <col customWidth="1" min="31" max="31" width="1.0"/>
    <col customWidth="1" min="32" max="32" width="15.0"/>
    <col customWidth="1" min="33" max="33" width="1.0"/>
    <col customWidth="1" min="34" max="34" width="15.0"/>
    <col customWidth="1" min="35" max="35" width="1.0"/>
    <col customWidth="1" min="36" max="36" width="16.14"/>
    <col customWidth="1" min="37" max="37" width="1.0"/>
    <col customWidth="1" min="38" max="38" width="16.14"/>
    <col customWidth="1" min="39" max="39" width="1.0"/>
    <col customWidth="1" min="40" max="40" width="16.14"/>
    <col customWidth="1" min="41" max="41" width="1.0"/>
    <col customWidth="1" min="42" max="42" width="16.14"/>
    <col customWidth="1" min="43" max="43" width="1.0"/>
    <col customWidth="1" min="44" max="44" width="16.14"/>
    <col customWidth="1" min="45" max="45" width="1.0"/>
    <col customWidth="1" min="46" max="46" width="16.14"/>
    <col customWidth="1" min="47" max="47" width="1.0"/>
    <col customWidth="1" min="48" max="48" width="16.14"/>
    <col customWidth="1" min="49" max="49" width="1.0"/>
    <col customWidth="1" min="50" max="50" width="16.14"/>
    <col customWidth="1" min="51" max="51" width="1.0"/>
    <col customWidth="1" min="52" max="52" width="15.0"/>
    <col customWidth="1" min="53" max="53" width="1.0"/>
    <col customWidth="1" min="54" max="54" width="15.0"/>
    <col customWidth="1" min="55" max="55" width="1.0"/>
    <col customWidth="1" min="56" max="56" width="15.0"/>
    <col customWidth="1" min="57" max="57" width="1.0"/>
    <col customWidth="1" min="58" max="58" width="15.14"/>
    <col customWidth="1" min="59" max="59" width="1.0"/>
    <col customWidth="1" min="60" max="60" width="14.43"/>
    <col customWidth="1" min="61" max="61" width="1.0"/>
    <col customWidth="1" min="62" max="62" width="15.43"/>
    <col customWidth="1" min="63" max="63" width="1.0"/>
    <col customWidth="1" min="64" max="64" width="15.86"/>
    <col customWidth="1" min="65" max="65" width="1.0"/>
    <col customWidth="1" min="66" max="66" width="15.43"/>
    <col customWidth="1" min="67" max="67" width="1.0"/>
    <col customWidth="1" min="68" max="68" width="17.86"/>
    <col customWidth="1" min="69" max="69" width="1.0"/>
    <col customWidth="1" min="70" max="70" width="14.43"/>
    <col customWidth="1" min="71" max="71" width="1.0"/>
    <col customWidth="1" min="72" max="72" width="14.43"/>
    <col customWidth="1" min="73" max="73" width="1.43"/>
    <col customWidth="1" min="74" max="74" width="15.86"/>
    <col customWidth="1" min="75" max="75" width="1.14"/>
    <col customWidth="1" min="76" max="76" width="15.29"/>
    <col customWidth="1" min="77" max="77" width="1.71"/>
    <col customWidth="1" min="78" max="78" width="15.43"/>
    <col customWidth="1" min="79" max="79" width="1.71"/>
    <col customWidth="1" min="80" max="80" width="14.14"/>
    <col customWidth="1" min="81" max="81" width="2.0"/>
    <col customWidth="1" min="82" max="82" width="14.14"/>
    <col customWidth="1" min="83" max="83" width="14.43"/>
    <col customWidth="1" min="84" max="84" width="15.14"/>
  </cols>
  <sheetData>
    <row r="1" ht="21.0" customHeight="1">
      <c r="A1" s="17"/>
      <c r="B1" s="17"/>
      <c r="C1" s="146" t="s">
        <v>147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8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49"/>
      <c r="AX1" s="49"/>
      <c r="AY1" s="49"/>
      <c r="AZ1" s="49"/>
      <c r="BA1" s="49"/>
      <c r="BB1" s="49"/>
      <c r="BC1" s="49"/>
      <c r="BD1" s="49"/>
      <c r="BE1" s="17"/>
      <c r="BF1" s="93">
        <v>85.0</v>
      </c>
      <c r="BG1" s="17"/>
      <c r="BH1" s="93">
        <v>85.0</v>
      </c>
      <c r="BI1" s="17"/>
      <c r="BJ1" s="93">
        <v>85.0</v>
      </c>
      <c r="BK1" s="17"/>
      <c r="BL1" s="93">
        <v>85.0</v>
      </c>
      <c r="BM1" s="17"/>
      <c r="BN1" s="93">
        <v>85.0</v>
      </c>
      <c r="BO1" s="17"/>
      <c r="BP1" s="93">
        <v>85.0</v>
      </c>
      <c r="BQ1" s="17"/>
      <c r="BR1" s="93">
        <v>85.0</v>
      </c>
      <c r="BS1" s="17"/>
      <c r="BT1" s="93">
        <v>85.0</v>
      </c>
      <c r="BU1" s="17"/>
      <c r="BV1" s="93">
        <v>85.0</v>
      </c>
      <c r="BW1" s="17"/>
      <c r="BX1" s="93">
        <v>85.0</v>
      </c>
      <c r="BY1" s="17"/>
      <c r="BZ1" s="93">
        <v>85.0</v>
      </c>
      <c r="CA1" s="17"/>
      <c r="CB1" s="93">
        <v>89.0</v>
      </c>
      <c r="CC1" s="17"/>
      <c r="CD1" s="93">
        <v>89.0</v>
      </c>
      <c r="CE1" s="17"/>
      <c r="CF1" s="17"/>
    </row>
    <row r="2" ht="14.2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49"/>
      <c r="W2" s="149"/>
      <c r="X2" s="17"/>
      <c r="Y2" s="17"/>
      <c r="Z2" s="17"/>
      <c r="AA2" s="17"/>
      <c r="AB2" s="17">
        <v>60466.0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17"/>
      <c r="BX2" s="17"/>
      <c r="BY2" s="17"/>
      <c r="BZ2" s="17"/>
      <c r="CA2" s="17"/>
      <c r="CB2" s="17"/>
      <c r="CC2" s="17"/>
      <c r="CD2" s="17"/>
      <c r="CE2" s="17"/>
      <c r="CF2" s="17"/>
    </row>
    <row r="3">
      <c r="A3" s="93"/>
      <c r="B3" s="150" t="s">
        <v>148</v>
      </c>
      <c r="C3" s="151">
        <v>44681.0</v>
      </c>
      <c r="D3" s="151">
        <v>44712.0</v>
      </c>
      <c r="E3" s="151">
        <v>44742.0</v>
      </c>
      <c r="F3" s="151">
        <v>44773.0</v>
      </c>
      <c r="G3" s="151">
        <v>44804.0</v>
      </c>
      <c r="H3" s="151">
        <v>44834.0</v>
      </c>
      <c r="I3" s="151">
        <v>44865.0</v>
      </c>
      <c r="J3" s="151">
        <v>44895.0</v>
      </c>
      <c r="K3" s="151">
        <v>44926.0</v>
      </c>
      <c r="L3" s="151">
        <v>44957.0</v>
      </c>
      <c r="M3" s="151">
        <v>44985.0</v>
      </c>
      <c r="N3" s="151">
        <v>45016.0</v>
      </c>
      <c r="O3" s="151"/>
      <c r="P3" s="151">
        <v>45046.0</v>
      </c>
      <c r="Q3" s="151"/>
      <c r="R3" s="151">
        <v>45077.0</v>
      </c>
      <c r="S3" s="151"/>
      <c r="T3" s="151">
        <v>45107.0</v>
      </c>
      <c r="U3" s="151"/>
      <c r="V3" s="151">
        <v>45138.0</v>
      </c>
      <c r="W3" s="151"/>
      <c r="X3" s="151">
        <v>45169.0</v>
      </c>
      <c r="Y3" s="151"/>
      <c r="Z3" s="151">
        <v>45199.0</v>
      </c>
      <c r="AA3" s="151"/>
      <c r="AB3" s="151">
        <v>45230.0</v>
      </c>
      <c r="AC3" s="151"/>
      <c r="AD3" s="151">
        <v>45260.0</v>
      </c>
      <c r="AE3" s="151"/>
      <c r="AF3" s="151">
        <v>45291.0</v>
      </c>
      <c r="AG3" s="151"/>
      <c r="AH3" s="151">
        <v>45322.0</v>
      </c>
      <c r="AI3" s="151"/>
      <c r="AJ3" s="151">
        <v>45351.0</v>
      </c>
      <c r="AK3" s="151"/>
      <c r="AL3" s="151">
        <v>45382.0</v>
      </c>
      <c r="AM3" s="151"/>
      <c r="AN3" s="151">
        <v>45412.0</v>
      </c>
      <c r="AO3" s="151"/>
      <c r="AP3" s="151">
        <v>45443.0</v>
      </c>
      <c r="AQ3" s="151"/>
      <c r="AR3" s="151">
        <v>45473.0</v>
      </c>
      <c r="AS3" s="151"/>
      <c r="AT3" s="151">
        <v>45504.0</v>
      </c>
      <c r="AU3" s="151"/>
      <c r="AV3" s="151">
        <v>45535.0</v>
      </c>
      <c r="AW3" s="152"/>
      <c r="AX3" s="151">
        <v>45565.0</v>
      </c>
      <c r="AY3" s="151"/>
      <c r="AZ3" s="151">
        <v>45596.0</v>
      </c>
      <c r="BA3" s="151"/>
      <c r="BB3" s="151">
        <f>EOMONTH(AZ3,1)</f>
        <v>45626</v>
      </c>
      <c r="BC3" s="151"/>
      <c r="BD3" s="151">
        <f>EOMONTH(BB3,1)</f>
        <v>45657</v>
      </c>
      <c r="BE3" s="151"/>
      <c r="BF3" s="151">
        <f>EOMONTH(BD3,1)</f>
        <v>45688</v>
      </c>
      <c r="BG3" s="151"/>
      <c r="BH3" s="151">
        <f>EOMONTH(BF3,1)</f>
        <v>45716</v>
      </c>
      <c r="BI3" s="151"/>
      <c r="BJ3" s="151">
        <f>EOMONTH(BH3,1)</f>
        <v>45747</v>
      </c>
      <c r="BK3" s="151"/>
      <c r="BL3" s="151">
        <f>EOMONTH(BJ3,1)</f>
        <v>45777</v>
      </c>
      <c r="BM3" s="151"/>
      <c r="BN3" s="151">
        <f>EOMONTH(BL3,1)</f>
        <v>45808</v>
      </c>
      <c r="BO3" s="151"/>
      <c r="BP3" s="151">
        <f>EOMONTH(BN3,1)</f>
        <v>45838</v>
      </c>
      <c r="BQ3" s="151"/>
      <c r="BR3" s="151">
        <f>EOMONTH(BP3,1)</f>
        <v>45869</v>
      </c>
      <c r="BS3" s="151"/>
      <c r="BT3" s="151">
        <f>EOMONTH(BR3,1)</f>
        <v>45900</v>
      </c>
      <c r="BU3" s="151"/>
      <c r="BV3" s="151">
        <f>EOMONTH(BT3,1)</f>
        <v>45930</v>
      </c>
      <c r="BW3" s="151"/>
      <c r="BX3" s="151">
        <f>EOMONTH(BV3,1)</f>
        <v>45961</v>
      </c>
      <c r="BY3" s="151"/>
      <c r="BZ3" s="151">
        <f>EOMONTH(BX3,1)</f>
        <v>45991</v>
      </c>
      <c r="CA3" s="151"/>
      <c r="CB3" s="151">
        <f>EOMONTH(BZ3,1)</f>
        <v>46022</v>
      </c>
      <c r="CC3" s="151"/>
      <c r="CD3" s="151">
        <f>EOMONTH(CB3,1)</f>
        <v>46053</v>
      </c>
      <c r="CE3" s="93"/>
      <c r="CF3" s="93"/>
    </row>
    <row r="4">
      <c r="A4" s="17"/>
      <c r="B4" s="153" t="s">
        <v>149</v>
      </c>
      <c r="C4" s="154">
        <f t="shared" ref="C4:BP4" si="1">SUM(C5:C20)</f>
        <v>2684134.217</v>
      </c>
      <c r="D4" s="154">
        <f t="shared" si="1"/>
        <v>2628068.706</v>
      </c>
      <c r="E4" s="154">
        <f t="shared" si="1"/>
        <v>2558584.791</v>
      </c>
      <c r="F4" s="154">
        <f t="shared" si="1"/>
        <v>2496054.541</v>
      </c>
      <c r="G4" s="154">
        <f t="shared" si="1"/>
        <v>2376812.5</v>
      </c>
      <c r="H4" s="154">
        <f t="shared" si="1"/>
        <v>2219781.14</v>
      </c>
      <c r="I4" s="154">
        <f t="shared" si="1"/>
        <v>2109122.515</v>
      </c>
      <c r="J4" s="154">
        <f t="shared" si="1"/>
        <v>1921604.616</v>
      </c>
      <c r="K4" s="154">
        <f t="shared" si="1"/>
        <v>1779431.666</v>
      </c>
      <c r="L4" s="154">
        <f t="shared" si="1"/>
        <v>1559370.639</v>
      </c>
      <c r="M4" s="154">
        <f t="shared" si="1"/>
        <v>1362225.309</v>
      </c>
      <c r="N4" s="154">
        <f t="shared" si="1"/>
        <v>1111744.646</v>
      </c>
      <c r="O4" s="154">
        <f t="shared" si="1"/>
        <v>1111744.646</v>
      </c>
      <c r="P4" s="154">
        <f t="shared" si="1"/>
        <v>8088128.405</v>
      </c>
      <c r="Q4" s="154">
        <f t="shared" si="1"/>
        <v>0</v>
      </c>
      <c r="R4" s="154">
        <f t="shared" si="1"/>
        <v>7638193.268</v>
      </c>
      <c r="S4" s="154">
        <f t="shared" si="1"/>
        <v>0</v>
      </c>
      <c r="T4" s="154">
        <f t="shared" si="1"/>
        <v>7171093.318</v>
      </c>
      <c r="U4" s="154">
        <f t="shared" si="1"/>
        <v>0</v>
      </c>
      <c r="V4" s="154">
        <f t="shared" si="1"/>
        <v>6838580.377</v>
      </c>
      <c r="W4" s="154">
        <f t="shared" si="1"/>
        <v>0</v>
      </c>
      <c r="X4" s="154">
        <f t="shared" si="1"/>
        <v>6459018.741</v>
      </c>
      <c r="Y4" s="154">
        <f t="shared" si="1"/>
        <v>0</v>
      </c>
      <c r="Z4" s="154">
        <f t="shared" si="1"/>
        <v>6094986.105</v>
      </c>
      <c r="AA4" s="154">
        <f t="shared" si="1"/>
        <v>0</v>
      </c>
      <c r="AB4" s="154">
        <f t="shared" si="1"/>
        <v>5689575.374</v>
      </c>
      <c r="AC4" s="154">
        <f t="shared" si="1"/>
        <v>0</v>
      </c>
      <c r="AD4" s="154">
        <f t="shared" si="1"/>
        <v>5550513.768</v>
      </c>
      <c r="AE4" s="154">
        <f t="shared" si="1"/>
        <v>0</v>
      </c>
      <c r="AF4" s="154">
        <f t="shared" si="1"/>
        <v>5365984.708</v>
      </c>
      <c r="AG4" s="154">
        <f t="shared" si="1"/>
        <v>0</v>
      </c>
      <c r="AH4" s="154">
        <f t="shared" si="1"/>
        <v>5054500.806</v>
      </c>
      <c r="AI4" s="154">
        <f t="shared" si="1"/>
        <v>0</v>
      </c>
      <c r="AJ4" s="154">
        <f t="shared" si="1"/>
        <v>4669366.772</v>
      </c>
      <c r="AK4" s="154">
        <f t="shared" si="1"/>
        <v>0</v>
      </c>
      <c r="AL4" s="154">
        <f t="shared" si="1"/>
        <v>13448937.53</v>
      </c>
      <c r="AM4" s="154">
        <f t="shared" si="1"/>
        <v>0</v>
      </c>
      <c r="AN4" s="154">
        <f t="shared" si="1"/>
        <v>13209858.75</v>
      </c>
      <c r="AO4" s="154">
        <f t="shared" si="1"/>
        <v>0</v>
      </c>
      <c r="AP4" s="154">
        <f t="shared" si="1"/>
        <v>12695225.15</v>
      </c>
      <c r="AQ4" s="154">
        <f t="shared" si="1"/>
        <v>0</v>
      </c>
      <c r="AR4" s="154">
        <f t="shared" si="1"/>
        <v>13247255.97</v>
      </c>
      <c r="AS4" s="154">
        <f t="shared" si="1"/>
        <v>0</v>
      </c>
      <c r="AT4" s="154">
        <f t="shared" si="1"/>
        <v>13190655.59</v>
      </c>
      <c r="AU4" s="154">
        <f t="shared" si="1"/>
        <v>0</v>
      </c>
      <c r="AV4" s="154">
        <f t="shared" si="1"/>
        <v>12446291.78</v>
      </c>
      <c r="AW4" s="155">
        <f t="shared" si="1"/>
        <v>0</v>
      </c>
      <c r="AX4" s="155">
        <f t="shared" si="1"/>
        <v>12086883.39</v>
      </c>
      <c r="AY4" s="155">
        <f t="shared" si="1"/>
        <v>0</v>
      </c>
      <c r="AZ4" s="155">
        <f t="shared" si="1"/>
        <v>11659986.38</v>
      </c>
      <c r="BA4" s="155">
        <f t="shared" si="1"/>
        <v>0</v>
      </c>
      <c r="BB4" s="155">
        <f t="shared" si="1"/>
        <v>11117887.01</v>
      </c>
      <c r="BC4" s="155">
        <f t="shared" si="1"/>
        <v>0</v>
      </c>
      <c r="BD4" s="155">
        <f t="shared" si="1"/>
        <v>10669512.45</v>
      </c>
      <c r="BE4" s="155">
        <f t="shared" si="1"/>
        <v>0</v>
      </c>
      <c r="BF4" s="155">
        <f t="shared" si="1"/>
        <v>10545552.28</v>
      </c>
      <c r="BG4" s="155">
        <f t="shared" si="1"/>
        <v>0</v>
      </c>
      <c r="BH4" s="155">
        <f t="shared" si="1"/>
        <v>9868272.648</v>
      </c>
      <c r="BI4" s="155">
        <f t="shared" si="1"/>
        <v>0</v>
      </c>
      <c r="BJ4" s="155">
        <f t="shared" si="1"/>
        <v>9525350.949</v>
      </c>
      <c r="BK4" s="155">
        <f t="shared" si="1"/>
        <v>0</v>
      </c>
      <c r="BL4" s="155">
        <f t="shared" si="1"/>
        <v>9414035.618</v>
      </c>
      <c r="BM4" s="155">
        <f t="shared" si="1"/>
        <v>0</v>
      </c>
      <c r="BN4" s="155">
        <f t="shared" si="1"/>
        <v>8669877.288</v>
      </c>
      <c r="BO4" s="155">
        <f t="shared" si="1"/>
        <v>0</v>
      </c>
      <c r="BP4" s="155">
        <f t="shared" si="1"/>
        <v>8102892.337</v>
      </c>
      <c r="BQ4" s="49"/>
      <c r="BR4" s="155">
        <f>SUM(BR5:BR20)</f>
        <v>7830689.431</v>
      </c>
      <c r="BS4" s="49"/>
      <c r="BT4" s="155">
        <f>SUM(BT5:BT20)</f>
        <v>7417386.549</v>
      </c>
      <c r="BU4" s="49"/>
      <c r="BV4" s="155">
        <f>SUM(BV5:BV20)</f>
        <v>7177822.077</v>
      </c>
      <c r="BW4" s="17"/>
      <c r="BX4" s="155">
        <f>SUM(BX5:BX20)</f>
        <v>6890958.637</v>
      </c>
      <c r="BY4" s="156"/>
      <c r="BZ4" s="155">
        <f>SUM(BZ5:BZ20)</f>
        <v>6732263.962</v>
      </c>
      <c r="CA4" s="156"/>
      <c r="CB4" s="155">
        <f>SUM(CB5:CB20)</f>
        <v>6041825.812</v>
      </c>
      <c r="CC4" s="17"/>
      <c r="CD4" s="155">
        <f>SUM(CD5:CD20)</f>
        <v>5837148.009</v>
      </c>
      <c r="CE4" s="17"/>
      <c r="CF4" s="17"/>
    </row>
    <row r="5">
      <c r="A5" s="17"/>
      <c r="B5" s="157" t="s">
        <v>150</v>
      </c>
      <c r="C5" s="158">
        <v>12603.5323170732</v>
      </c>
      <c r="D5" s="158">
        <f t="shared" ref="D5:N5" si="2">C43</f>
        <v>24830.70415</v>
      </c>
      <c r="E5" s="158">
        <f t="shared" si="2"/>
        <v>41639.93841</v>
      </c>
      <c r="F5" s="158">
        <f t="shared" si="2"/>
        <v>66748.52732</v>
      </c>
      <c r="G5" s="158">
        <f t="shared" si="2"/>
        <v>87829.04707</v>
      </c>
      <c r="H5" s="158">
        <f t="shared" si="2"/>
        <v>24208.8572</v>
      </c>
      <c r="I5" s="158">
        <f t="shared" si="2"/>
        <v>80842.37049</v>
      </c>
      <c r="J5" s="158">
        <f t="shared" si="2"/>
        <v>42160.84963</v>
      </c>
      <c r="K5" s="158">
        <f t="shared" si="2"/>
        <v>35515.64317</v>
      </c>
      <c r="L5" s="158">
        <f t="shared" si="2"/>
        <v>46333.18</v>
      </c>
      <c r="M5" s="158">
        <f t="shared" si="2"/>
        <v>37769.07488</v>
      </c>
      <c r="N5" s="158">
        <f t="shared" si="2"/>
        <v>95075.93939</v>
      </c>
      <c r="O5" s="158">
        <f t="shared" ref="O5:P5" si="3">M43</f>
        <v>95075.93939</v>
      </c>
      <c r="P5" s="158">
        <f t="shared" si="3"/>
        <v>186263.4898</v>
      </c>
      <c r="Q5" s="158"/>
      <c r="R5" s="158">
        <f t="shared" ref="R5:R20" si="8">P43</f>
        <v>564039.1467</v>
      </c>
      <c r="S5" s="158"/>
      <c r="T5" s="158">
        <f t="shared" ref="T5:T20" si="9">R43</f>
        <v>946015.0898</v>
      </c>
      <c r="U5" s="158"/>
      <c r="V5" s="158">
        <f t="shared" ref="V5:V20" si="10">T43</f>
        <v>144229.1268</v>
      </c>
      <c r="W5" s="158"/>
      <c r="X5" s="158">
        <f t="shared" ref="X5:X20" si="11">V43</f>
        <v>99679.40988</v>
      </c>
      <c r="Y5" s="158"/>
      <c r="Z5" s="158">
        <f t="shared" ref="Z5:Z20" si="12">X43</f>
        <v>218742.1044</v>
      </c>
      <c r="AA5" s="158"/>
      <c r="AB5" s="158">
        <f t="shared" ref="AB5:AB20" si="13">Z43</f>
        <v>228223.7454</v>
      </c>
      <c r="AC5" s="158"/>
      <c r="AD5" s="158">
        <f t="shared" ref="AD5:AD20" si="14">AB43</f>
        <v>125676.4932</v>
      </c>
      <c r="AE5" s="158"/>
      <c r="AF5" s="158">
        <f t="shared" ref="AF5:AF20" si="15">AD43</f>
        <v>128518.0155</v>
      </c>
      <c r="AG5" s="158"/>
      <c r="AH5" s="158">
        <f t="shared" ref="AH5:AH20" si="16">AF43</f>
        <v>498258.948</v>
      </c>
      <c r="AI5" s="158"/>
      <c r="AJ5" s="158">
        <f t="shared" ref="AJ5:AJ20" si="17">AH43</f>
        <v>360658.0936</v>
      </c>
      <c r="AK5" s="158"/>
      <c r="AL5" s="158">
        <f t="shared" ref="AL5:AL20" si="18">AJ43</f>
        <v>220630.143</v>
      </c>
      <c r="AM5" s="158"/>
      <c r="AN5" s="158">
        <f t="shared" ref="AN5:AN20" si="19">AL43</f>
        <v>111863.9742</v>
      </c>
      <c r="AO5" s="158"/>
      <c r="AP5" s="158">
        <f t="shared" ref="AP5:AR5" si="4">AN43</f>
        <v>52566.35301</v>
      </c>
      <c r="AQ5" s="158" t="str">
        <f t="shared" si="4"/>
        <v/>
      </c>
      <c r="AR5" s="158">
        <f t="shared" si="4"/>
        <v>182823.1917</v>
      </c>
      <c r="AS5" s="158"/>
      <c r="AT5" s="158">
        <f t="shared" ref="AT5:AT20" si="21">AR43</f>
        <v>129360.4169</v>
      </c>
      <c r="AU5" s="158"/>
      <c r="AV5" s="158">
        <f t="shared" ref="AV5:AV20" si="22">AT43</f>
        <v>234677.2676</v>
      </c>
      <c r="AW5" s="158"/>
      <c r="AX5" s="158">
        <f t="shared" ref="AX5:AX20" si="23">AV43</f>
        <v>140877.4089</v>
      </c>
      <c r="AY5" s="158"/>
      <c r="AZ5" s="158">
        <f t="shared" ref="AZ5:AZ20" si="24">AX43</f>
        <v>376891.892</v>
      </c>
      <c r="BA5" s="158"/>
      <c r="BB5" s="158">
        <f t="shared" ref="BB5:BB20" si="25">AZ43</f>
        <v>252447.7027</v>
      </c>
      <c r="BC5" s="158"/>
      <c r="BD5" s="158">
        <f t="shared" ref="BD5:BD20" si="26">BB43</f>
        <v>69344.74494</v>
      </c>
      <c r="BE5" s="158"/>
      <c r="BF5" s="158">
        <f t="shared" ref="BF5:BF20" si="27">BD43</f>
        <v>355217.3939</v>
      </c>
      <c r="BG5" s="158"/>
      <c r="BH5" s="158">
        <f t="shared" ref="BH5:BH20" si="28">BF43</f>
        <v>482539.8956</v>
      </c>
      <c r="BI5" s="158"/>
      <c r="BJ5" s="158">
        <f t="shared" ref="BJ5:BJ20" si="29">BH43</f>
        <v>331175.8821</v>
      </c>
      <c r="BK5" s="158"/>
      <c r="BL5" s="158">
        <f t="shared" ref="BL5:BL20" si="30">BJ43</f>
        <v>295097.1071</v>
      </c>
      <c r="BM5" s="158"/>
      <c r="BN5" s="158">
        <f t="shared" ref="BN5:BP5" si="5">BL43</f>
        <v>751952.4499</v>
      </c>
      <c r="BO5" s="158" t="str">
        <f t="shared" si="5"/>
        <v/>
      </c>
      <c r="BP5" s="158">
        <f t="shared" si="5"/>
        <v>572888.5536</v>
      </c>
      <c r="BQ5" s="49"/>
      <c r="BR5" s="158">
        <f t="shared" ref="BR5:BR20" si="32">BP43</f>
        <v>648164.3527</v>
      </c>
      <c r="BS5" s="49"/>
      <c r="BT5" s="158">
        <f t="shared" ref="BT5:BT20" si="33">BR43</f>
        <v>607020.2682</v>
      </c>
      <c r="BU5" s="49"/>
      <c r="BV5" s="158">
        <f t="shared" ref="BV5:BV20" si="34">BT43</f>
        <v>722581.3294</v>
      </c>
      <c r="BW5" s="17"/>
      <c r="BX5" s="158">
        <f t="shared" ref="BX5:BX20" si="35">BV43</f>
        <v>149705</v>
      </c>
      <c r="BY5" s="159"/>
      <c r="BZ5" s="158">
        <f t="shared" ref="BZ5:BZ20" si="36">BX43</f>
        <v>781522.8122</v>
      </c>
      <c r="CA5" s="159"/>
      <c r="CB5" s="158">
        <f t="shared" ref="CB5:CB20" si="37">BZ43</f>
        <v>564004.0149</v>
      </c>
      <c r="CC5" s="17"/>
      <c r="CD5" s="158">
        <f t="shared" ref="CD5:CD20" si="38">CB43</f>
        <v>1333183.059</v>
      </c>
      <c r="CE5" s="17"/>
      <c r="CF5" s="17"/>
    </row>
    <row r="6">
      <c r="A6" s="17"/>
      <c r="B6" s="157" t="s">
        <v>151</v>
      </c>
      <c r="C6" s="158">
        <v>2671530.68439024</v>
      </c>
      <c r="D6" s="158">
        <f t="shared" ref="D6:N6" si="6">C44</f>
        <v>2603238.001</v>
      </c>
      <c r="E6" s="158">
        <f t="shared" si="6"/>
        <v>2516944.853</v>
      </c>
      <c r="F6" s="158">
        <f t="shared" si="6"/>
        <v>2429306.014</v>
      </c>
      <c r="G6" s="158">
        <f t="shared" si="6"/>
        <v>2274427.965</v>
      </c>
      <c r="H6" s="158">
        <f t="shared" si="6"/>
        <v>2191501.136</v>
      </c>
      <c r="I6" s="158">
        <f t="shared" si="6"/>
        <v>2014671.868</v>
      </c>
      <c r="J6" s="158">
        <f t="shared" si="6"/>
        <v>1868330.404</v>
      </c>
      <c r="K6" s="158">
        <f t="shared" si="6"/>
        <v>1721988.941</v>
      </c>
      <c r="L6" s="158">
        <f t="shared" si="6"/>
        <v>1502476.746</v>
      </c>
      <c r="M6" s="158">
        <f t="shared" si="6"/>
        <v>1287842.599</v>
      </c>
      <c r="N6" s="158">
        <f t="shared" si="6"/>
        <v>976866.9895</v>
      </c>
      <c r="O6" s="158">
        <f t="shared" ref="O6:P6" si="7">M44</f>
        <v>976866.9895</v>
      </c>
      <c r="P6" s="158">
        <f t="shared" si="7"/>
        <v>7834914.165</v>
      </c>
      <c r="Q6" s="158"/>
      <c r="R6" s="158">
        <f t="shared" si="8"/>
        <v>1335311.344</v>
      </c>
      <c r="S6" s="158"/>
      <c r="T6" s="158">
        <f t="shared" si="9"/>
        <v>591864.734</v>
      </c>
      <c r="U6" s="158"/>
      <c r="V6" s="158">
        <f t="shared" si="10"/>
        <v>36986.68524</v>
      </c>
      <c r="W6" s="158"/>
      <c r="X6" s="158">
        <f t="shared" si="11"/>
        <v>724405.4944</v>
      </c>
      <c r="Y6" s="158"/>
      <c r="Z6" s="158">
        <f t="shared" si="12"/>
        <v>173903.6093</v>
      </c>
      <c r="AA6" s="158"/>
      <c r="AB6" s="158">
        <f t="shared" si="13"/>
        <v>137672.9804</v>
      </c>
      <c r="AC6" s="158"/>
      <c r="AD6" s="158">
        <f t="shared" si="14"/>
        <v>213536.6877</v>
      </c>
      <c r="AE6" s="158"/>
      <c r="AF6" s="158">
        <f t="shared" si="15"/>
        <v>239177.0715</v>
      </c>
      <c r="AG6" s="158"/>
      <c r="AH6" s="158">
        <f t="shared" si="16"/>
        <v>203693.7977</v>
      </c>
      <c r="AI6" s="158"/>
      <c r="AJ6" s="158">
        <f t="shared" si="17"/>
        <v>128950.4989</v>
      </c>
      <c r="AK6" s="158"/>
      <c r="AL6" s="158">
        <f t="shared" si="18"/>
        <v>82666.06422</v>
      </c>
      <c r="AM6" s="158"/>
      <c r="AN6" s="158">
        <f t="shared" si="19"/>
        <v>82666.06422</v>
      </c>
      <c r="AO6" s="158"/>
      <c r="AP6" s="158">
        <f t="shared" ref="AP6:AR6" si="20">AN44</f>
        <v>203147.9919</v>
      </c>
      <c r="AQ6" s="158" t="str">
        <f t="shared" si="20"/>
        <v/>
      </c>
      <c r="AR6" s="158">
        <f t="shared" si="20"/>
        <v>1083321.109</v>
      </c>
      <c r="AS6" s="158"/>
      <c r="AT6" s="158">
        <f t="shared" si="21"/>
        <v>1100557.952</v>
      </c>
      <c r="AU6" s="158"/>
      <c r="AV6" s="158">
        <f t="shared" si="22"/>
        <v>136702.5304</v>
      </c>
      <c r="AW6" s="158"/>
      <c r="AX6" s="158">
        <f t="shared" si="23"/>
        <v>178129.1755</v>
      </c>
      <c r="AY6" s="158"/>
      <c r="AZ6" s="158">
        <f t="shared" si="24"/>
        <v>141771.3442</v>
      </c>
      <c r="BA6" s="158"/>
      <c r="BB6" s="158">
        <f t="shared" si="25"/>
        <v>139874.2627</v>
      </c>
      <c r="BC6" s="158"/>
      <c r="BD6" s="158">
        <f t="shared" si="26"/>
        <v>730235.7084</v>
      </c>
      <c r="BE6" s="158"/>
      <c r="BF6" s="158">
        <f t="shared" si="27"/>
        <v>368789.9253</v>
      </c>
      <c r="BG6" s="158"/>
      <c r="BH6" s="158">
        <f t="shared" si="28"/>
        <v>242465.4565</v>
      </c>
      <c r="BI6" s="158"/>
      <c r="BJ6" s="158">
        <f t="shared" si="29"/>
        <v>359696.0447</v>
      </c>
      <c r="BK6" s="158"/>
      <c r="BL6" s="158">
        <f t="shared" si="30"/>
        <v>594781.9271</v>
      </c>
      <c r="BM6" s="158"/>
      <c r="BN6" s="158">
        <f t="shared" ref="BN6:BP6" si="31">BL44</f>
        <v>6546.632941</v>
      </c>
      <c r="BO6" s="158" t="str">
        <f t="shared" si="31"/>
        <v/>
      </c>
      <c r="BP6" s="158">
        <f t="shared" si="31"/>
        <v>124193.6918</v>
      </c>
      <c r="BQ6" s="49"/>
      <c r="BR6" s="158">
        <f t="shared" si="32"/>
        <v>6546.632941</v>
      </c>
      <c r="BS6" s="49"/>
      <c r="BT6" s="158">
        <f t="shared" si="33"/>
        <v>6539.691765</v>
      </c>
      <c r="BU6" s="49"/>
      <c r="BV6" s="158">
        <f t="shared" si="34"/>
        <v>6539.691765</v>
      </c>
      <c r="BW6" s="17"/>
      <c r="BX6" s="158">
        <f t="shared" si="35"/>
        <v>594774.9859</v>
      </c>
      <c r="BY6" s="159"/>
      <c r="BZ6" s="158">
        <f t="shared" si="36"/>
        <v>241833.8094</v>
      </c>
      <c r="CA6" s="159"/>
      <c r="CB6" s="158">
        <f t="shared" si="37"/>
        <v>6532.750588</v>
      </c>
      <c r="CC6" s="17"/>
      <c r="CD6" s="158">
        <f t="shared" si="38"/>
        <v>6232.514607</v>
      </c>
      <c r="CE6" s="17"/>
      <c r="CF6" s="17"/>
    </row>
    <row r="7">
      <c r="A7" s="17"/>
      <c r="B7" s="157" t="s">
        <v>152</v>
      </c>
      <c r="C7" s="158"/>
      <c r="D7" s="158" t="str">
        <f t="shared" ref="D7:N7" si="39">C45</f>
        <v/>
      </c>
      <c r="E7" s="158" t="str">
        <f t="shared" si="39"/>
        <v/>
      </c>
      <c r="F7" s="158" t="str">
        <f t="shared" si="39"/>
        <v/>
      </c>
      <c r="G7" s="158" t="str">
        <f t="shared" si="39"/>
        <v/>
      </c>
      <c r="H7" s="158" t="str">
        <f t="shared" si="39"/>
        <v/>
      </c>
      <c r="I7" s="158" t="str">
        <f t="shared" si="39"/>
        <v/>
      </c>
      <c r="J7" s="158" t="str">
        <f t="shared" si="39"/>
        <v/>
      </c>
      <c r="K7" s="158" t="str">
        <f t="shared" si="39"/>
        <v/>
      </c>
      <c r="L7" s="158" t="str">
        <f t="shared" si="39"/>
        <v/>
      </c>
      <c r="M7" s="158" t="str">
        <f t="shared" si="39"/>
        <v/>
      </c>
      <c r="N7" s="158" t="str">
        <f t="shared" si="39"/>
        <v/>
      </c>
      <c r="O7" s="158" t="str">
        <f t="shared" ref="O7:P7" si="40">M45</f>
        <v/>
      </c>
      <c r="P7" s="158" t="str">
        <f t="shared" si="40"/>
        <v/>
      </c>
      <c r="Q7" s="158"/>
      <c r="R7" s="158" t="str">
        <f t="shared" si="8"/>
        <v/>
      </c>
      <c r="S7" s="158"/>
      <c r="T7" s="158" t="str">
        <f t="shared" si="9"/>
        <v/>
      </c>
      <c r="U7" s="158"/>
      <c r="V7" s="158" t="str">
        <f t="shared" si="10"/>
        <v/>
      </c>
      <c r="W7" s="158"/>
      <c r="X7" s="158" t="str">
        <f t="shared" si="11"/>
        <v/>
      </c>
      <c r="Y7" s="158"/>
      <c r="Z7" s="158" t="str">
        <f t="shared" si="12"/>
        <v/>
      </c>
      <c r="AA7" s="158"/>
      <c r="AB7" s="158" t="str">
        <f t="shared" si="13"/>
        <v/>
      </c>
      <c r="AC7" s="158"/>
      <c r="AD7" s="158" t="str">
        <f t="shared" si="14"/>
        <v/>
      </c>
      <c r="AE7" s="158"/>
      <c r="AF7" s="158" t="str">
        <f t="shared" si="15"/>
        <v/>
      </c>
      <c r="AG7" s="158"/>
      <c r="AH7" s="158" t="str">
        <f t="shared" si="16"/>
        <v/>
      </c>
      <c r="AI7" s="158"/>
      <c r="AJ7" s="158" t="str">
        <f t="shared" si="17"/>
        <v/>
      </c>
      <c r="AK7" s="158"/>
      <c r="AL7" s="158" t="str">
        <f t="shared" si="18"/>
        <v/>
      </c>
      <c r="AM7" s="158"/>
      <c r="AN7" s="158" t="str">
        <f t="shared" si="19"/>
        <v/>
      </c>
      <c r="AO7" s="158"/>
      <c r="AP7" s="158" t="str">
        <f t="shared" ref="AP7:AR7" si="41">AN45</f>
        <v/>
      </c>
      <c r="AQ7" s="158" t="str">
        <f t="shared" si="41"/>
        <v/>
      </c>
      <c r="AR7" s="158" t="str">
        <f t="shared" si="41"/>
        <v/>
      </c>
      <c r="AS7" s="158"/>
      <c r="AT7" s="158" t="str">
        <f t="shared" si="21"/>
        <v/>
      </c>
      <c r="AU7" s="158"/>
      <c r="AV7" s="158" t="str">
        <f t="shared" si="22"/>
        <v/>
      </c>
      <c r="AW7" s="158"/>
      <c r="AX7" s="158" t="str">
        <f t="shared" si="23"/>
        <v/>
      </c>
      <c r="AY7" s="158"/>
      <c r="AZ7" s="158" t="str">
        <f t="shared" si="24"/>
        <v/>
      </c>
      <c r="BA7" s="158"/>
      <c r="BB7" s="158" t="str">
        <f t="shared" si="25"/>
        <v/>
      </c>
      <c r="BC7" s="158"/>
      <c r="BD7" s="158">
        <f t="shared" si="26"/>
        <v>1204.819277</v>
      </c>
      <c r="BE7" s="158"/>
      <c r="BF7" s="158">
        <f t="shared" si="27"/>
        <v>1204.819277</v>
      </c>
      <c r="BG7" s="158"/>
      <c r="BH7" s="158">
        <f t="shared" si="28"/>
        <v>1176.470588</v>
      </c>
      <c r="BI7" s="158"/>
      <c r="BJ7" s="158">
        <f t="shared" si="29"/>
        <v>1176.470588</v>
      </c>
      <c r="BK7" s="158"/>
      <c r="BL7" s="158">
        <f t="shared" si="30"/>
        <v>1176.470588</v>
      </c>
      <c r="BM7" s="158"/>
      <c r="BN7" s="158">
        <f t="shared" ref="BN7:BP7" si="42">BL45</f>
        <v>1162.629758</v>
      </c>
      <c r="BO7" s="158" t="str">
        <f t="shared" si="42"/>
        <v/>
      </c>
      <c r="BP7" s="158">
        <f t="shared" si="42"/>
        <v>1162.629758</v>
      </c>
      <c r="BQ7" s="49"/>
      <c r="BR7" s="158">
        <f t="shared" si="32"/>
        <v>1162.629758</v>
      </c>
      <c r="BS7" s="49"/>
      <c r="BT7" s="158">
        <f t="shared" si="33"/>
        <v>1162.629758</v>
      </c>
      <c r="BU7" s="49"/>
      <c r="BV7" s="158">
        <f t="shared" si="34"/>
        <v>1162.629758</v>
      </c>
      <c r="BW7" s="17"/>
      <c r="BX7" s="158">
        <f t="shared" si="35"/>
        <v>1162.629758</v>
      </c>
      <c r="BY7" s="159"/>
      <c r="BZ7" s="158">
        <f t="shared" si="36"/>
        <v>1162.629758</v>
      </c>
      <c r="CA7" s="159"/>
      <c r="CB7" s="158">
        <f t="shared" si="37"/>
        <v>1162.629758</v>
      </c>
      <c r="CC7" s="17"/>
      <c r="CD7" s="158">
        <f t="shared" si="38"/>
        <v>1110.376735</v>
      </c>
      <c r="CE7" s="17"/>
      <c r="CF7" s="17"/>
    </row>
    <row r="8">
      <c r="A8" s="17"/>
      <c r="B8" s="157" t="s">
        <v>153</v>
      </c>
      <c r="C8" s="158"/>
      <c r="D8" s="158" t="str">
        <f t="shared" ref="D8:N8" si="43">C46</f>
        <v/>
      </c>
      <c r="E8" s="158" t="str">
        <f t="shared" si="43"/>
        <v/>
      </c>
      <c r="F8" s="158" t="str">
        <f t="shared" si="43"/>
        <v/>
      </c>
      <c r="G8" s="158" t="str">
        <f t="shared" si="43"/>
        <v/>
      </c>
      <c r="H8" s="158" t="str">
        <f t="shared" si="43"/>
        <v/>
      </c>
      <c r="I8" s="158" t="str">
        <f t="shared" si="43"/>
        <v/>
      </c>
      <c r="J8" s="158" t="str">
        <f t="shared" si="43"/>
        <v/>
      </c>
      <c r="K8" s="158" t="str">
        <f t="shared" si="43"/>
        <v/>
      </c>
      <c r="L8" s="158" t="str">
        <f t="shared" si="43"/>
        <v/>
      </c>
      <c r="M8" s="158">
        <f t="shared" si="43"/>
        <v>6598.48</v>
      </c>
      <c r="N8" s="158">
        <f t="shared" si="43"/>
        <v>1604.11</v>
      </c>
      <c r="O8" s="158">
        <f t="shared" ref="O8:P8" si="44">M46</f>
        <v>1604.11</v>
      </c>
      <c r="P8" s="158">
        <f t="shared" si="44"/>
        <v>9581.414634</v>
      </c>
      <c r="Q8" s="158"/>
      <c r="R8" s="158">
        <f t="shared" si="8"/>
        <v>5286.402561</v>
      </c>
      <c r="S8" s="158"/>
      <c r="T8" s="158">
        <f t="shared" si="9"/>
        <v>19.74402439</v>
      </c>
      <c r="U8" s="158"/>
      <c r="V8" s="158">
        <f t="shared" si="10"/>
        <v>8372.426951</v>
      </c>
      <c r="W8" s="158"/>
      <c r="X8" s="158">
        <f t="shared" si="11"/>
        <v>1085.378171</v>
      </c>
      <c r="Y8" s="158"/>
      <c r="Z8" s="158">
        <f t="shared" si="12"/>
        <v>10764.62207</v>
      </c>
      <c r="AA8" s="158"/>
      <c r="AB8" s="158">
        <f t="shared" si="13"/>
        <v>6147.109878</v>
      </c>
      <c r="AC8" s="158"/>
      <c r="AD8" s="158">
        <f t="shared" si="14"/>
        <v>12604.17085</v>
      </c>
      <c r="AE8" s="158"/>
      <c r="AF8" s="158">
        <f t="shared" si="15"/>
        <v>2401.109878</v>
      </c>
      <c r="AG8" s="158"/>
      <c r="AH8" s="158">
        <f t="shared" si="16"/>
        <v>8500.536707</v>
      </c>
      <c r="AI8" s="158"/>
      <c r="AJ8" s="158">
        <f t="shared" si="17"/>
        <v>13024.47</v>
      </c>
      <c r="AK8" s="158"/>
      <c r="AL8" s="158">
        <f t="shared" si="18"/>
        <v>2180.855542</v>
      </c>
      <c r="AM8" s="158"/>
      <c r="AN8" s="158">
        <f t="shared" si="19"/>
        <v>-2204.602289</v>
      </c>
      <c r="AO8" s="158"/>
      <c r="AP8" s="158">
        <f t="shared" ref="AP8:AR8" si="45">AN46</f>
        <v>23594.39771</v>
      </c>
      <c r="AQ8" s="158" t="str">
        <f t="shared" si="45"/>
        <v/>
      </c>
      <c r="AR8" s="158">
        <f t="shared" si="45"/>
        <v>9600.433855</v>
      </c>
      <c r="AS8" s="158"/>
      <c r="AT8" s="158">
        <f t="shared" si="21"/>
        <v>22859.43386</v>
      </c>
      <c r="AU8" s="158"/>
      <c r="AV8" s="158">
        <f t="shared" si="22"/>
        <v>11692.26506</v>
      </c>
      <c r="AW8" s="158"/>
      <c r="AX8" s="158">
        <f t="shared" si="23"/>
        <v>3310.879639</v>
      </c>
      <c r="AY8" s="158"/>
      <c r="AZ8" s="158">
        <f t="shared" si="24"/>
        <v>13993.48205</v>
      </c>
      <c r="BA8" s="158"/>
      <c r="BB8" s="158">
        <f t="shared" si="25"/>
        <v>2365.192892</v>
      </c>
      <c r="BC8" s="158"/>
      <c r="BD8" s="158">
        <f t="shared" si="26"/>
        <v>13396.61458</v>
      </c>
      <c r="BE8" s="158"/>
      <c r="BF8" s="158">
        <f t="shared" si="27"/>
        <v>10624.31337</v>
      </c>
      <c r="BG8" s="158"/>
      <c r="BH8" s="158">
        <f t="shared" si="28"/>
        <v>16791.906</v>
      </c>
      <c r="BI8" s="158"/>
      <c r="BJ8" s="158">
        <f t="shared" si="29"/>
        <v>17409.586</v>
      </c>
      <c r="BK8" s="158"/>
      <c r="BL8" s="158">
        <f t="shared" si="30"/>
        <v>28135.89424</v>
      </c>
      <c r="BM8" s="158"/>
      <c r="BN8" s="158">
        <f t="shared" ref="BN8:BP8" si="46">BL46</f>
        <v>17141.58835</v>
      </c>
      <c r="BO8" s="158" t="str">
        <f t="shared" si="46"/>
        <v/>
      </c>
      <c r="BP8" s="158">
        <f t="shared" si="46"/>
        <v>3125.13</v>
      </c>
      <c r="BQ8" s="49"/>
      <c r="BR8" s="158">
        <f t="shared" si="32"/>
        <v>21613.95518</v>
      </c>
      <c r="BS8" s="49"/>
      <c r="BT8" s="158">
        <f t="shared" si="33"/>
        <v>14871.79282</v>
      </c>
      <c r="BU8" s="49"/>
      <c r="BV8" s="158">
        <f t="shared" si="34"/>
        <v>12317.36776</v>
      </c>
      <c r="BW8" s="17"/>
      <c r="BX8" s="158">
        <f t="shared" si="35"/>
        <v>22112.98282</v>
      </c>
      <c r="BY8" s="159"/>
      <c r="BZ8" s="158">
        <f t="shared" si="36"/>
        <v>5774.872353</v>
      </c>
      <c r="CA8" s="159"/>
      <c r="CB8" s="158">
        <f t="shared" si="37"/>
        <v>26244.78459</v>
      </c>
      <c r="CC8" s="17"/>
      <c r="CD8" s="158">
        <f t="shared" si="38"/>
        <v>3283.838202</v>
      </c>
      <c r="CE8" s="17"/>
      <c r="CF8" s="17"/>
    </row>
    <row r="9">
      <c r="A9" s="17"/>
      <c r="B9" s="157" t="s">
        <v>154</v>
      </c>
      <c r="C9" s="158"/>
      <c r="D9" s="158" t="str">
        <f t="shared" ref="D9:N9" si="47">C47</f>
        <v/>
      </c>
      <c r="E9" s="158" t="str">
        <f t="shared" si="47"/>
        <v/>
      </c>
      <c r="F9" s="158" t="str">
        <f t="shared" si="47"/>
        <v/>
      </c>
      <c r="G9" s="158" t="str">
        <f t="shared" si="47"/>
        <v/>
      </c>
      <c r="H9" s="158">
        <f t="shared" si="47"/>
        <v>3589.439146</v>
      </c>
      <c r="I9" s="158">
        <f t="shared" si="47"/>
        <v>11548.3989</v>
      </c>
      <c r="J9" s="158">
        <f t="shared" si="47"/>
        <v>9774.700366</v>
      </c>
      <c r="K9" s="158">
        <f t="shared" si="47"/>
        <v>9356.517805</v>
      </c>
      <c r="L9" s="158">
        <f t="shared" si="47"/>
        <v>8335.816585</v>
      </c>
      <c r="M9" s="158">
        <f t="shared" si="47"/>
        <v>27459.65122</v>
      </c>
      <c r="N9" s="158">
        <f t="shared" si="47"/>
        <v>15752.58207</v>
      </c>
      <c r="O9" s="158">
        <f t="shared" ref="O9:P9" si="48">M47</f>
        <v>15752.58207</v>
      </c>
      <c r="P9" s="158">
        <f t="shared" si="48"/>
        <v>29342.62634</v>
      </c>
      <c r="Q9" s="158"/>
      <c r="R9" s="158">
        <f t="shared" si="8"/>
        <v>29342.63</v>
      </c>
      <c r="S9" s="158"/>
      <c r="T9" s="158">
        <f t="shared" si="9"/>
        <v>29342.626</v>
      </c>
      <c r="U9" s="158"/>
      <c r="V9" s="158">
        <f t="shared" si="10"/>
        <v>0</v>
      </c>
      <c r="W9" s="158"/>
      <c r="X9" s="158">
        <f t="shared" si="11"/>
        <v>0</v>
      </c>
      <c r="Y9" s="158"/>
      <c r="Z9" s="158">
        <f t="shared" si="12"/>
        <v>0</v>
      </c>
      <c r="AA9" s="158"/>
      <c r="AB9" s="158">
        <f t="shared" si="13"/>
        <v>0</v>
      </c>
      <c r="AC9" s="158"/>
      <c r="AD9" s="158">
        <f t="shared" si="14"/>
        <v>0</v>
      </c>
      <c r="AE9" s="158"/>
      <c r="AF9" s="158" t="str">
        <f t="shared" si="15"/>
        <v/>
      </c>
      <c r="AG9" s="158"/>
      <c r="AH9" s="158" t="str">
        <f t="shared" si="16"/>
        <v/>
      </c>
      <c r="AI9" s="158"/>
      <c r="AJ9" s="158">
        <f t="shared" si="17"/>
        <v>0</v>
      </c>
      <c r="AK9" s="158"/>
      <c r="AL9" s="158">
        <f t="shared" si="18"/>
        <v>0</v>
      </c>
      <c r="AM9" s="158"/>
      <c r="AN9" s="158">
        <f t="shared" si="19"/>
        <v>0</v>
      </c>
      <c r="AO9" s="158"/>
      <c r="AP9" s="158">
        <f t="shared" ref="AP9:AR9" si="49">AN47</f>
        <v>36010.80036</v>
      </c>
      <c r="AQ9" s="158" t="str">
        <f t="shared" si="49"/>
        <v/>
      </c>
      <c r="AR9" s="158">
        <f t="shared" si="49"/>
        <v>35180.32096</v>
      </c>
      <c r="AS9" s="158"/>
      <c r="AT9" s="158">
        <f t="shared" si="21"/>
        <v>34269.17398</v>
      </c>
      <c r="AU9" s="158"/>
      <c r="AV9" s="158">
        <f t="shared" si="22"/>
        <v>33257.29663</v>
      </c>
      <c r="AW9" s="158"/>
      <c r="AX9" s="158">
        <f t="shared" si="23"/>
        <v>32926.32</v>
      </c>
      <c r="AY9" s="158"/>
      <c r="AZ9" s="158">
        <f t="shared" si="24"/>
        <v>32420.1</v>
      </c>
      <c r="BA9" s="158"/>
      <c r="BB9" s="158">
        <f t="shared" si="25"/>
        <v>32279.29759</v>
      </c>
      <c r="BC9" s="158"/>
      <c r="BD9" s="158">
        <f t="shared" si="26"/>
        <v>32219.05663</v>
      </c>
      <c r="BE9" s="158"/>
      <c r="BF9" s="158">
        <f t="shared" si="27"/>
        <v>31795.71446</v>
      </c>
      <c r="BG9" s="158"/>
      <c r="BH9" s="158">
        <f t="shared" si="28"/>
        <v>30478.58824</v>
      </c>
      <c r="BI9" s="158"/>
      <c r="BJ9" s="158">
        <f t="shared" si="29"/>
        <v>29516.20259</v>
      </c>
      <c r="BK9" s="158"/>
      <c r="BL9" s="158">
        <f t="shared" si="30"/>
        <v>28954.42282</v>
      </c>
      <c r="BM9" s="158"/>
      <c r="BN9" s="158">
        <f t="shared" ref="BN9:BP9" si="50">BL47</f>
        <v>28413.65871</v>
      </c>
      <c r="BO9" s="158" t="str">
        <f t="shared" si="50"/>
        <v/>
      </c>
      <c r="BP9" s="158">
        <f t="shared" si="50"/>
        <v>27123.30788</v>
      </c>
      <c r="BQ9" s="49"/>
      <c r="BR9" s="158">
        <f t="shared" si="32"/>
        <v>26944.47259</v>
      </c>
      <c r="BS9" s="49"/>
      <c r="BT9" s="158">
        <f t="shared" si="33"/>
        <v>24919.27965</v>
      </c>
      <c r="BU9" s="49"/>
      <c r="BV9" s="158">
        <f t="shared" si="34"/>
        <v>24444.71941</v>
      </c>
      <c r="BW9" s="17"/>
      <c r="BX9" s="158">
        <f t="shared" si="35"/>
        <v>23947.66047</v>
      </c>
      <c r="BY9" s="159"/>
      <c r="BZ9" s="158">
        <f t="shared" si="36"/>
        <v>23247.21259</v>
      </c>
      <c r="CA9" s="159"/>
      <c r="CB9" s="158">
        <f t="shared" si="37"/>
        <v>21919.02212</v>
      </c>
      <c r="CC9" s="17"/>
      <c r="CD9" s="158">
        <f t="shared" si="38"/>
        <v>20350.61966</v>
      </c>
      <c r="CE9" s="17"/>
      <c r="CF9" s="17"/>
    </row>
    <row r="10">
      <c r="A10" s="17"/>
      <c r="B10" s="157" t="s">
        <v>155</v>
      </c>
      <c r="C10" s="158"/>
      <c r="D10" s="158" t="str">
        <f t="shared" ref="D10:N10" si="51">C48</f>
        <v/>
      </c>
      <c r="E10" s="158" t="str">
        <f t="shared" si="51"/>
        <v/>
      </c>
      <c r="F10" s="158" t="str">
        <f t="shared" si="51"/>
        <v/>
      </c>
      <c r="G10" s="158">
        <f t="shared" si="51"/>
        <v>14555.4878</v>
      </c>
      <c r="H10" s="158">
        <f t="shared" si="51"/>
        <v>481.7073171</v>
      </c>
      <c r="I10" s="158">
        <f t="shared" si="51"/>
        <v>2059.878171</v>
      </c>
      <c r="J10" s="158">
        <f t="shared" si="51"/>
        <v>1338.661707</v>
      </c>
      <c r="K10" s="158">
        <f t="shared" si="51"/>
        <v>12570.56415</v>
      </c>
      <c r="L10" s="158">
        <f t="shared" si="51"/>
        <v>2224.896707</v>
      </c>
      <c r="M10" s="158">
        <f t="shared" si="51"/>
        <v>2555.50378</v>
      </c>
      <c r="N10" s="158">
        <f t="shared" si="51"/>
        <v>22445.02463</v>
      </c>
      <c r="O10" s="158">
        <f t="shared" ref="O10:P10" si="52">M48</f>
        <v>22445.02463</v>
      </c>
      <c r="P10" s="158">
        <f t="shared" si="52"/>
        <v>23526.71012</v>
      </c>
      <c r="Q10" s="158"/>
      <c r="R10" s="158">
        <f t="shared" si="8"/>
        <v>13639.52427</v>
      </c>
      <c r="S10" s="158"/>
      <c r="T10" s="158">
        <f t="shared" si="9"/>
        <v>33169.75293</v>
      </c>
      <c r="U10" s="158"/>
      <c r="V10" s="158">
        <f t="shared" si="10"/>
        <v>19357.52732</v>
      </c>
      <c r="W10" s="158"/>
      <c r="X10" s="158">
        <f t="shared" si="11"/>
        <v>57740.28561</v>
      </c>
      <c r="Y10" s="158"/>
      <c r="Z10" s="158">
        <f t="shared" si="12"/>
        <v>79423.24646</v>
      </c>
      <c r="AA10" s="158"/>
      <c r="AB10" s="158">
        <f t="shared" si="13"/>
        <v>70264.17451</v>
      </c>
      <c r="AC10" s="158"/>
      <c r="AD10" s="158">
        <f t="shared" si="14"/>
        <v>16743.55012</v>
      </c>
      <c r="AE10" s="158"/>
      <c r="AF10" s="158">
        <f t="shared" si="15"/>
        <v>38704.07037</v>
      </c>
      <c r="AG10" s="158"/>
      <c r="AH10" s="158">
        <f t="shared" si="16"/>
        <v>30981.04866</v>
      </c>
      <c r="AI10" s="158"/>
      <c r="AJ10" s="158">
        <f t="shared" si="17"/>
        <v>39487.73651</v>
      </c>
      <c r="AK10" s="158"/>
      <c r="AL10" s="158">
        <f t="shared" si="18"/>
        <v>14169.46699</v>
      </c>
      <c r="AM10" s="158"/>
      <c r="AN10" s="158">
        <f t="shared" si="19"/>
        <v>19706.67687</v>
      </c>
      <c r="AO10" s="158"/>
      <c r="AP10" s="158">
        <f t="shared" ref="AP10:AR10" si="53">AN48</f>
        <v>47696.20627</v>
      </c>
      <c r="AQ10" s="158" t="str">
        <f t="shared" si="53"/>
        <v/>
      </c>
      <c r="AR10" s="158">
        <f t="shared" si="53"/>
        <v>14295.96518</v>
      </c>
      <c r="AS10" s="158"/>
      <c r="AT10" s="158">
        <f t="shared" si="21"/>
        <v>1928.92253</v>
      </c>
      <c r="AU10" s="158"/>
      <c r="AV10" s="158">
        <f t="shared" si="22"/>
        <v>12559.3612</v>
      </c>
      <c r="AW10" s="158"/>
      <c r="AX10" s="158">
        <f t="shared" si="23"/>
        <v>11688.87542</v>
      </c>
      <c r="AY10" s="158"/>
      <c r="AZ10" s="158">
        <f t="shared" si="24"/>
        <v>3011.667229</v>
      </c>
      <c r="BA10" s="158"/>
      <c r="BB10" s="158">
        <f t="shared" si="25"/>
        <v>10283.47217</v>
      </c>
      <c r="BC10" s="158"/>
      <c r="BD10" s="158">
        <f t="shared" si="26"/>
        <v>120207.6937</v>
      </c>
      <c r="BE10" s="158"/>
      <c r="BF10" s="158">
        <f t="shared" si="27"/>
        <v>106435.1072</v>
      </c>
      <c r="BG10" s="158"/>
      <c r="BH10" s="158">
        <f t="shared" si="28"/>
        <v>152820.8053</v>
      </c>
      <c r="BI10" s="158"/>
      <c r="BJ10" s="158">
        <f t="shared" si="29"/>
        <v>15421.642</v>
      </c>
      <c r="BK10" s="158"/>
      <c r="BL10" s="158">
        <f t="shared" si="30"/>
        <v>13120.31482</v>
      </c>
      <c r="BM10" s="158"/>
      <c r="BN10" s="158">
        <f t="shared" ref="BN10:BP10" si="54">BL48</f>
        <v>11375.67247</v>
      </c>
      <c r="BO10" s="158" t="str">
        <f t="shared" si="54"/>
        <v/>
      </c>
      <c r="BP10" s="158">
        <f t="shared" si="54"/>
        <v>80106.39871</v>
      </c>
      <c r="BQ10" s="49"/>
      <c r="BR10" s="158">
        <f t="shared" si="32"/>
        <v>22943.64718</v>
      </c>
      <c r="BS10" s="49"/>
      <c r="BT10" s="158">
        <f t="shared" si="33"/>
        <v>28261.95988</v>
      </c>
      <c r="BU10" s="49"/>
      <c r="BV10" s="158">
        <f t="shared" si="34"/>
        <v>22661.354</v>
      </c>
      <c r="BW10" s="17"/>
      <c r="BX10" s="158">
        <f t="shared" si="35"/>
        <v>5560.453176</v>
      </c>
      <c r="BY10" s="159"/>
      <c r="BZ10" s="158">
        <f t="shared" si="36"/>
        <v>33483.64024</v>
      </c>
      <c r="CA10" s="159"/>
      <c r="CB10" s="158">
        <f t="shared" si="37"/>
        <v>13946.59812</v>
      </c>
      <c r="CC10" s="17"/>
      <c r="CD10" s="158">
        <f t="shared" si="38"/>
        <v>46825.52921</v>
      </c>
      <c r="CE10" s="17"/>
      <c r="CF10" s="17"/>
    </row>
    <row r="11">
      <c r="A11" s="17"/>
      <c r="B11" s="157" t="s">
        <v>156</v>
      </c>
      <c r="C11" s="158"/>
      <c r="D11" s="158" t="str">
        <f t="shared" ref="D11:N11" si="55">C49</f>
        <v/>
      </c>
      <c r="E11" s="158" t="str">
        <f t="shared" si="55"/>
        <v/>
      </c>
      <c r="F11" s="158" t="str">
        <f t="shared" si="55"/>
        <v/>
      </c>
      <c r="G11" s="158" t="str">
        <f t="shared" si="55"/>
        <v/>
      </c>
      <c r="H11" s="158" t="str">
        <f t="shared" si="55"/>
        <v/>
      </c>
      <c r="I11" s="158" t="str">
        <f t="shared" si="55"/>
        <v/>
      </c>
      <c r="J11" s="158" t="str">
        <f t="shared" si="55"/>
        <v/>
      </c>
      <c r="K11" s="158" t="str">
        <f t="shared" si="55"/>
        <v/>
      </c>
      <c r="L11" s="158" t="str">
        <f t="shared" si="55"/>
        <v/>
      </c>
      <c r="M11" s="158" t="str">
        <f t="shared" si="55"/>
        <v/>
      </c>
      <c r="N11" s="158" t="str">
        <f t="shared" si="55"/>
        <v/>
      </c>
      <c r="O11" s="158" t="str">
        <f t="shared" ref="O11:P11" si="56">M49</f>
        <v/>
      </c>
      <c r="P11" s="158" t="str">
        <f t="shared" si="56"/>
        <v/>
      </c>
      <c r="Q11" s="158"/>
      <c r="R11" s="158" t="str">
        <f t="shared" si="8"/>
        <v/>
      </c>
      <c r="S11" s="158"/>
      <c r="T11" s="158" t="str">
        <f t="shared" si="9"/>
        <v/>
      </c>
      <c r="U11" s="158"/>
      <c r="V11" s="158" t="str">
        <f t="shared" si="10"/>
        <v/>
      </c>
      <c r="W11" s="158"/>
      <c r="X11" s="158" t="str">
        <f t="shared" si="11"/>
        <v/>
      </c>
      <c r="Y11" s="158"/>
      <c r="Z11" s="158" t="str">
        <f t="shared" si="12"/>
        <v/>
      </c>
      <c r="AA11" s="158"/>
      <c r="AB11" s="158" t="str">
        <f t="shared" si="13"/>
        <v/>
      </c>
      <c r="AC11" s="158"/>
      <c r="AD11" s="158" t="str">
        <f t="shared" si="14"/>
        <v/>
      </c>
      <c r="AE11" s="158"/>
      <c r="AF11" s="158" t="str">
        <f t="shared" si="15"/>
        <v/>
      </c>
      <c r="AG11" s="158"/>
      <c r="AH11" s="158" t="str">
        <f t="shared" si="16"/>
        <v/>
      </c>
      <c r="AI11" s="158"/>
      <c r="AJ11" s="158" t="str">
        <f t="shared" si="17"/>
        <v/>
      </c>
      <c r="AK11" s="158"/>
      <c r="AL11" s="158" t="str">
        <f t="shared" si="18"/>
        <v/>
      </c>
      <c r="AM11" s="158"/>
      <c r="AN11" s="158" t="str">
        <f t="shared" si="19"/>
        <v/>
      </c>
      <c r="AO11" s="158"/>
      <c r="AP11" s="158" t="str">
        <f t="shared" ref="AP11:AR11" si="57">AN49</f>
        <v/>
      </c>
      <c r="AQ11" s="158" t="str">
        <f t="shared" si="57"/>
        <v/>
      </c>
      <c r="AR11" s="158" t="str">
        <f t="shared" si="57"/>
        <v/>
      </c>
      <c r="AS11" s="158"/>
      <c r="AT11" s="158" t="str">
        <f t="shared" si="21"/>
        <v/>
      </c>
      <c r="AU11" s="158"/>
      <c r="AV11" s="158">
        <f t="shared" si="22"/>
        <v>-19.60240964</v>
      </c>
      <c r="AW11" s="158"/>
      <c r="AX11" s="158">
        <f t="shared" si="23"/>
        <v>-45.20481928</v>
      </c>
      <c r="AY11" s="158"/>
      <c r="AZ11" s="158">
        <f t="shared" si="24"/>
        <v>-86.65927711</v>
      </c>
      <c r="BA11" s="158"/>
      <c r="BB11" s="158">
        <f t="shared" si="25"/>
        <v>-163.4253012</v>
      </c>
      <c r="BC11" s="158"/>
      <c r="BD11" s="158">
        <f t="shared" si="26"/>
        <v>-619.8954217</v>
      </c>
      <c r="BE11" s="158"/>
      <c r="BF11" s="158">
        <f t="shared" si="27"/>
        <v>-1235.063253</v>
      </c>
      <c r="BG11" s="158"/>
      <c r="BH11" s="158">
        <f t="shared" si="28"/>
        <v>-632.8912941</v>
      </c>
      <c r="BI11" s="158"/>
      <c r="BJ11" s="158">
        <f t="shared" si="29"/>
        <v>-1182.632</v>
      </c>
      <c r="BK11" s="158"/>
      <c r="BL11" s="158">
        <f t="shared" si="30"/>
        <v>-759.8025882</v>
      </c>
      <c r="BM11" s="158"/>
      <c r="BN11" s="158">
        <f t="shared" ref="BN11:BP11" si="58">BL49</f>
        <v>-609.2592941</v>
      </c>
      <c r="BO11" s="158" t="str">
        <f t="shared" si="58"/>
        <v/>
      </c>
      <c r="BP11" s="158">
        <f t="shared" si="58"/>
        <v>-341.5109412</v>
      </c>
      <c r="BQ11" s="49"/>
      <c r="BR11" s="158">
        <f t="shared" si="32"/>
        <v>-424.9061176</v>
      </c>
      <c r="BS11" s="49"/>
      <c r="BT11" s="158">
        <f t="shared" si="33"/>
        <v>-447.7652941</v>
      </c>
      <c r="BU11" s="49"/>
      <c r="BV11" s="158">
        <f t="shared" si="34"/>
        <v>-1957.126235</v>
      </c>
      <c r="BW11" s="17"/>
      <c r="BX11" s="158">
        <f t="shared" si="35"/>
        <v>-258.6925882</v>
      </c>
      <c r="BY11" s="159"/>
      <c r="BZ11" s="158">
        <f t="shared" si="36"/>
        <v>-254.5256471</v>
      </c>
      <c r="CA11" s="159"/>
      <c r="CB11" s="158">
        <f t="shared" si="37"/>
        <v>-679.4268235</v>
      </c>
      <c r="CC11" s="17"/>
      <c r="CD11" s="158">
        <f t="shared" si="38"/>
        <v>-1178.717865</v>
      </c>
      <c r="CE11" s="17"/>
      <c r="CF11" s="17"/>
    </row>
    <row r="12">
      <c r="A12" s="17"/>
      <c r="B12" s="157" t="s">
        <v>157</v>
      </c>
      <c r="C12" s="158"/>
      <c r="D12" s="158" t="str">
        <f t="shared" ref="D12:N12" si="59">C50</f>
        <v/>
      </c>
      <c r="E12" s="158" t="str">
        <f t="shared" si="59"/>
        <v/>
      </c>
      <c r="F12" s="158" t="str">
        <f t="shared" si="59"/>
        <v/>
      </c>
      <c r="G12" s="158" t="str">
        <f t="shared" si="59"/>
        <v/>
      </c>
      <c r="H12" s="158" t="str">
        <f t="shared" si="59"/>
        <v/>
      </c>
      <c r="I12" s="158" t="str">
        <f t="shared" si="59"/>
        <v/>
      </c>
      <c r="J12" s="158" t="str">
        <f t="shared" si="59"/>
        <v/>
      </c>
      <c r="K12" s="158" t="str">
        <f t="shared" si="59"/>
        <v/>
      </c>
      <c r="L12" s="158" t="str">
        <f t="shared" si="59"/>
        <v/>
      </c>
      <c r="M12" s="158" t="str">
        <f t="shared" si="59"/>
        <v/>
      </c>
      <c r="N12" s="158" t="str">
        <f t="shared" si="59"/>
        <v/>
      </c>
      <c r="O12" s="158" t="str">
        <f t="shared" ref="O12:P12" si="60">M50</f>
        <v/>
      </c>
      <c r="P12" s="158" t="str">
        <f t="shared" si="60"/>
        <v/>
      </c>
      <c r="Q12" s="158"/>
      <c r="R12" s="158" t="str">
        <f t="shared" si="8"/>
        <v/>
      </c>
      <c r="S12" s="158"/>
      <c r="T12" s="158" t="str">
        <f t="shared" si="9"/>
        <v/>
      </c>
      <c r="U12" s="158"/>
      <c r="V12" s="158" t="str">
        <f t="shared" si="10"/>
        <v/>
      </c>
      <c r="W12" s="158"/>
      <c r="X12" s="158" t="str">
        <f t="shared" si="11"/>
        <v/>
      </c>
      <c r="Y12" s="158"/>
      <c r="Z12" s="158" t="str">
        <f t="shared" si="12"/>
        <v/>
      </c>
      <c r="AA12" s="158"/>
      <c r="AB12" s="158" t="str">
        <f t="shared" si="13"/>
        <v/>
      </c>
      <c r="AC12" s="158"/>
      <c r="AD12" s="158" t="str">
        <f t="shared" si="14"/>
        <v/>
      </c>
      <c r="AE12" s="158"/>
      <c r="AF12" s="158" t="str">
        <f t="shared" si="15"/>
        <v/>
      </c>
      <c r="AG12" s="158"/>
      <c r="AH12" s="158" t="str">
        <f t="shared" si="16"/>
        <v/>
      </c>
      <c r="AI12" s="158"/>
      <c r="AJ12" s="158" t="str">
        <f t="shared" si="17"/>
        <v/>
      </c>
      <c r="AK12" s="158"/>
      <c r="AL12" s="158" t="str">
        <f t="shared" si="18"/>
        <v/>
      </c>
      <c r="AM12" s="158"/>
      <c r="AN12" s="158" t="str">
        <f t="shared" si="19"/>
        <v/>
      </c>
      <c r="AO12" s="158"/>
      <c r="AP12" s="158" t="str">
        <f t="shared" ref="AP12:AR12" si="61">AN50</f>
        <v/>
      </c>
      <c r="AQ12" s="158" t="str">
        <f t="shared" si="61"/>
        <v/>
      </c>
      <c r="AR12" s="158" t="str">
        <f t="shared" si="61"/>
        <v/>
      </c>
      <c r="AS12" s="158"/>
      <c r="AT12" s="158" t="str">
        <f t="shared" si="21"/>
        <v/>
      </c>
      <c r="AU12" s="158"/>
      <c r="AV12" s="158">
        <f t="shared" si="22"/>
        <v>8863.515542</v>
      </c>
      <c r="AW12" s="158"/>
      <c r="AX12" s="158">
        <f t="shared" si="23"/>
        <v>6684.98012</v>
      </c>
      <c r="AY12" s="158"/>
      <c r="AZ12" s="158">
        <f t="shared" si="24"/>
        <v>10273.38072</v>
      </c>
      <c r="BA12" s="158"/>
      <c r="BB12" s="158">
        <f t="shared" si="25"/>
        <v>1593.704458</v>
      </c>
      <c r="BC12" s="158"/>
      <c r="BD12" s="158">
        <f t="shared" si="26"/>
        <v>8957.837711</v>
      </c>
      <c r="BE12" s="158"/>
      <c r="BF12" s="158">
        <f t="shared" si="27"/>
        <v>4227.176024</v>
      </c>
      <c r="BG12" s="158"/>
      <c r="BH12" s="158">
        <f t="shared" si="28"/>
        <v>2745.61</v>
      </c>
      <c r="BI12" s="158"/>
      <c r="BJ12" s="158">
        <f t="shared" si="29"/>
        <v>5330.389647</v>
      </c>
      <c r="BK12" s="158"/>
      <c r="BL12" s="158">
        <f t="shared" si="30"/>
        <v>3074.059059</v>
      </c>
      <c r="BM12" s="158"/>
      <c r="BN12" s="158">
        <f t="shared" ref="BN12:BP12" si="62">BL50</f>
        <v>9272.805647</v>
      </c>
      <c r="BO12" s="158" t="str">
        <f t="shared" si="62"/>
        <v/>
      </c>
      <c r="BP12" s="158">
        <f t="shared" si="62"/>
        <v>3894.303059</v>
      </c>
      <c r="BQ12" s="49"/>
      <c r="BR12" s="158">
        <f t="shared" si="32"/>
        <v>4658.738941</v>
      </c>
      <c r="BS12" s="49"/>
      <c r="BT12" s="158">
        <f t="shared" si="33"/>
        <v>4658.738941</v>
      </c>
      <c r="BU12" s="49"/>
      <c r="BV12" s="158">
        <f t="shared" si="34"/>
        <v>4658.738941</v>
      </c>
      <c r="BW12" s="17"/>
      <c r="BX12" s="158">
        <f t="shared" si="35"/>
        <v>4658.738941</v>
      </c>
      <c r="BY12" s="159"/>
      <c r="BZ12" s="158">
        <f t="shared" si="36"/>
        <v>4658.738941</v>
      </c>
      <c r="CA12" s="159"/>
      <c r="CB12" s="158">
        <f t="shared" si="37"/>
        <v>4658.738941</v>
      </c>
      <c r="CC12" s="17"/>
      <c r="CD12" s="158">
        <f t="shared" si="38"/>
        <v>4449.357416</v>
      </c>
      <c r="CE12" s="17"/>
      <c r="CF12" s="17"/>
    </row>
    <row r="13">
      <c r="A13" s="17"/>
      <c r="B13" s="157" t="s">
        <v>158</v>
      </c>
      <c r="C13" s="158"/>
      <c r="D13" s="158" t="str">
        <f t="shared" ref="D13:N13" si="63">C51</f>
        <v/>
      </c>
      <c r="E13" s="158" t="str">
        <f t="shared" si="63"/>
        <v/>
      </c>
      <c r="F13" s="158" t="str">
        <f t="shared" si="63"/>
        <v/>
      </c>
      <c r="G13" s="158" t="str">
        <f t="shared" si="63"/>
        <v/>
      </c>
      <c r="H13" s="158" t="str">
        <f t="shared" si="63"/>
        <v/>
      </c>
      <c r="I13" s="158" t="str">
        <f t="shared" si="63"/>
        <v/>
      </c>
      <c r="J13" s="158" t="str">
        <f t="shared" si="63"/>
        <v/>
      </c>
      <c r="K13" s="158" t="str">
        <f t="shared" si="63"/>
        <v/>
      </c>
      <c r="L13" s="158" t="str">
        <f t="shared" si="63"/>
        <v/>
      </c>
      <c r="M13" s="158" t="str">
        <f t="shared" si="63"/>
        <v/>
      </c>
      <c r="N13" s="158" t="str">
        <f t="shared" si="63"/>
        <v/>
      </c>
      <c r="O13" s="158"/>
      <c r="P13" s="158" t="str">
        <f>N51</f>
        <v/>
      </c>
      <c r="Q13" s="158"/>
      <c r="R13" s="158" t="str">
        <f t="shared" si="8"/>
        <v/>
      </c>
      <c r="S13" s="158"/>
      <c r="T13" s="158" t="str">
        <f t="shared" si="9"/>
        <v/>
      </c>
      <c r="U13" s="158"/>
      <c r="V13" s="158" t="str">
        <f t="shared" si="10"/>
        <v/>
      </c>
      <c r="W13" s="158"/>
      <c r="X13" s="158" t="str">
        <f t="shared" si="11"/>
        <v/>
      </c>
      <c r="Y13" s="158"/>
      <c r="Z13" s="158" t="str">
        <f t="shared" si="12"/>
        <v/>
      </c>
      <c r="AA13" s="158"/>
      <c r="AB13" s="158" t="str">
        <f t="shared" si="13"/>
        <v/>
      </c>
      <c r="AC13" s="158"/>
      <c r="AD13" s="158" t="str">
        <f t="shared" si="14"/>
        <v/>
      </c>
      <c r="AE13" s="158"/>
      <c r="AF13" s="158" t="str">
        <f t="shared" si="15"/>
        <v/>
      </c>
      <c r="AG13" s="158"/>
      <c r="AH13" s="158" t="str">
        <f t="shared" si="16"/>
        <v/>
      </c>
      <c r="AI13" s="158"/>
      <c r="AJ13" s="158" t="str">
        <f t="shared" si="17"/>
        <v/>
      </c>
      <c r="AK13" s="158"/>
      <c r="AL13" s="158" t="str">
        <f t="shared" si="18"/>
        <v/>
      </c>
      <c r="AM13" s="158"/>
      <c r="AN13" s="158" t="str">
        <f t="shared" si="19"/>
        <v/>
      </c>
      <c r="AO13" s="158"/>
      <c r="AP13" s="158" t="str">
        <f t="shared" ref="AP13:AP20" si="67">AN51</f>
        <v/>
      </c>
      <c r="AQ13" s="158"/>
      <c r="AR13" s="158" t="str">
        <f>AP51</f>
        <v/>
      </c>
      <c r="AS13" s="158"/>
      <c r="AT13" s="158" t="str">
        <f t="shared" si="21"/>
        <v/>
      </c>
      <c r="AU13" s="158"/>
      <c r="AV13" s="158" t="str">
        <f t="shared" si="22"/>
        <v/>
      </c>
      <c r="AW13" s="158"/>
      <c r="AX13" s="158" t="str">
        <f t="shared" si="23"/>
        <v/>
      </c>
      <c r="AY13" s="158"/>
      <c r="AZ13" s="158" t="str">
        <f t="shared" si="24"/>
        <v/>
      </c>
      <c r="BA13" s="158"/>
      <c r="BB13" s="158" t="str">
        <f t="shared" si="25"/>
        <v/>
      </c>
      <c r="BC13" s="158"/>
      <c r="BD13" s="158" t="str">
        <f t="shared" si="26"/>
        <v/>
      </c>
      <c r="BE13" s="158"/>
      <c r="BF13" s="158" t="str">
        <f t="shared" si="27"/>
        <v/>
      </c>
      <c r="BG13" s="158"/>
      <c r="BH13" s="158" t="str">
        <f t="shared" si="28"/>
        <v/>
      </c>
      <c r="BI13" s="158"/>
      <c r="BJ13" s="158" t="str">
        <f t="shared" si="29"/>
        <v/>
      </c>
      <c r="BK13" s="158"/>
      <c r="BL13" s="158" t="str">
        <f t="shared" si="30"/>
        <v/>
      </c>
      <c r="BM13" s="158"/>
      <c r="BN13" s="158" t="str">
        <f t="shared" ref="BN13:BP13" si="64">BL51</f>
        <v/>
      </c>
      <c r="BO13" s="158" t="str">
        <f t="shared" si="64"/>
        <v/>
      </c>
      <c r="BP13" s="158">
        <f t="shared" si="64"/>
        <v>15000</v>
      </c>
      <c r="BQ13" s="49"/>
      <c r="BR13" s="158">
        <f t="shared" si="32"/>
        <v>15000</v>
      </c>
      <c r="BS13" s="49"/>
      <c r="BT13" s="158">
        <f t="shared" si="33"/>
        <v>15000</v>
      </c>
      <c r="BU13" s="49"/>
      <c r="BV13" s="158">
        <f t="shared" si="34"/>
        <v>15000</v>
      </c>
      <c r="BW13" s="17"/>
      <c r="BX13" s="158">
        <f t="shared" si="35"/>
        <v>15000</v>
      </c>
      <c r="BY13" s="159"/>
      <c r="BZ13" s="158">
        <f t="shared" si="36"/>
        <v>15000</v>
      </c>
      <c r="CA13" s="159"/>
      <c r="CB13" s="158">
        <f t="shared" si="37"/>
        <v>15000</v>
      </c>
      <c r="CC13" s="17"/>
      <c r="CD13" s="158">
        <f t="shared" si="38"/>
        <v>15000</v>
      </c>
      <c r="CE13" s="17"/>
      <c r="CF13" s="17"/>
    </row>
    <row r="14">
      <c r="A14" s="17"/>
      <c r="B14" s="157" t="s">
        <v>159</v>
      </c>
      <c r="C14" s="158"/>
      <c r="D14" s="158" t="str">
        <f t="shared" ref="D14:N14" si="65">C52</f>
        <v/>
      </c>
      <c r="E14" s="158" t="str">
        <f t="shared" si="65"/>
        <v/>
      </c>
      <c r="F14" s="158" t="str">
        <f t="shared" si="65"/>
        <v/>
      </c>
      <c r="G14" s="158" t="str">
        <f t="shared" si="65"/>
        <v/>
      </c>
      <c r="H14" s="158" t="str">
        <f t="shared" si="65"/>
        <v/>
      </c>
      <c r="I14" s="158" t="str">
        <f t="shared" si="65"/>
        <v/>
      </c>
      <c r="J14" s="158" t="str">
        <f t="shared" si="65"/>
        <v/>
      </c>
      <c r="K14" s="158" t="str">
        <f t="shared" si="65"/>
        <v/>
      </c>
      <c r="L14" s="158" t="str">
        <f t="shared" si="65"/>
        <v/>
      </c>
      <c r="M14" s="158" t="str">
        <f t="shared" si="65"/>
        <v/>
      </c>
      <c r="N14" s="158" t="str">
        <f t="shared" si="65"/>
        <v/>
      </c>
      <c r="O14" s="158" t="str">
        <f t="shared" ref="O14:P14" si="66">M52</f>
        <v/>
      </c>
      <c r="P14" s="158">
        <f t="shared" si="66"/>
        <v>4500</v>
      </c>
      <c r="Q14" s="158"/>
      <c r="R14" s="158">
        <f t="shared" si="8"/>
        <v>324720.56</v>
      </c>
      <c r="S14" s="158"/>
      <c r="T14" s="158">
        <f t="shared" si="9"/>
        <v>192632.59</v>
      </c>
      <c r="U14" s="158"/>
      <c r="V14" s="158">
        <f t="shared" si="10"/>
        <v>154024.85</v>
      </c>
      <c r="W14" s="158"/>
      <c r="X14" s="158">
        <f t="shared" si="11"/>
        <v>67542.75</v>
      </c>
      <c r="Y14" s="158"/>
      <c r="Z14" s="158">
        <f t="shared" si="12"/>
        <v>438298.24</v>
      </c>
      <c r="AA14" s="158"/>
      <c r="AB14" s="158">
        <f t="shared" si="13"/>
        <v>274022.02</v>
      </c>
      <c r="AC14" s="158"/>
      <c r="AD14" s="158">
        <f t="shared" si="14"/>
        <v>198156.7</v>
      </c>
      <c r="AE14" s="158"/>
      <c r="AF14" s="158">
        <f t="shared" si="15"/>
        <v>118193.17</v>
      </c>
      <c r="AG14" s="158"/>
      <c r="AH14" s="158">
        <f t="shared" si="16"/>
        <v>1248535.86</v>
      </c>
      <c r="AI14" s="158"/>
      <c r="AJ14" s="158">
        <f t="shared" si="17"/>
        <v>1112835.452</v>
      </c>
      <c r="AK14" s="158"/>
      <c r="AL14" s="158">
        <f t="shared" si="18"/>
        <v>124103.322</v>
      </c>
      <c r="AM14" s="158"/>
      <c r="AN14" s="158">
        <f t="shared" si="19"/>
        <v>143053.122</v>
      </c>
      <c r="AO14" s="158"/>
      <c r="AP14" s="158">
        <f t="shared" si="67"/>
        <v>152146.342</v>
      </c>
      <c r="AQ14" s="158" t="str">
        <f t="shared" ref="AQ14:AR14" si="68">AO52</f>
        <v/>
      </c>
      <c r="AR14" s="158">
        <f t="shared" si="68"/>
        <v>147450.642</v>
      </c>
      <c r="AS14" s="158"/>
      <c r="AT14" s="158">
        <f t="shared" si="21"/>
        <v>147421.3454</v>
      </c>
      <c r="AU14" s="158"/>
      <c r="AV14" s="158">
        <f t="shared" si="22"/>
        <v>173936.68</v>
      </c>
      <c r="AW14" s="158"/>
      <c r="AX14" s="158">
        <f t="shared" si="23"/>
        <v>202109.73</v>
      </c>
      <c r="AY14" s="158"/>
      <c r="AZ14" s="158">
        <f t="shared" si="24"/>
        <v>235881.81</v>
      </c>
      <c r="BA14" s="158"/>
      <c r="BB14" s="158">
        <f t="shared" si="25"/>
        <v>281189.23</v>
      </c>
      <c r="BC14" s="158"/>
      <c r="BD14" s="158">
        <f t="shared" si="26"/>
        <v>353974.34</v>
      </c>
      <c r="BE14" s="158"/>
      <c r="BF14" s="158">
        <f t="shared" si="27"/>
        <v>570466.3</v>
      </c>
      <c r="BG14" s="158"/>
      <c r="BH14" s="158">
        <f t="shared" si="28"/>
        <v>168961.17</v>
      </c>
      <c r="BI14" s="158"/>
      <c r="BJ14" s="158">
        <f t="shared" si="29"/>
        <v>295288.92</v>
      </c>
      <c r="BK14" s="158"/>
      <c r="BL14" s="158">
        <f t="shared" si="30"/>
        <v>230621.36</v>
      </c>
      <c r="BM14" s="158"/>
      <c r="BN14" s="158">
        <f t="shared" ref="BN14:BP14" si="69">BL52</f>
        <v>191138.46</v>
      </c>
      <c r="BO14" s="158" t="str">
        <f t="shared" si="69"/>
        <v/>
      </c>
      <c r="BP14" s="158">
        <f t="shared" si="69"/>
        <v>198535.95</v>
      </c>
      <c r="BQ14" s="49"/>
      <c r="BR14" s="158">
        <f t="shared" si="32"/>
        <v>332924.51</v>
      </c>
      <c r="BS14" s="49"/>
      <c r="BT14" s="158">
        <f t="shared" si="33"/>
        <v>95289</v>
      </c>
      <c r="BU14" s="49"/>
      <c r="BV14" s="158">
        <f t="shared" si="34"/>
        <v>99747</v>
      </c>
      <c r="BW14" s="17"/>
      <c r="BX14" s="158">
        <f t="shared" si="35"/>
        <v>153430</v>
      </c>
      <c r="BY14" s="159"/>
      <c r="BZ14" s="158">
        <f t="shared" si="36"/>
        <v>325282</v>
      </c>
      <c r="CA14" s="159"/>
      <c r="CB14" s="158">
        <f t="shared" si="37"/>
        <v>365125.11</v>
      </c>
      <c r="CC14" s="17"/>
      <c r="CD14" s="158">
        <f t="shared" si="38"/>
        <v>282828.08</v>
      </c>
      <c r="CE14" s="17"/>
      <c r="CF14" s="17"/>
    </row>
    <row r="15">
      <c r="A15" s="17"/>
      <c r="B15" s="157" t="s">
        <v>160</v>
      </c>
      <c r="C15" s="158">
        <v>0.0</v>
      </c>
      <c r="D15" s="158" t="str">
        <f t="shared" ref="D15:N15" si="70">C53</f>
        <v/>
      </c>
      <c r="E15" s="158" t="str">
        <f t="shared" si="70"/>
        <v/>
      </c>
      <c r="F15" s="158" t="str">
        <f t="shared" si="70"/>
        <v/>
      </c>
      <c r="G15" s="158" t="str">
        <f t="shared" si="70"/>
        <v/>
      </c>
      <c r="H15" s="158" t="str">
        <f t="shared" si="70"/>
        <v/>
      </c>
      <c r="I15" s="158" t="str">
        <f t="shared" si="70"/>
        <v/>
      </c>
      <c r="J15" s="158" t="str">
        <f t="shared" si="70"/>
        <v/>
      </c>
      <c r="K15" s="158" t="str">
        <f t="shared" si="70"/>
        <v/>
      </c>
      <c r="L15" s="158" t="str">
        <f t="shared" si="70"/>
        <v/>
      </c>
      <c r="M15" s="158" t="str">
        <f t="shared" si="70"/>
        <v/>
      </c>
      <c r="N15" s="158" t="str">
        <f t="shared" si="70"/>
        <v/>
      </c>
      <c r="O15" s="158" t="str">
        <f t="shared" ref="O15:P15" si="71">M53</f>
        <v/>
      </c>
      <c r="P15" s="158" t="str">
        <f t="shared" si="71"/>
        <v/>
      </c>
      <c r="Q15" s="158"/>
      <c r="R15" s="158" t="str">
        <f t="shared" si="8"/>
        <v/>
      </c>
      <c r="S15" s="158"/>
      <c r="T15" s="158">
        <f t="shared" si="9"/>
        <v>12195.12195</v>
      </c>
      <c r="U15" s="158"/>
      <c r="V15" s="158">
        <f t="shared" si="10"/>
        <v>12195.12195</v>
      </c>
      <c r="W15" s="158"/>
      <c r="X15" s="158">
        <f t="shared" si="11"/>
        <v>12195.12195</v>
      </c>
      <c r="Y15" s="158"/>
      <c r="Z15" s="158">
        <f t="shared" si="12"/>
        <v>12195.12195</v>
      </c>
      <c r="AA15" s="158"/>
      <c r="AB15" s="158">
        <f t="shared" si="13"/>
        <v>12195.12195</v>
      </c>
      <c r="AC15" s="158"/>
      <c r="AD15" s="158">
        <f t="shared" si="14"/>
        <v>12195.12195</v>
      </c>
      <c r="AE15" s="158"/>
      <c r="AF15" s="158">
        <f t="shared" si="15"/>
        <v>12195.12195</v>
      </c>
      <c r="AG15" s="158"/>
      <c r="AH15" s="158">
        <f t="shared" si="16"/>
        <v>12195.12195</v>
      </c>
      <c r="AI15" s="158"/>
      <c r="AJ15" s="158">
        <f t="shared" si="17"/>
        <v>12048.19277</v>
      </c>
      <c r="AK15" s="158"/>
      <c r="AL15" s="158">
        <f t="shared" si="18"/>
        <v>12048.19277</v>
      </c>
      <c r="AM15" s="158"/>
      <c r="AN15" s="158">
        <f t="shared" si="19"/>
        <v>12048.19277</v>
      </c>
      <c r="AO15" s="158"/>
      <c r="AP15" s="158">
        <f t="shared" si="67"/>
        <v>12048.19277</v>
      </c>
      <c r="AQ15" s="158" t="str">
        <f t="shared" ref="AQ15:AR15" si="72">AO53</f>
        <v/>
      </c>
      <c r="AR15" s="158">
        <f t="shared" si="72"/>
        <v>12048.19277</v>
      </c>
      <c r="AS15" s="158"/>
      <c r="AT15" s="158">
        <f t="shared" si="21"/>
        <v>12048.19277</v>
      </c>
      <c r="AU15" s="158"/>
      <c r="AV15" s="158">
        <f t="shared" si="22"/>
        <v>11813.82867</v>
      </c>
      <c r="AW15" s="158"/>
      <c r="AX15" s="158">
        <f t="shared" si="23"/>
        <v>11756.9612</v>
      </c>
      <c r="AY15" s="158"/>
      <c r="AZ15" s="158">
        <f t="shared" si="24"/>
        <v>11700.09373</v>
      </c>
      <c r="BA15" s="158"/>
      <c r="BB15" s="158">
        <f t="shared" si="25"/>
        <v>11643.22627</v>
      </c>
      <c r="BC15" s="158"/>
      <c r="BD15" s="158">
        <f t="shared" si="26"/>
        <v>11586.3588</v>
      </c>
      <c r="BE15" s="158"/>
      <c r="BF15" s="158">
        <f t="shared" si="27"/>
        <v>11529.49133</v>
      </c>
      <c r="BG15" s="158"/>
      <c r="BH15" s="158">
        <f t="shared" si="28"/>
        <v>11202.67976</v>
      </c>
      <c r="BI15" s="158"/>
      <c r="BJ15" s="158">
        <f t="shared" si="29"/>
        <v>11258.20918</v>
      </c>
      <c r="BK15" s="158"/>
      <c r="BL15" s="158">
        <f t="shared" si="30"/>
        <v>11258.20918</v>
      </c>
      <c r="BM15" s="158"/>
      <c r="BN15" s="158">
        <f t="shared" ref="BN15:BP15" si="73">BL53</f>
        <v>11083.98565</v>
      </c>
      <c r="BO15" s="158" t="str">
        <f t="shared" si="73"/>
        <v/>
      </c>
      <c r="BP15" s="158">
        <f t="shared" si="73"/>
        <v>11125.75966</v>
      </c>
      <c r="BQ15" s="49"/>
      <c r="BR15" s="158">
        <f t="shared" si="32"/>
        <v>11083.98565</v>
      </c>
      <c r="BS15" s="49"/>
      <c r="BT15" s="158">
        <f t="shared" si="33"/>
        <v>11083.98565</v>
      </c>
      <c r="BU15" s="49"/>
      <c r="BV15" s="158">
        <f t="shared" si="34"/>
        <v>11083.98565</v>
      </c>
      <c r="BW15" s="17"/>
      <c r="BX15" s="158">
        <f t="shared" si="35"/>
        <v>11083.98565</v>
      </c>
      <c r="BY15" s="159"/>
      <c r="BZ15" s="158">
        <f t="shared" si="36"/>
        <v>11083.98565</v>
      </c>
      <c r="CA15" s="159"/>
      <c r="CB15" s="158">
        <f t="shared" si="37"/>
        <v>11083.98565</v>
      </c>
      <c r="CC15" s="17"/>
      <c r="CD15" s="158">
        <f t="shared" si="38"/>
        <v>10585.82899</v>
      </c>
      <c r="CE15" s="17"/>
      <c r="CF15" s="17"/>
    </row>
    <row r="16">
      <c r="A16" s="17"/>
      <c r="B16" s="157" t="s">
        <v>161</v>
      </c>
      <c r="C16" s="158">
        <v>0.0</v>
      </c>
      <c r="D16" s="158" t="str">
        <f t="shared" ref="D16:N16" si="74">C54</f>
        <v/>
      </c>
      <c r="E16" s="158" t="str">
        <f t="shared" si="74"/>
        <v/>
      </c>
      <c r="F16" s="158" t="str">
        <f t="shared" si="74"/>
        <v/>
      </c>
      <c r="G16" s="158" t="str">
        <f t="shared" si="74"/>
        <v/>
      </c>
      <c r="H16" s="158" t="str">
        <f t="shared" si="74"/>
        <v/>
      </c>
      <c r="I16" s="158" t="str">
        <f t="shared" si="74"/>
        <v/>
      </c>
      <c r="J16" s="158" t="str">
        <f t="shared" si="74"/>
        <v/>
      </c>
      <c r="K16" s="158" t="str">
        <f t="shared" si="74"/>
        <v/>
      </c>
      <c r="L16" s="158" t="str">
        <f t="shared" si="74"/>
        <v/>
      </c>
      <c r="M16" s="158" t="str">
        <f t="shared" si="74"/>
        <v/>
      </c>
      <c r="N16" s="158" t="str">
        <f t="shared" si="74"/>
        <v/>
      </c>
      <c r="O16" s="158" t="str">
        <f t="shared" ref="O16:P16" si="75">M54</f>
        <v/>
      </c>
      <c r="P16" s="158" t="str">
        <f t="shared" si="75"/>
        <v/>
      </c>
      <c r="Q16" s="158"/>
      <c r="R16" s="158" t="str">
        <f t="shared" si="8"/>
        <v/>
      </c>
      <c r="S16" s="158"/>
      <c r="T16" s="158" t="str">
        <f t="shared" si="9"/>
        <v/>
      </c>
      <c r="U16" s="158"/>
      <c r="V16" s="158" t="str">
        <f t="shared" si="10"/>
        <v/>
      </c>
      <c r="W16" s="158"/>
      <c r="X16" s="158" t="str">
        <f t="shared" si="11"/>
        <v/>
      </c>
      <c r="Y16" s="158"/>
      <c r="Z16" s="158" t="str">
        <f t="shared" si="12"/>
        <v/>
      </c>
      <c r="AA16" s="158"/>
      <c r="AB16" s="158">
        <f t="shared" si="13"/>
        <v>37282.5</v>
      </c>
      <c r="AC16" s="158"/>
      <c r="AD16" s="158">
        <f t="shared" si="14"/>
        <v>21136.98</v>
      </c>
      <c r="AE16" s="158"/>
      <c r="AF16" s="158">
        <f t="shared" si="15"/>
        <v>52674.28</v>
      </c>
      <c r="AG16" s="158"/>
      <c r="AH16" s="158">
        <f t="shared" si="16"/>
        <v>33422.96</v>
      </c>
      <c r="AI16" s="158"/>
      <c r="AJ16" s="158">
        <f t="shared" si="17"/>
        <v>19178.95</v>
      </c>
      <c r="AK16" s="158"/>
      <c r="AL16" s="158">
        <f t="shared" si="18"/>
        <v>23811.53</v>
      </c>
      <c r="AM16" s="158"/>
      <c r="AN16" s="158">
        <f t="shared" si="19"/>
        <v>48397.37</v>
      </c>
      <c r="AO16" s="158"/>
      <c r="AP16" s="158">
        <f t="shared" si="67"/>
        <v>18945.78</v>
      </c>
      <c r="AQ16" s="158" t="str">
        <f t="shared" ref="AQ16:AR16" si="76">AO54</f>
        <v/>
      </c>
      <c r="AR16" s="158">
        <f t="shared" si="76"/>
        <v>49933.42</v>
      </c>
      <c r="AS16" s="158"/>
      <c r="AT16" s="158">
        <f t="shared" si="21"/>
        <v>34724.02</v>
      </c>
      <c r="AU16" s="158"/>
      <c r="AV16" s="158">
        <f t="shared" si="22"/>
        <v>22018.34</v>
      </c>
      <c r="AW16" s="158"/>
      <c r="AX16" s="158">
        <f t="shared" si="23"/>
        <v>66384.09</v>
      </c>
      <c r="AY16" s="158"/>
      <c r="AZ16" s="158">
        <f t="shared" si="24"/>
        <v>61396.67</v>
      </c>
      <c r="BA16" s="158"/>
      <c r="BB16" s="158">
        <f t="shared" si="25"/>
        <v>42878.14</v>
      </c>
      <c r="BC16" s="158"/>
      <c r="BD16" s="158">
        <f t="shared" si="26"/>
        <v>29308.38</v>
      </c>
      <c r="BE16" s="158"/>
      <c r="BF16" s="158">
        <f t="shared" si="27"/>
        <v>25431.31</v>
      </c>
      <c r="BG16" s="158"/>
      <c r="BH16" s="158">
        <f t="shared" si="28"/>
        <v>24832.92624</v>
      </c>
      <c r="BI16" s="158"/>
      <c r="BJ16" s="158">
        <f t="shared" si="29"/>
        <v>45706.15</v>
      </c>
      <c r="BK16" s="158"/>
      <c r="BL16" s="158">
        <f t="shared" si="30"/>
        <v>27650.51</v>
      </c>
      <c r="BM16" s="158"/>
      <c r="BN16" s="158">
        <f t="shared" ref="BN16:BP16" si="77">BL54</f>
        <v>9360.4</v>
      </c>
      <c r="BO16" s="158" t="str">
        <f t="shared" si="77"/>
        <v/>
      </c>
      <c r="BP16" s="158">
        <f t="shared" si="77"/>
        <v>63948.94</v>
      </c>
      <c r="BQ16" s="49"/>
      <c r="BR16" s="158">
        <f t="shared" si="32"/>
        <v>54067.93</v>
      </c>
      <c r="BS16" s="49"/>
      <c r="BT16" s="158">
        <f t="shared" si="33"/>
        <v>47916</v>
      </c>
      <c r="BU16" s="49"/>
      <c r="BV16" s="158">
        <f t="shared" si="34"/>
        <v>19206</v>
      </c>
      <c r="BW16" s="17"/>
      <c r="BX16" s="158">
        <f t="shared" si="35"/>
        <v>20028</v>
      </c>
      <c r="BY16" s="159"/>
      <c r="BZ16" s="158">
        <f t="shared" si="36"/>
        <v>17475</v>
      </c>
      <c r="CA16" s="159"/>
      <c r="CB16" s="158">
        <f t="shared" si="37"/>
        <v>56737.66</v>
      </c>
      <c r="CC16" s="17"/>
      <c r="CD16" s="158">
        <f t="shared" si="38"/>
        <v>36018.66</v>
      </c>
      <c r="CE16" s="17"/>
      <c r="CF16" s="17"/>
    </row>
    <row r="17">
      <c r="A17" s="17"/>
      <c r="B17" s="157" t="s">
        <v>162</v>
      </c>
      <c r="C17" s="158"/>
      <c r="D17" s="158" t="str">
        <f t="shared" ref="D17:N17" si="78">C55</f>
        <v/>
      </c>
      <c r="E17" s="158" t="str">
        <f t="shared" si="78"/>
        <v/>
      </c>
      <c r="F17" s="158" t="str">
        <f t="shared" si="78"/>
        <v/>
      </c>
      <c r="G17" s="158" t="str">
        <f t="shared" si="78"/>
        <v/>
      </c>
      <c r="H17" s="158" t="str">
        <f t="shared" si="78"/>
        <v/>
      </c>
      <c r="I17" s="158" t="str">
        <f t="shared" si="78"/>
        <v/>
      </c>
      <c r="J17" s="158" t="str">
        <f t="shared" si="78"/>
        <v/>
      </c>
      <c r="K17" s="158" t="str">
        <f t="shared" si="78"/>
        <v/>
      </c>
      <c r="L17" s="158" t="str">
        <f t="shared" si="78"/>
        <v/>
      </c>
      <c r="M17" s="158" t="str">
        <f t="shared" si="78"/>
        <v/>
      </c>
      <c r="N17" s="158" t="str">
        <f t="shared" si="78"/>
        <v/>
      </c>
      <c r="O17" s="158" t="str">
        <f t="shared" ref="O17:P17" si="79">M55</f>
        <v/>
      </c>
      <c r="P17" s="158" t="str">
        <f t="shared" si="79"/>
        <v/>
      </c>
      <c r="Q17" s="158"/>
      <c r="R17" s="158" t="str">
        <f t="shared" si="8"/>
        <v/>
      </c>
      <c r="S17" s="158"/>
      <c r="T17" s="158" t="str">
        <f t="shared" si="9"/>
        <v/>
      </c>
      <c r="U17" s="158"/>
      <c r="V17" s="158" t="str">
        <f t="shared" si="10"/>
        <v/>
      </c>
      <c r="W17" s="158"/>
      <c r="X17" s="158" t="str">
        <f t="shared" si="11"/>
        <v/>
      </c>
      <c r="Y17" s="158"/>
      <c r="Z17" s="158" t="str">
        <f t="shared" si="12"/>
        <v/>
      </c>
      <c r="AA17" s="158"/>
      <c r="AB17" s="158" t="str">
        <f t="shared" si="13"/>
        <v/>
      </c>
      <c r="AC17" s="158"/>
      <c r="AD17" s="158" t="str">
        <f t="shared" si="14"/>
        <v/>
      </c>
      <c r="AE17" s="158"/>
      <c r="AF17" s="158" t="str">
        <f t="shared" si="15"/>
        <v/>
      </c>
      <c r="AG17" s="158"/>
      <c r="AH17" s="158" t="str">
        <f t="shared" si="16"/>
        <v/>
      </c>
      <c r="AI17" s="158"/>
      <c r="AJ17" s="158" t="str">
        <f t="shared" si="17"/>
        <v/>
      </c>
      <c r="AK17" s="158"/>
      <c r="AL17" s="158">
        <f t="shared" si="18"/>
        <v>950000</v>
      </c>
      <c r="AM17" s="158"/>
      <c r="AN17" s="158">
        <f t="shared" si="19"/>
        <v>775000</v>
      </c>
      <c r="AO17" s="158"/>
      <c r="AP17" s="158">
        <f t="shared" si="67"/>
        <v>580702.88</v>
      </c>
      <c r="AQ17" s="158" t="str">
        <f t="shared" ref="AQ17:AR17" si="80">AO55</f>
        <v/>
      </c>
      <c r="AR17" s="158">
        <f t="shared" si="80"/>
        <v>483334.9</v>
      </c>
      <c r="AS17" s="158"/>
      <c r="AT17" s="158">
        <f t="shared" si="21"/>
        <v>485729.5</v>
      </c>
      <c r="AU17" s="158"/>
      <c r="AV17" s="158">
        <f t="shared" si="22"/>
        <v>387706.81</v>
      </c>
      <c r="AW17" s="158"/>
      <c r="AX17" s="158">
        <f t="shared" si="23"/>
        <v>389535.26</v>
      </c>
      <c r="AY17" s="158"/>
      <c r="AZ17" s="158">
        <f t="shared" si="24"/>
        <v>391137.91</v>
      </c>
      <c r="BA17" s="158"/>
      <c r="BB17" s="158">
        <f t="shared" si="25"/>
        <v>392643.72</v>
      </c>
      <c r="BC17" s="158"/>
      <c r="BD17" s="158">
        <f t="shared" si="26"/>
        <v>394111.19</v>
      </c>
      <c r="BE17" s="158"/>
      <c r="BF17" s="158">
        <f t="shared" si="27"/>
        <v>395491.53</v>
      </c>
      <c r="BG17" s="158"/>
      <c r="BH17" s="158">
        <f t="shared" si="28"/>
        <v>596695.76</v>
      </c>
      <c r="BI17" s="158"/>
      <c r="BJ17" s="158">
        <f t="shared" si="29"/>
        <v>598317.79</v>
      </c>
      <c r="BK17" s="158"/>
      <c r="BL17" s="158">
        <f t="shared" si="30"/>
        <v>910180.48</v>
      </c>
      <c r="BM17" s="158"/>
      <c r="BN17" s="158">
        <f t="shared" ref="BN17:BP17" si="81">BL55</f>
        <v>1001715.72</v>
      </c>
      <c r="BO17" s="158" t="str">
        <f t="shared" si="81"/>
        <v/>
      </c>
      <c r="BP17" s="158">
        <f t="shared" si="81"/>
        <v>1004983.91</v>
      </c>
      <c r="BQ17" s="49"/>
      <c r="BR17" s="158">
        <f t="shared" si="32"/>
        <v>1111621.88</v>
      </c>
      <c r="BS17" s="49"/>
      <c r="BT17" s="158">
        <f t="shared" si="33"/>
        <v>1511923.33</v>
      </c>
      <c r="BU17" s="49"/>
      <c r="BV17" s="158">
        <f t="shared" si="34"/>
        <v>1811622</v>
      </c>
      <c r="BW17" s="17"/>
      <c r="BX17" s="158">
        <f t="shared" si="35"/>
        <v>2002798</v>
      </c>
      <c r="BY17" s="159"/>
      <c r="BZ17" s="158">
        <f t="shared" si="36"/>
        <v>2008959</v>
      </c>
      <c r="CA17" s="159"/>
      <c r="CB17" s="158">
        <f t="shared" si="37"/>
        <v>2315429.54</v>
      </c>
      <c r="CC17" s="17"/>
      <c r="CD17" s="158">
        <f t="shared" si="38"/>
        <v>2322062.69</v>
      </c>
      <c r="CE17" s="17"/>
      <c r="CF17" s="17"/>
    </row>
    <row r="18">
      <c r="A18" s="17"/>
      <c r="B18" s="157" t="s">
        <v>163</v>
      </c>
      <c r="C18" s="158">
        <v>0.0</v>
      </c>
      <c r="D18" s="158">
        <f t="shared" ref="D18:N18" si="82">C56</f>
        <v>0</v>
      </c>
      <c r="E18" s="158">
        <f t="shared" si="82"/>
        <v>0</v>
      </c>
      <c r="F18" s="158">
        <f t="shared" si="82"/>
        <v>0</v>
      </c>
      <c r="G18" s="158">
        <f t="shared" si="82"/>
        <v>0</v>
      </c>
      <c r="H18" s="158">
        <f t="shared" si="82"/>
        <v>0</v>
      </c>
      <c r="I18" s="158">
        <f t="shared" si="82"/>
        <v>0</v>
      </c>
      <c r="J18" s="158">
        <f t="shared" si="82"/>
        <v>0</v>
      </c>
      <c r="K18" s="158">
        <f t="shared" si="82"/>
        <v>0</v>
      </c>
      <c r="L18" s="158">
        <f t="shared" si="82"/>
        <v>0</v>
      </c>
      <c r="M18" s="158">
        <f t="shared" si="82"/>
        <v>0</v>
      </c>
      <c r="N18" s="158">
        <f t="shared" si="82"/>
        <v>0</v>
      </c>
      <c r="O18" s="158">
        <f t="shared" ref="O18:P18" si="83">M56</f>
        <v>0</v>
      </c>
      <c r="P18" s="158">
        <f t="shared" si="83"/>
        <v>0</v>
      </c>
      <c r="Q18" s="158"/>
      <c r="R18" s="158">
        <f t="shared" si="8"/>
        <v>0</v>
      </c>
      <c r="S18" s="158"/>
      <c r="T18" s="158">
        <f t="shared" si="9"/>
        <v>0</v>
      </c>
      <c r="U18" s="158"/>
      <c r="V18" s="158">
        <f t="shared" si="10"/>
        <v>0</v>
      </c>
      <c r="W18" s="158"/>
      <c r="X18" s="158">
        <f t="shared" si="11"/>
        <v>0</v>
      </c>
      <c r="Y18" s="158"/>
      <c r="Z18" s="158">
        <f t="shared" si="12"/>
        <v>26696.34146</v>
      </c>
      <c r="AA18" s="158"/>
      <c r="AB18" s="158">
        <f t="shared" si="13"/>
        <v>26696.34146</v>
      </c>
      <c r="AC18" s="158"/>
      <c r="AD18" s="158">
        <f t="shared" si="14"/>
        <v>53392.68293</v>
      </c>
      <c r="AE18" s="158"/>
      <c r="AF18" s="158">
        <f t="shared" si="15"/>
        <v>53392.68293</v>
      </c>
      <c r="AG18" s="158"/>
      <c r="AH18" s="158">
        <f t="shared" si="16"/>
        <v>53392.68293</v>
      </c>
      <c r="AI18" s="158"/>
      <c r="AJ18" s="158">
        <f t="shared" si="17"/>
        <v>53392.68293</v>
      </c>
      <c r="AK18" s="158"/>
      <c r="AL18" s="158">
        <f t="shared" si="18"/>
        <v>53392.68293</v>
      </c>
      <c r="AM18" s="158"/>
      <c r="AN18" s="158">
        <f t="shared" si="19"/>
        <v>53392.68293</v>
      </c>
      <c r="AO18" s="158"/>
      <c r="AP18" s="158">
        <f t="shared" si="67"/>
        <v>53392.68293</v>
      </c>
      <c r="AQ18" s="158" t="str">
        <f t="shared" ref="AQ18:AR18" si="84">AO56</f>
        <v/>
      </c>
      <c r="AR18" s="158">
        <f t="shared" si="84"/>
        <v>53392.68293</v>
      </c>
      <c r="AS18" s="158"/>
      <c r="AT18" s="158">
        <f t="shared" si="21"/>
        <v>53392.68293</v>
      </c>
      <c r="AU18" s="158"/>
      <c r="AV18" s="158">
        <f t="shared" si="22"/>
        <v>60674.64145</v>
      </c>
      <c r="AW18" s="158"/>
      <c r="AX18" s="158">
        <f t="shared" si="23"/>
        <v>60674.64145</v>
      </c>
      <c r="AY18" s="158"/>
      <c r="AZ18" s="158">
        <f t="shared" si="24"/>
        <v>60674.64145</v>
      </c>
      <c r="BA18" s="158"/>
      <c r="BB18" s="158">
        <f t="shared" si="25"/>
        <v>60674.64145</v>
      </c>
      <c r="BC18" s="158"/>
      <c r="BD18" s="158">
        <f t="shared" si="26"/>
        <v>60674.64145</v>
      </c>
      <c r="BE18" s="158"/>
      <c r="BF18" s="158">
        <f t="shared" si="27"/>
        <v>59481.85735</v>
      </c>
      <c r="BG18" s="158"/>
      <c r="BH18" s="158">
        <f t="shared" si="28"/>
        <v>58082.28424</v>
      </c>
      <c r="BI18" s="158"/>
      <c r="BJ18" s="158">
        <f t="shared" si="29"/>
        <v>58082.28424</v>
      </c>
      <c r="BK18" s="158"/>
      <c r="BL18" s="158">
        <f t="shared" si="30"/>
        <v>57665.01365</v>
      </c>
      <c r="BM18" s="158"/>
      <c r="BN18" s="158">
        <f t="shared" ref="BN18:BP18" si="85">BL56</f>
        <v>56986.60172</v>
      </c>
      <c r="BO18" s="158" t="str">
        <f t="shared" si="85"/>
        <v/>
      </c>
      <c r="BP18" s="158">
        <f t="shared" si="85"/>
        <v>56986.60172</v>
      </c>
      <c r="BQ18" s="49"/>
      <c r="BR18" s="158">
        <f t="shared" si="32"/>
        <v>56986.60172</v>
      </c>
      <c r="BS18" s="49"/>
      <c r="BT18" s="158">
        <f t="shared" si="33"/>
        <v>56986.60172</v>
      </c>
      <c r="BU18" s="49"/>
      <c r="BV18" s="158">
        <f t="shared" si="34"/>
        <v>57221.89172</v>
      </c>
      <c r="BW18" s="17"/>
      <c r="BX18" s="158">
        <f t="shared" si="35"/>
        <v>57221.89172</v>
      </c>
      <c r="BY18" s="159"/>
      <c r="BZ18" s="158">
        <f t="shared" si="36"/>
        <v>57221.89172</v>
      </c>
      <c r="CA18" s="159"/>
      <c r="CB18" s="158">
        <f t="shared" si="37"/>
        <v>57221.89172</v>
      </c>
      <c r="CC18" s="17"/>
      <c r="CD18" s="158">
        <f t="shared" si="38"/>
        <v>54885.41131</v>
      </c>
      <c r="CE18" s="17"/>
      <c r="CF18" s="17"/>
    </row>
    <row r="19">
      <c r="A19" s="17"/>
      <c r="B19" s="157" t="s">
        <v>164</v>
      </c>
      <c r="C19" s="158"/>
      <c r="D19" s="158" t="str">
        <f t="shared" ref="D19:N19" si="86">C57</f>
        <v/>
      </c>
      <c r="E19" s="158" t="str">
        <f t="shared" si="86"/>
        <v/>
      </c>
      <c r="F19" s="158" t="str">
        <f t="shared" si="86"/>
        <v/>
      </c>
      <c r="G19" s="158" t="str">
        <f t="shared" si="86"/>
        <v/>
      </c>
      <c r="H19" s="158" t="str">
        <f t="shared" si="86"/>
        <v/>
      </c>
      <c r="I19" s="158" t="str">
        <f t="shared" si="86"/>
        <v/>
      </c>
      <c r="J19" s="158" t="str">
        <f t="shared" si="86"/>
        <v/>
      </c>
      <c r="K19" s="158" t="str">
        <f t="shared" si="86"/>
        <v/>
      </c>
      <c r="L19" s="158" t="str">
        <f t="shared" si="86"/>
        <v/>
      </c>
      <c r="M19" s="158" t="str">
        <f t="shared" si="86"/>
        <v/>
      </c>
      <c r="N19" s="158" t="str">
        <f t="shared" si="86"/>
        <v/>
      </c>
      <c r="O19" s="158" t="str">
        <f t="shared" ref="O19:P19" si="87">M57</f>
        <v/>
      </c>
      <c r="P19" s="158" t="str">
        <f t="shared" si="87"/>
        <v/>
      </c>
      <c r="Q19" s="158"/>
      <c r="R19" s="158" t="str">
        <f t="shared" si="8"/>
        <v/>
      </c>
      <c r="S19" s="158"/>
      <c r="T19" s="158">
        <f t="shared" si="9"/>
        <v>243902.439</v>
      </c>
      <c r="U19" s="158"/>
      <c r="V19" s="158">
        <f t="shared" si="10"/>
        <v>243902.439</v>
      </c>
      <c r="W19" s="158"/>
      <c r="X19" s="158">
        <f t="shared" si="11"/>
        <v>243902.439</v>
      </c>
      <c r="Y19" s="158"/>
      <c r="Z19" s="158">
        <f t="shared" si="12"/>
        <v>243902.439</v>
      </c>
      <c r="AA19" s="158"/>
      <c r="AB19" s="158">
        <f t="shared" si="13"/>
        <v>243902.439</v>
      </c>
      <c r="AC19" s="158"/>
      <c r="AD19" s="158">
        <f t="shared" si="14"/>
        <v>243902.439</v>
      </c>
      <c r="AE19" s="158"/>
      <c r="AF19" s="158">
        <f t="shared" si="15"/>
        <v>243902.439</v>
      </c>
      <c r="AG19" s="158"/>
      <c r="AH19" s="158">
        <f t="shared" si="16"/>
        <v>243902.439</v>
      </c>
      <c r="AI19" s="158"/>
      <c r="AJ19" s="158">
        <f t="shared" si="17"/>
        <v>240963.8554</v>
      </c>
      <c r="AK19" s="158"/>
      <c r="AL19" s="158">
        <f t="shared" si="18"/>
        <v>240963.8554</v>
      </c>
      <c r="AM19" s="158"/>
      <c r="AN19" s="158">
        <f t="shared" si="19"/>
        <v>240963.8554</v>
      </c>
      <c r="AO19" s="158"/>
      <c r="AP19" s="158">
        <f t="shared" si="67"/>
        <v>240963.8554</v>
      </c>
      <c r="AQ19" s="158" t="str">
        <f t="shared" ref="AQ19:AR19" si="88">AO57</f>
        <v/>
      </c>
      <c r="AR19" s="158">
        <f t="shared" si="88"/>
        <v>240963.8554</v>
      </c>
      <c r="AS19" s="158"/>
      <c r="AT19" s="158">
        <f t="shared" si="21"/>
        <v>240963.8554</v>
      </c>
      <c r="AU19" s="158"/>
      <c r="AV19" s="158">
        <f t="shared" si="22"/>
        <v>26506.0241</v>
      </c>
      <c r="AW19" s="158"/>
      <c r="AX19" s="158">
        <f t="shared" si="23"/>
        <v>26506.0241</v>
      </c>
      <c r="AY19" s="158"/>
      <c r="AZ19" s="158">
        <f t="shared" si="24"/>
        <v>26506.0241</v>
      </c>
      <c r="BA19" s="158"/>
      <c r="BB19" s="158">
        <f t="shared" si="25"/>
        <v>26506.0241</v>
      </c>
      <c r="BC19" s="158"/>
      <c r="BD19" s="158">
        <f t="shared" si="26"/>
        <v>26506.0241</v>
      </c>
      <c r="BE19" s="158"/>
      <c r="BF19" s="158">
        <f t="shared" si="27"/>
        <v>26506.0241</v>
      </c>
      <c r="BG19" s="158"/>
      <c r="BH19" s="158">
        <f t="shared" si="28"/>
        <v>25882.35294</v>
      </c>
      <c r="BI19" s="158"/>
      <c r="BJ19" s="158">
        <f t="shared" si="29"/>
        <v>25882.35294</v>
      </c>
      <c r="BK19" s="158"/>
      <c r="BL19" s="158">
        <f t="shared" si="30"/>
        <v>25882.35294</v>
      </c>
      <c r="BM19" s="158"/>
      <c r="BN19" s="158">
        <f t="shared" ref="BN19:BP19" si="89">BL57</f>
        <v>25577.85467</v>
      </c>
      <c r="BO19" s="158" t="str">
        <f t="shared" si="89"/>
        <v/>
      </c>
      <c r="BP19" s="158">
        <f t="shared" si="89"/>
        <v>25577.85467</v>
      </c>
      <c r="BQ19" s="49"/>
      <c r="BR19" s="158">
        <f t="shared" si="32"/>
        <v>25577.85467</v>
      </c>
      <c r="BS19" s="49"/>
      <c r="BT19" s="158">
        <f t="shared" si="33"/>
        <v>25577.85467</v>
      </c>
      <c r="BU19" s="49"/>
      <c r="BV19" s="158">
        <f t="shared" si="34"/>
        <v>25577.85467</v>
      </c>
      <c r="BW19" s="17"/>
      <c r="BX19" s="158">
        <f t="shared" si="35"/>
        <v>25577.85467</v>
      </c>
      <c r="BY19" s="159"/>
      <c r="BZ19" s="158">
        <f t="shared" si="36"/>
        <v>25577.85467</v>
      </c>
      <c r="CA19" s="159"/>
      <c r="CB19" s="158">
        <f t="shared" si="37"/>
        <v>25577.85467</v>
      </c>
      <c r="CC19" s="17"/>
      <c r="CD19" s="158">
        <f t="shared" si="38"/>
        <v>24428.28817</v>
      </c>
      <c r="CE19" s="17"/>
      <c r="CF19" s="17"/>
    </row>
    <row r="20">
      <c r="A20" s="17"/>
      <c r="B20" s="157" t="s">
        <v>165</v>
      </c>
      <c r="C20" s="158"/>
      <c r="D20" s="158" t="str">
        <f t="shared" ref="D20:N20" si="90">C58</f>
        <v/>
      </c>
      <c r="E20" s="158" t="str">
        <f t="shared" si="90"/>
        <v/>
      </c>
      <c r="F20" s="158" t="str">
        <f t="shared" si="90"/>
        <v/>
      </c>
      <c r="G20" s="158" t="str">
        <f t="shared" si="90"/>
        <v/>
      </c>
      <c r="H20" s="158" t="str">
        <f t="shared" si="90"/>
        <v/>
      </c>
      <c r="I20" s="158" t="str">
        <f t="shared" si="90"/>
        <v/>
      </c>
      <c r="J20" s="158" t="str">
        <f t="shared" si="90"/>
        <v/>
      </c>
      <c r="K20" s="158" t="str">
        <f t="shared" si="90"/>
        <v/>
      </c>
      <c r="L20" s="158" t="str">
        <f t="shared" si="90"/>
        <v/>
      </c>
      <c r="M20" s="158" t="str">
        <f t="shared" si="90"/>
        <v/>
      </c>
      <c r="N20" s="158" t="str">
        <f t="shared" si="90"/>
        <v/>
      </c>
      <c r="O20" s="158" t="str">
        <f t="shared" ref="O20:P20" si="91">M58</f>
        <v/>
      </c>
      <c r="P20" s="158" t="str">
        <f t="shared" si="91"/>
        <v/>
      </c>
      <c r="Q20" s="158"/>
      <c r="R20" s="158">
        <f t="shared" si="8"/>
        <v>5365853.66</v>
      </c>
      <c r="S20" s="158"/>
      <c r="T20" s="158">
        <f t="shared" si="9"/>
        <v>5121951.22</v>
      </c>
      <c r="U20" s="158"/>
      <c r="V20" s="158">
        <f t="shared" si="10"/>
        <v>6219512.2</v>
      </c>
      <c r="W20" s="158"/>
      <c r="X20" s="158">
        <f t="shared" si="11"/>
        <v>5252467.862</v>
      </c>
      <c r="Y20" s="158"/>
      <c r="Z20" s="158">
        <f t="shared" si="12"/>
        <v>4891060.381</v>
      </c>
      <c r="AA20" s="158"/>
      <c r="AB20" s="158">
        <f t="shared" si="13"/>
        <v>4653168.942</v>
      </c>
      <c r="AC20" s="158"/>
      <c r="AD20" s="158">
        <f t="shared" si="14"/>
        <v>4653168.942</v>
      </c>
      <c r="AE20" s="158"/>
      <c r="AF20" s="158">
        <f t="shared" si="15"/>
        <v>4476826.747</v>
      </c>
      <c r="AG20" s="158"/>
      <c r="AH20" s="158">
        <f t="shared" si="16"/>
        <v>2721617.411</v>
      </c>
      <c r="AI20" s="158"/>
      <c r="AJ20" s="158">
        <f t="shared" si="17"/>
        <v>2688826.84</v>
      </c>
      <c r="AK20" s="158"/>
      <c r="AL20" s="158">
        <f t="shared" si="18"/>
        <v>11724971.42</v>
      </c>
      <c r="AM20" s="158"/>
      <c r="AN20" s="158">
        <f t="shared" si="19"/>
        <v>11724971.42</v>
      </c>
      <c r="AO20" s="158"/>
      <c r="AP20" s="158">
        <f t="shared" si="67"/>
        <v>11274009.67</v>
      </c>
      <c r="AQ20" s="158">
        <f t="shared" ref="AQ20:AR20" si="92">AO58</f>
        <v>0</v>
      </c>
      <c r="AR20" s="158">
        <f t="shared" si="92"/>
        <v>10934911.26</v>
      </c>
      <c r="AS20" s="158"/>
      <c r="AT20" s="158">
        <f t="shared" si="21"/>
        <v>10927400.09</v>
      </c>
      <c r="AU20" s="158"/>
      <c r="AV20" s="158">
        <f t="shared" si="22"/>
        <v>11325902.82</v>
      </c>
      <c r="AW20" s="158"/>
      <c r="AX20" s="158">
        <f t="shared" si="23"/>
        <v>10956344.24</v>
      </c>
      <c r="AY20" s="158"/>
      <c r="AZ20" s="158">
        <f t="shared" si="24"/>
        <v>10294414.02</v>
      </c>
      <c r="BA20" s="158"/>
      <c r="BB20" s="158">
        <f t="shared" si="25"/>
        <v>9863671.824</v>
      </c>
      <c r="BC20" s="158"/>
      <c r="BD20" s="158">
        <f t="shared" si="26"/>
        <v>8818404.933</v>
      </c>
      <c r="BE20" s="158"/>
      <c r="BF20" s="158">
        <f t="shared" si="27"/>
        <v>8579586.384</v>
      </c>
      <c r="BG20" s="158"/>
      <c r="BH20" s="158">
        <f t="shared" si="28"/>
        <v>8054229.633</v>
      </c>
      <c r="BI20" s="158"/>
      <c r="BJ20" s="158">
        <f t="shared" si="29"/>
        <v>7732271.657</v>
      </c>
      <c r="BK20" s="158"/>
      <c r="BL20" s="158">
        <f t="shared" si="30"/>
        <v>7187197.299</v>
      </c>
      <c r="BM20" s="158"/>
      <c r="BN20" s="158">
        <f t="shared" ref="BN20:BP20" si="93">BL58</f>
        <v>6548758.087</v>
      </c>
      <c r="BO20" s="158">
        <f t="shared" si="93"/>
        <v>0</v>
      </c>
      <c r="BP20" s="158">
        <f t="shared" si="93"/>
        <v>5914580.817</v>
      </c>
      <c r="BQ20" s="49"/>
      <c r="BR20" s="158">
        <f t="shared" si="32"/>
        <v>5491817.146</v>
      </c>
      <c r="BS20" s="49"/>
      <c r="BT20" s="158">
        <f t="shared" si="33"/>
        <v>4966623.181</v>
      </c>
      <c r="BU20" s="49"/>
      <c r="BV20" s="158">
        <f t="shared" si="34"/>
        <v>4345954.64</v>
      </c>
      <c r="BW20" s="17"/>
      <c r="BX20" s="158">
        <f t="shared" si="35"/>
        <v>3804155.146</v>
      </c>
      <c r="BY20" s="159"/>
      <c r="BZ20" s="158">
        <f t="shared" si="36"/>
        <v>3180235.04</v>
      </c>
      <c r="CA20" s="159"/>
      <c r="CB20" s="158">
        <f t="shared" si="37"/>
        <v>2557860.658</v>
      </c>
      <c r="CC20" s="17"/>
      <c r="CD20" s="158">
        <f t="shared" si="38"/>
        <v>1677082.474</v>
      </c>
      <c r="CE20" s="17"/>
      <c r="CF20" s="17"/>
    </row>
    <row r="21" ht="15.75" customHeight="1">
      <c r="A21" s="17"/>
      <c r="B21" s="153" t="s">
        <v>166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1"/>
      <c r="R21" s="161"/>
      <c r="S21" s="161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17"/>
      <c r="BX21" s="49"/>
      <c r="BY21" s="49"/>
      <c r="BZ21" s="49"/>
      <c r="CA21" s="49"/>
      <c r="CB21" s="49"/>
      <c r="CC21" s="17"/>
      <c r="CD21" s="49"/>
      <c r="CE21" s="17"/>
      <c r="CF21" s="17"/>
    </row>
    <row r="22" ht="15.75" customHeight="1">
      <c r="A22" s="17"/>
      <c r="B22" s="157" t="s">
        <v>167</v>
      </c>
      <c r="C22" s="160">
        <v>20046.2659756098</v>
      </c>
      <c r="D22" s="160">
        <v>11489.0242682927</v>
      </c>
      <c r="E22" s="160">
        <v>29970.7417073171</v>
      </c>
      <c r="F22" s="160">
        <v>51473.8813414634</v>
      </c>
      <c r="G22" s="160">
        <v>28644.2675609756</v>
      </c>
      <c r="H22" s="160">
        <v>74000.0809756098</v>
      </c>
      <c r="I22" s="160">
        <v>89887.9032926829</v>
      </c>
      <c r="J22" s="160">
        <v>75287.5626829268</v>
      </c>
      <c r="K22" s="160">
        <v>119944.121341463</v>
      </c>
      <c r="L22" s="160">
        <v>106949.403536585</v>
      </c>
      <c r="M22" s="160">
        <v>117178.641219512</v>
      </c>
      <c r="N22" s="160">
        <v>203656.779146341</v>
      </c>
      <c r="O22" s="160"/>
      <c r="P22" s="160">
        <v>204631.429146341</v>
      </c>
      <c r="Q22" s="161"/>
      <c r="R22" s="34">
        <v>209827.7</v>
      </c>
      <c r="S22" s="34"/>
      <c r="T22" s="34">
        <v>265925.547073171</v>
      </c>
      <c r="U22" s="34"/>
      <c r="V22" s="34">
        <v>215309.88</v>
      </c>
      <c r="W22" s="34"/>
      <c r="X22" s="34">
        <v>259200.07</v>
      </c>
      <c r="Y22" s="34"/>
      <c r="Z22" s="34">
        <v>291715.05597561004</v>
      </c>
      <c r="AA22" s="34"/>
      <c r="AB22" s="34">
        <v>265367.188658537</v>
      </c>
      <c r="AC22" s="34"/>
      <c r="AD22" s="34">
        <v>335523.586097561</v>
      </c>
      <c r="AE22" s="34"/>
      <c r="AF22" s="34">
        <v>314868.325365854</v>
      </c>
      <c r="AG22" s="34"/>
      <c r="AH22" s="34">
        <v>526024.493614458</v>
      </c>
      <c r="AI22" s="34"/>
      <c r="AJ22" s="34">
        <v>499478.67493975896</v>
      </c>
      <c r="AK22" s="34"/>
      <c r="AL22" s="34">
        <v>548792.499518072</v>
      </c>
      <c r="AM22" s="34"/>
      <c r="AN22" s="34">
        <v>527626.1934939758</v>
      </c>
      <c r="AO22" s="34"/>
      <c r="AP22" s="34">
        <v>578644.0567469881</v>
      </c>
      <c r="AQ22" s="34"/>
      <c r="AR22" s="34">
        <v>566805.9762650602</v>
      </c>
      <c r="AS22" s="34"/>
      <c r="AT22" s="34">
        <v>839676.0230120482</v>
      </c>
      <c r="AU22" s="34"/>
      <c r="AV22" s="34">
        <v>648097.4078313252</v>
      </c>
      <c r="AW22" s="49"/>
      <c r="AX22" s="49">
        <v>560493.6151807229</v>
      </c>
      <c r="AY22" s="49"/>
      <c r="AZ22" s="49">
        <v>729965.514819277</v>
      </c>
      <c r="BA22" s="49"/>
      <c r="BB22" s="49">
        <v>654485.368795181</v>
      </c>
      <c r="BC22" s="49"/>
      <c r="BD22" s="49">
        <v>818090.3426506022</v>
      </c>
      <c r="BE22" s="49"/>
      <c r="BF22" s="49">
        <v>885023.446746988</v>
      </c>
      <c r="BG22" s="49"/>
      <c r="BH22" s="49">
        <v>739124.892261905</v>
      </c>
      <c r="BI22" s="49"/>
      <c r="BJ22" s="49">
        <f>1143232.7747619</f>
        <v>1143232.775</v>
      </c>
      <c r="BK22" s="49"/>
      <c r="BL22" s="49">
        <f>315091.393647059+566450.56-6198.74658823529</f>
        <v>875343.2071</v>
      </c>
      <c r="BM22" s="49"/>
      <c r="BN22" s="49">
        <f>337971.833764706+611898.53</f>
        <v>949870.3638</v>
      </c>
      <c r="BO22" s="49"/>
      <c r="BP22" s="49">
        <f>313054.165058824+813460.47</f>
        <v>1126514.635</v>
      </c>
      <c r="BQ22" s="49"/>
      <c r="BR22" s="49">
        <f>459933.959176471+783917.71</f>
        <v>1243851.669</v>
      </c>
      <c r="BS22" s="49"/>
      <c r="BT22" s="49">
        <f>340043.55+748351.61</f>
        <v>1088395.16</v>
      </c>
      <c r="BU22" s="49"/>
      <c r="BV22" s="49">
        <f>350408.654823529+762919.65</f>
        <v>1113328.305</v>
      </c>
      <c r="BW22" s="162"/>
      <c r="BX22" s="49">
        <v>1185278.19</v>
      </c>
      <c r="BY22" s="49"/>
      <c r="BZ22" s="49">
        <v>1197704.11</v>
      </c>
      <c r="CA22" s="17"/>
      <c r="CB22" s="49">
        <v>1386831.42</v>
      </c>
      <c r="CC22" s="17"/>
      <c r="CD22" s="49">
        <v>1274394.09</v>
      </c>
      <c r="CE22" s="17"/>
      <c r="CF22" s="17"/>
    </row>
    <row r="23" ht="15.75" customHeight="1">
      <c r="A23" s="17"/>
      <c r="B23" s="163" t="s">
        <v>168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34"/>
      <c r="S23" s="34"/>
      <c r="T23" s="34"/>
      <c r="U23" s="34"/>
      <c r="V23" s="34"/>
      <c r="W23" s="34"/>
      <c r="X23" s="34"/>
      <c r="Y23" s="34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>
        <v>0.0</v>
      </c>
      <c r="AW23" s="159"/>
      <c r="AX23" s="159">
        <v>0.0</v>
      </c>
      <c r="AY23" s="159"/>
      <c r="AZ23" s="159">
        <v>0.0</v>
      </c>
      <c r="BA23" s="15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17"/>
      <c r="BX23" s="49"/>
      <c r="BY23" s="49"/>
      <c r="BZ23" s="49"/>
      <c r="CA23" s="17"/>
      <c r="CB23" s="49"/>
      <c r="CC23" s="17"/>
      <c r="CD23" s="49"/>
      <c r="CE23" s="17"/>
      <c r="CF23" s="17"/>
    </row>
    <row r="24" ht="15.75" customHeight="1">
      <c r="A24" s="17"/>
      <c r="B24" s="157" t="s">
        <v>95</v>
      </c>
      <c r="C24" s="160">
        <v>1585.36585365854</v>
      </c>
      <c r="D24" s="160">
        <v>1969.97780487805</v>
      </c>
      <c r="E24" s="160">
        <v>14462.8754878049</v>
      </c>
      <c r="F24" s="160">
        <v>17253.6585365854</v>
      </c>
      <c r="G24" s="160">
        <v>25972.6829268293</v>
      </c>
      <c r="H24" s="160">
        <v>13989.7406097561</v>
      </c>
      <c r="I24" s="160">
        <v>83.6675609756098</v>
      </c>
      <c r="J24" s="160">
        <v>8350.24390243902</v>
      </c>
      <c r="K24" s="160">
        <v>14408.7804878049</v>
      </c>
      <c r="L24" s="160">
        <v>17312.7991463415</v>
      </c>
      <c r="M24" s="160">
        <v>42000.3803658537</v>
      </c>
      <c r="N24" s="160">
        <v>26872.5707317073</v>
      </c>
      <c r="O24" s="160"/>
      <c r="P24" s="160">
        <v>28119.512195122</v>
      </c>
      <c r="Q24" s="161"/>
      <c r="R24" s="34">
        <v>23268.2967073171</v>
      </c>
      <c r="S24" s="34"/>
      <c r="T24" s="161">
        <v>99304.88207317071</v>
      </c>
      <c r="U24" s="161"/>
      <c r="V24" s="161">
        <v>25933.130000000005</v>
      </c>
      <c r="W24" s="161"/>
      <c r="X24" s="161">
        <v>88175.0</v>
      </c>
      <c r="Y24" s="161"/>
      <c r="Z24" s="161">
        <v>33391.0975609756</v>
      </c>
      <c r="AA24" s="161"/>
      <c r="AB24" s="161">
        <v>25192.4284146341</v>
      </c>
      <c r="AC24" s="161"/>
      <c r="AD24" s="161">
        <v>36965.8536585366</v>
      </c>
      <c r="AE24" s="161"/>
      <c r="AF24" s="161">
        <v>48962.1951219512</v>
      </c>
      <c r="AG24" s="161"/>
      <c r="AH24" s="161">
        <v>34243.3734939759</v>
      </c>
      <c r="AI24" s="161"/>
      <c r="AJ24" s="161">
        <v>67621.9746987952</v>
      </c>
      <c r="AK24" s="161"/>
      <c r="AL24" s="161">
        <v>40445.4159036145</v>
      </c>
      <c r="AM24" s="161"/>
      <c r="AN24" s="161">
        <v>24934.3398795181</v>
      </c>
      <c r="AO24" s="161"/>
      <c r="AP24" s="161">
        <v>51324.1596385542</v>
      </c>
      <c r="AQ24" s="161"/>
      <c r="AR24" s="161">
        <v>37277.6153012048</v>
      </c>
      <c r="AS24" s="161"/>
      <c r="AT24" s="161">
        <v>40933.6419277108</v>
      </c>
      <c r="AU24" s="161"/>
      <c r="AV24" s="161">
        <v>58559.6445783133</v>
      </c>
      <c r="AW24" s="159"/>
      <c r="AX24" s="159">
        <v>71001.8674698795</v>
      </c>
      <c r="AY24" s="159"/>
      <c r="AZ24" s="159">
        <v>37346.530120481926</v>
      </c>
      <c r="BA24" s="159"/>
      <c r="BB24" s="49">
        <v>26538.072289156626</v>
      </c>
      <c r="BC24" s="49"/>
      <c r="BD24" s="49">
        <v>4846.987951807229</v>
      </c>
      <c r="BE24" s="49"/>
      <c r="BF24" s="49">
        <v>69782.23819277108</v>
      </c>
      <c r="BG24" s="49"/>
      <c r="BH24" s="49">
        <v>19362.736785714285</v>
      </c>
      <c r="BI24" s="49"/>
      <c r="BJ24" s="49">
        <v>83283.10107142858</v>
      </c>
      <c r="BK24" s="49"/>
      <c r="BL24" s="49">
        <v>86465.0350588235</v>
      </c>
      <c r="BM24" s="49"/>
      <c r="BN24" s="49">
        <v>89289.324</v>
      </c>
      <c r="BO24" s="49"/>
      <c r="BP24" s="49">
        <v>59972.0342352941</v>
      </c>
      <c r="BQ24" s="49"/>
      <c r="BR24" s="49">
        <f>70658.7372941176+52000</f>
        <v>122658.7373</v>
      </c>
      <c r="BS24" s="49"/>
      <c r="BT24" s="49">
        <f>65484.43+23400</f>
        <v>88884.43</v>
      </c>
      <c r="BU24" s="49"/>
      <c r="BV24" s="49">
        <f>126701.498941176+31000</f>
        <v>157701.4989</v>
      </c>
      <c r="BW24" s="162"/>
      <c r="BX24" s="49">
        <v>73608.47</v>
      </c>
      <c r="BY24" s="49"/>
      <c r="BZ24" s="49">
        <v>102731.48</v>
      </c>
      <c r="CA24" s="17"/>
      <c r="CB24" s="49">
        <v>208150.01</v>
      </c>
      <c r="CC24" s="17"/>
      <c r="CD24" s="49">
        <v>182819.42</v>
      </c>
      <c r="CE24" s="17"/>
      <c r="CF24" s="17"/>
    </row>
    <row r="25" ht="15.75" customHeight="1">
      <c r="A25" s="17"/>
      <c r="B25" s="157" t="s">
        <v>85</v>
      </c>
      <c r="C25" s="160">
        <v>4595.99195121951</v>
      </c>
      <c r="D25" s="160">
        <v>7984.70487804878</v>
      </c>
      <c r="E25" s="160">
        <v>3324.7743902439</v>
      </c>
      <c r="F25" s="160">
        <v>32007.666097561</v>
      </c>
      <c r="G25" s="160">
        <v>10797.2195121951</v>
      </c>
      <c r="H25" s="160">
        <v>25397.2156097561</v>
      </c>
      <c r="I25" s="160">
        <v>24518.2631707317</v>
      </c>
      <c r="J25" s="160">
        <v>18875.2426829268</v>
      </c>
      <c r="K25" s="160">
        <v>11703.5975609756</v>
      </c>
      <c r="L25" s="160">
        <v>24318.0982926829</v>
      </c>
      <c r="M25" s="160">
        <v>15416.7317073171</v>
      </c>
      <c r="N25" s="160">
        <v>17513.5485365854</v>
      </c>
      <c r="O25" s="160"/>
      <c r="P25" s="160">
        <v>22224.7040243902</v>
      </c>
      <c r="Q25" s="161"/>
      <c r="R25" s="34">
        <v>35862.188048780496</v>
      </c>
      <c r="S25" s="34"/>
      <c r="T25" s="161">
        <v>24146.3454878049</v>
      </c>
      <c r="U25" s="161"/>
      <c r="V25" s="161">
        <v>39448.73</v>
      </c>
      <c r="W25" s="161"/>
      <c r="X25" s="161">
        <v>22576.0</v>
      </c>
      <c r="Y25" s="161"/>
      <c r="Z25" s="161">
        <v>24292.1097560976</v>
      </c>
      <c r="AA25" s="161"/>
      <c r="AB25" s="161">
        <v>55061.2359756098</v>
      </c>
      <c r="AC25" s="161"/>
      <c r="AD25" s="161">
        <v>22396.86475609755</v>
      </c>
      <c r="AE25" s="161"/>
      <c r="AF25" s="161">
        <v>31986.7317073171</v>
      </c>
      <c r="AG25" s="161"/>
      <c r="AH25" s="161">
        <v>48341.70481927711</v>
      </c>
      <c r="AI25" s="161"/>
      <c r="AJ25" s="161">
        <v>36229.48614457832</v>
      </c>
      <c r="AK25" s="161"/>
      <c r="AL25" s="161">
        <v>36983.9156626506</v>
      </c>
      <c r="AM25" s="161"/>
      <c r="AN25" s="161">
        <v>65104.6493975904</v>
      </c>
      <c r="AO25" s="161"/>
      <c r="AP25" s="161">
        <v>46554.1602409639</v>
      </c>
      <c r="AQ25" s="161"/>
      <c r="AR25" s="161">
        <v>34313.686746988</v>
      </c>
      <c r="AS25" s="161"/>
      <c r="AT25" s="161">
        <v>70654.0602409639</v>
      </c>
      <c r="AU25" s="161"/>
      <c r="AV25" s="161">
        <v>56172.265060241</v>
      </c>
      <c r="AW25" s="159"/>
      <c r="AX25" s="159">
        <v>40285.7590361446</v>
      </c>
      <c r="AY25" s="159"/>
      <c r="AZ25" s="159">
        <v>74448.2530120482</v>
      </c>
      <c r="BA25" s="159"/>
      <c r="BB25" s="49">
        <v>46867.048192771086</v>
      </c>
      <c r="BC25" s="49"/>
      <c r="BD25" s="49">
        <v>46231.19277108434</v>
      </c>
      <c r="BE25" s="49"/>
      <c r="BF25" s="49">
        <v>70045.60240963854</v>
      </c>
      <c r="BG25" s="49"/>
      <c r="BH25" s="49">
        <v>46903.27380952381</v>
      </c>
      <c r="BI25" s="49"/>
      <c r="BJ25" s="49">
        <v>52316.607142857145</v>
      </c>
      <c r="BK25" s="49"/>
      <c r="BL25" s="49">
        <v>46736.2625882353</v>
      </c>
      <c r="BM25" s="49"/>
      <c r="BN25" s="49">
        <v>59379.8705882353</v>
      </c>
      <c r="BO25" s="49"/>
      <c r="BP25" s="49">
        <v>57466.3787058824</v>
      </c>
      <c r="BQ25" s="49"/>
      <c r="BR25" s="49">
        <f>105189.240235294+496</f>
        <v>105685.2402</v>
      </c>
      <c r="BS25" s="49"/>
      <c r="BT25" s="49">
        <f>61202.22+122613.79</f>
        <v>183816.01</v>
      </c>
      <c r="BU25" s="49"/>
      <c r="BV25" s="49">
        <f>60455.3547058824+22396.66</f>
        <v>82852.01471</v>
      </c>
      <c r="BW25" s="162"/>
      <c r="BX25" s="49">
        <f>106649.717647059+8479.66</f>
        <v>115129.3776</v>
      </c>
      <c r="BY25" s="49"/>
      <c r="BZ25" s="49">
        <v>71938.68</v>
      </c>
      <c r="CA25" s="17"/>
      <c r="CB25" s="49">
        <v>68598.46</v>
      </c>
      <c r="CC25" s="17"/>
      <c r="CD25" s="49">
        <v>117160.22</v>
      </c>
      <c r="CE25" s="17"/>
      <c r="CF25" s="17"/>
    </row>
    <row r="26" ht="15.75" customHeight="1">
      <c r="A26" s="17"/>
      <c r="B26" s="157" t="s">
        <v>106</v>
      </c>
      <c r="C26" s="160">
        <v>14233.2317073171</v>
      </c>
      <c r="D26" s="160">
        <v>9738.42768292683</v>
      </c>
      <c r="E26" s="160">
        <v>23100.7620731707</v>
      </c>
      <c r="F26" s="160">
        <v>43077.9952439024</v>
      </c>
      <c r="G26" s="160">
        <v>54125.6373170732</v>
      </c>
      <c r="H26" s="160">
        <v>42578.7768292683</v>
      </c>
      <c r="I26" s="160">
        <v>75723.8697560976</v>
      </c>
      <c r="J26" s="160">
        <v>58170.8402439024</v>
      </c>
      <c r="K26" s="160">
        <v>147400.660853659</v>
      </c>
      <c r="L26" s="160">
        <v>106618.519268293</v>
      </c>
      <c r="M26" s="160">
        <v>152935.132804878</v>
      </c>
      <c r="N26" s="160">
        <v>239549.951896378</v>
      </c>
      <c r="O26" s="160"/>
      <c r="P26" s="160">
        <v>276229.8980487805</v>
      </c>
      <c r="Q26" s="161"/>
      <c r="R26" s="34">
        <v>389506.16000000003</v>
      </c>
      <c r="S26" s="34"/>
      <c r="T26" s="161">
        <v>227697.6381707319</v>
      </c>
      <c r="U26" s="161"/>
      <c r="V26" s="161">
        <v>364840.85817073163</v>
      </c>
      <c r="W26" s="161"/>
      <c r="X26" s="161">
        <v>312077.3590243902</v>
      </c>
      <c r="Y26" s="161"/>
      <c r="Z26" s="161">
        <v>285081.8273170735</v>
      </c>
      <c r="AA26" s="161"/>
      <c r="AB26" s="161">
        <v>401981.55951219477</v>
      </c>
      <c r="AC26" s="161"/>
      <c r="AD26" s="161">
        <v>299553.40890243876</v>
      </c>
      <c r="AE26" s="161"/>
      <c r="AF26" s="161">
        <v>376645.758658536</v>
      </c>
      <c r="AG26" s="161"/>
      <c r="AH26" s="161">
        <v>519431.92233734904</v>
      </c>
      <c r="AI26" s="161"/>
      <c r="AJ26" s="161">
        <v>282247.26686747</v>
      </c>
      <c r="AK26" s="161"/>
      <c r="AL26" s="161">
        <v>331433.975783132</v>
      </c>
      <c r="AM26" s="161"/>
      <c r="AN26" s="161">
        <v>425827.354939759</v>
      </c>
      <c r="AO26" s="161"/>
      <c r="AP26" s="161">
        <v>552066.1437349401</v>
      </c>
      <c r="AQ26" s="161"/>
      <c r="AR26" s="161">
        <v>418613.165582663</v>
      </c>
      <c r="AS26" s="161"/>
      <c r="AT26" s="161">
        <v>659797.7486746989</v>
      </c>
      <c r="AU26" s="161"/>
      <c r="AV26" s="161">
        <v>441855.352289157</v>
      </c>
      <c r="AW26" s="159"/>
      <c r="AX26" s="159">
        <v>547660.5672289161</v>
      </c>
      <c r="AY26" s="159"/>
      <c r="AZ26" s="159">
        <v>693999.1310843371</v>
      </c>
      <c r="BA26" s="159"/>
      <c r="BB26" s="49">
        <v>568295.0825301205</v>
      </c>
      <c r="BC26" s="49"/>
      <c r="BD26" s="49">
        <v>533473.5877108434</v>
      </c>
      <c r="BE26" s="49"/>
      <c r="BF26" s="49">
        <v>766868.9344578314</v>
      </c>
      <c r="BG26" s="49"/>
      <c r="BH26" s="49">
        <f>539084.732857143+10019.6649956964</f>
        <v>549104.3979</v>
      </c>
      <c r="BI26" s="49"/>
      <c r="BJ26" s="49">
        <f>746845.927857143+1547.33142857254</f>
        <v>748393.2593</v>
      </c>
      <c r="BK26" s="49"/>
      <c r="BL26" s="49">
        <f>461255.76+442641.52</f>
        <v>903897.28</v>
      </c>
      <c r="BM26" s="49"/>
      <c r="BN26" s="49">
        <f>421637.346588235+323518.79-15000</f>
        <v>730156.1366</v>
      </c>
      <c r="BO26" s="49"/>
      <c r="BP26" s="49">
        <f>422785.713764706+354450.15+15000</f>
        <v>792235.8638</v>
      </c>
      <c r="BQ26" s="49"/>
      <c r="BR26" s="49">
        <f>566512.765647059+170659.86</f>
        <v>737172.6256</v>
      </c>
      <c r="BS26" s="49"/>
      <c r="BT26" s="49">
        <f>443352.57+183776.11</f>
        <v>627128.68</v>
      </c>
      <c r="BU26" s="49"/>
      <c r="BV26" s="49">
        <f>402142.889764706+307057.03</f>
        <v>709199.9198</v>
      </c>
      <c r="BW26" s="162"/>
      <c r="BX26" s="49">
        <v>485682.07</v>
      </c>
      <c r="BY26" s="49"/>
      <c r="BZ26" s="49">
        <v>1225123.67</v>
      </c>
      <c r="CA26" s="17"/>
      <c r="CB26" s="49">
        <v>713341.54</v>
      </c>
      <c r="CC26" s="17"/>
      <c r="CD26" s="49">
        <v>726969.3</v>
      </c>
      <c r="CE26" s="17"/>
      <c r="CF26" s="17"/>
    </row>
    <row r="27" ht="15.75" customHeight="1">
      <c r="A27" s="17"/>
      <c r="B27" s="157" t="s">
        <v>114</v>
      </c>
      <c r="C27" s="160">
        <v>3163.10975609756</v>
      </c>
      <c r="D27" s="160">
        <v>16649.592804878</v>
      </c>
      <c r="E27" s="160">
        <v>1768.68890243902</v>
      </c>
      <c r="F27" s="160">
        <v>32988.387804878</v>
      </c>
      <c r="G27" s="160">
        <v>13479.6462195122</v>
      </c>
      <c r="H27" s="160">
        <v>24241.9869512195</v>
      </c>
      <c r="I27" s="160">
        <v>24743.7741463415</v>
      </c>
      <c r="J27" s="160">
        <v>28087.4959756098</v>
      </c>
      <c r="K27" s="160">
        <v>30211.9874390244</v>
      </c>
      <c r="L27" s="160">
        <v>33673.0907317073</v>
      </c>
      <c r="M27" s="160">
        <v>53582.2203658537</v>
      </c>
      <c r="N27" s="160">
        <v>51706.0697244024</v>
      </c>
      <c r="O27" s="160"/>
      <c r="P27" s="160">
        <v>59055.9951219512</v>
      </c>
      <c r="Q27" s="161"/>
      <c r="R27" s="34">
        <v>85114.36</v>
      </c>
      <c r="S27" s="34"/>
      <c r="T27" s="161">
        <v>54628.23463414633</v>
      </c>
      <c r="U27" s="161"/>
      <c r="V27" s="161">
        <v>67388.366</v>
      </c>
      <c r="W27" s="161"/>
      <c r="X27" s="161">
        <v>71313.62</v>
      </c>
      <c r="Y27" s="161"/>
      <c r="Z27" s="161">
        <v>78906.712195122</v>
      </c>
      <c r="AA27" s="161"/>
      <c r="AB27" s="161">
        <v>104821.6580487805</v>
      </c>
      <c r="AC27" s="161"/>
      <c r="AD27" s="161">
        <v>93309.4473170732</v>
      </c>
      <c r="AE27" s="161"/>
      <c r="AF27" s="161">
        <v>79618.8570731707</v>
      </c>
      <c r="AG27" s="161"/>
      <c r="AH27" s="161">
        <v>121114.9285542169</v>
      </c>
      <c r="AI27" s="161"/>
      <c r="AJ27" s="161">
        <v>105072.74216867471</v>
      </c>
      <c r="AK27" s="161"/>
      <c r="AL27" s="161">
        <v>112502.1596385542</v>
      </c>
      <c r="AM27" s="161"/>
      <c r="AN27" s="161">
        <v>149226.03000000003</v>
      </c>
      <c r="AO27" s="161"/>
      <c r="AP27" s="161">
        <v>177863.827108434</v>
      </c>
      <c r="AQ27" s="161"/>
      <c r="AR27" s="161">
        <v>149203.783413988</v>
      </c>
      <c r="AS27" s="161"/>
      <c r="AT27" s="161">
        <v>195606.2409638554</v>
      </c>
      <c r="AU27" s="161"/>
      <c r="AV27" s="161">
        <v>206412.03506024097</v>
      </c>
      <c r="AW27" s="159"/>
      <c r="AX27" s="159">
        <v>196165.474939759</v>
      </c>
      <c r="AY27" s="159"/>
      <c r="AZ27" s="159">
        <v>247028.264578313</v>
      </c>
      <c r="BA27" s="159"/>
      <c r="BB27" s="49">
        <v>235658.87024096388</v>
      </c>
      <c r="BC27" s="49"/>
      <c r="BD27" s="49">
        <v>220989.70506024093</v>
      </c>
      <c r="BE27" s="49"/>
      <c r="BF27" s="49">
        <v>159242.36469879528</v>
      </c>
      <c r="BG27" s="49"/>
      <c r="BH27" s="49">
        <v>217229.5786904762</v>
      </c>
      <c r="BI27" s="49"/>
      <c r="BJ27" s="49">
        <v>225836.97083333333</v>
      </c>
      <c r="BK27" s="49"/>
      <c r="BL27" s="49">
        <f>195436.179176471+89982.3</f>
        <v>285418.4792</v>
      </c>
      <c r="BM27" s="49"/>
      <c r="BN27" s="49">
        <f>188516.984941176+90508.04</f>
        <v>279025.0249</v>
      </c>
      <c r="BO27" s="49"/>
      <c r="BP27" s="49">
        <f>174214.630941176+67751.28</f>
        <v>241965.9109</v>
      </c>
      <c r="BQ27" s="49"/>
      <c r="BR27" s="49">
        <f>178615.997176471+127998.29</f>
        <v>306614.2872</v>
      </c>
      <c r="BS27" s="49"/>
      <c r="BT27" s="49">
        <f>164894.48+73092.73</f>
        <v>237987.21</v>
      </c>
      <c r="BU27" s="49"/>
      <c r="BV27" s="49">
        <f>171455.107294118+115741.36</f>
        <v>287196.4673</v>
      </c>
      <c r="BW27" s="162"/>
      <c r="BX27" s="49">
        <f>194424.796823529+145612.29</f>
        <v>340037.0868</v>
      </c>
      <c r="BY27" s="49"/>
      <c r="BZ27" s="49">
        <v>258341.14</v>
      </c>
      <c r="CA27" s="17"/>
      <c r="CB27" s="49">
        <v>268671.05</v>
      </c>
      <c r="CC27" s="17"/>
      <c r="CD27" s="49">
        <v>357993.55</v>
      </c>
      <c r="CE27" s="17"/>
      <c r="CF27" s="17"/>
    </row>
    <row r="28" ht="15.75" customHeight="1">
      <c r="A28" s="17"/>
      <c r="B28" s="157" t="s">
        <v>119</v>
      </c>
      <c r="C28" s="160">
        <v>40636.646097561</v>
      </c>
      <c r="D28" s="160">
        <v>26300.65</v>
      </c>
      <c r="E28" s="160">
        <v>33252.5765853659</v>
      </c>
      <c r="F28" s="160">
        <v>30769.5148780488</v>
      </c>
      <c r="G28" s="160">
        <v>60111.9979268293</v>
      </c>
      <c r="H28" s="160">
        <v>46937.0763414634</v>
      </c>
      <c r="I28" s="160">
        <v>114281.209390244</v>
      </c>
      <c r="J28" s="160">
        <v>69725.4297560975</v>
      </c>
      <c r="K28" s="160">
        <v>117222.068292683</v>
      </c>
      <c r="L28" s="160">
        <v>68819.8679268293</v>
      </c>
      <c r="M28" s="160">
        <v>70435.625</v>
      </c>
      <c r="N28" s="160">
        <v>214893.939699561</v>
      </c>
      <c r="O28" s="160"/>
      <c r="P28" s="160">
        <v>203642.323170732</v>
      </c>
      <c r="Q28" s="161"/>
      <c r="R28" s="34">
        <v>128534.719268293</v>
      </c>
      <c r="S28" s="34"/>
      <c r="T28" s="161">
        <v>150468.217926829</v>
      </c>
      <c r="U28" s="161"/>
      <c r="V28" s="161">
        <v>66013.71</v>
      </c>
      <c r="W28" s="161"/>
      <c r="X28" s="161">
        <v>165042.7648780488</v>
      </c>
      <c r="Y28" s="161"/>
      <c r="Z28" s="161">
        <v>179556.506097561</v>
      </c>
      <c r="AA28" s="161"/>
      <c r="AB28" s="161">
        <v>104072.27451219509</v>
      </c>
      <c r="AC28" s="161"/>
      <c r="AD28" s="161">
        <v>139307.579268293</v>
      </c>
      <c r="AE28" s="161"/>
      <c r="AF28" s="161">
        <v>159113.45</v>
      </c>
      <c r="AG28" s="161"/>
      <c r="AH28" s="161">
        <v>125430.62631648447</v>
      </c>
      <c r="AI28" s="161"/>
      <c r="AJ28" s="161">
        <v>138494.479518072</v>
      </c>
      <c r="AK28" s="161"/>
      <c r="AL28" s="161">
        <v>190186.6390361446</v>
      </c>
      <c r="AM28" s="161"/>
      <c r="AN28" s="161">
        <f>294367.952891566+6848.64807228744</f>
        <v>301216.601</v>
      </c>
      <c r="AO28" s="161"/>
      <c r="AP28" s="161">
        <v>157366.5551807229</v>
      </c>
      <c r="AQ28" s="161"/>
      <c r="AR28" s="161">
        <v>152012.24631204823</v>
      </c>
      <c r="AS28" s="161"/>
      <c r="AT28" s="161">
        <v>378359.641084337</v>
      </c>
      <c r="AU28" s="161"/>
      <c r="AV28" s="161">
        <v>150226.059036145</v>
      </c>
      <c r="AW28" s="159"/>
      <c r="AX28" s="159">
        <v>109251.6403614458</v>
      </c>
      <c r="AY28" s="159"/>
      <c r="AZ28" s="159">
        <v>185599.387831325</v>
      </c>
      <c r="BA28" s="159"/>
      <c r="BB28" s="49">
        <v>167429.12771084337</v>
      </c>
      <c r="BC28" s="49"/>
      <c r="BD28" s="49">
        <v>126070.13975903616</v>
      </c>
      <c r="BE28" s="49"/>
      <c r="BF28" s="49">
        <f>196647.512650603+114046.700632176+72020.020820694</f>
        <v>382714.2341</v>
      </c>
      <c r="BG28" s="49"/>
      <c r="BH28" s="49">
        <v>152912.14892857143</v>
      </c>
      <c r="BI28" s="49"/>
      <c r="BJ28" s="49">
        <f>93183.224047619</f>
        <v>93183.22405</v>
      </c>
      <c r="BK28" s="49"/>
      <c r="BL28" s="49">
        <f>128515.900117647+93901.49+6198.74658823529+35.43-BL40</f>
        <v>194584.6439</v>
      </c>
      <c r="BM28" s="49"/>
      <c r="BN28" s="49">
        <f>172054.385294118+146653.65+16744.944813841-BN40</f>
        <v>255963.4808</v>
      </c>
      <c r="BO28" s="49"/>
      <c r="BP28" s="49">
        <f>67830.7063529412+137594.05+4586.96048027836</f>
        <v>210011.7168</v>
      </c>
      <c r="BQ28" s="49"/>
      <c r="BR28" s="49">
        <f>76709.4208235294+142831.7</f>
        <v>219541.1208</v>
      </c>
      <c r="BS28" s="49"/>
      <c r="BT28" s="49">
        <f>100451.46+67568.34</f>
        <v>168019.8</v>
      </c>
      <c r="BU28" s="49"/>
      <c r="BV28" s="49">
        <f>81216.574+38096.74</f>
        <v>119313.314</v>
      </c>
      <c r="BW28" s="17"/>
      <c r="BX28" s="49">
        <f>157240.76+714</f>
        <v>157954.76</v>
      </c>
      <c r="BY28" s="49"/>
      <c r="BZ28" s="49">
        <v>150462.95</v>
      </c>
      <c r="CA28" s="17"/>
      <c r="CB28" s="49">
        <f>243674.6+147833.633018014</f>
        <v>391508.233</v>
      </c>
      <c r="CC28" s="162"/>
      <c r="CD28" s="49">
        <f>144843.48+6553.8404494382</f>
        <v>151397.3204</v>
      </c>
      <c r="CE28" s="17"/>
      <c r="CF28" s="17"/>
    </row>
    <row r="29" ht="15.75" customHeight="1">
      <c r="A29" s="17"/>
      <c r="B29" s="157" t="s">
        <v>169</v>
      </c>
      <c r="C29" s="160">
        <v>3261.30975609756</v>
      </c>
      <c r="D29" s="160">
        <v>10339.3902439024</v>
      </c>
      <c r="E29" s="160">
        <v>9583.53390243903</v>
      </c>
      <c r="F29" s="160">
        <v>11905.7487804878</v>
      </c>
      <c r="G29" s="160">
        <v>16461.5295121951</v>
      </c>
      <c r="H29" s="160">
        <v>13408.3358536585</v>
      </c>
      <c r="I29" s="160">
        <v>29360.5063414634</v>
      </c>
      <c r="J29" s="160">
        <v>23555.9064634146</v>
      </c>
      <c r="K29" s="160">
        <v>12854.8732926829</v>
      </c>
      <c r="L29" s="160">
        <v>18875.2370731707</v>
      </c>
      <c r="M29" s="160">
        <v>23474.8854878049</v>
      </c>
      <c r="N29" s="160">
        <v>22382.642804878</v>
      </c>
      <c r="O29" s="160"/>
      <c r="P29" s="160">
        <v>55467.9191463415</v>
      </c>
      <c r="Q29" s="161"/>
      <c r="R29" s="34">
        <v>33609.5978048781</v>
      </c>
      <c r="S29" s="34"/>
      <c r="T29" s="161">
        <v>37160.726097561</v>
      </c>
      <c r="U29" s="161"/>
      <c r="V29" s="161">
        <v>35264.86</v>
      </c>
      <c r="W29" s="161"/>
      <c r="X29" s="161">
        <v>54929.0</v>
      </c>
      <c r="Y29" s="161"/>
      <c r="Z29" s="161">
        <v>44339.1140243902</v>
      </c>
      <c r="AA29" s="161"/>
      <c r="AB29" s="161">
        <v>40472.0296341463</v>
      </c>
      <c r="AC29" s="161"/>
      <c r="AD29" s="161">
        <v>58999.5082926829</v>
      </c>
      <c r="AE29" s="161"/>
      <c r="AF29" s="161">
        <v>43767.2407317073</v>
      </c>
      <c r="AG29" s="161"/>
      <c r="AH29" s="161">
        <v>54350.49662650602</v>
      </c>
      <c r="AI29" s="161"/>
      <c r="AJ29" s="161">
        <v>69405.6063855422</v>
      </c>
      <c r="AK29" s="161"/>
      <c r="AL29" s="161">
        <v>44268.38277108434</v>
      </c>
      <c r="AM29" s="161"/>
      <c r="AN29" s="161">
        <v>86469.67204819278</v>
      </c>
      <c r="AO29" s="161"/>
      <c r="AP29" s="161">
        <v>53974.0814457831</v>
      </c>
      <c r="AQ29" s="161"/>
      <c r="AR29" s="161">
        <v>67944.1969879518</v>
      </c>
      <c r="AS29" s="161"/>
      <c r="AT29" s="161">
        <v>69246.66698795182</v>
      </c>
      <c r="AU29" s="161"/>
      <c r="AV29" s="161">
        <v>115562.69421686746</v>
      </c>
      <c r="AW29" s="159"/>
      <c r="AX29" s="159">
        <v>76098.9810843373</v>
      </c>
      <c r="AY29" s="159"/>
      <c r="AZ29" s="159">
        <v>74717.7113253012</v>
      </c>
      <c r="BA29" s="159"/>
      <c r="BB29" s="49">
        <v>105515.81722891566</v>
      </c>
      <c r="BC29" s="49"/>
      <c r="BD29" s="49">
        <v>136030.1273493976</v>
      </c>
      <c r="BE29" s="49"/>
      <c r="BF29" s="49">
        <v>106137.41361445784</v>
      </c>
      <c r="BG29" s="49"/>
      <c r="BH29" s="49">
        <v>136359.66666666666</v>
      </c>
      <c r="BI29" s="49"/>
      <c r="BJ29" s="49">
        <v>87081.95238095238</v>
      </c>
      <c r="BK29" s="49"/>
      <c r="BL29" s="49">
        <v>139223.917647059</v>
      </c>
      <c r="BM29" s="49"/>
      <c r="BN29" s="49">
        <v>81844.9058823529</v>
      </c>
      <c r="BO29" s="49"/>
      <c r="BP29" s="49">
        <v>87322.2117647059</v>
      </c>
      <c r="BQ29" s="49"/>
      <c r="BR29" s="49">
        <f>88232.3529411765+134264.63</f>
        <v>222496.9829</v>
      </c>
      <c r="BS29" s="49"/>
      <c r="BT29" s="49">
        <f>104894.69+3264.01</f>
        <v>108158.7</v>
      </c>
      <c r="BU29" s="49"/>
      <c r="BV29" s="49">
        <f>87429.1176470588+3975.25</f>
        <v>91404.36765</v>
      </c>
      <c r="BW29" s="162"/>
      <c r="BX29" s="49">
        <v>213787.25</v>
      </c>
      <c r="BY29" s="49"/>
      <c r="BZ29" s="49">
        <v>157978.59</v>
      </c>
      <c r="CA29" s="17"/>
      <c r="CB29" s="49">
        <v>87611.14</v>
      </c>
      <c r="CC29" s="162"/>
      <c r="CD29" s="49">
        <v>143676.23</v>
      </c>
      <c r="CE29" s="17"/>
      <c r="CF29" s="17"/>
    </row>
    <row r="30" ht="15.75" customHeight="1">
      <c r="A30" s="17"/>
      <c r="B30" s="157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1"/>
      <c r="R30" s="161"/>
      <c r="S30" s="161"/>
      <c r="T30" s="17"/>
      <c r="U30" s="17"/>
      <c r="V30" s="17"/>
      <c r="W30" s="17"/>
      <c r="X30" s="17"/>
      <c r="Y30" s="17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59"/>
      <c r="AX30" s="159"/>
      <c r="AY30" s="159"/>
      <c r="AZ30" s="159"/>
      <c r="BA30" s="15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17"/>
      <c r="BX30" s="49"/>
      <c r="BY30" s="49"/>
      <c r="BZ30" s="49"/>
      <c r="CA30" s="17"/>
      <c r="CB30" s="49"/>
      <c r="CC30" s="17"/>
      <c r="CD30" s="49"/>
      <c r="CE30" s="17"/>
      <c r="CF30" s="17"/>
    </row>
    <row r="31" ht="15.75" customHeight="1">
      <c r="A31" s="17"/>
      <c r="B31" s="153" t="s">
        <v>170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1"/>
      <c r="R31" s="161"/>
      <c r="S31" s="161"/>
      <c r="T31" s="17"/>
      <c r="U31" s="17"/>
      <c r="V31" s="17"/>
      <c r="W31" s="17"/>
      <c r="X31" s="17"/>
      <c r="Y31" s="17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59"/>
      <c r="AX31" s="159"/>
      <c r="AY31" s="159"/>
      <c r="AZ31" s="159"/>
      <c r="BA31" s="15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17"/>
      <c r="BX31" s="49"/>
      <c r="BY31" s="49"/>
      <c r="BZ31" s="49"/>
      <c r="CA31" s="17"/>
      <c r="CB31" s="49"/>
      <c r="CC31" s="17"/>
      <c r="CD31" s="49"/>
      <c r="CE31" s="17"/>
      <c r="CF31" s="17"/>
    </row>
    <row r="32" ht="15.75" customHeight="1">
      <c r="A32" s="17"/>
      <c r="B32" s="157" t="s">
        <v>140</v>
      </c>
      <c r="C32" s="160">
        <v>0.0</v>
      </c>
      <c r="D32" s="160">
        <v>0.0</v>
      </c>
      <c r="E32" s="160">
        <v>0.0</v>
      </c>
      <c r="F32" s="160">
        <v>0.0</v>
      </c>
      <c r="G32" s="160">
        <v>0.0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/>
      <c r="P32" s="160">
        <v>499969.5</v>
      </c>
      <c r="Q32" s="161"/>
      <c r="R32" s="161">
        <v>0.0</v>
      </c>
      <c r="S32" s="161"/>
      <c r="T32" s="161">
        <v>0.0</v>
      </c>
      <c r="U32" s="161"/>
      <c r="V32" s="161">
        <v>50000.0</v>
      </c>
      <c r="W32" s="161"/>
      <c r="X32" s="161">
        <v>499960.0</v>
      </c>
      <c r="Y32" s="161"/>
      <c r="Z32" s="161"/>
      <c r="AA32" s="161"/>
      <c r="AB32" s="161"/>
      <c r="AC32" s="161"/>
      <c r="AD32" s="161"/>
      <c r="AE32" s="161"/>
      <c r="AF32" s="161">
        <v>1218439.02439024</v>
      </c>
      <c r="AG32" s="161"/>
      <c r="AH32" s="161">
        <v>0.0</v>
      </c>
      <c r="AI32" s="161"/>
      <c r="AJ32" s="161">
        <v>0.0</v>
      </c>
      <c r="AK32" s="161"/>
      <c r="AL32" s="161">
        <v>0.0</v>
      </c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59"/>
      <c r="AX32" s="159"/>
      <c r="AY32" s="159"/>
      <c r="AZ32" s="159"/>
      <c r="BA32" s="15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17"/>
      <c r="BX32" s="49"/>
      <c r="BY32" s="49"/>
      <c r="BZ32" s="49"/>
      <c r="CA32" s="17"/>
      <c r="CB32" s="49"/>
      <c r="CC32" s="17"/>
      <c r="CD32" s="49">
        <f>588520.185882353*85/89-6553.8404494382</f>
        <v>555516</v>
      </c>
      <c r="CE32" s="17"/>
      <c r="CF32" s="17"/>
    </row>
    <row r="33" ht="15.75" customHeight="1">
      <c r="A33" s="17"/>
      <c r="B33" s="157" t="s">
        <v>171</v>
      </c>
      <c r="C33" s="160">
        <v>0.0</v>
      </c>
      <c r="D33" s="160">
        <v>0.0</v>
      </c>
      <c r="E33" s="160">
        <v>0.0</v>
      </c>
      <c r="F33" s="160">
        <v>0.0</v>
      </c>
      <c r="G33" s="160">
        <v>0.0</v>
      </c>
      <c r="H33" s="160">
        <v>0.0</v>
      </c>
      <c r="I33" s="160">
        <v>0.0</v>
      </c>
      <c r="J33" s="160">
        <v>0.0</v>
      </c>
      <c r="K33" s="160">
        <v>0.0</v>
      </c>
      <c r="L33" s="160">
        <v>0.0</v>
      </c>
      <c r="M33" s="160">
        <v>0.0</v>
      </c>
      <c r="N33" s="160">
        <v>7358178.88280488</v>
      </c>
      <c r="O33" s="160"/>
      <c r="P33" s="160">
        <v>0.0</v>
      </c>
      <c r="Q33" s="161"/>
      <c r="R33" s="161">
        <v>0.0</v>
      </c>
      <c r="S33" s="161"/>
      <c r="T33" s="161">
        <v>0.0</v>
      </c>
      <c r="U33" s="161"/>
      <c r="V33" s="161">
        <v>0.0</v>
      </c>
      <c r="W33" s="161"/>
      <c r="X33" s="161">
        <v>100186.0</v>
      </c>
      <c r="Y33" s="161"/>
      <c r="Z33" s="161">
        <v>354.736951219512</v>
      </c>
      <c r="AA33" s="161"/>
      <c r="AB33" s="161">
        <v>302771.3225609756</v>
      </c>
      <c r="AC33" s="161"/>
      <c r="AD33" s="161">
        <v>135396.481341463</v>
      </c>
      <c r="AE33" s="161"/>
      <c r="AF33" s="161"/>
      <c r="AG33" s="161"/>
      <c r="AH33" s="161"/>
      <c r="AI33" s="161"/>
      <c r="AJ33" s="161">
        <v>9006025.41216868</v>
      </c>
      <c r="AK33" s="161"/>
      <c r="AL33" s="161">
        <v>0.0</v>
      </c>
      <c r="AM33" s="161"/>
      <c r="AN33" s="161"/>
      <c r="AO33" s="161"/>
      <c r="AP33" s="161">
        <v>1000655.0324096385</v>
      </c>
      <c r="AQ33" s="161"/>
      <c r="AR33" s="161">
        <v>0.0</v>
      </c>
      <c r="AS33" s="161"/>
      <c r="AT33" s="161">
        <v>0.0</v>
      </c>
      <c r="AU33" s="161"/>
      <c r="AV33" s="161">
        <v>0.0</v>
      </c>
      <c r="AW33" s="159"/>
      <c r="AX33" s="159">
        <v>0.0</v>
      </c>
      <c r="AY33" s="159"/>
      <c r="AZ33" s="159">
        <v>0.0</v>
      </c>
      <c r="BA33" s="15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17"/>
      <c r="BX33" s="49"/>
      <c r="BY33" s="49"/>
      <c r="BZ33" s="49"/>
      <c r="CA33" s="17"/>
      <c r="CB33" s="49"/>
      <c r="CC33" s="17"/>
      <c r="CD33" s="49"/>
      <c r="CE33" s="17"/>
      <c r="CF33" s="17"/>
    </row>
    <row r="34" ht="15.75" customHeight="1">
      <c r="A34" s="17"/>
      <c r="B34" s="157" t="s">
        <v>172</v>
      </c>
      <c r="C34" s="160">
        <v>0.0</v>
      </c>
      <c r="D34" s="160">
        <v>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/>
      <c r="P34" s="160">
        <v>0.0</v>
      </c>
      <c r="Q34" s="161"/>
      <c r="R34" s="161">
        <v>29114.35317073146</v>
      </c>
      <c r="S34" s="161"/>
      <c r="T34" s="161">
        <v>0.0</v>
      </c>
      <c r="U34" s="161"/>
      <c r="V34" s="161">
        <v>0.0</v>
      </c>
      <c r="W34" s="161"/>
      <c r="X34" s="161">
        <v>0.0</v>
      </c>
      <c r="Y34" s="161"/>
      <c r="Z34" s="161">
        <v>11.5853658536585</v>
      </c>
      <c r="AA34" s="161"/>
      <c r="AB34" s="161">
        <v>26069.86134146413</v>
      </c>
      <c r="AC34" s="161">
        <v>0.0</v>
      </c>
      <c r="AD34" s="161">
        <v>6596.244634146235</v>
      </c>
      <c r="AE34" s="161">
        <v>0.0</v>
      </c>
      <c r="AF34" s="161">
        <v>117812.15158536508</v>
      </c>
      <c r="AG34" s="161"/>
      <c r="AH34" s="161">
        <v>11.44578313253012</v>
      </c>
      <c r="AI34" s="161"/>
      <c r="AJ34" s="161">
        <v>11.421686746988</v>
      </c>
      <c r="AK34" s="161"/>
      <c r="AL34" s="161">
        <v>9.939759036144578</v>
      </c>
      <c r="AM34" s="161"/>
      <c r="AN34" s="161">
        <v>36668.853012044805</v>
      </c>
      <c r="AO34" s="161">
        <v>0.0</v>
      </c>
      <c r="AP34" s="161">
        <v>19212.91240964197</v>
      </c>
      <c r="AQ34" s="161"/>
      <c r="AR34" s="161">
        <v>2990.859518072289</v>
      </c>
      <c r="AS34" s="161"/>
      <c r="AT34" s="161">
        <f>2211.14397590361+252828.281707171-163633.997590361</f>
        <v>91405.42809</v>
      </c>
      <c r="AU34" s="161"/>
      <c r="AV34" s="161">
        <f>2434.22156626506+31479.3562650606</f>
        <v>33913.57783</v>
      </c>
      <c r="AW34" s="159"/>
      <c r="AX34" s="159">
        <f>2386.58951807229+72787.220361447-8335.08060241118</f>
        <v>66838.72928</v>
      </c>
      <c r="AY34" s="159"/>
      <c r="AZ34" s="159">
        <f>2468.43602409639+40687.6569879521</f>
        <v>43156.09301</v>
      </c>
      <c r="BA34" s="159"/>
      <c r="BB34" s="49">
        <v>48548.10722891659</v>
      </c>
      <c r="BC34" s="49"/>
      <c r="BD34" s="49">
        <v>128408.27421686749</v>
      </c>
      <c r="BE34" s="49"/>
      <c r="BF34" s="49">
        <f>3186.1956626506+759.924042522907</f>
        <v>3946.119705</v>
      </c>
      <c r="BG34" s="49"/>
      <c r="BH34" s="49">
        <f>(11.7738095238095+2633572/84)+144.87+14020.132955078</f>
        <v>45528.82438</v>
      </c>
      <c r="BI34" s="49"/>
      <c r="BJ34" s="49">
        <f>(10.25+4256940/84)+4788.78+6609.64000280946-6920.71082353219</f>
        <v>55165.81632</v>
      </c>
      <c r="BK34" s="49"/>
      <c r="BL34" s="49">
        <f>71887.4918823529+1347.28</f>
        <v>73234.77188</v>
      </c>
      <c r="BM34" s="49"/>
      <c r="BN34" s="49">
        <f>71716.3882352941+441.410000000001</f>
        <v>72157.79824</v>
      </c>
      <c r="BO34" s="49"/>
      <c r="BP34" s="49">
        <f>48427.7058823529+1828.87</f>
        <v>50256.57588</v>
      </c>
      <c r="BQ34" s="49"/>
      <c r="BR34" s="49">
        <f>63052.7176470588+545.03</f>
        <v>63597.74765</v>
      </c>
      <c r="BS34" s="49"/>
      <c r="BT34" s="49">
        <f>85225.46+1111.15-301.33</f>
        <v>86035.28</v>
      </c>
      <c r="BU34" s="49"/>
      <c r="BV34" s="49">
        <f>65439.4235294118+1028.93-1614318/85</f>
        <v>47476.37706</v>
      </c>
      <c r="BW34" s="162"/>
      <c r="BX34" s="49">
        <f>81962.25+8294.38</f>
        <v>90256.63</v>
      </c>
      <c r="BY34" s="49"/>
      <c r="BZ34" s="49">
        <v>78434.54000000001</v>
      </c>
      <c r="CA34" s="17"/>
      <c r="CB34" s="49">
        <v>146371.21</v>
      </c>
      <c r="CC34" s="17"/>
      <c r="CD34" s="49">
        <v>10318.670000000002</v>
      </c>
      <c r="CE34" s="17"/>
      <c r="CF34" s="17"/>
    </row>
    <row r="35" ht="15.75" customHeight="1">
      <c r="A35" s="17"/>
      <c r="B35" s="153" t="s">
        <v>168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59"/>
      <c r="AX35" s="159"/>
      <c r="AY35" s="159"/>
      <c r="AZ35" s="159"/>
      <c r="BA35" s="15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17"/>
      <c r="BX35" s="49"/>
      <c r="BY35" s="49"/>
      <c r="BZ35" s="49"/>
      <c r="CA35" s="49"/>
      <c r="CB35" s="49"/>
      <c r="CC35" s="17"/>
      <c r="CD35" s="49"/>
      <c r="CE35" s="17"/>
      <c r="CF35" s="17"/>
    </row>
    <row r="36" ht="15.75" customHeight="1">
      <c r="A36" s="17"/>
      <c r="B36" s="157" t="s">
        <v>173</v>
      </c>
      <c r="C36" s="160">
        <v>0.0</v>
      </c>
      <c r="D36" s="160">
        <v>0.0</v>
      </c>
      <c r="E36" s="160">
        <v>0.0</v>
      </c>
      <c r="F36" s="160">
        <v>0.0</v>
      </c>
      <c r="G36" s="160">
        <v>0.0</v>
      </c>
      <c r="H36" s="160">
        <v>0.0</v>
      </c>
      <c r="I36" s="160">
        <v>0.0</v>
      </c>
      <c r="J36" s="160">
        <v>0.0</v>
      </c>
      <c r="K36" s="160">
        <v>0.0</v>
      </c>
      <c r="L36" s="160">
        <v>24390.243902439</v>
      </c>
      <c r="M36" s="160">
        <v>0.0</v>
      </c>
      <c r="N36" s="160">
        <v>0.0</v>
      </c>
      <c r="O36" s="160"/>
      <c r="P36" s="160">
        <v>0.0</v>
      </c>
      <c r="Q36" s="161"/>
      <c r="R36" s="161">
        <v>0.0</v>
      </c>
      <c r="S36" s="161"/>
      <c r="T36" s="161">
        <v>0.0</v>
      </c>
      <c r="U36" s="161"/>
      <c r="V36" s="161">
        <v>0.0</v>
      </c>
      <c r="W36" s="161"/>
      <c r="X36" s="161">
        <v>0.0</v>
      </c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>
        <v>0.0</v>
      </c>
      <c r="AK36" s="161"/>
      <c r="AL36" s="161">
        <v>0.0</v>
      </c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59"/>
      <c r="AX36" s="159"/>
      <c r="AY36" s="159"/>
      <c r="AZ36" s="159"/>
      <c r="BA36" s="15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17"/>
      <c r="BX36" s="49"/>
      <c r="BY36" s="49"/>
      <c r="BZ36" s="49"/>
      <c r="CA36" s="49"/>
      <c r="CB36" s="49"/>
      <c r="CC36" s="17"/>
      <c r="CD36" s="49"/>
      <c r="CE36" s="17"/>
      <c r="CF36" s="17"/>
    </row>
    <row r="37" ht="15.75" customHeight="1">
      <c r="A37" s="17"/>
      <c r="B37" s="157" t="s">
        <v>142</v>
      </c>
      <c r="C37" s="160">
        <v>0.0</v>
      </c>
      <c r="D37" s="160">
        <v>0.0</v>
      </c>
      <c r="E37" s="160">
        <v>0.0</v>
      </c>
      <c r="F37" s="160">
        <v>0.0</v>
      </c>
      <c r="G37" s="160">
        <v>0.0</v>
      </c>
      <c r="H37" s="160">
        <v>0.0</v>
      </c>
      <c r="I37" s="160">
        <v>0.0</v>
      </c>
      <c r="J37" s="160">
        <v>0.0</v>
      </c>
      <c r="K37" s="160">
        <v>0.0</v>
      </c>
      <c r="L37" s="160">
        <v>0.0</v>
      </c>
      <c r="M37" s="160">
        <v>0.0</v>
      </c>
      <c r="N37" s="160">
        <v>0.0</v>
      </c>
      <c r="O37" s="160"/>
      <c r="P37" s="160">
        <v>499969.5</v>
      </c>
      <c r="Q37" s="161"/>
      <c r="R37" s="34">
        <v>0.0</v>
      </c>
      <c r="S37" s="34"/>
      <c r="T37" s="161">
        <v>0.0</v>
      </c>
      <c r="U37" s="161"/>
      <c r="V37" s="161">
        <v>50000.0</v>
      </c>
      <c r="W37" s="161"/>
      <c r="X37" s="161">
        <v>499960.0</v>
      </c>
      <c r="Y37" s="161"/>
      <c r="Z37" s="161"/>
      <c r="AA37" s="161"/>
      <c r="AB37" s="161"/>
      <c r="AC37" s="161"/>
      <c r="AD37" s="161"/>
      <c r="AE37" s="161"/>
      <c r="AF37" s="161">
        <v>1218439.02439024</v>
      </c>
      <c r="AG37" s="161"/>
      <c r="AH37" s="161">
        <v>0.0</v>
      </c>
      <c r="AI37" s="161"/>
      <c r="AJ37" s="161">
        <v>0.0</v>
      </c>
      <c r="AK37" s="161"/>
      <c r="AL37" s="161">
        <v>0.0</v>
      </c>
      <c r="AM37" s="161"/>
      <c r="AN37" s="161"/>
      <c r="AO37" s="161"/>
      <c r="AP37" s="161"/>
      <c r="AQ37" s="161"/>
      <c r="AR37" s="161">
        <v>0.0</v>
      </c>
      <c r="AS37" s="161"/>
      <c r="AT37" s="161">
        <v>0.0</v>
      </c>
      <c r="AU37" s="161"/>
      <c r="AV37" s="161"/>
      <c r="AW37" s="159"/>
      <c r="AX37" s="159"/>
      <c r="AY37" s="159"/>
      <c r="AZ37" s="159"/>
      <c r="BA37" s="15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17"/>
      <c r="BX37" s="49"/>
      <c r="BY37" s="49"/>
      <c r="BZ37" s="49"/>
      <c r="CA37" s="49"/>
      <c r="CB37" s="49"/>
      <c r="CC37" s="17"/>
      <c r="CD37" s="49">
        <v>555516.0</v>
      </c>
      <c r="CE37" s="17"/>
      <c r="CF37" s="17"/>
    </row>
    <row r="38" ht="15.75" customHeight="1">
      <c r="A38" s="17"/>
      <c r="B38" s="157" t="s">
        <v>174</v>
      </c>
      <c r="C38" s="160">
        <v>8636.12195121951</v>
      </c>
      <c r="D38" s="160">
        <v>7990.19512195122</v>
      </c>
      <c r="E38" s="160">
        <v>7007.78048780488</v>
      </c>
      <c r="F38" s="160">
        <v>2712.9512195122</v>
      </c>
      <c r="G38" s="160">
        <v>4726.91463414634</v>
      </c>
      <c r="H38" s="160">
        <v>18105.5731707317</v>
      </c>
      <c r="I38" s="160">
        <v>8694.51219512195</v>
      </c>
      <c r="J38" s="160">
        <v>10695.3536585366</v>
      </c>
      <c r="K38" s="160">
        <v>6203.34146341463</v>
      </c>
      <c r="L38" s="160">
        <v>10086.8769512195</v>
      </c>
      <c r="M38" s="160">
        <v>9814.32902439024</v>
      </c>
      <c r="N38" s="160">
        <v>12533.1829268293</v>
      </c>
      <c r="O38" s="160"/>
      <c r="P38" s="160">
        <v>9826.0487804878</v>
      </c>
      <c r="Q38" s="161"/>
      <c r="R38" s="34">
        <v>10146.6706097561</v>
      </c>
      <c r="S38" s="34"/>
      <c r="T38" s="161">
        <v>5032.46341463415</v>
      </c>
      <c r="U38" s="161"/>
      <c r="V38" s="161">
        <v>9039.27</v>
      </c>
      <c r="W38" s="161"/>
      <c r="X38" s="161">
        <v>16295.2</v>
      </c>
      <c r="Y38" s="161"/>
      <c r="Z38" s="161">
        <v>18006.9087804878</v>
      </c>
      <c r="AA38" s="161"/>
      <c r="AB38" s="161">
        <v>15538.981463414633</v>
      </c>
      <c r="AC38" s="161"/>
      <c r="AD38" s="161">
        <v>11512.708902439</v>
      </c>
      <c r="AE38" s="161"/>
      <c r="AF38" s="161">
        <v>4070.14609756098</v>
      </c>
      <c r="AG38" s="161"/>
      <c r="AH38" s="161">
        <v>5452.440240963855</v>
      </c>
      <c r="AI38" s="161"/>
      <c r="AJ38" s="161">
        <v>18856.5554216867</v>
      </c>
      <c r="AK38" s="161"/>
      <c r="AL38" s="161">
        <v>17280.73325301205</v>
      </c>
      <c r="AM38" s="161"/>
      <c r="AN38" s="161">
        <v>26150.0</v>
      </c>
      <c r="AO38" s="161"/>
      <c r="AP38" s="161">
        <v>7332.25277108434</v>
      </c>
      <c r="AQ38" s="161"/>
      <c r="AR38" s="161">
        <v>17736.1891566265</v>
      </c>
      <c r="AS38" s="161"/>
      <c r="AT38" s="161">
        <f>10143.6022891566</f>
        <v>10143.60229</v>
      </c>
      <c r="AU38" s="161"/>
      <c r="AV38" s="161">
        <v>12631.324939759</v>
      </c>
      <c r="AW38" s="159"/>
      <c r="AX38" s="159">
        <v>13765.0648192771</v>
      </c>
      <c r="AY38" s="159"/>
      <c r="AZ38" s="159">
        <v>2081.69277108434</v>
      </c>
      <c r="BA38" s="159"/>
      <c r="BB38" s="49">
        <v>1104.0240963855422</v>
      </c>
      <c r="BC38" s="49"/>
      <c r="BD38" s="49">
        <v>2817.040361445783</v>
      </c>
      <c r="BE38" s="49"/>
      <c r="BF38" s="49">
        <v>11458.4140963855</v>
      </c>
      <c r="BG38" s="49"/>
      <c r="BH38" s="49">
        <v>5703.6125</v>
      </c>
      <c r="BI38" s="49"/>
      <c r="BJ38" s="49">
        <v>19618.80738095238</v>
      </c>
      <c r="BK38" s="49"/>
      <c r="BL38" s="49">
        <v>2343.76458823529</v>
      </c>
      <c r="BM38" s="49"/>
      <c r="BN38" s="49">
        <v>13864.8710588235</v>
      </c>
      <c r="BO38" s="49"/>
      <c r="BP38" s="49">
        <v>0.0</v>
      </c>
      <c r="BQ38" s="49"/>
      <c r="BR38" s="49">
        <v>6583.30223529412</v>
      </c>
      <c r="BS38" s="49"/>
      <c r="BT38" s="49">
        <v>0.0</v>
      </c>
      <c r="BU38" s="49"/>
      <c r="BV38" s="49"/>
      <c r="BW38" s="17"/>
      <c r="BX38" s="49">
        <v>7954.49</v>
      </c>
      <c r="BY38" s="49"/>
      <c r="BZ38" s="49"/>
      <c r="CA38" s="49"/>
      <c r="CB38" s="49"/>
      <c r="CC38" s="17"/>
      <c r="CD38" s="49"/>
      <c r="CE38" s="17"/>
      <c r="CF38" s="17"/>
    </row>
    <row r="39" ht="15.75" customHeight="1">
      <c r="A39" s="17"/>
      <c r="B39" s="157" t="s">
        <v>175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1"/>
      <c r="R39" s="34"/>
      <c r="S39" s="34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>
        <v>2804.4819277108436</v>
      </c>
      <c r="AI39" s="161"/>
      <c r="AJ39" s="161">
        <v>8016.63855421687</v>
      </c>
      <c r="AK39" s="161"/>
      <c r="AL39" s="161">
        <f>1242.65060240964+13537.343373494</f>
        <v>14779.99398</v>
      </c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59"/>
      <c r="AX39" s="159"/>
      <c r="AY39" s="159"/>
      <c r="AZ39" s="159"/>
      <c r="BA39" s="15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17"/>
      <c r="BX39" s="49"/>
      <c r="BY39" s="49"/>
      <c r="BZ39" s="49"/>
      <c r="CA39" s="49"/>
      <c r="CB39" s="49"/>
      <c r="CC39" s="17"/>
      <c r="CD39" s="49"/>
      <c r="CE39" s="17"/>
      <c r="CF39" s="17"/>
    </row>
    <row r="40" ht="15.75" customHeight="1">
      <c r="A40" s="17"/>
      <c r="B40" s="157" t="s">
        <v>176</v>
      </c>
      <c r="C40" s="160">
        <v>0.0</v>
      </c>
      <c r="D40" s="160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60">
        <v>0.0</v>
      </c>
      <c r="N40" s="160">
        <v>0.0</v>
      </c>
      <c r="O40" s="160"/>
      <c r="P40" s="160">
        <v>0.0</v>
      </c>
      <c r="Q40" s="161"/>
      <c r="R40" s="34">
        <v>0.0</v>
      </c>
      <c r="S40" s="34"/>
      <c r="T40" s="161">
        <v>0.0</v>
      </c>
      <c r="U40" s="161"/>
      <c r="V40" s="161">
        <v>0.0</v>
      </c>
      <c r="W40" s="161"/>
      <c r="X40" s="161">
        <v>0.0</v>
      </c>
      <c r="Y40" s="161"/>
      <c r="Z40" s="161">
        <v>0.0</v>
      </c>
      <c r="AA40" s="161"/>
      <c r="AB40" s="161">
        <v>0.0</v>
      </c>
      <c r="AC40" s="161"/>
      <c r="AD40" s="161">
        <v>0.0</v>
      </c>
      <c r="AE40" s="161"/>
      <c r="AF40" s="161">
        <v>0.0</v>
      </c>
      <c r="AG40" s="161"/>
      <c r="AH40" s="161">
        <v>0.0</v>
      </c>
      <c r="AI40" s="161"/>
      <c r="AJ40" s="161">
        <v>0.0</v>
      </c>
      <c r="AK40" s="161"/>
      <c r="AL40" s="161">
        <v>0.0</v>
      </c>
      <c r="AM40" s="161"/>
      <c r="AN40" s="161">
        <v>0.0</v>
      </c>
      <c r="AO40" s="161"/>
      <c r="AP40" s="161">
        <v>0.0</v>
      </c>
      <c r="AQ40" s="161"/>
      <c r="AR40" s="161">
        <v>0.0</v>
      </c>
      <c r="AS40" s="161"/>
      <c r="AT40" s="161">
        <v>0.0</v>
      </c>
      <c r="AU40" s="161"/>
      <c r="AV40" s="161">
        <v>0.0</v>
      </c>
      <c r="AW40" s="159"/>
      <c r="AX40" s="159">
        <v>0.0</v>
      </c>
      <c r="AY40" s="159"/>
      <c r="AZ40" s="159">
        <v>0.0</v>
      </c>
      <c r="BA40" s="159"/>
      <c r="BB40" s="159">
        <v>0.0</v>
      </c>
      <c r="BC40" s="159"/>
      <c r="BD40" s="159">
        <v>0.0</v>
      </c>
      <c r="BE40" s="159"/>
      <c r="BF40" s="159">
        <v>0.0</v>
      </c>
      <c r="BG40" s="159"/>
      <c r="BH40" s="159">
        <v>0.0</v>
      </c>
      <c r="BI40" s="159"/>
      <c r="BJ40" s="159">
        <v>0.0</v>
      </c>
      <c r="BK40" s="49"/>
      <c r="BL40" s="49">
        <v>34066.922823529414</v>
      </c>
      <c r="BM40" s="49"/>
      <c r="BN40" s="49">
        <v>79489.4992941176</v>
      </c>
      <c r="BO40" s="49"/>
      <c r="BP40" s="49">
        <v>0.0</v>
      </c>
      <c r="BQ40" s="49"/>
      <c r="BR40" s="49">
        <v>0.0</v>
      </c>
      <c r="BS40" s="49"/>
      <c r="BT40" s="49">
        <v>0.0</v>
      </c>
      <c r="BU40" s="49"/>
      <c r="BV40" s="49"/>
      <c r="BW40" s="17"/>
      <c r="BX40" s="49">
        <v>40075.99</v>
      </c>
      <c r="BY40" s="49"/>
      <c r="BZ40" s="49"/>
      <c r="CA40" s="49"/>
      <c r="CB40" s="49"/>
      <c r="CC40" s="43"/>
      <c r="CD40" s="49"/>
      <c r="CE40" s="17"/>
      <c r="CF40" s="17"/>
    </row>
    <row r="41" ht="15.75" customHeight="1">
      <c r="A41" s="17"/>
      <c r="B41" s="157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1"/>
      <c r="R41" s="161"/>
      <c r="S41" s="161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17"/>
      <c r="BX41" s="49"/>
      <c r="BY41" s="49"/>
      <c r="BZ41" s="49"/>
      <c r="CA41" s="49"/>
      <c r="CB41" s="49"/>
      <c r="CC41" s="17"/>
      <c r="CD41" s="49"/>
      <c r="CE41" s="17"/>
      <c r="CF41" s="17"/>
    </row>
    <row r="42" ht="15.75" customHeight="1">
      <c r="A42" s="17"/>
      <c r="B42" s="153" t="s">
        <v>144</v>
      </c>
      <c r="C42" s="164">
        <f t="shared" ref="C42:N42" si="94">C4-C59</f>
        <v>2628068.706</v>
      </c>
      <c r="D42" s="164">
        <f t="shared" si="94"/>
        <v>2558584.791</v>
      </c>
      <c r="E42" s="164">
        <f t="shared" si="94"/>
        <v>2496054.541</v>
      </c>
      <c r="F42" s="164">
        <f t="shared" si="94"/>
        <v>2376812.5</v>
      </c>
      <c r="G42" s="164">
        <f t="shared" si="94"/>
        <v>2219781.14</v>
      </c>
      <c r="H42" s="164">
        <f t="shared" si="94"/>
        <v>2109122.515</v>
      </c>
      <c r="I42" s="164">
        <f t="shared" si="94"/>
        <v>1921604.616</v>
      </c>
      <c r="J42" s="164">
        <f t="shared" si="94"/>
        <v>1779431.666</v>
      </c>
      <c r="K42" s="164">
        <f t="shared" si="94"/>
        <v>1559370.478</v>
      </c>
      <c r="L42" s="164">
        <f t="shared" si="94"/>
        <v>1362225.309</v>
      </c>
      <c r="M42" s="164">
        <f t="shared" si="94"/>
        <v>1111744.646</v>
      </c>
      <c r="N42" s="164">
        <f t="shared" si="94"/>
        <v>8088128.401</v>
      </c>
      <c r="O42" s="154"/>
      <c r="P42" s="164">
        <f t="shared" ref="P42:BP42" si="95">P4-P59</f>
        <v>7638193.434</v>
      </c>
      <c r="Q42" s="164">
        <f t="shared" si="95"/>
        <v>0</v>
      </c>
      <c r="R42" s="164">
        <f t="shared" si="95"/>
        <v>7171093.329</v>
      </c>
      <c r="S42" s="164">
        <f t="shared" si="95"/>
        <v>0</v>
      </c>
      <c r="T42" s="164">
        <f t="shared" si="95"/>
        <v>6838580.357</v>
      </c>
      <c r="U42" s="164">
        <f t="shared" si="95"/>
        <v>0</v>
      </c>
      <c r="V42" s="164">
        <f t="shared" si="95"/>
        <v>6445961.333</v>
      </c>
      <c r="W42" s="164">
        <f t="shared" si="95"/>
        <v>0</v>
      </c>
      <c r="X42" s="164">
        <f t="shared" si="95"/>
        <v>6087995.867</v>
      </c>
      <c r="Y42" s="164">
        <f t="shared" si="95"/>
        <v>0</v>
      </c>
      <c r="Z42" s="164">
        <f t="shared" si="95"/>
        <v>5723493.208</v>
      </c>
      <c r="AA42" s="164">
        <f t="shared" si="95"/>
        <v>0</v>
      </c>
      <c r="AB42" s="164">
        <f t="shared" si="95"/>
        <v>5536643.579</v>
      </c>
      <c r="AC42" s="164">
        <f t="shared" si="95"/>
        <v>0</v>
      </c>
      <c r="AD42" s="164">
        <f t="shared" si="95"/>
        <v>5365984.709</v>
      </c>
      <c r="AE42" s="164">
        <f t="shared" si="95"/>
        <v>0</v>
      </c>
      <c r="AF42" s="164">
        <f t="shared" si="95"/>
        <v>5054500.805</v>
      </c>
      <c r="AG42" s="164">
        <f t="shared" si="95"/>
        <v>0</v>
      </c>
      <c r="AH42" s="164">
        <f t="shared" si="95"/>
        <v>4669366.771</v>
      </c>
      <c r="AI42" s="164">
        <f t="shared" si="95"/>
        <v>0</v>
      </c>
      <c r="AJ42" s="164">
        <f t="shared" si="95"/>
        <v>13448937.53</v>
      </c>
      <c r="AK42" s="164">
        <f t="shared" si="95"/>
        <v>0</v>
      </c>
      <c r="AL42" s="164">
        <f t="shared" si="95"/>
        <v>13209858.75</v>
      </c>
      <c r="AM42" s="164">
        <f t="shared" si="95"/>
        <v>0</v>
      </c>
      <c r="AN42" s="164">
        <f t="shared" si="95"/>
        <v>12695225.15</v>
      </c>
      <c r="AO42" s="164">
        <f t="shared" si="95"/>
        <v>0</v>
      </c>
      <c r="AP42" s="164">
        <f t="shared" si="95"/>
        <v>13247255.97</v>
      </c>
      <c r="AQ42" s="164">
        <f t="shared" si="95"/>
        <v>0</v>
      </c>
      <c r="AR42" s="164">
        <f t="shared" si="95"/>
        <v>12939951.93</v>
      </c>
      <c r="AS42" s="164">
        <f t="shared" si="95"/>
        <v>0</v>
      </c>
      <c r="AT42" s="164">
        <f t="shared" si="95"/>
        <v>12696995.44</v>
      </c>
      <c r="AU42" s="164">
        <f t="shared" si="95"/>
        <v>0</v>
      </c>
      <c r="AV42" s="164">
        <f t="shared" si="95"/>
        <v>12086883.39</v>
      </c>
      <c r="AW42" s="164">
        <f t="shared" si="95"/>
        <v>0</v>
      </c>
      <c r="AX42" s="164">
        <f t="shared" si="95"/>
        <v>11659986.38</v>
      </c>
      <c r="AY42" s="164">
        <f t="shared" si="95"/>
        <v>0</v>
      </c>
      <c r="AZ42" s="164">
        <f t="shared" si="95"/>
        <v>11117887.01</v>
      </c>
      <c r="BA42" s="164">
        <f t="shared" si="95"/>
        <v>0</v>
      </c>
      <c r="BB42" s="164">
        <f t="shared" si="95"/>
        <v>10669512.45</v>
      </c>
      <c r="BC42" s="164">
        <f t="shared" si="95"/>
        <v>0</v>
      </c>
      <c r="BD42" s="164">
        <f t="shared" si="95"/>
        <v>10545552.28</v>
      </c>
      <c r="BE42" s="164">
        <f t="shared" si="95"/>
        <v>0</v>
      </c>
      <c r="BF42" s="164">
        <f t="shared" si="95"/>
        <v>9868272.648</v>
      </c>
      <c r="BG42" s="164">
        <f t="shared" si="95"/>
        <v>0</v>
      </c>
      <c r="BH42" s="164">
        <f t="shared" si="95"/>
        <v>9525350.949</v>
      </c>
      <c r="BI42" s="164">
        <f t="shared" si="95"/>
        <v>0</v>
      </c>
      <c r="BJ42" s="164">
        <f t="shared" si="95"/>
        <v>9414035.618</v>
      </c>
      <c r="BK42" s="164">
        <f t="shared" si="95"/>
        <v>0</v>
      </c>
      <c r="BL42" s="164">
        <f t="shared" si="95"/>
        <v>8669877.291</v>
      </c>
      <c r="BM42" s="164">
        <f t="shared" si="95"/>
        <v>0</v>
      </c>
      <c r="BN42" s="164">
        <f t="shared" si="95"/>
        <v>8102892.337</v>
      </c>
      <c r="BO42" s="164">
        <f t="shared" si="95"/>
        <v>0</v>
      </c>
      <c r="BP42" s="164">
        <f t="shared" si="95"/>
        <v>7830689.431</v>
      </c>
      <c r="BQ42" s="165"/>
      <c r="BR42" s="164">
        <f>BR4-BR59</f>
        <v>7417386.552</v>
      </c>
      <c r="BS42" s="49"/>
      <c r="BT42" s="164">
        <f>BT4-BT59</f>
        <v>7177822.159</v>
      </c>
      <c r="BU42" s="49"/>
      <c r="BV42" s="164">
        <f>BV4-BV59</f>
        <v>6890959.177</v>
      </c>
      <c r="BW42" s="43"/>
      <c r="BX42" s="164">
        <f>BX4-BX59</f>
        <v>6732263.962</v>
      </c>
      <c r="BY42" s="156"/>
      <c r="BZ42" s="164">
        <f>BZ4-BZ59</f>
        <v>6041826.102</v>
      </c>
      <c r="CA42" s="156"/>
      <c r="CB42" s="164">
        <f>CB4-CB59</f>
        <v>5837148.009</v>
      </c>
      <c r="CC42" s="17"/>
      <c r="CD42" s="164">
        <f>CD4-CD59</f>
        <v>5441844.729</v>
      </c>
      <c r="CE42" s="49">
        <f>CD42-CD55</f>
        <v>2862479.729</v>
      </c>
      <c r="CF42" s="17"/>
    </row>
    <row r="43" ht="15.75" customHeight="1">
      <c r="A43" s="17"/>
      <c r="B43" s="157" t="s">
        <v>150</v>
      </c>
      <c r="C43" s="160">
        <v>24830.7041463415</v>
      </c>
      <c r="D43" s="160">
        <v>41639.9384146341</v>
      </c>
      <c r="E43" s="160">
        <v>66748.5273170732</v>
      </c>
      <c r="F43" s="160">
        <v>87829.0470731707</v>
      </c>
      <c r="G43" s="160">
        <v>24208.857195122</v>
      </c>
      <c r="H43" s="160">
        <v>80842.3704878049</v>
      </c>
      <c r="I43" s="160">
        <v>42160.8496341463</v>
      </c>
      <c r="J43" s="160">
        <v>35515.6431707317</v>
      </c>
      <c r="K43" s="160">
        <v>46333.18</v>
      </c>
      <c r="L43" s="160">
        <v>37769.0748780488</v>
      </c>
      <c r="M43" s="160">
        <v>95075.9393902439</v>
      </c>
      <c r="N43" s="160">
        <v>186263.489756098</v>
      </c>
      <c r="O43" s="160"/>
      <c r="P43" s="160">
        <v>564039.146707317</v>
      </c>
      <c r="Q43" s="161"/>
      <c r="R43" s="161">
        <v>946015.089756098</v>
      </c>
      <c r="S43" s="161"/>
      <c r="T43" s="161">
        <v>144229.1268292683</v>
      </c>
      <c r="U43" s="161"/>
      <c r="V43" s="161">
        <v>99679.40987804878</v>
      </c>
      <c r="W43" s="161"/>
      <c r="X43" s="161">
        <v>218742.10439024388</v>
      </c>
      <c r="Y43" s="161"/>
      <c r="Z43" s="161">
        <v>228223.745365854</v>
      </c>
      <c r="AA43" s="161"/>
      <c r="AB43" s="161">
        <v>125676.4931707317</v>
      </c>
      <c r="AC43" s="161"/>
      <c r="AD43" s="161">
        <v>128518.015487805</v>
      </c>
      <c r="AE43" s="161"/>
      <c r="AF43" s="161">
        <v>498258.94804878</v>
      </c>
      <c r="AG43" s="161"/>
      <c r="AH43" s="161">
        <v>360658.0936144578</v>
      </c>
      <c r="AI43" s="161"/>
      <c r="AJ43" s="161">
        <v>220630.1430120482</v>
      </c>
      <c r="AK43" s="161"/>
      <c r="AL43" s="161">
        <v>111863.97421686746</v>
      </c>
      <c r="AM43" s="161"/>
      <c r="AN43" s="161">
        <v>52566.35301204819</v>
      </c>
      <c r="AO43" s="161"/>
      <c r="AP43" s="161">
        <v>182823.191686747</v>
      </c>
      <c r="AQ43" s="161"/>
      <c r="AR43" s="161">
        <v>129360.41686746987</v>
      </c>
      <c r="AS43" s="161"/>
      <c r="AT43" s="161">
        <f>19478213.21/83</f>
        <v>234677.2676</v>
      </c>
      <c r="AU43" s="161"/>
      <c r="AV43" s="161">
        <v>140877.408915663</v>
      </c>
      <c r="AW43" s="159"/>
      <c r="AX43" s="159">
        <v>376891.892048193</v>
      </c>
      <c r="AY43" s="159"/>
      <c r="AZ43" s="159">
        <v>252447.702650602</v>
      </c>
      <c r="BA43" s="159"/>
      <c r="BB43" s="49">
        <v>69344.74493975904</v>
      </c>
      <c r="BC43" s="49"/>
      <c r="BD43" s="49">
        <v>355217.3938554217</v>
      </c>
      <c r="BE43" s="49"/>
      <c r="BF43" s="49">
        <f>41015891.13/85</f>
        <v>482539.8956</v>
      </c>
      <c r="BG43" s="49"/>
      <c r="BH43" s="49">
        <f>28149949.98/85</f>
        <v>331175.8821</v>
      </c>
      <c r="BI43" s="49"/>
      <c r="BJ43" s="49">
        <f>25083254.1/85</f>
        <v>295097.1071</v>
      </c>
      <c r="BK43" s="49"/>
      <c r="BL43" s="49">
        <f>63915958.24/85</f>
        <v>751952.4499</v>
      </c>
      <c r="BM43" s="49"/>
      <c r="BN43" s="49">
        <f>48695527.06/85</f>
        <v>572888.5536</v>
      </c>
      <c r="BO43" s="49"/>
      <c r="BP43" s="49">
        <f>55093969.98/85</f>
        <v>648164.3527</v>
      </c>
      <c r="BQ43" s="49"/>
      <c r="BR43" s="49">
        <f>51596722.8/85</f>
        <v>607020.2682</v>
      </c>
      <c r="BS43" s="49"/>
      <c r="BT43" s="49">
        <f>61419413/85</f>
        <v>722581.3294</v>
      </c>
      <c r="BU43" s="49"/>
      <c r="BV43" s="49">
        <f>12724925/85</f>
        <v>149705</v>
      </c>
      <c r="BW43" s="49"/>
      <c r="BX43" s="49">
        <f>66429439.04/85</f>
        <v>781522.8122</v>
      </c>
      <c r="BY43" s="49"/>
      <c r="BZ43" s="49">
        <f>47940341.27/85</f>
        <v>564004.0149</v>
      </c>
      <c r="CA43" s="49"/>
      <c r="CB43" s="49">
        <f>69212368.21/89+555516</f>
        <v>1333183.059</v>
      </c>
      <c r="CC43" s="49"/>
      <c r="CD43" s="49">
        <f>56753011.73/89</f>
        <v>637674.2891</v>
      </c>
      <c r="CE43" s="17"/>
      <c r="CF43" s="17"/>
    </row>
    <row r="44" ht="15.75" customHeight="1">
      <c r="A44" s="17"/>
      <c r="B44" s="157" t="s">
        <v>151</v>
      </c>
      <c r="C44" s="160">
        <v>2603238.00146341</v>
      </c>
      <c r="D44" s="160">
        <v>2516944.85292683</v>
      </c>
      <c r="E44" s="160">
        <v>2429306.01390244</v>
      </c>
      <c r="F44" s="160">
        <v>2274427.96512195</v>
      </c>
      <c r="G44" s="160">
        <v>2191501.13585366</v>
      </c>
      <c r="H44" s="160">
        <v>2014671.86756098</v>
      </c>
      <c r="I44" s="160">
        <v>1868330.40414634</v>
      </c>
      <c r="J44" s="160">
        <v>1721988.94073171</v>
      </c>
      <c r="K44" s="160">
        <v>1502476.74560976</v>
      </c>
      <c r="L44" s="160">
        <v>1287842.59926829</v>
      </c>
      <c r="M44" s="160">
        <v>976866.989512195</v>
      </c>
      <c r="N44" s="160">
        <v>7834914.16463415</v>
      </c>
      <c r="O44" s="160"/>
      <c r="P44" s="160">
        <v>1335311.34426829</v>
      </c>
      <c r="Q44" s="161"/>
      <c r="R44" s="161">
        <v>591864.73402439</v>
      </c>
      <c r="S44" s="161"/>
      <c r="T44" s="161">
        <v>36986.68524390244</v>
      </c>
      <c r="U44" s="161"/>
      <c r="V44" s="161">
        <v>724405.4943902439</v>
      </c>
      <c r="W44" s="161"/>
      <c r="X44" s="161">
        <v>173903.6092682927</v>
      </c>
      <c r="Y44" s="161"/>
      <c r="Z44" s="161">
        <v>137672.980365854</v>
      </c>
      <c r="AA44" s="161"/>
      <c r="AB44" s="161">
        <v>213536.68768292683</v>
      </c>
      <c r="AC44" s="161"/>
      <c r="AD44" s="161">
        <v>239177.071463415</v>
      </c>
      <c r="AE44" s="161"/>
      <c r="AF44" s="161">
        <v>203693.797682927</v>
      </c>
      <c r="AG44" s="161"/>
      <c r="AH44" s="161">
        <v>128950.49891566265</v>
      </c>
      <c r="AI44" s="161"/>
      <c r="AJ44" s="161">
        <v>82666.06421686747</v>
      </c>
      <c r="AK44" s="161"/>
      <c r="AL44" s="161">
        <v>82666.06421686747</v>
      </c>
      <c r="AM44" s="161"/>
      <c r="AN44" s="161">
        <v>203147.99192771083</v>
      </c>
      <c r="AO44" s="161"/>
      <c r="AP44" s="161">
        <v>1083321.1086747</v>
      </c>
      <c r="AQ44" s="161"/>
      <c r="AR44" s="161">
        <v>1100557.9520481927</v>
      </c>
      <c r="AS44" s="161"/>
      <c r="AT44" s="161">
        <f>11346310.02/83</f>
        <v>136702.5304</v>
      </c>
      <c r="AU44" s="161"/>
      <c r="AV44" s="161">
        <v>178129.175542169</v>
      </c>
      <c r="AW44" s="159"/>
      <c r="AX44" s="159">
        <v>141771.344216867</v>
      </c>
      <c r="AY44" s="159"/>
      <c r="AZ44" s="159">
        <v>139874.262650602</v>
      </c>
      <c r="BA44" s="159"/>
      <c r="BB44" s="49">
        <v>730235.708433735</v>
      </c>
      <c r="BC44" s="49"/>
      <c r="BD44" s="49">
        <v>368789.92530120484</v>
      </c>
      <c r="BE44" s="49"/>
      <c r="BF44" s="49">
        <f>20609563.8/85</f>
        <v>242465.4565</v>
      </c>
      <c r="BG44" s="49"/>
      <c r="BH44" s="49">
        <f>30574163.8/85</f>
        <v>359696.0447</v>
      </c>
      <c r="BI44" s="49"/>
      <c r="BJ44" s="49">
        <f>50556463.8/85</f>
        <v>594781.9271</v>
      </c>
      <c r="BK44" s="49"/>
      <c r="BL44" s="49">
        <f>556463.8/85</f>
        <v>6546.632941</v>
      </c>
      <c r="BM44" s="49"/>
      <c r="BN44" s="49">
        <f>10556463.8/85</f>
        <v>124193.6918</v>
      </c>
      <c r="BO44" s="49"/>
      <c r="BP44" s="49">
        <f>556463.8/85</f>
        <v>6546.632941</v>
      </c>
      <c r="BQ44" s="49"/>
      <c r="BR44" s="49">
        <f>555873.8/85</f>
        <v>6539.691765</v>
      </c>
      <c r="BS44" s="49"/>
      <c r="BT44" s="49">
        <f>555873.8/85</f>
        <v>6539.691765</v>
      </c>
      <c r="BU44" s="49"/>
      <c r="BV44" s="49">
        <f>50555873.8/85</f>
        <v>594774.9859</v>
      </c>
      <c r="BW44" s="49"/>
      <c r="BX44" s="49">
        <f>20555873.8/85</f>
        <v>241833.8094</v>
      </c>
      <c r="BY44" s="49"/>
      <c r="BZ44" s="49">
        <f>555283.8/85</f>
        <v>6532.750588</v>
      </c>
      <c r="CA44" s="49"/>
      <c r="CB44" s="49">
        <f>554693.8/89</f>
        <v>6232.514607</v>
      </c>
      <c r="CC44" s="49"/>
      <c r="CD44" s="49">
        <f>554693.8/89</f>
        <v>6232.514607</v>
      </c>
      <c r="CE44" s="17"/>
      <c r="CF44" s="17"/>
    </row>
    <row r="45" ht="15.75" customHeight="1">
      <c r="A45" s="17"/>
      <c r="B45" s="157" t="s">
        <v>152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59"/>
      <c r="AX45" s="159"/>
      <c r="AY45" s="159"/>
      <c r="AZ45" s="159"/>
      <c r="BA45" s="159"/>
      <c r="BB45" s="49">
        <v>1204.8192771084337</v>
      </c>
      <c r="BC45" s="49"/>
      <c r="BD45" s="49">
        <v>1204.8192771084337</v>
      </c>
      <c r="BE45" s="49"/>
      <c r="BF45" s="158">
        <f>BD45*83/85</f>
        <v>1176.470588</v>
      </c>
      <c r="BG45" s="49"/>
      <c r="BH45" s="49">
        <f>BF45</f>
        <v>1176.470588</v>
      </c>
      <c r="BI45" s="49"/>
      <c r="BJ45" s="49">
        <f>BH45</f>
        <v>1176.470588</v>
      </c>
      <c r="BK45" s="49"/>
      <c r="BL45" s="49">
        <f>BJ45*84/85</f>
        <v>1162.629758</v>
      </c>
      <c r="BM45" s="49"/>
      <c r="BN45" s="49">
        <f>BL45</f>
        <v>1162.629758</v>
      </c>
      <c r="BO45" s="49"/>
      <c r="BP45" s="49">
        <f>BN45</f>
        <v>1162.629758</v>
      </c>
      <c r="BQ45" s="49"/>
      <c r="BR45" s="49">
        <f>BP45</f>
        <v>1162.629758</v>
      </c>
      <c r="BS45" s="49"/>
      <c r="BT45" s="49">
        <f>BR45</f>
        <v>1162.629758</v>
      </c>
      <c r="BU45" s="49"/>
      <c r="BV45" s="49">
        <f>BT45</f>
        <v>1162.629758</v>
      </c>
      <c r="BW45" s="49"/>
      <c r="BX45" s="49">
        <f>BV45</f>
        <v>1162.629758</v>
      </c>
      <c r="BY45" s="49"/>
      <c r="BZ45" s="49">
        <f>BX45</f>
        <v>1162.629758</v>
      </c>
      <c r="CA45" s="49"/>
      <c r="CB45" s="49">
        <f>BZ45*85/89</f>
        <v>1110.376735</v>
      </c>
      <c r="CC45" s="49"/>
      <c r="CD45" s="49">
        <f>CB45</f>
        <v>1110.376735</v>
      </c>
      <c r="CE45" s="17"/>
      <c r="CF45" s="17"/>
    </row>
    <row r="46" ht="15.75" customHeight="1">
      <c r="A46" s="17"/>
      <c r="B46" s="157" t="s">
        <v>153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>
        <v>6598.48</v>
      </c>
      <c r="M46" s="160">
        <v>1604.11</v>
      </c>
      <c r="N46" s="160">
        <v>9581.41463414634</v>
      </c>
      <c r="O46" s="160"/>
      <c r="P46" s="160">
        <v>5286.40256097561</v>
      </c>
      <c r="Q46" s="161"/>
      <c r="R46" s="161">
        <v>19.7440243902439</v>
      </c>
      <c r="S46" s="161"/>
      <c r="T46" s="161">
        <v>8372.426951219511</v>
      </c>
      <c r="U46" s="161"/>
      <c r="V46" s="161">
        <v>1085.3781707317073</v>
      </c>
      <c r="W46" s="161"/>
      <c r="X46" s="161">
        <v>10764.622073170733</v>
      </c>
      <c r="Y46" s="161"/>
      <c r="Z46" s="161">
        <v>6147.10987804878</v>
      </c>
      <c r="AA46" s="161"/>
      <c r="AB46" s="161">
        <v>12604.170853658537</v>
      </c>
      <c r="AC46" s="161"/>
      <c r="AD46" s="161">
        <v>2401.10987804878</v>
      </c>
      <c r="AE46" s="161"/>
      <c r="AF46" s="161">
        <v>8500.53670731707</v>
      </c>
      <c r="AG46" s="161"/>
      <c r="AH46" s="161">
        <v>13024.47</v>
      </c>
      <c r="AI46" s="161"/>
      <c r="AJ46" s="161">
        <v>2180.8555421686747</v>
      </c>
      <c r="AK46" s="161"/>
      <c r="AL46" s="161">
        <v>-2204.6022891566317</v>
      </c>
      <c r="AM46" s="161"/>
      <c r="AN46" s="161">
        <v>23594.397710843372</v>
      </c>
      <c r="AO46" s="161"/>
      <c r="AP46" s="161">
        <v>9600.43385542169</v>
      </c>
      <c r="AQ46" s="161"/>
      <c r="AR46" s="161">
        <v>22859.43385542169</v>
      </c>
      <c r="AS46" s="161"/>
      <c r="AT46" s="161">
        <f>970458/83</f>
        <v>11692.26506</v>
      </c>
      <c r="AU46" s="161"/>
      <c r="AV46" s="161">
        <v>3310.87963855422</v>
      </c>
      <c r="AW46" s="159"/>
      <c r="AX46" s="159">
        <v>13993.4820481928</v>
      </c>
      <c r="AY46" s="159"/>
      <c r="AZ46" s="159">
        <v>2365.192891566265</v>
      </c>
      <c r="BA46" s="159"/>
      <c r="BB46" s="49">
        <v>13396.614578313252</v>
      </c>
      <c r="BC46" s="49"/>
      <c r="BD46" s="49">
        <v>10624.313373493977</v>
      </c>
      <c r="BE46" s="49"/>
      <c r="BF46" s="49">
        <f>1427312.01/85</f>
        <v>16791.906</v>
      </c>
      <c r="BG46" s="49"/>
      <c r="BH46" s="49">
        <f>1479814.81/85</f>
        <v>17409.586</v>
      </c>
      <c r="BI46" s="49"/>
      <c r="BJ46" s="49">
        <f>2391551.01/85</f>
        <v>28135.89424</v>
      </c>
      <c r="BK46" s="49"/>
      <c r="BL46" s="49">
        <f>1457035.01/85</f>
        <v>17141.58835</v>
      </c>
      <c r="BM46" s="49"/>
      <c r="BN46" s="49">
        <f>265636.05/85</f>
        <v>3125.13</v>
      </c>
      <c r="BO46" s="49"/>
      <c r="BP46" s="49">
        <f>1837186.19/85</f>
        <v>21613.95518</v>
      </c>
      <c r="BQ46" s="49"/>
      <c r="BR46" s="49">
        <f>1264102.39/85</f>
        <v>14871.79282</v>
      </c>
      <c r="BS46" s="49"/>
      <c r="BT46" s="49">
        <f>1046976.26/85</f>
        <v>12317.36776</v>
      </c>
      <c r="BU46" s="49"/>
      <c r="BV46" s="49">
        <f>1879603.54/85</f>
        <v>22112.98282</v>
      </c>
      <c r="BW46" s="49"/>
      <c r="BX46" s="49">
        <f>490864.15/85</f>
        <v>5774.872353</v>
      </c>
      <c r="BY46" s="49"/>
      <c r="BZ46" s="49">
        <f>2230806.69/85</f>
        <v>26244.78459</v>
      </c>
      <c r="CA46" s="49"/>
      <c r="CB46" s="49">
        <f>292261.6/89</f>
        <v>3283.838202</v>
      </c>
      <c r="CC46" s="49"/>
      <c r="CD46" s="49">
        <f>922506.72/89</f>
        <v>10365.24404</v>
      </c>
      <c r="CE46" s="17"/>
      <c r="CF46" s="17"/>
    </row>
    <row r="47" ht="15.75" customHeight="1">
      <c r="A47" s="17"/>
      <c r="B47" s="157" t="s">
        <v>154</v>
      </c>
      <c r="C47" s="160"/>
      <c r="D47" s="160"/>
      <c r="E47" s="160"/>
      <c r="F47" s="160"/>
      <c r="G47" s="160">
        <v>3589.43914634146</v>
      </c>
      <c r="H47" s="160">
        <v>11548.398902439</v>
      </c>
      <c r="I47" s="160">
        <v>9774.70036585366</v>
      </c>
      <c r="J47" s="160">
        <v>9356.51780487805</v>
      </c>
      <c r="K47" s="160">
        <v>8335.81658536585</v>
      </c>
      <c r="L47" s="160">
        <v>27459.6512195122</v>
      </c>
      <c r="M47" s="160">
        <v>15752.5820731707</v>
      </c>
      <c r="N47" s="160">
        <v>29342.6263414634</v>
      </c>
      <c r="O47" s="160"/>
      <c r="P47" s="160">
        <v>29342.63</v>
      </c>
      <c r="Q47" s="161"/>
      <c r="R47" s="161">
        <v>29342.6259967319</v>
      </c>
      <c r="S47" s="161"/>
      <c r="T47" s="161">
        <v>0.0</v>
      </c>
      <c r="U47" s="161"/>
      <c r="V47" s="161">
        <v>0.0</v>
      </c>
      <c r="W47" s="161"/>
      <c r="X47" s="161">
        <v>0.0</v>
      </c>
      <c r="Y47" s="161"/>
      <c r="Z47" s="161">
        <v>0.0</v>
      </c>
      <c r="AA47" s="161"/>
      <c r="AB47" s="161">
        <v>0.0</v>
      </c>
      <c r="AC47" s="161"/>
      <c r="AD47" s="161"/>
      <c r="AE47" s="161"/>
      <c r="AF47" s="161"/>
      <c r="AG47" s="161"/>
      <c r="AH47" s="161">
        <v>0.0</v>
      </c>
      <c r="AI47" s="161"/>
      <c r="AJ47" s="161">
        <v>0.0</v>
      </c>
      <c r="AK47" s="161"/>
      <c r="AL47" s="161">
        <v>0.0</v>
      </c>
      <c r="AM47" s="161"/>
      <c r="AN47" s="161">
        <v>36010.8003614458</v>
      </c>
      <c r="AO47" s="161"/>
      <c r="AP47" s="161">
        <v>35180.3209638554</v>
      </c>
      <c r="AQ47" s="161"/>
      <c r="AR47" s="161">
        <v>34269.1739759036</v>
      </c>
      <c r="AS47" s="161"/>
      <c r="AT47" s="161">
        <f>2760355.62/83</f>
        <v>33257.29663</v>
      </c>
      <c r="AU47" s="161"/>
      <c r="AV47" s="161">
        <v>32926.32</v>
      </c>
      <c r="AW47" s="159"/>
      <c r="AX47" s="159">
        <v>32420.1</v>
      </c>
      <c r="AY47" s="159"/>
      <c r="AZ47" s="159">
        <v>32279.2975903614</v>
      </c>
      <c r="BA47" s="159"/>
      <c r="BB47" s="49">
        <v>32219.056626506026</v>
      </c>
      <c r="BC47" s="49"/>
      <c r="BD47" s="49">
        <v>31795.714457831324</v>
      </c>
      <c r="BE47" s="49"/>
      <c r="BF47" s="49">
        <f>2590680/85</f>
        <v>30478.58824</v>
      </c>
      <c r="BG47" s="49"/>
      <c r="BH47" s="49">
        <f>2508877.22/85</f>
        <v>29516.20259</v>
      </c>
      <c r="BI47" s="49"/>
      <c r="BJ47" s="49">
        <f>2461125.94/85</f>
        <v>28954.42282</v>
      </c>
      <c r="BK47" s="49"/>
      <c r="BL47" s="49">
        <f>2415160.99/85</f>
        <v>28413.65871</v>
      </c>
      <c r="BM47" s="49"/>
      <c r="BN47" s="49">
        <f>2305481.17/85</f>
        <v>27123.30788</v>
      </c>
      <c r="BO47" s="49"/>
      <c r="BP47" s="49">
        <f>2290280.17/85</f>
        <v>26944.47259</v>
      </c>
      <c r="BQ47" s="49"/>
      <c r="BR47" s="49">
        <f>2118138.77/85</f>
        <v>24919.27965</v>
      </c>
      <c r="BS47" s="49"/>
      <c r="BT47" s="49">
        <f>2077801.15/85</f>
        <v>24444.71941</v>
      </c>
      <c r="BU47" s="49"/>
      <c r="BV47" s="49">
        <f>2035551.14/85</f>
        <v>23947.66047</v>
      </c>
      <c r="BW47" s="49"/>
      <c r="BX47" s="49">
        <f>1976013.07/85</f>
        <v>23247.21259</v>
      </c>
      <c r="BY47" s="49"/>
      <c r="BZ47" s="49">
        <f>1863116.88/85</f>
        <v>21919.02212</v>
      </c>
      <c r="CA47" s="49"/>
      <c r="CB47" s="49">
        <f>1811205.15/89</f>
        <v>20350.61966</v>
      </c>
      <c r="CC47" s="49"/>
      <c r="CD47" s="49">
        <f>1771756.78/89</f>
        <v>19907.37955</v>
      </c>
      <c r="CE47" s="17"/>
      <c r="CF47" s="17"/>
    </row>
    <row r="48" ht="15.75" customHeight="1">
      <c r="A48" s="17"/>
      <c r="B48" s="157" t="s">
        <v>155</v>
      </c>
      <c r="C48" s="160"/>
      <c r="D48" s="160"/>
      <c r="E48" s="160"/>
      <c r="F48" s="160">
        <v>14555.487804878</v>
      </c>
      <c r="G48" s="160">
        <v>481.707317073171</v>
      </c>
      <c r="H48" s="160">
        <v>2059.87817073171</v>
      </c>
      <c r="I48" s="160">
        <v>1338.66170731707</v>
      </c>
      <c r="J48" s="160">
        <v>12570.5641463415</v>
      </c>
      <c r="K48" s="160">
        <v>2224.89670731707</v>
      </c>
      <c r="L48" s="160">
        <v>2555.5037804878</v>
      </c>
      <c r="M48" s="160">
        <v>22445.0246341463</v>
      </c>
      <c r="N48" s="160">
        <v>23526.7101219512</v>
      </c>
      <c r="O48" s="160"/>
      <c r="P48" s="160">
        <v>13639.5242682927</v>
      </c>
      <c r="Q48" s="161"/>
      <c r="R48" s="161">
        <v>33169.7529268293</v>
      </c>
      <c r="S48" s="161"/>
      <c r="T48" s="161">
        <v>19357.52731707317</v>
      </c>
      <c r="U48" s="161"/>
      <c r="V48" s="161">
        <v>57740.285609756094</v>
      </c>
      <c r="W48" s="161"/>
      <c r="X48" s="161">
        <v>79423.24646341463</v>
      </c>
      <c r="Y48" s="161"/>
      <c r="Z48" s="161">
        <v>70264.1745121951</v>
      </c>
      <c r="AA48" s="161"/>
      <c r="AB48" s="161">
        <v>16743.550121951223</v>
      </c>
      <c r="AC48" s="161"/>
      <c r="AD48" s="161">
        <v>38704.0703658537</v>
      </c>
      <c r="AE48" s="161"/>
      <c r="AF48" s="161">
        <v>30981.0486585366</v>
      </c>
      <c r="AG48" s="161"/>
      <c r="AH48" s="161">
        <v>39487.73650602409</v>
      </c>
      <c r="AI48" s="161"/>
      <c r="AJ48" s="161">
        <v>14169.466987951808</v>
      </c>
      <c r="AK48" s="161"/>
      <c r="AL48" s="161">
        <v>19706.67686746988</v>
      </c>
      <c r="AM48" s="161"/>
      <c r="AN48" s="161">
        <v>47696.206265060246</v>
      </c>
      <c r="AO48" s="161"/>
      <c r="AP48" s="161">
        <v>14295.9651807229</v>
      </c>
      <c r="AQ48" s="161"/>
      <c r="AR48" s="161">
        <v>1928.922530120482</v>
      </c>
      <c r="AS48" s="161"/>
      <c r="AT48" s="161">
        <f>1042426.98/83</f>
        <v>12559.3612</v>
      </c>
      <c r="AU48" s="161"/>
      <c r="AV48" s="161">
        <v>11688.8754216867</v>
      </c>
      <c r="AW48" s="159"/>
      <c r="AX48" s="159">
        <v>3011.66722891566</v>
      </c>
      <c r="AY48" s="159"/>
      <c r="AZ48" s="159">
        <v>10283.4721686747</v>
      </c>
      <c r="BA48" s="159"/>
      <c r="BB48" s="49">
        <v>120207.69373493976</v>
      </c>
      <c r="BC48" s="49"/>
      <c r="BD48" s="49">
        <v>106435.10722891567</v>
      </c>
      <c r="BE48" s="49"/>
      <c r="BF48" s="49">
        <f>12989768.45/85</f>
        <v>152820.8053</v>
      </c>
      <c r="BG48" s="49"/>
      <c r="BH48" s="49">
        <f>1310839.57/85</f>
        <v>15421.642</v>
      </c>
      <c r="BI48" s="49"/>
      <c r="BJ48" s="49">
        <f>1115226.76/85</f>
        <v>13120.31482</v>
      </c>
      <c r="BK48" s="49"/>
      <c r="BL48" s="49">
        <f>966932.16/85</f>
        <v>11375.67247</v>
      </c>
      <c r="BM48" s="49"/>
      <c r="BN48" s="49">
        <f>6809043.89/85</f>
        <v>80106.39871</v>
      </c>
      <c r="BO48" s="49"/>
      <c r="BP48" s="49">
        <f>1950210.01/85</f>
        <v>22943.64718</v>
      </c>
      <c r="BQ48" s="49"/>
      <c r="BR48" s="49">
        <f>2402266.59/85</f>
        <v>28261.95988</v>
      </c>
      <c r="BS48" s="49"/>
      <c r="BT48" s="49">
        <f>1865525.09/85+714</f>
        <v>22661.354</v>
      </c>
      <c r="BU48" s="49"/>
      <c r="BV48" s="49">
        <f>411948.52/85+714</f>
        <v>5560.453176</v>
      </c>
      <c r="BW48" s="49"/>
      <c r="BX48" s="49">
        <f>(3756631.78/85)-9998.02776470594-714</f>
        <v>33483.64024</v>
      </c>
      <c r="BY48" s="49"/>
      <c r="BZ48" s="49">
        <f>1185460.84/85</f>
        <v>13946.59812</v>
      </c>
      <c r="CA48" s="49"/>
      <c r="CB48" s="49">
        <f>4167472.1/89</f>
        <v>46825.52921</v>
      </c>
      <c r="CC48" s="49"/>
      <c r="CD48" s="49">
        <f>2533521.85/89</f>
        <v>28466.53764</v>
      </c>
      <c r="CE48" s="17"/>
      <c r="CF48" s="17"/>
    </row>
    <row r="49" ht="15.75" customHeight="1">
      <c r="A49" s="17"/>
      <c r="B49" s="157" t="s">
        <v>156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>
        <v>-19.602409638554217</v>
      </c>
      <c r="AU49" s="161"/>
      <c r="AV49" s="161">
        <v>-45.204819277108435</v>
      </c>
      <c r="AW49" s="159"/>
      <c r="AX49" s="159">
        <f>-7192.72/83</f>
        <v>-86.65927711</v>
      </c>
      <c r="AY49" s="159"/>
      <c r="AZ49" s="159">
        <f>-13564.3/83</f>
        <v>-163.4253012</v>
      </c>
      <c r="BA49" s="159"/>
      <c r="BB49" s="49">
        <f>-51451.32/83</f>
        <v>-619.8954217</v>
      </c>
      <c r="BC49" s="49"/>
      <c r="BD49" s="49">
        <f>-102510.25/83</f>
        <v>-1235.063253</v>
      </c>
      <c r="BE49" s="49"/>
      <c r="BF49" s="49">
        <f>-53795.76/85</f>
        <v>-632.8912941</v>
      </c>
      <c r="BG49" s="49"/>
      <c r="BH49" s="49">
        <f>-100523.72/85</f>
        <v>-1182.632</v>
      </c>
      <c r="BI49" s="49"/>
      <c r="BJ49" s="49">
        <f>-64583.22/85</f>
        <v>-759.8025882</v>
      </c>
      <c r="BK49" s="49"/>
      <c r="BL49" s="49">
        <f>-51787.04/85</f>
        <v>-609.2592941</v>
      </c>
      <c r="BM49" s="49"/>
      <c r="BN49" s="49">
        <f>-29028.43/85</f>
        <v>-341.5109412</v>
      </c>
      <c r="BO49" s="49"/>
      <c r="BP49" s="49">
        <f>-36117.02/85</f>
        <v>-424.9061176</v>
      </c>
      <c r="BQ49" s="49"/>
      <c r="BR49" s="49">
        <f>-38060.05/85</f>
        <v>-447.7652941</v>
      </c>
      <c r="BS49" s="49"/>
      <c r="BT49" s="49">
        <f>-166355.73/85</f>
        <v>-1957.126235</v>
      </c>
      <c r="BU49" s="49"/>
      <c r="BV49" s="49">
        <f>-21988.87/85</f>
        <v>-258.6925882</v>
      </c>
      <c r="BW49" s="49"/>
      <c r="BX49" s="49">
        <f>-21634.68/85</f>
        <v>-254.5256471</v>
      </c>
      <c r="BY49" s="49"/>
      <c r="BZ49" s="49">
        <f>-57751.28/85</f>
        <v>-679.4268235</v>
      </c>
      <c r="CA49" s="49"/>
      <c r="CB49" s="49">
        <f>-104905.89/89</f>
        <v>-1178.717865</v>
      </c>
      <c r="CC49" s="49"/>
      <c r="CD49" s="49">
        <f>-10058.44/89</f>
        <v>-113.0161798</v>
      </c>
      <c r="CE49" s="17"/>
      <c r="CF49" s="17"/>
    </row>
    <row r="50" ht="15.75" customHeight="1">
      <c r="A50" s="17"/>
      <c r="B50" s="157" t="s">
        <v>157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>
        <f>735671.79/83</f>
        <v>8863.515542</v>
      </c>
      <c r="AU50" s="161"/>
      <c r="AV50" s="161">
        <f>554853.35/83</f>
        <v>6684.98012</v>
      </c>
      <c r="AW50" s="159"/>
      <c r="AX50" s="159">
        <f>852690.6/83</f>
        <v>10273.38072</v>
      </c>
      <c r="AY50" s="159"/>
      <c r="AZ50" s="159">
        <f>132277.47/83</f>
        <v>1593.704458</v>
      </c>
      <c r="BA50" s="159"/>
      <c r="BB50" s="49">
        <f>743500.53/83</f>
        <v>8957.837711</v>
      </c>
      <c r="BC50" s="49"/>
      <c r="BD50" s="49">
        <f>350855.61/83</f>
        <v>4227.176024</v>
      </c>
      <c r="BE50" s="49"/>
      <c r="BF50" s="49">
        <f>233376.85/85</f>
        <v>2745.61</v>
      </c>
      <c r="BG50" s="49"/>
      <c r="BH50" s="49">
        <f>453083.12/85</f>
        <v>5330.389647</v>
      </c>
      <c r="BI50" s="49"/>
      <c r="BJ50" s="49">
        <f>261295.02/85</f>
        <v>3074.059059</v>
      </c>
      <c r="BK50" s="49"/>
      <c r="BL50" s="49">
        <f>788188.48/85</f>
        <v>9272.805647</v>
      </c>
      <c r="BM50" s="49"/>
      <c r="BN50" s="49">
        <f>331015.76/85</f>
        <v>3894.303059</v>
      </c>
      <c r="BO50" s="49"/>
      <c r="BP50" s="49">
        <f>395992.81/85</f>
        <v>4658.738941</v>
      </c>
      <c r="BQ50" s="49"/>
      <c r="BR50" s="49">
        <f>395992.81/85</f>
        <v>4658.738941</v>
      </c>
      <c r="BS50" s="49"/>
      <c r="BT50" s="49">
        <f t="shared" ref="BT50:BT51" si="96">BR50</f>
        <v>4658.738941</v>
      </c>
      <c r="BU50" s="49"/>
      <c r="BV50" s="49">
        <f t="shared" ref="BV50:BV51" si="97">BT50</f>
        <v>4658.738941</v>
      </c>
      <c r="BW50" s="49"/>
      <c r="BX50" s="49">
        <f t="shared" ref="BX50:BX51" si="98">BV50</f>
        <v>4658.738941</v>
      </c>
      <c r="BY50" s="49"/>
      <c r="BZ50" s="49">
        <f t="shared" ref="BZ50:BZ51" si="99">BX50</f>
        <v>4658.738941</v>
      </c>
      <c r="CA50" s="49"/>
      <c r="CB50" s="49">
        <f>BZ50*85/89</f>
        <v>4449.357416</v>
      </c>
      <c r="CC50" s="49"/>
      <c r="CD50" s="49">
        <f t="shared" ref="CD50:CD51" si="100">CB50</f>
        <v>4449.357416</v>
      </c>
      <c r="CE50" s="17"/>
      <c r="CF50" s="17"/>
    </row>
    <row r="51" ht="15.75" customHeight="1">
      <c r="A51" s="17"/>
      <c r="B51" s="157" t="s">
        <v>177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59"/>
      <c r="AX51" s="159"/>
      <c r="AY51" s="159"/>
      <c r="AZ51" s="159"/>
      <c r="BA51" s="15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>
        <v>15000.0</v>
      </c>
      <c r="BO51" s="49"/>
      <c r="BP51" s="49">
        <v>15000.0</v>
      </c>
      <c r="BQ51" s="49"/>
      <c r="BR51" s="49">
        <v>15000.0</v>
      </c>
      <c r="BS51" s="49"/>
      <c r="BT51" s="49">
        <f t="shared" si="96"/>
        <v>15000</v>
      </c>
      <c r="BU51" s="49"/>
      <c r="BV51" s="49">
        <f t="shared" si="97"/>
        <v>15000</v>
      </c>
      <c r="BW51" s="49"/>
      <c r="BX51" s="49">
        <f t="shared" si="98"/>
        <v>15000</v>
      </c>
      <c r="BY51" s="49"/>
      <c r="BZ51" s="49">
        <f t="shared" si="99"/>
        <v>15000</v>
      </c>
      <c r="CA51" s="49"/>
      <c r="CB51" s="49">
        <f>BZ51</f>
        <v>15000</v>
      </c>
      <c r="CC51" s="49"/>
      <c r="CD51" s="49">
        <f t="shared" si="100"/>
        <v>15000</v>
      </c>
      <c r="CE51" s="17"/>
      <c r="CF51" s="17"/>
    </row>
    <row r="52" ht="15.75" customHeight="1">
      <c r="A52" s="17"/>
      <c r="B52" s="157" t="s">
        <v>159</v>
      </c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>
        <v>4500.0</v>
      </c>
      <c r="O52" s="161"/>
      <c r="P52" s="161">
        <v>324720.56</v>
      </c>
      <c r="Q52" s="161"/>
      <c r="R52" s="161">
        <v>192632.59</v>
      </c>
      <c r="S52" s="161"/>
      <c r="T52" s="161">
        <v>154024.85</v>
      </c>
      <c r="U52" s="161"/>
      <c r="V52" s="161">
        <v>67542.7500000001</v>
      </c>
      <c r="W52" s="161"/>
      <c r="X52" s="161">
        <v>438298.24</v>
      </c>
      <c r="Y52" s="161"/>
      <c r="Z52" s="161">
        <v>274022.02</v>
      </c>
      <c r="AA52" s="161"/>
      <c r="AB52" s="161">
        <v>198156.7</v>
      </c>
      <c r="AC52" s="161"/>
      <c r="AD52" s="161">
        <v>118193.17</v>
      </c>
      <c r="AE52" s="161"/>
      <c r="AF52" s="161">
        <v>1248535.86</v>
      </c>
      <c r="AG52" s="161"/>
      <c r="AH52" s="161">
        <v>1112835.452</v>
      </c>
      <c r="AI52" s="161"/>
      <c r="AJ52" s="161">
        <v>124103.32200000007</v>
      </c>
      <c r="AK52" s="161"/>
      <c r="AL52" s="161">
        <v>143053.1219999999</v>
      </c>
      <c r="AM52" s="161"/>
      <c r="AN52" s="161">
        <v>152146.3419999997</v>
      </c>
      <c r="AO52" s="161"/>
      <c r="AP52" s="161">
        <v>147450.64199999964</v>
      </c>
      <c r="AQ52" s="161"/>
      <c r="AR52" s="161">
        <v>147421.34536599962</v>
      </c>
      <c r="AS52" s="161"/>
      <c r="AT52" s="161">
        <v>173936.68</v>
      </c>
      <c r="AU52" s="161"/>
      <c r="AV52" s="161">
        <v>202109.73</v>
      </c>
      <c r="AW52" s="159"/>
      <c r="AX52" s="159">
        <v>235881.81</v>
      </c>
      <c r="AY52" s="159"/>
      <c r="AZ52" s="159">
        <v>281189.23</v>
      </c>
      <c r="BA52" s="159"/>
      <c r="BB52" s="49">
        <v>353974.34</v>
      </c>
      <c r="BC52" s="49"/>
      <c r="BD52" s="49">
        <v>570466.3</v>
      </c>
      <c r="BE52" s="49"/>
      <c r="BF52" s="49">
        <v>168961.17</v>
      </c>
      <c r="BG52" s="49"/>
      <c r="BH52" s="49">
        <v>295288.92</v>
      </c>
      <c r="BI52" s="49"/>
      <c r="BJ52" s="49">
        <v>230621.36</v>
      </c>
      <c r="BK52" s="49"/>
      <c r="BL52" s="49">
        <v>191138.46</v>
      </c>
      <c r="BM52" s="49"/>
      <c r="BN52" s="49">
        <v>198535.95</v>
      </c>
      <c r="BO52" s="49"/>
      <c r="BP52" s="49">
        <v>332924.51</v>
      </c>
      <c r="BQ52" s="49"/>
      <c r="BR52" s="49">
        <v>95289.0</v>
      </c>
      <c r="BS52" s="49"/>
      <c r="BT52" s="49">
        <v>99747.0</v>
      </c>
      <c r="BU52" s="49"/>
      <c r="BV52" s="49">
        <v>153430.0</v>
      </c>
      <c r="BW52" s="49"/>
      <c r="BX52" s="49">
        <v>325282.0</v>
      </c>
      <c r="BY52" s="49"/>
      <c r="BZ52" s="49">
        <v>365125.11</v>
      </c>
      <c r="CA52" s="49"/>
      <c r="CB52" s="49">
        <f>282828.08</f>
        <v>282828.08</v>
      </c>
      <c r="CC52" s="49"/>
      <c r="CD52" s="49">
        <v>363108.0</v>
      </c>
      <c r="CE52" s="17"/>
      <c r="CF52" s="17"/>
    </row>
    <row r="53" ht="15.75" customHeight="1">
      <c r="A53" s="17"/>
      <c r="B53" s="157" t="s">
        <v>160</v>
      </c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1"/>
      <c r="R53" s="161">
        <v>12195.121951219513</v>
      </c>
      <c r="S53" s="161"/>
      <c r="T53" s="161">
        <v>12195.121951219513</v>
      </c>
      <c r="U53" s="161"/>
      <c r="V53" s="161">
        <v>12195.121951219513</v>
      </c>
      <c r="W53" s="161"/>
      <c r="X53" s="161">
        <v>12195.121951219513</v>
      </c>
      <c r="Y53" s="161"/>
      <c r="Z53" s="161">
        <v>12195.121951219513</v>
      </c>
      <c r="AA53" s="161"/>
      <c r="AB53" s="161">
        <v>12195.121951219513</v>
      </c>
      <c r="AC53" s="161"/>
      <c r="AD53" s="161">
        <v>12195.1219512195</v>
      </c>
      <c r="AE53" s="161"/>
      <c r="AF53" s="161">
        <v>12195.1219512195</v>
      </c>
      <c r="AG53" s="161"/>
      <c r="AH53" s="161">
        <v>12048.192771084337</v>
      </c>
      <c r="AI53" s="161"/>
      <c r="AJ53" s="161">
        <v>12048.192771084337</v>
      </c>
      <c r="AK53" s="161"/>
      <c r="AL53" s="161">
        <v>12048.192771084337</v>
      </c>
      <c r="AM53" s="161"/>
      <c r="AN53" s="161">
        <v>12048.192771084337</v>
      </c>
      <c r="AO53" s="161"/>
      <c r="AP53" s="161">
        <v>12048.1927710843</v>
      </c>
      <c r="AQ53" s="161"/>
      <c r="AR53" s="161">
        <v>12048.1927710843</v>
      </c>
      <c r="AS53" s="161"/>
      <c r="AT53" s="161">
        <f>980547.78/83</f>
        <v>11813.82867</v>
      </c>
      <c r="AU53" s="161"/>
      <c r="AV53" s="161">
        <f>975827.78/83</f>
        <v>11756.9612</v>
      </c>
      <c r="AW53" s="159"/>
      <c r="AX53" s="159">
        <f>971107.78/83</f>
        <v>11700.09373</v>
      </c>
      <c r="AY53" s="159" t="str">
        <f>AW53</f>
        <v/>
      </c>
      <c r="AZ53" s="159">
        <f>966387.78/83</f>
        <v>11643.22627</v>
      </c>
      <c r="BA53" s="159" t="str">
        <f>AY53</f>
        <v/>
      </c>
      <c r="BB53" s="159">
        <f>961667.78/83</f>
        <v>11586.3588</v>
      </c>
      <c r="BC53" s="159" t="str">
        <f>BA53</f>
        <v/>
      </c>
      <c r="BD53" s="159">
        <f>956947.78/83</f>
        <v>11529.49133</v>
      </c>
      <c r="BE53" s="159" t="str">
        <f>BC53</f>
        <v/>
      </c>
      <c r="BF53" s="49">
        <f>952227.78/85</f>
        <v>11202.67976</v>
      </c>
      <c r="BG53" s="49"/>
      <c r="BH53" s="49">
        <f>956947.78/85</f>
        <v>11258.20918</v>
      </c>
      <c r="BI53" s="49"/>
      <c r="BJ53" s="49">
        <f>956947.78/85</f>
        <v>11258.20918</v>
      </c>
      <c r="BK53" s="49"/>
      <c r="BL53" s="49">
        <f>942138.78/85</f>
        <v>11083.98565</v>
      </c>
      <c r="BM53" s="49"/>
      <c r="BN53" s="49">
        <f>945689.570823529/85</f>
        <v>11125.75966</v>
      </c>
      <c r="BO53" s="49"/>
      <c r="BP53" s="49">
        <f>942138.78/85</f>
        <v>11083.98565</v>
      </c>
      <c r="BQ53" s="49"/>
      <c r="BR53" s="49">
        <f>942138.78/85</f>
        <v>11083.98565</v>
      </c>
      <c r="BS53" s="49"/>
      <c r="BT53" s="49">
        <f>BR53</f>
        <v>11083.98565</v>
      </c>
      <c r="BU53" s="49"/>
      <c r="BV53" s="49">
        <f>BT53</f>
        <v>11083.98565</v>
      </c>
      <c r="BW53" s="49"/>
      <c r="BX53" s="49">
        <f>BV53</f>
        <v>11083.98565</v>
      </c>
      <c r="BY53" s="49"/>
      <c r="BZ53" s="49">
        <f>BX53</f>
        <v>11083.98565</v>
      </c>
      <c r="CA53" s="49"/>
      <c r="CB53" s="49">
        <f>BZ53*85/89</f>
        <v>10585.82899</v>
      </c>
      <c r="CC53" s="49"/>
      <c r="CD53" s="49">
        <f>CB53</f>
        <v>10585.82899</v>
      </c>
      <c r="CE53" s="17"/>
      <c r="CF53" s="17"/>
    </row>
    <row r="54" ht="15.75" customHeight="1">
      <c r="A54" s="17"/>
      <c r="B54" s="157" t="s">
        <v>161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1"/>
      <c r="R54" s="161"/>
      <c r="S54" s="161"/>
      <c r="T54" s="161"/>
      <c r="U54" s="161"/>
      <c r="V54" s="161"/>
      <c r="W54" s="161"/>
      <c r="X54" s="161"/>
      <c r="Y54" s="161"/>
      <c r="Z54" s="161">
        <v>37282.5</v>
      </c>
      <c r="AA54" s="161"/>
      <c r="AB54" s="161">
        <v>21136.98</v>
      </c>
      <c r="AC54" s="161"/>
      <c r="AD54" s="161">
        <v>52674.28</v>
      </c>
      <c r="AE54" s="161"/>
      <c r="AF54" s="161">
        <v>33422.96</v>
      </c>
      <c r="AG54" s="161"/>
      <c r="AH54" s="161">
        <v>19178.95</v>
      </c>
      <c r="AI54" s="161"/>
      <c r="AJ54" s="161">
        <v>23811.53</v>
      </c>
      <c r="AK54" s="161"/>
      <c r="AL54" s="161">
        <v>48397.37</v>
      </c>
      <c r="AM54" s="161"/>
      <c r="AN54" s="161">
        <v>18945.78</v>
      </c>
      <c r="AO54" s="161"/>
      <c r="AP54" s="161">
        <v>49933.42</v>
      </c>
      <c r="AQ54" s="161"/>
      <c r="AR54" s="161">
        <v>34724.02</v>
      </c>
      <c r="AS54" s="161"/>
      <c r="AT54" s="161">
        <v>22018.34</v>
      </c>
      <c r="AU54" s="161"/>
      <c r="AV54" s="161">
        <v>66384.09</v>
      </c>
      <c r="AW54" s="159"/>
      <c r="AX54" s="159">
        <v>61396.67</v>
      </c>
      <c r="AY54" s="159"/>
      <c r="AZ54" s="159">
        <v>42878.14</v>
      </c>
      <c r="BA54" s="159"/>
      <c r="BB54" s="49">
        <v>29308.38</v>
      </c>
      <c r="BC54" s="49"/>
      <c r="BD54" s="49">
        <v>25431.31</v>
      </c>
      <c r="BE54" s="49"/>
      <c r="BF54" s="158">
        <f>BD54*83/85</f>
        <v>24832.92624</v>
      </c>
      <c r="BG54" s="49"/>
      <c r="BH54" s="49">
        <v>45706.15</v>
      </c>
      <c r="BI54" s="49"/>
      <c r="BJ54" s="49">
        <v>27650.51</v>
      </c>
      <c r="BK54" s="49"/>
      <c r="BL54" s="49">
        <v>9360.4</v>
      </c>
      <c r="BM54" s="49"/>
      <c r="BN54" s="49">
        <v>63948.94</v>
      </c>
      <c r="BO54" s="49"/>
      <c r="BP54" s="49">
        <v>54067.93</v>
      </c>
      <c r="BQ54" s="49"/>
      <c r="BR54" s="49">
        <v>47916.0</v>
      </c>
      <c r="BS54" s="49"/>
      <c r="BT54" s="49">
        <v>19206.0</v>
      </c>
      <c r="BU54" s="49"/>
      <c r="BV54" s="49">
        <v>20028.0</v>
      </c>
      <c r="BW54" s="49"/>
      <c r="BX54" s="49">
        <v>17475.0</v>
      </c>
      <c r="BY54" s="49"/>
      <c r="BZ54" s="49">
        <v>56737.66</v>
      </c>
      <c r="CA54" s="49"/>
      <c r="CB54" s="49">
        <v>36018.66</v>
      </c>
      <c r="CC54" s="49"/>
      <c r="CD54" s="49">
        <v>24860.0</v>
      </c>
      <c r="CE54" s="17"/>
      <c r="CF54" s="17"/>
    </row>
    <row r="55" ht="15.75" customHeight="1">
      <c r="A55" s="17"/>
      <c r="B55" s="157" t="s">
        <v>162</v>
      </c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>
        <v>950000.0</v>
      </c>
      <c r="AK55" s="161"/>
      <c r="AL55" s="161">
        <v>775000.0</v>
      </c>
      <c r="AM55" s="161"/>
      <c r="AN55" s="161">
        <v>580702.88</v>
      </c>
      <c r="AO55" s="161"/>
      <c r="AP55" s="161">
        <v>483334.9</v>
      </c>
      <c r="AQ55" s="161"/>
      <c r="AR55" s="161">
        <v>485729.5</v>
      </c>
      <c r="AS55" s="161"/>
      <c r="AT55" s="161">
        <v>387706.81</v>
      </c>
      <c r="AU55" s="161"/>
      <c r="AV55" s="161">
        <v>389535.26</v>
      </c>
      <c r="AW55" s="159"/>
      <c r="AX55" s="159">
        <v>391137.91</v>
      </c>
      <c r="AY55" s="159"/>
      <c r="AZ55" s="159">
        <v>392643.72</v>
      </c>
      <c r="BA55" s="159"/>
      <c r="BB55" s="49">
        <v>394111.19</v>
      </c>
      <c r="BC55" s="49"/>
      <c r="BD55" s="49">
        <v>395491.53</v>
      </c>
      <c r="BE55" s="49"/>
      <c r="BF55" s="49">
        <v>596695.76</v>
      </c>
      <c r="BG55" s="49"/>
      <c r="BH55" s="49">
        <v>598317.79</v>
      </c>
      <c r="BI55" s="49"/>
      <c r="BJ55" s="49">
        <v>910180.48</v>
      </c>
      <c r="BK55" s="49"/>
      <c r="BL55" s="49">
        <f>1001715.72</f>
        <v>1001715.72</v>
      </c>
      <c r="BM55" s="49"/>
      <c r="BN55" s="49">
        <v>1004983.91</v>
      </c>
      <c r="BO55" s="49"/>
      <c r="BP55" s="49">
        <v>1111621.88</v>
      </c>
      <c r="BQ55" s="49"/>
      <c r="BR55" s="49">
        <f>1511622+301.33</f>
        <v>1511923.33</v>
      </c>
      <c r="BS55" s="49"/>
      <c r="BT55" s="49">
        <v>1811622.0</v>
      </c>
      <c r="BU55" s="49"/>
      <c r="BV55" s="49">
        <v>2002798.0</v>
      </c>
      <c r="BW55" s="49"/>
      <c r="BX55" s="49">
        <v>2008959.0</v>
      </c>
      <c r="BY55" s="49"/>
      <c r="BZ55" s="49">
        <v>2315429.54</v>
      </c>
      <c r="CA55" s="49"/>
      <c r="CB55" s="49">
        <v>2322062.69</v>
      </c>
      <c r="CC55" s="49"/>
      <c r="CD55" s="49">
        <v>2579365.0</v>
      </c>
      <c r="CE55" s="17"/>
      <c r="CF55" s="17"/>
    </row>
    <row r="56" ht="15.75" customHeight="1">
      <c r="A56" s="17"/>
      <c r="B56" s="157" t="s">
        <v>163</v>
      </c>
      <c r="C56" s="160">
        <v>0.0</v>
      </c>
      <c r="D56" s="160">
        <v>0.0</v>
      </c>
      <c r="E56" s="160">
        <v>0.0</v>
      </c>
      <c r="F56" s="160">
        <v>0.0</v>
      </c>
      <c r="G56" s="160">
        <v>0.0</v>
      </c>
      <c r="H56" s="160">
        <v>0.0</v>
      </c>
      <c r="I56" s="160">
        <v>0.0</v>
      </c>
      <c r="J56" s="160">
        <v>0.0</v>
      </c>
      <c r="K56" s="160">
        <v>0.0</v>
      </c>
      <c r="L56" s="160">
        <v>0.0</v>
      </c>
      <c r="M56" s="160">
        <v>0.0</v>
      </c>
      <c r="N56" s="160">
        <v>0.0</v>
      </c>
      <c r="O56" s="160"/>
      <c r="P56" s="160">
        <v>0.0</v>
      </c>
      <c r="Q56" s="160"/>
      <c r="R56" s="160">
        <v>0.0</v>
      </c>
      <c r="S56" s="160"/>
      <c r="T56" s="160">
        <v>0.0</v>
      </c>
      <c r="U56" s="160"/>
      <c r="V56" s="160">
        <v>0.0</v>
      </c>
      <c r="W56" s="160"/>
      <c r="X56" s="160">
        <v>26696.3414634146</v>
      </c>
      <c r="Y56" s="160"/>
      <c r="Z56" s="160">
        <v>26696.3414634146</v>
      </c>
      <c r="AA56" s="160"/>
      <c r="AB56" s="160">
        <v>53392.6829268292</v>
      </c>
      <c r="AC56" s="160"/>
      <c r="AD56" s="160">
        <v>53392.6829268292</v>
      </c>
      <c r="AE56" s="160"/>
      <c r="AF56" s="160">
        <v>53392.6829268292</v>
      </c>
      <c r="AG56" s="160"/>
      <c r="AH56" s="160">
        <v>53392.6829268292</v>
      </c>
      <c r="AI56" s="160"/>
      <c r="AJ56" s="160">
        <v>53392.6829268292</v>
      </c>
      <c r="AK56" s="160"/>
      <c r="AL56" s="160">
        <v>53392.6829268292</v>
      </c>
      <c r="AM56" s="160"/>
      <c r="AN56" s="160">
        <v>53392.6829268292</v>
      </c>
      <c r="AO56" s="160"/>
      <c r="AP56" s="160">
        <v>53392.6829268292</v>
      </c>
      <c r="AQ56" s="160"/>
      <c r="AR56" s="160">
        <v>53392.6829268292</v>
      </c>
      <c r="AS56" s="160"/>
      <c r="AT56" s="160">
        <f>5035995.24/83</f>
        <v>60674.64145</v>
      </c>
      <c r="AU56" s="160"/>
      <c r="AV56" s="160">
        <f t="shared" ref="AV56:AV57" si="101">AT56</f>
        <v>60674.64145</v>
      </c>
      <c r="AW56" s="158"/>
      <c r="AX56" s="158">
        <f t="shared" ref="AX56:AX57" si="102">AV56</f>
        <v>60674.64145</v>
      </c>
      <c r="AY56" s="158"/>
      <c r="AZ56" s="158">
        <f t="shared" ref="AZ56:AZ57" si="103">AX56</f>
        <v>60674.64145</v>
      </c>
      <c r="BA56" s="158"/>
      <c r="BB56" s="158">
        <f t="shared" ref="BB56:BB57" si="104">AZ56</f>
        <v>60674.64145</v>
      </c>
      <c r="BC56" s="158"/>
      <c r="BD56" s="158">
        <f>4936994.16/83</f>
        <v>59481.85735</v>
      </c>
      <c r="BE56" s="159"/>
      <c r="BF56" s="158">
        <f t="shared" ref="BF56:BF57" si="105">BD56*83/85</f>
        <v>58082.28424</v>
      </c>
      <c r="BG56" s="49"/>
      <c r="BH56" s="158">
        <f t="shared" ref="BH56:BH57" si="106">BF56</f>
        <v>58082.28424</v>
      </c>
      <c r="BI56" s="49"/>
      <c r="BJ56" s="49">
        <f>4901526.16/85</f>
        <v>57665.01365</v>
      </c>
      <c r="BK56" s="49"/>
      <c r="BL56" s="49">
        <f t="shared" ref="BL56:BL57" si="107">BJ56*84/85</f>
        <v>56986.60172</v>
      </c>
      <c r="BM56" s="49"/>
      <c r="BN56" s="49">
        <f t="shared" ref="BN56:BN57" si="108">BL56</f>
        <v>56986.60172</v>
      </c>
      <c r="BO56" s="49"/>
      <c r="BP56" s="49">
        <f t="shared" ref="BP56:BP57" si="109">BN56</f>
        <v>56986.60172</v>
      </c>
      <c r="BQ56" s="49"/>
      <c r="BR56" s="49">
        <f t="shared" ref="BR56:BR57" si="110">BP56</f>
        <v>56986.60172</v>
      </c>
      <c r="BS56" s="49"/>
      <c r="BT56" s="49">
        <f>BR56+235.29</f>
        <v>57221.89172</v>
      </c>
      <c r="BU56" s="49"/>
      <c r="BV56" s="49">
        <f t="shared" ref="BV56:BV57" si="111">BT56</f>
        <v>57221.89172</v>
      </c>
      <c r="BW56" s="49"/>
      <c r="BX56" s="49">
        <f t="shared" ref="BX56:BX57" si="112">BV56</f>
        <v>57221.89172</v>
      </c>
      <c r="BY56" s="49"/>
      <c r="BZ56" s="49">
        <f t="shared" ref="BZ56:BZ57" si="113">BX56</f>
        <v>57221.89172</v>
      </c>
      <c r="CA56" s="49"/>
      <c r="CB56" s="49">
        <f>BZ56*85/89+235.29</f>
        <v>54885.41131</v>
      </c>
      <c r="CC56" s="49"/>
      <c r="CD56" s="49">
        <f t="shared" ref="CD56:CD57" si="114">CB56</f>
        <v>54885.41131</v>
      </c>
      <c r="CE56" s="17"/>
      <c r="CF56" s="17"/>
    </row>
    <row r="57" ht="15.75" customHeight="1">
      <c r="A57" s="17"/>
      <c r="B57" s="157" t="s">
        <v>164</v>
      </c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1"/>
      <c r="R57" s="161">
        <v>243902.43902439048</v>
      </c>
      <c r="S57" s="161"/>
      <c r="T57" s="161">
        <v>243902.43902439048</v>
      </c>
      <c r="U57" s="161"/>
      <c r="V57" s="161">
        <v>243902.43902439048</v>
      </c>
      <c r="W57" s="161"/>
      <c r="X57" s="161">
        <v>243902.43902439048</v>
      </c>
      <c r="Y57" s="161"/>
      <c r="Z57" s="161">
        <v>243902.43902439048</v>
      </c>
      <c r="AA57" s="161"/>
      <c r="AB57" s="161">
        <v>243902.43902439048</v>
      </c>
      <c r="AC57" s="161"/>
      <c r="AD57" s="161">
        <v>243902.43902439</v>
      </c>
      <c r="AE57" s="161"/>
      <c r="AF57" s="161">
        <v>243902.43902439</v>
      </c>
      <c r="AG57" s="161"/>
      <c r="AH57" s="161">
        <v>240963.85542168698</v>
      </c>
      <c r="AI57" s="161"/>
      <c r="AJ57" s="161">
        <v>240963.85542168698</v>
      </c>
      <c r="AK57" s="161"/>
      <c r="AL57" s="161">
        <v>240963.85542168698</v>
      </c>
      <c r="AM57" s="161"/>
      <c r="AN57" s="161">
        <v>240963.85542168698</v>
      </c>
      <c r="AO57" s="161"/>
      <c r="AP57" s="161">
        <f>AN57</f>
        <v>240963.8554</v>
      </c>
      <c r="AQ57" s="161"/>
      <c r="AR57" s="161">
        <v>240963.855421687</v>
      </c>
      <c r="AS57" s="161"/>
      <c r="AT57" s="161">
        <f>2200000/83</f>
        <v>26506.0241</v>
      </c>
      <c r="AU57" s="161"/>
      <c r="AV57" s="161">
        <f t="shared" si="101"/>
        <v>26506.0241</v>
      </c>
      <c r="AW57" s="159"/>
      <c r="AX57" s="159">
        <f t="shared" si="102"/>
        <v>26506.0241</v>
      </c>
      <c r="AY57" s="159"/>
      <c r="AZ57" s="159">
        <f t="shared" si="103"/>
        <v>26506.0241</v>
      </c>
      <c r="BA57" s="159"/>
      <c r="BB57" s="159">
        <f t="shared" si="104"/>
        <v>26506.0241</v>
      </c>
      <c r="BC57" s="49"/>
      <c r="BD57" s="159">
        <f>BB57</f>
        <v>26506.0241</v>
      </c>
      <c r="BE57" s="49"/>
      <c r="BF57" s="159">
        <f t="shared" si="105"/>
        <v>25882.35294</v>
      </c>
      <c r="BG57" s="49"/>
      <c r="BH57" s="159">
        <f t="shared" si="106"/>
        <v>25882.35294</v>
      </c>
      <c r="BI57" s="49"/>
      <c r="BJ57" s="159">
        <f>BH57</f>
        <v>25882.35294</v>
      </c>
      <c r="BK57" s="49"/>
      <c r="BL57" s="159">
        <f t="shared" si="107"/>
        <v>25577.85467</v>
      </c>
      <c r="BM57" s="49"/>
      <c r="BN57" s="159">
        <f t="shared" si="108"/>
        <v>25577.85467</v>
      </c>
      <c r="BO57" s="49"/>
      <c r="BP57" s="159">
        <f t="shared" si="109"/>
        <v>25577.85467</v>
      </c>
      <c r="BQ57" s="49"/>
      <c r="BR57" s="159">
        <f t="shared" si="110"/>
        <v>25577.85467</v>
      </c>
      <c r="BS57" s="49"/>
      <c r="BT57" s="159">
        <f>BR57</f>
        <v>25577.85467</v>
      </c>
      <c r="BU57" s="49"/>
      <c r="BV57" s="49">
        <f t="shared" si="111"/>
        <v>25577.85467</v>
      </c>
      <c r="BW57" s="49"/>
      <c r="BX57" s="49">
        <f t="shared" si="112"/>
        <v>25577.85467</v>
      </c>
      <c r="BY57" s="49"/>
      <c r="BZ57" s="49">
        <f t="shared" si="113"/>
        <v>25577.85467</v>
      </c>
      <c r="CA57" s="49"/>
      <c r="CB57" s="49">
        <f>BZ57*85/89</f>
        <v>24428.28817</v>
      </c>
      <c r="CC57" s="49"/>
      <c r="CD57" s="49">
        <f t="shared" si="114"/>
        <v>24428.28817</v>
      </c>
      <c r="CE57" s="17"/>
      <c r="CF57" s="17"/>
    </row>
    <row r="58" ht="15.75" customHeight="1">
      <c r="A58" s="17"/>
      <c r="B58" s="157" t="s">
        <v>165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1"/>
      <c r="P58" s="166">
        <v>5365853.66</v>
      </c>
      <c r="Q58" s="166"/>
      <c r="R58" s="166">
        <v>5121951.22</v>
      </c>
      <c r="S58" s="166"/>
      <c r="T58" s="166">
        <v>6219512.2</v>
      </c>
      <c r="U58" s="166"/>
      <c r="V58" s="166">
        <v>5252467.861585366</v>
      </c>
      <c r="W58" s="166"/>
      <c r="X58" s="166">
        <v>4891060.380853659</v>
      </c>
      <c r="Y58" s="166"/>
      <c r="Z58" s="166">
        <v>4653168.941829269</v>
      </c>
      <c r="AA58" s="166"/>
      <c r="AB58" s="166">
        <v>4653168.941829269</v>
      </c>
      <c r="AC58" s="166">
        <v>0.0</v>
      </c>
      <c r="AD58" s="166">
        <v>4476826.746707317</v>
      </c>
      <c r="AE58" s="166">
        <v>0.0</v>
      </c>
      <c r="AF58" s="166">
        <v>2721617.4107317072</v>
      </c>
      <c r="AG58" s="166"/>
      <c r="AH58" s="166">
        <v>2688826.8395180725</v>
      </c>
      <c r="AI58" s="166"/>
      <c r="AJ58" s="166">
        <v>1.1724971417831324E7</v>
      </c>
      <c r="AK58" s="166">
        <v>0.0</v>
      </c>
      <c r="AL58" s="166">
        <v>1.1724971417831324E7</v>
      </c>
      <c r="AM58" s="166">
        <v>0.0</v>
      </c>
      <c r="AN58" s="166">
        <v>1.1274009670843372E7</v>
      </c>
      <c r="AO58" s="166">
        <v>0.0</v>
      </c>
      <c r="AP58" s="166">
        <v>1.0934911261204818E7</v>
      </c>
      <c r="AQ58" s="166">
        <v>0.0</v>
      </c>
      <c r="AR58" s="166">
        <v>1.0927400094819278E7</v>
      </c>
      <c r="AS58" s="166">
        <v>0.0</v>
      </c>
      <c r="AT58" s="166">
        <v>1.1325902817710843E7</v>
      </c>
      <c r="AU58" s="166">
        <v>0.0</v>
      </c>
      <c r="AV58" s="166">
        <v>1.0956344244819278E7</v>
      </c>
      <c r="AW58" s="167">
        <v>0.0</v>
      </c>
      <c r="AX58" s="167">
        <v>1.0294414019638553E7</v>
      </c>
      <c r="AY58" s="167">
        <v>0.0</v>
      </c>
      <c r="AZ58" s="167">
        <v>9863671.824096385</v>
      </c>
      <c r="BA58" s="167">
        <v>0.0</v>
      </c>
      <c r="BB58" s="159">
        <v>8818404.93253012</v>
      </c>
      <c r="BC58" s="159">
        <v>0.0</v>
      </c>
      <c r="BD58" s="159">
        <v>8579586.383614458</v>
      </c>
      <c r="BE58" s="159">
        <v>0.0</v>
      </c>
      <c r="BF58" s="49">
        <v>8054229.633411765</v>
      </c>
      <c r="BG58" s="49">
        <v>0.0</v>
      </c>
      <c r="BH58" s="49">
        <v>7732271.656941177</v>
      </c>
      <c r="BI58" s="49">
        <v>0.0</v>
      </c>
      <c r="BJ58" s="49">
        <v>7187197.299058823</v>
      </c>
      <c r="BK58" s="49">
        <v>0.0</v>
      </c>
      <c r="BL58" s="49">
        <v>6548758.087294118</v>
      </c>
      <c r="BM58" s="49">
        <v>0.0</v>
      </c>
      <c r="BN58" s="49">
        <v>5914580.816705883</v>
      </c>
      <c r="BO58" s="49">
        <v>0.0</v>
      </c>
      <c r="BP58" s="49">
        <v>5491817.146117647</v>
      </c>
      <c r="BQ58" s="49">
        <v>0.0</v>
      </c>
      <c r="BR58" s="49">
        <v>4966623.181411765</v>
      </c>
      <c r="BS58" s="49"/>
      <c r="BT58" s="49">
        <v>4345954.640235295</v>
      </c>
      <c r="BU58" s="49"/>
      <c r="BV58" s="49">
        <f>3823147.12258824-(1614318/85)</f>
        <v>3804155.146</v>
      </c>
      <c r="BW58" s="17"/>
      <c r="BX58" s="49">
        <f>304791952.75/85-(34471974.3299996/85)</f>
        <v>3180235.04</v>
      </c>
      <c r="BY58" s="49"/>
      <c r="BZ58" s="49">
        <f>251890104.75/85-405787.339176465+235</f>
        <v>2557860.658</v>
      </c>
      <c r="CA58" s="49"/>
      <c r="CB58" s="49">
        <f>1756004.00235295*85/89</f>
        <v>1677082.474</v>
      </c>
      <c r="CC58" s="49"/>
      <c r="CD58" s="49">
        <v>1661519.51730338</v>
      </c>
      <c r="CE58" s="17"/>
      <c r="CF58" s="43"/>
    </row>
    <row r="59" ht="15.75" customHeight="1">
      <c r="A59" s="17"/>
      <c r="B59" s="153" t="s">
        <v>178</v>
      </c>
      <c r="C59" s="155">
        <f t="shared" ref="C59:AN59" si="115">SUM(C24,C25,C26,C28,C27,C29,C37,C39,C38,C36,C40)-SUM(C22,C33,C34,C32)</f>
        <v>56065.5111</v>
      </c>
      <c r="D59" s="155">
        <f t="shared" si="115"/>
        <v>69483.91427</v>
      </c>
      <c r="E59" s="155">
        <f t="shared" si="115"/>
        <v>62530.25012</v>
      </c>
      <c r="F59" s="155">
        <f t="shared" si="115"/>
        <v>119242.0412</v>
      </c>
      <c r="G59" s="155">
        <f t="shared" si="115"/>
        <v>157031.3605</v>
      </c>
      <c r="H59" s="155">
        <f t="shared" si="115"/>
        <v>110658.6244</v>
      </c>
      <c r="I59" s="155">
        <f t="shared" si="115"/>
        <v>187517.8993</v>
      </c>
      <c r="J59" s="155">
        <f t="shared" si="115"/>
        <v>142172.95</v>
      </c>
      <c r="K59" s="155">
        <f t="shared" si="115"/>
        <v>220061.188</v>
      </c>
      <c r="L59" s="155">
        <f t="shared" si="115"/>
        <v>197145.3298</v>
      </c>
      <c r="M59" s="155">
        <f t="shared" si="115"/>
        <v>250480.6635</v>
      </c>
      <c r="N59" s="155">
        <f t="shared" si="115"/>
        <v>-6976383.756</v>
      </c>
      <c r="O59" s="155">
        <f t="shared" si="115"/>
        <v>0</v>
      </c>
      <c r="P59" s="155">
        <f t="shared" si="115"/>
        <v>449934.9713</v>
      </c>
      <c r="Q59" s="155">
        <f t="shared" si="115"/>
        <v>0</v>
      </c>
      <c r="R59" s="155">
        <f t="shared" si="115"/>
        <v>467099.9393</v>
      </c>
      <c r="S59" s="155">
        <f t="shared" si="115"/>
        <v>0</v>
      </c>
      <c r="T59" s="155">
        <f t="shared" si="115"/>
        <v>332512.9607</v>
      </c>
      <c r="U59" s="155">
        <f t="shared" si="115"/>
        <v>0</v>
      </c>
      <c r="V59" s="155">
        <f t="shared" si="115"/>
        <v>392619.0442</v>
      </c>
      <c r="W59" s="155">
        <f t="shared" si="115"/>
        <v>0</v>
      </c>
      <c r="X59" s="155">
        <f t="shared" si="115"/>
        <v>371022.8739</v>
      </c>
      <c r="Y59" s="155">
        <f t="shared" si="115"/>
        <v>0</v>
      </c>
      <c r="Z59" s="155">
        <f t="shared" si="115"/>
        <v>371492.8974</v>
      </c>
      <c r="AA59" s="155">
        <f t="shared" si="115"/>
        <v>0</v>
      </c>
      <c r="AB59" s="155">
        <f t="shared" si="115"/>
        <v>152931.795</v>
      </c>
      <c r="AC59" s="155">
        <f t="shared" si="115"/>
        <v>0</v>
      </c>
      <c r="AD59" s="155">
        <f t="shared" si="115"/>
        <v>184529.059</v>
      </c>
      <c r="AE59" s="155">
        <f t="shared" si="115"/>
        <v>0</v>
      </c>
      <c r="AF59" s="155">
        <f t="shared" si="115"/>
        <v>311483.9024</v>
      </c>
      <c r="AG59" s="155">
        <f t="shared" si="115"/>
        <v>0</v>
      </c>
      <c r="AH59" s="155">
        <f t="shared" si="115"/>
        <v>385134.0349</v>
      </c>
      <c r="AI59" s="155">
        <f t="shared" si="115"/>
        <v>0</v>
      </c>
      <c r="AJ59" s="155">
        <f t="shared" si="115"/>
        <v>-8779570.759</v>
      </c>
      <c r="AK59" s="155">
        <f t="shared" si="115"/>
        <v>0</v>
      </c>
      <c r="AL59" s="155">
        <f t="shared" si="115"/>
        <v>239078.7767</v>
      </c>
      <c r="AM59" s="155">
        <f t="shared" si="115"/>
        <v>0</v>
      </c>
      <c r="AN59" s="155">
        <f t="shared" si="115"/>
        <v>514633.6007</v>
      </c>
      <c r="AO59" s="154"/>
      <c r="AP59" s="154">
        <f>SUM(AP24,AP25,AP26,AP28,AP27,AP29,AP37,AP39,AP38,AP36,AP40)-SUM(AP22,AP33,AP34,AP32)</f>
        <v>-552030.8214</v>
      </c>
      <c r="AQ59" s="154"/>
      <c r="AR59" s="154">
        <f>SUM(AR24,AR25,AR26,AR28,AR27,AR29,AR37,AR39,AR38,AR36,AR40)-SUM(AR22,AR33,AR34,AR32)</f>
        <v>307304.0477</v>
      </c>
      <c r="AS59" s="154"/>
      <c r="AT59" s="154">
        <f>SUM(AT24,AT25,AT26,AT28,AT27,AT29,AT37,AT39,AT38,AT36,AT40)-SUM(AT22,AT33,AT34,AT32)</f>
        <v>493660.1511</v>
      </c>
      <c r="AU59" s="154"/>
      <c r="AV59" s="154">
        <f>SUM(AV24,AV25,AV26,AV28,AV27,AV29,AV37,AV39,AV38,AV36,AV40)-SUM(AV22,AV33,AV34,AV32)</f>
        <v>359408.3895</v>
      </c>
      <c r="AW59" s="155"/>
      <c r="AX59" s="155">
        <f>SUM(AX24,AX25,AX26,AX28,AX27,AX29,AX37,AX39,AX38,AX36,AX40)-SUM(AX22,AX33,AX34,AX32)</f>
        <v>426897.0105</v>
      </c>
      <c r="AY59" s="155"/>
      <c r="AZ59" s="155">
        <f>SUM(AZ24,AZ25,AZ26,AZ28,AZ27,AZ29,AZ37,AZ39,AZ38,AZ36,AZ40)-SUM(AZ22,AZ33,AZ34,AZ32)</f>
        <v>542099.3629</v>
      </c>
      <c r="BA59" s="155"/>
      <c r="BB59" s="155">
        <f>SUM(BB24,BB25,BB26,BB28,BB27,BB29,BB37,BB39,BB38,BB36,BB40)-SUM(BB22,BB33,BB34,BB32)</f>
        <v>448374.5663</v>
      </c>
      <c r="BC59" s="155"/>
      <c r="BD59" s="155">
        <f>SUM(BD24,BD25,BD26,BD28,BD27,BD29,BD37,BD39,BD38,BD36,BD40)-SUM(BD22,BD33,BD34,BD32)</f>
        <v>123960.1641</v>
      </c>
      <c r="BE59" s="155"/>
      <c r="BF59" s="155">
        <f>SUM(BF24,BF25,BF26,BF28,BF27,BF29,BF37,BF39,BF38,BF36,BF40)-SUM(BF22,BF33,BF34,BF32)</f>
        <v>677279.6351</v>
      </c>
      <c r="BG59" s="155"/>
      <c r="BH59" s="155">
        <f>SUM(BH24,BH25,BH26,BH28,BH27,BH29,BH37,BH39,BH38,BH36,BH40)-SUM(BH22,BH33,BH34,BH32)</f>
        <v>342921.6986</v>
      </c>
      <c r="BI59" s="155"/>
      <c r="BJ59" s="155">
        <f>SUM(BJ24,BJ25,BJ26,BJ28,BJ27,BJ29,BJ37,BJ39,BJ38,BJ36,BJ40)-SUM(BJ22,BJ33,BJ34,BJ32)</f>
        <v>111315.3311</v>
      </c>
      <c r="BK59" s="155"/>
      <c r="BL59" s="155">
        <f>SUM(BL24,BL25,BL26,BL28,BL27,BL29,BL37,BL39,BL40,BL38,BL36)-SUM(BL22,BL33,BL34,BL32)</f>
        <v>744158.3268</v>
      </c>
      <c r="BM59" s="155"/>
      <c r="BN59" s="155">
        <f>SUM(BN24,BN25,BN26,BN28,BN27,BN29,BN37,BN39,BN40,BN38,BN36)-SUM(BN22,BN33,BN34,BN32)</f>
        <v>566984.9512</v>
      </c>
      <c r="BO59" s="49"/>
      <c r="BP59" s="155">
        <f>SUM(BP24,BP25,BP26,BP28,BP27,BP29,BP37,BP39,BP38,BP36)-SUM(BP22,BP33,BP34,BP32)</f>
        <v>272202.9053</v>
      </c>
      <c r="BQ59" s="49"/>
      <c r="BR59" s="155">
        <f>SUM(BR24,BR25,BR26,BR28,BR27,BR29,BR37,BR39,BR38,BR36)-SUM(BR22,BR33,BR34,BR32)</f>
        <v>413302.8795</v>
      </c>
      <c r="BS59" s="49"/>
      <c r="BT59" s="155">
        <f>SUM(BT24,BT25,BT26,BT28,BT27,BT29,BT37,BT39,BT38,BT36)-SUM(BT22,BT33,BT34,BT32)</f>
        <v>239564.39</v>
      </c>
      <c r="BU59" s="49"/>
      <c r="BV59" s="155">
        <f>SUM(BV24,BV25,BV26,BV28,BV27,BV29,BV37,BV39,BV38,BV36)-SUM(BV22,BV33,BV34,BV32)</f>
        <v>286862.9005</v>
      </c>
      <c r="BW59" s="49"/>
      <c r="BX59" s="155">
        <f>SUM(BX24,BX25,BX26,BX28,BX27,BX29,BX37,BX39,BX40,BX38,BX36)-SUM(BX22,BX33,BX34,BX32)</f>
        <v>158694.6745</v>
      </c>
      <c r="BY59" s="156"/>
      <c r="BZ59" s="155">
        <f>SUM(BZ24,BZ25,BZ26,BZ28,BZ27,BZ29,BZ37,BZ39,BZ38,BZ36)-SUM(BZ22,BZ33,BZ34,BZ32)</f>
        <v>690437.86</v>
      </c>
      <c r="CA59" s="156"/>
      <c r="CB59" s="155">
        <f>SUM(CB24,CB25,CB26,CB28,CB27,CB29,CB37,CB39,CB38,CB36)-SUM(CB22,CB33,CB34,CB32)</f>
        <v>204677.803</v>
      </c>
      <c r="CC59" s="17"/>
      <c r="CD59" s="155">
        <f>SUM(CD24,CD25,CD26,CD28,CD27,CD29,CD37,CD39,CD38,CD36)-SUM(CD22,CD33,CD34,CD32)</f>
        <v>395303.2804</v>
      </c>
      <c r="CE59" s="17"/>
      <c r="CF59" s="17"/>
    </row>
    <row r="60" ht="15.75" customHeight="1">
      <c r="A60" s="17"/>
      <c r="B60" s="157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34"/>
      <c r="AP60" s="34"/>
      <c r="AQ60" s="34"/>
      <c r="AR60" s="34"/>
      <c r="AS60" s="34"/>
      <c r="AT60" s="34"/>
      <c r="AU60" s="34"/>
      <c r="AV60" s="34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17"/>
      <c r="BX60" s="49"/>
      <c r="BY60" s="49"/>
      <c r="BZ60" s="49"/>
      <c r="CA60" s="49"/>
      <c r="CB60" s="49"/>
      <c r="CC60" s="17"/>
      <c r="CD60" s="49"/>
      <c r="CE60" s="17"/>
      <c r="CF60" s="17"/>
    </row>
    <row r="61" ht="15.75" customHeight="1">
      <c r="A61" s="17"/>
      <c r="B61" s="153" t="s">
        <v>179</v>
      </c>
      <c r="C61" s="169">
        <f t="shared" ref="C61:BK61" si="116">C59+C33</f>
        <v>56065.5111</v>
      </c>
      <c r="D61" s="169">
        <f t="shared" si="116"/>
        <v>69483.91427</v>
      </c>
      <c r="E61" s="169">
        <f t="shared" si="116"/>
        <v>62530.25012</v>
      </c>
      <c r="F61" s="169">
        <f t="shared" si="116"/>
        <v>119242.0412</v>
      </c>
      <c r="G61" s="169">
        <f t="shared" si="116"/>
        <v>157031.3605</v>
      </c>
      <c r="H61" s="169">
        <f t="shared" si="116"/>
        <v>110658.6244</v>
      </c>
      <c r="I61" s="169">
        <f t="shared" si="116"/>
        <v>187517.8993</v>
      </c>
      <c r="J61" s="169">
        <f t="shared" si="116"/>
        <v>142172.95</v>
      </c>
      <c r="K61" s="169">
        <f t="shared" si="116"/>
        <v>220061.188</v>
      </c>
      <c r="L61" s="169">
        <f t="shared" si="116"/>
        <v>197145.3298</v>
      </c>
      <c r="M61" s="169">
        <f t="shared" si="116"/>
        <v>250480.6635</v>
      </c>
      <c r="N61" s="169">
        <f t="shared" si="116"/>
        <v>381795.1272</v>
      </c>
      <c r="O61" s="169">
        <f t="shared" si="116"/>
        <v>0</v>
      </c>
      <c r="P61" s="169">
        <f t="shared" si="116"/>
        <v>449934.9713</v>
      </c>
      <c r="Q61" s="169">
        <f t="shared" si="116"/>
        <v>0</v>
      </c>
      <c r="R61" s="169">
        <f t="shared" si="116"/>
        <v>467099.9393</v>
      </c>
      <c r="S61" s="169">
        <f t="shared" si="116"/>
        <v>0</v>
      </c>
      <c r="T61" s="169">
        <f t="shared" si="116"/>
        <v>332512.9607</v>
      </c>
      <c r="U61" s="169">
        <f t="shared" si="116"/>
        <v>0</v>
      </c>
      <c r="V61" s="169">
        <f t="shared" si="116"/>
        <v>392619.0442</v>
      </c>
      <c r="W61" s="169">
        <f t="shared" si="116"/>
        <v>0</v>
      </c>
      <c r="X61" s="169">
        <f t="shared" si="116"/>
        <v>471208.8739</v>
      </c>
      <c r="Y61" s="169">
        <f t="shared" si="116"/>
        <v>0</v>
      </c>
      <c r="Z61" s="169">
        <f t="shared" si="116"/>
        <v>371847.6344</v>
      </c>
      <c r="AA61" s="169">
        <f t="shared" si="116"/>
        <v>0</v>
      </c>
      <c r="AB61" s="169">
        <f t="shared" si="116"/>
        <v>455703.1176</v>
      </c>
      <c r="AC61" s="169">
        <f t="shared" si="116"/>
        <v>0</v>
      </c>
      <c r="AD61" s="169">
        <f t="shared" si="116"/>
        <v>319925.5404</v>
      </c>
      <c r="AE61" s="169">
        <f t="shared" si="116"/>
        <v>0</v>
      </c>
      <c r="AF61" s="169">
        <f t="shared" si="116"/>
        <v>311483.9024</v>
      </c>
      <c r="AG61" s="169">
        <f t="shared" si="116"/>
        <v>0</v>
      </c>
      <c r="AH61" s="169">
        <f t="shared" si="116"/>
        <v>385134.0349</v>
      </c>
      <c r="AI61" s="169">
        <f t="shared" si="116"/>
        <v>0</v>
      </c>
      <c r="AJ61" s="169">
        <f t="shared" si="116"/>
        <v>226454.6531</v>
      </c>
      <c r="AK61" s="169">
        <f t="shared" si="116"/>
        <v>0</v>
      </c>
      <c r="AL61" s="169">
        <f t="shared" si="116"/>
        <v>239078.7767</v>
      </c>
      <c r="AM61" s="169">
        <f t="shared" si="116"/>
        <v>0</v>
      </c>
      <c r="AN61" s="169">
        <f t="shared" si="116"/>
        <v>514633.6007</v>
      </c>
      <c r="AO61" s="169">
        <f t="shared" si="116"/>
        <v>0</v>
      </c>
      <c r="AP61" s="169">
        <f t="shared" si="116"/>
        <v>448624.211</v>
      </c>
      <c r="AQ61" s="169">
        <f t="shared" si="116"/>
        <v>0</v>
      </c>
      <c r="AR61" s="169">
        <f t="shared" si="116"/>
        <v>307304.0477</v>
      </c>
      <c r="AS61" s="169">
        <f t="shared" si="116"/>
        <v>0</v>
      </c>
      <c r="AT61" s="169">
        <f t="shared" si="116"/>
        <v>493660.1511</v>
      </c>
      <c r="AU61" s="169">
        <f t="shared" si="116"/>
        <v>0</v>
      </c>
      <c r="AV61" s="169">
        <f t="shared" si="116"/>
        <v>359408.3895</v>
      </c>
      <c r="AW61" s="169">
        <f t="shared" si="116"/>
        <v>0</v>
      </c>
      <c r="AX61" s="169">
        <f t="shared" si="116"/>
        <v>426897.0105</v>
      </c>
      <c r="AY61" s="169">
        <f t="shared" si="116"/>
        <v>0</v>
      </c>
      <c r="AZ61" s="169">
        <f t="shared" si="116"/>
        <v>542099.3629</v>
      </c>
      <c r="BA61" s="169">
        <f t="shared" si="116"/>
        <v>0</v>
      </c>
      <c r="BB61" s="169">
        <f t="shared" si="116"/>
        <v>448374.5663</v>
      </c>
      <c r="BC61" s="169">
        <f t="shared" si="116"/>
        <v>0</v>
      </c>
      <c r="BD61" s="169">
        <f t="shared" si="116"/>
        <v>123960.1641</v>
      </c>
      <c r="BE61" s="169">
        <f t="shared" si="116"/>
        <v>0</v>
      </c>
      <c r="BF61" s="169">
        <f t="shared" si="116"/>
        <v>677279.6351</v>
      </c>
      <c r="BG61" s="169">
        <f t="shared" si="116"/>
        <v>0</v>
      </c>
      <c r="BH61" s="169">
        <f t="shared" si="116"/>
        <v>342921.6986</v>
      </c>
      <c r="BI61" s="169">
        <f t="shared" si="116"/>
        <v>0</v>
      </c>
      <c r="BJ61" s="169">
        <f t="shared" si="116"/>
        <v>111315.3311</v>
      </c>
      <c r="BK61" s="169">
        <f t="shared" si="116"/>
        <v>0</v>
      </c>
      <c r="BL61" s="169">
        <f>BL59+BL33-BL40</f>
        <v>710091.404</v>
      </c>
      <c r="BM61" s="169">
        <f>BM59+BM33</f>
        <v>0</v>
      </c>
      <c r="BN61" s="169">
        <f>BN59+BN33-BN40</f>
        <v>487495.4519</v>
      </c>
      <c r="BO61" s="49"/>
      <c r="BP61" s="169">
        <f>BP59+BP33-BP40</f>
        <v>272202.9053</v>
      </c>
      <c r="BQ61" s="49"/>
      <c r="BR61" s="169">
        <f>BR59+BR33-BR40</f>
        <v>413302.8795</v>
      </c>
      <c r="BS61" s="49"/>
      <c r="BT61" s="169">
        <f>BT59+BT33-BT40</f>
        <v>239564.39</v>
      </c>
      <c r="BU61" s="49"/>
      <c r="BV61" s="169">
        <f>BV59+BV33-BV40</f>
        <v>286862.9005</v>
      </c>
      <c r="BW61" s="49"/>
      <c r="BX61" s="169">
        <f>BX59+BX33-BX40</f>
        <v>118618.6845</v>
      </c>
      <c r="BY61" s="169"/>
      <c r="BZ61" s="169">
        <f>BZ59+BZ33-BZ40</f>
        <v>690437.86</v>
      </c>
      <c r="CA61" s="169"/>
      <c r="CB61" s="169">
        <f>CB59+CB33-CB40+CB32</f>
        <v>204677.803</v>
      </c>
      <c r="CC61" s="17"/>
      <c r="CD61" s="169">
        <f>CD59+CD33-CD40</f>
        <v>395303.2804</v>
      </c>
      <c r="CE61" s="17"/>
      <c r="CF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17"/>
      <c r="BX62" s="49"/>
      <c r="BY62" s="49"/>
      <c r="BZ62" s="49"/>
      <c r="CA62" s="49"/>
      <c r="CB62" s="49"/>
      <c r="CC62" s="17"/>
      <c r="CD62" s="49"/>
      <c r="CE62" s="17"/>
      <c r="CF62" s="17"/>
    </row>
    <row r="63" ht="15.75" customHeight="1">
      <c r="A63" s="17"/>
      <c r="B63" s="17"/>
      <c r="C63" s="34">
        <f t="shared" ref="C63:BP63" si="117">SUM(C43:C58)-C42</f>
        <v>-0.0000000004656612873</v>
      </c>
      <c r="D63" s="34">
        <f t="shared" si="117"/>
        <v>0.00000000512227416</v>
      </c>
      <c r="E63" s="34">
        <f t="shared" si="117"/>
        <v>0.0000000004656612873</v>
      </c>
      <c r="F63" s="34">
        <f t="shared" si="117"/>
        <v>-0.000000002793967724</v>
      </c>
      <c r="G63" s="34">
        <f t="shared" si="117"/>
        <v>0.000000002793967724</v>
      </c>
      <c r="H63" s="34">
        <f t="shared" si="117"/>
        <v>0.000000002793967724</v>
      </c>
      <c r="I63" s="34">
        <f t="shared" si="117"/>
        <v>-0.000000005587935448</v>
      </c>
      <c r="J63" s="34">
        <f t="shared" si="117"/>
        <v>0.000000004190951586</v>
      </c>
      <c r="K63" s="34">
        <f t="shared" si="117"/>
        <v>0.1610975631</v>
      </c>
      <c r="L63" s="34">
        <f t="shared" si="117"/>
        <v>-0.000000006053596735</v>
      </c>
      <c r="M63" s="34">
        <f t="shared" si="117"/>
        <v>0.000000003026798368</v>
      </c>
      <c r="N63" s="34">
        <f t="shared" si="117"/>
        <v>0.004247174598</v>
      </c>
      <c r="O63" s="34">
        <f t="shared" si="117"/>
        <v>0</v>
      </c>
      <c r="P63" s="34">
        <f t="shared" si="117"/>
        <v>-0.1663414687</v>
      </c>
      <c r="Q63" s="34">
        <f t="shared" si="117"/>
        <v>0</v>
      </c>
      <c r="R63" s="34">
        <f t="shared" si="117"/>
        <v>-0.01083253231</v>
      </c>
      <c r="S63" s="34">
        <f t="shared" si="117"/>
        <v>0</v>
      </c>
      <c r="T63" s="34">
        <f t="shared" si="117"/>
        <v>0.02034473047</v>
      </c>
      <c r="U63" s="34">
        <f t="shared" si="117"/>
        <v>0</v>
      </c>
      <c r="V63" s="34">
        <f t="shared" si="117"/>
        <v>13057.40746</v>
      </c>
      <c r="W63" s="34">
        <f t="shared" si="117"/>
        <v>0</v>
      </c>
      <c r="X63" s="34">
        <f t="shared" si="117"/>
        <v>6990.23878</v>
      </c>
      <c r="Y63" s="34">
        <f t="shared" si="117"/>
        <v>0</v>
      </c>
      <c r="Z63" s="34">
        <f t="shared" si="117"/>
        <v>-33917.83366</v>
      </c>
      <c r="AA63" s="34">
        <f t="shared" si="117"/>
        <v>0</v>
      </c>
      <c r="AB63" s="34">
        <f t="shared" si="117"/>
        <v>13870.18817</v>
      </c>
      <c r="AC63" s="34">
        <f t="shared" si="117"/>
        <v>0</v>
      </c>
      <c r="AD63" s="34">
        <f t="shared" si="117"/>
        <v>-0.0007317066193</v>
      </c>
      <c r="AE63" s="34">
        <f t="shared" si="117"/>
        <v>0</v>
      </c>
      <c r="AF63" s="34">
        <f t="shared" si="117"/>
        <v>0.000365851447</v>
      </c>
      <c r="AG63" s="34">
        <f t="shared" si="117"/>
        <v>0</v>
      </c>
      <c r="AH63" s="34">
        <f t="shared" si="117"/>
        <v>0.0008610039949</v>
      </c>
      <c r="AI63" s="34">
        <f t="shared" si="117"/>
        <v>0</v>
      </c>
      <c r="AJ63" s="34">
        <f t="shared" si="117"/>
        <v>-0.000000005587935448</v>
      </c>
      <c r="AK63" s="34">
        <f t="shared" si="117"/>
        <v>0</v>
      </c>
      <c r="AL63" s="34">
        <f t="shared" si="117"/>
        <v>0</v>
      </c>
      <c r="AM63" s="34">
        <f t="shared" si="117"/>
        <v>0</v>
      </c>
      <c r="AN63" s="34">
        <f t="shared" si="117"/>
        <v>0</v>
      </c>
      <c r="AO63" s="34">
        <f t="shared" si="117"/>
        <v>0</v>
      </c>
      <c r="AP63" s="34">
        <f t="shared" si="117"/>
        <v>0</v>
      </c>
      <c r="AQ63" s="34">
        <f t="shared" si="117"/>
        <v>0</v>
      </c>
      <c r="AR63" s="34">
        <f t="shared" si="117"/>
        <v>250703.6636</v>
      </c>
      <c r="AS63" s="34">
        <f t="shared" si="117"/>
        <v>0</v>
      </c>
      <c r="AT63" s="34">
        <f t="shared" si="117"/>
        <v>-250703.6636</v>
      </c>
      <c r="AU63" s="34">
        <f t="shared" si="117"/>
        <v>0</v>
      </c>
      <c r="AV63" s="34">
        <f t="shared" si="117"/>
        <v>0.000000001862645149</v>
      </c>
      <c r="AW63" s="49">
        <f t="shared" si="117"/>
        <v>0</v>
      </c>
      <c r="AX63" s="49">
        <f t="shared" si="117"/>
        <v>0</v>
      </c>
      <c r="AY63" s="49">
        <f t="shared" si="117"/>
        <v>0</v>
      </c>
      <c r="AZ63" s="49">
        <f t="shared" si="117"/>
        <v>0</v>
      </c>
      <c r="BA63" s="49">
        <f t="shared" si="117"/>
        <v>0</v>
      </c>
      <c r="BB63" s="49">
        <f t="shared" si="117"/>
        <v>0</v>
      </c>
      <c r="BC63" s="49">
        <f t="shared" si="117"/>
        <v>0</v>
      </c>
      <c r="BD63" s="49">
        <f t="shared" si="117"/>
        <v>0</v>
      </c>
      <c r="BE63" s="49">
        <f t="shared" si="117"/>
        <v>0</v>
      </c>
      <c r="BF63" s="49">
        <f t="shared" si="117"/>
        <v>0</v>
      </c>
      <c r="BG63" s="49">
        <f t="shared" si="117"/>
        <v>0</v>
      </c>
      <c r="BH63" s="49">
        <f t="shared" si="117"/>
        <v>0.000000001862645149</v>
      </c>
      <c r="BI63" s="49">
        <f t="shared" si="117"/>
        <v>0</v>
      </c>
      <c r="BJ63" s="49">
        <f t="shared" si="117"/>
        <v>0</v>
      </c>
      <c r="BK63" s="49">
        <f t="shared" si="117"/>
        <v>0</v>
      </c>
      <c r="BL63" s="49">
        <f t="shared" si="117"/>
        <v>-0.003260899335</v>
      </c>
      <c r="BM63" s="49">
        <f t="shared" si="117"/>
        <v>0</v>
      </c>
      <c r="BN63" s="49">
        <f t="shared" si="117"/>
        <v>0</v>
      </c>
      <c r="BO63" s="49">
        <f t="shared" si="117"/>
        <v>0</v>
      </c>
      <c r="BP63" s="49">
        <f t="shared" si="117"/>
        <v>0</v>
      </c>
      <c r="BQ63" s="49"/>
      <c r="BR63" s="49">
        <f t="shared" ref="BR63:BV63" si="118">SUM(BR43:BR58)-BR42</f>
        <v>-0.002588234842</v>
      </c>
      <c r="BS63" s="49">
        <f t="shared" si="118"/>
        <v>0</v>
      </c>
      <c r="BT63" s="49">
        <f t="shared" si="118"/>
        <v>-0.08211764693</v>
      </c>
      <c r="BU63" s="49">
        <f t="shared" si="118"/>
        <v>0</v>
      </c>
      <c r="BV63" s="49">
        <f t="shared" si="118"/>
        <v>-0.5399999954</v>
      </c>
      <c r="BW63" s="17"/>
      <c r="BX63" s="49">
        <f>SUM(BX43:BX58)-BX42</f>
        <v>0</v>
      </c>
      <c r="BY63" s="49"/>
      <c r="BZ63" s="49">
        <f>SUM(BZ43:BZ58)-BZ42</f>
        <v>-0.2899999991</v>
      </c>
      <c r="CA63" s="49"/>
      <c r="CB63" s="49">
        <f>SUM(CB43:CB58)-CB42</f>
        <v>-0.0000000009313225746</v>
      </c>
      <c r="CC63" s="17"/>
      <c r="CD63" s="49">
        <f>SUM(CD43:CD58)-CD42</f>
        <v>0.000000001862645149</v>
      </c>
      <c r="CE63" s="17"/>
      <c r="CF63" s="17"/>
    </row>
    <row r="64" ht="15.75" customHeight="1">
      <c r="A64" s="17"/>
      <c r="B64" s="1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43"/>
      <c r="AE64" s="34"/>
      <c r="AF64" s="43"/>
      <c r="AG64" s="34"/>
      <c r="AH64" s="43"/>
      <c r="AI64" s="34"/>
      <c r="AJ64" s="43"/>
      <c r="AK64" s="34"/>
      <c r="AL64" s="43"/>
      <c r="AM64" s="34"/>
      <c r="AN64" s="43"/>
      <c r="AO64" s="34"/>
      <c r="AP64" s="43"/>
      <c r="AQ64" s="34"/>
      <c r="AR64" s="43"/>
      <c r="AS64" s="34"/>
      <c r="AT64" s="43"/>
      <c r="AU64" s="34"/>
      <c r="AV64" s="43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17"/>
      <c r="BX64" s="17"/>
      <c r="BY64" s="17"/>
      <c r="BZ64" s="17"/>
      <c r="CA64" s="17"/>
      <c r="CB64" s="17"/>
      <c r="CC64" s="17"/>
      <c r="CD64" s="17"/>
      <c r="CE64" s="17"/>
      <c r="CF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66"/>
      <c r="AU65" s="166"/>
      <c r="AV65" s="166"/>
      <c r="AW65" s="167"/>
      <c r="AX65" s="167"/>
      <c r="AY65" s="167"/>
      <c r="AZ65" s="167"/>
      <c r="BA65" s="167"/>
      <c r="BB65" s="159"/>
      <c r="BC65" s="159"/>
      <c r="BD65" s="159"/>
      <c r="BE65" s="15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17"/>
      <c r="BX65" s="49"/>
      <c r="BY65" s="17"/>
      <c r="BZ65" s="43"/>
      <c r="CA65" s="17"/>
      <c r="CB65" s="43"/>
      <c r="CC65" s="17"/>
      <c r="CD65" s="43"/>
      <c r="CE65" s="17"/>
      <c r="CF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17"/>
      <c r="BX66" s="17"/>
      <c r="BY66" s="17"/>
      <c r="BZ66" s="17"/>
      <c r="CA66" s="17"/>
      <c r="CB66" s="17"/>
      <c r="CC66" s="17"/>
      <c r="CD66" s="17"/>
      <c r="CE66" s="17"/>
      <c r="CF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17"/>
      <c r="BX67" s="17"/>
      <c r="BY67" s="17"/>
      <c r="BZ67" s="17"/>
      <c r="CA67" s="17"/>
      <c r="CB67" s="43"/>
      <c r="CC67" s="17"/>
      <c r="CD67" s="43"/>
      <c r="CE67" s="17"/>
      <c r="CF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17"/>
      <c r="BX68" s="17"/>
      <c r="BY68" s="17"/>
      <c r="BZ68" s="17"/>
      <c r="CA68" s="17"/>
      <c r="CB68" s="17"/>
      <c r="CC68" s="17"/>
      <c r="CD68" s="17"/>
      <c r="CE68" s="17"/>
      <c r="CF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17"/>
      <c r="BX69" s="17"/>
      <c r="BY69" s="17"/>
      <c r="BZ69" s="17"/>
      <c r="CA69" s="17"/>
      <c r="CB69" s="17"/>
      <c r="CC69" s="17"/>
      <c r="CD69" s="17"/>
      <c r="CE69" s="17"/>
      <c r="CF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17"/>
      <c r="BX70" s="17"/>
      <c r="BY70" s="17"/>
      <c r="BZ70" s="17"/>
      <c r="CA70" s="17"/>
      <c r="CB70" s="17"/>
      <c r="CC70" s="17"/>
      <c r="CD70" s="17"/>
      <c r="CE70" s="17"/>
      <c r="CF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17"/>
      <c r="BX71" s="17"/>
      <c r="BY71" s="17"/>
      <c r="BZ71" s="17"/>
      <c r="CA71" s="17"/>
      <c r="CB71" s="17"/>
      <c r="CC71" s="17"/>
      <c r="CD71" s="17"/>
      <c r="CE71" s="17"/>
      <c r="CF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17"/>
      <c r="BX72" s="17"/>
      <c r="BY72" s="17"/>
      <c r="BZ72" s="17"/>
      <c r="CA72" s="17"/>
      <c r="CB72" s="17"/>
      <c r="CC72" s="17"/>
      <c r="CD72" s="17"/>
      <c r="CE72" s="17"/>
      <c r="CF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17"/>
      <c r="BX73" s="17"/>
      <c r="BY73" s="17"/>
      <c r="BZ73" s="17"/>
      <c r="CA73" s="17"/>
      <c r="CB73" s="17"/>
      <c r="CC73" s="17"/>
      <c r="CD73" s="17"/>
      <c r="CE73" s="17"/>
      <c r="CF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17"/>
      <c r="BX74" s="17"/>
      <c r="BY74" s="17"/>
      <c r="BZ74" s="17"/>
      <c r="CA74" s="17"/>
      <c r="CB74" s="17"/>
      <c r="CC74" s="17"/>
      <c r="CD74" s="17"/>
      <c r="CE74" s="17"/>
      <c r="CF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17"/>
      <c r="BX75" s="17"/>
      <c r="BY75" s="17"/>
      <c r="BZ75" s="17"/>
      <c r="CA75" s="17"/>
      <c r="CB75" s="17"/>
      <c r="CC75" s="17"/>
      <c r="CD75" s="17"/>
      <c r="CE75" s="17"/>
      <c r="CF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17"/>
      <c r="BX76" s="17"/>
      <c r="BY76" s="17"/>
      <c r="BZ76" s="17"/>
      <c r="CA76" s="17"/>
      <c r="CB76" s="17"/>
      <c r="CC76" s="17"/>
      <c r="CD76" s="17"/>
      <c r="CE76" s="17"/>
      <c r="CF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17"/>
      <c r="BX77" s="17"/>
      <c r="BY77" s="17"/>
      <c r="BZ77" s="17"/>
      <c r="CA77" s="17"/>
      <c r="CB77" s="17"/>
      <c r="CC77" s="17"/>
      <c r="CD77" s="17"/>
      <c r="CE77" s="17"/>
      <c r="CF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17"/>
      <c r="BX78" s="17"/>
      <c r="BY78" s="17"/>
      <c r="BZ78" s="17"/>
      <c r="CA78" s="17"/>
      <c r="CB78" s="17"/>
      <c r="CC78" s="17"/>
      <c r="CD78" s="17"/>
      <c r="CE78" s="17"/>
      <c r="CF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17"/>
      <c r="BX79" s="17"/>
      <c r="BY79" s="17"/>
      <c r="BZ79" s="17"/>
      <c r="CA79" s="17"/>
      <c r="CB79" s="17"/>
      <c r="CC79" s="17"/>
      <c r="CD79" s="17"/>
      <c r="CE79" s="17"/>
      <c r="CF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17"/>
      <c r="BX80" s="17"/>
      <c r="BY80" s="17"/>
      <c r="BZ80" s="17"/>
      <c r="CA80" s="17"/>
      <c r="CB80" s="17"/>
      <c r="CC80" s="17"/>
      <c r="CD80" s="17"/>
      <c r="CE80" s="17"/>
      <c r="CF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17"/>
      <c r="BX81" s="17"/>
      <c r="BY81" s="17"/>
      <c r="BZ81" s="17"/>
      <c r="CA81" s="17"/>
      <c r="CB81" s="17"/>
      <c r="CC81" s="17"/>
      <c r="CD81" s="17"/>
      <c r="CE81" s="17"/>
      <c r="CF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17"/>
      <c r="BX82" s="17"/>
      <c r="BY82" s="17"/>
      <c r="BZ82" s="17"/>
      <c r="CA82" s="17"/>
      <c r="CB82" s="17"/>
      <c r="CC82" s="17"/>
      <c r="CD82" s="17"/>
      <c r="CE82" s="17"/>
      <c r="CF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17"/>
      <c r="BX83" s="17"/>
      <c r="BY83" s="17"/>
      <c r="BZ83" s="17"/>
      <c r="CA83" s="17"/>
      <c r="CB83" s="17"/>
      <c r="CC83" s="17"/>
      <c r="CD83" s="17"/>
      <c r="CE83" s="17"/>
      <c r="CF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17"/>
      <c r="BX84" s="17"/>
      <c r="BY84" s="17"/>
      <c r="BZ84" s="17"/>
      <c r="CA84" s="17"/>
      <c r="CB84" s="17"/>
      <c r="CC84" s="17"/>
      <c r="CD84" s="17"/>
      <c r="CE84" s="17"/>
      <c r="CF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17"/>
      <c r="BX85" s="17"/>
      <c r="BY85" s="17"/>
      <c r="BZ85" s="17"/>
      <c r="CA85" s="17"/>
      <c r="CB85" s="17"/>
      <c r="CC85" s="17"/>
      <c r="CD85" s="17"/>
      <c r="CE85" s="17"/>
      <c r="CF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17"/>
      <c r="BX86" s="17"/>
      <c r="BY86" s="17"/>
      <c r="BZ86" s="17"/>
      <c r="CA86" s="17"/>
      <c r="CB86" s="17"/>
      <c r="CC86" s="17"/>
      <c r="CD86" s="17"/>
      <c r="CE86" s="17"/>
      <c r="CF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17"/>
      <c r="BX87" s="17"/>
      <c r="BY87" s="17"/>
      <c r="BZ87" s="17"/>
      <c r="CA87" s="17"/>
      <c r="CB87" s="17"/>
      <c r="CC87" s="17"/>
      <c r="CD87" s="17"/>
      <c r="CE87" s="17"/>
      <c r="CF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17"/>
      <c r="BX88" s="17"/>
      <c r="BY88" s="17"/>
      <c r="BZ88" s="17"/>
      <c r="CA88" s="17"/>
      <c r="CB88" s="17"/>
      <c r="CC88" s="17"/>
      <c r="CD88" s="17"/>
      <c r="CE88" s="17"/>
      <c r="CF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17"/>
      <c r="BX89" s="17"/>
      <c r="BY89" s="17"/>
      <c r="BZ89" s="17"/>
      <c r="CA89" s="17"/>
      <c r="CB89" s="17"/>
      <c r="CC89" s="17"/>
      <c r="CD89" s="17"/>
      <c r="CE89" s="17"/>
      <c r="CF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17"/>
      <c r="BX90" s="17"/>
      <c r="BY90" s="17"/>
      <c r="BZ90" s="17"/>
      <c r="CA90" s="17"/>
      <c r="CB90" s="17"/>
      <c r="CC90" s="17"/>
      <c r="CD90" s="17"/>
      <c r="CE90" s="17"/>
      <c r="CF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17"/>
      <c r="BX91" s="17"/>
      <c r="BY91" s="17"/>
      <c r="BZ91" s="17"/>
      <c r="CA91" s="17"/>
      <c r="CB91" s="17"/>
      <c r="CC91" s="17"/>
      <c r="CD91" s="17"/>
      <c r="CE91" s="17"/>
      <c r="CF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17"/>
      <c r="BX92" s="17"/>
      <c r="BY92" s="17"/>
      <c r="BZ92" s="17"/>
      <c r="CA92" s="17"/>
      <c r="CB92" s="17"/>
      <c r="CC92" s="17"/>
      <c r="CD92" s="17"/>
      <c r="CE92" s="17"/>
      <c r="CF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17"/>
      <c r="BX93" s="17"/>
      <c r="BY93" s="17"/>
      <c r="BZ93" s="17"/>
      <c r="CA93" s="17"/>
      <c r="CB93" s="17"/>
      <c r="CC93" s="17"/>
      <c r="CD93" s="17"/>
      <c r="CE93" s="17"/>
      <c r="CF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17"/>
      <c r="BX94" s="17"/>
      <c r="BY94" s="17"/>
      <c r="BZ94" s="17"/>
      <c r="CA94" s="17"/>
      <c r="CB94" s="17"/>
      <c r="CC94" s="17"/>
      <c r="CD94" s="17"/>
      <c r="CE94" s="17"/>
      <c r="CF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17"/>
      <c r="BX95" s="17"/>
      <c r="BY95" s="17"/>
      <c r="BZ95" s="17"/>
      <c r="CA95" s="17"/>
      <c r="CB95" s="17"/>
      <c r="CC95" s="17"/>
      <c r="CD95" s="17"/>
      <c r="CE95" s="17"/>
      <c r="CF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17"/>
      <c r="BX96" s="17"/>
      <c r="BY96" s="17"/>
      <c r="BZ96" s="17"/>
      <c r="CA96" s="17"/>
      <c r="CB96" s="17"/>
      <c r="CC96" s="17"/>
      <c r="CD96" s="17"/>
      <c r="CE96" s="17"/>
      <c r="CF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17"/>
      <c r="BX97" s="17"/>
      <c r="BY97" s="17"/>
      <c r="BZ97" s="17"/>
      <c r="CA97" s="17"/>
      <c r="CB97" s="17"/>
      <c r="CC97" s="17"/>
      <c r="CD97" s="17"/>
      <c r="CE97" s="17"/>
      <c r="CF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17"/>
      <c r="BX98" s="17"/>
      <c r="BY98" s="17"/>
      <c r="BZ98" s="17"/>
      <c r="CA98" s="17"/>
      <c r="CB98" s="17"/>
      <c r="CC98" s="17"/>
      <c r="CD98" s="17"/>
      <c r="CE98" s="17"/>
      <c r="CF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17"/>
      <c r="BX99" s="17"/>
      <c r="BY99" s="17"/>
      <c r="BZ99" s="17"/>
      <c r="CA99" s="17"/>
      <c r="CB99" s="17"/>
      <c r="CC99" s="17"/>
      <c r="CD99" s="17"/>
      <c r="CE99" s="17"/>
      <c r="CF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</row>
    <row r="161" ht="15.75" hidden="1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</row>
    <row r="162" ht="15.75" hidden="1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</row>
    <row r="163" ht="15.75" hidden="1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</row>
    <row r="164" ht="15.75" hidden="1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</row>
    <row r="165" ht="15.75" hidden="1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</row>
    <row r="166" ht="15.75" hidden="1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</row>
    <row r="167" ht="15.75" hidden="1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</row>
    <row r="168" ht="15.75" hidden="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  <c r="BP348" s="49"/>
      <c r="BQ348" s="49"/>
      <c r="BR348" s="49"/>
      <c r="BS348" s="49"/>
      <c r="BT348" s="49"/>
      <c r="BU348" s="49"/>
      <c r="BV348" s="49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49"/>
      <c r="BQ366" s="49"/>
      <c r="BR366" s="49"/>
      <c r="BS366" s="49"/>
      <c r="BT366" s="49"/>
      <c r="BU366" s="49"/>
      <c r="BV366" s="49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  <c r="BR368" s="49"/>
      <c r="BS368" s="49"/>
      <c r="BT368" s="49"/>
      <c r="BU368" s="49"/>
      <c r="BV368" s="49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49"/>
      <c r="BQ373" s="49"/>
      <c r="BR373" s="49"/>
      <c r="BS373" s="49"/>
      <c r="BT373" s="49"/>
      <c r="BU373" s="49"/>
      <c r="BV373" s="49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M374" s="49"/>
      <c r="BN374" s="49"/>
      <c r="BO374" s="49"/>
      <c r="BP374" s="49"/>
      <c r="BQ374" s="49"/>
      <c r="BR374" s="49"/>
      <c r="BS374" s="49"/>
      <c r="BT374" s="49"/>
      <c r="BU374" s="49"/>
      <c r="BV374" s="49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49"/>
      <c r="BQ375" s="49"/>
      <c r="BR375" s="49"/>
      <c r="BS375" s="49"/>
      <c r="BT375" s="49"/>
      <c r="BU375" s="49"/>
      <c r="BV375" s="49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M376" s="49"/>
      <c r="BN376" s="49"/>
      <c r="BO376" s="49"/>
      <c r="BP376" s="49"/>
      <c r="BQ376" s="49"/>
      <c r="BR376" s="49"/>
      <c r="BS376" s="49"/>
      <c r="BT376" s="49"/>
      <c r="BU376" s="49"/>
      <c r="BV376" s="49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  <c r="BP377" s="49"/>
      <c r="BQ377" s="49"/>
      <c r="BR377" s="49"/>
      <c r="BS377" s="49"/>
      <c r="BT377" s="49"/>
      <c r="BU377" s="49"/>
      <c r="BV377" s="49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49"/>
      <c r="BQ378" s="49"/>
      <c r="BR378" s="49"/>
      <c r="BS378" s="49"/>
      <c r="BT378" s="49"/>
      <c r="BU378" s="49"/>
      <c r="BV378" s="49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49"/>
      <c r="BQ379" s="49"/>
      <c r="BR379" s="49"/>
      <c r="BS379" s="49"/>
      <c r="BT379" s="49"/>
      <c r="BU379" s="49"/>
      <c r="BV379" s="49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M380" s="49"/>
      <c r="BN380" s="49"/>
      <c r="BO380" s="49"/>
      <c r="BP380" s="49"/>
      <c r="BQ380" s="49"/>
      <c r="BR380" s="49"/>
      <c r="BS380" s="49"/>
      <c r="BT380" s="49"/>
      <c r="BU380" s="49"/>
      <c r="BV380" s="49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  <c r="BP381" s="49"/>
      <c r="BQ381" s="49"/>
      <c r="BR381" s="49"/>
      <c r="BS381" s="49"/>
      <c r="BT381" s="49"/>
      <c r="BU381" s="49"/>
      <c r="BV381" s="49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  <c r="BP382" s="49"/>
      <c r="BQ382" s="49"/>
      <c r="BR382" s="49"/>
      <c r="BS382" s="49"/>
      <c r="BT382" s="49"/>
      <c r="BU382" s="49"/>
      <c r="BV382" s="49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49"/>
      <c r="BQ383" s="49"/>
      <c r="BR383" s="49"/>
      <c r="BS383" s="49"/>
      <c r="BT383" s="49"/>
      <c r="BU383" s="49"/>
      <c r="BV383" s="49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  <c r="BP384" s="49"/>
      <c r="BQ384" s="49"/>
      <c r="BR384" s="49"/>
      <c r="BS384" s="49"/>
      <c r="BT384" s="49"/>
      <c r="BU384" s="49"/>
      <c r="BV384" s="49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49"/>
      <c r="BQ385" s="49"/>
      <c r="BR385" s="49"/>
      <c r="BS385" s="49"/>
      <c r="BT385" s="49"/>
      <c r="BU385" s="49"/>
      <c r="BV385" s="49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  <c r="BP386" s="49"/>
      <c r="BQ386" s="49"/>
      <c r="BR386" s="49"/>
      <c r="BS386" s="49"/>
      <c r="BT386" s="49"/>
      <c r="BU386" s="49"/>
      <c r="BV386" s="49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49"/>
      <c r="BQ387" s="49"/>
      <c r="BR387" s="49"/>
      <c r="BS387" s="49"/>
      <c r="BT387" s="49"/>
      <c r="BU387" s="49"/>
      <c r="BV387" s="49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  <c r="BP388" s="49"/>
      <c r="BQ388" s="49"/>
      <c r="BR388" s="49"/>
      <c r="BS388" s="49"/>
      <c r="BT388" s="49"/>
      <c r="BU388" s="49"/>
      <c r="BV388" s="49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</row>
    <row r="389" ht="15.75" customHeight="1">
      <c r="A389" s="170">
        <v>44742.0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</row>
    <row r="391" ht="15.75" customHeight="1">
      <c r="A391" s="170">
        <v>44803.0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49"/>
      <c r="BQ400" s="49"/>
      <c r="BR400" s="49"/>
      <c r="BS400" s="49"/>
      <c r="BT400" s="49"/>
      <c r="BU400" s="49"/>
      <c r="BV400" s="49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49"/>
      <c r="BQ401" s="49"/>
      <c r="BR401" s="49"/>
      <c r="BS401" s="49"/>
      <c r="BT401" s="49"/>
      <c r="BU401" s="49"/>
      <c r="BV401" s="49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  <c r="BP402" s="49"/>
      <c r="BQ402" s="49"/>
      <c r="BR402" s="49"/>
      <c r="BS402" s="49"/>
      <c r="BT402" s="49"/>
      <c r="BU402" s="49"/>
      <c r="BV402" s="49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49"/>
      <c r="BQ403" s="49"/>
      <c r="BR403" s="49"/>
      <c r="BS403" s="49"/>
      <c r="BT403" s="49"/>
      <c r="BU403" s="49"/>
      <c r="BV403" s="49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  <c r="BP404" s="49"/>
      <c r="BQ404" s="49"/>
      <c r="BR404" s="49"/>
      <c r="BS404" s="49"/>
      <c r="BT404" s="49"/>
      <c r="BU404" s="49"/>
      <c r="BV404" s="49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49"/>
      <c r="BQ405" s="49"/>
      <c r="BR405" s="49"/>
      <c r="BS405" s="49"/>
      <c r="BT405" s="49"/>
      <c r="BU405" s="49"/>
      <c r="BV405" s="49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49"/>
      <c r="BQ406" s="49"/>
      <c r="BR406" s="49"/>
      <c r="BS406" s="49"/>
      <c r="BT406" s="49"/>
      <c r="BU406" s="49"/>
      <c r="BV406" s="49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49"/>
      <c r="BQ407" s="49"/>
      <c r="BR407" s="49"/>
      <c r="BS407" s="49"/>
      <c r="BT407" s="49"/>
      <c r="BU407" s="49"/>
      <c r="BV407" s="49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49"/>
      <c r="BQ408" s="49"/>
      <c r="BR408" s="49"/>
      <c r="BS408" s="49"/>
      <c r="BT408" s="49"/>
      <c r="BU408" s="49"/>
      <c r="BV408" s="49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49"/>
      <c r="BQ409" s="49"/>
      <c r="BR409" s="49"/>
      <c r="BS409" s="49"/>
      <c r="BT409" s="49"/>
      <c r="BU409" s="49"/>
      <c r="BV409" s="49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49"/>
      <c r="BQ410" s="49"/>
      <c r="BR410" s="49"/>
      <c r="BS410" s="49"/>
      <c r="BT410" s="49"/>
      <c r="BU410" s="49"/>
      <c r="BV410" s="49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49"/>
      <c r="BQ412" s="49"/>
      <c r="BR412" s="49"/>
      <c r="BS412" s="49"/>
      <c r="BT412" s="49"/>
      <c r="BU412" s="49"/>
      <c r="BV412" s="49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49"/>
      <c r="BQ413" s="49"/>
      <c r="BR413" s="49"/>
      <c r="BS413" s="49"/>
      <c r="BT413" s="49"/>
      <c r="BU413" s="49"/>
      <c r="BV413" s="49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49"/>
      <c r="BQ414" s="49"/>
      <c r="BR414" s="49"/>
      <c r="BS414" s="49"/>
      <c r="BT414" s="49"/>
      <c r="BU414" s="49"/>
      <c r="BV414" s="49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49"/>
      <c r="BQ415" s="49"/>
      <c r="BR415" s="49"/>
      <c r="BS415" s="49"/>
      <c r="BT415" s="49"/>
      <c r="BU415" s="49"/>
      <c r="BV415" s="49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  <c r="BP416" s="49"/>
      <c r="BQ416" s="49"/>
      <c r="BR416" s="49"/>
      <c r="BS416" s="49"/>
      <c r="BT416" s="49"/>
      <c r="BU416" s="49"/>
      <c r="BV416" s="49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49"/>
      <c r="BQ417" s="49"/>
      <c r="BR417" s="49"/>
      <c r="BS417" s="49"/>
      <c r="BT417" s="49"/>
      <c r="BU417" s="49"/>
      <c r="BV417" s="49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49"/>
      <c r="BQ418" s="49"/>
      <c r="BR418" s="49"/>
      <c r="BS418" s="49"/>
      <c r="BT418" s="49"/>
      <c r="BU418" s="49"/>
      <c r="BV418" s="49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49"/>
      <c r="BQ419" s="49"/>
      <c r="BR419" s="49"/>
      <c r="BS419" s="49"/>
      <c r="BT419" s="49"/>
      <c r="BU419" s="49"/>
      <c r="BV419" s="49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  <c r="BP420" s="49"/>
      <c r="BQ420" s="49"/>
      <c r="BR420" s="49"/>
      <c r="BS420" s="49"/>
      <c r="BT420" s="49"/>
      <c r="BU420" s="49"/>
      <c r="BV420" s="49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49"/>
      <c r="BQ421" s="49"/>
      <c r="BR421" s="49"/>
      <c r="BS421" s="49"/>
      <c r="BT421" s="49"/>
      <c r="BU421" s="49"/>
      <c r="BV421" s="49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49"/>
      <c r="BQ422" s="49"/>
      <c r="BR422" s="49"/>
      <c r="BS422" s="49"/>
      <c r="BT422" s="49"/>
      <c r="BU422" s="49"/>
      <c r="BV422" s="49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49"/>
      <c r="BQ423" s="49"/>
      <c r="BR423" s="49"/>
      <c r="BS423" s="49"/>
      <c r="BT423" s="49"/>
      <c r="BU423" s="49"/>
      <c r="BV423" s="49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  <c r="BP424" s="49"/>
      <c r="BQ424" s="49"/>
      <c r="BR424" s="49"/>
      <c r="BS424" s="49"/>
      <c r="BT424" s="49"/>
      <c r="BU424" s="49"/>
      <c r="BV424" s="49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49"/>
      <c r="BQ425" s="49"/>
      <c r="BR425" s="49"/>
      <c r="BS425" s="49"/>
      <c r="BT425" s="49"/>
      <c r="BU425" s="49"/>
      <c r="BV425" s="49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  <c r="BP426" s="49"/>
      <c r="BQ426" s="49"/>
      <c r="BR426" s="49"/>
      <c r="BS426" s="49"/>
      <c r="BT426" s="49"/>
      <c r="BU426" s="49"/>
      <c r="BV426" s="49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49"/>
      <c r="BQ427" s="49"/>
      <c r="BR427" s="49"/>
      <c r="BS427" s="49"/>
      <c r="BT427" s="49"/>
      <c r="BU427" s="49"/>
      <c r="BV427" s="49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49"/>
      <c r="AX438" s="49"/>
      <c r="AY438" s="49"/>
      <c r="AZ438" s="49"/>
      <c r="BA438" s="49"/>
      <c r="BB438" s="49"/>
      <c r="BC438" s="49"/>
      <c r="BD438" s="49"/>
      <c r="BE438" s="49"/>
      <c r="BF438" s="49"/>
      <c r="BG438" s="49"/>
      <c r="BH438" s="49"/>
      <c r="BI438" s="49"/>
      <c r="BJ438" s="49"/>
      <c r="BK438" s="49"/>
      <c r="BL438" s="49"/>
      <c r="BM438" s="49"/>
      <c r="BN438" s="49"/>
      <c r="BO438" s="49"/>
      <c r="BP438" s="49"/>
      <c r="BQ438" s="49"/>
      <c r="BR438" s="49"/>
      <c r="BS438" s="49"/>
      <c r="BT438" s="49"/>
      <c r="BU438" s="49"/>
      <c r="BV438" s="49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49"/>
      <c r="BQ439" s="49"/>
      <c r="BR439" s="49"/>
      <c r="BS439" s="49"/>
      <c r="BT439" s="49"/>
      <c r="BU439" s="49"/>
      <c r="BV439" s="49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49"/>
      <c r="BI440" s="49"/>
      <c r="BJ440" s="49"/>
      <c r="BK440" s="49"/>
      <c r="BL440" s="49"/>
      <c r="BM440" s="49"/>
      <c r="BN440" s="49"/>
      <c r="BO440" s="49"/>
      <c r="BP440" s="49"/>
      <c r="BQ440" s="49"/>
      <c r="BR440" s="49"/>
      <c r="BS440" s="49"/>
      <c r="BT440" s="49"/>
      <c r="BU440" s="49"/>
      <c r="BV440" s="49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/>
      <c r="BH441" s="49"/>
      <c r="BI441" s="49"/>
      <c r="BJ441" s="49"/>
      <c r="BK441" s="49"/>
      <c r="BL441" s="49"/>
      <c r="BM441" s="49"/>
      <c r="BN441" s="49"/>
      <c r="BO441" s="49"/>
      <c r="BP441" s="49"/>
      <c r="BQ441" s="49"/>
      <c r="BR441" s="49"/>
      <c r="BS441" s="49"/>
      <c r="BT441" s="49"/>
      <c r="BU441" s="49"/>
      <c r="BV441" s="49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49"/>
      <c r="BQ442" s="49"/>
      <c r="BR442" s="49"/>
      <c r="BS442" s="49"/>
      <c r="BT442" s="49"/>
      <c r="BU442" s="49"/>
      <c r="BV442" s="49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49"/>
      <c r="BQ443" s="49"/>
      <c r="BR443" s="49"/>
      <c r="BS443" s="49"/>
      <c r="BT443" s="49"/>
      <c r="BU443" s="49"/>
      <c r="BV443" s="49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49"/>
      <c r="BQ444" s="49"/>
      <c r="BR444" s="49"/>
      <c r="BS444" s="49"/>
      <c r="BT444" s="49"/>
      <c r="BU444" s="49"/>
      <c r="BV444" s="49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49"/>
      <c r="BQ445" s="49"/>
      <c r="BR445" s="49"/>
      <c r="BS445" s="49"/>
      <c r="BT445" s="49"/>
      <c r="BU445" s="49"/>
      <c r="BV445" s="49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M446" s="49"/>
      <c r="BN446" s="49"/>
      <c r="BO446" s="49"/>
      <c r="BP446" s="49"/>
      <c r="BQ446" s="49"/>
      <c r="BR446" s="49"/>
      <c r="BS446" s="49"/>
      <c r="BT446" s="49"/>
      <c r="BU446" s="49"/>
      <c r="BV446" s="49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49"/>
      <c r="BQ447" s="49"/>
      <c r="BR447" s="49"/>
      <c r="BS447" s="49"/>
      <c r="BT447" s="49"/>
      <c r="BU447" s="49"/>
      <c r="BV447" s="49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M448" s="49"/>
      <c r="BN448" s="49"/>
      <c r="BO448" s="49"/>
      <c r="BP448" s="49"/>
      <c r="BQ448" s="49"/>
      <c r="BR448" s="49"/>
      <c r="BS448" s="49"/>
      <c r="BT448" s="49"/>
      <c r="BU448" s="49"/>
      <c r="BV448" s="49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49"/>
      <c r="BQ449" s="49"/>
      <c r="BR449" s="49"/>
      <c r="BS449" s="49"/>
      <c r="BT449" s="49"/>
      <c r="BU449" s="49"/>
      <c r="BV449" s="49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49"/>
      <c r="BQ450" s="49"/>
      <c r="BR450" s="49"/>
      <c r="BS450" s="49"/>
      <c r="BT450" s="49"/>
      <c r="BU450" s="49"/>
      <c r="BV450" s="49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49"/>
      <c r="BQ451" s="49"/>
      <c r="BR451" s="49"/>
      <c r="BS451" s="49"/>
      <c r="BT451" s="49"/>
      <c r="BU451" s="49"/>
      <c r="BV451" s="49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M452" s="49"/>
      <c r="BN452" s="49"/>
      <c r="BO452" s="49"/>
      <c r="BP452" s="49"/>
      <c r="BQ452" s="49"/>
      <c r="BR452" s="49"/>
      <c r="BS452" s="49"/>
      <c r="BT452" s="49"/>
      <c r="BU452" s="49"/>
      <c r="BV452" s="49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49"/>
      <c r="BQ453" s="49"/>
      <c r="BR453" s="49"/>
      <c r="BS453" s="49"/>
      <c r="BT453" s="49"/>
      <c r="BU453" s="49"/>
      <c r="BV453" s="49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M454" s="49"/>
      <c r="BN454" s="49"/>
      <c r="BO454" s="49"/>
      <c r="BP454" s="49"/>
      <c r="BQ454" s="49"/>
      <c r="BR454" s="49"/>
      <c r="BS454" s="49"/>
      <c r="BT454" s="49"/>
      <c r="BU454" s="49"/>
      <c r="BV454" s="49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/>
      <c r="BH456" s="49"/>
      <c r="BI456" s="49"/>
      <c r="BJ456" s="49"/>
      <c r="BK456" s="49"/>
      <c r="BL456" s="49"/>
      <c r="BM456" s="49"/>
      <c r="BN456" s="49"/>
      <c r="BO456" s="49"/>
      <c r="BP456" s="49"/>
      <c r="BQ456" s="49"/>
      <c r="BR456" s="49"/>
      <c r="BS456" s="49"/>
      <c r="BT456" s="49"/>
      <c r="BU456" s="49"/>
      <c r="BV456" s="49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49"/>
      <c r="BQ457" s="49"/>
      <c r="BR457" s="49"/>
      <c r="BS457" s="49"/>
      <c r="BT457" s="49"/>
      <c r="BU457" s="49"/>
      <c r="BV457" s="49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M458" s="49"/>
      <c r="BN458" s="49"/>
      <c r="BO458" s="49"/>
      <c r="BP458" s="49"/>
      <c r="BQ458" s="49"/>
      <c r="BR458" s="49"/>
      <c r="BS458" s="49"/>
      <c r="BT458" s="49"/>
      <c r="BU458" s="49"/>
      <c r="BV458" s="49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49"/>
      <c r="BQ459" s="49"/>
      <c r="BR459" s="49"/>
      <c r="BS459" s="49"/>
      <c r="BT459" s="49"/>
      <c r="BU459" s="49"/>
      <c r="BV459" s="49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M460" s="49"/>
      <c r="BN460" s="49"/>
      <c r="BO460" s="49"/>
      <c r="BP460" s="49"/>
      <c r="BQ460" s="49"/>
      <c r="BR460" s="49"/>
      <c r="BS460" s="49"/>
      <c r="BT460" s="49"/>
      <c r="BU460" s="49"/>
      <c r="BV460" s="49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49"/>
      <c r="BQ461" s="49"/>
      <c r="BR461" s="49"/>
      <c r="BS461" s="49"/>
      <c r="BT461" s="49"/>
      <c r="BU461" s="49"/>
      <c r="BV461" s="49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/>
      <c r="BP462" s="49"/>
      <c r="BQ462" s="49"/>
      <c r="BR462" s="49"/>
      <c r="BS462" s="49"/>
      <c r="BT462" s="49"/>
      <c r="BU462" s="49"/>
      <c r="BV462" s="49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49"/>
      <c r="BQ463" s="49"/>
      <c r="BR463" s="49"/>
      <c r="BS463" s="49"/>
      <c r="BT463" s="49"/>
      <c r="BU463" s="49"/>
      <c r="BV463" s="49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M464" s="49"/>
      <c r="BN464" s="49"/>
      <c r="BO464" s="49"/>
      <c r="BP464" s="49"/>
      <c r="BQ464" s="49"/>
      <c r="BR464" s="49"/>
      <c r="BS464" s="49"/>
      <c r="BT464" s="49"/>
      <c r="BU464" s="49"/>
      <c r="BV464" s="49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49"/>
      <c r="BQ465" s="49"/>
      <c r="BR465" s="49"/>
      <c r="BS465" s="49"/>
      <c r="BT465" s="49"/>
      <c r="BU465" s="49"/>
      <c r="BV465" s="49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49"/>
      <c r="BQ476" s="49"/>
      <c r="BR476" s="49"/>
      <c r="BS476" s="49"/>
      <c r="BT476" s="49"/>
      <c r="BU476" s="49"/>
      <c r="BV476" s="49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M478" s="49"/>
      <c r="BN478" s="49"/>
      <c r="BO478" s="49"/>
      <c r="BP478" s="49"/>
      <c r="BQ478" s="49"/>
      <c r="BR478" s="49"/>
      <c r="BS478" s="49"/>
      <c r="BT478" s="49"/>
      <c r="BU478" s="49"/>
      <c r="BV478" s="49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49"/>
      <c r="BQ479" s="49"/>
      <c r="BR479" s="49"/>
      <c r="BS479" s="49"/>
      <c r="BT479" s="49"/>
      <c r="BU479" s="49"/>
      <c r="BV479" s="49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/>
      <c r="BL480" s="49"/>
      <c r="BM480" s="49"/>
      <c r="BN480" s="49"/>
      <c r="BO480" s="49"/>
      <c r="BP480" s="49"/>
      <c r="BQ480" s="49"/>
      <c r="BR480" s="49"/>
      <c r="BS480" s="49"/>
      <c r="BT480" s="49"/>
      <c r="BU480" s="49"/>
      <c r="BV480" s="49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49"/>
      <c r="BQ481" s="49"/>
      <c r="BR481" s="49"/>
      <c r="BS481" s="49"/>
      <c r="BT481" s="49"/>
      <c r="BU481" s="49"/>
      <c r="BV481" s="49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M482" s="49"/>
      <c r="BN482" s="49"/>
      <c r="BO482" s="49"/>
      <c r="BP482" s="49"/>
      <c r="BQ482" s="49"/>
      <c r="BR482" s="49"/>
      <c r="BS482" s="49"/>
      <c r="BT482" s="49"/>
      <c r="BU482" s="49"/>
      <c r="BV482" s="49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49"/>
      <c r="AX483" s="49"/>
      <c r="AY483" s="49"/>
      <c r="AZ483" s="49"/>
      <c r="BA483" s="49"/>
      <c r="BB483" s="49"/>
      <c r="BC483" s="49"/>
      <c r="BD483" s="49"/>
      <c r="BE483" s="49"/>
      <c r="BF483" s="49"/>
      <c r="BG483" s="49"/>
      <c r="BH483" s="49"/>
      <c r="BI483" s="49"/>
      <c r="BJ483" s="49"/>
      <c r="BK483" s="49"/>
      <c r="BL483" s="49"/>
      <c r="BM483" s="49"/>
      <c r="BN483" s="49"/>
      <c r="BO483" s="49"/>
      <c r="BP483" s="49"/>
      <c r="BQ483" s="49"/>
      <c r="BR483" s="49"/>
      <c r="BS483" s="49"/>
      <c r="BT483" s="49"/>
      <c r="BU483" s="49"/>
      <c r="BV483" s="49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/>
      <c r="BL484" s="49"/>
      <c r="BM484" s="49"/>
      <c r="BN484" s="49"/>
      <c r="BO484" s="49"/>
      <c r="BP484" s="49"/>
      <c r="BQ484" s="49"/>
      <c r="BR484" s="49"/>
      <c r="BS484" s="49"/>
      <c r="BT484" s="49"/>
      <c r="BU484" s="49"/>
      <c r="BV484" s="49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M485" s="49"/>
      <c r="BN485" s="49"/>
      <c r="BO485" s="49"/>
      <c r="BP485" s="49"/>
      <c r="BQ485" s="49"/>
      <c r="BR485" s="49"/>
      <c r="BS485" s="49"/>
      <c r="BT485" s="49"/>
      <c r="BU485" s="49"/>
      <c r="BV485" s="49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49"/>
      <c r="AX486" s="49"/>
      <c r="AY486" s="49"/>
      <c r="AZ486" s="49"/>
      <c r="BA486" s="49"/>
      <c r="BB486" s="49"/>
      <c r="BC486" s="49"/>
      <c r="BD486" s="49"/>
      <c r="BE486" s="49"/>
      <c r="BF486" s="49"/>
      <c r="BG486" s="49"/>
      <c r="BH486" s="49"/>
      <c r="BI486" s="49"/>
      <c r="BJ486" s="49"/>
      <c r="BK486" s="49"/>
      <c r="BL486" s="49"/>
      <c r="BM486" s="49"/>
      <c r="BN486" s="49"/>
      <c r="BO486" s="49"/>
      <c r="BP486" s="49"/>
      <c r="BQ486" s="49"/>
      <c r="BR486" s="49"/>
      <c r="BS486" s="49"/>
      <c r="BT486" s="49"/>
      <c r="BU486" s="49"/>
      <c r="BV486" s="49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M487" s="49"/>
      <c r="BN487" s="49"/>
      <c r="BO487" s="49"/>
      <c r="BP487" s="49"/>
      <c r="BQ487" s="49"/>
      <c r="BR487" s="49"/>
      <c r="BS487" s="49"/>
      <c r="BT487" s="49"/>
      <c r="BU487" s="49"/>
      <c r="BV487" s="49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M488" s="49"/>
      <c r="BN488" s="49"/>
      <c r="BO488" s="49"/>
      <c r="BP488" s="49"/>
      <c r="BQ488" s="49"/>
      <c r="BR488" s="49"/>
      <c r="BS488" s="49"/>
      <c r="BT488" s="49"/>
      <c r="BU488" s="49"/>
      <c r="BV488" s="49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49"/>
      <c r="BI489" s="49"/>
      <c r="BJ489" s="49"/>
      <c r="BK489" s="49"/>
      <c r="BL489" s="49"/>
      <c r="BM489" s="49"/>
      <c r="BN489" s="49"/>
      <c r="BO489" s="49"/>
      <c r="BP489" s="49"/>
      <c r="BQ489" s="49"/>
      <c r="BR489" s="49"/>
      <c r="BS489" s="49"/>
      <c r="BT489" s="49"/>
      <c r="BU489" s="49"/>
      <c r="BV489" s="49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/>
      <c r="BH490" s="49"/>
      <c r="BI490" s="49"/>
      <c r="BJ490" s="49"/>
      <c r="BK490" s="49"/>
      <c r="BL490" s="49"/>
      <c r="BM490" s="49"/>
      <c r="BN490" s="49"/>
      <c r="BO490" s="49"/>
      <c r="BP490" s="49"/>
      <c r="BQ490" s="49"/>
      <c r="BR490" s="49"/>
      <c r="BS490" s="49"/>
      <c r="BT490" s="49"/>
      <c r="BU490" s="49"/>
      <c r="BV490" s="49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/>
      <c r="BH491" s="49"/>
      <c r="BI491" s="49"/>
      <c r="BJ491" s="49"/>
      <c r="BK491" s="49"/>
      <c r="BL491" s="49"/>
      <c r="BM491" s="49"/>
      <c r="BN491" s="49"/>
      <c r="BO491" s="49"/>
      <c r="BP491" s="49"/>
      <c r="BQ491" s="49"/>
      <c r="BR491" s="49"/>
      <c r="BS491" s="49"/>
      <c r="BT491" s="49"/>
      <c r="BU491" s="49"/>
      <c r="BV491" s="49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49"/>
      <c r="BH492" s="49"/>
      <c r="BI492" s="49"/>
      <c r="BJ492" s="49"/>
      <c r="BK492" s="49"/>
      <c r="BL492" s="49"/>
      <c r="BM492" s="49"/>
      <c r="BN492" s="49"/>
      <c r="BO492" s="49"/>
      <c r="BP492" s="49"/>
      <c r="BQ492" s="49"/>
      <c r="BR492" s="49"/>
      <c r="BS492" s="49"/>
      <c r="BT492" s="49"/>
      <c r="BU492" s="49"/>
      <c r="BV492" s="49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49"/>
      <c r="BL493" s="49"/>
      <c r="BM493" s="49"/>
      <c r="BN493" s="49"/>
      <c r="BO493" s="49"/>
      <c r="BP493" s="49"/>
      <c r="BQ493" s="49"/>
      <c r="BR493" s="49"/>
      <c r="BS493" s="49"/>
      <c r="BT493" s="49"/>
      <c r="BU493" s="49"/>
      <c r="BV493" s="49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/>
      <c r="BH494" s="49"/>
      <c r="BI494" s="49"/>
      <c r="BJ494" s="49"/>
      <c r="BK494" s="49"/>
      <c r="BL494" s="49"/>
      <c r="BM494" s="49"/>
      <c r="BN494" s="49"/>
      <c r="BO494" s="49"/>
      <c r="BP494" s="49"/>
      <c r="BQ494" s="49"/>
      <c r="BR494" s="49"/>
      <c r="BS494" s="49"/>
      <c r="BT494" s="49"/>
      <c r="BU494" s="49"/>
      <c r="BV494" s="49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49"/>
      <c r="AX495" s="49"/>
      <c r="AY495" s="49"/>
      <c r="AZ495" s="49"/>
      <c r="BA495" s="49"/>
      <c r="BB495" s="49"/>
      <c r="BC495" s="49"/>
      <c r="BD495" s="49"/>
      <c r="BE495" s="49"/>
      <c r="BF495" s="49"/>
      <c r="BG495" s="49"/>
      <c r="BH495" s="49"/>
      <c r="BI495" s="49"/>
      <c r="BJ495" s="49"/>
      <c r="BK495" s="49"/>
      <c r="BL495" s="49"/>
      <c r="BM495" s="49"/>
      <c r="BN495" s="49"/>
      <c r="BO495" s="49"/>
      <c r="BP495" s="49"/>
      <c r="BQ495" s="49"/>
      <c r="BR495" s="49"/>
      <c r="BS495" s="49"/>
      <c r="BT495" s="49"/>
      <c r="BU495" s="49"/>
      <c r="BV495" s="49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/>
      <c r="BH496" s="49"/>
      <c r="BI496" s="49"/>
      <c r="BJ496" s="49"/>
      <c r="BK496" s="49"/>
      <c r="BL496" s="49"/>
      <c r="BM496" s="49"/>
      <c r="BN496" s="49"/>
      <c r="BO496" s="49"/>
      <c r="BP496" s="49"/>
      <c r="BQ496" s="49"/>
      <c r="BR496" s="49"/>
      <c r="BS496" s="49"/>
      <c r="BT496" s="49"/>
      <c r="BU496" s="49"/>
      <c r="BV496" s="49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/>
      <c r="BH497" s="49"/>
      <c r="BI497" s="49"/>
      <c r="BJ497" s="49"/>
      <c r="BK497" s="49"/>
      <c r="BL497" s="49"/>
      <c r="BM497" s="49"/>
      <c r="BN497" s="49"/>
      <c r="BO497" s="49"/>
      <c r="BP497" s="49"/>
      <c r="BQ497" s="49"/>
      <c r="BR497" s="49"/>
      <c r="BS497" s="49"/>
      <c r="BT497" s="49"/>
      <c r="BU497" s="49"/>
      <c r="BV497" s="49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/>
      <c r="BH498" s="49"/>
      <c r="BI498" s="49"/>
      <c r="BJ498" s="49"/>
      <c r="BK498" s="49"/>
      <c r="BL498" s="49"/>
      <c r="BM498" s="49"/>
      <c r="BN498" s="49"/>
      <c r="BO498" s="49"/>
      <c r="BP498" s="49"/>
      <c r="BQ498" s="49"/>
      <c r="BR498" s="49"/>
      <c r="BS498" s="49"/>
      <c r="BT498" s="49"/>
      <c r="BU498" s="49"/>
      <c r="BV498" s="49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M499" s="49"/>
      <c r="BN499" s="49"/>
      <c r="BO499" s="49"/>
      <c r="BP499" s="49"/>
      <c r="BQ499" s="49"/>
      <c r="BR499" s="49"/>
      <c r="BS499" s="49"/>
      <c r="BT499" s="49"/>
      <c r="BU499" s="49"/>
      <c r="BV499" s="49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49"/>
      <c r="BL500" s="49"/>
      <c r="BM500" s="49"/>
      <c r="BN500" s="49"/>
      <c r="BO500" s="49"/>
      <c r="BP500" s="49"/>
      <c r="BQ500" s="49"/>
      <c r="BR500" s="49"/>
      <c r="BS500" s="49"/>
      <c r="BT500" s="49"/>
      <c r="BU500" s="49"/>
      <c r="BV500" s="49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49"/>
      <c r="BJ501" s="49"/>
      <c r="BK501" s="49"/>
      <c r="BL501" s="49"/>
      <c r="BM501" s="49"/>
      <c r="BN501" s="49"/>
      <c r="BO501" s="49"/>
      <c r="BP501" s="49"/>
      <c r="BQ501" s="49"/>
      <c r="BR501" s="49"/>
      <c r="BS501" s="49"/>
      <c r="BT501" s="49"/>
      <c r="BU501" s="49"/>
      <c r="BV501" s="49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49"/>
      <c r="AX502" s="49"/>
      <c r="AY502" s="49"/>
      <c r="AZ502" s="49"/>
      <c r="BA502" s="49"/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/>
      <c r="BP502" s="49"/>
      <c r="BQ502" s="49"/>
      <c r="BR502" s="49"/>
      <c r="BS502" s="49"/>
      <c r="BT502" s="49"/>
      <c r="BU502" s="49"/>
      <c r="BV502" s="49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49"/>
      <c r="BP503" s="49"/>
      <c r="BQ503" s="49"/>
      <c r="BR503" s="49"/>
      <c r="BS503" s="49"/>
      <c r="BT503" s="49"/>
      <c r="BU503" s="49"/>
      <c r="BV503" s="49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/>
      <c r="BH514" s="49"/>
      <c r="BI514" s="49"/>
      <c r="BJ514" s="49"/>
      <c r="BK514" s="49"/>
      <c r="BL514" s="49"/>
      <c r="BM514" s="49"/>
      <c r="BN514" s="49"/>
      <c r="BO514" s="49"/>
      <c r="BP514" s="49"/>
      <c r="BQ514" s="49"/>
      <c r="BR514" s="49"/>
      <c r="BS514" s="49"/>
      <c r="BT514" s="49"/>
      <c r="BU514" s="49"/>
      <c r="BV514" s="49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/>
      <c r="BH515" s="49"/>
      <c r="BI515" s="49"/>
      <c r="BJ515" s="49"/>
      <c r="BK515" s="49"/>
      <c r="BL515" s="49"/>
      <c r="BM515" s="49"/>
      <c r="BN515" s="49"/>
      <c r="BO515" s="49"/>
      <c r="BP515" s="49"/>
      <c r="BQ515" s="49"/>
      <c r="BR515" s="49"/>
      <c r="BS515" s="49"/>
      <c r="BT515" s="49"/>
      <c r="BU515" s="49"/>
      <c r="BV515" s="49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49"/>
      <c r="AX516" s="49"/>
      <c r="AY516" s="49"/>
      <c r="AZ516" s="49"/>
      <c r="BA516" s="49"/>
      <c r="BB516" s="49"/>
      <c r="BC516" s="49"/>
      <c r="BD516" s="49"/>
      <c r="BE516" s="49"/>
      <c r="BF516" s="49"/>
      <c r="BG516" s="49"/>
      <c r="BH516" s="49"/>
      <c r="BI516" s="49"/>
      <c r="BJ516" s="49"/>
      <c r="BK516" s="49"/>
      <c r="BL516" s="49"/>
      <c r="BM516" s="49"/>
      <c r="BN516" s="49"/>
      <c r="BO516" s="49"/>
      <c r="BP516" s="49"/>
      <c r="BQ516" s="49"/>
      <c r="BR516" s="49"/>
      <c r="BS516" s="49"/>
      <c r="BT516" s="49"/>
      <c r="BU516" s="49"/>
      <c r="BV516" s="49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/>
      <c r="BH517" s="49"/>
      <c r="BI517" s="49"/>
      <c r="BJ517" s="49"/>
      <c r="BK517" s="49"/>
      <c r="BL517" s="49"/>
      <c r="BM517" s="49"/>
      <c r="BN517" s="49"/>
      <c r="BO517" s="49"/>
      <c r="BP517" s="49"/>
      <c r="BQ517" s="49"/>
      <c r="BR517" s="49"/>
      <c r="BS517" s="49"/>
      <c r="BT517" s="49"/>
      <c r="BU517" s="49"/>
      <c r="BV517" s="49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49"/>
      <c r="AX518" s="49"/>
      <c r="AY518" s="49"/>
      <c r="AZ518" s="49"/>
      <c r="BA518" s="49"/>
      <c r="BB518" s="49"/>
      <c r="BC518" s="49"/>
      <c r="BD518" s="49"/>
      <c r="BE518" s="49"/>
      <c r="BF518" s="49"/>
      <c r="BG518" s="49"/>
      <c r="BH518" s="49"/>
      <c r="BI518" s="49"/>
      <c r="BJ518" s="49"/>
      <c r="BK518" s="49"/>
      <c r="BL518" s="49"/>
      <c r="BM518" s="49"/>
      <c r="BN518" s="49"/>
      <c r="BO518" s="49"/>
      <c r="BP518" s="49"/>
      <c r="BQ518" s="49"/>
      <c r="BR518" s="49"/>
      <c r="BS518" s="49"/>
      <c r="BT518" s="49"/>
      <c r="BU518" s="49"/>
      <c r="BV518" s="49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49"/>
      <c r="AX519" s="49"/>
      <c r="AY519" s="49"/>
      <c r="AZ519" s="49"/>
      <c r="BA519" s="49"/>
      <c r="BB519" s="49"/>
      <c r="BC519" s="49"/>
      <c r="BD519" s="49"/>
      <c r="BE519" s="49"/>
      <c r="BF519" s="49"/>
      <c r="BG519" s="49"/>
      <c r="BH519" s="49"/>
      <c r="BI519" s="49"/>
      <c r="BJ519" s="49"/>
      <c r="BK519" s="49"/>
      <c r="BL519" s="49"/>
      <c r="BM519" s="49"/>
      <c r="BN519" s="49"/>
      <c r="BO519" s="49"/>
      <c r="BP519" s="49"/>
      <c r="BQ519" s="49"/>
      <c r="BR519" s="49"/>
      <c r="BS519" s="49"/>
      <c r="BT519" s="49"/>
      <c r="BU519" s="49"/>
      <c r="BV519" s="49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/>
      <c r="BH520" s="49"/>
      <c r="BI520" s="49"/>
      <c r="BJ520" s="49"/>
      <c r="BK520" s="49"/>
      <c r="BL520" s="49"/>
      <c r="BM520" s="49"/>
      <c r="BN520" s="49"/>
      <c r="BO520" s="49"/>
      <c r="BP520" s="49"/>
      <c r="BQ520" s="49"/>
      <c r="BR520" s="49"/>
      <c r="BS520" s="49"/>
      <c r="BT520" s="49"/>
      <c r="BU520" s="49"/>
      <c r="BV520" s="49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49"/>
      <c r="BL521" s="49"/>
      <c r="BM521" s="49"/>
      <c r="BN521" s="49"/>
      <c r="BO521" s="49"/>
      <c r="BP521" s="49"/>
      <c r="BQ521" s="49"/>
      <c r="BR521" s="49"/>
      <c r="BS521" s="49"/>
      <c r="BT521" s="49"/>
      <c r="BU521" s="49"/>
      <c r="BV521" s="49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/>
      <c r="BH522" s="49"/>
      <c r="BI522" s="49"/>
      <c r="BJ522" s="49"/>
      <c r="BK522" s="49"/>
      <c r="BL522" s="49"/>
      <c r="BM522" s="49"/>
      <c r="BN522" s="49"/>
      <c r="BO522" s="49"/>
      <c r="BP522" s="49"/>
      <c r="BQ522" s="49"/>
      <c r="BR522" s="49"/>
      <c r="BS522" s="49"/>
      <c r="BT522" s="49"/>
      <c r="BU522" s="49"/>
      <c r="BV522" s="49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/>
      <c r="BH523" s="49"/>
      <c r="BI523" s="49"/>
      <c r="BJ523" s="49"/>
      <c r="BK523" s="49"/>
      <c r="BL523" s="49"/>
      <c r="BM523" s="49"/>
      <c r="BN523" s="49"/>
      <c r="BO523" s="49"/>
      <c r="BP523" s="49"/>
      <c r="BQ523" s="49"/>
      <c r="BR523" s="49"/>
      <c r="BS523" s="49"/>
      <c r="BT523" s="49"/>
      <c r="BU523" s="49"/>
      <c r="BV523" s="49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/>
      <c r="BH524" s="49"/>
      <c r="BI524" s="49"/>
      <c r="BJ524" s="49"/>
      <c r="BK524" s="49"/>
      <c r="BL524" s="49"/>
      <c r="BM524" s="49"/>
      <c r="BN524" s="49"/>
      <c r="BO524" s="49"/>
      <c r="BP524" s="49"/>
      <c r="BQ524" s="49"/>
      <c r="BR524" s="49"/>
      <c r="BS524" s="49"/>
      <c r="BT524" s="49"/>
      <c r="BU524" s="49"/>
      <c r="BV524" s="49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/>
      <c r="BH525" s="49"/>
      <c r="BI525" s="49"/>
      <c r="BJ525" s="49"/>
      <c r="BK525" s="49"/>
      <c r="BL525" s="49"/>
      <c r="BM525" s="49"/>
      <c r="BN525" s="49"/>
      <c r="BO525" s="49"/>
      <c r="BP525" s="49"/>
      <c r="BQ525" s="49"/>
      <c r="BR525" s="49"/>
      <c r="BS525" s="49"/>
      <c r="BT525" s="49"/>
      <c r="BU525" s="49"/>
      <c r="BV525" s="49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/>
      <c r="BH526" s="49"/>
      <c r="BI526" s="49"/>
      <c r="BJ526" s="49"/>
      <c r="BK526" s="49"/>
      <c r="BL526" s="49"/>
      <c r="BM526" s="49"/>
      <c r="BN526" s="49"/>
      <c r="BO526" s="49"/>
      <c r="BP526" s="49"/>
      <c r="BQ526" s="49"/>
      <c r="BR526" s="49"/>
      <c r="BS526" s="49"/>
      <c r="BT526" s="49"/>
      <c r="BU526" s="49"/>
      <c r="BV526" s="49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/>
      <c r="BH527" s="49"/>
      <c r="BI527" s="49"/>
      <c r="BJ527" s="49"/>
      <c r="BK527" s="49"/>
      <c r="BL527" s="49"/>
      <c r="BM527" s="49"/>
      <c r="BN527" s="49"/>
      <c r="BO527" s="49"/>
      <c r="BP527" s="49"/>
      <c r="BQ527" s="49"/>
      <c r="BR527" s="49"/>
      <c r="BS527" s="49"/>
      <c r="BT527" s="49"/>
      <c r="BU527" s="49"/>
      <c r="BV527" s="49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49"/>
      <c r="AX528" s="49"/>
      <c r="AY528" s="49"/>
      <c r="AZ528" s="49"/>
      <c r="BA528" s="49"/>
      <c r="BB528" s="49"/>
      <c r="BC528" s="49"/>
      <c r="BD528" s="49"/>
      <c r="BE528" s="49"/>
      <c r="BF528" s="49"/>
      <c r="BG528" s="49"/>
      <c r="BH528" s="49"/>
      <c r="BI528" s="49"/>
      <c r="BJ528" s="49"/>
      <c r="BK528" s="49"/>
      <c r="BL528" s="49"/>
      <c r="BM528" s="49"/>
      <c r="BN528" s="49"/>
      <c r="BO528" s="49"/>
      <c r="BP528" s="49"/>
      <c r="BQ528" s="49"/>
      <c r="BR528" s="49"/>
      <c r="BS528" s="49"/>
      <c r="BT528" s="49"/>
      <c r="BU528" s="49"/>
      <c r="BV528" s="49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/>
      <c r="BH529" s="49"/>
      <c r="BI529" s="49"/>
      <c r="BJ529" s="49"/>
      <c r="BK529" s="49"/>
      <c r="BL529" s="49"/>
      <c r="BM529" s="49"/>
      <c r="BN529" s="49"/>
      <c r="BO529" s="49"/>
      <c r="BP529" s="49"/>
      <c r="BQ529" s="49"/>
      <c r="BR529" s="49"/>
      <c r="BS529" s="49"/>
      <c r="BT529" s="49"/>
      <c r="BU529" s="49"/>
      <c r="BV529" s="49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/>
      <c r="BH530" s="49"/>
      <c r="BI530" s="49"/>
      <c r="BJ530" s="49"/>
      <c r="BK530" s="49"/>
      <c r="BL530" s="49"/>
      <c r="BM530" s="49"/>
      <c r="BN530" s="49"/>
      <c r="BO530" s="49"/>
      <c r="BP530" s="49"/>
      <c r="BQ530" s="49"/>
      <c r="BR530" s="49"/>
      <c r="BS530" s="49"/>
      <c r="BT530" s="49"/>
      <c r="BU530" s="49"/>
      <c r="BV530" s="49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49"/>
      <c r="AX531" s="49"/>
      <c r="AY531" s="49"/>
      <c r="AZ531" s="49"/>
      <c r="BA531" s="49"/>
      <c r="BB531" s="49"/>
      <c r="BC531" s="49"/>
      <c r="BD531" s="49"/>
      <c r="BE531" s="49"/>
      <c r="BF531" s="49"/>
      <c r="BG531" s="49"/>
      <c r="BH531" s="49"/>
      <c r="BI531" s="49"/>
      <c r="BJ531" s="49"/>
      <c r="BK531" s="49"/>
      <c r="BL531" s="49"/>
      <c r="BM531" s="49"/>
      <c r="BN531" s="49"/>
      <c r="BO531" s="49"/>
      <c r="BP531" s="49"/>
      <c r="BQ531" s="49"/>
      <c r="BR531" s="49"/>
      <c r="BS531" s="49"/>
      <c r="BT531" s="49"/>
      <c r="BU531" s="49"/>
      <c r="BV531" s="49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49"/>
      <c r="BL532" s="49"/>
      <c r="BM532" s="49"/>
      <c r="BN532" s="49"/>
      <c r="BO532" s="49"/>
      <c r="BP532" s="49"/>
      <c r="BQ532" s="49"/>
      <c r="BR532" s="49"/>
      <c r="BS532" s="49"/>
      <c r="BT532" s="49"/>
      <c r="BU532" s="49"/>
      <c r="BV532" s="49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49"/>
      <c r="BI533" s="49"/>
      <c r="BJ533" s="49"/>
      <c r="BK533" s="49"/>
      <c r="BL533" s="49"/>
      <c r="BM533" s="49"/>
      <c r="BN533" s="49"/>
      <c r="BO533" s="49"/>
      <c r="BP533" s="49"/>
      <c r="BQ533" s="49"/>
      <c r="BR533" s="49"/>
      <c r="BS533" s="49"/>
      <c r="BT533" s="49"/>
      <c r="BU533" s="49"/>
      <c r="BV533" s="49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/>
      <c r="BH534" s="49"/>
      <c r="BI534" s="49"/>
      <c r="BJ534" s="49"/>
      <c r="BK534" s="49"/>
      <c r="BL534" s="49"/>
      <c r="BM534" s="49"/>
      <c r="BN534" s="49"/>
      <c r="BO534" s="49"/>
      <c r="BP534" s="49"/>
      <c r="BQ534" s="49"/>
      <c r="BR534" s="49"/>
      <c r="BS534" s="49"/>
      <c r="BT534" s="49"/>
      <c r="BU534" s="49"/>
      <c r="BV534" s="49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/>
      <c r="BH535" s="49"/>
      <c r="BI535" s="49"/>
      <c r="BJ535" s="49"/>
      <c r="BK535" s="49"/>
      <c r="BL535" s="49"/>
      <c r="BM535" s="49"/>
      <c r="BN535" s="49"/>
      <c r="BO535" s="49"/>
      <c r="BP535" s="49"/>
      <c r="BQ535" s="49"/>
      <c r="BR535" s="49"/>
      <c r="BS535" s="49"/>
      <c r="BT535" s="49"/>
      <c r="BU535" s="49"/>
      <c r="BV535" s="49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49"/>
      <c r="BL536" s="49"/>
      <c r="BM536" s="49"/>
      <c r="BN536" s="49"/>
      <c r="BO536" s="49"/>
      <c r="BP536" s="49"/>
      <c r="BQ536" s="49"/>
      <c r="BR536" s="49"/>
      <c r="BS536" s="49"/>
      <c r="BT536" s="49"/>
      <c r="BU536" s="49"/>
      <c r="BV536" s="49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/>
      <c r="BH537" s="49"/>
      <c r="BI537" s="49"/>
      <c r="BJ537" s="49"/>
      <c r="BK537" s="49"/>
      <c r="BL537" s="49"/>
      <c r="BM537" s="49"/>
      <c r="BN537" s="49"/>
      <c r="BO537" s="49"/>
      <c r="BP537" s="49"/>
      <c r="BQ537" s="49"/>
      <c r="BR537" s="49"/>
      <c r="BS537" s="49"/>
      <c r="BT537" s="49"/>
      <c r="BU537" s="49"/>
      <c r="BV537" s="49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49"/>
      <c r="BJ538" s="49"/>
      <c r="BK538" s="49"/>
      <c r="BL538" s="49"/>
      <c r="BM538" s="49"/>
      <c r="BN538" s="49"/>
      <c r="BO538" s="49"/>
      <c r="BP538" s="49"/>
      <c r="BQ538" s="49"/>
      <c r="BR538" s="49"/>
      <c r="BS538" s="49"/>
      <c r="BT538" s="49"/>
      <c r="BU538" s="49"/>
      <c r="BV538" s="49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49"/>
      <c r="BJ539" s="49"/>
      <c r="BK539" s="49"/>
      <c r="BL539" s="49"/>
      <c r="BM539" s="49"/>
      <c r="BN539" s="49"/>
      <c r="BO539" s="49"/>
      <c r="BP539" s="49"/>
      <c r="BQ539" s="49"/>
      <c r="BR539" s="49"/>
      <c r="BS539" s="49"/>
      <c r="BT539" s="49"/>
      <c r="BU539" s="49"/>
      <c r="BV539" s="49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49"/>
      <c r="AX540" s="49"/>
      <c r="AY540" s="49"/>
      <c r="AZ540" s="49"/>
      <c r="BA540" s="49"/>
      <c r="BB540" s="49"/>
      <c r="BC540" s="49"/>
      <c r="BD540" s="49"/>
      <c r="BE540" s="49"/>
      <c r="BF540" s="49"/>
      <c r="BG540" s="49"/>
      <c r="BH540" s="49"/>
      <c r="BI540" s="49"/>
      <c r="BJ540" s="49"/>
      <c r="BK540" s="49"/>
      <c r="BL540" s="49"/>
      <c r="BM540" s="49"/>
      <c r="BN540" s="49"/>
      <c r="BO540" s="49"/>
      <c r="BP540" s="49"/>
      <c r="BQ540" s="49"/>
      <c r="BR540" s="49"/>
      <c r="BS540" s="49"/>
      <c r="BT540" s="49"/>
      <c r="BU540" s="49"/>
      <c r="BV540" s="49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  <c r="BG541" s="49"/>
      <c r="BH541" s="49"/>
      <c r="BI541" s="49"/>
      <c r="BJ541" s="49"/>
      <c r="BK541" s="49"/>
      <c r="BL541" s="49"/>
      <c r="BM541" s="49"/>
      <c r="BN541" s="49"/>
      <c r="BO541" s="49"/>
      <c r="BP541" s="49"/>
      <c r="BQ541" s="49"/>
      <c r="BR541" s="49"/>
      <c r="BS541" s="49"/>
      <c r="BT541" s="49"/>
      <c r="BU541" s="49"/>
      <c r="BV541" s="49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49"/>
      <c r="BH552" s="49"/>
      <c r="BI552" s="49"/>
      <c r="BJ552" s="49"/>
      <c r="BK552" s="49"/>
      <c r="BL552" s="49"/>
      <c r="BM552" s="49"/>
      <c r="BN552" s="49"/>
      <c r="BO552" s="49"/>
      <c r="BP552" s="49"/>
      <c r="BQ552" s="49"/>
      <c r="BR552" s="49"/>
      <c r="BS552" s="49"/>
      <c r="BT552" s="49"/>
      <c r="BU552" s="49"/>
      <c r="BV552" s="49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49"/>
      <c r="AX553" s="49"/>
      <c r="AY553" s="49"/>
      <c r="AZ553" s="49"/>
      <c r="BA553" s="49"/>
      <c r="BB553" s="49"/>
      <c r="BC553" s="49"/>
      <c r="BD553" s="49"/>
      <c r="BE553" s="49"/>
      <c r="BF553" s="49"/>
      <c r="BG553" s="49"/>
      <c r="BH553" s="49"/>
      <c r="BI553" s="49"/>
      <c r="BJ553" s="49"/>
      <c r="BK553" s="49"/>
      <c r="BL553" s="49"/>
      <c r="BM553" s="49"/>
      <c r="BN553" s="49"/>
      <c r="BO553" s="49"/>
      <c r="BP553" s="49"/>
      <c r="BQ553" s="49"/>
      <c r="BR553" s="49"/>
      <c r="BS553" s="49"/>
      <c r="BT553" s="49"/>
      <c r="BU553" s="49"/>
      <c r="BV553" s="49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/>
      <c r="BH554" s="49"/>
      <c r="BI554" s="49"/>
      <c r="BJ554" s="49"/>
      <c r="BK554" s="49"/>
      <c r="BL554" s="49"/>
      <c r="BM554" s="49"/>
      <c r="BN554" s="49"/>
      <c r="BO554" s="49"/>
      <c r="BP554" s="49"/>
      <c r="BQ554" s="49"/>
      <c r="BR554" s="49"/>
      <c r="BS554" s="49"/>
      <c r="BT554" s="49"/>
      <c r="BU554" s="49"/>
      <c r="BV554" s="49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49"/>
      <c r="AX555" s="49"/>
      <c r="AY555" s="49"/>
      <c r="AZ555" s="49"/>
      <c r="BA555" s="49"/>
      <c r="BB555" s="49"/>
      <c r="BC555" s="49"/>
      <c r="BD555" s="49"/>
      <c r="BE555" s="49"/>
      <c r="BF555" s="49"/>
      <c r="BG555" s="49"/>
      <c r="BH555" s="49"/>
      <c r="BI555" s="49"/>
      <c r="BJ555" s="49"/>
      <c r="BK555" s="49"/>
      <c r="BL555" s="49"/>
      <c r="BM555" s="49"/>
      <c r="BN555" s="49"/>
      <c r="BO555" s="49"/>
      <c r="BP555" s="49"/>
      <c r="BQ555" s="49"/>
      <c r="BR555" s="49"/>
      <c r="BS555" s="49"/>
      <c r="BT555" s="49"/>
      <c r="BU555" s="49"/>
      <c r="BV555" s="49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49"/>
      <c r="BH556" s="49"/>
      <c r="BI556" s="49"/>
      <c r="BJ556" s="49"/>
      <c r="BK556" s="49"/>
      <c r="BL556" s="49"/>
      <c r="BM556" s="49"/>
      <c r="BN556" s="49"/>
      <c r="BO556" s="49"/>
      <c r="BP556" s="49"/>
      <c r="BQ556" s="49"/>
      <c r="BR556" s="49"/>
      <c r="BS556" s="49"/>
      <c r="BT556" s="49"/>
      <c r="BU556" s="49"/>
      <c r="BV556" s="49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49"/>
      <c r="AX557" s="49"/>
      <c r="AY557" s="49"/>
      <c r="AZ557" s="49"/>
      <c r="BA557" s="49"/>
      <c r="BB557" s="49"/>
      <c r="BC557" s="49"/>
      <c r="BD557" s="49"/>
      <c r="BE557" s="49"/>
      <c r="BF557" s="49"/>
      <c r="BG557" s="49"/>
      <c r="BH557" s="49"/>
      <c r="BI557" s="49"/>
      <c r="BJ557" s="49"/>
      <c r="BK557" s="49"/>
      <c r="BL557" s="49"/>
      <c r="BM557" s="49"/>
      <c r="BN557" s="49"/>
      <c r="BO557" s="49"/>
      <c r="BP557" s="49"/>
      <c r="BQ557" s="49"/>
      <c r="BR557" s="49"/>
      <c r="BS557" s="49"/>
      <c r="BT557" s="49"/>
      <c r="BU557" s="49"/>
      <c r="BV557" s="49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49"/>
      <c r="AX558" s="49"/>
      <c r="AY558" s="49"/>
      <c r="AZ558" s="49"/>
      <c r="BA558" s="49"/>
      <c r="BB558" s="49"/>
      <c r="BC558" s="49"/>
      <c r="BD558" s="49"/>
      <c r="BE558" s="49"/>
      <c r="BF558" s="49"/>
      <c r="BG558" s="49"/>
      <c r="BH558" s="49"/>
      <c r="BI558" s="49"/>
      <c r="BJ558" s="49"/>
      <c r="BK558" s="49"/>
      <c r="BL558" s="49"/>
      <c r="BM558" s="49"/>
      <c r="BN558" s="49"/>
      <c r="BO558" s="49"/>
      <c r="BP558" s="49"/>
      <c r="BQ558" s="49"/>
      <c r="BR558" s="49"/>
      <c r="BS558" s="49"/>
      <c r="BT558" s="49"/>
      <c r="BU558" s="49"/>
      <c r="BV558" s="49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  <c r="BG559" s="49"/>
      <c r="BH559" s="49"/>
      <c r="BI559" s="49"/>
      <c r="BJ559" s="49"/>
      <c r="BK559" s="49"/>
      <c r="BL559" s="49"/>
      <c r="BM559" s="49"/>
      <c r="BN559" s="49"/>
      <c r="BO559" s="49"/>
      <c r="BP559" s="49"/>
      <c r="BQ559" s="49"/>
      <c r="BR559" s="49"/>
      <c r="BS559" s="49"/>
      <c r="BT559" s="49"/>
      <c r="BU559" s="49"/>
      <c r="BV559" s="49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/>
      <c r="BH560" s="49"/>
      <c r="BI560" s="49"/>
      <c r="BJ560" s="49"/>
      <c r="BK560" s="49"/>
      <c r="BL560" s="49"/>
      <c r="BM560" s="49"/>
      <c r="BN560" s="49"/>
      <c r="BO560" s="49"/>
      <c r="BP560" s="49"/>
      <c r="BQ560" s="49"/>
      <c r="BR560" s="49"/>
      <c r="BS560" s="49"/>
      <c r="BT560" s="49"/>
      <c r="BU560" s="49"/>
      <c r="BV560" s="49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49"/>
      <c r="AX561" s="49"/>
      <c r="AY561" s="49"/>
      <c r="AZ561" s="49"/>
      <c r="BA561" s="49"/>
      <c r="BB561" s="49"/>
      <c r="BC561" s="49"/>
      <c r="BD561" s="49"/>
      <c r="BE561" s="49"/>
      <c r="BF561" s="49"/>
      <c r="BG561" s="49"/>
      <c r="BH561" s="49"/>
      <c r="BI561" s="49"/>
      <c r="BJ561" s="49"/>
      <c r="BK561" s="49"/>
      <c r="BL561" s="49"/>
      <c r="BM561" s="49"/>
      <c r="BN561" s="49"/>
      <c r="BO561" s="49"/>
      <c r="BP561" s="49"/>
      <c r="BQ561" s="49"/>
      <c r="BR561" s="49"/>
      <c r="BS561" s="49"/>
      <c r="BT561" s="49"/>
      <c r="BU561" s="49"/>
      <c r="BV561" s="49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49"/>
      <c r="AX562" s="49"/>
      <c r="AY562" s="49"/>
      <c r="AZ562" s="49"/>
      <c r="BA562" s="49"/>
      <c r="BB562" s="49"/>
      <c r="BC562" s="49"/>
      <c r="BD562" s="49"/>
      <c r="BE562" s="49"/>
      <c r="BF562" s="49"/>
      <c r="BG562" s="49"/>
      <c r="BH562" s="49"/>
      <c r="BI562" s="49"/>
      <c r="BJ562" s="49"/>
      <c r="BK562" s="49"/>
      <c r="BL562" s="49"/>
      <c r="BM562" s="49"/>
      <c r="BN562" s="49"/>
      <c r="BO562" s="49"/>
      <c r="BP562" s="49"/>
      <c r="BQ562" s="49"/>
      <c r="BR562" s="49"/>
      <c r="BS562" s="49"/>
      <c r="BT562" s="49"/>
      <c r="BU562" s="49"/>
      <c r="BV562" s="49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49"/>
      <c r="AX563" s="49"/>
      <c r="AY563" s="49"/>
      <c r="AZ563" s="49"/>
      <c r="BA563" s="49"/>
      <c r="BB563" s="49"/>
      <c r="BC563" s="49"/>
      <c r="BD563" s="49"/>
      <c r="BE563" s="49"/>
      <c r="BF563" s="49"/>
      <c r="BG563" s="49"/>
      <c r="BH563" s="49"/>
      <c r="BI563" s="49"/>
      <c r="BJ563" s="49"/>
      <c r="BK563" s="49"/>
      <c r="BL563" s="49"/>
      <c r="BM563" s="49"/>
      <c r="BN563" s="49"/>
      <c r="BO563" s="49"/>
      <c r="BP563" s="49"/>
      <c r="BQ563" s="49"/>
      <c r="BR563" s="49"/>
      <c r="BS563" s="49"/>
      <c r="BT563" s="49"/>
      <c r="BU563" s="49"/>
      <c r="BV563" s="49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49"/>
      <c r="AX564" s="49"/>
      <c r="AY564" s="49"/>
      <c r="AZ564" s="49"/>
      <c r="BA564" s="49"/>
      <c r="BB564" s="49"/>
      <c r="BC564" s="49"/>
      <c r="BD564" s="49"/>
      <c r="BE564" s="49"/>
      <c r="BF564" s="49"/>
      <c r="BG564" s="49"/>
      <c r="BH564" s="49"/>
      <c r="BI564" s="49"/>
      <c r="BJ564" s="49"/>
      <c r="BK564" s="49"/>
      <c r="BL564" s="49"/>
      <c r="BM564" s="49"/>
      <c r="BN564" s="49"/>
      <c r="BO564" s="49"/>
      <c r="BP564" s="49"/>
      <c r="BQ564" s="49"/>
      <c r="BR564" s="49"/>
      <c r="BS564" s="49"/>
      <c r="BT564" s="49"/>
      <c r="BU564" s="49"/>
      <c r="BV564" s="49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/>
      <c r="BH565" s="49"/>
      <c r="BI565" s="49"/>
      <c r="BJ565" s="49"/>
      <c r="BK565" s="49"/>
      <c r="BL565" s="49"/>
      <c r="BM565" s="49"/>
      <c r="BN565" s="49"/>
      <c r="BO565" s="49"/>
      <c r="BP565" s="49"/>
      <c r="BQ565" s="49"/>
      <c r="BR565" s="49"/>
      <c r="BS565" s="49"/>
      <c r="BT565" s="49"/>
      <c r="BU565" s="49"/>
      <c r="BV565" s="49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  <c r="BG566" s="49"/>
      <c r="BH566" s="49"/>
      <c r="BI566" s="49"/>
      <c r="BJ566" s="49"/>
      <c r="BK566" s="49"/>
      <c r="BL566" s="49"/>
      <c r="BM566" s="49"/>
      <c r="BN566" s="49"/>
      <c r="BO566" s="49"/>
      <c r="BP566" s="49"/>
      <c r="BQ566" s="49"/>
      <c r="BR566" s="49"/>
      <c r="BS566" s="49"/>
      <c r="BT566" s="49"/>
      <c r="BU566" s="49"/>
      <c r="BV566" s="49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49"/>
      <c r="AX567" s="49"/>
      <c r="AY567" s="49"/>
      <c r="AZ567" s="49"/>
      <c r="BA567" s="49"/>
      <c r="BB567" s="49"/>
      <c r="BC567" s="49"/>
      <c r="BD567" s="49"/>
      <c r="BE567" s="49"/>
      <c r="BF567" s="49"/>
      <c r="BG567" s="49"/>
      <c r="BH567" s="49"/>
      <c r="BI567" s="49"/>
      <c r="BJ567" s="49"/>
      <c r="BK567" s="49"/>
      <c r="BL567" s="49"/>
      <c r="BM567" s="49"/>
      <c r="BN567" s="49"/>
      <c r="BO567" s="49"/>
      <c r="BP567" s="49"/>
      <c r="BQ567" s="49"/>
      <c r="BR567" s="49"/>
      <c r="BS567" s="49"/>
      <c r="BT567" s="49"/>
      <c r="BU567" s="49"/>
      <c r="BV567" s="49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/>
      <c r="BH568" s="49"/>
      <c r="BI568" s="49"/>
      <c r="BJ568" s="49"/>
      <c r="BK568" s="49"/>
      <c r="BL568" s="49"/>
      <c r="BM568" s="49"/>
      <c r="BN568" s="49"/>
      <c r="BO568" s="49"/>
      <c r="BP568" s="49"/>
      <c r="BQ568" s="49"/>
      <c r="BR568" s="49"/>
      <c r="BS568" s="49"/>
      <c r="BT568" s="49"/>
      <c r="BU568" s="49"/>
      <c r="BV568" s="49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49"/>
      <c r="AX569" s="49"/>
      <c r="AY569" s="49"/>
      <c r="AZ569" s="49"/>
      <c r="BA569" s="49"/>
      <c r="BB569" s="49"/>
      <c r="BC569" s="49"/>
      <c r="BD569" s="49"/>
      <c r="BE569" s="49"/>
      <c r="BF569" s="49"/>
      <c r="BG569" s="49"/>
      <c r="BH569" s="49"/>
      <c r="BI569" s="49"/>
      <c r="BJ569" s="49"/>
      <c r="BK569" s="49"/>
      <c r="BL569" s="49"/>
      <c r="BM569" s="49"/>
      <c r="BN569" s="49"/>
      <c r="BO569" s="49"/>
      <c r="BP569" s="49"/>
      <c r="BQ569" s="49"/>
      <c r="BR569" s="49"/>
      <c r="BS569" s="49"/>
      <c r="BT569" s="49"/>
      <c r="BU569" s="49"/>
      <c r="BV569" s="49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49"/>
      <c r="AX570" s="49"/>
      <c r="AY570" s="49"/>
      <c r="AZ570" s="49"/>
      <c r="BA570" s="49"/>
      <c r="BB570" s="49"/>
      <c r="BC570" s="49"/>
      <c r="BD570" s="49"/>
      <c r="BE570" s="49"/>
      <c r="BF570" s="49"/>
      <c r="BG570" s="49"/>
      <c r="BH570" s="49"/>
      <c r="BI570" s="49"/>
      <c r="BJ570" s="49"/>
      <c r="BK570" s="49"/>
      <c r="BL570" s="49"/>
      <c r="BM570" s="49"/>
      <c r="BN570" s="49"/>
      <c r="BO570" s="49"/>
      <c r="BP570" s="49"/>
      <c r="BQ570" s="49"/>
      <c r="BR570" s="49"/>
      <c r="BS570" s="49"/>
      <c r="BT570" s="49"/>
      <c r="BU570" s="49"/>
      <c r="BV570" s="49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/>
      <c r="BH571" s="49"/>
      <c r="BI571" s="49"/>
      <c r="BJ571" s="49"/>
      <c r="BK571" s="49"/>
      <c r="BL571" s="49"/>
      <c r="BM571" s="49"/>
      <c r="BN571" s="49"/>
      <c r="BO571" s="49"/>
      <c r="BP571" s="49"/>
      <c r="BQ571" s="49"/>
      <c r="BR571" s="49"/>
      <c r="BS571" s="49"/>
      <c r="BT571" s="49"/>
      <c r="BU571" s="49"/>
      <c r="BV571" s="49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/>
      <c r="BH572" s="49"/>
      <c r="BI572" s="49"/>
      <c r="BJ572" s="49"/>
      <c r="BK572" s="49"/>
      <c r="BL572" s="49"/>
      <c r="BM572" s="49"/>
      <c r="BN572" s="49"/>
      <c r="BO572" s="49"/>
      <c r="BP572" s="49"/>
      <c r="BQ572" s="49"/>
      <c r="BR572" s="49"/>
      <c r="BS572" s="49"/>
      <c r="BT572" s="49"/>
      <c r="BU572" s="49"/>
      <c r="BV572" s="49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49"/>
      <c r="AX573" s="49"/>
      <c r="AY573" s="49"/>
      <c r="AZ573" s="49"/>
      <c r="BA573" s="49"/>
      <c r="BB573" s="49"/>
      <c r="BC573" s="49"/>
      <c r="BD573" s="49"/>
      <c r="BE573" s="49"/>
      <c r="BF573" s="49"/>
      <c r="BG573" s="49"/>
      <c r="BH573" s="49"/>
      <c r="BI573" s="49"/>
      <c r="BJ573" s="49"/>
      <c r="BK573" s="49"/>
      <c r="BL573" s="49"/>
      <c r="BM573" s="49"/>
      <c r="BN573" s="49"/>
      <c r="BO573" s="49"/>
      <c r="BP573" s="49"/>
      <c r="BQ573" s="49"/>
      <c r="BR573" s="49"/>
      <c r="BS573" s="49"/>
      <c r="BT573" s="49"/>
      <c r="BU573" s="49"/>
      <c r="BV573" s="49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/>
      <c r="BH574" s="49"/>
      <c r="BI574" s="49"/>
      <c r="BJ574" s="49"/>
      <c r="BK574" s="49"/>
      <c r="BL574" s="49"/>
      <c r="BM574" s="49"/>
      <c r="BN574" s="49"/>
      <c r="BO574" s="49"/>
      <c r="BP574" s="49"/>
      <c r="BQ574" s="49"/>
      <c r="BR574" s="49"/>
      <c r="BS574" s="49"/>
      <c r="BT574" s="49"/>
      <c r="BU574" s="49"/>
      <c r="BV574" s="49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49"/>
      <c r="AX575" s="49"/>
      <c r="AY575" s="49"/>
      <c r="AZ575" s="49"/>
      <c r="BA575" s="49"/>
      <c r="BB575" s="49"/>
      <c r="BC575" s="49"/>
      <c r="BD575" s="49"/>
      <c r="BE575" s="49"/>
      <c r="BF575" s="49"/>
      <c r="BG575" s="49"/>
      <c r="BH575" s="49"/>
      <c r="BI575" s="49"/>
      <c r="BJ575" s="49"/>
      <c r="BK575" s="49"/>
      <c r="BL575" s="49"/>
      <c r="BM575" s="49"/>
      <c r="BN575" s="49"/>
      <c r="BO575" s="49"/>
      <c r="BP575" s="49"/>
      <c r="BQ575" s="49"/>
      <c r="BR575" s="49"/>
      <c r="BS575" s="49"/>
      <c r="BT575" s="49"/>
      <c r="BU575" s="49"/>
      <c r="BV575" s="49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49"/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49"/>
      <c r="BJ576" s="49"/>
      <c r="BK576" s="49"/>
      <c r="BL576" s="49"/>
      <c r="BM576" s="49"/>
      <c r="BN576" s="49"/>
      <c r="BO576" s="49"/>
      <c r="BP576" s="49"/>
      <c r="BQ576" s="49"/>
      <c r="BR576" s="49"/>
      <c r="BS576" s="49"/>
      <c r="BT576" s="49"/>
      <c r="BU576" s="49"/>
      <c r="BV576" s="49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49"/>
      <c r="BJ577" s="49"/>
      <c r="BK577" s="49"/>
      <c r="BL577" s="49"/>
      <c r="BM577" s="49"/>
      <c r="BN577" s="49"/>
      <c r="BO577" s="49"/>
      <c r="BP577" s="49"/>
      <c r="BQ577" s="49"/>
      <c r="BR577" s="49"/>
      <c r="BS577" s="49"/>
      <c r="BT577" s="49"/>
      <c r="BU577" s="49"/>
      <c r="BV577" s="49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49"/>
      <c r="AX578" s="49"/>
      <c r="AY578" s="49"/>
      <c r="AZ578" s="49"/>
      <c r="BA578" s="49"/>
      <c r="BB578" s="49"/>
      <c r="BC578" s="49"/>
      <c r="BD578" s="49"/>
      <c r="BE578" s="49"/>
      <c r="BF578" s="49"/>
      <c r="BG578" s="49"/>
      <c r="BH578" s="49"/>
      <c r="BI578" s="49"/>
      <c r="BJ578" s="49"/>
      <c r="BK578" s="49"/>
      <c r="BL578" s="49"/>
      <c r="BM578" s="49"/>
      <c r="BN578" s="49"/>
      <c r="BO578" s="49"/>
      <c r="BP578" s="49"/>
      <c r="BQ578" s="49"/>
      <c r="BR578" s="49"/>
      <c r="BS578" s="49"/>
      <c r="BT578" s="49"/>
      <c r="BU578" s="49"/>
      <c r="BV578" s="49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49"/>
      <c r="AX579" s="49"/>
      <c r="AY579" s="49"/>
      <c r="AZ579" s="49"/>
      <c r="BA579" s="49"/>
      <c r="BB579" s="49"/>
      <c r="BC579" s="49"/>
      <c r="BD579" s="49"/>
      <c r="BE579" s="49"/>
      <c r="BF579" s="49"/>
      <c r="BG579" s="49"/>
      <c r="BH579" s="49"/>
      <c r="BI579" s="49"/>
      <c r="BJ579" s="49"/>
      <c r="BK579" s="49"/>
      <c r="BL579" s="49"/>
      <c r="BM579" s="49"/>
      <c r="BN579" s="49"/>
      <c r="BO579" s="49"/>
      <c r="BP579" s="49"/>
      <c r="BQ579" s="49"/>
      <c r="BR579" s="49"/>
      <c r="BS579" s="49"/>
      <c r="BT579" s="49"/>
      <c r="BU579" s="49"/>
      <c r="BV579" s="49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49"/>
      <c r="AX590" s="49"/>
      <c r="AY590" s="49"/>
      <c r="AZ590" s="49"/>
      <c r="BA590" s="49"/>
      <c r="BB590" s="49"/>
      <c r="BC590" s="49"/>
      <c r="BD590" s="49"/>
      <c r="BE590" s="49"/>
      <c r="BF590" s="49"/>
      <c r="BG590" s="49"/>
      <c r="BH590" s="49"/>
      <c r="BI590" s="49"/>
      <c r="BJ590" s="49"/>
      <c r="BK590" s="49"/>
      <c r="BL590" s="49"/>
      <c r="BM590" s="49"/>
      <c r="BN590" s="49"/>
      <c r="BO590" s="49"/>
      <c r="BP590" s="49"/>
      <c r="BQ590" s="49"/>
      <c r="BR590" s="49"/>
      <c r="BS590" s="49"/>
      <c r="BT590" s="49"/>
      <c r="BU590" s="49"/>
      <c r="BV590" s="49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49"/>
      <c r="AX591" s="49"/>
      <c r="AY591" s="49"/>
      <c r="AZ591" s="49"/>
      <c r="BA591" s="49"/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49"/>
      <c r="BP591" s="49"/>
      <c r="BQ591" s="49"/>
      <c r="BR591" s="49"/>
      <c r="BS591" s="49"/>
      <c r="BT591" s="49"/>
      <c r="BU591" s="49"/>
      <c r="BV591" s="49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</row>
  </sheetData>
  <mergeCells count="1">
    <mergeCell ref="C1:Z1"/>
  </mergeCells>
  <printOptions/>
  <pageMargins bottom="0.75" footer="0.0" header="0.0" left="0.7" right="0.7" top="0.75"/>
  <pageSetup paperSize="9" orientation="portrait"/>
  <drawing r:id="rId1"/>
</worksheet>
</file>