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ul_pierag\Desktop\PVCT\Snabbit_R\MIS Snabbit\"/>
    </mc:Choice>
  </mc:AlternateContent>
  <xr:revisionPtr revIDLastSave="0" documentId="13_ncr:1_{0F48349D-594F-4C0F-B4E0-844E5E92E2C2}" xr6:coauthVersionLast="47" xr6:coauthVersionMax="47" xr10:uidLastSave="{00000000-0000-0000-0000-000000000000}"/>
  <bookViews>
    <workbookView xWindow="-110" yWindow="-110" windowWidth="19420" windowHeight="11500" tabRatio="810" firstSheet="1" activeTab="8" xr2:uid="{00000000-000D-0000-FFFF-FFFF00000000}"/>
  </bookViews>
  <sheets>
    <sheet name="Working" sheetId="98" state="hidden" r:id="rId1"/>
    <sheet name="Key Metrics" sheetId="90" r:id="rId2"/>
    <sheet name="RQSP Metrics" sheetId="101" r:id="rId3"/>
    <sheet name="Customer Cohorts - Overall " sheetId="93" r:id="rId4"/>
    <sheet name="Financials -&gt;" sheetId="53" r:id="rId5"/>
    <sheet name="MIS P&amp;L" sheetId="3" r:id="rId6"/>
    <sheet name="Unit Economics" sheetId="4" state="hidden" r:id="rId7"/>
    <sheet name="BS" sheetId="80" r:id="rId8"/>
    <sheet name="Cash Flow" sheetId="82" r:id="rId9"/>
    <sheet name="Raw TB 1125" sheetId="102" state="hidden" r:id="rId10"/>
    <sheet name="Raw TB 1225" sheetId="106" state="hidden" r:id="rId11"/>
    <sheet name="TB 1225" sheetId="105" state="hidden" r:id="rId12"/>
    <sheet name="TB 1125" sheetId="103" state="hidden" r:id="rId13"/>
    <sheet name="Raw TB 1025" sheetId="99" state="hidden" r:id="rId14"/>
    <sheet name="TB 1025" sheetId="100" state="hidden" r:id="rId15"/>
    <sheet name="Cash Flow " sheetId="77" state="hidden" r:id="rId16"/>
    <sheet name="Manpower - HO" sheetId="97" state="hidden" r:id="rId17"/>
    <sheet name="Raw Aug" sheetId="78" state="hidden" r:id="rId18"/>
    <sheet name="TB 0825" sheetId="79" state="hidden" r:id="rId19"/>
    <sheet name="Raw Sep" sheetId="86" state="hidden" r:id="rId20"/>
    <sheet name="TB 0925" sheetId="87" state="hidden" r:id="rId21"/>
    <sheet name="NTA" sheetId="45" state="hidden" r:id="rId22"/>
    <sheet name="Powai - MIS P&amp;L - Old" sheetId="51" state="hidden" r:id="rId23"/>
    <sheet name="Sarjapur - MIS P&amp;L " sheetId="70" state="hidden" r:id="rId24"/>
    <sheet name="OCF Analysis" sheetId="71" state="hidden" r:id="rId25"/>
    <sheet name="Raw July" sheetId="63" state="hidden" r:id="rId26"/>
    <sheet name="TB 0725" sheetId="64" state="hidden" r:id="rId27"/>
    <sheet name="Raw June" sheetId="58" state="hidden" r:id="rId28"/>
    <sheet name="TB 0625" sheetId="60" state="hidden" r:id="rId29"/>
    <sheet name="Employee Expenses" sheetId="62" state="hidden" r:id="rId30"/>
    <sheet name="Manpower - UE" sheetId="61" state="hidden" r:id="rId31"/>
    <sheet name="Plan -&gt;" sheetId="54" state="hidden" r:id="rId32"/>
    <sheet name="AMJ QOP" sheetId="48" state="hidden" r:id="rId33"/>
    <sheet name="Zoho P&amp;L" sheetId="29" state="hidden" r:id="rId34"/>
    <sheet name="Raw" sheetId="25" state="hidden" r:id="rId35"/>
    <sheet name="Raw TB" sheetId="23" state="hidden" r:id="rId36"/>
    <sheet name="TB March 24" sheetId="17" state="hidden" r:id="rId37"/>
    <sheet name="Trial Balance" sheetId="14" state="hidden" r:id="rId38"/>
    <sheet name="TB 0424" sheetId="7" state="hidden" r:id="rId39"/>
    <sheet name="TB 0524" sheetId="8" state="hidden" r:id="rId40"/>
    <sheet name="TB 0624" sheetId="9" state="hidden" r:id="rId41"/>
    <sheet name="TB 0724" sheetId="10" state="hidden" r:id="rId42"/>
    <sheet name="TB 0824" sheetId="12" state="hidden" r:id="rId43"/>
    <sheet name="TB 0924" sheetId="16" state="hidden" r:id="rId44"/>
    <sheet name="TB 1024" sheetId="22" state="hidden" r:id="rId45"/>
    <sheet name="TB 1124" sheetId="26" state="hidden" r:id="rId46"/>
    <sheet name="TB 1224" sheetId="28" state="hidden" r:id="rId47"/>
    <sheet name="Raw Dec" sheetId="27" state="hidden" r:id="rId48"/>
    <sheet name="TB 0125" sheetId="31" state="hidden" r:id="rId49"/>
    <sheet name="Raw Jan" sheetId="30" state="hidden" r:id="rId50"/>
    <sheet name="Raw Feb" sheetId="34" state="hidden" r:id="rId51"/>
    <sheet name="TB 0225" sheetId="35" state="hidden" r:id="rId52"/>
    <sheet name="TB 0325" sheetId="40" state="hidden" r:id="rId53"/>
    <sheet name="Raw March" sheetId="39" state="hidden" r:id="rId54"/>
    <sheet name="TB 0425" sheetId="44" state="hidden" r:id="rId55"/>
    <sheet name="Raw April" sheetId="43" state="hidden" r:id="rId56"/>
    <sheet name="TB 0525" sheetId="47" state="hidden" r:id="rId57"/>
    <sheet name="Raw May" sheetId="46" state="hidden" r:id="rId58"/>
  </sheets>
  <externalReferences>
    <externalReference r:id="rId59"/>
  </externalReferences>
  <definedNames>
    <definedName name="_xlnm._FilterDatabase" localSheetId="34" hidden="1">Raw!$A$1:$G$1</definedName>
    <definedName name="_xlnm._FilterDatabase" localSheetId="55" hidden="1">'Raw April'!$A$1:$G$1</definedName>
    <definedName name="_xlnm._FilterDatabase" localSheetId="35" hidden="1">'Raw TB'!$A$9:$F$161</definedName>
    <definedName name="_xlnm._FilterDatabase" localSheetId="13" hidden="1">'Raw TB 1025'!$A$1:$G$168</definedName>
    <definedName name="_xlnm._FilterDatabase" localSheetId="9" hidden="1">'Raw TB 1125'!$A$1:$G$172</definedName>
    <definedName name="_xlnm._FilterDatabase" localSheetId="48" hidden="1">'TB 0125'!$A$2:$R$101</definedName>
    <definedName name="_xlnm._FilterDatabase" localSheetId="51" hidden="1">'TB 0225'!$A$2:$P$101</definedName>
    <definedName name="_xlnm._FilterDatabase" localSheetId="52" hidden="1">'TB 0325'!$A$2:$Q$107</definedName>
    <definedName name="_xlnm._FilterDatabase" localSheetId="38" hidden="1">'TB 0424'!$A$9:$G$83</definedName>
    <definedName name="_xlnm._FilterDatabase" localSheetId="54" hidden="1">'TB 0425'!$A$2:$R$120</definedName>
    <definedName name="_xlnm._FilterDatabase" localSheetId="39" hidden="1">'TB 0524'!$A$9:$G$141</definedName>
    <definedName name="_xlnm._FilterDatabase" localSheetId="56" hidden="1">'TB 0525'!$A$2:$R$2</definedName>
    <definedName name="_xlnm._FilterDatabase" localSheetId="40" hidden="1">'TB 0624'!$A$9:$G$134</definedName>
    <definedName name="_xlnm._FilterDatabase" localSheetId="28" hidden="1">'TB 0625'!$A$2:$M$2</definedName>
    <definedName name="_xlnm._FilterDatabase" localSheetId="41" hidden="1">'TB 0724'!$A$9:$G$121</definedName>
    <definedName name="_xlnm._FilterDatabase" localSheetId="26" hidden="1">'TB 0725'!$A$2:$L$149</definedName>
    <definedName name="_xlnm._FilterDatabase" localSheetId="42" hidden="1">'TB 0824'!$A$9:$G$137</definedName>
    <definedName name="_xlnm._FilterDatabase" localSheetId="18" hidden="1">'TB 0825'!$A$2:$L$153</definedName>
    <definedName name="_xlnm._FilterDatabase" localSheetId="43" hidden="1">'TB 0924'!$A$9:$G$130</definedName>
    <definedName name="_xlnm._FilterDatabase" localSheetId="20" hidden="1">'TB 0925'!$A$2:$M$145</definedName>
    <definedName name="_xlnm._FilterDatabase" localSheetId="44" hidden="1">'TB 1024'!$A$9:$S$160</definedName>
    <definedName name="_xlnm._FilterDatabase" localSheetId="14" hidden="1">'TB 1025'!$A$2:$M$146</definedName>
    <definedName name="_xlnm._FilterDatabase" localSheetId="45" hidden="1">'TB 1124'!$A$2:$Q$85</definedName>
    <definedName name="_xlnm._FilterDatabase" localSheetId="12" hidden="1">'TB 1125'!$A$2:$M$178</definedName>
    <definedName name="_xlnm._FilterDatabase" localSheetId="46" hidden="1">'TB 1224'!$A$2:$H$90</definedName>
    <definedName name="_xlnm._FilterDatabase" localSheetId="11" hidden="1">'TB 1225'!$A$2:$M$193</definedName>
    <definedName name="_xlnm._FilterDatabase" localSheetId="36" hidden="1">'TB March 24'!$A$9:$G$59</definedName>
    <definedName name="_xlnm._FilterDatabase" localSheetId="37" hidden="1">'Trial Balance'!$A$9:$G$128</definedName>
    <definedName name="_xlnm._FilterDatabase" localSheetId="33" hidden="1">'Zoho P&amp;L'!$A$7:$L$7</definedName>
    <definedName name="_xlnm.Print_Area" localSheetId="7">BS!$A$2:$J$43</definedName>
    <definedName name="_xlnm.Print_Area" localSheetId="15">'Cash Flow '!$A$1:$O$21</definedName>
    <definedName name="_xlnm.Print_Area" localSheetId="5">'MIS P&amp;L'!$A$1:$B$57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90" l="1"/>
  <c r="B71" i="103" l="1"/>
  <c r="E95" i="103"/>
  <c r="B95" i="103"/>
  <c r="M19" i="3"/>
  <c r="M8" i="3"/>
  <c r="E125" i="103"/>
  <c r="C125" i="103"/>
  <c r="E71" i="103"/>
  <c r="C71" i="103"/>
  <c r="E125" i="100"/>
  <c r="C125" i="100"/>
  <c r="E71" i="100"/>
  <c r="D71" i="100"/>
  <c r="N64" i="93" l="1"/>
  <c r="M65" i="93"/>
  <c r="L66" i="93"/>
  <c r="K67" i="93"/>
  <c r="J68" i="93"/>
  <c r="I69" i="93"/>
  <c r="H70" i="93"/>
  <c r="G71" i="93"/>
  <c r="F72" i="93"/>
  <c r="E73" i="93"/>
  <c r="D75" i="93"/>
  <c r="C75" i="93"/>
  <c r="B75" i="93"/>
  <c r="N19" i="93"/>
  <c r="M20" i="93"/>
  <c r="M19" i="93"/>
  <c r="L21" i="93"/>
  <c r="K22" i="93"/>
  <c r="J23" i="93"/>
  <c r="I24" i="93"/>
  <c r="H25" i="93"/>
  <c r="G26" i="93"/>
  <c r="F27" i="93"/>
  <c r="E28" i="93"/>
  <c r="D30" i="93"/>
  <c r="D29" i="93"/>
  <c r="C15" i="93"/>
  <c r="C30" i="93" s="1"/>
  <c r="C45" i="93" s="1"/>
  <c r="C60" i="93" s="1"/>
  <c r="X20" i="80"/>
  <c r="X38" i="80"/>
  <c r="E44" i="105"/>
  <c r="E49" i="105"/>
  <c r="H29" i="3" l="1"/>
  <c r="G29" i="3"/>
  <c r="F29" i="3"/>
  <c r="K29" i="3" l="1"/>
  <c r="J29" i="3"/>
  <c r="I29" i="3"/>
  <c r="K33" i="101" l="1"/>
  <c r="K3" i="101"/>
  <c r="F104" i="106"/>
  <c r="E104" i="106"/>
  <c r="F142" i="106"/>
  <c r="D142" i="106"/>
  <c r="B195" i="106"/>
  <c r="B194" i="106"/>
  <c r="B193" i="106"/>
  <c r="B192" i="106"/>
  <c r="B191" i="106"/>
  <c r="B190" i="106"/>
  <c r="B189" i="106"/>
  <c r="B188" i="106"/>
  <c r="B187" i="106"/>
  <c r="B186" i="106"/>
  <c r="B185" i="106"/>
  <c r="B184" i="106"/>
  <c r="B183" i="106"/>
  <c r="B182" i="106"/>
  <c r="B181" i="106"/>
  <c r="B180" i="106"/>
  <c r="B179" i="106"/>
  <c r="B178" i="106"/>
  <c r="B177" i="106"/>
  <c r="B176" i="106"/>
  <c r="B175" i="106"/>
  <c r="B174" i="106"/>
  <c r="B173" i="106"/>
  <c r="B172" i="106"/>
  <c r="B171" i="106"/>
  <c r="B170" i="106"/>
  <c r="B169" i="106"/>
  <c r="B168" i="106"/>
  <c r="B167" i="106"/>
  <c r="B166" i="106"/>
  <c r="B165" i="106"/>
  <c r="B164" i="106"/>
  <c r="B163" i="106"/>
  <c r="B162" i="106"/>
  <c r="B161" i="106"/>
  <c r="B160" i="106"/>
  <c r="B159" i="106"/>
  <c r="B158" i="106"/>
  <c r="B157" i="106"/>
  <c r="B156" i="106"/>
  <c r="B155" i="106"/>
  <c r="B154" i="106"/>
  <c r="B153" i="106"/>
  <c r="B152" i="106"/>
  <c r="B151" i="106"/>
  <c r="B150" i="106"/>
  <c r="B149" i="106"/>
  <c r="B148" i="106"/>
  <c r="B147" i="106"/>
  <c r="B146" i="106"/>
  <c r="B145" i="106"/>
  <c r="B144" i="106"/>
  <c r="B143" i="106"/>
  <c r="G143" i="106" s="1"/>
  <c r="B142" i="106"/>
  <c r="B141" i="106"/>
  <c r="B140" i="106"/>
  <c r="B139" i="106"/>
  <c r="B138" i="106"/>
  <c r="B137" i="106"/>
  <c r="B136" i="106"/>
  <c r="B135" i="106"/>
  <c r="B134" i="106"/>
  <c r="B133" i="106"/>
  <c r="B132" i="106"/>
  <c r="B131" i="106"/>
  <c r="B130" i="106"/>
  <c r="B129" i="106"/>
  <c r="B128" i="106"/>
  <c r="B127" i="106"/>
  <c r="B126" i="106"/>
  <c r="B125" i="106"/>
  <c r="B124" i="106"/>
  <c r="B123" i="106"/>
  <c r="B122" i="106"/>
  <c r="B121" i="106"/>
  <c r="B120" i="106"/>
  <c r="B119" i="106"/>
  <c r="B118" i="106"/>
  <c r="B117" i="106"/>
  <c r="B116" i="106"/>
  <c r="B115" i="106"/>
  <c r="B114" i="106"/>
  <c r="B113" i="106"/>
  <c r="B112" i="106"/>
  <c r="B111" i="106"/>
  <c r="B110" i="106"/>
  <c r="B109" i="106"/>
  <c r="B108" i="106"/>
  <c r="B107" i="106"/>
  <c r="B106" i="106"/>
  <c r="B105" i="106"/>
  <c r="B104" i="106"/>
  <c r="B103" i="106"/>
  <c r="B102" i="106"/>
  <c r="B101" i="106"/>
  <c r="B100" i="106"/>
  <c r="B99" i="106"/>
  <c r="B98" i="106"/>
  <c r="B97" i="106"/>
  <c r="B96" i="106"/>
  <c r="B95" i="106"/>
  <c r="B94" i="106"/>
  <c r="B93" i="106"/>
  <c r="B92" i="106"/>
  <c r="B91" i="106"/>
  <c r="B90" i="106"/>
  <c r="B89" i="106"/>
  <c r="B88" i="106"/>
  <c r="B87" i="106"/>
  <c r="B86" i="106"/>
  <c r="B85" i="106"/>
  <c r="B84" i="106"/>
  <c r="B83" i="106"/>
  <c r="B82" i="106"/>
  <c r="B81" i="106"/>
  <c r="B80" i="106"/>
  <c r="B79" i="106"/>
  <c r="B78" i="106"/>
  <c r="B77" i="106"/>
  <c r="B76" i="106"/>
  <c r="B75" i="106"/>
  <c r="B74" i="106"/>
  <c r="B73" i="106"/>
  <c r="B72" i="106"/>
  <c r="B71" i="106"/>
  <c r="B70" i="106"/>
  <c r="B69" i="106"/>
  <c r="B68" i="106"/>
  <c r="B67" i="106"/>
  <c r="B66" i="106"/>
  <c r="B65" i="106"/>
  <c r="B64" i="106"/>
  <c r="B63" i="106"/>
  <c r="B62" i="106"/>
  <c r="B61" i="106"/>
  <c r="B60" i="106"/>
  <c r="B59" i="106"/>
  <c r="B58" i="106"/>
  <c r="B57" i="106"/>
  <c r="B56" i="106"/>
  <c r="B55" i="106"/>
  <c r="B54" i="106"/>
  <c r="B53" i="106"/>
  <c r="B52" i="106"/>
  <c r="B51" i="106"/>
  <c r="B50" i="106"/>
  <c r="B49" i="106"/>
  <c r="B48" i="106"/>
  <c r="B47" i="106"/>
  <c r="B46" i="106"/>
  <c r="B45" i="106"/>
  <c r="B44" i="106"/>
  <c r="B43" i="106"/>
  <c r="B42" i="106"/>
  <c r="B41" i="106"/>
  <c r="B40" i="106"/>
  <c r="B39" i="106"/>
  <c r="B38" i="106"/>
  <c r="B37" i="106"/>
  <c r="B36" i="106"/>
  <c r="B35" i="106"/>
  <c r="B34" i="106"/>
  <c r="B33" i="106"/>
  <c r="B32" i="106"/>
  <c r="B31" i="106"/>
  <c r="B30" i="106"/>
  <c r="B29" i="106"/>
  <c r="B28" i="106"/>
  <c r="B27" i="106"/>
  <c r="B26" i="106"/>
  <c r="B25" i="106"/>
  <c r="B24" i="106"/>
  <c r="B23" i="106"/>
  <c r="B22" i="106"/>
  <c r="B21" i="106"/>
  <c r="B20" i="106"/>
  <c r="B19" i="106"/>
  <c r="B18" i="106"/>
  <c r="B17" i="106"/>
  <c r="B16" i="106"/>
  <c r="B15" i="106"/>
  <c r="B14" i="106"/>
  <c r="B13" i="106"/>
  <c r="B12" i="106"/>
  <c r="B11" i="106"/>
  <c r="B10" i="106"/>
  <c r="B9" i="106"/>
  <c r="B8" i="106"/>
  <c r="B7" i="106"/>
  <c r="B6" i="106"/>
  <c r="B5" i="106"/>
  <c r="B4" i="106"/>
  <c r="B3" i="106"/>
  <c r="N2" i="3"/>
  <c r="N3" i="3"/>
  <c r="N10" i="3"/>
  <c r="N42" i="3"/>
  <c r="L8" i="105"/>
  <c r="N45" i="90" l="1"/>
  <c r="N46" i="90" s="1"/>
  <c r="N44" i="90"/>
  <c r="N41" i="90"/>
  <c r="N36" i="90"/>
  <c r="N43" i="90" s="1"/>
  <c r="N31" i="90"/>
  <c r="N30" i="90"/>
  <c r="N24" i="90"/>
  <c r="N23" i="90"/>
  <c r="N48" i="90" s="1"/>
  <c r="N19" i="90"/>
  <c r="N18" i="90"/>
  <c r="N14" i="90"/>
  <c r="N11" i="90"/>
  <c r="F193" i="105"/>
  <c r="G171" i="106"/>
  <c r="G188" i="106"/>
  <c r="G176" i="106"/>
  <c r="G167" i="106"/>
  <c r="E119" i="105"/>
  <c r="E38" i="105" l="1"/>
  <c r="N29" i="90"/>
  <c r="N17" i="90"/>
  <c r="L7" i="105"/>
  <c r="L10" i="105" l="1"/>
  <c r="F192" i="105"/>
  <c r="G164" i="106"/>
  <c r="G148" i="106"/>
  <c r="G135" i="106"/>
  <c r="G132" i="106"/>
  <c r="G112" i="106"/>
  <c r="G97" i="106"/>
  <c r="G88" i="106"/>
  <c r="G84" i="106"/>
  <c r="G77" i="106"/>
  <c r="G73" i="106"/>
  <c r="X40" i="80"/>
  <c r="X37" i="80"/>
  <c r="X29" i="80"/>
  <c r="X30" i="80"/>
  <c r="X31" i="80"/>
  <c r="X32" i="80"/>
  <c r="X13" i="80"/>
  <c r="X14" i="80"/>
  <c r="X12" i="80"/>
  <c r="X18" i="80"/>
  <c r="V4" i="105"/>
  <c r="V7" i="105" s="1"/>
  <c r="V8" i="105" s="1"/>
  <c r="S8" i="105"/>
  <c r="S7" i="105"/>
  <c r="P8" i="105"/>
  <c r="G194" i="106" l="1"/>
  <c r="G193" i="106"/>
  <c r="G192" i="106"/>
  <c r="G191" i="106"/>
  <c r="G190" i="106"/>
  <c r="G189" i="106"/>
  <c r="G187" i="106"/>
  <c r="G186" i="106"/>
  <c r="G185" i="106"/>
  <c r="G184" i="106"/>
  <c r="G183" i="106"/>
  <c r="G182" i="106"/>
  <c r="G181" i="106"/>
  <c r="G180" i="106"/>
  <c r="G179" i="106"/>
  <c r="G178" i="106"/>
  <c r="G177" i="106"/>
  <c r="G175" i="106"/>
  <c r="G174" i="106"/>
  <c r="G173" i="106"/>
  <c r="G172" i="106"/>
  <c r="G170" i="106"/>
  <c r="G169" i="106"/>
  <c r="G168" i="106"/>
  <c r="G163" i="106"/>
  <c r="G162" i="106"/>
  <c r="G161" i="106"/>
  <c r="G160" i="106"/>
  <c r="G159" i="106"/>
  <c r="G158" i="106"/>
  <c r="G157" i="106"/>
  <c r="G156" i="106"/>
  <c r="G155" i="106"/>
  <c r="G154" i="106"/>
  <c r="G153" i="106"/>
  <c r="G152" i="106"/>
  <c r="G151" i="106"/>
  <c r="G150" i="106"/>
  <c r="G147" i="106"/>
  <c r="G146" i="106"/>
  <c r="G145" i="106"/>
  <c r="G144" i="106"/>
  <c r="G142" i="106"/>
  <c r="G141" i="106"/>
  <c r="G140" i="106"/>
  <c r="G139" i="106"/>
  <c r="G138" i="106"/>
  <c r="G137" i="106"/>
  <c r="G131" i="106"/>
  <c r="G130" i="106"/>
  <c r="G129" i="106"/>
  <c r="G128" i="106"/>
  <c r="G127" i="106"/>
  <c r="G126" i="106"/>
  <c r="G125" i="106"/>
  <c r="G124" i="106"/>
  <c r="G123" i="106"/>
  <c r="G122" i="106"/>
  <c r="G121" i="106"/>
  <c r="G120" i="106"/>
  <c r="G119" i="106"/>
  <c r="G118" i="106"/>
  <c r="G117" i="106"/>
  <c r="G116" i="106"/>
  <c r="G115" i="106"/>
  <c r="G114" i="106"/>
  <c r="G111" i="106"/>
  <c r="G110" i="106"/>
  <c r="G109" i="106"/>
  <c r="G108" i="106"/>
  <c r="G107" i="106"/>
  <c r="G106" i="106"/>
  <c r="G105" i="106"/>
  <c r="G104" i="106"/>
  <c r="G103" i="106"/>
  <c r="G102" i="106"/>
  <c r="G101" i="106"/>
  <c r="G100" i="106"/>
  <c r="G96" i="106"/>
  <c r="G95" i="106"/>
  <c r="G94" i="106"/>
  <c r="G93" i="106"/>
  <c r="G92" i="106"/>
  <c r="G91" i="106"/>
  <c r="G87" i="106"/>
  <c r="G86" i="106"/>
  <c r="G83" i="106"/>
  <c r="G82" i="106"/>
  <c r="G81" i="106"/>
  <c r="G80" i="106"/>
  <c r="G79" i="106"/>
  <c r="G76" i="106"/>
  <c r="G75" i="106"/>
  <c r="G72" i="106"/>
  <c r="G71" i="106"/>
  <c r="G70" i="106"/>
  <c r="G69" i="106"/>
  <c r="G68" i="106"/>
  <c r="G67" i="106"/>
  <c r="G66" i="106"/>
  <c r="G65" i="106"/>
  <c r="G64" i="106"/>
  <c r="G63" i="106"/>
  <c r="G62" i="106"/>
  <c r="G61" i="106"/>
  <c r="G58" i="106"/>
  <c r="G57" i="106"/>
  <c r="G56" i="106"/>
  <c r="G55" i="106"/>
  <c r="G54" i="106"/>
  <c r="G53" i="106"/>
  <c r="G52" i="106"/>
  <c r="G51" i="106"/>
  <c r="G50" i="106"/>
  <c r="G49" i="106"/>
  <c r="G48" i="106"/>
  <c r="G47" i="106"/>
  <c r="G46" i="106"/>
  <c r="G45" i="106"/>
  <c r="G44" i="106"/>
  <c r="G43" i="106"/>
  <c r="G42" i="106"/>
  <c r="G41" i="106"/>
  <c r="G40" i="106"/>
  <c r="G39" i="106"/>
  <c r="G38" i="106"/>
  <c r="G37" i="106"/>
  <c r="G36" i="106"/>
  <c r="G35" i="106"/>
  <c r="G34" i="106"/>
  <c r="G33" i="106"/>
  <c r="G32" i="106"/>
  <c r="G31" i="106"/>
  <c r="G30" i="106"/>
  <c r="G29" i="106"/>
  <c r="G28" i="106"/>
  <c r="G27" i="106"/>
  <c r="G26" i="106"/>
  <c r="G25" i="106"/>
  <c r="G21" i="106"/>
  <c r="G20" i="106"/>
  <c r="G19" i="106"/>
  <c r="G17" i="106"/>
  <c r="G16" i="106"/>
  <c r="G15" i="106"/>
  <c r="G14" i="106"/>
  <c r="G13" i="106"/>
  <c r="G12" i="106"/>
  <c r="G11" i="106"/>
  <c r="G10" i="106"/>
  <c r="G9" i="106"/>
  <c r="G8" i="106"/>
  <c r="G7" i="106"/>
  <c r="G6" i="106"/>
  <c r="G5" i="106"/>
  <c r="G4" i="106"/>
  <c r="M9" i="105"/>
  <c r="M8" i="105"/>
  <c r="M7" i="105"/>
  <c r="M6" i="105"/>
  <c r="M5" i="105"/>
  <c r="M4" i="105"/>
  <c r="M3" i="105"/>
  <c r="M10" i="105" l="1"/>
  <c r="B191" i="105"/>
  <c r="C191" i="105"/>
  <c r="D191" i="105"/>
  <c r="E191" i="105"/>
  <c r="F191" i="105" s="1"/>
  <c r="B181" i="105"/>
  <c r="E182" i="105"/>
  <c r="F182" i="105" s="1"/>
  <c r="C184" i="105"/>
  <c r="D187" i="105"/>
  <c r="B189" i="105"/>
  <c r="E190" i="105"/>
  <c r="F190" i="105" s="1"/>
  <c r="C181" i="105"/>
  <c r="D184" i="105"/>
  <c r="B186" i="105"/>
  <c r="E187" i="105"/>
  <c r="F187" i="105" s="1"/>
  <c r="C189" i="105"/>
  <c r="D181" i="105"/>
  <c r="B183" i="105"/>
  <c r="E184" i="105"/>
  <c r="F184" i="105" s="1"/>
  <c r="C186" i="105"/>
  <c r="D189" i="105"/>
  <c r="E181" i="105"/>
  <c r="F181" i="105" s="1"/>
  <c r="C183" i="105"/>
  <c r="D186" i="105"/>
  <c r="B188" i="105"/>
  <c r="E189" i="105"/>
  <c r="F189" i="105" s="1"/>
  <c r="D183" i="105"/>
  <c r="B185" i="105"/>
  <c r="E186" i="105"/>
  <c r="F186" i="105" s="1"/>
  <c r="C188" i="105"/>
  <c r="B182" i="105"/>
  <c r="E183" i="105"/>
  <c r="F183" i="105" s="1"/>
  <c r="C185" i="105"/>
  <c r="D188" i="105"/>
  <c r="B190" i="105"/>
  <c r="C182" i="105"/>
  <c r="D185" i="105"/>
  <c r="B187" i="105"/>
  <c r="E188" i="105"/>
  <c r="F188" i="105" s="1"/>
  <c r="C190" i="105"/>
  <c r="D182" i="105"/>
  <c r="B184" i="105"/>
  <c r="E185" i="105"/>
  <c r="F185" i="105" s="1"/>
  <c r="C187" i="105"/>
  <c r="D190" i="105"/>
  <c r="B179" i="105"/>
  <c r="E180" i="105"/>
  <c r="F180" i="105" s="1"/>
  <c r="C179" i="105"/>
  <c r="D179" i="105"/>
  <c r="E179" i="105"/>
  <c r="F179" i="105" s="1"/>
  <c r="B180" i="105"/>
  <c r="C180" i="105"/>
  <c r="D180" i="105"/>
  <c r="B4" i="105"/>
  <c r="E5" i="105"/>
  <c r="F5" i="105" s="1"/>
  <c r="C7" i="105"/>
  <c r="D10" i="105"/>
  <c r="B12" i="105"/>
  <c r="E13" i="105"/>
  <c r="F13" i="105" s="1"/>
  <c r="C15" i="105"/>
  <c r="D18" i="105"/>
  <c r="B20" i="105"/>
  <c r="E21" i="105"/>
  <c r="F21" i="105" s="1"/>
  <c r="C23" i="105"/>
  <c r="D26" i="105"/>
  <c r="B28" i="105"/>
  <c r="E29" i="105"/>
  <c r="F29" i="105" s="1"/>
  <c r="C31" i="105"/>
  <c r="D34" i="105"/>
  <c r="B36" i="105"/>
  <c r="E37" i="105"/>
  <c r="F37" i="105" s="1"/>
  <c r="C39" i="105"/>
  <c r="D42" i="105"/>
  <c r="B44" i="105"/>
  <c r="E45" i="105"/>
  <c r="F45" i="105" s="1"/>
  <c r="C47" i="105"/>
  <c r="D50" i="105"/>
  <c r="B52" i="105"/>
  <c r="E53" i="105"/>
  <c r="F53" i="105" s="1"/>
  <c r="C55" i="105"/>
  <c r="D58" i="105"/>
  <c r="B60" i="105"/>
  <c r="E61" i="105"/>
  <c r="F61" i="105" s="1"/>
  <c r="C63" i="105"/>
  <c r="D66" i="105"/>
  <c r="B68" i="105"/>
  <c r="E69" i="105"/>
  <c r="F69" i="105" s="1"/>
  <c r="C71" i="105"/>
  <c r="D74" i="105"/>
  <c r="B76" i="105"/>
  <c r="E77" i="105"/>
  <c r="F77" i="105" s="1"/>
  <c r="C79" i="105"/>
  <c r="D82" i="105"/>
  <c r="B84" i="105"/>
  <c r="E85" i="105"/>
  <c r="F85" i="105" s="1"/>
  <c r="C87" i="105"/>
  <c r="C4" i="105"/>
  <c r="D7" i="105"/>
  <c r="B9" i="105"/>
  <c r="E10" i="105"/>
  <c r="F10" i="105" s="1"/>
  <c r="C12" i="105"/>
  <c r="D15" i="105"/>
  <c r="B17" i="105"/>
  <c r="E18" i="105"/>
  <c r="F18" i="105" s="1"/>
  <c r="C20" i="105"/>
  <c r="D23" i="105"/>
  <c r="B25" i="105"/>
  <c r="E26" i="105"/>
  <c r="F26" i="105" s="1"/>
  <c r="C28" i="105"/>
  <c r="D31" i="105"/>
  <c r="B33" i="105"/>
  <c r="E34" i="105"/>
  <c r="F34" i="105" s="1"/>
  <c r="C36" i="105"/>
  <c r="D39" i="105"/>
  <c r="B41" i="105"/>
  <c r="E42" i="105"/>
  <c r="F42" i="105" s="1"/>
  <c r="C44" i="105"/>
  <c r="D47" i="105"/>
  <c r="B49" i="105"/>
  <c r="E50" i="105"/>
  <c r="F50" i="105" s="1"/>
  <c r="C52" i="105"/>
  <c r="D55" i="105"/>
  <c r="B57" i="105"/>
  <c r="E58" i="105"/>
  <c r="F58" i="105" s="1"/>
  <c r="C60" i="105"/>
  <c r="D63" i="105"/>
  <c r="B65" i="105"/>
  <c r="E66" i="105"/>
  <c r="F66" i="105" s="1"/>
  <c r="C68" i="105"/>
  <c r="D71" i="105"/>
  <c r="B73" i="105"/>
  <c r="E74" i="105"/>
  <c r="F74" i="105" s="1"/>
  <c r="C76" i="105"/>
  <c r="D79" i="105"/>
  <c r="B81" i="105"/>
  <c r="E82" i="105"/>
  <c r="F82" i="105" s="1"/>
  <c r="C84" i="105"/>
  <c r="D87" i="105"/>
  <c r="B89" i="105"/>
  <c r="E90" i="105"/>
  <c r="F90" i="105" s="1"/>
  <c r="C92" i="105"/>
  <c r="D95" i="105"/>
  <c r="B97" i="105"/>
  <c r="E98" i="105"/>
  <c r="F98" i="105" s="1"/>
  <c r="C100" i="105"/>
  <c r="D103" i="105"/>
  <c r="B105" i="105"/>
  <c r="E106" i="105"/>
  <c r="F106" i="105" s="1"/>
  <c r="C108" i="105"/>
  <c r="D111" i="105"/>
  <c r="B113" i="105"/>
  <c r="E114" i="105"/>
  <c r="F114" i="105" s="1"/>
  <c r="C116" i="105"/>
  <c r="D119" i="105"/>
  <c r="B121" i="105"/>
  <c r="E122" i="105"/>
  <c r="F122" i="105" s="1"/>
  <c r="C124" i="105"/>
  <c r="D127" i="105"/>
  <c r="B129" i="105"/>
  <c r="E130" i="105"/>
  <c r="F130" i="105" s="1"/>
  <c r="C132" i="105"/>
  <c r="D135" i="105"/>
  <c r="B137" i="105"/>
  <c r="E138" i="105"/>
  <c r="F138" i="105" s="1"/>
  <c r="D4" i="105"/>
  <c r="D6" i="105"/>
  <c r="D8" i="105"/>
  <c r="C17" i="105"/>
  <c r="C19" i="105"/>
  <c r="C21" i="105"/>
  <c r="E23" i="105"/>
  <c r="F23" i="105" s="1"/>
  <c r="E25" i="105"/>
  <c r="F25" i="105" s="1"/>
  <c r="E27" i="105"/>
  <c r="F27" i="105" s="1"/>
  <c r="B30" i="105"/>
  <c r="B32" i="105"/>
  <c r="B34" i="105"/>
  <c r="D36" i="105"/>
  <c r="D38" i="105"/>
  <c r="D40" i="105"/>
  <c r="C49" i="105"/>
  <c r="C51" i="105"/>
  <c r="C53" i="105"/>
  <c r="E55" i="105"/>
  <c r="F55" i="105" s="1"/>
  <c r="E57" i="105"/>
  <c r="F57" i="105" s="1"/>
  <c r="E59" i="105"/>
  <c r="F59" i="105" s="1"/>
  <c r="B62" i="105"/>
  <c r="B64" i="105"/>
  <c r="B66" i="105"/>
  <c r="D68" i="105"/>
  <c r="D70" i="105"/>
  <c r="D72" i="105"/>
  <c r="C81" i="105"/>
  <c r="C83" i="105"/>
  <c r="C85" i="105"/>
  <c r="E87" i="105"/>
  <c r="F87" i="105" s="1"/>
  <c r="D89" i="105"/>
  <c r="C91" i="105"/>
  <c r="B93" i="105"/>
  <c r="E96" i="105"/>
  <c r="D98" i="105"/>
  <c r="D100" i="105"/>
  <c r="C102" i="105"/>
  <c r="B104" i="105"/>
  <c r="E107" i="105"/>
  <c r="F107" i="105" s="1"/>
  <c r="D109" i="105"/>
  <c r="C111" i="105"/>
  <c r="C113" i="105"/>
  <c r="B115" i="105"/>
  <c r="E118" i="105"/>
  <c r="F118" i="105" s="1"/>
  <c r="D120" i="105"/>
  <c r="C122" i="105"/>
  <c r="B124" i="105"/>
  <c r="B126" i="105"/>
  <c r="E129" i="105"/>
  <c r="F129" i="105" s="1"/>
  <c r="D131" i="105"/>
  <c r="C133" i="105"/>
  <c r="B135" i="105"/>
  <c r="D140" i="105"/>
  <c r="B142" i="105"/>
  <c r="E143" i="105"/>
  <c r="F143" i="105" s="1"/>
  <c r="N29" i="3" s="1"/>
  <c r="C145" i="105"/>
  <c r="D148" i="105"/>
  <c r="B150" i="105"/>
  <c r="E151" i="105"/>
  <c r="F151" i="105" s="1"/>
  <c r="C153" i="105"/>
  <c r="D156" i="105"/>
  <c r="B158" i="105"/>
  <c r="E159" i="105"/>
  <c r="F159" i="105" s="1"/>
  <c r="C161" i="105"/>
  <c r="D164" i="105"/>
  <c r="B166" i="105"/>
  <c r="E4" i="105"/>
  <c r="F4" i="105" s="1"/>
  <c r="E6" i="105"/>
  <c r="F6" i="105" s="1"/>
  <c r="E8" i="105"/>
  <c r="F8" i="105" s="1"/>
  <c r="B11" i="105"/>
  <c r="B13" i="105"/>
  <c r="B15" i="105"/>
  <c r="D17" i="105"/>
  <c r="D19" i="105"/>
  <c r="D21" i="105"/>
  <c r="C30" i="105"/>
  <c r="C32" i="105"/>
  <c r="C34" i="105"/>
  <c r="E36" i="105"/>
  <c r="F36" i="105" s="1"/>
  <c r="F38" i="105"/>
  <c r="E40" i="105"/>
  <c r="F40" i="105" s="1"/>
  <c r="B43" i="105"/>
  <c r="B45" i="105"/>
  <c r="B47" i="105"/>
  <c r="D49" i="105"/>
  <c r="D51" i="105"/>
  <c r="D53" i="105"/>
  <c r="C62" i="105"/>
  <c r="C64" i="105"/>
  <c r="C66" i="105"/>
  <c r="E68" i="105"/>
  <c r="F68" i="105" s="1"/>
  <c r="E70" i="105"/>
  <c r="F70" i="105" s="1"/>
  <c r="E72" i="105"/>
  <c r="F72" i="105" s="1"/>
  <c r="B75" i="105"/>
  <c r="B77" i="105"/>
  <c r="B79" i="105"/>
  <c r="D81" i="105"/>
  <c r="D83" i="105"/>
  <c r="D85" i="105"/>
  <c r="E89" i="105"/>
  <c r="F89" i="105" s="1"/>
  <c r="D91" i="105"/>
  <c r="C93" i="105"/>
  <c r="B95" i="105"/>
  <c r="E100" i="105"/>
  <c r="F100" i="105" s="1"/>
  <c r="D102" i="105"/>
  <c r="C104" i="105"/>
  <c r="E7" i="105"/>
  <c r="F7" i="105" s="1"/>
  <c r="B10" i="105"/>
  <c r="C13" i="105"/>
  <c r="B16" i="105"/>
  <c r="B22" i="105"/>
  <c r="D24" i="105"/>
  <c r="C27" i="105"/>
  <c r="D30" i="105"/>
  <c r="C33" i="105"/>
  <c r="E35" i="105"/>
  <c r="F35" i="105" s="1"/>
  <c r="E41" i="105"/>
  <c r="F41" i="105" s="1"/>
  <c r="D44" i="105"/>
  <c r="E47" i="105"/>
  <c r="F47" i="105" s="1"/>
  <c r="B50" i="105"/>
  <c r="B56" i="105"/>
  <c r="C61" i="105"/>
  <c r="D64" i="105"/>
  <c r="C67" i="105"/>
  <c r="B70" i="105"/>
  <c r="C73" i="105"/>
  <c r="E75" i="105"/>
  <c r="F75" i="105" s="1"/>
  <c r="D78" i="105"/>
  <c r="E81" i="105"/>
  <c r="F81" i="105" s="1"/>
  <c r="D84" i="105"/>
  <c r="B92" i="105"/>
  <c r="D94" i="105"/>
  <c r="C97" i="105"/>
  <c r="D99" i="105"/>
  <c r="E101" i="105"/>
  <c r="F101" i="105" s="1"/>
  <c r="D104" i="105"/>
  <c r="D106" i="105"/>
  <c r="E108" i="105"/>
  <c r="F108" i="105" s="1"/>
  <c r="E110" i="105"/>
  <c r="F110" i="105" s="1"/>
  <c r="E112" i="105"/>
  <c r="F112" i="105" s="1"/>
  <c r="B117" i="105"/>
  <c r="B119" i="105"/>
  <c r="C121" i="105"/>
  <c r="C123" i="105"/>
  <c r="C125" i="105"/>
  <c r="C127" i="105"/>
  <c r="D129" i="105"/>
  <c r="E131" i="105"/>
  <c r="F131" i="105" s="1"/>
  <c r="N12" i="3" s="1"/>
  <c r="E133" i="105"/>
  <c r="F133" i="105" s="1"/>
  <c r="E141" i="105"/>
  <c r="F141" i="105" s="1"/>
  <c r="D143" i="105"/>
  <c r="D145" i="105"/>
  <c r="C147" i="105"/>
  <c r="B149" i="105"/>
  <c r="E152" i="105"/>
  <c r="F152" i="105" s="1"/>
  <c r="D154" i="105"/>
  <c r="C156" i="105"/>
  <c r="C158" i="105"/>
  <c r="B160" i="105"/>
  <c r="E163" i="105"/>
  <c r="F163" i="105" s="1"/>
  <c r="D165" i="105"/>
  <c r="C167" i="105"/>
  <c r="D170" i="105"/>
  <c r="B172" i="105"/>
  <c r="E173" i="105"/>
  <c r="F173" i="105" s="1"/>
  <c r="C175" i="105"/>
  <c r="D178" i="105"/>
  <c r="B5" i="105"/>
  <c r="C10" i="105"/>
  <c r="D13" i="105"/>
  <c r="C16" i="105"/>
  <c r="B19" i="105"/>
  <c r="C22" i="105"/>
  <c r="E24" i="105"/>
  <c r="F24" i="105" s="1"/>
  <c r="D27" i="105"/>
  <c r="E30" i="105"/>
  <c r="F30" i="105" s="1"/>
  <c r="D33" i="105"/>
  <c r="B39" i="105"/>
  <c r="F44" i="105"/>
  <c r="C50" i="105"/>
  <c r="B53" i="105"/>
  <c r="C56" i="105"/>
  <c r="B59" i="105"/>
  <c r="D61" i="105"/>
  <c r="E64" i="105"/>
  <c r="F64" i="105" s="1"/>
  <c r="D67" i="105"/>
  <c r="C70" i="105"/>
  <c r="D73" i="105"/>
  <c r="E78" i="105"/>
  <c r="F78" i="105" s="1"/>
  <c r="E84" i="105"/>
  <c r="F84" i="105" s="1"/>
  <c r="B87" i="105"/>
  <c r="B90" i="105"/>
  <c r="D92" i="105"/>
  <c r="E94" i="105"/>
  <c r="F94" i="105" s="1"/>
  <c r="D97" i="105"/>
  <c r="E99" i="105"/>
  <c r="F99" i="105" s="1"/>
  <c r="B102" i="105"/>
  <c r="E104" i="105"/>
  <c r="F104" i="105" s="1"/>
  <c r="C115" i="105"/>
  <c r="C117" i="105"/>
  <c r="C119" i="105"/>
  <c r="D121" i="105"/>
  <c r="D123" i="105"/>
  <c r="D125" i="105"/>
  <c r="E127" i="105"/>
  <c r="F127" i="105" s="1"/>
  <c r="N19" i="3" s="1"/>
  <c r="B134" i="105"/>
  <c r="B136" i="105"/>
  <c r="B138" i="105"/>
  <c r="B140" i="105"/>
  <c r="E145" i="105"/>
  <c r="F145" i="105" s="1"/>
  <c r="D147" i="105"/>
  <c r="C149" i="105"/>
  <c r="B151" i="105"/>
  <c r="E154" i="105"/>
  <c r="F154" i="105" s="1"/>
  <c r="E156" i="105"/>
  <c r="F156" i="105" s="1"/>
  <c r="D158" i="105"/>
  <c r="C160" i="105"/>
  <c r="B162" i="105"/>
  <c r="E165" i="105"/>
  <c r="F165" i="105" s="1"/>
  <c r="D167" i="105"/>
  <c r="B169" i="105"/>
  <c r="E170" i="105"/>
  <c r="F170" i="105" s="1"/>
  <c r="C172" i="105"/>
  <c r="D175" i="105"/>
  <c r="B177" i="105"/>
  <c r="E178" i="105"/>
  <c r="F178" i="105" s="1"/>
  <c r="C5" i="105"/>
  <c r="B8" i="105"/>
  <c r="C11" i="105"/>
  <c r="B14" i="105"/>
  <c r="D16" i="105"/>
  <c r="E19" i="105"/>
  <c r="F19" i="105" s="1"/>
  <c r="D22" i="105"/>
  <c r="C25" i="105"/>
  <c r="D28" i="105"/>
  <c r="E33" i="105"/>
  <c r="F33" i="105" s="1"/>
  <c r="E39" i="105"/>
  <c r="F39" i="105" s="1"/>
  <c r="B42" i="105"/>
  <c r="C45" i="105"/>
  <c r="B48" i="105"/>
  <c r="B54" i="105"/>
  <c r="D56" i="105"/>
  <c r="C59" i="105"/>
  <c r="D62" i="105"/>
  <c r="C65" i="105"/>
  <c r="E67" i="105"/>
  <c r="F67" i="105" s="1"/>
  <c r="E73" i="105"/>
  <c r="F73" i="105" s="1"/>
  <c r="D76" i="105"/>
  <c r="E79" i="105"/>
  <c r="F79" i="105" s="1"/>
  <c r="B82" i="105"/>
  <c r="B88" i="105"/>
  <c r="C90" i="105"/>
  <c r="E92" i="105"/>
  <c r="F92" i="105" s="1"/>
  <c r="C95" i="105"/>
  <c r="E97" i="105"/>
  <c r="F97" i="105" s="1"/>
  <c r="E102" i="105"/>
  <c r="F102" i="105" s="1"/>
  <c r="B107" i="105"/>
  <c r="B109" i="105"/>
  <c r="B111" i="105"/>
  <c r="D113" i="105"/>
  <c r="D115" i="105"/>
  <c r="D117" i="105"/>
  <c r="F119" i="105"/>
  <c r="E121" i="105"/>
  <c r="F121" i="105" s="1"/>
  <c r="E123" i="105"/>
  <c r="F123" i="105" s="1"/>
  <c r="N32" i="3" s="1"/>
  <c r="E125" i="105"/>
  <c r="F125" i="105" s="1"/>
  <c r="B128" i="105"/>
  <c r="B130" i="105"/>
  <c r="B132" i="105"/>
  <c r="C134" i="105"/>
  <c r="C136" i="105"/>
  <c r="C138" i="105"/>
  <c r="C140" i="105"/>
  <c r="C142" i="105"/>
  <c r="B144" i="105"/>
  <c r="E147" i="105"/>
  <c r="F147" i="105" s="1"/>
  <c r="D149" i="105"/>
  <c r="C151" i="105"/>
  <c r="B153" i="105"/>
  <c r="B155" i="105"/>
  <c r="E158" i="105"/>
  <c r="F158" i="105" s="1"/>
  <c r="D160" i="105"/>
  <c r="C162" i="105"/>
  <c r="B164" i="105"/>
  <c r="E167" i="105"/>
  <c r="F167" i="105" s="1"/>
  <c r="C169" i="105"/>
  <c r="D172" i="105"/>
  <c r="B174" i="105"/>
  <c r="E175" i="105"/>
  <c r="F175" i="105" s="1"/>
  <c r="C177" i="105"/>
  <c r="D5" i="105"/>
  <c r="C8" i="105"/>
  <c r="D11" i="105"/>
  <c r="C14" i="105"/>
  <c r="E16" i="105"/>
  <c r="F16" i="105" s="1"/>
  <c r="E22" i="105"/>
  <c r="F22" i="105" s="1"/>
  <c r="D25" i="105"/>
  <c r="E28" i="105"/>
  <c r="F28" i="105" s="1"/>
  <c r="B31" i="105"/>
  <c r="B37" i="105"/>
  <c r="C42" i="105"/>
  <c r="D45" i="105"/>
  <c r="C48" i="105"/>
  <c r="B51" i="105"/>
  <c r="C54" i="105"/>
  <c r="E56" i="105"/>
  <c r="F56" i="105" s="1"/>
  <c r="D59" i="105"/>
  <c r="E62" i="105"/>
  <c r="F62" i="105" s="1"/>
  <c r="D65" i="105"/>
  <c r="B71" i="105"/>
  <c r="E76" i="105"/>
  <c r="F76" i="105" s="1"/>
  <c r="C82" i="105"/>
  <c r="B85" i="105"/>
  <c r="C88" i="105"/>
  <c r="D90" i="105"/>
  <c r="E95" i="105"/>
  <c r="F95" i="105" s="1"/>
  <c r="B100" i="105"/>
  <c r="C105" i="105"/>
  <c r="C107" i="105"/>
  <c r="C109" i="105"/>
  <c r="E111" i="105"/>
  <c r="F111" i="105" s="1"/>
  <c r="E113" i="105"/>
  <c r="F113" i="105" s="1"/>
  <c r="E115" i="105"/>
  <c r="F115" i="105" s="1"/>
  <c r="N18" i="3" s="1"/>
  <c r="E117" i="105"/>
  <c r="F117" i="105" s="1"/>
  <c r="C126" i="105"/>
  <c r="C128" i="105"/>
  <c r="C130" i="105"/>
  <c r="D132" i="105"/>
  <c r="D134" i="105"/>
  <c r="D136" i="105"/>
  <c r="D138" i="105"/>
  <c r="E140" i="105"/>
  <c r="F140" i="105" s="1"/>
  <c r="D142" i="105"/>
  <c r="C144" i="105"/>
  <c r="B146" i="105"/>
  <c r="E149" i="105"/>
  <c r="F149" i="105" s="1"/>
  <c r="D151" i="105"/>
  <c r="D153" i="105"/>
  <c r="C155" i="105"/>
  <c r="B157" i="105"/>
  <c r="E160" i="105"/>
  <c r="F160" i="105" s="1"/>
  <c r="D162" i="105"/>
  <c r="C164" i="105"/>
  <c r="C166" i="105"/>
  <c r="D169" i="105"/>
  <c r="B171" i="105"/>
  <c r="E172" i="105"/>
  <c r="F172" i="105" s="1"/>
  <c r="C174" i="105"/>
  <c r="D177" i="105"/>
  <c r="B6" i="105"/>
  <c r="C9" i="105"/>
  <c r="E11" i="105"/>
  <c r="F11" i="105" s="1"/>
  <c r="D14" i="105"/>
  <c r="E17" i="105"/>
  <c r="F17" i="105" s="1"/>
  <c r="D20" i="105"/>
  <c r="B26" i="105"/>
  <c r="E31" i="105"/>
  <c r="F31" i="105" s="1"/>
  <c r="C37" i="105"/>
  <c r="B40" i="105"/>
  <c r="C43" i="105"/>
  <c r="B46" i="105"/>
  <c r="D48" i="105"/>
  <c r="E51" i="105"/>
  <c r="F51" i="105" s="1"/>
  <c r="D54" i="105"/>
  <c r="C57" i="105"/>
  <c r="D60" i="105"/>
  <c r="E65" i="105"/>
  <c r="F65" i="105" s="1"/>
  <c r="E71" i="105"/>
  <c r="F71" i="105" s="1"/>
  <c r="B74" i="105"/>
  <c r="C77" i="105"/>
  <c r="B80" i="105"/>
  <c r="B86" i="105"/>
  <c r="D88" i="105"/>
  <c r="D93" i="105"/>
  <c r="B98" i="105"/>
  <c r="B103" i="105"/>
  <c r="D105" i="105"/>
  <c r="D107" i="105"/>
  <c r="E109" i="105"/>
  <c r="F109" i="105" s="1"/>
  <c r="B118" i="105"/>
  <c r="B120" i="105"/>
  <c r="B122" i="105"/>
  <c r="D124" i="105"/>
  <c r="D126" i="105"/>
  <c r="D128" i="105"/>
  <c r="D130" i="105"/>
  <c r="E132" i="105"/>
  <c r="F132" i="105" s="1"/>
  <c r="E134" i="105"/>
  <c r="F134" i="105" s="1"/>
  <c r="E136" i="105"/>
  <c r="F136" i="105" s="1"/>
  <c r="B139" i="105"/>
  <c r="E142" i="105"/>
  <c r="F142" i="105" s="1"/>
  <c r="D144" i="105"/>
  <c r="C146" i="105"/>
  <c r="B148" i="105"/>
  <c r="E153" i="105"/>
  <c r="F153" i="105" s="1"/>
  <c r="D155" i="105"/>
  <c r="C157" i="105"/>
  <c r="B159" i="105"/>
  <c r="E162" i="105"/>
  <c r="F162" i="105" s="1"/>
  <c r="E164" i="105"/>
  <c r="F164" i="105" s="1"/>
  <c r="D166" i="105"/>
  <c r="B168" i="105"/>
  <c r="E169" i="105"/>
  <c r="F169" i="105" s="1"/>
  <c r="C171" i="105"/>
  <c r="D174" i="105"/>
  <c r="B176" i="105"/>
  <c r="E177" i="105"/>
  <c r="F177" i="105" s="1"/>
  <c r="C6" i="105"/>
  <c r="D9" i="105"/>
  <c r="E14" i="105"/>
  <c r="F14" i="105" s="1"/>
  <c r="E20" i="105"/>
  <c r="F20" i="105" s="1"/>
  <c r="B23" i="105"/>
  <c r="C26" i="105"/>
  <c r="B29" i="105"/>
  <c r="B35" i="105"/>
  <c r="D37" i="105"/>
  <c r="C40" i="105"/>
  <c r="D43" i="105"/>
  <c r="C46" i="105"/>
  <c r="E48" i="105"/>
  <c r="F48" i="105" s="1"/>
  <c r="E54" i="105"/>
  <c r="F54" i="105" s="1"/>
  <c r="D57" i="105"/>
  <c r="E60" i="105"/>
  <c r="F60" i="105" s="1"/>
  <c r="B63" i="105"/>
  <c r="B69" i="105"/>
  <c r="C74" i="105"/>
  <c r="D77" i="105"/>
  <c r="C80" i="105"/>
  <c r="B83" i="105"/>
  <c r="C86" i="105"/>
  <c r="E88" i="105"/>
  <c r="F88" i="105" s="1"/>
  <c r="B91" i="105"/>
  <c r="E93" i="105"/>
  <c r="F93" i="105" s="1"/>
  <c r="B96" i="105"/>
  <c r="C98" i="105"/>
  <c r="B101" i="105"/>
  <c r="C103" i="105"/>
  <c r="E105" i="105"/>
  <c r="F105" i="105" s="1"/>
  <c r="B110" i="105"/>
  <c r="B112" i="105"/>
  <c r="B114" i="105"/>
  <c r="B116" i="105"/>
  <c r="C118" i="105"/>
  <c r="C120" i="105"/>
  <c r="D122" i="105"/>
  <c r="E124" i="105"/>
  <c r="F124" i="105" s="1"/>
  <c r="E126" i="105"/>
  <c r="F126" i="105" s="1"/>
  <c r="N33" i="3" s="1"/>
  <c r="E128" i="105"/>
  <c r="F128" i="105" s="1"/>
  <c r="C137" i="105"/>
  <c r="C139" i="105"/>
  <c r="B141" i="105"/>
  <c r="E144" i="105"/>
  <c r="F144" i="105" s="1"/>
  <c r="D146" i="105"/>
  <c r="C148" i="105"/>
  <c r="C150" i="105"/>
  <c r="B152" i="105"/>
  <c r="E155" i="105"/>
  <c r="F155" i="105" s="1"/>
  <c r="D157" i="105"/>
  <c r="C159" i="105"/>
  <c r="B161" i="105"/>
  <c r="B163" i="105"/>
  <c r="E166" i="105"/>
  <c r="F166" i="105" s="1"/>
  <c r="C168" i="105"/>
  <c r="D171" i="105"/>
  <c r="B173" i="105"/>
  <c r="E174" i="105"/>
  <c r="F174" i="105" s="1"/>
  <c r="C176" i="105"/>
  <c r="E9" i="105"/>
  <c r="F9" i="105" s="1"/>
  <c r="D12" i="105"/>
  <c r="E15" i="105"/>
  <c r="F15" i="105" s="1"/>
  <c r="B18" i="105"/>
  <c r="B24" i="105"/>
  <c r="C29" i="105"/>
  <c r="D32" i="105"/>
  <c r="C35" i="105"/>
  <c r="B38" i="105"/>
  <c r="C41" i="105"/>
  <c r="E43" i="105"/>
  <c r="F43" i="105" s="1"/>
  <c r="D46" i="105"/>
  <c r="F49" i="105"/>
  <c r="D52" i="105"/>
  <c r="B58" i="105"/>
  <c r="E63" i="105"/>
  <c r="F63" i="105" s="1"/>
  <c r="C69" i="105"/>
  <c r="B72" i="105"/>
  <c r="C75" i="105"/>
  <c r="B78" i="105"/>
  <c r="D80" i="105"/>
  <c r="E83" i="105"/>
  <c r="F83" i="105" s="1"/>
  <c r="D86" i="105"/>
  <c r="E91" i="105"/>
  <c r="F91" i="105" s="1"/>
  <c r="B94" i="105"/>
  <c r="C96" i="105"/>
  <c r="B99" i="105"/>
  <c r="C101" i="105"/>
  <c r="E103" i="105"/>
  <c r="F103" i="105" s="1"/>
  <c r="B106" i="105"/>
  <c r="B108" i="105"/>
  <c r="C110" i="105"/>
  <c r="C112" i="105"/>
  <c r="C114" i="105"/>
  <c r="D116" i="105"/>
  <c r="D118" i="105"/>
  <c r="E120" i="105"/>
  <c r="F120" i="105" s="1"/>
  <c r="B131" i="105"/>
  <c r="B133" i="105"/>
  <c r="C135" i="105"/>
  <c r="D137" i="105"/>
  <c r="D139" i="105"/>
  <c r="C141" i="105"/>
  <c r="B143" i="105"/>
  <c r="E146" i="105"/>
  <c r="F146" i="105" s="1"/>
  <c r="E148" i="105"/>
  <c r="F148" i="105" s="1"/>
  <c r="D150" i="105"/>
  <c r="C152" i="105"/>
  <c r="B154" i="105"/>
  <c r="E157" i="105"/>
  <c r="F157" i="105" s="1"/>
  <c r="D159" i="105"/>
  <c r="D161" i="105"/>
  <c r="C163" i="105"/>
  <c r="B165" i="105"/>
  <c r="D168" i="105"/>
  <c r="B170" i="105"/>
  <c r="E171" i="105"/>
  <c r="F171" i="105" s="1"/>
  <c r="K30" i="82" s="1"/>
  <c r="K32" i="82" s="1"/>
  <c r="C173" i="105"/>
  <c r="D176" i="105"/>
  <c r="B178" i="105"/>
  <c r="B7" i="105"/>
  <c r="E12" i="105"/>
  <c r="F12" i="105" s="1"/>
  <c r="C18" i="105"/>
  <c r="B21" i="105"/>
  <c r="C24" i="105"/>
  <c r="B27" i="105"/>
  <c r="D29" i="105"/>
  <c r="E32" i="105"/>
  <c r="F32" i="105" s="1"/>
  <c r="D35" i="105"/>
  <c r="C38" i="105"/>
  <c r="D41" i="105"/>
  <c r="E46" i="105"/>
  <c r="F46" i="105" s="1"/>
  <c r="X33" i="80" s="1"/>
  <c r="E52" i="105"/>
  <c r="F52" i="105" s="1"/>
  <c r="B55" i="105"/>
  <c r="C58" i="105"/>
  <c r="B61" i="105"/>
  <c r="B67" i="105"/>
  <c r="D69" i="105"/>
  <c r="C72" i="105"/>
  <c r="D75" i="105"/>
  <c r="C78" i="105"/>
  <c r="E80" i="105"/>
  <c r="F80" i="105" s="1"/>
  <c r="E86" i="105"/>
  <c r="F86" i="105" s="1"/>
  <c r="C89" i="105"/>
  <c r="C94" i="105"/>
  <c r="D96" i="105"/>
  <c r="C99" i="105"/>
  <c r="D101" i="105"/>
  <c r="C106" i="105"/>
  <c r="D108" i="105"/>
  <c r="D110" i="105"/>
  <c r="D112" i="105"/>
  <c r="D114" i="105"/>
  <c r="E116" i="105"/>
  <c r="F116" i="105" s="1"/>
  <c r="B123" i="105"/>
  <c r="B125" i="105"/>
  <c r="B127" i="105"/>
  <c r="C129" i="105"/>
  <c r="C131" i="105"/>
  <c r="D133" i="105"/>
  <c r="E135" i="105"/>
  <c r="F135" i="105" s="1"/>
  <c r="E137" i="105"/>
  <c r="F137" i="105" s="1"/>
  <c r="E139" i="105"/>
  <c r="F139" i="105" s="1"/>
  <c r="D141" i="105"/>
  <c r="C143" i="105"/>
  <c r="B145" i="105"/>
  <c r="B147" i="105"/>
  <c r="E150" i="105"/>
  <c r="F150" i="105" s="1"/>
  <c r="D152" i="105"/>
  <c r="C154" i="105"/>
  <c r="B156" i="105"/>
  <c r="E161" i="105"/>
  <c r="F161" i="105" s="1"/>
  <c r="D163" i="105"/>
  <c r="C165" i="105"/>
  <c r="B167" i="105"/>
  <c r="E168" i="105"/>
  <c r="F168" i="105" s="1"/>
  <c r="C170" i="105"/>
  <c r="D173" i="105"/>
  <c r="B175" i="105"/>
  <c r="E176" i="105"/>
  <c r="F176" i="105" s="1"/>
  <c r="C178" i="105"/>
  <c r="E3" i="105"/>
  <c r="D3" i="105"/>
  <c r="C3" i="105"/>
  <c r="B3" i="105"/>
  <c r="N27" i="3" l="1"/>
  <c r="N21" i="3"/>
  <c r="N36" i="3"/>
  <c r="N8" i="3"/>
  <c r="N28" i="3"/>
  <c r="N47" i="3"/>
  <c r="K8" i="82" s="1"/>
  <c r="N20" i="3"/>
  <c r="N17" i="3"/>
  <c r="N51" i="90" s="1"/>
  <c r="N37" i="3"/>
  <c r="N7" i="3"/>
  <c r="N48" i="3"/>
  <c r="N31" i="3"/>
  <c r="N30" i="3" s="1"/>
  <c r="N35" i="3"/>
  <c r="N52" i="90"/>
  <c r="F96" i="105"/>
  <c r="X39" i="80"/>
  <c r="X36" i="80"/>
  <c r="X41" i="80"/>
  <c r="X28" i="80"/>
  <c r="X27" i="80" s="1"/>
  <c r="X21" i="80"/>
  <c r="X19" i="80"/>
  <c r="X15" i="80"/>
  <c r="X11" i="80" s="1"/>
  <c r="X8" i="80"/>
  <c r="N26" i="3" l="1"/>
  <c r="N34" i="3"/>
  <c r="N14" i="3"/>
  <c r="N76" i="90"/>
  <c r="N50" i="90"/>
  <c r="N60" i="90"/>
  <c r="N61" i="90" s="1"/>
  <c r="N59" i="90"/>
  <c r="N5" i="90"/>
  <c r="N66" i="90"/>
  <c r="N67" i="90" s="1"/>
  <c r="N63" i="90"/>
  <c r="N64" i="90" s="1"/>
  <c r="N57" i="90"/>
  <c r="N56" i="90"/>
  <c r="N74" i="90"/>
  <c r="N73" i="90"/>
  <c r="K37" i="82"/>
  <c r="X17" i="80"/>
  <c r="K9" i="82"/>
  <c r="K25" i="82"/>
  <c r="N15" i="3" l="1"/>
  <c r="N23" i="3"/>
  <c r="N70" i="90"/>
  <c r="N69" i="90"/>
  <c r="N71" i="90" s="1"/>
  <c r="N24" i="3" l="1"/>
  <c r="N39" i="3"/>
  <c r="N40" i="3" l="1"/>
  <c r="N44" i="3"/>
  <c r="M44" i="90"/>
  <c r="L44" i="90"/>
  <c r="K44" i="90"/>
  <c r="J44" i="90"/>
  <c r="I44" i="90"/>
  <c r="H44" i="90"/>
  <c r="G44" i="90"/>
  <c r="F44" i="90"/>
  <c r="E44" i="90"/>
  <c r="D44" i="90"/>
  <c r="C44" i="90"/>
  <c r="N45" i="3" l="1"/>
  <c r="N50" i="3"/>
  <c r="N55" i="3" l="1"/>
  <c r="N58" i="3" s="1"/>
  <c r="N51" i="3"/>
  <c r="N56" i="3" l="1"/>
  <c r="B185" i="102" l="1"/>
  <c r="B184" i="102"/>
  <c r="B183" i="102"/>
  <c r="B182" i="102"/>
  <c r="B181" i="102"/>
  <c r="B180" i="102"/>
  <c r="B179" i="102"/>
  <c r="B178" i="102"/>
  <c r="B177" i="102"/>
  <c r="B176" i="102"/>
  <c r="B175" i="102"/>
  <c r="B174" i="102"/>
  <c r="B173" i="102"/>
  <c r="B172" i="102"/>
  <c r="B171" i="102"/>
  <c r="B170" i="102"/>
  <c r="B169" i="102"/>
  <c r="B168" i="102"/>
  <c r="B167" i="102"/>
  <c r="B166" i="102"/>
  <c r="B165" i="102"/>
  <c r="B164" i="102"/>
  <c r="B163" i="102"/>
  <c r="B162" i="102"/>
  <c r="B161" i="102"/>
  <c r="B160" i="102"/>
  <c r="B159" i="102"/>
  <c r="B158" i="102"/>
  <c r="B157" i="102"/>
  <c r="B156" i="102"/>
  <c r="B155" i="102"/>
  <c r="B154" i="102"/>
  <c r="B153" i="102"/>
  <c r="B152" i="102"/>
  <c r="B151" i="102"/>
  <c r="B150" i="102"/>
  <c r="B149" i="102"/>
  <c r="B148" i="102"/>
  <c r="B147" i="102"/>
  <c r="B146" i="102"/>
  <c r="B145" i="102"/>
  <c r="B144" i="102"/>
  <c r="B143" i="102"/>
  <c r="B142" i="102"/>
  <c r="B141" i="102"/>
  <c r="B140" i="102"/>
  <c r="B139" i="102"/>
  <c r="B138" i="102"/>
  <c r="B137" i="102"/>
  <c r="B136" i="102"/>
  <c r="B135" i="102"/>
  <c r="B134" i="102"/>
  <c r="B133" i="102"/>
  <c r="B132" i="102"/>
  <c r="B131" i="102"/>
  <c r="B130" i="102"/>
  <c r="B129" i="102"/>
  <c r="B128" i="102"/>
  <c r="B127" i="102"/>
  <c r="B126" i="102"/>
  <c r="B125" i="102"/>
  <c r="B124" i="102"/>
  <c r="B123" i="102"/>
  <c r="B122" i="102"/>
  <c r="B121" i="102"/>
  <c r="B120" i="102"/>
  <c r="B119" i="102"/>
  <c r="B118" i="102"/>
  <c r="B117" i="102"/>
  <c r="B116" i="102"/>
  <c r="B115" i="102"/>
  <c r="B114" i="102"/>
  <c r="B113" i="102"/>
  <c r="B112" i="102"/>
  <c r="B111" i="102"/>
  <c r="B110" i="102"/>
  <c r="B109" i="102"/>
  <c r="B108" i="102"/>
  <c r="B107" i="102"/>
  <c r="B106" i="102"/>
  <c r="B105" i="102"/>
  <c r="B104" i="102"/>
  <c r="B103" i="102"/>
  <c r="B102" i="102"/>
  <c r="B101" i="102"/>
  <c r="B100" i="102"/>
  <c r="B99" i="102"/>
  <c r="B98" i="102"/>
  <c r="B97" i="102"/>
  <c r="B96" i="102"/>
  <c r="B95" i="102"/>
  <c r="B94" i="102"/>
  <c r="B93" i="102"/>
  <c r="B92" i="102"/>
  <c r="B91" i="102"/>
  <c r="B90" i="102"/>
  <c r="B89" i="102"/>
  <c r="B88" i="102"/>
  <c r="B87" i="102"/>
  <c r="B86" i="102"/>
  <c r="B85" i="102"/>
  <c r="B84" i="102"/>
  <c r="B83" i="102"/>
  <c r="B82" i="102"/>
  <c r="B81" i="102"/>
  <c r="B80" i="102"/>
  <c r="B79" i="102"/>
  <c r="B78" i="102"/>
  <c r="B77" i="102"/>
  <c r="B76" i="102"/>
  <c r="B75" i="102"/>
  <c r="B74" i="102"/>
  <c r="B73" i="102"/>
  <c r="B72" i="102"/>
  <c r="B71" i="102"/>
  <c r="B70" i="102"/>
  <c r="B69" i="102"/>
  <c r="B68" i="102"/>
  <c r="B67" i="102"/>
  <c r="B66" i="102"/>
  <c r="B65" i="102"/>
  <c r="B64" i="102"/>
  <c r="B63" i="102"/>
  <c r="B62" i="102"/>
  <c r="B61" i="102"/>
  <c r="B60" i="102"/>
  <c r="B59" i="102"/>
  <c r="B58" i="102"/>
  <c r="B57" i="102"/>
  <c r="B56" i="102"/>
  <c r="B55" i="102"/>
  <c r="B54" i="102"/>
  <c r="B53" i="102"/>
  <c r="B52" i="102"/>
  <c r="B51" i="102"/>
  <c r="B50" i="102"/>
  <c r="B49" i="102"/>
  <c r="B48" i="102"/>
  <c r="B47" i="102"/>
  <c r="B46" i="102"/>
  <c r="B45" i="102"/>
  <c r="B44" i="102"/>
  <c r="B43" i="102"/>
  <c r="B42" i="102"/>
  <c r="B41" i="102"/>
  <c r="B40" i="102"/>
  <c r="B39" i="102"/>
  <c r="B38" i="102"/>
  <c r="B37" i="102"/>
  <c r="B36" i="102"/>
  <c r="B35" i="102"/>
  <c r="B34" i="102"/>
  <c r="B33" i="102"/>
  <c r="B32" i="102"/>
  <c r="B31" i="102"/>
  <c r="B30" i="102"/>
  <c r="B29" i="102"/>
  <c r="B28" i="102"/>
  <c r="B27" i="102"/>
  <c r="B26" i="102"/>
  <c r="B25" i="102"/>
  <c r="B24" i="102"/>
  <c r="B23" i="102"/>
  <c r="B22" i="102"/>
  <c r="B21" i="102"/>
  <c r="B20" i="102"/>
  <c r="B19" i="102"/>
  <c r="B18" i="102"/>
  <c r="B17" i="102"/>
  <c r="B16" i="102"/>
  <c r="B15" i="102"/>
  <c r="B14" i="102"/>
  <c r="B13" i="102"/>
  <c r="B12" i="102"/>
  <c r="B11" i="102"/>
  <c r="B10" i="102"/>
  <c r="B9" i="102"/>
  <c r="B8" i="102"/>
  <c r="B7" i="102"/>
  <c r="B6" i="102"/>
  <c r="B5" i="102"/>
  <c r="B4" i="102"/>
  <c r="B3" i="102"/>
  <c r="S6" i="103"/>
  <c r="E143" i="103" l="1"/>
  <c r="F143" i="103" s="1"/>
  <c r="M29" i="3" s="1"/>
  <c r="C103" i="103"/>
  <c r="D70" i="103"/>
  <c r="C121" i="103"/>
  <c r="C101" i="103"/>
  <c r="D130" i="103"/>
  <c r="D67" i="103"/>
  <c r="M31" i="90"/>
  <c r="L31" i="90"/>
  <c r="K31" i="90"/>
  <c r="J31" i="90"/>
  <c r="I31" i="90"/>
  <c r="H31" i="90"/>
  <c r="G31" i="90"/>
  <c r="F31" i="90"/>
  <c r="E31" i="90"/>
  <c r="D31" i="90"/>
  <c r="M30" i="90"/>
  <c r="L30" i="90"/>
  <c r="K30" i="90"/>
  <c r="J30" i="90"/>
  <c r="I30" i="90"/>
  <c r="H30" i="90"/>
  <c r="G30" i="90"/>
  <c r="F30" i="90"/>
  <c r="E30" i="90"/>
  <c r="D30" i="90"/>
  <c r="C31" i="90"/>
  <c r="C30" i="90"/>
  <c r="L11" i="105" l="1"/>
  <c r="D1" i="105"/>
  <c r="C1" i="105"/>
  <c r="B1" i="105"/>
  <c r="F3" i="105"/>
  <c r="E46" i="90"/>
  <c r="D46" i="90"/>
  <c r="C46" i="90"/>
  <c r="E36" i="90"/>
  <c r="D36" i="90"/>
  <c r="C36" i="90"/>
  <c r="C28" i="90"/>
  <c r="C27" i="90"/>
  <c r="M23" i="90"/>
  <c r="L23" i="90"/>
  <c r="K23" i="90"/>
  <c r="J23" i="90"/>
  <c r="I23" i="90"/>
  <c r="H23" i="90"/>
  <c r="G23" i="90"/>
  <c r="F23" i="90"/>
  <c r="E23" i="90"/>
  <c r="E3" i="3" s="1"/>
  <c r="D23" i="90"/>
  <c r="D3" i="3" s="1"/>
  <c r="C23" i="90"/>
  <c r="C3" i="3" s="1"/>
  <c r="E22" i="90"/>
  <c r="D22" i="90"/>
  <c r="C22" i="90"/>
  <c r="E21" i="90"/>
  <c r="D21" i="90"/>
  <c r="C21" i="90"/>
  <c r="E14" i="90"/>
  <c r="E2" i="3" s="1"/>
  <c r="D14" i="90"/>
  <c r="D2" i="3" s="1"/>
  <c r="C14" i="90"/>
  <c r="C2" i="3" s="1"/>
  <c r="E19" i="90"/>
  <c r="D19" i="90"/>
  <c r="C19" i="90"/>
  <c r="E18" i="90"/>
  <c r="D18" i="90"/>
  <c r="C18" i="90"/>
  <c r="L14" i="90"/>
  <c r="K14" i="90"/>
  <c r="J14" i="90"/>
  <c r="I14" i="90"/>
  <c r="H14" i="90"/>
  <c r="G14" i="90"/>
  <c r="F14" i="90"/>
  <c r="D11" i="90"/>
  <c r="C11" i="90"/>
  <c r="L11" i="90"/>
  <c r="K11" i="90"/>
  <c r="J11" i="90"/>
  <c r="I11" i="90"/>
  <c r="H11" i="90"/>
  <c r="G11" i="90"/>
  <c r="F11" i="90"/>
  <c r="E11" i="90"/>
  <c r="D3" i="90"/>
  <c r="E3" i="90" s="1"/>
  <c r="F3" i="90" s="1"/>
  <c r="F28" i="90" s="1"/>
  <c r="N6" i="4"/>
  <c r="L6" i="4"/>
  <c r="K6" i="4"/>
  <c r="J6" i="4"/>
  <c r="I6" i="4"/>
  <c r="H6" i="4"/>
  <c r="G6" i="4"/>
  <c r="F6" i="4"/>
  <c r="X35" i="80" l="1"/>
  <c r="X43" i="80" s="1"/>
  <c r="E1" i="105"/>
  <c r="F1" i="105"/>
  <c r="C43" i="90"/>
  <c r="C41" i="90"/>
  <c r="D43" i="90"/>
  <c r="D41" i="90"/>
  <c r="E43" i="90"/>
  <c r="E41" i="90"/>
  <c r="C45" i="4"/>
  <c r="D45" i="4"/>
  <c r="E45" i="4"/>
  <c r="F29" i="90"/>
  <c r="I29" i="90"/>
  <c r="J29" i="90"/>
  <c r="K29" i="90"/>
  <c r="L29" i="90"/>
  <c r="D29" i="90"/>
  <c r="G29" i="90"/>
  <c r="H29" i="90"/>
  <c r="C29" i="90"/>
  <c r="E29" i="90"/>
  <c r="E27" i="90"/>
  <c r="C20" i="90"/>
  <c r="C2" i="4" s="1"/>
  <c r="C17" i="90"/>
  <c r="C48" i="90"/>
  <c r="D27" i="90"/>
  <c r="F27" i="90"/>
  <c r="F26" i="90" s="1"/>
  <c r="D17" i="90"/>
  <c r="D48" i="90"/>
  <c r="E17" i="90"/>
  <c r="E20" i="90"/>
  <c r="E2" i="4" s="1"/>
  <c r="E48" i="90"/>
  <c r="D20" i="90"/>
  <c r="D2" i="4" s="1"/>
  <c r="D28" i="90"/>
  <c r="E28" i="90"/>
  <c r="C26" i="90"/>
  <c r="C3" i="4" s="1"/>
  <c r="L20" i="93"/>
  <c r="L19" i="93"/>
  <c r="K21" i="93"/>
  <c r="K20" i="93"/>
  <c r="K19" i="93"/>
  <c r="J22" i="93"/>
  <c r="J21" i="93"/>
  <c r="J20" i="93"/>
  <c r="J19" i="93"/>
  <c r="I23" i="93"/>
  <c r="I22" i="93"/>
  <c r="I21" i="93"/>
  <c r="I20" i="93"/>
  <c r="I19" i="93"/>
  <c r="H24" i="93"/>
  <c r="H23" i="93"/>
  <c r="H22" i="93"/>
  <c r="H21" i="93"/>
  <c r="H20" i="93"/>
  <c r="H19" i="93"/>
  <c r="G25" i="93"/>
  <c r="G24" i="93"/>
  <c r="G23" i="93"/>
  <c r="G22" i="93"/>
  <c r="G21" i="93"/>
  <c r="G20" i="93"/>
  <c r="G19" i="93"/>
  <c r="F26" i="93"/>
  <c r="F25" i="93"/>
  <c r="F24" i="93"/>
  <c r="F23" i="93"/>
  <c r="F22" i="93"/>
  <c r="F21" i="93"/>
  <c r="F20" i="93"/>
  <c r="F19" i="93"/>
  <c r="E27" i="93"/>
  <c r="E26" i="93"/>
  <c r="E25" i="93"/>
  <c r="E24" i="93"/>
  <c r="E23" i="93"/>
  <c r="E22" i="93"/>
  <c r="E21" i="93"/>
  <c r="E20" i="93"/>
  <c r="E19" i="93"/>
  <c r="D28" i="93"/>
  <c r="D27" i="93"/>
  <c r="D26" i="93"/>
  <c r="D25" i="93"/>
  <c r="D24" i="93"/>
  <c r="D23" i="93"/>
  <c r="D22" i="93"/>
  <c r="D21" i="93"/>
  <c r="D20" i="93"/>
  <c r="D19" i="93"/>
  <c r="D72" i="93"/>
  <c r="E72" i="93" s="1"/>
  <c r="D71" i="93"/>
  <c r="E71" i="93" s="1"/>
  <c r="F71" i="93" s="1"/>
  <c r="D70" i="93"/>
  <c r="E70" i="93" s="1"/>
  <c r="F70" i="93" s="1"/>
  <c r="G70" i="93" s="1"/>
  <c r="D69" i="93"/>
  <c r="E69" i="93" s="1"/>
  <c r="F69" i="93" s="1"/>
  <c r="G69" i="93" s="1"/>
  <c r="H69" i="93" s="1"/>
  <c r="D68" i="93"/>
  <c r="E68" i="93" s="1"/>
  <c r="F68" i="93" s="1"/>
  <c r="G68" i="93" s="1"/>
  <c r="H68" i="93" s="1"/>
  <c r="I68" i="93" s="1"/>
  <c r="D67" i="93"/>
  <c r="E67" i="93" s="1"/>
  <c r="F67" i="93" s="1"/>
  <c r="G67" i="93" s="1"/>
  <c r="H67" i="93" s="1"/>
  <c r="I67" i="93" s="1"/>
  <c r="J67" i="93" s="1"/>
  <c r="D66" i="93"/>
  <c r="E66" i="93" s="1"/>
  <c r="F66" i="93" s="1"/>
  <c r="G66" i="93" s="1"/>
  <c r="H66" i="93" s="1"/>
  <c r="I66" i="93" s="1"/>
  <c r="J66" i="93" s="1"/>
  <c r="K66" i="93" s="1"/>
  <c r="D65" i="93"/>
  <c r="E65" i="93" s="1"/>
  <c r="F65" i="93" s="1"/>
  <c r="G65" i="93" s="1"/>
  <c r="H65" i="93" s="1"/>
  <c r="I65" i="93" s="1"/>
  <c r="J65" i="93" s="1"/>
  <c r="K65" i="93" s="1"/>
  <c r="L65" i="93" s="1"/>
  <c r="D64" i="93"/>
  <c r="E64" i="93" s="1"/>
  <c r="F64" i="93" s="1"/>
  <c r="G64" i="93" s="1"/>
  <c r="H64" i="93" s="1"/>
  <c r="I64" i="93" s="1"/>
  <c r="J64" i="93" s="1"/>
  <c r="K64" i="93" s="1"/>
  <c r="L64" i="93" s="1"/>
  <c r="M64" i="93" s="1"/>
  <c r="C14" i="93"/>
  <c r="C29" i="93" s="1"/>
  <c r="C44" i="93" s="1"/>
  <c r="C59" i="93" s="1"/>
  <c r="C74" i="93" s="1"/>
  <c r="D74" i="93" s="1"/>
  <c r="J33" i="101"/>
  <c r="M46" i="90"/>
  <c r="L46" i="90"/>
  <c r="K46" i="90"/>
  <c r="J46" i="90"/>
  <c r="I46" i="90"/>
  <c r="H46" i="90"/>
  <c r="G46" i="90"/>
  <c r="F46" i="90"/>
  <c r="M36" i="90"/>
  <c r="L36" i="90"/>
  <c r="K36" i="90"/>
  <c r="J36" i="90"/>
  <c r="I36" i="90"/>
  <c r="H36" i="90"/>
  <c r="G36" i="90"/>
  <c r="F36" i="90"/>
  <c r="M48" i="90"/>
  <c r="M19" i="90"/>
  <c r="M18" i="90"/>
  <c r="M14" i="90"/>
  <c r="K17" i="90"/>
  <c r="J17" i="90"/>
  <c r="I17" i="90"/>
  <c r="H17" i="90"/>
  <c r="G17" i="90"/>
  <c r="F17" i="90"/>
  <c r="L19" i="90"/>
  <c r="K19" i="90"/>
  <c r="J19" i="90"/>
  <c r="I19" i="90"/>
  <c r="H19" i="90"/>
  <c r="G19" i="90"/>
  <c r="F19" i="90"/>
  <c r="K18" i="90"/>
  <c r="J18" i="90"/>
  <c r="I18" i="90"/>
  <c r="H18" i="90"/>
  <c r="G18" i="90"/>
  <c r="F18" i="90"/>
  <c r="M11" i="90"/>
  <c r="G118" i="102"/>
  <c r="G115" i="102"/>
  <c r="M10" i="3"/>
  <c r="P8" i="103"/>
  <c r="S7" i="103"/>
  <c r="V5" i="103"/>
  <c r="L7" i="103"/>
  <c r="F178" i="103"/>
  <c r="F177" i="103"/>
  <c r="M41" i="90" l="1"/>
  <c r="F43" i="90"/>
  <c r="F41" i="90"/>
  <c r="G43" i="90"/>
  <c r="G41" i="90"/>
  <c r="H43" i="90"/>
  <c r="H41" i="90"/>
  <c r="I43" i="90"/>
  <c r="I41" i="90"/>
  <c r="J43" i="90"/>
  <c r="J41" i="90"/>
  <c r="K43" i="90"/>
  <c r="K41" i="90"/>
  <c r="L43" i="90"/>
  <c r="L41" i="90"/>
  <c r="M43" i="90"/>
  <c r="M2" i="3"/>
  <c r="N10" i="4" s="1"/>
  <c r="E26" i="90"/>
  <c r="E3" i="4" s="1"/>
  <c r="M29" i="90"/>
  <c r="D26" i="90"/>
  <c r="D3" i="4" s="1"/>
  <c r="M3" i="3"/>
  <c r="M17" i="90"/>
  <c r="V4" i="103"/>
  <c r="V7" i="103" s="1"/>
  <c r="V8" i="103" s="1"/>
  <c r="W40" i="80"/>
  <c r="W37" i="80"/>
  <c r="W29" i="80"/>
  <c r="W30" i="80"/>
  <c r="W31" i="80"/>
  <c r="W32" i="80"/>
  <c r="W18" i="80"/>
  <c r="W14" i="80"/>
  <c r="W13" i="80"/>
  <c r="W12" i="80"/>
  <c r="N11" i="4" l="1"/>
  <c r="N45" i="4"/>
  <c r="M8" i="103"/>
  <c r="M7" i="103"/>
  <c r="M6" i="103"/>
  <c r="M5" i="103"/>
  <c r="M4" i="103"/>
  <c r="M3" i="103"/>
  <c r="G184" i="102"/>
  <c r="G183" i="102"/>
  <c r="G182" i="102"/>
  <c r="G181" i="102"/>
  <c r="G180" i="102"/>
  <c r="G179" i="102"/>
  <c r="G177" i="102"/>
  <c r="G176" i="102"/>
  <c r="G175" i="102"/>
  <c r="G174" i="102"/>
  <c r="G173" i="102"/>
  <c r="G172" i="102"/>
  <c r="G171" i="102"/>
  <c r="G170" i="102"/>
  <c r="G169" i="102"/>
  <c r="G168" i="102"/>
  <c r="G167" i="102"/>
  <c r="G166" i="102"/>
  <c r="G165" i="102"/>
  <c r="G164" i="102"/>
  <c r="G163" i="102"/>
  <c r="G162" i="102"/>
  <c r="G160" i="102"/>
  <c r="G157" i="102"/>
  <c r="G156" i="102"/>
  <c r="G155" i="102"/>
  <c r="G154" i="102"/>
  <c r="G152" i="102"/>
  <c r="G151" i="102"/>
  <c r="G150" i="102"/>
  <c r="G149" i="102"/>
  <c r="G148" i="102"/>
  <c r="G146" i="102"/>
  <c r="G145" i="102"/>
  <c r="G144" i="102"/>
  <c r="G143" i="102"/>
  <c r="G142" i="102"/>
  <c r="G141" i="102"/>
  <c r="G140" i="102"/>
  <c r="G139" i="102"/>
  <c r="G138" i="102"/>
  <c r="G137" i="102"/>
  <c r="G136" i="102"/>
  <c r="G134" i="102"/>
  <c r="G133" i="102"/>
  <c r="G130" i="102"/>
  <c r="G129" i="102"/>
  <c r="G128" i="102"/>
  <c r="G127" i="102"/>
  <c r="G126" i="102"/>
  <c r="G125" i="102"/>
  <c r="G124" i="102"/>
  <c r="G123" i="102"/>
  <c r="G122" i="102"/>
  <c r="G121" i="102"/>
  <c r="G120" i="102"/>
  <c r="G119" i="102"/>
  <c r="G117" i="102"/>
  <c r="G116" i="102"/>
  <c r="G114" i="102"/>
  <c r="G113" i="102"/>
  <c r="G112" i="102"/>
  <c r="G110" i="102"/>
  <c r="G109" i="102"/>
  <c r="G108" i="102"/>
  <c r="G107" i="102"/>
  <c r="G106" i="102"/>
  <c r="G105" i="102"/>
  <c r="G104" i="102"/>
  <c r="G103" i="102"/>
  <c r="G102" i="102"/>
  <c r="G101" i="102"/>
  <c r="G100" i="102"/>
  <c r="G99" i="102"/>
  <c r="G98" i="102"/>
  <c r="G95" i="102"/>
  <c r="G94" i="102"/>
  <c r="G93" i="102"/>
  <c r="G92" i="102"/>
  <c r="G89" i="102"/>
  <c r="G88" i="102"/>
  <c r="G87" i="102"/>
  <c r="G85" i="102"/>
  <c r="G84" i="102"/>
  <c r="G83" i="102"/>
  <c r="G82" i="102"/>
  <c r="G81" i="102"/>
  <c r="G80" i="102"/>
  <c r="G79" i="102"/>
  <c r="G78" i="102"/>
  <c r="G77" i="102"/>
  <c r="G75" i="102"/>
  <c r="G74" i="102"/>
  <c r="G73" i="102"/>
  <c r="G72" i="102"/>
  <c r="G71" i="102"/>
  <c r="G70" i="102"/>
  <c r="G69" i="102"/>
  <c r="G68" i="102"/>
  <c r="G67" i="102"/>
  <c r="G66" i="102"/>
  <c r="G65" i="102"/>
  <c r="G64" i="102"/>
  <c r="G63" i="102"/>
  <c r="G62" i="102"/>
  <c r="G59" i="102"/>
  <c r="G58" i="102"/>
  <c r="G57" i="102"/>
  <c r="G56" i="102"/>
  <c r="G55" i="102"/>
  <c r="G54" i="102"/>
  <c r="G53" i="102"/>
  <c r="G52" i="102"/>
  <c r="G51" i="102"/>
  <c r="G50" i="102"/>
  <c r="G49" i="102"/>
  <c r="G48" i="102"/>
  <c r="G47" i="102"/>
  <c r="G46" i="102"/>
  <c r="G45" i="102"/>
  <c r="G44" i="102"/>
  <c r="G43" i="102"/>
  <c r="G42" i="102"/>
  <c r="G41" i="102"/>
  <c r="G40" i="102"/>
  <c r="G39" i="102"/>
  <c r="G38" i="102"/>
  <c r="G37" i="102"/>
  <c r="G36" i="102"/>
  <c r="G35" i="102"/>
  <c r="G34" i="102"/>
  <c r="G33" i="102"/>
  <c r="G32" i="102"/>
  <c r="G31" i="102"/>
  <c r="G30" i="102"/>
  <c r="G29" i="102"/>
  <c r="G28" i="102"/>
  <c r="G27" i="102"/>
  <c r="G26" i="102"/>
  <c r="G22" i="102"/>
  <c r="G21" i="102"/>
  <c r="G20" i="102"/>
  <c r="G18" i="102"/>
  <c r="G17" i="102"/>
  <c r="G16" i="102"/>
  <c r="G15" i="102"/>
  <c r="G14" i="102"/>
  <c r="G13" i="102"/>
  <c r="G12" i="102"/>
  <c r="G11" i="102"/>
  <c r="G10" i="102"/>
  <c r="G9" i="102"/>
  <c r="G8" i="102"/>
  <c r="G7" i="102"/>
  <c r="G5" i="102"/>
  <c r="G4" i="102"/>
  <c r="D29" i="103" l="1"/>
  <c r="E164" i="103"/>
  <c r="F164" i="103" s="1"/>
  <c r="D136" i="103"/>
  <c r="C116" i="103"/>
  <c r="C87" i="103"/>
  <c r="B57" i="103"/>
  <c r="C19" i="103"/>
  <c r="E173" i="103"/>
  <c r="F173" i="103" s="1"/>
  <c r="D145" i="103"/>
  <c r="D96" i="103"/>
  <c r="E56" i="103"/>
  <c r="F56" i="103" s="1"/>
  <c r="D45" i="103"/>
  <c r="D173" i="103"/>
  <c r="E154" i="103"/>
  <c r="F154" i="103" s="1"/>
  <c r="B125" i="103"/>
  <c r="C96" i="103"/>
  <c r="D66" i="103"/>
  <c r="E16" i="103"/>
  <c r="F16" i="103" s="1"/>
  <c r="C134" i="103"/>
  <c r="C105" i="103"/>
  <c r="D94" i="103"/>
  <c r="D75" i="103"/>
  <c r="C66" i="103"/>
  <c r="E55" i="103"/>
  <c r="F55" i="103" s="1"/>
  <c r="D16" i="103"/>
  <c r="E169" i="103"/>
  <c r="F169" i="103" s="1"/>
  <c r="D160" i="103"/>
  <c r="B151" i="103"/>
  <c r="C140" i="103"/>
  <c r="E111" i="103"/>
  <c r="F111" i="103" s="1"/>
  <c r="D102" i="103"/>
  <c r="D91" i="103"/>
  <c r="C82" i="103"/>
  <c r="E72" i="103"/>
  <c r="F72" i="103" s="1"/>
  <c r="C63" i="103"/>
  <c r="E51" i="103"/>
  <c r="F51" i="103" s="1"/>
  <c r="D38" i="103"/>
  <c r="B25" i="103"/>
  <c r="D11" i="103"/>
  <c r="D5" i="103"/>
  <c r="D169" i="103"/>
  <c r="C160" i="103"/>
  <c r="C149" i="103"/>
  <c r="E139" i="103"/>
  <c r="F139" i="103" s="1"/>
  <c r="B121" i="103"/>
  <c r="D111" i="103"/>
  <c r="E100" i="103"/>
  <c r="F100" i="103" s="1"/>
  <c r="C91" i="103"/>
  <c r="E81" i="103"/>
  <c r="F81" i="103" s="1"/>
  <c r="D72" i="103"/>
  <c r="D62" i="103"/>
  <c r="E50" i="103"/>
  <c r="F50" i="103" s="1"/>
  <c r="E37" i="103"/>
  <c r="F37" i="103" s="1"/>
  <c r="E24" i="103"/>
  <c r="F24" i="103" s="1"/>
  <c r="C11" i="103"/>
  <c r="E145" i="103"/>
  <c r="F145" i="103" s="1"/>
  <c r="E106" i="103"/>
  <c r="F106" i="103" s="1"/>
  <c r="E77" i="103"/>
  <c r="F77" i="103" s="1"/>
  <c r="E45" i="103"/>
  <c r="F45" i="103" s="1"/>
  <c r="D164" i="103"/>
  <c r="D135" i="103"/>
  <c r="E105" i="103"/>
  <c r="F105" i="103" s="1"/>
  <c r="M47" i="3" s="1"/>
  <c r="C76" i="103"/>
  <c r="B17" i="103"/>
  <c r="C164" i="103"/>
  <c r="D134" i="103"/>
  <c r="D105" i="103"/>
  <c r="E75" i="103"/>
  <c r="F75" i="103" s="1"/>
  <c r="C45" i="103"/>
  <c r="E163" i="103"/>
  <c r="F163" i="103" s="1"/>
  <c r="C124" i="103"/>
  <c r="B43" i="103"/>
  <c r="C169" i="103"/>
  <c r="D158" i="103"/>
  <c r="B149" i="103"/>
  <c r="D139" i="103"/>
  <c r="C130" i="103"/>
  <c r="E120" i="103"/>
  <c r="F120" i="103" s="1"/>
  <c r="E109" i="103"/>
  <c r="F109" i="103" s="1"/>
  <c r="D100" i="103"/>
  <c r="B91" i="103"/>
  <c r="D81" i="103"/>
  <c r="D71" i="103"/>
  <c r="C61" i="103"/>
  <c r="D50" i="103"/>
  <c r="D37" i="103"/>
  <c r="D24" i="103"/>
  <c r="B11" i="103"/>
  <c r="B175" i="103"/>
  <c r="C155" i="103"/>
  <c r="D126" i="103"/>
  <c r="E96" i="103"/>
  <c r="B67" i="103"/>
  <c r="E32" i="103"/>
  <c r="F32" i="103" s="1"/>
  <c r="B155" i="103"/>
  <c r="E115" i="103"/>
  <c r="F115" i="103" s="1"/>
  <c r="M18" i="3" s="1"/>
  <c r="B87" i="103"/>
  <c r="E66" i="103"/>
  <c r="F66" i="103" s="1"/>
  <c r="D32" i="103"/>
  <c r="E144" i="103"/>
  <c r="F144" i="103" s="1"/>
  <c r="B115" i="103"/>
  <c r="C85" i="103"/>
  <c r="D56" i="103"/>
  <c r="E29" i="103"/>
  <c r="F29" i="103" s="1"/>
  <c r="C173" i="103"/>
  <c r="E153" i="103"/>
  <c r="F153" i="103" s="1"/>
  <c r="D143" i="103"/>
  <c r="E114" i="103"/>
  <c r="F114" i="103" s="1"/>
  <c r="B85" i="103"/>
  <c r="C176" i="103"/>
  <c r="D167" i="103"/>
  <c r="C158" i="103"/>
  <c r="E148" i="103"/>
  <c r="F148" i="103" s="1"/>
  <c r="C139" i="103"/>
  <c r="E129" i="103"/>
  <c r="F129" i="103" s="1"/>
  <c r="B119" i="103"/>
  <c r="D109" i="103"/>
  <c r="C100" i="103"/>
  <c r="E90" i="103"/>
  <c r="F90" i="103" s="1"/>
  <c r="E80" i="103"/>
  <c r="F80" i="103" s="1"/>
  <c r="B61" i="103"/>
  <c r="C49" i="103"/>
  <c r="C37" i="103"/>
  <c r="E23" i="103"/>
  <c r="F23" i="103" s="1"/>
  <c r="E8" i="103"/>
  <c r="F8" i="103" s="1"/>
  <c r="G6" i="102"/>
  <c r="E5" i="103"/>
  <c r="F5" i="103" s="1"/>
  <c r="D14" i="103"/>
  <c r="C27" i="103"/>
  <c r="D35" i="103"/>
  <c r="D48" i="103"/>
  <c r="D55" i="103"/>
  <c r="D65" i="103"/>
  <c r="D80" i="103"/>
  <c r="E86" i="103"/>
  <c r="F86" i="103" s="1"/>
  <c r="F95" i="103"/>
  <c r="C102" i="103"/>
  <c r="E107" i="103"/>
  <c r="F107" i="103" s="1"/>
  <c r="B117" i="103"/>
  <c r="C123" i="103"/>
  <c r="D132" i="103"/>
  <c r="E138" i="103"/>
  <c r="F138" i="103" s="1"/>
  <c r="D144" i="103"/>
  <c r="D153" i="103"/>
  <c r="E162" i="103"/>
  <c r="F162" i="103" s="1"/>
  <c r="B169" i="103"/>
  <c r="C132" i="103"/>
  <c r="B135" i="103"/>
  <c r="E137" i="103"/>
  <c r="F137" i="103" s="1"/>
  <c r="C141" i="103"/>
  <c r="C144" i="103"/>
  <c r="B147" i="103"/>
  <c r="D150" i="103"/>
  <c r="C153" i="103"/>
  <c r="C156" i="103"/>
  <c r="D159" i="103"/>
  <c r="D162" i="103"/>
  <c r="C165" i="103"/>
  <c r="E168" i="103"/>
  <c r="F168" i="103" s="1"/>
  <c r="D171" i="103"/>
  <c r="C174" i="103"/>
  <c r="E10" i="103"/>
  <c r="F10" i="103" s="1"/>
  <c r="B19" i="103"/>
  <c r="E22" i="103"/>
  <c r="F22" i="103" s="1"/>
  <c r="E31" i="103"/>
  <c r="F31" i="103" s="1"/>
  <c r="D40" i="103"/>
  <c r="E43" i="103"/>
  <c r="F43" i="103" s="1"/>
  <c r="D51" i="103"/>
  <c r="B59" i="103"/>
  <c r="C62" i="103"/>
  <c r="D68" i="103"/>
  <c r="E74" i="103"/>
  <c r="F74" i="103" s="1"/>
  <c r="D77" i="103"/>
  <c r="E83" i="103"/>
  <c r="F83" i="103" s="1"/>
  <c r="D89" i="103"/>
  <c r="B93" i="103"/>
  <c r="E98" i="103"/>
  <c r="F98" i="103" s="1"/>
  <c r="B105" i="103"/>
  <c r="C111" i="103"/>
  <c r="C114" i="103"/>
  <c r="D120" i="103"/>
  <c r="C126" i="103"/>
  <c r="D129" i="103"/>
  <c r="C135" i="103"/>
  <c r="D141" i="103"/>
  <c r="E147" i="103"/>
  <c r="F147" i="103" s="1"/>
  <c r="E150" i="103"/>
  <c r="F150" i="103" s="1"/>
  <c r="B157" i="103"/>
  <c r="E159" i="103"/>
  <c r="F159" i="103" s="1"/>
  <c r="C166" i="103"/>
  <c r="E171" i="103"/>
  <c r="F171" i="103" s="1"/>
  <c r="M42" i="3" s="1"/>
  <c r="N34" i="4" s="1"/>
  <c r="B173" i="103"/>
  <c r="C167" i="103"/>
  <c r="E157" i="103"/>
  <c r="F157" i="103" s="1"/>
  <c r="D148" i="103"/>
  <c r="C143" i="103"/>
  <c r="C133" i="103"/>
  <c r="E123" i="103"/>
  <c r="F123" i="103" s="1"/>
  <c r="M32" i="3" s="1"/>
  <c r="E118" i="103"/>
  <c r="F118" i="103" s="1"/>
  <c r="C109" i="103"/>
  <c r="D103" i="103"/>
  <c r="C94" i="103"/>
  <c r="E84" i="103"/>
  <c r="F84" i="103" s="1"/>
  <c r="D79" i="103"/>
  <c r="C70" i="103"/>
  <c r="E59" i="103"/>
  <c r="F59" i="103" s="1"/>
  <c r="B49" i="103"/>
  <c r="E42" i="103"/>
  <c r="F42" i="103" s="1"/>
  <c r="C29" i="103"/>
  <c r="D8" i="103"/>
  <c r="E175" i="103"/>
  <c r="F175" i="103" s="1"/>
  <c r="B167" i="103"/>
  <c r="D157" i="103"/>
  <c r="D152" i="103"/>
  <c r="D142" i="103"/>
  <c r="C137" i="103"/>
  <c r="E127" i="103"/>
  <c r="F127" i="103" s="1"/>
  <c r="D118" i="103"/>
  <c r="E112" i="103"/>
  <c r="F112" i="103" s="1"/>
  <c r="E93" i="103"/>
  <c r="F93" i="103" s="1"/>
  <c r="D84" i="103"/>
  <c r="C79" i="103"/>
  <c r="C69" i="103"/>
  <c r="D59" i="103"/>
  <c r="D53" i="103"/>
  <c r="C41" i="103"/>
  <c r="E34" i="103"/>
  <c r="F34" i="103" s="1"/>
  <c r="E27" i="103"/>
  <c r="F27" i="103" s="1"/>
  <c r="C21" i="103"/>
  <c r="E14" i="103"/>
  <c r="F14" i="103" s="1"/>
  <c r="D175" i="103"/>
  <c r="B171" i="103"/>
  <c r="E166" i="103"/>
  <c r="F166" i="103" s="1"/>
  <c r="D161" i="103"/>
  <c r="C157" i="103"/>
  <c r="D151" i="103"/>
  <c r="D146" i="103"/>
  <c r="C142" i="103"/>
  <c r="B137" i="103"/>
  <c r="E132" i="103"/>
  <c r="F132" i="103" s="1"/>
  <c r="D127" i="103"/>
  <c r="C118" i="103"/>
  <c r="D112" i="103"/>
  <c r="C108" i="103"/>
  <c r="B103" i="103"/>
  <c r="E97" i="103"/>
  <c r="F97" i="103" s="1"/>
  <c r="D93" i="103"/>
  <c r="D88" i="103"/>
  <c r="C84" i="103"/>
  <c r="D78" i="103"/>
  <c r="C73" i="103"/>
  <c r="B69" i="103"/>
  <c r="E63" i="103"/>
  <c r="F63" i="103" s="1"/>
  <c r="C59" i="103"/>
  <c r="C53" i="103"/>
  <c r="E46" i="103"/>
  <c r="F46" i="103" s="1"/>
  <c r="W33" i="80" s="1"/>
  <c r="K18" i="82" s="1"/>
  <c r="B41" i="103"/>
  <c r="C33" i="103"/>
  <c r="D27" i="103"/>
  <c r="E19" i="103"/>
  <c r="F19" i="103" s="1"/>
  <c r="C13" i="103"/>
  <c r="E6" i="103"/>
  <c r="F6" i="103" s="1"/>
  <c r="B176" i="103"/>
  <c r="B163" i="103"/>
  <c r="E152" i="103"/>
  <c r="F152" i="103" s="1"/>
  <c r="B139" i="103"/>
  <c r="C128" i="103"/>
  <c r="D114" i="103"/>
  <c r="E99" i="103"/>
  <c r="F99" i="103" s="1"/>
  <c r="E89" i="103"/>
  <c r="F89" i="103" s="1"/>
  <c r="C75" i="103"/>
  <c r="E65" i="103"/>
  <c r="F65" i="103" s="1"/>
  <c r="E53" i="103"/>
  <c r="F53" i="103" s="1"/>
  <c r="E35" i="103"/>
  <c r="F35" i="103" s="1"/>
  <c r="D21" i="103"/>
  <c r="E15" i="103"/>
  <c r="F15" i="103" s="1"/>
  <c r="C172" i="103"/>
  <c r="E161" i="103"/>
  <c r="F161" i="103" s="1"/>
  <c r="C148" i="103"/>
  <c r="B133" i="103"/>
  <c r="D123" i="103"/>
  <c r="B109" i="103"/>
  <c r="B99" i="103"/>
  <c r="E88" i="103"/>
  <c r="F88" i="103" s="1"/>
  <c r="B75" i="103"/>
  <c r="C64" i="103"/>
  <c r="E48" i="103"/>
  <c r="F48" i="103" s="1"/>
  <c r="E7" i="103"/>
  <c r="F7" i="103" s="1"/>
  <c r="C175" i="103"/>
  <c r="E170" i="103"/>
  <c r="F170" i="103" s="1"/>
  <c r="D166" i="103"/>
  <c r="E160" i="103"/>
  <c r="F160" i="103" s="1"/>
  <c r="D155" i="103"/>
  <c r="C151" i="103"/>
  <c r="C146" i="103"/>
  <c r="E141" i="103"/>
  <c r="F141" i="103" s="1"/>
  <c r="E136" i="103"/>
  <c r="F136" i="103" s="1"/>
  <c r="B131" i="103"/>
  <c r="C127" i="103"/>
  <c r="D121" i="103"/>
  <c r="C117" i="103"/>
  <c r="C112" i="103"/>
  <c r="B107" i="103"/>
  <c r="E102" i="103"/>
  <c r="F102" i="103" s="1"/>
  <c r="D97" i="103"/>
  <c r="C93" i="103"/>
  <c r="D87" i="103"/>
  <c r="D82" i="103"/>
  <c r="C78" i="103"/>
  <c r="B73" i="103"/>
  <c r="E68" i="103"/>
  <c r="F68" i="103" s="1"/>
  <c r="W15" i="80" s="1"/>
  <c r="W11" i="80" s="1"/>
  <c r="D63" i="103"/>
  <c r="C57" i="103"/>
  <c r="B53" i="103"/>
  <c r="D46" i="103"/>
  <c r="E40" i="103"/>
  <c r="F40" i="103" s="1"/>
  <c r="B33" i="103"/>
  <c r="C25" i="103"/>
  <c r="D19" i="103"/>
  <c r="E11" i="103"/>
  <c r="F11" i="103" s="1"/>
  <c r="D6" i="103"/>
  <c r="E128" i="103"/>
  <c r="F128" i="103" s="1"/>
  <c r="F125" i="103"/>
  <c r="B123" i="103"/>
  <c r="D119" i="103"/>
  <c r="E116" i="103"/>
  <c r="F116" i="103" s="1"/>
  <c r="E113" i="103"/>
  <c r="F113" i="103" s="1"/>
  <c r="D110" i="103"/>
  <c r="D107" i="103"/>
  <c r="E104" i="103"/>
  <c r="F104" i="103" s="1"/>
  <c r="M20" i="3" s="1"/>
  <c r="D98" i="103"/>
  <c r="D95" i="103"/>
  <c r="C92" i="103"/>
  <c r="C89" i="103"/>
  <c r="D86" i="103"/>
  <c r="B83" i="103"/>
  <c r="C80" i="103"/>
  <c r="C77" i="103"/>
  <c r="E73" i="103"/>
  <c r="F73" i="103" s="1"/>
  <c r="C68" i="103"/>
  <c r="E64" i="103"/>
  <c r="F64" i="103" s="1"/>
  <c r="E61" i="103"/>
  <c r="F61" i="103" s="1"/>
  <c r="E58" i="103"/>
  <c r="F58" i="103" s="1"/>
  <c r="E54" i="103"/>
  <c r="F54" i="103" s="1"/>
  <c r="C51" i="103"/>
  <c r="E47" i="103"/>
  <c r="F47" i="103" s="1"/>
  <c r="D43" i="103"/>
  <c r="E39" i="103"/>
  <c r="F39" i="103" s="1"/>
  <c r="C35" i="103"/>
  <c r="E30" i="103"/>
  <c r="F30" i="103" s="1"/>
  <c r="B27" i="103"/>
  <c r="D22" i="103"/>
  <c r="E18" i="103"/>
  <c r="F18" i="103" s="1"/>
  <c r="E13" i="103"/>
  <c r="F13" i="103" s="1"/>
  <c r="C9" i="103"/>
  <c r="B4" i="103"/>
  <c r="B6" i="103"/>
  <c r="B8" i="103"/>
  <c r="B10" i="103"/>
  <c r="B12" i="103"/>
  <c r="B14" i="103"/>
  <c r="B16" i="103"/>
  <c r="B18" i="103"/>
  <c r="B20" i="103"/>
  <c r="B22" i="103"/>
  <c r="B24" i="103"/>
  <c r="B26" i="103"/>
  <c r="B28" i="103"/>
  <c r="B30" i="103"/>
  <c r="B32" i="103"/>
  <c r="B34" i="103"/>
  <c r="B36" i="103"/>
  <c r="B38" i="103"/>
  <c r="B40" i="103"/>
  <c r="B42" i="103"/>
  <c r="B44" i="103"/>
  <c r="B46" i="103"/>
  <c r="B48" i="103"/>
  <c r="B50" i="103"/>
  <c r="B52" i="103"/>
  <c r="B54" i="103"/>
  <c r="B56" i="103"/>
  <c r="B58" i="103"/>
  <c r="B60" i="103"/>
  <c r="B62" i="103"/>
  <c r="B64" i="103"/>
  <c r="B66" i="103"/>
  <c r="B68" i="103"/>
  <c r="B70" i="103"/>
  <c r="B72" i="103"/>
  <c r="B74" i="103"/>
  <c r="B76" i="103"/>
  <c r="B78" i="103"/>
  <c r="B80" i="103"/>
  <c r="B82" i="103"/>
  <c r="B84" i="103"/>
  <c r="B86" i="103"/>
  <c r="B88" i="103"/>
  <c r="B90" i="103"/>
  <c r="B92" i="103"/>
  <c r="B94" i="103"/>
  <c r="B96" i="103"/>
  <c r="B98" i="103"/>
  <c r="B100" i="103"/>
  <c r="B102" i="103"/>
  <c r="B104" i="103"/>
  <c r="B106" i="103"/>
  <c r="B108" i="103"/>
  <c r="B110" i="103"/>
  <c r="B112" i="103"/>
  <c r="B114" i="103"/>
  <c r="B116" i="103"/>
  <c r="B118" i="103"/>
  <c r="B120" i="103"/>
  <c r="B122" i="103"/>
  <c r="B124" i="103"/>
  <c r="B126" i="103"/>
  <c r="B128" i="103"/>
  <c r="B130" i="103"/>
  <c r="B132" i="103"/>
  <c r="B134" i="103"/>
  <c r="B136" i="103"/>
  <c r="B138" i="103"/>
  <c r="B140" i="103"/>
  <c r="B142" i="103"/>
  <c r="B144" i="103"/>
  <c r="B146" i="103"/>
  <c r="B148" i="103"/>
  <c r="B150" i="103"/>
  <c r="B152" i="103"/>
  <c r="B154" i="103"/>
  <c r="B156" i="103"/>
  <c r="B158" i="103"/>
  <c r="B160" i="103"/>
  <c r="B162" i="103"/>
  <c r="B164" i="103"/>
  <c r="B166" i="103"/>
  <c r="B168" i="103"/>
  <c r="B170" i="103"/>
  <c r="B172" i="103"/>
  <c r="C4" i="103"/>
  <c r="C6" i="103"/>
  <c r="C8" i="103"/>
  <c r="C10" i="103"/>
  <c r="C12" i="103"/>
  <c r="C14" i="103"/>
  <c r="C16" i="103"/>
  <c r="C18" i="103"/>
  <c r="C20" i="103"/>
  <c r="C22" i="103"/>
  <c r="C24" i="103"/>
  <c r="C26" i="103"/>
  <c r="C28" i="103"/>
  <c r="C30" i="103"/>
  <c r="C32" i="103"/>
  <c r="C34" i="103"/>
  <c r="C36" i="103"/>
  <c r="C38" i="103"/>
  <c r="C40" i="103"/>
  <c r="C42" i="103"/>
  <c r="C44" i="103"/>
  <c r="C46" i="103"/>
  <c r="C48" i="103"/>
  <c r="C50" i="103"/>
  <c r="C52" i="103"/>
  <c r="C54" i="103"/>
  <c r="C56" i="103"/>
  <c r="C58" i="103"/>
  <c r="C60" i="103"/>
  <c r="D4" i="103"/>
  <c r="B7" i="103"/>
  <c r="D9" i="103"/>
  <c r="D12" i="103"/>
  <c r="B15" i="103"/>
  <c r="D17" i="103"/>
  <c r="D20" i="103"/>
  <c r="B23" i="103"/>
  <c r="D25" i="103"/>
  <c r="D28" i="103"/>
  <c r="B31" i="103"/>
  <c r="D33" i="103"/>
  <c r="D36" i="103"/>
  <c r="B39" i="103"/>
  <c r="D41" i="103"/>
  <c r="D44" i="103"/>
  <c r="B47" i="103"/>
  <c r="D49" i="103"/>
  <c r="D52" i="103"/>
  <c r="B55" i="103"/>
  <c r="D57" i="103"/>
  <c r="D60" i="103"/>
  <c r="E62" i="103"/>
  <c r="F62" i="103" s="1"/>
  <c r="B65" i="103"/>
  <c r="C67" i="103"/>
  <c r="D69" i="103"/>
  <c r="F71" i="103"/>
  <c r="C74" i="103"/>
  <c r="D76" i="103"/>
  <c r="E78" i="103"/>
  <c r="F78" i="103" s="1"/>
  <c r="B81" i="103"/>
  <c r="C83" i="103"/>
  <c r="D85" i="103"/>
  <c r="E87" i="103"/>
  <c r="F87" i="103" s="1"/>
  <c r="C90" i="103"/>
  <c r="D92" i="103"/>
  <c r="E94" i="103"/>
  <c r="F94" i="103" s="1"/>
  <c r="B97" i="103"/>
  <c r="C99" i="103"/>
  <c r="D101" i="103"/>
  <c r="C106" i="103"/>
  <c r="D108" i="103"/>
  <c r="E110" i="103"/>
  <c r="F110" i="103" s="1"/>
  <c r="B113" i="103"/>
  <c r="C115" i="103"/>
  <c r="D117" i="103"/>
  <c r="E119" i="103"/>
  <c r="F119" i="103" s="1"/>
  <c r="C122" i="103"/>
  <c r="D124" i="103"/>
  <c r="E126" i="103"/>
  <c r="F126" i="103" s="1"/>
  <c r="M33" i="3" s="1"/>
  <c r="N28" i="4" s="1"/>
  <c r="B129" i="103"/>
  <c r="C131" i="103"/>
  <c r="D133" i="103"/>
  <c r="E135" i="103"/>
  <c r="C138" i="103"/>
  <c r="D140" i="103"/>
  <c r="E142" i="103"/>
  <c r="F142" i="103" s="1"/>
  <c r="B145" i="103"/>
  <c r="C147" i="103"/>
  <c r="D149" i="103"/>
  <c r="E151" i="103"/>
  <c r="F151" i="103" s="1"/>
  <c r="C154" i="103"/>
  <c r="D156" i="103"/>
  <c r="E158" i="103"/>
  <c r="F158" i="103" s="1"/>
  <c r="B161" i="103"/>
  <c r="C163" i="103"/>
  <c r="D165" i="103"/>
  <c r="E167" i="103"/>
  <c r="F167" i="103" s="1"/>
  <c r="C170" i="103"/>
  <c r="D172" i="103"/>
  <c r="D174" i="103"/>
  <c r="D176" i="103"/>
  <c r="E4" i="103"/>
  <c r="F4" i="103" s="1"/>
  <c r="C7" i="103"/>
  <c r="E9" i="103"/>
  <c r="F9" i="103" s="1"/>
  <c r="E12" i="103"/>
  <c r="F12" i="103" s="1"/>
  <c r="C15" i="103"/>
  <c r="E17" i="103"/>
  <c r="F17" i="103" s="1"/>
  <c r="E20" i="103"/>
  <c r="F20" i="103" s="1"/>
  <c r="C23" i="103"/>
  <c r="E25" i="103"/>
  <c r="F25" i="103" s="1"/>
  <c r="E28" i="103"/>
  <c r="F28" i="103" s="1"/>
  <c r="C31" i="103"/>
  <c r="E33" i="103"/>
  <c r="F33" i="103" s="1"/>
  <c r="E36" i="103"/>
  <c r="F36" i="103" s="1"/>
  <c r="C39" i="103"/>
  <c r="E41" i="103"/>
  <c r="F41" i="103" s="1"/>
  <c r="E44" i="103"/>
  <c r="F44" i="103" s="1"/>
  <c r="C47" i="103"/>
  <c r="E49" i="103"/>
  <c r="F49" i="103" s="1"/>
  <c r="E52" i="103"/>
  <c r="F52" i="103" s="1"/>
  <c r="C55" i="103"/>
  <c r="E57" i="103"/>
  <c r="F57" i="103" s="1"/>
  <c r="E60" i="103"/>
  <c r="F60" i="103" s="1"/>
  <c r="B63" i="103"/>
  <c r="C65" i="103"/>
  <c r="E69" i="103"/>
  <c r="F69" i="103" s="1"/>
  <c r="C72" i="103"/>
  <c r="D74" i="103"/>
  <c r="E76" i="103"/>
  <c r="F76" i="103" s="1"/>
  <c r="B79" i="103"/>
  <c r="C81" i="103"/>
  <c r="D83" i="103"/>
  <c r="E85" i="103"/>
  <c r="F85" i="103" s="1"/>
  <c r="C88" i="103"/>
  <c r="D90" i="103"/>
  <c r="E92" i="103"/>
  <c r="F92" i="103" s="1"/>
  <c r="C97" i="103"/>
  <c r="D99" i="103"/>
  <c r="C104" i="103"/>
  <c r="D106" i="103"/>
  <c r="E108" i="103"/>
  <c r="F108" i="103" s="1"/>
  <c r="B111" i="103"/>
  <c r="C113" i="103"/>
  <c r="D115" i="103"/>
  <c r="E117" i="103"/>
  <c r="F117" i="103" s="1"/>
  <c r="C120" i="103"/>
  <c r="D122" i="103"/>
  <c r="E124" i="103"/>
  <c r="F124" i="103" s="1"/>
  <c r="B127" i="103"/>
  <c r="C129" i="103"/>
  <c r="D131" i="103"/>
  <c r="E133" i="103"/>
  <c r="F133" i="103" s="1"/>
  <c r="C136" i="103"/>
  <c r="D138" i="103"/>
  <c r="E140" i="103"/>
  <c r="F140" i="103" s="1"/>
  <c r="B143" i="103"/>
  <c r="C145" i="103"/>
  <c r="D147" i="103"/>
  <c r="E149" i="103"/>
  <c r="F149" i="103" s="1"/>
  <c r="C152" i="103"/>
  <c r="D154" i="103"/>
  <c r="E156" i="103"/>
  <c r="F156" i="103" s="1"/>
  <c r="B159" i="103"/>
  <c r="C161" i="103"/>
  <c r="D163" i="103"/>
  <c r="E165" i="103"/>
  <c r="F165" i="103" s="1"/>
  <c r="C168" i="103"/>
  <c r="D170" i="103"/>
  <c r="E172" i="103"/>
  <c r="F172" i="103" s="1"/>
  <c r="E174" i="103"/>
  <c r="F174" i="103" s="1"/>
  <c r="E176" i="103"/>
  <c r="F176" i="103" s="1"/>
  <c r="B5" i="103"/>
  <c r="D7" i="103"/>
  <c r="D10" i="103"/>
  <c r="B13" i="103"/>
  <c r="D15" i="103"/>
  <c r="D18" i="103"/>
  <c r="B21" i="103"/>
  <c r="D23" i="103"/>
  <c r="D26" i="103"/>
  <c r="B29" i="103"/>
  <c r="D31" i="103"/>
  <c r="D34" i="103"/>
  <c r="B37" i="103"/>
  <c r="D39" i="103"/>
  <c r="D42" i="103"/>
  <c r="B45" i="103"/>
  <c r="B174" i="103"/>
  <c r="C171" i="103"/>
  <c r="D168" i="103"/>
  <c r="B165" i="103"/>
  <c r="C162" i="103"/>
  <c r="C159" i="103"/>
  <c r="E155" i="103"/>
  <c r="F155" i="103" s="1"/>
  <c r="B153" i="103"/>
  <c r="C150" i="103"/>
  <c r="E146" i="103"/>
  <c r="F146" i="103" s="1"/>
  <c r="B141" i="103"/>
  <c r="D137" i="103"/>
  <c r="E134" i="103"/>
  <c r="F134" i="103" s="1"/>
  <c r="E131" i="103"/>
  <c r="F131" i="103" s="1"/>
  <c r="M12" i="3" s="1"/>
  <c r="N12" i="4" s="1"/>
  <c r="D128" i="103"/>
  <c r="D125" i="103"/>
  <c r="E122" i="103"/>
  <c r="F122" i="103" s="1"/>
  <c r="C119" i="103"/>
  <c r="D116" i="103"/>
  <c r="D113" i="103"/>
  <c r="C110" i="103"/>
  <c r="C107" i="103"/>
  <c r="D104" i="103"/>
  <c r="B101" i="103"/>
  <c r="C98" i="103"/>
  <c r="C95" i="103"/>
  <c r="E91" i="103"/>
  <c r="F91" i="103" s="1"/>
  <c r="B89" i="103"/>
  <c r="C86" i="103"/>
  <c r="E82" i="103"/>
  <c r="F82" i="103" s="1"/>
  <c r="E79" i="103"/>
  <c r="F79" i="103" s="1"/>
  <c r="B77" i="103"/>
  <c r="D73" i="103"/>
  <c r="D64" i="103"/>
  <c r="D61" i="103"/>
  <c r="D58" i="103"/>
  <c r="D54" i="103"/>
  <c r="B51" i="103"/>
  <c r="D47" i="103"/>
  <c r="C43" i="103"/>
  <c r="E38" i="103"/>
  <c r="F38" i="103" s="1"/>
  <c r="B35" i="103"/>
  <c r="D30" i="103"/>
  <c r="E26" i="103"/>
  <c r="F26" i="103" s="1"/>
  <c r="E21" i="103"/>
  <c r="F21" i="103" s="1"/>
  <c r="C17" i="103"/>
  <c r="D13" i="103"/>
  <c r="B9" i="103"/>
  <c r="C5" i="103"/>
  <c r="B3" i="103"/>
  <c r="E3" i="103"/>
  <c r="F3" i="103" s="1"/>
  <c r="D3" i="103"/>
  <c r="C3" i="103"/>
  <c r="L10" i="103"/>
  <c r="M9" i="103"/>
  <c r="M10" i="103" s="1"/>
  <c r="F96" i="103" l="1"/>
  <c r="M7" i="3"/>
  <c r="E130" i="103"/>
  <c r="F130" i="103" s="1"/>
  <c r="E70" i="103"/>
  <c r="F70" i="103" s="1"/>
  <c r="N39" i="4"/>
  <c r="E121" i="103"/>
  <c r="F121" i="103" s="1"/>
  <c r="M35" i="3" s="1"/>
  <c r="E103" i="103"/>
  <c r="F103" i="103" s="1"/>
  <c r="M27" i="3" s="1"/>
  <c r="E101" i="103"/>
  <c r="F101" i="103" s="1"/>
  <c r="M28" i="3" s="1"/>
  <c r="E67" i="103"/>
  <c r="F67" i="103" s="1"/>
  <c r="J30" i="82"/>
  <c r="J32" i="82" s="1"/>
  <c r="J8" i="82"/>
  <c r="N18" i="4"/>
  <c r="N20" i="4"/>
  <c r="M52" i="90"/>
  <c r="N19" i="4"/>
  <c r="M31" i="3"/>
  <c r="M30" i="3" s="1"/>
  <c r="N27" i="4" s="1"/>
  <c r="M17" i="3"/>
  <c r="W38" i="80"/>
  <c r="K13" i="82" s="1"/>
  <c r="W39" i="80"/>
  <c r="K35" i="82" s="1"/>
  <c r="W36" i="80"/>
  <c r="W41" i="80"/>
  <c r="K17" i="82" s="1"/>
  <c r="W28" i="80"/>
  <c r="W27" i="80" s="1"/>
  <c r="W19" i="80"/>
  <c r="K14" i="82" s="1"/>
  <c r="W20" i="80"/>
  <c r="K15" i="82" s="1"/>
  <c r="W8" i="80"/>
  <c r="M48" i="3"/>
  <c r="M36" i="3"/>
  <c r="M37" i="3"/>
  <c r="M21" i="3"/>
  <c r="C1" i="103"/>
  <c r="D1" i="103"/>
  <c r="B1" i="103"/>
  <c r="F135" i="103"/>
  <c r="L11" i="103"/>
  <c r="K24" i="82" l="1"/>
  <c r="M66" i="90"/>
  <c r="M67" i="90" s="1"/>
  <c r="M63" i="90"/>
  <c r="M64" i="90" s="1"/>
  <c r="E1" i="103"/>
  <c r="I1" i="103" s="1"/>
  <c r="W21" i="80"/>
  <c r="N40" i="4"/>
  <c r="J25" i="82"/>
  <c r="M26" i="3"/>
  <c r="N26" i="4" s="1"/>
  <c r="N21" i="4"/>
  <c r="N7" i="4"/>
  <c r="M73" i="90"/>
  <c r="N8" i="4"/>
  <c r="M59" i="90"/>
  <c r="M60" i="90"/>
  <c r="M61" i="90" s="1"/>
  <c r="M51" i="90"/>
  <c r="M50" i="90" s="1"/>
  <c r="N17" i="4"/>
  <c r="M74" i="90"/>
  <c r="M5" i="90"/>
  <c r="M57" i="90"/>
  <c r="M56" i="90"/>
  <c r="J37" i="82"/>
  <c r="J9" i="82"/>
  <c r="W35" i="80"/>
  <c r="W43" i="80" s="1"/>
  <c r="M34" i="3"/>
  <c r="N29" i="4" s="1"/>
  <c r="M14" i="3"/>
  <c r="F1" i="103"/>
  <c r="K26" i="82" l="1"/>
  <c r="W17" i="80"/>
  <c r="K16" i="82"/>
  <c r="M76" i="90"/>
  <c r="N14" i="4"/>
  <c r="N15" i="4" s="1"/>
  <c r="M15" i="3"/>
  <c r="M70" i="90"/>
  <c r="M69" i="90"/>
  <c r="M71" i="90" s="1"/>
  <c r="M23" i="3"/>
  <c r="M24" i="3" l="1"/>
  <c r="N23" i="4"/>
  <c r="M39" i="3"/>
  <c r="K6" i="82" l="1"/>
  <c r="K10" i="82" s="1"/>
  <c r="K19" i="82" s="1"/>
  <c r="K21" i="82" s="1"/>
  <c r="X9" i="80"/>
  <c r="X7" i="80" s="1"/>
  <c r="X23" i="80" s="1"/>
  <c r="N24" i="4"/>
  <c r="N31" i="4"/>
  <c r="M40" i="3"/>
  <c r="M44" i="3"/>
  <c r="N32" i="4" l="1"/>
  <c r="N36" i="4"/>
  <c r="M50" i="3"/>
  <c r="M51" i="3" s="1"/>
  <c r="M45" i="3"/>
  <c r="N37" i="4" l="1"/>
  <c r="N42" i="4"/>
  <c r="M55" i="3"/>
  <c r="M56" i="3" l="1"/>
  <c r="M58" i="3"/>
  <c r="N43" i="4"/>
  <c r="N47" i="4"/>
  <c r="N48" i="4" s="1"/>
  <c r="J6" i="82"/>
  <c r="J10" i="82" s="1"/>
  <c r="W9" i="80"/>
  <c r="W7" i="80" s="1"/>
  <c r="W23" i="80" s="1"/>
  <c r="D3" i="101"/>
  <c r="E3" i="101" s="1"/>
  <c r="F3" i="101" s="1"/>
  <c r="G3" i="101" s="1"/>
  <c r="H3" i="101" s="1"/>
  <c r="I3" i="101" s="1"/>
  <c r="J3" i="101" s="1"/>
  <c r="D163" i="99" l="1"/>
  <c r="F163" i="99" s="1"/>
  <c r="E88" i="99"/>
  <c r="D88" i="99"/>
  <c r="D165" i="99"/>
  <c r="F165" i="99" s="1"/>
  <c r="F88" i="99" l="1"/>
  <c r="L42" i="3"/>
  <c r="V40" i="80"/>
  <c r="V37" i="80"/>
  <c r="V29" i="80"/>
  <c r="V30" i="80"/>
  <c r="V31" i="80"/>
  <c r="V32" i="80"/>
  <c r="V18" i="80"/>
  <c r="V14" i="80"/>
  <c r="V13" i="80"/>
  <c r="V12" i="80"/>
  <c r="B137" i="100"/>
  <c r="C137" i="100"/>
  <c r="D137" i="100"/>
  <c r="E137" i="100"/>
  <c r="F137" i="100" s="1"/>
  <c r="B138" i="100"/>
  <c r="C138" i="100"/>
  <c r="D138" i="100"/>
  <c r="E138" i="100"/>
  <c r="F138" i="100" s="1"/>
  <c r="B139" i="100"/>
  <c r="C139" i="100"/>
  <c r="D139" i="100"/>
  <c r="E139" i="100"/>
  <c r="F139" i="100" s="1"/>
  <c r="B140" i="100"/>
  <c r="C140" i="100"/>
  <c r="D140" i="100"/>
  <c r="E140" i="100"/>
  <c r="F140" i="100" s="1"/>
  <c r="B141" i="100"/>
  <c r="C141" i="100"/>
  <c r="D141" i="100"/>
  <c r="E141" i="100"/>
  <c r="F141" i="100" s="1"/>
  <c r="B142" i="100"/>
  <c r="C142" i="100"/>
  <c r="D142" i="100"/>
  <c r="E142" i="100"/>
  <c r="F142" i="100" s="1"/>
  <c r="B143" i="100"/>
  <c r="C143" i="100"/>
  <c r="D143" i="100"/>
  <c r="E143" i="100"/>
  <c r="F143" i="100" s="1"/>
  <c r="L29" i="3" s="1"/>
  <c r="G125" i="99"/>
  <c r="G131" i="99"/>
  <c r="G130" i="99"/>
  <c r="G129" i="99"/>
  <c r="G128" i="99"/>
  <c r="G127" i="99"/>
  <c r="B133" i="100"/>
  <c r="C133" i="100"/>
  <c r="D133" i="100"/>
  <c r="E133" i="100"/>
  <c r="F133" i="100" s="1"/>
  <c r="B134" i="100"/>
  <c r="C134" i="100"/>
  <c r="D134" i="100"/>
  <c r="E134" i="100"/>
  <c r="F134" i="100" s="1"/>
  <c r="B135" i="100"/>
  <c r="C135" i="100"/>
  <c r="D135" i="100"/>
  <c r="E135" i="100"/>
  <c r="B136" i="100"/>
  <c r="C136" i="100"/>
  <c r="D136" i="100"/>
  <c r="E136" i="100"/>
  <c r="F136" i="100" s="1"/>
  <c r="B132" i="100"/>
  <c r="C132" i="100"/>
  <c r="D132" i="100"/>
  <c r="E132" i="100"/>
  <c r="F132" i="100" s="1"/>
  <c r="G152" i="99"/>
  <c r="G123" i="99"/>
  <c r="G120" i="99"/>
  <c r="G121" i="99"/>
  <c r="G122" i="99"/>
  <c r="G91" i="99"/>
  <c r="D4" i="100"/>
  <c r="E4" i="100"/>
  <c r="F4" i="100" s="1"/>
  <c r="B5" i="100"/>
  <c r="C5" i="100"/>
  <c r="B7" i="100"/>
  <c r="C7" i="100"/>
  <c r="D7" i="100"/>
  <c r="D8" i="100"/>
  <c r="E8" i="100"/>
  <c r="F8" i="100" s="1"/>
  <c r="D10" i="100"/>
  <c r="E10" i="100"/>
  <c r="F10" i="100" s="1"/>
  <c r="B11" i="100"/>
  <c r="C11" i="100"/>
  <c r="D11" i="100"/>
  <c r="C13" i="100"/>
  <c r="D13" i="100"/>
  <c r="D14" i="100"/>
  <c r="E14" i="100"/>
  <c r="F14" i="100" s="1"/>
  <c r="B15" i="100"/>
  <c r="E16" i="100"/>
  <c r="F16" i="100" s="1"/>
  <c r="B17" i="100"/>
  <c r="C17" i="100"/>
  <c r="D17" i="100"/>
  <c r="D18" i="100"/>
  <c r="D19" i="100"/>
  <c r="D20" i="100"/>
  <c r="E20" i="100"/>
  <c r="B21" i="100"/>
  <c r="C21" i="100"/>
  <c r="B23" i="100"/>
  <c r="C23" i="100"/>
  <c r="D23" i="100"/>
  <c r="D24" i="100"/>
  <c r="E24" i="100"/>
  <c r="F24" i="100" s="1"/>
  <c r="D26" i="100"/>
  <c r="E26" i="100"/>
  <c r="F26" i="100" s="1"/>
  <c r="B27" i="100"/>
  <c r="C27" i="100"/>
  <c r="D27" i="100"/>
  <c r="C29" i="100"/>
  <c r="D29" i="100"/>
  <c r="D30" i="100"/>
  <c r="E30" i="100"/>
  <c r="F30" i="100" s="1"/>
  <c r="B31" i="100"/>
  <c r="E32" i="100"/>
  <c r="F32" i="100" s="1"/>
  <c r="B33" i="100"/>
  <c r="C33" i="100"/>
  <c r="D33" i="100"/>
  <c r="D34" i="100"/>
  <c r="D35" i="100"/>
  <c r="D36" i="100"/>
  <c r="E36" i="100"/>
  <c r="B37" i="100"/>
  <c r="C37" i="100"/>
  <c r="B39" i="100"/>
  <c r="C39" i="100"/>
  <c r="D39" i="100"/>
  <c r="D40" i="100"/>
  <c r="E40" i="100"/>
  <c r="F40" i="100" s="1"/>
  <c r="D42" i="100"/>
  <c r="E42" i="100"/>
  <c r="F42" i="100" s="1"/>
  <c r="B43" i="100"/>
  <c r="C43" i="100"/>
  <c r="D43" i="100"/>
  <c r="C45" i="100"/>
  <c r="D45" i="100"/>
  <c r="D46" i="100"/>
  <c r="E46" i="100"/>
  <c r="F46" i="100" s="1"/>
  <c r="V33" i="80" s="1"/>
  <c r="J18" i="82" s="1"/>
  <c r="B47" i="100"/>
  <c r="E48" i="100"/>
  <c r="F48" i="100" s="1"/>
  <c r="B49" i="100"/>
  <c r="C49" i="100"/>
  <c r="D49" i="100"/>
  <c r="D50" i="100"/>
  <c r="D51" i="100"/>
  <c r="D52" i="100"/>
  <c r="E52" i="100"/>
  <c r="F52" i="100" s="1"/>
  <c r="B53" i="100"/>
  <c r="C53" i="100"/>
  <c r="B55" i="100"/>
  <c r="C55" i="100"/>
  <c r="D55" i="100"/>
  <c r="D56" i="100"/>
  <c r="E56" i="100"/>
  <c r="F56" i="100" s="1"/>
  <c r="D58" i="100"/>
  <c r="E58" i="100"/>
  <c r="F58" i="100" s="1"/>
  <c r="B59" i="100"/>
  <c r="C59" i="100"/>
  <c r="D59" i="100"/>
  <c r="C61" i="100"/>
  <c r="D61" i="100"/>
  <c r="D62" i="100"/>
  <c r="E62" i="100"/>
  <c r="F62" i="100" s="1"/>
  <c r="B63" i="100"/>
  <c r="E64" i="100"/>
  <c r="F64" i="100" s="1"/>
  <c r="B65" i="100"/>
  <c r="C65" i="100"/>
  <c r="D65" i="100"/>
  <c r="D66" i="100"/>
  <c r="D67" i="100"/>
  <c r="D68" i="100"/>
  <c r="E68" i="100"/>
  <c r="F68" i="100" s="1"/>
  <c r="V15" i="80" s="1"/>
  <c r="B69" i="100"/>
  <c r="C69" i="100"/>
  <c r="B71" i="100"/>
  <c r="C71" i="100"/>
  <c r="D72" i="100"/>
  <c r="E72" i="100"/>
  <c r="F72" i="100" s="1"/>
  <c r="D74" i="100"/>
  <c r="E74" i="100"/>
  <c r="F74" i="100" s="1"/>
  <c r="B75" i="100"/>
  <c r="C75" i="100"/>
  <c r="D75" i="100"/>
  <c r="C77" i="100"/>
  <c r="D77" i="100"/>
  <c r="D78" i="100"/>
  <c r="E78" i="100"/>
  <c r="F78" i="100" s="1"/>
  <c r="B79" i="100"/>
  <c r="E80" i="100"/>
  <c r="F80" i="100" s="1"/>
  <c r="B81" i="100"/>
  <c r="C81" i="100"/>
  <c r="D81" i="100"/>
  <c r="D82" i="100"/>
  <c r="D83" i="100"/>
  <c r="D84" i="100"/>
  <c r="E84" i="100"/>
  <c r="F84" i="100" s="1"/>
  <c r="B85" i="100"/>
  <c r="C85" i="100"/>
  <c r="B87" i="100"/>
  <c r="C87" i="100"/>
  <c r="D87" i="100"/>
  <c r="D88" i="100"/>
  <c r="E88" i="100"/>
  <c r="F88" i="100" s="1"/>
  <c r="D90" i="100"/>
  <c r="E90" i="100"/>
  <c r="F90" i="100" s="1"/>
  <c r="B91" i="100"/>
  <c r="C91" i="100"/>
  <c r="D91" i="100"/>
  <c r="C93" i="100"/>
  <c r="D93" i="100"/>
  <c r="D94" i="100"/>
  <c r="E94" i="100"/>
  <c r="F94" i="100" s="1"/>
  <c r="B95" i="100"/>
  <c r="E96" i="100"/>
  <c r="F96" i="100" s="1"/>
  <c r="I30" i="82" s="1"/>
  <c r="I32" i="82" s="1"/>
  <c r="B97" i="100"/>
  <c r="C97" i="100"/>
  <c r="D97" i="100"/>
  <c r="D98" i="100"/>
  <c r="D99" i="100"/>
  <c r="D100" i="100"/>
  <c r="E100" i="100"/>
  <c r="F100" i="100" s="1"/>
  <c r="B101" i="100"/>
  <c r="C101" i="100"/>
  <c r="B103" i="100"/>
  <c r="C103" i="100"/>
  <c r="D103" i="100"/>
  <c r="D104" i="100"/>
  <c r="E104" i="100"/>
  <c r="F104" i="100" s="1"/>
  <c r="D106" i="100"/>
  <c r="E106" i="100"/>
  <c r="B107" i="100"/>
  <c r="C107" i="100"/>
  <c r="D107" i="100"/>
  <c r="C109" i="100"/>
  <c r="D109" i="100"/>
  <c r="D110" i="100"/>
  <c r="E110" i="100"/>
  <c r="F110" i="100" s="1"/>
  <c r="B111" i="100"/>
  <c r="E112" i="100"/>
  <c r="F112" i="100" s="1"/>
  <c r="B113" i="100"/>
  <c r="C113" i="100"/>
  <c r="D113" i="100"/>
  <c r="D114" i="100"/>
  <c r="D115" i="100"/>
  <c r="D116" i="100"/>
  <c r="E116" i="100"/>
  <c r="F116" i="100" s="1"/>
  <c r="B117" i="100"/>
  <c r="C117" i="100"/>
  <c r="B119" i="100"/>
  <c r="C119" i="100"/>
  <c r="D119" i="100"/>
  <c r="D120" i="100"/>
  <c r="E120" i="100"/>
  <c r="F120" i="100" s="1"/>
  <c r="D122" i="100"/>
  <c r="E122" i="100"/>
  <c r="F122" i="100" s="1"/>
  <c r="B123" i="100"/>
  <c r="C123" i="100"/>
  <c r="D123" i="100"/>
  <c r="D125" i="100"/>
  <c r="D126" i="100"/>
  <c r="E126" i="100"/>
  <c r="F126" i="100" s="1"/>
  <c r="B127" i="100"/>
  <c r="E128" i="100"/>
  <c r="F128" i="100" s="1"/>
  <c r="B129" i="100"/>
  <c r="C129" i="100"/>
  <c r="D129" i="100"/>
  <c r="D130" i="100"/>
  <c r="D131" i="100"/>
  <c r="E3" i="100"/>
  <c r="B3" i="100"/>
  <c r="G167" i="99"/>
  <c r="G166" i="99"/>
  <c r="G165" i="99"/>
  <c r="G164" i="99"/>
  <c r="G163" i="99"/>
  <c r="G162" i="99"/>
  <c r="G161" i="99"/>
  <c r="G160" i="99"/>
  <c r="G159" i="99"/>
  <c r="G158" i="99"/>
  <c r="G157" i="99"/>
  <c r="G156" i="99"/>
  <c r="G155" i="99"/>
  <c r="G154" i="99"/>
  <c r="G153" i="99"/>
  <c r="G151" i="99"/>
  <c r="G150" i="99"/>
  <c r="G149" i="99"/>
  <c r="G148" i="99"/>
  <c r="G147" i="99"/>
  <c r="G146" i="99"/>
  <c r="G143" i="99"/>
  <c r="G142" i="99"/>
  <c r="G141" i="99"/>
  <c r="G140" i="99"/>
  <c r="G138" i="99"/>
  <c r="G137" i="99"/>
  <c r="G136" i="99"/>
  <c r="G135" i="99"/>
  <c r="G134" i="99"/>
  <c r="G133" i="99"/>
  <c r="G126" i="99"/>
  <c r="G124" i="99"/>
  <c r="G118" i="99"/>
  <c r="G117" i="99"/>
  <c r="G114" i="99"/>
  <c r="G113" i="99"/>
  <c r="G112" i="99"/>
  <c r="G111" i="99"/>
  <c r="G110" i="99"/>
  <c r="G109" i="99"/>
  <c r="G108" i="99"/>
  <c r="G107" i="99"/>
  <c r="G106" i="99"/>
  <c r="G105" i="99"/>
  <c r="G104" i="99"/>
  <c r="G103" i="99"/>
  <c r="G102" i="99"/>
  <c r="G101" i="99"/>
  <c r="G100" i="99"/>
  <c r="G99" i="99"/>
  <c r="G98" i="99"/>
  <c r="G96" i="99"/>
  <c r="G95" i="99"/>
  <c r="G94" i="99"/>
  <c r="G93" i="99"/>
  <c r="G92" i="99"/>
  <c r="G90" i="99"/>
  <c r="G89" i="99"/>
  <c r="G88" i="99"/>
  <c r="G87" i="99"/>
  <c r="G86" i="99"/>
  <c r="G85" i="99"/>
  <c r="G84" i="99"/>
  <c r="G83" i="99"/>
  <c r="G80" i="99"/>
  <c r="G79" i="99"/>
  <c r="G77" i="99"/>
  <c r="G74" i="99"/>
  <c r="G73" i="99"/>
  <c r="G72" i="99"/>
  <c r="G70" i="99"/>
  <c r="G69" i="99"/>
  <c r="G68" i="99"/>
  <c r="G67" i="99"/>
  <c r="G66" i="99"/>
  <c r="G63" i="99"/>
  <c r="G62" i="99"/>
  <c r="G60" i="99"/>
  <c r="G59" i="99"/>
  <c r="G58" i="99"/>
  <c r="G57" i="99"/>
  <c r="G56" i="99"/>
  <c r="G54" i="99"/>
  <c r="G53" i="99"/>
  <c r="G52" i="99"/>
  <c r="G51" i="99"/>
  <c r="G50" i="99"/>
  <c r="G49" i="99"/>
  <c r="G48" i="99"/>
  <c r="G47" i="99"/>
  <c r="G46" i="99"/>
  <c r="G45" i="99"/>
  <c r="G44" i="99"/>
  <c r="G43" i="99"/>
  <c r="G40" i="99"/>
  <c r="G39" i="99"/>
  <c r="G38" i="99"/>
  <c r="G37" i="99"/>
  <c r="G36" i="99"/>
  <c r="G35" i="99"/>
  <c r="G34" i="99"/>
  <c r="G33" i="99"/>
  <c r="G32" i="99"/>
  <c r="G31" i="99"/>
  <c r="G30" i="99"/>
  <c r="G29" i="99"/>
  <c r="G28" i="99"/>
  <c r="G27" i="99"/>
  <c r="G26" i="99"/>
  <c r="G25" i="99"/>
  <c r="G21" i="99"/>
  <c r="G20" i="99"/>
  <c r="G19" i="99"/>
  <c r="G17" i="99"/>
  <c r="G16" i="99"/>
  <c r="G15" i="99"/>
  <c r="G14" i="99"/>
  <c r="G13" i="99"/>
  <c r="G12" i="99"/>
  <c r="G11" i="99"/>
  <c r="G10" i="99"/>
  <c r="G9" i="99"/>
  <c r="G8" i="99"/>
  <c r="G7" i="99"/>
  <c r="G6" i="99"/>
  <c r="G5" i="99"/>
  <c r="G4" i="99"/>
  <c r="L9" i="100"/>
  <c r="M9" i="100" s="1"/>
  <c r="M8" i="100"/>
  <c r="L7" i="100"/>
  <c r="M6" i="100"/>
  <c r="M5" i="100"/>
  <c r="M4" i="100"/>
  <c r="M3" i="100"/>
  <c r="L10" i="100" l="1"/>
  <c r="M7" i="100"/>
  <c r="M10" i="100" s="1"/>
  <c r="L7" i="3"/>
  <c r="F135" i="100"/>
  <c r="I145" i="100"/>
  <c r="I146" i="100" s="1"/>
  <c r="L20" i="3"/>
  <c r="V11" i="80"/>
  <c r="L33" i="3"/>
  <c r="D128" i="100"/>
  <c r="C115" i="100"/>
  <c r="C99" i="100"/>
  <c r="E86" i="100"/>
  <c r="F86" i="100" s="1"/>
  <c r="D80" i="100"/>
  <c r="E70" i="100"/>
  <c r="F70" i="100" s="1"/>
  <c r="B61" i="100"/>
  <c r="C51" i="100"/>
  <c r="D41" i="100"/>
  <c r="E38" i="100"/>
  <c r="F38" i="100" s="1"/>
  <c r="C35" i="100"/>
  <c r="D32" i="100"/>
  <c r="B29" i="100"/>
  <c r="D25" i="100"/>
  <c r="E22" i="100"/>
  <c r="F22" i="100" s="1"/>
  <c r="C19" i="100"/>
  <c r="D16" i="100"/>
  <c r="B13" i="100"/>
  <c r="D9" i="100"/>
  <c r="E6" i="100"/>
  <c r="F6" i="100" s="1"/>
  <c r="E5" i="100"/>
  <c r="F5" i="100" s="1"/>
  <c r="E7" i="100"/>
  <c r="F7" i="100" s="1"/>
  <c r="E9" i="100"/>
  <c r="F9" i="100" s="1"/>
  <c r="E11" i="100"/>
  <c r="F11" i="100" s="1"/>
  <c r="E13" i="100"/>
  <c r="F13" i="100" s="1"/>
  <c r="E15" i="100"/>
  <c r="F15" i="100" s="1"/>
  <c r="E17" i="100"/>
  <c r="F17" i="100" s="1"/>
  <c r="E19" i="100"/>
  <c r="F19" i="100" s="1"/>
  <c r="E21" i="100"/>
  <c r="F21" i="100" s="1"/>
  <c r="E23" i="100"/>
  <c r="F23" i="100" s="1"/>
  <c r="E25" i="100"/>
  <c r="F25" i="100" s="1"/>
  <c r="E27" i="100"/>
  <c r="F27" i="100" s="1"/>
  <c r="E29" i="100"/>
  <c r="F29" i="100" s="1"/>
  <c r="E31" i="100"/>
  <c r="F31" i="100" s="1"/>
  <c r="E33" i="100"/>
  <c r="F33" i="100" s="1"/>
  <c r="E35" i="100"/>
  <c r="F35" i="100" s="1"/>
  <c r="E37" i="100"/>
  <c r="F37" i="100" s="1"/>
  <c r="E39" i="100"/>
  <c r="F39" i="100" s="1"/>
  <c r="E41" i="100"/>
  <c r="F41" i="100" s="1"/>
  <c r="E43" i="100"/>
  <c r="F43" i="100" s="1"/>
  <c r="E45" i="100"/>
  <c r="F45" i="100" s="1"/>
  <c r="E47" i="100"/>
  <c r="F47" i="100" s="1"/>
  <c r="E49" i="100"/>
  <c r="F49" i="100" s="1"/>
  <c r="E51" i="100"/>
  <c r="F51" i="100" s="1"/>
  <c r="E53" i="100"/>
  <c r="F53" i="100" s="1"/>
  <c r="E55" i="100"/>
  <c r="F55" i="100" s="1"/>
  <c r="E57" i="100"/>
  <c r="F57" i="100" s="1"/>
  <c r="E59" i="100"/>
  <c r="F59" i="100" s="1"/>
  <c r="E61" i="100"/>
  <c r="F61" i="100" s="1"/>
  <c r="E63" i="100"/>
  <c r="F63" i="100" s="1"/>
  <c r="E65" i="100"/>
  <c r="F65" i="100" s="1"/>
  <c r="E67" i="100"/>
  <c r="F67" i="100" s="1"/>
  <c r="E69" i="100"/>
  <c r="F69" i="100" s="1"/>
  <c r="F71" i="100"/>
  <c r="E73" i="100"/>
  <c r="F73" i="100" s="1"/>
  <c r="E75" i="100"/>
  <c r="F75" i="100" s="1"/>
  <c r="E77" i="100"/>
  <c r="F77" i="100" s="1"/>
  <c r="E79" i="100"/>
  <c r="F79" i="100" s="1"/>
  <c r="E81" i="100"/>
  <c r="F81" i="100" s="1"/>
  <c r="E83" i="100"/>
  <c r="F83" i="100" s="1"/>
  <c r="E85" i="100"/>
  <c r="F85" i="100" s="1"/>
  <c r="E87" i="100"/>
  <c r="F87" i="100" s="1"/>
  <c r="E89" i="100"/>
  <c r="F89" i="100" s="1"/>
  <c r="E91" i="100"/>
  <c r="F91" i="100" s="1"/>
  <c r="E93" i="100"/>
  <c r="F93" i="100" s="1"/>
  <c r="E95" i="100"/>
  <c r="F95" i="100" s="1"/>
  <c r="E97" i="100"/>
  <c r="F97" i="100" s="1"/>
  <c r="E99" i="100"/>
  <c r="F99" i="100" s="1"/>
  <c r="E101" i="100"/>
  <c r="F101" i="100" s="1"/>
  <c r="L28" i="3" s="1"/>
  <c r="E103" i="100"/>
  <c r="F103" i="100" s="1"/>
  <c r="L27" i="3" s="1"/>
  <c r="E105" i="100"/>
  <c r="F105" i="100" s="1"/>
  <c r="L47" i="3" s="1"/>
  <c r="E107" i="100"/>
  <c r="F107" i="100" s="1"/>
  <c r="E109" i="100"/>
  <c r="F109" i="100" s="1"/>
  <c r="E111" i="100"/>
  <c r="F111" i="100" s="1"/>
  <c r="E113" i="100"/>
  <c r="F113" i="100" s="1"/>
  <c r="E115" i="100"/>
  <c r="F115" i="100" s="1"/>
  <c r="L18" i="3" s="1"/>
  <c r="E117" i="100"/>
  <c r="F117" i="100" s="1"/>
  <c r="L36" i="3" s="1"/>
  <c r="E119" i="100"/>
  <c r="F119" i="100" s="1"/>
  <c r="E121" i="100"/>
  <c r="F121" i="100" s="1"/>
  <c r="E123" i="100"/>
  <c r="F123" i="100" s="1"/>
  <c r="L32" i="3" s="1"/>
  <c r="F125" i="100"/>
  <c r="E127" i="100"/>
  <c r="F127" i="100" s="1"/>
  <c r="L19" i="3" s="1"/>
  <c r="E129" i="100"/>
  <c r="F129" i="100" s="1"/>
  <c r="E131" i="100"/>
  <c r="F131" i="100" s="1"/>
  <c r="L12" i="3" s="1"/>
  <c r="B78" i="100"/>
  <c r="B82" i="100"/>
  <c r="B84" i="100"/>
  <c r="B88" i="100"/>
  <c r="B92" i="100"/>
  <c r="B94" i="100"/>
  <c r="B98" i="100"/>
  <c r="B100" i="100"/>
  <c r="B104" i="100"/>
  <c r="B106" i="100"/>
  <c r="B110" i="100"/>
  <c r="B114" i="100"/>
  <c r="B116" i="100"/>
  <c r="B120" i="100"/>
  <c r="B122" i="100"/>
  <c r="B126" i="100"/>
  <c r="B130" i="100"/>
  <c r="C3" i="100"/>
  <c r="B4" i="100"/>
  <c r="B6" i="100"/>
  <c r="B8" i="100"/>
  <c r="B10" i="100"/>
  <c r="B12" i="100"/>
  <c r="B14" i="100"/>
  <c r="B16" i="100"/>
  <c r="B18" i="100"/>
  <c r="B20" i="100"/>
  <c r="B22" i="100"/>
  <c r="B24" i="100"/>
  <c r="B26" i="100"/>
  <c r="B28" i="100"/>
  <c r="B30" i="100"/>
  <c r="B32" i="100"/>
  <c r="B34" i="100"/>
  <c r="B36" i="100"/>
  <c r="B38" i="100"/>
  <c r="B40" i="100"/>
  <c r="B42" i="100"/>
  <c r="B44" i="100"/>
  <c r="B46" i="100"/>
  <c r="B48" i="100"/>
  <c r="B50" i="100"/>
  <c r="B52" i="100"/>
  <c r="B54" i="100"/>
  <c r="B56" i="100"/>
  <c r="B58" i="100"/>
  <c r="B60" i="100"/>
  <c r="B62" i="100"/>
  <c r="B64" i="100"/>
  <c r="B66" i="100"/>
  <c r="B68" i="100"/>
  <c r="B70" i="100"/>
  <c r="B72" i="100"/>
  <c r="B74" i="100"/>
  <c r="B76" i="100"/>
  <c r="B80" i="100"/>
  <c r="B86" i="100"/>
  <c r="B90" i="100"/>
  <c r="B96" i="100"/>
  <c r="B102" i="100"/>
  <c r="B108" i="100"/>
  <c r="B112" i="100"/>
  <c r="B118" i="100"/>
  <c r="B124" i="100"/>
  <c r="B128" i="100"/>
  <c r="C4" i="100"/>
  <c r="C6" i="100"/>
  <c r="C8" i="100"/>
  <c r="C10" i="100"/>
  <c r="C12" i="100"/>
  <c r="C14" i="100"/>
  <c r="C16" i="100"/>
  <c r="C18" i="100"/>
  <c r="C20" i="100"/>
  <c r="C22" i="100"/>
  <c r="C24" i="100"/>
  <c r="C26" i="100"/>
  <c r="C28" i="100"/>
  <c r="C30" i="100"/>
  <c r="C32" i="100"/>
  <c r="C34" i="100"/>
  <c r="C36" i="100"/>
  <c r="C38" i="100"/>
  <c r="C40" i="100"/>
  <c r="C42" i="100"/>
  <c r="C44" i="100"/>
  <c r="C46" i="100"/>
  <c r="C48" i="100"/>
  <c r="C50" i="100"/>
  <c r="C52" i="100"/>
  <c r="C54" i="100"/>
  <c r="C56" i="100"/>
  <c r="C58" i="100"/>
  <c r="C60" i="100"/>
  <c r="C62" i="100"/>
  <c r="C64" i="100"/>
  <c r="C66" i="100"/>
  <c r="C68" i="100"/>
  <c r="C70" i="100"/>
  <c r="C72" i="100"/>
  <c r="C74" i="100"/>
  <c r="C76" i="100"/>
  <c r="C78" i="100"/>
  <c r="C80" i="100"/>
  <c r="C82" i="100"/>
  <c r="C84" i="100"/>
  <c r="C86" i="100"/>
  <c r="C88" i="100"/>
  <c r="C90" i="100"/>
  <c r="C92" i="100"/>
  <c r="C94" i="100"/>
  <c r="C96" i="100"/>
  <c r="C98" i="100"/>
  <c r="C100" i="100"/>
  <c r="C102" i="100"/>
  <c r="C104" i="100"/>
  <c r="C106" i="100"/>
  <c r="C108" i="100"/>
  <c r="C110" i="100"/>
  <c r="C112" i="100"/>
  <c r="C114" i="100"/>
  <c r="C116" i="100"/>
  <c r="C118" i="100"/>
  <c r="C120" i="100"/>
  <c r="C122" i="100"/>
  <c r="C124" i="100"/>
  <c r="C126" i="100"/>
  <c r="C128" i="100"/>
  <c r="C130" i="100"/>
  <c r="D3" i="100"/>
  <c r="C131" i="100"/>
  <c r="D121" i="100"/>
  <c r="D112" i="100"/>
  <c r="D105" i="100"/>
  <c r="D96" i="100"/>
  <c r="D89" i="100"/>
  <c r="C83" i="100"/>
  <c r="B77" i="100"/>
  <c r="D73" i="100"/>
  <c r="C67" i="100"/>
  <c r="D64" i="100"/>
  <c r="D57" i="100"/>
  <c r="E54" i="100"/>
  <c r="F54" i="100" s="1"/>
  <c r="D48" i="100"/>
  <c r="B45" i="100"/>
  <c r="B131" i="100"/>
  <c r="D127" i="100"/>
  <c r="E124" i="100"/>
  <c r="F124" i="100" s="1"/>
  <c r="C121" i="100"/>
  <c r="D118" i="100"/>
  <c r="B115" i="100"/>
  <c r="D111" i="100"/>
  <c r="E108" i="100"/>
  <c r="F108" i="100" s="1"/>
  <c r="C105" i="100"/>
  <c r="D102" i="100"/>
  <c r="B99" i="100"/>
  <c r="D95" i="100"/>
  <c r="E92" i="100"/>
  <c r="F92" i="100" s="1"/>
  <c r="C89" i="100"/>
  <c r="D86" i="100"/>
  <c r="B83" i="100"/>
  <c r="D79" i="100"/>
  <c r="E76" i="100"/>
  <c r="F76" i="100" s="1"/>
  <c r="C73" i="100"/>
  <c r="D70" i="100"/>
  <c r="B67" i="100"/>
  <c r="D63" i="100"/>
  <c r="E60" i="100"/>
  <c r="F60" i="100" s="1"/>
  <c r="C57" i="100"/>
  <c r="D54" i="100"/>
  <c r="B51" i="100"/>
  <c r="D47" i="100"/>
  <c r="E44" i="100"/>
  <c r="F44" i="100" s="1"/>
  <c r="C41" i="100"/>
  <c r="D38" i="100"/>
  <c r="B35" i="100"/>
  <c r="D31" i="100"/>
  <c r="E28" i="100"/>
  <c r="F28" i="100" s="1"/>
  <c r="C25" i="100"/>
  <c r="D22" i="100"/>
  <c r="B19" i="100"/>
  <c r="D15" i="100"/>
  <c r="E12" i="100"/>
  <c r="F12" i="100" s="1"/>
  <c r="C9" i="100"/>
  <c r="D6" i="100"/>
  <c r="B125" i="100"/>
  <c r="E118" i="100"/>
  <c r="F118" i="100" s="1"/>
  <c r="B109" i="100"/>
  <c r="E102" i="100"/>
  <c r="F102" i="100" s="1"/>
  <c r="B93" i="100"/>
  <c r="E130" i="100"/>
  <c r="F130" i="100" s="1"/>
  <c r="C127" i="100"/>
  <c r="D124" i="100"/>
  <c r="B121" i="100"/>
  <c r="D117" i="100"/>
  <c r="E114" i="100"/>
  <c r="F114" i="100" s="1"/>
  <c r="C111" i="100"/>
  <c r="D108" i="100"/>
  <c r="B105" i="100"/>
  <c r="D101" i="100"/>
  <c r="E98" i="100"/>
  <c r="F98" i="100" s="1"/>
  <c r="C95" i="100"/>
  <c r="D92" i="100"/>
  <c r="B89" i="100"/>
  <c r="D85" i="100"/>
  <c r="E82" i="100"/>
  <c r="F82" i="100" s="1"/>
  <c r="C79" i="100"/>
  <c r="D76" i="100"/>
  <c r="B73" i="100"/>
  <c r="D69" i="100"/>
  <c r="E66" i="100"/>
  <c r="F66" i="100" s="1"/>
  <c r="C63" i="100"/>
  <c r="D60" i="100"/>
  <c r="B57" i="100"/>
  <c r="D53" i="100"/>
  <c r="E50" i="100"/>
  <c r="F50" i="100" s="1"/>
  <c r="C47" i="100"/>
  <c r="D44" i="100"/>
  <c r="B41" i="100"/>
  <c r="D37" i="100"/>
  <c r="E34" i="100"/>
  <c r="F34" i="100" s="1"/>
  <c r="C31" i="100"/>
  <c r="D28" i="100"/>
  <c r="B25" i="100"/>
  <c r="D21" i="100"/>
  <c r="E18" i="100"/>
  <c r="F18" i="100" s="1"/>
  <c r="C15" i="100"/>
  <c r="D12" i="100"/>
  <c r="B9" i="100"/>
  <c r="D5" i="100"/>
  <c r="F106" i="100"/>
  <c r="F3" i="100"/>
  <c r="F20" i="100"/>
  <c r="F36" i="100"/>
  <c r="L8" i="3" l="1"/>
  <c r="L5" i="90"/>
  <c r="L73" i="90"/>
  <c r="J26" i="82"/>
  <c r="I8" i="82"/>
  <c r="L14" i="3"/>
  <c r="V8" i="80"/>
  <c r="V21" i="80"/>
  <c r="J16" i="82" s="1"/>
  <c r="V41" i="80"/>
  <c r="J17" i="82" s="1"/>
  <c r="V38" i="80"/>
  <c r="J13" i="82" s="1"/>
  <c r="V28" i="80"/>
  <c r="V20" i="80"/>
  <c r="J15" i="82" s="1"/>
  <c r="L17" i="3"/>
  <c r="V36" i="80"/>
  <c r="L31" i="3"/>
  <c r="L30" i="3" s="1"/>
  <c r="V19" i="80"/>
  <c r="J14" i="82" s="1"/>
  <c r="V39" i="80"/>
  <c r="J35" i="82" s="1"/>
  <c r="L21" i="3"/>
  <c r="L26" i="3"/>
  <c r="L11" i="100"/>
  <c r="C1" i="100"/>
  <c r="B1" i="100"/>
  <c r="L37" i="3"/>
  <c r="D1" i="100"/>
  <c r="L35" i="3"/>
  <c r="L48" i="3"/>
  <c r="F1" i="100"/>
  <c r="E1" i="100"/>
  <c r="J24" i="82" l="1"/>
  <c r="J19" i="82"/>
  <c r="J21" i="82" s="1"/>
  <c r="V27" i="80"/>
  <c r="I37" i="82"/>
  <c r="I9" i="82"/>
  <c r="I25" i="82"/>
  <c r="V35" i="80"/>
  <c r="V17" i="80"/>
  <c r="L34" i="3"/>
  <c r="L23" i="3"/>
  <c r="L24" i="3" s="1"/>
  <c r="L15" i="3"/>
  <c r="V43" i="80" l="1"/>
  <c r="L39" i="3"/>
  <c r="L40" i="3" s="1"/>
  <c r="L44" i="3" l="1"/>
  <c r="L50" i="3" s="1"/>
  <c r="L45" i="3" l="1"/>
  <c r="L55" i="3"/>
  <c r="L58" i="3" s="1"/>
  <c r="L51" i="3"/>
  <c r="I6" i="82" l="1"/>
  <c r="I10" i="82" s="1"/>
  <c r="L56" i="3"/>
  <c r="V9" i="80"/>
  <c r="V7" i="80" l="1"/>
  <c r="V23" i="80" s="1"/>
  <c r="V24" i="80" l="1"/>
  <c r="C28" i="93"/>
  <c r="C43" i="93" s="1"/>
  <c r="C58" i="93" s="1"/>
  <c r="C73" i="93" s="1"/>
  <c r="D73" i="93" s="1"/>
  <c r="B28" i="93"/>
  <c r="B13" i="93"/>
  <c r="B14" i="93" s="1"/>
  <c r="B15" i="93" s="1"/>
  <c r="L76" i="90"/>
  <c r="L74" i="90"/>
  <c r="L51" i="90"/>
  <c r="B43" i="93" l="1"/>
  <c r="B58" i="93" s="1"/>
  <c r="B73" i="93" s="1"/>
  <c r="B29" i="93"/>
  <c r="L56" i="90"/>
  <c r="L2" i="3"/>
  <c r="L59" i="90"/>
  <c r="L52" i="90"/>
  <c r="B44" i="93" l="1"/>
  <c r="B59" i="93" s="1"/>
  <c r="B74" i="93" s="1"/>
  <c r="B30" i="93"/>
  <c r="B45" i="93" s="1"/>
  <c r="B60" i="93" s="1"/>
  <c r="L40" i="4"/>
  <c r="L39" i="4"/>
  <c r="L29" i="4"/>
  <c r="L28" i="4"/>
  <c r="L26" i="4"/>
  <c r="L34" i="4"/>
  <c r="L27" i="4"/>
  <c r="L45" i="4"/>
  <c r="F22" i="90"/>
  <c r="F21" i="90"/>
  <c r="F20" i="90"/>
  <c r="G3" i="90"/>
  <c r="Q5" i="98"/>
  <c r="P5" i="98"/>
  <c r="O5" i="98"/>
  <c r="S2" i="98"/>
  <c r="H13" i="98"/>
  <c r="G13" i="98"/>
  <c r="F14" i="98"/>
  <c r="F15" i="98" s="1"/>
  <c r="F16" i="98" s="1"/>
  <c r="F17" i="98" s="1"/>
  <c r="G17" i="98" s="1"/>
  <c r="D4" i="98"/>
  <c r="D5" i="98"/>
  <c r="D17" i="98" s="1"/>
  <c r="D6" i="98"/>
  <c r="D18" i="98" s="1"/>
  <c r="D25" i="98" s="1"/>
  <c r="D32" i="98" s="1"/>
  <c r="D39" i="98" s="1"/>
  <c r="D7" i="98"/>
  <c r="D19" i="98" s="1"/>
  <c r="D26" i="98" s="1"/>
  <c r="D33" i="98" s="1"/>
  <c r="D40" i="98" s="1"/>
  <c r="D8" i="98"/>
  <c r="D20" i="98" s="1"/>
  <c r="D27" i="98" s="1"/>
  <c r="D34" i="98" s="1"/>
  <c r="D41" i="98" s="1"/>
  <c r="D9" i="98"/>
  <c r="D21" i="98" s="1"/>
  <c r="D28" i="98" s="1"/>
  <c r="D35" i="98" s="1"/>
  <c r="D42" i="98" s="1"/>
  <c r="D3" i="98"/>
  <c r="D23" i="98"/>
  <c r="D30" i="98" s="1"/>
  <c r="D37" i="98" s="1"/>
  <c r="D22" i="98"/>
  <c r="D29" i="98" s="1"/>
  <c r="D36" i="98" s="1"/>
  <c r="B14" i="98"/>
  <c r="B15" i="98" s="1"/>
  <c r="B16" i="98" s="1"/>
  <c r="B17" i="98" s="1"/>
  <c r="B18" i="98" s="1"/>
  <c r="B19" i="98" s="1"/>
  <c r="B20" i="98" s="1"/>
  <c r="B21" i="98" s="1"/>
  <c r="B22" i="98" s="1"/>
  <c r="B23" i="98" s="1"/>
  <c r="B24" i="98" s="1"/>
  <c r="B25" i="98" s="1"/>
  <c r="B26" i="98" s="1"/>
  <c r="B27" i="98" s="1"/>
  <c r="B28" i="98" s="1"/>
  <c r="B29" i="98" s="1"/>
  <c r="B30" i="98" s="1"/>
  <c r="B31" i="98" s="1"/>
  <c r="B32" i="98" s="1"/>
  <c r="B33" i="98" s="1"/>
  <c r="B34" i="98" s="1"/>
  <c r="B35" i="98" s="1"/>
  <c r="C35" i="98" s="1"/>
  <c r="H3" i="90" l="1"/>
  <c r="H21" i="90" s="1"/>
  <c r="G28" i="90"/>
  <c r="G27" i="90"/>
  <c r="G14" i="98"/>
  <c r="G15" i="98"/>
  <c r="G16" i="98"/>
  <c r="G20" i="90"/>
  <c r="G22" i="90"/>
  <c r="G21" i="90"/>
  <c r="H20" i="98"/>
  <c r="H27" i="98" s="1"/>
  <c r="H34" i="98" s="1"/>
  <c r="H41" i="98" s="1"/>
  <c r="H14" i="98"/>
  <c r="F18" i="98"/>
  <c r="G18" i="98" s="1"/>
  <c r="D24" i="98"/>
  <c r="D31" i="98" s="1"/>
  <c r="D38" i="98" s="1"/>
  <c r="C27" i="98"/>
  <c r="B36" i="98"/>
  <c r="C28" i="98"/>
  <c r="C17" i="98"/>
  <c r="C29" i="98"/>
  <c r="C18" i="98"/>
  <c r="C30" i="98"/>
  <c r="C19" i="98"/>
  <c r="C31" i="98"/>
  <c r="C20" i="98"/>
  <c r="C32" i="98"/>
  <c r="C21" i="98"/>
  <c r="C33" i="98"/>
  <c r="C22" i="98"/>
  <c r="C34" i="98"/>
  <c r="C23" i="98"/>
  <c r="C24" i="98"/>
  <c r="C25" i="98"/>
  <c r="C26" i="98"/>
  <c r="Q42" i="97"/>
  <c r="O42" i="97"/>
  <c r="M42" i="97"/>
  <c r="L42" i="97"/>
  <c r="K42" i="97"/>
  <c r="I42" i="97"/>
  <c r="H42" i="97"/>
  <c r="G42" i="97"/>
  <c r="E42" i="97"/>
  <c r="J40" i="97"/>
  <c r="J42" i="97" s="1"/>
  <c r="F40" i="97"/>
  <c r="F42" i="97" s="1"/>
  <c r="F35" i="97"/>
  <c r="H11" i="97" s="1"/>
  <c r="H35" i="97" s="1"/>
  <c r="J11" i="97" s="1"/>
  <c r="J35" i="97" s="1"/>
  <c r="L11" i="97" s="1"/>
  <c r="L35" i="97" s="1"/>
  <c r="N11" i="97" s="1"/>
  <c r="N35" i="97" s="1"/>
  <c r="P11" i="97" s="1"/>
  <c r="P35" i="97" s="1"/>
  <c r="R11" i="97" s="1"/>
  <c r="R35" i="97" s="1"/>
  <c r="E35" i="97"/>
  <c r="G11" i="97" s="1"/>
  <c r="G35" i="97" s="1"/>
  <c r="I11" i="97" s="1"/>
  <c r="I35" i="97" s="1"/>
  <c r="K11" i="97" s="1"/>
  <c r="K35" i="97" s="1"/>
  <c r="M11" i="97" s="1"/>
  <c r="M35" i="97" s="1"/>
  <c r="O11" i="97" s="1"/>
  <c r="O35" i="97" s="1"/>
  <c r="Q11" i="97" s="1"/>
  <c r="Q35" i="97" s="1"/>
  <c r="C35" i="97"/>
  <c r="F34" i="97"/>
  <c r="H10" i="97" s="1"/>
  <c r="H34" i="97" s="1"/>
  <c r="J10" i="97" s="1"/>
  <c r="J34" i="97" s="1"/>
  <c r="L10" i="97" s="1"/>
  <c r="L34" i="97" s="1"/>
  <c r="N10" i="97" s="1"/>
  <c r="N34" i="97" s="1"/>
  <c r="P10" i="97" s="1"/>
  <c r="P34" i="97" s="1"/>
  <c r="R10" i="97" s="1"/>
  <c r="R34" i="97" s="1"/>
  <c r="E34" i="97"/>
  <c r="G10" i="97" s="1"/>
  <c r="G34" i="97" s="1"/>
  <c r="I10" i="97" s="1"/>
  <c r="I34" i="97" s="1"/>
  <c r="K10" i="97" s="1"/>
  <c r="K34" i="97" s="1"/>
  <c r="M10" i="97" s="1"/>
  <c r="M34" i="97" s="1"/>
  <c r="O10" i="97" s="1"/>
  <c r="O34" i="97" s="1"/>
  <c r="Q10" i="97" s="1"/>
  <c r="Q34" i="97" s="1"/>
  <c r="C34" i="97"/>
  <c r="F33" i="97"/>
  <c r="H9" i="97" s="1"/>
  <c r="H33" i="97" s="1"/>
  <c r="J9" i="97" s="1"/>
  <c r="J33" i="97" s="1"/>
  <c r="L9" i="97" s="1"/>
  <c r="L33" i="97" s="1"/>
  <c r="N9" i="97" s="1"/>
  <c r="N33" i="97" s="1"/>
  <c r="P9" i="97" s="1"/>
  <c r="P33" i="97" s="1"/>
  <c r="R9" i="97" s="1"/>
  <c r="R33" i="97" s="1"/>
  <c r="E33" i="97"/>
  <c r="G9" i="97" s="1"/>
  <c r="G33" i="97" s="1"/>
  <c r="I9" i="97" s="1"/>
  <c r="I33" i="97" s="1"/>
  <c r="K9" i="97" s="1"/>
  <c r="K33" i="97" s="1"/>
  <c r="M9" i="97" s="1"/>
  <c r="M33" i="97" s="1"/>
  <c r="O9" i="97" s="1"/>
  <c r="O33" i="97" s="1"/>
  <c r="Q9" i="97" s="1"/>
  <c r="Q33" i="97" s="1"/>
  <c r="C33" i="97"/>
  <c r="E32" i="97"/>
  <c r="G8" i="97" s="1"/>
  <c r="G32" i="97" s="1"/>
  <c r="I8" i="97" s="1"/>
  <c r="I32" i="97" s="1"/>
  <c r="K8" i="97" s="1"/>
  <c r="K32" i="97" s="1"/>
  <c r="M8" i="97" s="1"/>
  <c r="M32" i="97" s="1"/>
  <c r="O8" i="97" s="1"/>
  <c r="O32" i="97" s="1"/>
  <c r="Q8" i="97" s="1"/>
  <c r="Q32" i="97" s="1"/>
  <c r="C32" i="97"/>
  <c r="F31" i="97"/>
  <c r="H7" i="97" s="1"/>
  <c r="H31" i="97" s="1"/>
  <c r="J7" i="97" s="1"/>
  <c r="J31" i="97" s="1"/>
  <c r="L7" i="97" s="1"/>
  <c r="L31" i="97" s="1"/>
  <c r="N7" i="97" s="1"/>
  <c r="N31" i="97" s="1"/>
  <c r="P7" i="97" s="1"/>
  <c r="P31" i="97" s="1"/>
  <c r="R7" i="97" s="1"/>
  <c r="R31" i="97" s="1"/>
  <c r="E31" i="97"/>
  <c r="G7" i="97" s="1"/>
  <c r="G31" i="97" s="1"/>
  <c r="I7" i="97" s="1"/>
  <c r="I31" i="97" s="1"/>
  <c r="K7" i="97" s="1"/>
  <c r="K31" i="97" s="1"/>
  <c r="M7" i="97" s="1"/>
  <c r="M31" i="97" s="1"/>
  <c r="O7" i="97" s="1"/>
  <c r="O31" i="97" s="1"/>
  <c r="Q7" i="97" s="1"/>
  <c r="Q31" i="97" s="1"/>
  <c r="C31" i="97"/>
  <c r="F30" i="97"/>
  <c r="H6" i="97" s="1"/>
  <c r="H30" i="97" s="1"/>
  <c r="J6" i="97" s="1"/>
  <c r="J30" i="97" s="1"/>
  <c r="L6" i="97" s="1"/>
  <c r="L30" i="97" s="1"/>
  <c r="N6" i="97" s="1"/>
  <c r="N30" i="97" s="1"/>
  <c r="P6" i="97" s="1"/>
  <c r="P30" i="97" s="1"/>
  <c r="R6" i="97" s="1"/>
  <c r="R30" i="97" s="1"/>
  <c r="E30" i="97"/>
  <c r="G6" i="97" s="1"/>
  <c r="G30" i="97" s="1"/>
  <c r="I6" i="97" s="1"/>
  <c r="I30" i="97" s="1"/>
  <c r="K6" i="97" s="1"/>
  <c r="K30" i="97" s="1"/>
  <c r="M6" i="97" s="1"/>
  <c r="M30" i="97" s="1"/>
  <c r="O6" i="97" s="1"/>
  <c r="O30" i="97" s="1"/>
  <c r="Q6" i="97" s="1"/>
  <c r="Q30" i="97" s="1"/>
  <c r="C30" i="97"/>
  <c r="F29" i="97"/>
  <c r="H5" i="97" s="1"/>
  <c r="H29" i="97" s="1"/>
  <c r="J5" i="97" s="1"/>
  <c r="J29" i="97" s="1"/>
  <c r="L5" i="97" s="1"/>
  <c r="L29" i="97" s="1"/>
  <c r="N5" i="97" s="1"/>
  <c r="E29" i="97"/>
  <c r="G5" i="97" s="1"/>
  <c r="G29" i="97" s="1"/>
  <c r="I5" i="97" s="1"/>
  <c r="I29" i="97" s="1"/>
  <c r="K5" i="97" s="1"/>
  <c r="K29" i="97" s="1"/>
  <c r="M5" i="97" s="1"/>
  <c r="M29" i="97" s="1"/>
  <c r="O5" i="97" s="1"/>
  <c r="O29" i="97" s="1"/>
  <c r="Q5" i="97" s="1"/>
  <c r="Q29" i="97" s="1"/>
  <c r="C29" i="97"/>
  <c r="C28" i="97"/>
  <c r="F27" i="97"/>
  <c r="H3" i="97" s="1"/>
  <c r="C27" i="97"/>
  <c r="R24" i="97"/>
  <c r="Q24" i="97"/>
  <c r="O24" i="97"/>
  <c r="J24" i="97"/>
  <c r="I24" i="97"/>
  <c r="H24" i="97"/>
  <c r="G24" i="97"/>
  <c r="E24" i="97"/>
  <c r="D24" i="97"/>
  <c r="C24" i="97"/>
  <c r="F20" i="97"/>
  <c r="F32" i="97" s="1"/>
  <c r="H8" i="97" s="1"/>
  <c r="H32" i="97" s="1"/>
  <c r="J8" i="97" s="1"/>
  <c r="J32" i="97" s="1"/>
  <c r="L8" i="97" s="1"/>
  <c r="L32" i="97" s="1"/>
  <c r="N8" i="97" s="1"/>
  <c r="N32" i="97" s="1"/>
  <c r="P8" i="97" s="1"/>
  <c r="P32" i="97" s="1"/>
  <c r="R8" i="97" s="1"/>
  <c r="R32" i="97" s="1"/>
  <c r="P17" i="97"/>
  <c r="N17" i="97"/>
  <c r="M16" i="97"/>
  <c r="M24" i="97" s="1"/>
  <c r="L16" i="97"/>
  <c r="K16" i="97"/>
  <c r="F16" i="97"/>
  <c r="P15" i="97"/>
  <c r="C12" i="97"/>
  <c r="D11" i="97"/>
  <c r="D35" i="97" s="1"/>
  <c r="D10" i="97"/>
  <c r="D34" i="97" s="1"/>
  <c r="D9" i="97"/>
  <c r="D33" i="97" s="1"/>
  <c r="D8" i="97"/>
  <c r="D32" i="97" s="1"/>
  <c r="D7" i="97"/>
  <c r="D31" i="97" s="1"/>
  <c r="D6" i="97"/>
  <c r="D30" i="97" s="1"/>
  <c r="D5" i="97"/>
  <c r="D29" i="97" s="1"/>
  <c r="G4" i="97"/>
  <c r="G28" i="97" s="1"/>
  <c r="I4" i="97" s="1"/>
  <c r="I28" i="97" s="1"/>
  <c r="K4" i="97" s="1"/>
  <c r="F4" i="97"/>
  <c r="D4" i="97"/>
  <c r="D28" i="97" s="1"/>
  <c r="E3" i="97"/>
  <c r="E12" i="97" s="1"/>
  <c r="D3" i="97"/>
  <c r="D27" i="97" s="1"/>
  <c r="F20" i="61"/>
  <c r="H6" i="61" s="1"/>
  <c r="H20" i="61" s="1"/>
  <c r="J6" i="61" s="1"/>
  <c r="J20" i="61" s="1"/>
  <c r="L6" i="61" s="1"/>
  <c r="L20" i="61" s="1"/>
  <c r="N6" i="61" s="1"/>
  <c r="E20" i="61"/>
  <c r="G6" i="61" s="1"/>
  <c r="G20" i="61" s="1"/>
  <c r="I6" i="61" s="1"/>
  <c r="I20" i="61" s="1"/>
  <c r="K6" i="61" s="1"/>
  <c r="K20" i="61" s="1"/>
  <c r="M6" i="61" s="1"/>
  <c r="F19" i="61"/>
  <c r="H5" i="61" s="1"/>
  <c r="H19" i="61" s="1"/>
  <c r="J5" i="61" s="1"/>
  <c r="J19" i="61" s="1"/>
  <c r="L5" i="61" s="1"/>
  <c r="L19" i="61" s="1"/>
  <c r="N5" i="61" s="1"/>
  <c r="N19" i="61" s="1"/>
  <c r="P5" i="61" s="1"/>
  <c r="P19" i="61" s="1"/>
  <c r="R5" i="61" s="1"/>
  <c r="R19" i="61" s="1"/>
  <c r="E19" i="61"/>
  <c r="G5" i="61" s="1"/>
  <c r="G19" i="61" s="1"/>
  <c r="I5" i="61" s="1"/>
  <c r="I19" i="61" s="1"/>
  <c r="K5" i="61" s="1"/>
  <c r="K19" i="61" s="1"/>
  <c r="M5" i="61" s="1"/>
  <c r="M19" i="61" s="1"/>
  <c r="O5" i="61" s="1"/>
  <c r="O19" i="61" s="1"/>
  <c r="Q5" i="61" s="1"/>
  <c r="Q19" i="61" s="1"/>
  <c r="F18" i="61"/>
  <c r="H4" i="61" s="1"/>
  <c r="H18" i="61" s="1"/>
  <c r="J4" i="61" s="1"/>
  <c r="J18" i="61" s="1"/>
  <c r="L4" i="61" s="1"/>
  <c r="L18" i="61" s="1"/>
  <c r="N4" i="61" s="1"/>
  <c r="E18" i="61"/>
  <c r="G4" i="61" s="1"/>
  <c r="G18" i="61" s="1"/>
  <c r="I4" i="61" s="1"/>
  <c r="I18" i="61" s="1"/>
  <c r="K4" i="61" s="1"/>
  <c r="K18" i="61" s="1"/>
  <c r="M4" i="61" s="1"/>
  <c r="M18" i="61" s="1"/>
  <c r="O4" i="61" s="1"/>
  <c r="O18" i="61" s="1"/>
  <c r="Q4" i="61" s="1"/>
  <c r="Q18" i="61" s="1"/>
  <c r="F17" i="61"/>
  <c r="H3" i="61" s="1"/>
  <c r="H17" i="61" s="1"/>
  <c r="J3" i="61" s="1"/>
  <c r="J17" i="61" s="1"/>
  <c r="L3" i="61" s="1"/>
  <c r="E17" i="61"/>
  <c r="G3" i="61" s="1"/>
  <c r="G17" i="61" s="1"/>
  <c r="I3" i="61" s="1"/>
  <c r="I17" i="61" s="1"/>
  <c r="K3" i="61" s="1"/>
  <c r="Q14" i="61"/>
  <c r="O14" i="61"/>
  <c r="L14" i="61"/>
  <c r="K14" i="61"/>
  <c r="R13" i="61"/>
  <c r="P13" i="61"/>
  <c r="M13" i="61"/>
  <c r="R10" i="61"/>
  <c r="P10" i="61"/>
  <c r="N10" i="61"/>
  <c r="H20" i="90" l="1"/>
  <c r="H22" i="90"/>
  <c r="G26" i="90"/>
  <c r="I3" i="90"/>
  <c r="H28" i="90"/>
  <c r="H27" i="90"/>
  <c r="H15" i="98"/>
  <c r="H21" i="98"/>
  <c r="H28" i="98" s="1"/>
  <c r="H35" i="98" s="1"/>
  <c r="H42" i="98" s="1"/>
  <c r="D44" i="98"/>
  <c r="F19" i="98"/>
  <c r="G19" i="98" s="1"/>
  <c r="B37" i="98"/>
  <c r="C36" i="98"/>
  <c r="M20" i="61"/>
  <c r="O6" i="61" s="1"/>
  <c r="O20" i="61" s="1"/>
  <c r="Q6" i="61" s="1"/>
  <c r="Q20" i="61" s="1"/>
  <c r="F28" i="97"/>
  <c r="H4" i="97" s="1"/>
  <c r="H28" i="97" s="1"/>
  <c r="J4" i="97" s="1"/>
  <c r="J28" i="97" s="1"/>
  <c r="L4" i="97" s="1"/>
  <c r="L28" i="97" s="1"/>
  <c r="N4" i="97" s="1"/>
  <c r="N29" i="97"/>
  <c r="P5" i="97" s="1"/>
  <c r="P29" i="97" s="1"/>
  <c r="R5" i="97" s="1"/>
  <c r="R29" i="97" s="1"/>
  <c r="F24" i="97"/>
  <c r="N11" i="61"/>
  <c r="N18" i="61" s="1"/>
  <c r="P4" i="61" s="1"/>
  <c r="P11" i="61" s="1"/>
  <c r="P18" i="61" s="1"/>
  <c r="C45" i="97"/>
  <c r="C46" i="97" s="1"/>
  <c r="F12" i="97"/>
  <c r="C36" i="97"/>
  <c r="E27" i="97"/>
  <c r="G3" i="97" s="1"/>
  <c r="G12" i="97" s="1"/>
  <c r="M14" i="61"/>
  <c r="K28" i="97"/>
  <c r="M4" i="97" s="1"/>
  <c r="M28" i="97" s="1"/>
  <c r="O4" i="97" s="1"/>
  <c r="O28" i="97" s="1"/>
  <c r="Q4" i="97" s="1"/>
  <c r="Q28" i="97" s="1"/>
  <c r="N16" i="97"/>
  <c r="P24" i="97"/>
  <c r="D36" i="97"/>
  <c r="D45" i="97"/>
  <c r="D46" i="97" s="1"/>
  <c r="H27" i="97"/>
  <c r="K24" i="97"/>
  <c r="L24" i="97"/>
  <c r="D12" i="97"/>
  <c r="K7" i="61"/>
  <c r="K17" i="61"/>
  <c r="L17" i="61"/>
  <c r="L7" i="61"/>
  <c r="N13" i="61"/>
  <c r="N20" i="61" s="1"/>
  <c r="P6" i="61" s="1"/>
  <c r="P20" i="61" s="1"/>
  <c r="H26" i="90" l="1"/>
  <c r="J3" i="90"/>
  <c r="I27" i="90"/>
  <c r="I28" i="90"/>
  <c r="I22" i="90"/>
  <c r="I20" i="90"/>
  <c r="I21" i="90"/>
  <c r="R4" i="61"/>
  <c r="R11" i="61" s="1"/>
  <c r="R18" i="61" s="1"/>
  <c r="H16" i="98"/>
  <c r="H22" i="98"/>
  <c r="H29" i="98" s="1"/>
  <c r="H36" i="98" s="1"/>
  <c r="H43" i="98" s="1"/>
  <c r="F20" i="98"/>
  <c r="G20" i="98" s="1"/>
  <c r="B38" i="98"/>
  <c r="C37" i="98"/>
  <c r="C39" i="97"/>
  <c r="C42" i="97" s="1"/>
  <c r="P14" i="61"/>
  <c r="F36" i="97"/>
  <c r="F45" i="97" s="1"/>
  <c r="F46" i="97" s="1"/>
  <c r="H12" i="97"/>
  <c r="G27" i="97"/>
  <c r="I3" i="97" s="1"/>
  <c r="E36" i="97"/>
  <c r="E45" i="97" s="1"/>
  <c r="E46" i="97" s="1"/>
  <c r="D39" i="97"/>
  <c r="D42" i="97" s="1"/>
  <c r="R6" i="61"/>
  <c r="R20" i="61" s="1"/>
  <c r="N24" i="97"/>
  <c r="N28" i="97"/>
  <c r="P4" i="97" s="1"/>
  <c r="P28" i="97" s="1"/>
  <c r="R4" i="97" s="1"/>
  <c r="R28" i="97" s="1"/>
  <c r="H36" i="97"/>
  <c r="H45" i="97" s="1"/>
  <c r="H46" i="97" s="1"/>
  <c r="J3" i="97"/>
  <c r="K21" i="61"/>
  <c r="M3" i="61"/>
  <c r="L21" i="61"/>
  <c r="N3" i="61"/>
  <c r="N14" i="61"/>
  <c r="I26" i="90" l="1"/>
  <c r="K3" i="90"/>
  <c r="J27" i="90"/>
  <c r="J28" i="90"/>
  <c r="J21" i="90"/>
  <c r="J22" i="90"/>
  <c r="J20" i="90"/>
  <c r="R14" i="61"/>
  <c r="H23" i="98"/>
  <c r="H30" i="98" s="1"/>
  <c r="H37" i="98" s="1"/>
  <c r="H17" i="98"/>
  <c r="F21" i="98"/>
  <c r="G21" i="98" s="1"/>
  <c r="B39" i="98"/>
  <c r="C38" i="98"/>
  <c r="G36" i="97"/>
  <c r="G45" i="97" s="1"/>
  <c r="G46" i="97" s="1"/>
  <c r="J27" i="97"/>
  <c r="J12" i="97"/>
  <c r="I12" i="97"/>
  <c r="I27" i="97"/>
  <c r="N7" i="61"/>
  <c r="N17" i="61"/>
  <c r="M7" i="61"/>
  <c r="M17" i="61"/>
  <c r="J26" i="90" l="1"/>
  <c r="K27" i="90"/>
  <c r="K28" i="90"/>
  <c r="K21" i="90"/>
  <c r="K20" i="90"/>
  <c r="K22" i="90"/>
  <c r="H24" i="98"/>
  <c r="H31" i="98" s="1"/>
  <c r="H38" i="98" s="1"/>
  <c r="H18" i="98"/>
  <c r="F22" i="98"/>
  <c r="G22" i="98" s="1"/>
  <c r="B40" i="98"/>
  <c r="C39" i="98"/>
  <c r="I36" i="97"/>
  <c r="I45" i="97" s="1"/>
  <c r="I46" i="97" s="1"/>
  <c r="K3" i="97"/>
  <c r="J36" i="97"/>
  <c r="J45" i="97" s="1"/>
  <c r="J46" i="97" s="1"/>
  <c r="L3" i="97"/>
  <c r="M21" i="61"/>
  <c r="O3" i="61"/>
  <c r="N21" i="61"/>
  <c r="P3" i="61"/>
  <c r="L28" i="90" l="1"/>
  <c r="L27" i="90"/>
  <c r="L20" i="90"/>
  <c r="M3" i="90"/>
  <c r="N3" i="90" s="1"/>
  <c r="K26" i="90"/>
  <c r="H25" i="98"/>
  <c r="H32" i="98" s="1"/>
  <c r="H39" i="98" s="1"/>
  <c r="H19" i="98"/>
  <c r="H26" i="98" s="1"/>
  <c r="H33" i="98" s="1"/>
  <c r="H40" i="98" s="1"/>
  <c r="F23" i="98"/>
  <c r="G23" i="98" s="1"/>
  <c r="B41" i="98"/>
  <c r="C40" i="98"/>
  <c r="K27" i="97"/>
  <c r="K12" i="97"/>
  <c r="L27" i="97"/>
  <c r="L12" i="97"/>
  <c r="P7" i="61"/>
  <c r="P17" i="61"/>
  <c r="O7" i="61"/>
  <c r="O17" i="61"/>
  <c r="N22" i="90" l="1"/>
  <c r="N27" i="90"/>
  <c r="N28" i="90"/>
  <c r="N20" i="90"/>
  <c r="N21" i="90"/>
  <c r="L26" i="90"/>
  <c r="M27" i="90"/>
  <c r="M21" i="90"/>
  <c r="M22" i="90"/>
  <c r="M20" i="90"/>
  <c r="N2" i="4" s="1"/>
  <c r="M28" i="90"/>
  <c r="H44" i="98"/>
  <c r="F24" i="98"/>
  <c r="G24" i="98" s="1"/>
  <c r="B42" i="98"/>
  <c r="C42" i="98" s="1"/>
  <c r="C41" i="98"/>
  <c r="L36" i="97"/>
  <c r="L45" i="97" s="1"/>
  <c r="L46" i="97" s="1"/>
  <c r="N3" i="97"/>
  <c r="K36" i="97"/>
  <c r="K45" i="97" s="1"/>
  <c r="K46" i="97" s="1"/>
  <c r="M3" i="97"/>
  <c r="R3" i="61"/>
  <c r="P21" i="61"/>
  <c r="O21" i="61"/>
  <c r="Q3" i="61"/>
  <c r="N26" i="90" l="1"/>
  <c r="M26" i="90"/>
  <c r="N3" i="4" s="1"/>
  <c r="F25" i="98"/>
  <c r="G25" i="98" s="1"/>
  <c r="N27" i="97"/>
  <c r="N12" i="97"/>
  <c r="M27" i="97"/>
  <c r="M12" i="97"/>
  <c r="Q17" i="61"/>
  <c r="Q21" i="61" s="1"/>
  <c r="Q7" i="61"/>
  <c r="R7" i="61"/>
  <c r="R17" i="61"/>
  <c r="R21" i="61" s="1"/>
  <c r="F26" i="98" l="1"/>
  <c r="G26" i="98" s="1"/>
  <c r="M36" i="97"/>
  <c r="M45" i="97" s="1"/>
  <c r="M46" i="97" s="1"/>
  <c r="O3" i="97"/>
  <c r="N36" i="97"/>
  <c r="P3" i="97"/>
  <c r="F27" i="98" l="1"/>
  <c r="G27" i="98" s="1"/>
  <c r="P12" i="97"/>
  <c r="P27" i="97"/>
  <c r="N39" i="97"/>
  <c r="O27" i="97"/>
  <c r="O12" i="97"/>
  <c r="F28" i="98" l="1"/>
  <c r="G28" i="98" s="1"/>
  <c r="O36" i="97"/>
  <c r="O45" i="97" s="1"/>
  <c r="O46" i="97" s="1"/>
  <c r="Q3" i="97"/>
  <c r="N41" i="97"/>
  <c r="N45" i="97" s="1"/>
  <c r="N46" i="97" s="1"/>
  <c r="P36" i="97"/>
  <c r="R3" i="97"/>
  <c r="F29" i="98" l="1"/>
  <c r="G29" i="98" s="1"/>
  <c r="P39" i="97"/>
  <c r="P41" i="97" s="1"/>
  <c r="R12" i="97"/>
  <c r="R27" i="97"/>
  <c r="R36" i="97" s="1"/>
  <c r="N42" i="97"/>
  <c r="Q12" i="97"/>
  <c r="Q27" i="97"/>
  <c r="Q36" i="97" s="1"/>
  <c r="Q45" i="97" s="1"/>
  <c r="Q46" i="97" s="1"/>
  <c r="F30" i="98" l="1"/>
  <c r="G30" i="98" s="1"/>
  <c r="P42" i="97"/>
  <c r="R39" i="97"/>
  <c r="P45" i="97"/>
  <c r="P46" i="97" s="1"/>
  <c r="F31" i="98" l="1"/>
  <c r="G31" i="98" s="1"/>
  <c r="R41" i="97"/>
  <c r="R42" i="97" s="1"/>
  <c r="F32" i="98" l="1"/>
  <c r="G32" i="98" s="1"/>
  <c r="R45" i="97"/>
  <c r="R46" i="97" s="1"/>
  <c r="F33" i="98" l="1"/>
  <c r="G33" i="98" s="1"/>
  <c r="L17" i="90"/>
  <c r="L2" i="4"/>
  <c r="L21" i="90" l="1"/>
  <c r="F34" i="98"/>
  <c r="G34" i="98" s="1"/>
  <c r="L18" i="90"/>
  <c r="L11" i="4"/>
  <c r="L10" i="4"/>
  <c r="L17" i="4"/>
  <c r="L18" i="4"/>
  <c r="L19" i="4"/>
  <c r="L12" i="4"/>
  <c r="L20" i="4"/>
  <c r="L21" i="4"/>
  <c r="L50" i="90"/>
  <c r="L22" i="90" l="1"/>
  <c r="F35" i="98"/>
  <c r="G35" i="98" s="1"/>
  <c r="L3" i="3" l="1"/>
  <c r="L3" i="4"/>
  <c r="F36" i="98"/>
  <c r="G36" i="98" s="1"/>
  <c r="L57" i="90" l="1"/>
  <c r="L60" i="90"/>
  <c r="L48" i="90"/>
  <c r="L8" i="4" s="1"/>
  <c r="F37" i="98"/>
  <c r="G37" i="98" s="1"/>
  <c r="L61" i="90" l="1"/>
  <c r="F38" i="98"/>
  <c r="G38" i="98" s="1"/>
  <c r="F39" i="98" l="1"/>
  <c r="G39" i="98" s="1"/>
  <c r="M6" i="4"/>
  <c r="P6" i="4" s="1"/>
  <c r="R6" i="4" s="1"/>
  <c r="K3" i="3"/>
  <c r="K2" i="3"/>
  <c r="J2" i="3"/>
  <c r="I2" i="3"/>
  <c r="H2" i="3"/>
  <c r="G2" i="3"/>
  <c r="F2" i="3"/>
  <c r="E21" i="4"/>
  <c r="D21" i="4"/>
  <c r="C21" i="4"/>
  <c r="K48" i="90"/>
  <c r="F3" i="3"/>
  <c r="K2" i="4"/>
  <c r="J2" i="4"/>
  <c r="I2" i="4"/>
  <c r="H2" i="4"/>
  <c r="G2" i="4"/>
  <c r="F2" i="4"/>
  <c r="B151" i="78"/>
  <c r="G151" i="78" s="1"/>
  <c r="F10" i="4" l="1"/>
  <c r="F45" i="4"/>
  <c r="H45" i="4"/>
  <c r="I45" i="4"/>
  <c r="J11" i="4"/>
  <c r="J45" i="4"/>
  <c r="G45" i="4"/>
  <c r="K10" i="4"/>
  <c r="M5" i="98"/>
  <c r="K5" i="98"/>
  <c r="L5" i="98"/>
  <c r="N5" i="98"/>
  <c r="F40" i="98"/>
  <c r="G40" i="98" s="1"/>
  <c r="K3" i="4"/>
  <c r="I48" i="90"/>
  <c r="G3" i="4"/>
  <c r="J3" i="4"/>
  <c r="J10" i="4"/>
  <c r="H3" i="4"/>
  <c r="G3" i="3"/>
  <c r="H3" i="3"/>
  <c r="I3" i="3"/>
  <c r="J3" i="3"/>
  <c r="I3" i="4"/>
  <c r="F48" i="90"/>
  <c r="J48" i="90"/>
  <c r="G48" i="90"/>
  <c r="F3" i="4"/>
  <c r="H48" i="90"/>
  <c r="H32" i="82"/>
  <c r="U40" i="80"/>
  <c r="U37" i="80"/>
  <c r="U32" i="80"/>
  <c r="U31" i="80"/>
  <c r="U30" i="80"/>
  <c r="U18" i="80"/>
  <c r="U14" i="80"/>
  <c r="U13" i="80"/>
  <c r="U12" i="80"/>
  <c r="B126" i="86"/>
  <c r="G126" i="86" s="1"/>
  <c r="B154" i="86"/>
  <c r="G154" i="86" s="1"/>
  <c r="B131" i="86"/>
  <c r="G131" i="86" s="1"/>
  <c r="B130" i="86"/>
  <c r="G130" i="86" s="1"/>
  <c r="B129" i="86"/>
  <c r="G129" i="86" s="1"/>
  <c r="B128" i="86"/>
  <c r="G128" i="86" s="1"/>
  <c r="B124" i="86"/>
  <c r="G124" i="86" s="1"/>
  <c r="B123" i="86"/>
  <c r="G123" i="86" s="1"/>
  <c r="B122" i="86"/>
  <c r="G122" i="86" s="1"/>
  <c r="B102" i="86"/>
  <c r="G102" i="86" s="1"/>
  <c r="B89" i="86"/>
  <c r="G89" i="86" s="1"/>
  <c r="B88" i="86"/>
  <c r="G88" i="86" s="1"/>
  <c r="B49" i="86"/>
  <c r="G49" i="86" s="1"/>
  <c r="B107" i="78"/>
  <c r="B94" i="78"/>
  <c r="B93" i="78"/>
  <c r="B54" i="78"/>
  <c r="B10" i="78"/>
  <c r="B148" i="63"/>
  <c r="B121" i="63"/>
  <c r="G121" i="63" s="1"/>
  <c r="B98" i="63"/>
  <c r="G98" i="63" s="1"/>
  <c r="B99" i="63"/>
  <c r="B87" i="63"/>
  <c r="G87" i="63" s="1"/>
  <c r="B86" i="63"/>
  <c r="G86" i="63" s="1"/>
  <c r="B45" i="63"/>
  <c r="G45" i="63" s="1"/>
  <c r="B169" i="63"/>
  <c r="B168" i="63"/>
  <c r="B167" i="63"/>
  <c r="B166" i="63"/>
  <c r="B165" i="63"/>
  <c r="B164" i="63"/>
  <c r="B163" i="63"/>
  <c r="B162" i="63"/>
  <c r="B161" i="63"/>
  <c r="B160" i="63"/>
  <c r="B159" i="63"/>
  <c r="B158" i="63"/>
  <c r="B157" i="63"/>
  <c r="B156" i="63"/>
  <c r="B155" i="63"/>
  <c r="B154" i="63"/>
  <c r="B153" i="63"/>
  <c r="B152" i="63"/>
  <c r="B151" i="63"/>
  <c r="B150" i="63"/>
  <c r="B149" i="63"/>
  <c r="B147" i="63"/>
  <c r="B146" i="63"/>
  <c r="B145" i="63"/>
  <c r="B144" i="63"/>
  <c r="B143" i="63"/>
  <c r="B142" i="63"/>
  <c r="B141" i="63"/>
  <c r="B140" i="63"/>
  <c r="B139" i="63"/>
  <c r="B138" i="63"/>
  <c r="B137" i="63"/>
  <c r="B136" i="63"/>
  <c r="B135" i="63"/>
  <c r="B134" i="63"/>
  <c r="B133" i="63"/>
  <c r="B132" i="63"/>
  <c r="B131" i="63"/>
  <c r="B130" i="63"/>
  <c r="B129" i="63"/>
  <c r="B128" i="63"/>
  <c r="B127" i="63"/>
  <c r="B126" i="63"/>
  <c r="B125" i="63"/>
  <c r="B124" i="63"/>
  <c r="B123" i="63"/>
  <c r="B122" i="63"/>
  <c r="G122" i="63" s="1"/>
  <c r="B120" i="63"/>
  <c r="B119" i="63"/>
  <c r="B118" i="63"/>
  <c r="B117" i="63"/>
  <c r="B116" i="63"/>
  <c r="B115" i="63"/>
  <c r="B114" i="63"/>
  <c r="B113" i="63"/>
  <c r="B112" i="63"/>
  <c r="B111" i="63"/>
  <c r="B110" i="63"/>
  <c r="B109" i="63"/>
  <c r="B108" i="63"/>
  <c r="B107" i="63"/>
  <c r="B106" i="63"/>
  <c r="B105" i="63"/>
  <c r="B104" i="63"/>
  <c r="B103" i="63"/>
  <c r="B102" i="63"/>
  <c r="B101" i="63"/>
  <c r="B100" i="63"/>
  <c r="B97" i="63"/>
  <c r="B96" i="63"/>
  <c r="B95" i="63"/>
  <c r="B94" i="63"/>
  <c r="B93" i="63"/>
  <c r="B92" i="63"/>
  <c r="B91" i="63"/>
  <c r="B90" i="63"/>
  <c r="B89" i="63"/>
  <c r="B88" i="63"/>
  <c r="B85" i="63"/>
  <c r="B84" i="63"/>
  <c r="B83" i="63"/>
  <c r="B82" i="63"/>
  <c r="B81" i="63"/>
  <c r="B80" i="63"/>
  <c r="B79" i="63"/>
  <c r="B78" i="63"/>
  <c r="B77" i="63"/>
  <c r="B76" i="63"/>
  <c r="B75" i="63"/>
  <c r="B74" i="63"/>
  <c r="B73" i="63"/>
  <c r="B72" i="63"/>
  <c r="B71" i="63"/>
  <c r="B70" i="63"/>
  <c r="B69" i="63"/>
  <c r="G69" i="63" s="1"/>
  <c r="B68" i="63"/>
  <c r="B67" i="63"/>
  <c r="B66" i="63"/>
  <c r="B65" i="63"/>
  <c r="B64" i="63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50" i="63"/>
  <c r="B49" i="63"/>
  <c r="B48" i="63"/>
  <c r="B47" i="63"/>
  <c r="B46" i="63"/>
  <c r="B44" i="63"/>
  <c r="B43" i="63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21" i="63"/>
  <c r="B20" i="63"/>
  <c r="B19" i="63"/>
  <c r="B18" i="63"/>
  <c r="B17" i="63"/>
  <c r="B16" i="63"/>
  <c r="B15" i="63"/>
  <c r="B14" i="63"/>
  <c r="B13" i="63"/>
  <c r="B12" i="63"/>
  <c r="B11" i="63"/>
  <c r="B10" i="63"/>
  <c r="G10" i="63" s="1"/>
  <c r="B9" i="63"/>
  <c r="B8" i="63"/>
  <c r="B7" i="63"/>
  <c r="B6" i="63"/>
  <c r="B5" i="63"/>
  <c r="B4" i="63"/>
  <c r="B3" i="63"/>
  <c r="B98" i="58"/>
  <c r="G98" i="58" s="1"/>
  <c r="B87" i="58"/>
  <c r="G87" i="58" s="1"/>
  <c r="B86" i="58"/>
  <c r="G86" i="58" s="1"/>
  <c r="B48" i="58"/>
  <c r="G48" i="58" s="1"/>
  <c r="B10" i="58"/>
  <c r="G10" i="58" s="1"/>
  <c r="B11" i="58"/>
  <c r="B79" i="46"/>
  <c r="G79" i="46" s="1"/>
  <c r="B72" i="46"/>
  <c r="G72" i="46" s="1"/>
  <c r="B71" i="46"/>
  <c r="G71" i="46" s="1"/>
  <c r="B38" i="46"/>
  <c r="G38" i="46" s="1"/>
  <c r="B10" i="46"/>
  <c r="G10" i="46" s="1"/>
  <c r="K11" i="4" l="1"/>
  <c r="F41" i="98"/>
  <c r="G41" i="98" s="1"/>
  <c r="M2" i="4"/>
  <c r="G94" i="78"/>
  <c r="G10" i="78"/>
  <c r="G93" i="78"/>
  <c r="G107" i="78"/>
  <c r="G54" i="78"/>
  <c r="M39" i="4" l="1"/>
  <c r="M29" i="4"/>
  <c r="M27" i="4"/>
  <c r="M34" i="4"/>
  <c r="M45" i="4"/>
  <c r="M40" i="4"/>
  <c r="M26" i="4"/>
  <c r="M28" i="4"/>
  <c r="F42" i="98"/>
  <c r="M19" i="4"/>
  <c r="M21" i="4"/>
  <c r="M20" i="4"/>
  <c r="M17" i="4"/>
  <c r="M18" i="4"/>
  <c r="B81" i="43"/>
  <c r="G81" i="43" s="1"/>
  <c r="B78" i="43"/>
  <c r="G78" i="43" s="1"/>
  <c r="B74" i="43"/>
  <c r="G74" i="43" s="1"/>
  <c r="B73" i="43"/>
  <c r="G73" i="43" s="1"/>
  <c r="B42" i="43"/>
  <c r="G42" i="43" s="1"/>
  <c r="B10" i="43"/>
  <c r="G10" i="43" s="1"/>
  <c r="L7" i="87"/>
  <c r="B159" i="86"/>
  <c r="G159" i="86" s="1"/>
  <c r="G42" i="98" l="1"/>
  <c r="F43" i="98"/>
  <c r="G43" i="98" s="1"/>
  <c r="P2" i="4"/>
  <c r="K53" i="3"/>
  <c r="K45" i="4" s="1"/>
  <c r="K42" i="3"/>
  <c r="K34" i="4" s="1"/>
  <c r="M7" i="87"/>
  <c r="L10" i="87"/>
  <c r="M9" i="87"/>
  <c r="M8" i="87"/>
  <c r="M6" i="87"/>
  <c r="M5" i="87"/>
  <c r="M4" i="87"/>
  <c r="M3" i="87"/>
  <c r="B169" i="86"/>
  <c r="B168" i="86"/>
  <c r="G168" i="86" s="1"/>
  <c r="B167" i="86"/>
  <c r="G167" i="86" s="1"/>
  <c r="B166" i="86"/>
  <c r="G166" i="86" s="1"/>
  <c r="B165" i="86"/>
  <c r="G165" i="86" s="1"/>
  <c r="B164" i="86"/>
  <c r="G164" i="86" s="1"/>
  <c r="B163" i="86"/>
  <c r="G163" i="86" s="1"/>
  <c r="B162" i="86"/>
  <c r="G162" i="86" s="1"/>
  <c r="B161" i="86"/>
  <c r="G161" i="86" s="1"/>
  <c r="B160" i="86"/>
  <c r="G160" i="86" s="1"/>
  <c r="B158" i="86"/>
  <c r="G158" i="86" s="1"/>
  <c r="B157" i="86"/>
  <c r="G157" i="86" s="1"/>
  <c r="B156" i="86"/>
  <c r="G156" i="86" s="1"/>
  <c r="B155" i="86"/>
  <c r="G155" i="86" s="1"/>
  <c r="B153" i="86"/>
  <c r="G153" i="86" s="1"/>
  <c r="B152" i="86"/>
  <c r="G152" i="86" s="1"/>
  <c r="B151" i="86"/>
  <c r="G151" i="86" s="1"/>
  <c r="B150" i="86"/>
  <c r="G150" i="86" s="1"/>
  <c r="B149" i="86"/>
  <c r="G149" i="86" s="1"/>
  <c r="B148" i="86"/>
  <c r="G148" i="86" s="1"/>
  <c r="B147" i="86"/>
  <c r="B146" i="86"/>
  <c r="B145" i="86"/>
  <c r="G145" i="86" s="1"/>
  <c r="B144" i="86"/>
  <c r="G144" i="86" s="1"/>
  <c r="B143" i="86"/>
  <c r="G143" i="86" s="1"/>
  <c r="B142" i="86"/>
  <c r="G142" i="86" s="1"/>
  <c r="B141" i="86"/>
  <c r="G141" i="86" s="1"/>
  <c r="B140" i="86"/>
  <c r="B139" i="86"/>
  <c r="G139" i="86" s="1"/>
  <c r="B138" i="86"/>
  <c r="G138" i="86" s="1"/>
  <c r="B137" i="86"/>
  <c r="G137" i="86" s="1"/>
  <c r="B136" i="86"/>
  <c r="G136" i="86" s="1"/>
  <c r="B135" i="86"/>
  <c r="G135" i="86" s="1"/>
  <c r="B134" i="86"/>
  <c r="G134" i="86" s="1"/>
  <c r="B133" i="86"/>
  <c r="G133" i="86" s="1"/>
  <c r="B132" i="86"/>
  <c r="B127" i="86"/>
  <c r="G127" i="86" s="1"/>
  <c r="B125" i="86"/>
  <c r="G125" i="86" s="1"/>
  <c r="B121" i="86"/>
  <c r="B120" i="86"/>
  <c r="G120" i="86" s="1"/>
  <c r="B119" i="86"/>
  <c r="B118" i="86"/>
  <c r="B117" i="86"/>
  <c r="G117" i="86" s="1"/>
  <c r="B116" i="86"/>
  <c r="G116" i="86" s="1"/>
  <c r="B115" i="86"/>
  <c r="G115" i="86" s="1"/>
  <c r="B114" i="86"/>
  <c r="G114" i="86" s="1"/>
  <c r="B113" i="86"/>
  <c r="G113" i="86" s="1"/>
  <c r="B112" i="86"/>
  <c r="G112" i="86" s="1"/>
  <c r="B111" i="86"/>
  <c r="G111" i="86" s="1"/>
  <c r="B110" i="86"/>
  <c r="G110" i="86" s="1"/>
  <c r="B109" i="86"/>
  <c r="G109" i="86" s="1"/>
  <c r="B108" i="86"/>
  <c r="G108" i="86" s="1"/>
  <c r="B107" i="86"/>
  <c r="G107" i="86" s="1"/>
  <c r="B106" i="86"/>
  <c r="G106" i="86" s="1"/>
  <c r="B105" i="86"/>
  <c r="G105" i="86" s="1"/>
  <c r="B104" i="86"/>
  <c r="G104" i="86" s="1"/>
  <c r="B103" i="86"/>
  <c r="G103" i="86" s="1"/>
  <c r="B101" i="86"/>
  <c r="G101" i="86" s="1"/>
  <c r="B100" i="86"/>
  <c r="B99" i="86"/>
  <c r="G99" i="86" s="1"/>
  <c r="B98" i="86"/>
  <c r="G98" i="86" s="1"/>
  <c r="B97" i="86"/>
  <c r="G97" i="86" s="1"/>
  <c r="B96" i="86"/>
  <c r="G96" i="86" s="1"/>
  <c r="B95" i="86"/>
  <c r="G95" i="86" s="1"/>
  <c r="B94" i="86"/>
  <c r="G94" i="86" s="1"/>
  <c r="B93" i="86"/>
  <c r="G93" i="86" s="1"/>
  <c r="B92" i="86"/>
  <c r="G92" i="86" s="1"/>
  <c r="B91" i="86"/>
  <c r="G91" i="86" s="1"/>
  <c r="B90" i="86"/>
  <c r="G90" i="86" s="1"/>
  <c r="B87" i="86"/>
  <c r="G87" i="86" s="1"/>
  <c r="B86" i="86"/>
  <c r="G86" i="86" s="1"/>
  <c r="B85" i="86"/>
  <c r="G85" i="86" s="1"/>
  <c r="B84" i="86"/>
  <c r="B83" i="86"/>
  <c r="B82" i="86"/>
  <c r="G82" i="86" s="1"/>
  <c r="B81" i="86"/>
  <c r="G81" i="86" s="1"/>
  <c r="B80" i="86"/>
  <c r="B79" i="86"/>
  <c r="G79" i="86" s="1"/>
  <c r="B78" i="86"/>
  <c r="B77" i="86"/>
  <c r="B76" i="86"/>
  <c r="G76" i="86" s="1"/>
  <c r="B75" i="86"/>
  <c r="G75" i="86" s="1"/>
  <c r="B74" i="86"/>
  <c r="G74" i="86" s="1"/>
  <c r="B73" i="86"/>
  <c r="G73" i="86" s="1"/>
  <c r="B72" i="86"/>
  <c r="G72" i="86" s="1"/>
  <c r="B71" i="86"/>
  <c r="G71" i="86" s="1"/>
  <c r="B70" i="86"/>
  <c r="G70" i="86" s="1"/>
  <c r="B69" i="86"/>
  <c r="G69" i="86" s="1"/>
  <c r="B68" i="86"/>
  <c r="G68" i="86" s="1"/>
  <c r="B67" i="86"/>
  <c r="B66" i="86"/>
  <c r="B65" i="86"/>
  <c r="G65" i="86" s="1"/>
  <c r="B64" i="86"/>
  <c r="G64" i="86" s="1"/>
  <c r="B63" i="86"/>
  <c r="B62" i="86"/>
  <c r="G62" i="86" s="1"/>
  <c r="B61" i="86"/>
  <c r="G61" i="86" s="1"/>
  <c r="B60" i="86"/>
  <c r="G60" i="86" s="1"/>
  <c r="B59" i="86"/>
  <c r="G59" i="86" s="1"/>
  <c r="B58" i="86"/>
  <c r="G58" i="86" s="1"/>
  <c r="B57" i="86"/>
  <c r="B56" i="86"/>
  <c r="G56" i="86" s="1"/>
  <c r="B55" i="86"/>
  <c r="G55" i="86" s="1"/>
  <c r="B54" i="86"/>
  <c r="G54" i="86" s="1"/>
  <c r="B53" i="86"/>
  <c r="G53" i="86" s="1"/>
  <c r="B52" i="86"/>
  <c r="G52" i="86" s="1"/>
  <c r="B51" i="86"/>
  <c r="G51" i="86" s="1"/>
  <c r="B50" i="86"/>
  <c r="G50" i="86" s="1"/>
  <c r="B48" i="86"/>
  <c r="G48" i="86" s="1"/>
  <c r="B47" i="86"/>
  <c r="G47" i="86" s="1"/>
  <c r="B46" i="86"/>
  <c r="G46" i="86" s="1"/>
  <c r="B45" i="86"/>
  <c r="G45" i="86" s="1"/>
  <c r="B44" i="86"/>
  <c r="B43" i="86"/>
  <c r="B42" i="86"/>
  <c r="G42" i="86" s="1"/>
  <c r="B41" i="86"/>
  <c r="G41" i="86" s="1"/>
  <c r="B40" i="86"/>
  <c r="G40" i="86" s="1"/>
  <c r="B39" i="86"/>
  <c r="G39" i="86" s="1"/>
  <c r="B38" i="86"/>
  <c r="G38" i="86" s="1"/>
  <c r="B37" i="86"/>
  <c r="G37" i="86" s="1"/>
  <c r="B36" i="86"/>
  <c r="G36" i="86" s="1"/>
  <c r="B35" i="86"/>
  <c r="G35" i="86" s="1"/>
  <c r="B34" i="86"/>
  <c r="G34" i="86" s="1"/>
  <c r="B33" i="86"/>
  <c r="G33" i="86" s="1"/>
  <c r="B32" i="86"/>
  <c r="G32" i="86" s="1"/>
  <c r="B31" i="86"/>
  <c r="G31" i="86" s="1"/>
  <c r="B30" i="86"/>
  <c r="G30" i="86" s="1"/>
  <c r="B29" i="86"/>
  <c r="G29" i="86" s="1"/>
  <c r="B28" i="86"/>
  <c r="G28" i="86" s="1"/>
  <c r="B27" i="86"/>
  <c r="G27" i="86" s="1"/>
  <c r="B26" i="86"/>
  <c r="G26" i="86" s="1"/>
  <c r="B25" i="86"/>
  <c r="G25" i="86" s="1"/>
  <c r="B24" i="86"/>
  <c r="B23" i="86"/>
  <c r="B22" i="86"/>
  <c r="B21" i="86"/>
  <c r="G21" i="86" s="1"/>
  <c r="B20" i="86"/>
  <c r="G20" i="86" s="1"/>
  <c r="B19" i="86"/>
  <c r="G19" i="86" s="1"/>
  <c r="B18" i="86"/>
  <c r="B17" i="86"/>
  <c r="G17" i="86" s="1"/>
  <c r="B16" i="86"/>
  <c r="G16" i="86" s="1"/>
  <c r="B15" i="86"/>
  <c r="G15" i="86" s="1"/>
  <c r="B14" i="86"/>
  <c r="G14" i="86" s="1"/>
  <c r="B13" i="86"/>
  <c r="G13" i="86" s="1"/>
  <c r="B12" i="86"/>
  <c r="G12" i="86" s="1"/>
  <c r="B11" i="86"/>
  <c r="G11" i="86" s="1"/>
  <c r="B10" i="86"/>
  <c r="G10" i="86" s="1"/>
  <c r="B9" i="86"/>
  <c r="G9" i="86" s="1"/>
  <c r="B8" i="86"/>
  <c r="G8" i="86" s="1"/>
  <c r="B7" i="86"/>
  <c r="G7" i="86" s="1"/>
  <c r="B6" i="86"/>
  <c r="B5" i="86"/>
  <c r="G5" i="86" s="1"/>
  <c r="B4" i="86"/>
  <c r="G4" i="86" s="1"/>
  <c r="B3" i="86"/>
  <c r="B2" i="86"/>
  <c r="B1" i="86"/>
  <c r="B159" i="78"/>
  <c r="G159" i="78" s="1"/>
  <c r="B137" i="78"/>
  <c r="G137" i="78" s="1"/>
  <c r="B136" i="78"/>
  <c r="G136" i="78" s="1"/>
  <c r="B135" i="78"/>
  <c r="G135" i="78" s="1"/>
  <c r="B134" i="78"/>
  <c r="G134" i="78" s="1"/>
  <c r="B133" i="78"/>
  <c r="G133" i="78" s="1"/>
  <c r="B131" i="78"/>
  <c r="G131" i="78" s="1"/>
  <c r="B129" i="78"/>
  <c r="G129" i="78" s="1"/>
  <c r="B128" i="78"/>
  <c r="G128" i="78" s="1"/>
  <c r="B127" i="78"/>
  <c r="G127" i="78" s="1"/>
  <c r="P28" i="4" l="1"/>
  <c r="P27" i="4"/>
  <c r="P34" i="4"/>
  <c r="P45" i="4"/>
  <c r="P39" i="4"/>
  <c r="P29" i="4"/>
  <c r="P40" i="4"/>
  <c r="P26" i="4"/>
  <c r="C104" i="87"/>
  <c r="D50" i="87"/>
  <c r="O2" i="4"/>
  <c r="O3" i="4"/>
  <c r="P21" i="4"/>
  <c r="P19" i="4"/>
  <c r="P18" i="4"/>
  <c r="P17" i="4"/>
  <c r="P20" i="4"/>
  <c r="R2" i="4"/>
  <c r="G6" i="86"/>
  <c r="D145" i="87"/>
  <c r="C145" i="87"/>
  <c r="B145" i="87"/>
  <c r="D137" i="87"/>
  <c r="D129" i="87"/>
  <c r="D121" i="87"/>
  <c r="D113" i="87"/>
  <c r="D105" i="87"/>
  <c r="D97" i="87"/>
  <c r="D89" i="87"/>
  <c r="D81" i="87"/>
  <c r="D73" i="87"/>
  <c r="D65" i="87"/>
  <c r="D57" i="87"/>
  <c r="D49" i="87"/>
  <c r="D41" i="87"/>
  <c r="D33" i="87"/>
  <c r="D25" i="87"/>
  <c r="D17" i="87"/>
  <c r="D9" i="87"/>
  <c r="C143" i="87"/>
  <c r="C135" i="87"/>
  <c r="D144" i="87"/>
  <c r="D136" i="87"/>
  <c r="D128" i="87"/>
  <c r="D120" i="87"/>
  <c r="D112" i="87"/>
  <c r="D104" i="87"/>
  <c r="D96" i="87"/>
  <c r="D88" i="87"/>
  <c r="D80" i="87"/>
  <c r="D72" i="87"/>
  <c r="D64" i="87"/>
  <c r="D56" i="87"/>
  <c r="D48" i="87"/>
  <c r="D40" i="87"/>
  <c r="D32" i="87"/>
  <c r="D24" i="87"/>
  <c r="D16" i="87"/>
  <c r="D8" i="87"/>
  <c r="B143" i="87"/>
  <c r="B139" i="87"/>
  <c r="D143" i="87"/>
  <c r="D135" i="87"/>
  <c r="D127" i="87"/>
  <c r="D119" i="87"/>
  <c r="D111" i="87"/>
  <c r="D103" i="87"/>
  <c r="D95" i="87"/>
  <c r="D87" i="87"/>
  <c r="D79" i="87"/>
  <c r="D71" i="87"/>
  <c r="D63" i="87"/>
  <c r="D55" i="87"/>
  <c r="D47" i="87"/>
  <c r="D39" i="87"/>
  <c r="D31" i="87"/>
  <c r="D23" i="87"/>
  <c r="D15" i="87"/>
  <c r="D7" i="87"/>
  <c r="C142" i="87"/>
  <c r="C138" i="87"/>
  <c r="C134" i="87"/>
  <c r="D142" i="87"/>
  <c r="D134" i="87"/>
  <c r="D126" i="87"/>
  <c r="D118" i="87"/>
  <c r="D110" i="87"/>
  <c r="D102" i="87"/>
  <c r="D94" i="87"/>
  <c r="D86" i="87"/>
  <c r="D78" i="87"/>
  <c r="D70" i="87"/>
  <c r="D62" i="87"/>
  <c r="D54" i="87"/>
  <c r="D46" i="87"/>
  <c r="D38" i="87"/>
  <c r="D30" i="87"/>
  <c r="D22" i="87"/>
  <c r="D14" i="87"/>
  <c r="D6" i="87"/>
  <c r="B142" i="87"/>
  <c r="B138" i="87"/>
  <c r="B134" i="87"/>
  <c r="D53" i="87"/>
  <c r="D29" i="87"/>
  <c r="D13" i="87"/>
  <c r="C141" i="87"/>
  <c r="C133" i="87"/>
  <c r="D141" i="87"/>
  <c r="D133" i="87"/>
  <c r="D125" i="87"/>
  <c r="D117" i="87"/>
  <c r="D109" i="87"/>
  <c r="D101" i="87"/>
  <c r="D93" i="87"/>
  <c r="D85" i="87"/>
  <c r="D77" i="87"/>
  <c r="D69" i="87"/>
  <c r="D61" i="87"/>
  <c r="D45" i="87"/>
  <c r="D37" i="87"/>
  <c r="D21" i="87"/>
  <c r="D5" i="87"/>
  <c r="C137" i="87"/>
  <c r="D140" i="87"/>
  <c r="D132" i="87"/>
  <c r="D124" i="87"/>
  <c r="D116" i="87"/>
  <c r="D108" i="87"/>
  <c r="D100" i="87"/>
  <c r="D92" i="87"/>
  <c r="D84" i="87"/>
  <c r="D76" i="87"/>
  <c r="D68" i="87"/>
  <c r="D60" i="87"/>
  <c r="D52" i="87"/>
  <c r="D44" i="87"/>
  <c r="D36" i="87"/>
  <c r="D28" i="87"/>
  <c r="D20" i="87"/>
  <c r="D12" i="87"/>
  <c r="D4" i="87"/>
  <c r="B141" i="87"/>
  <c r="B137" i="87"/>
  <c r="B133" i="87"/>
  <c r="D130" i="87"/>
  <c r="D106" i="87"/>
  <c r="D90" i="87"/>
  <c r="D74" i="87"/>
  <c r="D58" i="87"/>
  <c r="D42" i="87"/>
  <c r="D26" i="87"/>
  <c r="D10" i="87"/>
  <c r="B140" i="87"/>
  <c r="B132" i="87"/>
  <c r="C139" i="87"/>
  <c r="B135" i="87"/>
  <c r="D139" i="87"/>
  <c r="D131" i="87"/>
  <c r="D123" i="87"/>
  <c r="D115" i="87"/>
  <c r="D107" i="87"/>
  <c r="D99" i="87"/>
  <c r="D91" i="87"/>
  <c r="D83" i="87"/>
  <c r="D75" i="87"/>
  <c r="D67" i="87"/>
  <c r="D59" i="87"/>
  <c r="D51" i="87"/>
  <c r="D43" i="87"/>
  <c r="D35" i="87"/>
  <c r="D27" i="87"/>
  <c r="D19" i="87"/>
  <c r="D11" i="87"/>
  <c r="C144" i="87"/>
  <c r="C140" i="87"/>
  <c r="C136" i="87"/>
  <c r="C132" i="87"/>
  <c r="D138" i="87"/>
  <c r="D122" i="87"/>
  <c r="D114" i="87"/>
  <c r="D98" i="87"/>
  <c r="D82" i="87"/>
  <c r="D66" i="87"/>
  <c r="D34" i="87"/>
  <c r="D18" i="87"/>
  <c r="B144" i="87"/>
  <c r="B136" i="87"/>
  <c r="B131" i="87"/>
  <c r="C131" i="87"/>
  <c r="B129" i="87"/>
  <c r="B12" i="87"/>
  <c r="C25" i="87"/>
  <c r="B52" i="87"/>
  <c r="B84" i="87"/>
  <c r="B100" i="87"/>
  <c r="B116" i="87"/>
  <c r="B15" i="87"/>
  <c r="B31" i="87"/>
  <c r="C52" i="87"/>
  <c r="C68" i="87"/>
  <c r="C84" i="87"/>
  <c r="C100" i="87"/>
  <c r="C116" i="87"/>
  <c r="B90" i="87"/>
  <c r="B106" i="87"/>
  <c r="C22" i="87"/>
  <c r="C7" i="87"/>
  <c r="C17" i="87"/>
  <c r="B28" i="87"/>
  <c r="C33" i="87"/>
  <c r="B44" i="87"/>
  <c r="C49" i="87"/>
  <c r="B60" i="87"/>
  <c r="C65" i="87"/>
  <c r="B76" i="87"/>
  <c r="C81" i="87"/>
  <c r="B92" i="87"/>
  <c r="C97" i="87"/>
  <c r="B108" i="87"/>
  <c r="C113" i="87"/>
  <c r="B124" i="87"/>
  <c r="B4" i="87"/>
  <c r="C12" i="87"/>
  <c r="B23" i="87"/>
  <c r="C28" i="87"/>
  <c r="B39" i="87"/>
  <c r="C44" i="87"/>
  <c r="B55" i="87"/>
  <c r="C60" i="87"/>
  <c r="B71" i="87"/>
  <c r="C76" i="87"/>
  <c r="B87" i="87"/>
  <c r="C92" i="87"/>
  <c r="B103" i="87"/>
  <c r="C108" i="87"/>
  <c r="B119" i="87"/>
  <c r="C124" i="87"/>
  <c r="B68" i="87"/>
  <c r="B10" i="87"/>
  <c r="B47" i="87"/>
  <c r="B63" i="87"/>
  <c r="B79" i="87"/>
  <c r="B95" i="87"/>
  <c r="B111" i="87"/>
  <c r="B127" i="87"/>
  <c r="C15" i="87"/>
  <c r="C31" i="87"/>
  <c r="C47" i="87"/>
  <c r="C63" i="87"/>
  <c r="C79" i="87"/>
  <c r="C95" i="87"/>
  <c r="C111" i="87"/>
  <c r="B122" i="87"/>
  <c r="B7" i="87"/>
  <c r="B17" i="87"/>
  <c r="C38" i="87"/>
  <c r="C54" i="87"/>
  <c r="C70" i="87"/>
  <c r="C86" i="87"/>
  <c r="C102" i="87"/>
  <c r="C118" i="87"/>
  <c r="D3" i="87"/>
  <c r="C4" i="87"/>
  <c r="B9" i="87"/>
  <c r="B18" i="87"/>
  <c r="C23" i="87"/>
  <c r="B34" i="87"/>
  <c r="C39" i="87"/>
  <c r="B50" i="87"/>
  <c r="C55" i="87"/>
  <c r="B66" i="87"/>
  <c r="C71" i="87"/>
  <c r="B82" i="87"/>
  <c r="C87" i="87"/>
  <c r="B98" i="87"/>
  <c r="C103" i="87"/>
  <c r="B114" i="87"/>
  <c r="C119" i="87"/>
  <c r="B5" i="87"/>
  <c r="B20" i="87"/>
  <c r="B36" i="87"/>
  <c r="C41" i="87"/>
  <c r="C57" i="87"/>
  <c r="C73" i="87"/>
  <c r="C89" i="87"/>
  <c r="C105" i="87"/>
  <c r="C121" i="87"/>
  <c r="C6" i="87"/>
  <c r="C20" i="87"/>
  <c r="C36" i="87"/>
  <c r="C10" i="87"/>
  <c r="B26" i="87"/>
  <c r="B42" i="87"/>
  <c r="B58" i="87"/>
  <c r="B74" i="87"/>
  <c r="C127" i="87"/>
  <c r="B33" i="87"/>
  <c r="B49" i="87"/>
  <c r="B65" i="87"/>
  <c r="B81" i="87"/>
  <c r="B97" i="87"/>
  <c r="B113" i="87"/>
  <c r="C130" i="87"/>
  <c r="B126" i="87"/>
  <c r="C123" i="87"/>
  <c r="B118" i="87"/>
  <c r="C115" i="87"/>
  <c r="B110" i="87"/>
  <c r="C107" i="87"/>
  <c r="B102" i="87"/>
  <c r="C99" i="87"/>
  <c r="B94" i="87"/>
  <c r="C91" i="87"/>
  <c r="B86" i="87"/>
  <c r="C83" i="87"/>
  <c r="B78" i="87"/>
  <c r="C75" i="87"/>
  <c r="B70" i="87"/>
  <c r="C67" i="87"/>
  <c r="B62" i="87"/>
  <c r="C59" i="87"/>
  <c r="B54" i="87"/>
  <c r="C51" i="87"/>
  <c r="B46" i="87"/>
  <c r="C43" i="87"/>
  <c r="B38" i="87"/>
  <c r="C35" i="87"/>
  <c r="B30" i="87"/>
  <c r="C27" i="87"/>
  <c r="B22" i="87"/>
  <c r="C19" i="87"/>
  <c r="B14" i="87"/>
  <c r="C11" i="87"/>
  <c r="B6" i="87"/>
  <c r="C3" i="87"/>
  <c r="C129" i="87"/>
  <c r="B85" i="87"/>
  <c r="C74" i="87"/>
  <c r="C66" i="87"/>
  <c r="B61" i="87"/>
  <c r="C50" i="87"/>
  <c r="C42" i="87"/>
  <c r="C34" i="87"/>
  <c r="C26" i="87"/>
  <c r="C18" i="87"/>
  <c r="B13" i="87"/>
  <c r="B130" i="87"/>
  <c r="C128" i="87"/>
  <c r="B123" i="87"/>
  <c r="C120" i="87"/>
  <c r="B115" i="87"/>
  <c r="C112" i="87"/>
  <c r="B107" i="87"/>
  <c r="B99" i="87"/>
  <c r="C96" i="87"/>
  <c r="B91" i="87"/>
  <c r="C88" i="87"/>
  <c r="B83" i="87"/>
  <c r="C80" i="87"/>
  <c r="B75" i="87"/>
  <c r="C72" i="87"/>
  <c r="B67" i="87"/>
  <c r="C64" i="87"/>
  <c r="B59" i="87"/>
  <c r="C56" i="87"/>
  <c r="B51" i="87"/>
  <c r="C48" i="87"/>
  <c r="B43" i="87"/>
  <c r="C40" i="87"/>
  <c r="B35" i="87"/>
  <c r="C32" i="87"/>
  <c r="B27" i="87"/>
  <c r="C24" i="87"/>
  <c r="B19" i="87"/>
  <c r="C16" i="87"/>
  <c r="B11" i="87"/>
  <c r="C8" i="87"/>
  <c r="B3" i="87"/>
  <c r="B125" i="87"/>
  <c r="C114" i="87"/>
  <c r="C106" i="87"/>
  <c r="C98" i="87"/>
  <c r="C90" i="87"/>
  <c r="C82" i="87"/>
  <c r="B53" i="87"/>
  <c r="B45" i="87"/>
  <c r="B128" i="87"/>
  <c r="C125" i="87"/>
  <c r="B120" i="87"/>
  <c r="C117" i="87"/>
  <c r="B112" i="87"/>
  <c r="C109" i="87"/>
  <c r="B104" i="87"/>
  <c r="C101" i="87"/>
  <c r="B96" i="87"/>
  <c r="C93" i="87"/>
  <c r="B88" i="87"/>
  <c r="C85" i="87"/>
  <c r="B80" i="87"/>
  <c r="C77" i="87"/>
  <c r="B72" i="87"/>
  <c r="C69" i="87"/>
  <c r="B64" i="87"/>
  <c r="C61" i="87"/>
  <c r="B56" i="87"/>
  <c r="C53" i="87"/>
  <c r="B48" i="87"/>
  <c r="C45" i="87"/>
  <c r="B40" i="87"/>
  <c r="C37" i="87"/>
  <c r="B32" i="87"/>
  <c r="C29" i="87"/>
  <c r="B24" i="87"/>
  <c r="C21" i="87"/>
  <c r="B16" i="87"/>
  <c r="C13" i="87"/>
  <c r="B8" i="87"/>
  <c r="C5" i="87"/>
  <c r="C122" i="87"/>
  <c r="B117" i="87"/>
  <c r="B109" i="87"/>
  <c r="B101" i="87"/>
  <c r="B93" i="87"/>
  <c r="B77" i="87"/>
  <c r="B69" i="87"/>
  <c r="C58" i="87"/>
  <c r="B37" i="87"/>
  <c r="B29" i="87"/>
  <c r="B21" i="87"/>
  <c r="C9" i="87"/>
  <c r="C14" i="87"/>
  <c r="B25" i="87"/>
  <c r="C30" i="87"/>
  <c r="B41" i="87"/>
  <c r="C46" i="87"/>
  <c r="B57" i="87"/>
  <c r="C62" i="87"/>
  <c r="B73" i="87"/>
  <c r="C78" i="87"/>
  <c r="B89" i="87"/>
  <c r="C94" i="87"/>
  <c r="B105" i="87"/>
  <c r="C110" i="87"/>
  <c r="B121" i="87"/>
  <c r="C126" i="87"/>
  <c r="M10" i="87"/>
  <c r="L9" i="64"/>
  <c r="L8" i="64"/>
  <c r="L7" i="64"/>
  <c r="L6" i="64"/>
  <c r="L5" i="64"/>
  <c r="L4" i="64"/>
  <c r="K3" i="64"/>
  <c r="K10" i="64" s="1"/>
  <c r="O39" i="4" l="1"/>
  <c r="O29" i="4"/>
  <c r="O28" i="4"/>
  <c r="O27" i="4"/>
  <c r="O26" i="4"/>
  <c r="O34" i="4"/>
  <c r="O45" i="4"/>
  <c r="O40" i="4"/>
  <c r="R28" i="4"/>
  <c r="R27" i="4"/>
  <c r="R34" i="4"/>
  <c r="R45" i="4"/>
  <c r="R40" i="4"/>
  <c r="R39" i="4"/>
  <c r="R29" i="4"/>
  <c r="R26" i="4"/>
  <c r="O10" i="4"/>
  <c r="O20" i="4"/>
  <c r="O17" i="4"/>
  <c r="O19" i="4"/>
  <c r="O18" i="4"/>
  <c r="O7" i="4"/>
  <c r="Q3" i="4"/>
  <c r="O12" i="4"/>
  <c r="Q2" i="4"/>
  <c r="E80" i="87"/>
  <c r="F80" i="87" s="1"/>
  <c r="E128" i="87"/>
  <c r="F128" i="87" s="1"/>
  <c r="K19" i="3" s="1"/>
  <c r="E8" i="87"/>
  <c r="F8" i="87" s="1"/>
  <c r="E72" i="87"/>
  <c r="F72" i="87" s="1"/>
  <c r="R18" i="4"/>
  <c r="R20" i="4"/>
  <c r="R21" i="4"/>
  <c r="R17" i="4"/>
  <c r="R19" i="4"/>
  <c r="E64" i="87"/>
  <c r="F64" i="87" s="1"/>
  <c r="E145" i="87"/>
  <c r="F145" i="87" s="1"/>
  <c r="E16" i="87"/>
  <c r="F16" i="87" s="1"/>
  <c r="E84" i="87"/>
  <c r="F84" i="87" s="1"/>
  <c r="E32" i="87"/>
  <c r="F32" i="87" s="1"/>
  <c r="E138" i="87"/>
  <c r="F138" i="87" s="1"/>
  <c r="E96" i="87"/>
  <c r="F96" i="87" s="1"/>
  <c r="E34" i="87"/>
  <c r="F34" i="87" s="1"/>
  <c r="E100" i="87"/>
  <c r="F100" i="87" s="1"/>
  <c r="E136" i="87"/>
  <c r="F136" i="87" s="1"/>
  <c r="E135" i="87"/>
  <c r="F135" i="87" s="1"/>
  <c r="E142" i="87"/>
  <c r="F142" i="87" s="1"/>
  <c r="E40" i="87"/>
  <c r="F40" i="87" s="1"/>
  <c r="E104" i="87"/>
  <c r="F104" i="87" s="1"/>
  <c r="K27" i="3" s="1"/>
  <c r="E13" i="87"/>
  <c r="F13" i="87" s="1"/>
  <c r="E144" i="87"/>
  <c r="F144" i="87" s="1"/>
  <c r="E24" i="87"/>
  <c r="F24" i="87" s="1"/>
  <c r="E88" i="87"/>
  <c r="F88" i="87" s="1"/>
  <c r="D1" i="87"/>
  <c r="C1" i="87"/>
  <c r="B1" i="87"/>
  <c r="E56" i="87"/>
  <c r="F56" i="87" s="1"/>
  <c r="E120" i="87"/>
  <c r="F120" i="87" s="1"/>
  <c r="E137" i="87"/>
  <c r="F137" i="87" s="1"/>
  <c r="E98" i="87"/>
  <c r="F98" i="87" s="1"/>
  <c r="E53" i="87"/>
  <c r="F53" i="87" s="1"/>
  <c r="E22" i="87"/>
  <c r="F22" i="87" s="1"/>
  <c r="E54" i="87"/>
  <c r="F54" i="87" s="1"/>
  <c r="E49" i="87"/>
  <c r="F49" i="87" s="1"/>
  <c r="E103" i="87"/>
  <c r="F103" i="87" s="1"/>
  <c r="E39" i="87"/>
  <c r="F39" i="87" s="1"/>
  <c r="E143" i="87"/>
  <c r="F143" i="87" s="1"/>
  <c r="E89" i="87"/>
  <c r="F89" i="87" s="1"/>
  <c r="E25" i="87"/>
  <c r="F25" i="87" s="1"/>
  <c r="E77" i="87"/>
  <c r="F77" i="87" s="1"/>
  <c r="E11" i="87"/>
  <c r="F11" i="87" s="1"/>
  <c r="E43" i="87"/>
  <c r="F43" i="87" s="1"/>
  <c r="E75" i="87"/>
  <c r="F75" i="87" s="1"/>
  <c r="E107" i="87"/>
  <c r="F107" i="87" s="1"/>
  <c r="E85" i="87"/>
  <c r="F85" i="87" s="1"/>
  <c r="E63" i="87"/>
  <c r="F63" i="87" s="1"/>
  <c r="E52" i="87"/>
  <c r="F52" i="87" s="1"/>
  <c r="E132" i="87"/>
  <c r="F132" i="87" s="1"/>
  <c r="E48" i="87"/>
  <c r="F48" i="87" s="1"/>
  <c r="U33" i="80" s="1"/>
  <c r="E112" i="87"/>
  <c r="F112" i="87" s="1"/>
  <c r="E140" i="87"/>
  <c r="F140" i="87" s="1"/>
  <c r="E134" i="87"/>
  <c r="F134" i="87" s="1"/>
  <c r="U15" i="80" s="1"/>
  <c r="E139" i="87"/>
  <c r="E118" i="87"/>
  <c r="F118" i="87" s="1"/>
  <c r="E73" i="87"/>
  <c r="F73" i="87" s="1"/>
  <c r="E133" i="87"/>
  <c r="F133" i="87" s="1"/>
  <c r="E113" i="87"/>
  <c r="F113" i="87" s="1"/>
  <c r="E102" i="87"/>
  <c r="F102" i="87" s="1"/>
  <c r="K28" i="3" s="1"/>
  <c r="E141" i="87"/>
  <c r="F141" i="87" s="1"/>
  <c r="E69" i="87"/>
  <c r="F69" i="87" s="1"/>
  <c r="E93" i="87"/>
  <c r="F93" i="87" s="1"/>
  <c r="E62" i="87"/>
  <c r="F62" i="87" s="1"/>
  <c r="E126" i="87"/>
  <c r="F126" i="87" s="1"/>
  <c r="E33" i="87"/>
  <c r="F33" i="87" s="1"/>
  <c r="E101" i="87"/>
  <c r="F101" i="87" s="1"/>
  <c r="E19" i="87"/>
  <c r="F19" i="87" s="1"/>
  <c r="E51" i="87"/>
  <c r="F51" i="87" s="1"/>
  <c r="E83" i="87"/>
  <c r="F83" i="87" s="1"/>
  <c r="E115" i="87"/>
  <c r="F115" i="87" s="1"/>
  <c r="E5" i="87"/>
  <c r="F5" i="87" s="1"/>
  <c r="E66" i="87"/>
  <c r="F66" i="87" s="1"/>
  <c r="E10" i="87"/>
  <c r="F10" i="87" s="1"/>
  <c r="E58" i="87"/>
  <c r="F58" i="87" s="1"/>
  <c r="E57" i="87"/>
  <c r="F57" i="87" s="1"/>
  <c r="E86" i="87"/>
  <c r="F86" i="87" s="1"/>
  <c r="E37" i="87"/>
  <c r="F37" i="87" s="1"/>
  <c r="E131" i="87"/>
  <c r="F131" i="87" s="1"/>
  <c r="K12" i="3" s="1"/>
  <c r="K12" i="4" s="1"/>
  <c r="E79" i="87"/>
  <c r="F79" i="87" s="1"/>
  <c r="E18" i="87"/>
  <c r="F18" i="87" s="1"/>
  <c r="E92" i="87"/>
  <c r="F92" i="87" s="1"/>
  <c r="E95" i="87"/>
  <c r="F95" i="87" s="1"/>
  <c r="E9" i="87"/>
  <c r="F9" i="87" s="1"/>
  <c r="E23" i="87"/>
  <c r="F23" i="87" s="1"/>
  <c r="E121" i="87"/>
  <c r="F121" i="87" s="1"/>
  <c r="E91" i="87"/>
  <c r="F91" i="87" s="1"/>
  <c r="E97" i="87"/>
  <c r="F97" i="87" s="1"/>
  <c r="E42" i="87"/>
  <c r="F42" i="87" s="1"/>
  <c r="E7" i="87"/>
  <c r="F7" i="87" s="1"/>
  <c r="E68" i="87"/>
  <c r="F68" i="87" s="1"/>
  <c r="E71" i="87"/>
  <c r="F71" i="87" s="1"/>
  <c r="E4" i="87"/>
  <c r="F4" i="87" s="1"/>
  <c r="E31" i="87"/>
  <c r="F31" i="87" s="1"/>
  <c r="E129" i="87"/>
  <c r="F129" i="87" s="1"/>
  <c r="E44" i="87"/>
  <c r="F44" i="87" s="1"/>
  <c r="E36" i="87"/>
  <c r="F36" i="87" s="1"/>
  <c r="E94" i="87"/>
  <c r="F94" i="87" s="1"/>
  <c r="E82" i="87"/>
  <c r="F82" i="87" s="1"/>
  <c r="E74" i="87"/>
  <c r="F74" i="87" s="1"/>
  <c r="E47" i="87"/>
  <c r="F47" i="87" s="1"/>
  <c r="E21" i="87"/>
  <c r="F21" i="87" s="1"/>
  <c r="E6" i="87"/>
  <c r="F6" i="87" s="1"/>
  <c r="E12" i="87"/>
  <c r="F12" i="87" s="1"/>
  <c r="E117" i="87"/>
  <c r="F117" i="87" s="1"/>
  <c r="K18" i="3" s="1"/>
  <c r="E59" i="87"/>
  <c r="F59" i="87" s="1"/>
  <c r="E125" i="87"/>
  <c r="F125" i="87" s="1"/>
  <c r="E61" i="87"/>
  <c r="F61" i="87" s="1"/>
  <c r="E14" i="87"/>
  <c r="F14" i="87" s="1"/>
  <c r="E46" i="87"/>
  <c r="F46" i="87" s="1"/>
  <c r="E78" i="87"/>
  <c r="F78" i="87" s="1"/>
  <c r="E110" i="87"/>
  <c r="F110" i="87" s="1"/>
  <c r="E81" i="87"/>
  <c r="F81" i="87" s="1"/>
  <c r="E26" i="87"/>
  <c r="F26" i="87" s="1"/>
  <c r="E114" i="87"/>
  <c r="F114" i="87" s="1"/>
  <c r="E50" i="87"/>
  <c r="F50" i="87" s="1"/>
  <c r="E122" i="87"/>
  <c r="F122" i="87" s="1"/>
  <c r="E127" i="87"/>
  <c r="F127" i="87" s="1"/>
  <c r="K33" i="3" s="1"/>
  <c r="K28" i="4" s="1"/>
  <c r="E124" i="87"/>
  <c r="F124" i="87" s="1"/>
  <c r="K32" i="3" s="1"/>
  <c r="E60" i="87"/>
  <c r="F60" i="87" s="1"/>
  <c r="E106" i="87"/>
  <c r="F106" i="87" s="1"/>
  <c r="K47" i="3" s="1"/>
  <c r="E15" i="87"/>
  <c r="F15" i="87" s="1"/>
  <c r="E108" i="87"/>
  <c r="F108" i="87" s="1"/>
  <c r="E30" i="87"/>
  <c r="F30" i="87" s="1"/>
  <c r="E20" i="87"/>
  <c r="F20" i="87" s="1"/>
  <c r="E28" i="87"/>
  <c r="F28" i="87" s="1"/>
  <c r="E87" i="87"/>
  <c r="F87" i="87" s="1"/>
  <c r="E109" i="87"/>
  <c r="F109" i="87" s="1"/>
  <c r="E38" i="87"/>
  <c r="F38" i="87" s="1"/>
  <c r="E70" i="87"/>
  <c r="F70" i="87" s="1"/>
  <c r="E17" i="87"/>
  <c r="F17" i="87" s="1"/>
  <c r="E76" i="87"/>
  <c r="F76" i="87" s="1"/>
  <c r="E29" i="87"/>
  <c r="F29" i="87" s="1"/>
  <c r="E27" i="87"/>
  <c r="F27" i="87" s="1"/>
  <c r="E123" i="87"/>
  <c r="F123" i="87" s="1"/>
  <c r="E105" i="87"/>
  <c r="F105" i="87" s="1"/>
  <c r="K20" i="3" s="1"/>
  <c r="E41" i="87"/>
  <c r="F41" i="87" s="1"/>
  <c r="E45" i="87"/>
  <c r="F45" i="87" s="1"/>
  <c r="E35" i="87"/>
  <c r="F35" i="87" s="1"/>
  <c r="E67" i="87"/>
  <c r="F67" i="87" s="1"/>
  <c r="E99" i="87"/>
  <c r="F99" i="87" s="1"/>
  <c r="E130" i="87"/>
  <c r="F130" i="87" s="1"/>
  <c r="E65" i="87"/>
  <c r="F65" i="87" s="1"/>
  <c r="E111" i="87"/>
  <c r="F111" i="87" s="1"/>
  <c r="E119" i="87"/>
  <c r="F119" i="87" s="1"/>
  <c r="E55" i="87"/>
  <c r="F55" i="87" s="1"/>
  <c r="E90" i="87"/>
  <c r="F90" i="87" s="1"/>
  <c r="E116" i="87"/>
  <c r="F116" i="87" s="1"/>
  <c r="E3" i="87"/>
  <c r="L3" i="64"/>
  <c r="L10" i="64" s="1"/>
  <c r="H8" i="82" l="1"/>
  <c r="K39" i="4"/>
  <c r="Q28" i="4"/>
  <c r="Q40" i="4"/>
  <c r="Q34" i="4"/>
  <c r="Q45" i="4"/>
  <c r="Q39" i="4"/>
  <c r="Q27" i="4"/>
  <c r="Q29" i="4"/>
  <c r="I26" i="82"/>
  <c r="O11" i="4"/>
  <c r="I18" i="82"/>
  <c r="U11" i="80"/>
  <c r="K18" i="4"/>
  <c r="K20" i="4"/>
  <c r="Q20" i="4"/>
  <c r="Q17" i="4"/>
  <c r="Q18" i="4"/>
  <c r="O21" i="4"/>
  <c r="K19" i="4"/>
  <c r="K52" i="90"/>
  <c r="K31" i="3"/>
  <c r="K30" i="3" s="1"/>
  <c r="K27" i="4" s="1"/>
  <c r="K7" i="3"/>
  <c r="K8" i="3"/>
  <c r="U28" i="80"/>
  <c r="U41" i="80"/>
  <c r="U36" i="80"/>
  <c r="U20" i="80"/>
  <c r="U8" i="80"/>
  <c r="U21" i="80"/>
  <c r="U39" i="80"/>
  <c r="U19" i="80"/>
  <c r="U29" i="80"/>
  <c r="F139" i="87"/>
  <c r="E1" i="87"/>
  <c r="K17" i="3"/>
  <c r="K26" i="3"/>
  <c r="K26" i="4" s="1"/>
  <c r="K48" i="3"/>
  <c r="K40" i="4" s="1"/>
  <c r="F3" i="87"/>
  <c r="U38" i="80" s="1"/>
  <c r="K37" i="3"/>
  <c r="K21" i="3"/>
  <c r="K21" i="4" s="1"/>
  <c r="K36" i="3"/>
  <c r="K35" i="3"/>
  <c r="L11" i="87"/>
  <c r="Q7" i="4" l="1"/>
  <c r="Q10" i="4"/>
  <c r="Q12" i="4"/>
  <c r="Q8" i="4"/>
  <c r="K5" i="90"/>
  <c r="K73" i="90"/>
  <c r="Q21" i="4"/>
  <c r="K74" i="90"/>
  <c r="I13" i="82"/>
  <c r="I14" i="82"/>
  <c r="I35" i="82"/>
  <c r="I16" i="82"/>
  <c r="I15" i="82"/>
  <c r="I17" i="82"/>
  <c r="O8" i="4"/>
  <c r="O14" i="4" s="1"/>
  <c r="O15" i="4" s="1"/>
  <c r="H37" i="82"/>
  <c r="I24" i="82"/>
  <c r="K76" i="90"/>
  <c r="K7" i="4"/>
  <c r="K57" i="90"/>
  <c r="K56" i="90"/>
  <c r="K8" i="4"/>
  <c r="K60" i="90"/>
  <c r="K59" i="90"/>
  <c r="K17" i="4"/>
  <c r="K51" i="90"/>
  <c r="K50" i="90" s="1"/>
  <c r="U27" i="80"/>
  <c r="H25" i="82"/>
  <c r="H9" i="82"/>
  <c r="K14" i="3"/>
  <c r="U17" i="80"/>
  <c r="U35" i="80"/>
  <c r="F1" i="87"/>
  <c r="K34" i="3"/>
  <c r="K29" i="4" s="1"/>
  <c r="Q11" i="4" l="1"/>
  <c r="Q14" i="4" s="1"/>
  <c r="Q15" i="4" s="1"/>
  <c r="K61" i="90"/>
  <c r="I19" i="82"/>
  <c r="I21" i="82" s="1"/>
  <c r="I27" i="82"/>
  <c r="O23" i="4"/>
  <c r="K14" i="4"/>
  <c r="K15" i="4" s="1"/>
  <c r="K70" i="90"/>
  <c r="K69" i="90"/>
  <c r="K71" i="90" s="1"/>
  <c r="K15" i="3"/>
  <c r="U43" i="80"/>
  <c r="K23" i="3"/>
  <c r="K24" i="3" s="1"/>
  <c r="G32" i="82"/>
  <c r="B57" i="58"/>
  <c r="G57" i="58" s="1"/>
  <c r="B74" i="46"/>
  <c r="G74" i="46" s="1"/>
  <c r="B47" i="46"/>
  <c r="G47" i="46" s="1"/>
  <c r="F32" i="82"/>
  <c r="E32" i="82"/>
  <c r="D32" i="82"/>
  <c r="C32" i="82"/>
  <c r="B51" i="43"/>
  <c r="G51" i="43" s="1"/>
  <c r="Q19" i="4" l="1"/>
  <c r="Q23" i="4" s="1"/>
  <c r="Q24" i="4" s="1"/>
  <c r="O24" i="4"/>
  <c r="O31" i="4"/>
  <c r="I34" i="82"/>
  <c r="I36" i="82" s="1"/>
  <c r="I38" i="82" s="1"/>
  <c r="K23" i="4"/>
  <c r="K39" i="3"/>
  <c r="K44" i="3" s="1"/>
  <c r="K45" i="3" s="1"/>
  <c r="L59" i="3" l="1"/>
  <c r="L60" i="3" s="1"/>
  <c r="K24" i="4"/>
  <c r="K31" i="4"/>
  <c r="O32" i="4"/>
  <c r="O36" i="4"/>
  <c r="K50" i="3"/>
  <c r="K40" i="3"/>
  <c r="P40" i="80"/>
  <c r="P37" i="80"/>
  <c r="P32" i="80"/>
  <c r="P31" i="80"/>
  <c r="P30" i="80"/>
  <c r="T40" i="80"/>
  <c r="T37" i="80"/>
  <c r="T32" i="80"/>
  <c r="T31" i="80"/>
  <c r="T30" i="80"/>
  <c r="T18" i="80"/>
  <c r="T14" i="80"/>
  <c r="T13" i="80"/>
  <c r="T12" i="80"/>
  <c r="S40" i="80"/>
  <c r="S37" i="80"/>
  <c r="S32" i="80"/>
  <c r="S31" i="80"/>
  <c r="S30" i="80"/>
  <c r="S18" i="80"/>
  <c r="S14" i="80"/>
  <c r="S13" i="80"/>
  <c r="S12" i="80"/>
  <c r="R40" i="80"/>
  <c r="R37" i="80"/>
  <c r="R32" i="80"/>
  <c r="R31" i="80"/>
  <c r="R30" i="80"/>
  <c r="R18" i="80"/>
  <c r="R14" i="80"/>
  <c r="R13" i="80"/>
  <c r="R12" i="80"/>
  <c r="Q40" i="80"/>
  <c r="Q37" i="80"/>
  <c r="Q32" i="80"/>
  <c r="Q31" i="80"/>
  <c r="Q30" i="80"/>
  <c r="Q18" i="80"/>
  <c r="Q14" i="80"/>
  <c r="Q13" i="80"/>
  <c r="Q12" i="80"/>
  <c r="P18" i="80"/>
  <c r="P14" i="80"/>
  <c r="P13" i="80"/>
  <c r="P12" i="80"/>
  <c r="O40" i="80"/>
  <c r="O37" i="80"/>
  <c r="O33" i="80"/>
  <c r="O31" i="80"/>
  <c r="O30" i="80"/>
  <c r="O18" i="80"/>
  <c r="O15" i="80"/>
  <c r="O14" i="80"/>
  <c r="O13" i="80"/>
  <c r="O12" i="80"/>
  <c r="N40" i="80"/>
  <c r="N37" i="80"/>
  <c r="N33" i="80"/>
  <c r="N31" i="80"/>
  <c r="N30" i="80"/>
  <c r="N18" i="80"/>
  <c r="N15" i="80"/>
  <c r="N14" i="80"/>
  <c r="N13" i="80"/>
  <c r="N12" i="80"/>
  <c r="M40" i="80"/>
  <c r="M37" i="80"/>
  <c r="M33" i="80"/>
  <c r="M31" i="80"/>
  <c r="M30" i="80"/>
  <c r="M18" i="80"/>
  <c r="M15" i="80"/>
  <c r="M14" i="80"/>
  <c r="M13" i="80"/>
  <c r="M12" i="80"/>
  <c r="L40" i="80"/>
  <c r="L37" i="80"/>
  <c r="L33" i="80"/>
  <c r="L31" i="80"/>
  <c r="L30" i="80"/>
  <c r="L18" i="80"/>
  <c r="L15" i="80"/>
  <c r="L14" i="80"/>
  <c r="L13" i="80"/>
  <c r="L12" i="80"/>
  <c r="K40" i="80"/>
  <c r="K37" i="80"/>
  <c r="K33" i="80"/>
  <c r="K31" i="80"/>
  <c r="K30" i="80"/>
  <c r="K18" i="80"/>
  <c r="K15" i="80"/>
  <c r="K14" i="80"/>
  <c r="K13" i="80"/>
  <c r="K12" i="80"/>
  <c r="J40" i="80"/>
  <c r="J37" i="80"/>
  <c r="J33" i="80"/>
  <c r="J31" i="80"/>
  <c r="J30" i="80"/>
  <c r="J18" i="80"/>
  <c r="J15" i="80"/>
  <c r="J14" i="80"/>
  <c r="J13" i="80"/>
  <c r="J12" i="80"/>
  <c r="I18" i="80"/>
  <c r="I15" i="80"/>
  <c r="I14" i="80"/>
  <c r="I13" i="80"/>
  <c r="I12" i="80"/>
  <c r="I33" i="80"/>
  <c r="I31" i="80"/>
  <c r="I30" i="80"/>
  <c r="I40" i="80"/>
  <c r="I37" i="80"/>
  <c r="H40" i="80"/>
  <c r="H37" i="80"/>
  <c r="H33" i="80"/>
  <c r="H31" i="80"/>
  <c r="H30" i="80"/>
  <c r="H18" i="80"/>
  <c r="H15" i="80"/>
  <c r="H14" i="80"/>
  <c r="H13" i="80"/>
  <c r="D13" i="80"/>
  <c r="E13" i="80"/>
  <c r="F13" i="80"/>
  <c r="G13" i="80"/>
  <c r="D14" i="80"/>
  <c r="E14" i="80"/>
  <c r="F14" i="80"/>
  <c r="G14" i="80"/>
  <c r="D15" i="80"/>
  <c r="E15" i="80"/>
  <c r="F15" i="80"/>
  <c r="G15" i="80"/>
  <c r="D18" i="80"/>
  <c r="E18" i="80"/>
  <c r="F18" i="80"/>
  <c r="G18" i="80"/>
  <c r="D28" i="80"/>
  <c r="D29" i="80"/>
  <c r="E29" i="80"/>
  <c r="D30" i="80"/>
  <c r="E30" i="80"/>
  <c r="F30" i="80"/>
  <c r="G30" i="80"/>
  <c r="D31" i="80"/>
  <c r="E31" i="80"/>
  <c r="F31" i="80"/>
  <c r="G31" i="80"/>
  <c r="D33" i="80"/>
  <c r="E33" i="80"/>
  <c r="F33" i="80"/>
  <c r="G33" i="80"/>
  <c r="D36" i="80"/>
  <c r="D37" i="80"/>
  <c r="E37" i="80"/>
  <c r="F37" i="80"/>
  <c r="G37" i="80"/>
  <c r="D38" i="80"/>
  <c r="D40" i="80"/>
  <c r="E40" i="80"/>
  <c r="F40" i="80"/>
  <c r="G40" i="80"/>
  <c r="J42" i="3"/>
  <c r="J34" i="4" s="1"/>
  <c r="B175" i="78"/>
  <c r="B174" i="78"/>
  <c r="G174" i="78" s="1"/>
  <c r="B173" i="78"/>
  <c r="G173" i="78" s="1"/>
  <c r="B172" i="78"/>
  <c r="G172" i="78" s="1"/>
  <c r="B171" i="78"/>
  <c r="G171" i="78" s="1"/>
  <c r="B170" i="78"/>
  <c r="G170" i="78" s="1"/>
  <c r="B169" i="78"/>
  <c r="G169" i="78" s="1"/>
  <c r="B168" i="78"/>
  <c r="G168" i="78" s="1"/>
  <c r="B167" i="78"/>
  <c r="G167" i="78" s="1"/>
  <c r="B166" i="78"/>
  <c r="G166" i="78" s="1"/>
  <c r="B165" i="78"/>
  <c r="G165" i="78" s="1"/>
  <c r="B164" i="78"/>
  <c r="G164" i="78" s="1"/>
  <c r="B163" i="78"/>
  <c r="G163" i="78" s="1"/>
  <c r="B162" i="78"/>
  <c r="G162" i="78" s="1"/>
  <c r="B161" i="78"/>
  <c r="G161" i="78" s="1"/>
  <c r="B160" i="78"/>
  <c r="G160" i="78" s="1"/>
  <c r="B158" i="78"/>
  <c r="G158" i="78" s="1"/>
  <c r="B157" i="78"/>
  <c r="G157" i="78" s="1"/>
  <c r="B156" i="78"/>
  <c r="G156" i="78" s="1"/>
  <c r="B155" i="78"/>
  <c r="G155" i="78" s="1"/>
  <c r="B154" i="78"/>
  <c r="G154" i="78" s="1"/>
  <c r="B153" i="78"/>
  <c r="B152" i="78"/>
  <c r="B150" i="78"/>
  <c r="G150" i="78" s="1"/>
  <c r="B149" i="78"/>
  <c r="G149" i="78" s="1"/>
  <c r="B148" i="78"/>
  <c r="G148" i="78" s="1"/>
  <c r="B147" i="78"/>
  <c r="G147" i="78" s="1"/>
  <c r="B146" i="78"/>
  <c r="B145" i="78"/>
  <c r="G145" i="78" s="1"/>
  <c r="B144" i="78"/>
  <c r="G144" i="78" s="1"/>
  <c r="B143" i="78"/>
  <c r="G143" i="78" s="1"/>
  <c r="B142" i="78"/>
  <c r="G142" i="78" s="1"/>
  <c r="B141" i="78"/>
  <c r="G141" i="78" s="1"/>
  <c r="B140" i="78"/>
  <c r="G140" i="78" s="1"/>
  <c r="B139" i="78"/>
  <c r="G139" i="78" s="1"/>
  <c r="B138" i="78"/>
  <c r="B132" i="78"/>
  <c r="G132" i="78" s="1"/>
  <c r="B130" i="78"/>
  <c r="G130" i="78" s="1"/>
  <c r="B126" i="78"/>
  <c r="B125" i="78"/>
  <c r="G125" i="78" s="1"/>
  <c r="B124" i="78"/>
  <c r="B123" i="78"/>
  <c r="B122" i="78"/>
  <c r="G122" i="78" s="1"/>
  <c r="B121" i="78"/>
  <c r="G121" i="78" s="1"/>
  <c r="B120" i="78"/>
  <c r="G120" i="78" s="1"/>
  <c r="B119" i="78"/>
  <c r="G119" i="78" s="1"/>
  <c r="B118" i="78"/>
  <c r="G118" i="78" s="1"/>
  <c r="B117" i="78"/>
  <c r="G117" i="78" s="1"/>
  <c r="B116" i="78"/>
  <c r="G116" i="78" s="1"/>
  <c r="B115" i="78"/>
  <c r="G115" i="78" s="1"/>
  <c r="B114" i="78"/>
  <c r="G114" i="78" s="1"/>
  <c r="B113" i="78"/>
  <c r="G113" i="78" s="1"/>
  <c r="B112" i="78"/>
  <c r="G112" i="78" s="1"/>
  <c r="B111" i="78"/>
  <c r="G111" i="78" s="1"/>
  <c r="B110" i="78"/>
  <c r="G110" i="78" s="1"/>
  <c r="B109" i="78"/>
  <c r="G109" i="78" s="1"/>
  <c r="B108" i="78"/>
  <c r="G108" i="78" s="1"/>
  <c r="B106" i="78"/>
  <c r="G106" i="78" s="1"/>
  <c r="B105" i="78"/>
  <c r="B104" i="78"/>
  <c r="G104" i="78" s="1"/>
  <c r="B103" i="78"/>
  <c r="G103" i="78" s="1"/>
  <c r="B102" i="78"/>
  <c r="G102" i="78" s="1"/>
  <c r="B101" i="78"/>
  <c r="G101" i="78" s="1"/>
  <c r="B100" i="78"/>
  <c r="G100" i="78" s="1"/>
  <c r="B99" i="78"/>
  <c r="G99" i="78" s="1"/>
  <c r="B98" i="78"/>
  <c r="G98" i="78" s="1"/>
  <c r="B97" i="78"/>
  <c r="G97" i="78" s="1"/>
  <c r="B96" i="78"/>
  <c r="G96" i="78" s="1"/>
  <c r="B95" i="78"/>
  <c r="G95" i="78" s="1"/>
  <c r="B92" i="78"/>
  <c r="G92" i="78" s="1"/>
  <c r="B91" i="78"/>
  <c r="G91" i="78" s="1"/>
  <c r="B90" i="78"/>
  <c r="G90" i="78" s="1"/>
  <c r="B89" i="78"/>
  <c r="B88" i="78"/>
  <c r="B87" i="78"/>
  <c r="G87" i="78" s="1"/>
  <c r="B86" i="78"/>
  <c r="G86" i="78" s="1"/>
  <c r="B85" i="78"/>
  <c r="B84" i="78"/>
  <c r="G84" i="78" s="1"/>
  <c r="B83" i="78"/>
  <c r="B82" i="78"/>
  <c r="B81" i="78"/>
  <c r="G81" i="78" s="1"/>
  <c r="B80" i="78"/>
  <c r="G80" i="78" s="1"/>
  <c r="B79" i="78"/>
  <c r="G79" i="78" s="1"/>
  <c r="B78" i="78"/>
  <c r="G78" i="78" s="1"/>
  <c r="B77" i="78"/>
  <c r="G77" i="78" s="1"/>
  <c r="B76" i="78"/>
  <c r="G76" i="78" s="1"/>
  <c r="B75" i="78"/>
  <c r="G75" i="78" s="1"/>
  <c r="B74" i="78"/>
  <c r="G74" i="78" s="1"/>
  <c r="B73" i="78"/>
  <c r="G73" i="78" s="1"/>
  <c r="B72" i="78"/>
  <c r="B71" i="78"/>
  <c r="B70" i="78"/>
  <c r="G70" i="78" s="1"/>
  <c r="B69" i="78"/>
  <c r="G69" i="78" s="1"/>
  <c r="B68" i="78"/>
  <c r="B67" i="78"/>
  <c r="G67" i="78" s="1"/>
  <c r="B66" i="78"/>
  <c r="G66" i="78" s="1"/>
  <c r="B65" i="78"/>
  <c r="G65" i="78" s="1"/>
  <c r="B64" i="78"/>
  <c r="G64" i="78" s="1"/>
  <c r="B63" i="78"/>
  <c r="G63" i="78" s="1"/>
  <c r="B62" i="78"/>
  <c r="B61" i="78"/>
  <c r="G61" i="78" s="1"/>
  <c r="B60" i="78"/>
  <c r="G60" i="78" s="1"/>
  <c r="B59" i="78"/>
  <c r="G59" i="78" s="1"/>
  <c r="B58" i="78"/>
  <c r="G58" i="78" s="1"/>
  <c r="B57" i="78"/>
  <c r="G57" i="78" s="1"/>
  <c r="B56" i="78"/>
  <c r="G56" i="78" s="1"/>
  <c r="B55" i="78"/>
  <c r="G55" i="78" s="1"/>
  <c r="B53" i="78"/>
  <c r="G53" i="78" s="1"/>
  <c r="B52" i="78"/>
  <c r="G52" i="78" s="1"/>
  <c r="B51" i="78"/>
  <c r="G51" i="78" s="1"/>
  <c r="B50" i="78"/>
  <c r="G50" i="78" s="1"/>
  <c r="B49" i="78"/>
  <c r="B48" i="78"/>
  <c r="B47" i="78"/>
  <c r="G47" i="78" s="1"/>
  <c r="B46" i="78"/>
  <c r="G46" i="78" s="1"/>
  <c r="B45" i="78"/>
  <c r="G45" i="78" s="1"/>
  <c r="B44" i="78"/>
  <c r="G44" i="78" s="1"/>
  <c r="B43" i="78"/>
  <c r="G43" i="78" s="1"/>
  <c r="B42" i="78"/>
  <c r="G42" i="78" s="1"/>
  <c r="B41" i="78"/>
  <c r="G41" i="78" s="1"/>
  <c r="B40" i="78"/>
  <c r="G40" i="78" s="1"/>
  <c r="B39" i="78"/>
  <c r="G39" i="78" s="1"/>
  <c r="B38" i="78"/>
  <c r="G38" i="78" s="1"/>
  <c r="B37" i="78"/>
  <c r="G37" i="78" s="1"/>
  <c r="B36" i="78"/>
  <c r="G36" i="78" s="1"/>
  <c r="B35" i="78"/>
  <c r="G35" i="78" s="1"/>
  <c r="B34" i="78"/>
  <c r="G34" i="78" s="1"/>
  <c r="B33" i="78"/>
  <c r="G33" i="78" s="1"/>
  <c r="B32" i="78"/>
  <c r="G32" i="78" s="1"/>
  <c r="B31" i="78"/>
  <c r="G31" i="78" s="1"/>
  <c r="B30" i="78"/>
  <c r="G30" i="78" s="1"/>
  <c r="B29" i="78"/>
  <c r="G29" i="78" s="1"/>
  <c r="B28" i="78"/>
  <c r="G28" i="78" s="1"/>
  <c r="B27" i="78"/>
  <c r="G27" i="78" s="1"/>
  <c r="B26" i="78"/>
  <c r="G26" i="78" s="1"/>
  <c r="B25" i="78"/>
  <c r="G25" i="78" s="1"/>
  <c r="B24" i="78"/>
  <c r="B23" i="78"/>
  <c r="B22" i="78"/>
  <c r="B21" i="78"/>
  <c r="G21" i="78" s="1"/>
  <c r="B20" i="78"/>
  <c r="G20" i="78" s="1"/>
  <c r="B19" i="78"/>
  <c r="G19" i="78" s="1"/>
  <c r="B18" i="78"/>
  <c r="B17" i="78"/>
  <c r="G17" i="78" s="1"/>
  <c r="B16" i="78"/>
  <c r="G16" i="78" s="1"/>
  <c r="B15" i="78"/>
  <c r="G15" i="78" s="1"/>
  <c r="B14" i="78"/>
  <c r="G14" i="78" s="1"/>
  <c r="B13" i="78"/>
  <c r="G13" i="78" s="1"/>
  <c r="B12" i="78"/>
  <c r="G12" i="78" s="1"/>
  <c r="B11" i="78"/>
  <c r="G11" i="78" s="1"/>
  <c r="B9" i="78"/>
  <c r="G9" i="78" s="1"/>
  <c r="B8" i="78"/>
  <c r="G8" i="78" s="1"/>
  <c r="B7" i="78"/>
  <c r="G7" i="78" s="1"/>
  <c r="B6" i="78"/>
  <c r="B5" i="78"/>
  <c r="G5" i="78" s="1"/>
  <c r="B4" i="78"/>
  <c r="G4" i="78" s="1"/>
  <c r="B3" i="78"/>
  <c r="H10" i="77"/>
  <c r="G10" i="77"/>
  <c r="F10" i="77"/>
  <c r="E10" i="77"/>
  <c r="D10" i="77"/>
  <c r="C10" i="77"/>
  <c r="K9" i="77"/>
  <c r="K32" i="4" l="1"/>
  <c r="K36" i="4"/>
  <c r="O37" i="4"/>
  <c r="O42" i="4"/>
  <c r="K51" i="3"/>
  <c r="K55" i="3"/>
  <c r="K58" i="3" s="1"/>
  <c r="G6" i="78"/>
  <c r="D148" i="79" s="1"/>
  <c r="I6" i="77"/>
  <c r="M11" i="80"/>
  <c r="K11" i="80"/>
  <c r="N11" i="80"/>
  <c r="L11" i="80"/>
  <c r="O11" i="80"/>
  <c r="J11" i="80"/>
  <c r="I11" i="80"/>
  <c r="K37" i="4" l="1"/>
  <c r="K42" i="4"/>
  <c r="O43" i="4"/>
  <c r="O47" i="4"/>
  <c r="O48" i="4" s="1"/>
  <c r="H6" i="82"/>
  <c r="H10" i="82" s="1"/>
  <c r="D153" i="79"/>
  <c r="B153" i="79"/>
  <c r="C153" i="79"/>
  <c r="U9" i="80"/>
  <c r="K56" i="3"/>
  <c r="C8" i="79"/>
  <c r="B118" i="79"/>
  <c r="B52" i="79"/>
  <c r="D49" i="79"/>
  <c r="D120" i="79"/>
  <c r="D14" i="79"/>
  <c r="D103" i="79"/>
  <c r="D114" i="79"/>
  <c r="C117" i="79"/>
  <c r="B3" i="79"/>
  <c r="D3" i="79"/>
  <c r="B24" i="79"/>
  <c r="B19" i="79"/>
  <c r="D11" i="79"/>
  <c r="B28" i="79"/>
  <c r="B130" i="79"/>
  <c r="C33" i="79"/>
  <c r="B150" i="79"/>
  <c r="B78" i="79"/>
  <c r="D58" i="79"/>
  <c r="B132" i="79"/>
  <c r="C39" i="79"/>
  <c r="B7" i="79"/>
  <c r="B108" i="79"/>
  <c r="C35" i="79"/>
  <c r="B27" i="79"/>
  <c r="D57" i="79"/>
  <c r="B37" i="79"/>
  <c r="D90" i="79"/>
  <c r="D140" i="79"/>
  <c r="B31" i="79"/>
  <c r="B116" i="79"/>
  <c r="C30" i="79"/>
  <c r="D96" i="79"/>
  <c r="C141" i="79"/>
  <c r="C43" i="79"/>
  <c r="B50" i="79"/>
  <c r="B51" i="79"/>
  <c r="D34" i="79"/>
  <c r="B29" i="79"/>
  <c r="D79" i="79"/>
  <c r="D84" i="79"/>
  <c r="B95" i="79"/>
  <c r="B11" i="79"/>
  <c r="B119" i="79"/>
  <c r="B103" i="79"/>
  <c r="D110" i="79"/>
  <c r="B76" i="79"/>
  <c r="B96" i="79"/>
  <c r="C98" i="79"/>
  <c r="D147" i="79"/>
  <c r="C79" i="79"/>
  <c r="B22" i="79"/>
  <c r="B151" i="79"/>
  <c r="B8" i="79"/>
  <c r="C135" i="79"/>
  <c r="B89" i="79"/>
  <c r="B126" i="79"/>
  <c r="B110" i="79"/>
  <c r="B87" i="79"/>
  <c r="B121" i="79"/>
  <c r="D75" i="79"/>
  <c r="C107" i="79"/>
  <c r="C52" i="79"/>
  <c r="D67" i="79"/>
  <c r="B139" i="79"/>
  <c r="C145" i="79"/>
  <c r="B63" i="79"/>
  <c r="D31" i="79"/>
  <c r="D10" i="79"/>
  <c r="D88" i="79"/>
  <c r="B25" i="79"/>
  <c r="C56" i="79"/>
  <c r="C94" i="79"/>
  <c r="C48" i="79"/>
  <c r="C24" i="79"/>
  <c r="C26" i="79"/>
  <c r="D131" i="79"/>
  <c r="D12" i="79"/>
  <c r="C116" i="79"/>
  <c r="B113" i="79"/>
  <c r="C99" i="79"/>
  <c r="B75" i="79"/>
  <c r="B117" i="79"/>
  <c r="D72" i="79"/>
  <c r="D33" i="79"/>
  <c r="B81" i="79"/>
  <c r="B35" i="79"/>
  <c r="C72" i="79"/>
  <c r="C110" i="79"/>
  <c r="C62" i="79"/>
  <c r="C38" i="79"/>
  <c r="C34" i="79"/>
  <c r="D139" i="79"/>
  <c r="D20" i="79"/>
  <c r="D29" i="79"/>
  <c r="B60" i="79"/>
  <c r="B32" i="79"/>
  <c r="C5" i="79"/>
  <c r="D42" i="79"/>
  <c r="D80" i="79"/>
  <c r="C150" i="79"/>
  <c r="C127" i="79"/>
  <c r="C90" i="79"/>
  <c r="B122" i="79"/>
  <c r="D76" i="79"/>
  <c r="D93" i="79"/>
  <c r="D23" i="79"/>
  <c r="C104" i="79"/>
  <c r="D97" i="79"/>
  <c r="C29" i="79"/>
  <c r="B49" i="79"/>
  <c r="B102" i="79"/>
  <c r="B46" i="79"/>
  <c r="B104" i="79"/>
  <c r="B38" i="79"/>
  <c r="D112" i="79"/>
  <c r="C73" i="79"/>
  <c r="B100" i="79"/>
  <c r="D104" i="79"/>
  <c r="C106" i="79"/>
  <c r="D28" i="79"/>
  <c r="C4" i="79"/>
  <c r="D109" i="79"/>
  <c r="C81" i="79"/>
  <c r="C103" i="79"/>
  <c r="B83" i="79"/>
  <c r="B44" i="79"/>
  <c r="C97" i="79"/>
  <c r="C64" i="79"/>
  <c r="D73" i="79"/>
  <c r="D105" i="79"/>
  <c r="B47" i="79"/>
  <c r="D130" i="79"/>
  <c r="C87" i="79"/>
  <c r="B111" i="79"/>
  <c r="D118" i="79"/>
  <c r="C114" i="79"/>
  <c r="B82" i="79"/>
  <c r="C123" i="79"/>
  <c r="B99" i="79"/>
  <c r="C76" i="79"/>
  <c r="D117" i="79"/>
  <c r="D47" i="79"/>
  <c r="D18" i="79"/>
  <c r="B147" i="79"/>
  <c r="B58" i="79"/>
  <c r="D102" i="79"/>
  <c r="B143" i="79"/>
  <c r="B84" i="79"/>
  <c r="C96" i="79"/>
  <c r="B141" i="79"/>
  <c r="B57" i="79"/>
  <c r="D146" i="79"/>
  <c r="C101" i="79"/>
  <c r="B125" i="79"/>
  <c r="D129" i="79"/>
  <c r="D35" i="79"/>
  <c r="B90" i="79"/>
  <c r="D44" i="79"/>
  <c r="C20" i="79"/>
  <c r="D61" i="79"/>
  <c r="B74" i="79"/>
  <c r="B16" i="79"/>
  <c r="D113" i="79"/>
  <c r="B33" i="79"/>
  <c r="C95" i="79"/>
  <c r="C80" i="79"/>
  <c r="C152" i="79"/>
  <c r="B128" i="79"/>
  <c r="B88" i="79"/>
  <c r="C119" i="79"/>
  <c r="D150" i="79"/>
  <c r="C6" i="79"/>
  <c r="C143" i="79"/>
  <c r="D127" i="79"/>
  <c r="B67" i="79"/>
  <c r="C41" i="79"/>
  <c r="D30" i="79"/>
  <c r="B5" i="79"/>
  <c r="B69" i="79"/>
  <c r="C9" i="79"/>
  <c r="C112" i="79"/>
  <c r="D64" i="79"/>
  <c r="B54" i="79"/>
  <c r="B136" i="79"/>
  <c r="C88" i="79"/>
  <c r="D40" i="79"/>
  <c r="D143" i="79"/>
  <c r="B152" i="79"/>
  <c r="C66" i="79"/>
  <c r="C130" i="79"/>
  <c r="D43" i="79"/>
  <c r="D107" i="79"/>
  <c r="B98" i="79"/>
  <c r="C11" i="79"/>
  <c r="C75" i="79"/>
  <c r="C139" i="79"/>
  <c r="D52" i="79"/>
  <c r="D116" i="79"/>
  <c r="B115" i="79"/>
  <c r="C28" i="79"/>
  <c r="C92" i="79"/>
  <c r="D5" i="79"/>
  <c r="D69" i="79"/>
  <c r="D133" i="79"/>
  <c r="C124" i="79"/>
  <c r="D37" i="79"/>
  <c r="B140" i="79"/>
  <c r="C120" i="79"/>
  <c r="B101" i="79"/>
  <c r="C46" i="79"/>
  <c r="D56" i="79"/>
  <c r="B40" i="79"/>
  <c r="B23" i="79"/>
  <c r="C53" i="79"/>
  <c r="C93" i="79"/>
  <c r="B142" i="79"/>
  <c r="B45" i="79"/>
  <c r="D25" i="79"/>
  <c r="C49" i="79"/>
  <c r="B129" i="79"/>
  <c r="D19" i="79"/>
  <c r="B138" i="79"/>
  <c r="C115" i="79"/>
  <c r="B91" i="79"/>
  <c r="D45" i="79"/>
  <c r="C55" i="79"/>
  <c r="D38" i="79"/>
  <c r="C16" i="79"/>
  <c r="C89" i="79"/>
  <c r="D81" i="79"/>
  <c r="B80" i="79"/>
  <c r="B43" i="79"/>
  <c r="C71" i="79"/>
  <c r="C109" i="79"/>
  <c r="C7" i="79"/>
  <c r="B53" i="79"/>
  <c r="D39" i="79"/>
  <c r="C63" i="79"/>
  <c r="B137" i="79"/>
  <c r="D27" i="79"/>
  <c r="B146" i="79"/>
  <c r="D36" i="79"/>
  <c r="C140" i="79"/>
  <c r="C121" i="79"/>
  <c r="D86" i="79"/>
  <c r="C85" i="79"/>
  <c r="D7" i="79"/>
  <c r="C14" i="79"/>
  <c r="C17" i="79"/>
  <c r="B73" i="79"/>
  <c r="C125" i="79"/>
  <c r="C25" i="79"/>
  <c r="B61" i="79"/>
  <c r="D50" i="79"/>
  <c r="D26" i="79"/>
  <c r="C58" i="79"/>
  <c r="D99" i="79"/>
  <c r="C67" i="79"/>
  <c r="D108" i="79"/>
  <c r="C84" i="79"/>
  <c r="C147" i="79"/>
  <c r="B20" i="79"/>
  <c r="D87" i="79"/>
  <c r="C45" i="79"/>
  <c r="B72" i="79"/>
  <c r="D63" i="79"/>
  <c r="C65" i="79"/>
  <c r="B134" i="79"/>
  <c r="B41" i="79"/>
  <c r="B48" i="79"/>
  <c r="B18" i="79"/>
  <c r="D136" i="79"/>
  <c r="D48" i="79"/>
  <c r="C86" i="79"/>
  <c r="B55" i="79"/>
  <c r="D98" i="79"/>
  <c r="B85" i="79"/>
  <c r="C118" i="79"/>
  <c r="D149" i="79"/>
  <c r="D106" i="79"/>
  <c r="C148" i="79"/>
  <c r="C129" i="79"/>
  <c r="D71" i="79"/>
  <c r="C111" i="79"/>
  <c r="C21" i="79"/>
  <c r="B4" i="79"/>
  <c r="B112" i="79"/>
  <c r="C142" i="79"/>
  <c r="B56" i="79"/>
  <c r="C22" i="79"/>
  <c r="D8" i="79"/>
  <c r="D145" i="79"/>
  <c r="B79" i="79"/>
  <c r="C57" i="79"/>
  <c r="D46" i="79"/>
  <c r="B13" i="79"/>
  <c r="B77" i="79"/>
  <c r="C23" i="79"/>
  <c r="C126" i="79"/>
  <c r="D78" i="79"/>
  <c r="B62" i="79"/>
  <c r="B149" i="79"/>
  <c r="C102" i="79"/>
  <c r="D54" i="79"/>
  <c r="B97" i="79"/>
  <c r="C10" i="79"/>
  <c r="C74" i="79"/>
  <c r="C138" i="79"/>
  <c r="D51" i="79"/>
  <c r="D115" i="79"/>
  <c r="B106" i="79"/>
  <c r="C19" i="79"/>
  <c r="C83" i="79"/>
  <c r="D60" i="79"/>
  <c r="D124" i="79"/>
  <c r="B123" i="79"/>
  <c r="C36" i="79"/>
  <c r="C100" i="79"/>
  <c r="D13" i="79"/>
  <c r="D77" i="79"/>
  <c r="D141" i="79"/>
  <c r="C60" i="79"/>
  <c r="D101" i="79"/>
  <c r="C15" i="79"/>
  <c r="C32" i="79"/>
  <c r="B42" i="79"/>
  <c r="B34" i="79"/>
  <c r="C31" i="79"/>
  <c r="B144" i="79"/>
  <c r="D32" i="79"/>
  <c r="D82" i="79"/>
  <c r="D74" i="79"/>
  <c r="C128" i="79"/>
  <c r="B124" i="79"/>
  <c r="D128" i="79"/>
  <c r="C151" i="79"/>
  <c r="C42" i="79"/>
  <c r="D83" i="79"/>
  <c r="C51" i="79"/>
  <c r="D92" i="79"/>
  <c r="C68" i="79"/>
  <c r="C132" i="79"/>
  <c r="B6" i="79"/>
  <c r="D94" i="79"/>
  <c r="C149" i="79"/>
  <c r="D138" i="79"/>
  <c r="C47" i="79"/>
  <c r="B94" i="79"/>
  <c r="B127" i="79"/>
  <c r="B59" i="79"/>
  <c r="B120" i="79"/>
  <c r="D95" i="79"/>
  <c r="C144" i="79"/>
  <c r="B135" i="79"/>
  <c r="D142" i="79"/>
  <c r="D15" i="79"/>
  <c r="C50" i="79"/>
  <c r="D91" i="79"/>
  <c r="C59" i="79"/>
  <c r="D100" i="79"/>
  <c r="C12" i="79"/>
  <c r="D53" i="79"/>
  <c r="B36" i="79"/>
  <c r="B68" i="79"/>
  <c r="D70" i="79"/>
  <c r="B12" i="79"/>
  <c r="C70" i="79"/>
  <c r="D17" i="79"/>
  <c r="C105" i="79"/>
  <c r="D144" i="79"/>
  <c r="D126" i="79"/>
  <c r="D111" i="79"/>
  <c r="D9" i="79"/>
  <c r="B148" i="79"/>
  <c r="D152" i="79"/>
  <c r="C77" i="79"/>
  <c r="B145" i="79"/>
  <c r="C122" i="79"/>
  <c r="C3" i="79"/>
  <c r="C131" i="79"/>
  <c r="B107" i="79"/>
  <c r="D125" i="79"/>
  <c r="D41" i="79"/>
  <c r="D134" i="79"/>
  <c r="C133" i="79"/>
  <c r="D55" i="79"/>
  <c r="D122" i="79"/>
  <c r="C61" i="79"/>
  <c r="B14" i="79"/>
  <c r="D135" i="79"/>
  <c r="B17" i="79"/>
  <c r="C54" i="79"/>
  <c r="B30" i="79"/>
  <c r="B65" i="79"/>
  <c r="B93" i="79"/>
  <c r="B39" i="79"/>
  <c r="B64" i="79"/>
  <c r="B9" i="79"/>
  <c r="D119" i="79"/>
  <c r="C134" i="79"/>
  <c r="B71" i="79"/>
  <c r="D121" i="79"/>
  <c r="B109" i="79"/>
  <c r="C136" i="79"/>
  <c r="B26" i="79"/>
  <c r="D151" i="79"/>
  <c r="D66" i="79"/>
  <c r="D22" i="79"/>
  <c r="D137" i="79"/>
  <c r="D6" i="79"/>
  <c r="C69" i="79"/>
  <c r="B15" i="79"/>
  <c r="B133" i="79"/>
  <c r="D16" i="79"/>
  <c r="B66" i="79"/>
  <c r="C40" i="79"/>
  <c r="D24" i="79"/>
  <c r="B10" i="79"/>
  <c r="B92" i="79"/>
  <c r="C78" i="79"/>
  <c r="D62" i="79"/>
  <c r="B21" i="79"/>
  <c r="B86" i="79"/>
  <c r="C37" i="79"/>
  <c r="C137" i="79"/>
  <c r="D89" i="79"/>
  <c r="B70" i="79"/>
  <c r="C13" i="79"/>
  <c r="C113" i="79"/>
  <c r="D65" i="79"/>
  <c r="B105" i="79"/>
  <c r="C18" i="79"/>
  <c r="C82" i="79"/>
  <c r="C146" i="79"/>
  <c r="D59" i="79"/>
  <c r="D123" i="79"/>
  <c r="B114" i="79"/>
  <c r="C27" i="79"/>
  <c r="C91" i="79"/>
  <c r="D4" i="79"/>
  <c r="D68" i="79"/>
  <c r="D132" i="79"/>
  <c r="B131" i="79"/>
  <c r="C44" i="79"/>
  <c r="C108" i="79"/>
  <c r="D21" i="79"/>
  <c r="D85" i="79"/>
  <c r="I10" i="77"/>
  <c r="K43" i="4" l="1"/>
  <c r="K47" i="4"/>
  <c r="K48" i="4" s="1"/>
  <c r="E116" i="79"/>
  <c r="F116" i="79" s="1"/>
  <c r="U7" i="80"/>
  <c r="U23" i="80" s="1"/>
  <c r="E15" i="79"/>
  <c r="F15" i="79" s="1"/>
  <c r="D1" i="79"/>
  <c r="C1" i="79"/>
  <c r="B1" i="79"/>
  <c r="E33" i="79"/>
  <c r="F33" i="79" s="1"/>
  <c r="E150" i="79"/>
  <c r="F150" i="79" s="1"/>
  <c r="E109" i="79"/>
  <c r="F109" i="79" s="1"/>
  <c r="E3" i="79"/>
  <c r="E153" i="79"/>
  <c r="F153" i="79" s="1"/>
  <c r="E103" i="79"/>
  <c r="F103" i="79" s="1"/>
  <c r="E28" i="79"/>
  <c r="F28" i="79" s="1"/>
  <c r="E118" i="79"/>
  <c r="F118" i="79" s="1"/>
  <c r="E114" i="79"/>
  <c r="F114" i="79" s="1"/>
  <c r="E107" i="79"/>
  <c r="F107" i="79" s="1"/>
  <c r="E11" i="79"/>
  <c r="F11" i="79" s="1"/>
  <c r="E24" i="79"/>
  <c r="F24" i="79" s="1"/>
  <c r="E10" i="79"/>
  <c r="F10" i="79" s="1"/>
  <c r="E81" i="79"/>
  <c r="F81" i="79" s="1"/>
  <c r="E37" i="79"/>
  <c r="F37" i="79" s="1"/>
  <c r="E113" i="79"/>
  <c r="F113" i="79" s="1"/>
  <c r="E32" i="79"/>
  <c r="F32" i="79" s="1"/>
  <c r="E130" i="79"/>
  <c r="F130" i="79" s="1"/>
  <c r="E78" i="79"/>
  <c r="F78" i="79" s="1"/>
  <c r="E95" i="79"/>
  <c r="F95" i="79" s="1"/>
  <c r="E117" i="79"/>
  <c r="F117" i="79" s="1"/>
  <c r="E79" i="79"/>
  <c r="F79" i="79" s="1"/>
  <c r="E96" i="79"/>
  <c r="F96" i="79" s="1"/>
  <c r="E31" i="79"/>
  <c r="F31" i="79" s="1"/>
  <c r="E119" i="79"/>
  <c r="F119" i="79" s="1"/>
  <c r="E34" i="79"/>
  <c r="F34" i="79" s="1"/>
  <c r="E110" i="79"/>
  <c r="F110" i="79" s="1"/>
  <c r="E50" i="79"/>
  <c r="F50" i="79" s="1"/>
  <c r="E121" i="79"/>
  <c r="F121" i="79" s="1"/>
  <c r="E90" i="79"/>
  <c r="F90" i="79" s="1"/>
  <c r="E87" i="79"/>
  <c r="F87" i="79" s="1"/>
  <c r="E29" i="79"/>
  <c r="F29" i="79" s="1"/>
  <c r="E151" i="79"/>
  <c r="F151" i="79" s="1"/>
  <c r="E8" i="79"/>
  <c r="F8" i="79" s="1"/>
  <c r="E55" i="79"/>
  <c r="F55" i="79" s="1"/>
  <c r="E139" i="79"/>
  <c r="F139" i="79" s="1"/>
  <c r="E35" i="79"/>
  <c r="F35" i="79" s="1"/>
  <c r="E84" i="79"/>
  <c r="F84" i="79" s="1"/>
  <c r="E76" i="79"/>
  <c r="F76" i="79" s="1"/>
  <c r="E52" i="79"/>
  <c r="F52" i="79" s="1"/>
  <c r="E22" i="79"/>
  <c r="F22" i="79" s="1"/>
  <c r="E75" i="79"/>
  <c r="F75" i="79" s="1"/>
  <c r="E111" i="79"/>
  <c r="F111" i="79" s="1"/>
  <c r="E27" i="79"/>
  <c r="F27" i="79" s="1"/>
  <c r="E132" i="79"/>
  <c r="F132" i="79" s="1"/>
  <c r="E124" i="79"/>
  <c r="F124" i="79" s="1"/>
  <c r="E72" i="79"/>
  <c r="F72" i="79" s="1"/>
  <c r="E26" i="79"/>
  <c r="F26" i="79" s="1"/>
  <c r="E39" i="79"/>
  <c r="F39" i="79" s="1"/>
  <c r="E131" i="79"/>
  <c r="F131" i="79" s="1"/>
  <c r="E92" i="79"/>
  <c r="F92" i="79" s="1"/>
  <c r="E36" i="79"/>
  <c r="F36" i="79" s="1"/>
  <c r="E126" i="79"/>
  <c r="F126" i="79" s="1"/>
  <c r="E108" i="79"/>
  <c r="F108" i="79" s="1"/>
  <c r="E7" i="79"/>
  <c r="F7" i="79" s="1"/>
  <c r="E122" i="79"/>
  <c r="F122" i="79" s="1"/>
  <c r="E135" i="79"/>
  <c r="F135" i="79" s="1"/>
  <c r="E60" i="79"/>
  <c r="F60" i="79" s="1"/>
  <c r="E63" i="79"/>
  <c r="F63" i="79" s="1"/>
  <c r="E73" i="79"/>
  <c r="F73" i="79" s="1"/>
  <c r="E25" i="79"/>
  <c r="F25" i="79" s="1"/>
  <c r="E30" i="79"/>
  <c r="F30" i="79" s="1"/>
  <c r="E145" i="79"/>
  <c r="F145" i="79" s="1"/>
  <c r="E45" i="79"/>
  <c r="F45" i="79" s="1"/>
  <c r="E102" i="79"/>
  <c r="F102" i="79" s="1"/>
  <c r="E70" i="79"/>
  <c r="F70" i="79" s="1"/>
  <c r="E93" i="79"/>
  <c r="F93" i="79" s="1"/>
  <c r="E51" i="79"/>
  <c r="F51" i="79" s="1"/>
  <c r="E89" i="79"/>
  <c r="F89" i="79" s="1"/>
  <c r="E19" i="79"/>
  <c r="F19" i="79" s="1"/>
  <c r="E91" i="79"/>
  <c r="F91" i="79" s="1"/>
  <c r="E115" i="79"/>
  <c r="F115" i="79" s="1"/>
  <c r="E54" i="79"/>
  <c r="F54" i="79" s="1"/>
  <c r="E67" i="79"/>
  <c r="F67" i="79" s="1"/>
  <c r="E57" i="79"/>
  <c r="F57" i="79" s="1"/>
  <c r="E46" i="79"/>
  <c r="F46" i="79" s="1"/>
  <c r="E141" i="79"/>
  <c r="F141" i="79" s="1"/>
  <c r="E44" i="79"/>
  <c r="F44" i="79" s="1"/>
  <c r="E144" i="79"/>
  <c r="F144" i="79" s="1"/>
  <c r="E97" i="79"/>
  <c r="F97" i="79" s="1"/>
  <c r="E49" i="79"/>
  <c r="F49" i="79" s="1"/>
  <c r="E13" i="79"/>
  <c r="F13" i="79" s="1"/>
  <c r="E105" i="79"/>
  <c r="F105" i="79" s="1"/>
  <c r="E86" i="79"/>
  <c r="F86" i="79" s="1"/>
  <c r="E66" i="79"/>
  <c r="F66" i="79" s="1"/>
  <c r="E17" i="79"/>
  <c r="F17" i="79" s="1"/>
  <c r="E120" i="79"/>
  <c r="F120" i="79" s="1"/>
  <c r="E6" i="79"/>
  <c r="F6" i="79" s="1"/>
  <c r="E106" i="79"/>
  <c r="F106" i="79" s="1"/>
  <c r="E112" i="79"/>
  <c r="F112" i="79" s="1"/>
  <c r="E18" i="79"/>
  <c r="F18" i="79" s="1"/>
  <c r="E137" i="79"/>
  <c r="F137" i="79" s="1"/>
  <c r="E80" i="79"/>
  <c r="F80" i="79" s="1"/>
  <c r="E140" i="79"/>
  <c r="F140" i="79" s="1"/>
  <c r="E69" i="79"/>
  <c r="F69" i="79" s="1"/>
  <c r="E143" i="79"/>
  <c r="F143" i="79" s="1"/>
  <c r="E99" i="79"/>
  <c r="E47" i="79"/>
  <c r="F47" i="79" s="1"/>
  <c r="E56" i="79"/>
  <c r="F56" i="79" s="1"/>
  <c r="E43" i="79"/>
  <c r="F43" i="79" s="1"/>
  <c r="E100" i="79"/>
  <c r="F100" i="79" s="1"/>
  <c r="E148" i="79"/>
  <c r="F148" i="79" s="1"/>
  <c r="E12" i="79"/>
  <c r="F12" i="79" s="1"/>
  <c r="E59" i="79"/>
  <c r="F59" i="79" s="1"/>
  <c r="E42" i="79"/>
  <c r="F42" i="79" s="1"/>
  <c r="E149" i="79"/>
  <c r="F149" i="79" s="1"/>
  <c r="T15" i="80" s="1"/>
  <c r="T11" i="80" s="1"/>
  <c r="E4" i="79"/>
  <c r="F4" i="79" s="1"/>
  <c r="E48" i="79"/>
  <c r="F48" i="79" s="1"/>
  <c r="E20" i="79"/>
  <c r="F20" i="79" s="1"/>
  <c r="E138" i="79"/>
  <c r="F138" i="79" s="1"/>
  <c r="E5" i="79"/>
  <c r="F5" i="79" s="1"/>
  <c r="E16" i="79"/>
  <c r="F16" i="79" s="1"/>
  <c r="E125" i="79"/>
  <c r="F125" i="79" s="1"/>
  <c r="E77" i="79"/>
  <c r="F77" i="79" s="1"/>
  <c r="E83" i="79"/>
  <c r="F83" i="79" s="1"/>
  <c r="E142" i="79"/>
  <c r="F142" i="79" s="1"/>
  <c r="E152" i="79"/>
  <c r="F152" i="79" s="1"/>
  <c r="E133" i="79"/>
  <c r="F133" i="79" s="1"/>
  <c r="E64" i="79"/>
  <c r="F64" i="79" s="1"/>
  <c r="E14" i="79"/>
  <c r="F14" i="79" s="1"/>
  <c r="E127" i="79"/>
  <c r="F127" i="79" s="1"/>
  <c r="E123" i="79"/>
  <c r="F123" i="79" s="1"/>
  <c r="E62" i="79"/>
  <c r="F62" i="79" s="1"/>
  <c r="E85" i="79"/>
  <c r="F85" i="79" s="1"/>
  <c r="E41" i="79"/>
  <c r="F41" i="79" s="1"/>
  <c r="E61" i="79"/>
  <c r="F61" i="79" s="1"/>
  <c r="E23" i="79"/>
  <c r="F23" i="79" s="1"/>
  <c r="E98" i="79"/>
  <c r="F98" i="79" s="1"/>
  <c r="E88" i="79"/>
  <c r="F88" i="79" s="1"/>
  <c r="E74" i="79"/>
  <c r="F74" i="79" s="1"/>
  <c r="E58" i="79"/>
  <c r="F58" i="79" s="1"/>
  <c r="E82" i="79"/>
  <c r="F82" i="79" s="1"/>
  <c r="E38" i="79"/>
  <c r="F38" i="79" s="1"/>
  <c r="E65" i="79"/>
  <c r="F65" i="79" s="1"/>
  <c r="E71" i="79"/>
  <c r="F71" i="79" s="1"/>
  <c r="E146" i="79"/>
  <c r="F146" i="79" s="1"/>
  <c r="E101" i="79"/>
  <c r="F101" i="79" s="1"/>
  <c r="E21" i="79"/>
  <c r="F21" i="79" s="1"/>
  <c r="E9" i="79"/>
  <c r="F9" i="79" s="1"/>
  <c r="E68" i="79"/>
  <c r="F68" i="79" s="1"/>
  <c r="E94" i="79"/>
  <c r="F94" i="79" s="1"/>
  <c r="E134" i="79"/>
  <c r="F134" i="79" s="1"/>
  <c r="E53" i="79"/>
  <c r="F53" i="79" s="1"/>
  <c r="E129" i="79"/>
  <c r="F129" i="79" s="1"/>
  <c r="E40" i="79"/>
  <c r="F40" i="79" s="1"/>
  <c r="E136" i="79"/>
  <c r="F136" i="79" s="1"/>
  <c r="E128" i="79"/>
  <c r="F128" i="79" s="1"/>
  <c r="E147" i="79"/>
  <c r="F147" i="79" s="1"/>
  <c r="E104" i="79"/>
  <c r="F104" i="79" s="1"/>
  <c r="J6" i="77"/>
  <c r="F3" i="79" l="1"/>
  <c r="E1" i="79"/>
  <c r="H26" i="82"/>
  <c r="F99" i="79"/>
  <c r="J10" i="77"/>
  <c r="F1" i="79" l="1"/>
  <c r="K6" i="77"/>
  <c r="K10" i="77" l="1"/>
  <c r="L6" i="77" l="1"/>
  <c r="L10" i="77" l="1"/>
  <c r="M6" i="77" l="1"/>
  <c r="M10" i="77" l="1"/>
  <c r="N6" i="77" l="1"/>
  <c r="I10" i="3"/>
  <c r="I10" i="4" s="1"/>
  <c r="G123" i="63"/>
  <c r="G55" i="63"/>
  <c r="D38" i="71"/>
  <c r="D37" i="71"/>
  <c r="AJ36" i="71"/>
  <c r="X36" i="71"/>
  <c r="R36" i="71"/>
  <c r="P17" i="71" s="1"/>
  <c r="R17" i="71" s="1"/>
  <c r="L36" i="71"/>
  <c r="D36" i="71"/>
  <c r="AJ35" i="71"/>
  <c r="X35" i="71"/>
  <c r="R35" i="71"/>
  <c r="P21" i="71" s="1"/>
  <c r="R21" i="71" s="1"/>
  <c r="L35" i="71"/>
  <c r="D35" i="71"/>
  <c r="C21" i="71" s="1"/>
  <c r="E21" i="71" s="1"/>
  <c r="W29" i="71"/>
  <c r="Q29" i="71"/>
  <c r="K29" i="71"/>
  <c r="D29" i="71"/>
  <c r="AC27" i="71"/>
  <c r="AB27" i="71"/>
  <c r="X27" i="71"/>
  <c r="R27" i="71"/>
  <c r="L27" i="71"/>
  <c r="E27" i="71"/>
  <c r="AC26" i="71"/>
  <c r="AB26" i="71"/>
  <c r="X26" i="71"/>
  <c r="R26" i="71"/>
  <c r="L26" i="71"/>
  <c r="E26" i="71"/>
  <c r="AC25" i="71"/>
  <c r="AB25" i="71"/>
  <c r="X25" i="71"/>
  <c r="R25" i="71"/>
  <c r="L25" i="71"/>
  <c r="E25" i="71"/>
  <c r="AC24" i="71"/>
  <c r="AB24" i="71"/>
  <c r="X24" i="71"/>
  <c r="R24" i="71"/>
  <c r="L24" i="71"/>
  <c r="E24" i="71"/>
  <c r="AC23" i="71"/>
  <c r="AB23" i="71"/>
  <c r="X23" i="71"/>
  <c r="R23" i="71"/>
  <c r="L23" i="71"/>
  <c r="E23" i="71"/>
  <c r="AC22" i="71"/>
  <c r="AB22" i="71"/>
  <c r="X22" i="71"/>
  <c r="R22" i="71"/>
  <c r="L22" i="71"/>
  <c r="E22" i="71"/>
  <c r="AC21" i="71"/>
  <c r="V21" i="71"/>
  <c r="X21" i="71" s="1"/>
  <c r="J21" i="71"/>
  <c r="L21" i="71" s="1"/>
  <c r="AC20" i="71"/>
  <c r="AB20" i="71"/>
  <c r="X20" i="71"/>
  <c r="R20" i="71"/>
  <c r="L20" i="71"/>
  <c r="E20" i="71"/>
  <c r="AC19" i="71"/>
  <c r="AB19" i="71"/>
  <c r="X19" i="71"/>
  <c r="R19" i="71"/>
  <c r="L19" i="71"/>
  <c r="E19" i="71"/>
  <c r="AC18" i="71"/>
  <c r="AB18" i="71"/>
  <c r="X18" i="71"/>
  <c r="R18" i="71"/>
  <c r="L18" i="71"/>
  <c r="E18" i="71"/>
  <c r="AC17" i="71"/>
  <c r="V17" i="71"/>
  <c r="X17" i="71" s="1"/>
  <c r="J17" i="71"/>
  <c r="L17" i="71" s="1"/>
  <c r="AC16" i="71"/>
  <c r="AB16" i="71"/>
  <c r="X16" i="71"/>
  <c r="R16" i="71"/>
  <c r="L16" i="71"/>
  <c r="E16" i="71"/>
  <c r="AH15" i="71"/>
  <c r="AJ15" i="71" s="1"/>
  <c r="AC15" i="71"/>
  <c r="V15" i="71"/>
  <c r="J15" i="71"/>
  <c r="L15" i="71" s="1"/>
  <c r="AC14" i="71"/>
  <c r="AC13" i="71"/>
  <c r="AC12" i="71"/>
  <c r="AI11" i="71"/>
  <c r="AJ11" i="71" s="1"/>
  <c r="AC11" i="71"/>
  <c r="AB11" i="71"/>
  <c r="X11" i="71"/>
  <c r="R11" i="71"/>
  <c r="L11" i="71"/>
  <c r="E11" i="71"/>
  <c r="AC10" i="71"/>
  <c r="AB10" i="71"/>
  <c r="X10" i="71"/>
  <c r="R10" i="71"/>
  <c r="L10" i="71"/>
  <c r="E10" i="71"/>
  <c r="AB9" i="71"/>
  <c r="AB8" i="71"/>
  <c r="AB7" i="71"/>
  <c r="AB6" i="71"/>
  <c r="AB5" i="71"/>
  <c r="AB4" i="71"/>
  <c r="AC3" i="71"/>
  <c r="AB3" i="71"/>
  <c r="X3" i="71"/>
  <c r="R3" i="71"/>
  <c r="L3" i="71"/>
  <c r="E3" i="71"/>
  <c r="I11" i="4" l="1"/>
  <c r="N10" i="77"/>
  <c r="AD23" i="71"/>
  <c r="J29" i="71"/>
  <c r="AD19" i="71"/>
  <c r="V29" i="71"/>
  <c r="AD11" i="71"/>
  <c r="C15" i="71"/>
  <c r="E15" i="71" s="1"/>
  <c r="AD25" i="71"/>
  <c r="AD22" i="71"/>
  <c r="AC29" i="71"/>
  <c r="AD10" i="71"/>
  <c r="AD16" i="71"/>
  <c r="C17" i="71"/>
  <c r="E17" i="71" s="1"/>
  <c r="P15" i="71"/>
  <c r="AD18" i="71"/>
  <c r="AD24" i="71"/>
  <c r="AD20" i="71"/>
  <c r="AD26" i="71"/>
  <c r="AD27" i="71"/>
  <c r="L29" i="71"/>
  <c r="X15" i="71"/>
  <c r="X29" i="71" s="1"/>
  <c r="AB21" i="71"/>
  <c r="AD21" i="71" s="1"/>
  <c r="AD3" i="71"/>
  <c r="O6" i="77" l="1"/>
  <c r="AB17" i="71"/>
  <c r="AD17" i="71" s="1"/>
  <c r="AB15" i="71"/>
  <c r="AD15" i="71" s="1"/>
  <c r="R15" i="71"/>
  <c r="R29" i="71" s="1"/>
  <c r="P29" i="71"/>
  <c r="E29" i="71"/>
  <c r="C29" i="71"/>
  <c r="O10" i="77" l="1"/>
  <c r="AD29" i="71"/>
  <c r="AB29" i="71"/>
  <c r="G119" i="63"/>
  <c r="G118" i="63"/>
  <c r="P6" i="77" l="1"/>
  <c r="F17" i="70"/>
  <c r="F18" i="70" s="1"/>
  <c r="E17" i="70"/>
  <c r="D17" i="70"/>
  <c r="D18" i="70" s="1"/>
  <c r="C17" i="70"/>
  <c r="C18" i="70" s="1"/>
  <c r="R17" i="51"/>
  <c r="R26" i="51" s="1"/>
  <c r="P10" i="77" l="1"/>
  <c r="R27" i="51"/>
  <c r="R18" i="51"/>
  <c r="E26" i="70"/>
  <c r="E27" i="70" s="1"/>
  <c r="E18" i="70"/>
  <c r="D26" i="70"/>
  <c r="D27" i="70" s="1"/>
  <c r="F26" i="70"/>
  <c r="F27" i="70" s="1"/>
  <c r="C26" i="70"/>
  <c r="C27" i="70" s="1"/>
  <c r="Q6" i="77" l="1"/>
  <c r="Q10" i="77" l="1"/>
  <c r="R6" i="77" l="1"/>
  <c r="R10" i="77" l="1"/>
  <c r="S6" i="77" s="1"/>
  <c r="S10" i="77" s="1"/>
  <c r="G46" i="63" l="1"/>
  <c r="G157" i="63" l="1"/>
  <c r="G150" i="63"/>
  <c r="G89" i="63"/>
  <c r="G88" i="63"/>
  <c r="G85" i="63"/>
  <c r="G162" i="63" l="1"/>
  <c r="G4" i="63"/>
  <c r="G5" i="63"/>
  <c r="G6" i="63"/>
  <c r="G7" i="63"/>
  <c r="G8" i="63"/>
  <c r="G9" i="63"/>
  <c r="G11" i="63"/>
  <c r="G12" i="63"/>
  <c r="G13" i="63"/>
  <c r="G14" i="63"/>
  <c r="G15" i="63"/>
  <c r="G16" i="63"/>
  <c r="G17" i="63"/>
  <c r="G19" i="63"/>
  <c r="G20" i="63"/>
  <c r="G21" i="63"/>
  <c r="G168" i="63" l="1"/>
  <c r="G167" i="63"/>
  <c r="G166" i="63"/>
  <c r="G165" i="63"/>
  <c r="G164" i="63"/>
  <c r="G163" i="63"/>
  <c r="G161" i="63"/>
  <c r="G160" i="63"/>
  <c r="G159" i="63"/>
  <c r="G158" i="63"/>
  <c r="G156" i="63"/>
  <c r="G155" i="63"/>
  <c r="G154" i="63"/>
  <c r="G153" i="63"/>
  <c r="G152" i="63"/>
  <c r="G151" i="63"/>
  <c r="G149" i="63"/>
  <c r="G147" i="63"/>
  <c r="G146" i="63"/>
  <c r="G145" i="63"/>
  <c r="G144" i="63"/>
  <c r="G143" i="63"/>
  <c r="G142" i="63"/>
  <c r="G141" i="63"/>
  <c r="G138" i="63"/>
  <c r="G137" i="63"/>
  <c r="G136" i="63"/>
  <c r="G135" i="63"/>
  <c r="G134" i="63"/>
  <c r="G133" i="63"/>
  <c r="G131" i="63"/>
  <c r="G130" i="63"/>
  <c r="G129" i="63"/>
  <c r="G128" i="63"/>
  <c r="G127" i="63"/>
  <c r="G126" i="63"/>
  <c r="G125" i="63"/>
  <c r="G120" i="63"/>
  <c r="G116" i="63"/>
  <c r="G113" i="63"/>
  <c r="G112" i="63"/>
  <c r="G111" i="63"/>
  <c r="G110" i="63"/>
  <c r="G109" i="63"/>
  <c r="G108" i="63"/>
  <c r="G107" i="63"/>
  <c r="G106" i="63"/>
  <c r="G105" i="63"/>
  <c r="G104" i="63"/>
  <c r="G103" i="63"/>
  <c r="G102" i="63"/>
  <c r="G101" i="63"/>
  <c r="G100" i="63"/>
  <c r="G99" i="63"/>
  <c r="G97" i="63"/>
  <c r="G95" i="63"/>
  <c r="G94" i="63"/>
  <c r="G93" i="63"/>
  <c r="G92" i="63"/>
  <c r="G91" i="63"/>
  <c r="G90" i="63"/>
  <c r="G84" i="63"/>
  <c r="G83" i="63"/>
  <c r="G80" i="63"/>
  <c r="G79" i="63"/>
  <c r="G77" i="63"/>
  <c r="G76" i="63"/>
  <c r="G75" i="63"/>
  <c r="G72" i="63"/>
  <c r="G71" i="63"/>
  <c r="G70" i="63"/>
  <c r="G68" i="63"/>
  <c r="G67" i="63"/>
  <c r="G66" i="63"/>
  <c r="G65" i="63"/>
  <c r="G64" i="63"/>
  <c r="G61" i="63"/>
  <c r="G60" i="63"/>
  <c r="G58" i="63"/>
  <c r="G57" i="63"/>
  <c r="G56" i="63"/>
  <c r="G54" i="63"/>
  <c r="G52" i="63"/>
  <c r="G51" i="63"/>
  <c r="G50" i="63"/>
  <c r="G49" i="63"/>
  <c r="G48" i="63"/>
  <c r="G47" i="63"/>
  <c r="G44" i="63"/>
  <c r="G43" i="63"/>
  <c r="G42" i="63"/>
  <c r="G41" i="63"/>
  <c r="G38" i="63"/>
  <c r="G37" i="63"/>
  <c r="G36" i="63"/>
  <c r="G35" i="63"/>
  <c r="G34" i="63"/>
  <c r="G33" i="63"/>
  <c r="G32" i="63"/>
  <c r="G31" i="63"/>
  <c r="G30" i="63"/>
  <c r="G29" i="63"/>
  <c r="G28" i="63"/>
  <c r="G27" i="63"/>
  <c r="G26" i="63"/>
  <c r="G25" i="63"/>
  <c r="B2" i="63"/>
  <c r="B1" i="63"/>
  <c r="K42" i="62"/>
  <c r="I42" i="62"/>
  <c r="G42" i="62"/>
  <c r="E42" i="62"/>
  <c r="C37" i="62"/>
  <c r="C36" i="62"/>
  <c r="C35" i="62"/>
  <c r="C34" i="62"/>
  <c r="C33" i="62"/>
  <c r="C32" i="62"/>
  <c r="C31" i="62"/>
  <c r="C30" i="62"/>
  <c r="C29" i="62"/>
  <c r="K26" i="62"/>
  <c r="I26" i="62"/>
  <c r="G26" i="62"/>
  <c r="E26" i="62"/>
  <c r="D26" i="62"/>
  <c r="C26" i="62"/>
  <c r="L25" i="62"/>
  <c r="J25" i="62"/>
  <c r="L24" i="62"/>
  <c r="J24" i="62"/>
  <c r="H24" i="62"/>
  <c r="L23" i="62"/>
  <c r="J23" i="62"/>
  <c r="H23" i="62"/>
  <c r="F23" i="62"/>
  <c r="L22" i="62"/>
  <c r="J22" i="62"/>
  <c r="H22" i="62"/>
  <c r="F22" i="62"/>
  <c r="L21" i="62"/>
  <c r="J21" i="62"/>
  <c r="H21" i="62"/>
  <c r="F21" i="62"/>
  <c r="L20" i="62"/>
  <c r="J20" i="62"/>
  <c r="H20" i="62"/>
  <c r="L19" i="62"/>
  <c r="J19" i="62"/>
  <c r="H19" i="62"/>
  <c r="F19" i="62"/>
  <c r="L18" i="62"/>
  <c r="J18" i="62"/>
  <c r="H18" i="62"/>
  <c r="F18" i="62"/>
  <c r="L17" i="62"/>
  <c r="J17" i="62"/>
  <c r="H17" i="62"/>
  <c r="C14" i="62"/>
  <c r="E13" i="62"/>
  <c r="G13" i="62" s="1"/>
  <c r="G37" i="62" s="1"/>
  <c r="D13" i="62"/>
  <c r="F13" i="62" s="1"/>
  <c r="F37" i="62" s="1"/>
  <c r="E12" i="62"/>
  <c r="D12" i="62"/>
  <c r="F12" i="62" s="1"/>
  <c r="E11" i="62"/>
  <c r="E35" i="62" s="1"/>
  <c r="D11" i="62"/>
  <c r="D35" i="62" s="1"/>
  <c r="E10" i="62"/>
  <c r="G10" i="62" s="1"/>
  <c r="D10" i="62"/>
  <c r="D34" i="62" s="1"/>
  <c r="E9" i="62"/>
  <c r="G9" i="62" s="1"/>
  <c r="G33" i="62" s="1"/>
  <c r="D9" i="62"/>
  <c r="F9" i="62" s="1"/>
  <c r="E8" i="62"/>
  <c r="D8" i="62"/>
  <c r="F8" i="62" s="1"/>
  <c r="E7" i="62"/>
  <c r="D7" i="62"/>
  <c r="F7" i="62" s="1"/>
  <c r="E6" i="62"/>
  <c r="G6" i="62" s="1"/>
  <c r="G30" i="62" s="1"/>
  <c r="D6" i="62"/>
  <c r="D30" i="62" s="1"/>
  <c r="G5" i="62"/>
  <c r="G29" i="62" s="1"/>
  <c r="E5" i="62"/>
  <c r="E29" i="62" s="1"/>
  <c r="D5" i="62"/>
  <c r="F5" i="62" s="1"/>
  <c r="C20" i="61"/>
  <c r="C19" i="61"/>
  <c r="C18" i="61"/>
  <c r="C17" i="61"/>
  <c r="D14" i="61"/>
  <c r="C14" i="61"/>
  <c r="C7" i="61"/>
  <c r="D6" i="61"/>
  <c r="D20" i="61" s="1"/>
  <c r="D5" i="61"/>
  <c r="D4" i="61"/>
  <c r="D3" i="61"/>
  <c r="D17" i="61" s="1"/>
  <c r="C149" i="64" l="1"/>
  <c r="B149" i="64"/>
  <c r="D149" i="64"/>
  <c r="D140" i="64"/>
  <c r="D76" i="64"/>
  <c r="D12" i="64"/>
  <c r="C94" i="64"/>
  <c r="C30" i="64"/>
  <c r="B112" i="64"/>
  <c r="B48" i="64"/>
  <c r="C34" i="64"/>
  <c r="D111" i="64"/>
  <c r="C113" i="64"/>
  <c r="D147" i="64"/>
  <c r="D83" i="64"/>
  <c r="D19" i="64"/>
  <c r="C101" i="64"/>
  <c r="C37" i="64"/>
  <c r="B119" i="64"/>
  <c r="B55" i="64"/>
  <c r="B6" i="64"/>
  <c r="D8" i="64"/>
  <c r="B108" i="64"/>
  <c r="C25" i="64"/>
  <c r="D122" i="64"/>
  <c r="D58" i="64"/>
  <c r="C140" i="64"/>
  <c r="C76" i="64"/>
  <c r="C12" i="64"/>
  <c r="B94" i="64"/>
  <c r="B30" i="64"/>
  <c r="D80" i="64"/>
  <c r="C66" i="64"/>
  <c r="D23" i="64"/>
  <c r="B115" i="64"/>
  <c r="D97" i="64"/>
  <c r="D33" i="64"/>
  <c r="C115" i="64"/>
  <c r="C51" i="64"/>
  <c r="B133" i="64"/>
  <c r="B69" i="64"/>
  <c r="C114" i="64"/>
  <c r="D79" i="64"/>
  <c r="B123" i="64"/>
  <c r="C71" i="64"/>
  <c r="B114" i="64"/>
  <c r="D125" i="64"/>
  <c r="B59" i="64"/>
  <c r="C64" i="64"/>
  <c r="C87" i="64"/>
  <c r="B90" i="64"/>
  <c r="C63" i="64"/>
  <c r="C120" i="64"/>
  <c r="C55" i="64"/>
  <c r="D29" i="64"/>
  <c r="B35" i="64"/>
  <c r="B26" i="64"/>
  <c r="B129" i="64"/>
  <c r="D16" i="64"/>
  <c r="B101" i="64"/>
  <c r="D53" i="64"/>
  <c r="B33" i="64"/>
  <c r="D38" i="64"/>
  <c r="D36" i="64"/>
  <c r="B36" i="64"/>
  <c r="C61" i="64"/>
  <c r="D64" i="64"/>
  <c r="D18" i="64"/>
  <c r="D120" i="64"/>
  <c r="D57" i="64"/>
  <c r="B21" i="64"/>
  <c r="C80" i="64"/>
  <c r="D101" i="64"/>
  <c r="D132" i="64"/>
  <c r="D68" i="64"/>
  <c r="D4" i="64"/>
  <c r="C86" i="64"/>
  <c r="C22" i="64"/>
  <c r="B104" i="64"/>
  <c r="B40" i="64"/>
  <c r="B148" i="64"/>
  <c r="D95" i="64"/>
  <c r="C89" i="64"/>
  <c r="D139" i="64"/>
  <c r="D75" i="64"/>
  <c r="D11" i="64"/>
  <c r="C93" i="64"/>
  <c r="C29" i="64"/>
  <c r="B111" i="64"/>
  <c r="B47" i="64"/>
  <c r="B29" i="64"/>
  <c r="C130" i="64"/>
  <c r="B76" i="64"/>
  <c r="B139" i="64"/>
  <c r="D114" i="64"/>
  <c r="D50" i="64"/>
  <c r="C132" i="64"/>
  <c r="C68" i="64"/>
  <c r="C4" i="64"/>
  <c r="B86" i="64"/>
  <c r="B14" i="64"/>
  <c r="D72" i="64"/>
  <c r="C42" i="64"/>
  <c r="C145" i="64"/>
  <c r="B91" i="64"/>
  <c r="D89" i="64"/>
  <c r="D25" i="64"/>
  <c r="C107" i="64"/>
  <c r="C43" i="64"/>
  <c r="B125" i="64"/>
  <c r="B61" i="64"/>
  <c r="C82" i="64"/>
  <c r="D55" i="64"/>
  <c r="B75" i="64"/>
  <c r="C39" i="64"/>
  <c r="B57" i="64"/>
  <c r="C143" i="64"/>
  <c r="D142" i="64"/>
  <c r="C32" i="64"/>
  <c r="B137" i="64"/>
  <c r="D141" i="64"/>
  <c r="C31" i="64"/>
  <c r="C56" i="64"/>
  <c r="B105" i="64"/>
  <c r="C47" i="64"/>
  <c r="D134" i="64"/>
  <c r="D69" i="64"/>
  <c r="B18" i="64"/>
  <c r="B106" i="64"/>
  <c r="D70" i="64"/>
  <c r="D108" i="64"/>
  <c r="B80" i="64"/>
  <c r="B60" i="64"/>
  <c r="D115" i="64"/>
  <c r="C5" i="64"/>
  <c r="C58" i="64"/>
  <c r="D90" i="64"/>
  <c r="C108" i="64"/>
  <c r="B62" i="64"/>
  <c r="C81" i="64"/>
  <c r="C147" i="64"/>
  <c r="B37" i="64"/>
  <c r="D62" i="64"/>
  <c r="C144" i="64"/>
  <c r="B3" i="64"/>
  <c r="B17" i="64"/>
  <c r="C54" i="64"/>
  <c r="B8" i="64"/>
  <c r="D107" i="64"/>
  <c r="B79" i="64"/>
  <c r="D119" i="64"/>
  <c r="C100" i="64"/>
  <c r="B54" i="64"/>
  <c r="C65" i="64"/>
  <c r="C11" i="64"/>
  <c r="C97" i="64"/>
  <c r="D86" i="64"/>
  <c r="C48" i="64"/>
  <c r="D124" i="64"/>
  <c r="D60" i="64"/>
  <c r="C142" i="64"/>
  <c r="C78" i="64"/>
  <c r="C14" i="64"/>
  <c r="B96" i="64"/>
  <c r="B32" i="64"/>
  <c r="B116" i="64"/>
  <c r="D87" i="64"/>
  <c r="C57" i="64"/>
  <c r="D131" i="64"/>
  <c r="D67" i="64"/>
  <c r="D3" i="64"/>
  <c r="C85" i="64"/>
  <c r="C21" i="64"/>
  <c r="B103" i="64"/>
  <c r="B39" i="64"/>
  <c r="B13" i="64"/>
  <c r="C106" i="64"/>
  <c r="B52" i="64"/>
  <c r="B107" i="64"/>
  <c r="D106" i="64"/>
  <c r="D42" i="64"/>
  <c r="C124" i="64"/>
  <c r="C60" i="64"/>
  <c r="B142" i="64"/>
  <c r="B78" i="64"/>
  <c r="D144" i="64"/>
  <c r="D56" i="64"/>
  <c r="C10" i="64"/>
  <c r="C129" i="64"/>
  <c r="D145" i="64"/>
  <c r="D81" i="64"/>
  <c r="D17" i="64"/>
  <c r="C99" i="64"/>
  <c r="C35" i="64"/>
  <c r="B117" i="64"/>
  <c r="B53" i="64"/>
  <c r="C26" i="64"/>
  <c r="D39" i="64"/>
  <c r="D117" i="64"/>
  <c r="C7" i="64"/>
  <c r="B10" i="64"/>
  <c r="C79" i="64"/>
  <c r="D110" i="64"/>
  <c r="B146" i="64"/>
  <c r="B73" i="64"/>
  <c r="D109" i="64"/>
  <c r="B145" i="64"/>
  <c r="B138" i="64"/>
  <c r="B25" i="64"/>
  <c r="B97" i="64"/>
  <c r="D102" i="64"/>
  <c r="C23" i="64"/>
  <c r="D54" i="64"/>
  <c r="D94" i="64"/>
  <c r="B43" i="64"/>
  <c r="D44" i="64"/>
  <c r="B144" i="64"/>
  <c r="D47" i="64"/>
  <c r="D51" i="64"/>
  <c r="B87" i="64"/>
  <c r="D112" i="64"/>
  <c r="B51" i="64"/>
  <c r="C44" i="64"/>
  <c r="D128" i="64"/>
  <c r="D129" i="64"/>
  <c r="C83" i="64"/>
  <c r="B84" i="64"/>
  <c r="B65" i="64"/>
  <c r="D45" i="64"/>
  <c r="C112" i="64"/>
  <c r="D100" i="64"/>
  <c r="B136" i="64"/>
  <c r="B131" i="64"/>
  <c r="C125" i="64"/>
  <c r="B15" i="64"/>
  <c r="D146" i="64"/>
  <c r="B118" i="64"/>
  <c r="B68" i="64"/>
  <c r="C139" i="64"/>
  <c r="B93" i="64"/>
  <c r="D21" i="64"/>
  <c r="B49" i="64"/>
  <c r="B50" i="64"/>
  <c r="D116" i="64"/>
  <c r="D52" i="64"/>
  <c r="C134" i="64"/>
  <c r="C70" i="64"/>
  <c r="C6" i="64"/>
  <c r="B88" i="64"/>
  <c r="B24" i="64"/>
  <c r="B92" i="64"/>
  <c r="D71" i="64"/>
  <c r="C41" i="64"/>
  <c r="D123" i="64"/>
  <c r="D59" i="64"/>
  <c r="C141" i="64"/>
  <c r="C77" i="64"/>
  <c r="C13" i="64"/>
  <c r="B95" i="64"/>
  <c r="B31" i="64"/>
  <c r="B5" i="64"/>
  <c r="C90" i="64"/>
  <c r="B20" i="64"/>
  <c r="B83" i="64"/>
  <c r="D98" i="64"/>
  <c r="D34" i="64"/>
  <c r="C116" i="64"/>
  <c r="C52" i="64"/>
  <c r="B134" i="64"/>
  <c r="B70" i="64"/>
  <c r="D136" i="64"/>
  <c r="D40" i="64"/>
  <c r="B124" i="64"/>
  <c r="C105" i="64"/>
  <c r="D137" i="64"/>
  <c r="D73" i="64"/>
  <c r="D9" i="64"/>
  <c r="C91" i="64"/>
  <c r="C27" i="64"/>
  <c r="B109" i="64"/>
  <c r="B45" i="64"/>
  <c r="B132" i="64"/>
  <c r="D15" i="64"/>
  <c r="D85" i="64"/>
  <c r="B121" i="64"/>
  <c r="B74" i="64"/>
  <c r="C15" i="64"/>
  <c r="D78" i="64"/>
  <c r="B82" i="64"/>
  <c r="D126" i="64"/>
  <c r="D77" i="64"/>
  <c r="B113" i="64"/>
  <c r="B41" i="64"/>
  <c r="C8" i="64"/>
  <c r="C126" i="64"/>
  <c r="C62" i="64"/>
  <c r="B16" i="64"/>
  <c r="C9" i="64"/>
  <c r="C133" i="64"/>
  <c r="C69" i="64"/>
  <c r="B23" i="64"/>
  <c r="D143" i="64"/>
  <c r="D26" i="64"/>
  <c r="B126" i="64"/>
  <c r="B100" i="64"/>
  <c r="D65" i="64"/>
  <c r="C19" i="64"/>
  <c r="C121" i="64"/>
  <c r="B89" i="64"/>
  <c r="D46" i="64"/>
  <c r="B81" i="64"/>
  <c r="D118" i="64"/>
  <c r="D30" i="64"/>
  <c r="C118" i="64"/>
  <c r="B72" i="64"/>
  <c r="D31" i="64"/>
  <c r="D43" i="64"/>
  <c r="B143" i="64"/>
  <c r="C50" i="64"/>
  <c r="D82" i="64"/>
  <c r="C36" i="64"/>
  <c r="C146" i="64"/>
  <c r="D121" i="64"/>
  <c r="C75" i="64"/>
  <c r="B44" i="64"/>
  <c r="B58" i="64"/>
  <c r="D14" i="64"/>
  <c r="D13" i="64"/>
  <c r="D92" i="64"/>
  <c r="B128" i="64"/>
  <c r="D7" i="64"/>
  <c r="C117" i="64"/>
  <c r="B7" i="64"/>
  <c r="D138" i="64"/>
  <c r="C28" i="64"/>
  <c r="C122" i="64"/>
  <c r="C128" i="64"/>
  <c r="D84" i="64"/>
  <c r="B120" i="64"/>
  <c r="C137" i="64"/>
  <c r="C109" i="64"/>
  <c r="B22" i="64"/>
  <c r="D130" i="64"/>
  <c r="C20" i="64"/>
  <c r="C98" i="64"/>
  <c r="D41" i="64"/>
  <c r="B77" i="64"/>
  <c r="C103" i="64"/>
  <c r="C96" i="64"/>
  <c r="B9" i="64"/>
  <c r="B122" i="64"/>
  <c r="C110" i="64"/>
  <c r="B135" i="64"/>
  <c r="B46" i="64"/>
  <c r="B4" i="64"/>
  <c r="C16" i="64"/>
  <c r="C74" i="64"/>
  <c r="B140" i="64"/>
  <c r="D127" i="64"/>
  <c r="B42" i="64"/>
  <c r="B12" i="64"/>
  <c r="D103" i="64"/>
  <c r="D113" i="64"/>
  <c r="D22" i="64"/>
  <c r="C127" i="64"/>
  <c r="C38" i="64"/>
  <c r="B63" i="64"/>
  <c r="D88" i="64"/>
  <c r="C17" i="64"/>
  <c r="C40" i="64"/>
  <c r="C111" i="64"/>
  <c r="C135" i="64"/>
  <c r="D148" i="64"/>
  <c r="D28" i="64"/>
  <c r="B64" i="64"/>
  <c r="B99" i="64"/>
  <c r="C53" i="64"/>
  <c r="D48" i="64"/>
  <c r="D74" i="64"/>
  <c r="B110" i="64"/>
  <c r="B28" i="64"/>
  <c r="C131" i="64"/>
  <c r="D96" i="64"/>
  <c r="B34" i="64"/>
  <c r="D133" i="64"/>
  <c r="D37" i="64"/>
  <c r="D6" i="64"/>
  <c r="B11" i="64"/>
  <c r="C119" i="64"/>
  <c r="C138" i="64"/>
  <c r="C18" i="64"/>
  <c r="C33" i="64"/>
  <c r="B66" i="64"/>
  <c r="C102" i="64"/>
  <c r="B127" i="64"/>
  <c r="C148" i="64"/>
  <c r="B147" i="64"/>
  <c r="C104" i="64"/>
  <c r="B130" i="64"/>
  <c r="D35" i="64"/>
  <c r="C92" i="64"/>
  <c r="C49" i="64"/>
  <c r="D61" i="64"/>
  <c r="D135" i="64"/>
  <c r="C73" i="64"/>
  <c r="D105" i="64"/>
  <c r="C136" i="64"/>
  <c r="B85" i="64"/>
  <c r="C72" i="64"/>
  <c r="D20" i="64"/>
  <c r="B56" i="64"/>
  <c r="B67" i="64"/>
  <c r="C45" i="64"/>
  <c r="D32" i="64"/>
  <c r="D66" i="64"/>
  <c r="B102" i="64"/>
  <c r="D63" i="64"/>
  <c r="C123" i="64"/>
  <c r="D24" i="64"/>
  <c r="D5" i="64"/>
  <c r="C88" i="64"/>
  <c r="D99" i="64"/>
  <c r="D10" i="64"/>
  <c r="C67" i="64"/>
  <c r="B98" i="64"/>
  <c r="C24" i="64"/>
  <c r="D91" i="64"/>
  <c r="B38" i="64"/>
  <c r="C59" i="64"/>
  <c r="B19" i="64"/>
  <c r="C46" i="64"/>
  <c r="B71" i="64"/>
  <c r="D104" i="64"/>
  <c r="C3" i="64"/>
  <c r="D93" i="64"/>
  <c r="D27" i="64"/>
  <c r="C84" i="64"/>
  <c r="B141" i="64"/>
  <c r="C95" i="64"/>
  <c r="D49" i="64"/>
  <c r="B27" i="64"/>
  <c r="E34" i="62"/>
  <c r="D36" i="62"/>
  <c r="E30" i="62"/>
  <c r="D32" i="62"/>
  <c r="H26" i="62"/>
  <c r="H41" i="62" s="1"/>
  <c r="H42" i="62" s="1"/>
  <c r="D37" i="62"/>
  <c r="D33" i="62"/>
  <c r="I10" i="62"/>
  <c r="I34" i="62" s="1"/>
  <c r="G34" i="62"/>
  <c r="I5" i="62"/>
  <c r="I29" i="62" s="1"/>
  <c r="C38" i="62"/>
  <c r="J26" i="62"/>
  <c r="J41" i="62" s="1"/>
  <c r="J42" i="62" s="1"/>
  <c r="E33" i="62"/>
  <c r="L26" i="62"/>
  <c r="L41" i="62" s="1"/>
  <c r="L42" i="62" s="1"/>
  <c r="F33" i="62"/>
  <c r="F29" i="62"/>
  <c r="E32" i="62"/>
  <c r="G8" i="62"/>
  <c r="H8" i="62"/>
  <c r="J8" i="62" s="1"/>
  <c r="L8" i="62" s="1"/>
  <c r="L32" i="62" s="1"/>
  <c r="F32" i="62"/>
  <c r="H5" i="62"/>
  <c r="E36" i="62"/>
  <c r="G12" i="62"/>
  <c r="F36" i="62"/>
  <c r="H12" i="62"/>
  <c r="J12" i="62" s="1"/>
  <c r="H9" i="62"/>
  <c r="I9" i="62"/>
  <c r="H13" i="62"/>
  <c r="F31" i="62"/>
  <c r="H7" i="62"/>
  <c r="F26" i="62"/>
  <c r="F41" i="62" s="1"/>
  <c r="F42" i="62" s="1"/>
  <c r="I13" i="62"/>
  <c r="E14" i="62"/>
  <c r="D31" i="62"/>
  <c r="D14" i="62"/>
  <c r="E31" i="62"/>
  <c r="E37" i="62"/>
  <c r="G7" i="62"/>
  <c r="G11" i="62"/>
  <c r="F11" i="62"/>
  <c r="H11" i="62" s="1"/>
  <c r="F6" i="62"/>
  <c r="F10" i="62"/>
  <c r="D29" i="62"/>
  <c r="I6" i="62"/>
  <c r="C21" i="61"/>
  <c r="D19" i="61"/>
  <c r="D7" i="61"/>
  <c r="D18" i="61"/>
  <c r="E143" i="64" l="1"/>
  <c r="F143" i="64" s="1"/>
  <c r="C1" i="64"/>
  <c r="E149" i="64"/>
  <c r="F149" i="64" s="1"/>
  <c r="E147" i="64"/>
  <c r="F147" i="64" s="1"/>
  <c r="B1" i="64"/>
  <c r="D1" i="64"/>
  <c r="E148" i="64"/>
  <c r="F148" i="64" s="1"/>
  <c r="E145" i="64"/>
  <c r="F145" i="64" s="1"/>
  <c r="E144" i="64"/>
  <c r="F144" i="64" s="1"/>
  <c r="E146" i="64"/>
  <c r="F146" i="64" s="1"/>
  <c r="S15" i="80" s="1"/>
  <c r="S11" i="80" s="1"/>
  <c r="K5" i="62"/>
  <c r="K29" i="62" s="1"/>
  <c r="K10" i="62"/>
  <c r="K34" i="62" s="1"/>
  <c r="E38" i="62"/>
  <c r="H36" i="62"/>
  <c r="F30" i="62"/>
  <c r="H6" i="62"/>
  <c r="J9" i="62"/>
  <c r="H33" i="62"/>
  <c r="J11" i="62"/>
  <c r="H35" i="62"/>
  <c r="F35" i="62"/>
  <c r="G31" i="62"/>
  <c r="I7" i="62"/>
  <c r="H31" i="62"/>
  <c r="J7" i="62"/>
  <c r="I8" i="62"/>
  <c r="G32" i="62"/>
  <c r="I11" i="62"/>
  <c r="G35" i="62"/>
  <c r="L12" i="62"/>
  <c r="L36" i="62" s="1"/>
  <c r="J36" i="62"/>
  <c r="K6" i="62"/>
  <c r="K30" i="62" s="1"/>
  <c r="I30" i="62"/>
  <c r="H37" i="62"/>
  <c r="J13" i="62"/>
  <c r="F14" i="62"/>
  <c r="D38" i="62"/>
  <c r="H32" i="62"/>
  <c r="K9" i="62"/>
  <c r="K33" i="62" s="1"/>
  <c r="I33" i="62"/>
  <c r="G36" i="62"/>
  <c r="I12" i="62"/>
  <c r="G14" i="62"/>
  <c r="J32" i="62"/>
  <c r="H10" i="62"/>
  <c r="F34" i="62"/>
  <c r="I37" i="62"/>
  <c r="K13" i="62"/>
  <c r="K37" i="62" s="1"/>
  <c r="J5" i="62"/>
  <c r="H29" i="62"/>
  <c r="D21" i="61"/>
  <c r="G38" i="62" l="1"/>
  <c r="F38" i="62"/>
  <c r="J10" i="62"/>
  <c r="H34" i="62"/>
  <c r="I31" i="62"/>
  <c r="K7" i="62"/>
  <c r="K31" i="62" s="1"/>
  <c r="I14" i="62"/>
  <c r="K12" i="62"/>
  <c r="K36" i="62" s="1"/>
  <c r="I36" i="62"/>
  <c r="L13" i="62"/>
  <c r="L37" i="62" s="1"/>
  <c r="J37" i="62"/>
  <c r="I32" i="62"/>
  <c r="K8" i="62"/>
  <c r="K32" i="62" s="1"/>
  <c r="L11" i="62"/>
  <c r="L35" i="62" s="1"/>
  <c r="J35" i="62"/>
  <c r="J29" i="62"/>
  <c r="L5" i="62"/>
  <c r="H14" i="62"/>
  <c r="L9" i="62"/>
  <c r="L33" i="62" s="1"/>
  <c r="J33" i="62"/>
  <c r="K11" i="62"/>
  <c r="K35" i="62" s="1"/>
  <c r="I35" i="62"/>
  <c r="J6" i="62"/>
  <c r="H30" i="62"/>
  <c r="L7" i="62"/>
  <c r="L31" i="62" s="1"/>
  <c r="J31" i="62"/>
  <c r="H38" i="62" l="1"/>
  <c r="J14" i="62"/>
  <c r="K38" i="62"/>
  <c r="I38" i="62"/>
  <c r="L29" i="62"/>
  <c r="L6" i="62"/>
  <c r="L30" i="62" s="1"/>
  <c r="J30" i="62"/>
  <c r="K14" i="62"/>
  <c r="J34" i="62"/>
  <c r="L10" i="62"/>
  <c r="L34" i="62" s="1"/>
  <c r="J38" i="62" l="1"/>
  <c r="L38" i="62"/>
  <c r="L14" i="62"/>
  <c r="Q9" i="51"/>
  <c r="Q17" i="51" l="1"/>
  <c r="Q18" i="51" s="1"/>
  <c r="H10" i="3"/>
  <c r="H10" i="4" s="1"/>
  <c r="B158" i="58" l="1"/>
  <c r="Q24" i="51"/>
  <c r="C78" i="8" l="1"/>
  <c r="D78" i="8" s="1"/>
  <c r="D77" i="8"/>
  <c r="C81" i="9"/>
  <c r="D81" i="9" s="1"/>
  <c r="D80" i="9"/>
  <c r="C73" i="10"/>
  <c r="D73" i="10" s="1"/>
  <c r="D72" i="10"/>
  <c r="C83" i="12"/>
  <c r="D83" i="12" s="1"/>
  <c r="D82" i="12"/>
  <c r="C80" i="16"/>
  <c r="D80" i="16" s="1"/>
  <c r="D79" i="16"/>
  <c r="H82" i="22"/>
  <c r="Q26" i="51" l="1"/>
  <c r="Q27" i="51" l="1"/>
  <c r="L3" i="60" l="1"/>
  <c r="B147" i="58" l="1"/>
  <c r="G147" i="58" s="1"/>
  <c r="B153" i="58"/>
  <c r="G153" i="58" s="1"/>
  <c r="B122" i="58"/>
  <c r="G122" i="58" s="1"/>
  <c r="B120" i="58"/>
  <c r="G120" i="58" s="1"/>
  <c r="B119" i="58"/>
  <c r="G119" i="58" s="1"/>
  <c r="L10" i="60" l="1"/>
  <c r="M9" i="60"/>
  <c r="M8" i="60"/>
  <c r="M7" i="60"/>
  <c r="M6" i="60"/>
  <c r="M5" i="60"/>
  <c r="M4" i="60"/>
  <c r="M3" i="60"/>
  <c r="B165" i="58"/>
  <c r="B164" i="58"/>
  <c r="G164" i="58" s="1"/>
  <c r="B163" i="58"/>
  <c r="G163" i="58" s="1"/>
  <c r="B162" i="58"/>
  <c r="G162" i="58" s="1"/>
  <c r="B161" i="58"/>
  <c r="G161" i="58" s="1"/>
  <c r="B160" i="58"/>
  <c r="G160" i="58" s="1"/>
  <c r="B159" i="58"/>
  <c r="G159" i="58" s="1"/>
  <c r="B157" i="58"/>
  <c r="G157" i="58" s="1"/>
  <c r="B156" i="58"/>
  <c r="G156" i="58" s="1"/>
  <c r="B155" i="58"/>
  <c r="G155" i="58" s="1"/>
  <c r="B154" i="58"/>
  <c r="G154" i="58" s="1"/>
  <c r="B152" i="58"/>
  <c r="G152" i="58" s="1"/>
  <c r="B151" i="58"/>
  <c r="G151" i="58" s="1"/>
  <c r="B150" i="58"/>
  <c r="G150" i="58" s="1"/>
  <c r="B149" i="58"/>
  <c r="G149" i="58" s="1"/>
  <c r="B148" i="58"/>
  <c r="G148" i="58" s="1"/>
  <c r="B146" i="58"/>
  <c r="G146" i="58" s="1"/>
  <c r="B145" i="58"/>
  <c r="G145" i="58" s="1"/>
  <c r="B144" i="58"/>
  <c r="G144" i="58" s="1"/>
  <c r="B143" i="58"/>
  <c r="G143" i="58" s="1"/>
  <c r="B142" i="58"/>
  <c r="G142" i="58" s="1"/>
  <c r="B141" i="58"/>
  <c r="G141" i="58" s="1"/>
  <c r="B140" i="58"/>
  <c r="G140" i="58" s="1"/>
  <c r="B139" i="58"/>
  <c r="B138" i="58"/>
  <c r="B137" i="58"/>
  <c r="G137" i="58" s="1"/>
  <c r="B136" i="58"/>
  <c r="G136" i="58" s="1"/>
  <c r="B135" i="58"/>
  <c r="G135" i="58" s="1"/>
  <c r="B134" i="58"/>
  <c r="G134" i="58" s="1"/>
  <c r="B133" i="58"/>
  <c r="G133" i="58" s="1"/>
  <c r="B132" i="58"/>
  <c r="G132" i="58" s="1"/>
  <c r="B131" i="58"/>
  <c r="B130" i="58"/>
  <c r="G130" i="58" s="1"/>
  <c r="B129" i="58"/>
  <c r="G129" i="58" s="1"/>
  <c r="B128" i="58"/>
  <c r="G128" i="58" s="1"/>
  <c r="B127" i="58"/>
  <c r="G127" i="58" s="1"/>
  <c r="B126" i="58"/>
  <c r="G126" i="58" s="1"/>
  <c r="B125" i="58"/>
  <c r="G125" i="58" s="1"/>
  <c r="B124" i="58"/>
  <c r="G124" i="58" s="1"/>
  <c r="B123" i="58"/>
  <c r="B121" i="58"/>
  <c r="G121" i="58" s="1"/>
  <c r="B118" i="58"/>
  <c r="B117" i="58"/>
  <c r="G117" i="58" s="1"/>
  <c r="B116" i="58"/>
  <c r="G116" i="58" s="1"/>
  <c r="B115" i="58"/>
  <c r="B114" i="58"/>
  <c r="B113" i="58"/>
  <c r="G113" i="58" s="1"/>
  <c r="B112" i="58"/>
  <c r="G112" i="58" s="1"/>
  <c r="B111" i="58"/>
  <c r="G111" i="58" s="1"/>
  <c r="B110" i="58"/>
  <c r="G110" i="58" s="1"/>
  <c r="B109" i="58"/>
  <c r="G109" i="58" s="1"/>
  <c r="B108" i="58"/>
  <c r="G108" i="58" s="1"/>
  <c r="B107" i="58"/>
  <c r="G107" i="58" s="1"/>
  <c r="B106" i="58"/>
  <c r="G106" i="58" s="1"/>
  <c r="B105" i="58"/>
  <c r="G105" i="58" s="1"/>
  <c r="B104" i="58"/>
  <c r="G104" i="58" s="1"/>
  <c r="B103" i="58"/>
  <c r="G103" i="58" s="1"/>
  <c r="B102" i="58"/>
  <c r="G102" i="58" s="1"/>
  <c r="B101" i="58"/>
  <c r="G101" i="58" s="1"/>
  <c r="B100" i="58"/>
  <c r="G100" i="58" s="1"/>
  <c r="B99" i="58"/>
  <c r="G99" i="58" s="1"/>
  <c r="B97" i="58"/>
  <c r="G97" i="58" s="1"/>
  <c r="B96" i="58"/>
  <c r="B95" i="58"/>
  <c r="G95" i="58" s="1"/>
  <c r="B94" i="58"/>
  <c r="G94" i="58" s="1"/>
  <c r="B93" i="58"/>
  <c r="G93" i="58" s="1"/>
  <c r="B92" i="58"/>
  <c r="G92" i="58" s="1"/>
  <c r="B91" i="58"/>
  <c r="G91" i="58" s="1"/>
  <c r="B90" i="58"/>
  <c r="G90" i="58" s="1"/>
  <c r="B89" i="58"/>
  <c r="G89" i="58" s="1"/>
  <c r="B88" i="58"/>
  <c r="G88" i="58" s="1"/>
  <c r="B85" i="58"/>
  <c r="G85" i="58" s="1"/>
  <c r="B84" i="58"/>
  <c r="G84" i="58" s="1"/>
  <c r="B83" i="58"/>
  <c r="B82" i="58"/>
  <c r="B81" i="58"/>
  <c r="G81" i="58" s="1"/>
  <c r="B80" i="58"/>
  <c r="G80" i="58" s="1"/>
  <c r="B79" i="58"/>
  <c r="B78" i="58"/>
  <c r="G78" i="58" s="1"/>
  <c r="B77" i="58"/>
  <c r="G77" i="58" s="1"/>
  <c r="B76" i="58"/>
  <c r="G76" i="58" s="1"/>
  <c r="B75" i="58"/>
  <c r="B74" i="58"/>
  <c r="B73" i="58"/>
  <c r="G73" i="58" s="1"/>
  <c r="B72" i="58"/>
  <c r="G72" i="58" s="1"/>
  <c r="B71" i="58"/>
  <c r="G71" i="58" s="1"/>
  <c r="B70" i="58"/>
  <c r="G70" i="58" s="1"/>
  <c r="B69" i="58"/>
  <c r="G69" i="58" s="1"/>
  <c r="B68" i="58"/>
  <c r="G68" i="58" s="1"/>
  <c r="B67" i="58"/>
  <c r="G67" i="58" s="1"/>
  <c r="B66" i="58"/>
  <c r="G66" i="58" s="1"/>
  <c r="B65" i="58"/>
  <c r="B64" i="58"/>
  <c r="B63" i="58"/>
  <c r="G63" i="58" s="1"/>
  <c r="B62" i="58"/>
  <c r="G62" i="58" s="1"/>
  <c r="B61" i="58"/>
  <c r="B60" i="58"/>
  <c r="G60" i="58" s="1"/>
  <c r="B59" i="58"/>
  <c r="G59" i="58" s="1"/>
  <c r="B58" i="58"/>
  <c r="G58" i="58" s="1"/>
  <c r="B56" i="58"/>
  <c r="G56" i="58" s="1"/>
  <c r="B55" i="58"/>
  <c r="B54" i="58"/>
  <c r="G54" i="58" s="1"/>
  <c r="B53" i="58"/>
  <c r="G53" i="58" s="1"/>
  <c r="B52" i="58"/>
  <c r="G52" i="58" s="1"/>
  <c r="B51" i="58"/>
  <c r="G51" i="58" s="1"/>
  <c r="B50" i="58"/>
  <c r="G50" i="58" s="1"/>
  <c r="B49" i="58"/>
  <c r="G49" i="58" s="1"/>
  <c r="B47" i="58"/>
  <c r="G47" i="58" s="1"/>
  <c r="B46" i="58"/>
  <c r="G46" i="58" s="1"/>
  <c r="B45" i="58"/>
  <c r="G45" i="58" s="1"/>
  <c r="B44" i="58"/>
  <c r="G44" i="58" s="1"/>
  <c r="B43" i="58"/>
  <c r="G43" i="58" s="1"/>
  <c r="B42" i="58"/>
  <c r="B41" i="58"/>
  <c r="B40" i="58"/>
  <c r="G40" i="58" s="1"/>
  <c r="B39" i="58"/>
  <c r="G39" i="58" s="1"/>
  <c r="B38" i="58"/>
  <c r="G38" i="58" s="1"/>
  <c r="B37" i="58"/>
  <c r="G37" i="58" s="1"/>
  <c r="B36" i="58"/>
  <c r="G36" i="58" s="1"/>
  <c r="B35" i="58"/>
  <c r="G35" i="58" s="1"/>
  <c r="B34" i="58"/>
  <c r="G34" i="58" s="1"/>
  <c r="B33" i="58"/>
  <c r="G33" i="58" s="1"/>
  <c r="B32" i="58"/>
  <c r="G32" i="58" s="1"/>
  <c r="B31" i="58"/>
  <c r="G31" i="58" s="1"/>
  <c r="B30" i="58"/>
  <c r="G30" i="58" s="1"/>
  <c r="B29" i="58"/>
  <c r="G29" i="58" s="1"/>
  <c r="B28" i="58"/>
  <c r="G28" i="58" s="1"/>
  <c r="B27" i="58"/>
  <c r="G27" i="58" s="1"/>
  <c r="B26" i="58"/>
  <c r="G26" i="58" s="1"/>
  <c r="B25" i="58"/>
  <c r="G25" i="58" s="1"/>
  <c r="B24" i="58"/>
  <c r="B23" i="58"/>
  <c r="B22" i="58"/>
  <c r="B21" i="58"/>
  <c r="G21" i="58" s="1"/>
  <c r="B20" i="58"/>
  <c r="G20" i="58" s="1"/>
  <c r="B19" i="58"/>
  <c r="G19" i="58" s="1"/>
  <c r="B18" i="58"/>
  <c r="B17" i="58"/>
  <c r="G17" i="58" s="1"/>
  <c r="B16" i="58"/>
  <c r="G16" i="58" s="1"/>
  <c r="B15" i="58"/>
  <c r="G15" i="58" s="1"/>
  <c r="B14" i="58"/>
  <c r="G14" i="58" s="1"/>
  <c r="B13" i="58"/>
  <c r="G13" i="58" s="1"/>
  <c r="B12" i="58"/>
  <c r="G12" i="58" s="1"/>
  <c r="G11" i="58"/>
  <c r="B9" i="58"/>
  <c r="G9" i="58" s="1"/>
  <c r="B8" i="58"/>
  <c r="G8" i="58" s="1"/>
  <c r="B7" i="58"/>
  <c r="G7" i="58" s="1"/>
  <c r="B6" i="58"/>
  <c r="G6" i="58" s="1"/>
  <c r="B5" i="58"/>
  <c r="G5" i="58" s="1"/>
  <c r="B4" i="58"/>
  <c r="G4" i="58" s="1"/>
  <c r="B3" i="58"/>
  <c r="H11" i="4" l="1"/>
  <c r="D143" i="60"/>
  <c r="B141" i="60"/>
  <c r="C138" i="60"/>
  <c r="C143" i="60"/>
  <c r="B138" i="60"/>
  <c r="C140" i="60"/>
  <c r="D140" i="60"/>
  <c r="B143" i="60"/>
  <c r="B139" i="60"/>
  <c r="D142" i="60"/>
  <c r="B140" i="60"/>
  <c r="D137" i="60"/>
  <c r="C141" i="60"/>
  <c r="C142" i="60"/>
  <c r="D139" i="60"/>
  <c r="C137" i="60"/>
  <c r="B142" i="60"/>
  <c r="C139" i="60"/>
  <c r="B137" i="60"/>
  <c r="D141" i="60"/>
  <c r="D138" i="60"/>
  <c r="D126" i="60"/>
  <c r="D114" i="60"/>
  <c r="D102" i="60"/>
  <c r="D90" i="60"/>
  <c r="D78" i="60"/>
  <c r="D66" i="60"/>
  <c r="D54" i="60"/>
  <c r="D42" i="60"/>
  <c r="D30" i="60"/>
  <c r="D18" i="60"/>
  <c r="D6" i="60"/>
  <c r="C128" i="60"/>
  <c r="C116" i="60"/>
  <c r="C104" i="60"/>
  <c r="C92" i="60"/>
  <c r="C80" i="60"/>
  <c r="C68" i="60"/>
  <c r="C56" i="60"/>
  <c r="C44" i="60"/>
  <c r="C32" i="60"/>
  <c r="C20" i="60"/>
  <c r="C8" i="60"/>
  <c r="B130" i="60"/>
  <c r="B118" i="60"/>
  <c r="B106" i="60"/>
  <c r="B94" i="60"/>
  <c r="B82" i="60"/>
  <c r="B70" i="60"/>
  <c r="B58" i="60"/>
  <c r="B46" i="60"/>
  <c r="B34" i="60"/>
  <c r="B22" i="60"/>
  <c r="B10" i="60"/>
  <c r="D27" i="60"/>
  <c r="D3" i="60"/>
  <c r="C101" i="60"/>
  <c r="C65" i="60"/>
  <c r="C41" i="60"/>
  <c r="C5" i="60"/>
  <c r="B103" i="60"/>
  <c r="B67" i="60"/>
  <c r="B31" i="60"/>
  <c r="D122" i="60"/>
  <c r="D110" i="60"/>
  <c r="D86" i="60"/>
  <c r="D62" i="60"/>
  <c r="D26" i="60"/>
  <c r="C136" i="60"/>
  <c r="C112" i="60"/>
  <c r="C88" i="60"/>
  <c r="C52" i="60"/>
  <c r="C28" i="60"/>
  <c r="B126" i="60"/>
  <c r="B78" i="60"/>
  <c r="B42" i="60"/>
  <c r="B6" i="60"/>
  <c r="B125" i="60"/>
  <c r="B65" i="60"/>
  <c r="B29" i="60"/>
  <c r="D119" i="60"/>
  <c r="D59" i="60"/>
  <c r="D35" i="60"/>
  <c r="C133" i="60"/>
  <c r="C97" i="60"/>
  <c r="C61" i="60"/>
  <c r="C25" i="60"/>
  <c r="B111" i="60"/>
  <c r="B87" i="60"/>
  <c r="B51" i="60"/>
  <c r="B27" i="60"/>
  <c r="D82" i="60"/>
  <c r="D10" i="60"/>
  <c r="C108" i="60"/>
  <c r="C48" i="60"/>
  <c r="B122" i="60"/>
  <c r="B74" i="60"/>
  <c r="D125" i="60"/>
  <c r="D113" i="60"/>
  <c r="D101" i="60"/>
  <c r="D89" i="60"/>
  <c r="D77" i="60"/>
  <c r="D65" i="60"/>
  <c r="D53" i="60"/>
  <c r="D41" i="60"/>
  <c r="D29" i="60"/>
  <c r="D17" i="60"/>
  <c r="D5" i="60"/>
  <c r="C127" i="60"/>
  <c r="C115" i="60"/>
  <c r="C103" i="60"/>
  <c r="C91" i="60"/>
  <c r="C79" i="60"/>
  <c r="C67" i="60"/>
  <c r="C55" i="60"/>
  <c r="C43" i="60"/>
  <c r="C31" i="60"/>
  <c r="C19" i="60"/>
  <c r="C7" i="60"/>
  <c r="B129" i="60"/>
  <c r="B117" i="60"/>
  <c r="B105" i="60"/>
  <c r="B93" i="60"/>
  <c r="B81" i="60"/>
  <c r="B69" i="60"/>
  <c r="B57" i="60"/>
  <c r="B45" i="60"/>
  <c r="B33" i="60"/>
  <c r="B21" i="60"/>
  <c r="B9" i="60"/>
  <c r="D39" i="60"/>
  <c r="C125" i="60"/>
  <c r="C89" i="60"/>
  <c r="C53" i="60"/>
  <c r="C17" i="60"/>
  <c r="B127" i="60"/>
  <c r="B91" i="60"/>
  <c r="B55" i="60"/>
  <c r="B19" i="60"/>
  <c r="C124" i="60"/>
  <c r="C64" i="60"/>
  <c r="C16" i="60"/>
  <c r="B114" i="60"/>
  <c r="B66" i="60"/>
  <c r="B30" i="60"/>
  <c r="C3" i="60"/>
  <c r="B113" i="60"/>
  <c r="B89" i="60"/>
  <c r="B41" i="60"/>
  <c r="B17" i="60"/>
  <c r="D131" i="60"/>
  <c r="D83" i="60"/>
  <c r="D71" i="60"/>
  <c r="D47" i="60"/>
  <c r="D11" i="60"/>
  <c r="C85" i="60"/>
  <c r="C73" i="60"/>
  <c r="C37" i="60"/>
  <c r="B123" i="60"/>
  <c r="B99" i="60"/>
  <c r="B39" i="60"/>
  <c r="B15" i="60"/>
  <c r="D106" i="60"/>
  <c r="D70" i="60"/>
  <c r="D22" i="60"/>
  <c r="C132" i="60"/>
  <c r="C84" i="60"/>
  <c r="C12" i="60"/>
  <c r="B110" i="60"/>
  <c r="B50" i="60"/>
  <c r="D136" i="60"/>
  <c r="D124" i="60"/>
  <c r="D112" i="60"/>
  <c r="D100" i="60"/>
  <c r="D88" i="60"/>
  <c r="D76" i="60"/>
  <c r="D64" i="60"/>
  <c r="D52" i="60"/>
  <c r="D40" i="60"/>
  <c r="D28" i="60"/>
  <c r="D16" i="60"/>
  <c r="D4" i="60"/>
  <c r="C126" i="60"/>
  <c r="C114" i="60"/>
  <c r="C102" i="60"/>
  <c r="C90" i="60"/>
  <c r="C78" i="60"/>
  <c r="C66" i="60"/>
  <c r="C54" i="60"/>
  <c r="C42" i="60"/>
  <c r="C30" i="60"/>
  <c r="C18" i="60"/>
  <c r="C6" i="60"/>
  <c r="B128" i="60"/>
  <c r="B116" i="60"/>
  <c r="B104" i="60"/>
  <c r="B92" i="60"/>
  <c r="B80" i="60"/>
  <c r="B68" i="60"/>
  <c r="B56" i="60"/>
  <c r="B44" i="60"/>
  <c r="B32" i="60"/>
  <c r="B20" i="60"/>
  <c r="B8" i="60"/>
  <c r="D51" i="60"/>
  <c r="D15" i="60"/>
  <c r="C113" i="60"/>
  <c r="C77" i="60"/>
  <c r="C29" i="60"/>
  <c r="B115" i="60"/>
  <c r="B79" i="60"/>
  <c r="B43" i="60"/>
  <c r="B7" i="60"/>
  <c r="D134" i="60"/>
  <c r="D98" i="60"/>
  <c r="D74" i="60"/>
  <c r="D50" i="60"/>
  <c r="D38" i="60"/>
  <c r="D14" i="60"/>
  <c r="C100" i="60"/>
  <c r="C76" i="60"/>
  <c r="C40" i="60"/>
  <c r="C4" i="60"/>
  <c r="B90" i="60"/>
  <c r="B54" i="60"/>
  <c r="B18" i="60"/>
  <c r="C120" i="60"/>
  <c r="B134" i="60"/>
  <c r="B86" i="60"/>
  <c r="B14" i="60"/>
  <c r="D135" i="60"/>
  <c r="D123" i="60"/>
  <c r="D111" i="60"/>
  <c r="D99" i="60"/>
  <c r="D87" i="60"/>
  <c r="D75" i="60"/>
  <c r="D63" i="60"/>
  <c r="B102" i="60"/>
  <c r="B77" i="60"/>
  <c r="B5" i="60"/>
  <c r="D23" i="60"/>
  <c r="C13" i="60"/>
  <c r="B63" i="60"/>
  <c r="D130" i="60"/>
  <c r="D46" i="60"/>
  <c r="C72" i="60"/>
  <c r="B98" i="60"/>
  <c r="C121" i="60"/>
  <c r="D58" i="60"/>
  <c r="C96" i="60"/>
  <c r="C24" i="60"/>
  <c r="B38" i="60"/>
  <c r="D133" i="60"/>
  <c r="D121" i="60"/>
  <c r="D109" i="60"/>
  <c r="D97" i="60"/>
  <c r="D85" i="60"/>
  <c r="D73" i="60"/>
  <c r="D61" i="60"/>
  <c r="D49" i="60"/>
  <c r="D37" i="60"/>
  <c r="D25" i="60"/>
  <c r="D13" i="60"/>
  <c r="C135" i="60"/>
  <c r="C123" i="60"/>
  <c r="C111" i="60"/>
  <c r="C99" i="60"/>
  <c r="C87" i="60"/>
  <c r="C75" i="60"/>
  <c r="C63" i="60"/>
  <c r="C51" i="60"/>
  <c r="C39" i="60"/>
  <c r="C27" i="60"/>
  <c r="C15" i="60"/>
  <c r="B101" i="60"/>
  <c r="B53" i="60"/>
  <c r="D107" i="60"/>
  <c r="C109" i="60"/>
  <c r="C49" i="60"/>
  <c r="B135" i="60"/>
  <c r="B75" i="60"/>
  <c r="B3" i="60"/>
  <c r="D118" i="60"/>
  <c r="D34" i="60"/>
  <c r="C60" i="60"/>
  <c r="B62" i="60"/>
  <c r="D132" i="60"/>
  <c r="D120" i="60"/>
  <c r="D108" i="60"/>
  <c r="D96" i="60"/>
  <c r="D84" i="60"/>
  <c r="D72" i="60"/>
  <c r="D60" i="60"/>
  <c r="D48" i="60"/>
  <c r="D36" i="60"/>
  <c r="D24" i="60"/>
  <c r="D12" i="60"/>
  <c r="C134" i="60"/>
  <c r="C122" i="60"/>
  <c r="C110" i="60"/>
  <c r="C98" i="60"/>
  <c r="C86" i="60"/>
  <c r="C74" i="60"/>
  <c r="C62" i="60"/>
  <c r="C50" i="60"/>
  <c r="C38" i="60"/>
  <c r="C26" i="60"/>
  <c r="C14" i="60"/>
  <c r="B136" i="60"/>
  <c r="B124" i="60"/>
  <c r="B112" i="60"/>
  <c r="B100" i="60"/>
  <c r="B88" i="60"/>
  <c r="B76" i="60"/>
  <c r="B64" i="60"/>
  <c r="B52" i="60"/>
  <c r="B40" i="60"/>
  <c r="B28" i="60"/>
  <c r="B16" i="60"/>
  <c r="B4" i="60"/>
  <c r="D95" i="60"/>
  <c r="D94" i="60"/>
  <c r="C36" i="60"/>
  <c r="B26" i="60"/>
  <c r="D116" i="60"/>
  <c r="D68" i="60"/>
  <c r="D20" i="60"/>
  <c r="C106" i="60"/>
  <c r="C58" i="60"/>
  <c r="C10" i="60"/>
  <c r="B96" i="60"/>
  <c r="B48" i="60"/>
  <c r="C33" i="60"/>
  <c r="D81" i="60"/>
  <c r="C23" i="60"/>
  <c r="D128" i="60"/>
  <c r="C22" i="60"/>
  <c r="B12" i="60"/>
  <c r="C69" i="60"/>
  <c r="B11" i="60"/>
  <c r="C59" i="60"/>
  <c r="D115" i="60"/>
  <c r="D67" i="60"/>
  <c r="D19" i="60"/>
  <c r="C105" i="60"/>
  <c r="C57" i="60"/>
  <c r="C9" i="60"/>
  <c r="B95" i="60"/>
  <c r="B47" i="60"/>
  <c r="C93" i="60"/>
  <c r="B131" i="60"/>
  <c r="D45" i="60"/>
  <c r="B121" i="60"/>
  <c r="C130" i="60"/>
  <c r="C34" i="60"/>
  <c r="C21" i="60"/>
  <c r="D69" i="60"/>
  <c r="B97" i="60"/>
  <c r="D105" i="60"/>
  <c r="D57" i="60"/>
  <c r="D9" i="60"/>
  <c r="C95" i="60"/>
  <c r="C47" i="60"/>
  <c r="B133" i="60"/>
  <c r="B85" i="60"/>
  <c r="B37" i="60"/>
  <c r="D55" i="60"/>
  <c r="C45" i="60"/>
  <c r="B35" i="60"/>
  <c r="D93" i="60"/>
  <c r="C35" i="60"/>
  <c r="B25" i="60"/>
  <c r="D92" i="60"/>
  <c r="C82" i="60"/>
  <c r="B120" i="60"/>
  <c r="B72" i="60"/>
  <c r="D91" i="60"/>
  <c r="C81" i="60"/>
  <c r="B71" i="60"/>
  <c r="D33" i="60"/>
  <c r="B109" i="60"/>
  <c r="B13" i="60"/>
  <c r="D32" i="60"/>
  <c r="B60" i="60"/>
  <c r="D31" i="60"/>
  <c r="B59" i="60"/>
  <c r="C107" i="60"/>
  <c r="B49" i="60"/>
  <c r="D104" i="60"/>
  <c r="D56" i="60"/>
  <c r="D8" i="60"/>
  <c r="C94" i="60"/>
  <c r="C46" i="60"/>
  <c r="B132" i="60"/>
  <c r="B84" i="60"/>
  <c r="B36" i="60"/>
  <c r="D7" i="60"/>
  <c r="B83" i="60"/>
  <c r="C83" i="60"/>
  <c r="B73" i="60"/>
  <c r="D44" i="60"/>
  <c r="B24" i="60"/>
  <c r="C129" i="60"/>
  <c r="B119" i="60"/>
  <c r="D129" i="60"/>
  <c r="C71" i="60"/>
  <c r="B61" i="60"/>
  <c r="C118" i="60"/>
  <c r="B108" i="60"/>
  <c r="D127" i="60"/>
  <c r="B107" i="60"/>
  <c r="D117" i="60"/>
  <c r="C11" i="60"/>
  <c r="D103" i="60"/>
  <c r="D43" i="60"/>
  <c r="B23" i="60"/>
  <c r="D80" i="60"/>
  <c r="C117" i="60"/>
  <c r="D21" i="60"/>
  <c r="C131" i="60"/>
  <c r="C119" i="60"/>
  <c r="C70" i="60"/>
  <c r="D79" i="60"/>
  <c r="M10" i="60"/>
  <c r="G11" i="4" l="1"/>
  <c r="E143" i="60"/>
  <c r="F143" i="60" s="1"/>
  <c r="E142" i="60"/>
  <c r="F142" i="60" s="1"/>
  <c r="E141" i="60"/>
  <c r="F141" i="60" s="1"/>
  <c r="R15" i="80" s="1"/>
  <c r="R11" i="80" s="1"/>
  <c r="E138" i="60"/>
  <c r="F138" i="60" s="1"/>
  <c r="D1" i="60"/>
  <c r="E137" i="60"/>
  <c r="F137" i="60" s="1"/>
  <c r="E140" i="60"/>
  <c r="F140" i="60" s="1"/>
  <c r="B1" i="60"/>
  <c r="C1" i="60"/>
  <c r="E139" i="60"/>
  <c r="F139" i="60" s="1"/>
  <c r="E136" i="60"/>
  <c r="F136" i="60" s="1"/>
  <c r="E135" i="60"/>
  <c r="F135" i="60" s="1"/>
  <c r="E131" i="60"/>
  <c r="F131" i="60" s="1"/>
  <c r="E88" i="60"/>
  <c r="F88" i="60" s="1"/>
  <c r="E96" i="60"/>
  <c r="F96" i="60" s="1"/>
  <c r="E130" i="60"/>
  <c r="F130" i="60" s="1"/>
  <c r="E11" i="60"/>
  <c r="F11" i="60" s="1"/>
  <c r="E133" i="60"/>
  <c r="F133" i="60" s="1"/>
  <c r="E37" i="60"/>
  <c r="F37" i="60" s="1"/>
  <c r="E134" i="60"/>
  <c r="F134" i="60" s="1"/>
  <c r="H12" i="3" s="1"/>
  <c r="H12" i="4" s="1"/>
  <c r="E132" i="60"/>
  <c r="F132" i="60" s="1"/>
  <c r="E16" i="60"/>
  <c r="F16" i="60" s="1"/>
  <c r="E6" i="60"/>
  <c r="F6" i="60" s="1"/>
  <c r="E59" i="60"/>
  <c r="F59" i="60" s="1"/>
  <c r="E56" i="60"/>
  <c r="F56" i="60" s="1"/>
  <c r="E129" i="60"/>
  <c r="F129" i="60" s="1"/>
  <c r="E120" i="60"/>
  <c r="F120" i="60" s="1"/>
  <c r="E72" i="60"/>
  <c r="F72" i="60" s="1"/>
  <c r="E54" i="60"/>
  <c r="F54" i="60" s="1"/>
  <c r="E128" i="60"/>
  <c r="F128" i="60" s="1"/>
  <c r="E5" i="60"/>
  <c r="F5" i="60" s="1"/>
  <c r="E27" i="60"/>
  <c r="F27" i="60" s="1"/>
  <c r="E110" i="60"/>
  <c r="F110" i="60" s="1"/>
  <c r="H42" i="3" s="1"/>
  <c r="H34" i="4" s="1"/>
  <c r="E62" i="60"/>
  <c r="F62" i="60" s="1"/>
  <c r="E14" i="60"/>
  <c r="F14" i="60" s="1"/>
  <c r="E119" i="60"/>
  <c r="F119" i="60" s="1"/>
  <c r="H35" i="3" s="1"/>
  <c r="E36" i="60"/>
  <c r="F36" i="60" s="1"/>
  <c r="E58" i="60"/>
  <c r="F58" i="60" s="1"/>
  <c r="E100" i="60"/>
  <c r="F100" i="60" s="1"/>
  <c r="E122" i="60"/>
  <c r="F122" i="60" s="1"/>
  <c r="E61" i="60"/>
  <c r="F61" i="60" s="1"/>
  <c r="E125" i="60"/>
  <c r="F125" i="60" s="1"/>
  <c r="E64" i="60"/>
  <c r="F64" i="60" s="1"/>
  <c r="E43" i="60"/>
  <c r="F43" i="60" s="1"/>
  <c r="E107" i="60"/>
  <c r="F107" i="60" s="1"/>
  <c r="E48" i="60"/>
  <c r="F48" i="60" s="1"/>
  <c r="E46" i="60"/>
  <c r="F46" i="60" s="1"/>
  <c r="E24" i="60"/>
  <c r="F24" i="60" s="1"/>
  <c r="E41" i="60"/>
  <c r="F41" i="60" s="1"/>
  <c r="E40" i="60"/>
  <c r="F40" i="60" s="1"/>
  <c r="E49" i="60"/>
  <c r="F49" i="60" s="1"/>
  <c r="E95" i="60"/>
  <c r="F95" i="60" s="1"/>
  <c r="H28" i="3" s="1"/>
  <c r="E28" i="60"/>
  <c r="F28" i="60" s="1"/>
  <c r="E79" i="60"/>
  <c r="F79" i="60" s="1"/>
  <c r="E105" i="60"/>
  <c r="F105" i="60" s="1"/>
  <c r="E104" i="60"/>
  <c r="F104" i="60" s="1"/>
  <c r="E44" i="60"/>
  <c r="F44" i="60" s="1"/>
  <c r="E92" i="60"/>
  <c r="F92" i="60" s="1"/>
  <c r="E87" i="60"/>
  <c r="F87" i="60" s="1"/>
  <c r="E91" i="60"/>
  <c r="F91" i="60" s="1"/>
  <c r="E89" i="60"/>
  <c r="F89" i="60" s="1"/>
  <c r="E118" i="60"/>
  <c r="F118" i="60" s="1"/>
  <c r="E78" i="60"/>
  <c r="F78" i="60" s="1"/>
  <c r="E4" i="60"/>
  <c r="F4" i="60" s="1"/>
  <c r="E23" i="60"/>
  <c r="F23" i="60" s="1"/>
  <c r="E67" i="60"/>
  <c r="F67" i="60" s="1"/>
  <c r="E108" i="60"/>
  <c r="F108" i="60" s="1"/>
  <c r="E113" i="60"/>
  <c r="F113" i="60" s="1"/>
  <c r="H18" i="3" s="1"/>
  <c r="H18" i="4" s="1"/>
  <c r="E86" i="60"/>
  <c r="F86" i="60" s="1"/>
  <c r="E12" i="60"/>
  <c r="F12" i="60" s="1"/>
  <c r="E102" i="60"/>
  <c r="F102" i="60" s="1"/>
  <c r="E55" i="60"/>
  <c r="F55" i="60" s="1"/>
  <c r="E8" i="60"/>
  <c r="F8" i="60" s="1"/>
  <c r="E121" i="60"/>
  <c r="F121" i="60" s="1"/>
  <c r="H32" i="3" s="1"/>
  <c r="E7" i="60"/>
  <c r="F7" i="60" s="1"/>
  <c r="E68" i="60"/>
  <c r="F68" i="60" s="1"/>
  <c r="E10" i="60"/>
  <c r="F10" i="60" s="1"/>
  <c r="E117" i="60"/>
  <c r="F117" i="60" s="1"/>
  <c r="E31" i="60"/>
  <c r="F31" i="60" s="1"/>
  <c r="E25" i="60"/>
  <c r="F25" i="60" s="1"/>
  <c r="E71" i="60"/>
  <c r="F71" i="60" s="1"/>
  <c r="E77" i="60"/>
  <c r="F77" i="60" s="1"/>
  <c r="E19" i="60"/>
  <c r="F19" i="60" s="1"/>
  <c r="E101" i="60"/>
  <c r="E126" i="60"/>
  <c r="F126" i="60" s="1"/>
  <c r="E116" i="60"/>
  <c r="F116" i="60" s="1"/>
  <c r="E52" i="60"/>
  <c r="F52" i="60" s="1"/>
  <c r="E123" i="60"/>
  <c r="F123" i="60" s="1"/>
  <c r="H33" i="3" s="1"/>
  <c r="H28" i="4" s="1"/>
  <c r="E30" i="60"/>
  <c r="F30" i="60" s="1"/>
  <c r="E80" i="60"/>
  <c r="F80" i="60" s="1"/>
  <c r="E83" i="60"/>
  <c r="F83" i="60" s="1"/>
  <c r="E22" i="60"/>
  <c r="F22" i="60" s="1"/>
  <c r="E53" i="60"/>
  <c r="F53" i="60" s="1"/>
  <c r="E13" i="60"/>
  <c r="F13" i="60" s="1"/>
  <c r="E85" i="60"/>
  <c r="F85" i="60" s="1"/>
  <c r="E69" i="60"/>
  <c r="F69" i="60" s="1"/>
  <c r="E15" i="60"/>
  <c r="F15" i="60" s="1"/>
  <c r="E51" i="60"/>
  <c r="F51" i="60" s="1"/>
  <c r="E39" i="60"/>
  <c r="F39" i="60" s="1"/>
  <c r="E21" i="60"/>
  <c r="F21" i="60" s="1"/>
  <c r="E3" i="60"/>
  <c r="E97" i="60"/>
  <c r="F97" i="60" s="1"/>
  <c r="H27" i="3" s="1"/>
  <c r="E124" i="60"/>
  <c r="F124" i="60" s="1"/>
  <c r="H19" i="3" s="1"/>
  <c r="E103" i="60"/>
  <c r="F103" i="60" s="1"/>
  <c r="E63" i="60"/>
  <c r="F63" i="60" s="1"/>
  <c r="E45" i="60"/>
  <c r="F45" i="60" s="1"/>
  <c r="R33" i="80" s="1"/>
  <c r="E109" i="60"/>
  <c r="F109" i="60" s="1"/>
  <c r="E35" i="60"/>
  <c r="F35" i="60" s="1"/>
  <c r="E60" i="60"/>
  <c r="F60" i="60" s="1"/>
  <c r="E38" i="60"/>
  <c r="F38" i="60" s="1"/>
  <c r="E99" i="60"/>
  <c r="F99" i="60" s="1"/>
  <c r="H47" i="3" s="1"/>
  <c r="H39" i="4" s="1"/>
  <c r="E84" i="60"/>
  <c r="F84" i="60" s="1"/>
  <c r="E127" i="60"/>
  <c r="F127" i="60" s="1"/>
  <c r="E115" i="60"/>
  <c r="F115" i="60" s="1"/>
  <c r="E94" i="60"/>
  <c r="F94" i="60" s="1"/>
  <c r="E47" i="60"/>
  <c r="F47" i="60" s="1"/>
  <c r="E29" i="60"/>
  <c r="F29" i="60" s="1"/>
  <c r="E93" i="60"/>
  <c r="E32" i="60"/>
  <c r="F32" i="60" s="1"/>
  <c r="E75" i="60"/>
  <c r="F75" i="60" s="1"/>
  <c r="E76" i="60"/>
  <c r="F76" i="60" s="1"/>
  <c r="E20" i="60"/>
  <c r="F20" i="60" s="1"/>
  <c r="E70" i="60"/>
  <c r="F70" i="60" s="1"/>
  <c r="E34" i="60"/>
  <c r="F34" i="60" s="1"/>
  <c r="E98" i="60"/>
  <c r="F98" i="60" s="1"/>
  <c r="H20" i="3" s="1"/>
  <c r="H20" i="4" s="1"/>
  <c r="E65" i="60"/>
  <c r="F65" i="60" s="1"/>
  <c r="E111" i="60"/>
  <c r="F111" i="60" s="1"/>
  <c r="E50" i="60"/>
  <c r="F50" i="60" s="1"/>
  <c r="E114" i="60"/>
  <c r="F114" i="60" s="1"/>
  <c r="E17" i="60"/>
  <c r="F17" i="60" s="1"/>
  <c r="E42" i="60"/>
  <c r="F42" i="60" s="1"/>
  <c r="E106" i="60"/>
  <c r="F106" i="60" s="1"/>
  <c r="E74" i="60"/>
  <c r="F74" i="60" s="1"/>
  <c r="E73" i="60"/>
  <c r="F73" i="60" s="1"/>
  <c r="E18" i="60"/>
  <c r="F18" i="60" s="1"/>
  <c r="E82" i="60"/>
  <c r="F82" i="60" s="1"/>
  <c r="E81" i="60"/>
  <c r="F81" i="60" s="1"/>
  <c r="E66" i="60"/>
  <c r="F66" i="60" s="1"/>
  <c r="E33" i="60"/>
  <c r="F33" i="60" s="1"/>
  <c r="E57" i="60"/>
  <c r="F57" i="60" s="1"/>
  <c r="E26" i="60"/>
  <c r="F26" i="60" s="1"/>
  <c r="E90" i="60"/>
  <c r="F90" i="60" s="1"/>
  <c r="E112" i="60"/>
  <c r="F112" i="60" s="1"/>
  <c r="E9" i="60"/>
  <c r="F9" i="60" s="1"/>
  <c r="F11" i="4" l="1"/>
  <c r="H19" i="4"/>
  <c r="H52" i="90"/>
  <c r="E1" i="60"/>
  <c r="E8" i="82"/>
  <c r="H7" i="3"/>
  <c r="H73" i="90" s="1"/>
  <c r="R29" i="80"/>
  <c r="R41" i="80"/>
  <c r="R20" i="80"/>
  <c r="F93" i="60"/>
  <c r="R28" i="80"/>
  <c r="R21" i="80"/>
  <c r="R39" i="80"/>
  <c r="R19" i="80"/>
  <c r="R36" i="80"/>
  <c r="E37" i="82" s="1"/>
  <c r="R8" i="80"/>
  <c r="H8" i="3"/>
  <c r="H21" i="3"/>
  <c r="H21" i="4" s="1"/>
  <c r="H36" i="3"/>
  <c r="H17" i="3"/>
  <c r="H37" i="3"/>
  <c r="F3" i="60"/>
  <c r="H26" i="3"/>
  <c r="F101" i="60"/>
  <c r="H31" i="3" s="1"/>
  <c r="P24" i="51"/>
  <c r="O24" i="51"/>
  <c r="N21" i="51"/>
  <c r="M21" i="51"/>
  <c r="H76" i="90" l="1"/>
  <c r="H26" i="4"/>
  <c r="H74" i="90"/>
  <c r="H5" i="90"/>
  <c r="H17" i="4"/>
  <c r="H51" i="90"/>
  <c r="H50" i="90" s="1"/>
  <c r="H7" i="4"/>
  <c r="H56" i="90"/>
  <c r="H57" i="90"/>
  <c r="H8" i="4"/>
  <c r="H59" i="90"/>
  <c r="H60" i="90"/>
  <c r="H61" i="90" s="1"/>
  <c r="R38" i="80"/>
  <c r="R35" i="80" s="1"/>
  <c r="F1" i="60"/>
  <c r="R27" i="80"/>
  <c r="H48" i="3"/>
  <c r="H40" i="4" s="1"/>
  <c r="R17" i="80"/>
  <c r="F35" i="82"/>
  <c r="H14" i="3"/>
  <c r="H30" i="3"/>
  <c r="H27" i="4" s="1"/>
  <c r="H34" i="3"/>
  <c r="H29" i="4" s="1"/>
  <c r="P17" i="51"/>
  <c r="O17" i="51"/>
  <c r="N17" i="51"/>
  <c r="M17" i="51"/>
  <c r="L17" i="51"/>
  <c r="K17" i="51"/>
  <c r="J17" i="51"/>
  <c r="I17" i="51"/>
  <c r="H17" i="51"/>
  <c r="G17" i="51"/>
  <c r="F17" i="51"/>
  <c r="E17" i="51"/>
  <c r="D17" i="51"/>
  <c r="C17" i="51"/>
  <c r="H69" i="90" l="1"/>
  <c r="H71" i="90" s="1"/>
  <c r="H70" i="90"/>
  <c r="H14" i="4"/>
  <c r="R43" i="80"/>
  <c r="E25" i="82"/>
  <c r="E9" i="82"/>
  <c r="N26" i="51"/>
  <c r="O26" i="51"/>
  <c r="P26" i="51"/>
  <c r="F26" i="51"/>
  <c r="G18" i="51"/>
  <c r="H18" i="51"/>
  <c r="I18" i="51"/>
  <c r="J18" i="51"/>
  <c r="M26" i="51"/>
  <c r="C26" i="51"/>
  <c r="D26" i="51"/>
  <c r="E26" i="51"/>
  <c r="K26" i="51"/>
  <c r="L26" i="51"/>
  <c r="G26" i="51"/>
  <c r="H26" i="51"/>
  <c r="I26" i="51"/>
  <c r="J26" i="51"/>
  <c r="K18" i="51"/>
  <c r="L18" i="51"/>
  <c r="N18" i="51"/>
  <c r="O18" i="51"/>
  <c r="M18" i="51"/>
  <c r="C18" i="51"/>
  <c r="D18" i="51"/>
  <c r="P18" i="51"/>
  <c r="E18" i="51"/>
  <c r="F18" i="51"/>
  <c r="H15" i="4" l="1"/>
  <c r="H23" i="4"/>
  <c r="E27" i="51"/>
  <c r="D27" i="51"/>
  <c r="H27" i="51"/>
  <c r="G27" i="51"/>
  <c r="M27" i="51"/>
  <c r="P27" i="51"/>
  <c r="L27" i="51"/>
  <c r="O27" i="51"/>
  <c r="J27" i="51"/>
  <c r="I27" i="51"/>
  <c r="C27" i="51"/>
  <c r="F27" i="51"/>
  <c r="K27" i="51"/>
  <c r="N27" i="51"/>
  <c r="H24" i="4" l="1"/>
  <c r="H31" i="4"/>
  <c r="Q15" i="48"/>
  <c r="Q23" i="48" s="1"/>
  <c r="Q38" i="48" s="1"/>
  <c r="Q43" i="48" s="1"/>
  <c r="Q49" i="48" s="1"/>
  <c r="Q54" i="48" s="1"/>
  <c r="P15" i="48"/>
  <c r="P23" i="48" s="1"/>
  <c r="P38" i="48" s="1"/>
  <c r="P43" i="48" s="1"/>
  <c r="P49" i="48" s="1"/>
  <c r="P54" i="48" s="1"/>
  <c r="O15" i="48"/>
  <c r="O23" i="48" s="1"/>
  <c r="O38" i="48" s="1"/>
  <c r="O43" i="48" s="1"/>
  <c r="O49" i="48" s="1"/>
  <c r="O54" i="48" s="1"/>
  <c r="N15" i="48"/>
  <c r="N23" i="48" s="1"/>
  <c r="N38" i="48" s="1"/>
  <c r="N43" i="48" s="1"/>
  <c r="N49" i="48" s="1"/>
  <c r="N54" i="48" s="1"/>
  <c r="M15" i="48"/>
  <c r="M23" i="48" s="1"/>
  <c r="M38" i="48" s="1"/>
  <c r="M43" i="48" s="1"/>
  <c r="M49" i="48" s="1"/>
  <c r="M54" i="48" s="1"/>
  <c r="L15" i="48"/>
  <c r="L23" i="48" s="1"/>
  <c r="L38" i="48" s="1"/>
  <c r="L43" i="48" s="1"/>
  <c r="L49" i="48" s="1"/>
  <c r="L54" i="48" s="1"/>
  <c r="K15" i="48"/>
  <c r="K23" i="48" s="1"/>
  <c r="K38" i="48" s="1"/>
  <c r="K43" i="48" s="1"/>
  <c r="K49" i="48" s="1"/>
  <c r="K54" i="48" s="1"/>
  <c r="J15" i="48"/>
  <c r="J23" i="48" s="1"/>
  <c r="J38" i="48" s="1"/>
  <c r="J43" i="48" s="1"/>
  <c r="J49" i="48" s="1"/>
  <c r="J54" i="48" s="1"/>
  <c r="I15" i="48"/>
  <c r="I23" i="48" s="1"/>
  <c r="I38" i="48" s="1"/>
  <c r="I43" i="48" s="1"/>
  <c r="I49" i="48" s="1"/>
  <c r="I54" i="48" s="1"/>
  <c r="H15" i="48"/>
  <c r="H23" i="48" s="1"/>
  <c r="H38" i="48" s="1"/>
  <c r="H43" i="48" s="1"/>
  <c r="H49" i="48" s="1"/>
  <c r="H54" i="48" s="1"/>
  <c r="G15" i="48"/>
  <c r="G23" i="48" s="1"/>
  <c r="G38" i="48" s="1"/>
  <c r="G43" i="48" s="1"/>
  <c r="G49" i="48" s="1"/>
  <c r="G54" i="48" s="1"/>
  <c r="F15" i="48"/>
  <c r="F23" i="48" s="1"/>
  <c r="F38" i="48" s="1"/>
  <c r="F43" i="48" s="1"/>
  <c r="F49" i="48" s="1"/>
  <c r="F54" i="48" s="1"/>
  <c r="E15" i="48"/>
  <c r="E23" i="48" s="1"/>
  <c r="E38" i="48" s="1"/>
  <c r="E43" i="48" s="1"/>
  <c r="E49" i="48" s="1"/>
  <c r="E54" i="48" s="1"/>
  <c r="D15" i="48"/>
  <c r="D23" i="48" s="1"/>
  <c r="D38" i="48" s="1"/>
  <c r="D43" i="48" s="1"/>
  <c r="D49" i="48" s="1"/>
  <c r="D54" i="48" s="1"/>
  <c r="C15" i="48"/>
  <c r="C23" i="48" s="1"/>
  <c r="C38" i="48" s="1"/>
  <c r="C43" i="48" s="1"/>
  <c r="C49" i="48" s="1"/>
  <c r="C54" i="48" s="1"/>
  <c r="H32" i="4" l="1"/>
  <c r="H36" i="4"/>
  <c r="B126" i="46"/>
  <c r="G126" i="46" s="1"/>
  <c r="B121" i="46"/>
  <c r="G121" i="46" s="1"/>
  <c r="B117" i="46"/>
  <c r="G117" i="46" s="1"/>
  <c r="H42" i="4" l="1"/>
  <c r="H37" i="4"/>
  <c r="G10" i="3"/>
  <c r="G10" i="4" s="1"/>
  <c r="H43" i="4" l="1"/>
  <c r="H47" i="4"/>
  <c r="H48" i="4" s="1"/>
  <c r="B133" i="46"/>
  <c r="G133" i="46" s="1"/>
  <c r="B138" i="46"/>
  <c r="G138" i="46" s="1"/>
  <c r="B101" i="46"/>
  <c r="G101" i="46" s="1"/>
  <c r="B99" i="46"/>
  <c r="G99" i="46" s="1"/>
  <c r="B98" i="46"/>
  <c r="G98" i="46" s="1"/>
  <c r="B56" i="46"/>
  <c r="G56" i="46" s="1"/>
  <c r="R7" i="47" l="1"/>
  <c r="R3" i="47"/>
  <c r="R6" i="47"/>
  <c r="G18" i="3" s="1"/>
  <c r="G18" i="4" s="1"/>
  <c r="R5" i="47"/>
  <c r="R4" i="47"/>
  <c r="R8" i="47" l="1"/>
  <c r="B143" i="46" l="1"/>
  <c r="G143" i="46" s="1"/>
  <c r="B142" i="46"/>
  <c r="G142" i="46" s="1"/>
  <c r="B141" i="46"/>
  <c r="G141" i="46" s="1"/>
  <c r="B140" i="46"/>
  <c r="G140" i="46" s="1"/>
  <c r="B139" i="46"/>
  <c r="G139" i="46" s="1"/>
  <c r="B137" i="46"/>
  <c r="G137" i="46" s="1"/>
  <c r="B136" i="46"/>
  <c r="G136" i="46" s="1"/>
  <c r="B135" i="46"/>
  <c r="G135" i="46" s="1"/>
  <c r="B134" i="46"/>
  <c r="G134" i="46" s="1"/>
  <c r="B132" i="46"/>
  <c r="G132" i="46" s="1"/>
  <c r="B131" i="46"/>
  <c r="G131" i="46" s="1"/>
  <c r="B130" i="46"/>
  <c r="G130" i="46" s="1"/>
  <c r="B129" i="46"/>
  <c r="G129" i="46" s="1"/>
  <c r="B128" i="46"/>
  <c r="G128" i="46" s="1"/>
  <c r="B127" i="46"/>
  <c r="G127" i="46" s="1"/>
  <c r="B125" i="46"/>
  <c r="G125" i="46" s="1"/>
  <c r="B124" i="46"/>
  <c r="G124" i="46" s="1"/>
  <c r="B123" i="46"/>
  <c r="G123" i="46" s="1"/>
  <c r="B122" i="46"/>
  <c r="G122" i="46" s="1"/>
  <c r="B120" i="46"/>
  <c r="G120" i="46" s="1"/>
  <c r="B119" i="46"/>
  <c r="B118" i="46"/>
  <c r="B116" i="46"/>
  <c r="G116" i="46" s="1"/>
  <c r="B115" i="46"/>
  <c r="G115" i="46" s="1"/>
  <c r="B114" i="46"/>
  <c r="G114" i="46" s="1"/>
  <c r="B113" i="46"/>
  <c r="G113" i="46" s="1"/>
  <c r="B112" i="46"/>
  <c r="B111" i="46"/>
  <c r="G111" i="46" s="1"/>
  <c r="B110" i="46"/>
  <c r="G110" i="46" s="1"/>
  <c r="B109" i="46"/>
  <c r="G109" i="46" s="1"/>
  <c r="B108" i="46"/>
  <c r="G108" i="46" s="1"/>
  <c r="B107" i="46"/>
  <c r="G107" i="46" s="1"/>
  <c r="B106" i="46"/>
  <c r="G106" i="46" s="1"/>
  <c r="B105" i="46"/>
  <c r="G105" i="46" s="1"/>
  <c r="B104" i="46"/>
  <c r="G104" i="46" s="1"/>
  <c r="B103" i="46"/>
  <c r="G103" i="46" s="1"/>
  <c r="B102" i="46"/>
  <c r="B100" i="46"/>
  <c r="G100" i="46" s="1"/>
  <c r="B97" i="46"/>
  <c r="B96" i="46"/>
  <c r="G96" i="46" s="1"/>
  <c r="B95" i="46"/>
  <c r="B94" i="46"/>
  <c r="B93" i="46"/>
  <c r="G93" i="46" s="1"/>
  <c r="B92" i="46"/>
  <c r="G92" i="46" s="1"/>
  <c r="B91" i="46"/>
  <c r="G91" i="46" s="1"/>
  <c r="B90" i="46"/>
  <c r="G90" i="46" s="1"/>
  <c r="B89" i="46"/>
  <c r="G89" i="46" s="1"/>
  <c r="B88" i="46"/>
  <c r="G88" i="46" s="1"/>
  <c r="B87" i="46"/>
  <c r="G87" i="46" s="1"/>
  <c r="B86" i="46"/>
  <c r="G86" i="46" s="1"/>
  <c r="B85" i="46"/>
  <c r="G85" i="46" s="1"/>
  <c r="B84" i="46"/>
  <c r="G84" i="46" s="1"/>
  <c r="B83" i="46"/>
  <c r="G83" i="46" s="1"/>
  <c r="B82" i="46"/>
  <c r="G82" i="46" s="1"/>
  <c r="B81" i="46"/>
  <c r="G81" i="46" s="1"/>
  <c r="B80" i="46"/>
  <c r="G80" i="46" s="1"/>
  <c r="B78" i="46"/>
  <c r="G78" i="46" s="1"/>
  <c r="B77" i="46"/>
  <c r="B76" i="46"/>
  <c r="G76" i="46" s="1"/>
  <c r="B75" i="46"/>
  <c r="G75" i="46" s="1"/>
  <c r="B73" i="46"/>
  <c r="G73" i="46" s="1"/>
  <c r="B70" i="46"/>
  <c r="G70" i="46" s="1"/>
  <c r="B69" i="46"/>
  <c r="B68" i="46"/>
  <c r="B67" i="46"/>
  <c r="G67" i="46" s="1"/>
  <c r="B66" i="46"/>
  <c r="G66" i="46" s="1"/>
  <c r="B65" i="46"/>
  <c r="B64" i="46"/>
  <c r="G64" i="46" s="1"/>
  <c r="B63" i="46"/>
  <c r="B62" i="46"/>
  <c r="B61" i="46"/>
  <c r="G61" i="46" s="1"/>
  <c r="B60" i="46"/>
  <c r="G60" i="46" s="1"/>
  <c r="B59" i="46"/>
  <c r="G59" i="46" s="1"/>
  <c r="B58" i="46"/>
  <c r="G58" i="46" s="1"/>
  <c r="B57" i="46"/>
  <c r="G57" i="46" s="1"/>
  <c r="B55" i="46"/>
  <c r="B54" i="46"/>
  <c r="B53" i="46"/>
  <c r="G53" i="46" s="1"/>
  <c r="B52" i="46"/>
  <c r="G52" i="46" s="1"/>
  <c r="B51" i="46"/>
  <c r="B50" i="46"/>
  <c r="G50" i="46" s="1"/>
  <c r="B49" i="46"/>
  <c r="G49" i="46" s="1"/>
  <c r="B48" i="46"/>
  <c r="G48" i="46" s="1"/>
  <c r="B46" i="46"/>
  <c r="G46" i="46" s="1"/>
  <c r="B45" i="46"/>
  <c r="B44" i="46"/>
  <c r="G44" i="46" s="1"/>
  <c r="B43" i="46"/>
  <c r="G43" i="46" s="1"/>
  <c r="B42" i="46"/>
  <c r="G42" i="46" s="1"/>
  <c r="B41" i="46"/>
  <c r="G41" i="46" s="1"/>
  <c r="B40" i="46"/>
  <c r="G40" i="46" s="1"/>
  <c r="B39" i="46"/>
  <c r="G39" i="46" s="1"/>
  <c r="B37" i="46"/>
  <c r="G37" i="46" s="1"/>
  <c r="B36" i="46"/>
  <c r="G36" i="46" s="1"/>
  <c r="B35" i="46"/>
  <c r="G35" i="46" s="1"/>
  <c r="B34" i="46"/>
  <c r="G34" i="46" s="1"/>
  <c r="B33" i="46"/>
  <c r="B32" i="46"/>
  <c r="B31" i="46"/>
  <c r="G31" i="46" s="1"/>
  <c r="B30" i="46"/>
  <c r="G30" i="46" s="1"/>
  <c r="B29" i="46"/>
  <c r="G29" i="46" s="1"/>
  <c r="B28" i="46"/>
  <c r="G28" i="46" s="1"/>
  <c r="B27" i="46"/>
  <c r="G27" i="46" s="1"/>
  <c r="B26" i="46"/>
  <c r="G26" i="46" s="1"/>
  <c r="B25" i="46"/>
  <c r="G25" i="46" s="1"/>
  <c r="B24" i="46"/>
  <c r="B23" i="46"/>
  <c r="B22" i="46"/>
  <c r="B21" i="46"/>
  <c r="G21" i="46" s="1"/>
  <c r="B20" i="46"/>
  <c r="G20" i="46" s="1"/>
  <c r="B19" i="46"/>
  <c r="G19" i="46" s="1"/>
  <c r="B18" i="46"/>
  <c r="B17" i="46"/>
  <c r="G17" i="46" s="1"/>
  <c r="B16" i="46"/>
  <c r="G16" i="46" s="1"/>
  <c r="B15" i="46"/>
  <c r="G15" i="46" s="1"/>
  <c r="B14" i="46"/>
  <c r="G14" i="46" s="1"/>
  <c r="B13" i="46"/>
  <c r="G13" i="46" s="1"/>
  <c r="B12" i="46"/>
  <c r="G12" i="46" s="1"/>
  <c r="B11" i="46"/>
  <c r="G11" i="46" s="1"/>
  <c r="B9" i="46"/>
  <c r="G9" i="46" s="1"/>
  <c r="B8" i="46"/>
  <c r="G8" i="46" s="1"/>
  <c r="B7" i="46"/>
  <c r="G7" i="46" s="1"/>
  <c r="B6" i="46"/>
  <c r="G6" i="46" s="1"/>
  <c r="B5" i="46"/>
  <c r="G5" i="46" s="1"/>
  <c r="B4" i="46"/>
  <c r="G4" i="46" s="1"/>
  <c r="B3" i="46"/>
  <c r="C119" i="47" l="1"/>
  <c r="D116" i="47"/>
  <c r="D121" i="47"/>
  <c r="B119" i="47"/>
  <c r="C116" i="47"/>
  <c r="C122" i="47"/>
  <c r="B117" i="47"/>
  <c r="C121" i="47"/>
  <c r="B116" i="47"/>
  <c r="D117" i="47"/>
  <c r="D119" i="47"/>
  <c r="D118" i="47"/>
  <c r="B122" i="47"/>
  <c r="B121" i="47"/>
  <c r="C118" i="47"/>
  <c r="D122" i="47"/>
  <c r="B120" i="47"/>
  <c r="D120" i="47"/>
  <c r="B118" i="47"/>
  <c r="C120" i="47"/>
  <c r="C117" i="47"/>
  <c r="C114" i="47"/>
  <c r="B114" i="47"/>
  <c r="D115" i="47"/>
  <c r="B115" i="47"/>
  <c r="D114" i="47"/>
  <c r="C115" i="47"/>
  <c r="D112" i="47"/>
  <c r="C112" i="47"/>
  <c r="B112" i="47"/>
  <c r="B113" i="47"/>
  <c r="D113" i="47"/>
  <c r="C113" i="47"/>
  <c r="C111" i="47"/>
  <c r="B111" i="47"/>
  <c r="D111" i="47"/>
  <c r="D110" i="47"/>
  <c r="B108" i="47"/>
  <c r="C105" i="47"/>
  <c r="C109" i="47"/>
  <c r="B106" i="47"/>
  <c r="C110" i="47"/>
  <c r="D107" i="47"/>
  <c r="B105" i="47"/>
  <c r="D106" i="47"/>
  <c r="B110" i="47"/>
  <c r="C107" i="47"/>
  <c r="B109" i="47"/>
  <c r="C108" i="47"/>
  <c r="D109" i="47"/>
  <c r="B107" i="47"/>
  <c r="C106" i="47"/>
  <c r="D108" i="47"/>
  <c r="D105" i="47"/>
  <c r="D102" i="47"/>
  <c r="D78" i="47"/>
  <c r="B25" i="47"/>
  <c r="B43" i="47"/>
  <c r="B66" i="47"/>
  <c r="B89" i="47"/>
  <c r="C5" i="47"/>
  <c r="C28" i="47"/>
  <c r="C51" i="47"/>
  <c r="C69" i="47"/>
  <c r="C92" i="47"/>
  <c r="D13" i="47"/>
  <c r="D31" i="47"/>
  <c r="D54" i="47"/>
  <c r="D86" i="47"/>
  <c r="C11" i="47"/>
  <c r="B3" i="47"/>
  <c r="B26" i="47"/>
  <c r="B49" i="47"/>
  <c r="B67" i="47"/>
  <c r="B90" i="47"/>
  <c r="C29" i="47"/>
  <c r="C52" i="47"/>
  <c r="C75" i="47"/>
  <c r="C93" i="47"/>
  <c r="D14" i="47"/>
  <c r="D37" i="47"/>
  <c r="D61" i="47"/>
  <c r="D93" i="47"/>
  <c r="B57" i="47"/>
  <c r="B98" i="47"/>
  <c r="C37" i="47"/>
  <c r="C83" i="47"/>
  <c r="D22" i="47"/>
  <c r="D70" i="47"/>
  <c r="B17" i="47"/>
  <c r="B58" i="47"/>
  <c r="C20" i="47"/>
  <c r="C84" i="47"/>
  <c r="D77" i="47"/>
  <c r="D100" i="47"/>
  <c r="B9" i="47"/>
  <c r="B27" i="47"/>
  <c r="B50" i="47"/>
  <c r="B73" i="47"/>
  <c r="C12" i="47"/>
  <c r="C35" i="47"/>
  <c r="C53" i="47"/>
  <c r="C76" i="47"/>
  <c r="C99" i="47"/>
  <c r="D15" i="47"/>
  <c r="D38" i="47"/>
  <c r="D62" i="47"/>
  <c r="D94" i="47"/>
  <c r="B51" i="47"/>
  <c r="B97" i="47"/>
  <c r="B11" i="47"/>
  <c r="B34" i="47"/>
  <c r="B75" i="47"/>
  <c r="C19" i="47"/>
  <c r="C60" i="47"/>
  <c r="C101" i="47"/>
  <c r="D45" i="47"/>
  <c r="B35" i="47"/>
  <c r="B81" i="47"/>
  <c r="B99" i="47"/>
  <c r="C43" i="47"/>
  <c r="C61" i="47"/>
  <c r="D5" i="47"/>
  <c r="D23" i="47"/>
  <c r="D46" i="47"/>
  <c r="B18" i="47"/>
  <c r="B41" i="47"/>
  <c r="B59" i="47"/>
  <c r="B82" i="47"/>
  <c r="C3" i="47"/>
  <c r="C21" i="47"/>
  <c r="C44" i="47"/>
  <c r="C67" i="47"/>
  <c r="C85" i="47"/>
  <c r="D6" i="47"/>
  <c r="D29" i="47"/>
  <c r="D47" i="47"/>
  <c r="B91" i="47"/>
  <c r="B10" i="47"/>
  <c r="B33" i="47"/>
  <c r="B74" i="47"/>
  <c r="C13" i="47"/>
  <c r="C36" i="47"/>
  <c r="C59" i="47"/>
  <c r="C77" i="47"/>
  <c r="C100" i="47"/>
  <c r="D21" i="47"/>
  <c r="D39" i="47"/>
  <c r="D69" i="47"/>
  <c r="D101" i="47"/>
  <c r="D103" i="47"/>
  <c r="D95" i="47"/>
  <c r="D87" i="47"/>
  <c r="D79" i="47"/>
  <c r="D71" i="47"/>
  <c r="D63" i="47"/>
  <c r="D55" i="47"/>
  <c r="B19" i="47"/>
  <c r="B42" i="47"/>
  <c r="B65" i="47"/>
  <c r="B83" i="47"/>
  <c r="C4" i="47"/>
  <c r="C27" i="47"/>
  <c r="C45" i="47"/>
  <c r="C68" i="47"/>
  <c r="C91" i="47"/>
  <c r="D7" i="47"/>
  <c r="D30" i="47"/>
  <c r="D53" i="47"/>
  <c r="D85" i="47"/>
  <c r="B20" i="47"/>
  <c r="B44" i="47"/>
  <c r="B68" i="47"/>
  <c r="B84" i="47"/>
  <c r="C6" i="47"/>
  <c r="C30" i="47"/>
  <c r="C54" i="47"/>
  <c r="C78" i="47"/>
  <c r="C102" i="47"/>
  <c r="D16" i="47"/>
  <c r="D40" i="47"/>
  <c r="D64" i="47"/>
  <c r="D72" i="47"/>
  <c r="D80" i="47"/>
  <c r="D104" i="47"/>
  <c r="B13" i="47"/>
  <c r="B37" i="47"/>
  <c r="B61" i="47"/>
  <c r="B77" i="47"/>
  <c r="C7" i="47"/>
  <c r="C23" i="47"/>
  <c r="C39" i="47"/>
  <c r="C55" i="47"/>
  <c r="C79" i="47"/>
  <c r="C95" i="47"/>
  <c r="D9" i="47"/>
  <c r="D17" i="47"/>
  <c r="D49" i="47"/>
  <c r="B6" i="47"/>
  <c r="B14" i="47"/>
  <c r="B22" i="47"/>
  <c r="B30" i="47"/>
  <c r="B38" i="47"/>
  <c r="B46" i="47"/>
  <c r="B54" i="47"/>
  <c r="B62" i="47"/>
  <c r="B70" i="47"/>
  <c r="B78" i="47"/>
  <c r="B86" i="47"/>
  <c r="B94" i="47"/>
  <c r="B102" i="47"/>
  <c r="C8" i="47"/>
  <c r="C16" i="47"/>
  <c r="C24" i="47"/>
  <c r="C32" i="47"/>
  <c r="C40" i="47"/>
  <c r="C48" i="47"/>
  <c r="C56" i="47"/>
  <c r="C64" i="47"/>
  <c r="C72" i="47"/>
  <c r="C80" i="47"/>
  <c r="C88" i="47"/>
  <c r="C96" i="47"/>
  <c r="C104" i="47"/>
  <c r="D10" i="47"/>
  <c r="D18" i="47"/>
  <c r="D26" i="47"/>
  <c r="D34" i="47"/>
  <c r="D42" i="47"/>
  <c r="D50" i="47"/>
  <c r="D58" i="47"/>
  <c r="D66" i="47"/>
  <c r="D74" i="47"/>
  <c r="D82" i="47"/>
  <c r="D90" i="47"/>
  <c r="D98" i="47"/>
  <c r="B4" i="47"/>
  <c r="B28" i="47"/>
  <c r="B60" i="47"/>
  <c r="B92" i="47"/>
  <c r="C14" i="47"/>
  <c r="C38" i="47"/>
  <c r="C62" i="47"/>
  <c r="C86" i="47"/>
  <c r="D24" i="47"/>
  <c r="D48" i="47"/>
  <c r="D96" i="47"/>
  <c r="B5" i="47"/>
  <c r="B29" i="47"/>
  <c r="B53" i="47"/>
  <c r="B93" i="47"/>
  <c r="C71" i="47"/>
  <c r="B7" i="47"/>
  <c r="B15" i="47"/>
  <c r="B23" i="47"/>
  <c r="B31" i="47"/>
  <c r="B39" i="47"/>
  <c r="B47" i="47"/>
  <c r="B55" i="47"/>
  <c r="B63" i="47"/>
  <c r="B71" i="47"/>
  <c r="B79" i="47"/>
  <c r="B87" i="47"/>
  <c r="B95" i="47"/>
  <c r="B103" i="47"/>
  <c r="C9" i="47"/>
  <c r="C17" i="47"/>
  <c r="C25" i="47"/>
  <c r="C33" i="47"/>
  <c r="C41" i="47"/>
  <c r="C49" i="47"/>
  <c r="C57" i="47"/>
  <c r="C65" i="47"/>
  <c r="C73" i="47"/>
  <c r="C81" i="47"/>
  <c r="C89" i="47"/>
  <c r="C97" i="47"/>
  <c r="D3" i="47"/>
  <c r="D11" i="47"/>
  <c r="D19" i="47"/>
  <c r="D27" i="47"/>
  <c r="D35" i="47"/>
  <c r="D43" i="47"/>
  <c r="D51" i="47"/>
  <c r="D59" i="47"/>
  <c r="D67" i="47"/>
  <c r="D75" i="47"/>
  <c r="D83" i="47"/>
  <c r="D91" i="47"/>
  <c r="D99" i="47"/>
  <c r="B12" i="47"/>
  <c r="B36" i="47"/>
  <c r="B52" i="47"/>
  <c r="B76" i="47"/>
  <c r="B100" i="47"/>
  <c r="C22" i="47"/>
  <c r="C46" i="47"/>
  <c r="C70" i="47"/>
  <c r="C94" i="47"/>
  <c r="D8" i="47"/>
  <c r="D32" i="47"/>
  <c r="D56" i="47"/>
  <c r="D88" i="47"/>
  <c r="B21" i="47"/>
  <c r="B45" i="47"/>
  <c r="B69" i="47"/>
  <c r="B85" i="47"/>
  <c r="B101" i="47"/>
  <c r="C15" i="47"/>
  <c r="C31" i="47"/>
  <c r="C47" i="47"/>
  <c r="C63" i="47"/>
  <c r="C87" i="47"/>
  <c r="C103" i="47"/>
  <c r="D25" i="47"/>
  <c r="D33" i="47"/>
  <c r="D41" i="47"/>
  <c r="D57" i="47"/>
  <c r="D65" i="47"/>
  <c r="D73" i="47"/>
  <c r="D81" i="47"/>
  <c r="D89" i="47"/>
  <c r="D97" i="47"/>
  <c r="B8" i="47"/>
  <c r="B16" i="47"/>
  <c r="B24" i="47"/>
  <c r="B32" i="47"/>
  <c r="B40" i="47"/>
  <c r="B48" i="47"/>
  <c r="B56" i="47"/>
  <c r="B64" i="47"/>
  <c r="B72" i="47"/>
  <c r="B80" i="47"/>
  <c r="B88" i="47"/>
  <c r="B96" i="47"/>
  <c r="B104" i="47"/>
  <c r="C10" i="47"/>
  <c r="C18" i="47"/>
  <c r="C26" i="47"/>
  <c r="C34" i="47"/>
  <c r="C42" i="47"/>
  <c r="C50" i="47"/>
  <c r="C58" i="47"/>
  <c r="C66" i="47"/>
  <c r="C74" i="47"/>
  <c r="C82" i="47"/>
  <c r="C90" i="47"/>
  <c r="C98" i="47"/>
  <c r="D4" i="47"/>
  <c r="D12" i="47"/>
  <c r="D20" i="47"/>
  <c r="D28" i="47"/>
  <c r="D36" i="47"/>
  <c r="D44" i="47"/>
  <c r="D52" i="47"/>
  <c r="D60" i="47"/>
  <c r="D68" i="47"/>
  <c r="D76" i="47"/>
  <c r="D84" i="47"/>
  <c r="D92" i="47"/>
  <c r="E117" i="47" l="1"/>
  <c r="F117" i="47" s="1"/>
  <c r="E120" i="47"/>
  <c r="F120" i="47" s="1"/>
  <c r="E116" i="47"/>
  <c r="F116" i="47" s="1"/>
  <c r="E121" i="47"/>
  <c r="F121" i="47" s="1"/>
  <c r="E122" i="47"/>
  <c r="F122" i="47" s="1"/>
  <c r="E119" i="47"/>
  <c r="F119" i="47" s="1"/>
  <c r="Q15" i="80" s="1"/>
  <c r="Q11" i="80" s="1"/>
  <c r="E118" i="47"/>
  <c r="F118" i="47" s="1"/>
  <c r="D1" i="47"/>
  <c r="C1" i="47"/>
  <c r="B1" i="47"/>
  <c r="E114" i="47"/>
  <c r="F114" i="47" s="1"/>
  <c r="E115" i="47"/>
  <c r="F115" i="47" s="1"/>
  <c r="E112" i="47"/>
  <c r="F112" i="47" s="1"/>
  <c r="E113" i="47"/>
  <c r="F113" i="47" s="1"/>
  <c r="E105" i="47"/>
  <c r="F105" i="47" s="1"/>
  <c r="E111" i="47"/>
  <c r="F111" i="47" s="1"/>
  <c r="E107" i="47"/>
  <c r="F107" i="47" s="1"/>
  <c r="E106" i="47"/>
  <c r="F106" i="47" s="1"/>
  <c r="E109" i="47"/>
  <c r="F109" i="47" s="1"/>
  <c r="G12" i="3" s="1"/>
  <c r="G12" i="4" s="1"/>
  <c r="E110" i="47"/>
  <c r="F110" i="47" s="1"/>
  <c r="E108" i="47"/>
  <c r="F108" i="47" s="1"/>
  <c r="E20" i="47"/>
  <c r="F20" i="47" s="1"/>
  <c r="E38" i="47"/>
  <c r="F38" i="47" s="1"/>
  <c r="E87" i="47"/>
  <c r="F87" i="47" s="1"/>
  <c r="E30" i="47"/>
  <c r="F30" i="47" s="1"/>
  <c r="E96" i="47"/>
  <c r="F96" i="47" s="1"/>
  <c r="E22" i="47"/>
  <c r="F22" i="47" s="1"/>
  <c r="E32" i="47"/>
  <c r="F32" i="47" s="1"/>
  <c r="E99" i="47"/>
  <c r="F99" i="47" s="1"/>
  <c r="G33" i="3" s="1"/>
  <c r="G28" i="4" s="1"/>
  <c r="E47" i="47"/>
  <c r="F47" i="47" s="1"/>
  <c r="E27" i="47"/>
  <c r="F27" i="47" s="1"/>
  <c r="E39" i="47"/>
  <c r="F39" i="47" s="1"/>
  <c r="E23" i="47"/>
  <c r="F23" i="47" s="1"/>
  <c r="E57" i="47"/>
  <c r="F57" i="47" s="1"/>
  <c r="E60" i="47"/>
  <c r="F60" i="47" s="1"/>
  <c r="E102" i="47"/>
  <c r="F102" i="47" s="1"/>
  <c r="E93" i="47"/>
  <c r="F93" i="47" s="1"/>
  <c r="E12" i="47"/>
  <c r="F12" i="47" s="1"/>
  <c r="E11" i="47"/>
  <c r="F11" i="47" s="1"/>
  <c r="E77" i="47"/>
  <c r="F77" i="47" s="1"/>
  <c r="E33" i="47"/>
  <c r="F33" i="47" s="1"/>
  <c r="E85" i="47"/>
  <c r="F85" i="47" s="1"/>
  <c r="E6" i="47"/>
  <c r="F6" i="47" s="1"/>
  <c r="E79" i="47"/>
  <c r="F79" i="47" s="1"/>
  <c r="E65" i="47"/>
  <c r="F65" i="47" s="1"/>
  <c r="E14" i="47"/>
  <c r="F14" i="47" s="1"/>
  <c r="E29" i="47"/>
  <c r="F29" i="47" s="1"/>
  <c r="E95" i="47"/>
  <c r="F95" i="47" s="1"/>
  <c r="E78" i="47"/>
  <c r="F78" i="47" s="1"/>
  <c r="G47" i="3" s="1"/>
  <c r="G39" i="4" s="1"/>
  <c r="E59" i="47"/>
  <c r="F59" i="47" s="1"/>
  <c r="E97" i="47"/>
  <c r="F97" i="47" s="1"/>
  <c r="E7" i="47"/>
  <c r="F7" i="47" s="1"/>
  <c r="E104" i="47"/>
  <c r="F104" i="47" s="1"/>
  <c r="E40" i="47"/>
  <c r="F40" i="47" s="1"/>
  <c r="E70" i="47"/>
  <c r="E17" i="47"/>
  <c r="F17" i="47" s="1"/>
  <c r="E55" i="47"/>
  <c r="F55" i="47" s="1"/>
  <c r="E86" i="47"/>
  <c r="F86" i="47" s="1"/>
  <c r="G42" i="3" s="1"/>
  <c r="G34" i="4" s="1"/>
  <c r="E72" i="47"/>
  <c r="F72" i="47" s="1"/>
  <c r="E46" i="47"/>
  <c r="F46" i="47" s="1"/>
  <c r="E9" i="47"/>
  <c r="F9" i="47" s="1"/>
  <c r="E61" i="47"/>
  <c r="F61" i="47" s="1"/>
  <c r="E16" i="47"/>
  <c r="F16" i="47" s="1"/>
  <c r="E51" i="47"/>
  <c r="F51" i="47" s="1"/>
  <c r="E35" i="47"/>
  <c r="F35" i="47" s="1"/>
  <c r="Q33" i="80" s="1"/>
  <c r="E52" i="47"/>
  <c r="F52" i="47" s="1"/>
  <c r="E58" i="47"/>
  <c r="F58" i="47" s="1"/>
  <c r="E45" i="47"/>
  <c r="F45" i="47" s="1"/>
  <c r="E15" i="47"/>
  <c r="F15" i="47" s="1"/>
  <c r="E89" i="47"/>
  <c r="F89" i="47" s="1"/>
  <c r="E21" i="47"/>
  <c r="F21" i="47" s="1"/>
  <c r="E31" i="47"/>
  <c r="F31" i="47" s="1"/>
  <c r="E73" i="47"/>
  <c r="F73" i="47" s="1"/>
  <c r="E5" i="47"/>
  <c r="F5" i="47" s="1"/>
  <c r="E64" i="47"/>
  <c r="F64" i="47" s="1"/>
  <c r="E69" i="47"/>
  <c r="F69" i="47" s="1"/>
  <c r="E103" i="47"/>
  <c r="F103" i="47" s="1"/>
  <c r="E82" i="47"/>
  <c r="F82" i="47" s="1"/>
  <c r="E101" i="47"/>
  <c r="F101" i="47" s="1"/>
  <c r="E8" i="47"/>
  <c r="F8" i="47" s="1"/>
  <c r="E36" i="47"/>
  <c r="F36" i="47" s="1"/>
  <c r="E71" i="47"/>
  <c r="F71" i="47" s="1"/>
  <c r="E28" i="47"/>
  <c r="F28" i="47" s="1"/>
  <c r="E88" i="47"/>
  <c r="F88" i="47" s="1"/>
  <c r="E24" i="47"/>
  <c r="F24" i="47" s="1"/>
  <c r="E62" i="47"/>
  <c r="F62" i="47" s="1"/>
  <c r="E49" i="47"/>
  <c r="F49" i="47" s="1"/>
  <c r="E84" i="47"/>
  <c r="F84" i="47" s="1"/>
  <c r="E91" i="47"/>
  <c r="F91" i="47" s="1"/>
  <c r="E19" i="47"/>
  <c r="F19" i="47" s="1"/>
  <c r="E41" i="47"/>
  <c r="F41" i="47" s="1"/>
  <c r="E81" i="47"/>
  <c r="F81" i="47" s="1"/>
  <c r="E76" i="47"/>
  <c r="F76" i="47" s="1"/>
  <c r="E100" i="47"/>
  <c r="F100" i="47" s="1"/>
  <c r="G19" i="3" s="1"/>
  <c r="E3" i="47"/>
  <c r="E48" i="47"/>
  <c r="F48" i="47" s="1"/>
  <c r="E94" i="47"/>
  <c r="F94" i="47" s="1"/>
  <c r="E25" i="47"/>
  <c r="F25" i="47" s="1"/>
  <c r="E63" i="47"/>
  <c r="F63" i="47" s="1"/>
  <c r="E4" i="47"/>
  <c r="F4" i="47" s="1"/>
  <c r="E80" i="47"/>
  <c r="F80" i="47" s="1"/>
  <c r="E54" i="47"/>
  <c r="F54" i="47" s="1"/>
  <c r="E13" i="47"/>
  <c r="F13" i="47" s="1"/>
  <c r="E18" i="47"/>
  <c r="F18" i="47" s="1"/>
  <c r="E53" i="47"/>
  <c r="F53" i="47" s="1"/>
  <c r="E37" i="47"/>
  <c r="F37" i="47" s="1"/>
  <c r="E75" i="47"/>
  <c r="F75" i="47" s="1"/>
  <c r="E10" i="47"/>
  <c r="F10" i="47" s="1"/>
  <c r="E90" i="47"/>
  <c r="F90" i="47" s="1"/>
  <c r="E68" i="47"/>
  <c r="F68" i="47" s="1"/>
  <c r="E74" i="47"/>
  <c r="F74" i="47" s="1"/>
  <c r="G28" i="3" s="1"/>
  <c r="E44" i="47"/>
  <c r="F44" i="47" s="1"/>
  <c r="E83" i="47"/>
  <c r="F83" i="47" s="1"/>
  <c r="E50" i="47"/>
  <c r="F50" i="47" s="1"/>
  <c r="E67" i="47"/>
  <c r="F67" i="47" s="1"/>
  <c r="E66" i="47"/>
  <c r="F66" i="47" s="1"/>
  <c r="E98" i="47"/>
  <c r="E56" i="47"/>
  <c r="F56" i="47" s="1"/>
  <c r="E92" i="47"/>
  <c r="F92" i="47" s="1"/>
  <c r="E43" i="47"/>
  <c r="F43" i="47" s="1"/>
  <c r="E42" i="47"/>
  <c r="F42" i="47" s="1"/>
  <c r="E34" i="47"/>
  <c r="F34" i="47" s="1"/>
  <c r="E26" i="47"/>
  <c r="F26" i="47" s="1"/>
  <c r="G19" i="4" l="1"/>
  <c r="G52" i="90"/>
  <c r="E1" i="47"/>
  <c r="E26" i="82"/>
  <c r="G7" i="3"/>
  <c r="G73" i="90" s="1"/>
  <c r="G21" i="3"/>
  <c r="G21" i="4" s="1"/>
  <c r="G17" i="3"/>
  <c r="D8" i="82"/>
  <c r="Q19" i="80"/>
  <c r="Q20" i="80"/>
  <c r="E18" i="82"/>
  <c r="Q39" i="80"/>
  <c r="Q29" i="80"/>
  <c r="Q36" i="80"/>
  <c r="D37" i="82" s="1"/>
  <c r="Q41" i="80"/>
  <c r="Q28" i="80"/>
  <c r="Q21" i="80"/>
  <c r="Q8" i="80"/>
  <c r="G8" i="3"/>
  <c r="G31" i="3"/>
  <c r="G32" i="3"/>
  <c r="F70" i="47"/>
  <c r="F3" i="47"/>
  <c r="F98" i="47"/>
  <c r="G27" i="3"/>
  <c r="G20" i="3"/>
  <c r="G20" i="4" s="1"/>
  <c r="G36" i="3"/>
  <c r="G35" i="3"/>
  <c r="G37" i="3"/>
  <c r="G74" i="90" l="1"/>
  <c r="G5" i="90"/>
  <c r="G8" i="4"/>
  <c r="G59" i="90"/>
  <c r="G60" i="90"/>
  <c r="G61" i="90" s="1"/>
  <c r="G7" i="4"/>
  <c r="G56" i="90"/>
  <c r="G57" i="90"/>
  <c r="G17" i="4"/>
  <c r="G51" i="90"/>
  <c r="G50" i="90" s="1"/>
  <c r="F1" i="47"/>
  <c r="E15" i="82"/>
  <c r="E14" i="82"/>
  <c r="E35" i="82"/>
  <c r="E24" i="82"/>
  <c r="E27" i="82" s="1"/>
  <c r="Q38" i="80"/>
  <c r="E17" i="82"/>
  <c r="E16" i="82"/>
  <c r="Q27" i="80"/>
  <c r="Q17" i="80"/>
  <c r="G14" i="3"/>
  <c r="G30" i="3"/>
  <c r="G27" i="4" s="1"/>
  <c r="G26" i="3"/>
  <c r="G48" i="3"/>
  <c r="G40" i="4" s="1"/>
  <c r="G34" i="3"/>
  <c r="G29" i="4" s="1"/>
  <c r="B76" i="43"/>
  <c r="G76" i="43" s="1"/>
  <c r="B128" i="43"/>
  <c r="G128" i="43" s="1"/>
  <c r="G76" i="90" l="1"/>
  <c r="G26" i="4"/>
  <c r="G14" i="4"/>
  <c r="G15" i="4" s="1"/>
  <c r="G69" i="90"/>
  <c r="G71" i="90" s="1"/>
  <c r="G70" i="90"/>
  <c r="E13" i="82"/>
  <c r="Q35" i="80"/>
  <c r="D25" i="82"/>
  <c r="D9" i="82"/>
  <c r="G23" i="3"/>
  <c r="G15" i="3"/>
  <c r="B137" i="43"/>
  <c r="G137" i="43" s="1"/>
  <c r="B131" i="43"/>
  <c r="G131" i="43" s="1"/>
  <c r="B125" i="43"/>
  <c r="G125" i="43" s="1"/>
  <c r="B105" i="43"/>
  <c r="G105" i="43" s="1"/>
  <c r="K45" i="39"/>
  <c r="J45" i="39"/>
  <c r="J43" i="39" s="1"/>
  <c r="I45" i="39"/>
  <c r="I43" i="39" s="1"/>
  <c r="H45" i="39"/>
  <c r="G23" i="4" l="1"/>
  <c r="Q43" i="80"/>
  <c r="G24" i="3"/>
  <c r="G39" i="3"/>
  <c r="K43" i="39"/>
  <c r="G24" i="4" l="1"/>
  <c r="G31" i="4"/>
  <c r="G40" i="3"/>
  <c r="H23" i="3"/>
  <c r="H15" i="3"/>
  <c r="G44" i="3"/>
  <c r="F106" i="39"/>
  <c r="B114" i="39"/>
  <c r="G114" i="39" s="1"/>
  <c r="R8" i="44"/>
  <c r="R7" i="44"/>
  <c r="R6" i="44"/>
  <c r="R5" i="44"/>
  <c r="R4" i="44"/>
  <c r="R3" i="44"/>
  <c r="F18" i="3" s="1"/>
  <c r="F18" i="4" s="1"/>
  <c r="G32" i="4" l="1"/>
  <c r="G36" i="4"/>
  <c r="G45" i="3"/>
  <c r="H39" i="3"/>
  <c r="H24" i="3"/>
  <c r="G50" i="3"/>
  <c r="R9" i="44"/>
  <c r="B3" i="43"/>
  <c r="B4" i="43"/>
  <c r="G4" i="43" s="1"/>
  <c r="B5" i="43"/>
  <c r="G5" i="43" s="1"/>
  <c r="B6" i="43"/>
  <c r="G6" i="43" s="1"/>
  <c r="B7" i="43"/>
  <c r="G7" i="43" s="1"/>
  <c r="B8" i="43"/>
  <c r="G8" i="43" s="1"/>
  <c r="B9" i="43"/>
  <c r="G9" i="43" s="1"/>
  <c r="B11" i="43"/>
  <c r="G11" i="43" s="1"/>
  <c r="B12" i="43"/>
  <c r="G12" i="43" s="1"/>
  <c r="B13" i="43"/>
  <c r="G13" i="43" s="1"/>
  <c r="B14" i="43"/>
  <c r="G14" i="43" s="1"/>
  <c r="B15" i="43"/>
  <c r="G15" i="43" s="1"/>
  <c r="B16" i="43"/>
  <c r="G16" i="43" s="1"/>
  <c r="B17" i="43"/>
  <c r="B18" i="43"/>
  <c r="G18" i="43" s="1"/>
  <c r="B19" i="43"/>
  <c r="G19" i="43" s="1"/>
  <c r="B20" i="43"/>
  <c r="G20" i="43" s="1"/>
  <c r="B21" i="43"/>
  <c r="B22" i="43"/>
  <c r="B23" i="43"/>
  <c r="B24" i="43"/>
  <c r="G24" i="43" s="1"/>
  <c r="B25" i="43"/>
  <c r="G25" i="43" s="1"/>
  <c r="B26" i="43"/>
  <c r="G26" i="43" s="1"/>
  <c r="B27" i="43"/>
  <c r="G27" i="43" s="1"/>
  <c r="B28" i="43"/>
  <c r="G28" i="43" s="1"/>
  <c r="B29" i="43"/>
  <c r="G29" i="43" s="1"/>
  <c r="B30" i="43"/>
  <c r="G30" i="43" s="1"/>
  <c r="B31" i="43"/>
  <c r="G31" i="43" s="1"/>
  <c r="B32" i="43"/>
  <c r="G32" i="43" s="1"/>
  <c r="B33" i="43"/>
  <c r="G33" i="43" s="1"/>
  <c r="B34" i="43"/>
  <c r="G34" i="43" s="1"/>
  <c r="B35" i="43"/>
  <c r="G35" i="43" s="1"/>
  <c r="B36" i="43"/>
  <c r="B37" i="43"/>
  <c r="B38" i="43"/>
  <c r="G38" i="43" s="1"/>
  <c r="B39" i="43"/>
  <c r="G39" i="43" s="1"/>
  <c r="B40" i="43"/>
  <c r="G40" i="43" s="1"/>
  <c r="B41" i="43"/>
  <c r="G41" i="43" s="1"/>
  <c r="B43" i="43"/>
  <c r="G43" i="43" s="1"/>
  <c r="B44" i="43"/>
  <c r="G44" i="43" s="1"/>
  <c r="B45" i="43"/>
  <c r="G45" i="43" s="1"/>
  <c r="B46" i="43"/>
  <c r="G46" i="43" s="1"/>
  <c r="B47" i="43"/>
  <c r="G47" i="43" s="1"/>
  <c r="B48" i="43"/>
  <c r="G48" i="43" s="1"/>
  <c r="B49" i="43"/>
  <c r="B50" i="43"/>
  <c r="G50" i="43" s="1"/>
  <c r="B52" i="43"/>
  <c r="G52" i="43" s="1"/>
  <c r="B53" i="43"/>
  <c r="G53" i="43" s="1"/>
  <c r="B54" i="43"/>
  <c r="G54" i="43" s="1"/>
  <c r="B55" i="43"/>
  <c r="B56" i="43"/>
  <c r="G56" i="43" s="1"/>
  <c r="B57" i="43"/>
  <c r="G57" i="43" s="1"/>
  <c r="B58" i="43"/>
  <c r="B59" i="43"/>
  <c r="B60" i="43"/>
  <c r="G60" i="43" s="1"/>
  <c r="B61" i="43"/>
  <c r="G61" i="43" s="1"/>
  <c r="B62" i="43"/>
  <c r="G62" i="43" s="1"/>
  <c r="B63" i="43"/>
  <c r="G63" i="43" s="1"/>
  <c r="B64" i="43"/>
  <c r="B65" i="43"/>
  <c r="B66" i="43"/>
  <c r="G66" i="43" s="1"/>
  <c r="B67" i="43"/>
  <c r="B68" i="43"/>
  <c r="G68" i="43" s="1"/>
  <c r="B69" i="43"/>
  <c r="G69" i="43" s="1"/>
  <c r="B70" i="43"/>
  <c r="B71" i="43"/>
  <c r="B72" i="43"/>
  <c r="G72" i="43" s="1"/>
  <c r="B75" i="43"/>
  <c r="G75" i="43" s="1"/>
  <c r="B77" i="43"/>
  <c r="G77" i="43" s="1"/>
  <c r="B79" i="43"/>
  <c r="G79" i="43" s="1"/>
  <c r="B80" i="43"/>
  <c r="B82" i="43"/>
  <c r="G82" i="43" s="1"/>
  <c r="B83" i="43"/>
  <c r="G83" i="43" s="1"/>
  <c r="B84" i="43"/>
  <c r="G84" i="43" s="1"/>
  <c r="B85" i="43"/>
  <c r="G85" i="43" s="1"/>
  <c r="B86" i="43"/>
  <c r="G86" i="43" s="1"/>
  <c r="B87" i="43"/>
  <c r="G87" i="43" s="1"/>
  <c r="B88" i="43"/>
  <c r="G88" i="43" s="1"/>
  <c r="B89" i="43"/>
  <c r="G89" i="43" s="1"/>
  <c r="B90" i="43"/>
  <c r="G90" i="43" s="1"/>
  <c r="B91" i="43"/>
  <c r="G91" i="43" s="1"/>
  <c r="B92" i="43"/>
  <c r="G92" i="43" s="1"/>
  <c r="B93" i="43"/>
  <c r="G93" i="43" s="1"/>
  <c r="B94" i="43"/>
  <c r="G94" i="43" s="1"/>
  <c r="B95" i="43"/>
  <c r="G95" i="43" s="1"/>
  <c r="B96" i="43"/>
  <c r="B97" i="43"/>
  <c r="B98" i="43"/>
  <c r="G98" i="43" s="1"/>
  <c r="B99" i="43"/>
  <c r="B100" i="43"/>
  <c r="G100" i="43" s="1"/>
  <c r="B101" i="43"/>
  <c r="G101" i="43" s="1"/>
  <c r="B102" i="43"/>
  <c r="G102" i="43" s="1"/>
  <c r="B103" i="43"/>
  <c r="G103" i="43" s="1"/>
  <c r="B104" i="43"/>
  <c r="B106" i="43"/>
  <c r="G106" i="43" s="1"/>
  <c r="B107" i="43"/>
  <c r="G107" i="43" s="1"/>
  <c r="B108" i="43"/>
  <c r="G108" i="43" s="1"/>
  <c r="B109" i="43"/>
  <c r="G109" i="43" s="1"/>
  <c r="B110" i="43"/>
  <c r="G110" i="43" s="1"/>
  <c r="B111" i="43"/>
  <c r="B112" i="43"/>
  <c r="G112" i="43" s="1"/>
  <c r="B113" i="43"/>
  <c r="G113" i="43" s="1"/>
  <c r="B114" i="43"/>
  <c r="G114" i="43" s="1"/>
  <c r="B115" i="43"/>
  <c r="G115" i="43" s="1"/>
  <c r="B116" i="43"/>
  <c r="G116" i="43" s="1"/>
  <c r="B117" i="43"/>
  <c r="B118" i="43"/>
  <c r="B119" i="43"/>
  <c r="G119" i="43" s="1"/>
  <c r="B120" i="43"/>
  <c r="G120" i="43" s="1"/>
  <c r="B121" i="43"/>
  <c r="G121" i="43" s="1"/>
  <c r="B122" i="43"/>
  <c r="G122" i="43" s="1"/>
  <c r="B123" i="43"/>
  <c r="G123" i="43" s="1"/>
  <c r="B124" i="43"/>
  <c r="G124" i="43" s="1"/>
  <c r="B126" i="43"/>
  <c r="G126" i="43" s="1"/>
  <c r="B127" i="43"/>
  <c r="G127" i="43" s="1"/>
  <c r="B129" i="43"/>
  <c r="G129" i="43" s="1"/>
  <c r="B130" i="43"/>
  <c r="G130" i="43" s="1"/>
  <c r="B132" i="43"/>
  <c r="G132" i="43" s="1"/>
  <c r="B133" i="43"/>
  <c r="G133" i="43" s="1"/>
  <c r="B134" i="43"/>
  <c r="G134" i="43" s="1"/>
  <c r="B135" i="43"/>
  <c r="G135" i="43" s="1"/>
  <c r="B136" i="43"/>
  <c r="G136" i="43" s="1"/>
  <c r="B138" i="43"/>
  <c r="G138" i="43" s="1"/>
  <c r="B139" i="43"/>
  <c r="G139" i="43" s="1"/>
  <c r="B140" i="43"/>
  <c r="G140" i="43" s="1"/>
  <c r="B141" i="43"/>
  <c r="G141" i="43" s="1"/>
  <c r="B142" i="43"/>
  <c r="G142" i="43" s="1"/>
  <c r="B143" i="43"/>
  <c r="G37" i="4" l="1"/>
  <c r="G42" i="4"/>
  <c r="C120" i="44"/>
  <c r="B120" i="44"/>
  <c r="D120" i="44"/>
  <c r="B119" i="44"/>
  <c r="C119" i="44"/>
  <c r="D119" i="44"/>
  <c r="B115" i="44"/>
  <c r="B106" i="44"/>
  <c r="D4" i="44"/>
  <c r="B92" i="44"/>
  <c r="D95" i="44"/>
  <c r="D72" i="44"/>
  <c r="B64" i="44"/>
  <c r="B23" i="44"/>
  <c r="D7" i="44"/>
  <c r="C100" i="44"/>
  <c r="C117" i="44"/>
  <c r="C99" i="44"/>
  <c r="B72" i="44"/>
  <c r="B31" i="44"/>
  <c r="G55" i="3"/>
  <c r="G58" i="3" s="1"/>
  <c r="G51" i="3"/>
  <c r="D118" i="44"/>
  <c r="G43" i="4" l="1"/>
  <c r="G47" i="4"/>
  <c r="G48" i="4" s="1"/>
  <c r="E119" i="44"/>
  <c r="F119" i="44" s="1"/>
  <c r="E120" i="44"/>
  <c r="F120" i="44" s="1"/>
  <c r="B15" i="44"/>
  <c r="C107" i="44"/>
  <c r="C23" i="44"/>
  <c r="C25" i="44"/>
  <c r="B56" i="44"/>
  <c r="D96" i="44"/>
  <c r="C31" i="44"/>
  <c r="D85" i="44"/>
  <c r="D17" i="44"/>
  <c r="D16" i="44"/>
  <c r="D67" i="44"/>
  <c r="D42" i="44"/>
  <c r="B81" i="44"/>
  <c r="D80" i="44"/>
  <c r="D75" i="44"/>
  <c r="C26" i="44"/>
  <c r="D24" i="44"/>
  <c r="B105" i="44"/>
  <c r="D20" i="44"/>
  <c r="D101" i="44"/>
  <c r="C58" i="44"/>
  <c r="C93" i="44"/>
  <c r="B57" i="44"/>
  <c r="B116" i="44"/>
  <c r="C65" i="44"/>
  <c r="B32" i="44"/>
  <c r="D15" i="44"/>
  <c r="B20" i="44"/>
  <c r="B61" i="44"/>
  <c r="B62" i="44"/>
  <c r="D64" i="44"/>
  <c r="C19" i="44"/>
  <c r="B28" i="44"/>
  <c r="D84" i="44"/>
  <c r="D106" i="44"/>
  <c r="B69" i="44"/>
  <c r="D13" i="44"/>
  <c r="C30" i="44"/>
  <c r="B70" i="44"/>
  <c r="D22" i="44"/>
  <c r="B100" i="44"/>
  <c r="D12" i="44"/>
  <c r="C62" i="44"/>
  <c r="C49" i="44"/>
  <c r="D93" i="44"/>
  <c r="C50" i="44"/>
  <c r="D55" i="44"/>
  <c r="C27" i="44"/>
  <c r="D25" i="44"/>
  <c r="C44" i="44"/>
  <c r="D113" i="44"/>
  <c r="C55" i="44"/>
  <c r="D83" i="44"/>
  <c r="C94" i="44"/>
  <c r="C57" i="44"/>
  <c r="C68" i="44"/>
  <c r="B24" i="44"/>
  <c r="C85" i="44"/>
  <c r="C53" i="44"/>
  <c r="B34" i="44"/>
  <c r="D91" i="44"/>
  <c r="D36" i="44"/>
  <c r="C118" i="44"/>
  <c r="B5" i="44"/>
  <c r="B6" i="44"/>
  <c r="C66" i="44"/>
  <c r="B39" i="44"/>
  <c r="B47" i="44"/>
  <c r="D71" i="44"/>
  <c r="D81" i="44"/>
  <c r="D34" i="44"/>
  <c r="C103" i="44"/>
  <c r="C48" i="44"/>
  <c r="D76" i="44"/>
  <c r="D98" i="44"/>
  <c r="D5" i="44"/>
  <c r="B98" i="44"/>
  <c r="D14" i="44"/>
  <c r="B73" i="44"/>
  <c r="B80" i="44"/>
  <c r="B65" i="44"/>
  <c r="B95" i="44"/>
  <c r="D97" i="44"/>
  <c r="B17" i="44"/>
  <c r="B11" i="44"/>
  <c r="D3" i="44"/>
  <c r="C56" i="44"/>
  <c r="C21" i="44"/>
  <c r="C51" i="44"/>
  <c r="C35" i="44"/>
  <c r="B88" i="44"/>
  <c r="C20" i="44"/>
  <c r="B33" i="44"/>
  <c r="B63" i="44"/>
  <c r="C37" i="44"/>
  <c r="B27" i="44"/>
  <c r="D11" i="44"/>
  <c r="B36" i="44"/>
  <c r="C64" i="44"/>
  <c r="D100" i="44"/>
  <c r="D114" i="44"/>
  <c r="B77" i="44"/>
  <c r="D21" i="44"/>
  <c r="C46" i="44"/>
  <c r="B78" i="44"/>
  <c r="D30" i="44"/>
  <c r="C15" i="44"/>
  <c r="D58" i="44"/>
  <c r="C52" i="44"/>
  <c r="B16" i="44"/>
  <c r="B108" i="44"/>
  <c r="C39" i="44"/>
  <c r="D82" i="44"/>
  <c r="D73" i="44"/>
  <c r="D48" i="44"/>
  <c r="C63" i="44"/>
  <c r="B10" i="44"/>
  <c r="D23" i="44"/>
  <c r="B112" i="44"/>
  <c r="D79" i="44"/>
  <c r="C92" i="44"/>
  <c r="C76" i="44"/>
  <c r="B111" i="44"/>
  <c r="C61" i="44"/>
  <c r="C91" i="44"/>
  <c r="B104" i="44"/>
  <c r="C60" i="44"/>
  <c r="B59" i="44"/>
  <c r="D19" i="44"/>
  <c r="B44" i="44"/>
  <c r="C72" i="44"/>
  <c r="E72" i="44" s="1"/>
  <c r="F72" i="44" s="1"/>
  <c r="D108" i="44"/>
  <c r="B3" i="44"/>
  <c r="B101" i="44"/>
  <c r="D29" i="44"/>
  <c r="C54" i="44"/>
  <c r="B102" i="44"/>
  <c r="D62" i="44"/>
  <c r="D63" i="44"/>
  <c r="D112" i="44"/>
  <c r="B7" i="44"/>
  <c r="B75" i="44"/>
  <c r="B52" i="44"/>
  <c r="D44" i="44"/>
  <c r="D116" i="44"/>
  <c r="B19" i="44"/>
  <c r="B13" i="44"/>
  <c r="B109" i="44"/>
  <c r="C73" i="44"/>
  <c r="D37" i="44"/>
  <c r="B26" i="44"/>
  <c r="C70" i="44"/>
  <c r="B14" i="44"/>
  <c r="B110" i="44"/>
  <c r="C74" i="44"/>
  <c r="D70" i="44"/>
  <c r="C67" i="44"/>
  <c r="C13" i="44"/>
  <c r="B103" i="44"/>
  <c r="D27" i="44"/>
  <c r="C8" i="44"/>
  <c r="D26" i="44"/>
  <c r="C84" i="44"/>
  <c r="B41" i="44"/>
  <c r="B55" i="44"/>
  <c r="C75" i="44"/>
  <c r="C6" i="44"/>
  <c r="D35" i="44"/>
  <c r="B60" i="44"/>
  <c r="C24" i="44"/>
  <c r="C96" i="44"/>
  <c r="D52" i="44"/>
  <c r="B18" i="44"/>
  <c r="D50" i="44"/>
  <c r="B35" i="44"/>
  <c r="B37" i="44"/>
  <c r="B117" i="44"/>
  <c r="C81" i="44"/>
  <c r="D61" i="44"/>
  <c r="B42" i="44"/>
  <c r="C86" i="44"/>
  <c r="B38" i="44"/>
  <c r="B118" i="44"/>
  <c r="E118" i="44" s="1"/>
  <c r="F118" i="44" s="1"/>
  <c r="C82" i="44"/>
  <c r="D78" i="44"/>
  <c r="C43" i="44"/>
  <c r="C109" i="44"/>
  <c r="D105" i="44"/>
  <c r="D47" i="44"/>
  <c r="B9" i="44"/>
  <c r="B79" i="44"/>
  <c r="C29" i="44"/>
  <c r="C83" i="44"/>
  <c r="B90" i="44"/>
  <c r="C71" i="44"/>
  <c r="D99" i="44"/>
  <c r="C88" i="44"/>
  <c r="C108" i="44"/>
  <c r="D39" i="44"/>
  <c r="D104" i="44"/>
  <c r="D65" i="44"/>
  <c r="C59" i="44"/>
  <c r="B8" i="44"/>
  <c r="C4" i="44"/>
  <c r="C28" i="44"/>
  <c r="B25" i="44"/>
  <c r="D8" i="44"/>
  <c r="B91" i="44"/>
  <c r="C79" i="44"/>
  <c r="D107" i="44"/>
  <c r="D9" i="44"/>
  <c r="D33" i="44"/>
  <c r="D103" i="44"/>
  <c r="B40" i="44"/>
  <c r="B87" i="44"/>
  <c r="D111" i="44"/>
  <c r="C77" i="44"/>
  <c r="B49" i="44"/>
  <c r="C3" i="44"/>
  <c r="C45" i="44"/>
  <c r="C69" i="44"/>
  <c r="C116" i="44"/>
  <c r="B71" i="44"/>
  <c r="D31" i="44"/>
  <c r="C38" i="44"/>
  <c r="B107" i="44"/>
  <c r="C87" i="44"/>
  <c r="D43" i="44"/>
  <c r="D115" i="44"/>
  <c r="B76" i="44"/>
  <c r="C32" i="44"/>
  <c r="C104" i="44"/>
  <c r="D60" i="44"/>
  <c r="B50" i="44"/>
  <c r="D66" i="44"/>
  <c r="B51" i="44"/>
  <c r="B45" i="44"/>
  <c r="C9" i="44"/>
  <c r="C89" i="44"/>
  <c r="D69" i="44"/>
  <c r="B58" i="44"/>
  <c r="C102" i="44"/>
  <c r="B46" i="44"/>
  <c r="C10" i="44"/>
  <c r="C114" i="44"/>
  <c r="D86" i="44"/>
  <c r="C115" i="44"/>
  <c r="D87" i="44"/>
  <c r="B89" i="44"/>
  <c r="D49" i="44"/>
  <c r="C78" i="44"/>
  <c r="C7" i="44"/>
  <c r="C95" i="44"/>
  <c r="D51" i="44"/>
  <c r="B12" i="44"/>
  <c r="B84" i="44"/>
  <c r="C40" i="44"/>
  <c r="C112" i="44"/>
  <c r="D68" i="44"/>
  <c r="B82" i="44"/>
  <c r="D74" i="44"/>
  <c r="B99" i="44"/>
  <c r="B53" i="44"/>
  <c r="C17" i="44"/>
  <c r="C113" i="44"/>
  <c r="D77" i="44"/>
  <c r="B74" i="44"/>
  <c r="D18" i="44"/>
  <c r="B54" i="44"/>
  <c r="C18" i="44"/>
  <c r="D6" i="44"/>
  <c r="D94" i="44"/>
  <c r="C90" i="44"/>
  <c r="D38" i="44"/>
  <c r="D102" i="44"/>
  <c r="B113" i="44"/>
  <c r="B96" i="44"/>
  <c r="B97" i="44"/>
  <c r="C5" i="44"/>
  <c r="C11" i="44"/>
  <c r="C12" i="44"/>
  <c r="D88" i="44"/>
  <c r="C36" i="44"/>
  <c r="D89" i="44"/>
  <c r="D32" i="44"/>
  <c r="D56" i="44"/>
  <c r="D57" i="44"/>
  <c r="D40" i="44"/>
  <c r="D41" i="44"/>
  <c r="B48" i="44"/>
  <c r="C101" i="44"/>
  <c r="B66" i="44"/>
  <c r="B43" i="44"/>
  <c r="C47" i="44"/>
  <c r="C111" i="44"/>
  <c r="D59" i="44"/>
  <c r="B4" i="44"/>
  <c r="B68" i="44"/>
  <c r="C16" i="44"/>
  <c r="C80" i="44"/>
  <c r="D28" i="44"/>
  <c r="D92" i="44"/>
  <c r="C22" i="44"/>
  <c r="D90" i="44"/>
  <c r="B67" i="44"/>
  <c r="B21" i="44"/>
  <c r="B85" i="44"/>
  <c r="C33" i="44"/>
  <c r="C97" i="44"/>
  <c r="D45" i="44"/>
  <c r="D109" i="44"/>
  <c r="B114" i="44"/>
  <c r="C110" i="44"/>
  <c r="B22" i="44"/>
  <c r="B86" i="44"/>
  <c r="C34" i="44"/>
  <c r="C98" i="44"/>
  <c r="D46" i="44"/>
  <c r="D110" i="44"/>
  <c r="B83" i="44"/>
  <c r="B29" i="44"/>
  <c r="B93" i="44"/>
  <c r="C41" i="44"/>
  <c r="C105" i="44"/>
  <c r="D53" i="44"/>
  <c r="D117" i="44"/>
  <c r="C14" i="44"/>
  <c r="D10" i="44"/>
  <c r="B30" i="44"/>
  <c r="B94" i="44"/>
  <c r="C42" i="44"/>
  <c r="C106" i="44"/>
  <c r="E106" i="44" s="1"/>
  <c r="F106" i="44" s="1"/>
  <c r="D54" i="44"/>
  <c r="G56" i="3"/>
  <c r="Q9" i="80"/>
  <c r="D6" i="82"/>
  <c r="B97" i="39"/>
  <c r="G97" i="39" s="1"/>
  <c r="B67" i="39"/>
  <c r="G67" i="39" s="1"/>
  <c r="E10" i="3"/>
  <c r="E10" i="4" s="1"/>
  <c r="E72" i="40"/>
  <c r="F72" i="40" s="1"/>
  <c r="E71" i="40"/>
  <c r="F71" i="40" s="1"/>
  <c r="E11" i="3" s="1"/>
  <c r="E11" i="4" l="1"/>
  <c r="E76" i="44"/>
  <c r="F76" i="44" s="1"/>
  <c r="E31" i="44"/>
  <c r="F31" i="44" s="1"/>
  <c r="E65" i="44"/>
  <c r="F65" i="44" s="1"/>
  <c r="E45" i="44"/>
  <c r="F45" i="44" s="1"/>
  <c r="E99" i="44"/>
  <c r="F99" i="44" s="1"/>
  <c r="F32" i="3" s="1"/>
  <c r="E23" i="44"/>
  <c r="F23" i="44" s="1"/>
  <c r="E20" i="44"/>
  <c r="F20" i="44" s="1"/>
  <c r="E98" i="44"/>
  <c r="F98" i="44" s="1"/>
  <c r="E92" i="44"/>
  <c r="F92" i="44" s="1"/>
  <c r="E15" i="44"/>
  <c r="F15" i="44" s="1"/>
  <c r="E25" i="44"/>
  <c r="F25" i="44" s="1"/>
  <c r="E47" i="44"/>
  <c r="F47" i="44" s="1"/>
  <c r="E100" i="44"/>
  <c r="F100" i="44" s="1"/>
  <c r="E28" i="44"/>
  <c r="F28" i="44" s="1"/>
  <c r="E95" i="44"/>
  <c r="F95" i="44" s="1"/>
  <c r="E105" i="44"/>
  <c r="F105" i="44" s="1"/>
  <c r="E24" i="44"/>
  <c r="F24" i="44" s="1"/>
  <c r="E6" i="44"/>
  <c r="F6" i="44" s="1"/>
  <c r="D1" i="44"/>
  <c r="B1" i="44"/>
  <c r="E11" i="44"/>
  <c r="F11" i="44" s="1"/>
  <c r="E17" i="44"/>
  <c r="F17" i="44" s="1"/>
  <c r="E84" i="44"/>
  <c r="F84" i="44" s="1"/>
  <c r="E104" i="44"/>
  <c r="F104" i="44" s="1"/>
  <c r="E91" i="44"/>
  <c r="F91" i="44" s="1"/>
  <c r="E37" i="44"/>
  <c r="F37" i="44" s="1"/>
  <c r="E44" i="44"/>
  <c r="F44" i="44" s="1"/>
  <c r="E39" i="44"/>
  <c r="F39" i="44" s="1"/>
  <c r="P33" i="80" s="1"/>
  <c r="E80" i="44"/>
  <c r="F80" i="44" s="1"/>
  <c r="F20" i="3" s="1"/>
  <c r="F20" i="4" s="1"/>
  <c r="E5" i="44"/>
  <c r="F5" i="44" s="1"/>
  <c r="D31" i="45" s="1"/>
  <c r="C1" i="44"/>
  <c r="E115" i="44"/>
  <c r="F115" i="44" s="1"/>
  <c r="E71" i="44"/>
  <c r="F71" i="44" s="1"/>
  <c r="E52" i="44"/>
  <c r="F52" i="44" s="1"/>
  <c r="E12" i="44"/>
  <c r="F12" i="44" s="1"/>
  <c r="D24" i="45" s="1"/>
  <c r="E112" i="44"/>
  <c r="F112" i="44" s="1"/>
  <c r="E108" i="44"/>
  <c r="F108" i="44" s="1"/>
  <c r="E73" i="44"/>
  <c r="F73" i="44" s="1"/>
  <c r="E64" i="44"/>
  <c r="F64" i="44" s="1"/>
  <c r="E13" i="44"/>
  <c r="F13" i="44" s="1"/>
  <c r="E63" i="44"/>
  <c r="F63" i="44" s="1"/>
  <c r="E62" i="44"/>
  <c r="F62" i="44" s="1"/>
  <c r="E85" i="44"/>
  <c r="F85" i="44" s="1"/>
  <c r="E74" i="44"/>
  <c r="F74" i="44" s="1"/>
  <c r="F48" i="3" s="1"/>
  <c r="E7" i="44"/>
  <c r="F7" i="44" s="1"/>
  <c r="E61" i="44"/>
  <c r="F61" i="44" s="1"/>
  <c r="E75" i="44"/>
  <c r="F75" i="44" s="1"/>
  <c r="F7" i="3" s="1"/>
  <c r="F73" i="90" s="1"/>
  <c r="E96" i="44"/>
  <c r="F96" i="44" s="1"/>
  <c r="E18" i="44"/>
  <c r="F18" i="44" s="1"/>
  <c r="D30" i="45" s="1"/>
  <c r="E42" i="44"/>
  <c r="F42" i="44" s="1"/>
  <c r="D12" i="45" s="1"/>
  <c r="E68" i="44"/>
  <c r="F68" i="44" s="1"/>
  <c r="E48" i="44"/>
  <c r="F48" i="44" s="1"/>
  <c r="E26" i="44"/>
  <c r="F26" i="44" s="1"/>
  <c r="E55" i="44"/>
  <c r="F55" i="44" s="1"/>
  <c r="D17" i="45" s="1"/>
  <c r="E27" i="44"/>
  <c r="F27" i="44" s="1"/>
  <c r="E111" i="44"/>
  <c r="F111" i="44" s="1"/>
  <c r="E103" i="44"/>
  <c r="F103" i="44" s="1"/>
  <c r="F19" i="3" s="1"/>
  <c r="E57" i="44"/>
  <c r="F57" i="44" s="1"/>
  <c r="E56" i="44"/>
  <c r="F56" i="44" s="1"/>
  <c r="E3" i="44"/>
  <c r="E10" i="44"/>
  <c r="F10" i="44" s="1"/>
  <c r="E33" i="44"/>
  <c r="F33" i="44" s="1"/>
  <c r="D25" i="45" s="1"/>
  <c r="E66" i="44"/>
  <c r="F66" i="44" s="1"/>
  <c r="E109" i="44"/>
  <c r="F109" i="44" s="1"/>
  <c r="F12" i="3" s="1"/>
  <c r="F12" i="4" s="1"/>
  <c r="E70" i="44"/>
  <c r="F70" i="44" s="1"/>
  <c r="E9" i="44"/>
  <c r="F9" i="44" s="1"/>
  <c r="E78" i="44"/>
  <c r="F78" i="44" s="1"/>
  <c r="E34" i="44"/>
  <c r="F34" i="44" s="1"/>
  <c r="D26" i="45" s="1"/>
  <c r="E86" i="44"/>
  <c r="F86" i="44" s="1"/>
  <c r="E36" i="44"/>
  <c r="F36" i="44" s="1"/>
  <c r="E53" i="44"/>
  <c r="F53" i="44" s="1"/>
  <c r="D20" i="45" s="1"/>
  <c r="D19" i="45" s="1"/>
  <c r="E32" i="44"/>
  <c r="F32" i="44" s="1"/>
  <c r="E16" i="44"/>
  <c r="F16" i="44" s="1"/>
  <c r="E101" i="44"/>
  <c r="F101" i="44" s="1"/>
  <c r="E93" i="44"/>
  <c r="F93" i="44" s="1"/>
  <c r="E21" i="44"/>
  <c r="F21" i="44" s="1"/>
  <c r="E30" i="44"/>
  <c r="F30" i="44" s="1"/>
  <c r="E67" i="44"/>
  <c r="F67" i="44" s="1"/>
  <c r="E4" i="44"/>
  <c r="F4" i="44" s="1"/>
  <c r="E102" i="44"/>
  <c r="F102" i="44" s="1"/>
  <c r="F33" i="3" s="1"/>
  <c r="F28" i="4" s="1"/>
  <c r="E50" i="44"/>
  <c r="F50" i="44" s="1"/>
  <c r="D15" i="45" s="1"/>
  <c r="E81" i="44"/>
  <c r="F81" i="44" s="1"/>
  <c r="F47" i="3" s="1"/>
  <c r="E19" i="44"/>
  <c r="F19" i="44" s="1"/>
  <c r="E46" i="44"/>
  <c r="F46" i="44" s="1"/>
  <c r="E54" i="44"/>
  <c r="F54" i="44" s="1"/>
  <c r="E114" i="44"/>
  <c r="F114" i="44" s="1"/>
  <c r="E89" i="44"/>
  <c r="F89" i="44" s="1"/>
  <c r="E58" i="44"/>
  <c r="F58" i="44" s="1"/>
  <c r="E38" i="44"/>
  <c r="F38" i="44" s="1"/>
  <c r="E8" i="44"/>
  <c r="F8" i="44" s="1"/>
  <c r="E14" i="44"/>
  <c r="F14" i="44" s="1"/>
  <c r="E116" i="44"/>
  <c r="F116" i="44" s="1"/>
  <c r="P15" i="80" s="1"/>
  <c r="P11" i="80" s="1"/>
  <c r="E49" i="44"/>
  <c r="F49" i="44" s="1"/>
  <c r="E90" i="44"/>
  <c r="F90" i="44" s="1"/>
  <c r="E77" i="44"/>
  <c r="F77" i="44" s="1"/>
  <c r="F28" i="3" s="1"/>
  <c r="E83" i="44"/>
  <c r="F83" i="44" s="1"/>
  <c r="E60" i="44"/>
  <c r="F60" i="44" s="1"/>
  <c r="E87" i="44"/>
  <c r="F87" i="44" s="1"/>
  <c r="E69" i="44"/>
  <c r="F69" i="44" s="1"/>
  <c r="E29" i="44"/>
  <c r="F29" i="44" s="1"/>
  <c r="E82" i="44"/>
  <c r="F82" i="44" s="1"/>
  <c r="E35" i="44"/>
  <c r="F35" i="44" s="1"/>
  <c r="D48" i="45" s="1"/>
  <c r="E97" i="44"/>
  <c r="F97" i="44" s="1"/>
  <c r="E79" i="44"/>
  <c r="F79" i="44" s="1"/>
  <c r="F27" i="3" s="1"/>
  <c r="E43" i="44"/>
  <c r="F43" i="44" s="1"/>
  <c r="E113" i="44"/>
  <c r="F113" i="44" s="1"/>
  <c r="E51" i="44"/>
  <c r="F51" i="44" s="1"/>
  <c r="E107" i="44"/>
  <c r="F107" i="44" s="1"/>
  <c r="E41" i="44"/>
  <c r="F41" i="44" s="1"/>
  <c r="E22" i="44"/>
  <c r="F22" i="44" s="1"/>
  <c r="E88" i="44"/>
  <c r="F88" i="44" s="1"/>
  <c r="F42" i="3" s="1"/>
  <c r="F34" i="4" s="1"/>
  <c r="E94" i="44"/>
  <c r="F94" i="44" s="1"/>
  <c r="E110" i="44"/>
  <c r="F110" i="44" s="1"/>
  <c r="E59" i="44"/>
  <c r="F59" i="44" s="1"/>
  <c r="E40" i="44"/>
  <c r="F40" i="44" s="1"/>
  <c r="D49" i="45" s="1"/>
  <c r="E117" i="44"/>
  <c r="F117" i="44" s="1"/>
  <c r="D23" i="45"/>
  <c r="D10" i="82"/>
  <c r="Q7" i="80"/>
  <c r="B116" i="39"/>
  <c r="G116" i="39" s="1"/>
  <c r="P8" i="40"/>
  <c r="P7" i="40"/>
  <c r="P6" i="40"/>
  <c r="Q6" i="40" s="1"/>
  <c r="P5" i="40"/>
  <c r="E20" i="3" s="1"/>
  <c r="E20" i="4" s="1"/>
  <c r="P4" i="40"/>
  <c r="P3" i="40"/>
  <c r="E18" i="3" s="1"/>
  <c r="E18" i="4" s="1"/>
  <c r="C8" i="82" l="1"/>
  <c r="F39" i="4"/>
  <c r="C9" i="82"/>
  <c r="F40" i="4"/>
  <c r="F74" i="90"/>
  <c r="F5" i="90"/>
  <c r="D14" i="45"/>
  <c r="F19" i="4"/>
  <c r="F52" i="90"/>
  <c r="F7" i="4"/>
  <c r="F56" i="90"/>
  <c r="F57" i="90"/>
  <c r="D34" i="45"/>
  <c r="D33" i="45" s="1"/>
  <c r="F37" i="3"/>
  <c r="D27" i="45"/>
  <c r="D22" i="45" s="1"/>
  <c r="P19" i="80"/>
  <c r="D14" i="82" s="1"/>
  <c r="E1" i="44"/>
  <c r="F17" i="3"/>
  <c r="C25" i="82"/>
  <c r="F21" i="3"/>
  <c r="F21" i="4" s="1"/>
  <c r="D46" i="45"/>
  <c r="F26" i="3"/>
  <c r="F8" i="3"/>
  <c r="F36" i="3"/>
  <c r="P29" i="80"/>
  <c r="F3" i="44"/>
  <c r="F1" i="44" s="1"/>
  <c r="D29" i="45"/>
  <c r="D13" i="45"/>
  <c r="D26" i="82"/>
  <c r="P20" i="80"/>
  <c r="D15" i="82" s="1"/>
  <c r="P39" i="80"/>
  <c r="D35" i="82" s="1"/>
  <c r="D47" i="45"/>
  <c r="F31" i="3"/>
  <c r="F30" i="3" s="1"/>
  <c r="F27" i="4" s="1"/>
  <c r="P28" i="80"/>
  <c r="P41" i="80"/>
  <c r="D17" i="82" s="1"/>
  <c r="D16" i="45"/>
  <c r="D43" i="45"/>
  <c r="D42" i="45" s="1"/>
  <c r="P21" i="80"/>
  <c r="D16" i="82" s="1"/>
  <c r="D6" i="45"/>
  <c r="F35" i="3"/>
  <c r="D37" i="45"/>
  <c r="D36" i="45" s="1"/>
  <c r="P36" i="80"/>
  <c r="C37" i="82" s="1"/>
  <c r="P8" i="80"/>
  <c r="Q23" i="80"/>
  <c r="D18" i="82"/>
  <c r="P9" i="40"/>
  <c r="F76" i="90" l="1"/>
  <c r="F26" i="4"/>
  <c r="F8" i="4"/>
  <c r="F14" i="4" s="1"/>
  <c r="F15" i="4" s="1"/>
  <c r="F59" i="90"/>
  <c r="F60" i="90"/>
  <c r="F61" i="90" s="1"/>
  <c r="F17" i="4"/>
  <c r="F51" i="90"/>
  <c r="F50" i="90" s="1"/>
  <c r="F14" i="3"/>
  <c r="D11" i="45"/>
  <c r="P27" i="80"/>
  <c r="F34" i="3"/>
  <c r="F29" i="4" s="1"/>
  <c r="D45" i="45"/>
  <c r="D40" i="45"/>
  <c r="D39" i="45" s="1"/>
  <c r="P38" i="80"/>
  <c r="P35" i="80" s="1"/>
  <c r="P17" i="80"/>
  <c r="D24" i="82"/>
  <c r="D27" i="82" s="1"/>
  <c r="B121" i="39"/>
  <c r="G121" i="39" s="1"/>
  <c r="B131" i="39"/>
  <c r="B130" i="39"/>
  <c r="G130" i="39" s="1"/>
  <c r="B129" i="39"/>
  <c r="G129" i="39" s="1"/>
  <c r="B128" i="39"/>
  <c r="G128" i="39" s="1"/>
  <c r="B127" i="39"/>
  <c r="G127" i="39" s="1"/>
  <c r="B126" i="39"/>
  <c r="G126" i="39" s="1"/>
  <c r="B125" i="39"/>
  <c r="G125" i="39" s="1"/>
  <c r="B124" i="39"/>
  <c r="G124" i="39" s="1"/>
  <c r="B123" i="39"/>
  <c r="G123" i="39" s="1"/>
  <c r="B122" i="39"/>
  <c r="G122" i="39" s="1"/>
  <c r="B120" i="39"/>
  <c r="G120" i="39" s="1"/>
  <c r="B119" i="39"/>
  <c r="G119" i="39" s="1"/>
  <c r="B118" i="39"/>
  <c r="G118" i="39" s="1"/>
  <c r="B117" i="39"/>
  <c r="G117" i="39" s="1"/>
  <c r="B115" i="39"/>
  <c r="G115" i="39" s="1"/>
  <c r="B113" i="39"/>
  <c r="G113" i="39" s="1"/>
  <c r="B112" i="39"/>
  <c r="G112" i="39" s="1"/>
  <c r="B111" i="39"/>
  <c r="G111" i="39" s="1"/>
  <c r="B110" i="39"/>
  <c r="G110" i="39" s="1"/>
  <c r="B109" i="39"/>
  <c r="B108" i="39"/>
  <c r="B107" i="39"/>
  <c r="G107" i="39" s="1"/>
  <c r="B106" i="39"/>
  <c r="G106" i="39" s="1"/>
  <c r="B105" i="39"/>
  <c r="G105" i="39" s="1"/>
  <c r="B104" i="39"/>
  <c r="G104" i="39" s="1"/>
  <c r="B103" i="39"/>
  <c r="G103" i="39" s="1"/>
  <c r="B102" i="39"/>
  <c r="B101" i="39"/>
  <c r="G101" i="39" s="1"/>
  <c r="B100" i="39"/>
  <c r="G100" i="39" s="1"/>
  <c r="B99" i="39"/>
  <c r="G99" i="39" s="1"/>
  <c r="B98" i="39"/>
  <c r="G98" i="39" s="1"/>
  <c r="B96" i="39"/>
  <c r="G96" i="39" s="1"/>
  <c r="B95" i="39"/>
  <c r="B94" i="39"/>
  <c r="G94" i="39" s="1"/>
  <c r="B93" i="39"/>
  <c r="G93" i="39" s="1"/>
  <c r="B92" i="39"/>
  <c r="G92" i="39" s="1"/>
  <c r="B91" i="39"/>
  <c r="G91" i="39" s="1"/>
  <c r="B89" i="39"/>
  <c r="G89" i="39" s="1"/>
  <c r="B88" i="39"/>
  <c r="B87" i="39"/>
  <c r="B86" i="39"/>
  <c r="G86" i="39" s="1"/>
  <c r="B85" i="39"/>
  <c r="G85" i="39" s="1"/>
  <c r="B84" i="39"/>
  <c r="G84" i="39" s="1"/>
  <c r="B83" i="39"/>
  <c r="G83" i="39" s="1"/>
  <c r="B82" i="39"/>
  <c r="G82" i="39" s="1"/>
  <c r="B81" i="39"/>
  <c r="G81" i="39" s="1"/>
  <c r="B80" i="39"/>
  <c r="G80" i="39" s="1"/>
  <c r="B79" i="39"/>
  <c r="G79" i="39" s="1"/>
  <c r="B78" i="39"/>
  <c r="G78" i="39" s="1"/>
  <c r="B77" i="39"/>
  <c r="G77" i="39" s="1"/>
  <c r="B76" i="39"/>
  <c r="G76" i="39" s="1"/>
  <c r="B75" i="39"/>
  <c r="G75" i="39" s="1"/>
  <c r="B74" i="39"/>
  <c r="G74" i="39" s="1"/>
  <c r="B73" i="39"/>
  <c r="G73" i="39" s="1"/>
  <c r="B72" i="39"/>
  <c r="G72" i="39" s="1"/>
  <c r="B71" i="39"/>
  <c r="B70" i="39"/>
  <c r="G70" i="39" s="1"/>
  <c r="B69" i="39"/>
  <c r="G69" i="39" s="1"/>
  <c r="B68" i="39"/>
  <c r="G68" i="39" s="1"/>
  <c r="B66" i="39"/>
  <c r="B65" i="39"/>
  <c r="B64" i="39"/>
  <c r="G64" i="39" s="1"/>
  <c r="B63" i="39"/>
  <c r="G63" i="39" s="1"/>
  <c r="B62" i="39"/>
  <c r="B61" i="39"/>
  <c r="G61" i="39" s="1"/>
  <c r="B60" i="39"/>
  <c r="B59" i="39"/>
  <c r="B58" i="39"/>
  <c r="G58" i="39" s="1"/>
  <c r="B57" i="39"/>
  <c r="G57" i="39" s="1"/>
  <c r="B56" i="39"/>
  <c r="G56" i="39" s="1"/>
  <c r="B55" i="39"/>
  <c r="B54" i="39"/>
  <c r="B53" i="39"/>
  <c r="B52" i="39"/>
  <c r="G52" i="39" s="1"/>
  <c r="B51" i="39"/>
  <c r="G51" i="39" s="1"/>
  <c r="B50" i="39"/>
  <c r="B49" i="39"/>
  <c r="G49" i="39" s="1"/>
  <c r="B48" i="39"/>
  <c r="G48" i="39" s="1"/>
  <c r="B47" i="39"/>
  <c r="G47" i="39" s="1"/>
  <c r="B46" i="39"/>
  <c r="G46" i="39" s="1"/>
  <c r="B45" i="39"/>
  <c r="B44" i="39"/>
  <c r="G44" i="39" s="1"/>
  <c r="B43" i="39"/>
  <c r="G43" i="39" s="1"/>
  <c r="B42" i="39"/>
  <c r="G42" i="39" s="1"/>
  <c r="B41" i="39"/>
  <c r="G41" i="39" s="1"/>
  <c r="B40" i="39"/>
  <c r="G40" i="39" s="1"/>
  <c r="B39" i="39"/>
  <c r="G39" i="39" s="1"/>
  <c r="B38" i="39"/>
  <c r="G38" i="39" s="1"/>
  <c r="B37" i="39"/>
  <c r="G37" i="39" s="1"/>
  <c r="B36" i="39"/>
  <c r="G36" i="39" s="1"/>
  <c r="B35" i="39"/>
  <c r="G35" i="39" s="1"/>
  <c r="B34" i="39"/>
  <c r="B33" i="39"/>
  <c r="B32" i="39"/>
  <c r="G32" i="39" s="1"/>
  <c r="B31" i="39"/>
  <c r="G31" i="39" s="1"/>
  <c r="B30" i="39"/>
  <c r="G30" i="39" s="1"/>
  <c r="B29" i="39"/>
  <c r="G29" i="39" s="1"/>
  <c r="B28" i="39"/>
  <c r="G28" i="39" s="1"/>
  <c r="B27" i="39"/>
  <c r="G27" i="39" s="1"/>
  <c r="B26" i="39"/>
  <c r="G26" i="39" s="1"/>
  <c r="B25" i="39"/>
  <c r="G25" i="39" s="1"/>
  <c r="B24" i="39"/>
  <c r="G24" i="39" s="1"/>
  <c r="B23" i="39"/>
  <c r="B22" i="39"/>
  <c r="G22" i="39" s="1"/>
  <c r="B21" i="39"/>
  <c r="B20" i="39"/>
  <c r="B19" i="39"/>
  <c r="G19" i="39" s="1"/>
  <c r="B18" i="39"/>
  <c r="G18" i="39" s="1"/>
  <c r="B17" i="39"/>
  <c r="G17" i="39" s="1"/>
  <c r="B16" i="39"/>
  <c r="B15" i="39"/>
  <c r="G15" i="39" s="1"/>
  <c r="B14" i="39"/>
  <c r="G14" i="39" s="1"/>
  <c r="B13" i="39"/>
  <c r="G13" i="39" s="1"/>
  <c r="B12" i="39"/>
  <c r="G12" i="39" s="1"/>
  <c r="B11" i="39"/>
  <c r="G11" i="39" s="1"/>
  <c r="B10" i="39"/>
  <c r="G10" i="39" s="1"/>
  <c r="B9" i="39"/>
  <c r="G9" i="39" s="1"/>
  <c r="B8" i="39"/>
  <c r="G8" i="39" s="1"/>
  <c r="B7" i="39"/>
  <c r="G7" i="39" s="1"/>
  <c r="B6" i="39"/>
  <c r="G6" i="39" s="1"/>
  <c r="B5" i="39"/>
  <c r="G5" i="39" s="1"/>
  <c r="B4" i="39"/>
  <c r="G4" i="39" s="1"/>
  <c r="B3" i="39"/>
  <c r="F23" i="4" l="1"/>
  <c r="F15" i="3"/>
  <c r="F69" i="90"/>
  <c r="F71" i="90" s="1"/>
  <c r="F70" i="90"/>
  <c r="F23" i="3"/>
  <c r="F24" i="3" s="1"/>
  <c r="D13" i="82"/>
  <c r="D19" i="82" s="1"/>
  <c r="P43" i="80"/>
  <c r="B107" i="40"/>
  <c r="C107" i="40"/>
  <c r="D107" i="40"/>
  <c r="D106" i="40"/>
  <c r="C106" i="40"/>
  <c r="B106" i="40"/>
  <c r="D105" i="40"/>
  <c r="C105" i="40"/>
  <c r="B105" i="40"/>
  <c r="D104" i="40"/>
  <c r="B104" i="40"/>
  <c r="C104" i="40"/>
  <c r="C41" i="40"/>
  <c r="B103" i="40"/>
  <c r="C103" i="40"/>
  <c r="C110" i="40" s="1"/>
  <c r="D103" i="40"/>
  <c r="B28" i="40"/>
  <c r="D29" i="40"/>
  <c r="C56" i="40"/>
  <c r="B95" i="40"/>
  <c r="C57" i="40"/>
  <c r="B37" i="40"/>
  <c r="B64" i="40"/>
  <c r="D4" i="40"/>
  <c r="D42" i="40"/>
  <c r="D77" i="40"/>
  <c r="C24" i="40"/>
  <c r="D75" i="40"/>
  <c r="D33" i="40"/>
  <c r="B68" i="40"/>
  <c r="D5" i="40"/>
  <c r="D43" i="40"/>
  <c r="D78" i="40"/>
  <c r="C25" i="40"/>
  <c r="C73" i="40"/>
  <c r="B12" i="40"/>
  <c r="B39" i="40"/>
  <c r="B80" i="40"/>
  <c r="D13" i="40"/>
  <c r="D44" i="40"/>
  <c r="D93" i="40"/>
  <c r="C38" i="40"/>
  <c r="C74" i="40"/>
  <c r="B14" i="40"/>
  <c r="B53" i="40"/>
  <c r="B89" i="40"/>
  <c r="D18" i="40"/>
  <c r="D59" i="40"/>
  <c r="C6" i="40"/>
  <c r="C40" i="40"/>
  <c r="C90" i="40"/>
  <c r="B62" i="40"/>
  <c r="B94" i="40"/>
  <c r="C8" i="40"/>
  <c r="B29" i="40"/>
  <c r="B63" i="40"/>
  <c r="D76" i="40"/>
  <c r="C9" i="40"/>
  <c r="B4" i="40"/>
  <c r="B38" i="40"/>
  <c r="B13" i="40"/>
  <c r="B40" i="40"/>
  <c r="B81" i="40"/>
  <c r="D17" i="40"/>
  <c r="D45" i="40"/>
  <c r="D94" i="40"/>
  <c r="C39" i="40"/>
  <c r="C75" i="40"/>
  <c r="B15" i="40"/>
  <c r="B54" i="40"/>
  <c r="B90" i="40"/>
  <c r="D19" i="40"/>
  <c r="D60" i="40"/>
  <c r="C7" i="40"/>
  <c r="C102" i="40"/>
  <c r="C95" i="40"/>
  <c r="C87" i="40"/>
  <c r="C79" i="40"/>
  <c r="C69" i="40"/>
  <c r="C61" i="40"/>
  <c r="C53" i="40"/>
  <c r="C45" i="40"/>
  <c r="C37" i="40"/>
  <c r="C29" i="40"/>
  <c r="C21" i="40"/>
  <c r="C13" i="40"/>
  <c r="C5" i="40"/>
  <c r="D98" i="40"/>
  <c r="D90" i="40"/>
  <c r="D82" i="40"/>
  <c r="D74" i="40"/>
  <c r="D64" i="40"/>
  <c r="D56" i="40"/>
  <c r="D48" i="40"/>
  <c r="D40" i="40"/>
  <c r="D32" i="40"/>
  <c r="D24" i="40"/>
  <c r="D16" i="40"/>
  <c r="D8" i="40"/>
  <c r="B100" i="40"/>
  <c r="B93" i="40"/>
  <c r="B85" i="40"/>
  <c r="B77" i="40"/>
  <c r="B67" i="40"/>
  <c r="B59" i="40"/>
  <c r="B51" i="40"/>
  <c r="B43" i="40"/>
  <c r="B35" i="40"/>
  <c r="B27" i="40"/>
  <c r="B19" i="40"/>
  <c r="B11" i="40"/>
  <c r="B3" i="40"/>
  <c r="C92" i="40"/>
  <c r="C42" i="40"/>
  <c r="C26" i="40"/>
  <c r="C10" i="40"/>
  <c r="D95" i="40"/>
  <c r="D87" i="40"/>
  <c r="D69" i="40"/>
  <c r="D53" i="40"/>
  <c r="D37" i="40"/>
  <c r="C101" i="40"/>
  <c r="C94" i="40"/>
  <c r="C86" i="40"/>
  <c r="C78" i="40"/>
  <c r="C68" i="40"/>
  <c r="C60" i="40"/>
  <c r="C52" i="40"/>
  <c r="C44" i="40"/>
  <c r="C36" i="40"/>
  <c r="C28" i="40"/>
  <c r="C20" i="40"/>
  <c r="C12" i="40"/>
  <c r="C4" i="40"/>
  <c r="D97" i="40"/>
  <c r="D89" i="40"/>
  <c r="D81" i="40"/>
  <c r="D73" i="40"/>
  <c r="D63" i="40"/>
  <c r="D55" i="40"/>
  <c r="D47" i="40"/>
  <c r="D39" i="40"/>
  <c r="D31" i="40"/>
  <c r="D23" i="40"/>
  <c r="D15" i="40"/>
  <c r="D7" i="40"/>
  <c r="B92" i="40"/>
  <c r="B84" i="40"/>
  <c r="B76" i="40"/>
  <c r="B66" i="40"/>
  <c r="B58" i="40"/>
  <c r="B50" i="40"/>
  <c r="B42" i="40"/>
  <c r="B34" i="40"/>
  <c r="B26" i="40"/>
  <c r="B18" i="40"/>
  <c r="B10" i="40"/>
  <c r="C100" i="40"/>
  <c r="C93" i="40"/>
  <c r="C85" i="40"/>
  <c r="C77" i="40"/>
  <c r="C67" i="40"/>
  <c r="C59" i="40"/>
  <c r="C51" i="40"/>
  <c r="C43" i="40"/>
  <c r="C35" i="40"/>
  <c r="C27" i="40"/>
  <c r="C19" i="40"/>
  <c r="C11" i="40"/>
  <c r="C3" i="40"/>
  <c r="D96" i="40"/>
  <c r="D88" i="40"/>
  <c r="D80" i="40"/>
  <c r="D62" i="40"/>
  <c r="D54" i="40"/>
  <c r="D46" i="40"/>
  <c r="D38" i="40"/>
  <c r="D30" i="40"/>
  <c r="D22" i="40"/>
  <c r="D14" i="40"/>
  <c r="D6" i="40"/>
  <c r="B99" i="40"/>
  <c r="B91" i="40"/>
  <c r="B83" i="40"/>
  <c r="B75" i="40"/>
  <c r="B65" i="40"/>
  <c r="B57" i="40"/>
  <c r="B49" i="40"/>
  <c r="B41" i="40"/>
  <c r="B33" i="40"/>
  <c r="B25" i="40"/>
  <c r="B17" i="40"/>
  <c r="B9" i="40"/>
  <c r="C84" i="40"/>
  <c r="C76" i="40"/>
  <c r="C66" i="40"/>
  <c r="C58" i="40"/>
  <c r="C50" i="40"/>
  <c r="C34" i="40"/>
  <c r="C18" i="40"/>
  <c r="D102" i="40"/>
  <c r="D79" i="40"/>
  <c r="D61" i="40"/>
  <c r="C99" i="40"/>
  <c r="C83" i="40"/>
  <c r="C65" i="40"/>
  <c r="C49" i="40"/>
  <c r="C33" i="40"/>
  <c r="C17" i="40"/>
  <c r="D101" i="40"/>
  <c r="D86" i="40"/>
  <c r="D68" i="40"/>
  <c r="D52" i="40"/>
  <c r="D41" i="40"/>
  <c r="D26" i="40"/>
  <c r="D12" i="40"/>
  <c r="B101" i="40"/>
  <c r="B88" i="40"/>
  <c r="B74" i="40"/>
  <c r="B61" i="40"/>
  <c r="B47" i="40"/>
  <c r="B36" i="40"/>
  <c r="B22" i="40"/>
  <c r="B8" i="40"/>
  <c r="C98" i="40"/>
  <c r="C82" i="40"/>
  <c r="C64" i="40"/>
  <c r="C48" i="40"/>
  <c r="C32" i="40"/>
  <c r="C16" i="40"/>
  <c r="D100" i="40"/>
  <c r="D85" i="40"/>
  <c r="D67" i="40"/>
  <c r="D51" i="40"/>
  <c r="D36" i="40"/>
  <c r="D25" i="40"/>
  <c r="D11" i="40"/>
  <c r="B98" i="40"/>
  <c r="B87" i="40"/>
  <c r="B73" i="40"/>
  <c r="B60" i="40"/>
  <c r="B46" i="40"/>
  <c r="B32" i="40"/>
  <c r="B21" i="40"/>
  <c r="B7" i="40"/>
  <c r="C97" i="40"/>
  <c r="C81" i="40"/>
  <c r="C63" i="40"/>
  <c r="C47" i="40"/>
  <c r="C31" i="40"/>
  <c r="C15" i="40"/>
  <c r="D84" i="40"/>
  <c r="D66" i="40"/>
  <c r="D50" i="40"/>
  <c r="D35" i="40"/>
  <c r="D21" i="40"/>
  <c r="D10" i="40"/>
  <c r="B97" i="40"/>
  <c r="B86" i="40"/>
  <c r="B56" i="40"/>
  <c r="B45" i="40"/>
  <c r="B31" i="40"/>
  <c r="B20" i="40"/>
  <c r="B6" i="40"/>
  <c r="C96" i="40"/>
  <c r="C80" i="40"/>
  <c r="C62" i="40"/>
  <c r="C46" i="40"/>
  <c r="C30" i="40"/>
  <c r="C14" i="40"/>
  <c r="D99" i="40"/>
  <c r="D83" i="40"/>
  <c r="D65" i="40"/>
  <c r="D49" i="40"/>
  <c r="D34" i="40"/>
  <c r="D20" i="40"/>
  <c r="D9" i="40"/>
  <c r="B96" i="40"/>
  <c r="B82" i="40"/>
  <c r="B69" i="40"/>
  <c r="B55" i="40"/>
  <c r="B44" i="40"/>
  <c r="B30" i="40"/>
  <c r="B16" i="40"/>
  <c r="B5" i="40"/>
  <c r="C91" i="40"/>
  <c r="B23" i="40"/>
  <c r="B48" i="40"/>
  <c r="B78" i="40"/>
  <c r="B102" i="40"/>
  <c r="D27" i="40"/>
  <c r="D57" i="40"/>
  <c r="D91" i="40"/>
  <c r="C22" i="40"/>
  <c r="C54" i="40"/>
  <c r="C88" i="40"/>
  <c r="B24" i="40"/>
  <c r="B52" i="40"/>
  <c r="B79" i="40"/>
  <c r="D3" i="40"/>
  <c r="D28" i="40"/>
  <c r="D58" i="40"/>
  <c r="D92" i="40"/>
  <c r="C23" i="40"/>
  <c r="C55" i="40"/>
  <c r="C89" i="40"/>
  <c r="F24" i="4" l="1"/>
  <c r="F31" i="4"/>
  <c r="F39" i="3"/>
  <c r="F44" i="3" s="1"/>
  <c r="D21" i="82"/>
  <c r="E105" i="40"/>
  <c r="F105" i="40" s="1"/>
  <c r="E107" i="40"/>
  <c r="F107" i="40" s="1"/>
  <c r="D1" i="40"/>
  <c r="B1" i="40"/>
  <c r="C1" i="40"/>
  <c r="E106" i="40"/>
  <c r="F106" i="40" s="1"/>
  <c r="E104" i="40"/>
  <c r="F104" i="40" s="1"/>
  <c r="E29" i="3" s="1"/>
  <c r="E5" i="40"/>
  <c r="F5" i="40" s="1"/>
  <c r="E86" i="40"/>
  <c r="F86" i="40" s="1"/>
  <c r="E42" i="3" s="1"/>
  <c r="E34" i="4" s="1"/>
  <c r="E103" i="40"/>
  <c r="F103" i="40" s="1"/>
  <c r="E12" i="3" s="1"/>
  <c r="E12" i="4" s="1"/>
  <c r="E76" i="40"/>
  <c r="F76" i="40" s="1"/>
  <c r="E39" i="40"/>
  <c r="F39" i="40" s="1"/>
  <c r="E74" i="40"/>
  <c r="F74" i="40" s="1"/>
  <c r="E84" i="40"/>
  <c r="F84" i="40" s="1"/>
  <c r="E57" i="40"/>
  <c r="F57" i="40" s="1"/>
  <c r="E68" i="40"/>
  <c r="F68" i="40" s="1"/>
  <c r="E79" i="40"/>
  <c r="F79" i="40" s="1"/>
  <c r="E47" i="3" s="1"/>
  <c r="E39" i="4" s="1"/>
  <c r="E94" i="40"/>
  <c r="F94" i="40" s="1"/>
  <c r="E56" i="40"/>
  <c r="F56" i="40" s="1"/>
  <c r="E23" i="40"/>
  <c r="F23" i="40" s="1"/>
  <c r="E55" i="40"/>
  <c r="F55" i="40" s="1"/>
  <c r="E66" i="40"/>
  <c r="F66" i="40" s="1"/>
  <c r="E28" i="40"/>
  <c r="F28" i="40" s="1"/>
  <c r="E65" i="40"/>
  <c r="F65" i="40" s="1"/>
  <c r="E40" i="40"/>
  <c r="F40" i="40" s="1"/>
  <c r="E29" i="40"/>
  <c r="F29" i="40" s="1"/>
  <c r="E95" i="40"/>
  <c r="F95" i="40" s="1"/>
  <c r="E73" i="40"/>
  <c r="F73" i="40" s="1"/>
  <c r="E48" i="3" s="1"/>
  <c r="E40" i="4" s="1"/>
  <c r="E63" i="40"/>
  <c r="F63" i="40" s="1"/>
  <c r="E26" i="40"/>
  <c r="F26" i="40" s="1"/>
  <c r="E4" i="40"/>
  <c r="F4" i="40" s="1"/>
  <c r="E64" i="40"/>
  <c r="F64" i="40" s="1"/>
  <c r="E88" i="40"/>
  <c r="F88" i="40" s="1"/>
  <c r="E38" i="40"/>
  <c r="F38" i="40" s="1"/>
  <c r="E51" i="40"/>
  <c r="F51" i="40" s="1"/>
  <c r="E82" i="40"/>
  <c r="F82" i="40" s="1"/>
  <c r="E48" i="40"/>
  <c r="F48" i="40" s="1"/>
  <c r="E10" i="40"/>
  <c r="F10" i="40" s="1"/>
  <c r="E75" i="40"/>
  <c r="F75" i="40" s="1"/>
  <c r="E7" i="40"/>
  <c r="F7" i="40" s="1"/>
  <c r="E8" i="40"/>
  <c r="F8" i="40" s="1"/>
  <c r="E12" i="40"/>
  <c r="F12" i="40" s="1"/>
  <c r="E18" i="40"/>
  <c r="F18" i="40" s="1"/>
  <c r="E15" i="40"/>
  <c r="F15" i="40" s="1"/>
  <c r="E37" i="40"/>
  <c r="F37" i="40" s="1"/>
  <c r="E59" i="40"/>
  <c r="F59" i="40" s="1"/>
  <c r="E24" i="40"/>
  <c r="F24" i="40" s="1"/>
  <c r="E90" i="40"/>
  <c r="F90" i="40" s="1"/>
  <c r="E53" i="40"/>
  <c r="F53" i="40" s="1"/>
  <c r="E13" i="40"/>
  <c r="F13" i="40" s="1"/>
  <c r="E69" i="40"/>
  <c r="F69" i="40" s="1"/>
  <c r="E3" i="40"/>
  <c r="E96" i="40"/>
  <c r="F96" i="40" s="1"/>
  <c r="E14" i="40"/>
  <c r="F14" i="40" s="1"/>
  <c r="E31" i="40"/>
  <c r="F31" i="40" s="1"/>
  <c r="E87" i="40"/>
  <c r="F87" i="40" s="1"/>
  <c r="E25" i="40"/>
  <c r="F25" i="40" s="1"/>
  <c r="E50" i="40"/>
  <c r="F50" i="40" s="1"/>
  <c r="E52" i="40"/>
  <c r="F52" i="40" s="1"/>
  <c r="E61" i="40"/>
  <c r="F61" i="40" s="1"/>
  <c r="E81" i="40"/>
  <c r="F81" i="40" s="1"/>
  <c r="E92" i="40"/>
  <c r="F92" i="40" s="1"/>
  <c r="E46" i="40"/>
  <c r="F46" i="40" s="1"/>
  <c r="E78" i="40"/>
  <c r="F78" i="40" s="1"/>
  <c r="E27" i="3" s="1"/>
  <c r="E99" i="40"/>
  <c r="F99" i="40" s="1"/>
  <c r="E19" i="3" s="1"/>
  <c r="E52" i="90" s="1"/>
  <c r="E33" i="40"/>
  <c r="F33" i="40" s="1"/>
  <c r="E32" i="40"/>
  <c r="F32" i="40" s="1"/>
  <c r="E83" i="40"/>
  <c r="F83" i="40" s="1"/>
  <c r="E42" i="40"/>
  <c r="F42" i="40" s="1"/>
  <c r="E22" i="40"/>
  <c r="F22" i="40" s="1"/>
  <c r="E54" i="40"/>
  <c r="F54" i="40" s="1"/>
  <c r="E91" i="40"/>
  <c r="F91" i="40" s="1"/>
  <c r="E9" i="40"/>
  <c r="F9" i="40" s="1"/>
  <c r="E45" i="40"/>
  <c r="F45" i="40" s="1"/>
  <c r="E58" i="40"/>
  <c r="F58" i="40" s="1"/>
  <c r="E60" i="40"/>
  <c r="F60" i="40" s="1"/>
  <c r="E16" i="40"/>
  <c r="F16" i="40" s="1"/>
  <c r="E47" i="40"/>
  <c r="F47" i="40" s="1"/>
  <c r="E6" i="40"/>
  <c r="F6" i="40" s="1"/>
  <c r="E30" i="40"/>
  <c r="F30" i="40" s="1"/>
  <c r="E62" i="40"/>
  <c r="F62" i="40" s="1"/>
  <c r="E49" i="40"/>
  <c r="F49" i="40" s="1"/>
  <c r="E89" i="40"/>
  <c r="F89" i="40" s="1"/>
  <c r="E102" i="40"/>
  <c r="F102" i="40" s="1"/>
  <c r="E44" i="40"/>
  <c r="F44" i="40" s="1"/>
  <c r="E80" i="40"/>
  <c r="F80" i="40" s="1"/>
  <c r="E101" i="40"/>
  <c r="F101" i="40" s="1"/>
  <c r="E17" i="40"/>
  <c r="F17" i="40" s="1"/>
  <c r="E34" i="40"/>
  <c r="F34" i="40" s="1"/>
  <c r="E67" i="40"/>
  <c r="F67" i="40" s="1"/>
  <c r="E98" i="40"/>
  <c r="F98" i="40" s="1"/>
  <c r="E33" i="3" s="1"/>
  <c r="E28" i="4" s="1"/>
  <c r="E36" i="40"/>
  <c r="F36" i="40" s="1"/>
  <c r="O32" i="80" s="1"/>
  <c r="E20" i="40"/>
  <c r="F20" i="40" s="1"/>
  <c r="E41" i="40"/>
  <c r="F41" i="40" s="1"/>
  <c r="E21" i="40"/>
  <c r="F21" i="40" s="1"/>
  <c r="E97" i="40"/>
  <c r="F97" i="40" s="1"/>
  <c r="E19" i="40"/>
  <c r="F19" i="40" s="1"/>
  <c r="E11" i="40"/>
  <c r="F11" i="40" s="1"/>
  <c r="E85" i="40"/>
  <c r="F85" i="40" s="1"/>
  <c r="E27" i="40"/>
  <c r="F27" i="40" s="1"/>
  <c r="E93" i="40"/>
  <c r="F93" i="40" s="1"/>
  <c r="E35" i="40"/>
  <c r="F35" i="40" s="1"/>
  <c r="E100" i="40"/>
  <c r="F100" i="40" s="1"/>
  <c r="E77" i="40"/>
  <c r="F77" i="40" s="1"/>
  <c r="E28" i="3" s="1"/>
  <c r="E43" i="40"/>
  <c r="F43" i="40" s="1"/>
  <c r="F32" i="4" l="1"/>
  <c r="F36" i="4"/>
  <c r="E19" i="4"/>
  <c r="F40" i="3"/>
  <c r="C26" i="82"/>
  <c r="D34" i="82"/>
  <c r="F50" i="3"/>
  <c r="C18" i="82"/>
  <c r="F45" i="3"/>
  <c r="O29" i="80"/>
  <c r="O19" i="80"/>
  <c r="O21" i="80"/>
  <c r="O36" i="80"/>
  <c r="O20" i="80"/>
  <c r="O28" i="80"/>
  <c r="O39" i="80"/>
  <c r="O8" i="80"/>
  <c r="O41" i="80"/>
  <c r="E31" i="3"/>
  <c r="E32" i="3"/>
  <c r="E36" i="3"/>
  <c r="E1" i="40"/>
  <c r="F3" i="40"/>
  <c r="E17" i="3"/>
  <c r="E51" i="90" s="1"/>
  <c r="E50" i="90" s="1"/>
  <c r="E7" i="3"/>
  <c r="E73" i="90" s="1"/>
  <c r="E8" i="3"/>
  <c r="E35" i="3"/>
  <c r="E37" i="3"/>
  <c r="E26" i="3"/>
  <c r="B104" i="34"/>
  <c r="G104" i="34" s="1"/>
  <c r="B112" i="34"/>
  <c r="G112" i="34" s="1"/>
  <c r="B107" i="34"/>
  <c r="G107" i="34" s="1"/>
  <c r="B101" i="34"/>
  <c r="G101" i="34" s="1"/>
  <c r="K27" i="82" l="1"/>
  <c r="K34" i="82" s="1"/>
  <c r="K36" i="82" s="1"/>
  <c r="K38" i="82" s="1"/>
  <c r="E76" i="90"/>
  <c r="E26" i="4"/>
  <c r="F37" i="4"/>
  <c r="F42" i="4"/>
  <c r="E59" i="90"/>
  <c r="E60" i="90"/>
  <c r="E61" i="90" s="1"/>
  <c r="E5" i="90"/>
  <c r="E57" i="90"/>
  <c r="E56" i="90"/>
  <c r="E74" i="90"/>
  <c r="J27" i="82"/>
  <c r="J34" i="82" s="1"/>
  <c r="J36" i="82" s="1"/>
  <c r="J38" i="82" s="1"/>
  <c r="E7" i="4"/>
  <c r="E17" i="4"/>
  <c r="E8" i="4"/>
  <c r="D36" i="82"/>
  <c r="D38" i="82" s="1"/>
  <c r="F51" i="3"/>
  <c r="F55" i="3"/>
  <c r="F58" i="3" s="1"/>
  <c r="C35" i="82"/>
  <c r="C15" i="82"/>
  <c r="C16" i="82"/>
  <c r="C14" i="82"/>
  <c r="C24" i="82"/>
  <c r="C27" i="82" s="1"/>
  <c r="C17" i="82"/>
  <c r="O27" i="80"/>
  <c r="O17" i="80"/>
  <c r="F1" i="40"/>
  <c r="O38" i="80"/>
  <c r="E14" i="3"/>
  <c r="E30" i="3"/>
  <c r="E27" i="4" s="1"/>
  <c r="E34" i="3"/>
  <c r="E29" i="4" s="1"/>
  <c r="G59" i="3" l="1"/>
  <c r="G60" i="3" s="1"/>
  <c r="M59" i="3"/>
  <c r="M60" i="3" s="1"/>
  <c r="F47" i="4"/>
  <c r="F48" i="4" s="1"/>
  <c r="F43" i="4"/>
  <c r="E69" i="90"/>
  <c r="E71" i="90" s="1"/>
  <c r="E70" i="90"/>
  <c r="E14" i="4"/>
  <c r="E15" i="4" s="1"/>
  <c r="P9" i="80"/>
  <c r="P7" i="80" s="1"/>
  <c r="F56" i="3"/>
  <c r="D9" i="45"/>
  <c r="C13" i="82"/>
  <c r="O35" i="80"/>
  <c r="E23" i="3"/>
  <c r="E15" i="3"/>
  <c r="D11" i="3"/>
  <c r="D11" i="4" s="1"/>
  <c r="D10" i="3"/>
  <c r="D10" i="4" s="1"/>
  <c r="E23" i="4" l="1"/>
  <c r="O43" i="80"/>
  <c r="P23" i="80"/>
  <c r="E24" i="3"/>
  <c r="E39" i="3"/>
  <c r="K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P5" i="35" s="1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L5" i="35"/>
  <c r="L4" i="35"/>
  <c r="P8" i="35" s="1"/>
  <c r="L3" i="35"/>
  <c r="B122" i="34"/>
  <c r="G122" i="34" s="1"/>
  <c r="B121" i="34"/>
  <c r="G121" i="34" s="1"/>
  <c r="B120" i="34"/>
  <c r="G120" i="34" s="1"/>
  <c r="B119" i="34"/>
  <c r="G119" i="34" s="1"/>
  <c r="B118" i="34"/>
  <c r="G118" i="34" s="1"/>
  <c r="B117" i="34"/>
  <c r="G117" i="34" s="1"/>
  <c r="B116" i="34"/>
  <c r="G116" i="34" s="1"/>
  <c r="B115" i="34"/>
  <c r="G115" i="34" s="1"/>
  <c r="B114" i="34"/>
  <c r="G114" i="34" s="1"/>
  <c r="B113" i="34"/>
  <c r="G113" i="34" s="1"/>
  <c r="B111" i="34"/>
  <c r="G111" i="34" s="1"/>
  <c r="B110" i="34"/>
  <c r="G110" i="34" s="1"/>
  <c r="B109" i="34"/>
  <c r="G109" i="34" s="1"/>
  <c r="B108" i="34"/>
  <c r="G108" i="34" s="1"/>
  <c r="B106" i="34"/>
  <c r="G106" i="34" s="1"/>
  <c r="B105" i="34"/>
  <c r="G105" i="34" s="1"/>
  <c r="B103" i="34"/>
  <c r="B100" i="34"/>
  <c r="G100" i="34" s="1"/>
  <c r="B99" i="34"/>
  <c r="G99" i="34" s="1"/>
  <c r="B98" i="34"/>
  <c r="G98" i="34" s="1"/>
  <c r="B97" i="34"/>
  <c r="B96" i="34"/>
  <c r="G96" i="34" s="1"/>
  <c r="B95" i="34"/>
  <c r="G95" i="34" s="1"/>
  <c r="B94" i="34"/>
  <c r="G94" i="34" s="1"/>
  <c r="B93" i="34"/>
  <c r="G93" i="34" s="1"/>
  <c r="B92" i="34"/>
  <c r="G92" i="34" s="1"/>
  <c r="B91" i="34"/>
  <c r="G91" i="34" s="1"/>
  <c r="B89" i="34"/>
  <c r="G89" i="34" s="1"/>
  <c r="B88" i="34"/>
  <c r="G88" i="34" s="1"/>
  <c r="B87" i="34"/>
  <c r="G87" i="34" s="1"/>
  <c r="B86" i="34"/>
  <c r="G86" i="34" s="1"/>
  <c r="B84" i="34"/>
  <c r="G84" i="34" s="1"/>
  <c r="B83" i="34"/>
  <c r="B81" i="34"/>
  <c r="G81" i="34" s="1"/>
  <c r="B80" i="34"/>
  <c r="G80" i="34" s="1"/>
  <c r="B79" i="34"/>
  <c r="G79" i="34" s="1"/>
  <c r="B78" i="34"/>
  <c r="G78" i="34" s="1"/>
  <c r="B77" i="34"/>
  <c r="G77" i="34" s="1"/>
  <c r="B76" i="34"/>
  <c r="G76" i="34" s="1"/>
  <c r="B75" i="34"/>
  <c r="G75" i="34" s="1"/>
  <c r="B74" i="34"/>
  <c r="G74" i="34" s="1"/>
  <c r="B73" i="34"/>
  <c r="G73" i="34" s="1"/>
  <c r="B72" i="34"/>
  <c r="G72" i="34" s="1"/>
  <c r="B71" i="34"/>
  <c r="G71" i="34" s="1"/>
  <c r="B70" i="34"/>
  <c r="G70" i="34" s="1"/>
  <c r="B69" i="34"/>
  <c r="G69" i="34" s="1"/>
  <c r="B68" i="34"/>
  <c r="G68" i="34" s="1"/>
  <c r="B67" i="34"/>
  <c r="G67" i="34" s="1"/>
  <c r="B65" i="34"/>
  <c r="G65" i="34" s="1"/>
  <c r="B64" i="34"/>
  <c r="G64" i="34" s="1"/>
  <c r="B63" i="34"/>
  <c r="G63" i="34" s="1"/>
  <c r="B62" i="34"/>
  <c r="B60" i="34"/>
  <c r="G60" i="34" s="1"/>
  <c r="B59" i="34"/>
  <c r="G59" i="34" s="1"/>
  <c r="B58" i="34"/>
  <c r="B57" i="34"/>
  <c r="G57" i="34" s="1"/>
  <c r="B56" i="34"/>
  <c r="B54" i="34"/>
  <c r="G54" i="34" s="1"/>
  <c r="B53" i="34"/>
  <c r="G53" i="34" s="1"/>
  <c r="B52" i="34"/>
  <c r="G52" i="34" s="1"/>
  <c r="B50" i="34"/>
  <c r="G50" i="34" s="1"/>
  <c r="B49" i="34"/>
  <c r="G49" i="34" s="1"/>
  <c r="B48" i="34"/>
  <c r="G48" i="34" s="1"/>
  <c r="B47" i="34"/>
  <c r="G47" i="34" s="1"/>
  <c r="B45" i="34"/>
  <c r="G45" i="34" s="1"/>
  <c r="B44" i="34"/>
  <c r="G44" i="34" s="1"/>
  <c r="B43" i="34"/>
  <c r="G43" i="34" s="1"/>
  <c r="B42" i="34"/>
  <c r="G42" i="34" s="1"/>
  <c r="B41" i="34"/>
  <c r="G41" i="34" s="1"/>
  <c r="B40" i="34"/>
  <c r="G40" i="34" s="1"/>
  <c r="B39" i="34"/>
  <c r="G39" i="34" s="1"/>
  <c r="B38" i="34"/>
  <c r="G38" i="34" s="1"/>
  <c r="B37" i="34"/>
  <c r="G37" i="34" s="1"/>
  <c r="B36" i="34"/>
  <c r="G36" i="34" s="1"/>
  <c r="B35" i="34"/>
  <c r="G35" i="34" s="1"/>
  <c r="B34" i="34"/>
  <c r="B32" i="34"/>
  <c r="G32" i="34" s="1"/>
  <c r="B31" i="34"/>
  <c r="G31" i="34" s="1"/>
  <c r="B30" i="34"/>
  <c r="G30" i="34" s="1"/>
  <c r="B29" i="34"/>
  <c r="G29" i="34" s="1"/>
  <c r="B28" i="34"/>
  <c r="G28" i="34" s="1"/>
  <c r="B27" i="34"/>
  <c r="G27" i="34" s="1"/>
  <c r="B26" i="34"/>
  <c r="G26" i="34" s="1"/>
  <c r="B25" i="34"/>
  <c r="G25" i="34" s="1"/>
  <c r="B24" i="34"/>
  <c r="G24" i="34" s="1"/>
  <c r="B23" i="34"/>
  <c r="G23" i="34" s="1"/>
  <c r="B21" i="34"/>
  <c r="G21" i="34" s="1"/>
  <c r="B20" i="34"/>
  <c r="B18" i="34"/>
  <c r="G18" i="34" s="1"/>
  <c r="B17" i="34"/>
  <c r="G17" i="34" s="1"/>
  <c r="B16" i="34"/>
  <c r="G16" i="34" s="1"/>
  <c r="B14" i="34"/>
  <c r="G14" i="34" s="1"/>
  <c r="B13" i="34"/>
  <c r="G13" i="34" s="1"/>
  <c r="B12" i="34"/>
  <c r="G12" i="34" s="1"/>
  <c r="B11" i="34"/>
  <c r="G11" i="34" s="1"/>
  <c r="B10" i="34"/>
  <c r="G10" i="34" s="1"/>
  <c r="B9" i="34"/>
  <c r="G9" i="34" s="1"/>
  <c r="B8" i="34"/>
  <c r="G8" i="34" s="1"/>
  <c r="B7" i="34"/>
  <c r="G7" i="34" s="1"/>
  <c r="B6" i="34"/>
  <c r="B5" i="34"/>
  <c r="G5" i="34" s="1"/>
  <c r="B4" i="34"/>
  <c r="E24" i="4" l="1"/>
  <c r="E31" i="4"/>
  <c r="E40" i="3"/>
  <c r="E44" i="3"/>
  <c r="D101" i="35"/>
  <c r="C101" i="35"/>
  <c r="B101" i="35"/>
  <c r="D100" i="35"/>
  <c r="C100" i="35"/>
  <c r="B100" i="35"/>
  <c r="D99" i="35"/>
  <c r="C99" i="35"/>
  <c r="B99" i="35"/>
  <c r="G4" i="34"/>
  <c r="D98" i="35"/>
  <c r="C98" i="35"/>
  <c r="B98" i="35"/>
  <c r="D97" i="35"/>
  <c r="C97" i="35"/>
  <c r="B97" i="35"/>
  <c r="C95" i="35"/>
  <c r="D4" i="35"/>
  <c r="D7" i="35"/>
  <c r="D10" i="35"/>
  <c r="B14" i="35"/>
  <c r="B17" i="35"/>
  <c r="B20" i="35"/>
  <c r="B23" i="35"/>
  <c r="B26" i="35"/>
  <c r="B29" i="35"/>
  <c r="B33" i="35"/>
  <c r="C36" i="35"/>
  <c r="D39" i="35"/>
  <c r="D43" i="35"/>
  <c r="B47" i="35"/>
  <c r="C50" i="35"/>
  <c r="C54" i="35"/>
  <c r="D57" i="35"/>
  <c r="B61" i="35"/>
  <c r="B65" i="35"/>
  <c r="C68" i="35"/>
  <c r="D71" i="35"/>
  <c r="D75" i="35"/>
  <c r="B79" i="35"/>
  <c r="C82" i="35"/>
  <c r="C86" i="35"/>
  <c r="D89" i="35"/>
  <c r="B93" i="35"/>
  <c r="B5" i="35"/>
  <c r="C14" i="35"/>
  <c r="C26" i="35"/>
  <c r="D40" i="35"/>
  <c r="C51" i="35"/>
  <c r="B62" i="35"/>
  <c r="B76" i="35"/>
  <c r="B94" i="35"/>
  <c r="D8" i="35"/>
  <c r="D20" i="35"/>
  <c r="C30" i="35"/>
  <c r="B41" i="35"/>
  <c r="B55" i="35"/>
  <c r="B69" i="35"/>
  <c r="B87" i="35"/>
  <c r="B12" i="35"/>
  <c r="B24" i="35"/>
  <c r="D30" i="35"/>
  <c r="C41" i="35"/>
  <c r="C55" i="35"/>
  <c r="B66" i="35"/>
  <c r="C91" i="35"/>
  <c r="B8" i="35"/>
  <c r="C11" i="35"/>
  <c r="C17" i="35"/>
  <c r="C20" i="35"/>
  <c r="C23" i="35"/>
  <c r="B30" i="35"/>
  <c r="C33" i="35"/>
  <c r="D36" i="35"/>
  <c r="B44" i="35"/>
  <c r="C47" i="35"/>
  <c r="D54" i="35"/>
  <c r="B58" i="35"/>
  <c r="C65" i="35"/>
  <c r="D68" i="35"/>
  <c r="D72" i="35"/>
  <c r="C79" i="35"/>
  <c r="C83" i="35"/>
  <c r="D86" i="35"/>
  <c r="B90" i="35"/>
  <c r="C5" i="35"/>
  <c r="D11" i="35"/>
  <c r="D14" i="35"/>
  <c r="D17" i="35"/>
  <c r="D23" i="35"/>
  <c r="D26" i="35"/>
  <c r="D33" i="35"/>
  <c r="B37" i="35"/>
  <c r="C44" i="35"/>
  <c r="D47" i="35"/>
  <c r="D51" i="35"/>
  <c r="C58" i="35"/>
  <c r="C62" i="35"/>
  <c r="D65" i="35"/>
  <c r="B73" i="35"/>
  <c r="C76" i="35"/>
  <c r="D79" i="35"/>
  <c r="D83" i="35"/>
  <c r="C90" i="35"/>
  <c r="C94" i="35"/>
  <c r="G6" i="34"/>
  <c r="B6" i="35"/>
  <c r="B9" i="35"/>
  <c r="B15" i="35"/>
  <c r="B18" i="35"/>
  <c r="B21" i="35"/>
  <c r="C27" i="35"/>
  <c r="B34" i="35"/>
  <c r="B38" i="35"/>
  <c r="D44" i="35"/>
  <c r="D48" i="35"/>
  <c r="B52" i="35"/>
  <c r="C59" i="35"/>
  <c r="D62" i="35"/>
  <c r="B70" i="35"/>
  <c r="C73" i="35"/>
  <c r="D76" i="35"/>
  <c r="D80" i="35"/>
  <c r="B84" i="35"/>
  <c r="C87" i="35"/>
  <c r="D94" i="35"/>
  <c r="C3" i="35"/>
  <c r="C6" i="35"/>
  <c r="C9" i="35"/>
  <c r="C12" i="35"/>
  <c r="C15" i="35"/>
  <c r="C18" i="35"/>
  <c r="C21" i="35"/>
  <c r="D24" i="35"/>
  <c r="D27" i="35"/>
  <c r="B31" i="35"/>
  <c r="C34" i="35"/>
  <c r="C38" i="35"/>
  <c r="D41" i="35"/>
  <c r="B45" i="35"/>
  <c r="B49" i="35"/>
  <c r="C52" i="35"/>
  <c r="D55" i="35"/>
  <c r="D59" i="35"/>
  <c r="B63" i="35"/>
  <c r="C66" i="35"/>
  <c r="C70" i="35"/>
  <c r="D73" i="35"/>
  <c r="B77" i="35"/>
  <c r="B81" i="35"/>
  <c r="C84" i="35"/>
  <c r="D87" i="35"/>
  <c r="D91" i="35"/>
  <c r="B95" i="35"/>
  <c r="D3" i="35"/>
  <c r="D6" i="35"/>
  <c r="D9" i="35"/>
  <c r="D12" i="35"/>
  <c r="D15" i="35"/>
  <c r="D18" i="35"/>
  <c r="B22" i="35"/>
  <c r="B25" i="35"/>
  <c r="B28" i="35"/>
  <c r="C31" i="35"/>
  <c r="C35" i="35"/>
  <c r="D38" i="35"/>
  <c r="B42" i="35"/>
  <c r="B46" i="35"/>
  <c r="C49" i="35"/>
  <c r="D52" i="35"/>
  <c r="D56" i="35"/>
  <c r="B60" i="35"/>
  <c r="C63" i="35"/>
  <c r="C67" i="35"/>
  <c r="D70" i="35"/>
  <c r="B74" i="35"/>
  <c r="B78" i="35"/>
  <c r="C81" i="35"/>
  <c r="D84" i="35"/>
  <c r="D88" i="35"/>
  <c r="B92" i="35"/>
  <c r="C96" i="35"/>
  <c r="D93" i="35"/>
  <c r="B91" i="35"/>
  <c r="C88" i="35"/>
  <c r="D85" i="35"/>
  <c r="B83" i="35"/>
  <c r="C80" i="35"/>
  <c r="D77" i="35"/>
  <c r="B75" i="35"/>
  <c r="C72" i="35"/>
  <c r="D69" i="35"/>
  <c r="B67" i="35"/>
  <c r="C64" i="35"/>
  <c r="D61" i="35"/>
  <c r="B59" i="35"/>
  <c r="C56" i="35"/>
  <c r="D53" i="35"/>
  <c r="B51" i="35"/>
  <c r="C48" i="35"/>
  <c r="D45" i="35"/>
  <c r="B43" i="35"/>
  <c r="C40" i="35"/>
  <c r="D37" i="35"/>
  <c r="B35" i="35"/>
  <c r="C32" i="35"/>
  <c r="D29" i="35"/>
  <c r="B27" i="35"/>
  <c r="C24" i="35"/>
  <c r="D21" i="35"/>
  <c r="B19" i="35"/>
  <c r="C16" i="35"/>
  <c r="D13" i="35"/>
  <c r="B11" i="35"/>
  <c r="C8" i="35"/>
  <c r="D5" i="35"/>
  <c r="B3" i="35"/>
  <c r="B96" i="35"/>
  <c r="C93" i="35"/>
  <c r="D90" i="35"/>
  <c r="B88" i="35"/>
  <c r="C85" i="35"/>
  <c r="D82" i="35"/>
  <c r="B80" i="35"/>
  <c r="C77" i="35"/>
  <c r="D74" i="35"/>
  <c r="B72" i="35"/>
  <c r="C69" i="35"/>
  <c r="D66" i="35"/>
  <c r="B64" i="35"/>
  <c r="C61" i="35"/>
  <c r="D58" i="35"/>
  <c r="B56" i="35"/>
  <c r="C53" i="35"/>
  <c r="D50" i="35"/>
  <c r="B48" i="35"/>
  <c r="C45" i="35"/>
  <c r="D42" i="35"/>
  <c r="B40" i="35"/>
  <c r="C37" i="35"/>
  <c r="D34" i="35"/>
  <c r="B32" i="35"/>
  <c r="C29" i="35"/>
  <c r="B4" i="35"/>
  <c r="B7" i="35"/>
  <c r="B10" i="35"/>
  <c r="B13" i="35"/>
  <c r="B16" i="35"/>
  <c r="C19" i="35"/>
  <c r="C22" i="35"/>
  <c r="C25" i="35"/>
  <c r="C28" i="35"/>
  <c r="D31" i="35"/>
  <c r="D35" i="35"/>
  <c r="B39" i="35"/>
  <c r="C42" i="35"/>
  <c r="C46" i="35"/>
  <c r="D49" i="35"/>
  <c r="B53" i="35"/>
  <c r="B57" i="35"/>
  <c r="C60" i="35"/>
  <c r="D63" i="35"/>
  <c r="D67" i="35"/>
  <c r="B71" i="35"/>
  <c r="C74" i="35"/>
  <c r="C78" i="35"/>
  <c r="D81" i="35"/>
  <c r="B85" i="35"/>
  <c r="B89" i="35"/>
  <c r="C92" i="35"/>
  <c r="D95" i="35"/>
  <c r="C4" i="35"/>
  <c r="C7" i="35"/>
  <c r="C10" i="35"/>
  <c r="C13" i="35"/>
  <c r="D16" i="35"/>
  <c r="D19" i="35"/>
  <c r="D22" i="35"/>
  <c r="D25" i="35"/>
  <c r="D28" i="35"/>
  <c r="D32" i="35"/>
  <c r="B36" i="35"/>
  <c r="C39" i="35"/>
  <c r="C43" i="35"/>
  <c r="D46" i="35"/>
  <c r="B50" i="35"/>
  <c r="B54" i="35"/>
  <c r="C57" i="35"/>
  <c r="D60" i="35"/>
  <c r="D64" i="35"/>
  <c r="B68" i="35"/>
  <c r="C71" i="35"/>
  <c r="C75" i="35"/>
  <c r="D78" i="35"/>
  <c r="B82" i="35"/>
  <c r="B86" i="35"/>
  <c r="C89" i="35"/>
  <c r="D92" i="35"/>
  <c r="D96" i="35"/>
  <c r="P6" i="35"/>
  <c r="D20" i="3" s="1"/>
  <c r="D20" i="4" s="1"/>
  <c r="P3" i="35"/>
  <c r="P4" i="35"/>
  <c r="P7" i="35"/>
  <c r="L55" i="35"/>
  <c r="E32" i="4" l="1"/>
  <c r="E36" i="4"/>
  <c r="E45" i="3"/>
  <c r="D18" i="3"/>
  <c r="D18" i="4" s="1"/>
  <c r="E50" i="3"/>
  <c r="D1" i="35"/>
  <c r="C1" i="35"/>
  <c r="B1" i="35"/>
  <c r="E101" i="35"/>
  <c r="F101" i="35" s="1"/>
  <c r="E100" i="35"/>
  <c r="F100" i="35" s="1"/>
  <c r="E27" i="35"/>
  <c r="F27" i="35" s="1"/>
  <c r="E99" i="35"/>
  <c r="F99" i="35" s="1"/>
  <c r="D12" i="3" s="1"/>
  <c r="D12" i="4" s="1"/>
  <c r="E76" i="35"/>
  <c r="F76" i="35" s="1"/>
  <c r="D27" i="3" s="1"/>
  <c r="E97" i="35"/>
  <c r="F97" i="35" s="1"/>
  <c r="D29" i="3" s="1"/>
  <c r="E10" i="35"/>
  <c r="F10" i="35" s="1"/>
  <c r="E53" i="35"/>
  <c r="F53" i="35" s="1"/>
  <c r="E90" i="35"/>
  <c r="F90" i="35" s="1"/>
  <c r="E98" i="35"/>
  <c r="F98" i="35" s="1"/>
  <c r="E55" i="35"/>
  <c r="F55" i="35" s="1"/>
  <c r="E89" i="35"/>
  <c r="F89" i="35" s="1"/>
  <c r="E7" i="35"/>
  <c r="F7" i="35" s="1"/>
  <c r="E3" i="35"/>
  <c r="F3" i="35" s="1"/>
  <c r="E78" i="35"/>
  <c r="F78" i="35" s="1"/>
  <c r="E22" i="35"/>
  <c r="F22" i="35" s="1"/>
  <c r="E63" i="35"/>
  <c r="F63" i="35" s="1"/>
  <c r="E9" i="35"/>
  <c r="F9" i="35" s="1"/>
  <c r="E94" i="35"/>
  <c r="F94" i="35" s="1"/>
  <c r="E58" i="35"/>
  <c r="F58" i="35" s="1"/>
  <c r="E17" i="35"/>
  <c r="F17" i="35" s="1"/>
  <c r="E33" i="35"/>
  <c r="F33" i="35" s="1"/>
  <c r="E66" i="35"/>
  <c r="F66" i="35" s="1"/>
  <c r="E82" i="35"/>
  <c r="F82" i="35" s="1"/>
  <c r="E26" i="35"/>
  <c r="F26" i="35" s="1"/>
  <c r="E60" i="35"/>
  <c r="F60" i="35" s="1"/>
  <c r="E56" i="35"/>
  <c r="F56" i="35" s="1"/>
  <c r="E24" i="35"/>
  <c r="F24" i="35" s="1"/>
  <c r="E67" i="35"/>
  <c r="F67" i="35" s="1"/>
  <c r="E49" i="35"/>
  <c r="F49" i="35" s="1"/>
  <c r="E73" i="35"/>
  <c r="F73" i="35" s="1"/>
  <c r="E86" i="35"/>
  <c r="F86" i="35" s="1"/>
  <c r="E57" i="35"/>
  <c r="F57" i="35" s="1"/>
  <c r="E28" i="35"/>
  <c r="F28" i="35" s="1"/>
  <c r="E4" i="35"/>
  <c r="F4" i="35" s="1"/>
  <c r="E71" i="35"/>
  <c r="F71" i="35" s="1"/>
  <c r="E42" i="35"/>
  <c r="F42" i="35" s="1"/>
  <c r="E16" i="35"/>
  <c r="F16" i="35" s="1"/>
  <c r="E37" i="35"/>
  <c r="F37" i="35" s="1"/>
  <c r="N32" i="80" s="1"/>
  <c r="E80" i="35"/>
  <c r="F80" i="35" s="1"/>
  <c r="E5" i="35"/>
  <c r="F5" i="35" s="1"/>
  <c r="E48" i="35"/>
  <c r="F48" i="35" s="1"/>
  <c r="E18" i="35"/>
  <c r="F18" i="35" s="1"/>
  <c r="E87" i="35"/>
  <c r="F87" i="35" s="1"/>
  <c r="E59" i="35"/>
  <c r="F59" i="35" s="1"/>
  <c r="E31" i="35"/>
  <c r="F31" i="35" s="1"/>
  <c r="E6" i="35"/>
  <c r="F6" i="35" s="1"/>
  <c r="E70" i="35"/>
  <c r="F70" i="35" s="1"/>
  <c r="D48" i="3" s="1"/>
  <c r="D40" i="4" s="1"/>
  <c r="E14" i="35"/>
  <c r="F14" i="35" s="1"/>
  <c r="E30" i="35"/>
  <c r="F30" i="35" s="1"/>
  <c r="E41" i="35"/>
  <c r="F41" i="35" s="1"/>
  <c r="E79" i="35"/>
  <c r="F79" i="35" s="1"/>
  <c r="E23" i="35"/>
  <c r="F23" i="35" s="1"/>
  <c r="E32" i="35"/>
  <c r="F32" i="35" s="1"/>
  <c r="E77" i="35"/>
  <c r="F77" i="35" s="1"/>
  <c r="D47" i="3" s="1"/>
  <c r="D39" i="4" s="1"/>
  <c r="E45" i="35"/>
  <c r="F45" i="35" s="1"/>
  <c r="E25" i="35"/>
  <c r="F25" i="35" s="1"/>
  <c r="E95" i="35"/>
  <c r="F95" i="35" s="1"/>
  <c r="E8" i="35"/>
  <c r="F8" i="35" s="1"/>
  <c r="E93" i="35"/>
  <c r="F93" i="35" s="1"/>
  <c r="D19" i="3" s="1"/>
  <c r="D52" i="90" s="1"/>
  <c r="E15" i="35"/>
  <c r="F15" i="35" s="1"/>
  <c r="E62" i="35"/>
  <c r="F62" i="35" s="1"/>
  <c r="E11" i="35"/>
  <c r="F11" i="35" s="1"/>
  <c r="E20" i="35"/>
  <c r="F20" i="35" s="1"/>
  <c r="E43" i="35"/>
  <c r="F43" i="35" s="1"/>
  <c r="E36" i="35"/>
  <c r="F36" i="35" s="1"/>
  <c r="E12" i="35"/>
  <c r="F12" i="35" s="1"/>
  <c r="E44" i="35"/>
  <c r="F44" i="35" s="1"/>
  <c r="E47" i="35"/>
  <c r="F47" i="35" s="1"/>
  <c r="E35" i="35"/>
  <c r="F35" i="35" s="1"/>
  <c r="E85" i="35"/>
  <c r="F85" i="35" s="1"/>
  <c r="E40" i="35"/>
  <c r="F40" i="35" s="1"/>
  <c r="E21" i="35"/>
  <c r="F21" i="35" s="1"/>
  <c r="E83" i="35"/>
  <c r="F83" i="35" s="1"/>
  <c r="E39" i="35"/>
  <c r="F39" i="35" s="1"/>
  <c r="E13" i="35"/>
  <c r="F13" i="35" s="1"/>
  <c r="E64" i="35"/>
  <c r="F64" i="35" s="1"/>
  <c r="E75" i="35"/>
  <c r="F75" i="35" s="1"/>
  <c r="E81" i="35"/>
  <c r="F81" i="35" s="1"/>
  <c r="D42" i="3" s="1"/>
  <c r="D34" i="4" s="1"/>
  <c r="E52" i="35"/>
  <c r="F52" i="35" s="1"/>
  <c r="E92" i="35"/>
  <c r="F92" i="35" s="1"/>
  <c r="D33" i="3" s="1"/>
  <c r="D28" i="4" s="1"/>
  <c r="E69" i="35"/>
  <c r="F69" i="35" s="1"/>
  <c r="E84" i="35"/>
  <c r="F84" i="35" s="1"/>
  <c r="E65" i="35"/>
  <c r="F65" i="35" s="1"/>
  <c r="E61" i="35"/>
  <c r="F61" i="35" s="1"/>
  <c r="E68" i="35"/>
  <c r="F68" i="35" s="1"/>
  <c r="E91" i="35"/>
  <c r="F91" i="35" s="1"/>
  <c r="E46" i="35"/>
  <c r="F46" i="35" s="1"/>
  <c r="E54" i="35"/>
  <c r="F54" i="35" s="1"/>
  <c r="E72" i="35"/>
  <c r="F72" i="35" s="1"/>
  <c r="E88" i="35"/>
  <c r="F88" i="35" s="1"/>
  <c r="E29" i="35"/>
  <c r="F29" i="35" s="1"/>
  <c r="E34" i="35"/>
  <c r="F34" i="35" s="1"/>
  <c r="E74" i="35"/>
  <c r="F74" i="35" s="1"/>
  <c r="D28" i="3" s="1"/>
  <c r="E51" i="35"/>
  <c r="F51" i="35" s="1"/>
  <c r="E50" i="35"/>
  <c r="F50" i="35" s="1"/>
  <c r="E19" i="35"/>
  <c r="F19" i="35" s="1"/>
  <c r="E96" i="35"/>
  <c r="F96" i="35" s="1"/>
  <c r="E38" i="35"/>
  <c r="P9" i="35"/>
  <c r="E37" i="4" l="1"/>
  <c r="E42" i="4"/>
  <c r="D19" i="4"/>
  <c r="N21" i="80"/>
  <c r="E51" i="3"/>
  <c r="N36" i="80"/>
  <c r="N29" i="80"/>
  <c r="N19" i="80"/>
  <c r="N20" i="80"/>
  <c r="N28" i="80"/>
  <c r="N39" i="80"/>
  <c r="N38" i="80"/>
  <c r="N8" i="80"/>
  <c r="D8" i="3"/>
  <c r="D31" i="3"/>
  <c r="D32" i="3"/>
  <c r="E55" i="3"/>
  <c r="E58" i="3" s="1"/>
  <c r="F38" i="35"/>
  <c r="F1" i="35" s="1"/>
  <c r="E1" i="35"/>
  <c r="D7" i="3"/>
  <c r="D73" i="90" s="1"/>
  <c r="D17" i="3"/>
  <c r="D51" i="90" s="1"/>
  <c r="D50" i="90" s="1"/>
  <c r="D37" i="3"/>
  <c r="D36" i="3"/>
  <c r="D35" i="3"/>
  <c r="B37" i="30"/>
  <c r="G37" i="30" s="1"/>
  <c r="E47" i="4" l="1"/>
  <c r="E48" i="4" s="1"/>
  <c r="E43" i="4"/>
  <c r="D59" i="90"/>
  <c r="D60" i="90"/>
  <c r="D61" i="90" s="1"/>
  <c r="D74" i="90"/>
  <c r="D5" i="90"/>
  <c r="D56" i="90"/>
  <c r="D57" i="90"/>
  <c r="D17" i="4"/>
  <c r="D7" i="4"/>
  <c r="D8" i="4"/>
  <c r="O9" i="80"/>
  <c r="N27" i="80"/>
  <c r="N17" i="80"/>
  <c r="N41" i="80"/>
  <c r="C10" i="82"/>
  <c r="D14" i="3"/>
  <c r="D30" i="3"/>
  <c r="D27" i="4" s="1"/>
  <c r="E56" i="3"/>
  <c r="D34" i="3"/>
  <c r="D29" i="4" s="1"/>
  <c r="D26" i="3"/>
  <c r="B50" i="30"/>
  <c r="G50" i="30" s="1"/>
  <c r="D76" i="90" l="1"/>
  <c r="D26" i="4"/>
  <c r="D69" i="90"/>
  <c r="D71" i="90" s="1"/>
  <c r="D70" i="90"/>
  <c r="D14" i="4"/>
  <c r="D15" i="4" s="1"/>
  <c r="C19" i="82"/>
  <c r="N35" i="80"/>
  <c r="O7" i="80"/>
  <c r="D23" i="3"/>
  <c r="D15" i="3"/>
  <c r="B109" i="30"/>
  <c r="G109" i="30" s="1"/>
  <c r="B121" i="30"/>
  <c r="G121" i="30" s="1"/>
  <c r="B104" i="30"/>
  <c r="G104" i="30" s="1"/>
  <c r="B24" i="30"/>
  <c r="G24" i="30" s="1"/>
  <c r="B23" i="30"/>
  <c r="G23" i="30" s="1"/>
  <c r="B14" i="30"/>
  <c r="G14" i="30" s="1"/>
  <c r="B13" i="30"/>
  <c r="G13" i="30" s="1"/>
  <c r="D23" i="4" l="1"/>
  <c r="C21" i="82"/>
  <c r="N43" i="80"/>
  <c r="O23" i="80"/>
  <c r="D39" i="3"/>
  <c r="D24" i="3"/>
  <c r="D24" i="4" l="1"/>
  <c r="D31" i="4"/>
  <c r="C34" i="82"/>
  <c r="D40" i="3"/>
  <c r="D44" i="3"/>
  <c r="D32" i="4" l="1"/>
  <c r="D36" i="4"/>
  <c r="C36" i="82"/>
  <c r="D45" i="3"/>
  <c r="D50" i="3"/>
  <c r="C10" i="3"/>
  <c r="C10" i="4" s="1"/>
  <c r="C11" i="3"/>
  <c r="C11" i="4" s="1"/>
  <c r="D37" i="4" l="1"/>
  <c r="D42" i="4"/>
  <c r="C38" i="82"/>
  <c r="D51" i="3"/>
  <c r="D55" i="3"/>
  <c r="D58" i="3" s="1"/>
  <c r="B123" i="30"/>
  <c r="G123" i="30" s="1"/>
  <c r="B122" i="30"/>
  <c r="G122" i="30" s="1"/>
  <c r="B120" i="30"/>
  <c r="G120" i="30" s="1"/>
  <c r="B119" i="30"/>
  <c r="G119" i="30" s="1"/>
  <c r="B118" i="30"/>
  <c r="G118" i="30" s="1"/>
  <c r="B117" i="30"/>
  <c r="G117" i="30" s="1"/>
  <c r="B116" i="30"/>
  <c r="G116" i="30" s="1"/>
  <c r="B115" i="30"/>
  <c r="G115" i="30" s="1"/>
  <c r="B114" i="30"/>
  <c r="G114" i="30" s="1"/>
  <c r="B113" i="30"/>
  <c r="G113" i="30" s="1"/>
  <c r="B112" i="30"/>
  <c r="G112" i="30" s="1"/>
  <c r="B111" i="30"/>
  <c r="G111" i="30" s="1"/>
  <c r="B110" i="30"/>
  <c r="G110" i="30" s="1"/>
  <c r="B108" i="30"/>
  <c r="G108" i="30" s="1"/>
  <c r="F59" i="3" l="1"/>
  <c r="F60" i="3" s="1"/>
  <c r="D47" i="4"/>
  <c r="D48" i="4" s="1"/>
  <c r="D43" i="4"/>
  <c r="N9" i="80"/>
  <c r="D56" i="3"/>
  <c r="L44" i="31"/>
  <c r="M43" i="31"/>
  <c r="M42" i="31"/>
  <c r="M41" i="31"/>
  <c r="M40" i="31"/>
  <c r="M39" i="31"/>
  <c r="M38" i="31"/>
  <c r="M37" i="31"/>
  <c r="M36" i="31"/>
  <c r="M35" i="31"/>
  <c r="M34" i="31"/>
  <c r="M33" i="31"/>
  <c r="M32" i="31"/>
  <c r="M31" i="31"/>
  <c r="M30" i="31"/>
  <c r="M29" i="31"/>
  <c r="R8" i="31" s="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R5" i="31" s="1"/>
  <c r="M10" i="31"/>
  <c r="M9" i="31"/>
  <c r="M8" i="31"/>
  <c r="M7" i="31"/>
  <c r="M6" i="31"/>
  <c r="M5" i="31"/>
  <c r="M4" i="31"/>
  <c r="M3" i="31"/>
  <c r="B107" i="30"/>
  <c r="B106" i="30"/>
  <c r="B103" i="30"/>
  <c r="G103" i="30" s="1"/>
  <c r="B102" i="30"/>
  <c r="G102" i="30" s="1"/>
  <c r="B101" i="30"/>
  <c r="G101" i="30" s="1"/>
  <c r="B100" i="30"/>
  <c r="B99" i="30"/>
  <c r="G99" i="30" s="1"/>
  <c r="B98" i="30"/>
  <c r="G98" i="30" s="1"/>
  <c r="B97" i="30"/>
  <c r="G97" i="30" s="1"/>
  <c r="B96" i="30"/>
  <c r="G96" i="30" s="1"/>
  <c r="B95" i="30"/>
  <c r="G95" i="30" s="1"/>
  <c r="B94" i="30"/>
  <c r="G94" i="30" s="1"/>
  <c r="B92" i="30"/>
  <c r="G92" i="30" s="1"/>
  <c r="B91" i="30"/>
  <c r="G91" i="30" s="1"/>
  <c r="B90" i="30"/>
  <c r="G90" i="30" s="1"/>
  <c r="B89" i="30"/>
  <c r="G89" i="30" s="1"/>
  <c r="B87" i="30"/>
  <c r="G87" i="30" s="1"/>
  <c r="B86" i="30"/>
  <c r="B84" i="30"/>
  <c r="G84" i="30" s="1"/>
  <c r="B83" i="30"/>
  <c r="G83" i="30" s="1"/>
  <c r="B82" i="30"/>
  <c r="G82" i="30" s="1"/>
  <c r="B81" i="30"/>
  <c r="G81" i="30" s="1"/>
  <c r="B80" i="30"/>
  <c r="G80" i="30" s="1"/>
  <c r="B79" i="30"/>
  <c r="G79" i="30" s="1"/>
  <c r="B78" i="30"/>
  <c r="G78" i="30" s="1"/>
  <c r="B77" i="30"/>
  <c r="G77" i="30" s="1"/>
  <c r="B76" i="30"/>
  <c r="G76" i="30" s="1"/>
  <c r="B75" i="30"/>
  <c r="G75" i="30" s="1"/>
  <c r="B74" i="30"/>
  <c r="G74" i="30" s="1"/>
  <c r="B73" i="30"/>
  <c r="G73" i="30" s="1"/>
  <c r="B72" i="30"/>
  <c r="G72" i="30" s="1"/>
  <c r="B71" i="30"/>
  <c r="G71" i="30" s="1"/>
  <c r="B70" i="30"/>
  <c r="G70" i="30" s="1"/>
  <c r="B68" i="30"/>
  <c r="G68" i="30" s="1"/>
  <c r="B67" i="30"/>
  <c r="G67" i="30" s="1"/>
  <c r="B66" i="30"/>
  <c r="G66" i="30" s="1"/>
  <c r="B65" i="30"/>
  <c r="G65" i="30" s="1"/>
  <c r="B64" i="30"/>
  <c r="G64" i="30" s="1"/>
  <c r="B63" i="30"/>
  <c r="B61" i="30"/>
  <c r="G61" i="30" s="1"/>
  <c r="B60" i="30"/>
  <c r="G60" i="30" s="1"/>
  <c r="B58" i="30"/>
  <c r="G58" i="30" s="1"/>
  <c r="B57" i="30"/>
  <c r="G57" i="30" s="1"/>
  <c r="B56" i="30"/>
  <c r="B54" i="30"/>
  <c r="G54" i="30" s="1"/>
  <c r="B53" i="30"/>
  <c r="G53" i="30" s="1"/>
  <c r="B52" i="30"/>
  <c r="G52" i="30" s="1"/>
  <c r="B51" i="30"/>
  <c r="B49" i="30"/>
  <c r="G49" i="30" s="1"/>
  <c r="B48" i="30"/>
  <c r="G48" i="30" s="1"/>
  <c r="B47" i="30"/>
  <c r="G47" i="30" s="1"/>
  <c r="B45" i="30"/>
  <c r="G45" i="30" s="1"/>
  <c r="B44" i="30"/>
  <c r="G44" i="30" s="1"/>
  <c r="B43" i="30"/>
  <c r="G43" i="30" s="1"/>
  <c r="B42" i="30"/>
  <c r="G42" i="30" s="1"/>
  <c r="B41" i="30"/>
  <c r="G41" i="30" s="1"/>
  <c r="B40" i="30"/>
  <c r="G40" i="30" s="1"/>
  <c r="B39" i="30"/>
  <c r="G39" i="30" s="1"/>
  <c r="B38" i="30"/>
  <c r="G38" i="30" s="1"/>
  <c r="B36" i="30"/>
  <c r="G36" i="30" s="1"/>
  <c r="B35" i="30"/>
  <c r="G35" i="30" s="1"/>
  <c r="B34" i="30"/>
  <c r="G34" i="30" s="1"/>
  <c r="B33" i="30"/>
  <c r="B31" i="30"/>
  <c r="G31" i="30" s="1"/>
  <c r="B30" i="30"/>
  <c r="G30" i="30" s="1"/>
  <c r="B29" i="30"/>
  <c r="G29" i="30" s="1"/>
  <c r="B28" i="30"/>
  <c r="G28" i="30" s="1"/>
  <c r="B27" i="30"/>
  <c r="G27" i="30" s="1"/>
  <c r="B26" i="30"/>
  <c r="G26" i="30" s="1"/>
  <c r="B25" i="30"/>
  <c r="G25" i="30" s="1"/>
  <c r="B21" i="30"/>
  <c r="G21" i="30" s="1"/>
  <c r="B20" i="30"/>
  <c r="B18" i="30"/>
  <c r="G18" i="30" s="1"/>
  <c r="B17" i="30"/>
  <c r="G17" i="30" s="1"/>
  <c r="B16" i="30"/>
  <c r="G16" i="30" s="1"/>
  <c r="B12" i="30"/>
  <c r="G12" i="30" s="1"/>
  <c r="B11" i="30"/>
  <c r="G11" i="30" s="1"/>
  <c r="B10" i="30"/>
  <c r="G10" i="30" s="1"/>
  <c r="B9" i="30"/>
  <c r="G9" i="30" s="1"/>
  <c r="B8" i="30"/>
  <c r="G8" i="30" s="1"/>
  <c r="B7" i="30"/>
  <c r="G7" i="30" s="1"/>
  <c r="B6" i="30"/>
  <c r="G6" i="30" s="1"/>
  <c r="B5" i="30"/>
  <c r="B4" i="30"/>
  <c r="N7" i="80" l="1"/>
  <c r="C13" i="31"/>
  <c r="B101" i="31"/>
  <c r="D101" i="31"/>
  <c r="C101" i="31"/>
  <c r="D100" i="31"/>
  <c r="C100" i="31"/>
  <c r="B100" i="31"/>
  <c r="D98" i="31"/>
  <c r="C99" i="31"/>
  <c r="B98" i="31"/>
  <c r="B99" i="31"/>
  <c r="D99" i="31"/>
  <c r="C98" i="31"/>
  <c r="C97" i="31"/>
  <c r="B97" i="31"/>
  <c r="D97" i="31"/>
  <c r="G5" i="30"/>
  <c r="D96" i="31"/>
  <c r="C96" i="31"/>
  <c r="B96" i="31"/>
  <c r="D95" i="31"/>
  <c r="C95" i="31"/>
  <c r="B95" i="31"/>
  <c r="D94" i="31"/>
  <c r="C94" i="31"/>
  <c r="B94" i="31"/>
  <c r="D93" i="31"/>
  <c r="C93" i="31"/>
  <c r="B93" i="31"/>
  <c r="G4" i="30"/>
  <c r="D85" i="31"/>
  <c r="D77" i="31"/>
  <c r="D69" i="31"/>
  <c r="D61" i="31"/>
  <c r="D53" i="31"/>
  <c r="D45" i="31"/>
  <c r="D37" i="31"/>
  <c r="D29" i="31"/>
  <c r="D21" i="31"/>
  <c r="D13" i="31"/>
  <c r="D5" i="31"/>
  <c r="D92" i="31"/>
  <c r="D84" i="31"/>
  <c r="D76" i="31"/>
  <c r="D68" i="31"/>
  <c r="D60" i="31"/>
  <c r="D52" i="31"/>
  <c r="D44" i="31"/>
  <c r="D36" i="31"/>
  <c r="D28" i="31"/>
  <c r="D20" i="31"/>
  <c r="D12" i="31"/>
  <c r="D4" i="31"/>
  <c r="D91" i="31"/>
  <c r="D83" i="31"/>
  <c r="D75" i="31"/>
  <c r="D67" i="31"/>
  <c r="D59" i="31"/>
  <c r="D51" i="31"/>
  <c r="D43" i="31"/>
  <c r="D35" i="31"/>
  <c r="D27" i="31"/>
  <c r="D19" i="31"/>
  <c r="D11" i="31"/>
  <c r="C92" i="31"/>
  <c r="D90" i="31"/>
  <c r="D82" i="31"/>
  <c r="D74" i="31"/>
  <c r="D66" i="31"/>
  <c r="D58" i="31"/>
  <c r="D50" i="31"/>
  <c r="D42" i="31"/>
  <c r="D34" i="31"/>
  <c r="D26" i="31"/>
  <c r="D18" i="31"/>
  <c r="D10" i="31"/>
  <c r="B92" i="31"/>
  <c r="D89" i="31"/>
  <c r="D81" i="31"/>
  <c r="D73" i="31"/>
  <c r="D65" i="31"/>
  <c r="D57" i="31"/>
  <c r="D49" i="31"/>
  <c r="D41" i="31"/>
  <c r="D33" i="31"/>
  <c r="D25" i="31"/>
  <c r="D17" i="31"/>
  <c r="D9" i="31"/>
  <c r="C91" i="31"/>
  <c r="D88" i="31"/>
  <c r="D80" i="31"/>
  <c r="D72" i="31"/>
  <c r="D64" i="31"/>
  <c r="D56" i="31"/>
  <c r="D48" i="31"/>
  <c r="D40" i="31"/>
  <c r="D32" i="31"/>
  <c r="D24" i="31"/>
  <c r="D16" i="31"/>
  <c r="D8" i="31"/>
  <c r="B91" i="31"/>
  <c r="D87" i="31"/>
  <c r="D79" i="31"/>
  <c r="D71" i="31"/>
  <c r="D63" i="31"/>
  <c r="D55" i="31"/>
  <c r="D47" i="31"/>
  <c r="D39" i="31"/>
  <c r="D31" i="31"/>
  <c r="D23" i="31"/>
  <c r="D15" i="31"/>
  <c r="D7" i="31"/>
  <c r="C90" i="31"/>
  <c r="D86" i="31"/>
  <c r="D78" i="31"/>
  <c r="D70" i="31"/>
  <c r="D62" i="31"/>
  <c r="D54" i="31"/>
  <c r="D46" i="31"/>
  <c r="D38" i="31"/>
  <c r="D30" i="31"/>
  <c r="D22" i="31"/>
  <c r="D14" i="31"/>
  <c r="D6" i="31"/>
  <c r="B90" i="31"/>
  <c r="B31" i="31"/>
  <c r="B5" i="31"/>
  <c r="B43" i="31"/>
  <c r="B55" i="31"/>
  <c r="B67" i="31"/>
  <c r="B7" i="31"/>
  <c r="B19" i="31"/>
  <c r="C28" i="31"/>
  <c r="B8" i="31"/>
  <c r="B20" i="31"/>
  <c r="B32" i="31"/>
  <c r="B44" i="31"/>
  <c r="B56" i="31"/>
  <c r="B68" i="31"/>
  <c r="B80" i="31"/>
  <c r="C5" i="31"/>
  <c r="C17" i="31"/>
  <c r="C29" i="31"/>
  <c r="C41" i="31"/>
  <c r="C53" i="31"/>
  <c r="C65" i="31"/>
  <c r="C77" i="31"/>
  <c r="C89" i="31"/>
  <c r="B9" i="31"/>
  <c r="B21" i="31"/>
  <c r="B33" i="31"/>
  <c r="B45" i="31"/>
  <c r="B57" i="31"/>
  <c r="B69" i="31"/>
  <c r="B81" i="31"/>
  <c r="C6" i="31"/>
  <c r="C18" i="31"/>
  <c r="C30" i="31"/>
  <c r="C42" i="31"/>
  <c r="C54" i="31"/>
  <c r="C66" i="31"/>
  <c r="C78" i="31"/>
  <c r="D3" i="31"/>
  <c r="B22" i="31"/>
  <c r="B34" i="31"/>
  <c r="B46" i="31"/>
  <c r="B58" i="31"/>
  <c r="B70" i="31"/>
  <c r="B82" i="31"/>
  <c r="C7" i="31"/>
  <c r="C19" i="31"/>
  <c r="C31" i="31"/>
  <c r="C43" i="31"/>
  <c r="C55" i="31"/>
  <c r="C67" i="31"/>
  <c r="C79" i="31"/>
  <c r="C40" i="31"/>
  <c r="B11" i="31"/>
  <c r="B23" i="31"/>
  <c r="B35" i="31"/>
  <c r="B47" i="31"/>
  <c r="B59" i="31"/>
  <c r="B71" i="31"/>
  <c r="B83" i="31"/>
  <c r="C8" i="31"/>
  <c r="C20" i="31"/>
  <c r="C32" i="31"/>
  <c r="C44" i="31"/>
  <c r="C56" i="31"/>
  <c r="C68" i="31"/>
  <c r="C80" i="31"/>
  <c r="B79" i="31"/>
  <c r="B12" i="31"/>
  <c r="B24" i="31"/>
  <c r="B36" i="31"/>
  <c r="B48" i="31"/>
  <c r="B60" i="31"/>
  <c r="B72" i="31"/>
  <c r="B84" i="31"/>
  <c r="C9" i="31"/>
  <c r="C21" i="31"/>
  <c r="C33" i="31"/>
  <c r="C45" i="31"/>
  <c r="C57" i="31"/>
  <c r="C69" i="31"/>
  <c r="C81" i="31"/>
  <c r="C76" i="31"/>
  <c r="B10" i="31"/>
  <c r="B13" i="31"/>
  <c r="B25" i="31"/>
  <c r="B37" i="31"/>
  <c r="B49" i="31"/>
  <c r="B61" i="31"/>
  <c r="B73" i="31"/>
  <c r="B85" i="31"/>
  <c r="C10" i="31"/>
  <c r="C22" i="31"/>
  <c r="C34" i="31"/>
  <c r="C46" i="31"/>
  <c r="C58" i="31"/>
  <c r="C70" i="31"/>
  <c r="C82" i="31"/>
  <c r="C16" i="31"/>
  <c r="B14" i="31"/>
  <c r="B26" i="31"/>
  <c r="B38" i="31"/>
  <c r="B50" i="31"/>
  <c r="B62" i="31"/>
  <c r="B74" i="31"/>
  <c r="B86" i="31"/>
  <c r="C11" i="31"/>
  <c r="C23" i="31"/>
  <c r="C35" i="31"/>
  <c r="C47" i="31"/>
  <c r="C59" i="31"/>
  <c r="C71" i="31"/>
  <c r="C83" i="31"/>
  <c r="C52" i="31"/>
  <c r="B3" i="31"/>
  <c r="B15" i="31"/>
  <c r="B27" i="31"/>
  <c r="B39" i="31"/>
  <c r="B51" i="31"/>
  <c r="B63" i="31"/>
  <c r="B75" i="31"/>
  <c r="B87" i="31"/>
  <c r="C12" i="31"/>
  <c r="C24" i="31"/>
  <c r="C36" i="31"/>
  <c r="C48" i="31"/>
  <c r="C60" i="31"/>
  <c r="C72" i="31"/>
  <c r="C84" i="31"/>
  <c r="G107" i="30"/>
  <c r="C4" i="31"/>
  <c r="B4" i="31"/>
  <c r="B16" i="31"/>
  <c r="B28" i="31"/>
  <c r="B40" i="31"/>
  <c r="B52" i="31"/>
  <c r="B64" i="31"/>
  <c r="B76" i="31"/>
  <c r="B88" i="31"/>
  <c r="C25" i="31"/>
  <c r="C37" i="31"/>
  <c r="C49" i="31"/>
  <c r="C61" i="31"/>
  <c r="C73" i="31"/>
  <c r="C85" i="31"/>
  <c r="C88" i="31"/>
  <c r="B17" i="31"/>
  <c r="B29" i="31"/>
  <c r="B41" i="31"/>
  <c r="B53" i="31"/>
  <c r="B65" i="31"/>
  <c r="B77" i="31"/>
  <c r="B89" i="31"/>
  <c r="C14" i="31"/>
  <c r="C26" i="31"/>
  <c r="C38" i="31"/>
  <c r="C50" i="31"/>
  <c r="C62" i="31"/>
  <c r="C74" i="31"/>
  <c r="C86" i="31"/>
  <c r="C64" i="31"/>
  <c r="B6" i="31"/>
  <c r="B18" i="31"/>
  <c r="B30" i="31"/>
  <c r="B42" i="31"/>
  <c r="B54" i="31"/>
  <c r="B66" i="31"/>
  <c r="B78" i="31"/>
  <c r="C3" i="31"/>
  <c r="C15" i="31"/>
  <c r="C27" i="31"/>
  <c r="C39" i="31"/>
  <c r="C51" i="31"/>
  <c r="C63" i="31"/>
  <c r="C75" i="31"/>
  <c r="C87" i="31"/>
  <c r="R7" i="31"/>
  <c r="R6" i="31"/>
  <c r="C20" i="3" s="1"/>
  <c r="C20" i="4" s="1"/>
  <c r="R4" i="31"/>
  <c r="R3" i="31"/>
  <c r="M44" i="31"/>
  <c r="N23" i="80" l="1"/>
  <c r="C18" i="3"/>
  <c r="C18" i="4" s="1"/>
  <c r="E101" i="31"/>
  <c r="F101" i="31" s="1"/>
  <c r="E100" i="31"/>
  <c r="F100" i="31" s="1"/>
  <c r="E98" i="31"/>
  <c r="F98" i="31" s="1"/>
  <c r="C29" i="3" s="1"/>
  <c r="E99" i="31"/>
  <c r="F99" i="31" s="1"/>
  <c r="D1" i="31"/>
  <c r="B1" i="31"/>
  <c r="C1" i="31"/>
  <c r="E29" i="31"/>
  <c r="F29" i="31" s="1"/>
  <c r="E97" i="31"/>
  <c r="F97" i="31" s="1"/>
  <c r="E95" i="31"/>
  <c r="F95" i="31" s="1"/>
  <c r="E91" i="31"/>
  <c r="F91" i="31" s="1"/>
  <c r="C12" i="3" s="1"/>
  <c r="C12" i="4" s="1"/>
  <c r="E96" i="31"/>
  <c r="F96" i="31" s="1"/>
  <c r="E93" i="31"/>
  <c r="F93" i="31" s="1"/>
  <c r="E92" i="31"/>
  <c r="F92" i="31" s="1"/>
  <c r="C8" i="3" s="1"/>
  <c r="E94" i="31"/>
  <c r="F94" i="31" s="1"/>
  <c r="E54" i="31"/>
  <c r="F54" i="31" s="1"/>
  <c r="E90" i="31"/>
  <c r="F90" i="31" s="1"/>
  <c r="E19" i="31"/>
  <c r="F19" i="31" s="1"/>
  <c r="E20" i="31"/>
  <c r="F20" i="31" s="1"/>
  <c r="E39" i="31"/>
  <c r="F39" i="31" s="1"/>
  <c r="E55" i="31"/>
  <c r="F55" i="31" s="1"/>
  <c r="E76" i="31"/>
  <c r="F76" i="31" s="1"/>
  <c r="E89" i="31"/>
  <c r="F89" i="31" s="1"/>
  <c r="E46" i="31"/>
  <c r="F46" i="31" s="1"/>
  <c r="E7" i="31"/>
  <c r="F7" i="31" s="1"/>
  <c r="E69" i="31"/>
  <c r="F69" i="31" s="1"/>
  <c r="E86" i="31"/>
  <c r="E73" i="31"/>
  <c r="F73" i="31" s="1"/>
  <c r="C47" i="3" s="1"/>
  <c r="C39" i="4" s="1"/>
  <c r="E59" i="31"/>
  <c r="F59" i="31" s="1"/>
  <c r="E28" i="31"/>
  <c r="F28" i="31" s="1"/>
  <c r="E71" i="31"/>
  <c r="F71" i="31" s="1"/>
  <c r="C28" i="3" s="1"/>
  <c r="E15" i="31"/>
  <c r="F15" i="31" s="1"/>
  <c r="E45" i="31"/>
  <c r="F45" i="31" s="1"/>
  <c r="E16" i="31"/>
  <c r="F16" i="31" s="1"/>
  <c r="E5" i="31"/>
  <c r="F5" i="31" s="1"/>
  <c r="E40" i="31"/>
  <c r="F40" i="31" s="1"/>
  <c r="E42" i="31"/>
  <c r="F42" i="31" s="1"/>
  <c r="E17" i="31"/>
  <c r="F17" i="31" s="1"/>
  <c r="E33" i="31"/>
  <c r="F33" i="31" s="1"/>
  <c r="E32" i="31"/>
  <c r="F32" i="31" s="1"/>
  <c r="M32" i="80" s="1"/>
  <c r="E31" i="31"/>
  <c r="F31" i="31" s="1"/>
  <c r="E34" i="31"/>
  <c r="F34" i="31" s="1"/>
  <c r="E9" i="31"/>
  <c r="F9" i="31" s="1"/>
  <c r="E88" i="31"/>
  <c r="F88" i="31" s="1"/>
  <c r="E66" i="31"/>
  <c r="F66" i="31" s="1"/>
  <c r="E49" i="31"/>
  <c r="F49" i="31" s="1"/>
  <c r="E75" i="31"/>
  <c r="F75" i="31" s="1"/>
  <c r="E18" i="31"/>
  <c r="F18" i="31" s="1"/>
  <c r="E62" i="31"/>
  <c r="F62" i="31" s="1"/>
  <c r="E37" i="31"/>
  <c r="F37" i="31" s="1"/>
  <c r="E63" i="31"/>
  <c r="F63" i="31" s="1"/>
  <c r="E6" i="31"/>
  <c r="F6" i="31" s="1"/>
  <c r="E50" i="31"/>
  <c r="F50" i="31" s="1"/>
  <c r="E65" i="31"/>
  <c r="F65" i="31" s="1"/>
  <c r="E51" i="31"/>
  <c r="F51" i="31" s="1"/>
  <c r="E64" i="31"/>
  <c r="F64" i="31" s="1"/>
  <c r="E70" i="31"/>
  <c r="F70" i="31" s="1"/>
  <c r="E81" i="31"/>
  <c r="F81" i="31" s="1"/>
  <c r="E80" i="31"/>
  <c r="F80" i="31" s="1"/>
  <c r="E74" i="31"/>
  <c r="F74" i="31" s="1"/>
  <c r="E61" i="31"/>
  <c r="F61" i="31" s="1"/>
  <c r="E21" i="31"/>
  <c r="F21" i="31" s="1"/>
  <c r="E87" i="31"/>
  <c r="F87" i="31" s="1"/>
  <c r="C19" i="3" s="1"/>
  <c r="C52" i="90" s="1"/>
  <c r="E3" i="31"/>
  <c r="F3" i="31" s="1"/>
  <c r="E47" i="31"/>
  <c r="F47" i="31" s="1"/>
  <c r="E77" i="31"/>
  <c r="F77" i="31" s="1"/>
  <c r="E22" i="31"/>
  <c r="F22" i="31" s="1"/>
  <c r="E60" i="31"/>
  <c r="F60" i="31" s="1"/>
  <c r="E48" i="31"/>
  <c r="F48" i="31" s="1"/>
  <c r="E78" i="31"/>
  <c r="F78" i="31" s="1"/>
  <c r="C42" i="3" s="1"/>
  <c r="E35" i="31"/>
  <c r="E36" i="31"/>
  <c r="F36" i="31" s="1"/>
  <c r="E85" i="31"/>
  <c r="F85" i="31" s="1"/>
  <c r="E4" i="31"/>
  <c r="F4" i="31" s="1"/>
  <c r="E30" i="31"/>
  <c r="F30" i="31" s="1"/>
  <c r="E84" i="31"/>
  <c r="F84" i="31" s="1"/>
  <c r="E83" i="31"/>
  <c r="F83" i="31" s="1"/>
  <c r="E52" i="31"/>
  <c r="F52" i="31" s="1"/>
  <c r="E57" i="31"/>
  <c r="F57" i="31" s="1"/>
  <c r="E26" i="31"/>
  <c r="F26" i="31" s="1"/>
  <c r="E56" i="31"/>
  <c r="F56" i="31" s="1"/>
  <c r="E27" i="31"/>
  <c r="F27" i="31" s="1"/>
  <c r="E23" i="31"/>
  <c r="F23" i="31" s="1"/>
  <c r="E53" i="31"/>
  <c r="F53" i="31" s="1"/>
  <c r="E38" i="31"/>
  <c r="F38" i="31" s="1"/>
  <c r="E82" i="31"/>
  <c r="F82" i="31" s="1"/>
  <c r="E25" i="31"/>
  <c r="F25" i="31" s="1"/>
  <c r="E12" i="31"/>
  <c r="F12" i="31" s="1"/>
  <c r="E68" i="31"/>
  <c r="F68" i="31" s="1"/>
  <c r="E11" i="31"/>
  <c r="F11" i="31" s="1"/>
  <c r="E67" i="31"/>
  <c r="F67" i="31" s="1"/>
  <c r="C48" i="3" s="1"/>
  <c r="C40" i="4" s="1"/>
  <c r="E13" i="31"/>
  <c r="F13" i="31" s="1"/>
  <c r="E41" i="31"/>
  <c r="F41" i="31" s="1"/>
  <c r="E24" i="31"/>
  <c r="F24" i="31" s="1"/>
  <c r="E72" i="31"/>
  <c r="F72" i="31" s="1"/>
  <c r="C27" i="3" s="1"/>
  <c r="E14" i="31"/>
  <c r="F14" i="31" s="1"/>
  <c r="E58" i="31"/>
  <c r="F58" i="31" s="1"/>
  <c r="E10" i="31"/>
  <c r="F10" i="31" s="1"/>
  <c r="E79" i="31"/>
  <c r="F79" i="31" s="1"/>
  <c r="E44" i="31"/>
  <c r="F44" i="31" s="1"/>
  <c r="E43" i="31"/>
  <c r="F43" i="31" s="1"/>
  <c r="E8" i="31"/>
  <c r="F8" i="31" s="1"/>
  <c r="R9" i="31"/>
  <c r="J47" i="29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O13" i="29" s="1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O10" i="29" s="1"/>
  <c r="K15" i="29"/>
  <c r="K14" i="29"/>
  <c r="K13" i="29"/>
  <c r="K12" i="29"/>
  <c r="K11" i="29"/>
  <c r="K10" i="29"/>
  <c r="K9" i="29"/>
  <c r="K8" i="29"/>
  <c r="C41" i="29"/>
  <c r="C38" i="29"/>
  <c r="C36" i="29"/>
  <c r="C34" i="29"/>
  <c r="C30" i="29"/>
  <c r="C29" i="29"/>
  <c r="C28" i="29"/>
  <c r="C26" i="29"/>
  <c r="C25" i="29"/>
  <c r="C24" i="29"/>
  <c r="C23" i="29"/>
  <c r="C22" i="29"/>
  <c r="C21" i="29"/>
  <c r="C20" i="29"/>
  <c r="C19" i="29"/>
  <c r="C18" i="29"/>
  <c r="C17" i="29"/>
  <c r="C15" i="29"/>
  <c r="C13" i="29"/>
  <c r="C12" i="29"/>
  <c r="C11" i="29"/>
  <c r="C10" i="29"/>
  <c r="C8" i="29"/>
  <c r="C6" i="29"/>
  <c r="C5" i="29"/>
  <c r="C4" i="29"/>
  <c r="C34" i="4" l="1"/>
  <c r="C60" i="90"/>
  <c r="C61" i="90" s="1"/>
  <c r="C59" i="90"/>
  <c r="C19" i="4"/>
  <c r="C8" i="4"/>
  <c r="M19" i="80"/>
  <c r="M29" i="80"/>
  <c r="M36" i="80"/>
  <c r="M39" i="80"/>
  <c r="M8" i="80"/>
  <c r="M21" i="80"/>
  <c r="M38" i="80"/>
  <c r="M28" i="80"/>
  <c r="M41" i="80"/>
  <c r="C31" i="3"/>
  <c r="C36" i="3"/>
  <c r="O8" i="29"/>
  <c r="O12" i="29"/>
  <c r="O9" i="29"/>
  <c r="O11" i="29"/>
  <c r="F35" i="31"/>
  <c r="M20" i="80" s="1"/>
  <c r="C17" i="3"/>
  <c r="C51" i="90" s="1"/>
  <c r="C50" i="90" s="1"/>
  <c r="K47" i="29"/>
  <c r="C35" i="3"/>
  <c r="C7" i="3"/>
  <c r="C37" i="3"/>
  <c r="F86" i="31"/>
  <c r="C26" i="3"/>
  <c r="C73" i="90" l="1"/>
  <c r="C76" i="90"/>
  <c r="C26" i="4"/>
  <c r="C74" i="90"/>
  <c r="C5" i="90"/>
  <c r="C56" i="90"/>
  <c r="C57" i="90"/>
  <c r="C17" i="4"/>
  <c r="C7" i="4"/>
  <c r="C14" i="4" s="1"/>
  <c r="C15" i="4" s="1"/>
  <c r="C30" i="3"/>
  <c r="C27" i="4" s="1"/>
  <c r="M17" i="80"/>
  <c r="M27" i="80"/>
  <c r="M35" i="80"/>
  <c r="C14" i="3"/>
  <c r="C34" i="3"/>
  <c r="C29" i="4" s="1"/>
  <c r="C33" i="3"/>
  <c r="C28" i="4" s="1"/>
  <c r="B99" i="27"/>
  <c r="G99" i="27" s="1"/>
  <c r="C69" i="90" l="1"/>
  <c r="C71" i="90" s="1"/>
  <c r="C70" i="90"/>
  <c r="C23" i="4"/>
  <c r="M43" i="80"/>
  <c r="C23" i="3"/>
  <c r="C15" i="3"/>
  <c r="C24" i="4" l="1"/>
  <c r="C31" i="4"/>
  <c r="C39" i="3"/>
  <c r="C24" i="3"/>
  <c r="B108" i="27"/>
  <c r="G108" i="27" s="1"/>
  <c r="B94" i="27"/>
  <c r="G94" i="27" s="1"/>
  <c r="B81" i="27"/>
  <c r="G81" i="27" s="1"/>
  <c r="B78" i="27"/>
  <c r="G78" i="27" s="1"/>
  <c r="B79" i="27"/>
  <c r="G79" i="27" s="1"/>
  <c r="C32" i="4" l="1"/>
  <c r="C36" i="4"/>
  <c r="C44" i="3"/>
  <c r="C40" i="3"/>
  <c r="C42" i="4" l="1"/>
  <c r="C37" i="4"/>
  <c r="C50" i="3"/>
  <c r="C45" i="3"/>
  <c r="C47" i="4" l="1"/>
  <c r="C48" i="4" s="1"/>
  <c r="C43" i="4"/>
  <c r="C55" i="3"/>
  <c r="C58" i="3" s="1"/>
  <c r="C51" i="3"/>
  <c r="M9" i="80" l="1"/>
  <c r="M7" i="80" s="1"/>
  <c r="C56" i="3"/>
  <c r="B112" i="27"/>
  <c r="G112" i="27" s="1"/>
  <c r="B111" i="27"/>
  <c r="G111" i="27" s="1"/>
  <c r="B110" i="27"/>
  <c r="G110" i="27" s="1"/>
  <c r="B109" i="27"/>
  <c r="G109" i="27" s="1"/>
  <c r="B107" i="27"/>
  <c r="G107" i="27" s="1"/>
  <c r="B106" i="27"/>
  <c r="G106" i="27" s="1"/>
  <c r="B105" i="27"/>
  <c r="G105" i="27" s="1"/>
  <c r="B104" i="27"/>
  <c r="G104" i="27" s="1"/>
  <c r="B103" i="27"/>
  <c r="G103" i="27" s="1"/>
  <c r="B102" i="27"/>
  <c r="G102" i="27" s="1"/>
  <c r="B101" i="27"/>
  <c r="G101" i="27" s="1"/>
  <c r="B100" i="27"/>
  <c r="G100" i="27" s="1"/>
  <c r="B98" i="27"/>
  <c r="G98" i="27" s="1"/>
  <c r="B97" i="27"/>
  <c r="G97" i="27" s="1"/>
  <c r="B93" i="27"/>
  <c r="G93" i="27" s="1"/>
  <c r="B92" i="27"/>
  <c r="G92" i="27" s="1"/>
  <c r="B91" i="27"/>
  <c r="G91" i="27" s="1"/>
  <c r="B90" i="27"/>
  <c r="B89" i="27"/>
  <c r="G89" i="27" s="1"/>
  <c r="B88" i="27"/>
  <c r="G88" i="27" s="1"/>
  <c r="B87" i="27"/>
  <c r="G87" i="27" s="1"/>
  <c r="B86" i="27"/>
  <c r="G86" i="27" s="1"/>
  <c r="B85" i="27"/>
  <c r="G85" i="27" s="1"/>
  <c r="B84" i="27"/>
  <c r="G84" i="27" s="1"/>
  <c r="B83" i="27"/>
  <c r="G83" i="27" s="1"/>
  <c r="B80" i="27"/>
  <c r="G80" i="27" s="1"/>
  <c r="B76" i="27"/>
  <c r="G76" i="27" s="1"/>
  <c r="B73" i="27"/>
  <c r="G73" i="27" s="1"/>
  <c r="B72" i="27"/>
  <c r="G72" i="27" s="1"/>
  <c r="B71" i="27"/>
  <c r="G71" i="27" s="1"/>
  <c r="B70" i="27"/>
  <c r="G70" i="27" s="1"/>
  <c r="B69" i="27"/>
  <c r="G69" i="27" s="1"/>
  <c r="B67" i="27"/>
  <c r="G67" i="27" s="1"/>
  <c r="B66" i="27"/>
  <c r="G66" i="27" s="1"/>
  <c r="B65" i="27"/>
  <c r="G65" i="27" s="1"/>
  <c r="B64" i="27"/>
  <c r="G64" i="27" s="1"/>
  <c r="B63" i="27"/>
  <c r="G63" i="27" s="1"/>
  <c r="B62" i="27"/>
  <c r="G62" i="27" s="1"/>
  <c r="B61" i="27"/>
  <c r="G61" i="27" s="1"/>
  <c r="B60" i="27"/>
  <c r="G60" i="27" s="1"/>
  <c r="B59" i="27"/>
  <c r="G59" i="27" s="1"/>
  <c r="B58" i="27"/>
  <c r="G58" i="27" s="1"/>
  <c r="B57" i="27"/>
  <c r="G57" i="27" s="1"/>
  <c r="B54" i="27"/>
  <c r="G54" i="27" s="1"/>
  <c r="B53" i="27"/>
  <c r="G53" i="27" s="1"/>
  <c r="B52" i="27"/>
  <c r="B51" i="27"/>
  <c r="G51" i="27" s="1"/>
  <c r="B50" i="27"/>
  <c r="G50" i="27" s="1"/>
  <c r="B47" i="27"/>
  <c r="G47" i="27" s="1"/>
  <c r="B46" i="27"/>
  <c r="G46" i="27" s="1"/>
  <c r="B45" i="27"/>
  <c r="G45" i="27" s="1"/>
  <c r="B44" i="27"/>
  <c r="B43" i="27"/>
  <c r="G43" i="27" s="1"/>
  <c r="B42" i="27"/>
  <c r="G42" i="27" s="1"/>
  <c r="B41" i="27"/>
  <c r="G41" i="27" s="1"/>
  <c r="B40" i="27"/>
  <c r="G40" i="27" s="1"/>
  <c r="B38" i="27"/>
  <c r="G38" i="27" s="1"/>
  <c r="B37" i="27"/>
  <c r="G37" i="27" s="1"/>
  <c r="B36" i="27"/>
  <c r="G36" i="27" s="1"/>
  <c r="B35" i="27"/>
  <c r="G35" i="27" s="1"/>
  <c r="B34" i="27"/>
  <c r="G34" i="27" s="1"/>
  <c r="B33" i="27"/>
  <c r="G33" i="27" s="1"/>
  <c r="B32" i="27"/>
  <c r="G32" i="27" s="1"/>
  <c r="B31" i="27"/>
  <c r="G31" i="27" s="1"/>
  <c r="B30" i="27"/>
  <c r="G30" i="27" s="1"/>
  <c r="B27" i="27"/>
  <c r="G27" i="27" s="1"/>
  <c r="B26" i="27"/>
  <c r="G26" i="27" s="1"/>
  <c r="B25" i="27"/>
  <c r="G25" i="27" s="1"/>
  <c r="B24" i="27"/>
  <c r="G24" i="27" s="1"/>
  <c r="B23" i="27"/>
  <c r="G23" i="27" s="1"/>
  <c r="B22" i="27"/>
  <c r="G22" i="27" s="1"/>
  <c r="B21" i="27"/>
  <c r="G21" i="27" s="1"/>
  <c r="B20" i="27"/>
  <c r="G20" i="27" s="1"/>
  <c r="B19" i="27"/>
  <c r="B18" i="27"/>
  <c r="G18" i="27" s="1"/>
  <c r="B15" i="27"/>
  <c r="G15" i="27" s="1"/>
  <c r="B14" i="27"/>
  <c r="G14" i="27" s="1"/>
  <c r="B13" i="27"/>
  <c r="G13" i="27" s="1"/>
  <c r="B12" i="27"/>
  <c r="B11" i="27"/>
  <c r="G11" i="27" s="1"/>
  <c r="B10" i="27"/>
  <c r="B9" i="27"/>
  <c r="G9" i="27" s="1"/>
  <c r="B8" i="27"/>
  <c r="G8" i="27" s="1"/>
  <c r="B7" i="27"/>
  <c r="G7" i="27" s="1"/>
  <c r="B6" i="27"/>
  <c r="G6" i="27" s="1"/>
  <c r="B5" i="27"/>
  <c r="G5" i="27" s="1"/>
  <c r="B4" i="27"/>
  <c r="M23" i="80" l="1"/>
  <c r="C90" i="28"/>
  <c r="B90" i="28"/>
  <c r="D90" i="28"/>
  <c r="C89" i="28"/>
  <c r="D86" i="28"/>
  <c r="B89" i="28"/>
  <c r="C86" i="28"/>
  <c r="D88" i="28"/>
  <c r="B86" i="28"/>
  <c r="C88" i="28"/>
  <c r="D85" i="28"/>
  <c r="D87" i="28"/>
  <c r="D89" i="28"/>
  <c r="B87" i="28"/>
  <c r="B88" i="28"/>
  <c r="C87" i="28"/>
  <c r="C85" i="28"/>
  <c r="B85" i="28"/>
  <c r="D83" i="28"/>
  <c r="D62" i="28"/>
  <c r="B8" i="28"/>
  <c r="B68" i="28"/>
  <c r="D24" i="28"/>
  <c r="D48" i="28"/>
  <c r="D84" i="28"/>
  <c r="B44" i="28"/>
  <c r="C34" i="28"/>
  <c r="D12" i="28"/>
  <c r="D36" i="28"/>
  <c r="D60" i="28"/>
  <c r="D72" i="28"/>
  <c r="B9" i="28"/>
  <c r="B21" i="28"/>
  <c r="B33" i="28"/>
  <c r="B45" i="28"/>
  <c r="B57" i="28"/>
  <c r="B69" i="28"/>
  <c r="B81" i="28"/>
  <c r="C11" i="28"/>
  <c r="C23" i="28"/>
  <c r="C35" i="28"/>
  <c r="C47" i="28"/>
  <c r="C59" i="28"/>
  <c r="C71" i="28"/>
  <c r="C83" i="28"/>
  <c r="D13" i="28"/>
  <c r="D25" i="28"/>
  <c r="D37" i="28"/>
  <c r="D49" i="28"/>
  <c r="D61" i="28"/>
  <c r="D73" i="28"/>
  <c r="C10" i="28"/>
  <c r="C60" i="28"/>
  <c r="G10" i="27"/>
  <c r="B11" i="28"/>
  <c r="B23" i="28"/>
  <c r="B35" i="28"/>
  <c r="B47" i="28"/>
  <c r="B59" i="28"/>
  <c r="B71" i="28"/>
  <c r="B83" i="28"/>
  <c r="C13" i="28"/>
  <c r="C25" i="28"/>
  <c r="C37" i="28"/>
  <c r="C49" i="28"/>
  <c r="C61" i="28"/>
  <c r="C73" i="28"/>
  <c r="D3" i="28"/>
  <c r="D15" i="28"/>
  <c r="D27" i="28"/>
  <c r="D39" i="28"/>
  <c r="D51" i="28"/>
  <c r="D63" i="28"/>
  <c r="D75" i="28"/>
  <c r="B80" i="28"/>
  <c r="B58" i="28"/>
  <c r="C84" i="28"/>
  <c r="B12" i="28"/>
  <c r="B24" i="28"/>
  <c r="B36" i="28"/>
  <c r="B48" i="28"/>
  <c r="B60" i="28"/>
  <c r="B72" i="28"/>
  <c r="B84" i="28"/>
  <c r="C14" i="28"/>
  <c r="C26" i="28"/>
  <c r="C38" i="28"/>
  <c r="C50" i="28"/>
  <c r="C62" i="28"/>
  <c r="C74" i="28"/>
  <c r="D4" i="28"/>
  <c r="D16" i="28"/>
  <c r="D28" i="28"/>
  <c r="D40" i="28"/>
  <c r="D52" i="28"/>
  <c r="D64" i="28"/>
  <c r="D76" i="28"/>
  <c r="C70" i="28"/>
  <c r="B22" i="28"/>
  <c r="C24" i="28"/>
  <c r="D38" i="28"/>
  <c r="B13" i="28"/>
  <c r="B25" i="28"/>
  <c r="B37" i="28"/>
  <c r="B49" i="28"/>
  <c r="B61" i="28"/>
  <c r="B73" i="28"/>
  <c r="C3" i="28"/>
  <c r="C15" i="28"/>
  <c r="C27" i="28"/>
  <c r="C39" i="28"/>
  <c r="C51" i="28"/>
  <c r="C63" i="28"/>
  <c r="C75" i="28"/>
  <c r="D5" i="28"/>
  <c r="D17" i="28"/>
  <c r="D29" i="28"/>
  <c r="D41" i="28"/>
  <c r="D53" i="28"/>
  <c r="D65" i="28"/>
  <c r="D77" i="28"/>
  <c r="B56" i="28"/>
  <c r="C12" i="28"/>
  <c r="B14" i="28"/>
  <c r="B26" i="28"/>
  <c r="B38" i="28"/>
  <c r="B50" i="28"/>
  <c r="B62" i="28"/>
  <c r="B74" i="28"/>
  <c r="C4" i="28"/>
  <c r="C16" i="28"/>
  <c r="C28" i="28"/>
  <c r="C40" i="28"/>
  <c r="C52" i="28"/>
  <c r="C64" i="28"/>
  <c r="C76" i="28"/>
  <c r="D6" i="28"/>
  <c r="D18" i="28"/>
  <c r="D30" i="28"/>
  <c r="D42" i="28"/>
  <c r="D54" i="28"/>
  <c r="D66" i="28"/>
  <c r="D78" i="28"/>
  <c r="B32" i="28"/>
  <c r="D26" i="28"/>
  <c r="B3" i="28"/>
  <c r="B15" i="28"/>
  <c r="B27" i="28"/>
  <c r="B39" i="28"/>
  <c r="B51" i="28"/>
  <c r="B63" i="28"/>
  <c r="B75" i="28"/>
  <c r="C5" i="28"/>
  <c r="C17" i="28"/>
  <c r="C29" i="28"/>
  <c r="C41" i="28"/>
  <c r="C53" i="28"/>
  <c r="C65" i="28"/>
  <c r="C77" i="28"/>
  <c r="D7" i="28"/>
  <c r="D19" i="28"/>
  <c r="D31" i="28"/>
  <c r="D43" i="28"/>
  <c r="D55" i="28"/>
  <c r="D67" i="28"/>
  <c r="D79" i="28"/>
  <c r="C46" i="28"/>
  <c r="B34" i="28"/>
  <c r="C48" i="28"/>
  <c r="D50" i="28"/>
  <c r="B4" i="28"/>
  <c r="B16" i="28"/>
  <c r="B28" i="28"/>
  <c r="B40" i="28"/>
  <c r="B52" i="28"/>
  <c r="B64" i="28"/>
  <c r="B76" i="28"/>
  <c r="C6" i="28"/>
  <c r="C18" i="28"/>
  <c r="C30" i="28"/>
  <c r="C42" i="28"/>
  <c r="C54" i="28"/>
  <c r="C66" i="28"/>
  <c r="C78" i="28"/>
  <c r="D8" i="28"/>
  <c r="D20" i="28"/>
  <c r="D32" i="28"/>
  <c r="D44" i="28"/>
  <c r="D56" i="28"/>
  <c r="D68" i="28"/>
  <c r="D80" i="28"/>
  <c r="C58" i="28"/>
  <c r="B70" i="28"/>
  <c r="C72" i="28"/>
  <c r="D74" i="28"/>
  <c r="G4" i="27"/>
  <c r="B5" i="28"/>
  <c r="B17" i="28"/>
  <c r="B29" i="28"/>
  <c r="B41" i="28"/>
  <c r="B53" i="28"/>
  <c r="B65" i="28"/>
  <c r="B77" i="28"/>
  <c r="C7" i="28"/>
  <c r="C19" i="28"/>
  <c r="C31" i="28"/>
  <c r="C43" i="28"/>
  <c r="C55" i="28"/>
  <c r="C67" i="28"/>
  <c r="C79" i="28"/>
  <c r="D9" i="28"/>
  <c r="D21" i="28"/>
  <c r="D33" i="28"/>
  <c r="D45" i="28"/>
  <c r="D57" i="28"/>
  <c r="D69" i="28"/>
  <c r="D81" i="28"/>
  <c r="B20" i="28"/>
  <c r="C82" i="28"/>
  <c r="B10" i="28"/>
  <c r="B82" i="28"/>
  <c r="D14" i="28"/>
  <c r="B6" i="28"/>
  <c r="B18" i="28"/>
  <c r="B30" i="28"/>
  <c r="B42" i="28"/>
  <c r="B54" i="28"/>
  <c r="B66" i="28"/>
  <c r="B78" i="28"/>
  <c r="C8" i="28"/>
  <c r="C20" i="28"/>
  <c r="C32" i="28"/>
  <c r="C44" i="28"/>
  <c r="C56" i="28"/>
  <c r="C68" i="28"/>
  <c r="C80" i="28"/>
  <c r="D10" i="28"/>
  <c r="D22" i="28"/>
  <c r="D34" i="28"/>
  <c r="D46" i="28"/>
  <c r="D58" i="28"/>
  <c r="D70" i="28"/>
  <c r="D82" i="28"/>
  <c r="C22" i="28"/>
  <c r="B46" i="28"/>
  <c r="C36" i="28"/>
  <c r="B7" i="28"/>
  <c r="B19" i="28"/>
  <c r="B31" i="28"/>
  <c r="B43" i="28"/>
  <c r="B55" i="28"/>
  <c r="B67" i="28"/>
  <c r="B79" i="28"/>
  <c r="C9" i="28"/>
  <c r="C21" i="28"/>
  <c r="C33" i="28"/>
  <c r="C45" i="28"/>
  <c r="C57" i="28"/>
  <c r="C69" i="28"/>
  <c r="C81" i="28"/>
  <c r="D11" i="28"/>
  <c r="D23" i="28"/>
  <c r="D35" i="28"/>
  <c r="D47" i="28"/>
  <c r="D59" i="28"/>
  <c r="D71" i="28"/>
  <c r="E88" i="28" l="1"/>
  <c r="F88" i="28" s="1"/>
  <c r="E87" i="28"/>
  <c r="F87" i="28" s="1"/>
  <c r="E89" i="28"/>
  <c r="F89" i="28" s="1"/>
  <c r="E85" i="28"/>
  <c r="F85" i="28" s="1"/>
  <c r="E90" i="28"/>
  <c r="F90" i="28" s="1"/>
  <c r="E86" i="28"/>
  <c r="F86" i="28" s="1"/>
  <c r="B1" i="28"/>
  <c r="C1" i="28"/>
  <c r="D1" i="28"/>
  <c r="E83" i="28"/>
  <c r="F83" i="28" s="1"/>
  <c r="E30" i="28"/>
  <c r="F30" i="28" s="1"/>
  <c r="L32" i="80" s="1"/>
  <c r="E67" i="28"/>
  <c r="F67" i="28" s="1"/>
  <c r="E62" i="28"/>
  <c r="F62" i="28" s="1"/>
  <c r="E4" i="28"/>
  <c r="F4" i="28" s="1"/>
  <c r="E41" i="28"/>
  <c r="F41" i="28" s="1"/>
  <c r="E29" i="28"/>
  <c r="F29" i="28" s="1"/>
  <c r="E5" i="28"/>
  <c r="F5" i="28" s="1"/>
  <c r="E28" i="28"/>
  <c r="F28" i="28" s="1"/>
  <c r="E15" i="28"/>
  <c r="F15" i="28" s="1"/>
  <c r="E84" i="28"/>
  <c r="F84" i="28" s="1"/>
  <c r="E42" i="28"/>
  <c r="F42" i="28" s="1"/>
  <c r="E53" i="28"/>
  <c r="F53" i="28" s="1"/>
  <c r="E49" i="28"/>
  <c r="F49" i="28" s="1"/>
  <c r="E19" i="28"/>
  <c r="F19" i="28" s="1"/>
  <c r="E63" i="28"/>
  <c r="F63" i="28" s="1"/>
  <c r="E40" i="28"/>
  <c r="F40" i="28" s="1"/>
  <c r="E73" i="28"/>
  <c r="F73" i="28" s="1"/>
  <c r="E64" i="28"/>
  <c r="F64" i="28" s="1"/>
  <c r="E66" i="28"/>
  <c r="F66" i="28" s="1"/>
  <c r="E77" i="28"/>
  <c r="F77" i="28" s="1"/>
  <c r="E43" i="28"/>
  <c r="F43" i="28" s="1"/>
  <c r="E25" i="28"/>
  <c r="F25" i="28" s="1"/>
  <c r="E38" i="28"/>
  <c r="F38" i="28" s="1"/>
  <c r="E39" i="28"/>
  <c r="F39" i="28" s="1"/>
  <c r="E27" i="28"/>
  <c r="F27" i="28" s="1"/>
  <c r="E54" i="28"/>
  <c r="F54" i="28" s="1"/>
  <c r="E65" i="28"/>
  <c r="F65" i="28" s="1"/>
  <c r="E52" i="28"/>
  <c r="F52" i="28" s="1"/>
  <c r="E13" i="28"/>
  <c r="F13" i="28" s="1"/>
  <c r="E51" i="28"/>
  <c r="F51" i="28" s="1"/>
  <c r="E78" i="28"/>
  <c r="F78" i="28" s="1"/>
  <c r="E61" i="28"/>
  <c r="F61" i="28" s="1"/>
  <c r="E60" i="28"/>
  <c r="F60" i="28" s="1"/>
  <c r="E31" i="28"/>
  <c r="F31" i="28" s="1"/>
  <c r="E76" i="28"/>
  <c r="F76" i="28" s="1"/>
  <c r="E18" i="28"/>
  <c r="F18" i="28" s="1"/>
  <c r="E75" i="28"/>
  <c r="F75" i="28" s="1"/>
  <c r="E37" i="28"/>
  <c r="F37" i="28" s="1"/>
  <c r="E36" i="28"/>
  <c r="F36" i="28" s="1"/>
  <c r="E9" i="28"/>
  <c r="F9" i="28" s="1"/>
  <c r="E7" i="28"/>
  <c r="F7" i="28" s="1"/>
  <c r="E6" i="28"/>
  <c r="E50" i="28"/>
  <c r="F50" i="28" s="1"/>
  <c r="E24" i="28"/>
  <c r="F24" i="28" s="1"/>
  <c r="E11" i="28"/>
  <c r="F11" i="28" s="1"/>
  <c r="E17" i="28"/>
  <c r="F17" i="28" s="1"/>
  <c r="E12" i="28"/>
  <c r="F12" i="28" s="1"/>
  <c r="E46" i="28"/>
  <c r="F46" i="28" s="1"/>
  <c r="E82" i="28"/>
  <c r="F82" i="28" s="1"/>
  <c r="E26" i="28"/>
  <c r="F26" i="28" s="1"/>
  <c r="E10" i="28"/>
  <c r="F10" i="28" s="1"/>
  <c r="E16" i="28"/>
  <c r="F16" i="28" s="1"/>
  <c r="E14" i="28"/>
  <c r="F14" i="28" s="1"/>
  <c r="E58" i="28"/>
  <c r="F58" i="28" s="1"/>
  <c r="E23" i="28"/>
  <c r="F23" i="28" s="1"/>
  <c r="E22" i="28"/>
  <c r="F22" i="28" s="1"/>
  <c r="E80" i="28"/>
  <c r="F80" i="28" s="1"/>
  <c r="E20" i="28"/>
  <c r="F20" i="28" s="1"/>
  <c r="E3" i="28"/>
  <c r="E56" i="28"/>
  <c r="F56" i="28" s="1"/>
  <c r="E81" i="28"/>
  <c r="F81" i="28" s="1"/>
  <c r="E44" i="28"/>
  <c r="F44" i="28" s="1"/>
  <c r="E79" i="28"/>
  <c r="F79" i="28" s="1"/>
  <c r="E70" i="28"/>
  <c r="F70" i="28" s="1"/>
  <c r="E69" i="28"/>
  <c r="F69" i="28" s="1"/>
  <c r="E34" i="28"/>
  <c r="F34" i="28" s="1"/>
  <c r="E32" i="28"/>
  <c r="F32" i="28" s="1"/>
  <c r="E71" i="28"/>
  <c r="F71" i="28" s="1"/>
  <c r="E57" i="28"/>
  <c r="F57" i="28" s="1"/>
  <c r="E55" i="28"/>
  <c r="F55" i="28" s="1"/>
  <c r="E72" i="28"/>
  <c r="F72" i="28" s="1"/>
  <c r="E59" i="28"/>
  <c r="F59" i="28" s="1"/>
  <c r="E45" i="28"/>
  <c r="F45" i="28" s="1"/>
  <c r="E47" i="28"/>
  <c r="F47" i="28" s="1"/>
  <c r="E33" i="28"/>
  <c r="F33" i="28" s="1"/>
  <c r="E68" i="28"/>
  <c r="F68" i="28" s="1"/>
  <c r="E74" i="28"/>
  <c r="F74" i="28" s="1"/>
  <c r="E48" i="28"/>
  <c r="F48" i="28" s="1"/>
  <c r="E35" i="28"/>
  <c r="F35" i="28" s="1"/>
  <c r="E21" i="28"/>
  <c r="F21" i="28" s="1"/>
  <c r="E8" i="28"/>
  <c r="F8" i="28" s="1"/>
  <c r="L29" i="80" l="1"/>
  <c r="L8" i="80"/>
  <c r="L19" i="80"/>
  <c r="L21" i="80"/>
  <c r="L36" i="80"/>
  <c r="L39" i="80"/>
  <c r="L41" i="80"/>
  <c r="L20" i="80"/>
  <c r="F6" i="28"/>
  <c r="L28" i="80" s="1"/>
  <c r="E1" i="28"/>
  <c r="F3" i="28"/>
  <c r="L38" i="80" s="1"/>
  <c r="M12" i="7"/>
  <c r="M11" i="7"/>
  <c r="L27" i="80" l="1"/>
  <c r="L35" i="80"/>
  <c r="L17" i="80"/>
  <c r="F1" i="28"/>
  <c r="L43" i="80" l="1"/>
  <c r="D92" i="23"/>
  <c r="D110" i="23"/>
  <c r="D26" i="8"/>
  <c r="D19" i="7"/>
  <c r="L14" i="26" l="1"/>
  <c r="B62" i="25" l="1"/>
  <c r="G62" i="25" s="1"/>
  <c r="B60" i="25"/>
  <c r="G60" i="25" s="1"/>
  <c r="E64" i="22" l="1"/>
  <c r="B94" i="22"/>
  <c r="D34" i="23"/>
  <c r="D34" i="22" s="1"/>
  <c r="C36" i="16"/>
  <c r="B73" i="16"/>
  <c r="B42" i="25"/>
  <c r="G42" i="25" s="1"/>
  <c r="B94" i="25" l="1"/>
  <c r="G94" i="25" s="1"/>
  <c r="B56" i="25"/>
  <c r="G56" i="25" s="1"/>
  <c r="B103" i="25" l="1"/>
  <c r="G103" i="25" s="1"/>
  <c r="B57" i="25"/>
  <c r="G57" i="25" s="1"/>
  <c r="E36" i="23" l="1"/>
  <c r="L31" i="26" l="1"/>
  <c r="M30" i="26"/>
  <c r="M29" i="26"/>
  <c r="M28" i="26"/>
  <c r="M27" i="26"/>
  <c r="M26" i="26"/>
  <c r="M25" i="26"/>
  <c r="M24" i="26"/>
  <c r="M23" i="26"/>
  <c r="M22" i="26"/>
  <c r="M21" i="26"/>
  <c r="M20" i="26"/>
  <c r="M19" i="26"/>
  <c r="M18" i="26"/>
  <c r="M17" i="26"/>
  <c r="M16" i="26"/>
  <c r="M15" i="26"/>
  <c r="M14" i="26"/>
  <c r="M13" i="26"/>
  <c r="M12" i="26"/>
  <c r="M11" i="26"/>
  <c r="M10" i="26"/>
  <c r="M9" i="26"/>
  <c r="M8" i="26"/>
  <c r="M7" i="26"/>
  <c r="Q5" i="26" s="1"/>
  <c r="M6" i="26"/>
  <c r="M5" i="26"/>
  <c r="M4" i="26"/>
  <c r="M3" i="26"/>
  <c r="Q6" i="26" l="1"/>
  <c r="Q4" i="26"/>
  <c r="Q3" i="26"/>
  <c r="Q7" i="26"/>
  <c r="M31" i="26"/>
  <c r="B107" i="25"/>
  <c r="G107" i="25" s="1"/>
  <c r="B106" i="25"/>
  <c r="G106" i="25" s="1"/>
  <c r="B105" i="25"/>
  <c r="G105" i="25" s="1"/>
  <c r="B104" i="25"/>
  <c r="G104" i="25" s="1"/>
  <c r="B102" i="25"/>
  <c r="G102" i="25" s="1"/>
  <c r="B101" i="25"/>
  <c r="G101" i="25" s="1"/>
  <c r="B100" i="25"/>
  <c r="G100" i="25" s="1"/>
  <c r="B99" i="25"/>
  <c r="G99" i="25" s="1"/>
  <c r="B98" i="25"/>
  <c r="G98" i="25" s="1"/>
  <c r="B97" i="25"/>
  <c r="G97" i="25" s="1"/>
  <c r="B96" i="25"/>
  <c r="G96" i="25" s="1"/>
  <c r="B95" i="25"/>
  <c r="G95" i="25" s="1"/>
  <c r="B93" i="25"/>
  <c r="G93" i="25" s="1"/>
  <c r="B92" i="25"/>
  <c r="G92" i="25" s="1"/>
  <c r="B91" i="25"/>
  <c r="B90" i="25"/>
  <c r="B89" i="25"/>
  <c r="G89" i="25" s="1"/>
  <c r="B88" i="25"/>
  <c r="G88" i="25" s="1"/>
  <c r="B87" i="25"/>
  <c r="G87" i="25" s="1"/>
  <c r="B86" i="25"/>
  <c r="G86" i="25" s="1"/>
  <c r="B85" i="25"/>
  <c r="B84" i="25"/>
  <c r="G84" i="25" s="1"/>
  <c r="B83" i="25"/>
  <c r="G83" i="25" s="1"/>
  <c r="B82" i="25"/>
  <c r="G82" i="25" s="1"/>
  <c r="B81" i="25"/>
  <c r="G81" i="25" s="1"/>
  <c r="B80" i="25"/>
  <c r="G80" i="25" s="1"/>
  <c r="B79" i="25"/>
  <c r="B78" i="25"/>
  <c r="G78" i="25" s="1"/>
  <c r="B77" i="25"/>
  <c r="G77" i="25" s="1"/>
  <c r="B76" i="25"/>
  <c r="G76" i="25" s="1"/>
  <c r="B75" i="25"/>
  <c r="G75" i="25" s="1"/>
  <c r="B74" i="25"/>
  <c r="B73" i="25"/>
  <c r="G73" i="25" s="1"/>
  <c r="B72" i="25"/>
  <c r="B71" i="25"/>
  <c r="B70" i="25"/>
  <c r="G70" i="25" s="1"/>
  <c r="B69" i="25"/>
  <c r="G69" i="25" s="1"/>
  <c r="B68" i="25"/>
  <c r="G68" i="25" s="1"/>
  <c r="B67" i="25"/>
  <c r="G67" i="25" s="1"/>
  <c r="B66" i="25"/>
  <c r="G66" i="25" s="1"/>
  <c r="B65" i="25"/>
  <c r="B64" i="25"/>
  <c r="G64" i="25" s="1"/>
  <c r="B63" i="25"/>
  <c r="G63" i="25" s="1"/>
  <c r="B61" i="25"/>
  <c r="G61" i="25" s="1"/>
  <c r="B59" i="25"/>
  <c r="G59" i="25" s="1"/>
  <c r="B58" i="25"/>
  <c r="G58" i="25" s="1"/>
  <c r="B55" i="25"/>
  <c r="G55" i="25" s="1"/>
  <c r="B54" i="25"/>
  <c r="B53" i="25"/>
  <c r="B52" i="25"/>
  <c r="G52" i="25" s="1"/>
  <c r="B51" i="25"/>
  <c r="G51" i="25" s="1"/>
  <c r="B50" i="25"/>
  <c r="B49" i="25"/>
  <c r="G49" i="25" s="1"/>
  <c r="B48" i="25"/>
  <c r="B47" i="25"/>
  <c r="B46" i="25"/>
  <c r="G46" i="25" s="1"/>
  <c r="B45" i="25"/>
  <c r="G45" i="25" s="1"/>
  <c r="B44" i="25"/>
  <c r="G44" i="25" s="1"/>
  <c r="B43" i="25"/>
  <c r="B41" i="25"/>
  <c r="G41" i="25" s="1"/>
  <c r="B40" i="25"/>
  <c r="G40" i="25" s="1"/>
  <c r="B39" i="25"/>
  <c r="G39" i="25" s="1"/>
  <c r="B38" i="25"/>
  <c r="B37" i="25"/>
  <c r="G37" i="25" s="1"/>
  <c r="B36" i="25"/>
  <c r="G36" i="25" s="1"/>
  <c r="B35" i="25"/>
  <c r="G35" i="25" s="1"/>
  <c r="B34" i="25"/>
  <c r="G34" i="25" s="1"/>
  <c r="B33" i="25"/>
  <c r="G33" i="25" s="1"/>
  <c r="B32" i="25"/>
  <c r="G32" i="25" s="1"/>
  <c r="B31" i="25"/>
  <c r="G31" i="25" s="1"/>
  <c r="B30" i="25"/>
  <c r="G30" i="25" s="1"/>
  <c r="B29" i="25"/>
  <c r="G29" i="25" s="1"/>
  <c r="B28" i="25"/>
  <c r="G28" i="25" s="1"/>
  <c r="B27" i="25"/>
  <c r="B26" i="25"/>
  <c r="B25" i="25"/>
  <c r="G25" i="25" s="1"/>
  <c r="B24" i="25"/>
  <c r="G24" i="25" s="1"/>
  <c r="B23" i="25"/>
  <c r="G23" i="25" s="1"/>
  <c r="B22" i="25"/>
  <c r="G22" i="25" s="1"/>
  <c r="B21" i="25"/>
  <c r="G21" i="25" s="1"/>
  <c r="B20" i="25"/>
  <c r="G20" i="25" s="1"/>
  <c r="B19" i="25"/>
  <c r="B18" i="25"/>
  <c r="G18" i="25" s="1"/>
  <c r="B17" i="25"/>
  <c r="B16" i="25"/>
  <c r="B15" i="25"/>
  <c r="G15" i="25" s="1"/>
  <c r="B14" i="25"/>
  <c r="G14" i="25" s="1"/>
  <c r="B13" i="25"/>
  <c r="G13" i="25" s="1"/>
  <c r="B12" i="25"/>
  <c r="B11" i="25"/>
  <c r="G11" i="25" s="1"/>
  <c r="B10" i="25"/>
  <c r="G10" i="25" s="1"/>
  <c r="B9" i="25"/>
  <c r="G9" i="25" s="1"/>
  <c r="B8" i="25"/>
  <c r="G8" i="25" s="1"/>
  <c r="B7" i="25"/>
  <c r="G7" i="25" s="1"/>
  <c r="B6" i="25"/>
  <c r="B5" i="25"/>
  <c r="G5" i="25" s="1"/>
  <c r="B4" i="25"/>
  <c r="B84" i="26" l="1"/>
  <c r="B85" i="26"/>
  <c r="D85" i="26"/>
  <c r="C85" i="26"/>
  <c r="C84" i="26"/>
  <c r="D84" i="26"/>
  <c r="Q8" i="26"/>
  <c r="G4" i="25"/>
  <c r="D83" i="26"/>
  <c r="C83" i="26"/>
  <c r="B83" i="26"/>
  <c r="D82" i="26"/>
  <c r="C82" i="26"/>
  <c r="B82" i="26"/>
  <c r="D81" i="26"/>
  <c r="C81" i="26"/>
  <c r="B81" i="26"/>
  <c r="D80" i="26"/>
  <c r="B80" i="26"/>
  <c r="C79" i="26"/>
  <c r="B79" i="26"/>
  <c r="C80" i="26"/>
  <c r="D79" i="26"/>
  <c r="D68" i="26"/>
  <c r="B28" i="26"/>
  <c r="B5" i="26"/>
  <c r="B17" i="26"/>
  <c r="B29" i="26"/>
  <c r="B41" i="26"/>
  <c r="B53" i="26"/>
  <c r="B65" i="26"/>
  <c r="B77" i="26"/>
  <c r="C13" i="26"/>
  <c r="C25" i="26"/>
  <c r="C37" i="26"/>
  <c r="C49" i="26"/>
  <c r="C61" i="26"/>
  <c r="C73" i="26"/>
  <c r="D9" i="26"/>
  <c r="D21" i="26"/>
  <c r="D33" i="26"/>
  <c r="D45" i="26"/>
  <c r="D57" i="26"/>
  <c r="D69" i="26"/>
  <c r="G6" i="25"/>
  <c r="B76" i="26"/>
  <c r="B6" i="26"/>
  <c r="B18" i="26"/>
  <c r="B30" i="26"/>
  <c r="B42" i="26"/>
  <c r="B54" i="26"/>
  <c r="B66" i="26"/>
  <c r="B78" i="26"/>
  <c r="C14" i="26"/>
  <c r="C26" i="26"/>
  <c r="C38" i="26"/>
  <c r="C50" i="26"/>
  <c r="C62" i="26"/>
  <c r="C74" i="26"/>
  <c r="D10" i="26"/>
  <c r="D22" i="26"/>
  <c r="D34" i="26"/>
  <c r="D46" i="26"/>
  <c r="D58" i="26"/>
  <c r="D70" i="26"/>
  <c r="C48" i="26"/>
  <c r="B7" i="26"/>
  <c r="B19" i="26"/>
  <c r="B31" i="26"/>
  <c r="B43" i="26"/>
  <c r="B55" i="26"/>
  <c r="B67" i="26"/>
  <c r="C3" i="26"/>
  <c r="C15" i="26"/>
  <c r="C27" i="26"/>
  <c r="C39" i="26"/>
  <c r="C51" i="26"/>
  <c r="C63" i="26"/>
  <c r="C75" i="26"/>
  <c r="D11" i="26"/>
  <c r="D23" i="26"/>
  <c r="D35" i="26"/>
  <c r="D47" i="26"/>
  <c r="D59" i="26"/>
  <c r="D71" i="26"/>
  <c r="B52" i="26"/>
  <c r="B8" i="26"/>
  <c r="B20" i="26"/>
  <c r="B32" i="26"/>
  <c r="B44" i="26"/>
  <c r="B56" i="26"/>
  <c r="B68" i="26"/>
  <c r="C4" i="26"/>
  <c r="C16" i="26"/>
  <c r="C28" i="26"/>
  <c r="C40" i="26"/>
  <c r="C52" i="26"/>
  <c r="C64" i="26"/>
  <c r="C76" i="26"/>
  <c r="D12" i="26"/>
  <c r="D24" i="26"/>
  <c r="D36" i="26"/>
  <c r="D48" i="26"/>
  <c r="D60" i="26"/>
  <c r="D72" i="26"/>
  <c r="B16" i="26"/>
  <c r="B9" i="26"/>
  <c r="B21" i="26"/>
  <c r="B33" i="26"/>
  <c r="B45" i="26"/>
  <c r="B57" i="26"/>
  <c r="B69" i="26"/>
  <c r="C5" i="26"/>
  <c r="C17" i="26"/>
  <c r="C29" i="26"/>
  <c r="C41" i="26"/>
  <c r="C53" i="26"/>
  <c r="C65" i="26"/>
  <c r="C77" i="26"/>
  <c r="D13" i="26"/>
  <c r="D25" i="26"/>
  <c r="D37" i="26"/>
  <c r="D49" i="26"/>
  <c r="D61" i="26"/>
  <c r="D73" i="26"/>
  <c r="B10" i="26"/>
  <c r="B22" i="26"/>
  <c r="B34" i="26"/>
  <c r="B46" i="26"/>
  <c r="B58" i="26"/>
  <c r="B70" i="26"/>
  <c r="C6" i="26"/>
  <c r="C18" i="26"/>
  <c r="C30" i="26"/>
  <c r="C42" i="26"/>
  <c r="C54" i="26"/>
  <c r="C66" i="26"/>
  <c r="C78" i="26"/>
  <c r="D14" i="26"/>
  <c r="D26" i="26"/>
  <c r="D38" i="26"/>
  <c r="D50" i="26"/>
  <c r="D62" i="26"/>
  <c r="D74" i="26"/>
  <c r="B40" i="26"/>
  <c r="C36" i="26"/>
  <c r="D8" i="26"/>
  <c r="D44" i="26"/>
  <c r="B11" i="26"/>
  <c r="B23" i="26"/>
  <c r="B35" i="26"/>
  <c r="B47" i="26"/>
  <c r="B59" i="26"/>
  <c r="B71" i="26"/>
  <c r="C7" i="26"/>
  <c r="C19" i="26"/>
  <c r="C31" i="26"/>
  <c r="C43" i="26"/>
  <c r="C55" i="26"/>
  <c r="C67" i="26"/>
  <c r="D3" i="26"/>
  <c r="D15" i="26"/>
  <c r="D27" i="26"/>
  <c r="D39" i="26"/>
  <c r="D51" i="26"/>
  <c r="D63" i="26"/>
  <c r="D75" i="26"/>
  <c r="C12" i="26"/>
  <c r="B12" i="26"/>
  <c r="B24" i="26"/>
  <c r="B36" i="26"/>
  <c r="B48" i="26"/>
  <c r="B60" i="26"/>
  <c r="B72" i="26"/>
  <c r="C8" i="26"/>
  <c r="C20" i="26"/>
  <c r="C32" i="26"/>
  <c r="C44" i="26"/>
  <c r="C56" i="26"/>
  <c r="C68" i="26"/>
  <c r="D4" i="26"/>
  <c r="D16" i="26"/>
  <c r="D28" i="26"/>
  <c r="D40" i="26"/>
  <c r="D52" i="26"/>
  <c r="D64" i="26"/>
  <c r="D76" i="26"/>
  <c r="C60" i="26"/>
  <c r="B13" i="26"/>
  <c r="B25" i="26"/>
  <c r="B37" i="26"/>
  <c r="B49" i="26"/>
  <c r="B61" i="26"/>
  <c r="B73" i="26"/>
  <c r="C9" i="26"/>
  <c r="C21" i="26"/>
  <c r="C33" i="26"/>
  <c r="C45" i="26"/>
  <c r="C57" i="26"/>
  <c r="C69" i="26"/>
  <c r="D5" i="26"/>
  <c r="D17" i="26"/>
  <c r="D29" i="26"/>
  <c r="D41" i="26"/>
  <c r="D53" i="26"/>
  <c r="D65" i="26"/>
  <c r="D77" i="26"/>
  <c r="B4" i="26"/>
  <c r="C24" i="26"/>
  <c r="D20" i="26"/>
  <c r="D56" i="26"/>
  <c r="B14" i="26"/>
  <c r="B26" i="26"/>
  <c r="B38" i="26"/>
  <c r="B50" i="26"/>
  <c r="B62" i="26"/>
  <c r="B74" i="26"/>
  <c r="C10" i="26"/>
  <c r="C22" i="26"/>
  <c r="C34" i="26"/>
  <c r="C46" i="26"/>
  <c r="C58" i="26"/>
  <c r="C70" i="26"/>
  <c r="D6" i="26"/>
  <c r="D18" i="26"/>
  <c r="D30" i="26"/>
  <c r="D42" i="26"/>
  <c r="D54" i="26"/>
  <c r="D66" i="26"/>
  <c r="D78" i="26"/>
  <c r="B64" i="26"/>
  <c r="C72" i="26"/>
  <c r="D32" i="26"/>
  <c r="B3" i="26"/>
  <c r="B15" i="26"/>
  <c r="B27" i="26"/>
  <c r="B39" i="26"/>
  <c r="B51" i="26"/>
  <c r="B63" i="26"/>
  <c r="B75" i="26"/>
  <c r="C11" i="26"/>
  <c r="C23" i="26"/>
  <c r="C35" i="26"/>
  <c r="C47" i="26"/>
  <c r="C59" i="26"/>
  <c r="C71" i="26"/>
  <c r="D7" i="26"/>
  <c r="D19" i="26"/>
  <c r="D31" i="26"/>
  <c r="D43" i="26"/>
  <c r="D55" i="26"/>
  <c r="D67" i="26"/>
  <c r="E85" i="26" l="1"/>
  <c r="F85" i="26" s="1"/>
  <c r="B1" i="26"/>
  <c r="D1" i="26"/>
  <c r="C1" i="26"/>
  <c r="E84" i="26"/>
  <c r="F84" i="26" s="1"/>
  <c r="E66" i="26"/>
  <c r="F66" i="26" s="1"/>
  <c r="E83" i="26"/>
  <c r="F83" i="26" s="1"/>
  <c r="E82" i="26"/>
  <c r="F82" i="26" s="1"/>
  <c r="E80" i="26"/>
  <c r="F80" i="26" s="1"/>
  <c r="E79" i="26"/>
  <c r="F79" i="26" s="1"/>
  <c r="E61" i="26"/>
  <c r="F61" i="26" s="1"/>
  <c r="E81" i="26"/>
  <c r="F81" i="26" s="1"/>
  <c r="E73" i="26"/>
  <c r="F73" i="26" s="1"/>
  <c r="E3" i="26"/>
  <c r="E78" i="26"/>
  <c r="F78" i="26" s="1"/>
  <c r="E31" i="26"/>
  <c r="F31" i="26" s="1"/>
  <c r="E27" i="26"/>
  <c r="F27" i="26" s="1"/>
  <c r="E14" i="26"/>
  <c r="F14" i="26" s="1"/>
  <c r="E39" i="26"/>
  <c r="F39" i="26" s="1"/>
  <c r="E26" i="26"/>
  <c r="F26" i="26" s="1"/>
  <c r="E34" i="26"/>
  <c r="F34" i="26" s="1"/>
  <c r="E48" i="26"/>
  <c r="F48" i="26" s="1"/>
  <c r="E22" i="26"/>
  <c r="F22" i="26" s="1"/>
  <c r="E70" i="26"/>
  <c r="F70" i="26" s="1"/>
  <c r="E7" i="26"/>
  <c r="F7" i="26" s="1"/>
  <c r="E63" i="26"/>
  <c r="F63" i="26" s="1"/>
  <c r="E58" i="26"/>
  <c r="F58" i="26" s="1"/>
  <c r="E15" i="26"/>
  <c r="F15" i="26" s="1"/>
  <c r="E64" i="26"/>
  <c r="F64" i="26" s="1"/>
  <c r="E75" i="26"/>
  <c r="F75" i="26" s="1"/>
  <c r="E62" i="26"/>
  <c r="F62" i="26" s="1"/>
  <c r="E50" i="26"/>
  <c r="F50" i="26" s="1"/>
  <c r="E51" i="26"/>
  <c r="F51" i="26" s="1"/>
  <c r="E38" i="26"/>
  <c r="F38" i="26" s="1"/>
  <c r="E25" i="26"/>
  <c r="F25" i="26" s="1"/>
  <c r="E4" i="26"/>
  <c r="F4" i="26" s="1"/>
  <c r="E42" i="26"/>
  <c r="F42" i="26" s="1"/>
  <c r="E49" i="26"/>
  <c r="F49" i="26" s="1"/>
  <c r="E55" i="26"/>
  <c r="F55" i="26" s="1"/>
  <c r="E46" i="26"/>
  <c r="F46" i="26" s="1"/>
  <c r="E10" i="26"/>
  <c r="F10" i="26" s="1"/>
  <c r="E30" i="26"/>
  <c r="F30" i="26" s="1"/>
  <c r="E43" i="26"/>
  <c r="F43" i="26" s="1"/>
  <c r="E19" i="26"/>
  <c r="F19" i="26" s="1"/>
  <c r="E74" i="26"/>
  <c r="F74" i="26" s="1"/>
  <c r="E21" i="26"/>
  <c r="F21" i="26" s="1"/>
  <c r="E67" i="26"/>
  <c r="F67" i="26" s="1"/>
  <c r="E18" i="26"/>
  <c r="F18" i="26" s="1"/>
  <c r="E24" i="26"/>
  <c r="F24" i="26" s="1"/>
  <c r="E37" i="26"/>
  <c r="F37" i="26" s="1"/>
  <c r="E9" i="26"/>
  <c r="F9" i="26" s="1"/>
  <c r="E71" i="26"/>
  <c r="F71" i="26" s="1"/>
  <c r="E16" i="26"/>
  <c r="E76" i="26"/>
  <c r="F76" i="26" s="1"/>
  <c r="E13" i="26"/>
  <c r="F13" i="26" s="1"/>
  <c r="E59" i="26"/>
  <c r="F59" i="26" s="1"/>
  <c r="E47" i="26"/>
  <c r="F47" i="26" s="1"/>
  <c r="E68" i="26"/>
  <c r="F68" i="26" s="1"/>
  <c r="E77" i="26"/>
  <c r="F77" i="26" s="1"/>
  <c r="E35" i="26"/>
  <c r="F35" i="26" s="1"/>
  <c r="E56" i="26"/>
  <c r="F56" i="26" s="1"/>
  <c r="E65" i="26"/>
  <c r="F65" i="26" s="1"/>
  <c r="E6" i="26"/>
  <c r="F6" i="26" s="1"/>
  <c r="E72" i="26"/>
  <c r="F72" i="26" s="1"/>
  <c r="E23" i="26"/>
  <c r="F23" i="26" s="1"/>
  <c r="E44" i="26"/>
  <c r="F44" i="26" s="1"/>
  <c r="E53" i="26"/>
  <c r="F53" i="26" s="1"/>
  <c r="E60" i="26"/>
  <c r="F60" i="26" s="1"/>
  <c r="E11" i="26"/>
  <c r="F11" i="26" s="1"/>
  <c r="E32" i="26"/>
  <c r="F32" i="26" s="1"/>
  <c r="E41" i="26"/>
  <c r="F41" i="26" s="1"/>
  <c r="E54" i="26"/>
  <c r="F54" i="26" s="1"/>
  <c r="E69" i="26"/>
  <c r="F69" i="26" s="1"/>
  <c r="E20" i="26"/>
  <c r="F20" i="26" s="1"/>
  <c r="E29" i="26"/>
  <c r="F29" i="26" s="1"/>
  <c r="K32" i="80" s="1"/>
  <c r="E36" i="26"/>
  <c r="F36" i="26" s="1"/>
  <c r="E57" i="26"/>
  <c r="F57" i="26" s="1"/>
  <c r="E8" i="26"/>
  <c r="F8" i="26" s="1"/>
  <c r="E17" i="26"/>
  <c r="F17" i="26" s="1"/>
  <c r="E45" i="26"/>
  <c r="F45" i="26" s="1"/>
  <c r="E52" i="26"/>
  <c r="F52" i="26" s="1"/>
  <c r="E5" i="26"/>
  <c r="F5" i="26" s="1"/>
  <c r="E12" i="26"/>
  <c r="F12" i="26" s="1"/>
  <c r="E40" i="26"/>
  <c r="F40" i="26" s="1"/>
  <c r="E33" i="26"/>
  <c r="F33" i="26" s="1"/>
  <c r="E28" i="26"/>
  <c r="F28" i="26" s="1"/>
  <c r="K21" i="80" l="1"/>
  <c r="K29" i="80"/>
  <c r="K41" i="80"/>
  <c r="K8" i="80"/>
  <c r="K20" i="80"/>
  <c r="K19" i="80"/>
  <c r="K28" i="80"/>
  <c r="K39" i="80"/>
  <c r="E1" i="26"/>
  <c r="F3" i="26"/>
  <c r="K38" i="80" s="1"/>
  <c r="F16" i="26"/>
  <c r="K36" i="80" s="1"/>
  <c r="K27" i="80" l="1"/>
  <c r="K17" i="80"/>
  <c r="K35" i="80"/>
  <c r="F1" i="26"/>
  <c r="K43" i="80" l="1"/>
  <c r="E99" i="23" l="1"/>
  <c r="C99" i="23" l="1"/>
  <c r="D99" i="23"/>
  <c r="D25" i="22"/>
  <c r="G160" i="22"/>
  <c r="B92" i="23" l="1"/>
  <c r="E129" i="23" l="1"/>
  <c r="D64" i="23"/>
  <c r="D111" i="23"/>
  <c r="D109" i="23" l="1"/>
  <c r="D84" i="23" l="1"/>
  <c r="E156" i="22" l="1"/>
  <c r="D156" i="22"/>
  <c r="C156" i="22"/>
  <c r="B156" i="22"/>
  <c r="E155" i="22"/>
  <c r="D155" i="22"/>
  <c r="C155" i="22"/>
  <c r="B155" i="22"/>
  <c r="E154" i="22"/>
  <c r="D154" i="22"/>
  <c r="C154" i="22"/>
  <c r="B154" i="22"/>
  <c r="E153" i="22"/>
  <c r="D153" i="22"/>
  <c r="C153" i="22"/>
  <c r="B153" i="22"/>
  <c r="E152" i="22"/>
  <c r="D152" i="22"/>
  <c r="C152" i="22"/>
  <c r="B152" i="22"/>
  <c r="E151" i="22"/>
  <c r="D151" i="22"/>
  <c r="C151" i="22"/>
  <c r="B151" i="22"/>
  <c r="E150" i="22"/>
  <c r="D150" i="22"/>
  <c r="C150" i="22"/>
  <c r="B150" i="22"/>
  <c r="E149" i="22"/>
  <c r="D149" i="22"/>
  <c r="C149" i="22"/>
  <c r="B149" i="22"/>
  <c r="E148" i="22"/>
  <c r="D148" i="22"/>
  <c r="C148" i="22"/>
  <c r="B148" i="22"/>
  <c r="E147" i="22"/>
  <c r="D147" i="22"/>
  <c r="C147" i="22"/>
  <c r="B147" i="22"/>
  <c r="E146" i="22"/>
  <c r="D146" i="22"/>
  <c r="C146" i="22"/>
  <c r="B146" i="22"/>
  <c r="E145" i="22"/>
  <c r="D145" i="22"/>
  <c r="C145" i="22"/>
  <c r="B145" i="22"/>
  <c r="E144" i="22"/>
  <c r="D144" i="22"/>
  <c r="C144" i="22"/>
  <c r="B144" i="22"/>
  <c r="E143" i="22"/>
  <c r="D143" i="22"/>
  <c r="C143" i="22"/>
  <c r="B143" i="22"/>
  <c r="E142" i="22"/>
  <c r="D142" i="22"/>
  <c r="C142" i="22"/>
  <c r="B142" i="22"/>
  <c r="E141" i="22"/>
  <c r="D141" i="22"/>
  <c r="C141" i="22"/>
  <c r="B141" i="22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G154" i="22" l="1"/>
  <c r="G153" i="22"/>
  <c r="G156" i="22"/>
  <c r="G149" i="22"/>
  <c r="G152" i="22"/>
  <c r="G144" i="22"/>
  <c r="F155" i="22"/>
  <c r="F147" i="22"/>
  <c r="F156" i="22"/>
  <c r="F153" i="22"/>
  <c r="F145" i="22"/>
  <c r="F148" i="22"/>
  <c r="G146" i="22"/>
  <c r="G155" i="22"/>
  <c r="F141" i="22"/>
  <c r="F144" i="22"/>
  <c r="G148" i="22"/>
  <c r="F151" i="22"/>
  <c r="G142" i="22"/>
  <c r="F152" i="22"/>
  <c r="F149" i="22"/>
  <c r="F154" i="22"/>
  <c r="G141" i="22"/>
  <c r="F150" i="22"/>
  <c r="G147" i="22"/>
  <c r="G150" i="22"/>
  <c r="G145" i="22"/>
  <c r="F142" i="22"/>
  <c r="F143" i="22"/>
  <c r="F146" i="22"/>
  <c r="G151" i="22"/>
  <c r="G143" i="22"/>
  <c r="H153" i="22" l="1"/>
  <c r="H149" i="22"/>
  <c r="H156" i="22"/>
  <c r="H154" i="22"/>
  <c r="H152" i="22"/>
  <c r="H147" i="22"/>
  <c r="H155" i="22"/>
  <c r="H144" i="22"/>
  <c r="H146" i="22"/>
  <c r="H151" i="22"/>
  <c r="H148" i="22"/>
  <c r="H145" i="22"/>
  <c r="H141" i="22"/>
  <c r="H142" i="22"/>
  <c r="H143" i="22"/>
  <c r="H150" i="22"/>
  <c r="D150" i="23"/>
  <c r="B116" i="23"/>
  <c r="B8" i="23" s="1"/>
  <c r="D36" i="23" l="1"/>
  <c r="E140" i="22" l="1"/>
  <c r="D140" i="22"/>
  <c r="C140" i="22"/>
  <c r="B140" i="22"/>
  <c r="E139" i="22"/>
  <c r="D139" i="22"/>
  <c r="C139" i="22"/>
  <c r="B139" i="22"/>
  <c r="E138" i="22"/>
  <c r="D138" i="22"/>
  <c r="C138" i="22"/>
  <c r="B138" i="22"/>
  <c r="E137" i="22"/>
  <c r="D137" i="22"/>
  <c r="C137" i="22"/>
  <c r="B137" i="22"/>
  <c r="F156" i="23"/>
  <c r="F155" i="23"/>
  <c r="F154" i="23"/>
  <c r="F153" i="23"/>
  <c r="G139" i="22" l="1"/>
  <c r="F137" i="22"/>
  <c r="F140" i="22"/>
  <c r="F138" i="22"/>
  <c r="G138" i="22"/>
  <c r="F139" i="22"/>
  <c r="G137" i="22"/>
  <c r="G140" i="22"/>
  <c r="H139" i="22" l="1"/>
  <c r="H140" i="22"/>
  <c r="H137" i="22"/>
  <c r="H138" i="22"/>
  <c r="E136" i="22" l="1"/>
  <c r="D136" i="22"/>
  <c r="C136" i="22"/>
  <c r="B136" i="22"/>
  <c r="E135" i="22"/>
  <c r="D135" i="22"/>
  <c r="C135" i="22"/>
  <c r="B135" i="22"/>
  <c r="F152" i="23"/>
  <c r="F151" i="23"/>
  <c r="G136" i="22" l="1"/>
  <c r="G135" i="22"/>
  <c r="F136" i="22"/>
  <c r="F135" i="22"/>
  <c r="H136" i="22" l="1"/>
  <c r="H135" i="22"/>
  <c r="D8" i="23"/>
  <c r="C8" i="23" l="1"/>
  <c r="E8" i="23"/>
  <c r="F10" i="23"/>
  <c r="F150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7" i="22"/>
  <c r="E86" i="22"/>
  <c r="E85" i="22"/>
  <c r="E84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3" i="22"/>
  <c r="D32" i="22"/>
  <c r="D31" i="22"/>
  <c r="D30" i="22"/>
  <c r="D29" i="22"/>
  <c r="D28" i="22"/>
  <c r="D27" i="22"/>
  <c r="D26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C134" i="22"/>
  <c r="C133" i="22"/>
  <c r="C132" i="22"/>
  <c r="C131" i="22"/>
  <c r="C130" i="22"/>
  <c r="C129" i="22"/>
  <c r="C128" i="22"/>
  <c r="C127" i="22"/>
  <c r="C126" i="22"/>
  <c r="C125" i="22"/>
  <c r="C124" i="22"/>
  <c r="C123" i="22"/>
  <c r="C122" i="22"/>
  <c r="C121" i="22"/>
  <c r="C120" i="22"/>
  <c r="C119" i="22"/>
  <c r="C118" i="22"/>
  <c r="C117" i="22"/>
  <c r="C116" i="22"/>
  <c r="C115" i="22"/>
  <c r="C114" i="22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B134" i="22"/>
  <c r="B133" i="22"/>
  <c r="B132" i="22"/>
  <c r="B131" i="22"/>
  <c r="B130" i="22"/>
  <c r="B129" i="22"/>
  <c r="B128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3" i="22"/>
  <c r="B92" i="22"/>
  <c r="B91" i="22"/>
  <c r="B90" i="22"/>
  <c r="B89" i="22"/>
  <c r="B88" i="22"/>
  <c r="B87" i="22"/>
  <c r="B86" i="22"/>
  <c r="B85" i="22"/>
  <c r="B84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E8" i="22" l="1"/>
  <c r="D8" i="22"/>
  <c r="G65" i="22"/>
  <c r="F28" i="22"/>
  <c r="G62" i="22"/>
  <c r="G74" i="22"/>
  <c r="G88" i="22"/>
  <c r="G100" i="22"/>
  <c r="G112" i="22"/>
  <c r="G124" i="22"/>
  <c r="F17" i="22"/>
  <c r="F29" i="22"/>
  <c r="F41" i="22"/>
  <c r="F53" i="22"/>
  <c r="F65" i="22"/>
  <c r="F77" i="22"/>
  <c r="F91" i="22"/>
  <c r="F103" i="22"/>
  <c r="F115" i="22"/>
  <c r="F127" i="22"/>
  <c r="G26" i="22"/>
  <c r="G38" i="22"/>
  <c r="G50" i="22"/>
  <c r="G14" i="22"/>
  <c r="F113" i="22"/>
  <c r="F125" i="22"/>
  <c r="G31" i="22"/>
  <c r="G43" i="22"/>
  <c r="G55" i="22"/>
  <c r="G67" i="22"/>
  <c r="G79" i="22"/>
  <c r="G93" i="22"/>
  <c r="G105" i="22"/>
  <c r="G117" i="22"/>
  <c r="G129" i="22"/>
  <c r="F27" i="22"/>
  <c r="F39" i="22"/>
  <c r="F51" i="22"/>
  <c r="F63" i="22"/>
  <c r="F75" i="22"/>
  <c r="F89" i="22"/>
  <c r="F101" i="22"/>
  <c r="G48" i="22"/>
  <c r="G60" i="22"/>
  <c r="G72" i="22"/>
  <c r="G98" i="22"/>
  <c r="G110" i="22"/>
  <c r="G122" i="22"/>
  <c r="G134" i="22"/>
  <c r="G36" i="22"/>
  <c r="G86" i="22"/>
  <c r="G19" i="22"/>
  <c r="G24" i="22"/>
  <c r="F31" i="22"/>
  <c r="F43" i="22"/>
  <c r="G64" i="22"/>
  <c r="G114" i="22"/>
  <c r="G96" i="22"/>
  <c r="G11" i="22"/>
  <c r="G23" i="22"/>
  <c r="G35" i="22"/>
  <c r="G47" i="22"/>
  <c r="G59" i="22"/>
  <c r="G71" i="22"/>
  <c r="G85" i="22"/>
  <c r="G97" i="22"/>
  <c r="G109" i="22"/>
  <c r="G121" i="22"/>
  <c r="G133" i="22"/>
  <c r="F30" i="22"/>
  <c r="F44" i="22"/>
  <c r="F80" i="22"/>
  <c r="G17" i="22"/>
  <c r="G29" i="22"/>
  <c r="G41" i="22"/>
  <c r="G53" i="22"/>
  <c r="G77" i="22"/>
  <c r="G91" i="22"/>
  <c r="G103" i="22"/>
  <c r="G115" i="22"/>
  <c r="G127" i="22"/>
  <c r="G46" i="22"/>
  <c r="F119" i="22"/>
  <c r="G22" i="22"/>
  <c r="G34" i="22"/>
  <c r="G58" i="22"/>
  <c r="G70" i="22"/>
  <c r="G84" i="22"/>
  <c r="G108" i="22"/>
  <c r="G120" i="22"/>
  <c r="G132" i="22"/>
  <c r="G16" i="22"/>
  <c r="F21" i="22"/>
  <c r="F33" i="22"/>
  <c r="F45" i="22"/>
  <c r="F57" i="22"/>
  <c r="F69" i="22"/>
  <c r="F81" i="22"/>
  <c r="F95" i="22"/>
  <c r="F107" i="22"/>
  <c r="F131" i="22"/>
  <c r="G54" i="22"/>
  <c r="G116" i="22"/>
  <c r="F110" i="22"/>
  <c r="F36" i="22"/>
  <c r="F48" i="22"/>
  <c r="F60" i="22"/>
  <c r="F72" i="22"/>
  <c r="F86" i="22"/>
  <c r="F98" i="22"/>
  <c r="F122" i="22"/>
  <c r="F134" i="22"/>
  <c r="F24" i="22"/>
  <c r="F23" i="22"/>
  <c r="F35" i="22"/>
  <c r="F47" i="22"/>
  <c r="F59" i="22"/>
  <c r="F71" i="22"/>
  <c r="F85" i="22"/>
  <c r="F97" i="22"/>
  <c r="F109" i="22"/>
  <c r="F121" i="22"/>
  <c r="F133" i="22"/>
  <c r="G20" i="22"/>
  <c r="G32" i="22"/>
  <c r="G44" i="22"/>
  <c r="G56" i="22"/>
  <c r="G68" i="22"/>
  <c r="G80" i="22"/>
  <c r="G94" i="22"/>
  <c r="G106" i="22"/>
  <c r="G118" i="22"/>
  <c r="G130" i="22"/>
  <c r="G45" i="22"/>
  <c r="G95" i="22"/>
  <c r="F15" i="22"/>
  <c r="G21" i="22"/>
  <c r="G33" i="22"/>
  <c r="G57" i="22"/>
  <c r="G69" i="22"/>
  <c r="G81" i="22"/>
  <c r="G83" i="22" s="1"/>
  <c r="H83" i="22" s="1"/>
  <c r="G107" i="22"/>
  <c r="G119" i="22"/>
  <c r="G131" i="22"/>
  <c r="G12" i="22"/>
  <c r="F12" i="22"/>
  <c r="F26" i="22"/>
  <c r="F50" i="22"/>
  <c r="F74" i="22"/>
  <c r="F112" i="22"/>
  <c r="F14" i="22"/>
  <c r="F38" i="22"/>
  <c r="F62" i="22"/>
  <c r="F88" i="22"/>
  <c r="F100" i="22"/>
  <c r="F124" i="22"/>
  <c r="F20" i="22"/>
  <c r="F32" i="22"/>
  <c r="F56" i="22"/>
  <c r="F68" i="22"/>
  <c r="F94" i="22"/>
  <c r="F106" i="22"/>
  <c r="F118" i="22"/>
  <c r="F130" i="22"/>
  <c r="G18" i="22"/>
  <c r="G30" i="22"/>
  <c r="G42" i="22"/>
  <c r="G66" i="22"/>
  <c r="G78" i="22"/>
  <c r="G92" i="22"/>
  <c r="G104" i="22"/>
  <c r="G128" i="22"/>
  <c r="F22" i="22"/>
  <c r="F34" i="22"/>
  <c r="F46" i="22"/>
  <c r="F58" i="22"/>
  <c r="F70" i="22"/>
  <c r="F84" i="22"/>
  <c r="F96" i="22"/>
  <c r="F108" i="22"/>
  <c r="F120" i="22"/>
  <c r="F132" i="22"/>
  <c r="F11" i="22"/>
  <c r="F16" i="22"/>
  <c r="F40" i="22"/>
  <c r="F52" i="22"/>
  <c r="F64" i="22"/>
  <c r="F76" i="22"/>
  <c r="F90" i="22"/>
  <c r="F102" i="22"/>
  <c r="F114" i="22"/>
  <c r="F126" i="22"/>
  <c r="F18" i="22"/>
  <c r="F42" i="22"/>
  <c r="F54" i="22"/>
  <c r="F66" i="22"/>
  <c r="F78" i="22"/>
  <c r="F92" i="22"/>
  <c r="F104" i="22"/>
  <c r="F116" i="22"/>
  <c r="F128" i="22"/>
  <c r="F19" i="22"/>
  <c r="F55" i="22"/>
  <c r="F67" i="22"/>
  <c r="F79" i="22"/>
  <c r="F93" i="22"/>
  <c r="F105" i="22"/>
  <c r="F117" i="22"/>
  <c r="F129" i="22"/>
  <c r="G28" i="22"/>
  <c r="G40" i="22"/>
  <c r="G52" i="22"/>
  <c r="G76" i="22"/>
  <c r="G90" i="22"/>
  <c r="G102" i="22"/>
  <c r="G126" i="22"/>
  <c r="G13" i="22"/>
  <c r="G25" i="22"/>
  <c r="G37" i="22"/>
  <c r="G49" i="22"/>
  <c r="G61" i="22"/>
  <c r="G73" i="22"/>
  <c r="G87" i="22"/>
  <c r="G99" i="22"/>
  <c r="G111" i="22"/>
  <c r="G123" i="22"/>
  <c r="G15" i="22"/>
  <c r="G27" i="22"/>
  <c r="G39" i="22"/>
  <c r="G51" i="22"/>
  <c r="G63" i="22"/>
  <c r="G75" i="22"/>
  <c r="G89" i="22"/>
  <c r="G101" i="22"/>
  <c r="G113" i="22"/>
  <c r="G125" i="22"/>
  <c r="G10" i="22"/>
  <c r="F13" i="22"/>
  <c r="F25" i="22"/>
  <c r="F37" i="22"/>
  <c r="F49" i="22"/>
  <c r="F61" i="22"/>
  <c r="F73" i="22"/>
  <c r="F87" i="22"/>
  <c r="F99" i="22"/>
  <c r="F111" i="22"/>
  <c r="F123" i="22"/>
  <c r="F10" i="22"/>
  <c r="V14" i="22"/>
  <c r="W14" i="22" s="1"/>
  <c r="V13" i="22"/>
  <c r="V12" i="22"/>
  <c r="W12" i="22" s="1"/>
  <c r="V11" i="22"/>
  <c r="R40" i="22"/>
  <c r="V10" i="22"/>
  <c r="Q38" i="22"/>
  <c r="Q40" i="22" s="1"/>
  <c r="W13" i="22" l="1"/>
  <c r="W11" i="22"/>
  <c r="H63" i="22"/>
  <c r="H65" i="22"/>
  <c r="H62" i="22"/>
  <c r="H88" i="22"/>
  <c r="H112" i="22"/>
  <c r="G8" i="22"/>
  <c r="F8" i="22"/>
  <c r="H38" i="22"/>
  <c r="H124" i="22"/>
  <c r="H28" i="22"/>
  <c r="H125" i="22"/>
  <c r="H77" i="22"/>
  <c r="H50" i="22"/>
  <c r="H100" i="22"/>
  <c r="H14" i="22"/>
  <c r="H74" i="22"/>
  <c r="H29" i="22"/>
  <c r="H115" i="22"/>
  <c r="H103" i="22"/>
  <c r="H41" i="22"/>
  <c r="H89" i="22"/>
  <c r="H53" i="22"/>
  <c r="H17" i="22"/>
  <c r="H91" i="22"/>
  <c r="H26" i="22"/>
  <c r="H127" i="22"/>
  <c r="H113" i="22"/>
  <c r="H75" i="22"/>
  <c r="H31" i="22"/>
  <c r="H55" i="22"/>
  <c r="H43" i="22"/>
  <c r="H60" i="22"/>
  <c r="H67" i="22"/>
  <c r="H48" i="22"/>
  <c r="H93" i="22"/>
  <c r="H79" i="22"/>
  <c r="H27" i="22"/>
  <c r="H122" i="22"/>
  <c r="H39" i="22"/>
  <c r="H117" i="22"/>
  <c r="H129" i="22"/>
  <c r="H134" i="22"/>
  <c r="H51" i="22"/>
  <c r="H105" i="22"/>
  <c r="H64" i="22"/>
  <c r="H119" i="22"/>
  <c r="H114" i="22"/>
  <c r="H96" i="22"/>
  <c r="H121" i="22"/>
  <c r="H98" i="22"/>
  <c r="H133" i="22"/>
  <c r="H109" i="22"/>
  <c r="H72" i="22"/>
  <c r="H101" i="22"/>
  <c r="H110" i="22"/>
  <c r="H24" i="22"/>
  <c r="H86" i="22"/>
  <c r="H19" i="22"/>
  <c r="H97" i="22"/>
  <c r="H36" i="22"/>
  <c r="H11" i="22"/>
  <c r="H30" i="22"/>
  <c r="H85" i="22"/>
  <c r="H44" i="22"/>
  <c r="H71" i="22"/>
  <c r="H59" i="22"/>
  <c r="H58" i="22"/>
  <c r="H130" i="22"/>
  <c r="H47" i="22"/>
  <c r="H35" i="22"/>
  <c r="H106" i="22"/>
  <c r="H23" i="22"/>
  <c r="H22" i="22"/>
  <c r="H94" i="22"/>
  <c r="H80" i="22"/>
  <c r="H120" i="22"/>
  <c r="H34" i="22"/>
  <c r="H81" i="22"/>
  <c r="H46" i="22"/>
  <c r="H70" i="22"/>
  <c r="H131" i="22"/>
  <c r="H45" i="22"/>
  <c r="H108" i="22"/>
  <c r="J32" i="80" s="1"/>
  <c r="H132" i="22"/>
  <c r="H33" i="22"/>
  <c r="H16" i="22"/>
  <c r="H68" i="22"/>
  <c r="H84" i="22"/>
  <c r="H21" i="22"/>
  <c r="H95" i="22"/>
  <c r="H116" i="22"/>
  <c r="H42" i="22"/>
  <c r="H69" i="22"/>
  <c r="H57" i="22"/>
  <c r="H56" i="22"/>
  <c r="H32" i="22"/>
  <c r="H54" i="22"/>
  <c r="H107" i="22"/>
  <c r="H20" i="22"/>
  <c r="H118" i="22"/>
  <c r="H12" i="22"/>
  <c r="H78" i="22"/>
  <c r="H128" i="22"/>
  <c r="H40" i="22"/>
  <c r="H15" i="22"/>
  <c r="H66" i="22"/>
  <c r="H102" i="22"/>
  <c r="H18" i="22"/>
  <c r="H37" i="22"/>
  <c r="H104" i="22"/>
  <c r="H92" i="22"/>
  <c r="H90" i="22"/>
  <c r="H123" i="22"/>
  <c r="H111" i="22"/>
  <c r="H73" i="22"/>
  <c r="H126" i="22"/>
  <c r="H76" i="22"/>
  <c r="H52" i="22"/>
  <c r="H49" i="22"/>
  <c r="H87" i="22"/>
  <c r="H25" i="22"/>
  <c r="H10" i="22"/>
  <c r="H61" i="22"/>
  <c r="H13" i="22"/>
  <c r="H99" i="22"/>
  <c r="J21" i="80" s="1"/>
  <c r="V15" i="22"/>
  <c r="J39" i="80" l="1"/>
  <c r="J38" i="80"/>
  <c r="J29" i="80"/>
  <c r="J41" i="80"/>
  <c r="J20" i="80"/>
  <c r="J19" i="80"/>
  <c r="J8" i="80"/>
  <c r="I8" i="80"/>
  <c r="J36" i="80"/>
  <c r="J28" i="80"/>
  <c r="H8" i="22"/>
  <c r="B110" i="16"/>
  <c r="J27" i="80" l="1"/>
  <c r="J35" i="80"/>
  <c r="J17" i="80"/>
  <c r="J43" i="80" l="1"/>
  <c r="D58" i="17" l="1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20" i="16"/>
  <c r="D59" i="17" l="1"/>
  <c r="P14" i="16" l="1"/>
  <c r="P13" i="16"/>
  <c r="P12" i="16"/>
  <c r="P11" i="16"/>
  <c r="P10" i="16"/>
  <c r="H98" i="14"/>
  <c r="H84" i="14"/>
  <c r="H82" i="14"/>
  <c r="H73" i="14"/>
  <c r="H43" i="14"/>
  <c r="H42" i="14"/>
  <c r="H38" i="14"/>
  <c r="H32" i="14"/>
  <c r="D129" i="16"/>
  <c r="H127" i="14" s="1"/>
  <c r="D128" i="16"/>
  <c r="H126" i="14" s="1"/>
  <c r="D127" i="16"/>
  <c r="H125" i="14" s="1"/>
  <c r="D126" i="16"/>
  <c r="H124" i="14" s="1"/>
  <c r="D125" i="16"/>
  <c r="H123" i="14" s="1"/>
  <c r="D124" i="16"/>
  <c r="H122" i="14" s="1"/>
  <c r="D123" i="16"/>
  <c r="H121" i="14" s="1"/>
  <c r="D122" i="16"/>
  <c r="H120" i="14" s="1"/>
  <c r="D121" i="16"/>
  <c r="H119" i="14" s="1"/>
  <c r="D120" i="16"/>
  <c r="H118" i="14" s="1"/>
  <c r="D119" i="16"/>
  <c r="H117" i="14" s="1"/>
  <c r="D118" i="16"/>
  <c r="H116" i="14" s="1"/>
  <c r="D117" i="16"/>
  <c r="H115" i="14" s="1"/>
  <c r="D116" i="16"/>
  <c r="H114" i="14" s="1"/>
  <c r="D115" i="16"/>
  <c r="H113" i="14" s="1"/>
  <c r="D114" i="16"/>
  <c r="H112" i="14" s="1"/>
  <c r="D113" i="16"/>
  <c r="H111" i="14" s="1"/>
  <c r="D112" i="16"/>
  <c r="H110" i="14" s="1"/>
  <c r="D111" i="16"/>
  <c r="H109" i="14" s="1"/>
  <c r="D110" i="16"/>
  <c r="H108" i="14" s="1"/>
  <c r="D109" i="16"/>
  <c r="H107" i="14" s="1"/>
  <c r="D108" i="16"/>
  <c r="H106" i="14" s="1"/>
  <c r="D107" i="16"/>
  <c r="D106" i="16"/>
  <c r="H104" i="14" s="1"/>
  <c r="D105" i="16"/>
  <c r="H103" i="14" s="1"/>
  <c r="D104" i="16"/>
  <c r="H102" i="14" s="1"/>
  <c r="D103" i="16"/>
  <c r="H101" i="14" s="1"/>
  <c r="D102" i="16"/>
  <c r="H100" i="14" s="1"/>
  <c r="D101" i="16"/>
  <c r="H99" i="14" s="1"/>
  <c r="D100" i="16"/>
  <c r="H97" i="14" s="1"/>
  <c r="D99" i="16"/>
  <c r="H96" i="14" s="1"/>
  <c r="D98" i="16"/>
  <c r="D97" i="16"/>
  <c r="H94" i="14" s="1"/>
  <c r="D96" i="16"/>
  <c r="H93" i="14" s="1"/>
  <c r="D95" i="16"/>
  <c r="H92" i="14" s="1"/>
  <c r="D94" i="16"/>
  <c r="H91" i="14" s="1"/>
  <c r="D93" i="16"/>
  <c r="H90" i="14" s="1"/>
  <c r="D92" i="16"/>
  <c r="H89" i="14" s="1"/>
  <c r="D91" i="16"/>
  <c r="H88" i="14" s="1"/>
  <c r="D90" i="16"/>
  <c r="H87" i="14" s="1"/>
  <c r="D89" i="16"/>
  <c r="H86" i="14" s="1"/>
  <c r="D88" i="16"/>
  <c r="H85" i="14" s="1"/>
  <c r="D87" i="16"/>
  <c r="D86" i="16"/>
  <c r="H83" i="14" s="1"/>
  <c r="D85" i="16"/>
  <c r="D84" i="16"/>
  <c r="H81" i="14" s="1"/>
  <c r="D83" i="16"/>
  <c r="H80" i="14" s="1"/>
  <c r="D82" i="16"/>
  <c r="H79" i="14" s="1"/>
  <c r="D81" i="16"/>
  <c r="H78" i="14" s="1"/>
  <c r="D78" i="16"/>
  <c r="H77" i="14" s="1"/>
  <c r="D77" i="16"/>
  <c r="H76" i="14" s="1"/>
  <c r="D76" i="16"/>
  <c r="H75" i="14" s="1"/>
  <c r="D75" i="16"/>
  <c r="H74" i="14" s="1"/>
  <c r="D74" i="16"/>
  <c r="D73" i="16"/>
  <c r="H72" i="14" s="1"/>
  <c r="D72" i="16"/>
  <c r="H71" i="14" s="1"/>
  <c r="D71" i="16"/>
  <c r="H70" i="14" s="1"/>
  <c r="D70" i="16"/>
  <c r="H69" i="14" s="1"/>
  <c r="D69" i="16"/>
  <c r="H68" i="14" s="1"/>
  <c r="D68" i="16"/>
  <c r="H67" i="14" s="1"/>
  <c r="D67" i="16"/>
  <c r="H66" i="14" s="1"/>
  <c r="D66" i="16"/>
  <c r="H65" i="14" s="1"/>
  <c r="D65" i="16"/>
  <c r="H64" i="14" s="1"/>
  <c r="D64" i="16"/>
  <c r="H63" i="14" s="1"/>
  <c r="D63" i="16"/>
  <c r="H62" i="14" s="1"/>
  <c r="D62" i="16"/>
  <c r="H61" i="14" s="1"/>
  <c r="D61" i="16"/>
  <c r="H60" i="14" s="1"/>
  <c r="D60" i="16"/>
  <c r="H59" i="14" s="1"/>
  <c r="D59" i="16"/>
  <c r="H58" i="14" s="1"/>
  <c r="D58" i="16"/>
  <c r="H57" i="14" s="1"/>
  <c r="D57" i="16"/>
  <c r="H56" i="14" s="1"/>
  <c r="D56" i="16"/>
  <c r="H55" i="14" s="1"/>
  <c r="D55" i="16"/>
  <c r="H54" i="14" s="1"/>
  <c r="D54" i="16"/>
  <c r="H53" i="14" s="1"/>
  <c r="D53" i="16"/>
  <c r="H52" i="14" s="1"/>
  <c r="D52" i="16"/>
  <c r="H51" i="14" s="1"/>
  <c r="D51" i="16"/>
  <c r="H50" i="14" s="1"/>
  <c r="D50" i="16"/>
  <c r="H49" i="14" s="1"/>
  <c r="D49" i="16"/>
  <c r="D48" i="16"/>
  <c r="H47" i="14" s="1"/>
  <c r="D47" i="16"/>
  <c r="H46" i="14" s="1"/>
  <c r="D46" i="16"/>
  <c r="H45" i="14" s="1"/>
  <c r="D45" i="16"/>
  <c r="H44" i="14" s="1"/>
  <c r="D44" i="16"/>
  <c r="D43" i="16"/>
  <c r="D42" i="16"/>
  <c r="H41" i="14" s="1"/>
  <c r="D41" i="16"/>
  <c r="H40" i="14" s="1"/>
  <c r="D40" i="16"/>
  <c r="H39" i="14" s="1"/>
  <c r="D39" i="16"/>
  <c r="D38" i="16"/>
  <c r="D37" i="16"/>
  <c r="H36" i="14" s="1"/>
  <c r="D36" i="16"/>
  <c r="H35" i="14" s="1"/>
  <c r="D35" i="16"/>
  <c r="H34" i="14" s="1"/>
  <c r="D34" i="16"/>
  <c r="H33" i="14" s="1"/>
  <c r="D33" i="16"/>
  <c r="D32" i="16"/>
  <c r="H31" i="14" s="1"/>
  <c r="D31" i="16"/>
  <c r="H30" i="14" s="1"/>
  <c r="D30" i="16"/>
  <c r="H29" i="14" s="1"/>
  <c r="D29" i="16"/>
  <c r="H28" i="14" s="1"/>
  <c r="D28" i="16"/>
  <c r="H27" i="14" s="1"/>
  <c r="D27" i="16"/>
  <c r="H26" i="14" s="1"/>
  <c r="D26" i="16"/>
  <c r="H25" i="14" s="1"/>
  <c r="D25" i="16"/>
  <c r="D24" i="16"/>
  <c r="D23" i="16"/>
  <c r="H22" i="14" s="1"/>
  <c r="D22" i="16"/>
  <c r="D21" i="16"/>
  <c r="D19" i="16"/>
  <c r="H19" i="14" s="1"/>
  <c r="D18" i="16"/>
  <c r="H18" i="14" s="1"/>
  <c r="D17" i="16"/>
  <c r="H17" i="14" s="1"/>
  <c r="D16" i="16"/>
  <c r="H16" i="14" s="1"/>
  <c r="D15" i="16"/>
  <c r="D14" i="16"/>
  <c r="D13" i="16"/>
  <c r="D12" i="16"/>
  <c r="H12" i="14" s="1"/>
  <c r="D11" i="16"/>
  <c r="H11" i="14" s="1"/>
  <c r="D10" i="16"/>
  <c r="I38" i="80" l="1"/>
  <c r="I39" i="80"/>
  <c r="H48" i="14"/>
  <c r="I36" i="80"/>
  <c r="H13" i="14"/>
  <c r="I41" i="80"/>
  <c r="H95" i="14"/>
  <c r="I21" i="80"/>
  <c r="H105" i="14"/>
  <c r="I32" i="80"/>
  <c r="H15" i="14"/>
  <c r="I28" i="80"/>
  <c r="I20" i="80"/>
  <c r="H14" i="14"/>
  <c r="I29" i="80"/>
  <c r="I19" i="80"/>
  <c r="H20" i="14"/>
  <c r="H24" i="14"/>
  <c r="H10" i="14"/>
  <c r="H21" i="14"/>
  <c r="H23" i="14"/>
  <c r="H37" i="14"/>
  <c r="P15" i="16"/>
  <c r="I27" i="80" l="1"/>
  <c r="I35" i="80"/>
  <c r="I17" i="80"/>
  <c r="I43" i="80" l="1"/>
  <c r="K40" i="14"/>
  <c r="K39" i="14"/>
  <c r="D127" i="14" l="1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3" i="14"/>
  <c r="D81" i="14"/>
  <c r="D80" i="14"/>
  <c r="D79" i="14"/>
  <c r="D78" i="14"/>
  <c r="D77" i="14"/>
  <c r="D76" i="14"/>
  <c r="D75" i="14"/>
  <c r="D74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1" i="14"/>
  <c r="D40" i="14"/>
  <c r="D39" i="14"/>
  <c r="D37" i="14"/>
  <c r="D36" i="14"/>
  <c r="D35" i="14"/>
  <c r="D34" i="14"/>
  <c r="D33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C128" i="14"/>
  <c r="B128" i="14"/>
  <c r="D44" i="12" l="1"/>
  <c r="D95" i="12"/>
  <c r="K41" i="14" l="1"/>
  <c r="P14" i="14" l="1"/>
  <c r="P13" i="14"/>
  <c r="P12" i="14"/>
  <c r="P11" i="14"/>
  <c r="P10" i="14"/>
  <c r="D10" i="14"/>
  <c r="P15" i="14" l="1"/>
  <c r="D8" i="14"/>
  <c r="D128" i="14"/>
  <c r="D129" i="12" l="1"/>
  <c r="D128" i="12"/>
  <c r="Q11" i="12" l="1"/>
  <c r="Q10" i="12"/>
  <c r="Q9" i="12"/>
  <c r="Q8" i="12"/>
  <c r="Q7" i="12"/>
  <c r="Q12" i="12" l="1"/>
  <c r="D136" i="12" l="1"/>
  <c r="D135" i="12"/>
  <c r="D134" i="12"/>
  <c r="D133" i="12"/>
  <c r="D132" i="12"/>
  <c r="D131" i="12"/>
  <c r="D130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H32" i="80" s="1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H21" i="80" s="1"/>
  <c r="D102" i="12"/>
  <c r="D101" i="12"/>
  <c r="D100" i="12"/>
  <c r="D99" i="12"/>
  <c r="D98" i="12"/>
  <c r="D97" i="12"/>
  <c r="D96" i="12"/>
  <c r="D94" i="12"/>
  <c r="D93" i="12"/>
  <c r="D92" i="12"/>
  <c r="D91" i="12"/>
  <c r="D90" i="12"/>
  <c r="D89" i="12"/>
  <c r="D88" i="12"/>
  <c r="D87" i="12"/>
  <c r="D86" i="12"/>
  <c r="D85" i="12"/>
  <c r="D84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H12" i="80" s="1"/>
  <c r="D10" i="12"/>
  <c r="H11" i="80" l="1"/>
  <c r="H38" i="80"/>
  <c r="H8" i="80"/>
  <c r="H29" i="80"/>
  <c r="H36" i="80"/>
  <c r="H41" i="80"/>
  <c r="H39" i="80"/>
  <c r="H28" i="80"/>
  <c r="H20" i="80"/>
  <c r="H19" i="80"/>
  <c r="D8" i="12"/>
  <c r="D137" i="12"/>
  <c r="H27" i="80" l="1"/>
  <c r="H35" i="80"/>
  <c r="H17" i="80"/>
  <c r="H43" i="80" l="1"/>
  <c r="Q7" i="10"/>
  <c r="Q6" i="10"/>
  <c r="Q5" i="10"/>
  <c r="Q4" i="10"/>
  <c r="Q3" i="10"/>
  <c r="Q8" i="10" l="1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G32" i="80" s="1"/>
  <c r="D100" i="10"/>
  <c r="D99" i="10"/>
  <c r="D98" i="10"/>
  <c r="D97" i="10"/>
  <c r="D96" i="10"/>
  <c r="D95" i="10"/>
  <c r="D94" i="10"/>
  <c r="D93" i="10"/>
  <c r="D92" i="10"/>
  <c r="G21" i="80" s="1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G12" i="80" s="1"/>
  <c r="D10" i="10"/>
  <c r="G11" i="80" l="1"/>
  <c r="G29" i="80"/>
  <c r="G28" i="80"/>
  <c r="G36" i="80"/>
  <c r="G8" i="80"/>
  <c r="G39" i="80"/>
  <c r="G38" i="80"/>
  <c r="G20" i="80"/>
  <c r="G19" i="80"/>
  <c r="G41" i="80"/>
  <c r="D8" i="10"/>
  <c r="D121" i="10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P2" i="9" s="1"/>
  <c r="M16" i="9"/>
  <c r="M15" i="9"/>
  <c r="P6" i="9" s="1"/>
  <c r="M14" i="9"/>
  <c r="M13" i="9"/>
  <c r="M12" i="9"/>
  <c r="M11" i="9"/>
  <c r="M10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F32" i="80" s="1"/>
  <c r="D110" i="9"/>
  <c r="D109" i="9"/>
  <c r="D108" i="9"/>
  <c r="D107" i="9"/>
  <c r="D106" i="9"/>
  <c r="D105" i="9"/>
  <c r="D104" i="9"/>
  <c r="D103" i="9"/>
  <c r="D102" i="9"/>
  <c r="D101" i="9"/>
  <c r="D100" i="9"/>
  <c r="F21" i="80" s="1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F12" i="80" s="1"/>
  <c r="D10" i="9"/>
  <c r="L46" i="8"/>
  <c r="L45" i="8"/>
  <c r="L44" i="8"/>
  <c r="L43" i="8"/>
  <c r="L42" i="8"/>
  <c r="L41" i="8"/>
  <c r="L40" i="8"/>
  <c r="L39" i="8"/>
  <c r="L38" i="8"/>
  <c r="L37" i="8"/>
  <c r="L36" i="8"/>
  <c r="L32" i="8"/>
  <c r="L31" i="8"/>
  <c r="L30" i="8"/>
  <c r="K47" i="8"/>
  <c r="L47" i="8" s="1"/>
  <c r="K33" i="8"/>
  <c r="L33" i="8" s="1"/>
  <c r="P7" i="8"/>
  <c r="P6" i="8"/>
  <c r="P5" i="8"/>
  <c r="P4" i="8"/>
  <c r="P3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E32" i="80" s="1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5" i="8"/>
  <c r="D24" i="8"/>
  <c r="D23" i="8"/>
  <c r="D22" i="8"/>
  <c r="E38" i="80" s="1"/>
  <c r="D21" i="8"/>
  <c r="D20" i="8"/>
  <c r="D19" i="8"/>
  <c r="D18" i="8"/>
  <c r="D17" i="8"/>
  <c r="D16" i="8"/>
  <c r="D15" i="8"/>
  <c r="D14" i="8"/>
  <c r="D13" i="8"/>
  <c r="D12" i="8"/>
  <c r="D11" i="8"/>
  <c r="E12" i="80" s="1"/>
  <c r="D10" i="8"/>
  <c r="O4" i="7"/>
  <c r="O3" i="7"/>
  <c r="O2" i="7"/>
  <c r="D82" i="7"/>
  <c r="D81" i="7"/>
  <c r="D80" i="7"/>
  <c r="D79" i="7"/>
  <c r="D78" i="7"/>
  <c r="D77" i="7"/>
  <c r="D76" i="7"/>
  <c r="D75" i="7"/>
  <c r="D74" i="7"/>
  <c r="D73" i="7"/>
  <c r="D72" i="7"/>
  <c r="D71" i="7"/>
  <c r="D32" i="80" s="1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8" i="7"/>
  <c r="D17" i="7"/>
  <c r="D16" i="7"/>
  <c r="D15" i="7"/>
  <c r="D14" i="7"/>
  <c r="D13" i="7"/>
  <c r="D12" i="7"/>
  <c r="D11" i="7"/>
  <c r="D10" i="7"/>
  <c r="E11" i="80" l="1"/>
  <c r="F11" i="80"/>
  <c r="D27" i="80"/>
  <c r="D21" i="80"/>
  <c r="G27" i="80"/>
  <c r="E28" i="80"/>
  <c r="G35" i="80"/>
  <c r="D12" i="80"/>
  <c r="F39" i="80"/>
  <c r="G17" i="80"/>
  <c r="D39" i="80"/>
  <c r="E8" i="80"/>
  <c r="F38" i="80"/>
  <c r="F29" i="80"/>
  <c r="E39" i="80"/>
  <c r="F36" i="80"/>
  <c r="E20" i="80"/>
  <c r="E36" i="80"/>
  <c r="D41" i="80"/>
  <c r="F8" i="80"/>
  <c r="F19" i="80"/>
  <c r="D8" i="80"/>
  <c r="D20" i="80"/>
  <c r="F41" i="80"/>
  <c r="E19" i="80"/>
  <c r="F28" i="80"/>
  <c r="D19" i="80"/>
  <c r="E41" i="80"/>
  <c r="E21" i="80"/>
  <c r="F20" i="80"/>
  <c r="D8" i="7"/>
  <c r="D8" i="9"/>
  <c r="D8" i="8"/>
  <c r="P3" i="9"/>
  <c r="D134" i="9"/>
  <c r="P4" i="9"/>
  <c r="P5" i="9"/>
  <c r="D141" i="8"/>
  <c r="P8" i="8"/>
  <c r="D83" i="7"/>
  <c r="O5" i="7"/>
  <c r="D11" i="80" l="1"/>
  <c r="E27" i="80"/>
  <c r="G43" i="80"/>
  <c r="D35" i="80"/>
  <c r="F17" i="80"/>
  <c r="F27" i="80"/>
  <c r="E17" i="80"/>
  <c r="E35" i="80"/>
  <c r="D17" i="80"/>
  <c r="F35" i="80"/>
  <c r="P7" i="9"/>
  <c r="D43" i="80" l="1"/>
  <c r="E43" i="80"/>
  <c r="F43" i="80"/>
  <c r="D9" i="80" l="1"/>
  <c r="F9" i="80"/>
  <c r="F7" i="80" l="1"/>
  <c r="D7" i="80"/>
  <c r="G9" i="80"/>
  <c r="H9" i="80"/>
  <c r="E9" i="80"/>
  <c r="F23" i="80" l="1"/>
  <c r="D23" i="80"/>
  <c r="G7" i="80"/>
  <c r="E7" i="80"/>
  <c r="I9" i="80"/>
  <c r="H7" i="80"/>
  <c r="D8" i="16"/>
  <c r="D130" i="16"/>
  <c r="E23" i="80" l="1"/>
  <c r="G23" i="80"/>
  <c r="J9" i="80"/>
  <c r="H23" i="80"/>
  <c r="H44" i="3"/>
  <c r="H40" i="3"/>
  <c r="K9" i="80" l="1"/>
  <c r="H50" i="3"/>
  <c r="H45" i="3"/>
  <c r="L9" i="80" l="1"/>
  <c r="H55" i="3"/>
  <c r="H58" i="3" s="1"/>
  <c r="H51" i="3"/>
  <c r="E6" i="82" l="1"/>
  <c r="R9" i="80"/>
  <c r="H56" i="3"/>
  <c r="E10" i="82" l="1"/>
  <c r="R7" i="80"/>
  <c r="E19" i="82" l="1"/>
  <c r="R23" i="80"/>
  <c r="E21" i="82" l="1"/>
  <c r="E34" i="82" l="1"/>
  <c r="E36" i="82" l="1"/>
  <c r="E38" i="82" s="1"/>
  <c r="H59" i="3" l="1"/>
  <c r="H60" i="3" s="1"/>
  <c r="L7" i="80"/>
  <c r="K7" i="80"/>
  <c r="J7" i="80"/>
  <c r="I7" i="80"/>
  <c r="I23" i="80" l="1"/>
  <c r="J23" i="80"/>
  <c r="K23" i="80"/>
  <c r="L23" i="80"/>
  <c r="J27" i="3" l="1"/>
  <c r="J33" i="3"/>
  <c r="J28" i="4" s="1"/>
  <c r="J47" i="3"/>
  <c r="J39" i="4" s="1"/>
  <c r="J21" i="3"/>
  <c r="J21" i="4" s="1"/>
  <c r="G8" i="82" l="1"/>
  <c r="J28" i="3"/>
  <c r="T33" i="80"/>
  <c r="H18" i="82" s="1"/>
  <c r="J12" i="3"/>
  <c r="J12" i="4" s="1"/>
  <c r="T36" i="80"/>
  <c r="G37" i="82" s="1"/>
  <c r="J18" i="3"/>
  <c r="J18" i="4" s="1"/>
  <c r="T21" i="80"/>
  <c r="H16" i="82" s="1"/>
  <c r="J36" i="3"/>
  <c r="T29" i="80"/>
  <c r="J32" i="3"/>
  <c r="T41" i="80"/>
  <c r="H17" i="82" s="1"/>
  <c r="T19" i="80"/>
  <c r="H14" i="82" s="1"/>
  <c r="J17" i="3"/>
  <c r="T8" i="80"/>
  <c r="J19" i="3"/>
  <c r="J35" i="3"/>
  <c r="J48" i="3"/>
  <c r="J40" i="4" s="1"/>
  <c r="J20" i="3"/>
  <c r="J20" i="4" s="1"/>
  <c r="J8" i="3"/>
  <c r="J37" i="3"/>
  <c r="J8" i="4" l="1"/>
  <c r="J59" i="90"/>
  <c r="J60" i="90"/>
  <c r="J61" i="90" s="1"/>
  <c r="J19" i="4"/>
  <c r="J52" i="90"/>
  <c r="J17" i="4"/>
  <c r="J51" i="90"/>
  <c r="G25" i="82"/>
  <c r="G9" i="82"/>
  <c r="H24" i="82"/>
  <c r="H27" i="82" s="1"/>
  <c r="J26" i="3"/>
  <c r="J34" i="3"/>
  <c r="J29" i="4" s="1"/>
  <c r="T39" i="80"/>
  <c r="H35" i="82" s="1"/>
  <c r="J7" i="3"/>
  <c r="J73" i="90" s="1"/>
  <c r="T28" i="80"/>
  <c r="T20" i="80"/>
  <c r="H15" i="82" s="1"/>
  <c r="J31" i="3"/>
  <c r="J76" i="90" l="1"/>
  <c r="J26" i="4"/>
  <c r="J74" i="90"/>
  <c r="J5" i="90"/>
  <c r="J50" i="90"/>
  <c r="J7" i="4"/>
  <c r="J14" i="4" s="1"/>
  <c r="J15" i="4" s="1"/>
  <c r="J56" i="90"/>
  <c r="J57" i="90"/>
  <c r="T27" i="80"/>
  <c r="J30" i="3"/>
  <c r="J27" i="4" s="1"/>
  <c r="J14" i="3"/>
  <c r="T38" i="80"/>
  <c r="H13" i="82" s="1"/>
  <c r="H19" i="82" s="1"/>
  <c r="H21" i="82" s="1"/>
  <c r="H34" i="82" s="1"/>
  <c r="H36" i="82" s="1"/>
  <c r="H38" i="82" s="1"/>
  <c r="T17" i="80"/>
  <c r="K59" i="3" l="1"/>
  <c r="K60" i="3" s="1"/>
  <c r="J23" i="4"/>
  <c r="J69" i="90"/>
  <c r="J71" i="90" s="1"/>
  <c r="J70" i="90"/>
  <c r="J23" i="3"/>
  <c r="J15" i="3"/>
  <c r="T35" i="80"/>
  <c r="J24" i="4" l="1"/>
  <c r="J31" i="4"/>
  <c r="T43" i="80"/>
  <c r="J39" i="3"/>
  <c r="J24" i="3"/>
  <c r="J32" i="4" l="1"/>
  <c r="J36" i="4"/>
  <c r="J40" i="3"/>
  <c r="J44" i="3"/>
  <c r="J37" i="4" l="1"/>
  <c r="J42" i="4"/>
  <c r="J45" i="3"/>
  <c r="J50" i="3"/>
  <c r="J43" i="4" l="1"/>
  <c r="J47" i="4"/>
  <c r="J48" i="4" s="1"/>
  <c r="J51" i="3"/>
  <c r="J55" i="3"/>
  <c r="J58" i="3" s="1"/>
  <c r="G6" i="82" l="1"/>
  <c r="J56" i="3"/>
  <c r="T9" i="80"/>
  <c r="T7" i="80" l="1"/>
  <c r="T23" i="80" s="1"/>
  <c r="E29" i="64" l="1"/>
  <c r="F29" i="64" s="1"/>
  <c r="E39" i="64" l="1"/>
  <c r="F39" i="64" s="1"/>
  <c r="E87" i="64"/>
  <c r="F87" i="64" s="1"/>
  <c r="E135" i="64"/>
  <c r="F135" i="64" s="1"/>
  <c r="I12" i="3" s="1"/>
  <c r="I12" i="4" s="1"/>
  <c r="E128" i="64"/>
  <c r="F128" i="64" s="1"/>
  <c r="E80" i="64"/>
  <c r="F80" i="64" s="1"/>
  <c r="E140" i="64"/>
  <c r="F140" i="64" s="1"/>
  <c r="E21" i="64"/>
  <c r="F21" i="64" s="1"/>
  <c r="E23" i="64"/>
  <c r="F23" i="64" s="1"/>
  <c r="E41" i="64"/>
  <c r="F41" i="64" s="1"/>
  <c r="E19" i="64"/>
  <c r="F19" i="64" s="1"/>
  <c r="E118" i="64"/>
  <c r="F118" i="64" s="1"/>
  <c r="E44" i="64"/>
  <c r="F44" i="64" s="1"/>
  <c r="E92" i="64"/>
  <c r="F92" i="64" s="1"/>
  <c r="E105" i="64"/>
  <c r="F105" i="64" s="1"/>
  <c r="E106" i="64"/>
  <c r="F106" i="64" s="1"/>
  <c r="E61" i="64"/>
  <c r="F61" i="64" s="1"/>
  <c r="E109" i="64"/>
  <c r="F109" i="64" s="1"/>
  <c r="E107" i="64"/>
  <c r="F107" i="64" s="1"/>
  <c r="E17" i="64"/>
  <c r="F17" i="64" s="1"/>
  <c r="E101" i="64"/>
  <c r="F101" i="64" s="1"/>
  <c r="E53" i="64"/>
  <c r="F53" i="64" s="1"/>
  <c r="E67" i="64"/>
  <c r="F67" i="64" s="1"/>
  <c r="E125" i="64"/>
  <c r="F125" i="64" s="1"/>
  <c r="E27" i="64"/>
  <c r="F27" i="64" s="1"/>
  <c r="E75" i="64"/>
  <c r="F75" i="64" s="1"/>
  <c r="E123" i="64"/>
  <c r="F123" i="64" s="1"/>
  <c r="I19" i="3" s="1"/>
  <c r="E38" i="64"/>
  <c r="F38" i="64" s="1"/>
  <c r="E91" i="64"/>
  <c r="F91" i="64" s="1"/>
  <c r="E119" i="64"/>
  <c r="F119" i="64" s="1"/>
  <c r="E84" i="64"/>
  <c r="F84" i="64" s="1"/>
  <c r="E132" i="64"/>
  <c r="F132" i="64" s="1"/>
  <c r="E68" i="64"/>
  <c r="F68" i="64" s="1"/>
  <c r="E116" i="64"/>
  <c r="F116" i="64" s="1"/>
  <c r="E47" i="64"/>
  <c r="F47" i="64" s="1"/>
  <c r="E10" i="64"/>
  <c r="F10" i="64" s="1"/>
  <c r="E74" i="64"/>
  <c r="F74" i="64" s="1"/>
  <c r="E62" i="64"/>
  <c r="F62" i="64" s="1"/>
  <c r="E115" i="64"/>
  <c r="F115" i="64" s="1"/>
  <c r="E96" i="64"/>
  <c r="F96" i="64" s="1"/>
  <c r="I20" i="3" s="1"/>
  <c r="I20" i="4" s="1"/>
  <c r="E51" i="64"/>
  <c r="F51" i="64" s="1"/>
  <c r="E99" i="64"/>
  <c r="F99" i="64" s="1"/>
  <c r="E24" i="64"/>
  <c r="F24" i="64" s="1"/>
  <c r="E71" i="64"/>
  <c r="F71" i="64" s="1"/>
  <c r="E141" i="64"/>
  <c r="F141" i="64" s="1"/>
  <c r="E142" i="64"/>
  <c r="F142" i="64" s="1"/>
  <c r="E133" i="64"/>
  <c r="F133" i="64" s="1"/>
  <c r="E13" i="64"/>
  <c r="F13" i="64" s="1"/>
  <c r="E28" i="64"/>
  <c r="F28" i="64" s="1"/>
  <c r="E50" i="64"/>
  <c r="F50" i="64" s="1"/>
  <c r="E57" i="64"/>
  <c r="F57" i="64" s="1"/>
  <c r="E136" i="64"/>
  <c r="F136" i="64" s="1"/>
  <c r="E25" i="64"/>
  <c r="F25" i="64" s="1"/>
  <c r="E73" i="64"/>
  <c r="F73" i="64" s="1"/>
  <c r="E121" i="64"/>
  <c r="E64" i="64"/>
  <c r="F64" i="64" s="1"/>
  <c r="E65" i="64"/>
  <c r="F65" i="64" s="1"/>
  <c r="E124" i="64"/>
  <c r="F124" i="64" s="1"/>
  <c r="E83" i="64"/>
  <c r="F83" i="64" s="1"/>
  <c r="E48" i="64"/>
  <c r="F48" i="64" s="1"/>
  <c r="E32" i="64"/>
  <c r="F32" i="64" s="1"/>
  <c r="E66" i="64"/>
  <c r="F66" i="64" s="1"/>
  <c r="E114" i="64"/>
  <c r="F114" i="64" s="1"/>
  <c r="E6" i="64"/>
  <c r="F6" i="64" s="1"/>
  <c r="E8" i="64"/>
  <c r="F8" i="64" s="1"/>
  <c r="E81" i="64"/>
  <c r="F81" i="64" s="1"/>
  <c r="E130" i="64"/>
  <c r="F130" i="64" s="1"/>
  <c r="E59" i="64"/>
  <c r="F59" i="64" s="1"/>
  <c r="E54" i="64"/>
  <c r="F54" i="64" s="1"/>
  <c r="E40" i="64"/>
  <c r="F40" i="64" s="1"/>
  <c r="E34" i="64"/>
  <c r="F34" i="64" s="1"/>
  <c r="E69" i="64"/>
  <c r="F69" i="64" s="1"/>
  <c r="E45" i="64"/>
  <c r="F45" i="64" s="1"/>
  <c r="E31" i="64"/>
  <c r="F31" i="64" s="1"/>
  <c r="E137" i="64"/>
  <c r="F137" i="64" s="1"/>
  <c r="E55" i="64"/>
  <c r="F55" i="64" s="1"/>
  <c r="E14" i="64"/>
  <c r="F14" i="64" s="1"/>
  <c r="E89" i="64"/>
  <c r="F89" i="64" s="1"/>
  <c r="E117" i="64"/>
  <c r="F117" i="64" s="1"/>
  <c r="E86" i="64"/>
  <c r="F86" i="64" s="1"/>
  <c r="E43" i="64"/>
  <c r="F43" i="64" s="1"/>
  <c r="E16" i="64"/>
  <c r="F16" i="64" s="1"/>
  <c r="E134" i="64"/>
  <c r="F134" i="64" s="1"/>
  <c r="E77" i="64"/>
  <c r="F77" i="64" s="1"/>
  <c r="E127" i="64"/>
  <c r="F127" i="64" s="1"/>
  <c r="E60" i="64"/>
  <c r="F60" i="64" s="1"/>
  <c r="E108" i="64"/>
  <c r="F108" i="64" s="1"/>
  <c r="I42" i="3" s="1"/>
  <c r="I34" i="4" s="1"/>
  <c r="E15" i="64"/>
  <c r="F15" i="64" s="1"/>
  <c r="E63" i="64"/>
  <c r="F63" i="64" s="1"/>
  <c r="E111" i="64"/>
  <c r="F111" i="64" s="1"/>
  <c r="I18" i="3" s="1"/>
  <c r="I18" i="4" s="1"/>
  <c r="E20" i="64"/>
  <c r="F20" i="64" s="1"/>
  <c r="E78" i="64"/>
  <c r="F78" i="64" s="1"/>
  <c r="E126" i="64"/>
  <c r="F126" i="64" s="1"/>
  <c r="E103" i="64"/>
  <c r="F103" i="64" s="1"/>
  <c r="E102" i="64"/>
  <c r="F102" i="64" s="1"/>
  <c r="E37" i="64"/>
  <c r="F37" i="64" s="1"/>
  <c r="E52" i="64"/>
  <c r="F52" i="64" s="1"/>
  <c r="E18" i="64"/>
  <c r="F18" i="64" s="1"/>
  <c r="E95" i="64"/>
  <c r="F95" i="64" s="1"/>
  <c r="I27" i="3" s="1"/>
  <c r="E4" i="64"/>
  <c r="F4" i="64" s="1"/>
  <c r="E113" i="64"/>
  <c r="F113" i="64" s="1"/>
  <c r="E58" i="64"/>
  <c r="F58" i="64" s="1"/>
  <c r="E98" i="64"/>
  <c r="F98" i="64" s="1"/>
  <c r="E33" i="64"/>
  <c r="F33" i="64" s="1"/>
  <c r="E11" i="64"/>
  <c r="F11" i="64" s="1"/>
  <c r="E3" i="64"/>
  <c r="E85" i="64"/>
  <c r="F85" i="64" s="1"/>
  <c r="E88" i="64"/>
  <c r="F88" i="64" s="1"/>
  <c r="E76" i="64"/>
  <c r="F76" i="64" s="1"/>
  <c r="E110" i="64"/>
  <c r="F110" i="64" s="1"/>
  <c r="E112" i="64"/>
  <c r="F112" i="64" s="1"/>
  <c r="E12" i="64"/>
  <c r="F12" i="64" s="1"/>
  <c r="E70" i="64"/>
  <c r="F70" i="64" s="1"/>
  <c r="E22" i="64"/>
  <c r="F22" i="64" s="1"/>
  <c r="E5" i="64"/>
  <c r="E49" i="64"/>
  <c r="F49" i="64" s="1"/>
  <c r="E97" i="64"/>
  <c r="F97" i="64" s="1"/>
  <c r="I47" i="3" s="1"/>
  <c r="I39" i="4" s="1"/>
  <c r="E93" i="64"/>
  <c r="F93" i="64" s="1"/>
  <c r="I28" i="3" s="1"/>
  <c r="E79" i="64"/>
  <c r="F79" i="64" s="1"/>
  <c r="E26" i="64"/>
  <c r="F26" i="64" s="1"/>
  <c r="E100" i="64"/>
  <c r="F100" i="64" s="1"/>
  <c r="E35" i="64"/>
  <c r="F35" i="64" s="1"/>
  <c r="E139" i="64"/>
  <c r="F139" i="64" s="1"/>
  <c r="E72" i="64"/>
  <c r="F72" i="64" s="1"/>
  <c r="E120" i="64"/>
  <c r="F120" i="64" s="1"/>
  <c r="I32" i="3" s="1"/>
  <c r="E82" i="64"/>
  <c r="F82" i="64" s="1"/>
  <c r="E56" i="64"/>
  <c r="F56" i="64" s="1"/>
  <c r="E104" i="64"/>
  <c r="F104" i="64" s="1"/>
  <c r="E7" i="64"/>
  <c r="F7" i="64" s="1"/>
  <c r="E42" i="64"/>
  <c r="F42" i="64" s="1"/>
  <c r="S33" i="80" s="1"/>
  <c r="E90" i="64"/>
  <c r="F90" i="64" s="1"/>
  <c r="I48" i="3" s="1"/>
  <c r="I40" i="4" s="1"/>
  <c r="E138" i="64"/>
  <c r="F138" i="64" s="1"/>
  <c r="E36" i="64"/>
  <c r="F36" i="64" s="1"/>
  <c r="E30" i="64"/>
  <c r="F30" i="64" s="1"/>
  <c r="E129" i="64"/>
  <c r="F129" i="64" s="1"/>
  <c r="E122" i="64"/>
  <c r="F122" i="64" s="1"/>
  <c r="I33" i="3" s="1"/>
  <c r="I28" i="4" s="1"/>
  <c r="E131" i="64"/>
  <c r="F131" i="64" s="1"/>
  <c r="E94" i="64"/>
  <c r="F94" i="64" s="1"/>
  <c r="E46" i="64"/>
  <c r="F46" i="64" s="1"/>
  <c r="E9" i="64"/>
  <c r="F9" i="64" s="1"/>
  <c r="I19" i="4" l="1"/>
  <c r="I52" i="90"/>
  <c r="F25" i="82"/>
  <c r="F9" i="82"/>
  <c r="F5" i="64"/>
  <c r="E1" i="64"/>
  <c r="G26" i="82"/>
  <c r="F26" i="82"/>
  <c r="F8" i="82"/>
  <c r="I35" i="3"/>
  <c r="I8" i="3"/>
  <c r="I17" i="3"/>
  <c r="S20" i="80"/>
  <c r="S39" i="80"/>
  <c r="S8" i="80"/>
  <c r="S19" i="80"/>
  <c r="I7" i="3"/>
  <c r="I73" i="90" s="1"/>
  <c r="I36" i="3"/>
  <c r="S28" i="80"/>
  <c r="I21" i="3"/>
  <c r="I21" i="4" s="1"/>
  <c r="S21" i="80"/>
  <c r="S36" i="80"/>
  <c r="F37" i="82" s="1"/>
  <c r="I31" i="3"/>
  <c r="F121" i="64"/>
  <c r="K11" i="64"/>
  <c r="F3" i="64"/>
  <c r="I26" i="3"/>
  <c r="F18" i="82"/>
  <c r="G18" i="82"/>
  <c r="I37" i="3"/>
  <c r="S41" i="80"/>
  <c r="I76" i="90" l="1"/>
  <c r="I26" i="4"/>
  <c r="I74" i="90"/>
  <c r="I5" i="90"/>
  <c r="I17" i="4"/>
  <c r="I51" i="90"/>
  <c r="I50" i="90" s="1"/>
  <c r="I8" i="4"/>
  <c r="I59" i="90"/>
  <c r="I60" i="90"/>
  <c r="I61" i="90" s="1"/>
  <c r="I7" i="4"/>
  <c r="I56" i="90"/>
  <c r="I57" i="90"/>
  <c r="F1" i="64"/>
  <c r="S29" i="80"/>
  <c r="S27" i="80" s="1"/>
  <c r="G10" i="82"/>
  <c r="G24" i="82"/>
  <c r="G27" i="82" s="1"/>
  <c r="F16" i="82"/>
  <c r="G35" i="82"/>
  <c r="G15" i="82"/>
  <c r="G14" i="82"/>
  <c r="I30" i="3"/>
  <c r="I27" i="4" s="1"/>
  <c r="F14" i="82"/>
  <c r="I14" i="3"/>
  <c r="G16" i="82"/>
  <c r="F15" i="82"/>
  <c r="F24" i="82"/>
  <c r="F27" i="82" s="1"/>
  <c r="S17" i="80"/>
  <c r="I34" i="3"/>
  <c r="I29" i="4" s="1"/>
  <c r="S38" i="80"/>
  <c r="F17" i="82"/>
  <c r="G17" i="82"/>
  <c r="I14" i="4" l="1"/>
  <c r="I15" i="4" s="1"/>
  <c r="I69" i="90"/>
  <c r="I71" i="90" s="1"/>
  <c r="I70" i="90"/>
  <c r="I15" i="3"/>
  <c r="I23" i="3"/>
  <c r="F13" i="82"/>
  <c r="G13" i="82"/>
  <c r="S35" i="80"/>
  <c r="I23" i="4" l="1"/>
  <c r="G19" i="82"/>
  <c r="S43" i="80"/>
  <c r="I39" i="3"/>
  <c r="I24" i="3"/>
  <c r="I24" i="4" l="1"/>
  <c r="I31" i="4"/>
  <c r="G21" i="82"/>
  <c r="I40" i="3"/>
  <c r="I44" i="3"/>
  <c r="I32" i="4" l="1"/>
  <c r="I36" i="4"/>
  <c r="G34" i="82"/>
  <c r="I45" i="3"/>
  <c r="I50" i="3"/>
  <c r="I42" i="4" l="1"/>
  <c r="I37" i="4"/>
  <c r="G36" i="82"/>
  <c r="G38" i="82" s="1"/>
  <c r="I51" i="3"/>
  <c r="I55" i="3"/>
  <c r="I58" i="3" s="1"/>
  <c r="J59" i="3" l="1"/>
  <c r="J60" i="3" s="1"/>
  <c r="I43" i="4"/>
  <c r="I47" i="4"/>
  <c r="I48" i="4" s="1"/>
  <c r="S9" i="80"/>
  <c r="S7" i="80" s="1"/>
  <c r="S23" i="80" s="1"/>
  <c r="F6" i="82"/>
  <c r="I56" i="3"/>
  <c r="F10" i="82" l="1"/>
  <c r="F19" i="82" l="1"/>
  <c r="F21" i="82" l="1"/>
  <c r="F34" i="82" l="1"/>
  <c r="F36" i="82" l="1"/>
  <c r="F38" i="82" s="1"/>
  <c r="I59" i="3" l="1"/>
  <c r="I60" i="3" s="1"/>
  <c r="P7" i="4" l="1"/>
  <c r="R7" i="4"/>
  <c r="M3" i="4"/>
  <c r="P3" i="4"/>
  <c r="R3" i="4"/>
  <c r="P12" i="4" l="1"/>
  <c r="P10" i="4"/>
  <c r="R11" i="4"/>
  <c r="R12" i="4"/>
  <c r="R10" i="4"/>
  <c r="R8" i="4"/>
  <c r="R14" i="4" l="1"/>
  <c r="R23" i="4" s="1"/>
  <c r="R24" i="4" l="1"/>
  <c r="R31" i="4"/>
  <c r="R15" i="4"/>
  <c r="R32" i="4" l="1"/>
  <c r="R36" i="4"/>
  <c r="R37" i="4" l="1"/>
  <c r="R42" i="4"/>
  <c r="R47" i="4" l="1"/>
  <c r="R48" i="4" s="1"/>
  <c r="R43" i="4"/>
  <c r="L7" i="4"/>
  <c r="L14" i="4" s="1"/>
  <c r="L70" i="90" l="1"/>
  <c r="L69" i="90"/>
  <c r="L71" i="90" s="1"/>
  <c r="L23" i="4"/>
  <c r="L15" i="4"/>
  <c r="L24" i="4" l="1"/>
  <c r="L31" i="4"/>
  <c r="L32" i="4" l="1"/>
  <c r="L36" i="4"/>
  <c r="L37" i="4" l="1"/>
  <c r="L42" i="4"/>
  <c r="L43" i="4" l="1"/>
  <c r="L47" i="4"/>
  <c r="L48" i="4" s="1"/>
  <c r="M8" i="4" l="1"/>
  <c r="M7" i="4" l="1"/>
  <c r="M10" i="4"/>
  <c r="M12" i="4"/>
  <c r="M11" i="4" l="1"/>
  <c r="M14" i="4" s="1"/>
  <c r="M15" i="4" l="1"/>
  <c r="M23" i="4"/>
  <c r="M24" i="4" l="1"/>
  <c r="M31" i="4"/>
  <c r="M32" i="4" l="1"/>
  <c r="M36" i="4"/>
  <c r="M37" i="4" l="1"/>
  <c r="M42" i="4"/>
  <c r="M43" i="4" l="1"/>
  <c r="M47" i="4"/>
  <c r="M48" i="4" s="1"/>
  <c r="P8" i="4" l="1"/>
  <c r="P11" i="4"/>
  <c r="P14" i="4" l="1"/>
  <c r="P15" i="4" s="1"/>
  <c r="P23" i="4" l="1"/>
  <c r="P31" i="4" s="1"/>
  <c r="P24" i="4" l="1"/>
  <c r="P32" i="4"/>
  <c r="P36" i="4"/>
  <c r="P37" i="4" l="1"/>
  <c r="P42" i="4"/>
  <c r="P47" i="4" l="1"/>
  <c r="P48" i="4" s="1"/>
  <c r="P43" i="4"/>
  <c r="Q26" i="4" l="1"/>
  <c r="Q31" i="4" s="1"/>
  <c r="Q36" i="4" s="1"/>
  <c r="Q32" i="4" l="1"/>
  <c r="Q42" i="4"/>
  <c r="Q37" i="4"/>
  <c r="Q43" i="4" l="1"/>
  <c r="Q47" i="4"/>
  <c r="Q4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Pratham</author>
  </authors>
  <commentList>
    <comment ref="G2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Pratham:</t>
        </r>
        <r>
          <rPr>
            <sz val="9"/>
            <color indexed="81"/>
            <rFont val="Tahoma"/>
            <family val="2"/>
          </rPr>
          <t xml:space="preserve">
Wallet liability
instead of app liability</t>
        </r>
      </text>
    </comment>
  </commentList>
</comments>
</file>

<file path=xl/sharedStrings.xml><?xml version="1.0" encoding="utf-8"?>
<sst xmlns="http://schemas.openxmlformats.org/spreadsheetml/2006/main" count="15277" uniqueCount="1620">
  <si>
    <t>Key Metrics</t>
  </si>
  <si>
    <t>Demand</t>
  </si>
  <si>
    <t>First time</t>
  </si>
  <si>
    <t>Repeat</t>
  </si>
  <si>
    <t>Jobs</t>
  </si>
  <si>
    <t>Jobs per Day</t>
  </si>
  <si>
    <t>Hours</t>
  </si>
  <si>
    <t>Hours per Day</t>
  </si>
  <si>
    <t>Supply</t>
  </si>
  <si>
    <t>Opening</t>
  </si>
  <si>
    <t>Onboarded</t>
  </si>
  <si>
    <t>Closing</t>
  </si>
  <si>
    <t>Utilization %</t>
  </si>
  <si>
    <t>Profitability</t>
  </si>
  <si>
    <t>Cost per Job</t>
  </si>
  <si>
    <t>Cost per Hour</t>
  </si>
  <si>
    <t>Gross Profit per Job</t>
  </si>
  <si>
    <t>Gross Profit per Hour</t>
  </si>
  <si>
    <t>Gross Profit %</t>
  </si>
  <si>
    <t>Operating Profit %</t>
  </si>
  <si>
    <t>Month</t>
  </si>
  <si>
    <t>FTs</t>
  </si>
  <si>
    <t>Profit &amp; Loss Statement</t>
  </si>
  <si>
    <t>Actual</t>
  </si>
  <si>
    <t>All Values (in INR Thousands)</t>
  </si>
  <si>
    <t>Revenue</t>
  </si>
  <si>
    <t>Service Cost</t>
  </si>
  <si>
    <t>GST</t>
  </si>
  <si>
    <t>Promotions &amp; Discounts</t>
  </si>
  <si>
    <t>Payment Gateway Cost</t>
  </si>
  <si>
    <t>Gross Profit</t>
  </si>
  <si>
    <t>Training Centre Expenses</t>
  </si>
  <si>
    <t>Managerial Cost</t>
  </si>
  <si>
    <t>Sourcing &amp; Onboarding Cost</t>
  </si>
  <si>
    <t>Customer Success Cost</t>
  </si>
  <si>
    <t>Operating Profit</t>
  </si>
  <si>
    <t>Marketing Cost</t>
  </si>
  <si>
    <t>Customer Acquisition Cost (Digital &amp; BTL Marketing)</t>
  </si>
  <si>
    <t>Branding Expense</t>
  </si>
  <si>
    <t>Tech Cost</t>
  </si>
  <si>
    <t>Other Costs</t>
  </si>
  <si>
    <t>Professional Fees</t>
  </si>
  <si>
    <t>Office and Admin Expenses</t>
  </si>
  <si>
    <t>Miscellaneous Expenses</t>
  </si>
  <si>
    <t>Adjusted EBITDA</t>
  </si>
  <si>
    <t>EBITDA %</t>
  </si>
  <si>
    <t>Fund Raising Expenses</t>
  </si>
  <si>
    <t>EBITDA</t>
  </si>
  <si>
    <t>Depreciation</t>
  </si>
  <si>
    <t>Interest Income</t>
  </si>
  <si>
    <t>PBT</t>
  </si>
  <si>
    <t>PBT %</t>
  </si>
  <si>
    <t>Tax</t>
  </si>
  <si>
    <t>PAT</t>
  </si>
  <si>
    <t>PAT %</t>
  </si>
  <si>
    <t>Hrs per Day</t>
  </si>
  <si>
    <t>Unit Economics</t>
  </si>
  <si>
    <t>All Values (in INR per Job)</t>
  </si>
  <si>
    <t>Plan</t>
  </si>
  <si>
    <t>Delta</t>
  </si>
  <si>
    <t>Employee Cost*</t>
  </si>
  <si>
    <t>New User Discount (incl. Early Lifecycle Coupons &amp; Referral Discount)</t>
  </si>
  <si>
    <t>Promotional Discount</t>
  </si>
  <si>
    <t>Share Capital</t>
  </si>
  <si>
    <t>Reserves &amp; Surplus</t>
  </si>
  <si>
    <t>Long-term Borrowings</t>
  </si>
  <si>
    <t>Current Liabilities</t>
  </si>
  <si>
    <t>Trade Payables</t>
  </si>
  <si>
    <t>Other Current Liabilities</t>
  </si>
  <si>
    <t>Short-term Provisions</t>
  </si>
  <si>
    <t>Assets</t>
  </si>
  <si>
    <t>Property, Plant &amp; Equipment</t>
  </si>
  <si>
    <t>Intangible Assets</t>
  </si>
  <si>
    <t>Long-term Loans &amp; Advances</t>
  </si>
  <si>
    <t>Other Non-current Assets</t>
  </si>
  <si>
    <t>Current Assets</t>
  </si>
  <si>
    <t>Current Investments</t>
  </si>
  <si>
    <t>Trade Receivables</t>
  </si>
  <si>
    <t>Cash &amp; Cash Equivalents</t>
  </si>
  <si>
    <t>Other Current Assets</t>
  </si>
  <si>
    <t>MAESTROEDGE SOLUTIONS PRIVATE LIMITED</t>
  </si>
  <si>
    <t>111A KAILASH IND ESTATE, B WING</t>
  </si>
  <si>
    <t>BHD GODREJ VIKHROL, Mumbai</t>
  </si>
  <si>
    <t>Trial Balance</t>
  </si>
  <si>
    <t>1-Apr-24 to 30-Apr-24</t>
  </si>
  <si>
    <t/>
  </si>
  <si>
    <t>Particulars</t>
  </si>
  <si>
    <t>Closing Balance</t>
  </si>
  <si>
    <t>Debit</t>
  </si>
  <si>
    <t>Credit</t>
  </si>
  <si>
    <t>Aayush Agarwal Loan</t>
  </si>
  <si>
    <t>Aayush Agarwal - Operational</t>
  </si>
  <si>
    <t>Aayush Agarwal Share Capital</t>
  </si>
  <si>
    <t>Akshata Dabholkar</t>
  </si>
  <si>
    <t>Anita Medge</t>
  </si>
  <si>
    <t>Anjali Kale</t>
  </si>
  <si>
    <t>Anjana Lodh</t>
  </si>
  <si>
    <t>Ashwarya Kedia</t>
  </si>
  <si>
    <t>Axis Bank</t>
  </si>
  <si>
    <t>Brichwood Co-Op Hsg Soc Ltd.</t>
  </si>
  <si>
    <t>Cash</t>
  </si>
  <si>
    <t>Chitra More</t>
  </si>
  <si>
    <t>Consultation Fees</t>
  </si>
  <si>
    <t>Co-Working Expenses- Rent</t>
  </si>
  <si>
    <t>Createza Marketing Pvt Ltd</t>
  </si>
  <si>
    <t>Creditor for Maestro Payout</t>
  </si>
  <si>
    <t>Diksha Sunny Nathbhajan</t>
  </si>
  <si>
    <t>Durgesani Chauhan</t>
  </si>
  <si>
    <t>Electricity Expenses</t>
  </si>
  <si>
    <t>Employer PF Expense</t>
  </si>
  <si>
    <t>Gitanjali Kirshama Kalambe</t>
  </si>
  <si>
    <t>Haiko Supermarket (Div of Lakewood Malls P Ltd)</t>
  </si>
  <si>
    <t>Hijynx Coworking Pvt Ltd</t>
  </si>
  <si>
    <t>Hiranandani Garden Infrastructure Association</t>
  </si>
  <si>
    <t>Input CGST @2.50%</t>
  </si>
  <si>
    <t>Input CGST @ 9%</t>
  </si>
  <si>
    <t>Input IGST @ 18%</t>
  </si>
  <si>
    <t>Input SGST @2.50%</t>
  </si>
  <si>
    <t>Input SGST @ 9%</t>
  </si>
  <si>
    <t>Interest on TDS</t>
  </si>
  <si>
    <t>Komal Hivale</t>
  </si>
  <si>
    <t>Komal Mohan Jadhav</t>
  </si>
  <si>
    <t>Laxmi Mahadev Tandoor</t>
  </si>
  <si>
    <t>Laxmi Ramjagir Lod</t>
  </si>
  <si>
    <t>Maestro Payout Expenses</t>
  </si>
  <si>
    <t>Manisha Sarkania</t>
  </si>
  <si>
    <t>Marketing Services</t>
  </si>
  <si>
    <t>Meena Rembavalkar</t>
  </si>
  <si>
    <t>Namita Ganpat Utekar</t>
  </si>
  <si>
    <t>Output CGST @9%</t>
  </si>
  <si>
    <t>Output SGST @9%</t>
  </si>
  <si>
    <t>Pallavi Parshuram Vaskar</t>
  </si>
  <si>
    <t>Parvati Sujeet Mohite</t>
  </si>
  <si>
    <t>Pooja Saidapol</t>
  </si>
  <si>
    <t>Professional Tax- Employee</t>
  </si>
  <si>
    <t>Profit &amp; Loss A/c</t>
  </si>
  <si>
    <t>Provident Fund- Employee</t>
  </si>
  <si>
    <t>Provident Fund- Employer</t>
  </si>
  <si>
    <t>Provision for Audit Fees</t>
  </si>
  <si>
    <t>Provision for Consultancy Fees</t>
  </si>
  <si>
    <t>Provision for Customer Success Cost</t>
  </si>
  <si>
    <t>Rama Kale</t>
  </si>
  <si>
    <t>Rent Expenses</t>
  </si>
  <si>
    <t>Salary A/c</t>
  </si>
  <si>
    <t>Sales Accounts</t>
  </si>
  <si>
    <t>Samron Infotech</t>
  </si>
  <si>
    <t>Security Deposit</t>
  </si>
  <si>
    <t>Shubhangi Hemant Sapkal</t>
  </si>
  <si>
    <t>Signpost India Limited</t>
  </si>
  <si>
    <t>Software Services</t>
  </si>
  <si>
    <t>Staff Welfare Expenses</t>
  </si>
  <si>
    <t>TDS U/S 192</t>
  </si>
  <si>
    <t>TDS U/S 194C</t>
  </si>
  <si>
    <t>TDS U/S 194I</t>
  </si>
  <si>
    <t>Vivish Technologies Pvt Ltd</t>
  </si>
  <si>
    <t>Yash Agarwal Share Capital</t>
  </si>
  <si>
    <t>Grand Total</t>
  </si>
  <si>
    <t>Net</t>
  </si>
  <si>
    <t>Master</t>
  </si>
  <si>
    <t>Head</t>
  </si>
  <si>
    <t>Group</t>
  </si>
  <si>
    <t>Unsecured Loans</t>
  </si>
  <si>
    <t>Equity Share Capital</t>
  </si>
  <si>
    <t>Maestros</t>
  </si>
  <si>
    <t>Sundry Creditors</t>
  </si>
  <si>
    <t>Employee Salaries</t>
  </si>
  <si>
    <t>Bank Accounts</t>
  </si>
  <si>
    <t>Marketing Vendors</t>
  </si>
  <si>
    <t>Cash-in-Hand</t>
  </si>
  <si>
    <t>Indirect Expenses</t>
  </si>
  <si>
    <t>Employee Benefit Expenses</t>
  </si>
  <si>
    <t>Service Vendors</t>
  </si>
  <si>
    <t>Input GST</t>
  </si>
  <si>
    <t>Direct Expenses</t>
  </si>
  <si>
    <t>Output GST</t>
  </si>
  <si>
    <t>Duties &amp; Taxes</t>
  </si>
  <si>
    <t>_x0004_ Primary</t>
  </si>
  <si>
    <t>Provident Fund</t>
  </si>
  <si>
    <t>Provisions</t>
  </si>
  <si>
    <t>TDS</t>
  </si>
  <si>
    <t>BSL</t>
  </si>
  <si>
    <t>BSA</t>
  </si>
  <si>
    <t>PLE</t>
  </si>
  <si>
    <t>PL</t>
  </si>
  <si>
    <t>PLI</t>
  </si>
  <si>
    <t>Salary</t>
  </si>
  <si>
    <t>Amount</t>
  </si>
  <si>
    <t>Sonal Bhosale</t>
  </si>
  <si>
    <t>Managerial</t>
  </si>
  <si>
    <t>Aditya Amare</t>
  </si>
  <si>
    <t>Customer success</t>
  </si>
  <si>
    <t>Kumar Jagtap</t>
  </si>
  <si>
    <t>Employee</t>
  </si>
  <si>
    <t>Keshav Nanda</t>
  </si>
  <si>
    <t>Siddhart Nambiar</t>
  </si>
  <si>
    <t>Regina Dsouza</t>
  </si>
  <si>
    <t>1-May-24 to 31-May-24</t>
  </si>
  <si>
    <t>3butterflies</t>
  </si>
  <si>
    <t>Accumulated Depreciation on Office Equipment</t>
  </si>
  <si>
    <t>Aditya Hanumant Amare</t>
  </si>
  <si>
    <t>Amazon Web Services</t>
  </si>
  <si>
    <t>Anchal Santosh Gawai</t>
  </si>
  <si>
    <t>B2C Customer</t>
  </si>
  <si>
    <t>Bank Charges</t>
  </si>
  <si>
    <t>Bhuwan Manchanda</t>
  </si>
  <si>
    <t>BMP &amp; Co. LLP</t>
  </si>
  <si>
    <t>Depreciation &amp; Amortization</t>
  </si>
  <si>
    <t>Dipali Rajesh Hande</t>
  </si>
  <si>
    <t>Fixed Deposits 9349517019</t>
  </si>
  <si>
    <t>Fixed Deposits 9349517699</t>
  </si>
  <si>
    <t>Fixed Deposits 9349517705</t>
  </si>
  <si>
    <t>Fixed Deposits 9517729</t>
  </si>
  <si>
    <t>Hashmeet Chaddha</t>
  </si>
  <si>
    <t>Input CGST @ 14%</t>
  </si>
  <si>
    <t>Input IGST @ 5%</t>
  </si>
  <si>
    <t>Input IGST (RCM)</t>
  </si>
  <si>
    <t>Input SGST @ 14%</t>
  </si>
  <si>
    <t>Kotak Bank 9942</t>
  </si>
  <si>
    <t>Kotak Bank 9966</t>
  </si>
  <si>
    <t>Kumar Prabhakar Jagtap</t>
  </si>
  <si>
    <t>Legal Fees</t>
  </si>
  <si>
    <t>MakeMyTrip (India) Private Limited</t>
  </si>
  <si>
    <t>Manisha Kailash Rajbhar</t>
  </si>
  <si>
    <t>Manisha Sadanand Sutar</t>
  </si>
  <si>
    <t>Mediaedge CIA India Private Limited</t>
  </si>
  <si>
    <t>Meera Santosh Parab</t>
  </si>
  <si>
    <t>Mhada Complex</t>
  </si>
  <si>
    <t>Nexus Ventures VII Holdings LLC</t>
  </si>
  <si>
    <t>Nikita Mahesh Sansane</t>
  </si>
  <si>
    <t>Nikita Patel</t>
  </si>
  <si>
    <t>Nilam Nilesh Sutar</t>
  </si>
  <si>
    <t>Office Equipment</t>
  </si>
  <si>
    <t>Output IGST (RCM)</t>
  </si>
  <si>
    <t>PF Admin Expenses</t>
  </si>
  <si>
    <t>Provision for Marketing Expenses</t>
  </si>
  <si>
    <t>Provision for Other Costs</t>
  </si>
  <si>
    <t>Radha Saket</t>
  </si>
  <si>
    <t>Rama Gautam Kale</t>
  </si>
  <si>
    <t>Rama Kailash Salve</t>
  </si>
  <si>
    <t>Recruitment Charges</t>
  </si>
  <si>
    <t>Rental Charges for Laptop</t>
  </si>
  <si>
    <t>Repairs &amp; Maintenance Expenses</t>
  </si>
  <si>
    <t>Reshma Gautam Bhalshankar</t>
  </si>
  <si>
    <t>Reshma Subhash Kale</t>
  </si>
  <si>
    <t>Sangita Parshuram Upadhye</t>
  </si>
  <si>
    <t>Savita Mohan Bavskar</t>
  </si>
  <si>
    <t>Shruti Nikale</t>
  </si>
  <si>
    <t>Shweta Datta Kalburgi</t>
  </si>
  <si>
    <t>Siddharth Ranjan Nambiar</t>
  </si>
  <si>
    <t>Stationery Expenses</t>
  </si>
  <si>
    <t>Sunita Sandeep Lokhande</t>
  </si>
  <si>
    <t>Sushmita Dandpani Mohili</t>
  </si>
  <si>
    <t>TDS at Higher Rate</t>
  </si>
  <si>
    <t>TDS U/S 194J</t>
  </si>
  <si>
    <t>Usha Thate</t>
  </si>
  <si>
    <t>Vanita Ishwar Sonare</t>
  </si>
  <si>
    <t>Vidya Pravin Karande</t>
  </si>
  <si>
    <t>Yogita Yogesh Bhuvad</t>
  </si>
  <si>
    <t>Yogita Yogesh Shinde</t>
  </si>
  <si>
    <t>Fixed Assets</t>
  </si>
  <si>
    <t>Sundry Debtors</t>
  </si>
  <si>
    <t>Investments</t>
  </si>
  <si>
    <t>Preference Share Capital</t>
  </si>
  <si>
    <t>Recruitment Cost</t>
  </si>
  <si>
    <t>Training centre expenses</t>
  </si>
  <si>
    <t>Sonal Bharat Bhosale</t>
  </si>
  <si>
    <t>Aayush Agarwal</t>
  </si>
  <si>
    <t>Mayur Vilas Awade</t>
  </si>
  <si>
    <t>Sourcing</t>
  </si>
  <si>
    <t>Ajay Vijay Salve</t>
  </si>
  <si>
    <t>Customer Acq</t>
  </si>
  <si>
    <t>Sumitkumar Triloknath Jha</t>
  </si>
  <si>
    <t>Siddhi Nirmale</t>
  </si>
  <si>
    <t>Pranav Seksaria</t>
  </si>
  <si>
    <t>Provision for other costs</t>
  </si>
  <si>
    <t>Provision for tech cost</t>
  </si>
  <si>
    <t>Provision for CAC</t>
  </si>
  <si>
    <t>Total</t>
  </si>
  <si>
    <t>Restatement</t>
  </si>
  <si>
    <t>CAC</t>
  </si>
  <si>
    <t>Branding</t>
  </si>
  <si>
    <t>Employee cost</t>
  </si>
  <si>
    <t>Tech cost</t>
  </si>
  <si>
    <t>Professional fees</t>
  </si>
  <si>
    <t>Fund raising</t>
  </si>
  <si>
    <t>Other costs</t>
  </si>
  <si>
    <t>1-Jun-24 to 30-Jun-24</t>
  </si>
  <si>
    <t>Accounting Services</t>
  </si>
  <si>
    <t>Accrued Interest</t>
  </si>
  <si>
    <t>Accumulated Amortization on Intangible Asset</t>
  </si>
  <si>
    <t>Akshay Enterprises</t>
  </si>
  <si>
    <t>Bharti Tukaram Kharsaikar</t>
  </si>
  <si>
    <t>Branding Expenses</t>
  </si>
  <si>
    <t>CGST (RCM) on Maestro Revenue</t>
  </si>
  <si>
    <t>Collections on Behalf of Maestros</t>
  </si>
  <si>
    <t>Convenience and Platform Fee</t>
  </si>
  <si>
    <t>Customer Acquisition Cost</t>
  </si>
  <si>
    <t>Discount on Convenience and Platform Fee</t>
  </si>
  <si>
    <t>Discount on Maestro Service</t>
  </si>
  <si>
    <t>Glen Classic CHS</t>
  </si>
  <si>
    <t>Intangible Asset</t>
  </si>
  <si>
    <t>Interest on Fixed Deposits</t>
  </si>
  <si>
    <t>Labour Welfare Fund</t>
  </si>
  <si>
    <t>Maestro Revenue</t>
  </si>
  <si>
    <t>Mayank Banduni</t>
  </si>
  <si>
    <t>Monali Ramesh Kole</t>
  </si>
  <si>
    <t>Pacific Enclave CHS</t>
  </si>
  <si>
    <t>Promotor Gautam</t>
  </si>
  <si>
    <t>Receipts From Customers</t>
  </si>
  <si>
    <t>Ruthala and Co.</t>
  </si>
  <si>
    <t>Samvad Partners Advocates</t>
  </si>
  <si>
    <t>SGST (RCM) on Maestro Revenue</t>
  </si>
  <si>
    <t>Vivek Rao</t>
  </si>
  <si>
    <t>VoiceTree Technologies Pvt Ltd</t>
  </si>
  <si>
    <t>Marketing Expenses</t>
  </si>
  <si>
    <t>Indirect Incomes</t>
  </si>
  <si>
    <t>Discount</t>
  </si>
  <si>
    <t>Vinit Kumar Pandey</t>
  </si>
  <si>
    <t>Saidappa Maske</t>
  </si>
  <si>
    <t>Nitin Kadam</t>
  </si>
  <si>
    <t>Rohit Krishnan</t>
  </si>
  <si>
    <t>Satyam Mhatre</t>
  </si>
  <si>
    <t>Sagar Narkar</t>
  </si>
  <si>
    <t>Aishwarya Ekambi</t>
  </si>
  <si>
    <t>Hashmeet Chhada</t>
  </si>
  <si>
    <t>Sagar Yadav</t>
  </si>
  <si>
    <t>1-Jul-24 to 31-Jul-24</t>
  </si>
  <si>
    <t>Accumulated Depreciation on Computer &amp; Laptops</t>
  </si>
  <si>
    <t>Ashwathh Legal</t>
  </si>
  <si>
    <t>Computer &amp; Laptops</t>
  </si>
  <si>
    <t>CRYSTAL TOYS</t>
  </si>
  <si>
    <t>EXQUISITE HOSPITALITY MANAGEMENT</t>
  </si>
  <si>
    <t>Figma</t>
  </si>
  <si>
    <t>Fixed Deposit 9349573176</t>
  </si>
  <si>
    <t>Fixed Deposit 9349594041</t>
  </si>
  <si>
    <t>GUPSHUP TECHNOLOGY INDIA PRIVATE LIMITED</t>
  </si>
  <si>
    <t>GUPTA SCIENTIFIC &amp; GLASS WORKS</t>
  </si>
  <si>
    <t>Haystack Marketing Services Pvt. Ltd</t>
  </si>
  <si>
    <t>Input CGST @ 6%</t>
  </si>
  <si>
    <t>Input SGST @ 6%</t>
  </si>
  <si>
    <t>Magnolia CHS</t>
  </si>
  <si>
    <t>OM Chandivali  CHS</t>
  </si>
  <si>
    <t>Payment Due to Maestro for June</t>
  </si>
  <si>
    <t>Protean eGov Technologies Limited</t>
  </si>
  <si>
    <t>Rates &amp; Taxes</t>
  </si>
  <si>
    <t>TDS Receivable</t>
  </si>
  <si>
    <t>THE PRINT COMPANY</t>
  </si>
  <si>
    <t>TRIMURTI ENTERPRISES</t>
  </si>
  <si>
    <t>WORKINDIA</t>
  </si>
  <si>
    <t>Written Off of Maestro Payout</t>
  </si>
  <si>
    <t>Aayush Agarwal Salary</t>
  </si>
  <si>
    <t>Regina Martha Dsouza</t>
  </si>
  <si>
    <t>Customer acq</t>
  </si>
  <si>
    <t>Saidappa Seshappa Maske</t>
  </si>
  <si>
    <t>Aishwarya Ambarao Ekambi</t>
  </si>
  <si>
    <t>Maansi Bhardwaj</t>
  </si>
  <si>
    <t>Amesh Ashok Kasare</t>
  </si>
  <si>
    <t>Rahul Venkat Lashkare</t>
  </si>
  <si>
    <t>Swati Rajkumar Sahani</t>
  </si>
  <si>
    <t>Rohith Krishnan</t>
  </si>
  <si>
    <t>Satyam Shashank Mhatre</t>
  </si>
  <si>
    <t>Nivrutti Ingavale</t>
  </si>
  <si>
    <t>Ninad Sanjivan</t>
  </si>
  <si>
    <t>Sohan Gautam Ovhal</t>
  </si>
  <si>
    <t>1-Aug-24 to 31-Aug-24</t>
  </si>
  <si>
    <t>Amazon Wallet</t>
  </si>
  <si>
    <t>Apka Fashion</t>
  </si>
  <si>
    <t>Awfis Space Solutions Limited</t>
  </si>
  <si>
    <t>BHUMIKA HIGHSTREET INDIA PRIVATE LIMITED</t>
  </si>
  <si>
    <t>Bluedart</t>
  </si>
  <si>
    <t>Clickwise Media Solutions LLP</t>
  </si>
  <si>
    <t>Dua Lime Retail</t>
  </si>
  <si>
    <t>EcoSoul Home</t>
  </si>
  <si>
    <t>Google India Private Limited</t>
  </si>
  <si>
    <t>Messystrokes</t>
  </si>
  <si>
    <t>Nidhi Hasmukh Shah</t>
  </si>
  <si>
    <t>Prepaid Expenses</t>
  </si>
  <si>
    <t>RAHEJA VISTAS CO-OP HOUSING SOCIETY LTD</t>
  </si>
  <si>
    <t>Satish Varma</t>
  </si>
  <si>
    <t>Ashwini Konar</t>
  </si>
  <si>
    <t>Sahil Ashok Oza</t>
  </si>
  <si>
    <t>Sonit Chauhan</t>
  </si>
  <si>
    <t>Riddhi Sharma</t>
  </si>
  <si>
    <t>Ishan Ajay Rathod</t>
  </si>
  <si>
    <t>Variable Pay</t>
  </si>
  <si>
    <t>Variable Pay Payable</t>
  </si>
  <si>
    <t>1-Sep-24 to 30-Sep-24</t>
  </si>
  <si>
    <t>Deepak Kumar</t>
  </si>
  <si>
    <t>Dhyanashweri Enterprises</t>
  </si>
  <si>
    <t>Fixed Deposits 9349669299</t>
  </si>
  <si>
    <t>Fixed deposits 9349669305</t>
  </si>
  <si>
    <t>Fixed deposits 9349669312</t>
  </si>
  <si>
    <t>Fixed deposits 9349669329</t>
  </si>
  <si>
    <t>Think Big Creator</t>
  </si>
  <si>
    <t>Varibale Pay Payable</t>
  </si>
  <si>
    <t>Divyanshu Tiwari</t>
  </si>
  <si>
    <t>Ronak Vasoya</t>
  </si>
  <si>
    <t>Sohan Ovhal</t>
  </si>
  <si>
    <t>Priya</t>
  </si>
  <si>
    <t>Accunity HR Services Private Limited</t>
  </si>
  <si>
    <t>Star Lead Services</t>
  </si>
  <si>
    <t>Service cost</t>
  </si>
  <si>
    <t>Employee Reimbursements Payable</t>
  </si>
  <si>
    <t>Tejaswini Dandiya Event</t>
  </si>
  <si>
    <t>Output CGST (RCM)</t>
  </si>
  <si>
    <t>Output SGST (RCM)</t>
  </si>
  <si>
    <t>App Walllet</t>
  </si>
  <si>
    <t>1-Mar-24 to 31-Mar-24</t>
  </si>
  <si>
    <t>Audit Fees</t>
  </si>
  <si>
    <t>Brokerage Charges</t>
  </si>
  <si>
    <t>Maintenance Charges</t>
  </si>
  <si>
    <t>Pawan B. Kumawat</t>
  </si>
  <si>
    <t>Sudarshan Stationery</t>
  </si>
  <si>
    <t>Tanmay Design</t>
  </si>
  <si>
    <t>TDS U/S 194H</t>
  </si>
  <si>
    <t>Travelling Expenses</t>
  </si>
  <si>
    <t>Zareba</t>
  </si>
  <si>
    <t>Employee Cost</t>
  </si>
  <si>
    <t>Ronak Gopalbhai Vasoya</t>
  </si>
  <si>
    <t>Sumit Balasaheb Bhalerao</t>
  </si>
  <si>
    <t>Narendra Jansevak Mohod</t>
  </si>
  <si>
    <t>Shirkar Akshata</t>
  </si>
  <si>
    <t>Mustafa Shaikh</t>
  </si>
  <si>
    <t>App Wallet</t>
  </si>
  <si>
    <t>Fixed deposits 9349705911</t>
  </si>
  <si>
    <t>TDS Payable</t>
  </si>
  <si>
    <t>GST Payable</t>
  </si>
  <si>
    <t>Accounts Payable</t>
  </si>
  <si>
    <t>Bank adjustments pending in zoho</t>
  </si>
  <si>
    <t>Parul Khandelwal</t>
  </si>
  <si>
    <t>Ashish Mishra</t>
  </si>
  <si>
    <t>Total Dr</t>
  </si>
  <si>
    <t>Total Cr</t>
  </si>
  <si>
    <t>Vlookup</t>
  </si>
  <si>
    <t>Provision for PG Cost</t>
  </si>
  <si>
    <t>Forfieture revenue</t>
  </si>
  <si>
    <t>Forfieture Discount</t>
  </si>
  <si>
    <t>Forfieture Tax</t>
  </si>
  <si>
    <t>Forfieture B2c</t>
  </si>
  <si>
    <t>Aayush Agarwal - Salary</t>
  </si>
  <si>
    <t>Adani Electricity</t>
  </si>
  <si>
    <t>Clevertap Private Limited</t>
  </si>
  <si>
    <t>Mr. Aditya Amare</t>
  </si>
  <si>
    <t>Mr. Ajay Salve</t>
  </si>
  <si>
    <t>Mr. Divyanshu Tiwari</t>
  </si>
  <si>
    <t>Mr. Narendra Modoh</t>
  </si>
  <si>
    <t>Mr. Rahul Lashkare</t>
  </si>
  <si>
    <t>Mr. Ronak Vasoya</t>
  </si>
  <si>
    <t>Mr. Satish Kumar</t>
  </si>
  <si>
    <t>Mr. Sumeet Bhalerao</t>
  </si>
  <si>
    <t>Mr. Vivek Rao</t>
  </si>
  <si>
    <t>Ms. Maansi Bhardwaj</t>
  </si>
  <si>
    <t>Ms. Nidhi Shah</t>
  </si>
  <si>
    <t>Ms. Parul Khandelwal</t>
  </si>
  <si>
    <t>Ms. Swati Sahani</t>
  </si>
  <si>
    <t>Zoho Payables</t>
  </si>
  <si>
    <t>Sales Oct</t>
  </si>
  <si>
    <t>Disc Oct</t>
  </si>
  <si>
    <t>Debtor Oct</t>
  </si>
  <si>
    <t>Tax Oct</t>
  </si>
  <si>
    <t>Sales</t>
  </si>
  <si>
    <t>Debtor</t>
  </si>
  <si>
    <t>Wallet Liability</t>
  </si>
  <si>
    <t>Annual Run Rate Revenue (USD Thousands)</t>
  </si>
  <si>
    <t xml:space="preserve">Account </t>
  </si>
  <si>
    <t xml:space="preserve">Debit </t>
  </si>
  <si>
    <t xml:space="preserve">Credit </t>
  </si>
  <si>
    <t>Income</t>
  </si>
  <si>
    <t xml:space="preserve">          Convenience and Platform Fee</t>
  </si>
  <si>
    <t xml:space="preserve">          Discount</t>
  </si>
  <si>
    <t xml:space="preserve">          FD Interest Income</t>
  </si>
  <si>
    <t xml:space="preserve">          Maestro Revenue</t>
  </si>
  <si>
    <t>Expense</t>
  </si>
  <si>
    <t xml:space="preserve">          Accounting Services</t>
  </si>
  <si>
    <t xml:space="preserve">          Bank Fees and Charges</t>
  </si>
  <si>
    <t xml:space="preserve">          Branding Expense</t>
  </si>
  <si>
    <t xml:space="preserve">          Customer Acquisition Cost</t>
  </si>
  <si>
    <t xml:space="preserve">          Depreciation and Amortization</t>
  </si>
  <si>
    <t xml:space="preserve">          Employee Benefit Expense</t>
  </si>
  <si>
    <t xml:space="preserve">                    Employer PF Expense</t>
  </si>
  <si>
    <t xml:space="preserve">                    PF Admin Expense</t>
  </si>
  <si>
    <t xml:space="preserve">                    Staff Welfare Expense</t>
  </si>
  <si>
    <t xml:space="preserve">                    Variable Salary</t>
  </si>
  <si>
    <t xml:space="preserve">          Total for Employee Benefit Expense</t>
  </si>
  <si>
    <t xml:space="preserve">          Fund Raising Expense</t>
  </si>
  <si>
    <t xml:space="preserve">          Miscellaneous Expense</t>
  </si>
  <si>
    <t xml:space="preserve">          Office and Admin Expense</t>
  </si>
  <si>
    <t xml:space="preserve">          Office Rent Expense</t>
  </si>
  <si>
    <t xml:space="preserve">          Other Cost</t>
  </si>
  <si>
    <t xml:space="preserve">          Other Expenses</t>
  </si>
  <si>
    <t xml:space="preserve">          Professional Fees</t>
  </si>
  <si>
    <t xml:space="preserve">          Rates and Taxes</t>
  </si>
  <si>
    <t xml:space="preserve">          Salaries and Employee Wages</t>
  </si>
  <si>
    <t xml:space="preserve">          Software Expense</t>
  </si>
  <si>
    <t xml:space="preserve">          Sourcing and Onboarding Expense</t>
  </si>
  <si>
    <t xml:space="preserve">          Training Centre Expense</t>
  </si>
  <si>
    <t xml:space="preserve">          Training Centre Rent Expense</t>
  </si>
  <si>
    <t>Harsh Haldankar</t>
  </si>
  <si>
    <t xml:space="preserve">Opening Balance </t>
  </si>
  <si>
    <t xml:space="preserve">Closing Balance </t>
  </si>
  <si>
    <t xml:space="preserve">          Accounts Receivable</t>
  </si>
  <si>
    <t xml:space="preserve">          Accrued Interest</t>
  </si>
  <si>
    <t xml:space="preserve">          Accumulated Amortization on Intangible Asset</t>
  </si>
  <si>
    <t xml:space="preserve">          Accumulated Depreciation on Computer and Laptops</t>
  </si>
  <si>
    <t xml:space="preserve">          Accumulated Depreciation on Office Equipment</t>
  </si>
  <si>
    <t xml:space="preserve">          Amazon Wallet</t>
  </si>
  <si>
    <t xml:space="preserve">          Axis Bank 1655</t>
  </si>
  <si>
    <t xml:space="preserve">          Computer and Laptops</t>
  </si>
  <si>
    <t xml:space="preserve">          Input Tax Credits</t>
  </si>
  <si>
    <t xml:space="preserve">                    Input CGST</t>
  </si>
  <si>
    <t xml:space="preserve">                    Input IGST</t>
  </si>
  <si>
    <t xml:space="preserve">                    Input SGST</t>
  </si>
  <si>
    <t xml:space="preserve">          Total for Input Tax Credits</t>
  </si>
  <si>
    <t xml:space="preserve">          Intangible Asset</t>
  </si>
  <si>
    <t xml:space="preserve">          Investments</t>
  </si>
  <si>
    <t xml:space="preserve">                    Fixed Deposit 9349705911</t>
  </si>
  <si>
    <t xml:space="preserve">                    Fixed Deposit 9349728040</t>
  </si>
  <si>
    <t xml:space="preserve">                    Fixed Deposit 9349736649</t>
  </si>
  <si>
    <t xml:space="preserve">                    Fixed Deposit 9349736656</t>
  </si>
  <si>
    <t xml:space="preserve">                    Fixed Deposits 9349517019</t>
  </si>
  <si>
    <t xml:space="preserve">                    Fixed deposits 9349669329</t>
  </si>
  <si>
    <t xml:space="preserve">          Total for Investments</t>
  </si>
  <si>
    <t xml:space="preserve">          Kotak Mahindra Bank 9942</t>
  </si>
  <si>
    <t xml:space="preserve">          Kotak Mahindra Bank 9966</t>
  </si>
  <si>
    <t xml:space="preserve">          Office Equipment</t>
  </si>
  <si>
    <t xml:space="preserve">          Petty Cash</t>
  </si>
  <si>
    <t xml:space="preserve">          Prepaid Expense - Asset</t>
  </si>
  <si>
    <t xml:space="preserve">          Prepaid Expenses</t>
  </si>
  <si>
    <t xml:space="preserve">          Receipt from Customers</t>
  </si>
  <si>
    <t xml:space="preserve">          Reverse Charge Tax Input but not due</t>
  </si>
  <si>
    <t xml:space="preserve">          Security Deposit</t>
  </si>
  <si>
    <t xml:space="preserve">          TDS Receivable</t>
  </si>
  <si>
    <t>Liabilities</t>
  </si>
  <si>
    <t xml:space="preserve">          Accounts Payable</t>
  </si>
  <si>
    <t xml:space="preserve">          App Wallet</t>
  </si>
  <si>
    <t xml:space="preserve">          Employee Reimbursements</t>
  </si>
  <si>
    <t xml:space="preserve">          GST Payable</t>
  </si>
  <si>
    <t xml:space="preserve">                    Output CGST</t>
  </si>
  <si>
    <t xml:space="preserve">                    Output IGST</t>
  </si>
  <si>
    <t xml:space="preserve">                    Output SGST</t>
  </si>
  <si>
    <t xml:space="preserve">          Total for GST Payable</t>
  </si>
  <si>
    <t xml:space="preserve">          Professional Tax</t>
  </si>
  <si>
    <t xml:space="preserve">          Provident Fund</t>
  </si>
  <si>
    <t xml:space="preserve">                    Provident Fund - Employee</t>
  </si>
  <si>
    <t xml:space="preserve">                    Provident Fund - Employer</t>
  </si>
  <si>
    <t xml:space="preserve">          Total for Provident Fund</t>
  </si>
  <si>
    <t xml:space="preserve">          Provision for Audit Fees</t>
  </si>
  <si>
    <t xml:space="preserve">          Provision for Other Cost</t>
  </si>
  <si>
    <t xml:space="preserve">          Provision for PG Cost</t>
  </si>
  <si>
    <t xml:space="preserve">          Provision for Software Expense</t>
  </si>
  <si>
    <t xml:space="preserve">          TDS Payable</t>
  </si>
  <si>
    <t xml:space="preserve">          Variable Salary Payable</t>
  </si>
  <si>
    <t>Equities</t>
  </si>
  <si>
    <t xml:space="preserve">          Current Year Earnings</t>
  </si>
  <si>
    <t xml:space="preserve">          Owner's Equity</t>
  </si>
  <si>
    <t xml:space="preserve">                    Nexus Ventures VII Holdings LLC ESC</t>
  </si>
  <si>
    <t xml:space="preserve">                    Nexus Ventures VII Holdings LLC PSC</t>
  </si>
  <si>
    <t xml:space="preserve">                    Securities Premium</t>
  </si>
  <si>
    <t xml:space="preserve">          Total for Owner's Equity</t>
  </si>
  <si>
    <t xml:space="preserve">          Retained Earnings</t>
  </si>
  <si>
    <t xml:space="preserve">          Payment Gateway Cost</t>
  </si>
  <si>
    <t>Accounts Receivable</t>
  </si>
  <si>
    <t>Accumulated Depreciation on Computer and Laptops</t>
  </si>
  <si>
    <t>Axis Bank 1655</t>
  </si>
  <si>
    <t>Computer and Laptops</t>
  </si>
  <si>
    <t>Input CGST</t>
  </si>
  <si>
    <t>Input IGST</t>
  </si>
  <si>
    <t>Input SGST</t>
  </si>
  <si>
    <t>Fixed Deposit 9349705911</t>
  </si>
  <si>
    <t>Fixed Deposit 9349728040</t>
  </si>
  <si>
    <t>Fixed Deposit 9349736649</t>
  </si>
  <si>
    <t>Fixed Deposit 9349736656</t>
  </si>
  <si>
    <t>Kotak Mahindra Bank 9942</t>
  </si>
  <si>
    <t>Kotak Mahindra Bank 9966</t>
  </si>
  <si>
    <t>Petty Cash</t>
  </si>
  <si>
    <t>Prepaid Expense - Asset</t>
  </si>
  <si>
    <t>Receipt from Customers</t>
  </si>
  <si>
    <t>Reverse Charge Tax Input but not due</t>
  </si>
  <si>
    <t>Employee Reimbursements</t>
  </si>
  <si>
    <t>Output CGST</t>
  </si>
  <si>
    <t>Output IGST</t>
  </si>
  <si>
    <t>Output SGST</t>
  </si>
  <si>
    <t>Professional Tax</t>
  </si>
  <si>
    <t>Provident Fund - Employee</t>
  </si>
  <si>
    <t>Provident Fund - Employer</t>
  </si>
  <si>
    <t>Provision for Other Cost</t>
  </si>
  <si>
    <t>Provision for Software Expense</t>
  </si>
  <si>
    <t>Variable Salary Payable</t>
  </si>
  <si>
    <t>Current Year Earnings</t>
  </si>
  <si>
    <t>Owner's Equity</t>
  </si>
  <si>
    <t>Nexus Ventures VII Holdings LLC ESC</t>
  </si>
  <si>
    <t>Nexus Ventures VII Holdings LLC PSC</t>
  </si>
  <si>
    <t>Securities Premium</t>
  </si>
  <si>
    <t>Retained Earnings</t>
  </si>
  <si>
    <t>FD Interest Income</t>
  </si>
  <si>
    <t>Bank Fees and Charges</t>
  </si>
  <si>
    <t>Depreciation and Amortization</t>
  </si>
  <si>
    <t>PF Admin Expense</t>
  </si>
  <si>
    <t>Staff Welfare Expense</t>
  </si>
  <si>
    <t>Variable Salary</t>
  </si>
  <si>
    <t>Fund Raising Expense</t>
  </si>
  <si>
    <t>Miscellaneous Expense</t>
  </si>
  <si>
    <t>Office and Admin Expense</t>
  </si>
  <si>
    <t>Office Rent Expense</t>
  </si>
  <si>
    <t>Other Cost</t>
  </si>
  <si>
    <t>Other Expenses</t>
  </si>
  <si>
    <t>Rates and Taxes</t>
  </si>
  <si>
    <t>Salaries and Employee Wages</t>
  </si>
  <si>
    <t>Software Expense</t>
  </si>
  <si>
    <t>Sourcing and Onboarding Expense</t>
  </si>
  <si>
    <t>Training Centre Expense</t>
  </si>
  <si>
    <t>Training Centre Rent Expense</t>
  </si>
  <si>
    <t>Tag</t>
  </si>
  <si>
    <t>INR in '000</t>
  </si>
  <si>
    <t xml:space="preserve">          Provision for Joining &amp; Referral Bonus</t>
  </si>
  <si>
    <t xml:space="preserve">          Service Cost</t>
  </si>
  <si>
    <t>Provision for Joining &amp; Referral Bonus</t>
  </si>
  <si>
    <t xml:space="preserve">          Provision for Customer Acquisition Cost</t>
  </si>
  <si>
    <t xml:space="preserve">          New User Discount</t>
  </si>
  <si>
    <t>New User Discount</t>
  </si>
  <si>
    <t>Provision for Customer Acquisition Cost</t>
  </si>
  <si>
    <t xml:space="preserve">          Employee Salaries Payable</t>
  </si>
  <si>
    <t>Employee Salaries Payable</t>
  </si>
  <si>
    <t>Provision for Service Cost</t>
  </si>
  <si>
    <t xml:space="preserve">          Provision for TDS</t>
  </si>
  <si>
    <t>Provision for TDS</t>
  </si>
  <si>
    <t>Salary bifurcations into relevant heads</t>
  </si>
  <si>
    <t xml:space="preserve">                    Fixed Deposit 9349746617</t>
  </si>
  <si>
    <t xml:space="preserve">                    Fixed Deposit 9349759488</t>
  </si>
  <si>
    <t xml:space="preserve">                    Fixed Deposit 9349770858</t>
  </si>
  <si>
    <t xml:space="preserve">                    Fixed Deposit 9349770889</t>
  </si>
  <si>
    <t xml:space="preserve">                    Fixed Deposit 9349775761</t>
  </si>
  <si>
    <t xml:space="preserve">          Labour Welfare Fund</t>
  </si>
  <si>
    <t xml:space="preserve">          Provision for Electricity Expense</t>
  </si>
  <si>
    <t xml:space="preserve">          Provision for Service Cost</t>
  </si>
  <si>
    <t xml:space="preserve">          Audit Fees</t>
  </si>
  <si>
    <t xml:space="preserve">          Customer Success Cost</t>
  </si>
  <si>
    <t xml:space="preserve">          Managerial Cost</t>
  </si>
  <si>
    <t xml:space="preserve">          Recruitment Charges</t>
  </si>
  <si>
    <t>Total for Trial Balance</t>
  </si>
  <si>
    <t>Fixed Deposit 9349746617</t>
  </si>
  <si>
    <t>Fixed Deposit 9349759488</t>
  </si>
  <si>
    <t>Fixed Deposit 9349770858</t>
  </si>
  <si>
    <t>Fixed Deposit 9349770889</t>
  </si>
  <si>
    <t>Fixed Deposit 9349775761</t>
  </si>
  <si>
    <t>Provision for Electricity Expense</t>
  </si>
  <si>
    <t xml:space="preserve">          Electricity Expense</t>
  </si>
  <si>
    <t>Net Loss</t>
  </si>
  <si>
    <t>In '000</t>
  </si>
  <si>
    <t>Mr. Mustafa Shaikh</t>
  </si>
  <si>
    <t>Mr. Jay Gudhka</t>
  </si>
  <si>
    <t>Mr. Manish Verma</t>
  </si>
  <si>
    <t>Ms. Regina Dsouza</t>
  </si>
  <si>
    <t>Ms. Ruksaar Khan</t>
  </si>
  <si>
    <t>Mr. Harsh Haldankar</t>
  </si>
  <si>
    <t>Mr. Vinit Pandey</t>
  </si>
  <si>
    <t>Mr. Pranav Seksaria</t>
  </si>
  <si>
    <t>Ms. Aishwarya Ekambi</t>
  </si>
  <si>
    <t>Mr. Hashmeet Chaddha</t>
  </si>
  <si>
    <t>Ms. Ashwini Konar</t>
  </si>
  <si>
    <t>Mr. Satish Verma</t>
  </si>
  <si>
    <t>Ms. Megha Turde</t>
  </si>
  <si>
    <t>Mr. Sumit Bhalerao</t>
  </si>
  <si>
    <t>Ms. Akshata Shirkar</t>
  </si>
  <si>
    <t>Mr. Sanjay Kori</t>
  </si>
  <si>
    <t>Sunita Gaikwad</t>
  </si>
  <si>
    <t>Mr. Akant Bharecha</t>
  </si>
  <si>
    <t>Mr. Rahul Dambale</t>
  </si>
  <si>
    <t>Mr. Ravi Dambale</t>
  </si>
  <si>
    <t>Mr. Rohith Krishnan</t>
  </si>
  <si>
    <t>Mr. Satyam Mhatre</t>
  </si>
  <si>
    <t>Mr. Sagar Yadav</t>
  </si>
  <si>
    <t>Ms. Vriti Garodia</t>
  </si>
  <si>
    <t>Mr. Mohak Singh</t>
  </si>
  <si>
    <t>Mr. Dipendra Sunar</t>
  </si>
  <si>
    <t>Mr. Shrey Singhani</t>
  </si>
  <si>
    <t>Employees</t>
  </si>
  <si>
    <t>Training centre</t>
  </si>
  <si>
    <t xml:space="preserve">          Furniture and Equipment</t>
  </si>
  <si>
    <t xml:space="preserve">                    Fixed Deposit 9349809046</t>
  </si>
  <si>
    <t xml:space="preserve">                    Fixed Deposit 9349809145</t>
  </si>
  <si>
    <t xml:space="preserve">                    Fixed Deposit 9349809183</t>
  </si>
  <si>
    <t xml:space="preserve">          Kotak Mahindra Bank 0429</t>
  </si>
  <si>
    <t xml:space="preserve">                    Elevation Capital III Limited ESC</t>
  </si>
  <si>
    <t xml:space="preserve">                    Elevation Capital III Limited PSC</t>
  </si>
  <si>
    <t xml:space="preserve">                    Gaurav Munjal</t>
  </si>
  <si>
    <t xml:space="preserve">                    Niraj Singh</t>
  </si>
  <si>
    <t xml:space="preserve">                    Pranav Goenka</t>
  </si>
  <si>
    <t xml:space="preserve">                    Sanjeev Kumar</t>
  </si>
  <si>
    <t xml:space="preserve">                    Shantam Jain</t>
  </si>
  <si>
    <t xml:space="preserve">                    Siddhartha Kochar</t>
  </si>
  <si>
    <t xml:space="preserve">                    Unnat SK Bajoria</t>
  </si>
  <si>
    <t xml:space="preserve">                    Vidit Aatrey</t>
  </si>
  <si>
    <t>Furniture and Equipment</t>
  </si>
  <si>
    <t>Fixed Deposit 9349809046</t>
  </si>
  <si>
    <t>Fixed Deposit 9349809145</t>
  </si>
  <si>
    <t>Fixed Deposit 9349809183</t>
  </si>
  <si>
    <t>Kotak Mahindra Bank 0429</t>
  </si>
  <si>
    <t>Elevation Capital III Limited ESC</t>
  </si>
  <si>
    <t>Elevation Capital III Limited PSC</t>
  </si>
  <si>
    <t>Gaurav Munjal</t>
  </si>
  <si>
    <t>Niraj Singh</t>
  </si>
  <si>
    <t>Pranav Goenka</t>
  </si>
  <si>
    <t>Sanjeev Kumar</t>
  </si>
  <si>
    <t>Shantam Jain</t>
  </si>
  <si>
    <t>Siddhartha Kochar</t>
  </si>
  <si>
    <t>Unnat SK Bajoria</t>
  </si>
  <si>
    <t>Vidit Aatrey</t>
  </si>
  <si>
    <t>Electricity Expense</t>
  </si>
  <si>
    <t>LWF</t>
  </si>
  <si>
    <t>Mr. Manish Jha</t>
  </si>
  <si>
    <t xml:space="preserve">          Interest on TDS</t>
  </si>
  <si>
    <t xml:space="preserve">          HDFC Bank 6899</t>
  </si>
  <si>
    <t xml:space="preserve">          HDFC Bank 9531</t>
  </si>
  <si>
    <t>HDFC Bank 6899</t>
  </si>
  <si>
    <t>HDFC Bank 9531</t>
  </si>
  <si>
    <t xml:space="preserve">                    Fixed Deposit 50301104821591</t>
  </si>
  <si>
    <t xml:space="preserve">                    Fixed Deposit 50301104822249</t>
  </si>
  <si>
    <t>Fixed Deposit 50301104821591</t>
  </si>
  <si>
    <t>Fixed Deposit 50301104822249</t>
  </si>
  <si>
    <t xml:space="preserve">          Training Centre Development Cost</t>
  </si>
  <si>
    <t>Training Centre Development Cost</t>
  </si>
  <si>
    <t xml:space="preserve">          Leasehold Improvement</t>
  </si>
  <si>
    <t>Leasehold Improvement</t>
  </si>
  <si>
    <t xml:space="preserve">          Insurance Expense</t>
  </si>
  <si>
    <t xml:space="preserve">          Printing and Stationery</t>
  </si>
  <si>
    <t xml:space="preserve">          Brokerage Charges</t>
  </si>
  <si>
    <t>Ms. Anita Elavia</t>
  </si>
  <si>
    <t>Mr. Madhankumar Suresh</t>
  </si>
  <si>
    <t>Ms. Diksha Jadhav</t>
  </si>
  <si>
    <t>Ms. Aarti Kharat</t>
  </si>
  <si>
    <t>Mr. Ankit Bangur</t>
  </si>
  <si>
    <t>Ms. Raksha Shetty</t>
  </si>
  <si>
    <t>Mr. Vicky Solse</t>
  </si>
  <si>
    <t>Mr. Karanveer Singh Kaberwal</t>
  </si>
  <si>
    <t>Mr. Aman Yadav</t>
  </si>
  <si>
    <t>Mr. Bhavesh Rakshe</t>
  </si>
  <si>
    <t>Mr. Akshay Zaveri</t>
  </si>
  <si>
    <t>Ms. Varsha Salve</t>
  </si>
  <si>
    <t>Mr. Ibrahim Katthawala</t>
  </si>
  <si>
    <t>Anshu Mishra</t>
  </si>
  <si>
    <t>Mr. Sumit Singh</t>
  </si>
  <si>
    <t>Mr. Akshay Mishra</t>
  </si>
  <si>
    <t>Mr. Ninad Sanjivan</t>
  </si>
  <si>
    <t>Ms. Shivani Vasani</t>
  </si>
  <si>
    <t>Ms. Devika Sidwani</t>
  </si>
  <si>
    <t>Mr. Aayush Kharwakar</t>
  </si>
  <si>
    <t>Mr. Harsh Jain</t>
  </si>
  <si>
    <t>Ms. Rajeshree Show</t>
  </si>
  <si>
    <t xml:space="preserve">                    Fixed Deposit 9349846355</t>
  </si>
  <si>
    <t xml:space="preserve">                    Fixed Deposit 9349848809</t>
  </si>
  <si>
    <t xml:space="preserve">                    Fixed Deposit 9349848823</t>
  </si>
  <si>
    <t>Fixed Deposit 9349846355</t>
  </si>
  <si>
    <t>Fixed Deposit 9349848809</t>
  </si>
  <si>
    <t>Fixed Deposit 9349848823</t>
  </si>
  <si>
    <t>Insurance Expense</t>
  </si>
  <si>
    <t>Printing and Stationery</t>
  </si>
  <si>
    <t>Service Cost - Retention Bonus</t>
  </si>
  <si>
    <t xml:space="preserve">          Expert Retention Bonus</t>
  </si>
  <si>
    <t>Expert Retention Bonus</t>
  </si>
  <si>
    <t xml:space="preserve">          Accumulated Depreciation on Furniture &amp; Equipment</t>
  </si>
  <si>
    <t xml:space="preserve">                    Fixed Deposit 9349866506</t>
  </si>
  <si>
    <t xml:space="preserve">                    Fixed Deposit 9349886610</t>
  </si>
  <si>
    <t xml:space="preserve">          Employees State Insurance</t>
  </si>
  <si>
    <t xml:space="preserve">                    ESI - Employee</t>
  </si>
  <si>
    <t xml:space="preserve">                    ESI - Employer</t>
  </si>
  <si>
    <t xml:space="preserve">          Total for Employees State Insurance</t>
  </si>
  <si>
    <t xml:space="preserve">                    Employer ESI Expense</t>
  </si>
  <si>
    <t xml:space="preserve">          Expert Welfare Cost</t>
  </si>
  <si>
    <t xml:space="preserve">          Hotspot Rent Expense</t>
  </si>
  <si>
    <t xml:space="preserve">          Interest on GST</t>
  </si>
  <si>
    <t xml:space="preserve">          Legal Fees</t>
  </si>
  <si>
    <t>Accumulated Depreciation on Furniture &amp; Equipment</t>
  </si>
  <si>
    <t>Fixed Deposit 9349866506</t>
  </si>
  <si>
    <t>Fixed Deposit 9349886610</t>
  </si>
  <si>
    <t>ESI - Employee</t>
  </si>
  <si>
    <t>ESI - Employer</t>
  </si>
  <si>
    <t>Employer ESI Expense</t>
  </si>
  <si>
    <t>Expert Welfare Cost</t>
  </si>
  <si>
    <t>Hotspot Rent Expense</t>
  </si>
  <si>
    <t>Interest on GST</t>
  </si>
  <si>
    <t>Mr. Abhishek Dubey</t>
  </si>
  <si>
    <t>Mr. Rahul Thakur</t>
  </si>
  <si>
    <t>Ms. Kavita Gunjal</t>
  </si>
  <si>
    <t>Mr. Dlipkumar Gaikwad</t>
  </si>
  <si>
    <t>Ms. Bharti Solanki</t>
  </si>
  <si>
    <t>Mr. Aditya Patil</t>
  </si>
  <si>
    <t>Mr. Saikiran Kalvacherla</t>
  </si>
  <si>
    <t>Mr. V Vignesh</t>
  </si>
  <si>
    <t>Mr. Kudal Pandey</t>
  </si>
  <si>
    <t>Mr. Shaik Ilyas</t>
  </si>
  <si>
    <t>Mr. Aman Aslam Khan</t>
  </si>
  <si>
    <t>Mr. Saurabh Dubey</t>
  </si>
  <si>
    <t>Mr. Himanshu Samal</t>
  </si>
  <si>
    <t>Mr. Rohan Sharma</t>
  </si>
  <si>
    <t>Mr. Sameer Ramesh Shinde</t>
  </si>
  <si>
    <t>Mr. Nabhodipta Garai</t>
  </si>
  <si>
    <t>Mr. Ashish Suryavanshi</t>
  </si>
  <si>
    <t>Mr. Tushar Bhekare</t>
  </si>
  <si>
    <t>Mr. Shadab Akhtar Ali Khan</t>
  </si>
  <si>
    <t>Mr. Swapnil N Paik</t>
  </si>
  <si>
    <t>Mr. Bhavin Sanghavi</t>
  </si>
  <si>
    <t>Ms. Rashmi Gawde</t>
  </si>
  <si>
    <t>Mr. Rahul Lote</t>
  </si>
  <si>
    <t>Ms. Varsha Bhilare</t>
  </si>
  <si>
    <t>Mr. Ameya Madhav Risbud</t>
  </si>
  <si>
    <t>Mr. Amir Sayyed</t>
  </si>
  <si>
    <t>Mr. Sudheesh Pillai</t>
  </si>
  <si>
    <t>Mr. Rizwan Shaikh</t>
  </si>
  <si>
    <t>Ms. Sneha Choudhary</t>
  </si>
  <si>
    <t>Mr. Aayush Rastogi</t>
  </si>
  <si>
    <t>Mr. Sayantan Ghosh</t>
  </si>
  <si>
    <t>Mr. Darshan A Waghela</t>
  </si>
  <si>
    <t>Mr. Rahul K Singhal</t>
  </si>
  <si>
    <t>Mr. Mohammad Aqib</t>
  </si>
  <si>
    <t>Mr. Shinu Biswas</t>
  </si>
  <si>
    <t>Mr. Tushar Mosamkar</t>
  </si>
  <si>
    <t>Mr. Suresh R</t>
  </si>
  <si>
    <t>Ms. Pavithra V</t>
  </si>
  <si>
    <t>Mr. Sugali Sai Charan</t>
  </si>
  <si>
    <t>Ms. Suprita Nadar</t>
  </si>
  <si>
    <t>Mr. Nikhil Gangurde</t>
  </si>
  <si>
    <t>Mr. Abhishek Verma</t>
  </si>
  <si>
    <t>Mr. Dilip G</t>
  </si>
  <si>
    <t>Mr. Ankush Tripathi</t>
  </si>
  <si>
    <t>Mr. Yalavarthi Varun</t>
  </si>
  <si>
    <t>Mr. Geeta Nilesh Vishwakarma</t>
  </si>
  <si>
    <t>Mr. O Manjunadha</t>
  </si>
  <si>
    <t>Mr. Radhika Bhagat</t>
  </si>
  <si>
    <t>Mr. Sunny Shetty</t>
  </si>
  <si>
    <t>Mr. Aditya Kumar Singh</t>
  </si>
  <si>
    <t>Mr. Anupam Yadav</t>
  </si>
  <si>
    <t>Mr. Sahil Bindal</t>
  </si>
  <si>
    <t>Mr. SV Vinay</t>
  </si>
  <si>
    <t>Mr. Shamit Trivedi</t>
  </si>
  <si>
    <t>Mr. Shyamsundar Das</t>
  </si>
  <si>
    <t>Mr. Prashant Singh</t>
  </si>
  <si>
    <t>Mr. Sarika Thapa</t>
  </si>
  <si>
    <t>Ms. Pratiksha Gaikwad</t>
  </si>
  <si>
    <t>Ms. Anisha Sharma</t>
  </si>
  <si>
    <t>Ms. Kanchan Jogdankar</t>
  </si>
  <si>
    <t>Mr. Rajveer Gophane</t>
  </si>
  <si>
    <t>Mr. IbrahIm A Katthawala</t>
  </si>
  <si>
    <t>Ms. Priyanka Thorat</t>
  </si>
  <si>
    <t>Mr. Sagar Bhurbure</t>
  </si>
  <si>
    <t>Mr. Utsav Gupta</t>
  </si>
  <si>
    <t>Mr. Farzan Khan</t>
  </si>
  <si>
    <t>Names</t>
  </si>
  <si>
    <t>Cost Centre</t>
  </si>
  <si>
    <t>Cost Centres</t>
  </si>
  <si>
    <t xml:space="preserve">                    Fixed Deposit 50301150927502</t>
  </si>
  <si>
    <t xml:space="preserve">                    Fixed Deposit 50301150928123</t>
  </si>
  <si>
    <t xml:space="preserve">                    Fixed Deposit 9349907605</t>
  </si>
  <si>
    <t xml:space="preserve">                    Fixed Deposit 9349923247</t>
  </si>
  <si>
    <t xml:space="preserve">                    Fixed Deposit 9349923254</t>
  </si>
  <si>
    <t xml:space="preserve">          Hood Rent Expense</t>
  </si>
  <si>
    <t xml:space="preserve">          Machinery Rent Expense</t>
  </si>
  <si>
    <t xml:space="preserve">          Repairs and Maintenance</t>
  </si>
  <si>
    <t xml:space="preserve">          Travel Expense</t>
  </si>
  <si>
    <t>Fixed Deposit 50301150927502</t>
  </si>
  <si>
    <t>Fixed Deposit 50301150928123</t>
  </si>
  <si>
    <t>Fixed Deposit 9349907605</t>
  </si>
  <si>
    <t>Fixed Deposit 9349923247</t>
  </si>
  <si>
    <t>Fixed Deposit 9349923254</t>
  </si>
  <si>
    <t>Hood Rent Expense</t>
  </si>
  <si>
    <t>Machinery Rent Expense</t>
  </si>
  <si>
    <t>Repairs and Maintenance</t>
  </si>
  <si>
    <t>Travel Expense</t>
  </si>
  <si>
    <t>Mr. Krishna Kumar Pandey</t>
  </si>
  <si>
    <t>Mr. Aakash Pandurang Gadekar</t>
  </si>
  <si>
    <t>Mr. Aashish Dnyandeep Chandanshiv</t>
  </si>
  <si>
    <t>Mr. Aijaz Akbarali Shaikh</t>
  </si>
  <si>
    <t>Mr. Ajay Shrikrishna Kevat</t>
  </si>
  <si>
    <t>Mr. Akshay Baburao Pawar</t>
  </si>
  <si>
    <t>Mr. Akshay Choudhary</t>
  </si>
  <si>
    <t>Mr. Aluru Aslam Khan</t>
  </si>
  <si>
    <t>Mr. Aman Achchhelal Vishwakarma</t>
  </si>
  <si>
    <t>Mr. Amit Jayprakash Singh</t>
  </si>
  <si>
    <t>Mr. Ankush Varma</t>
  </si>
  <si>
    <t>Mr. Banala Sai Chaitanya</t>
  </si>
  <si>
    <t>Mr. Bhavesh Bharat Chauhan</t>
  </si>
  <si>
    <t>Mr. Chandrashekhar Patil</t>
  </si>
  <si>
    <t>Mr. Dheeraj Pal</t>
  </si>
  <si>
    <t>Mr. Ghanshyam Vijay Udgiri</t>
  </si>
  <si>
    <t>Mr. Giri Shubham Anil</t>
  </si>
  <si>
    <t>Mr. Hardik Dogra</t>
  </si>
  <si>
    <t>Mr. Ishan Sandip Ghadi</t>
  </si>
  <si>
    <t>Mr. Jay Padmakar Bhavsar</t>
  </si>
  <si>
    <t>Mr. Jesvin Jose</t>
  </si>
  <si>
    <t>Mr. Jisshnu N S</t>
  </si>
  <si>
    <t>Mr. Kunal Naresh Shirke</t>
  </si>
  <si>
    <t>Mr. Lalit Dinesh Rathod</t>
  </si>
  <si>
    <t>Mr. Manish Umesh Mahadik</t>
  </si>
  <si>
    <t>Mr. Mogle Rahul Bhimrao</t>
  </si>
  <si>
    <t>Mr. Mohammad Shafik Salauddin Zaduwale</t>
  </si>
  <si>
    <t>Mr. Mohd Sadik Khan</t>
  </si>
  <si>
    <t>Mr. Prasad Shahaji Yewale</t>
  </si>
  <si>
    <t>Mr. Pundlik Yashwant Rane</t>
  </si>
  <si>
    <t>Mr. Rahul Suresh Lad</t>
  </si>
  <si>
    <t>Mr. Ravi Ashok Sable</t>
  </si>
  <si>
    <t>Mr. Ravindra Bandu Jadhav</t>
  </si>
  <si>
    <t>Mr. Saddam Ibrahim Sheikh</t>
  </si>
  <si>
    <t>Mr. Sairaj Padmakar Bawdane</t>
  </si>
  <si>
    <t>Mr. Samir Shantaram Mirgule</t>
  </si>
  <si>
    <t>Mr. Santosh Singh</t>
  </si>
  <si>
    <t>Mr. Saurabh Dineshkumar Kewat</t>
  </si>
  <si>
    <t>Mr. Shankar Muniratnam Baggaraju</t>
  </si>
  <si>
    <t>Mr. Shiva Krishna Ojha</t>
  </si>
  <si>
    <t>Mr. Shivam Mahajan</t>
  </si>
  <si>
    <t>Mr. Shivansh Arora</t>
  </si>
  <si>
    <t>Mr. Siddhesh Prakash Loke</t>
  </si>
  <si>
    <t>Mr. Siddhesh Prakash Tulaskar</t>
  </si>
  <si>
    <t>Mr. Suraj Gopinath Ghosalkar</t>
  </si>
  <si>
    <t>Mr. Sushil Dipak Chavan</t>
  </si>
  <si>
    <t>Mr. Syed Ahmad Abbas Syed Mubarak Ali</t>
  </si>
  <si>
    <t>Mr. Vaibhav Chandhok</t>
  </si>
  <si>
    <t>Mr. Vaibhav Vijay Rane</t>
  </si>
  <si>
    <t>Ms. Aarti Anand Parab</t>
  </si>
  <si>
    <t>Ms. Aishwarya Ashok Shinde</t>
  </si>
  <si>
    <t>Ms. Ayushi Ramesh Chavhan</t>
  </si>
  <si>
    <t>Ms. Barnali Saha</t>
  </si>
  <si>
    <t>Ms. Beauty Kumari</t>
  </si>
  <si>
    <t>Ms. Chaitali Karmakar</t>
  </si>
  <si>
    <t>Ms. Chandni Rajpoot</t>
  </si>
  <si>
    <t>Ms. Hansa Ganesh Dawane</t>
  </si>
  <si>
    <t>Ms. Heena Aqueel Ahmad Khatik</t>
  </si>
  <si>
    <t>Ms. Juli Kumari</t>
  </si>
  <si>
    <t>Ms. Kumud Lalu Lagade</t>
  </si>
  <si>
    <t>Ms. Mina Surin</t>
  </si>
  <si>
    <t>Ms. Niharika Bajpai</t>
  </si>
  <si>
    <t>Ms. Poornima Suryakant Kamble</t>
  </si>
  <si>
    <t>Ms. Prajakta Balasaheb Pisal</t>
  </si>
  <si>
    <t>Ms. Pranali Pradeep Ghadi</t>
  </si>
  <si>
    <t>Ms. Rasmita Lakai</t>
  </si>
  <si>
    <t>Ms. Rumana Abdul majid shaikh</t>
  </si>
  <si>
    <t>Ms. Saheba Khatoon Mohd Talib khan</t>
  </si>
  <si>
    <t>Ms. Shraddha Shailesh Sawant</t>
  </si>
  <si>
    <t>Ms. Sneha Prashant Dabhane</t>
  </si>
  <si>
    <t>Mr. Amit Repale</t>
  </si>
  <si>
    <t>Mr. Anantak Chauhan</t>
  </si>
  <si>
    <t>Mr. Sahil Suresh Tawde</t>
  </si>
  <si>
    <t>Ms. Khansa Aslam Mansuri</t>
  </si>
  <si>
    <t>Ms. Preeti Vishal Pawar</t>
  </si>
  <si>
    <t>Ms. Diksha Rajendra Kamble</t>
  </si>
  <si>
    <t>Notes of Accounts to Balance Sheet</t>
  </si>
  <si>
    <t>Sub-tag</t>
  </si>
  <si>
    <t>Wallet</t>
  </si>
  <si>
    <t>Employee Payables</t>
  </si>
  <si>
    <t>ESIC</t>
  </si>
  <si>
    <t>Accumulated Depreciation</t>
  </si>
  <si>
    <t>Accumulated Amortization</t>
  </si>
  <si>
    <t>Other Non-Current Assets</t>
  </si>
  <si>
    <t>Investments in Fixed Deposits</t>
  </si>
  <si>
    <t>Current Bank Account Balance</t>
  </si>
  <si>
    <t>Prepaid Expense</t>
  </si>
  <si>
    <t>Ms. Barnali Das</t>
  </si>
  <si>
    <t xml:space="preserve">          Operational Expense</t>
  </si>
  <si>
    <t>Operational Expense</t>
  </si>
  <si>
    <t>Operational Cost</t>
  </si>
  <si>
    <t xml:space="preserve">          Provision for Professional Fees</t>
  </si>
  <si>
    <t>Provision for Professional Fees</t>
  </si>
  <si>
    <t xml:space="preserve">          Advance to Vendors</t>
  </si>
  <si>
    <t xml:space="preserve">                    Fixed Deposit 9349943931</t>
  </si>
  <si>
    <t xml:space="preserve">          Expert Service Cost Payable</t>
  </si>
  <si>
    <t xml:space="preserve">          Advertising And Marketing</t>
  </si>
  <si>
    <t xml:space="preserve">          Employee Cost</t>
  </si>
  <si>
    <t xml:space="preserve">          Office Supplies</t>
  </si>
  <si>
    <t>Advance to Vendors</t>
  </si>
  <si>
    <t>Fixed Deposit 9349943931</t>
  </si>
  <si>
    <t>Expert Service Cost Payable</t>
  </si>
  <si>
    <t>Advertising And Marketing</t>
  </si>
  <si>
    <t>Office Supplies</t>
  </si>
  <si>
    <t>Tax Paid Expense</t>
  </si>
  <si>
    <t>Hashmeet Tejinder Chadha</t>
  </si>
  <si>
    <t>Megha Laxman Turde</t>
  </si>
  <si>
    <t>Sunita Manoj Gaikwad</t>
  </si>
  <si>
    <t>Jay Atul Gudhka</t>
  </si>
  <si>
    <t>Akant Bharecha</t>
  </si>
  <si>
    <t>Rahul Tukaram Dambale</t>
  </si>
  <si>
    <t>Ravi Ramesh Dambale</t>
  </si>
  <si>
    <t>Shrey Somen Sangani</t>
  </si>
  <si>
    <t>Anita Elavia</t>
  </si>
  <si>
    <t>Aarti Mangesh Kharat</t>
  </si>
  <si>
    <t>Madhankumar Suresh</t>
  </si>
  <si>
    <t>Ankit Rajkamal Bangur</t>
  </si>
  <si>
    <t>Vicky Vishnu Solse</t>
  </si>
  <si>
    <t>Karanveer Singh Gurmitsingh Kaberwal</t>
  </si>
  <si>
    <t>Aman Yadav</t>
  </si>
  <si>
    <t>Akshay Zaveri</t>
  </si>
  <si>
    <t>Varsha Chakradhan Salve</t>
  </si>
  <si>
    <t>Sumit Shrikant Singh</t>
  </si>
  <si>
    <t>Akshay Kumar Mishra</t>
  </si>
  <si>
    <t>Shivani Arvind Vasani</t>
  </si>
  <si>
    <t>Abhishek Dubey</t>
  </si>
  <si>
    <t>Rahul Thakur</t>
  </si>
  <si>
    <t>Dilipkumar Ankush Gaikwad</t>
  </si>
  <si>
    <t>Bharti Solanki</t>
  </si>
  <si>
    <t>Aditya Patil</t>
  </si>
  <si>
    <t>V Vignesh</t>
  </si>
  <si>
    <t>Kudal Pandey</t>
  </si>
  <si>
    <t>Shaik Ilyas</t>
  </si>
  <si>
    <t>Aman Aslam Khan</t>
  </si>
  <si>
    <t>Saurabh Dubey</t>
  </si>
  <si>
    <t>Himanshu Samal</t>
  </si>
  <si>
    <t>Sameer Ramesh Shinde</t>
  </si>
  <si>
    <t>Nabhodipta Garai</t>
  </si>
  <si>
    <t>Ashish Suryavanshi</t>
  </si>
  <si>
    <t>Tushar Bhekare</t>
  </si>
  <si>
    <t>Shadab Akhtar Ali Khan</t>
  </si>
  <si>
    <t>Swapnil N Paik</t>
  </si>
  <si>
    <t>Rashmi Gawde</t>
  </si>
  <si>
    <t>Rahul Lote</t>
  </si>
  <si>
    <t>Varsha Bhilare</t>
  </si>
  <si>
    <t>Ameya Madhav Risbud</t>
  </si>
  <si>
    <t>Amir Sayyed</t>
  </si>
  <si>
    <t>Pratiksha Gaikwad</t>
  </si>
  <si>
    <t>Sudheesh Pillai</t>
  </si>
  <si>
    <t>Sneha Choudhary</t>
  </si>
  <si>
    <t>Aayush Rastogi</t>
  </si>
  <si>
    <t>Sayantan Ghosh</t>
  </si>
  <si>
    <t>Darshan A Waghela</t>
  </si>
  <si>
    <t>Mohammad Aqib</t>
  </si>
  <si>
    <t>Tushar Mosamkar</t>
  </si>
  <si>
    <t>Suresh R</t>
  </si>
  <si>
    <t>Pavithra V</t>
  </si>
  <si>
    <t>Sugali Sai Charan</t>
  </si>
  <si>
    <t>Suprita Nadar</t>
  </si>
  <si>
    <t>Nikhil Gangurde</t>
  </si>
  <si>
    <t>Abhishek Verma</t>
  </si>
  <si>
    <t>Dilip G</t>
  </si>
  <si>
    <t>Yalavarthi Varun</t>
  </si>
  <si>
    <t>O Manjunadha</t>
  </si>
  <si>
    <t>Radhika Bhagat</t>
  </si>
  <si>
    <t>Sunny Shetty</t>
  </si>
  <si>
    <t>Aditya Kumar Singh</t>
  </si>
  <si>
    <t>Anupam Yadav</t>
  </si>
  <si>
    <t>Sahil Bindal</t>
  </si>
  <si>
    <t>Sv Vinay</t>
  </si>
  <si>
    <t>Shamit Trivedi</t>
  </si>
  <si>
    <t>Shyamsundar Das</t>
  </si>
  <si>
    <t>Prashant Singh</t>
  </si>
  <si>
    <t>Sarika Thapa</t>
  </si>
  <si>
    <t>Barnali Saha</t>
  </si>
  <si>
    <t>Rahul Suresh Lad</t>
  </si>
  <si>
    <t>Sairaj Padmakar Bawdane</t>
  </si>
  <si>
    <t>Prasad Shahaji Yewale</t>
  </si>
  <si>
    <t>Aijaz Akbarali Shaikh</t>
  </si>
  <si>
    <t>Hardik Dogra</t>
  </si>
  <si>
    <t>Aashish Dnyandeep Chandanshiv</t>
  </si>
  <si>
    <t>Shraddha Shailesh Sawant</t>
  </si>
  <si>
    <t>Aluru Aslam Khan</t>
  </si>
  <si>
    <t>Ravi Ashok Sable</t>
  </si>
  <si>
    <t>Amit Jayprakash Singh</t>
  </si>
  <si>
    <t>Mina Surin</t>
  </si>
  <si>
    <t>Giri Shubham Anil</t>
  </si>
  <si>
    <t>Akshay Baburao Pawar</t>
  </si>
  <si>
    <t>Kunal Naresh Shirke</t>
  </si>
  <si>
    <t>Poornima Suryakant Kamble</t>
  </si>
  <si>
    <t>Kumud Lalu Lagade</t>
  </si>
  <si>
    <t>Vaibhav Chandhok</t>
  </si>
  <si>
    <t>Akshay Choudhary</t>
  </si>
  <si>
    <t>Pundlik Yashwant Rane</t>
  </si>
  <si>
    <t>Ajay Shrikrishna Kevat</t>
  </si>
  <si>
    <t>Shivansh Arora</t>
  </si>
  <si>
    <t>Sushil Dipak Chavan</t>
  </si>
  <si>
    <t>Chandrashekhar Patil</t>
  </si>
  <si>
    <t>Banala Sai Chaitanya</t>
  </si>
  <si>
    <t>Suraj Gopinath Ghosalkar</t>
  </si>
  <si>
    <t>Chaitali Karmakar</t>
  </si>
  <si>
    <t>Mogle Rahul Bhimrao</t>
  </si>
  <si>
    <t>Vaibhav Vijay Rane</t>
  </si>
  <si>
    <t>Bhavesh Bharat Chauhan</t>
  </si>
  <si>
    <t>Shivam Mahajan</t>
  </si>
  <si>
    <t>Santosh Singh</t>
  </si>
  <si>
    <t>Chandni Rajpoot</t>
  </si>
  <si>
    <t>Shiva Krishna Ojha</t>
  </si>
  <si>
    <t>Sneha Prashant Dabhane</t>
  </si>
  <si>
    <t>Siddhesh Prakash Loke</t>
  </si>
  <si>
    <t>Ravindra Bandu Jadhav</t>
  </si>
  <si>
    <t>Aman Achchhelal Vishwakarma</t>
  </si>
  <si>
    <t>Ishan Sandip Ghadi</t>
  </si>
  <si>
    <t>Saddam Ibrahim Sheikh</t>
  </si>
  <si>
    <t>Ghanshyam Vijay Udgiri</t>
  </si>
  <si>
    <t>Aakash Pandurang Gadekar</t>
  </si>
  <si>
    <t>Saurabh Dineshkumar Kewat</t>
  </si>
  <si>
    <t>Preeti Vishal Pawar</t>
  </si>
  <si>
    <t>Heena Aqueel Ahmad Khatik</t>
  </si>
  <si>
    <t>Syed Ahmad Abbas Syed Mubarak Ali</t>
  </si>
  <si>
    <t>Mohd Sadik Khan</t>
  </si>
  <si>
    <t>Pranali Pradeep Ghadi</t>
  </si>
  <si>
    <t>Sahil Suresh Tawde</t>
  </si>
  <si>
    <t>Khansa Aslam Mansuri</t>
  </si>
  <si>
    <t>Dheeraj Pal</t>
  </si>
  <si>
    <t>Mohammad Shafik Salauddin Zaduwale</t>
  </si>
  <si>
    <t>Rumana Abdul majid shaikh</t>
  </si>
  <si>
    <t>Hansa Ganesh Dawane</t>
  </si>
  <si>
    <t>Diksha Rajendra Kamble</t>
  </si>
  <si>
    <t>Samir Shantaram Mirgule</t>
  </si>
  <si>
    <t>Siddhesh Prakash Tulaskar</t>
  </si>
  <si>
    <t>Manish Umesh Mahadik</t>
  </si>
  <si>
    <t>Lalit Dinesh Rathod</t>
  </si>
  <si>
    <t>Shankar Muniratnam Baggaraju</t>
  </si>
  <si>
    <t>Aishwarya Ashok Shinde</t>
  </si>
  <si>
    <t>Saheba Khatoon Mohd Talib khan</t>
  </si>
  <si>
    <t>Jay Padmakar Bhavsar</t>
  </si>
  <si>
    <t>Aarti Anand Parab</t>
  </si>
  <si>
    <t>Ayushi Ramesh Chavhan</t>
  </si>
  <si>
    <t>Juli Kumari</t>
  </si>
  <si>
    <t>Rasmita Lakai</t>
  </si>
  <si>
    <t>Ankush Varma</t>
  </si>
  <si>
    <t>Beauty Kumari</t>
  </si>
  <si>
    <t>Barnali Das</t>
  </si>
  <si>
    <t>Ashish Giri</t>
  </si>
  <si>
    <t>Prasanna Narayan Sonawane</t>
  </si>
  <si>
    <t>Saman Siddiqui</t>
  </si>
  <si>
    <t>Parvez Kayamuddin Khan</t>
  </si>
  <si>
    <t>Siddhesh Sanjay Surve</t>
  </si>
  <si>
    <t>Mohammad Yunus Amjad Ali Shaikh</t>
  </si>
  <si>
    <t>Manish Radheshyam Mishra</t>
  </si>
  <si>
    <t>Suraj Vishwanath Tribhuvan</t>
  </si>
  <si>
    <t>Shrinath Laxman Karkar</t>
  </si>
  <si>
    <t>Priyanka Pratik Thorat</t>
  </si>
  <si>
    <t>Mohak Mahesh Singh</t>
  </si>
  <si>
    <t>Abdul Nehal Khan</t>
  </si>
  <si>
    <t>Sayali Baban Shigwan</t>
  </si>
  <si>
    <t>Mayuresh Shashikant Mahadik</t>
  </si>
  <si>
    <t>Rohit Anil Waghmare</t>
  </si>
  <si>
    <t>Shrikant Babarao Mujmule</t>
  </si>
  <si>
    <t>Vishal Chandrakant Poojari</t>
  </si>
  <si>
    <t>Jyotika Mukesh Khanna</t>
  </si>
  <si>
    <t>Sanil Jain</t>
  </si>
  <si>
    <t>Mohsin Khan</t>
  </si>
  <si>
    <t>Sarkar Alam</t>
  </si>
  <si>
    <t>Roshan Pralhad Dode</t>
  </si>
  <si>
    <t>Ankit Pandya</t>
  </si>
  <si>
    <t>Sunita</t>
  </si>
  <si>
    <t>Mohammad Rizwan S</t>
  </si>
  <si>
    <t>Prem Jagdish Rathod</t>
  </si>
  <si>
    <t>Akash Dashrath Yadav</t>
  </si>
  <si>
    <t>Rahil Abdul Rauf Varekar</t>
  </si>
  <si>
    <t>Nanda Gopal M K</t>
  </si>
  <si>
    <t>Deepak Hanumant Shinge</t>
  </si>
  <si>
    <t>Manishkumar Yashwant Jain</t>
  </si>
  <si>
    <t>Amit Subhash Repale</t>
  </si>
  <si>
    <t>Thejas D S</t>
  </si>
  <si>
    <t>Pavan Kumar C M</t>
  </si>
  <si>
    <t>Babu Ramesh Shinde</t>
  </si>
  <si>
    <t>Somnath Vilas Surdkar</t>
  </si>
  <si>
    <t>Rahul Ashok Sharma</t>
  </si>
  <si>
    <t>Shridhar Hanumant Mane</t>
  </si>
  <si>
    <t>Puja Wasudevrao Totade</t>
  </si>
  <si>
    <t>Priya Sunny Gangavane</t>
  </si>
  <si>
    <t>Pramod D W</t>
  </si>
  <si>
    <t>Maheshwari Jalinder Chalwadi</t>
  </si>
  <si>
    <t>Chetana Madhukar Shete</t>
  </si>
  <si>
    <t>Sagar Vasant Kakade</t>
  </si>
  <si>
    <t>Rahul Baghmar</t>
  </si>
  <si>
    <t>Ganesh Baban Pokharkar</t>
  </si>
  <si>
    <t>Abhishek Shatrughan Singh</t>
  </si>
  <si>
    <t>Debdut Bag</t>
  </si>
  <si>
    <t>Neha Ram Buthnal</t>
  </si>
  <si>
    <t>Ajay Harishchandra Kadam</t>
  </si>
  <si>
    <t>Priyanka Madhukar Birje</t>
  </si>
  <si>
    <t>Sushil Amichand Dhakoliya</t>
  </si>
  <si>
    <t>Arban Nazir Shaikh</t>
  </si>
  <si>
    <t>Priyanka Gopal Jadhav</t>
  </si>
  <si>
    <t>Vikas Laxmi Soni</t>
  </si>
  <si>
    <t>Shubham Balikaranprasad Gound</t>
  </si>
  <si>
    <t>Vandan Vimal Suba</t>
  </si>
  <si>
    <t>Nandini Gandhi Swamy</t>
  </si>
  <si>
    <t>Sumitra Subhash Chauhan</t>
  </si>
  <si>
    <t>Payal Ramrav Rathod</t>
  </si>
  <si>
    <t>Shashank Balkrishna Ulhare</t>
  </si>
  <si>
    <t>Parshuram Pandurang Hursale</t>
  </si>
  <si>
    <t>Reshma Sagar Jadhav</t>
  </si>
  <si>
    <t>Sonali Vaibhav Kamble</t>
  </si>
  <si>
    <t>Sarang Juthani</t>
  </si>
  <si>
    <t>Suraj Dilip Jha</t>
  </si>
  <si>
    <t>Niraj Kumar Chaudhary</t>
  </si>
  <si>
    <t>Tushar Kishor Nikam</t>
  </si>
  <si>
    <t>Deepesh Vireshwar Singh</t>
  </si>
  <si>
    <t>Aman Baghel</t>
  </si>
  <si>
    <t>Uday Singh</t>
  </si>
  <si>
    <t>Jaykumar Prakash Darji</t>
  </si>
  <si>
    <t>Mohit Ramkhalavan Prajapati</t>
  </si>
  <si>
    <t>Ashwani Tomar</t>
  </si>
  <si>
    <t>Deepak Kumar Ostwal</t>
  </si>
  <si>
    <t>Manish Jha</t>
  </si>
  <si>
    <t>Rajeshree Show</t>
  </si>
  <si>
    <t>Anisha Sharma</t>
  </si>
  <si>
    <t>Kanchan Jogdankar</t>
  </si>
  <si>
    <t>Rajveer Gophane</t>
  </si>
  <si>
    <t>Utsav Gupta</t>
  </si>
  <si>
    <t>Himangi Manchekar</t>
  </si>
  <si>
    <t>IbrahIm A Katthawala</t>
  </si>
  <si>
    <t>Anantak Chauhan</t>
  </si>
  <si>
    <t>Sourabh Daga</t>
  </si>
  <si>
    <t>Vikas</t>
  </si>
  <si>
    <t xml:space="preserve">          Expert Joining Bonus Payable</t>
  </si>
  <si>
    <t>Expert Joining Bonus Payable</t>
  </si>
  <si>
    <t>Varaible Salary</t>
  </si>
  <si>
    <t xml:space="preserve">                    Varaible Salary</t>
  </si>
  <si>
    <t>Expected</t>
  </si>
  <si>
    <t>Booking Retention</t>
  </si>
  <si>
    <t>Monthly Frequency</t>
  </si>
  <si>
    <t>No of Orders by First Time Customers</t>
  </si>
  <si>
    <t>Other Operational Cost</t>
  </si>
  <si>
    <t>Average Revenue Per User</t>
  </si>
  <si>
    <t>Customer Retention</t>
  </si>
  <si>
    <t xml:space="preserve">                    Fixed Deposit 50301170464152</t>
  </si>
  <si>
    <t xml:space="preserve">                    Fixed Deposit 50301170464596</t>
  </si>
  <si>
    <t xml:space="preserve">                    Fixed Deposit 50301170464942</t>
  </si>
  <si>
    <t xml:space="preserve">                    Fixed Deposit 50301170465320</t>
  </si>
  <si>
    <t xml:space="preserve">                    Fixed Deposit 9349969993</t>
  </si>
  <si>
    <t xml:space="preserve">                    Fixed Deposit 9349970005</t>
  </si>
  <si>
    <t xml:space="preserve">                    Fixed Deposit 9349970036</t>
  </si>
  <si>
    <t xml:space="preserve">                    Fixed Deposit 9349970081</t>
  </si>
  <si>
    <t xml:space="preserve">                    Fixed Deposit 9349970098</t>
  </si>
  <si>
    <t xml:space="preserve">                    Fixed Deposit 9349970463</t>
  </si>
  <si>
    <t xml:space="preserve">                    Fixed Deposit 9349970623</t>
  </si>
  <si>
    <t xml:space="preserve">                    Fixed Deposit 9349981445</t>
  </si>
  <si>
    <t xml:space="preserve">                    Fixed Deposit 9349994223</t>
  </si>
  <si>
    <t xml:space="preserve">          Expert Referral Bonus Payable</t>
  </si>
  <si>
    <t xml:space="preserve">          Expert Yulu Bonus Payable</t>
  </si>
  <si>
    <t xml:space="preserve">          LWF - Employee</t>
  </si>
  <si>
    <t xml:space="preserve">          LWF - Employer</t>
  </si>
  <si>
    <t xml:space="preserve">          Provision for Rent Expense</t>
  </si>
  <si>
    <t xml:space="preserve">          Provision for Staff Welfare Expense</t>
  </si>
  <si>
    <t xml:space="preserve">          Provision for TC Expense</t>
  </si>
  <si>
    <t xml:space="preserve">                    Lightspeed India Partners IV LLC</t>
  </si>
  <si>
    <t xml:space="preserve">          Share Application Money Pending Allotment</t>
  </si>
  <si>
    <t xml:space="preserve">                    Employer LWF Expense</t>
  </si>
  <si>
    <t xml:space="preserve">          Foreign Exchange Gain or Loss</t>
  </si>
  <si>
    <t xml:space="preserve">          Tax Paid Expense</t>
  </si>
  <si>
    <t>Training Centre expenses</t>
  </si>
  <si>
    <t>Manegerial Cost</t>
  </si>
  <si>
    <t>Customer Success</t>
  </si>
  <si>
    <t>Consultants</t>
  </si>
  <si>
    <t>Interns</t>
  </si>
  <si>
    <t>Fixed Deposit 50301170464152</t>
  </si>
  <si>
    <t>Fixed Deposit 50301170464596</t>
  </si>
  <si>
    <t>Fixed Deposit 50301170464942</t>
  </si>
  <si>
    <t>Fixed Deposit 50301170465320</t>
  </si>
  <si>
    <t>Fixed Deposit 9349969993</t>
  </si>
  <si>
    <t>Fixed Deposit 9349970005</t>
  </si>
  <si>
    <t>Fixed Deposit 9349970036</t>
  </si>
  <si>
    <t>Fixed Deposit 9349970081</t>
  </si>
  <si>
    <t>Fixed Deposit 9349970098</t>
  </si>
  <si>
    <t>Fixed Deposit 9349970463</t>
  </si>
  <si>
    <t>Fixed Deposit 9349970623</t>
  </si>
  <si>
    <t>Fixed Deposit 9349981445</t>
  </si>
  <si>
    <t>Fixed Deposit 9349994223</t>
  </si>
  <si>
    <t>Expert Referral Bonus Payable</t>
  </si>
  <si>
    <t>Expert Yulu Bonus Payable</t>
  </si>
  <si>
    <t>LWF - Employee</t>
  </si>
  <si>
    <t>LWF - Employer</t>
  </si>
  <si>
    <t>Provision for Rent Expense</t>
  </si>
  <si>
    <t>Provision for Staff Welfare Expense</t>
  </si>
  <si>
    <t>Provision for TC Expense</t>
  </si>
  <si>
    <t>Lightspeed India Partners IV LLC</t>
  </si>
  <si>
    <t>Share Application Money Pending Allotment</t>
  </si>
  <si>
    <t>Employer LWF Expense</t>
  </si>
  <si>
    <t>Foreign Exchange Gain or Loss</t>
  </si>
  <si>
    <t>SC</t>
  </si>
  <si>
    <t>Premium</t>
  </si>
  <si>
    <t>Cost per Utilized Hour</t>
  </si>
  <si>
    <t>Expert Acquisition Cost</t>
  </si>
  <si>
    <t>All Values (in ₹ Thousands)</t>
  </si>
  <si>
    <t>HOD</t>
  </si>
  <si>
    <t>Count</t>
  </si>
  <si>
    <t>Existing Cost</t>
  </si>
  <si>
    <t>New Joinees</t>
  </si>
  <si>
    <t>Total after Additions</t>
  </si>
  <si>
    <t>Current</t>
  </si>
  <si>
    <t>Key Hires</t>
  </si>
  <si>
    <t>Operations</t>
  </si>
  <si>
    <t>Growth</t>
  </si>
  <si>
    <t>Finance</t>
  </si>
  <si>
    <t>Tech</t>
  </si>
  <si>
    <t>CX</t>
  </si>
  <si>
    <t xml:space="preserve">HR </t>
  </si>
  <si>
    <t>Product, Analytics, Design</t>
  </si>
  <si>
    <t>Legal</t>
  </si>
  <si>
    <t>Yet to Join + To be Hired</t>
  </si>
  <si>
    <t xml:space="preserve">                    Fixed Deposit 9350026708</t>
  </si>
  <si>
    <t xml:space="preserve">          Expert Retention Bonus Payable</t>
  </si>
  <si>
    <t xml:space="preserve">                    Learning &amp; Development Cost</t>
  </si>
  <si>
    <t>Fixed Deposit 9350026708</t>
  </si>
  <si>
    <t>Expert Retention Bonus Payable</t>
  </si>
  <si>
    <t>Learning &amp; Development Cost</t>
  </si>
  <si>
    <t>Sourcing and Onboarding</t>
  </si>
  <si>
    <t>Consultant</t>
  </si>
  <si>
    <t>Intern</t>
  </si>
  <si>
    <t>Expert Inventory</t>
  </si>
  <si>
    <t>Expert Inventory - in Transit</t>
  </si>
  <si>
    <t xml:space="preserve">          Provision for Employee Cost</t>
  </si>
  <si>
    <t>Provision for Employee Cost</t>
  </si>
  <si>
    <t>Prepaid - Consumption</t>
  </si>
  <si>
    <t xml:space="preserve">          Prepaid - Consumption</t>
  </si>
  <si>
    <t>Monthly Active Users *</t>
  </si>
  <si>
    <t>First-Time Customer Device Level</t>
  </si>
  <si>
    <t xml:space="preserve">First-Time Customers </t>
  </si>
  <si>
    <t>For the month of July</t>
  </si>
  <si>
    <t>P&amp;L</t>
  </si>
  <si>
    <t>CF</t>
  </si>
  <si>
    <t>Remarks</t>
  </si>
  <si>
    <t>For the month of June</t>
  </si>
  <si>
    <t>For the month of May</t>
  </si>
  <si>
    <t>For the month of April</t>
  </si>
  <si>
    <t>From April to July</t>
  </si>
  <si>
    <t>For the month of March</t>
  </si>
  <si>
    <t>Discount - New User</t>
  </si>
  <si>
    <t>Discount - Offer Pack</t>
  </si>
  <si>
    <t>Emp. Stat. taxes (incl. TDS)</t>
  </si>
  <si>
    <t>Other TDS</t>
  </si>
  <si>
    <t>Payments amounting to 1CR pertains to PY</t>
  </si>
  <si>
    <t>Recruitment</t>
  </si>
  <si>
    <t>Inventory treatment amounting to 12,22,815</t>
  </si>
  <si>
    <t>Operational expense</t>
  </si>
  <si>
    <t>Paid advance to DMV</t>
  </si>
  <si>
    <t>Training centre setup</t>
  </si>
  <si>
    <t>Paid to Sundae Capital &amp; Phoenix Legal</t>
  </si>
  <si>
    <t>Fund raising expenses</t>
  </si>
  <si>
    <t>Previous month invoices of Indus Law, Accunity &amp; BMP</t>
  </si>
  <si>
    <t>Other</t>
  </si>
  <si>
    <t>Office &amp; Admin</t>
  </si>
  <si>
    <t>Teamlease</t>
  </si>
  <si>
    <t>Register</t>
  </si>
  <si>
    <t>TC</t>
  </si>
  <si>
    <t xml:space="preserve">          Advance from B2C Customer</t>
  </si>
  <si>
    <t xml:space="preserve">          Offer Pack Income</t>
  </si>
  <si>
    <t>Advance from B2C Customer</t>
  </si>
  <si>
    <t>Offer Pack Income</t>
  </si>
  <si>
    <t>Cash Flow Statement</t>
  </si>
  <si>
    <t>Opening Bank Balance</t>
  </si>
  <si>
    <t>Cash Flow from Operating Activities</t>
  </si>
  <si>
    <t>Cash Flow from Financing Activities</t>
  </si>
  <si>
    <t>Cash Flow from Investing Activities</t>
  </si>
  <si>
    <t>Closing Bank Balance</t>
  </si>
  <si>
    <t xml:space="preserve">                    Aditya Birla Sun Life Money Manager Fund</t>
  </si>
  <si>
    <t xml:space="preserve">                    Fixed Deposit 9350749607</t>
  </si>
  <si>
    <t xml:space="preserve">                    Fixed Deposit 9350760442</t>
  </si>
  <si>
    <t xml:space="preserve">                    Fixed Deposit 9350764518</t>
  </si>
  <si>
    <t xml:space="preserve">                    Fixed Deposit 9350764655</t>
  </si>
  <si>
    <t xml:space="preserve">                    HDFC Money Market Fund</t>
  </si>
  <si>
    <t xml:space="preserve">                    ICICI Prudential Money Market Fund</t>
  </si>
  <si>
    <t xml:space="preserve">                    Kotak Liquid Fund</t>
  </si>
  <si>
    <t xml:space="preserve">                    Nippon India Money Market Fund</t>
  </si>
  <si>
    <t xml:space="preserve">                    SBI Magnum Ultra Short Duration Fund</t>
  </si>
  <si>
    <t xml:space="preserve">                    Tata Money Market Fund</t>
  </si>
  <si>
    <t xml:space="preserve">          Provision for Marketing Expense</t>
  </si>
  <si>
    <t xml:space="preserve">          Gain or Loss on Mutual Fund Investment</t>
  </si>
  <si>
    <t>Aditya Birla Sun Life Money Manager Fund</t>
  </si>
  <si>
    <t>Fixed Deposit 9350749607</t>
  </si>
  <si>
    <t>Fixed Deposit 9350760442</t>
  </si>
  <si>
    <t>Fixed Deposit 9350764518</t>
  </si>
  <si>
    <t>Fixed Deposit 9350764655</t>
  </si>
  <si>
    <t>HDFC Money Market Fund</t>
  </si>
  <si>
    <t>ICICI Prudential Money Market Fund</t>
  </si>
  <si>
    <t>Kotak Liquid Fund</t>
  </si>
  <si>
    <t>Nippon India Money Market Fund</t>
  </si>
  <si>
    <t>SBI Magnum Ultra Short Duration Fund</t>
  </si>
  <si>
    <t>Tata Money Market Fund</t>
  </si>
  <si>
    <t>Gain or Loss on Mutual Fund Investment</t>
  </si>
  <si>
    <t>Provision for Marketing Expense</t>
  </si>
  <si>
    <t>Balance Sheet</t>
  </si>
  <si>
    <t>Equity &amp; Liabilities</t>
  </si>
  <si>
    <t>Shareholder's Funds</t>
  </si>
  <si>
    <t>Non-Current Liabilities</t>
  </si>
  <si>
    <t>Deferred Tax Liabilities</t>
  </si>
  <si>
    <t>Other Long-term Liabilities</t>
  </si>
  <si>
    <t>Long-term Provisions</t>
  </si>
  <si>
    <t>Short-term Borrowings</t>
  </si>
  <si>
    <t>TOTAL</t>
  </si>
  <si>
    <t>Non-Current Assets</t>
  </si>
  <si>
    <t>Non-current Investments</t>
  </si>
  <si>
    <t>Deferred Tax Assets</t>
  </si>
  <si>
    <t>Inventories</t>
  </si>
  <si>
    <t>Short-term Loans &amp; Advances</t>
  </si>
  <si>
    <t>A. Cash flow from operating activities</t>
  </si>
  <si>
    <t>Loss before taxation</t>
  </si>
  <si>
    <t>Adjustments for:</t>
  </si>
  <si>
    <t>Interest income</t>
  </si>
  <si>
    <t>Operating cash flow before working capital changes</t>
  </si>
  <si>
    <t>Working capital changes:</t>
  </si>
  <si>
    <t>(Increase) in Trade Receivables</t>
  </si>
  <si>
    <t>(Decrease)/Increase in Trade Payables</t>
  </si>
  <si>
    <t>(Decrease)/Increase in Other Current Liabilities</t>
  </si>
  <si>
    <t>(Decrease)/Increase in Short Term Provisions</t>
  </si>
  <si>
    <t>(Increase)/Decrease in Other Current Assets</t>
  </si>
  <si>
    <t>(Increase)/Decrease in Current Investments</t>
  </si>
  <si>
    <t>(Increase) in Long term advances</t>
  </si>
  <si>
    <t>Cash generated from operations</t>
  </si>
  <si>
    <t>Taxes Paid</t>
  </si>
  <si>
    <t>Net Cash Flow from/(used in) Operating Activities</t>
  </si>
  <si>
    <t>B. Cash flows from investing activities</t>
  </si>
  <si>
    <t>Interest income from Fixed Deposit</t>
  </si>
  <si>
    <t>Purchase of Fixed assets</t>
  </si>
  <si>
    <t>Net Cash Flow from / (used in) Investing Activities</t>
  </si>
  <si>
    <t>C. Cash flows from financing activities</t>
  </si>
  <si>
    <t>Proceeds from issue of Share Capital</t>
  </si>
  <si>
    <t>Net Cash Flow from / (used in) Financing Activities</t>
  </si>
  <si>
    <t>Net Increase/(Decrease) in cash and cash equivalents</t>
  </si>
  <si>
    <t>Cash and cash equivalents at previous month</t>
  </si>
  <si>
    <t>Cash and cash equivalents at end of period</t>
  </si>
  <si>
    <t>Extension Fees</t>
  </si>
  <si>
    <t>Forfeiture Income</t>
  </si>
  <si>
    <t>Platform Fees</t>
  </si>
  <si>
    <t>Rain Fees</t>
  </si>
  <si>
    <t>Surge Fees</t>
  </si>
  <si>
    <t>FD Balances at end of period</t>
  </si>
  <si>
    <t xml:space="preserve">          Extension Fees</t>
  </si>
  <si>
    <t xml:space="preserve">          Forfeiture Income</t>
  </si>
  <si>
    <t xml:space="preserve">          Platform Fees</t>
  </si>
  <si>
    <t xml:space="preserve">          Rain Fees</t>
  </si>
  <si>
    <t xml:space="preserve">          Surge Fees</t>
  </si>
  <si>
    <t>10L</t>
  </si>
  <si>
    <t>Provision in service cost</t>
  </si>
  <si>
    <t>9L</t>
  </si>
  <si>
    <t>20L</t>
  </si>
  <si>
    <t xml:space="preserve">          Expert Inventory</t>
  </si>
  <si>
    <t xml:space="preserve">          Advance from Customer</t>
  </si>
  <si>
    <t xml:space="preserve">          Other Receivable</t>
  </si>
  <si>
    <t xml:space="preserve">          Provision for Gratuity - LT</t>
  </si>
  <si>
    <t xml:space="preserve">          Provision for Gratuity - ST</t>
  </si>
  <si>
    <t xml:space="preserve">          Unearned Revenue</t>
  </si>
  <si>
    <t xml:space="preserve">          ESOP Outstanding Reserve</t>
  </si>
  <si>
    <t>Advance from Customer</t>
  </si>
  <si>
    <t>Other Receivable</t>
  </si>
  <si>
    <t>Provision for Gratuity - LT</t>
  </si>
  <si>
    <t>Provision for Gratuity - ST</t>
  </si>
  <si>
    <t>ESOP Outstanding Reserve</t>
  </si>
  <si>
    <t xml:space="preserve">          Accumulated Amortization on Leasehold Improvement</t>
  </si>
  <si>
    <t>Accumulated Amortization on Leasehold Improvement</t>
  </si>
  <si>
    <t>Unearned Revenue</t>
  </si>
  <si>
    <t xml:space="preserve">          Inter-Branch Purchase Account</t>
  </si>
  <si>
    <t xml:space="preserve">          Additional Charges</t>
  </si>
  <si>
    <t>Additional Charges</t>
  </si>
  <si>
    <t>Frequency</t>
  </si>
  <si>
    <t>First Time</t>
  </si>
  <si>
    <t>Aayush</t>
  </si>
  <si>
    <t>Jay</t>
  </si>
  <si>
    <t>Sarang</t>
  </si>
  <si>
    <t>Sahil</t>
  </si>
  <si>
    <t>Priyanka</t>
  </si>
  <si>
    <t>Interns &amp; Consultants</t>
  </si>
  <si>
    <t>Other Employment Cost - Staff Welfare Etc.</t>
  </si>
  <si>
    <t>Cost Bifurcation</t>
  </si>
  <si>
    <t>HO Cost</t>
  </si>
  <si>
    <t>Wednesday</t>
  </si>
  <si>
    <t>Thursday</t>
  </si>
  <si>
    <t>Friday</t>
  </si>
  <si>
    <t>Saturday</t>
  </si>
  <si>
    <t>Sunday</t>
  </si>
  <si>
    <t>Monday</t>
  </si>
  <si>
    <t>Tuesday</t>
  </si>
  <si>
    <t>Date</t>
  </si>
  <si>
    <t>Weekday</t>
  </si>
  <si>
    <t>FTU</t>
  </si>
  <si>
    <t>Day factor</t>
  </si>
  <si>
    <t>Average FTU</t>
  </si>
  <si>
    <t>Forecast</t>
  </si>
  <si>
    <t>Nov'25</t>
  </si>
  <si>
    <t>Dec'25</t>
  </si>
  <si>
    <t>MTU repeat rate</t>
  </si>
  <si>
    <t>Promotional Discount %</t>
  </si>
  <si>
    <t>Input Tax Credits</t>
  </si>
  <si>
    <t>Total for Input Tax Credits</t>
  </si>
  <si>
    <t>Total for Investments</t>
  </si>
  <si>
    <t>Employees State Insurance</t>
  </si>
  <si>
    <t>Total for Employees State Insurance</t>
  </si>
  <si>
    <t>Total for GST Payable</t>
  </si>
  <si>
    <t>Total for Provident Fund</t>
  </si>
  <si>
    <t>Total for Owner's Equity</t>
  </si>
  <si>
    <t>Employee Benefit Expense</t>
  </si>
  <si>
    <t>Total for Employee Benefit Expense</t>
  </si>
  <si>
    <t xml:space="preserve">          Save Surge</t>
  </si>
  <si>
    <t>Save Surge</t>
  </si>
  <si>
    <t>PAT ($ M)</t>
  </si>
  <si>
    <t>Hours per Job</t>
  </si>
  <si>
    <t>GST %</t>
  </si>
  <si>
    <t>The current rate reflects customers acquired in October who placed a second order within the same month. Since the 30-day period isn’t complete, retention is expected to improve.</t>
  </si>
  <si>
    <t>RQSP Metrics</t>
  </si>
  <si>
    <t>Reliability</t>
  </si>
  <si>
    <t>Booking availability</t>
  </si>
  <si>
    <t>Fullfillment %</t>
  </si>
  <si>
    <t>Quality</t>
  </si>
  <si>
    <t>Average Rating</t>
  </si>
  <si>
    <t>5 Rating %</t>
  </si>
  <si>
    <t>4 Rating %</t>
  </si>
  <si>
    <t>3 Rating %</t>
  </si>
  <si>
    <t>2 Rating %</t>
  </si>
  <si>
    <t>1 Rating %</t>
  </si>
  <si>
    <t>Speed</t>
  </si>
  <si>
    <t>Booking to Allocation</t>
  </si>
  <si>
    <t>Allocation to Acceptance</t>
  </si>
  <si>
    <t>Acceptance to Arrival</t>
  </si>
  <si>
    <t>Arrival to Check-in</t>
  </si>
  <si>
    <t>Punctuality</t>
  </si>
  <si>
    <t>% Jobs On Time</t>
  </si>
  <si>
    <t>% EOB (5-15)</t>
  </si>
  <si>
    <t>% EOB &gt;15</t>
  </si>
  <si>
    <t>Median (P50)</t>
  </si>
  <si>
    <t>Booking to Check-in</t>
  </si>
  <si>
    <t xml:space="preserve">Booking to Check-in </t>
  </si>
  <si>
    <t>90th Percentile  (P90)</t>
  </si>
  <si>
    <t>Closing Cash ($ M)</t>
  </si>
  <si>
    <t xml:space="preserve">          ICICI 7454</t>
  </si>
  <si>
    <t xml:space="preserve">                    ABSL Floating Rate Fund</t>
  </si>
  <si>
    <t xml:space="preserve">                    Axis Liquid Fund</t>
  </si>
  <si>
    <t xml:space="preserve">                    Fixed Deposit 318213005918</t>
  </si>
  <si>
    <t xml:space="preserve">                    Fixed Deposit 318213005919</t>
  </si>
  <si>
    <t xml:space="preserve">                    Fixed Deposit 318213005920</t>
  </si>
  <si>
    <t xml:space="preserve">                    Fixed Deposit 318213005922</t>
  </si>
  <si>
    <t xml:space="preserve">                    Fixed Deposit 50301242721572</t>
  </si>
  <si>
    <t xml:space="preserve">                    Fixed Deposit 50301242791241</t>
  </si>
  <si>
    <t xml:space="preserve">                    Fixed Deposit 50301242884314</t>
  </si>
  <si>
    <t xml:space="preserve">                    Fixed Deposit 9350861248</t>
  </si>
  <si>
    <t xml:space="preserve">                    Fixed Deposit 9350861293</t>
  </si>
  <si>
    <t xml:space="preserve">                    Fixed Deposit 9350862504</t>
  </si>
  <si>
    <t xml:space="preserve">                    Fixed Deposit 9350862511</t>
  </si>
  <si>
    <t xml:space="preserve">                    Fixed Deposit 9350866717</t>
  </si>
  <si>
    <t xml:space="preserve">                    Fixed Deposit 9350871643</t>
  </si>
  <si>
    <t xml:space="preserve">                    Fixed Deposit 9350881598</t>
  </si>
  <si>
    <t xml:space="preserve">                    Fixed Deposit 9350881987</t>
  </si>
  <si>
    <t xml:space="preserve">                    Kotak Money Market Fund</t>
  </si>
  <si>
    <t xml:space="preserve">                    SBI Liquid Fund</t>
  </si>
  <si>
    <t xml:space="preserve">                    UTI Liquid Fund</t>
  </si>
  <si>
    <t xml:space="preserve">          Slaash Technologies - Control Account</t>
  </si>
  <si>
    <t xml:space="preserve">          Virtu Travels - Control Account</t>
  </si>
  <si>
    <t xml:space="preserve">          Cooking income</t>
  </si>
  <si>
    <t xml:space="preserve">          Purchase Discounts</t>
  </si>
  <si>
    <t>ICICI 7454</t>
  </si>
  <si>
    <t>ABSL Floating Rate Fund</t>
  </si>
  <si>
    <t>Axis Liquid Fund</t>
  </si>
  <si>
    <t>Fixed Deposit 318213005918</t>
  </si>
  <si>
    <t>Fixed Deposit 318213005919</t>
  </si>
  <si>
    <t>Fixed Deposit 318213005920</t>
  </si>
  <si>
    <t>Fixed Deposit 318213005922</t>
  </si>
  <si>
    <t>Fixed Deposit 50301242721572</t>
  </si>
  <si>
    <t>Fixed Deposit 50301242791241</t>
  </si>
  <si>
    <t>Fixed Deposit 50301242884314</t>
  </si>
  <si>
    <t>Fixed Deposit 9350861248</t>
  </si>
  <si>
    <t>Fixed Deposit 9350861293</t>
  </si>
  <si>
    <t>Fixed Deposit 9350862504</t>
  </si>
  <si>
    <t>Fixed Deposit 9350862511</t>
  </si>
  <si>
    <t>Fixed Deposit 9350866717</t>
  </si>
  <si>
    <t>Fixed Deposit 9350871643</t>
  </si>
  <si>
    <t>Fixed Deposit 9350881598</t>
  </si>
  <si>
    <t>Fixed Deposit 9350881987</t>
  </si>
  <si>
    <t>Kotak Money Market Fund</t>
  </si>
  <si>
    <t>SBI Liquid Fund</t>
  </si>
  <si>
    <t>UTI Liquid Fund</t>
  </si>
  <si>
    <t>Slaash Technologies - Control Account</t>
  </si>
  <si>
    <t>Virtu Travels - Control Account</t>
  </si>
  <si>
    <t>Cooking income</t>
  </si>
  <si>
    <t>Purchase Discounts</t>
  </si>
  <si>
    <t xml:space="preserve">                    BERTELSMANN NEDERLAND B.V.</t>
  </si>
  <si>
    <t>BERTELSMANN NEDERLAND B.V.</t>
  </si>
  <si>
    <t xml:space="preserve">                    ELEVATION CAPITAL VIII LIMITED</t>
  </si>
  <si>
    <t>ELEVATION CAPITAL VIII LIMITED</t>
  </si>
  <si>
    <t xml:space="preserve">Discount </t>
  </si>
  <si>
    <t xml:space="preserve">Particular </t>
  </si>
  <si>
    <t>Promotional discount</t>
  </si>
  <si>
    <t>Difference</t>
  </si>
  <si>
    <t>Total Discount (As per TB)</t>
  </si>
  <si>
    <t>Employee cost Headwise</t>
  </si>
  <si>
    <t>New user Discount</t>
  </si>
  <si>
    <t>As Books</t>
  </si>
  <si>
    <t>From discount</t>
  </si>
  <si>
    <t>Offer pack</t>
  </si>
  <si>
    <t>Offer pack income</t>
  </si>
  <si>
    <t>Promo</t>
  </si>
  <si>
    <t>As per MIS</t>
  </si>
  <si>
    <t>CAC (New user Discount)</t>
  </si>
  <si>
    <t>Active Experts</t>
  </si>
  <si>
    <t>First Login experts</t>
  </si>
  <si>
    <t>Repeat login experts</t>
  </si>
  <si>
    <t>Present Shifts</t>
  </si>
  <si>
    <t>Shifts per expert</t>
  </si>
  <si>
    <t>Shift hours</t>
  </si>
  <si>
    <t>Hours per shift</t>
  </si>
  <si>
    <t>Micro markets</t>
  </si>
  <si>
    <t>Projected Runway</t>
  </si>
  <si>
    <t>Rev Forecast</t>
  </si>
  <si>
    <t>Total Shifts</t>
  </si>
  <si>
    <t>Total Shifts per Expert</t>
  </si>
  <si>
    <t>Attendence%</t>
  </si>
  <si>
    <t>GOV per Job</t>
  </si>
  <si>
    <t>GOV per Hour</t>
  </si>
  <si>
    <t>NOV 1 (Total Sales - Promo discounts)</t>
  </si>
  <si>
    <t>NOV 1 per hour</t>
  </si>
  <si>
    <t>NOV 2 (Total Sales - All discounts)</t>
  </si>
  <si>
    <t>NOV 2 per hour</t>
  </si>
  <si>
    <t xml:space="preserve">                    Fixed Deposit 50301263242800</t>
  </si>
  <si>
    <t xml:space="preserve">                    Fixed Deposit 50301263245670</t>
  </si>
  <si>
    <t xml:space="preserve">          Compensation Payable for Damages</t>
  </si>
  <si>
    <t xml:space="preserve">          NPS Employer</t>
  </si>
  <si>
    <t xml:space="preserve">          Bad Debt</t>
  </si>
  <si>
    <t xml:space="preserve">          BTL Acquisition Cost</t>
  </si>
  <si>
    <t xml:space="preserve">          BTL Branding Expense</t>
  </si>
  <si>
    <t xml:space="preserve">          Compensation for Damages</t>
  </si>
  <si>
    <t xml:space="preserve">          Growth Tools Cost</t>
  </si>
  <si>
    <t xml:space="preserve">          User Communication Cost</t>
  </si>
  <si>
    <t>Fixed Deposit 50301263242800</t>
  </si>
  <si>
    <t>Fixed Deposit 50301263245670</t>
  </si>
  <si>
    <t>NPS Employer</t>
  </si>
  <si>
    <t>Bad Debt</t>
  </si>
  <si>
    <t>BTL Acquisition Cost</t>
  </si>
  <si>
    <t>BTL Branding Expense</t>
  </si>
  <si>
    <t>Compensation for Damages</t>
  </si>
  <si>
    <t>Consultant Expense</t>
  </si>
  <si>
    <t>Growth Tools Cost</t>
  </si>
  <si>
    <t>User Communication Cost</t>
  </si>
  <si>
    <t>offer pack forfeiture</t>
  </si>
  <si>
    <t>Total Discount</t>
  </si>
  <si>
    <t xml:space="preserve">          RazorpayX Lite</t>
  </si>
  <si>
    <t>RazorpayX Lite</t>
  </si>
  <si>
    <t xml:space="preserve">          Expert - Payment Gateway Cost</t>
  </si>
  <si>
    <t>Expert - Payment Gateway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</si>
</sst>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#,##0;\(#,##0\)"/>
    <numFmt numFmtId="167" formatCode="_(* #,##0_);_(* \(#,##0\);_(* &quot;-&quot;??_);_(@_)"/>
    <numFmt numFmtId="168" formatCode="&quot;&quot;0"/>
    <numFmt numFmtId="169" formatCode="&quot;&quot;0.00"/>
    <numFmt numFmtId="170" formatCode="0E+00"/>
    <numFmt numFmtId="171" formatCode="#,##0.0_ ;\-#,##0.0\ "/>
    <numFmt numFmtId="172" formatCode="0.0"/>
    <numFmt numFmtId="173" formatCode="#,##0_ ;\-#,##0\ "/>
    <numFmt numFmtId="174" formatCode="_ * #,##0.0_ ;_ * \-#,##0.0_ ;_ * &quot;-&quot;??_ ;_ @_ "/>
    <numFmt numFmtId="175" formatCode="0.0%"/>
    <numFmt numFmtId="176" formatCode="_ * #,##0.000_ ;_ * \-#,##0.000_ ;_ * &quot;-&quot;??_ ;_ @_ "/>
    <numFmt numFmtId="177" formatCode="_ * #,##0.0000000_ ;_ * \-#,##0.0000000_ ;_ * &quot;-&quot;??_ ;_ @_ "/>
    <numFmt numFmtId="178" formatCode="_(* #,##0.000_);_(* \(#,##0.000\);_(* &quot;-&quot;??_);_(@_)"/>
    <numFmt numFmtId="179" formatCode="#,##0.0;\(#,##0.0\)"/>
    <numFmt numFmtId="180" formatCode="#,##0.00;\(#,##0.00\)"/>
    <numFmt numFmtId="181" formatCode="_ * #,##0_ ;_ * \-#,##0_ ;_ * &quot;-&quot;????_ ;_ @_ "/>
    <numFmt numFmtId="182" formatCode="0.000000000000000%"/>
  </numFmts>
  <fonts count="6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i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indexed="8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70C0"/>
      <name val="Calibri"/>
      <family val="2"/>
    </font>
    <font>
      <i/>
      <sz val="10"/>
      <color rgb="FF007BB8"/>
      <name val="Calibri"/>
      <family val="2"/>
    </font>
    <font>
      <b/>
      <i/>
      <sz val="10"/>
      <color theme="1"/>
      <name val="Calibri"/>
      <family val="2"/>
    </font>
    <font>
      <sz val="10"/>
      <color theme="7"/>
      <name val="Calibri"/>
      <family val="2"/>
    </font>
    <font>
      <b/>
      <sz val="11"/>
      <color indexed="8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rgb="FFFF0000"/>
      <name val="Calibri"/>
      <family val="2"/>
    </font>
    <font>
      <i/>
      <sz val="9"/>
      <color rgb="FFFF0000"/>
      <name val="Calibri"/>
      <family val="2"/>
    </font>
    <font>
      <b/>
      <i/>
      <u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Arial"/>
      <family val="2"/>
    </font>
    <font>
      <u/>
      <sz val="10"/>
      <name val="Calibri"/>
      <family val="2"/>
    </font>
    <font>
      <sz val="11"/>
      <color rgb="FF000000"/>
      <name val="Arial"/>
      <family val="2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i/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F70F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rgb="FFFFCC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5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1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42" fillId="11" borderId="0" applyNumberFormat="0" applyBorder="0" applyAlignment="0" applyProtection="0"/>
    <xf numFmtId="0" fontId="43" fillId="12" borderId="0" applyNumberFormat="0" applyBorder="0" applyAlignment="0" applyProtection="0"/>
    <xf numFmtId="0" fontId="44" fillId="13" borderId="0" applyNumberFormat="0" applyBorder="0" applyAlignment="0" applyProtection="0"/>
    <xf numFmtId="0" fontId="45" fillId="14" borderId="21" applyNumberFormat="0" applyAlignment="0" applyProtection="0"/>
    <xf numFmtId="0" fontId="46" fillId="15" borderId="22" applyNumberFormat="0" applyAlignment="0" applyProtection="0"/>
    <xf numFmtId="0" fontId="47" fillId="15" borderId="21" applyNumberFormat="0" applyAlignment="0" applyProtection="0"/>
    <xf numFmtId="0" fontId="48" fillId="0" borderId="23" applyNumberFormat="0" applyFill="0" applyAlignment="0" applyProtection="0"/>
    <xf numFmtId="0" fontId="49" fillId="16" borderId="24" applyNumberFormat="0" applyAlignment="0" applyProtection="0"/>
    <xf numFmtId="0" fontId="50" fillId="0" borderId="0" applyNumberFormat="0" applyFill="0" applyBorder="0" applyAlignment="0" applyProtection="0"/>
    <xf numFmtId="0" fontId="1" fillId="17" borderId="25" applyNumberFormat="0" applyFont="0" applyAlignment="0" applyProtection="0"/>
    <xf numFmtId="0" fontId="51" fillId="0" borderId="0" applyNumberFormat="0" applyFill="0" applyBorder="0" applyAlignment="0" applyProtection="0"/>
    <xf numFmtId="0" fontId="10" fillId="0" borderId="26" applyNumberFormat="0" applyFill="0" applyAlignment="0" applyProtection="0"/>
    <xf numFmtId="0" fontId="5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5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5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5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5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52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5" fillId="0" borderId="0"/>
    <xf numFmtId="9" fontId="65" fillId="0" borderId="0" applyFont="0" applyFill="0" applyBorder="0" applyAlignment="0" applyProtection="0"/>
  </cellStyleXfs>
  <cellXfs count="579">
    <xf numFmtId="0" fontId="0" fillId="0" borderId="0" xfId="0"/>
    <xf numFmtId="17" fontId="2" fillId="6" borderId="3" xfId="0" applyNumberFormat="1" applyFont="1" applyFill="1" applyBorder="1" applyAlignment="1">
      <alignment horizontal="left"/>
    </xf>
    <xf numFmtId="0" fontId="3" fillId="0" borderId="0" xfId="0" applyFont="1"/>
    <xf numFmtId="17" fontId="4" fillId="3" borderId="3" xfId="0" applyNumberFormat="1" applyFont="1" applyFill="1" applyBorder="1" applyAlignment="1">
      <alignment horizontal="center"/>
    </xf>
    <xf numFmtId="17" fontId="4" fillId="3" borderId="4" xfId="0" applyNumberFormat="1" applyFont="1" applyFill="1" applyBorder="1" applyAlignment="1">
      <alignment horizontal="center"/>
    </xf>
    <xf numFmtId="17" fontId="4" fillId="6" borderId="4" xfId="0" applyNumberFormat="1" applyFont="1" applyFill="1" applyBorder="1" applyAlignment="1">
      <alignment horizontal="center"/>
    </xf>
    <xf numFmtId="17" fontId="2" fillId="3" borderId="3" xfId="0" applyNumberFormat="1" applyFont="1" applyFill="1" applyBorder="1" applyAlignment="1">
      <alignment horizontal="left"/>
    </xf>
    <xf numFmtId="0" fontId="3" fillId="3" borderId="0" xfId="0" applyFont="1" applyFill="1"/>
    <xf numFmtId="0" fontId="3" fillId="0" borderId="3" xfId="0" applyFont="1" applyBorder="1"/>
    <xf numFmtId="165" fontId="3" fillId="0" borderId="4" xfId="1" applyNumberFormat="1" applyFont="1" applyBorder="1"/>
    <xf numFmtId="0" fontId="5" fillId="5" borderId="3" xfId="0" applyFont="1" applyFill="1" applyBorder="1" applyAlignment="1">
      <alignment horizontal="left" indent="1"/>
    </xf>
    <xf numFmtId="165" fontId="5" fillId="5" borderId="4" xfId="1" applyNumberFormat="1" applyFont="1" applyFill="1" applyBorder="1"/>
    <xf numFmtId="0" fontId="3" fillId="3" borderId="3" xfId="0" applyFont="1" applyFill="1" applyBorder="1"/>
    <xf numFmtId="165" fontId="3" fillId="3" borderId="4" xfId="1" applyNumberFormat="1" applyFont="1" applyFill="1" applyBorder="1"/>
    <xf numFmtId="0" fontId="3" fillId="3" borderId="4" xfId="0" applyFont="1" applyFill="1" applyBorder="1"/>
    <xf numFmtId="1" fontId="5" fillId="3" borderId="4" xfId="0" applyNumberFormat="1" applyFont="1" applyFill="1" applyBorder="1"/>
    <xf numFmtId="165" fontId="5" fillId="3" borderId="4" xfId="1" applyNumberFormat="1" applyFont="1" applyFill="1" applyBorder="1"/>
    <xf numFmtId="9" fontId="3" fillId="3" borderId="4" xfId="2" applyFont="1" applyFill="1" applyBorder="1"/>
    <xf numFmtId="166" fontId="6" fillId="3" borderId="4" xfId="1" applyNumberFormat="1" applyFont="1" applyFill="1" applyBorder="1"/>
    <xf numFmtId="9" fontId="3" fillId="0" borderId="4" xfId="2" applyFont="1" applyBorder="1"/>
    <xf numFmtId="0" fontId="3" fillId="0" borderId="5" xfId="0" applyFont="1" applyBorder="1"/>
    <xf numFmtId="165" fontId="3" fillId="0" borderId="3" xfId="1" applyNumberFormat="1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43" fontId="8" fillId="0" borderId="0" xfId="1" applyFont="1"/>
    <xf numFmtId="0" fontId="3" fillId="0" borderId="9" xfId="0" applyFont="1" applyBorder="1"/>
    <xf numFmtId="165" fontId="3" fillId="0" borderId="10" xfId="1" applyNumberFormat="1" applyFont="1" applyBorder="1"/>
    <xf numFmtId="0" fontId="3" fillId="0" borderId="11" xfId="0" applyFont="1" applyBorder="1"/>
    <xf numFmtId="165" fontId="3" fillId="0" borderId="7" xfId="1" applyNumberFormat="1" applyFont="1" applyBorder="1"/>
    <xf numFmtId="0" fontId="6" fillId="0" borderId="0" xfId="0" applyFont="1"/>
    <xf numFmtId="2" fontId="6" fillId="0" borderId="0" xfId="0" applyNumberFormat="1" applyFont="1"/>
    <xf numFmtId="0" fontId="6" fillId="3" borderId="12" xfId="0" applyFont="1" applyFill="1" applyBorder="1"/>
    <xf numFmtId="43" fontId="6" fillId="0" borderId="2" xfId="0" applyNumberFormat="1" applyFont="1" applyBorder="1" applyAlignment="1">
      <alignment horizontal="center"/>
    </xf>
    <xf numFmtId="0" fontId="4" fillId="2" borderId="11" xfId="0" applyFont="1" applyFill="1" applyBorder="1"/>
    <xf numFmtId="17" fontId="4" fillId="2" borderId="7" xfId="0" applyNumberFormat="1" applyFont="1" applyFill="1" applyBorder="1" applyAlignment="1">
      <alignment horizontal="center"/>
    </xf>
    <xf numFmtId="0" fontId="3" fillId="0" borderId="13" xfId="0" applyFont="1" applyBorder="1"/>
    <xf numFmtId="0" fontId="3" fillId="0" borderId="4" xfId="0" applyFont="1" applyBorder="1"/>
    <xf numFmtId="165" fontId="3" fillId="0" borderId="4" xfId="1" applyNumberFormat="1" applyFont="1" applyFill="1" applyBorder="1"/>
    <xf numFmtId="0" fontId="6" fillId="6" borderId="13" xfId="0" applyFont="1" applyFill="1" applyBorder="1"/>
    <xf numFmtId="166" fontId="6" fillId="6" borderId="4" xfId="1" applyNumberFormat="1" applyFont="1" applyFill="1" applyBorder="1"/>
    <xf numFmtId="0" fontId="5" fillId="0" borderId="13" xfId="0" applyFont="1" applyBorder="1"/>
    <xf numFmtId="9" fontId="5" fillId="0" borderId="4" xfId="2" applyFont="1" applyBorder="1"/>
    <xf numFmtId="165" fontId="9" fillId="0" borderId="4" xfId="1" applyNumberFormat="1" applyFont="1" applyFill="1" applyBorder="1"/>
    <xf numFmtId="0" fontId="5" fillId="5" borderId="13" xfId="0" applyFont="1" applyFill="1" applyBorder="1" applyAlignment="1">
      <alignment horizontal="left" indent="1"/>
    </xf>
    <xf numFmtId="1" fontId="5" fillId="5" borderId="4" xfId="0" applyNumberFormat="1" applyFont="1" applyFill="1" applyBorder="1"/>
    <xf numFmtId="43" fontId="5" fillId="5" borderId="4" xfId="1" applyFont="1" applyFill="1" applyBorder="1"/>
    <xf numFmtId="43" fontId="3" fillId="0" borderId="4" xfId="1" applyFont="1" applyBorder="1"/>
    <xf numFmtId="9" fontId="5" fillId="0" borderId="3" xfId="2" applyFont="1" applyBorder="1"/>
    <xf numFmtId="0" fontId="5" fillId="0" borderId="11" xfId="0" applyFont="1" applyBorder="1"/>
    <xf numFmtId="9" fontId="5" fillId="0" borderId="7" xfId="2" applyFont="1" applyBorder="1"/>
    <xf numFmtId="1" fontId="3" fillId="0" borderId="10" xfId="0" applyNumberFormat="1" applyFont="1" applyBorder="1"/>
    <xf numFmtId="1" fontId="3" fillId="0" borderId="7" xfId="0" applyNumberFormat="1" applyFont="1" applyBorder="1"/>
    <xf numFmtId="17" fontId="4" fillId="2" borderId="2" xfId="0" applyNumberFormat="1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0" fontId="6" fillId="3" borderId="13" xfId="0" applyFont="1" applyFill="1" applyBorder="1"/>
    <xf numFmtId="165" fontId="6" fillId="0" borderId="4" xfId="1" applyNumberFormat="1" applyFont="1" applyBorder="1"/>
    <xf numFmtId="165" fontId="6" fillId="0" borderId="3" xfId="1" applyNumberFormat="1" applyFont="1" applyBorder="1"/>
    <xf numFmtId="0" fontId="5" fillId="0" borderId="0" xfId="0" applyFont="1"/>
    <xf numFmtId="43" fontId="3" fillId="0" borderId="3" xfId="1" applyFont="1" applyBorder="1"/>
    <xf numFmtId="167" fontId="3" fillId="0" borderId="4" xfId="1" applyNumberFormat="1" applyFont="1" applyFill="1" applyBorder="1"/>
    <xf numFmtId="167" fontId="3" fillId="0" borderId="3" xfId="1" applyNumberFormat="1" applyFont="1" applyFill="1" applyBorder="1"/>
    <xf numFmtId="165" fontId="3" fillId="0" borderId="0" xfId="0" applyNumberFormat="1" applyFont="1"/>
    <xf numFmtId="43" fontId="3" fillId="0" borderId="0" xfId="0" applyNumberFormat="1" applyFont="1"/>
    <xf numFmtId="167" fontId="3" fillId="0" borderId="0" xfId="0" applyNumberFormat="1" applyFont="1"/>
    <xf numFmtId="0" fontId="3" fillId="5" borderId="13" xfId="0" applyFont="1" applyFill="1" applyBorder="1" applyAlignment="1">
      <alignment horizontal="left" indent="1"/>
    </xf>
    <xf numFmtId="165" fontId="3" fillId="5" borderId="4" xfId="1" applyNumberFormat="1" applyFont="1" applyFill="1" applyBorder="1"/>
    <xf numFmtId="49" fontId="13" fillId="0" borderId="15" xfId="0" applyNumberFormat="1" applyFont="1" applyBorder="1" applyAlignment="1">
      <alignment horizontal="left" vertical="top" indent="3"/>
    </xf>
    <xf numFmtId="49" fontId="13" fillId="0" borderId="13" xfId="0" applyNumberFormat="1" applyFont="1" applyBorder="1" applyAlignment="1">
      <alignment horizontal="left" vertical="top" indent="3"/>
    </xf>
    <xf numFmtId="49" fontId="13" fillId="0" borderId="11" xfId="0" applyNumberFormat="1" applyFont="1" applyBorder="1" applyAlignment="1">
      <alignment horizontal="left" vertical="top" indent="3"/>
    </xf>
    <xf numFmtId="49" fontId="14" fillId="0" borderId="0" xfId="0" applyNumberFormat="1" applyFont="1" applyAlignment="1">
      <alignment vertical="top"/>
    </xf>
    <xf numFmtId="168" fontId="14" fillId="0" borderId="0" xfId="0" applyNumberFormat="1" applyFont="1" applyAlignment="1">
      <alignment horizontal="right" vertical="top"/>
    </xf>
    <xf numFmtId="169" fontId="14" fillId="0" borderId="0" xfId="0" applyNumberFormat="1" applyFont="1" applyAlignment="1">
      <alignment horizontal="right" vertical="top"/>
    </xf>
    <xf numFmtId="49" fontId="13" fillId="0" borderId="6" xfId="0" applyNumberFormat="1" applyFont="1" applyBorder="1" applyAlignment="1">
      <alignment horizontal="left" vertical="top" indent="3"/>
    </xf>
    <xf numFmtId="169" fontId="13" fillId="0" borderId="6" xfId="0" applyNumberFormat="1" applyFont="1" applyBorder="1" applyAlignment="1">
      <alignment horizontal="right" vertical="top"/>
    </xf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  <xf numFmtId="49" fontId="13" fillId="0" borderId="1" xfId="0" applyNumberFormat="1" applyFont="1" applyBorder="1" applyAlignment="1">
      <alignment horizontal="center" vertical="top"/>
    </xf>
    <xf numFmtId="0" fontId="10" fillId="0" borderId="0" xfId="0" applyFont="1"/>
    <xf numFmtId="165" fontId="10" fillId="0" borderId="0" xfId="1" applyNumberFormat="1" applyFont="1"/>
    <xf numFmtId="0" fontId="10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15" fillId="0" borderId="1" xfId="0" applyFont="1" applyBorder="1"/>
    <xf numFmtId="165" fontId="15" fillId="0" borderId="1" xfId="1" applyNumberFormat="1" applyFont="1" applyBorder="1"/>
    <xf numFmtId="0" fontId="16" fillId="0" borderId="1" xfId="0" applyFont="1" applyBorder="1"/>
    <xf numFmtId="0" fontId="17" fillId="0" borderId="0" xfId="0" applyFont="1"/>
    <xf numFmtId="165" fontId="10" fillId="0" borderId="1" xfId="1" applyNumberFormat="1" applyFont="1" applyBorder="1"/>
    <xf numFmtId="0" fontId="16" fillId="0" borderId="0" xfId="0" applyFont="1"/>
    <xf numFmtId="165" fontId="5" fillId="0" borderId="4" xfId="1" applyNumberFormat="1" applyFont="1" applyFill="1" applyBorder="1"/>
    <xf numFmtId="164" fontId="0" fillId="0" borderId="0" xfId="0" applyNumberFormat="1"/>
    <xf numFmtId="9" fontId="5" fillId="0" borderId="0" xfId="2" applyFont="1" applyBorder="1"/>
    <xf numFmtId="43" fontId="6" fillId="0" borderId="1" xfId="0" applyNumberFormat="1" applyFont="1" applyBorder="1" applyAlignment="1">
      <alignment horizontal="center" vertical="center"/>
    </xf>
    <xf numFmtId="17" fontId="4" fillId="2" borderId="5" xfId="0" applyNumberFormat="1" applyFont="1" applyFill="1" applyBorder="1" applyAlignment="1">
      <alignment horizontal="center"/>
    </xf>
    <xf numFmtId="166" fontId="6" fillId="6" borderId="3" xfId="1" applyNumberFormat="1" applyFont="1" applyFill="1" applyBorder="1"/>
    <xf numFmtId="165" fontId="9" fillId="0" borderId="3" xfId="1" applyNumberFormat="1" applyFont="1" applyFill="1" applyBorder="1"/>
    <xf numFmtId="165" fontId="5" fillId="5" borderId="3" xfId="1" applyNumberFormat="1" applyFont="1" applyFill="1" applyBorder="1"/>
    <xf numFmtId="165" fontId="3" fillId="0" borderId="3" xfId="1" applyNumberFormat="1" applyFont="1" applyFill="1" applyBorder="1"/>
    <xf numFmtId="9" fontId="3" fillId="0" borderId="3" xfId="2" applyFont="1" applyBorder="1"/>
    <xf numFmtId="9" fontId="5" fillId="0" borderId="5" xfId="2" applyFont="1" applyBorder="1"/>
    <xf numFmtId="43" fontId="10" fillId="0" borderId="0" xfId="1" applyFont="1"/>
    <xf numFmtId="2" fontId="0" fillId="0" borderId="0" xfId="0" applyNumberFormat="1"/>
    <xf numFmtId="165" fontId="3" fillId="0" borderId="0" xfId="1" applyNumberFormat="1" applyFont="1"/>
    <xf numFmtId="9" fontId="5" fillId="0" borderId="4" xfId="2" applyFont="1" applyFill="1" applyBorder="1"/>
    <xf numFmtId="165" fontId="3" fillId="0" borderId="13" xfId="1" applyNumberFormat="1" applyFont="1" applyBorder="1"/>
    <xf numFmtId="165" fontId="3" fillId="0" borderId="9" xfId="0" applyNumberFormat="1" applyFont="1" applyBorder="1"/>
    <xf numFmtId="165" fontId="3" fillId="0" borderId="3" xfId="0" applyNumberFormat="1" applyFont="1" applyBorder="1"/>
    <xf numFmtId="43" fontId="14" fillId="0" borderId="0" xfId="1" applyFont="1" applyFill="1" applyAlignment="1">
      <alignment horizontal="right" vertical="top"/>
    </xf>
    <xf numFmtId="0" fontId="9" fillId="0" borderId="0" xfId="0" applyFont="1"/>
    <xf numFmtId="0" fontId="7" fillId="0" borderId="0" xfId="0" applyFont="1"/>
    <xf numFmtId="43" fontId="21" fillId="8" borderId="16" xfId="1" applyFont="1" applyFill="1" applyBorder="1" applyAlignment="1">
      <alignment horizontal="left"/>
    </xf>
    <xf numFmtId="43" fontId="22" fillId="7" borderId="16" xfId="1" applyFont="1" applyFill="1" applyBorder="1" applyAlignment="1">
      <alignment horizontal="left"/>
    </xf>
    <xf numFmtId="43" fontId="22" fillId="7" borderId="16" xfId="1" applyFont="1" applyFill="1" applyBorder="1" applyAlignment="1">
      <alignment horizontal="right"/>
    </xf>
    <xf numFmtId="43" fontId="18" fillId="0" borderId="0" xfId="1" applyFont="1"/>
    <xf numFmtId="43" fontId="22" fillId="8" borderId="16" xfId="1" applyFont="1" applyFill="1" applyBorder="1" applyAlignment="1">
      <alignment horizontal="left"/>
    </xf>
    <xf numFmtId="43" fontId="18" fillId="0" borderId="0" xfId="1" applyFont="1" applyAlignment="1"/>
    <xf numFmtId="43" fontId="22" fillId="8" borderId="16" xfId="1" applyFont="1" applyFill="1" applyBorder="1" applyAlignment="1">
      <alignment horizontal="right"/>
    </xf>
    <xf numFmtId="43" fontId="23" fillId="7" borderId="16" xfId="1" applyFont="1" applyFill="1" applyBorder="1" applyAlignment="1">
      <alignment horizontal="left"/>
    </xf>
    <xf numFmtId="43" fontId="23" fillId="7" borderId="16" xfId="1" applyFont="1" applyFill="1" applyBorder="1" applyAlignment="1">
      <alignment horizontal="right"/>
    </xf>
    <xf numFmtId="0" fontId="8" fillId="0" borderId="0" xfId="0" applyFont="1" applyAlignment="1">
      <alignment horizontal="left"/>
    </xf>
    <xf numFmtId="43" fontId="18" fillId="0" borderId="0" xfId="1" applyFont="1" applyAlignment="1">
      <alignment horizontal="left"/>
    </xf>
    <xf numFmtId="43" fontId="22" fillId="8" borderId="0" xfId="1" applyFont="1" applyFill="1" applyBorder="1" applyAlignment="1">
      <alignment horizontal="left"/>
    </xf>
    <xf numFmtId="43" fontId="21" fillId="8" borderId="0" xfId="1" applyFont="1" applyFill="1" applyBorder="1" applyAlignment="1">
      <alignment horizontal="left"/>
    </xf>
    <xf numFmtId="165" fontId="8" fillId="0" borderId="0" xfId="1" applyNumberFormat="1" applyFont="1"/>
    <xf numFmtId="165" fontId="7" fillId="0" borderId="0" xfId="1" applyNumberFormat="1" applyFont="1"/>
    <xf numFmtId="164" fontId="8" fillId="0" borderId="0" xfId="0" applyNumberFormat="1" applyFont="1"/>
    <xf numFmtId="0" fontId="24" fillId="0" borderId="0" xfId="0" applyFont="1"/>
    <xf numFmtId="165" fontId="0" fillId="0" borderId="0" xfId="1" applyNumberFormat="1" applyFont="1" applyFill="1"/>
    <xf numFmtId="43" fontId="0" fillId="0" borderId="0" xfId="1" applyFont="1" applyFill="1"/>
    <xf numFmtId="165" fontId="10" fillId="0" borderId="0" xfId="1" applyNumberFormat="1" applyFont="1" applyFill="1"/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12" fillId="0" borderId="8" xfId="0" applyNumberFormat="1" applyFont="1" applyBorder="1" applyAlignment="1">
      <alignment vertical="top"/>
    </xf>
    <xf numFmtId="49" fontId="11" fillId="0" borderId="15" xfId="0" applyNumberFormat="1" applyFont="1" applyBorder="1" applyAlignment="1">
      <alignment vertical="top"/>
    </xf>
    <xf numFmtId="49" fontId="13" fillId="0" borderId="9" xfId="0" applyNumberFormat="1" applyFont="1" applyBorder="1" applyAlignment="1">
      <alignment vertical="top" wrapText="1"/>
    </xf>
    <xf numFmtId="49" fontId="13" fillId="0" borderId="15" xfId="0" applyNumberFormat="1" applyFont="1" applyBorder="1" applyAlignment="1">
      <alignment vertical="top" wrapText="1"/>
    </xf>
    <xf numFmtId="49" fontId="14" fillId="0" borderId="13" xfId="0" applyNumberFormat="1" applyFont="1" applyBorder="1" applyAlignment="1">
      <alignment vertical="top" wrapText="1"/>
    </xf>
    <xf numFmtId="49" fontId="14" fillId="0" borderId="0" xfId="0" applyNumberFormat="1" applyFont="1" applyAlignment="1">
      <alignment vertical="top" wrapText="1"/>
    </xf>
    <xf numFmtId="49" fontId="14" fillId="0" borderId="1" xfId="0" applyNumberFormat="1" applyFont="1" applyBorder="1" applyAlignment="1">
      <alignment horizontal="center" vertical="top"/>
    </xf>
    <xf numFmtId="164" fontId="0" fillId="0" borderId="0" xfId="4" applyFont="1" applyFill="1"/>
    <xf numFmtId="49" fontId="13" fillId="0" borderId="0" xfId="0" applyNumberFormat="1" applyFont="1" applyAlignment="1">
      <alignment horizontal="center" vertical="top" wrapText="1"/>
    </xf>
    <xf numFmtId="49" fontId="14" fillId="0" borderId="0" xfId="0" applyNumberFormat="1" applyFont="1" applyAlignment="1">
      <alignment horizontal="center" vertical="top" wrapText="1"/>
    </xf>
    <xf numFmtId="170" fontId="0" fillId="0" borderId="0" xfId="0" applyNumberFormat="1"/>
    <xf numFmtId="49" fontId="0" fillId="0" borderId="0" xfId="0" applyNumberFormat="1"/>
    <xf numFmtId="49" fontId="13" fillId="0" borderId="9" xfId="0" applyNumberFormat="1" applyFont="1" applyBorder="1" applyAlignment="1">
      <alignment vertical="top"/>
    </xf>
    <xf numFmtId="49" fontId="13" fillId="0" borderId="15" xfId="0" applyNumberFormat="1" applyFont="1" applyBorder="1" applyAlignment="1">
      <alignment vertical="top"/>
    </xf>
    <xf numFmtId="164" fontId="14" fillId="0" borderId="0" xfId="4" applyFont="1" applyFill="1" applyAlignment="1">
      <alignment horizontal="right" vertical="top"/>
    </xf>
    <xf numFmtId="165" fontId="0" fillId="0" borderId="1" xfId="1" applyNumberFormat="1" applyFont="1" applyFill="1" applyBorder="1"/>
    <xf numFmtId="167" fontId="0" fillId="0" borderId="1" xfId="4" applyNumberFormat="1" applyFont="1" applyFill="1" applyBorder="1"/>
    <xf numFmtId="167" fontId="0" fillId="0" borderId="1" xfId="0" applyNumberFormat="1" applyBorder="1"/>
    <xf numFmtId="0" fontId="21" fillId="7" borderId="16" xfId="0" applyFont="1" applyFill="1" applyBorder="1" applyAlignment="1">
      <alignment horizontal="left"/>
    </xf>
    <xf numFmtId="0" fontId="21" fillId="7" borderId="16" xfId="0" applyFont="1" applyFill="1" applyBorder="1" applyAlignment="1">
      <alignment horizontal="right"/>
    </xf>
    <xf numFmtId="0" fontId="25" fillId="0" borderId="0" xfId="0" applyFont="1"/>
    <xf numFmtId="0" fontId="21" fillId="8" borderId="16" xfId="0" applyFont="1" applyFill="1" applyBorder="1" applyAlignment="1">
      <alignment horizontal="left"/>
    </xf>
    <xf numFmtId="0" fontId="21" fillId="8" borderId="0" xfId="0" applyFont="1" applyFill="1" applyAlignment="1">
      <alignment horizontal="left"/>
    </xf>
    <xf numFmtId="43" fontId="21" fillId="8" borderId="16" xfId="1" applyFont="1" applyFill="1" applyBorder="1" applyAlignment="1">
      <alignment horizontal="right"/>
    </xf>
    <xf numFmtId="0" fontId="23" fillId="7" borderId="16" xfId="0" applyFont="1" applyFill="1" applyBorder="1" applyAlignment="1">
      <alignment horizontal="left"/>
    </xf>
    <xf numFmtId="43" fontId="25" fillId="0" borderId="0" xfId="1" applyFont="1"/>
    <xf numFmtId="43" fontId="25" fillId="0" borderId="0" xfId="1" applyFont="1" applyAlignment="1"/>
    <xf numFmtId="43" fontId="21" fillId="8" borderId="0" xfId="1" applyFont="1" applyFill="1" applyBorder="1" applyAlignment="1">
      <alignment horizontal="right"/>
    </xf>
    <xf numFmtId="0" fontId="26" fillId="8" borderId="16" xfId="0" applyFont="1" applyFill="1" applyBorder="1" applyAlignment="1">
      <alignment horizontal="left"/>
    </xf>
    <xf numFmtId="165" fontId="8" fillId="0" borderId="0" xfId="0" applyNumberFormat="1" applyFont="1"/>
    <xf numFmtId="0" fontId="27" fillId="7" borderId="16" xfId="0" applyFont="1" applyFill="1" applyBorder="1" applyAlignment="1">
      <alignment horizontal="left"/>
    </xf>
    <xf numFmtId="43" fontId="26" fillId="8" borderId="16" xfId="1" applyFont="1" applyFill="1" applyBorder="1" applyAlignment="1">
      <alignment horizontal="right"/>
    </xf>
    <xf numFmtId="43" fontId="27" fillId="7" borderId="16" xfId="1" applyFont="1" applyFill="1" applyBorder="1" applyAlignment="1">
      <alignment horizontal="right"/>
    </xf>
    <xf numFmtId="43" fontId="0" fillId="0" borderId="0" xfId="1" applyFont="1" applyAlignment="1"/>
    <xf numFmtId="0" fontId="26" fillId="8" borderId="0" xfId="0" applyFont="1" applyFill="1" applyAlignment="1">
      <alignment horizontal="left"/>
    </xf>
    <xf numFmtId="167" fontId="3" fillId="0" borderId="3" xfId="0" applyNumberFormat="1" applyFont="1" applyBorder="1"/>
    <xf numFmtId="0" fontId="26" fillId="7" borderId="16" xfId="0" applyFont="1" applyFill="1" applyBorder="1"/>
    <xf numFmtId="0" fontId="26" fillId="7" borderId="17" xfId="0" applyFont="1" applyFill="1" applyBorder="1"/>
    <xf numFmtId="43" fontId="3" fillId="0" borderId="0" xfId="1" applyFont="1"/>
    <xf numFmtId="0" fontId="28" fillId="7" borderId="16" xfId="0" applyFont="1" applyFill="1" applyBorder="1" applyAlignment="1">
      <alignment horizontal="left"/>
    </xf>
    <xf numFmtId="43" fontId="28" fillId="7" borderId="16" xfId="1" applyFont="1" applyFill="1" applyBorder="1" applyAlignment="1">
      <alignment horizontal="right"/>
    </xf>
    <xf numFmtId="0" fontId="28" fillId="7" borderId="17" xfId="0" applyFont="1" applyFill="1" applyBorder="1"/>
    <xf numFmtId="0" fontId="28" fillId="8" borderId="16" xfId="0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43" fontId="28" fillId="8" borderId="16" xfId="1" applyFont="1" applyFill="1" applyBorder="1" applyAlignment="1">
      <alignment horizontal="right"/>
    </xf>
    <xf numFmtId="0" fontId="29" fillId="7" borderId="16" xfId="0" applyFont="1" applyFill="1" applyBorder="1" applyAlignment="1">
      <alignment horizontal="left"/>
    </xf>
    <xf numFmtId="43" fontId="29" fillId="7" borderId="16" xfId="1" applyFont="1" applyFill="1" applyBorder="1" applyAlignment="1">
      <alignment horizontal="right"/>
    </xf>
    <xf numFmtId="0" fontId="28" fillId="9" borderId="16" xfId="0" applyFont="1" applyFill="1" applyBorder="1" applyAlignment="1">
      <alignment vertical="center"/>
    </xf>
    <xf numFmtId="0" fontId="28" fillId="9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4" borderId="0" xfId="0" applyFont="1" applyFill="1"/>
    <xf numFmtId="0" fontId="4" fillId="2" borderId="1" xfId="0" applyFont="1" applyFill="1" applyBorder="1" applyAlignment="1">
      <alignment horizontal="center"/>
    </xf>
    <xf numFmtId="0" fontId="29" fillId="7" borderId="0" xfId="0" applyFont="1" applyFill="1" applyAlignment="1">
      <alignment horizontal="left"/>
    </xf>
    <xf numFmtId="43" fontId="29" fillId="7" borderId="0" xfId="1" applyFont="1" applyFill="1" applyBorder="1" applyAlignment="1">
      <alignment horizontal="right"/>
    </xf>
    <xf numFmtId="43" fontId="28" fillId="8" borderId="0" xfId="1" applyFont="1" applyFill="1" applyBorder="1" applyAlignment="1">
      <alignment horizontal="right"/>
    </xf>
    <xf numFmtId="9" fontId="3" fillId="0" borderId="0" xfId="0" applyNumberFormat="1" applyFont="1"/>
    <xf numFmtId="0" fontId="28" fillId="7" borderId="16" xfId="3" applyFont="1" applyFill="1" applyBorder="1" applyAlignment="1">
      <alignment horizontal="left"/>
    </xf>
    <xf numFmtId="0" fontId="28" fillId="7" borderId="16" xfId="3" applyFont="1" applyFill="1" applyBorder="1" applyAlignment="1">
      <alignment horizontal="right"/>
    </xf>
    <xf numFmtId="0" fontId="30" fillId="0" borderId="0" xfId="3" applyFont="1"/>
    <xf numFmtId="0" fontId="28" fillId="8" borderId="16" xfId="3" applyFont="1" applyFill="1" applyBorder="1" applyAlignment="1">
      <alignment horizontal="left"/>
    </xf>
    <xf numFmtId="0" fontId="29" fillId="7" borderId="16" xfId="3" applyFont="1" applyFill="1" applyBorder="1" applyAlignment="1">
      <alignment horizontal="left"/>
    </xf>
    <xf numFmtId="0" fontId="28" fillId="9" borderId="16" xfId="3" applyFont="1" applyFill="1" applyBorder="1" applyAlignment="1">
      <alignment vertical="center"/>
    </xf>
    <xf numFmtId="0" fontId="28" fillId="8" borderId="0" xfId="3" applyFont="1" applyFill="1" applyAlignment="1">
      <alignment horizontal="left"/>
    </xf>
    <xf numFmtId="0" fontId="28" fillId="9" borderId="0" xfId="3" applyFont="1" applyFill="1" applyAlignment="1">
      <alignment vertical="center"/>
    </xf>
    <xf numFmtId="43" fontId="30" fillId="0" borderId="0" xfId="1" applyFont="1"/>
    <xf numFmtId="43" fontId="7" fillId="0" borderId="0" xfId="0" applyNumberFormat="1" applyFont="1"/>
    <xf numFmtId="0" fontId="31" fillId="0" borderId="0" xfId="0" applyFont="1" applyAlignment="1">
      <alignment horizontal="left" indent="1"/>
    </xf>
    <xf numFmtId="43" fontId="31" fillId="0" borderId="0" xfId="1" applyFont="1"/>
    <xf numFmtId="0" fontId="31" fillId="0" borderId="0" xfId="0" applyFont="1" applyAlignment="1">
      <alignment horizontal="center"/>
    </xf>
    <xf numFmtId="0" fontId="31" fillId="0" borderId="0" xfId="0" applyFont="1"/>
    <xf numFmtId="165" fontId="31" fillId="0" borderId="0" xfId="1" applyNumberFormat="1" applyFont="1"/>
    <xf numFmtId="171" fontId="2" fillId="0" borderId="4" xfId="1" applyNumberFormat="1" applyFont="1" applyFill="1" applyBorder="1" applyAlignment="1">
      <alignment horizontal="right"/>
    </xf>
    <xf numFmtId="9" fontId="3" fillId="0" borderId="4" xfId="2" applyFont="1" applyFill="1" applyBorder="1"/>
    <xf numFmtId="43" fontId="8" fillId="0" borderId="0" xfId="0" applyNumberFormat="1" applyFont="1"/>
    <xf numFmtId="0" fontId="32" fillId="7" borderId="16" xfId="0" applyFont="1" applyFill="1" applyBorder="1" applyAlignment="1">
      <alignment horizontal="left"/>
    </xf>
    <xf numFmtId="43" fontId="32" fillId="7" borderId="16" xfId="1" applyFont="1" applyFill="1" applyBorder="1" applyAlignment="1">
      <alignment horizontal="right"/>
    </xf>
    <xf numFmtId="43" fontId="8" fillId="0" borderId="0" xfId="0" applyNumberFormat="1" applyFont="1" applyAlignment="1">
      <alignment horizontal="center"/>
    </xf>
    <xf numFmtId="43" fontId="7" fillId="0" borderId="0" xfId="1" applyFont="1"/>
    <xf numFmtId="43" fontId="30" fillId="0" borderId="0" xfId="3" applyNumberFormat="1" applyFont="1"/>
    <xf numFmtId="0" fontId="3" fillId="3" borderId="6" xfId="0" applyFont="1" applyFill="1" applyBorder="1"/>
    <xf numFmtId="0" fontId="4" fillId="2" borderId="8" xfId="0" applyFont="1" applyFill="1" applyBorder="1"/>
    <xf numFmtId="43" fontId="6" fillId="0" borderId="1" xfId="0" applyNumberFormat="1" applyFont="1" applyBorder="1" applyAlignment="1">
      <alignment horizontal="center"/>
    </xf>
    <xf numFmtId="0" fontId="3" fillId="5" borderId="0" xfId="0" applyFont="1" applyFill="1"/>
    <xf numFmtId="165" fontId="3" fillId="5" borderId="3" xfId="1" applyNumberFormat="1" applyFont="1" applyFill="1" applyBorder="1"/>
    <xf numFmtId="0" fontId="3" fillId="0" borderId="8" xfId="0" applyFont="1" applyBorder="1"/>
    <xf numFmtId="165" fontId="3" fillId="0" borderId="5" xfId="1" applyNumberFormat="1" applyFont="1" applyBorder="1"/>
    <xf numFmtId="0" fontId="32" fillId="7" borderId="16" xfId="0" applyFont="1" applyFill="1" applyBorder="1" applyAlignment="1">
      <alignment horizontal="right"/>
    </xf>
    <xf numFmtId="17" fontId="2" fillId="10" borderId="2" xfId="0" applyNumberFormat="1" applyFont="1" applyFill="1" applyBorder="1" applyAlignment="1">
      <alignment horizontal="center"/>
    </xf>
    <xf numFmtId="165" fontId="33" fillId="0" borderId="3" xfId="1" applyNumberFormat="1" applyFont="1" applyFill="1" applyBorder="1"/>
    <xf numFmtId="165" fontId="33" fillId="0" borderId="3" xfId="1" applyNumberFormat="1" applyFont="1" applyBorder="1"/>
    <xf numFmtId="165" fontId="34" fillId="5" borderId="3" xfId="1" applyNumberFormat="1" applyFont="1" applyFill="1" applyBorder="1"/>
    <xf numFmtId="165" fontId="33" fillId="0" borderId="3" xfId="0" applyNumberFormat="1" applyFont="1" applyBorder="1"/>
    <xf numFmtId="165" fontId="3" fillId="0" borderId="0" xfId="1" applyNumberFormat="1" applyFont="1" applyFill="1" applyBorder="1"/>
    <xf numFmtId="173" fontId="2" fillId="0" borderId="4" xfId="1" applyNumberFormat="1" applyFont="1" applyFill="1" applyBorder="1" applyAlignment="1">
      <alignment horizontal="right"/>
    </xf>
    <xf numFmtId="165" fontId="3" fillId="0" borderId="14" xfId="1" applyNumberFormat="1" applyFont="1" applyBorder="1"/>
    <xf numFmtId="165" fontId="3" fillId="3" borderId="3" xfId="1" applyNumberFormat="1" applyFont="1" applyFill="1" applyBorder="1"/>
    <xf numFmtId="166" fontId="6" fillId="3" borderId="3" xfId="1" applyNumberFormat="1" applyFont="1" applyFill="1" applyBorder="1"/>
    <xf numFmtId="174" fontId="3" fillId="0" borderId="0" xfId="1" applyNumberFormat="1" applyFont="1" applyFill="1"/>
    <xf numFmtId="0" fontId="28" fillId="8" borderId="16" xfId="0" applyFont="1" applyFill="1" applyBorder="1" applyAlignment="1">
      <alignment horizontal="right"/>
    </xf>
    <xf numFmtId="0" fontId="29" fillId="7" borderId="16" xfId="0" applyFont="1" applyFill="1" applyBorder="1" applyAlignment="1">
      <alignment horizontal="right"/>
    </xf>
    <xf numFmtId="173" fontId="9" fillId="0" borderId="0" xfId="0" applyNumberFormat="1" applyFont="1"/>
    <xf numFmtId="1" fontId="3" fillId="0" borderId="0" xfId="0" applyNumberFormat="1" applyFont="1"/>
    <xf numFmtId="0" fontId="28" fillId="8" borderId="0" xfId="0" applyFont="1" applyFill="1" applyAlignment="1">
      <alignment horizontal="right"/>
    </xf>
    <xf numFmtId="165" fontId="3" fillId="3" borderId="4" xfId="2" applyNumberFormat="1" applyFont="1" applyFill="1" applyBorder="1"/>
    <xf numFmtId="0" fontId="6" fillId="0" borderId="5" xfId="0" applyFont="1" applyBorder="1"/>
    <xf numFmtId="0" fontId="6" fillId="0" borderId="8" xfId="0" applyFont="1" applyBorder="1"/>
    <xf numFmtId="17" fontId="4" fillId="2" borderId="0" xfId="0" applyNumberFormat="1" applyFont="1" applyFill="1" applyAlignment="1">
      <alignment horizontal="center"/>
    </xf>
    <xf numFmtId="17" fontId="2" fillId="10" borderId="11" xfId="0" applyNumberFormat="1" applyFont="1" applyFill="1" applyBorder="1" applyAlignment="1">
      <alignment horizontal="center"/>
    </xf>
    <xf numFmtId="17" fontId="2" fillId="10" borderId="7" xfId="0" applyNumberFormat="1" applyFont="1" applyFill="1" applyBorder="1" applyAlignment="1">
      <alignment horizontal="center"/>
    </xf>
    <xf numFmtId="17" fontId="3" fillId="0" borderId="0" xfId="0" applyNumberFormat="1" applyFont="1"/>
    <xf numFmtId="17" fontId="2" fillId="6" borderId="8" xfId="0" applyNumberFormat="1" applyFont="1" applyFill="1" applyBorder="1" applyAlignment="1">
      <alignment horizontal="left"/>
    </xf>
    <xf numFmtId="17" fontId="2" fillId="6" borderId="6" xfId="0" applyNumberFormat="1" applyFont="1" applyFill="1" applyBorder="1" applyAlignment="1">
      <alignment horizontal="left"/>
    </xf>
    <xf numFmtId="43" fontId="2" fillId="6" borderId="8" xfId="1" applyFont="1" applyFill="1" applyBorder="1" applyAlignment="1">
      <alignment horizontal="left"/>
    </xf>
    <xf numFmtId="165" fontId="3" fillId="0" borderId="0" xfId="1" applyNumberFormat="1" applyFont="1" applyBorder="1"/>
    <xf numFmtId="0" fontId="35" fillId="5" borderId="1" xfId="0" applyFont="1" applyFill="1" applyBorder="1" applyAlignment="1">
      <alignment horizontal="left" indent="1"/>
    </xf>
    <xf numFmtId="0" fontId="3" fillId="0" borderId="6" xfId="0" applyFont="1" applyBorder="1"/>
    <xf numFmtId="165" fontId="35" fillId="5" borderId="12" xfId="1" applyNumberFormat="1" applyFont="1" applyFill="1" applyBorder="1" applyAlignment="1">
      <alignment horizontal="left" indent="1"/>
    </xf>
    <xf numFmtId="165" fontId="35" fillId="5" borderId="2" xfId="1" applyNumberFormat="1" applyFont="1" applyFill="1" applyBorder="1" applyAlignment="1">
      <alignment horizontal="left" indent="1"/>
    </xf>
    <xf numFmtId="165" fontId="36" fillId="0" borderId="0" xfId="1" applyNumberFormat="1" applyFont="1" applyBorder="1"/>
    <xf numFmtId="165" fontId="36" fillId="0" borderId="4" xfId="1" applyNumberFormat="1" applyFont="1" applyBorder="1"/>
    <xf numFmtId="0" fontId="6" fillId="0" borderId="15" xfId="0" applyFont="1" applyBorder="1"/>
    <xf numFmtId="165" fontId="6" fillId="0" borderId="0" xfId="0" applyNumberFormat="1" applyFont="1"/>
    <xf numFmtId="165" fontId="6" fillId="0" borderId="0" xfId="1" applyNumberFormat="1" applyFont="1" applyBorder="1"/>
    <xf numFmtId="0" fontId="6" fillId="0" borderId="1" xfId="0" applyFont="1" applyBorder="1"/>
    <xf numFmtId="17" fontId="4" fillId="2" borderId="9" xfId="0" applyNumberFormat="1" applyFont="1" applyFill="1" applyBorder="1" applyAlignment="1">
      <alignment horizontal="center"/>
    </xf>
    <xf numFmtId="17" fontId="2" fillId="10" borderId="6" xfId="0" applyNumberFormat="1" applyFont="1" applyFill="1" applyBorder="1" applyAlignment="1">
      <alignment horizontal="center"/>
    </xf>
    <xf numFmtId="0" fontId="6" fillId="3" borderId="5" xfId="0" applyFont="1" applyFill="1" applyBorder="1"/>
    <xf numFmtId="17" fontId="4" fillId="3" borderId="9" xfId="0" applyNumberFormat="1" applyFont="1" applyFill="1" applyBorder="1" applyAlignment="1">
      <alignment horizontal="center"/>
    </xf>
    <xf numFmtId="17" fontId="4" fillId="3" borderId="7" xfId="0" applyNumberFormat="1" applyFont="1" applyFill="1" applyBorder="1" applyAlignment="1">
      <alignment horizontal="center"/>
    </xf>
    <xf numFmtId="17" fontId="2" fillId="3" borderId="8" xfId="0" applyNumberFormat="1" applyFont="1" applyFill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17" fontId="3" fillId="3" borderId="0" xfId="0" applyNumberFormat="1" applyFont="1" applyFill="1"/>
    <xf numFmtId="17" fontId="2" fillId="6" borderId="5" xfId="0" applyNumberFormat="1" applyFont="1" applyFill="1" applyBorder="1" applyAlignment="1">
      <alignment horizontal="left"/>
    </xf>
    <xf numFmtId="17" fontId="2" fillId="6" borderId="12" xfId="0" applyNumberFormat="1" applyFont="1" applyFill="1" applyBorder="1" applyAlignment="1">
      <alignment horizontal="left"/>
    </xf>
    <xf numFmtId="17" fontId="2" fillId="6" borderId="7" xfId="0" applyNumberFormat="1" applyFont="1" applyFill="1" applyBorder="1" applyAlignment="1">
      <alignment horizontal="left"/>
    </xf>
    <xf numFmtId="165" fontId="3" fillId="0" borderId="9" xfId="1" applyNumberFormat="1" applyFont="1" applyBorder="1"/>
    <xf numFmtId="165" fontId="3" fillId="0" borderId="15" xfId="1" applyNumberFormat="1" applyFont="1" applyBorder="1"/>
    <xf numFmtId="165" fontId="3" fillId="0" borderId="11" xfId="1" applyNumberFormat="1" applyFont="1" applyBorder="1"/>
    <xf numFmtId="165" fontId="3" fillId="0" borderId="8" xfId="1" applyNumberFormat="1" applyFont="1" applyBorder="1"/>
    <xf numFmtId="165" fontId="35" fillId="5" borderId="6" xfId="1" applyNumberFormat="1" applyFont="1" applyFill="1" applyBorder="1" applyAlignment="1">
      <alignment horizontal="left" indent="1"/>
    </xf>
    <xf numFmtId="17" fontId="2" fillId="6" borderId="1" xfId="0" applyNumberFormat="1" applyFont="1" applyFill="1" applyBorder="1" applyAlignment="1">
      <alignment horizontal="left"/>
    </xf>
    <xf numFmtId="17" fontId="2" fillId="6" borderId="2" xfId="0" applyNumberFormat="1" applyFont="1" applyFill="1" applyBorder="1" applyAlignment="1">
      <alignment horizontal="left"/>
    </xf>
    <xf numFmtId="165" fontId="36" fillId="0" borderId="13" xfId="1" applyNumberFormat="1" applyFont="1" applyBorder="1"/>
    <xf numFmtId="165" fontId="36" fillId="0" borderId="10" xfId="1" applyNumberFormat="1" applyFont="1" applyBorder="1"/>
    <xf numFmtId="165" fontId="36" fillId="0" borderId="15" xfId="1" applyNumberFormat="1" applyFont="1" applyBorder="1"/>
    <xf numFmtId="0" fontId="6" fillId="0" borderId="14" xfId="0" applyFont="1" applyBorder="1"/>
    <xf numFmtId="165" fontId="6" fillId="0" borderId="13" xfId="0" applyNumberFormat="1" applyFont="1" applyBorder="1"/>
    <xf numFmtId="17" fontId="3" fillId="0" borderId="3" xfId="0" applyNumberFormat="1" applyFont="1" applyBorder="1"/>
    <xf numFmtId="2" fontId="3" fillId="0" borderId="0" xfId="0" applyNumberFormat="1" applyFont="1"/>
    <xf numFmtId="174" fontId="9" fillId="0" borderId="4" xfId="1" applyNumberFormat="1" applyFont="1" applyFill="1" applyBorder="1"/>
    <xf numFmtId="175" fontId="3" fillId="0" borderId="0" xfId="2" applyNumberFormat="1" applyFont="1"/>
    <xf numFmtId="166" fontId="3" fillId="0" borderId="3" xfId="1" applyNumberFormat="1" applyFont="1" applyBorder="1"/>
    <xf numFmtId="167" fontId="3" fillId="0" borderId="0" xfId="1" applyNumberFormat="1" applyFont="1" applyFill="1" applyBorder="1"/>
    <xf numFmtId="0" fontId="28" fillId="8" borderId="16" xfId="3" applyFont="1" applyFill="1" applyBorder="1" applyAlignment="1">
      <alignment horizontal="right"/>
    </xf>
    <xf numFmtId="0" fontId="29" fillId="7" borderId="16" xfId="3" applyFont="1" applyFill="1" applyBorder="1" applyAlignment="1">
      <alignment horizontal="right"/>
    </xf>
    <xf numFmtId="0" fontId="28" fillId="7" borderId="16" xfId="3" applyFont="1" applyFill="1" applyBorder="1"/>
    <xf numFmtId="0" fontId="32" fillId="7" borderId="16" xfId="3" applyFont="1" applyFill="1" applyBorder="1"/>
    <xf numFmtId="0" fontId="37" fillId="0" borderId="0" xfId="3" applyFont="1"/>
    <xf numFmtId="2" fontId="3" fillId="0" borderId="0" xfId="2" applyNumberFormat="1" applyFont="1" applyBorder="1"/>
    <xf numFmtId="43" fontId="8" fillId="0" borderId="0" xfId="1" applyFont="1" applyFill="1"/>
    <xf numFmtId="176" fontId="3" fillId="0" borderId="0" xfId="0" applyNumberFormat="1" applyFont="1"/>
    <xf numFmtId="0" fontId="3" fillId="0" borderId="14" xfId="0" applyFont="1" applyBorder="1"/>
    <xf numFmtId="0" fontId="0" fillId="0" borderId="0" xfId="0" applyAlignment="1">
      <alignment horizontal="center" vertical="center"/>
    </xf>
    <xf numFmtId="0" fontId="28" fillId="8" borderId="0" xfId="3" applyFont="1" applyFill="1" applyAlignment="1">
      <alignment horizontal="right"/>
    </xf>
    <xf numFmtId="0" fontId="4" fillId="2" borderId="1" xfId="0" applyFont="1" applyFill="1" applyBorder="1"/>
    <xf numFmtId="0" fontId="3" fillId="6" borderId="13" xfId="0" applyFont="1" applyFill="1" applyBorder="1"/>
    <xf numFmtId="167" fontId="3" fillId="6" borderId="3" xfId="1" applyNumberFormat="1" applyFont="1" applyFill="1" applyBorder="1"/>
    <xf numFmtId="167" fontId="3" fillId="6" borderId="0" xfId="1" applyNumberFormat="1" applyFont="1" applyFill="1" applyBorder="1"/>
    <xf numFmtId="0" fontId="53" fillId="0" borderId="13" xfId="0" applyFont="1" applyBorder="1" applyAlignment="1">
      <alignment horizontal="left" indent="1"/>
    </xf>
    <xf numFmtId="165" fontId="53" fillId="0" borderId="3" xfId="1" applyNumberFormat="1" applyFont="1" applyBorder="1"/>
    <xf numFmtId="0" fontId="5" fillId="0" borderId="3" xfId="0" applyFont="1" applyBorder="1"/>
    <xf numFmtId="165" fontId="53" fillId="0" borderId="4" xfId="1" applyNumberFormat="1" applyFont="1" applyBorder="1"/>
    <xf numFmtId="0" fontId="53" fillId="6" borderId="13" xfId="0" applyFont="1" applyFill="1" applyBorder="1" applyAlignment="1">
      <alignment horizontal="left" indent="1"/>
    </xf>
    <xf numFmtId="165" fontId="53" fillId="6" borderId="3" xfId="1" applyNumberFormat="1" applyFont="1" applyFill="1" applyBorder="1"/>
    <xf numFmtId="165" fontId="53" fillId="6" borderId="0" xfId="1" applyNumberFormat="1" applyFont="1" applyFill="1" applyBorder="1"/>
    <xf numFmtId="167" fontId="53" fillId="0" borderId="3" xfId="1" applyNumberFormat="1" applyFont="1" applyFill="1" applyBorder="1"/>
    <xf numFmtId="43" fontId="3" fillId="0" borderId="0" xfId="1" applyFont="1" applyBorder="1"/>
    <xf numFmtId="167" fontId="53" fillId="0" borderId="4" xfId="1" applyNumberFormat="1" applyFont="1" applyFill="1" applyBorder="1"/>
    <xf numFmtId="167" fontId="53" fillId="6" borderId="3" xfId="1" applyNumberFormat="1" applyFont="1" applyFill="1" applyBorder="1"/>
    <xf numFmtId="167" fontId="53" fillId="6" borderId="0" xfId="1" applyNumberFormat="1" applyFont="1" applyFill="1" applyBorder="1"/>
    <xf numFmtId="165" fontId="5" fillId="0" borderId="3" xfId="1" applyNumberFormat="1" applyFont="1" applyBorder="1"/>
    <xf numFmtId="165" fontId="5" fillId="0" borderId="0" xfId="1" applyNumberFormat="1" applyFont="1" applyBorder="1"/>
    <xf numFmtId="165" fontId="5" fillId="0" borderId="4" xfId="1" applyNumberFormat="1" applyFont="1" applyBorder="1"/>
    <xf numFmtId="165" fontId="5" fillId="6" borderId="3" xfId="1" applyNumberFormat="1" applyFont="1" applyFill="1" applyBorder="1"/>
    <xf numFmtId="165" fontId="5" fillId="6" borderId="0" xfId="1" applyNumberFormat="1" applyFont="1" applyFill="1" applyBorder="1"/>
    <xf numFmtId="165" fontId="3" fillId="6" borderId="3" xfId="1" applyNumberFormat="1" applyFont="1" applyFill="1" applyBorder="1"/>
    <xf numFmtId="165" fontId="3" fillId="6" borderId="0" xfId="1" applyNumberFormat="1" applyFont="1" applyFill="1" applyBorder="1"/>
    <xf numFmtId="43" fontId="53" fillId="0" borderId="3" xfId="1" applyFont="1" applyBorder="1"/>
    <xf numFmtId="165" fontId="53" fillId="0" borderId="0" xfId="1" applyNumberFormat="1" applyFont="1" applyBorder="1"/>
    <xf numFmtId="43" fontId="53" fillId="0" borderId="4" xfId="1" applyFont="1" applyBorder="1"/>
    <xf numFmtId="43" fontId="53" fillId="6" borderId="3" xfId="1" applyFont="1" applyFill="1" applyBorder="1"/>
    <xf numFmtId="43" fontId="53" fillId="6" borderId="0" xfId="1" applyFont="1" applyFill="1" applyBorder="1"/>
    <xf numFmtId="43" fontId="3" fillId="0" borderId="3" xfId="0" applyNumberFormat="1" applyFont="1" applyBorder="1"/>
    <xf numFmtId="43" fontId="3" fillId="6" borderId="3" xfId="1" applyFont="1" applyFill="1" applyBorder="1"/>
    <xf numFmtId="43" fontId="3" fillId="6" borderId="0" xfId="1" applyFont="1" applyFill="1" applyBorder="1"/>
    <xf numFmtId="167" fontId="6" fillId="0" borderId="3" xfId="1" applyNumberFormat="1" applyFont="1" applyFill="1" applyBorder="1"/>
    <xf numFmtId="167" fontId="6" fillId="0" borderId="4" xfId="1" applyNumberFormat="1" applyFont="1" applyFill="1" applyBorder="1"/>
    <xf numFmtId="165" fontId="6" fillId="6" borderId="3" xfId="1" applyNumberFormat="1" applyFont="1" applyFill="1" applyBorder="1"/>
    <xf numFmtId="165" fontId="6" fillId="6" borderId="0" xfId="1" applyNumberFormat="1" applyFont="1" applyFill="1" applyBorder="1"/>
    <xf numFmtId="167" fontId="6" fillId="6" borderId="3" xfId="1" applyNumberFormat="1" applyFont="1" applyFill="1" applyBorder="1"/>
    <xf numFmtId="43" fontId="3" fillId="0" borderId="5" xfId="1" applyFont="1" applyBorder="1"/>
    <xf numFmtId="43" fontId="3" fillId="0" borderId="8" xfId="1" applyFont="1" applyBorder="1"/>
    <xf numFmtId="43" fontId="3" fillId="0" borderId="7" xfId="1" applyFont="1" applyBorder="1"/>
    <xf numFmtId="0" fontId="3" fillId="6" borderId="11" xfId="0" applyFont="1" applyFill="1" applyBorder="1"/>
    <xf numFmtId="43" fontId="3" fillId="6" borderId="5" xfId="1" applyFont="1" applyFill="1" applyBorder="1"/>
    <xf numFmtId="43" fontId="3" fillId="6" borderId="8" xfId="1" applyFont="1" applyFill="1" applyBorder="1"/>
    <xf numFmtId="0" fontId="3" fillId="0" borderId="0" xfId="0" applyFont="1" applyAlignment="1">
      <alignment horizontal="right"/>
    </xf>
    <xf numFmtId="0" fontId="3" fillId="3" borderId="1" xfId="0" applyFont="1" applyFill="1" applyBorder="1"/>
    <xf numFmtId="0" fontId="4" fillId="2" borderId="12" xfId="0" applyFont="1" applyFill="1" applyBorder="1" applyAlignment="1">
      <alignment horizontal="left"/>
    </xf>
    <xf numFmtId="0" fontId="2" fillId="3" borderId="9" xfId="0" applyFont="1" applyFill="1" applyBorder="1"/>
    <xf numFmtId="17" fontId="2" fillId="3" borderId="14" xfId="0" applyNumberFormat="1" applyFont="1" applyFill="1" applyBorder="1" applyAlignment="1">
      <alignment horizontal="center"/>
    </xf>
    <xf numFmtId="167" fontId="3" fillId="0" borderId="4" xfId="0" applyNumberFormat="1" applyFont="1" applyBorder="1"/>
    <xf numFmtId="0" fontId="6" fillId="0" borderId="13" xfId="0" applyFont="1" applyBorder="1"/>
    <xf numFmtId="167" fontId="6" fillId="0" borderId="3" xfId="0" applyNumberFormat="1" applyFont="1" applyBorder="1"/>
    <xf numFmtId="167" fontId="6" fillId="0" borderId="4" xfId="0" applyNumberFormat="1" applyFont="1" applyBorder="1"/>
    <xf numFmtId="167" fontId="5" fillId="0" borderId="3" xfId="0" applyNumberFormat="1" applyFont="1" applyBorder="1" applyAlignment="1">
      <alignment horizontal="left" wrapText="1"/>
    </xf>
    <xf numFmtId="167" fontId="3" fillId="0" borderId="3" xfId="1" applyNumberFormat="1" applyFont="1" applyBorder="1"/>
    <xf numFmtId="0" fontId="54" fillId="0" borderId="11" xfId="0" applyFont="1" applyBorder="1"/>
    <xf numFmtId="165" fontId="54" fillId="0" borderId="5" xfId="1" applyNumberFormat="1" applyFont="1" applyBorder="1"/>
    <xf numFmtId="17" fontId="2" fillId="3" borderId="0" xfId="0" applyNumberFormat="1" applyFont="1" applyFill="1" applyAlignment="1">
      <alignment horizontal="center"/>
    </xf>
    <xf numFmtId="167" fontId="6" fillId="0" borderId="0" xfId="0" applyNumberFormat="1" applyFont="1"/>
    <xf numFmtId="165" fontId="54" fillId="0" borderId="0" xfId="1" applyNumberFormat="1" applyFont="1" applyBorder="1"/>
    <xf numFmtId="0" fontId="32" fillId="7" borderId="16" xfId="3" applyFont="1" applyFill="1" applyBorder="1" applyAlignment="1">
      <alignment horizontal="left"/>
    </xf>
    <xf numFmtId="0" fontId="32" fillId="7" borderId="16" xfId="3" applyFont="1" applyFill="1" applyBorder="1" applyAlignment="1">
      <alignment horizontal="right"/>
    </xf>
    <xf numFmtId="43" fontId="8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55" fillId="0" borderId="13" xfId="0" applyFont="1" applyBorder="1"/>
    <xf numFmtId="0" fontId="3" fillId="3" borderId="13" xfId="0" applyFont="1" applyFill="1" applyBorder="1"/>
    <xf numFmtId="167" fontId="3" fillId="3" borderId="3" xfId="1" applyNumberFormat="1" applyFont="1" applyFill="1" applyBorder="1"/>
    <xf numFmtId="167" fontId="3" fillId="3" borderId="4" xfId="1" applyNumberFormat="1" applyFont="1" applyFill="1" applyBorder="1"/>
    <xf numFmtId="167" fontId="6" fillId="3" borderId="4" xfId="1" applyNumberFormat="1" applyFont="1" applyFill="1" applyBorder="1"/>
    <xf numFmtId="167" fontId="6" fillId="3" borderId="3" xfId="1" applyNumberFormat="1" applyFont="1" applyFill="1" applyBorder="1"/>
    <xf numFmtId="165" fontId="6" fillId="3" borderId="4" xfId="1" applyNumberFormat="1" applyFont="1" applyFill="1" applyBorder="1"/>
    <xf numFmtId="167" fontId="3" fillId="5" borderId="4" xfId="1" applyNumberFormat="1" applyFont="1" applyFill="1" applyBorder="1"/>
    <xf numFmtId="167" fontId="3" fillId="5" borderId="3" xfId="1" applyNumberFormat="1" applyFont="1" applyFill="1" applyBorder="1"/>
    <xf numFmtId="164" fontId="6" fillId="3" borderId="4" xfId="1" applyNumberFormat="1" applyFont="1" applyFill="1" applyBorder="1"/>
    <xf numFmtId="165" fontId="6" fillId="3" borderId="3" xfId="1" applyNumberFormat="1" applyFont="1" applyFill="1" applyBorder="1"/>
    <xf numFmtId="164" fontId="3" fillId="5" borderId="4" xfId="1" applyNumberFormat="1" applyFont="1" applyFill="1" applyBorder="1"/>
    <xf numFmtId="164" fontId="3" fillId="3" borderId="4" xfId="1" applyNumberFormat="1" applyFont="1" applyFill="1" applyBorder="1"/>
    <xf numFmtId="0" fontId="3" fillId="3" borderId="13" xfId="0" applyFont="1" applyFill="1" applyBorder="1" applyAlignment="1">
      <alignment horizontal="left" indent="1"/>
    </xf>
    <xf numFmtId="0" fontId="6" fillId="3" borderId="12" xfId="0" applyFont="1" applyFill="1" applyBorder="1" applyAlignment="1">
      <alignment horizontal="left" indent="1"/>
    </xf>
    <xf numFmtId="165" fontId="6" fillId="3" borderId="2" xfId="1" applyNumberFormat="1" applyFont="1" applyFill="1" applyBorder="1"/>
    <xf numFmtId="165" fontId="6" fillId="3" borderId="1" xfId="1" applyNumberFormat="1" applyFont="1" applyFill="1" applyBorder="1"/>
    <xf numFmtId="167" fontId="6" fillId="3" borderId="2" xfId="1" applyNumberFormat="1" applyFont="1" applyFill="1" applyBorder="1"/>
    <xf numFmtId="0" fontId="3" fillId="3" borderId="4" xfId="1" applyNumberFormat="1" applyFont="1" applyFill="1" applyBorder="1"/>
    <xf numFmtId="0" fontId="55" fillId="3" borderId="13" xfId="0" applyFont="1" applyFill="1" applyBorder="1"/>
    <xf numFmtId="164" fontId="3" fillId="3" borderId="4" xfId="0" applyNumberFormat="1" applyFont="1" applyFill="1" applyBorder="1"/>
    <xf numFmtId="164" fontId="3" fillId="0" borderId="0" xfId="0" applyNumberFormat="1" applyFont="1"/>
    <xf numFmtId="167" fontId="3" fillId="3" borderId="4" xfId="0" applyNumberFormat="1" applyFont="1" applyFill="1" applyBorder="1"/>
    <xf numFmtId="166" fontId="3" fillId="0" borderId="3" xfId="1" applyNumberFormat="1" applyFont="1" applyFill="1" applyBorder="1"/>
    <xf numFmtId="0" fontId="3" fillId="0" borderId="13" xfId="0" applyFont="1" applyBorder="1" applyAlignment="1">
      <alignment horizontal="left" indent="1"/>
    </xf>
    <xf numFmtId="166" fontId="3" fillId="0" borderId="14" xfId="1" applyNumberFormat="1" applyFont="1" applyFill="1" applyBorder="1"/>
    <xf numFmtId="166" fontId="6" fillId="0" borderId="27" xfId="1" applyNumberFormat="1" applyFont="1" applyFill="1" applyBorder="1"/>
    <xf numFmtId="43" fontId="6" fillId="0" borderId="27" xfId="1" applyFont="1" applyFill="1" applyBorder="1"/>
    <xf numFmtId="165" fontId="6" fillId="0" borderId="28" xfId="1" applyNumberFormat="1" applyFont="1" applyBorder="1"/>
    <xf numFmtId="166" fontId="6" fillId="0" borderId="3" xfId="1" applyNumberFormat="1" applyFont="1" applyFill="1" applyBorder="1"/>
    <xf numFmtId="173" fontId="4" fillId="3" borderId="4" xfId="0" applyNumberFormat="1" applyFont="1" applyFill="1" applyBorder="1" applyAlignment="1">
      <alignment horizontal="center"/>
    </xf>
    <xf numFmtId="174" fontId="3" fillId="0" borderId="0" xfId="0" applyNumberFormat="1" applyFont="1"/>
    <xf numFmtId="166" fontId="3" fillId="0" borderId="0" xfId="0" applyNumberFormat="1" applyFont="1"/>
    <xf numFmtId="172" fontId="3" fillId="0" borderId="0" xfId="0" applyNumberFormat="1" applyFont="1"/>
    <xf numFmtId="17" fontId="9" fillId="0" borderId="0" xfId="0" applyNumberFormat="1" applyFont="1"/>
    <xf numFmtId="171" fontId="9" fillId="0" borderId="0" xfId="0" applyNumberFormat="1" applyFont="1"/>
    <xf numFmtId="43" fontId="0" fillId="0" borderId="0" xfId="0" applyNumberFormat="1"/>
    <xf numFmtId="4" fontId="8" fillId="0" borderId="0" xfId="0" applyNumberFormat="1" applyFont="1"/>
    <xf numFmtId="167" fontId="3" fillId="0" borderId="4" xfId="1" applyNumberFormat="1" applyFont="1" applyBorder="1"/>
    <xf numFmtId="167" fontId="5" fillId="5" borderId="3" xfId="1" applyNumberFormat="1" applyFont="1" applyFill="1" applyBorder="1"/>
    <xf numFmtId="167" fontId="5" fillId="5" borderId="4" xfId="1" applyNumberFormat="1" applyFont="1" applyFill="1" applyBorder="1"/>
    <xf numFmtId="167" fontId="3" fillId="0" borderId="3" xfId="2" applyNumberFormat="1" applyFont="1" applyBorder="1"/>
    <xf numFmtId="0" fontId="6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wrapText="1"/>
    </xf>
    <xf numFmtId="9" fontId="3" fillId="0" borderId="0" xfId="0" applyNumberFormat="1" applyFont="1" applyAlignment="1">
      <alignment horizontal="center" wrapText="1"/>
    </xf>
    <xf numFmtId="9" fontId="3" fillId="0" borderId="4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" fontId="0" fillId="0" borderId="8" xfId="0" applyNumberFormat="1" applyBorder="1" applyAlignment="1">
      <alignment wrapText="1"/>
    </xf>
    <xf numFmtId="1" fontId="0" fillId="0" borderId="7" xfId="0" applyNumberFormat="1" applyBorder="1" applyAlignment="1">
      <alignment wrapText="1"/>
    </xf>
    <xf numFmtId="172" fontId="3" fillId="0" borderId="4" xfId="0" applyNumberFormat="1" applyFont="1" applyBorder="1" applyAlignment="1">
      <alignment horizontal="center" wrapText="1"/>
    </xf>
    <xf numFmtId="172" fontId="0" fillId="0" borderId="8" xfId="0" applyNumberFormat="1" applyBorder="1" applyAlignment="1">
      <alignment wrapText="1"/>
    </xf>
    <xf numFmtId="172" fontId="0" fillId="0" borderId="7" xfId="0" applyNumberFormat="1" applyBorder="1" applyAlignment="1">
      <alignment wrapText="1"/>
    </xf>
    <xf numFmtId="17" fontId="3" fillId="0" borderId="3" xfId="0" applyNumberFormat="1" applyFont="1" applyBorder="1" applyAlignment="1">
      <alignment horizontal="center" wrapText="1"/>
    </xf>
    <xf numFmtId="17" fontId="3" fillId="0" borderId="5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9" fontId="0" fillId="0" borderId="8" xfId="0" applyNumberFormat="1" applyBorder="1" applyAlignment="1">
      <alignment wrapText="1"/>
    </xf>
    <xf numFmtId="9" fontId="0" fillId="0" borderId="7" xfId="0" applyNumberFormat="1" applyBorder="1" applyAlignment="1">
      <alignment wrapText="1"/>
    </xf>
    <xf numFmtId="9" fontId="3" fillId="0" borderId="0" xfId="2" applyFont="1"/>
    <xf numFmtId="165" fontId="33" fillId="0" borderId="0" xfId="1" applyNumberFormat="1" applyFont="1" applyBorder="1"/>
    <xf numFmtId="165" fontId="33" fillId="0" borderId="4" xfId="1" applyNumberFormat="1" applyFont="1" applyBorder="1"/>
    <xf numFmtId="17" fontId="4" fillId="2" borderId="6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7" fillId="0" borderId="0" xfId="0" applyFont="1"/>
    <xf numFmtId="0" fontId="57" fillId="0" borderId="8" xfId="0" applyFont="1" applyBorder="1"/>
    <xf numFmtId="17" fontId="3" fillId="0" borderId="3" xfId="0" applyNumberFormat="1" applyFont="1" applyBorder="1" applyAlignment="1">
      <alignment wrapText="1"/>
    </xf>
    <xf numFmtId="177" fontId="3" fillId="0" borderId="0" xfId="0" applyNumberFormat="1" applyFont="1"/>
    <xf numFmtId="17" fontId="2" fillId="4" borderId="2" xfId="0" applyNumberFormat="1" applyFont="1" applyFill="1" applyBorder="1" applyAlignment="1">
      <alignment horizontal="center"/>
    </xf>
    <xf numFmtId="9" fontId="58" fillId="3" borderId="4" xfId="2" applyFont="1" applyFill="1" applyBorder="1" applyAlignment="1">
      <alignment horizontal="center"/>
    </xf>
    <xf numFmtId="17" fontId="2" fillId="10" borderId="1" xfId="0" applyNumberFormat="1" applyFont="1" applyFill="1" applyBorder="1" applyAlignment="1">
      <alignment horizontal="center"/>
    </xf>
    <xf numFmtId="1" fontId="3" fillId="0" borderId="3" xfId="0" applyNumberFormat="1" applyFont="1" applyBorder="1"/>
    <xf numFmtId="2" fontId="3" fillId="0" borderId="3" xfId="0" applyNumberFormat="1" applyFont="1" applyBorder="1"/>
    <xf numFmtId="1" fontId="3" fillId="0" borderId="5" xfId="0" applyNumberFormat="1" applyFont="1" applyBorder="1"/>
    <xf numFmtId="2" fontId="3" fillId="0" borderId="5" xfId="0" applyNumberFormat="1" applyFont="1" applyBorder="1"/>
    <xf numFmtId="14" fontId="3" fillId="0" borderId="3" xfId="0" applyNumberFormat="1" applyFont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/>
    <xf numFmtId="14" fontId="3" fillId="0" borderId="0" xfId="0" applyNumberFormat="1" applyFont="1"/>
    <xf numFmtId="1" fontId="3" fillId="0" borderId="14" xfId="0" applyNumberFormat="1" applyFont="1" applyBorder="1"/>
    <xf numFmtId="2" fontId="6" fillId="0" borderId="13" xfId="0" applyNumberFormat="1" applyFont="1" applyBorder="1"/>
    <xf numFmtId="0" fontId="56" fillId="2" borderId="14" xfId="0" applyFont="1" applyFill="1" applyBorder="1" applyAlignment="1">
      <alignment horizontal="center" wrapText="1"/>
    </xf>
    <xf numFmtId="0" fontId="56" fillId="2" borderId="15" xfId="0" applyFont="1" applyFill="1" applyBorder="1" applyAlignment="1">
      <alignment horizontal="center" wrapText="1"/>
    </xf>
    <xf numFmtId="0" fontId="56" fillId="2" borderId="10" xfId="0" applyFont="1" applyFill="1" applyBorder="1" applyAlignment="1">
      <alignment horizontal="center" wrapText="1"/>
    </xf>
    <xf numFmtId="9" fontId="3" fillId="3" borderId="0" xfId="0" applyNumberFormat="1" applyFont="1" applyFill="1" applyAlignment="1">
      <alignment horizontal="center" wrapText="1"/>
    </xf>
    <xf numFmtId="9" fontId="3" fillId="42" borderId="8" xfId="0" applyNumberFormat="1" applyFont="1" applyFill="1" applyBorder="1" applyAlignment="1">
      <alignment horizontal="center" wrapText="1"/>
    </xf>
    <xf numFmtId="1" fontId="3" fillId="42" borderId="8" xfId="0" applyNumberFormat="1" applyFont="1" applyFill="1" applyBorder="1" applyAlignment="1">
      <alignment horizontal="center" wrapText="1"/>
    </xf>
    <xf numFmtId="172" fontId="3" fillId="42" borderId="8" xfId="0" applyNumberFormat="1" applyFont="1" applyFill="1" applyBorder="1" applyAlignment="1">
      <alignment horizontal="center" wrapText="1"/>
    </xf>
    <xf numFmtId="178" fontId="3" fillId="0" borderId="0" xfId="0" applyNumberFormat="1" applyFont="1"/>
    <xf numFmtId="174" fontId="3" fillId="0" borderId="4" xfId="1" applyNumberFormat="1" applyFont="1" applyBorder="1"/>
    <xf numFmtId="179" fontId="6" fillId="6" borderId="4" xfId="1" applyNumberFormat="1" applyFont="1" applyFill="1" applyBorder="1"/>
    <xf numFmtId="0" fontId="3" fillId="0" borderId="13" xfId="0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167" fontId="3" fillId="0" borderId="3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9" fontId="3" fillId="0" borderId="0" xfId="2" applyFont="1" applyAlignment="1">
      <alignment vertical="center"/>
    </xf>
    <xf numFmtId="0" fontId="3" fillId="0" borderId="0" xfId="0" applyFont="1" applyAlignment="1">
      <alignment vertical="center"/>
    </xf>
    <xf numFmtId="0" fontId="28" fillId="0" borderId="16" xfId="0" applyFont="1" applyBorder="1" applyAlignment="1">
      <alignment horizontal="right"/>
    </xf>
    <xf numFmtId="0" fontId="29" fillId="0" borderId="16" xfId="0" applyFont="1" applyBorder="1" applyAlignment="1">
      <alignment horizontal="right"/>
    </xf>
    <xf numFmtId="0" fontId="59" fillId="8" borderId="16" xfId="0" applyFont="1" applyFill="1" applyBorder="1" applyAlignment="1">
      <alignment horizontal="left"/>
    </xf>
    <xf numFmtId="0" fontId="28" fillId="0" borderId="0" xfId="0" applyFont="1" applyAlignment="1">
      <alignment horizontal="right"/>
    </xf>
    <xf numFmtId="174" fontId="3" fillId="0" borderId="3" xfId="1" applyNumberFormat="1" applyFont="1" applyBorder="1"/>
    <xf numFmtId="174" fontId="6" fillId="6" borderId="3" xfId="1" applyNumberFormat="1" applyFont="1" applyFill="1" applyBorder="1"/>
    <xf numFmtId="174" fontId="6" fillId="6" borderId="4" xfId="1" applyNumberFormat="1" applyFont="1" applyFill="1" applyBorder="1"/>
    <xf numFmtId="0" fontId="6" fillId="6" borderId="12" xfId="0" applyFont="1" applyFill="1" applyBorder="1"/>
    <xf numFmtId="180" fontId="6" fillId="6" borderId="2" xfId="1" applyNumberFormat="1" applyFont="1" applyFill="1" applyBorder="1"/>
    <xf numFmtId="175" fontId="3" fillId="0" borderId="3" xfId="0" applyNumberFormat="1" applyFont="1" applyBorder="1"/>
    <xf numFmtId="0" fontId="0" fillId="3" borderId="0" xfId="0" applyFill="1"/>
    <xf numFmtId="173" fontId="9" fillId="3" borderId="0" xfId="0" applyNumberFormat="1" applyFont="1" applyFill="1"/>
    <xf numFmtId="17" fontId="3" fillId="3" borderId="3" xfId="0" applyNumberFormat="1" applyFont="1" applyFill="1" applyBorder="1" applyAlignment="1">
      <alignment horizontal="left"/>
    </xf>
    <xf numFmtId="17" fontId="3" fillId="3" borderId="4" xfId="0" applyNumberFormat="1" applyFont="1" applyFill="1" applyBorder="1" applyAlignment="1">
      <alignment horizontal="center"/>
    </xf>
    <xf numFmtId="175" fontId="3" fillId="3" borderId="4" xfId="2" applyNumberFormat="1" applyFont="1" applyFill="1" applyBorder="1" applyAlignment="1">
      <alignment horizontal="right"/>
    </xf>
    <xf numFmtId="173" fontId="3" fillId="3" borderId="0" xfId="0" applyNumberFormat="1" applyFont="1" applyFill="1"/>
    <xf numFmtId="43" fontId="3" fillId="3" borderId="4" xfId="1" applyFont="1" applyFill="1" applyBorder="1"/>
    <xf numFmtId="9" fontId="5" fillId="5" borderId="4" xfId="2" applyFont="1" applyFill="1" applyBorder="1" applyAlignment="1">
      <alignment horizontal="right"/>
    </xf>
    <xf numFmtId="0" fontId="3" fillId="0" borderId="3" xfId="0" applyFont="1" applyBorder="1" applyAlignment="1">
      <alignment wrapText="1"/>
    </xf>
    <xf numFmtId="172" fontId="3" fillId="43" borderId="3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right" wrapText="1"/>
    </xf>
    <xf numFmtId="10" fontId="0" fillId="0" borderId="0" xfId="0" applyNumberFormat="1"/>
    <xf numFmtId="10" fontId="3" fillId="0" borderId="0" xfId="0" applyNumberFormat="1" applyFont="1"/>
    <xf numFmtId="0" fontId="5" fillId="44" borderId="3" xfId="0" applyFont="1" applyFill="1" applyBorder="1" applyAlignment="1">
      <alignment wrapText="1"/>
    </xf>
    <xf numFmtId="172" fontId="5" fillId="44" borderId="3" xfId="0" applyNumberFormat="1" applyFont="1" applyFill="1" applyBorder="1" applyAlignment="1">
      <alignment horizontal="right" wrapText="1"/>
    </xf>
    <xf numFmtId="17" fontId="60" fillId="3" borderId="3" xfId="0" applyNumberFormat="1" applyFont="1" applyFill="1" applyBorder="1" applyAlignment="1">
      <alignment horizontal="left"/>
    </xf>
    <xf numFmtId="0" fontId="62" fillId="0" borderId="12" xfId="0" applyFont="1" applyBorder="1"/>
    <xf numFmtId="0" fontId="62" fillId="0" borderId="2" xfId="0" applyFont="1" applyBorder="1"/>
    <xf numFmtId="0" fontId="62" fillId="0" borderId="1" xfId="0" applyFont="1" applyBorder="1"/>
    <xf numFmtId="0" fontId="63" fillId="0" borderId="13" xfId="0" applyFont="1" applyBorder="1"/>
    <xf numFmtId="165" fontId="63" fillId="0" borderId="3" xfId="1" applyNumberFormat="1" applyFont="1" applyBorder="1"/>
    <xf numFmtId="0" fontId="63" fillId="0" borderId="11" xfId="0" applyFont="1" applyBorder="1"/>
    <xf numFmtId="0" fontId="62" fillId="0" borderId="11" xfId="0" applyFont="1" applyBorder="1"/>
    <xf numFmtId="165" fontId="62" fillId="0" borderId="5" xfId="1" applyNumberFormat="1" applyFont="1" applyBorder="1"/>
    <xf numFmtId="0" fontId="7" fillId="0" borderId="1" xfId="0" applyFont="1" applyBorder="1"/>
    <xf numFmtId="0" fontId="8" fillId="0" borderId="1" xfId="0" applyFont="1" applyBorder="1"/>
    <xf numFmtId="43" fontId="8" fillId="0" borderId="1" xfId="1" applyFont="1" applyBorder="1"/>
    <xf numFmtId="0" fontId="8" fillId="0" borderId="13" xfId="0" applyFont="1" applyBorder="1"/>
    <xf numFmtId="43" fontId="8" fillId="0" borderId="4" xfId="1" applyFont="1" applyBorder="1"/>
    <xf numFmtId="0" fontId="8" fillId="0" borderId="11" xfId="0" applyFont="1" applyBorder="1"/>
    <xf numFmtId="43" fontId="7" fillId="0" borderId="7" xfId="1" applyFont="1" applyBorder="1"/>
    <xf numFmtId="43" fontId="8" fillId="0" borderId="7" xfId="1" applyFont="1" applyBorder="1"/>
    <xf numFmtId="43" fontId="8" fillId="0" borderId="3" xfId="1" applyFont="1" applyBorder="1"/>
    <xf numFmtId="43" fontId="8" fillId="0" borderId="5" xfId="1" applyFont="1" applyBorder="1"/>
    <xf numFmtId="43" fontId="7" fillId="0" borderId="5" xfId="1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8" fillId="8" borderId="1" xfId="0" applyFont="1" applyFill="1" applyBorder="1" applyAlignment="1">
      <alignment horizontal="left"/>
    </xf>
    <xf numFmtId="165" fontId="8" fillId="0" borderId="1" xfId="1" applyNumberFormat="1" applyFont="1" applyBorder="1"/>
    <xf numFmtId="0" fontId="61" fillId="8" borderId="1" xfId="0" applyFont="1" applyFill="1" applyBorder="1" applyAlignment="1">
      <alignment horizontal="left"/>
    </xf>
    <xf numFmtId="43" fontId="8" fillId="0" borderId="1" xfId="0" applyNumberFormat="1" applyFont="1" applyBorder="1"/>
    <xf numFmtId="0" fontId="3" fillId="0" borderId="1" xfId="0" applyFont="1" applyBorder="1"/>
    <xf numFmtId="0" fontId="7" fillId="45" borderId="12" xfId="0" applyFont="1" applyFill="1" applyBorder="1"/>
    <xf numFmtId="0" fontId="7" fillId="45" borderId="1" xfId="0" applyFont="1" applyFill="1" applyBorder="1"/>
    <xf numFmtId="0" fontId="7" fillId="45" borderId="2" xfId="0" applyFont="1" applyFill="1" applyBorder="1"/>
    <xf numFmtId="0" fontId="62" fillId="0" borderId="0" xfId="0" applyFont="1"/>
    <xf numFmtId="0" fontId="63" fillId="0" borderId="1" xfId="0" applyFont="1" applyBorder="1"/>
    <xf numFmtId="0" fontId="63" fillId="0" borderId="0" xfId="0" applyFont="1"/>
    <xf numFmtId="165" fontId="63" fillId="0" borderId="3" xfId="0" applyNumberFormat="1" applyFont="1" applyBorder="1"/>
    <xf numFmtId="0" fontId="63" fillId="0" borderId="3" xfId="0" applyFont="1" applyBorder="1"/>
    <xf numFmtId="165" fontId="63" fillId="0" borderId="5" xfId="0" applyNumberFormat="1" applyFont="1" applyBorder="1"/>
    <xf numFmtId="165" fontId="62" fillId="0" borderId="5" xfId="0" applyNumberFormat="1" applyFont="1" applyBorder="1"/>
    <xf numFmtId="165" fontId="63" fillId="0" borderId="11" xfId="1" applyNumberFormat="1" applyFont="1" applyBorder="1"/>
    <xf numFmtId="0" fontId="63" fillId="0" borderId="5" xfId="0" applyFont="1" applyBorder="1"/>
    <xf numFmtId="0" fontId="21" fillId="7" borderId="16" xfId="0" applyFont="1" applyFill="1" applyBorder="1"/>
    <xf numFmtId="0" fontId="21" fillId="8" borderId="16" xfId="0" applyFont="1" applyFill="1" applyBorder="1" applyAlignment="1">
      <alignment horizontal="right"/>
    </xf>
    <xf numFmtId="0" fontId="23" fillId="7" borderId="16" xfId="0" applyFont="1" applyFill="1" applyBorder="1" applyAlignment="1">
      <alignment horizontal="right"/>
    </xf>
    <xf numFmtId="9" fontId="3" fillId="42" borderId="0" xfId="0" applyNumberFormat="1" applyFont="1" applyFill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172" fontId="3" fillId="0" borderId="0" xfId="0" applyNumberFormat="1" applyFont="1" applyAlignment="1">
      <alignment horizontal="center" wrapText="1"/>
    </xf>
    <xf numFmtId="9" fontId="3" fillId="3" borderId="4" xfId="0" applyNumberFormat="1" applyFont="1" applyFill="1" applyBorder="1" applyAlignment="1">
      <alignment horizontal="center" wrapText="1"/>
    </xf>
    <xf numFmtId="9" fontId="8" fillId="0" borderId="0" xfId="0" applyNumberFormat="1" applyFont="1" applyAlignment="1">
      <alignment wrapText="1"/>
    </xf>
    <xf numFmtId="9" fontId="8" fillId="0" borderId="4" xfId="0" applyNumberFormat="1" applyFont="1" applyBorder="1" applyAlignment="1">
      <alignment wrapText="1"/>
    </xf>
    <xf numFmtId="1" fontId="3" fillId="3" borderId="0" xfId="0" applyNumberFormat="1" applyFont="1" applyFill="1" applyAlignment="1">
      <alignment horizontal="center" wrapText="1"/>
    </xf>
    <xf numFmtId="1" fontId="3" fillId="3" borderId="4" xfId="0" applyNumberFormat="1" applyFont="1" applyFill="1" applyBorder="1" applyAlignment="1">
      <alignment horizontal="center" wrapText="1"/>
    </xf>
    <xf numFmtId="172" fontId="3" fillId="3" borderId="0" xfId="0" applyNumberFormat="1" applyFont="1" applyFill="1" applyAlignment="1">
      <alignment horizontal="center" wrapText="1"/>
    </xf>
    <xf numFmtId="172" fontId="3" fillId="3" borderId="4" xfId="0" applyNumberFormat="1" applyFont="1" applyFill="1" applyBorder="1" applyAlignment="1">
      <alignment horizontal="center" wrapText="1"/>
    </xf>
    <xf numFmtId="43" fontId="57" fillId="0" borderId="30" xfId="1" applyFont="1" applyBorder="1"/>
    <xf numFmtId="175" fontId="3" fillId="0" borderId="4" xfId="2" applyNumberFormat="1" applyFont="1" applyFill="1" applyBorder="1"/>
    <xf numFmtId="3" fontId="57" fillId="0" borderId="29" xfId="0" applyNumberFormat="1" applyFont="1" applyBorder="1"/>
    <xf numFmtId="0" fontId="5" fillId="3" borderId="3" xfId="0" applyFont="1" applyFill="1" applyBorder="1" applyAlignment="1">
      <alignment horizontal="left" indent="1"/>
    </xf>
    <xf numFmtId="165" fontId="3" fillId="3" borderId="0" xfId="0" applyNumberFormat="1" applyFont="1" applyFill="1"/>
    <xf numFmtId="43" fontId="5" fillId="5" borderId="3" xfId="0" applyNumberFormat="1" applyFont="1" applyFill="1" applyBorder="1" applyAlignment="1">
      <alignment horizontal="left" indent="1"/>
    </xf>
    <xf numFmtId="43" fontId="64" fillId="46" borderId="30" xfId="1" applyFont="1" applyFill="1" applyBorder="1"/>
    <xf numFmtId="43" fontId="9" fillId="0" borderId="0" xfId="0" applyNumberFormat="1" applyFont="1"/>
    <xf numFmtId="166" fontId="6" fillId="6" borderId="2" xfId="1" applyNumberFormat="1" applyFont="1" applyFill="1" applyBorder="1"/>
    <xf numFmtId="9" fontId="5" fillId="3" borderId="4" xfId="2" applyFont="1" applyFill="1" applyBorder="1"/>
    <xf numFmtId="17" fontId="2" fillId="47" borderId="2" xfId="0" applyNumberFormat="1" applyFont="1" applyFill="1" applyBorder="1" applyAlignment="1">
      <alignment horizontal="center"/>
    </xf>
    <xf numFmtId="164" fontId="3" fillId="0" borderId="3" xfId="0" applyNumberFormat="1" applyFont="1" applyBorder="1"/>
    <xf numFmtId="10" fontId="5" fillId="0" borderId="3" xfId="2" applyNumberFormat="1" applyFont="1" applyBorder="1"/>
    <xf numFmtId="9" fontId="9" fillId="0" borderId="4" xfId="2" applyFont="1" applyFill="1" applyBorder="1"/>
    <xf numFmtId="0" fontId="18" fillId="0" borderId="0" xfId="3"/>
    <xf numFmtId="0" fontId="21" fillId="9" borderId="16" xfId="3" applyFont="1" applyFill="1" applyBorder="1" applyAlignment="1">
      <alignment vertical="center"/>
    </xf>
    <xf numFmtId="0" fontId="21" fillId="9" borderId="0" xfId="3" applyFont="1" applyFill="1" applyAlignment="1">
      <alignment vertical="center"/>
    </xf>
    <xf numFmtId="165" fontId="63" fillId="0" borderId="5" xfId="1" applyNumberFormat="1" applyFont="1" applyBorder="1"/>
    <xf numFmtId="0" fontId="66" fillId="7" borderId="16" xfId="0" applyFont="1" applyFill="1" applyBorder="1"/>
    <xf numFmtId="0" fontId="66" fillId="8" borderId="16" xfId="0" applyFont="1" applyFill="1" applyBorder="1" applyAlignment="1">
      <alignment horizontal="left"/>
    </xf>
    <xf numFmtId="0" fontId="66" fillId="8" borderId="16" xfId="0" applyFont="1" applyFill="1" applyBorder="1" applyAlignment="1">
      <alignment horizontal="right"/>
    </xf>
    <xf numFmtId="0" fontId="67" fillId="7" borderId="16" xfId="0" applyFont="1" applyFill="1" applyBorder="1" applyAlignment="1">
      <alignment horizontal="left"/>
    </xf>
    <xf numFmtId="0" fontId="67" fillId="7" borderId="16" xfId="0" applyFont="1" applyFill="1" applyBorder="1" applyAlignment="1">
      <alignment horizontal="right"/>
    </xf>
    <xf numFmtId="0" fontId="66" fillId="8" borderId="0" xfId="0" applyFont="1" applyFill="1" applyAlignment="1">
      <alignment horizontal="left"/>
    </xf>
    <xf numFmtId="181" fontId="3" fillId="0" borderId="0" xfId="0" applyNumberFormat="1" applyFont="1"/>
    <xf numFmtId="3" fontId="3" fillId="0" borderId="0" xfId="0" applyNumberFormat="1" applyFont="1"/>
    <xf numFmtId="167" fontId="3" fillId="0" borderId="0" xfId="0" applyNumberFormat="1" applyFont="1" applyAlignment="1">
      <alignment vertical="center"/>
    </xf>
    <xf numFmtId="166" fontId="6" fillId="0" borderId="28" xfId="1" applyNumberFormat="1" applyFont="1" applyBorder="1"/>
    <xf numFmtId="9" fontId="3" fillId="0" borderId="0" xfId="2" applyFont="1" applyFill="1" applyBorder="1"/>
    <xf numFmtId="182" fontId="0" fillId="0" borderId="0" xfId="0" applyNumberFormat="1"/>
    <xf numFmtId="165" fontId="3" fillId="3" borderId="0" xfId="2" applyNumberFormat="1" applyFont="1" applyFill="1" applyBorder="1"/>
    <xf numFmtId="172" fontId="0" fillId="0" borderId="0" xfId="0" applyNumberFormat="1" applyAlignment="1">
      <alignment wrapText="1"/>
    </xf>
    <xf numFmtId="17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top" wrapText="1"/>
    </xf>
    <xf numFmtId="49" fontId="14" fillId="0" borderId="13" xfId="0" applyNumberFormat="1" applyFont="1" applyBorder="1" applyAlignment="1">
      <alignment horizontal="center" vertical="top" wrapText="1"/>
    </xf>
    <xf numFmtId="49" fontId="14" fillId="0" borderId="0" xfId="0" applyNumberFormat="1" applyFont="1" applyAlignment="1">
      <alignment horizontal="center" vertical="top" wrapText="1"/>
    </xf>
    <xf numFmtId="49" fontId="13" fillId="0" borderId="9" xfId="0" applyNumberFormat="1" applyFont="1" applyBorder="1" applyAlignment="1">
      <alignment horizontal="center" vertical="top"/>
    </xf>
    <xf numFmtId="49" fontId="13" fillId="0" borderId="15" xfId="0" applyNumberFormat="1" applyFont="1" applyBorder="1" applyAlignment="1">
      <alignment horizontal="center" vertical="top"/>
    </xf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12" fillId="0" borderId="8" xfId="0" applyNumberFormat="1" applyFont="1" applyBorder="1" applyAlignment="1">
      <alignment vertical="top"/>
    </xf>
    <xf numFmtId="49" fontId="11" fillId="0" borderId="15" xfId="0" applyNumberFormat="1" applyFont="1" applyBorder="1" applyAlignment="1">
      <alignment vertical="top"/>
    </xf>
    <xf numFmtId="49" fontId="13" fillId="0" borderId="9" xfId="0" applyNumberFormat="1" applyFont="1" applyBorder="1" applyAlignment="1">
      <alignment horizontal="center" vertical="top" wrapText="1"/>
    </xf>
    <xf numFmtId="49" fontId="13" fillId="0" borderId="15" xfId="0" applyNumberFormat="1" applyFont="1" applyBorder="1" applyAlignment="1">
      <alignment horizontal="center" vertical="top" wrapText="1"/>
    </xf>
  </cellXfs>
  <cellStyles count="54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" xr:uid="{00000000-0005-0000-0000-000001000000}"/>
    <cellStyle name="Comma 2 2" xfId="49" xr:uid="{CE117F8B-5001-4F86-8CB8-C95AED67A0D7}"/>
    <cellStyle name="Comma 3" xfId="46" xr:uid="{8468C896-61D2-4AFF-A4C0-3FE57B340946}"/>
    <cellStyle name="Comma 3 2" xfId="50" xr:uid="{9D7E3DCA-B156-43BF-8795-32EEB06CD840}"/>
    <cellStyle name="Comma 4" xfId="47" xr:uid="{D6EC5D29-0B4E-4E6C-8CE0-4A9B8399B4C5}"/>
    <cellStyle name="Comma 4 2" xfId="51" xr:uid="{3FD9EEA0-828A-4650-8B91-215542B66B36}"/>
    <cellStyle name="Comma 5" xfId="48" xr:uid="{979916F0-1186-4CA8-8EB6-CE8C3F5570DA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3" xr:uid="{00000000-0005-0000-0000-000003000000}"/>
    <cellStyle name="Normal 3" xfId="52" xr:uid="{192255D8-1328-4CDC-9BDA-8C6CB9AA303B}"/>
    <cellStyle name="Note" xfId="19" builtinId="10" customBuiltin="1"/>
    <cellStyle name="Output" xfId="14" builtinId="21" customBuiltin="1"/>
    <cellStyle name="Percent" xfId="2" builtinId="5"/>
    <cellStyle name="Percent 2" xfId="53" xr:uid="{919623C6-3A13-4470-9BB6-1C3DF13278EA}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F70F7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nabbit%20QOP%20-%20OND%20-%20Draft%20v2%20(1).xlsx" TargetMode="External"/><Relationship Id="rId1" Type="http://schemas.openxmlformats.org/officeDocument/2006/relationships/externalLinkPath" Target="/Users/saran/Downloads/Snabbit%20QOP%20-%20OND%20-%20Draft%20v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"/>
      <sheetName val="Cohorts - Supply"/>
      <sheetName val="Plan ----&gt;"/>
      <sheetName val="Key Metrics"/>
      <sheetName val="MIS P&amp;L"/>
      <sheetName val="TB 0625"/>
      <sheetName val="Raw June"/>
      <sheetName val="Unit Economics"/>
      <sheetName val="Cash Flow "/>
      <sheetName val="Manpower - UE"/>
      <sheetName val="Manpower - HO"/>
      <sheetName val="Capex"/>
      <sheetName val="TB 0825"/>
      <sheetName val="Raw Aug"/>
      <sheetName val="Raw July"/>
      <sheetName val="TB 0725"/>
      <sheetName val="Manpower Master"/>
      <sheetName val="Manpower Schedule"/>
      <sheetName val="Employee Cost"/>
      <sheetName val="Employee Master"/>
      <sheetName val="Employee Cost Data"/>
      <sheetName val="Cohorts-Bangalore"/>
      <sheetName val="BS"/>
      <sheetName val="Input Sheet for Projection"/>
      <sheetName val="Cohorts Estimation"/>
      <sheetName val="Zoho P&amp;L"/>
      <sheetName val="Raw"/>
      <sheetName val="Raw TB"/>
      <sheetName val="TB March 24"/>
      <sheetName val="Trial Balance"/>
      <sheetName val="TB 0424"/>
      <sheetName val="TB 0524"/>
      <sheetName val="TB 0624"/>
      <sheetName val="TB 0724"/>
      <sheetName val="TB 0824"/>
      <sheetName val="TB 0924"/>
      <sheetName val="TB 1024"/>
      <sheetName val="TB 1124"/>
      <sheetName val="TB 1224"/>
      <sheetName val="Raw Dec"/>
      <sheetName val="TB 0125"/>
      <sheetName val="Raw Jan"/>
      <sheetName val="Raw Feb"/>
      <sheetName val="TB 0225"/>
      <sheetName val="Other Expenses"/>
      <sheetName val="TB 0425"/>
      <sheetName val="TB 0525"/>
      <sheetName val="Raw April"/>
      <sheetName val="Raw May"/>
      <sheetName val="TB 0325"/>
      <sheetName val="Raw March"/>
    </sheetNames>
    <sheetDataSet>
      <sheetData sheetId="0" refreshError="1"/>
      <sheetData sheetId="1" refreshError="1"/>
      <sheetData sheetId="2" refreshError="1"/>
      <sheetData sheetId="3">
        <row r="8">
          <cell r="T8">
            <v>35</v>
          </cell>
          <cell r="U8">
            <v>50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86BF-A10E-4CFA-A3F6-BC2D73F86399}">
  <dimension ref="B2:S45"/>
  <sheetViews>
    <sheetView showGridLines="0" topLeftCell="G1" zoomScale="80" zoomScaleNormal="80" workbookViewId="0">
      <selection activeCell="Q5" sqref="Q5"/>
    </sheetView>
  </sheetViews>
  <sheetFormatPr defaultColWidth="8.81640625" defaultRowHeight="13" x14ac:dyDescent="0.3"/>
  <cols>
    <col min="1" max="1" width="2.453125" style="2" customWidth="1"/>
    <col min="2" max="3" width="10.1796875" style="2" bestFit="1" customWidth="1"/>
    <col min="4" max="4" width="8.6328125" style="2" bestFit="1" customWidth="1"/>
    <col min="5" max="5" width="4.81640625" style="2" bestFit="1" customWidth="1"/>
    <col min="6" max="6" width="10.08984375" style="2" bestFit="1" customWidth="1"/>
    <col min="7" max="7" width="10.1796875" style="2" bestFit="1" customWidth="1"/>
    <col min="8" max="8" width="7.08984375" style="2" bestFit="1" customWidth="1"/>
    <col min="9" max="9" width="14.81640625" style="2" bestFit="1" customWidth="1"/>
    <col min="10" max="10" width="13.1796875" style="2" customWidth="1"/>
    <col min="11" max="19" width="11.08984375" style="2" customWidth="1"/>
    <col min="20" max="16384" width="8.81640625" style="2"/>
  </cols>
  <sheetData>
    <row r="2" spans="2:19" x14ac:dyDescent="0.3">
      <c r="B2" s="53" t="s">
        <v>1457</v>
      </c>
      <c r="C2" s="53" t="s">
        <v>1460</v>
      </c>
      <c r="D2" s="53" t="s">
        <v>1459</v>
      </c>
      <c r="J2" s="184" t="s">
        <v>0</v>
      </c>
      <c r="K2" s="52">
        <v>45748</v>
      </c>
      <c r="L2" s="52">
        <v>45778</v>
      </c>
      <c r="M2" s="52">
        <v>45809</v>
      </c>
      <c r="N2" s="52">
        <v>45839</v>
      </c>
      <c r="O2" s="52">
        <v>45870</v>
      </c>
      <c r="P2" s="52">
        <v>45901</v>
      </c>
      <c r="Q2" s="426">
        <v>45931</v>
      </c>
      <c r="R2" s="220">
        <v>45962</v>
      </c>
      <c r="S2" s="220">
        <f>EOMONTH(R2,1)</f>
        <v>46022</v>
      </c>
    </row>
    <row r="3" spans="2:19" x14ac:dyDescent="0.3">
      <c r="B3" s="8" t="s">
        <v>1454</v>
      </c>
      <c r="C3" s="429">
        <v>2606.6666666666665</v>
      </c>
      <c r="D3" s="430">
        <f>C3/C$3</f>
        <v>1</v>
      </c>
      <c r="J3" s="2" t="s">
        <v>1</v>
      </c>
    </row>
    <row r="4" spans="2:19" x14ac:dyDescent="0.3">
      <c r="B4" s="8" t="s">
        <v>1455</v>
      </c>
      <c r="C4" s="429">
        <v>2470</v>
      </c>
      <c r="D4" s="430">
        <f t="shared" ref="D4:D9" si="0">C4/C$3</f>
        <v>0.94757033248081846</v>
      </c>
    </row>
    <row r="5" spans="2:19" x14ac:dyDescent="0.3">
      <c r="B5" s="8" t="s">
        <v>1449</v>
      </c>
      <c r="C5" s="429">
        <v>2567</v>
      </c>
      <c r="D5" s="430">
        <f t="shared" si="0"/>
        <v>0.98478260869565226</v>
      </c>
      <c r="J5" s="2" t="s">
        <v>1464</v>
      </c>
      <c r="K5" s="417" t="e">
        <f>'Key Metrics'!F13/'Key Metrics'!#REF!</f>
        <v>#REF!</v>
      </c>
      <c r="L5" s="417">
        <f>'Key Metrics'!G13/'Key Metrics'!F11</f>
        <v>0.67018616282300636</v>
      </c>
      <c r="M5" s="417">
        <f>'Key Metrics'!H13/'Key Metrics'!G11</f>
        <v>0.60309137954514502</v>
      </c>
      <c r="N5" s="417">
        <f>'Key Metrics'!I13/'Key Metrics'!H11</f>
        <v>0.60378780740601146</v>
      </c>
      <c r="O5" s="417">
        <f>'Key Metrics'!J13/'Key Metrics'!I11</f>
        <v>0.61962327804329487</v>
      </c>
      <c r="P5" s="417">
        <f>'Key Metrics'!K13/'Key Metrics'!J11</f>
        <v>0.56835912520782705</v>
      </c>
      <c r="Q5" s="417">
        <f>'Key Metrics'!L13/'Key Metrics'!K11</f>
        <v>0.60449723908409891</v>
      </c>
      <c r="R5" s="188">
        <v>0.56999999999999995</v>
      </c>
      <c r="S5" s="188">
        <v>0.6</v>
      </c>
    </row>
    <row r="6" spans="2:19" x14ac:dyDescent="0.3">
      <c r="B6" s="8" t="s">
        <v>1450</v>
      </c>
      <c r="C6" s="429">
        <v>2624</v>
      </c>
      <c r="D6" s="430">
        <f t="shared" si="0"/>
        <v>1.0066496163682865</v>
      </c>
    </row>
    <row r="7" spans="2:19" x14ac:dyDescent="0.3">
      <c r="B7" s="8" t="s">
        <v>1451</v>
      </c>
      <c r="C7" s="429">
        <v>2722.6666666666665</v>
      </c>
      <c r="D7" s="430">
        <f t="shared" si="0"/>
        <v>1.0445012787723784</v>
      </c>
    </row>
    <row r="8" spans="2:19" x14ac:dyDescent="0.3">
      <c r="B8" s="8" t="s">
        <v>1452</v>
      </c>
      <c r="C8" s="429">
        <v>3350.3333333333335</v>
      </c>
      <c r="D8" s="430">
        <f t="shared" si="0"/>
        <v>1.2852941176470589</v>
      </c>
    </row>
    <row r="9" spans="2:19" x14ac:dyDescent="0.3">
      <c r="B9" s="20" t="s">
        <v>1453</v>
      </c>
      <c r="C9" s="431">
        <v>3772.3333333333335</v>
      </c>
      <c r="D9" s="432">
        <f t="shared" si="0"/>
        <v>1.4471867007672636</v>
      </c>
    </row>
    <row r="11" spans="2:19" x14ac:dyDescent="0.3">
      <c r="B11" s="2" t="s">
        <v>1462</v>
      </c>
      <c r="F11" s="2" t="s">
        <v>1463</v>
      </c>
      <c r="H11" s="188">
        <v>0.2</v>
      </c>
    </row>
    <row r="12" spans="2:19" x14ac:dyDescent="0.3">
      <c r="B12" s="53" t="s">
        <v>1456</v>
      </c>
      <c r="C12" s="53" t="s">
        <v>1457</v>
      </c>
      <c r="D12" s="53" t="s">
        <v>1458</v>
      </c>
      <c r="F12" s="53" t="s">
        <v>1456</v>
      </c>
      <c r="G12" s="53" t="s">
        <v>1457</v>
      </c>
      <c r="H12" s="53" t="s">
        <v>1458</v>
      </c>
    </row>
    <row r="13" spans="2:19" x14ac:dyDescent="0.3">
      <c r="B13" s="433">
        <v>45962</v>
      </c>
      <c r="C13" s="8" t="s">
        <v>1452</v>
      </c>
      <c r="D13" s="222">
        <v>2978</v>
      </c>
      <c r="F13" s="433">
        <v>45992</v>
      </c>
      <c r="G13" s="8" t="str">
        <f t="shared" ref="G13:G43" si="1">TEXT(F13, "dddd")</f>
        <v>Monday</v>
      </c>
      <c r="H13" s="21">
        <f>D15*(1+H11)</f>
        <v>2688</v>
      </c>
    </row>
    <row r="14" spans="2:19" x14ac:dyDescent="0.3">
      <c r="B14" s="433">
        <f>B13+1</f>
        <v>45963</v>
      </c>
      <c r="C14" s="8" t="s">
        <v>1453</v>
      </c>
      <c r="D14" s="222">
        <v>3547</v>
      </c>
      <c r="F14" s="433">
        <f>F13+1</f>
        <v>45993</v>
      </c>
      <c r="G14" s="8" t="str">
        <f t="shared" si="1"/>
        <v>Tuesday</v>
      </c>
      <c r="H14" s="21">
        <f t="shared" ref="H14:H19" si="2">H13*$D4</f>
        <v>2547.0690537084402</v>
      </c>
    </row>
    <row r="15" spans="2:19" x14ac:dyDescent="0.3">
      <c r="B15" s="433">
        <f>B14+1</f>
        <v>45964</v>
      </c>
      <c r="C15" s="8" t="s">
        <v>1454</v>
      </c>
      <c r="D15" s="222">
        <v>2240</v>
      </c>
      <c r="F15" s="433">
        <f>F14+1</f>
        <v>45994</v>
      </c>
      <c r="G15" s="8" t="str">
        <f t="shared" si="1"/>
        <v>Wednesday</v>
      </c>
      <c r="H15" s="21">
        <f t="shared" si="2"/>
        <v>2508.3093072389643</v>
      </c>
    </row>
    <row r="16" spans="2:19" x14ac:dyDescent="0.3">
      <c r="B16" s="433">
        <f>B15+1</f>
        <v>45965</v>
      </c>
      <c r="C16" s="8" t="s">
        <v>1455</v>
      </c>
      <c r="D16" s="222">
        <v>2072</v>
      </c>
      <c r="F16" s="433">
        <f>F15+1</f>
        <v>45995</v>
      </c>
      <c r="G16" s="8" t="str">
        <f t="shared" si="1"/>
        <v>Thursday</v>
      </c>
      <c r="H16" s="21">
        <f t="shared" si="2"/>
        <v>2524.9886018651059</v>
      </c>
    </row>
    <row r="17" spans="2:8" x14ac:dyDescent="0.3">
      <c r="B17" s="433">
        <f t="shared" ref="B17:B42" si="3">B16+1</f>
        <v>45966</v>
      </c>
      <c r="C17" s="8" t="str">
        <f>TEXT(B17, "dddd")</f>
        <v>Wednesday</v>
      </c>
      <c r="D17" s="21">
        <f>ROUND($D$15*D5,0)</f>
        <v>2206</v>
      </c>
      <c r="F17" s="433">
        <f t="shared" ref="F17:F43" si="4">F16+1</f>
        <v>45996</v>
      </c>
      <c r="G17" s="8" t="str">
        <f t="shared" si="1"/>
        <v>Friday</v>
      </c>
      <c r="H17" s="21">
        <f t="shared" si="2"/>
        <v>2637.3538235337828</v>
      </c>
    </row>
    <row r="18" spans="2:8" x14ac:dyDescent="0.3">
      <c r="B18" s="433">
        <f t="shared" si="3"/>
        <v>45967</v>
      </c>
      <c r="C18" s="8" t="str">
        <f t="shared" ref="C18:C42" si="5">TEXT(B18, "dddd")</f>
        <v>Thursday</v>
      </c>
      <c r="D18" s="21">
        <f>ROUND($D$15*D6,0)</f>
        <v>2255</v>
      </c>
      <c r="F18" s="433">
        <f t="shared" si="4"/>
        <v>45997</v>
      </c>
      <c r="G18" s="8" t="str">
        <f t="shared" si="1"/>
        <v>Saturday</v>
      </c>
      <c r="H18" s="21">
        <f t="shared" si="2"/>
        <v>3389.7753555419504</v>
      </c>
    </row>
    <row r="19" spans="2:8" x14ac:dyDescent="0.3">
      <c r="B19" s="433">
        <f t="shared" si="3"/>
        <v>45968</v>
      </c>
      <c r="C19" s="8" t="str">
        <f t="shared" si="5"/>
        <v>Friday</v>
      </c>
      <c r="D19" s="21">
        <f>ROUND($D$15*D7,0)</f>
        <v>2340</v>
      </c>
      <c r="F19" s="433">
        <f t="shared" si="4"/>
        <v>45998</v>
      </c>
      <c r="G19" s="8" t="str">
        <f t="shared" si="1"/>
        <v>Sunday</v>
      </c>
      <c r="H19" s="21">
        <f t="shared" si="2"/>
        <v>4905.637813128933</v>
      </c>
    </row>
    <row r="20" spans="2:8" x14ac:dyDescent="0.3">
      <c r="B20" s="433">
        <f t="shared" si="3"/>
        <v>45969</v>
      </c>
      <c r="C20" s="8" t="str">
        <f t="shared" si="5"/>
        <v>Saturday</v>
      </c>
      <c r="D20" s="21">
        <f>ROUND($D$15*D8,0)</f>
        <v>2879</v>
      </c>
      <c r="F20" s="433">
        <f t="shared" si="4"/>
        <v>45999</v>
      </c>
      <c r="G20" s="8" t="str">
        <f t="shared" si="1"/>
        <v>Monday</v>
      </c>
      <c r="H20" s="21">
        <f>H13</f>
        <v>2688</v>
      </c>
    </row>
    <row r="21" spans="2:8" x14ac:dyDescent="0.3">
      <c r="B21" s="433">
        <f t="shared" si="3"/>
        <v>45970</v>
      </c>
      <c r="C21" s="8" t="str">
        <f t="shared" si="5"/>
        <v>Sunday</v>
      </c>
      <c r="D21" s="21">
        <f>ROUND($D$15*D9,0)</f>
        <v>3242</v>
      </c>
      <c r="F21" s="433">
        <f t="shared" si="4"/>
        <v>46000</v>
      </c>
      <c r="G21" s="8" t="str">
        <f t="shared" si="1"/>
        <v>Tuesday</v>
      </c>
      <c r="H21" s="21">
        <f t="shared" ref="H21:H43" si="6">H14</f>
        <v>2547.0690537084402</v>
      </c>
    </row>
    <row r="22" spans="2:8" x14ac:dyDescent="0.3">
      <c r="B22" s="433">
        <f t="shared" si="3"/>
        <v>45971</v>
      </c>
      <c r="C22" s="8" t="str">
        <f t="shared" si="5"/>
        <v>Monday</v>
      </c>
      <c r="D22" s="106">
        <f>D15</f>
        <v>2240</v>
      </c>
      <c r="F22" s="433">
        <f t="shared" si="4"/>
        <v>46001</v>
      </c>
      <c r="G22" s="8" t="str">
        <f t="shared" si="1"/>
        <v>Wednesday</v>
      </c>
      <c r="H22" s="21">
        <f t="shared" si="6"/>
        <v>2508.3093072389643</v>
      </c>
    </row>
    <row r="23" spans="2:8" x14ac:dyDescent="0.3">
      <c r="B23" s="433">
        <f t="shared" si="3"/>
        <v>45972</v>
      </c>
      <c r="C23" s="8" t="str">
        <f t="shared" si="5"/>
        <v>Tuesday</v>
      </c>
      <c r="D23" s="106">
        <f t="shared" ref="D23:D42" si="7">D16</f>
        <v>2072</v>
      </c>
      <c r="F23" s="433">
        <f t="shared" si="4"/>
        <v>46002</v>
      </c>
      <c r="G23" s="8" t="str">
        <f t="shared" si="1"/>
        <v>Thursday</v>
      </c>
      <c r="H23" s="21">
        <f t="shared" si="6"/>
        <v>2524.9886018651059</v>
      </c>
    </row>
    <row r="24" spans="2:8" x14ac:dyDescent="0.3">
      <c r="B24" s="433">
        <f t="shared" si="3"/>
        <v>45973</v>
      </c>
      <c r="C24" s="8" t="str">
        <f t="shared" si="5"/>
        <v>Wednesday</v>
      </c>
      <c r="D24" s="106">
        <f t="shared" si="7"/>
        <v>2206</v>
      </c>
      <c r="F24" s="433">
        <f t="shared" si="4"/>
        <v>46003</v>
      </c>
      <c r="G24" s="8" t="str">
        <f t="shared" si="1"/>
        <v>Friday</v>
      </c>
      <c r="H24" s="21">
        <f t="shared" si="6"/>
        <v>2637.3538235337828</v>
      </c>
    </row>
    <row r="25" spans="2:8" x14ac:dyDescent="0.3">
      <c r="B25" s="433">
        <f t="shared" si="3"/>
        <v>45974</v>
      </c>
      <c r="C25" s="8" t="str">
        <f t="shared" si="5"/>
        <v>Thursday</v>
      </c>
      <c r="D25" s="106">
        <f t="shared" si="7"/>
        <v>2255</v>
      </c>
      <c r="F25" s="433">
        <f t="shared" si="4"/>
        <v>46004</v>
      </c>
      <c r="G25" s="8" t="str">
        <f t="shared" si="1"/>
        <v>Saturday</v>
      </c>
      <c r="H25" s="21">
        <f t="shared" si="6"/>
        <v>3389.7753555419504</v>
      </c>
    </row>
    <row r="26" spans="2:8" x14ac:dyDescent="0.3">
      <c r="B26" s="433">
        <f t="shared" si="3"/>
        <v>45975</v>
      </c>
      <c r="C26" s="8" t="str">
        <f t="shared" si="5"/>
        <v>Friday</v>
      </c>
      <c r="D26" s="106">
        <f t="shared" si="7"/>
        <v>2340</v>
      </c>
      <c r="F26" s="433">
        <f t="shared" si="4"/>
        <v>46005</v>
      </c>
      <c r="G26" s="8" t="str">
        <f t="shared" si="1"/>
        <v>Sunday</v>
      </c>
      <c r="H26" s="21">
        <f t="shared" si="6"/>
        <v>4905.637813128933</v>
      </c>
    </row>
    <row r="27" spans="2:8" x14ac:dyDescent="0.3">
      <c r="B27" s="433">
        <f t="shared" si="3"/>
        <v>45976</v>
      </c>
      <c r="C27" s="8" t="str">
        <f t="shared" si="5"/>
        <v>Saturday</v>
      </c>
      <c r="D27" s="106">
        <f t="shared" si="7"/>
        <v>2879</v>
      </c>
      <c r="F27" s="433">
        <f t="shared" si="4"/>
        <v>46006</v>
      </c>
      <c r="G27" s="8" t="str">
        <f t="shared" si="1"/>
        <v>Monday</v>
      </c>
      <c r="H27" s="21">
        <f t="shared" si="6"/>
        <v>2688</v>
      </c>
    </row>
    <row r="28" spans="2:8" x14ac:dyDescent="0.3">
      <c r="B28" s="433">
        <f t="shared" si="3"/>
        <v>45977</v>
      </c>
      <c r="C28" s="8" t="str">
        <f t="shared" si="5"/>
        <v>Sunday</v>
      </c>
      <c r="D28" s="106">
        <f t="shared" si="7"/>
        <v>3242</v>
      </c>
      <c r="F28" s="433">
        <f t="shared" si="4"/>
        <v>46007</v>
      </c>
      <c r="G28" s="8" t="str">
        <f t="shared" si="1"/>
        <v>Tuesday</v>
      </c>
      <c r="H28" s="21">
        <f t="shared" si="6"/>
        <v>2547.0690537084402</v>
      </c>
    </row>
    <row r="29" spans="2:8" x14ac:dyDescent="0.3">
      <c r="B29" s="433">
        <f t="shared" si="3"/>
        <v>45978</v>
      </c>
      <c r="C29" s="8" t="str">
        <f t="shared" si="5"/>
        <v>Monday</v>
      </c>
      <c r="D29" s="106">
        <f t="shared" si="7"/>
        <v>2240</v>
      </c>
      <c r="F29" s="433">
        <f t="shared" si="4"/>
        <v>46008</v>
      </c>
      <c r="G29" s="8" t="str">
        <f t="shared" si="1"/>
        <v>Wednesday</v>
      </c>
      <c r="H29" s="21">
        <f t="shared" si="6"/>
        <v>2508.3093072389643</v>
      </c>
    </row>
    <row r="30" spans="2:8" x14ac:dyDescent="0.3">
      <c r="B30" s="433">
        <f t="shared" si="3"/>
        <v>45979</v>
      </c>
      <c r="C30" s="8" t="str">
        <f t="shared" si="5"/>
        <v>Tuesday</v>
      </c>
      <c r="D30" s="106">
        <f t="shared" si="7"/>
        <v>2072</v>
      </c>
      <c r="F30" s="433">
        <f t="shared" si="4"/>
        <v>46009</v>
      </c>
      <c r="G30" s="8" t="str">
        <f t="shared" si="1"/>
        <v>Thursday</v>
      </c>
      <c r="H30" s="21">
        <f t="shared" si="6"/>
        <v>2524.9886018651059</v>
      </c>
    </row>
    <row r="31" spans="2:8" x14ac:dyDescent="0.3">
      <c r="B31" s="433">
        <f t="shared" si="3"/>
        <v>45980</v>
      </c>
      <c r="C31" s="8" t="str">
        <f t="shared" si="5"/>
        <v>Wednesday</v>
      </c>
      <c r="D31" s="106">
        <f t="shared" si="7"/>
        <v>2206</v>
      </c>
      <c r="F31" s="433">
        <f t="shared" si="4"/>
        <v>46010</v>
      </c>
      <c r="G31" s="8" t="str">
        <f t="shared" si="1"/>
        <v>Friday</v>
      </c>
      <c r="H31" s="21">
        <f t="shared" si="6"/>
        <v>2637.3538235337828</v>
      </c>
    </row>
    <row r="32" spans="2:8" x14ac:dyDescent="0.3">
      <c r="B32" s="433">
        <f t="shared" si="3"/>
        <v>45981</v>
      </c>
      <c r="C32" s="8" t="str">
        <f t="shared" si="5"/>
        <v>Thursday</v>
      </c>
      <c r="D32" s="106">
        <f t="shared" si="7"/>
        <v>2255</v>
      </c>
      <c r="F32" s="433">
        <f t="shared" si="4"/>
        <v>46011</v>
      </c>
      <c r="G32" s="8" t="str">
        <f t="shared" si="1"/>
        <v>Saturday</v>
      </c>
      <c r="H32" s="21">
        <f t="shared" si="6"/>
        <v>3389.7753555419504</v>
      </c>
    </row>
    <row r="33" spans="2:8" x14ac:dyDescent="0.3">
      <c r="B33" s="433">
        <f t="shared" si="3"/>
        <v>45982</v>
      </c>
      <c r="C33" s="8" t="str">
        <f t="shared" si="5"/>
        <v>Friday</v>
      </c>
      <c r="D33" s="106">
        <f t="shared" si="7"/>
        <v>2340</v>
      </c>
      <c r="F33" s="433">
        <f t="shared" si="4"/>
        <v>46012</v>
      </c>
      <c r="G33" s="8" t="str">
        <f t="shared" si="1"/>
        <v>Sunday</v>
      </c>
      <c r="H33" s="21">
        <f t="shared" si="6"/>
        <v>4905.637813128933</v>
      </c>
    </row>
    <row r="34" spans="2:8" x14ac:dyDescent="0.3">
      <c r="B34" s="433">
        <f t="shared" si="3"/>
        <v>45983</v>
      </c>
      <c r="C34" s="8" t="str">
        <f t="shared" si="5"/>
        <v>Saturday</v>
      </c>
      <c r="D34" s="106">
        <f t="shared" si="7"/>
        <v>2879</v>
      </c>
      <c r="F34" s="433">
        <f t="shared" si="4"/>
        <v>46013</v>
      </c>
      <c r="G34" s="8" t="str">
        <f t="shared" si="1"/>
        <v>Monday</v>
      </c>
      <c r="H34" s="21">
        <f t="shared" si="6"/>
        <v>2688</v>
      </c>
    </row>
    <row r="35" spans="2:8" x14ac:dyDescent="0.3">
      <c r="B35" s="433">
        <f t="shared" si="3"/>
        <v>45984</v>
      </c>
      <c r="C35" s="8" t="str">
        <f t="shared" si="5"/>
        <v>Sunday</v>
      </c>
      <c r="D35" s="106">
        <f t="shared" si="7"/>
        <v>3242</v>
      </c>
      <c r="F35" s="433">
        <f t="shared" si="4"/>
        <v>46014</v>
      </c>
      <c r="G35" s="8" t="str">
        <f t="shared" si="1"/>
        <v>Tuesday</v>
      </c>
      <c r="H35" s="21">
        <f t="shared" si="6"/>
        <v>2547.0690537084402</v>
      </c>
    </row>
    <row r="36" spans="2:8" x14ac:dyDescent="0.3">
      <c r="B36" s="433">
        <f t="shared" si="3"/>
        <v>45985</v>
      </c>
      <c r="C36" s="8" t="str">
        <f t="shared" si="5"/>
        <v>Monday</v>
      </c>
      <c r="D36" s="106">
        <f t="shared" si="7"/>
        <v>2240</v>
      </c>
      <c r="F36" s="433">
        <f t="shared" si="4"/>
        <v>46015</v>
      </c>
      <c r="G36" s="8" t="str">
        <f t="shared" si="1"/>
        <v>Wednesday</v>
      </c>
      <c r="H36" s="21">
        <f t="shared" si="6"/>
        <v>2508.3093072389643</v>
      </c>
    </row>
    <row r="37" spans="2:8" x14ac:dyDescent="0.3">
      <c r="B37" s="433">
        <f t="shared" si="3"/>
        <v>45986</v>
      </c>
      <c r="C37" s="8" t="str">
        <f t="shared" si="5"/>
        <v>Tuesday</v>
      </c>
      <c r="D37" s="106">
        <f t="shared" si="7"/>
        <v>2072</v>
      </c>
      <c r="F37" s="433">
        <f t="shared" si="4"/>
        <v>46016</v>
      </c>
      <c r="G37" s="8" t="str">
        <f t="shared" si="1"/>
        <v>Thursday</v>
      </c>
      <c r="H37" s="21">
        <f t="shared" si="6"/>
        <v>2524.9886018651059</v>
      </c>
    </row>
    <row r="38" spans="2:8" x14ac:dyDescent="0.3">
      <c r="B38" s="433">
        <f t="shared" si="3"/>
        <v>45987</v>
      </c>
      <c r="C38" s="8" t="str">
        <f t="shared" si="5"/>
        <v>Wednesday</v>
      </c>
      <c r="D38" s="106">
        <f t="shared" si="7"/>
        <v>2206</v>
      </c>
      <c r="F38" s="433">
        <f t="shared" si="4"/>
        <v>46017</v>
      </c>
      <c r="G38" s="8" t="str">
        <f t="shared" si="1"/>
        <v>Friday</v>
      </c>
      <c r="H38" s="21">
        <f t="shared" si="6"/>
        <v>2637.3538235337828</v>
      </c>
    </row>
    <row r="39" spans="2:8" x14ac:dyDescent="0.3">
      <c r="B39" s="433">
        <f t="shared" si="3"/>
        <v>45988</v>
      </c>
      <c r="C39" s="8" t="str">
        <f t="shared" si="5"/>
        <v>Thursday</v>
      </c>
      <c r="D39" s="106">
        <f t="shared" si="7"/>
        <v>2255</v>
      </c>
      <c r="F39" s="433">
        <f t="shared" si="4"/>
        <v>46018</v>
      </c>
      <c r="G39" s="8" t="str">
        <f t="shared" si="1"/>
        <v>Saturday</v>
      </c>
      <c r="H39" s="21">
        <f t="shared" si="6"/>
        <v>3389.7753555419504</v>
      </c>
    </row>
    <row r="40" spans="2:8" x14ac:dyDescent="0.3">
      <c r="B40" s="433">
        <f t="shared" si="3"/>
        <v>45989</v>
      </c>
      <c r="C40" s="8" t="str">
        <f t="shared" si="5"/>
        <v>Friday</v>
      </c>
      <c r="D40" s="106">
        <f t="shared" si="7"/>
        <v>2340</v>
      </c>
      <c r="F40" s="433">
        <f t="shared" si="4"/>
        <v>46019</v>
      </c>
      <c r="G40" s="8" t="str">
        <f t="shared" si="1"/>
        <v>Sunday</v>
      </c>
      <c r="H40" s="21">
        <f t="shared" si="6"/>
        <v>4905.637813128933</v>
      </c>
    </row>
    <row r="41" spans="2:8" x14ac:dyDescent="0.3">
      <c r="B41" s="433">
        <f t="shared" si="3"/>
        <v>45990</v>
      </c>
      <c r="C41" s="8" t="str">
        <f t="shared" si="5"/>
        <v>Saturday</v>
      </c>
      <c r="D41" s="106">
        <f t="shared" si="7"/>
        <v>2879</v>
      </c>
      <c r="F41" s="433">
        <f t="shared" si="4"/>
        <v>46020</v>
      </c>
      <c r="G41" s="8" t="str">
        <f t="shared" si="1"/>
        <v>Monday</v>
      </c>
      <c r="H41" s="21">
        <f t="shared" si="6"/>
        <v>2688</v>
      </c>
    </row>
    <row r="42" spans="2:8" x14ac:dyDescent="0.3">
      <c r="B42" s="433">
        <f t="shared" si="3"/>
        <v>45991</v>
      </c>
      <c r="C42" s="8" t="str">
        <f t="shared" si="5"/>
        <v>Sunday</v>
      </c>
      <c r="D42" s="106">
        <f t="shared" si="7"/>
        <v>3242</v>
      </c>
      <c r="F42" s="433">
        <f t="shared" si="4"/>
        <v>46021</v>
      </c>
      <c r="G42" s="8" t="str">
        <f t="shared" si="1"/>
        <v>Tuesday</v>
      </c>
      <c r="H42" s="21">
        <f t="shared" si="6"/>
        <v>2547.0690537084402</v>
      </c>
    </row>
    <row r="43" spans="2:8" x14ac:dyDescent="0.3">
      <c r="B43" s="433"/>
      <c r="C43" s="8"/>
      <c r="D43" s="106"/>
      <c r="F43" s="433">
        <f t="shared" si="4"/>
        <v>46022</v>
      </c>
      <c r="G43" s="8" t="str">
        <f t="shared" si="1"/>
        <v>Wednesday</v>
      </c>
      <c r="H43" s="21">
        <f t="shared" si="6"/>
        <v>2508.3093072389643</v>
      </c>
    </row>
    <row r="44" spans="2:8" x14ac:dyDescent="0.3">
      <c r="B44" s="434" t="s">
        <v>277</v>
      </c>
      <c r="C44" s="256"/>
      <c r="D44" s="435">
        <f>SUM(D13:D43)</f>
        <v>75461</v>
      </c>
      <c r="F44" s="434" t="s">
        <v>277</v>
      </c>
      <c r="G44" s="256"/>
      <c r="H44" s="435">
        <f>SUM(H13:H43)</f>
        <v>92547.914181016095</v>
      </c>
    </row>
    <row r="45" spans="2:8" x14ac:dyDescent="0.3">
      <c r="B45" s="4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8FA8-D080-41D8-895C-3A5A43ABB655}">
  <sheetPr>
    <tabColor rgb="FF92D050"/>
  </sheetPr>
  <dimension ref="A2:BO79"/>
  <sheetViews>
    <sheetView showGridLines="0" zoomScale="80" zoomScaleNormal="80" workbookViewId="0">
      <pane xSplit="2" ySplit="3" topLeftCell="C37" activePane="bottomRight" state="frozen"/>
      <selection pane="topRight" activeCell="C1" sqref="C1"/>
      <selection pane="bottomLeft" activeCell="A3" sqref="A3"/>
      <selection pane="bottomRight" activeCell="H17" sqref="H17"/>
    </sheetView>
  </sheetViews>
  <sheetFormatPr defaultColWidth="8.81640625" defaultRowHeight="14.5" x14ac:dyDescent="0.35"/>
  <cols>
    <col min="1" max="1" width="3.81640625" style="2" customWidth="1"/>
    <col min="2" max="2" width="42.08984375" style="2" bestFit="1" customWidth="1"/>
    <col min="3" max="13" width="12.81640625" style="2" customWidth="1"/>
    <col min="14" max="14" width="11.453125" customWidth="1"/>
    <col min="15" max="15" width="20.26953125" bestFit="1" customWidth="1"/>
    <col min="17" max="22" width="9" style="2" customWidth="1"/>
    <col min="23" max="30" width="8.81640625" style="2"/>
    <col min="31" max="31" width="12.08984375" style="2" customWidth="1"/>
    <col min="32" max="16384" width="8.81640625" style="2"/>
  </cols>
  <sheetData>
    <row r="2" spans="1:67" x14ac:dyDescent="0.35">
      <c r="A2" s="7"/>
      <c r="B2" s="31"/>
      <c r="C2" s="92" t="s">
        <v>23</v>
      </c>
      <c r="D2" s="92" t="s">
        <v>23</v>
      </c>
      <c r="E2" s="92" t="s">
        <v>23</v>
      </c>
      <c r="F2" s="92" t="s">
        <v>23</v>
      </c>
      <c r="G2" s="92" t="s">
        <v>23</v>
      </c>
      <c r="H2" s="92" t="s">
        <v>23</v>
      </c>
      <c r="I2" s="92" t="s">
        <v>23</v>
      </c>
      <c r="J2" s="92" t="s">
        <v>23</v>
      </c>
      <c r="K2" s="92" t="s">
        <v>23</v>
      </c>
      <c r="L2" s="92" t="s">
        <v>23</v>
      </c>
      <c r="M2" s="92" t="s">
        <v>23</v>
      </c>
      <c r="N2" s="92" t="s">
        <v>23</v>
      </c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67" x14ac:dyDescent="0.35">
      <c r="B3" s="184" t="s">
        <v>0</v>
      </c>
      <c r="C3" s="52">
        <v>45688</v>
      </c>
      <c r="D3" s="52">
        <f t="shared" ref="D3" si="0">EOMONTH(C3,1)</f>
        <v>45716</v>
      </c>
      <c r="E3" s="52">
        <f t="shared" ref="E3" si="1">EOMONTH(D3,1)</f>
        <v>45747</v>
      </c>
      <c r="F3" s="52">
        <f t="shared" ref="F3" si="2">EOMONTH(E3,1)</f>
        <v>45777</v>
      </c>
      <c r="G3" s="52">
        <f t="shared" ref="G3:L3" si="3">EOMONTH(F3,1)</f>
        <v>45808</v>
      </c>
      <c r="H3" s="52">
        <f t="shared" si="3"/>
        <v>45838</v>
      </c>
      <c r="I3" s="52">
        <f t="shared" si="3"/>
        <v>45869</v>
      </c>
      <c r="J3" s="52">
        <f t="shared" si="3"/>
        <v>45900</v>
      </c>
      <c r="K3" s="52">
        <f t="shared" si="3"/>
        <v>45930</v>
      </c>
      <c r="L3" s="52">
        <f t="shared" si="3"/>
        <v>45961</v>
      </c>
      <c r="M3" s="52">
        <f>EOMONTH(L3,1)</f>
        <v>45991</v>
      </c>
      <c r="N3" s="52">
        <f>EOMONTH(M3,1)</f>
        <v>46022</v>
      </c>
    </row>
    <row r="4" spans="1:67" x14ac:dyDescent="0.35">
      <c r="B4" s="3"/>
      <c r="C4" s="389"/>
      <c r="D4" s="389"/>
      <c r="E4" s="389"/>
      <c r="F4" s="389">
        <v>506.96274029393146</v>
      </c>
      <c r="G4" s="389">
        <v>1134.7379835000002</v>
      </c>
      <c r="H4" s="389">
        <v>1549.1958330000004</v>
      </c>
      <c r="I4" s="4"/>
      <c r="J4" s="4"/>
      <c r="K4" s="4"/>
      <c r="L4" s="4"/>
      <c r="M4" s="4"/>
      <c r="N4" s="4"/>
    </row>
    <row r="5" spans="1:67" s="108" customFormat="1" ht="13" x14ac:dyDescent="0.3">
      <c r="B5" s="6" t="s">
        <v>463</v>
      </c>
      <c r="C5" s="226">
        <f>'MIS P&amp;L'!C7*12/88</f>
        <v>229.82970444943021</v>
      </c>
      <c r="D5" s="226">
        <f>'MIS P&amp;L'!D7*12/88</f>
        <v>239.00446617873652</v>
      </c>
      <c r="E5" s="226">
        <f>'MIS P&amp;L'!E7*12/88</f>
        <v>334.7717471927761</v>
      </c>
      <c r="F5" s="226">
        <f>'MIS P&amp;L'!F7*12/88</f>
        <v>460.87521844902864</v>
      </c>
      <c r="G5" s="226">
        <f>'MIS P&amp;L'!G7*12/88</f>
        <v>1031.6038486363636</v>
      </c>
      <c r="H5" s="226">
        <f>'MIS P&amp;L'!H7*12/88</f>
        <v>1408.3545845454546</v>
      </c>
      <c r="I5" s="226">
        <f>'MIS P&amp;L'!I7*12/88</f>
        <v>2035.9652713636367</v>
      </c>
      <c r="J5" s="226">
        <f>'MIS P&amp;L'!J7*12/88</f>
        <v>3757.6057131818188</v>
      </c>
      <c r="K5" s="226">
        <f>'MIS P&amp;L'!K7*12/88</f>
        <v>5128.1808531818197</v>
      </c>
      <c r="L5" s="226">
        <f>'MIS P&amp;L'!L7*12/88</f>
        <v>10125.211439105724</v>
      </c>
      <c r="M5" s="226">
        <f>'MIS P&amp;L'!M7*12/88</f>
        <v>11539.83717173199</v>
      </c>
      <c r="N5" s="226">
        <f>'MIS P&amp;L'!N7*12/88</f>
        <v>15923.098214186251</v>
      </c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39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</row>
    <row r="6" spans="1:67" s="108" customFormat="1" ht="13" x14ac:dyDescent="0.3">
      <c r="B6" s="6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AF6" s="393"/>
      <c r="AG6" s="394"/>
      <c r="AH6" s="394"/>
      <c r="AI6" s="394"/>
      <c r="AJ6" s="394"/>
      <c r="AK6" s="394"/>
      <c r="AL6" s="394"/>
      <c r="AM6" s="394"/>
      <c r="AN6" s="394"/>
      <c r="AO6" s="394"/>
      <c r="AP6" s="394"/>
      <c r="AQ6" s="394"/>
      <c r="AR6" s="394"/>
      <c r="AS6" s="394"/>
      <c r="AT6" s="394"/>
      <c r="AU6" s="394"/>
      <c r="AV6" s="394"/>
      <c r="AW6" s="394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  <c r="BL6" s="233"/>
      <c r="BM6" s="233"/>
      <c r="BN6" s="233"/>
      <c r="BO6" s="233"/>
    </row>
    <row r="7" spans="1:67" s="108" customFormat="1" ht="13" x14ac:dyDescent="0.3">
      <c r="B7" s="6" t="s">
        <v>1582</v>
      </c>
      <c r="C7" s="226">
        <v>1</v>
      </c>
      <c r="D7" s="226">
        <v>2</v>
      </c>
      <c r="E7" s="226">
        <v>4</v>
      </c>
      <c r="F7" s="226">
        <v>7</v>
      </c>
      <c r="G7" s="226">
        <v>8</v>
      </c>
      <c r="H7" s="226">
        <v>15</v>
      </c>
      <c r="I7" s="226">
        <v>19</v>
      </c>
      <c r="J7" s="226">
        <v>26</v>
      </c>
      <c r="K7" s="226">
        <v>38</v>
      </c>
      <c r="L7" s="226">
        <v>51</v>
      </c>
      <c r="M7" s="226">
        <v>66</v>
      </c>
      <c r="N7" s="226">
        <v>86</v>
      </c>
      <c r="AF7" s="39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  <c r="BL7" s="233"/>
      <c r="BM7" s="233"/>
      <c r="BN7" s="233"/>
      <c r="BO7" s="233"/>
    </row>
    <row r="8" spans="1:67" x14ac:dyDescent="0.35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242"/>
      <c r="AU8" s="242"/>
      <c r="AV8" s="242"/>
      <c r="AW8" s="242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  <c r="BL8" s="233"/>
      <c r="BM8" s="233"/>
      <c r="BN8" s="233"/>
      <c r="BO8" s="233"/>
    </row>
    <row r="9" spans="1:67" x14ac:dyDescent="0.35">
      <c r="B9" s="1" t="s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  <c r="BL9" s="233"/>
      <c r="BM9" s="233"/>
      <c r="BN9" s="233"/>
      <c r="BO9" s="233"/>
    </row>
    <row r="10" spans="1:67" s="7" customFormat="1" ht="13" customHeight="1" x14ac:dyDescent="0.3">
      <c r="B10" s="6"/>
      <c r="C10" s="4"/>
      <c r="D10" s="4"/>
      <c r="E10" s="4"/>
      <c r="F10" s="4"/>
      <c r="G10" s="4"/>
      <c r="H10" s="4"/>
      <c r="I10" s="4"/>
      <c r="J10" s="4"/>
      <c r="K10" s="4"/>
      <c r="L10" s="427"/>
      <c r="M10" s="427"/>
      <c r="N10" s="427"/>
      <c r="R10" s="567"/>
      <c r="S10" s="567"/>
      <c r="T10" s="567"/>
      <c r="U10" s="567"/>
      <c r="V10" s="567"/>
      <c r="W10" s="567"/>
      <c r="X10" s="567"/>
      <c r="Y10" s="567"/>
      <c r="Z10" s="567"/>
      <c r="AA10" s="567"/>
      <c r="AB10" s="567"/>
      <c r="AC10" s="567"/>
      <c r="AF10" s="264"/>
      <c r="AG10" s="264"/>
      <c r="AH10" s="264"/>
      <c r="AI10" s="264"/>
      <c r="AJ10" s="264"/>
      <c r="AK10" s="264"/>
      <c r="AL10" s="264"/>
      <c r="AM10" s="264"/>
      <c r="AN10" s="264"/>
      <c r="AO10" s="264"/>
      <c r="AP10" s="264"/>
      <c r="AQ10" s="264"/>
      <c r="AR10" s="264"/>
      <c r="AS10" s="264"/>
      <c r="AT10" s="264"/>
      <c r="AU10" s="264"/>
      <c r="AV10" s="264"/>
      <c r="AW10" s="264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</row>
    <row r="11" spans="1:67" x14ac:dyDescent="0.35">
      <c r="B11" s="8" t="s">
        <v>1299</v>
      </c>
      <c r="C11" s="9">
        <f t="shared" ref="C11" si="4">SUM(C12:C13)</f>
        <v>2763</v>
      </c>
      <c r="D11" s="9">
        <f t="shared" ref="D11" si="5">SUM(D12:D13)</f>
        <v>3666</v>
      </c>
      <c r="E11" s="9">
        <f t="shared" ref="E11" si="6">SUM(E12:E13)</f>
        <v>5437</v>
      </c>
      <c r="F11" s="9">
        <f t="shared" ref="F11" si="7">SUM(F12:F13)</f>
        <v>7198</v>
      </c>
      <c r="G11" s="9">
        <f t="shared" ref="G11" si="8">SUM(G12:G13)</f>
        <v>14686</v>
      </c>
      <c r="H11" s="9">
        <f t="shared" ref="H11" si="9">SUM(H12:H13)</f>
        <v>21226</v>
      </c>
      <c r="I11" s="9">
        <f t="shared" ref="I11" si="10">SUM(I12:I13)</f>
        <v>32013</v>
      </c>
      <c r="J11" s="9">
        <f t="shared" ref="J11" si="11">SUM(J12:J13)</f>
        <v>54733</v>
      </c>
      <c r="K11" s="9">
        <f t="shared" ref="K11" si="12">SUM(K12:K13)</f>
        <v>80227</v>
      </c>
      <c r="L11" s="9">
        <f t="shared" ref="L11" si="13">SUM(L12:L13)</f>
        <v>131701</v>
      </c>
      <c r="M11" s="9">
        <f t="shared" ref="M11:N11" si="14">SUM(M12:M13)</f>
        <v>161081</v>
      </c>
      <c r="N11" s="9">
        <f t="shared" si="14"/>
        <v>209901</v>
      </c>
      <c r="P11" s="561"/>
      <c r="R11" s="567"/>
      <c r="S11" s="567"/>
      <c r="T11" s="567"/>
      <c r="U11" s="567"/>
      <c r="V11" s="567"/>
      <c r="W11" s="567"/>
      <c r="X11" s="567"/>
      <c r="Y11" s="567"/>
      <c r="Z11" s="567"/>
      <c r="AA11" s="567"/>
      <c r="AB11" s="567"/>
      <c r="AC11" s="567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</row>
    <row r="12" spans="1:67" x14ac:dyDescent="0.35">
      <c r="B12" s="10" t="s">
        <v>2</v>
      </c>
      <c r="C12" s="11">
        <v>966</v>
      </c>
      <c r="D12" s="11">
        <v>1583</v>
      </c>
      <c r="E12" s="11">
        <v>2682</v>
      </c>
      <c r="F12" s="11">
        <v>4037</v>
      </c>
      <c r="G12" s="11">
        <v>9862</v>
      </c>
      <c r="H12" s="11">
        <v>12369</v>
      </c>
      <c r="I12" s="11">
        <v>19197</v>
      </c>
      <c r="J12" s="11">
        <v>34897</v>
      </c>
      <c r="K12" s="11">
        <v>49119</v>
      </c>
      <c r="L12" s="11">
        <v>83204</v>
      </c>
      <c r="M12" s="11">
        <v>86837</v>
      </c>
      <c r="N12" s="11">
        <v>102395</v>
      </c>
      <c r="P12" s="561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</row>
    <row r="13" spans="1:67" x14ac:dyDescent="0.35">
      <c r="B13" s="10" t="s">
        <v>3</v>
      </c>
      <c r="C13" s="11">
        <v>1797</v>
      </c>
      <c r="D13" s="11">
        <v>2083</v>
      </c>
      <c r="E13" s="11">
        <v>2755</v>
      </c>
      <c r="F13" s="11">
        <v>3161</v>
      </c>
      <c r="G13" s="11">
        <v>4824</v>
      </c>
      <c r="H13" s="11">
        <v>8857</v>
      </c>
      <c r="I13" s="11">
        <v>12816</v>
      </c>
      <c r="J13" s="11">
        <v>19836</v>
      </c>
      <c r="K13" s="11">
        <v>31108</v>
      </c>
      <c r="L13" s="11">
        <v>48497</v>
      </c>
      <c r="M13" s="11">
        <v>74244</v>
      </c>
      <c r="N13" s="11">
        <v>107506</v>
      </c>
      <c r="Q13" s="61"/>
      <c r="R13" s="61"/>
      <c r="S13" s="61"/>
      <c r="T13" s="61"/>
      <c r="U13" s="61"/>
      <c r="V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</row>
    <row r="14" spans="1:67" x14ac:dyDescent="0.35">
      <c r="B14" s="8" t="s">
        <v>4</v>
      </c>
      <c r="C14" s="9">
        <f t="shared" ref="C14:E14" si="15">SUM(C15:C16)</f>
        <v>6863</v>
      </c>
      <c r="D14" s="9">
        <f t="shared" si="15"/>
        <v>7519</v>
      </c>
      <c r="E14" s="9">
        <f t="shared" si="15"/>
        <v>10642</v>
      </c>
      <c r="F14" s="9">
        <f t="shared" ref="F14:L14" si="16">SUM(F15:F16)</f>
        <v>14980</v>
      </c>
      <c r="G14" s="9">
        <f t="shared" si="16"/>
        <v>35189</v>
      </c>
      <c r="H14" s="9">
        <f t="shared" si="16"/>
        <v>47211</v>
      </c>
      <c r="I14" s="9">
        <f t="shared" si="16"/>
        <v>68196</v>
      </c>
      <c r="J14" s="9">
        <f t="shared" si="16"/>
        <v>118808</v>
      </c>
      <c r="K14" s="9">
        <f t="shared" si="16"/>
        <v>168002</v>
      </c>
      <c r="L14" s="9">
        <f t="shared" si="16"/>
        <v>308668</v>
      </c>
      <c r="M14" s="9">
        <f t="shared" ref="M14:N14" si="17">SUM(M15:M16)</f>
        <v>375635</v>
      </c>
      <c r="N14" s="9">
        <f t="shared" si="17"/>
        <v>518345</v>
      </c>
      <c r="W14" s="61"/>
      <c r="X14" s="61"/>
      <c r="Y14" s="61"/>
      <c r="Z14" s="61"/>
      <c r="AA14" s="61"/>
      <c r="AB14" s="61"/>
      <c r="AC14" s="61"/>
      <c r="AD14" s="61"/>
      <c r="AE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</row>
    <row r="15" spans="1:67" x14ac:dyDescent="0.35">
      <c r="B15" s="10" t="s">
        <v>2</v>
      </c>
      <c r="C15" s="11">
        <v>1665</v>
      </c>
      <c r="D15" s="11">
        <v>2439</v>
      </c>
      <c r="E15" s="11">
        <v>4093</v>
      </c>
      <c r="F15" s="11">
        <v>7056</v>
      </c>
      <c r="G15" s="11">
        <v>22591</v>
      </c>
      <c r="H15" s="11">
        <v>26771</v>
      </c>
      <c r="I15" s="11">
        <v>39036</v>
      </c>
      <c r="J15" s="11">
        <v>71090</v>
      </c>
      <c r="K15" s="11">
        <v>97264</v>
      </c>
      <c r="L15" s="11">
        <v>185159</v>
      </c>
      <c r="M15" s="11">
        <v>184371</v>
      </c>
      <c r="N15" s="11">
        <v>223401</v>
      </c>
      <c r="W15" s="61"/>
      <c r="X15" s="61"/>
      <c r="Y15" s="61"/>
      <c r="Z15" s="61"/>
      <c r="AA15" s="61"/>
      <c r="AB15" s="61"/>
      <c r="AC15" s="61"/>
      <c r="AD15" s="61"/>
      <c r="AE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</row>
    <row r="16" spans="1:67" x14ac:dyDescent="0.35">
      <c r="B16" s="10" t="s">
        <v>3</v>
      </c>
      <c r="C16" s="11">
        <v>5198</v>
      </c>
      <c r="D16" s="11">
        <v>5080</v>
      </c>
      <c r="E16" s="11">
        <v>6549</v>
      </c>
      <c r="F16" s="11">
        <v>7924</v>
      </c>
      <c r="G16" s="11">
        <v>12598</v>
      </c>
      <c r="H16" s="11">
        <v>20440</v>
      </c>
      <c r="I16" s="11">
        <v>29160</v>
      </c>
      <c r="J16" s="11">
        <v>47718</v>
      </c>
      <c r="K16" s="11">
        <v>70738</v>
      </c>
      <c r="L16" s="11">
        <v>123509</v>
      </c>
      <c r="M16" s="11">
        <v>191264</v>
      </c>
      <c r="N16" s="11">
        <v>294944</v>
      </c>
      <c r="W16" s="61"/>
      <c r="X16" s="61"/>
      <c r="Y16" s="61"/>
      <c r="Z16" s="61"/>
      <c r="AA16" s="61"/>
      <c r="AB16" s="61"/>
      <c r="AC16" s="61"/>
      <c r="AD16" s="61"/>
      <c r="AE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  <c r="BL16" s="233"/>
      <c r="BM16" s="233"/>
      <c r="BN16" s="233"/>
      <c r="BO16" s="233"/>
    </row>
    <row r="17" spans="2:67" x14ac:dyDescent="0.35">
      <c r="B17" s="8" t="s">
        <v>1438</v>
      </c>
      <c r="C17" s="46">
        <f t="shared" ref="C17:E17" si="18">C14/C11</f>
        <v>2.4838943177705395</v>
      </c>
      <c r="D17" s="46">
        <f t="shared" si="18"/>
        <v>2.0510092744135298</v>
      </c>
      <c r="E17" s="46">
        <f t="shared" si="18"/>
        <v>1.9573294096008829</v>
      </c>
      <c r="F17" s="46">
        <f t="shared" ref="F17:K17" si="19">F14/F11</f>
        <v>2.0811336482356211</v>
      </c>
      <c r="G17" s="46">
        <f t="shared" si="19"/>
        <v>2.3960915157292662</v>
      </c>
      <c r="H17" s="46">
        <f t="shared" si="19"/>
        <v>2.2242061622538398</v>
      </c>
      <c r="I17" s="46">
        <f t="shared" si="19"/>
        <v>2.1302595820447943</v>
      </c>
      <c r="J17" s="46">
        <f t="shared" si="19"/>
        <v>2.1706831344892477</v>
      </c>
      <c r="K17" s="46">
        <f t="shared" si="19"/>
        <v>2.0940830393757714</v>
      </c>
      <c r="L17" s="46">
        <f t="shared" ref="L17" si="20">L14/L11</f>
        <v>2.3437027813000659</v>
      </c>
      <c r="M17" s="46">
        <f t="shared" ref="M17:N17" si="21">M14/M11</f>
        <v>2.3319634221292391</v>
      </c>
      <c r="N17" s="46">
        <f t="shared" si="21"/>
        <v>2.4694737042701083</v>
      </c>
      <c r="W17" s="61"/>
      <c r="X17" s="61"/>
      <c r="Y17" s="61"/>
      <c r="Z17" s="61"/>
      <c r="AA17" s="61"/>
      <c r="AB17" s="61"/>
      <c r="AC17" s="61"/>
      <c r="AD17" s="61"/>
      <c r="AE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X17" s="61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3"/>
      <c r="BN17" s="233"/>
      <c r="BO17" s="233"/>
    </row>
    <row r="18" spans="2:67" x14ac:dyDescent="0.35">
      <c r="B18" s="10" t="s">
        <v>1439</v>
      </c>
      <c r="C18" s="45">
        <f t="shared" ref="C18:E18" si="22">C15/C12</f>
        <v>1.7236024844720497</v>
      </c>
      <c r="D18" s="45">
        <f t="shared" si="22"/>
        <v>1.5407454200884396</v>
      </c>
      <c r="E18" s="45">
        <f t="shared" si="22"/>
        <v>1.5260999254287846</v>
      </c>
      <c r="F18" s="45">
        <f t="shared" ref="F18:K18" si="23">F15/F12</f>
        <v>1.7478325489224671</v>
      </c>
      <c r="G18" s="45">
        <f t="shared" si="23"/>
        <v>2.2907118231596026</v>
      </c>
      <c r="H18" s="45">
        <f t="shared" si="23"/>
        <v>2.1643625192012288</v>
      </c>
      <c r="I18" s="45">
        <f t="shared" si="23"/>
        <v>2.0334427254258478</v>
      </c>
      <c r="J18" s="45">
        <f t="shared" si="23"/>
        <v>2.0371378628535406</v>
      </c>
      <c r="K18" s="45">
        <f t="shared" si="23"/>
        <v>1.980170606079114</v>
      </c>
      <c r="L18" s="45">
        <f>L15/L12</f>
        <v>2.2253617614537764</v>
      </c>
      <c r="M18" s="45">
        <f>M15/M12</f>
        <v>2.1231848175316972</v>
      </c>
      <c r="N18" s="45">
        <f>N15/N12</f>
        <v>2.1817569217246935</v>
      </c>
      <c r="W18" s="61"/>
      <c r="X18" s="61"/>
      <c r="Y18" s="61"/>
      <c r="Z18" s="61"/>
      <c r="AA18" s="61"/>
      <c r="AB18" s="61"/>
      <c r="AC18" s="61"/>
      <c r="AD18" s="61"/>
      <c r="AE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X18" s="61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3"/>
      <c r="BN18" s="233"/>
      <c r="BO18" s="233"/>
    </row>
    <row r="19" spans="2:67" x14ac:dyDescent="0.35">
      <c r="B19" s="10" t="s">
        <v>3</v>
      </c>
      <c r="C19" s="45">
        <f t="shared" ref="C19:E19" si="24">C16/C13</f>
        <v>2.8925987757373401</v>
      </c>
      <c r="D19" s="45">
        <f t="shared" si="24"/>
        <v>2.4387902064330294</v>
      </c>
      <c r="E19" s="45">
        <f t="shared" si="24"/>
        <v>2.3771324863883847</v>
      </c>
      <c r="F19" s="45">
        <f t="shared" ref="F19:L19" si="25">F16/F13</f>
        <v>2.5068016450490349</v>
      </c>
      <c r="G19" s="45">
        <f t="shared" si="25"/>
        <v>2.6115257048092868</v>
      </c>
      <c r="H19" s="45">
        <f t="shared" si="25"/>
        <v>2.3077791577283504</v>
      </c>
      <c r="I19" s="45">
        <f t="shared" si="25"/>
        <v>2.2752808988764044</v>
      </c>
      <c r="J19" s="45">
        <f t="shared" si="25"/>
        <v>2.4056261343012704</v>
      </c>
      <c r="K19" s="45">
        <f t="shared" si="25"/>
        <v>2.2739488234537739</v>
      </c>
      <c r="L19" s="45">
        <f t="shared" si="25"/>
        <v>2.5467348495783244</v>
      </c>
      <c r="M19" s="45">
        <f t="shared" ref="M19:N19" si="26">M16/M13</f>
        <v>2.5761543020311404</v>
      </c>
      <c r="N19" s="45">
        <f t="shared" si="26"/>
        <v>2.7435119900284635</v>
      </c>
      <c r="W19" s="61"/>
      <c r="X19" s="61"/>
      <c r="Y19" s="61"/>
      <c r="Z19" s="61"/>
      <c r="AA19" s="61"/>
      <c r="AB19" s="61"/>
      <c r="AC19" s="61"/>
      <c r="AD19" s="61"/>
      <c r="AE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X19" s="61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</row>
    <row r="20" spans="2:67" x14ac:dyDescent="0.35">
      <c r="B20" s="8" t="s">
        <v>5</v>
      </c>
      <c r="C20" s="9">
        <f t="shared" ref="C20:E20" si="27">C14/30</f>
        <v>228.76666666666668</v>
      </c>
      <c r="D20" s="9">
        <f t="shared" si="27"/>
        <v>250.63333333333333</v>
      </c>
      <c r="E20" s="9">
        <f t="shared" si="27"/>
        <v>354.73333333333335</v>
      </c>
      <c r="F20" s="9">
        <f>F14/30</f>
        <v>499.33333333333331</v>
      </c>
      <c r="G20" s="9">
        <f t="shared" ref="G20:L20" si="28">G14/(G$3-F$3)</f>
        <v>1135.1290322580646</v>
      </c>
      <c r="H20" s="9">
        <f t="shared" si="28"/>
        <v>1573.7</v>
      </c>
      <c r="I20" s="9">
        <f t="shared" si="28"/>
        <v>2199.8709677419356</v>
      </c>
      <c r="J20" s="9">
        <f t="shared" si="28"/>
        <v>3832.516129032258</v>
      </c>
      <c r="K20" s="9">
        <f t="shared" si="28"/>
        <v>5600.0666666666666</v>
      </c>
      <c r="L20" s="9">
        <f t="shared" si="28"/>
        <v>9957.032258064517</v>
      </c>
      <c r="M20" s="9">
        <f t="shared" ref="M20:N22" si="29">M14/(M$3-L$3)</f>
        <v>12521.166666666666</v>
      </c>
      <c r="N20" s="9">
        <f t="shared" si="29"/>
        <v>16720.806451612902</v>
      </c>
      <c r="W20" s="61"/>
      <c r="X20" s="61"/>
      <c r="Y20" s="61"/>
      <c r="Z20" s="61"/>
      <c r="AA20" s="61"/>
      <c r="AB20" s="61"/>
      <c r="AC20" s="61"/>
      <c r="AD20" s="61"/>
      <c r="AE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3"/>
      <c r="BN20" s="233"/>
      <c r="BO20" s="233"/>
    </row>
    <row r="21" spans="2:67" x14ac:dyDescent="0.35">
      <c r="B21" s="10" t="s">
        <v>2</v>
      </c>
      <c r="C21" s="11">
        <f t="shared" ref="C21:E21" si="30">C15/30</f>
        <v>55.5</v>
      </c>
      <c r="D21" s="11">
        <f t="shared" si="30"/>
        <v>81.3</v>
      </c>
      <c r="E21" s="11">
        <f t="shared" si="30"/>
        <v>136.43333333333334</v>
      </c>
      <c r="F21" s="11">
        <f>F15/30</f>
        <v>235.2</v>
      </c>
      <c r="G21" s="11">
        <f t="shared" ref="G21:L21" si="31">G15/(G$3-F$3)</f>
        <v>728.74193548387098</v>
      </c>
      <c r="H21" s="11">
        <f t="shared" si="31"/>
        <v>892.36666666666667</v>
      </c>
      <c r="I21" s="11">
        <f t="shared" si="31"/>
        <v>1259.2258064516129</v>
      </c>
      <c r="J21" s="11">
        <f t="shared" si="31"/>
        <v>2293.2258064516127</v>
      </c>
      <c r="K21" s="11">
        <f t="shared" si="31"/>
        <v>3242.1333333333332</v>
      </c>
      <c r="L21" s="11">
        <f t="shared" si="31"/>
        <v>5972.8709677419356</v>
      </c>
      <c r="M21" s="11">
        <f t="shared" si="29"/>
        <v>6145.7</v>
      </c>
      <c r="N21" s="11">
        <f t="shared" si="29"/>
        <v>7206.4838709677415</v>
      </c>
      <c r="W21" s="61"/>
      <c r="X21" s="61"/>
      <c r="Y21" s="61"/>
      <c r="Z21" s="61"/>
      <c r="AA21" s="61"/>
      <c r="AB21" s="61"/>
      <c r="AC21" s="61"/>
      <c r="AD21" s="61"/>
      <c r="AE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  <c r="BL21" s="233"/>
      <c r="BM21" s="233"/>
      <c r="BN21" s="233"/>
      <c r="BO21" s="233"/>
    </row>
    <row r="22" spans="2:67" x14ac:dyDescent="0.35">
      <c r="B22" s="10" t="s">
        <v>3</v>
      </c>
      <c r="C22" s="11">
        <f t="shared" ref="C22:E22" si="32">C16/30</f>
        <v>173.26666666666668</v>
      </c>
      <c r="D22" s="11">
        <f t="shared" si="32"/>
        <v>169.33333333333334</v>
      </c>
      <c r="E22" s="11">
        <f t="shared" si="32"/>
        <v>218.3</v>
      </c>
      <c r="F22" s="11">
        <f>F16/30</f>
        <v>264.13333333333333</v>
      </c>
      <c r="G22" s="11">
        <f t="shared" ref="G22:L22" si="33">G16/(G$3-F$3)</f>
        <v>406.38709677419354</v>
      </c>
      <c r="H22" s="11">
        <f t="shared" si="33"/>
        <v>681.33333333333337</v>
      </c>
      <c r="I22" s="11">
        <f t="shared" si="33"/>
        <v>940.64516129032256</v>
      </c>
      <c r="J22" s="11">
        <f t="shared" si="33"/>
        <v>1539.2903225806451</v>
      </c>
      <c r="K22" s="11">
        <f t="shared" si="33"/>
        <v>2357.9333333333334</v>
      </c>
      <c r="L22" s="11">
        <f t="shared" si="33"/>
        <v>3984.1612903225805</v>
      </c>
      <c r="M22" s="11">
        <f t="shared" si="29"/>
        <v>6375.4666666666662</v>
      </c>
      <c r="N22" s="11">
        <f t="shared" si="29"/>
        <v>9514.322580645161</v>
      </c>
      <c r="W22" s="61"/>
      <c r="X22" s="61"/>
      <c r="Y22" s="61"/>
      <c r="Z22" s="61"/>
      <c r="AA22" s="61"/>
      <c r="AB22" s="61"/>
      <c r="AC22" s="61"/>
      <c r="AD22" s="61"/>
      <c r="AE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  <c r="BL22" s="233"/>
      <c r="BM22" s="233"/>
      <c r="BN22" s="233"/>
      <c r="BO22" s="233"/>
    </row>
    <row r="23" spans="2:67" x14ac:dyDescent="0.35">
      <c r="B23" s="8" t="s">
        <v>6</v>
      </c>
      <c r="C23" s="9">
        <f>SUM(C24:C25)</f>
        <v>9144.75</v>
      </c>
      <c r="D23" s="9">
        <f t="shared" ref="D23:N23" si="34">SUM(D24:D25)</f>
        <v>9603</v>
      </c>
      <c r="E23" s="9">
        <f t="shared" si="34"/>
        <v>13457.25</v>
      </c>
      <c r="F23" s="9">
        <f t="shared" si="34"/>
        <v>18463</v>
      </c>
      <c r="G23" s="9">
        <f t="shared" si="34"/>
        <v>41475.5</v>
      </c>
      <c r="H23" s="9">
        <f t="shared" si="34"/>
        <v>54875</v>
      </c>
      <c r="I23" s="9">
        <f t="shared" si="34"/>
        <v>79269.5</v>
      </c>
      <c r="J23" s="9">
        <f t="shared" si="34"/>
        <v>145034</v>
      </c>
      <c r="K23" s="9">
        <f t="shared" si="34"/>
        <v>201398</v>
      </c>
      <c r="L23" s="9">
        <f t="shared" si="34"/>
        <v>405690.75</v>
      </c>
      <c r="M23" s="9">
        <f t="shared" si="34"/>
        <v>467060.4167</v>
      </c>
      <c r="N23" s="9">
        <f t="shared" si="34"/>
        <v>648259.75</v>
      </c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3"/>
      <c r="BN23" s="233"/>
      <c r="BO23" s="233"/>
    </row>
    <row r="24" spans="2:67" x14ac:dyDescent="0.35">
      <c r="B24" s="10" t="s">
        <v>2</v>
      </c>
      <c r="C24" s="11">
        <v>2163.75</v>
      </c>
      <c r="D24" s="11">
        <v>2948.5</v>
      </c>
      <c r="E24" s="11">
        <v>4872</v>
      </c>
      <c r="F24" s="11">
        <v>8340.25</v>
      </c>
      <c r="G24" s="11">
        <v>25539.5</v>
      </c>
      <c r="H24" s="11">
        <v>30253.75</v>
      </c>
      <c r="I24" s="11">
        <v>44115.5</v>
      </c>
      <c r="J24" s="11">
        <v>84742.75</v>
      </c>
      <c r="K24" s="11">
        <v>113683.75</v>
      </c>
      <c r="L24" s="11">
        <v>239537.75</v>
      </c>
      <c r="M24" s="11">
        <v>226326.75</v>
      </c>
      <c r="N24" s="11">
        <f>16322415/60</f>
        <v>272040.25</v>
      </c>
      <c r="W24" s="61"/>
      <c r="X24" s="61"/>
      <c r="Y24" s="61"/>
      <c r="Z24" s="61"/>
      <c r="AA24" s="61"/>
      <c r="AB24" s="61"/>
      <c r="AC24" s="61"/>
      <c r="AD24" s="61"/>
      <c r="AE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3"/>
      <c r="BN24" s="233"/>
      <c r="BO24" s="233"/>
    </row>
    <row r="25" spans="2:67" x14ac:dyDescent="0.35">
      <c r="B25" s="10" t="s">
        <v>3</v>
      </c>
      <c r="C25" s="11">
        <v>6981</v>
      </c>
      <c r="D25" s="11">
        <v>6654.5</v>
      </c>
      <c r="E25" s="11">
        <v>8585.25</v>
      </c>
      <c r="F25" s="11">
        <v>10122.75</v>
      </c>
      <c r="G25" s="11">
        <v>15936</v>
      </c>
      <c r="H25" s="11">
        <v>24621.25</v>
      </c>
      <c r="I25" s="11">
        <v>35154</v>
      </c>
      <c r="J25" s="11">
        <v>60291.25</v>
      </c>
      <c r="K25" s="11">
        <v>87714.25</v>
      </c>
      <c r="L25" s="11">
        <v>166153</v>
      </c>
      <c r="M25" s="11">
        <v>240733.6667</v>
      </c>
      <c r="N25" s="11">
        <v>376219.5</v>
      </c>
      <c r="W25" s="61"/>
      <c r="X25" s="61"/>
      <c r="Y25" s="61"/>
      <c r="Z25" s="61"/>
      <c r="AA25" s="61"/>
      <c r="AB25" s="61"/>
      <c r="AC25" s="61"/>
      <c r="AD25" s="61"/>
      <c r="AE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</row>
    <row r="26" spans="2:67" x14ac:dyDescent="0.35">
      <c r="B26" s="8" t="s">
        <v>7</v>
      </c>
      <c r="C26" s="13">
        <f t="shared" ref="C26:L26" si="35">SUM(C27:C28)</f>
        <v>294.99193548387098</v>
      </c>
      <c r="D26" s="13">
        <f t="shared" si="35"/>
        <v>342.96428571428572</v>
      </c>
      <c r="E26" s="13">
        <f t="shared" si="35"/>
        <v>434.10483870967744</v>
      </c>
      <c r="F26" s="13">
        <f t="shared" si="35"/>
        <v>615.43333333333339</v>
      </c>
      <c r="G26" s="13">
        <f t="shared" si="35"/>
        <v>1337.9193548387098</v>
      </c>
      <c r="H26" s="13">
        <f t="shared" si="35"/>
        <v>1829.1666666666667</v>
      </c>
      <c r="I26" s="13">
        <f t="shared" si="35"/>
        <v>2557.0806451612902</v>
      </c>
      <c r="J26" s="13">
        <f t="shared" si="35"/>
        <v>4678.5161290322585</v>
      </c>
      <c r="K26" s="13">
        <f t="shared" si="35"/>
        <v>6713.2666666666664</v>
      </c>
      <c r="L26" s="13">
        <f t="shared" si="35"/>
        <v>13086.798387096775</v>
      </c>
      <c r="M26" s="13">
        <f t="shared" ref="M26:N26" si="36">SUM(M27:M28)</f>
        <v>15568.680556666666</v>
      </c>
      <c r="N26" s="13">
        <f t="shared" si="36"/>
        <v>20911.604838709678</v>
      </c>
      <c r="W26" s="61"/>
      <c r="X26" s="61"/>
      <c r="Y26" s="61"/>
      <c r="Z26" s="61"/>
      <c r="AA26" s="61"/>
      <c r="AB26" s="61"/>
      <c r="AC26" s="61"/>
      <c r="AD26" s="61"/>
      <c r="AE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3"/>
      <c r="BN26" s="233"/>
      <c r="BO26" s="233"/>
    </row>
    <row r="27" spans="2:67" x14ac:dyDescent="0.35">
      <c r="B27" s="10" t="s">
        <v>2</v>
      </c>
      <c r="C27" s="11">
        <f>C24/31</f>
        <v>69.798387096774192</v>
      </c>
      <c r="D27" s="11">
        <f t="shared" ref="D27:D28" si="37">D24/(D$3-C$3)</f>
        <v>105.30357142857143</v>
      </c>
      <c r="E27" s="11">
        <f t="shared" ref="E27:E28" si="38">E24/(E$3-D$3)</f>
        <v>157.16129032258064</v>
      </c>
      <c r="F27" s="11">
        <f t="shared" ref="F27:F28" si="39">F24/(F$3-E$3)</f>
        <v>278.00833333333333</v>
      </c>
      <c r="G27" s="11">
        <f t="shared" ref="G27:G28" si="40">G24/(G$3-F$3)</f>
        <v>823.85483870967744</v>
      </c>
      <c r="H27" s="11">
        <f t="shared" ref="H27:H28" si="41">H24/(H$3-G$3)</f>
        <v>1008.4583333333334</v>
      </c>
      <c r="I27" s="11">
        <f t="shared" ref="I27:I28" si="42">I24/(I$3-H$3)</f>
        <v>1423.0806451612902</v>
      </c>
      <c r="J27" s="11">
        <f t="shared" ref="J27:J28" si="43">J24/(J$3-I$3)</f>
        <v>2733.6370967741937</v>
      </c>
      <c r="K27" s="11">
        <f t="shared" ref="K27:K28" si="44">K24/(K$3-J$3)</f>
        <v>3789.4583333333335</v>
      </c>
      <c r="L27" s="11">
        <f t="shared" ref="L27:L28" si="45">L24/(L$3-K$3)</f>
        <v>7727.0241935483873</v>
      </c>
      <c r="M27" s="11">
        <f>M24/(M$3-L$3)</f>
        <v>7544.2250000000004</v>
      </c>
      <c r="N27" s="11">
        <f>N24/(N$3-M$3)</f>
        <v>8775.4919354838712</v>
      </c>
      <c r="W27" s="61"/>
      <c r="X27" s="61"/>
      <c r="Y27" s="61"/>
      <c r="Z27" s="61"/>
      <c r="AA27" s="61"/>
      <c r="AB27" s="61"/>
      <c r="AC27" s="61"/>
      <c r="AD27" s="61"/>
      <c r="AE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</row>
    <row r="28" spans="2:67" x14ac:dyDescent="0.35">
      <c r="B28" s="10" t="s">
        <v>3</v>
      </c>
      <c r="C28" s="11">
        <f>C25/31</f>
        <v>225.19354838709677</v>
      </c>
      <c r="D28" s="11">
        <f t="shared" si="37"/>
        <v>237.66071428571428</v>
      </c>
      <c r="E28" s="11">
        <f t="shared" si="38"/>
        <v>276.94354838709677</v>
      </c>
      <c r="F28" s="11">
        <f t="shared" si="39"/>
        <v>337.42500000000001</v>
      </c>
      <c r="G28" s="11">
        <f t="shared" si="40"/>
        <v>514.06451612903231</v>
      </c>
      <c r="H28" s="11">
        <f t="shared" si="41"/>
        <v>820.70833333333337</v>
      </c>
      <c r="I28" s="11">
        <f t="shared" si="42"/>
        <v>1134</v>
      </c>
      <c r="J28" s="11">
        <f t="shared" si="43"/>
        <v>1944.8790322580646</v>
      </c>
      <c r="K28" s="11">
        <f t="shared" si="44"/>
        <v>2923.8083333333334</v>
      </c>
      <c r="L28" s="11">
        <f t="shared" si="45"/>
        <v>5359.7741935483873</v>
      </c>
      <c r="M28" s="11">
        <f>M25/(M$3-L$3)</f>
        <v>8024.4555566666668</v>
      </c>
      <c r="N28" s="11">
        <f>N25/(N$3-M$3)</f>
        <v>12136.112903225807</v>
      </c>
      <c r="W28" s="61"/>
      <c r="X28" s="61"/>
      <c r="Y28" s="61"/>
      <c r="Z28" s="61"/>
      <c r="AA28" s="61"/>
      <c r="AB28" s="61"/>
      <c r="AC28" s="61"/>
      <c r="AD28" s="61"/>
      <c r="AE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3"/>
      <c r="BN28" s="233"/>
      <c r="BO28" s="233"/>
    </row>
    <row r="29" spans="2:67" x14ac:dyDescent="0.35">
      <c r="B29" s="535" t="s">
        <v>1479</v>
      </c>
      <c r="C29" s="533">
        <f t="shared" ref="C29:N31" si="46">C23/C14</f>
        <v>1.3324712224974502</v>
      </c>
      <c r="D29" s="533">
        <f t="shared" si="46"/>
        <v>1.277164516558053</v>
      </c>
      <c r="E29" s="533">
        <f t="shared" si="46"/>
        <v>1.2645414395790264</v>
      </c>
      <c r="F29" s="533">
        <f t="shared" si="46"/>
        <v>1.2325100133511349</v>
      </c>
      <c r="G29" s="533">
        <f t="shared" si="46"/>
        <v>1.1786495779931228</v>
      </c>
      <c r="H29" s="533">
        <f t="shared" si="46"/>
        <v>1.1623350490351825</v>
      </c>
      <c r="I29" s="533">
        <f t="shared" si="46"/>
        <v>1.1623775588011027</v>
      </c>
      <c r="J29" s="533">
        <f t="shared" si="46"/>
        <v>1.2207427109285569</v>
      </c>
      <c r="K29" s="533">
        <f t="shared" si="46"/>
        <v>1.1987833478172878</v>
      </c>
      <c r="L29" s="533">
        <f t="shared" si="46"/>
        <v>1.314327205929996</v>
      </c>
      <c r="M29" s="533">
        <f t="shared" si="46"/>
        <v>1.2433889725398326</v>
      </c>
      <c r="N29" s="533">
        <f t="shared" si="46"/>
        <v>1.2506337477934579</v>
      </c>
      <c r="W29" s="61"/>
      <c r="X29" s="61"/>
      <c r="Y29" s="61"/>
      <c r="Z29" s="61"/>
      <c r="AA29" s="61"/>
      <c r="AB29" s="61"/>
      <c r="AC29" s="61"/>
      <c r="AD29" s="61"/>
      <c r="AE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</row>
    <row r="30" spans="2:67" s="62" customFormat="1" x14ac:dyDescent="0.35">
      <c r="B30" s="538" t="s">
        <v>2</v>
      </c>
      <c r="C30" s="539">
        <f t="shared" si="46"/>
        <v>1.2995495495495495</v>
      </c>
      <c r="D30" s="539">
        <f t="shared" si="46"/>
        <v>1.2088970889708897</v>
      </c>
      <c r="E30" s="539">
        <f t="shared" si="46"/>
        <v>1.1903249450280968</v>
      </c>
      <c r="F30" s="539">
        <f t="shared" si="46"/>
        <v>1.1820082199546484</v>
      </c>
      <c r="G30" s="539">
        <f t="shared" si="46"/>
        <v>1.130516577398079</v>
      </c>
      <c r="H30" s="539">
        <f t="shared" si="46"/>
        <v>1.1300941317096858</v>
      </c>
      <c r="I30" s="539">
        <f t="shared" si="46"/>
        <v>1.1301234757659597</v>
      </c>
      <c r="J30" s="539">
        <f t="shared" si="46"/>
        <v>1.1920488113658743</v>
      </c>
      <c r="K30" s="539">
        <f t="shared" si="46"/>
        <v>1.1688163143609147</v>
      </c>
      <c r="L30" s="539">
        <f t="shared" si="46"/>
        <v>1.2936867773103118</v>
      </c>
      <c r="M30" s="539">
        <f t="shared" si="46"/>
        <v>1.2275615470979708</v>
      </c>
      <c r="N30" s="539">
        <f t="shared" si="46"/>
        <v>1.217721720135541</v>
      </c>
      <c r="O30" s="395"/>
      <c r="P30" s="395"/>
      <c r="AY30" s="540"/>
      <c r="AZ30" s="540"/>
      <c r="BA30" s="540"/>
      <c r="BB30" s="540"/>
      <c r="BC30" s="540"/>
      <c r="BD30" s="540"/>
      <c r="BE30" s="540"/>
      <c r="BF30" s="540"/>
      <c r="BG30" s="540"/>
      <c r="BH30" s="540"/>
      <c r="BI30" s="540"/>
      <c r="BJ30" s="540"/>
      <c r="BK30" s="540"/>
      <c r="BL30" s="540"/>
      <c r="BM30" s="540"/>
      <c r="BN30" s="540"/>
      <c r="BO30" s="540"/>
    </row>
    <row r="31" spans="2:67" s="62" customFormat="1" x14ac:dyDescent="0.35">
      <c r="B31" s="538" t="s">
        <v>3</v>
      </c>
      <c r="C31" s="539">
        <f t="shared" si="46"/>
        <v>1.3430165448249327</v>
      </c>
      <c r="D31" s="539">
        <f t="shared" si="46"/>
        <v>1.3099409448818897</v>
      </c>
      <c r="E31" s="539">
        <f t="shared" si="46"/>
        <v>1.3109253321117729</v>
      </c>
      <c r="F31" s="539">
        <f t="shared" si="46"/>
        <v>1.2774798081776881</v>
      </c>
      <c r="G31" s="539">
        <f t="shared" si="46"/>
        <v>1.2649626924908717</v>
      </c>
      <c r="H31" s="539">
        <f t="shared" si="46"/>
        <v>1.204562133072407</v>
      </c>
      <c r="I31" s="539">
        <f t="shared" si="46"/>
        <v>1.2055555555555555</v>
      </c>
      <c r="J31" s="539">
        <f t="shared" si="46"/>
        <v>1.2634907162915461</v>
      </c>
      <c r="K31" s="539">
        <f t="shared" si="46"/>
        <v>1.2399877010941784</v>
      </c>
      <c r="L31" s="539">
        <f t="shared" si="46"/>
        <v>1.3452703851541183</v>
      </c>
      <c r="M31" s="539">
        <f t="shared" si="46"/>
        <v>1.2586459903588756</v>
      </c>
      <c r="N31" s="539">
        <f t="shared" si="46"/>
        <v>1.2755624796571552</v>
      </c>
      <c r="O31" s="395"/>
      <c r="P31" s="395"/>
      <c r="AY31" s="540"/>
      <c r="AZ31" s="540"/>
      <c r="BA31" s="540"/>
      <c r="BB31" s="540"/>
      <c r="BC31" s="540"/>
      <c r="BD31" s="540"/>
      <c r="BE31" s="540"/>
      <c r="BF31" s="540"/>
      <c r="BG31" s="540"/>
      <c r="BH31" s="540"/>
      <c r="BI31" s="540"/>
      <c r="BJ31" s="540"/>
      <c r="BK31" s="540"/>
      <c r="BL31" s="540"/>
      <c r="BM31" s="540"/>
      <c r="BN31" s="540"/>
      <c r="BO31" s="540"/>
    </row>
    <row r="32" spans="2:67" x14ac:dyDescent="0.35">
      <c r="B32" s="8"/>
      <c r="C32" s="89"/>
      <c r="D32" s="89"/>
      <c r="E32" s="89"/>
      <c r="F32" s="89"/>
      <c r="G32" s="89"/>
      <c r="H32" s="89"/>
      <c r="I32" s="89"/>
      <c r="J32" s="89"/>
      <c r="K32" s="89"/>
      <c r="L32" s="103"/>
      <c r="M32" s="103"/>
      <c r="N32" s="103"/>
      <c r="W32" s="61"/>
      <c r="X32" s="61"/>
      <c r="Y32" s="61"/>
      <c r="Z32" s="61"/>
      <c r="AA32" s="61"/>
      <c r="AB32" s="61"/>
      <c r="AC32" s="61"/>
      <c r="AD32" s="61"/>
      <c r="AE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3"/>
      <c r="BN32" s="233"/>
      <c r="BO32" s="233"/>
    </row>
    <row r="33" spans="2:67" x14ac:dyDescent="0.35">
      <c r="B33" s="1" t="s">
        <v>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2"/>
      <c r="AS33" s="242"/>
      <c r="AT33" s="242"/>
      <c r="AU33" s="242"/>
      <c r="AV33" s="242"/>
      <c r="AW33" s="242"/>
      <c r="AX33" s="61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233"/>
      <c r="BL33" s="233"/>
      <c r="BM33" s="233"/>
      <c r="BN33" s="233"/>
      <c r="BO33" s="233"/>
    </row>
    <row r="34" spans="2:67" x14ac:dyDescent="0.35">
      <c r="B34" s="12"/>
      <c r="C34" s="42"/>
      <c r="D34" s="42"/>
      <c r="E34" s="42"/>
      <c r="F34" s="42"/>
      <c r="G34" s="42"/>
      <c r="H34" s="42"/>
      <c r="I34" s="42"/>
      <c r="J34" s="42"/>
      <c r="K34" s="205"/>
      <c r="L34" s="205"/>
      <c r="M34" s="205"/>
      <c r="N34" s="205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233"/>
      <c r="AZ34" s="233"/>
      <c r="BA34" s="233"/>
      <c r="BB34" s="233"/>
      <c r="BC34" s="233"/>
      <c r="BD34" s="233"/>
      <c r="BE34" s="233"/>
      <c r="BF34" s="233"/>
      <c r="BG34" s="233"/>
      <c r="BH34" s="233"/>
      <c r="BI34" s="233"/>
      <c r="BJ34" s="233"/>
      <c r="BK34" s="233"/>
      <c r="BL34" s="233"/>
      <c r="BM34" s="233"/>
      <c r="BN34" s="233"/>
      <c r="BO34" s="233"/>
    </row>
    <row r="35" spans="2:67" x14ac:dyDescent="0.35">
      <c r="B35" s="8" t="s">
        <v>10</v>
      </c>
      <c r="C35" s="9">
        <v>37</v>
      </c>
      <c r="D35" s="9">
        <v>40</v>
      </c>
      <c r="E35" s="9">
        <v>109</v>
      </c>
      <c r="F35" s="9">
        <v>245</v>
      </c>
      <c r="G35" s="9">
        <v>333</v>
      </c>
      <c r="H35" s="9">
        <v>670</v>
      </c>
      <c r="I35" s="9">
        <v>678</v>
      </c>
      <c r="J35" s="9">
        <v>1032</v>
      </c>
      <c r="K35" s="9">
        <v>1564</v>
      </c>
      <c r="L35" s="9">
        <v>2123</v>
      </c>
      <c r="M35" s="9">
        <v>2760</v>
      </c>
      <c r="N35" s="9">
        <v>3343</v>
      </c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  <c r="BN35" s="233"/>
      <c r="BO35" s="233"/>
    </row>
    <row r="36" spans="2:67" x14ac:dyDescent="0.35">
      <c r="B36" s="8" t="s">
        <v>1575</v>
      </c>
      <c r="C36" s="9">
        <f t="shared" ref="C36:E36" si="47">SUM(C37:C38)</f>
        <v>121</v>
      </c>
      <c r="D36" s="9">
        <f t="shared" si="47"/>
        <v>150</v>
      </c>
      <c r="E36" s="9">
        <f t="shared" si="47"/>
        <v>224</v>
      </c>
      <c r="F36" s="9">
        <f>SUM(F37:F38)</f>
        <v>386</v>
      </c>
      <c r="G36" s="9">
        <f t="shared" ref="G36:N36" si="48">SUM(G37:G38)</f>
        <v>637</v>
      </c>
      <c r="H36" s="9">
        <f t="shared" si="48"/>
        <v>1113</v>
      </c>
      <c r="I36" s="9">
        <f t="shared" si="48"/>
        <v>1566</v>
      </c>
      <c r="J36" s="9">
        <f t="shared" si="48"/>
        <v>2009</v>
      </c>
      <c r="K36" s="9">
        <f t="shared" si="48"/>
        <v>3176</v>
      </c>
      <c r="L36" s="9">
        <f t="shared" si="48"/>
        <v>4560</v>
      </c>
      <c r="M36" s="9">
        <f t="shared" si="48"/>
        <v>6182</v>
      </c>
      <c r="N36" s="9">
        <f t="shared" si="48"/>
        <v>8423</v>
      </c>
      <c r="O36" s="5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  <c r="BL36" s="233"/>
      <c r="BM36" s="233"/>
      <c r="BN36" s="233"/>
      <c r="BO36" s="233"/>
    </row>
    <row r="37" spans="2:67" x14ac:dyDescent="0.35">
      <c r="B37" s="10" t="s">
        <v>1576</v>
      </c>
      <c r="C37" s="11">
        <v>33</v>
      </c>
      <c r="D37" s="11">
        <v>46</v>
      </c>
      <c r="E37" s="11">
        <v>97</v>
      </c>
      <c r="F37" s="11">
        <v>210</v>
      </c>
      <c r="G37" s="11">
        <v>297</v>
      </c>
      <c r="H37" s="11">
        <v>582</v>
      </c>
      <c r="I37" s="11">
        <v>625</v>
      </c>
      <c r="J37" s="11">
        <v>812</v>
      </c>
      <c r="K37" s="11">
        <v>1481</v>
      </c>
      <c r="L37" s="11">
        <v>1838</v>
      </c>
      <c r="M37" s="11">
        <v>2487</v>
      </c>
      <c r="N37" s="11">
        <v>3061</v>
      </c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  <c r="BL37" s="233"/>
      <c r="BM37" s="233"/>
      <c r="BN37" s="233"/>
      <c r="BO37" s="233"/>
    </row>
    <row r="38" spans="2:67" x14ac:dyDescent="0.35">
      <c r="B38" s="10" t="s">
        <v>1577</v>
      </c>
      <c r="C38" s="11">
        <v>88</v>
      </c>
      <c r="D38" s="11">
        <v>104</v>
      </c>
      <c r="E38" s="11">
        <v>127</v>
      </c>
      <c r="F38" s="11">
        <v>176</v>
      </c>
      <c r="G38" s="11">
        <v>340</v>
      </c>
      <c r="H38" s="11">
        <v>531</v>
      </c>
      <c r="I38" s="11">
        <v>941</v>
      </c>
      <c r="J38" s="11">
        <v>1197</v>
      </c>
      <c r="K38" s="11">
        <v>1695</v>
      </c>
      <c r="L38" s="11">
        <v>2722</v>
      </c>
      <c r="M38" s="11">
        <v>3695</v>
      </c>
      <c r="N38" s="11">
        <v>5362</v>
      </c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</row>
    <row r="39" spans="2:67" s="7" customFormat="1" x14ac:dyDescent="0.35">
      <c r="B39" s="536"/>
      <c r="C39" s="16"/>
      <c r="D39" s="16"/>
      <c r="E39" s="16"/>
      <c r="F39" s="16"/>
      <c r="G39" s="16"/>
      <c r="H39" s="542"/>
      <c r="I39" s="542"/>
      <c r="J39" s="542"/>
      <c r="K39" s="542"/>
      <c r="L39" s="542"/>
      <c r="M39" s="542"/>
      <c r="N39" s="542"/>
      <c r="O39" s="465"/>
      <c r="P39" s="465"/>
      <c r="Q39" s="537"/>
      <c r="R39" s="537"/>
      <c r="S39" s="537"/>
      <c r="T39" s="537"/>
      <c r="U39" s="537"/>
      <c r="V39" s="537"/>
      <c r="W39" s="537"/>
      <c r="X39" s="537"/>
      <c r="Y39" s="537"/>
      <c r="Z39" s="537"/>
      <c r="AA39" s="537"/>
      <c r="AB39" s="537"/>
      <c r="AC39" s="537"/>
      <c r="AD39" s="537"/>
      <c r="AE39" s="537"/>
      <c r="AG39" s="537"/>
      <c r="AH39" s="537"/>
      <c r="AI39" s="537"/>
      <c r="AJ39" s="537"/>
      <c r="AK39" s="537"/>
      <c r="AL39" s="537"/>
      <c r="AM39" s="537"/>
      <c r="AN39" s="537"/>
      <c r="AO39" s="537"/>
      <c r="AP39" s="537"/>
      <c r="AQ39" s="537"/>
      <c r="AR39" s="537"/>
      <c r="AS39" s="537"/>
      <c r="AT39" s="537"/>
      <c r="AU39" s="537"/>
      <c r="AV39" s="537"/>
      <c r="AW39" s="537"/>
      <c r="AX39" s="537"/>
      <c r="AY39" s="466"/>
      <c r="AZ39" s="466"/>
      <c r="BA39" s="466"/>
      <c r="BB39" s="466"/>
      <c r="BC39" s="466"/>
      <c r="BD39" s="466"/>
      <c r="BE39" s="466"/>
      <c r="BF39" s="466"/>
      <c r="BG39" s="466"/>
      <c r="BH39" s="466"/>
      <c r="BI39" s="466"/>
      <c r="BJ39" s="466"/>
      <c r="BK39" s="466"/>
      <c r="BL39" s="466"/>
      <c r="BM39" s="466"/>
      <c r="BN39" s="466"/>
      <c r="BO39" s="466"/>
    </row>
    <row r="40" spans="2:67" x14ac:dyDescent="0.35">
      <c r="B40" s="12" t="s">
        <v>1585</v>
      </c>
      <c r="C40" s="42">
        <v>3374</v>
      </c>
      <c r="D40" s="42">
        <v>3698</v>
      </c>
      <c r="E40" s="42">
        <v>5350</v>
      </c>
      <c r="F40" s="42">
        <v>8602</v>
      </c>
      <c r="G40" s="42">
        <v>16535</v>
      </c>
      <c r="H40" s="42">
        <v>28634</v>
      </c>
      <c r="I40" s="42">
        <v>39739</v>
      </c>
      <c r="J40" s="42">
        <v>53626</v>
      </c>
      <c r="K40" s="42">
        <v>75747</v>
      </c>
      <c r="L40" s="37">
        <v>117432</v>
      </c>
      <c r="M40" s="37">
        <v>150778</v>
      </c>
      <c r="N40" s="37">
        <v>213124</v>
      </c>
      <c r="W40" s="188"/>
      <c r="X40" s="188"/>
      <c r="Y40" s="188"/>
      <c r="Z40" s="188"/>
      <c r="AA40" s="188"/>
      <c r="AB40" s="188"/>
      <c r="AC40" s="188"/>
      <c r="AD40" s="188"/>
      <c r="AE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61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</row>
    <row r="41" spans="2:67" x14ac:dyDescent="0.35">
      <c r="B41" s="12" t="s">
        <v>1586</v>
      </c>
      <c r="C41" s="42">
        <f>C40/C36</f>
        <v>27.884297520661157</v>
      </c>
      <c r="D41" s="42">
        <f t="shared" ref="D41:N41" si="49">D40/D36</f>
        <v>24.653333333333332</v>
      </c>
      <c r="E41" s="42">
        <f t="shared" si="49"/>
        <v>23.883928571428573</v>
      </c>
      <c r="F41" s="42">
        <f t="shared" si="49"/>
        <v>22.28497409326425</v>
      </c>
      <c r="G41" s="42">
        <f t="shared" si="49"/>
        <v>25.957613814756673</v>
      </c>
      <c r="H41" s="42">
        <f t="shared" si="49"/>
        <v>25.726864330637916</v>
      </c>
      <c r="I41" s="42">
        <f t="shared" si="49"/>
        <v>25.376117496807151</v>
      </c>
      <c r="J41" s="42">
        <f t="shared" si="49"/>
        <v>26.692882030861124</v>
      </c>
      <c r="K41" s="42">
        <f t="shared" si="49"/>
        <v>23.849811083123427</v>
      </c>
      <c r="L41" s="42">
        <f t="shared" si="49"/>
        <v>25.752631578947369</v>
      </c>
      <c r="M41" s="42">
        <f t="shared" si="49"/>
        <v>24.389841475250726</v>
      </c>
      <c r="N41" s="42">
        <f t="shared" si="49"/>
        <v>25.302623768253593</v>
      </c>
      <c r="W41" s="188"/>
      <c r="X41" s="188"/>
      <c r="Y41" s="188"/>
      <c r="Z41" s="188"/>
      <c r="AA41" s="188"/>
      <c r="AB41" s="188"/>
      <c r="AC41" s="188"/>
      <c r="AD41" s="188"/>
      <c r="AE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61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</row>
    <row r="42" spans="2:67" hidden="1" x14ac:dyDescent="0.35">
      <c r="B42" s="12" t="s">
        <v>1578</v>
      </c>
      <c r="C42" s="42">
        <v>2485</v>
      </c>
      <c r="D42" s="42">
        <v>2624</v>
      </c>
      <c r="E42" s="42">
        <v>3774</v>
      </c>
      <c r="F42" s="42">
        <v>6348</v>
      </c>
      <c r="G42" s="42">
        <v>10865</v>
      </c>
      <c r="H42" s="42">
        <v>19875</v>
      </c>
      <c r="I42" s="42">
        <v>27071</v>
      </c>
      <c r="J42" s="42">
        <v>36081</v>
      </c>
      <c r="K42" s="42">
        <v>53027</v>
      </c>
      <c r="L42" s="37">
        <v>82478</v>
      </c>
      <c r="M42" s="37">
        <v>110372</v>
      </c>
      <c r="N42" s="37">
        <v>160923</v>
      </c>
      <c r="W42" s="188"/>
      <c r="X42" s="188"/>
      <c r="Y42" s="188"/>
      <c r="Z42" s="188"/>
      <c r="AA42" s="188"/>
      <c r="AB42" s="188"/>
      <c r="AC42" s="188"/>
      <c r="AD42" s="188"/>
      <c r="AE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61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</row>
    <row r="43" spans="2:67" hidden="1" x14ac:dyDescent="0.35">
      <c r="B43" s="12" t="s">
        <v>1579</v>
      </c>
      <c r="C43" s="282">
        <f t="shared" ref="C43:L43" si="50">C42/C36</f>
        <v>20.537190082644628</v>
      </c>
      <c r="D43" s="282">
        <f t="shared" si="50"/>
        <v>17.493333333333332</v>
      </c>
      <c r="E43" s="282">
        <f t="shared" si="50"/>
        <v>16.848214285714285</v>
      </c>
      <c r="F43" s="282">
        <f t="shared" si="50"/>
        <v>16.445595854922281</v>
      </c>
      <c r="G43" s="282">
        <f t="shared" si="50"/>
        <v>17.056514913657772</v>
      </c>
      <c r="H43" s="282">
        <f t="shared" si="50"/>
        <v>17.857142857142858</v>
      </c>
      <c r="I43" s="282">
        <f t="shared" si="50"/>
        <v>17.286717752234992</v>
      </c>
      <c r="J43" s="282">
        <f t="shared" si="50"/>
        <v>17.959681433549029</v>
      </c>
      <c r="K43" s="282">
        <f t="shared" si="50"/>
        <v>16.696158690176322</v>
      </c>
      <c r="L43" s="282">
        <f t="shared" si="50"/>
        <v>18.087280701754388</v>
      </c>
      <c r="M43" s="282">
        <f>M42/M36</f>
        <v>17.853769006793918</v>
      </c>
      <c r="N43" s="282">
        <f>N42/N36</f>
        <v>19.105188175234478</v>
      </c>
      <c r="W43" s="390"/>
      <c r="X43" s="390"/>
      <c r="Y43" s="390"/>
      <c r="Z43" s="390"/>
      <c r="AA43" s="390"/>
      <c r="AB43" s="390"/>
      <c r="AC43" s="390"/>
      <c r="AD43" s="390"/>
      <c r="AE43" s="390"/>
      <c r="AG43" s="390"/>
      <c r="AH43" s="390"/>
      <c r="AI43" s="390"/>
      <c r="AJ43" s="390"/>
      <c r="AK43" s="390"/>
      <c r="AL43" s="390"/>
      <c r="AM43" s="390"/>
      <c r="AN43" s="390"/>
      <c r="AO43" s="390"/>
      <c r="AP43" s="390"/>
      <c r="AQ43" s="390"/>
      <c r="AR43" s="390"/>
      <c r="AS43" s="390"/>
      <c r="AT43" s="390"/>
      <c r="AU43" s="390"/>
      <c r="AV43" s="390"/>
      <c r="AW43" s="390"/>
      <c r="AX43" s="61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</row>
    <row r="44" spans="2:67" x14ac:dyDescent="0.35">
      <c r="B44" s="12" t="s">
        <v>1587</v>
      </c>
      <c r="C44" s="546">
        <f>C42/C40</f>
        <v>0.73651452282157681</v>
      </c>
      <c r="D44" s="546">
        <f t="shared" ref="D44:N44" si="51">D42/D40</f>
        <v>0.70957274202271503</v>
      </c>
      <c r="E44" s="546">
        <f t="shared" si="51"/>
        <v>0.70542056074766357</v>
      </c>
      <c r="F44" s="546">
        <f t="shared" si="51"/>
        <v>0.73796791443850263</v>
      </c>
      <c r="G44" s="546">
        <f t="shared" si="51"/>
        <v>0.65709101905049894</v>
      </c>
      <c r="H44" s="546">
        <f t="shared" si="51"/>
        <v>0.69410491024656007</v>
      </c>
      <c r="I44" s="546">
        <f t="shared" si="51"/>
        <v>0.68121996024056974</v>
      </c>
      <c r="J44" s="546">
        <f t="shared" si="51"/>
        <v>0.67282661395591692</v>
      </c>
      <c r="K44" s="546">
        <f t="shared" si="51"/>
        <v>0.70005412755620688</v>
      </c>
      <c r="L44" s="546">
        <f t="shared" si="51"/>
        <v>0.70234689011513041</v>
      </c>
      <c r="M44" s="546">
        <f t="shared" si="51"/>
        <v>0.73201660719733652</v>
      </c>
      <c r="N44" s="546">
        <f t="shared" si="51"/>
        <v>0.75506747245734873</v>
      </c>
      <c r="W44" s="390"/>
      <c r="X44" s="390"/>
      <c r="Y44" s="390"/>
      <c r="Z44" s="390"/>
      <c r="AA44" s="390"/>
      <c r="AB44" s="390"/>
      <c r="AC44" s="390"/>
      <c r="AD44" s="390"/>
      <c r="AE44" s="390"/>
      <c r="AG44" s="390"/>
      <c r="AH44" s="390"/>
      <c r="AI44" s="390"/>
      <c r="AJ44" s="390"/>
      <c r="AK44" s="390"/>
      <c r="AL44" s="390"/>
      <c r="AM44" s="390"/>
      <c r="AN44" s="390"/>
      <c r="AO44" s="390"/>
      <c r="AP44" s="390"/>
      <c r="AQ44" s="390"/>
      <c r="AR44" s="390"/>
      <c r="AS44" s="390"/>
      <c r="AT44" s="390"/>
      <c r="AU44" s="390"/>
      <c r="AV44" s="390"/>
      <c r="AW44" s="390"/>
      <c r="AX44" s="61"/>
      <c r="AY44" s="233"/>
      <c r="AZ44" s="233"/>
      <c r="BA44" s="233"/>
      <c r="BB44" s="233"/>
      <c r="BC44" s="233"/>
      <c r="BD44" s="233"/>
      <c r="BE44" s="233"/>
      <c r="BF44" s="233"/>
      <c r="BG44" s="233"/>
      <c r="BH44" s="233"/>
      <c r="BI44" s="233"/>
      <c r="BJ44" s="233"/>
      <c r="BK44" s="233"/>
      <c r="BL44" s="233"/>
      <c r="BM44" s="233"/>
      <c r="BN44" s="233"/>
      <c r="BO44" s="233"/>
    </row>
    <row r="45" spans="2:67" x14ac:dyDescent="0.35">
      <c r="B45" s="12" t="s">
        <v>1580</v>
      </c>
      <c r="C45" s="42">
        <v>16935</v>
      </c>
      <c r="D45" s="42">
        <v>17886</v>
      </c>
      <c r="E45" s="42">
        <v>27198</v>
      </c>
      <c r="F45" s="42">
        <v>53875.81</v>
      </c>
      <c r="G45" s="42">
        <v>92848</v>
      </c>
      <c r="H45" s="42">
        <v>173757</v>
      </c>
      <c r="I45" s="42">
        <v>239593</v>
      </c>
      <c r="J45" s="42">
        <v>339942</v>
      </c>
      <c r="K45" s="42">
        <v>515685</v>
      </c>
      <c r="L45" s="37">
        <v>809604.51670000004</v>
      </c>
      <c r="M45" s="37">
        <v>1100971</v>
      </c>
      <c r="N45" s="37">
        <f>96666701/60</f>
        <v>1611111.6833333333</v>
      </c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233"/>
      <c r="AZ45" s="233"/>
      <c r="BA45" s="233"/>
      <c r="BB45" s="233"/>
      <c r="BC45" s="233"/>
      <c r="BD45" s="233"/>
      <c r="BE45" s="233"/>
      <c r="BF45" s="233"/>
      <c r="BG45" s="233"/>
      <c r="BH45" s="233"/>
      <c r="BI45" s="233"/>
      <c r="BJ45" s="233"/>
      <c r="BK45" s="233"/>
      <c r="BL45" s="233"/>
      <c r="BM45" s="233"/>
      <c r="BN45" s="233"/>
      <c r="BO45" s="233"/>
    </row>
    <row r="46" spans="2:67" x14ac:dyDescent="0.35">
      <c r="B46" s="12" t="s">
        <v>1581</v>
      </c>
      <c r="C46" s="282">
        <f t="shared" ref="C46:L46" si="52">C45/C42</f>
        <v>6.8148893360160967</v>
      </c>
      <c r="D46" s="282">
        <f t="shared" si="52"/>
        <v>6.8163109756097562</v>
      </c>
      <c r="E46" s="282">
        <f t="shared" si="52"/>
        <v>7.2066772655007947</v>
      </c>
      <c r="F46" s="282">
        <f t="shared" si="52"/>
        <v>8.4870526149968484</v>
      </c>
      <c r="G46" s="282">
        <f t="shared" si="52"/>
        <v>8.5456051541647486</v>
      </c>
      <c r="H46" s="282">
        <f t="shared" si="52"/>
        <v>8.7424905660377359</v>
      </c>
      <c r="I46" s="282">
        <f t="shared" si="52"/>
        <v>8.8505411695171947</v>
      </c>
      <c r="J46" s="282">
        <f t="shared" si="52"/>
        <v>9.4216346553587762</v>
      </c>
      <c r="K46" s="282">
        <f t="shared" si="52"/>
        <v>9.7249514398325374</v>
      </c>
      <c r="L46" s="282">
        <f t="shared" si="52"/>
        <v>9.8160056827275159</v>
      </c>
      <c r="M46" s="282">
        <f>M45/M42</f>
        <v>9.9750933207697603</v>
      </c>
      <c r="N46" s="282">
        <f>N45/N42</f>
        <v>10.011693066456214</v>
      </c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  <c r="BL46" s="233"/>
      <c r="BM46" s="233"/>
      <c r="BN46" s="233"/>
      <c r="BO46" s="233"/>
    </row>
    <row r="47" spans="2:67" x14ac:dyDescent="0.35">
      <c r="B47" s="12"/>
      <c r="C47" s="42"/>
      <c r="D47" s="42"/>
      <c r="E47" s="42"/>
      <c r="F47" s="42"/>
      <c r="G47" s="42"/>
      <c r="H47" s="42"/>
      <c r="I47" s="42"/>
      <c r="J47" s="42"/>
      <c r="K47" s="42"/>
      <c r="L47" s="37"/>
      <c r="M47" s="37"/>
      <c r="N47" s="37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  <c r="BN47" s="233"/>
      <c r="BO47" s="233"/>
    </row>
    <row r="48" spans="2:67" x14ac:dyDescent="0.35">
      <c r="B48" s="12" t="s">
        <v>12</v>
      </c>
      <c r="C48" s="103">
        <f t="shared" ref="C48:N48" si="53">IFERROR(C23/C45,"")</f>
        <v>0.53999114260407444</v>
      </c>
      <c r="D48" s="103">
        <f t="shared" si="53"/>
        <v>0.53690036900369009</v>
      </c>
      <c r="E48" s="103">
        <f t="shared" si="53"/>
        <v>0.4947882197220384</v>
      </c>
      <c r="F48" s="103">
        <f t="shared" si="53"/>
        <v>0.34269554369576999</v>
      </c>
      <c r="G48" s="103">
        <f t="shared" si="53"/>
        <v>0.44670321385490264</v>
      </c>
      <c r="H48" s="103">
        <f t="shared" si="53"/>
        <v>0.31581461466300637</v>
      </c>
      <c r="I48" s="103">
        <f t="shared" si="53"/>
        <v>0.33085065089547694</v>
      </c>
      <c r="J48" s="103">
        <f t="shared" si="53"/>
        <v>0.42664336857463919</v>
      </c>
      <c r="K48" s="103">
        <f t="shared" si="53"/>
        <v>0.39054461541444874</v>
      </c>
      <c r="L48" s="103">
        <f t="shared" si="53"/>
        <v>0.50109743909732807</v>
      </c>
      <c r="M48" s="103">
        <f t="shared" si="53"/>
        <v>0.42422590304376773</v>
      </c>
      <c r="N48" s="103">
        <f t="shared" si="53"/>
        <v>0.40236797777964928</v>
      </c>
      <c r="O48" s="562"/>
      <c r="W48" s="188"/>
      <c r="X48" s="188"/>
      <c r="Y48" s="188"/>
      <c r="Z48" s="188"/>
      <c r="AA48" s="188"/>
      <c r="AB48" s="188"/>
      <c r="AC48" s="188"/>
      <c r="AD48" s="188"/>
      <c r="AE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61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  <c r="BL48" s="233"/>
      <c r="BM48" s="233"/>
      <c r="BN48" s="233"/>
      <c r="BO48" s="233"/>
    </row>
    <row r="49" spans="2:67" x14ac:dyDescent="0.35">
      <c r="B49" s="1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W49" s="188"/>
      <c r="X49" s="188"/>
      <c r="Y49" s="188"/>
      <c r="Z49" s="188"/>
      <c r="AA49" s="188"/>
      <c r="AB49" s="188"/>
      <c r="AC49" s="188"/>
      <c r="AD49" s="188"/>
      <c r="AE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61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</row>
    <row r="50" spans="2:67" x14ac:dyDescent="0.35">
      <c r="B50" s="12" t="s">
        <v>1266</v>
      </c>
      <c r="C50" s="236">
        <f t="shared" ref="C50:E50" si="54">SUM(C51:C52)</f>
        <v>11342.63459459459</v>
      </c>
      <c r="D50" s="236">
        <f t="shared" si="54"/>
        <v>26127.917000000001</v>
      </c>
      <c r="E50" s="236">
        <f t="shared" si="54"/>
        <v>12359.603027522937</v>
      </c>
      <c r="F50" s="236">
        <f t="shared" ref="F50:J50" si="55">SUM(F51:F52)</f>
        <v>10371.718612244898</v>
      </c>
      <c r="G50" s="236">
        <f t="shared" si="55"/>
        <v>11838.047147147146</v>
      </c>
      <c r="H50" s="236">
        <f t="shared" si="55"/>
        <v>9709.920940298507</v>
      </c>
      <c r="I50" s="236">
        <f t="shared" si="55"/>
        <v>10096.204690265487</v>
      </c>
      <c r="J50" s="236">
        <f t="shared" si="55"/>
        <v>8881.078846899225</v>
      </c>
      <c r="K50" s="236">
        <f t="shared" ref="K50:M50" si="56">SUM(K51:K52)</f>
        <v>7632.3539833759596</v>
      </c>
      <c r="L50" s="236">
        <f t="shared" si="56"/>
        <v>8498.7815496938292</v>
      </c>
      <c r="M50" s="236">
        <f t="shared" si="56"/>
        <v>6535.1709637681161</v>
      </c>
      <c r="N50" s="236">
        <f t="shared" ref="N50" si="57">SUM(N51:N52)</f>
        <v>6917.4876936883047</v>
      </c>
      <c r="O50" s="563"/>
      <c r="W50" s="61"/>
      <c r="X50" s="61"/>
      <c r="Y50" s="61"/>
      <c r="Z50" s="61"/>
      <c r="AA50" s="61"/>
      <c r="AB50" s="61"/>
      <c r="AC50" s="61"/>
      <c r="AD50" s="61"/>
      <c r="AE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</row>
    <row r="51" spans="2:67" x14ac:dyDescent="0.35">
      <c r="B51" s="10" t="s">
        <v>31</v>
      </c>
      <c r="C51" s="11">
        <f>'MIS P&amp;L'!C17/'Key Metrics'!C35*10^3</f>
        <v>4173.7313513513491</v>
      </c>
      <c r="D51" s="11">
        <f>'MIS P&amp;L'!D17/'Key Metrics'!D35*10^3</f>
        <v>13891.483249999999</v>
      </c>
      <c r="E51" s="11">
        <f>'MIS P&amp;L'!E17/'Key Metrics'!E35*10^3</f>
        <v>3473.3572477064226</v>
      </c>
      <c r="F51" s="11">
        <f>'MIS P&amp;L'!F17/'Key Metrics'!F35*10^3</f>
        <v>4373.9767755102039</v>
      </c>
      <c r="G51" s="11">
        <f>'MIS P&amp;L'!G17/'Key Metrics'!G35*10^3</f>
        <v>6371.0081081081071</v>
      </c>
      <c r="H51" s="11">
        <f>'MIS P&amp;L'!H17/'Key Metrics'!H35*10^3</f>
        <v>2744.972104477612</v>
      </c>
      <c r="I51" s="11">
        <f>'MIS P&amp;L'!I17/'Key Metrics'!I35*10^3</f>
        <v>3141.853200589971</v>
      </c>
      <c r="J51" s="11">
        <f>'MIS P&amp;L'!J17/'Key Metrics'!J35*10^3</f>
        <v>2321.3703391472873</v>
      </c>
      <c r="K51" s="11">
        <f>'MIS P&amp;L'!K17/'Key Metrics'!K35*10^3</f>
        <v>1488.1722378516622</v>
      </c>
      <c r="L51" s="11">
        <f>'MIS P&amp;L'!L17/'Key Metrics'!L35*10^3</f>
        <v>2124.2570277908621</v>
      </c>
      <c r="M51" s="11">
        <f>'MIS P&amp;L'!M17/'Key Metrics'!M35*10^3</f>
        <v>1688.1851992753625</v>
      </c>
      <c r="N51" s="11">
        <f>'MIS P&amp;L'!N17/'Key Metrics'!N35*10^3</f>
        <v>1644.7297397547115</v>
      </c>
      <c r="W51" s="61"/>
      <c r="X51" s="61"/>
      <c r="Y51" s="61"/>
      <c r="Z51" s="61"/>
      <c r="AA51" s="61"/>
      <c r="AB51" s="61"/>
      <c r="AC51" s="61"/>
      <c r="AD51" s="61"/>
      <c r="AE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</row>
    <row r="52" spans="2:67" x14ac:dyDescent="0.35">
      <c r="B52" s="10" t="s">
        <v>33</v>
      </c>
      <c r="C52" s="11">
        <f>'MIS P&amp;L'!C19/'Key Metrics'!C35*10^3</f>
        <v>7168.9032432432423</v>
      </c>
      <c r="D52" s="11">
        <f>'MIS P&amp;L'!D19/'Key Metrics'!D35*10^3</f>
        <v>12236.43375</v>
      </c>
      <c r="E52" s="11">
        <f>'MIS P&amp;L'!E19/'Key Metrics'!E35*10^3</f>
        <v>8886.2457798165142</v>
      </c>
      <c r="F52" s="11">
        <f>'MIS P&amp;L'!F19/'Key Metrics'!F35*10^3</f>
        <v>5997.7418367346945</v>
      </c>
      <c r="G52" s="11">
        <f>'MIS P&amp;L'!G19/'Key Metrics'!G35*10^3</f>
        <v>5467.0390390390394</v>
      </c>
      <c r="H52" s="11">
        <f>'MIS P&amp;L'!H19/'Key Metrics'!H35*10^3</f>
        <v>6964.9488358208955</v>
      </c>
      <c r="I52" s="11">
        <f>'MIS P&amp;L'!I19/'Key Metrics'!I35*10^3</f>
        <v>6954.3514896755159</v>
      </c>
      <c r="J52" s="11">
        <f>'MIS P&amp;L'!J19/'Key Metrics'!J35*10^3</f>
        <v>6559.7085077519378</v>
      </c>
      <c r="K52" s="11">
        <f>'MIS P&amp;L'!K19/'Key Metrics'!K35*10^3</f>
        <v>6144.1817455242972</v>
      </c>
      <c r="L52" s="11">
        <f>'MIS P&amp;L'!L19/'Key Metrics'!L35*10^3</f>
        <v>6374.5245219029675</v>
      </c>
      <c r="M52" s="11">
        <f>'MIS P&amp;L'!M19/'Key Metrics'!M35*10^3</f>
        <v>4846.9857644927533</v>
      </c>
      <c r="N52" s="11">
        <f>'MIS P&amp;L'!N19/'Key Metrics'!N35*10^3</f>
        <v>5272.7579539335929</v>
      </c>
      <c r="W52" s="61"/>
      <c r="X52" s="61"/>
      <c r="Y52" s="61"/>
      <c r="Z52" s="61"/>
      <c r="AA52" s="61"/>
      <c r="AB52" s="61"/>
      <c r="AC52" s="61"/>
      <c r="AD52" s="61"/>
      <c r="AE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</row>
    <row r="53" spans="2:67" x14ac:dyDescent="0.35"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7"/>
      <c r="M53" s="17"/>
      <c r="N53" s="17"/>
      <c r="X53" s="61"/>
      <c r="Y53" s="61"/>
      <c r="Z53" s="61"/>
      <c r="AA53" s="61"/>
      <c r="AB53" s="61"/>
      <c r="AC53" s="61"/>
      <c r="AD53" s="61"/>
      <c r="AE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</row>
    <row r="54" spans="2:67" x14ac:dyDescent="0.35">
      <c r="B54" s="1" t="s">
        <v>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61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</row>
    <row r="55" spans="2:67" x14ac:dyDescent="0.35">
      <c r="B55" s="12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AX55" s="61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</row>
    <row r="56" spans="2:67" x14ac:dyDescent="0.35">
      <c r="B56" s="12" t="s">
        <v>1588</v>
      </c>
      <c r="C56" s="37">
        <f>'MIS P&amp;L'!C7*10^3/C14</f>
        <v>245.58033405641191</v>
      </c>
      <c r="D56" s="37">
        <f>'MIS P&amp;L'!D7*10^3/D14</f>
        <v>233.10272890598057</v>
      </c>
      <c r="E56" s="37">
        <f>'MIS P&amp;L'!E7*10^3/E14</f>
        <v>230.68904461069582</v>
      </c>
      <c r="F56" s="37">
        <f>'MIS P&amp;L'!F7*10^3/F14</f>
        <v>225.61759692653828</v>
      </c>
      <c r="G56" s="37">
        <f>'MIS P&amp;L'!G7*10^3/G14</f>
        <v>214.98465116939954</v>
      </c>
      <c r="H56" s="37">
        <f>'MIS P&amp;L'!H7*10^3/H14</f>
        <v>218.76117048992822</v>
      </c>
      <c r="I56" s="37">
        <f>'MIS P&amp;L'!I7*10^3/I14</f>
        <v>218.93383761510941</v>
      </c>
      <c r="J56" s="37">
        <f>'MIS P&amp;L'!J7*10^3/J14</f>
        <v>231.93535140731268</v>
      </c>
      <c r="K56" s="37">
        <f>'MIS P&amp;L'!K7*10^3/K14</f>
        <v>223.84649938691211</v>
      </c>
      <c r="L56" s="37">
        <f>'MIS P&amp;L'!L7*10^3/L14</f>
        <v>240.55474021745684</v>
      </c>
      <c r="M56" s="37">
        <f>'MIS P&amp;L'!M7*10^3/M14</f>
        <v>225.28644187229958</v>
      </c>
      <c r="N56" s="37">
        <f>'MIS P&amp;L'!N7*10^3/N14</f>
        <v>225.27348947907768</v>
      </c>
      <c r="W56" s="61"/>
      <c r="X56" s="61"/>
      <c r="Y56" s="61"/>
      <c r="Z56" s="61"/>
      <c r="AA56" s="61"/>
      <c r="AB56" s="61"/>
      <c r="AC56" s="61"/>
      <c r="AD56" s="61"/>
      <c r="AE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</row>
    <row r="57" spans="2:67" x14ac:dyDescent="0.35">
      <c r="B57" s="12" t="s">
        <v>1589</v>
      </c>
      <c r="C57" s="37">
        <f>'MIS P&amp;L'!C7*10^3/C23</f>
        <v>184.30441866963611</v>
      </c>
      <c r="D57" s="37">
        <f>'MIS P&amp;L'!D7*10^3/D23</f>
        <v>182.51581991503363</v>
      </c>
      <c r="E57" s="37">
        <f>'MIS P&amp;L'!E7*10^3/E23</f>
        <v>182.42901133196045</v>
      </c>
      <c r="F57" s="37">
        <f>'MIS P&amp;L'!F7*10^3/F23</f>
        <v>183.05538655470636</v>
      </c>
      <c r="G57" s="37">
        <f>'MIS P&amp;L'!G7*10^3/G23</f>
        <v>182.39912454340515</v>
      </c>
      <c r="H57" s="37">
        <f>'MIS P&amp;L'!H7*10^3/H23</f>
        <v>188.20835753986336</v>
      </c>
      <c r="I57" s="37">
        <f>'MIS P&amp;L'!I7*10^3/I23</f>
        <v>188.35002100429551</v>
      </c>
      <c r="J57" s="37">
        <f>'MIS P&amp;L'!J7*10^3/J23</f>
        <v>189.99527855537326</v>
      </c>
      <c r="K57" s="37">
        <f>'MIS P&amp;L'!K7*10^3/K23</f>
        <v>186.72806874944146</v>
      </c>
      <c r="L57" s="37">
        <f>'MIS P&amp;L'!L7*10^3/L23</f>
        <v>183.02500255044507</v>
      </c>
      <c r="M57" s="37">
        <f>'MIS P&amp;L'!M7*10^3/M23</f>
        <v>181.18742151308763</v>
      </c>
      <c r="N57" s="37">
        <f>'MIS P&amp;L'!N7*10^3/N23</f>
        <v>180.12746727532061</v>
      </c>
      <c r="W57" s="61"/>
      <c r="X57" s="61"/>
      <c r="Y57" s="61"/>
      <c r="Z57" s="61"/>
      <c r="AA57" s="61"/>
      <c r="AB57" s="61"/>
      <c r="AC57" s="61"/>
      <c r="AD57" s="61"/>
      <c r="AE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</row>
    <row r="58" spans="2:67" x14ac:dyDescent="0.35">
      <c r="B58" s="12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W58" s="61"/>
      <c r="X58" s="61"/>
      <c r="Y58" s="61"/>
      <c r="Z58" s="61"/>
      <c r="AA58" s="61"/>
      <c r="AB58" s="61"/>
      <c r="AC58" s="61"/>
      <c r="AD58" s="61"/>
      <c r="AE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</row>
    <row r="59" spans="2:67" x14ac:dyDescent="0.35">
      <c r="B59" s="12" t="s">
        <v>14</v>
      </c>
      <c r="C59" s="37">
        <f>'MIS P&amp;L'!C8*10^3/C14</f>
        <v>191.86460002914177</v>
      </c>
      <c r="D59" s="37">
        <f>'MIS P&amp;L'!D8*10^3/D14</f>
        <v>240.53148689985372</v>
      </c>
      <c r="E59" s="37">
        <f>'MIS P&amp;L'!E8*10^3/E14</f>
        <v>223.42345987596318</v>
      </c>
      <c r="F59" s="37">
        <f>'MIS P&amp;L'!F8*10^3/F14</f>
        <v>311.50788184245664</v>
      </c>
      <c r="G59" s="37">
        <f>'MIS P&amp;L'!G8*10^3/G14</f>
        <v>287.74424564494586</v>
      </c>
      <c r="H59" s="37">
        <f>'MIS P&amp;L'!H8*10^3/H14</f>
        <v>343.01440596471161</v>
      </c>
      <c r="I59" s="37">
        <f>'MIS P&amp;L'!I8*10^3/I14</f>
        <v>304.96775954601446</v>
      </c>
      <c r="J59" s="37">
        <f>'MIS P&amp;L'!J8*10^3/J14</f>
        <v>293.73579397010303</v>
      </c>
      <c r="K59" s="37">
        <f>'MIS P&amp;L'!K8*10^3/K14</f>
        <v>254.05980035951956</v>
      </c>
      <c r="L59" s="37">
        <f>'MIS P&amp;L'!L8*10^3/L14</f>
        <v>260.62500628507001</v>
      </c>
      <c r="M59" s="37">
        <f>'MIS P&amp;L'!M8*10^3/M14</f>
        <v>248.55131550574359</v>
      </c>
      <c r="N59" s="37">
        <f>'MIS P&amp;L'!N8*10^3/N14</f>
        <v>261.26759851064452</v>
      </c>
      <c r="W59" s="61"/>
      <c r="X59" s="61"/>
      <c r="Y59" s="61"/>
      <c r="Z59" s="61"/>
      <c r="AA59" s="61"/>
      <c r="AB59" s="61"/>
      <c r="AC59" s="61"/>
      <c r="AD59" s="61"/>
      <c r="AE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</row>
    <row r="60" spans="2:67" x14ac:dyDescent="0.35">
      <c r="B60" s="12" t="s">
        <v>1265</v>
      </c>
      <c r="C60" s="37">
        <f>'MIS P&amp;L'!C8*10^3/C23</f>
        <v>143.99155253014024</v>
      </c>
      <c r="D60" s="37">
        <f>'MIS P&amp;L'!D8*10^3/D23</f>
        <v>188.33242215974175</v>
      </c>
      <c r="E60" s="37">
        <f>'MIS P&amp;L'!E8*10^3/E23</f>
        <v>176.68338330639617</v>
      </c>
      <c r="F60" s="37">
        <f>'MIS P&amp;L'!F8*10^3/F23</f>
        <v>252.74267832963224</v>
      </c>
      <c r="G60" s="37">
        <f>'MIS P&amp;L'!G8*10^3/G23</f>
        <v>244.13044472037708</v>
      </c>
      <c r="H60" s="37">
        <f>'MIS P&amp;L'!H8*10^3/H23</f>
        <v>295.10802952164011</v>
      </c>
      <c r="I60" s="37">
        <f>'MIS P&amp;L'!I8*10^3/I23</f>
        <v>262.36549151943689</v>
      </c>
      <c r="J60" s="37">
        <f>'MIS P&amp;L'!J8*10^3/J23</f>
        <v>240.620559386075</v>
      </c>
      <c r="K60" s="37">
        <f>'MIS P&amp;L'!K8*10^3/K23</f>
        <v>211.93137260548767</v>
      </c>
      <c r="L60" s="37">
        <f>'MIS P&amp;L'!L8*10^3/L23</f>
        <v>198.29537508557934</v>
      </c>
      <c r="M60" s="37">
        <f>'MIS P&amp;L'!M8*10^3/M23</f>
        <v>199.89827881297307</v>
      </c>
      <c r="N60" s="37">
        <f>'MIS P&amp;L'!N8*10^3/N23</f>
        <v>208.90816273877874</v>
      </c>
      <c r="W60" s="61"/>
      <c r="X60" s="61"/>
      <c r="Y60" s="61"/>
      <c r="Z60" s="61"/>
      <c r="AA60" s="61"/>
      <c r="AB60" s="61"/>
      <c r="AC60" s="61"/>
      <c r="AD60" s="61"/>
      <c r="AE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</row>
    <row r="61" spans="2:67" x14ac:dyDescent="0.35">
      <c r="B61" s="12" t="s">
        <v>15</v>
      </c>
      <c r="C61" s="37">
        <f t="shared" ref="C61:L61" si="58">C60*C48</f>
        <v>77.754162976085027</v>
      </c>
      <c r="D61" s="37">
        <f t="shared" si="58"/>
        <v>101.11574695292408</v>
      </c>
      <c r="E61" s="37">
        <f t="shared" si="58"/>
        <v>87.420856680638281</v>
      </c>
      <c r="F61" s="37">
        <f t="shared" si="58"/>
        <v>86.613789565298418</v>
      </c>
      <c r="G61" s="37">
        <f t="shared" si="58"/>
        <v>109.05385425641909</v>
      </c>
      <c r="H61" s="97">
        <f t="shared" si="58"/>
        <v>93.199428627335877</v>
      </c>
      <c r="I61" s="37">
        <f t="shared" si="58"/>
        <v>86.803793641717434</v>
      </c>
      <c r="J61" s="37">
        <f t="shared" si="58"/>
        <v>102.65916600478906</v>
      </c>
      <c r="K61" s="37">
        <f t="shared" si="58"/>
        <v>82.768656408466413</v>
      </c>
      <c r="L61" s="37">
        <f t="shared" si="58"/>
        <v>99.365304640227919</v>
      </c>
      <c r="M61" s="37">
        <f>M60*M48</f>
        <v>84.802027846328357</v>
      </c>
      <c r="N61" s="37">
        <f>N60*N48</f>
        <v>84.057954982864274</v>
      </c>
      <c r="W61" s="61"/>
      <c r="X61" s="61"/>
      <c r="Y61" s="61"/>
      <c r="Z61" s="61"/>
      <c r="AA61" s="61"/>
      <c r="AB61" s="61"/>
      <c r="AC61" s="61"/>
      <c r="AD61" s="61"/>
      <c r="AE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</row>
    <row r="62" spans="2:67" hidden="1" x14ac:dyDescent="0.35">
      <c r="B62" s="12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W62" s="61"/>
      <c r="X62" s="61"/>
      <c r="Y62" s="61"/>
      <c r="Z62" s="61"/>
      <c r="AA62" s="61"/>
      <c r="AB62" s="61"/>
      <c r="AC62" s="61"/>
      <c r="AD62" s="61"/>
      <c r="AE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</row>
    <row r="63" spans="2:67" hidden="1" x14ac:dyDescent="0.35">
      <c r="B63" s="12" t="s">
        <v>1590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>
        <f>('MIS P&amp;L'!M7-'MIS P&amp;L'!M11)/M14*10^3</f>
        <v>191.28789828610553</v>
      </c>
      <c r="N63" s="37">
        <f>('MIS P&amp;L'!N7-'MIS P&amp;L'!N11)/N14*10^3</f>
        <v>185.74136126331405</v>
      </c>
      <c r="W63" s="61"/>
      <c r="X63" s="61"/>
      <c r="Y63" s="61"/>
      <c r="Z63" s="61"/>
      <c r="AA63" s="61"/>
      <c r="AB63" s="61"/>
      <c r="AC63" s="61"/>
      <c r="AD63" s="61"/>
      <c r="AE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</row>
    <row r="64" spans="2:67" hidden="1" x14ac:dyDescent="0.35">
      <c r="B64" s="12" t="s">
        <v>1591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>
        <f>M63/M29</f>
        <v>153.84397200770374</v>
      </c>
      <c r="N64" s="37">
        <f>N63/N29</f>
        <v>148.51779075290813</v>
      </c>
      <c r="W64" s="61"/>
      <c r="X64" s="61"/>
      <c r="Y64" s="61"/>
      <c r="Z64" s="61"/>
      <c r="AA64" s="61"/>
      <c r="AB64" s="61"/>
      <c r="AC64" s="61"/>
      <c r="AD64" s="61"/>
      <c r="AE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</row>
    <row r="65" spans="2:67" hidden="1" x14ac:dyDescent="0.35">
      <c r="B65" s="12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W65" s="61"/>
      <c r="X65" s="61"/>
      <c r="Y65" s="61"/>
      <c r="Z65" s="61"/>
      <c r="AA65" s="61"/>
      <c r="AB65" s="61"/>
      <c r="AC65" s="61"/>
      <c r="AD65" s="61"/>
      <c r="AE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</row>
    <row r="66" spans="2:67" hidden="1" x14ac:dyDescent="0.35">
      <c r="B66" s="12" t="s">
        <v>1592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>
        <f>('MIS P&amp;L'!M7-'MIS P&amp;L'!M11-'MIS P&amp;L'!M29)/M14*10^3</f>
        <v>115.63024370120264</v>
      </c>
      <c r="N66" s="37">
        <f>('MIS P&amp;L'!N7-'MIS P&amp;L'!N11-'MIS P&amp;L'!N29)/N14*10^3</f>
        <v>119.33034607072742</v>
      </c>
      <c r="W66" s="61"/>
      <c r="X66" s="61"/>
      <c r="Y66" s="61"/>
      <c r="Z66" s="61"/>
      <c r="AA66" s="61"/>
      <c r="AB66" s="61"/>
      <c r="AC66" s="61"/>
      <c r="AD66" s="61"/>
      <c r="AE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</row>
    <row r="67" spans="2:67" hidden="1" x14ac:dyDescent="0.35">
      <c r="B67" s="12" t="s">
        <v>1593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>
        <f>M66/M29</f>
        <v>92.996034430809118</v>
      </c>
      <c r="N67" s="37">
        <f>N66/N29</f>
        <v>95.415901163123593</v>
      </c>
      <c r="W67" s="61"/>
      <c r="X67" s="61"/>
      <c r="Y67" s="61"/>
      <c r="Z67" s="61"/>
      <c r="AA67" s="61"/>
      <c r="AB67" s="61"/>
      <c r="AC67" s="61"/>
      <c r="AD67" s="61"/>
      <c r="AE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</row>
    <row r="68" spans="2:67" x14ac:dyDescent="0.35">
      <c r="B68" s="12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W68" s="61"/>
      <c r="X68" s="61"/>
      <c r="Y68" s="61"/>
      <c r="Z68" s="61"/>
      <c r="AA68" s="61"/>
      <c r="AB68" s="61"/>
      <c r="AC68" s="61"/>
      <c r="AD68" s="61"/>
      <c r="AE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</row>
    <row r="69" spans="2:67" x14ac:dyDescent="0.35">
      <c r="B69" s="12" t="s">
        <v>16</v>
      </c>
      <c r="C69" s="37">
        <f>'MIS P&amp;L'!C14*10^3/C14</f>
        <v>27.860881538685685</v>
      </c>
      <c r="D69" s="37">
        <f>'MIS P&amp;L'!D14*10^3/D14</f>
        <v>-33.030516026067311</v>
      </c>
      <c r="E69" s="37">
        <f>'MIS P&amp;L'!E14*10^3/E14</f>
        <v>-10.500656831422665</v>
      </c>
      <c r="F69" s="37">
        <f>'MIS P&amp;L'!F14*10^3/F14</f>
        <v>-104.91297730307076</v>
      </c>
      <c r="G69" s="37">
        <f>'MIS P&amp;L'!G14*10^3/G14</f>
        <v>-88.112971098922927</v>
      </c>
      <c r="H69" s="37">
        <f>'MIS P&amp;L'!H14*10^3/H14</f>
        <v>-140.18963716083115</v>
      </c>
      <c r="I69" s="37">
        <f>'MIS P&amp;L'!I14*10^3/I14</f>
        <v>-106.38027098363537</v>
      </c>
      <c r="J69" s="37">
        <f>'MIS P&amp;L'!J14*10^3/J14</f>
        <v>-87.438102905528254</v>
      </c>
      <c r="K69" s="37">
        <f>'MIS P&amp;L'!K14*10^3/K14</f>
        <v>-57.112367233723361</v>
      </c>
      <c r="L69" s="37">
        <f>'MIS P&amp;L'!L14*10^3/L14</f>
        <v>-58.364838175645033</v>
      </c>
      <c r="M69" s="37">
        <f>'MIS P&amp;L'!M14*10^3/M14</f>
        <v>-67.262634339185709</v>
      </c>
      <c r="N69" s="37">
        <f>'MIS P&amp;L'!N14*10^3/N14</f>
        <v>-85.650543479726238</v>
      </c>
      <c r="W69" s="61"/>
      <c r="X69" s="61"/>
      <c r="Y69" s="61"/>
      <c r="Z69" s="61"/>
      <c r="AA69" s="61"/>
      <c r="AB69" s="61"/>
      <c r="AC69" s="61"/>
      <c r="AD69" s="61"/>
      <c r="AE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</row>
    <row r="70" spans="2:67" x14ac:dyDescent="0.35">
      <c r="B70" s="12" t="s">
        <v>17</v>
      </c>
      <c r="C70" s="37">
        <f>'MIS P&amp;L'!C14*10^3/C23</f>
        <v>20.90918067743786</v>
      </c>
      <c r="D70" s="37">
        <f>'MIS P&amp;L'!D14*10^3/D23</f>
        <v>-25.862381547433106</v>
      </c>
      <c r="E70" s="37">
        <f>'MIS P&amp;L'!E14*10^3/E23</f>
        <v>-8.3039246502814468</v>
      </c>
      <c r="F70" s="37">
        <f>'MIS P&amp;L'!F14*10^3/F23</f>
        <v>-85.121399555868493</v>
      </c>
      <c r="G70" s="37">
        <f>'MIS P&amp;L'!G14*10^3/G23</f>
        <v>-74.75756386300344</v>
      </c>
      <c r="H70" s="37">
        <f>'MIS P&amp;L'!H14*10^3/H23</f>
        <v>-120.61035006833713</v>
      </c>
      <c r="I70" s="37">
        <f>'MIS P&amp;L'!I14*10^3/I23</f>
        <v>-91.519549889932421</v>
      </c>
      <c r="J70" s="37">
        <f>'MIS P&amp;L'!J14*10^3/J23</f>
        <v>-71.6269711240123</v>
      </c>
      <c r="K70" s="37">
        <f>'MIS P&amp;L'!K14*10^3/K23</f>
        <v>-47.641942422466919</v>
      </c>
      <c r="L70" s="37">
        <f>'MIS P&amp;L'!L14*10^3/L23</f>
        <v>-44.406627141486467</v>
      </c>
      <c r="M70" s="37">
        <f>'MIS P&amp;L'!M14*10^3/M23</f>
        <v>-54.09621270951952</v>
      </c>
      <c r="N70" s="37">
        <f>'MIS P&amp;L'!N14*10^3/N23</f>
        <v>-68.485712648361556</v>
      </c>
      <c r="W70" s="61"/>
      <c r="X70" s="61"/>
      <c r="Y70" s="61"/>
      <c r="Z70" s="61"/>
      <c r="AA70" s="61"/>
      <c r="AB70" s="61"/>
      <c r="AC70" s="61"/>
      <c r="AD70" s="61"/>
      <c r="AE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</row>
    <row r="71" spans="2:67" x14ac:dyDescent="0.35">
      <c r="B71" s="8" t="s">
        <v>18</v>
      </c>
      <c r="C71" s="205">
        <f t="shared" ref="C71:N71" si="59">IFERROR(C69/C56,"")</f>
        <v>0.11344915563265665</v>
      </c>
      <c r="D71" s="205">
        <f t="shared" si="59"/>
        <v>-0.14169939657544639</v>
      </c>
      <c r="E71" s="205">
        <f t="shared" si="59"/>
        <v>-4.5518662791912252E-2</v>
      </c>
      <c r="F71" s="205">
        <f t="shared" si="59"/>
        <v>-0.4650035224744935</v>
      </c>
      <c r="G71" s="205">
        <f t="shared" si="59"/>
        <v>-0.40985703220967779</v>
      </c>
      <c r="H71" s="205">
        <f t="shared" si="59"/>
        <v>-0.64083418847535145</v>
      </c>
      <c r="I71" s="205">
        <f t="shared" si="59"/>
        <v>-0.48590145836960236</v>
      </c>
      <c r="J71" s="205">
        <f t="shared" si="59"/>
        <v>-0.37699342672421698</v>
      </c>
      <c r="K71" s="205">
        <f t="shared" si="59"/>
        <v>-0.25514076561459337</v>
      </c>
      <c r="L71" s="205">
        <f t="shared" si="59"/>
        <v>-0.24262601569557243</v>
      </c>
      <c r="M71" s="205">
        <f t="shared" si="59"/>
        <v>-0.29856494594251959</v>
      </c>
      <c r="N71" s="205">
        <f t="shared" si="59"/>
        <v>-0.38020693725561988</v>
      </c>
      <c r="W71" s="188"/>
      <c r="X71" s="188"/>
      <c r="Y71" s="188"/>
      <c r="Z71" s="188"/>
      <c r="AA71" s="188"/>
      <c r="AB71" s="188"/>
      <c r="AC71" s="188"/>
      <c r="AD71" s="188"/>
      <c r="AE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61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</row>
    <row r="72" spans="2:67" x14ac:dyDescent="0.35">
      <c r="B72" s="8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W72" s="188"/>
      <c r="X72" s="188"/>
      <c r="Y72" s="188"/>
      <c r="Z72" s="188"/>
      <c r="AA72" s="188"/>
      <c r="AB72" s="188"/>
      <c r="AC72" s="188"/>
      <c r="AD72" s="188"/>
      <c r="AE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61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</row>
    <row r="73" spans="2:67" x14ac:dyDescent="0.35">
      <c r="B73" s="12" t="s">
        <v>1480</v>
      </c>
      <c r="C73" s="534">
        <f>'MIS P&amp;L'!C10/'MIS P&amp;L'!C7</f>
        <v>6.6130884859148947E-2</v>
      </c>
      <c r="D73" s="534">
        <f>'MIS P&amp;L'!D10/'MIS P&amp;L'!D7</f>
        <v>6.1099340540042263E-2</v>
      </c>
      <c r="E73" s="534">
        <f>'MIS P&amp;L'!E10/'MIS P&amp;L'!E7</f>
        <v>5.9356317456576074E-2</v>
      </c>
      <c r="F73" s="534">
        <f>'MIS P&amp;L'!F10/'MIS P&amp;L'!F7</f>
        <v>6.4801162260730141E-2</v>
      </c>
      <c r="G73" s="534">
        <f>'MIS P&amp;L'!G10/'MIS P&amp;L'!G7</f>
        <v>6.5753298171782742E-2</v>
      </c>
      <c r="H73" s="534">
        <f>'MIS P&amp;L'!H10/'MIS P&amp;L'!H7</f>
        <v>6.5335753000317978E-2</v>
      </c>
      <c r="I73" s="534">
        <f>'MIS P&amp;L'!I10/'MIS P&amp;L'!I7</f>
        <v>6.6521906472856801E-2</v>
      </c>
      <c r="J73" s="534">
        <f>'MIS P&amp;L'!J10/'MIS P&amp;L'!J7</f>
        <v>6.6292916992994347E-2</v>
      </c>
      <c r="K73" s="534">
        <f>'MIS P&amp;L'!K10/'MIS P&amp;L'!K7</f>
        <v>5.8295313221144278E-2</v>
      </c>
      <c r="L73" s="534">
        <f>'MIS P&amp;L'!L10/'MIS P&amp;L'!L7</f>
        <v>4.1702788566190425E-2</v>
      </c>
      <c r="M73" s="534">
        <f>'MIS P&amp;L'!M10/'MIS P&amp;L'!M7</f>
        <v>4.3021247872065516E-2</v>
      </c>
      <c r="N73" s="534">
        <f>'MIS P&amp;L'!N10/'MIS P&amp;L'!N7</f>
        <v>4.3452205313034585E-2</v>
      </c>
      <c r="W73" s="61"/>
      <c r="X73" s="61"/>
      <c r="Y73" s="61"/>
      <c r="Z73" s="61"/>
      <c r="AA73" s="61"/>
      <c r="AB73" s="61"/>
      <c r="AC73" s="61"/>
      <c r="AD73" s="61"/>
      <c r="AE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</row>
    <row r="74" spans="2:67" x14ac:dyDescent="0.35">
      <c r="B74" s="12" t="s">
        <v>1465</v>
      </c>
      <c r="C74" s="205">
        <f>'MIS P&amp;L'!C11/'MIS P&amp;L'!C7</f>
        <v>2.8297434070459346E-2</v>
      </c>
      <c r="D74" s="205">
        <f>'MIS P&amp;L'!D11/'MIS P&amp;L'!D7</f>
        <v>3.8981584219875173E-2</v>
      </c>
      <c r="E74" s="205">
        <f>'MIS P&amp;L'!E11/'MIS P&amp;L'!E7</f>
        <v>8.9352603747359319E-3</v>
      </c>
      <c r="F74" s="205">
        <f>'MIS P&amp;L'!F11/'MIS P&amp;L'!F7</f>
        <v>9.9149298370244908E-3</v>
      </c>
      <c r="G74" s="205">
        <f>'MIS P&amp;L'!G11/'MIS P&amp;L'!G7</f>
        <v>2.6040651553545812E-3</v>
      </c>
      <c r="H74" s="205">
        <f>'MIS P&amp;L'!H11/'MIS P&amp;L'!H7</f>
        <v>4.2435400548207622E-3</v>
      </c>
      <c r="I74" s="205">
        <f>'MIS P&amp;L'!I11/'MIS P&amp;L'!I7</f>
        <v>2.3295609674599472E-2</v>
      </c>
      <c r="J74" s="205">
        <f>'MIS P&amp;L'!J11/'MIS P&amp;L'!J7</f>
        <v>4.2440758434071454E-2</v>
      </c>
      <c r="K74" s="205">
        <f>'MIS P&amp;L'!K11/'MIS P&amp;L'!K7</f>
        <v>6.0279243748700077E-2</v>
      </c>
      <c r="L74" s="205">
        <f>'MIS P&amp;L'!L11/'MIS P&amp;L'!L7</f>
        <v>0.11624209993820656</v>
      </c>
      <c r="M74" s="205">
        <f>'MIS P&amp;L'!M11/'MIS P&amp;L'!M7</f>
        <v>0.1509125152123697</v>
      </c>
      <c r="N74" s="205">
        <f>'MIS P&amp;L'!N11/'MIS P&amp;L'!N7</f>
        <v>0.17548504401107168</v>
      </c>
      <c r="W74" s="61"/>
      <c r="X74" s="61"/>
      <c r="Y74" s="61"/>
      <c r="Z74" s="61"/>
      <c r="AA74" s="61"/>
      <c r="AB74" s="61"/>
      <c r="AC74" s="61"/>
      <c r="AD74" s="61"/>
      <c r="AE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</row>
    <row r="75" spans="2:67" x14ac:dyDescent="0.35">
      <c r="B75" s="8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W75" s="188"/>
      <c r="X75" s="188"/>
      <c r="Y75" s="188"/>
      <c r="Z75" s="188"/>
      <c r="AA75" s="188"/>
      <c r="AB75" s="188"/>
      <c r="AC75" s="188"/>
      <c r="AD75" s="188"/>
      <c r="AE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61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</row>
    <row r="76" spans="2:67" x14ac:dyDescent="0.35">
      <c r="B76" s="8" t="s">
        <v>296</v>
      </c>
      <c r="C76" s="37">
        <f>'MIS P&amp;L'!C26*10^3/C12</f>
        <v>907.00282608695647</v>
      </c>
      <c r="D76" s="37">
        <f>'MIS P&amp;L'!D26*10^3/D12</f>
        <v>835.69172457359446</v>
      </c>
      <c r="E76" s="37">
        <f>'MIS P&amp;L'!E26*10^3/E12</f>
        <v>592.10826249067861</v>
      </c>
      <c r="F76" s="37">
        <f>'MIS P&amp;L'!F26*10^3/F12</f>
        <v>653.07817934109494</v>
      </c>
      <c r="G76" s="37">
        <f>'MIS P&amp;L'!G26*10^3/G12</f>
        <v>629.81375076049483</v>
      </c>
      <c r="H76" s="37">
        <f>'MIS P&amp;L'!H26*10^3/H12</f>
        <v>847.20887460586948</v>
      </c>
      <c r="I76" s="37">
        <f>'MIS P&amp;L'!I26*10^3/I12</f>
        <v>886.8499223837058</v>
      </c>
      <c r="J76" s="37">
        <f>'MIS P&amp;L'!J26*10^3/J12</f>
        <v>1020.5879198784994</v>
      </c>
      <c r="K76" s="37">
        <f>'MIS P&amp;L'!K26*10^3/K12</f>
        <v>872.67244976485688</v>
      </c>
      <c r="L76" s="37">
        <f>'MIS P&amp;L'!L26*10^3/L12</f>
        <v>766.81094634873318</v>
      </c>
      <c r="M76" s="37">
        <f>'MIS P&amp;L'!M26*10^3/M12</f>
        <v>825.62573902829433</v>
      </c>
      <c r="N76" s="37">
        <f>'MIS P&amp;L'!N26*10^3/N12</f>
        <v>880.86646154598668</v>
      </c>
      <c r="Q76" s="225"/>
      <c r="R76" s="225"/>
      <c r="S76" s="225"/>
      <c r="T76" s="225"/>
      <c r="U76" s="225"/>
      <c r="V76" s="225"/>
      <c r="W76" s="61"/>
      <c r="X76" s="61"/>
      <c r="Y76" s="61"/>
      <c r="Z76" s="61"/>
      <c r="AA76" s="61"/>
      <c r="AB76" s="61"/>
      <c r="AC76" s="61"/>
      <c r="AD76" s="61"/>
      <c r="AE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</row>
    <row r="77" spans="2:67" x14ac:dyDescent="0.3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</row>
    <row r="78" spans="2:67" x14ac:dyDescent="0.35"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</row>
    <row r="79" spans="2:67" x14ac:dyDescent="0.35"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</row>
  </sheetData>
  <mergeCells count="1">
    <mergeCell ref="R10:AC12"/>
  </mergeCells>
  <pageMargins left="0.7" right="0.7" top="0.75" bottom="0.75" header="0.3" footer="0.3"/>
  <pageSetup orientation="portrait" r:id="rId1"/>
  <ignoredErrors>
    <ignoredError sqref="F20:F22 M56 M59:M60" formula="1"/>
    <ignoredError sqref="F11:K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8A07-8FFB-4BDF-A4A8-8D3C3E355EE3}">
  <dimension ref="A2:BL42"/>
  <sheetViews>
    <sheetView showGridLines="0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6" sqref="C6:K35"/>
    </sheetView>
  </sheetViews>
  <sheetFormatPr defaultColWidth="8.81640625" defaultRowHeight="14.5" x14ac:dyDescent="0.35"/>
  <cols>
    <col min="1" max="1" width="3.81640625" style="2" customWidth="1"/>
    <col min="2" max="2" width="28.453125" style="2" customWidth="1"/>
    <col min="3" max="11" width="12.81640625" style="2" customWidth="1"/>
    <col min="14" max="19" width="9" style="2" customWidth="1"/>
    <col min="20" max="27" width="8.81640625" style="2"/>
    <col min="28" max="28" width="12.08984375" style="2" customWidth="1"/>
    <col min="29" max="16384" width="8.81640625" style="2"/>
  </cols>
  <sheetData>
    <row r="2" spans="1:64" x14ac:dyDescent="0.35">
      <c r="A2" s="7"/>
      <c r="B2" s="31"/>
      <c r="C2" s="92" t="s">
        <v>23</v>
      </c>
      <c r="D2" s="92" t="s">
        <v>23</v>
      </c>
      <c r="E2" s="92" t="s">
        <v>23</v>
      </c>
      <c r="F2" s="92" t="s">
        <v>23</v>
      </c>
      <c r="G2" s="92" t="s">
        <v>23</v>
      </c>
      <c r="H2" s="92" t="s">
        <v>23</v>
      </c>
      <c r="I2" s="92" t="s">
        <v>23</v>
      </c>
      <c r="J2" s="92" t="s">
        <v>23</v>
      </c>
      <c r="K2" s="92" t="s">
        <v>23</v>
      </c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64" x14ac:dyDescent="0.35">
      <c r="B3" s="184" t="s">
        <v>1482</v>
      </c>
      <c r="C3" s="52">
        <v>45777</v>
      </c>
      <c r="D3" s="52">
        <f t="shared" ref="D3:K3" si="0">EOMONTH(C3,1)</f>
        <v>45808</v>
      </c>
      <c r="E3" s="52">
        <f t="shared" si="0"/>
        <v>45838</v>
      </c>
      <c r="F3" s="52">
        <f t="shared" si="0"/>
        <v>45869</v>
      </c>
      <c r="G3" s="52">
        <f t="shared" si="0"/>
        <v>45900</v>
      </c>
      <c r="H3" s="52">
        <f t="shared" si="0"/>
        <v>45930</v>
      </c>
      <c r="I3" s="52">
        <f t="shared" si="0"/>
        <v>45961</v>
      </c>
      <c r="J3" s="52">
        <f t="shared" si="0"/>
        <v>45991</v>
      </c>
      <c r="K3" s="52">
        <f t="shared" si="0"/>
        <v>46022</v>
      </c>
    </row>
    <row r="4" spans="1:64" x14ac:dyDescent="0.35">
      <c r="B4" s="3"/>
      <c r="C4" s="389">
        <v>506.96274029393146</v>
      </c>
      <c r="D4" s="389">
        <v>1134.7379835000002</v>
      </c>
      <c r="E4" s="389">
        <v>1549.1958330000004</v>
      </c>
      <c r="F4" s="4"/>
      <c r="G4" s="4"/>
      <c r="H4" s="4"/>
      <c r="I4" s="4"/>
      <c r="J4" s="4"/>
      <c r="K4" s="4"/>
    </row>
    <row r="5" spans="1:64" s="7" customFormat="1" x14ac:dyDescent="0.35">
      <c r="B5" s="6" t="s">
        <v>1483</v>
      </c>
      <c r="C5" s="4"/>
      <c r="D5" s="4"/>
      <c r="E5" s="4"/>
      <c r="F5" s="4"/>
      <c r="G5" s="4"/>
      <c r="H5" s="4"/>
      <c r="I5" s="4"/>
      <c r="J5" s="4"/>
      <c r="K5" s="4"/>
      <c r="L5" s="465"/>
      <c r="M5" s="465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  <c r="AP5" s="264"/>
      <c r="AQ5" s="264"/>
      <c r="AR5" s="264"/>
      <c r="AS5" s="264"/>
      <c r="AT5" s="264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</row>
    <row r="6" spans="1:64" s="7" customFormat="1" x14ac:dyDescent="0.35">
      <c r="B6" s="467" t="s">
        <v>1484</v>
      </c>
      <c r="C6" s="468"/>
      <c r="D6" s="468"/>
      <c r="E6" s="468"/>
      <c r="F6" s="468"/>
      <c r="G6" s="469">
        <v>0.88700000000000001</v>
      </c>
      <c r="H6" s="469">
        <v>0.89300000000000002</v>
      </c>
      <c r="I6" s="469">
        <v>0.81399999999999995</v>
      </c>
      <c r="J6" s="469">
        <v>0.86370000000000002</v>
      </c>
      <c r="K6" s="469">
        <v>0.88449999999999995</v>
      </c>
      <c r="L6" s="465"/>
      <c r="M6" s="465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V6" s="470"/>
      <c r="AW6" s="470"/>
      <c r="AX6" s="470"/>
      <c r="AY6" s="470"/>
      <c r="AZ6" s="470"/>
      <c r="BA6" s="470"/>
      <c r="BB6" s="470"/>
      <c r="BC6" s="470"/>
      <c r="BD6" s="470"/>
      <c r="BE6" s="470"/>
      <c r="BF6" s="470"/>
      <c r="BG6" s="470"/>
      <c r="BH6" s="470"/>
      <c r="BI6" s="470"/>
      <c r="BJ6" s="470"/>
      <c r="BK6" s="470"/>
      <c r="BL6" s="470"/>
    </row>
    <row r="7" spans="1:64" s="7" customFormat="1" x14ac:dyDescent="0.35">
      <c r="B7" s="467" t="s">
        <v>1485</v>
      </c>
      <c r="C7" s="468"/>
      <c r="D7" s="468"/>
      <c r="E7" s="468"/>
      <c r="F7" s="468"/>
      <c r="G7" s="469">
        <v>0.98289415999999996</v>
      </c>
      <c r="H7" s="469">
        <v>0.99192785000000006</v>
      </c>
      <c r="I7" s="469">
        <v>0.94681994999999997</v>
      </c>
      <c r="J7" s="469">
        <v>0.99399999999999999</v>
      </c>
      <c r="K7" s="469">
        <v>0.95599999999999996</v>
      </c>
      <c r="L7" s="465"/>
      <c r="M7" s="465"/>
      <c r="AC7" s="264"/>
      <c r="AD7" s="264"/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4"/>
      <c r="AQ7" s="264"/>
      <c r="AR7" s="264"/>
      <c r="AS7" s="264"/>
      <c r="AT7" s="264"/>
      <c r="AV7" s="470"/>
      <c r="AW7" s="470"/>
      <c r="AX7" s="470"/>
      <c r="AY7" s="470"/>
      <c r="AZ7" s="470"/>
      <c r="BA7" s="470"/>
      <c r="BB7" s="470"/>
      <c r="BC7" s="470"/>
      <c r="BD7" s="470"/>
      <c r="BE7" s="470"/>
      <c r="BF7" s="470"/>
      <c r="BG7" s="470"/>
      <c r="BH7" s="470"/>
      <c r="BI7" s="470"/>
      <c r="BJ7" s="470"/>
      <c r="BK7" s="470"/>
      <c r="BL7" s="470"/>
    </row>
    <row r="8" spans="1:64" x14ac:dyDescent="0.35">
      <c r="B8" s="12"/>
      <c r="C8" s="471"/>
      <c r="D8" s="471"/>
      <c r="E8" s="471"/>
      <c r="F8" s="471"/>
      <c r="G8" s="471"/>
      <c r="H8" s="471"/>
      <c r="I8" s="471"/>
      <c r="J8" s="471"/>
      <c r="K8" s="471"/>
      <c r="T8" s="62"/>
      <c r="U8" s="62"/>
      <c r="V8" s="62"/>
      <c r="W8" s="62"/>
      <c r="X8" s="62"/>
      <c r="Y8" s="62"/>
      <c r="Z8" s="62"/>
      <c r="AA8" s="62"/>
      <c r="AB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1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  <c r="BL8" s="233"/>
    </row>
    <row r="9" spans="1:64" s="7" customFormat="1" x14ac:dyDescent="0.35">
      <c r="B9" s="6" t="s">
        <v>1486</v>
      </c>
      <c r="C9" s="4"/>
      <c r="D9" s="4"/>
      <c r="E9" s="4"/>
      <c r="F9" s="4"/>
      <c r="G9" s="4"/>
      <c r="H9" s="4"/>
      <c r="I9" s="4"/>
      <c r="J9" s="4"/>
      <c r="K9" s="4"/>
      <c r="L9" s="465"/>
      <c r="M9" s="465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4"/>
      <c r="AO9" s="264"/>
      <c r="AP9" s="264"/>
      <c r="AQ9" s="264"/>
      <c r="AR9" s="264"/>
      <c r="AS9" s="264"/>
      <c r="AT9" s="264"/>
      <c r="AV9" s="466"/>
      <c r="AW9" s="466"/>
      <c r="AX9" s="466"/>
      <c r="AY9" s="466"/>
      <c r="AZ9" s="466"/>
      <c r="BA9" s="466"/>
      <c r="BB9" s="466"/>
      <c r="BC9" s="466"/>
      <c r="BD9" s="466"/>
      <c r="BE9" s="466"/>
      <c r="BF9" s="466"/>
      <c r="BG9" s="466"/>
      <c r="BH9" s="466"/>
      <c r="BI9" s="466"/>
      <c r="BJ9" s="466"/>
      <c r="BK9" s="466"/>
      <c r="BL9" s="466"/>
    </row>
    <row r="10" spans="1:64" x14ac:dyDescent="0.35">
      <c r="B10" s="12" t="s">
        <v>1487</v>
      </c>
      <c r="C10" s="471">
        <v>4.5599999999999996</v>
      </c>
      <c r="D10" s="471">
        <v>4.5199999999999996</v>
      </c>
      <c r="E10" s="471">
        <v>4.58</v>
      </c>
      <c r="F10" s="471">
        <v>4.63</v>
      </c>
      <c r="G10" s="471">
        <v>4.6399999999999997</v>
      </c>
      <c r="H10" s="471">
        <v>4.6399999999999997</v>
      </c>
      <c r="I10" s="471">
        <v>4.5710685409999998</v>
      </c>
      <c r="J10" s="471">
        <v>4.59</v>
      </c>
      <c r="K10" s="471">
        <v>4.6039875109999997</v>
      </c>
      <c r="T10" s="62"/>
      <c r="U10" s="62"/>
      <c r="V10" s="62"/>
      <c r="W10" s="62"/>
      <c r="X10" s="62"/>
      <c r="Y10" s="62"/>
      <c r="Z10" s="62"/>
      <c r="AA10" s="62"/>
      <c r="AB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1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</row>
    <row r="11" spans="1:64" x14ac:dyDescent="0.35">
      <c r="B11" s="10" t="s">
        <v>1488</v>
      </c>
      <c r="C11" s="472">
        <v>0.77925834108046688</v>
      </c>
      <c r="D11" s="472">
        <v>0.77925834108046688</v>
      </c>
      <c r="E11" s="472">
        <v>0.78717760000000003</v>
      </c>
      <c r="F11" s="472">
        <v>0.80329931249557018</v>
      </c>
      <c r="G11" s="472">
        <v>0.8034</v>
      </c>
      <c r="H11" s="472">
        <v>0.84</v>
      </c>
      <c r="I11" s="472">
        <v>0.77949999999999997</v>
      </c>
      <c r="J11" s="472">
        <v>0.78625</v>
      </c>
      <c r="K11" s="472">
        <v>0.79530000000000001</v>
      </c>
      <c r="T11" s="188"/>
      <c r="U11" s="188"/>
      <c r="V11" s="188"/>
      <c r="W11" s="188"/>
      <c r="X11" s="188"/>
      <c r="Y11" s="188"/>
      <c r="Z11" s="188"/>
      <c r="AA11" s="188"/>
      <c r="AB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61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</row>
    <row r="12" spans="1:64" x14ac:dyDescent="0.35">
      <c r="B12" s="10" t="s">
        <v>1489</v>
      </c>
      <c r="C12" s="472">
        <v>0.10226216299969011</v>
      </c>
      <c r="D12" s="472">
        <v>9.9699999999999997E-2</v>
      </c>
      <c r="E12" s="472">
        <v>9.9579600000000004E-2</v>
      </c>
      <c r="F12" s="472">
        <v>9.8554114395066977E-2</v>
      </c>
      <c r="G12" s="472">
        <v>9.7699999999999995E-2</v>
      </c>
      <c r="H12" s="472">
        <v>0.1</v>
      </c>
      <c r="I12" s="472">
        <v>0.1069</v>
      </c>
      <c r="J12" s="472">
        <v>0.1047</v>
      </c>
      <c r="K12" s="472">
        <v>0.1002</v>
      </c>
      <c r="T12" s="188"/>
      <c r="U12" s="188"/>
      <c r="V12" s="188"/>
      <c r="W12" s="188"/>
      <c r="X12" s="188"/>
      <c r="Y12" s="188"/>
      <c r="Z12" s="188"/>
      <c r="AA12" s="188"/>
      <c r="AB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61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</row>
    <row r="13" spans="1:64" x14ac:dyDescent="0.35">
      <c r="B13" s="10" t="s">
        <v>1490</v>
      </c>
      <c r="C13" s="472">
        <v>5.0924491271562858E-2</v>
      </c>
      <c r="D13" s="472">
        <v>5.3999999999999999E-2</v>
      </c>
      <c r="E13" s="472">
        <v>5.4647800000000003E-2</v>
      </c>
      <c r="F13" s="472">
        <v>4.9471968247218084E-2</v>
      </c>
      <c r="G13" s="472">
        <v>4.9200000000000001E-2</v>
      </c>
      <c r="H13" s="472">
        <v>0.01</v>
      </c>
      <c r="I13" s="472">
        <v>5.4899999999999997E-2</v>
      </c>
      <c r="J13" s="472">
        <v>5.3589999999999999E-2</v>
      </c>
      <c r="K13" s="472">
        <v>5.0799999999999998E-2</v>
      </c>
      <c r="T13" s="188"/>
      <c r="U13" s="188"/>
      <c r="V13" s="188"/>
      <c r="W13" s="188"/>
      <c r="X13" s="188"/>
      <c r="Y13" s="188"/>
      <c r="Z13" s="188"/>
      <c r="AA13" s="188"/>
      <c r="AB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61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</row>
    <row r="14" spans="1:64" x14ac:dyDescent="0.35">
      <c r="B14" s="10" t="s">
        <v>1491</v>
      </c>
      <c r="C14" s="472">
        <v>3.0781944014048136E-2</v>
      </c>
      <c r="D14" s="472">
        <v>3.0499999999999999E-2</v>
      </c>
      <c r="E14" s="472">
        <v>2.23684E-2</v>
      </c>
      <c r="F14" s="472">
        <v>1.9172159614430504E-2</v>
      </c>
      <c r="G14" s="472">
        <v>2.0199999999999999E-2</v>
      </c>
      <c r="H14" s="472">
        <v>0.02</v>
      </c>
      <c r="I14" s="472">
        <v>2.2700000000000001E-2</v>
      </c>
      <c r="J14" s="472">
        <v>2.1340000000000001E-2</v>
      </c>
      <c r="K14" s="472">
        <v>2.0199999999999999E-2</v>
      </c>
      <c r="T14" s="188"/>
      <c r="U14" s="188"/>
      <c r="V14" s="188"/>
      <c r="W14" s="188"/>
      <c r="X14" s="188"/>
      <c r="Y14" s="188"/>
      <c r="Z14" s="188"/>
      <c r="AA14" s="188"/>
      <c r="AB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61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</row>
    <row r="15" spans="1:64" x14ac:dyDescent="0.35">
      <c r="B15" s="10" t="s">
        <v>1492</v>
      </c>
      <c r="C15" s="472">
        <v>3.6773060634232003E-2</v>
      </c>
      <c r="D15" s="472">
        <v>4.0099999999999997E-2</v>
      </c>
      <c r="E15" s="472">
        <v>3.6226599999999998E-2</v>
      </c>
      <c r="F15" s="472">
        <v>2.9502445247714226E-2</v>
      </c>
      <c r="G15" s="472">
        <v>2.9600000000000001E-2</v>
      </c>
      <c r="H15" s="472">
        <v>0.03</v>
      </c>
      <c r="I15" s="472">
        <v>3.61E-2</v>
      </c>
      <c r="J15" s="472">
        <v>3.4110000000000001E-2</v>
      </c>
      <c r="K15" s="472">
        <v>3.3300000000000003E-2</v>
      </c>
      <c r="T15" s="188"/>
      <c r="U15" s="188"/>
      <c r="V15" s="188"/>
      <c r="W15" s="188"/>
      <c r="X15" s="188"/>
      <c r="Y15" s="188"/>
      <c r="Z15" s="188"/>
      <c r="AA15" s="188"/>
      <c r="AB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61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</row>
    <row r="16" spans="1:64" x14ac:dyDescent="0.35">
      <c r="B16" s="12"/>
      <c r="C16" s="14"/>
      <c r="D16" s="14"/>
      <c r="E16" s="14"/>
      <c r="F16" s="14"/>
      <c r="G16" s="14"/>
      <c r="H16" s="14"/>
      <c r="I16" s="14"/>
      <c r="J16" s="14"/>
      <c r="K16" s="14"/>
      <c r="AU16" s="61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  <c r="BL16" s="233"/>
    </row>
    <row r="17" spans="2:64" s="7" customFormat="1" x14ac:dyDescent="0.35">
      <c r="B17" s="6" t="s">
        <v>1493</v>
      </c>
      <c r="C17" s="4"/>
      <c r="D17" s="4"/>
      <c r="E17" s="4"/>
      <c r="F17" s="4"/>
      <c r="G17" s="4"/>
      <c r="H17" s="4"/>
      <c r="I17" s="4"/>
      <c r="J17" s="4"/>
      <c r="K17" s="4"/>
      <c r="L17" s="465"/>
      <c r="M17" s="465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4"/>
      <c r="AN17" s="264"/>
      <c r="AO17" s="264"/>
      <c r="AP17" s="264"/>
      <c r="AQ17" s="264"/>
      <c r="AR17" s="264"/>
      <c r="AS17" s="264"/>
      <c r="AT17" s="264"/>
      <c r="AV17" s="466"/>
      <c r="AW17" s="466"/>
      <c r="AX17" s="466"/>
      <c r="AY17" s="466"/>
      <c r="AZ17" s="466"/>
      <c r="BA17" s="466"/>
      <c r="BB17" s="466"/>
      <c r="BC17" s="466"/>
      <c r="BD17" s="466"/>
      <c r="BE17" s="466"/>
      <c r="BF17" s="466"/>
      <c r="BG17" s="466"/>
      <c r="BH17" s="466"/>
      <c r="BI17" s="466"/>
      <c r="BJ17" s="466"/>
      <c r="BK17" s="466"/>
      <c r="BL17" s="466"/>
    </row>
    <row r="18" spans="2:64" s="7" customFormat="1" x14ac:dyDescent="0.35">
      <c r="B18" s="481" t="s">
        <v>1502</v>
      </c>
      <c r="C18" s="4"/>
      <c r="D18" s="4"/>
      <c r="E18" s="4"/>
      <c r="F18" s="4"/>
      <c r="G18" s="4"/>
      <c r="H18" s="4"/>
      <c r="I18" s="4"/>
      <c r="J18" s="4"/>
      <c r="K18" s="4"/>
      <c r="L18" s="465"/>
      <c r="M18" s="465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4"/>
      <c r="AN18" s="264"/>
      <c r="AO18" s="264"/>
      <c r="AP18" s="264"/>
      <c r="AQ18" s="264"/>
      <c r="AR18" s="264"/>
      <c r="AS18" s="264"/>
      <c r="AT18" s="264"/>
      <c r="AV18" s="466"/>
      <c r="AW18" s="466"/>
      <c r="AX18" s="466"/>
      <c r="AY18" s="466"/>
      <c r="AZ18" s="466"/>
      <c r="BA18" s="466"/>
      <c r="BB18" s="466"/>
      <c r="BC18" s="466"/>
      <c r="BD18" s="466"/>
      <c r="BE18" s="466"/>
      <c r="BF18" s="466"/>
      <c r="BG18" s="466"/>
      <c r="BH18" s="466"/>
      <c r="BI18" s="466"/>
      <c r="BJ18" s="466"/>
      <c r="BK18" s="466"/>
      <c r="BL18" s="466"/>
    </row>
    <row r="19" spans="2:64" x14ac:dyDescent="0.35">
      <c r="B19" s="473" t="s">
        <v>1503</v>
      </c>
      <c r="C19" s="474">
        <v>19.309999999999999</v>
      </c>
      <c r="D19" s="474">
        <v>19.25</v>
      </c>
      <c r="E19" s="474">
        <v>19.22</v>
      </c>
      <c r="F19" s="474">
        <v>18.07</v>
      </c>
      <c r="G19" s="474">
        <v>18.12</v>
      </c>
      <c r="H19" s="474">
        <v>17.87</v>
      </c>
      <c r="I19" s="474">
        <v>19.579999999999998</v>
      </c>
      <c r="J19" s="474">
        <v>18.083333</v>
      </c>
      <c r="K19" s="474">
        <v>17.483329999999999</v>
      </c>
    </row>
    <row r="20" spans="2:64" x14ac:dyDescent="0.35">
      <c r="B20" s="479" t="s">
        <v>1494</v>
      </c>
      <c r="C20" s="480">
        <v>0.02</v>
      </c>
      <c r="D20" s="480">
        <v>0.05</v>
      </c>
      <c r="E20" s="480">
        <v>0.12</v>
      </c>
      <c r="F20" s="480">
        <v>0.13</v>
      </c>
      <c r="G20" s="480">
        <v>0.12</v>
      </c>
      <c r="H20" s="480">
        <v>7.0000000000000007E-2</v>
      </c>
      <c r="I20" s="480">
        <v>0.05</v>
      </c>
      <c r="J20" s="480">
        <v>0.03</v>
      </c>
      <c r="K20" s="480">
        <v>0.05</v>
      </c>
    </row>
    <row r="21" spans="2:64" x14ac:dyDescent="0.35">
      <c r="B21" s="479" t="s">
        <v>1495</v>
      </c>
      <c r="C21" s="480">
        <v>1.18</v>
      </c>
      <c r="D21" s="480">
        <v>0.98</v>
      </c>
      <c r="E21" s="480">
        <v>0.48</v>
      </c>
      <c r="F21" s="480">
        <v>0.42</v>
      </c>
      <c r="G21" s="480">
        <v>0.4</v>
      </c>
      <c r="H21" s="480">
        <v>0.35</v>
      </c>
      <c r="I21" s="480">
        <v>0.4</v>
      </c>
      <c r="J21" s="480">
        <v>0.48</v>
      </c>
      <c r="K21" s="480">
        <v>0.37</v>
      </c>
    </row>
    <row r="22" spans="2:64" x14ac:dyDescent="0.35">
      <c r="B22" s="479" t="s">
        <v>1496</v>
      </c>
      <c r="C22" s="480">
        <v>10.18</v>
      </c>
      <c r="D22" s="480">
        <v>8.93</v>
      </c>
      <c r="E22" s="480">
        <v>8.43</v>
      </c>
      <c r="F22" s="480">
        <v>7.65</v>
      </c>
      <c r="G22" s="480">
        <v>7.08</v>
      </c>
      <c r="H22" s="480">
        <v>6.6</v>
      </c>
      <c r="I22" s="480">
        <v>7.35</v>
      </c>
      <c r="J22" s="480">
        <v>7.42</v>
      </c>
      <c r="K22" s="480">
        <v>7.58</v>
      </c>
    </row>
    <row r="23" spans="2:64" x14ac:dyDescent="0.35">
      <c r="B23" s="479" t="s">
        <v>1497</v>
      </c>
      <c r="C23" s="480">
        <v>2.88</v>
      </c>
      <c r="D23" s="480">
        <v>5.52</v>
      </c>
      <c r="E23" s="480">
        <v>6.6</v>
      </c>
      <c r="F23" s="480">
        <v>6.9</v>
      </c>
      <c r="G23" s="480">
        <v>7.9</v>
      </c>
      <c r="H23" s="480">
        <v>8.6199999999999992</v>
      </c>
      <c r="I23" s="480">
        <v>8.6999999999999993</v>
      </c>
      <c r="J23" s="480">
        <v>7.12</v>
      </c>
      <c r="K23" s="480">
        <v>6.8</v>
      </c>
    </row>
    <row r="24" spans="2:64" s="7" customFormat="1" ht="10" customHeight="1" x14ac:dyDescent="0.35">
      <c r="B24" s="475"/>
      <c r="C24" s="476"/>
      <c r="D24" s="476"/>
      <c r="E24" s="476"/>
      <c r="F24" s="476"/>
      <c r="G24" s="476"/>
      <c r="H24" s="476"/>
      <c r="I24" s="476"/>
      <c r="J24" s="476"/>
      <c r="K24" s="476"/>
      <c r="L24" s="465"/>
      <c r="M24" s="465"/>
    </row>
    <row r="25" spans="2:64" s="7" customFormat="1" x14ac:dyDescent="0.35">
      <c r="B25" s="481" t="s">
        <v>1505</v>
      </c>
      <c r="C25" s="476"/>
      <c r="D25" s="476"/>
      <c r="E25" s="476"/>
      <c r="F25" s="476"/>
      <c r="G25" s="476"/>
      <c r="H25" s="476"/>
      <c r="I25" s="476"/>
      <c r="J25" s="476"/>
      <c r="K25" s="476"/>
      <c r="L25" s="465"/>
      <c r="M25" s="465"/>
    </row>
    <row r="26" spans="2:64" x14ac:dyDescent="0.35">
      <c r="B26" s="473" t="s">
        <v>1504</v>
      </c>
      <c r="C26" s="474">
        <v>45.6</v>
      </c>
      <c r="D26" s="474">
        <v>47</v>
      </c>
      <c r="E26" s="474">
        <v>37.49</v>
      </c>
      <c r="F26" s="474">
        <v>33.979999999999997</v>
      </c>
      <c r="G26" s="474">
        <v>36.35</v>
      </c>
      <c r="H26" s="474">
        <v>34.79</v>
      </c>
      <c r="I26" s="474">
        <v>42.68</v>
      </c>
      <c r="J26" s="474">
        <v>37.316667000000002</v>
      </c>
      <c r="K26" s="474">
        <v>33.816670000000002</v>
      </c>
    </row>
    <row r="27" spans="2:64" x14ac:dyDescent="0.35">
      <c r="B27" s="479" t="s">
        <v>1494</v>
      </c>
      <c r="C27" s="480">
        <v>12.932</v>
      </c>
      <c r="D27" s="480">
        <v>11.456</v>
      </c>
      <c r="E27" s="480">
        <v>8</v>
      </c>
      <c r="F27" s="480">
        <v>5.63</v>
      </c>
      <c r="G27" s="480">
        <v>6.07</v>
      </c>
      <c r="H27" s="480">
        <v>4.7679999999999998</v>
      </c>
      <c r="I27" s="480">
        <v>7.03</v>
      </c>
      <c r="J27" s="480">
        <v>0.17</v>
      </c>
      <c r="K27" s="480">
        <v>7.08</v>
      </c>
    </row>
    <row r="28" spans="2:64" x14ac:dyDescent="0.35">
      <c r="B28" s="479" t="s">
        <v>1495</v>
      </c>
      <c r="C28" s="480">
        <v>10.957000000000001</v>
      </c>
      <c r="D28" s="480">
        <v>8.1300000000000008</v>
      </c>
      <c r="E28" s="480">
        <v>3.03</v>
      </c>
      <c r="F28" s="480">
        <v>2.68</v>
      </c>
      <c r="G28" s="480">
        <v>2.68</v>
      </c>
      <c r="H28" s="480">
        <v>1.88</v>
      </c>
      <c r="I28" s="480">
        <v>4.0999999999999996</v>
      </c>
      <c r="J28" s="480">
        <v>11.03</v>
      </c>
      <c r="K28" s="480">
        <v>2.1</v>
      </c>
    </row>
    <row r="29" spans="2:64" x14ac:dyDescent="0.35">
      <c r="B29" s="479" t="s">
        <v>1496</v>
      </c>
      <c r="C29" s="480">
        <v>22.952999999999999</v>
      </c>
      <c r="D29" s="480">
        <v>21.43</v>
      </c>
      <c r="E29" s="480">
        <v>18.52</v>
      </c>
      <c r="F29" s="480">
        <v>16.37</v>
      </c>
      <c r="G29" s="480">
        <v>15.38</v>
      </c>
      <c r="H29" s="480">
        <v>14.98</v>
      </c>
      <c r="I29" s="480">
        <v>16.78</v>
      </c>
      <c r="J29" s="480">
        <v>16.13</v>
      </c>
      <c r="K29" s="480">
        <v>16.329999999999998</v>
      </c>
    </row>
    <row r="30" spans="2:64" x14ac:dyDescent="0.35">
      <c r="B30" s="479" t="s">
        <v>1497</v>
      </c>
      <c r="C30" s="480">
        <v>10.23</v>
      </c>
      <c r="D30" s="480">
        <v>13.744</v>
      </c>
      <c r="E30" s="480">
        <v>15.1</v>
      </c>
      <c r="F30" s="480">
        <v>15.754</v>
      </c>
      <c r="G30" s="480">
        <v>17.72</v>
      </c>
      <c r="H30" s="480">
        <v>19.55</v>
      </c>
      <c r="I30" s="480">
        <v>20.47</v>
      </c>
      <c r="J30" s="480">
        <v>16.5</v>
      </c>
      <c r="K30" s="480">
        <v>15.58</v>
      </c>
    </row>
    <row r="31" spans="2:64" x14ac:dyDescent="0.35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2:64" s="7" customFormat="1" x14ac:dyDescent="0.35">
      <c r="B32" s="6" t="s">
        <v>1498</v>
      </c>
      <c r="C32" s="3"/>
      <c r="D32" s="3"/>
      <c r="E32" s="3"/>
      <c r="F32" s="3"/>
      <c r="G32" s="3"/>
      <c r="H32" s="3"/>
      <c r="I32" s="3"/>
      <c r="J32" s="3"/>
      <c r="K32" s="3"/>
      <c r="L32" s="465"/>
      <c r="M32" s="465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  <c r="AM32" s="264"/>
      <c r="AN32" s="264"/>
      <c r="AO32" s="264"/>
      <c r="AP32" s="264"/>
      <c r="AQ32" s="264"/>
      <c r="AR32" s="264"/>
      <c r="AS32" s="264"/>
      <c r="AT32" s="264"/>
      <c r="AV32" s="466"/>
      <c r="AW32" s="466"/>
      <c r="AX32" s="466"/>
      <c r="AY32" s="466"/>
      <c r="AZ32" s="466"/>
      <c r="BA32" s="466"/>
      <c r="BB32" s="466"/>
      <c r="BC32" s="466"/>
      <c r="BD32" s="466"/>
      <c r="BE32" s="466"/>
      <c r="BF32" s="466"/>
      <c r="BG32" s="466"/>
      <c r="BH32" s="466"/>
      <c r="BI32" s="466"/>
      <c r="BJ32" s="466"/>
      <c r="BK32" s="466"/>
      <c r="BL32" s="466"/>
    </row>
    <row r="33" spans="2:14" x14ac:dyDescent="0.35">
      <c r="B33" s="8" t="s">
        <v>1499</v>
      </c>
      <c r="C33" s="464">
        <v>0.45100000000000001</v>
      </c>
      <c r="D33" s="464">
        <v>0.41099999999999998</v>
      </c>
      <c r="E33" s="464">
        <v>0.46500000000000002</v>
      </c>
      <c r="F33" s="464">
        <v>0.52600000000000002</v>
      </c>
      <c r="G33" s="464">
        <v>0.53300000000000003</v>
      </c>
      <c r="H33" s="464">
        <v>0.54600000000000004</v>
      </c>
      <c r="I33" s="464">
        <v>0.44400000000000001</v>
      </c>
      <c r="J33" s="464">
        <f>1-J34-J35</f>
        <v>0.54212609600000006</v>
      </c>
      <c r="K33" s="464">
        <f>1-K34-K35</f>
        <v>0.65090000000000003</v>
      </c>
    </row>
    <row r="34" spans="2:14" x14ac:dyDescent="0.35">
      <c r="B34" s="8" t="s">
        <v>1500</v>
      </c>
      <c r="C34" s="464">
        <v>0.216181964</v>
      </c>
      <c r="D34" s="464">
        <v>0.23169830599999999</v>
      </c>
      <c r="E34" s="464">
        <v>0.261601678</v>
      </c>
      <c r="F34" s="464">
        <v>0.26449153199999997</v>
      </c>
      <c r="G34" s="464">
        <v>0.233974143</v>
      </c>
      <c r="H34" s="464">
        <v>0.23865645299999999</v>
      </c>
      <c r="I34" s="464">
        <v>0.202427195</v>
      </c>
      <c r="J34" s="464">
        <v>0.21147390399999999</v>
      </c>
      <c r="K34" s="464">
        <v>0.20599999999999999</v>
      </c>
    </row>
    <row r="35" spans="2:14" x14ac:dyDescent="0.35">
      <c r="B35" s="8" t="s">
        <v>1501</v>
      </c>
      <c r="C35" s="464">
        <v>0.33311099999999999</v>
      </c>
      <c r="D35" s="464">
        <v>0.35713879999999998</v>
      </c>
      <c r="E35" s="464">
        <v>0.27369579999999999</v>
      </c>
      <c r="F35" s="464">
        <v>0.2095901</v>
      </c>
      <c r="G35" s="464">
        <v>0.2326695</v>
      </c>
      <c r="H35" s="464">
        <v>0.21582950000000001</v>
      </c>
      <c r="I35" s="464">
        <v>0.35340450000000001</v>
      </c>
      <c r="J35" s="464">
        <v>0.24640000000000001</v>
      </c>
      <c r="K35" s="464">
        <v>0.1431</v>
      </c>
    </row>
    <row r="36" spans="2:14" x14ac:dyDescent="0.35">
      <c r="B36" s="20"/>
      <c r="C36" s="20"/>
      <c r="D36" s="20"/>
      <c r="E36" s="20"/>
      <c r="F36" s="20"/>
      <c r="G36" s="20"/>
      <c r="H36" s="20"/>
      <c r="I36" s="20"/>
      <c r="J36" s="20"/>
      <c r="K36" s="20"/>
      <c r="M36" s="477"/>
      <c r="N36" s="478"/>
    </row>
    <row r="37" spans="2:14" x14ac:dyDescent="0.35">
      <c r="M37" s="477"/>
      <c r="N37" s="478"/>
    </row>
    <row r="38" spans="2:14" x14ac:dyDescent="0.35">
      <c r="M38" s="477"/>
      <c r="N38" s="478"/>
    </row>
    <row r="39" spans="2:14" x14ac:dyDescent="0.35">
      <c r="M39" s="477"/>
      <c r="N39" s="478"/>
    </row>
    <row r="40" spans="2:14" x14ac:dyDescent="0.35">
      <c r="M40" s="477"/>
      <c r="N40" s="478"/>
    </row>
    <row r="41" spans="2:14" x14ac:dyDescent="0.35">
      <c r="M41" s="477"/>
      <c r="N41" s="478"/>
    </row>
    <row r="42" spans="2:14" x14ac:dyDescent="0.35">
      <c r="M42" s="477"/>
      <c r="N42" s="4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FD47-3CF9-41C4-AD96-FA8CDA91FCCE}">
  <sheetPr>
    <tabColor rgb="FF92D050"/>
  </sheetPr>
  <dimension ref="B2:AM85"/>
  <sheetViews>
    <sheetView showGridLines="0" topLeftCell="A27" zoomScale="80" zoomScaleNormal="80" workbookViewId="0">
      <selection activeCell="D60" sqref="D60"/>
    </sheetView>
  </sheetViews>
  <sheetFormatPr defaultColWidth="8.81640625" defaultRowHeight="13" x14ac:dyDescent="0.3"/>
  <cols>
    <col min="1" max="1" width="3.81640625" style="2" customWidth="1"/>
    <col min="2" max="3" width="8.81640625" style="181"/>
    <col min="4" max="4" width="10.36328125" style="2" bestFit="1" customWidth="1"/>
    <col min="5" max="6" width="10" style="2" bestFit="1" customWidth="1"/>
    <col min="7" max="10" width="9" style="2" bestFit="1" customWidth="1"/>
    <col min="11" max="12" width="8.90625" style="2" bestFit="1" customWidth="1"/>
    <col min="13" max="14" width="8.90625" style="2" customWidth="1"/>
    <col min="15" max="15" width="9" style="2" bestFit="1" customWidth="1"/>
    <col min="16" max="16" width="9" style="2" customWidth="1"/>
    <col min="17" max="16384" width="8.81640625" style="2"/>
  </cols>
  <sheetData>
    <row r="2" spans="2:39" ht="14.5" x14ac:dyDescent="0.35">
      <c r="B2" s="401" t="s">
        <v>1208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</row>
    <row r="3" spans="2:39" ht="13" customHeight="1" x14ac:dyDescent="0.3">
      <c r="B3" s="439" t="s">
        <v>20</v>
      </c>
      <c r="C3" s="439" t="s">
        <v>21</v>
      </c>
      <c r="D3" s="440">
        <v>30</v>
      </c>
      <c r="E3" s="440">
        <v>60</v>
      </c>
      <c r="F3" s="440">
        <v>90</v>
      </c>
      <c r="G3" s="440">
        <v>120</v>
      </c>
      <c r="H3" s="440">
        <v>150</v>
      </c>
      <c r="I3" s="440">
        <v>180</v>
      </c>
      <c r="J3" s="440">
        <v>210</v>
      </c>
      <c r="K3" s="440">
        <v>240</v>
      </c>
      <c r="L3" s="440">
        <v>270</v>
      </c>
      <c r="M3" s="440">
        <v>300</v>
      </c>
      <c r="N3" s="441">
        <v>360</v>
      </c>
      <c r="P3" s="183"/>
      <c r="Q3" s="568" t="s">
        <v>1481</v>
      </c>
      <c r="R3" s="568"/>
      <c r="S3" s="568"/>
      <c r="T3" s="568"/>
      <c r="U3" s="568"/>
      <c r="V3" s="568"/>
      <c r="W3" s="568"/>
      <c r="X3" s="568"/>
      <c r="Y3" s="568"/>
    </row>
    <row r="4" spans="2:39" x14ac:dyDescent="0.3">
      <c r="B4" s="412">
        <v>45658</v>
      </c>
      <c r="C4" s="403">
        <v>997</v>
      </c>
      <c r="D4" s="404">
        <v>0.43</v>
      </c>
      <c r="E4" s="404">
        <v>0.34</v>
      </c>
      <c r="F4" s="404">
        <v>0.31</v>
      </c>
      <c r="G4" s="404">
        <v>0.3</v>
      </c>
      <c r="H4" s="404">
        <v>0.28999999999999998</v>
      </c>
      <c r="I4" s="404">
        <v>0.28999999999999998</v>
      </c>
      <c r="J4" s="404">
        <v>0.31</v>
      </c>
      <c r="K4" s="404">
        <v>0.28999999999999998</v>
      </c>
      <c r="L4" s="404">
        <v>0.28000000000000003</v>
      </c>
      <c r="M4" s="404">
        <v>0.31158999999999998</v>
      </c>
      <c r="N4" s="405">
        <v>0.28999999999999998</v>
      </c>
      <c r="Q4" s="568"/>
      <c r="R4" s="568"/>
      <c r="S4" s="568"/>
      <c r="T4" s="568"/>
      <c r="U4" s="568"/>
      <c r="V4" s="568"/>
      <c r="W4" s="568"/>
      <c r="X4" s="568"/>
      <c r="Y4" s="568"/>
      <c r="AA4" s="188"/>
      <c r="AB4" s="188"/>
      <c r="AC4" s="188"/>
      <c r="AD4" s="188"/>
      <c r="AE4" s="188"/>
      <c r="AF4" s="188"/>
      <c r="AH4" s="188"/>
      <c r="AI4" s="188"/>
      <c r="AJ4" s="188"/>
      <c r="AK4" s="188"/>
      <c r="AL4" s="188"/>
      <c r="AM4" s="188"/>
    </row>
    <row r="5" spans="2:39" x14ac:dyDescent="0.3">
      <c r="B5" s="412">
        <v>45689</v>
      </c>
      <c r="C5" s="403">
        <v>1534</v>
      </c>
      <c r="D5" s="404">
        <v>0.39</v>
      </c>
      <c r="E5" s="404">
        <v>0.31</v>
      </c>
      <c r="F5" s="404">
        <v>0.28000000000000003</v>
      </c>
      <c r="G5" s="404">
        <v>0.27</v>
      </c>
      <c r="H5" s="404">
        <v>0.28000000000000003</v>
      </c>
      <c r="I5" s="404">
        <v>0.31</v>
      </c>
      <c r="J5" s="404">
        <v>0.28999999999999998</v>
      </c>
      <c r="K5" s="404">
        <v>0.3</v>
      </c>
      <c r="L5" s="404">
        <v>0.31080000000000002</v>
      </c>
      <c r="M5" s="404">
        <v>0.28427000000000002</v>
      </c>
      <c r="N5" s="405"/>
      <c r="Q5" s="568"/>
      <c r="R5" s="568"/>
      <c r="S5" s="568"/>
      <c r="T5" s="568"/>
      <c r="U5" s="568"/>
      <c r="V5" s="568"/>
      <c r="W5" s="568"/>
      <c r="X5" s="568"/>
      <c r="Y5" s="568"/>
      <c r="AA5" s="188"/>
      <c r="AB5" s="188"/>
      <c r="AC5" s="188"/>
      <c r="AD5" s="188"/>
      <c r="AE5" s="188"/>
      <c r="AF5" s="188"/>
      <c r="AH5" s="188"/>
      <c r="AI5" s="188"/>
      <c r="AJ5" s="188"/>
      <c r="AK5" s="188"/>
      <c r="AL5" s="188"/>
      <c r="AM5" s="188"/>
    </row>
    <row r="6" spans="2:39" x14ac:dyDescent="0.3">
      <c r="B6" s="412">
        <v>45717</v>
      </c>
      <c r="C6" s="403">
        <v>2546</v>
      </c>
      <c r="D6" s="404">
        <v>0.37</v>
      </c>
      <c r="E6" s="404">
        <v>0.24</v>
      </c>
      <c r="F6" s="404">
        <v>0.25</v>
      </c>
      <c r="G6" s="404">
        <v>0.24</v>
      </c>
      <c r="H6" s="404">
        <v>0.24</v>
      </c>
      <c r="I6" s="404">
        <v>0.26</v>
      </c>
      <c r="J6" s="404">
        <v>0.27</v>
      </c>
      <c r="K6" s="404">
        <v>0.27217999999999998</v>
      </c>
      <c r="L6" s="404">
        <v>0.25727</v>
      </c>
      <c r="M6" s="404"/>
      <c r="N6" s="405"/>
      <c r="AA6" s="188"/>
      <c r="AB6" s="188"/>
      <c r="AC6" s="188"/>
      <c r="AD6" s="188"/>
      <c r="AE6" s="188"/>
      <c r="AF6" s="188"/>
      <c r="AH6" s="188"/>
      <c r="AI6" s="188"/>
      <c r="AJ6" s="188"/>
      <c r="AK6" s="188"/>
      <c r="AL6" s="188"/>
      <c r="AM6" s="188"/>
    </row>
    <row r="7" spans="2:39" x14ac:dyDescent="0.3">
      <c r="B7" s="412">
        <v>45748</v>
      </c>
      <c r="C7" s="403">
        <v>3787</v>
      </c>
      <c r="D7" s="404">
        <v>0.57999999999999996</v>
      </c>
      <c r="E7" s="404">
        <v>0.28000000000000003</v>
      </c>
      <c r="F7" s="404">
        <v>0.26</v>
      </c>
      <c r="G7" s="404">
        <v>0.27</v>
      </c>
      <c r="H7" s="404">
        <v>0.27</v>
      </c>
      <c r="I7" s="404">
        <v>0.27</v>
      </c>
      <c r="J7" s="404">
        <v>0.29403000000000001</v>
      </c>
      <c r="K7" s="404">
        <v>0.27099000000000001</v>
      </c>
      <c r="L7" s="404"/>
      <c r="M7" s="404"/>
      <c r="N7" s="405"/>
      <c r="AA7" s="188"/>
      <c r="AB7" s="188"/>
      <c r="AC7" s="188"/>
      <c r="AD7" s="188"/>
      <c r="AE7" s="188"/>
      <c r="AF7" s="188"/>
      <c r="AH7" s="188"/>
      <c r="AI7" s="188"/>
      <c r="AJ7" s="188"/>
      <c r="AK7" s="188"/>
      <c r="AL7" s="188"/>
      <c r="AM7" s="188"/>
    </row>
    <row r="8" spans="2:39" x14ac:dyDescent="0.3">
      <c r="B8" s="412">
        <v>45778</v>
      </c>
      <c r="C8" s="403">
        <v>9361</v>
      </c>
      <c r="D8" s="404">
        <v>0.79</v>
      </c>
      <c r="E8" s="404">
        <v>0.25</v>
      </c>
      <c r="F8" s="404">
        <v>0.25</v>
      </c>
      <c r="G8" s="404">
        <v>0.26</v>
      </c>
      <c r="H8" s="404">
        <v>0.26</v>
      </c>
      <c r="I8" s="404">
        <v>0.27266000000000001</v>
      </c>
      <c r="J8" s="404">
        <v>0.28148000000000001</v>
      </c>
      <c r="K8" s="404"/>
      <c r="L8" s="404"/>
      <c r="M8" s="404"/>
      <c r="N8" s="405"/>
      <c r="AA8" s="188"/>
      <c r="AB8" s="188"/>
      <c r="AC8" s="188"/>
      <c r="AD8" s="188"/>
      <c r="AE8" s="188"/>
      <c r="AF8" s="188"/>
      <c r="AH8" s="188"/>
      <c r="AI8" s="188"/>
      <c r="AJ8" s="188"/>
      <c r="AK8" s="188"/>
      <c r="AL8" s="188"/>
      <c r="AM8" s="188"/>
    </row>
    <row r="9" spans="2:39" x14ac:dyDescent="0.3">
      <c r="B9" s="412">
        <v>45809</v>
      </c>
      <c r="C9" s="403">
        <v>11532</v>
      </c>
      <c r="D9" s="404">
        <v>0.76</v>
      </c>
      <c r="E9" s="404">
        <v>0.27</v>
      </c>
      <c r="F9" s="404">
        <v>0.26</v>
      </c>
      <c r="G9" s="404">
        <v>0.26</v>
      </c>
      <c r="H9" s="404">
        <v>0.27883999999999998</v>
      </c>
      <c r="I9" s="404">
        <v>0.27778999999999998</v>
      </c>
      <c r="J9" s="404"/>
      <c r="K9" s="404"/>
      <c r="L9" s="404"/>
      <c r="M9" s="404"/>
      <c r="N9" s="405"/>
      <c r="AA9" s="188"/>
      <c r="AB9" s="188"/>
      <c r="AC9" s="188"/>
      <c r="AD9" s="188"/>
      <c r="AE9" s="188"/>
      <c r="AF9" s="188"/>
      <c r="AH9" s="188"/>
      <c r="AI9" s="188"/>
      <c r="AJ9" s="188"/>
      <c r="AK9" s="188"/>
      <c r="AL9" s="188"/>
      <c r="AM9" s="188"/>
    </row>
    <row r="10" spans="2:39" x14ac:dyDescent="0.3">
      <c r="B10" s="412">
        <v>45839</v>
      </c>
      <c r="C10" s="403">
        <v>17911</v>
      </c>
      <c r="D10" s="404">
        <v>0.74</v>
      </c>
      <c r="E10" s="404">
        <v>0.26</v>
      </c>
      <c r="F10" s="404">
        <v>0.25</v>
      </c>
      <c r="G10" s="404">
        <v>0.26357999999999998</v>
      </c>
      <c r="H10" s="404">
        <v>0.26582</v>
      </c>
      <c r="I10" s="404"/>
      <c r="J10" s="404"/>
      <c r="K10" s="404"/>
      <c r="L10" s="404"/>
      <c r="M10" s="404"/>
      <c r="N10" s="405"/>
      <c r="AA10" s="188"/>
      <c r="AB10" s="188"/>
      <c r="AC10" s="188"/>
      <c r="AD10" s="188"/>
      <c r="AE10" s="188"/>
      <c r="AF10" s="188"/>
      <c r="AH10" s="188"/>
      <c r="AI10" s="188"/>
      <c r="AJ10" s="188"/>
      <c r="AK10" s="188"/>
      <c r="AL10" s="188"/>
      <c r="AM10" s="188"/>
    </row>
    <row r="11" spans="2:39" x14ac:dyDescent="0.3">
      <c r="B11" s="412">
        <v>45870</v>
      </c>
      <c r="C11" s="403">
        <v>34709</v>
      </c>
      <c r="D11" s="404">
        <v>0.72</v>
      </c>
      <c r="E11" s="404">
        <v>0.27</v>
      </c>
      <c r="F11" s="404">
        <v>0.27895999999999999</v>
      </c>
      <c r="G11" s="404">
        <v>0.2767</v>
      </c>
      <c r="H11" s="404"/>
      <c r="I11" s="404"/>
      <c r="J11" s="404"/>
      <c r="K11" s="404"/>
      <c r="L11" s="404"/>
      <c r="M11" s="404"/>
      <c r="N11" s="405"/>
    </row>
    <row r="12" spans="2:39" x14ac:dyDescent="0.3">
      <c r="B12" s="412">
        <v>45901</v>
      </c>
      <c r="C12" s="403">
        <v>48045</v>
      </c>
      <c r="D12" s="442">
        <v>0.68</v>
      </c>
      <c r="E12" s="442">
        <v>0.32080999999999998</v>
      </c>
      <c r="F12" s="442">
        <v>0.29341</v>
      </c>
      <c r="G12" s="442"/>
      <c r="H12" s="442"/>
      <c r="I12" s="442"/>
      <c r="J12" s="442"/>
      <c r="K12" s="442"/>
      <c r="L12" s="442"/>
      <c r="M12" s="442"/>
      <c r="N12" s="526"/>
      <c r="O12" s="283"/>
      <c r="P12" s="283"/>
    </row>
    <row r="13" spans="2:39" ht="14.5" x14ac:dyDescent="0.35">
      <c r="B13" s="412">
        <f>EOMONTH(B12,1)</f>
        <v>45961</v>
      </c>
      <c r="C13" s="403">
        <v>82760</v>
      </c>
      <c r="D13" s="442">
        <v>0.67978000000000005</v>
      </c>
      <c r="E13" s="442">
        <v>0.28011999999999998</v>
      </c>
      <c r="F13" s="527"/>
      <c r="G13" s="527"/>
      <c r="H13" s="527"/>
      <c r="I13" s="527"/>
      <c r="J13" s="527"/>
      <c r="K13" s="527"/>
      <c r="L13" s="527"/>
      <c r="M13" s="527"/>
      <c r="N13" s="528"/>
      <c r="O13" s="283"/>
      <c r="P13" s="283"/>
    </row>
    <row r="14" spans="2:39" ht="14.5" x14ac:dyDescent="0.35">
      <c r="B14" s="412">
        <f>EOMONTH(B13,1)</f>
        <v>45991</v>
      </c>
      <c r="C14" s="403">
        <f>'Key Metrics'!M12</f>
        <v>86837</v>
      </c>
      <c r="D14" s="442">
        <v>0.71160999999999996</v>
      </c>
      <c r="E14" s="527"/>
      <c r="F14" s="527"/>
      <c r="G14" s="527"/>
      <c r="H14" s="527"/>
      <c r="I14" s="527"/>
      <c r="J14" s="527"/>
      <c r="K14" s="527"/>
      <c r="L14" s="527"/>
      <c r="M14" s="527"/>
      <c r="N14" s="528"/>
      <c r="O14" s="283"/>
      <c r="P14" s="283"/>
    </row>
    <row r="15" spans="2:39" ht="14.5" x14ac:dyDescent="0.35">
      <c r="B15" s="413">
        <f>EOMONTH(B14,1)</f>
        <v>46022</v>
      </c>
      <c r="C15" s="406">
        <f>'Key Metrics'!N12</f>
        <v>102395</v>
      </c>
      <c r="D15" s="443">
        <v>0.54132000000000002</v>
      </c>
      <c r="E15" s="415"/>
      <c r="F15" s="415"/>
      <c r="G15" s="415"/>
      <c r="H15" s="415"/>
      <c r="I15" s="415"/>
      <c r="J15" s="415"/>
      <c r="K15" s="415"/>
      <c r="L15" s="415"/>
      <c r="M15" s="415"/>
      <c r="N15" s="416"/>
      <c r="O15" s="283"/>
      <c r="P15" s="283"/>
    </row>
    <row r="16" spans="2:39" ht="14.5" x14ac:dyDescent="0.35">
      <c r="B16" s="402"/>
      <c r="C16" s="402"/>
      <c r="D16" s="402"/>
      <c r="E16" s="402"/>
      <c r="F16" s="402"/>
      <c r="G16" s="402"/>
      <c r="H16" s="402"/>
      <c r="I16" s="402"/>
      <c r="J16" s="402"/>
      <c r="K16" s="402"/>
      <c r="L16" s="402"/>
      <c r="M16" s="402"/>
      <c r="N16" s="402"/>
      <c r="O16" s="188"/>
      <c r="P16" s="188"/>
    </row>
    <row r="17" spans="2:39" ht="14.5" x14ac:dyDescent="0.35">
      <c r="B17" s="401" t="s">
        <v>1203</v>
      </c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188"/>
      <c r="P17" s="188"/>
    </row>
    <row r="18" spans="2:39" x14ac:dyDescent="0.3">
      <c r="B18" s="439" t="s">
        <v>20</v>
      </c>
      <c r="C18" s="439" t="s">
        <v>21</v>
      </c>
      <c r="D18" s="440">
        <v>30</v>
      </c>
      <c r="E18" s="440">
        <v>60</v>
      </c>
      <c r="F18" s="440">
        <v>90</v>
      </c>
      <c r="G18" s="440">
        <v>120</v>
      </c>
      <c r="H18" s="440">
        <v>150</v>
      </c>
      <c r="I18" s="440">
        <v>180</v>
      </c>
      <c r="J18" s="440">
        <v>210</v>
      </c>
      <c r="K18" s="440">
        <v>240</v>
      </c>
      <c r="L18" s="440">
        <v>270</v>
      </c>
      <c r="M18" s="440">
        <v>300</v>
      </c>
      <c r="N18" s="441">
        <v>360</v>
      </c>
      <c r="AA18" s="188"/>
      <c r="AB18" s="188"/>
      <c r="AC18" s="188"/>
      <c r="AD18" s="188"/>
      <c r="AE18" s="188"/>
      <c r="AF18" s="188"/>
      <c r="AH18" s="188"/>
      <c r="AI18" s="188"/>
      <c r="AJ18" s="188"/>
      <c r="AK18" s="188"/>
      <c r="AL18" s="188"/>
      <c r="AM18" s="188"/>
    </row>
    <row r="19" spans="2:39" x14ac:dyDescent="0.3">
      <c r="B19" s="412">
        <v>45658</v>
      </c>
      <c r="C19" s="403">
        <v>997</v>
      </c>
      <c r="D19" s="404">
        <f t="shared" ref="D19:N19" si="0">D49*D4</f>
        <v>1.1126379</v>
      </c>
      <c r="E19" s="404">
        <f t="shared" si="0"/>
        <v>0.79231220000000002</v>
      </c>
      <c r="F19" s="404">
        <f t="shared" si="0"/>
        <v>0.71075559999999993</v>
      </c>
      <c r="G19" s="404">
        <f t="shared" si="0"/>
        <v>0.76678199999999996</v>
      </c>
      <c r="H19" s="404">
        <f t="shared" si="0"/>
        <v>0.77749000000000001</v>
      </c>
      <c r="I19" s="404">
        <f t="shared" si="0"/>
        <v>0.72397049999999985</v>
      </c>
      <c r="J19" s="404">
        <f t="shared" si="0"/>
        <v>0.81388020000000005</v>
      </c>
      <c r="K19" s="404">
        <f t="shared" si="0"/>
        <v>0.74855669999999996</v>
      </c>
      <c r="L19" s="404">
        <f t="shared" si="0"/>
        <v>0.74701200000000001</v>
      </c>
      <c r="M19" s="404">
        <f t="shared" si="0"/>
        <v>1.0796593499999998</v>
      </c>
      <c r="N19" s="405">
        <f t="shared" si="0"/>
        <v>1.0390699999999999</v>
      </c>
      <c r="AA19" s="188"/>
      <c r="AB19" s="188"/>
      <c r="AC19" s="188"/>
      <c r="AD19" s="188"/>
      <c r="AE19" s="188"/>
      <c r="AF19" s="188"/>
      <c r="AH19" s="188"/>
      <c r="AI19" s="188"/>
      <c r="AJ19" s="188"/>
      <c r="AK19" s="188"/>
      <c r="AL19" s="188"/>
      <c r="AM19" s="188"/>
    </row>
    <row r="20" spans="2:39" x14ac:dyDescent="0.3">
      <c r="B20" s="412">
        <v>45689</v>
      </c>
      <c r="C20" s="403">
        <v>1534</v>
      </c>
      <c r="D20" s="404">
        <f t="shared" ref="D20:M20" si="1">D50*D5</f>
        <v>1.0026744000000001</v>
      </c>
      <c r="E20" s="404">
        <f t="shared" si="1"/>
        <v>0.68402739999999995</v>
      </c>
      <c r="F20" s="404">
        <f t="shared" si="1"/>
        <v>0.71831480000000003</v>
      </c>
      <c r="G20" s="404">
        <f t="shared" si="1"/>
        <v>0.6794361000000001</v>
      </c>
      <c r="H20" s="404">
        <f t="shared" si="1"/>
        <v>0.70756839999999999</v>
      </c>
      <c r="I20" s="404">
        <f t="shared" si="1"/>
        <v>0.77818989999999999</v>
      </c>
      <c r="J20" s="404">
        <f t="shared" si="1"/>
        <v>0.86117529999999998</v>
      </c>
      <c r="K20" s="404">
        <f t="shared" si="1"/>
        <v>0.81146400000000007</v>
      </c>
      <c r="L20" s="404">
        <f t="shared" si="1"/>
        <v>0.95135880000000006</v>
      </c>
      <c r="M20" s="404">
        <f t="shared" si="1"/>
        <v>0.92672019999999999</v>
      </c>
      <c r="N20" s="405"/>
      <c r="AA20" s="188"/>
      <c r="AB20" s="188"/>
      <c r="AC20" s="188"/>
      <c r="AD20" s="188"/>
      <c r="AE20" s="188"/>
      <c r="AF20" s="188"/>
      <c r="AH20" s="188"/>
      <c r="AI20" s="188"/>
      <c r="AJ20" s="188"/>
      <c r="AK20" s="188"/>
      <c r="AL20" s="188"/>
      <c r="AM20" s="188"/>
    </row>
    <row r="21" spans="2:39" x14ac:dyDescent="0.3">
      <c r="B21" s="412">
        <v>45717</v>
      </c>
      <c r="C21" s="403">
        <v>2546</v>
      </c>
      <c r="D21" s="404">
        <f t="shared" ref="D21:L21" si="2">D51*D6</f>
        <v>0.88940969999999997</v>
      </c>
      <c r="E21" s="404">
        <f t="shared" si="2"/>
        <v>0.57873600000000003</v>
      </c>
      <c r="F21" s="404">
        <f t="shared" si="2"/>
        <v>0.55939749999999999</v>
      </c>
      <c r="G21" s="404">
        <f t="shared" si="2"/>
        <v>0.54987839999999999</v>
      </c>
      <c r="H21" s="404">
        <f t="shared" si="2"/>
        <v>0.58024319999999996</v>
      </c>
      <c r="I21" s="404">
        <f t="shared" si="2"/>
        <v>0.70943339999999999</v>
      </c>
      <c r="J21" s="404">
        <f t="shared" si="2"/>
        <v>0.73191060000000008</v>
      </c>
      <c r="K21" s="404">
        <f t="shared" si="2"/>
        <v>0.83450387999999986</v>
      </c>
      <c r="L21" s="404">
        <f t="shared" si="2"/>
        <v>0.78595985000000002</v>
      </c>
      <c r="M21" s="404"/>
      <c r="N21" s="405"/>
      <c r="AA21" s="188"/>
      <c r="AB21" s="188"/>
      <c r="AC21" s="188"/>
      <c r="AD21" s="188"/>
      <c r="AE21" s="188"/>
      <c r="AF21" s="188"/>
      <c r="AH21" s="188"/>
      <c r="AI21" s="188"/>
      <c r="AJ21" s="188"/>
      <c r="AK21" s="188"/>
      <c r="AL21" s="188"/>
      <c r="AM21" s="188"/>
    </row>
    <row r="22" spans="2:39" x14ac:dyDescent="0.3">
      <c r="B22" s="412">
        <v>45748</v>
      </c>
      <c r="C22" s="403">
        <v>3787</v>
      </c>
      <c r="D22" s="404">
        <f t="shared" ref="D22:K22" si="3">D52*D7</f>
        <v>1.4608517999999999</v>
      </c>
      <c r="E22" s="404">
        <f t="shared" si="3"/>
        <v>0.66543400000000008</v>
      </c>
      <c r="F22" s="404">
        <f t="shared" si="3"/>
        <v>0.58209319999999998</v>
      </c>
      <c r="G22" s="404">
        <f t="shared" si="3"/>
        <v>0.64626660000000002</v>
      </c>
      <c r="H22" s="404">
        <f t="shared" si="3"/>
        <v>0.7054992000000001</v>
      </c>
      <c r="I22" s="404">
        <f t="shared" si="3"/>
        <v>0.70302870000000006</v>
      </c>
      <c r="J22" s="404">
        <f t="shared" si="3"/>
        <v>0.88826463</v>
      </c>
      <c r="K22" s="404">
        <f t="shared" si="3"/>
        <v>0.86445810000000001</v>
      </c>
      <c r="L22" s="404"/>
      <c r="M22" s="404"/>
      <c r="N22" s="405"/>
      <c r="AA22" s="188"/>
      <c r="AB22" s="188"/>
      <c r="AC22" s="188"/>
      <c r="AD22" s="188"/>
      <c r="AE22" s="188"/>
      <c r="AF22" s="188"/>
      <c r="AH22" s="188"/>
      <c r="AI22" s="188"/>
      <c r="AJ22" s="188"/>
      <c r="AK22" s="188"/>
      <c r="AL22" s="188"/>
      <c r="AM22" s="188"/>
    </row>
    <row r="23" spans="2:39" x14ac:dyDescent="0.3">
      <c r="B23" s="412">
        <v>45778</v>
      </c>
      <c r="C23" s="403">
        <v>9361</v>
      </c>
      <c r="D23" s="404">
        <f t="shared" ref="D23:J23" si="4">D53*D8</f>
        <v>1.8961817000000001</v>
      </c>
      <c r="E23" s="404">
        <f t="shared" si="4"/>
        <v>0.55911250000000001</v>
      </c>
      <c r="F23" s="404">
        <f t="shared" si="4"/>
        <v>0.56955</v>
      </c>
      <c r="G23" s="404">
        <f t="shared" si="4"/>
        <v>0.65060580000000001</v>
      </c>
      <c r="H23" s="404">
        <f t="shared" si="4"/>
        <v>0.63375000000000004</v>
      </c>
      <c r="I23" s="404">
        <f t="shared" si="4"/>
        <v>0.75799479999999997</v>
      </c>
      <c r="J23" s="404">
        <f t="shared" si="4"/>
        <v>0.82952155999999999</v>
      </c>
      <c r="K23" s="404"/>
      <c r="L23" s="404"/>
      <c r="M23" s="404"/>
      <c r="N23" s="405"/>
      <c r="AA23" s="188"/>
      <c r="AB23" s="188"/>
      <c r="AC23" s="188"/>
      <c r="AD23" s="188"/>
      <c r="AE23" s="188"/>
      <c r="AF23" s="188"/>
      <c r="AH23" s="188"/>
      <c r="AI23" s="188"/>
      <c r="AJ23" s="188"/>
      <c r="AK23" s="188"/>
      <c r="AL23" s="188"/>
      <c r="AM23" s="188"/>
    </row>
    <row r="24" spans="2:39" x14ac:dyDescent="0.3">
      <c r="B24" s="412">
        <v>45809</v>
      </c>
      <c r="C24" s="403">
        <v>11532</v>
      </c>
      <c r="D24" s="404">
        <f t="shared" ref="D24:I24" si="5">D54*D9</f>
        <v>1.7528336000000002</v>
      </c>
      <c r="E24" s="404">
        <f t="shared" si="5"/>
        <v>0.61405019999999999</v>
      </c>
      <c r="F24" s="404">
        <f t="shared" si="5"/>
        <v>0.6249074</v>
      </c>
      <c r="G24" s="404">
        <f t="shared" si="5"/>
        <v>0.64435540000000002</v>
      </c>
      <c r="H24" s="404">
        <f t="shared" si="5"/>
        <v>0.74199324</v>
      </c>
      <c r="I24" s="404">
        <f t="shared" si="5"/>
        <v>0.77308956999999989</v>
      </c>
      <c r="J24" s="404"/>
      <c r="K24" s="404"/>
      <c r="L24" s="404"/>
      <c r="M24" s="404"/>
      <c r="N24" s="405"/>
      <c r="AA24" s="188"/>
      <c r="AB24" s="188"/>
      <c r="AC24" s="188"/>
      <c r="AD24" s="188"/>
      <c r="AE24" s="188"/>
      <c r="AF24" s="188"/>
      <c r="AH24" s="188"/>
      <c r="AI24" s="188"/>
      <c r="AJ24" s="188"/>
      <c r="AK24" s="188"/>
      <c r="AL24" s="188"/>
      <c r="AM24" s="188"/>
    </row>
    <row r="25" spans="2:39" x14ac:dyDescent="0.3">
      <c r="B25" s="412">
        <v>45839</v>
      </c>
      <c r="C25" s="403">
        <v>17911</v>
      </c>
      <c r="D25" s="404">
        <f>D55*D10</f>
        <v>1.6568007999999999</v>
      </c>
      <c r="E25" s="404">
        <f>E55*E10</f>
        <v>0.59146620000000005</v>
      </c>
      <c r="F25" s="404">
        <f>F55*F10</f>
        <v>0.59314999999999996</v>
      </c>
      <c r="G25" s="404">
        <f>G55*G10</f>
        <v>0.70903019999999994</v>
      </c>
      <c r="H25" s="404">
        <f>H55*H10</f>
        <v>0.75997937999999998</v>
      </c>
      <c r="I25" s="404"/>
      <c r="J25" s="404"/>
      <c r="K25" s="404"/>
      <c r="L25" s="404"/>
      <c r="M25" s="404"/>
      <c r="N25" s="405"/>
    </row>
    <row r="26" spans="2:39" x14ac:dyDescent="0.3">
      <c r="B26" s="412">
        <v>45870</v>
      </c>
      <c r="C26" s="403">
        <v>34709</v>
      </c>
      <c r="D26" s="404">
        <f>D56*D11</f>
        <v>1.6749720000000001</v>
      </c>
      <c r="E26" s="404">
        <f>E56*E11</f>
        <v>0.65443140000000011</v>
      </c>
      <c r="F26" s="404">
        <f>F56*F11</f>
        <v>0.71999575999999998</v>
      </c>
      <c r="G26" s="404">
        <f>G56*G11</f>
        <v>0.76120169999999998</v>
      </c>
      <c r="H26" s="404"/>
      <c r="I26" s="404"/>
      <c r="J26" s="404"/>
      <c r="K26" s="404"/>
      <c r="L26" s="404"/>
      <c r="M26" s="404"/>
      <c r="N26" s="405"/>
    </row>
    <row r="27" spans="2:39" x14ac:dyDescent="0.3">
      <c r="B27" s="412">
        <v>45901</v>
      </c>
      <c r="C27" s="403">
        <v>48045</v>
      </c>
      <c r="D27" s="442">
        <f>D57*D12</f>
        <v>1.6156732</v>
      </c>
      <c r="E27" s="442">
        <f>E57*E12</f>
        <v>0.79657122999999996</v>
      </c>
      <c r="F27" s="404">
        <f>F57*F12</f>
        <v>0.81157206000000004</v>
      </c>
      <c r="G27" s="442"/>
      <c r="H27" s="442"/>
      <c r="I27" s="442"/>
      <c r="J27" s="442"/>
      <c r="K27" s="442"/>
      <c r="L27" s="442"/>
      <c r="M27" s="442"/>
      <c r="N27" s="526"/>
    </row>
    <row r="28" spans="2:39" ht="14.5" x14ac:dyDescent="0.35">
      <c r="B28" s="412">
        <f>EOMONTH(B27,1)</f>
        <v>45961</v>
      </c>
      <c r="C28" s="403">
        <f>C13</f>
        <v>82760</v>
      </c>
      <c r="D28" s="442">
        <f>D58*D13</f>
        <v>1.64574738</v>
      </c>
      <c r="E28" s="442">
        <f>E58*E13</f>
        <v>0.73279391999999999</v>
      </c>
      <c r="F28" s="527"/>
      <c r="G28" s="527"/>
      <c r="H28" s="527"/>
      <c r="I28" s="527"/>
      <c r="J28" s="527"/>
      <c r="K28" s="527"/>
      <c r="L28" s="527"/>
      <c r="M28" s="527"/>
      <c r="N28" s="528"/>
    </row>
    <row r="29" spans="2:39" ht="14.5" x14ac:dyDescent="0.35">
      <c r="B29" s="412">
        <f>EOMONTH(B28,1)</f>
        <v>45991</v>
      </c>
      <c r="C29" s="403">
        <f>C14</f>
        <v>86837</v>
      </c>
      <c r="D29" s="523">
        <f>D59*D14</f>
        <v>1.84164668</v>
      </c>
      <c r="E29" s="527"/>
      <c r="F29" s="527"/>
      <c r="G29" s="527"/>
      <c r="H29" s="527"/>
      <c r="I29" s="527"/>
      <c r="J29" s="527"/>
      <c r="K29" s="527"/>
      <c r="L29" s="527"/>
      <c r="M29" s="527"/>
      <c r="N29" s="528"/>
    </row>
    <row r="30" spans="2:39" ht="14.5" x14ac:dyDescent="0.35">
      <c r="B30" s="413">
        <f>EOMONTH(B29,1)</f>
        <v>46022</v>
      </c>
      <c r="C30" s="406">
        <f>C15</f>
        <v>102395</v>
      </c>
      <c r="D30" s="443">
        <f>D60*D15</f>
        <v>1.1535529199999999</v>
      </c>
      <c r="E30" s="415"/>
      <c r="F30" s="415"/>
      <c r="G30" s="415"/>
      <c r="H30" s="415"/>
      <c r="I30" s="415"/>
      <c r="J30" s="415"/>
      <c r="K30" s="415"/>
      <c r="L30" s="415"/>
      <c r="M30" s="415"/>
      <c r="N30" s="416"/>
    </row>
    <row r="31" spans="2:39" ht="14.5" x14ac:dyDescent="0.35">
      <c r="B31" s="402"/>
      <c r="C31" s="402"/>
      <c r="D31" s="402"/>
      <c r="E31" s="402"/>
      <c r="F31" s="402"/>
      <c r="G31" s="402"/>
      <c r="H31" s="402"/>
      <c r="I31" s="402"/>
      <c r="J31" s="402"/>
      <c r="K31" s="402"/>
      <c r="L31" s="402"/>
      <c r="M31" s="402"/>
      <c r="N31" s="402"/>
    </row>
    <row r="32" spans="2:39" ht="14.5" x14ac:dyDescent="0.35">
      <c r="B32" s="401" t="s">
        <v>1207</v>
      </c>
      <c r="C32" s="402"/>
      <c r="D32" s="402"/>
      <c r="E32" s="402"/>
      <c r="F32" s="402"/>
      <c r="G32" s="402"/>
      <c r="H32" s="402"/>
      <c r="I32" s="402"/>
      <c r="J32" s="402"/>
      <c r="K32" s="402"/>
      <c r="L32" s="402"/>
      <c r="M32" s="402"/>
      <c r="N32" s="402"/>
      <c r="Q32" s="230"/>
      <c r="R32" s="230"/>
      <c r="S32" s="230"/>
      <c r="T32" s="230"/>
      <c r="U32" s="230"/>
      <c r="V32" s="230"/>
      <c r="W32" s="230"/>
      <c r="X32" s="230"/>
      <c r="Y32" s="230"/>
      <c r="AA32" s="234"/>
      <c r="AB32" s="234"/>
      <c r="AC32" s="234"/>
      <c r="AD32" s="234"/>
      <c r="AE32" s="234"/>
      <c r="AF32" s="234"/>
      <c r="AH32" s="188"/>
      <c r="AI32" s="188"/>
      <c r="AJ32" s="188"/>
      <c r="AK32" s="188"/>
      <c r="AL32" s="188"/>
      <c r="AM32" s="188"/>
    </row>
    <row r="33" spans="2:39" x14ac:dyDescent="0.3">
      <c r="B33" s="439" t="s">
        <v>20</v>
      </c>
      <c r="C33" s="439" t="s">
        <v>21</v>
      </c>
      <c r="D33" s="440">
        <v>30</v>
      </c>
      <c r="E33" s="440">
        <v>60</v>
      </c>
      <c r="F33" s="440">
        <v>90</v>
      </c>
      <c r="G33" s="440">
        <v>120</v>
      </c>
      <c r="H33" s="440">
        <v>150</v>
      </c>
      <c r="I33" s="440">
        <v>180</v>
      </c>
      <c r="J33" s="440">
        <v>210</v>
      </c>
      <c r="K33" s="440">
        <v>240</v>
      </c>
      <c r="L33" s="440">
        <v>270</v>
      </c>
      <c r="M33" s="440">
        <v>300</v>
      </c>
      <c r="N33" s="441">
        <v>360</v>
      </c>
      <c r="Q33" s="230"/>
      <c r="R33" s="230"/>
      <c r="S33" s="230"/>
      <c r="T33" s="230"/>
      <c r="U33" s="230"/>
      <c r="V33" s="230"/>
      <c r="W33" s="230"/>
      <c r="X33" s="230"/>
      <c r="Y33" s="230"/>
      <c r="AA33" s="234"/>
      <c r="AB33" s="234"/>
      <c r="AC33" s="234"/>
      <c r="AD33" s="234"/>
      <c r="AE33" s="234"/>
      <c r="AF33" s="234"/>
      <c r="AH33" s="188"/>
      <c r="AI33" s="188"/>
      <c r="AJ33" s="188"/>
      <c r="AK33" s="188"/>
      <c r="AL33" s="188"/>
      <c r="AM33" s="188"/>
    </row>
    <row r="34" spans="2:39" x14ac:dyDescent="0.3">
      <c r="B34" s="412">
        <v>45658</v>
      </c>
      <c r="C34" s="403">
        <v>997</v>
      </c>
      <c r="D34" s="524">
        <v>622.73125000000005</v>
      </c>
      <c r="E34" s="524">
        <v>560.46299999999997</v>
      </c>
      <c r="F34" s="524">
        <v>543.85099000000002</v>
      </c>
      <c r="G34" s="524">
        <v>606.19668000000001</v>
      </c>
      <c r="H34" s="524">
        <v>620.63602000000003</v>
      </c>
      <c r="I34" s="524">
        <v>565.70818999999995</v>
      </c>
      <c r="J34" s="524">
        <v>568.83860000000004</v>
      </c>
      <c r="K34" s="524">
        <v>583.52800000000002</v>
      </c>
      <c r="L34" s="524">
        <v>671.15099999999995</v>
      </c>
      <c r="M34" s="524">
        <v>865.23500000000001</v>
      </c>
      <c r="N34" s="414">
        <v>844.29700000000003</v>
      </c>
      <c r="Q34" s="230"/>
      <c r="R34" s="230"/>
      <c r="S34" s="230"/>
      <c r="T34" s="230"/>
      <c r="U34" s="230"/>
      <c r="V34" s="230"/>
      <c r="W34" s="230"/>
      <c r="X34" s="230"/>
      <c r="Y34" s="230"/>
      <c r="AA34" s="234"/>
      <c r="AB34" s="234"/>
      <c r="AC34" s="234"/>
      <c r="AD34" s="234"/>
      <c r="AE34" s="234"/>
      <c r="AF34" s="234"/>
      <c r="AH34" s="188"/>
      <c r="AI34" s="188"/>
      <c r="AJ34" s="188"/>
      <c r="AK34" s="188"/>
      <c r="AL34" s="188"/>
      <c r="AM34" s="188"/>
    </row>
    <row r="35" spans="2:39" x14ac:dyDescent="0.3">
      <c r="B35" s="412">
        <v>45689</v>
      </c>
      <c r="C35" s="403">
        <v>1534</v>
      </c>
      <c r="D35" s="524">
        <v>602.35717999999997</v>
      </c>
      <c r="E35" s="524">
        <v>505.71564000000001</v>
      </c>
      <c r="F35" s="524">
        <v>599.69641000000001</v>
      </c>
      <c r="G35" s="524">
        <v>561.19277</v>
      </c>
      <c r="H35" s="524">
        <v>543.49060999999995</v>
      </c>
      <c r="I35" s="524">
        <v>514.66718000000003</v>
      </c>
      <c r="J35" s="524">
        <v>669.11699999999996</v>
      </c>
      <c r="K35" s="524">
        <v>673.34199999999998</v>
      </c>
      <c r="L35" s="524">
        <v>748.577</v>
      </c>
      <c r="M35" s="524">
        <v>746.95799999999997</v>
      </c>
      <c r="N35" s="414"/>
      <c r="Q35" s="230"/>
      <c r="R35" s="230"/>
      <c r="S35" s="230"/>
      <c r="T35" s="230"/>
      <c r="U35" s="230"/>
      <c r="V35" s="230"/>
      <c r="W35" s="230"/>
      <c r="X35" s="230"/>
      <c r="Y35" s="230"/>
      <c r="AA35" s="234"/>
      <c r="AB35" s="234"/>
      <c r="AC35" s="234"/>
      <c r="AD35" s="234"/>
      <c r="AE35" s="234"/>
      <c r="AF35" s="234"/>
      <c r="AH35" s="188"/>
      <c r="AI35" s="188"/>
      <c r="AJ35" s="188"/>
      <c r="AK35" s="188"/>
      <c r="AL35" s="188"/>
      <c r="AM35" s="188"/>
    </row>
    <row r="36" spans="2:39" x14ac:dyDescent="0.3">
      <c r="B36" s="412">
        <v>45717</v>
      </c>
      <c r="C36" s="403">
        <v>2546</v>
      </c>
      <c r="D36" s="524">
        <v>549.01504999999997</v>
      </c>
      <c r="E36" s="524">
        <v>571.22230000000002</v>
      </c>
      <c r="F36" s="524">
        <v>504.64814999999999</v>
      </c>
      <c r="G36" s="524">
        <v>511.14697000000001</v>
      </c>
      <c r="H36" s="524">
        <v>508.89438999999999</v>
      </c>
      <c r="I36" s="524">
        <v>615.43200000000002</v>
      </c>
      <c r="J36" s="524">
        <v>665.23299999999995</v>
      </c>
      <c r="K36" s="524">
        <v>763.78300000000002</v>
      </c>
      <c r="L36" s="524">
        <v>726.24300000000005</v>
      </c>
      <c r="M36" s="524"/>
      <c r="N36" s="414"/>
      <c r="Q36" s="230"/>
      <c r="R36" s="230"/>
      <c r="S36" s="230"/>
      <c r="T36" s="230"/>
      <c r="U36" s="230"/>
      <c r="V36" s="230"/>
      <c r="W36" s="230"/>
      <c r="X36" s="230"/>
      <c r="Y36" s="230"/>
      <c r="AA36" s="234"/>
      <c r="AB36" s="234"/>
      <c r="AC36" s="234"/>
      <c r="AD36" s="234"/>
      <c r="AE36" s="234"/>
      <c r="AF36" s="234"/>
      <c r="AH36" s="188"/>
      <c r="AI36" s="188"/>
      <c r="AJ36" s="188"/>
      <c r="AK36" s="188"/>
      <c r="AL36" s="188"/>
      <c r="AM36" s="188"/>
    </row>
    <row r="37" spans="2:39" x14ac:dyDescent="0.3">
      <c r="B37" s="412">
        <v>45748</v>
      </c>
      <c r="C37" s="403">
        <v>3787</v>
      </c>
      <c r="D37" s="524">
        <v>546.37557000000004</v>
      </c>
      <c r="E37" s="524">
        <v>527.69759999999997</v>
      </c>
      <c r="F37" s="524">
        <v>497.86252999999999</v>
      </c>
      <c r="G37" s="524">
        <v>495.77390000000003</v>
      </c>
      <c r="H37" s="524">
        <v>589.072</v>
      </c>
      <c r="I37" s="524">
        <v>646.29200000000003</v>
      </c>
      <c r="J37" s="524">
        <v>707.75</v>
      </c>
      <c r="K37" s="524">
        <v>744.08299999999997</v>
      </c>
      <c r="L37" s="524"/>
      <c r="M37" s="524"/>
      <c r="N37" s="414"/>
      <c r="Q37" s="230"/>
      <c r="R37" s="230"/>
      <c r="S37" s="230"/>
      <c r="T37" s="230"/>
      <c r="U37" s="230"/>
      <c r="V37" s="230"/>
      <c r="W37" s="230"/>
      <c r="X37" s="230"/>
      <c r="Y37" s="230"/>
      <c r="AA37" s="234"/>
      <c r="AB37" s="234"/>
      <c r="AC37" s="234"/>
      <c r="AD37" s="234"/>
      <c r="AE37" s="234"/>
      <c r="AF37" s="234"/>
      <c r="AH37" s="188"/>
      <c r="AI37" s="188"/>
      <c r="AJ37" s="188"/>
      <c r="AK37" s="188"/>
      <c r="AL37" s="188"/>
      <c r="AM37" s="188"/>
    </row>
    <row r="38" spans="2:39" x14ac:dyDescent="0.3">
      <c r="B38" s="412">
        <v>45778</v>
      </c>
      <c r="C38" s="403">
        <v>9361</v>
      </c>
      <c r="D38" s="524">
        <v>478.63596999999999</v>
      </c>
      <c r="E38" s="524">
        <v>490.54682000000003</v>
      </c>
      <c r="F38" s="524">
        <v>491.66710999999998</v>
      </c>
      <c r="G38" s="524">
        <v>562.22299999999996</v>
      </c>
      <c r="H38" s="524">
        <v>601.55100000000004</v>
      </c>
      <c r="I38" s="524">
        <v>657.62300000000005</v>
      </c>
      <c r="J38" s="524">
        <v>659.97699999999998</v>
      </c>
      <c r="K38" s="524"/>
      <c r="L38" s="524"/>
      <c r="M38" s="524"/>
      <c r="N38" s="414"/>
      <c r="Q38" s="230"/>
      <c r="R38" s="230"/>
      <c r="S38" s="230"/>
      <c r="T38" s="230"/>
      <c r="U38" s="230"/>
      <c r="V38" s="230"/>
      <c r="W38" s="230"/>
      <c r="X38" s="230"/>
      <c r="Y38" s="230"/>
      <c r="AA38" s="234"/>
      <c r="AB38" s="234"/>
      <c r="AC38" s="234"/>
      <c r="AD38" s="234"/>
      <c r="AE38" s="234"/>
      <c r="AF38" s="234"/>
      <c r="AH38" s="188"/>
      <c r="AI38" s="188"/>
      <c r="AJ38" s="188"/>
      <c r="AK38" s="188"/>
      <c r="AL38" s="188"/>
      <c r="AM38" s="188"/>
    </row>
    <row r="39" spans="2:39" x14ac:dyDescent="0.3">
      <c r="B39" s="412">
        <v>45809</v>
      </c>
      <c r="C39" s="403">
        <v>11532</v>
      </c>
      <c r="D39" s="524">
        <v>457.11097000000001</v>
      </c>
      <c r="E39" s="524">
        <v>478.47329000000002</v>
      </c>
      <c r="F39" s="524">
        <v>533.88699999999994</v>
      </c>
      <c r="G39" s="524">
        <v>595.46199999999999</v>
      </c>
      <c r="H39" s="524">
        <v>602.88099999999997</v>
      </c>
      <c r="I39" s="524">
        <v>611.86099999999999</v>
      </c>
      <c r="J39" s="524"/>
      <c r="K39" s="524"/>
      <c r="L39" s="524"/>
      <c r="M39" s="524"/>
      <c r="N39" s="414"/>
    </row>
    <row r="40" spans="2:39" x14ac:dyDescent="0.3">
      <c r="B40" s="412">
        <v>45839</v>
      </c>
      <c r="C40" s="403">
        <v>17911</v>
      </c>
      <c r="D40" s="524">
        <v>436.79500000000002</v>
      </c>
      <c r="E40" s="524">
        <v>518.26599999999996</v>
      </c>
      <c r="F40" s="524">
        <v>579.71900000000005</v>
      </c>
      <c r="G40" s="524">
        <v>638.08699999999999</v>
      </c>
      <c r="H40" s="524">
        <v>646.58399999999995</v>
      </c>
      <c r="I40" s="524"/>
      <c r="J40" s="524"/>
      <c r="K40" s="524"/>
      <c r="L40" s="524"/>
      <c r="M40" s="524"/>
      <c r="N40" s="414"/>
    </row>
    <row r="41" spans="2:39" x14ac:dyDescent="0.3">
      <c r="B41" s="412">
        <v>45870</v>
      </c>
      <c r="C41" s="403">
        <v>34709</v>
      </c>
      <c r="D41" s="524">
        <v>470.447</v>
      </c>
      <c r="E41" s="524">
        <v>591.00699999999995</v>
      </c>
      <c r="F41" s="524">
        <v>595.197</v>
      </c>
      <c r="G41" s="524">
        <v>616.55799999999999</v>
      </c>
      <c r="H41" s="524"/>
      <c r="I41" s="524"/>
      <c r="J41" s="524"/>
      <c r="K41" s="524"/>
      <c r="L41" s="524"/>
      <c r="M41" s="524"/>
      <c r="N41" s="414"/>
    </row>
    <row r="42" spans="2:39" ht="14.5" customHeight="1" x14ac:dyDescent="0.3">
      <c r="B42" s="412">
        <v>45901</v>
      </c>
      <c r="C42" s="403">
        <v>48045</v>
      </c>
      <c r="D42" s="529">
        <v>515.24</v>
      </c>
      <c r="E42" s="529">
        <v>565.92999999999995</v>
      </c>
      <c r="F42" s="529">
        <v>613.51199999999994</v>
      </c>
      <c r="G42" s="529"/>
      <c r="H42" s="529"/>
      <c r="I42" s="529"/>
      <c r="J42" s="529"/>
      <c r="K42" s="529"/>
      <c r="L42" s="529"/>
      <c r="M42" s="529"/>
      <c r="N42" s="530"/>
    </row>
    <row r="43" spans="2:39" ht="14.5" customHeight="1" x14ac:dyDescent="0.3">
      <c r="B43" s="412">
        <f t="shared" ref="B43:C45" si="6">B28</f>
        <v>45961</v>
      </c>
      <c r="C43" s="403">
        <f t="shared" si="6"/>
        <v>82760</v>
      </c>
      <c r="D43" s="529">
        <v>536.75599999999997</v>
      </c>
      <c r="E43" s="529">
        <v>592.03599999999994</v>
      </c>
      <c r="F43" s="529"/>
      <c r="G43" s="529"/>
      <c r="H43" s="529"/>
      <c r="I43" s="529"/>
      <c r="J43" s="529"/>
      <c r="K43" s="529"/>
      <c r="L43" s="529"/>
      <c r="M43" s="529"/>
      <c r="N43" s="530"/>
    </row>
    <row r="44" spans="2:39" ht="14.5" customHeight="1" x14ac:dyDescent="0.3">
      <c r="B44" s="412">
        <f t="shared" si="6"/>
        <v>45991</v>
      </c>
      <c r="C44" s="403">
        <f t="shared" si="6"/>
        <v>86837</v>
      </c>
      <c r="D44" s="529">
        <v>549.71400000000006</v>
      </c>
      <c r="E44" s="529"/>
      <c r="F44" s="529"/>
      <c r="G44" s="529"/>
      <c r="H44" s="529"/>
      <c r="I44" s="529"/>
      <c r="J44" s="529"/>
      <c r="K44" s="529"/>
      <c r="L44" s="529"/>
      <c r="M44" s="529"/>
      <c r="N44" s="530"/>
    </row>
    <row r="45" spans="2:39" ht="14.5" customHeight="1" x14ac:dyDescent="0.35">
      <c r="B45" s="413">
        <f t="shared" si="6"/>
        <v>46022</v>
      </c>
      <c r="C45" s="406">
        <f t="shared" si="6"/>
        <v>102395</v>
      </c>
      <c r="D45" s="444">
        <v>449.79</v>
      </c>
      <c r="E45" s="407"/>
      <c r="F45" s="407"/>
      <c r="G45" s="407"/>
      <c r="H45" s="407"/>
      <c r="I45" s="407"/>
      <c r="J45" s="407"/>
      <c r="K45" s="407"/>
      <c r="L45" s="407"/>
      <c r="M45" s="407"/>
      <c r="N45" s="408"/>
    </row>
    <row r="46" spans="2:39" ht="14.5" x14ac:dyDescent="0.35"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Q46" s="62"/>
      <c r="R46" s="62"/>
      <c r="S46" s="62"/>
      <c r="T46" s="62"/>
      <c r="U46" s="62"/>
      <c r="V46" s="62"/>
      <c r="W46" s="62"/>
      <c r="X46" s="62"/>
      <c r="Y46" s="62"/>
      <c r="AA46" s="392"/>
      <c r="AB46" s="392"/>
      <c r="AC46" s="392"/>
      <c r="AD46" s="392"/>
      <c r="AE46" s="392"/>
      <c r="AF46" s="392"/>
      <c r="AH46" s="188"/>
      <c r="AI46" s="188"/>
      <c r="AJ46" s="188"/>
      <c r="AK46" s="188"/>
      <c r="AL46" s="188"/>
      <c r="AM46" s="188"/>
    </row>
    <row r="47" spans="2:39" ht="14.5" x14ac:dyDescent="0.35">
      <c r="B47" s="401" t="s">
        <v>1204</v>
      </c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Q47" s="62"/>
      <c r="R47" s="62"/>
      <c r="S47" s="62"/>
      <c r="T47" s="62"/>
      <c r="U47" s="62"/>
      <c r="V47" s="62"/>
      <c r="W47" s="62"/>
      <c r="X47" s="62"/>
      <c r="Y47" s="62"/>
      <c r="AA47" s="392"/>
      <c r="AB47" s="392"/>
      <c r="AC47" s="392"/>
      <c r="AD47" s="392"/>
      <c r="AE47" s="392"/>
      <c r="AF47" s="392"/>
      <c r="AH47" s="188"/>
      <c r="AI47" s="188"/>
      <c r="AJ47" s="188"/>
      <c r="AK47" s="188"/>
      <c r="AL47" s="188"/>
      <c r="AM47" s="188"/>
    </row>
    <row r="48" spans="2:39" x14ac:dyDescent="0.3">
      <c r="B48" s="439" t="s">
        <v>20</v>
      </c>
      <c r="C48" s="439" t="s">
        <v>21</v>
      </c>
      <c r="D48" s="440">
        <v>30</v>
      </c>
      <c r="E48" s="440">
        <v>60</v>
      </c>
      <c r="F48" s="440">
        <v>90</v>
      </c>
      <c r="G48" s="440">
        <v>120</v>
      </c>
      <c r="H48" s="440">
        <v>150</v>
      </c>
      <c r="I48" s="440">
        <v>180</v>
      </c>
      <c r="J48" s="440">
        <v>210</v>
      </c>
      <c r="K48" s="440">
        <v>240</v>
      </c>
      <c r="L48" s="440">
        <v>270</v>
      </c>
      <c r="M48" s="440">
        <v>300</v>
      </c>
      <c r="N48" s="441">
        <v>360</v>
      </c>
      <c r="Q48" s="62"/>
      <c r="R48" s="62"/>
      <c r="S48" s="62"/>
      <c r="T48" s="62"/>
      <c r="U48" s="62"/>
      <c r="V48" s="62"/>
      <c r="W48" s="62"/>
      <c r="X48" s="62"/>
      <c r="Y48" s="62"/>
      <c r="AA48" s="392"/>
      <c r="AB48" s="392"/>
      <c r="AC48" s="392"/>
      <c r="AD48" s="392"/>
      <c r="AE48" s="392"/>
      <c r="AF48" s="392"/>
      <c r="AH48" s="188"/>
      <c r="AI48" s="188"/>
      <c r="AJ48" s="188"/>
      <c r="AK48" s="188"/>
      <c r="AL48" s="188"/>
      <c r="AM48" s="188"/>
    </row>
    <row r="49" spans="2:39" x14ac:dyDescent="0.3">
      <c r="B49" s="412">
        <v>45658</v>
      </c>
      <c r="C49" s="403">
        <v>997</v>
      </c>
      <c r="D49" s="525">
        <v>2.5875300000000001</v>
      </c>
      <c r="E49" s="525">
        <v>2.33033</v>
      </c>
      <c r="F49" s="525">
        <v>2.2927599999999999</v>
      </c>
      <c r="G49" s="525">
        <v>2.5559400000000001</v>
      </c>
      <c r="H49" s="525">
        <v>2.681</v>
      </c>
      <c r="I49" s="525">
        <v>2.4964499999999998</v>
      </c>
      <c r="J49" s="525">
        <v>2.6254200000000001</v>
      </c>
      <c r="K49" s="525">
        <v>2.5812300000000001</v>
      </c>
      <c r="L49" s="525">
        <v>2.6678999999999999</v>
      </c>
      <c r="M49" s="525">
        <v>3.4649999999999999</v>
      </c>
      <c r="N49" s="409">
        <v>3.5830000000000002</v>
      </c>
      <c r="Q49" s="62"/>
      <c r="R49" s="62"/>
      <c r="S49" s="62"/>
      <c r="T49" s="62"/>
      <c r="U49" s="62"/>
      <c r="V49" s="62"/>
      <c r="W49" s="62"/>
      <c r="X49" s="62"/>
      <c r="Y49" s="62"/>
      <c r="AA49" s="392"/>
      <c r="AB49" s="392"/>
      <c r="AC49" s="392"/>
      <c r="AD49" s="392"/>
      <c r="AE49" s="392"/>
      <c r="AF49" s="392"/>
      <c r="AH49" s="188"/>
      <c r="AI49" s="188"/>
      <c r="AJ49" s="188"/>
      <c r="AK49" s="188"/>
      <c r="AL49" s="188"/>
      <c r="AM49" s="188"/>
    </row>
    <row r="50" spans="2:39" x14ac:dyDescent="0.3">
      <c r="B50" s="412">
        <v>45689</v>
      </c>
      <c r="C50" s="403">
        <v>1534</v>
      </c>
      <c r="D50" s="525">
        <v>2.5709599999999999</v>
      </c>
      <c r="E50" s="525">
        <v>2.2065399999999999</v>
      </c>
      <c r="F50" s="525">
        <v>2.56541</v>
      </c>
      <c r="G50" s="525">
        <v>2.5164300000000002</v>
      </c>
      <c r="H50" s="525">
        <v>2.5270299999999999</v>
      </c>
      <c r="I50" s="525">
        <v>2.5102899999999999</v>
      </c>
      <c r="J50" s="525">
        <v>2.96957</v>
      </c>
      <c r="K50" s="525">
        <v>2.7048800000000002</v>
      </c>
      <c r="L50" s="525">
        <v>3.0609999999999999</v>
      </c>
      <c r="M50" s="525">
        <v>3.26</v>
      </c>
      <c r="N50" s="409"/>
      <c r="Q50" s="62"/>
      <c r="R50" s="62"/>
      <c r="S50" s="62"/>
      <c r="T50" s="62"/>
      <c r="U50" s="62"/>
      <c r="V50" s="62"/>
      <c r="W50" s="62"/>
      <c r="X50" s="62"/>
      <c r="Y50" s="62"/>
      <c r="AA50" s="392"/>
      <c r="AB50" s="392"/>
      <c r="AC50" s="392"/>
      <c r="AD50" s="392"/>
      <c r="AE50" s="392"/>
      <c r="AF50" s="392"/>
      <c r="AH50" s="188"/>
      <c r="AI50" s="188"/>
      <c r="AJ50" s="188"/>
      <c r="AK50" s="188"/>
      <c r="AL50" s="188"/>
      <c r="AM50" s="188"/>
    </row>
    <row r="51" spans="2:39" x14ac:dyDescent="0.3">
      <c r="B51" s="412">
        <v>45717</v>
      </c>
      <c r="C51" s="403">
        <v>2546</v>
      </c>
      <c r="D51" s="525">
        <v>2.40381</v>
      </c>
      <c r="E51" s="525">
        <v>2.4114</v>
      </c>
      <c r="F51" s="525">
        <v>2.23759</v>
      </c>
      <c r="G51" s="525">
        <v>2.2911600000000001</v>
      </c>
      <c r="H51" s="525">
        <v>2.4176799999999998</v>
      </c>
      <c r="I51" s="525">
        <v>2.7285900000000001</v>
      </c>
      <c r="J51" s="525">
        <v>2.7107800000000002</v>
      </c>
      <c r="K51" s="525">
        <v>3.0659999999999998</v>
      </c>
      <c r="L51" s="525">
        <v>3.0550000000000002</v>
      </c>
      <c r="M51" s="525"/>
      <c r="N51" s="409"/>
      <c r="Q51" s="62"/>
      <c r="R51" s="62"/>
      <c r="S51" s="62"/>
      <c r="T51" s="62"/>
      <c r="U51" s="62"/>
      <c r="V51" s="62"/>
      <c r="W51" s="62"/>
      <c r="X51" s="62"/>
      <c r="Y51" s="62"/>
      <c r="AA51" s="392"/>
      <c r="AB51" s="392"/>
      <c r="AC51" s="392"/>
      <c r="AD51" s="392"/>
      <c r="AE51" s="392"/>
      <c r="AF51" s="392"/>
      <c r="AH51" s="188"/>
      <c r="AI51" s="188"/>
      <c r="AJ51" s="188"/>
      <c r="AK51" s="188"/>
      <c r="AL51" s="188"/>
      <c r="AM51" s="188"/>
    </row>
    <row r="52" spans="2:39" x14ac:dyDescent="0.3">
      <c r="B52" s="412">
        <v>45748</v>
      </c>
      <c r="C52" s="403">
        <v>3787</v>
      </c>
      <c r="D52" s="525">
        <v>2.51871</v>
      </c>
      <c r="E52" s="525">
        <v>2.3765499999999999</v>
      </c>
      <c r="F52" s="525">
        <v>2.23882</v>
      </c>
      <c r="G52" s="525">
        <v>2.39358</v>
      </c>
      <c r="H52" s="525">
        <v>2.6129600000000002</v>
      </c>
      <c r="I52" s="525">
        <v>2.6038100000000002</v>
      </c>
      <c r="J52" s="525">
        <v>3.0209999999999999</v>
      </c>
      <c r="K52" s="525">
        <v>3.19</v>
      </c>
      <c r="L52" s="525"/>
      <c r="M52" s="525"/>
      <c r="N52" s="409"/>
      <c r="Q52" s="62"/>
      <c r="R52" s="62"/>
      <c r="S52" s="62"/>
      <c r="T52" s="62"/>
      <c r="U52" s="62"/>
      <c r="V52" s="62"/>
      <c r="W52" s="62"/>
      <c r="X52" s="62"/>
      <c r="Y52" s="62"/>
      <c r="AA52" s="392"/>
      <c r="AB52" s="392"/>
      <c r="AC52" s="392"/>
      <c r="AD52" s="392"/>
      <c r="AE52" s="392"/>
      <c r="AF52" s="392"/>
      <c r="AH52" s="188"/>
      <c r="AI52" s="188"/>
      <c r="AJ52" s="188"/>
      <c r="AK52" s="188"/>
      <c r="AL52" s="188"/>
      <c r="AM52" s="188"/>
    </row>
    <row r="53" spans="2:39" x14ac:dyDescent="0.3">
      <c r="B53" s="412">
        <v>45778</v>
      </c>
      <c r="C53" s="403">
        <v>9361</v>
      </c>
      <c r="D53" s="525">
        <v>2.4002300000000001</v>
      </c>
      <c r="E53" s="525">
        <v>2.23645</v>
      </c>
      <c r="F53" s="525">
        <v>2.2782</v>
      </c>
      <c r="G53" s="525">
        <v>2.5023300000000002</v>
      </c>
      <c r="H53" s="525">
        <v>2.4375</v>
      </c>
      <c r="I53" s="525">
        <v>2.78</v>
      </c>
      <c r="J53" s="525">
        <v>2.9470000000000001</v>
      </c>
      <c r="K53" s="525"/>
      <c r="L53" s="525"/>
      <c r="M53" s="525"/>
      <c r="N53" s="409"/>
    </row>
    <row r="54" spans="2:39" x14ac:dyDescent="0.3">
      <c r="B54" s="412">
        <v>45809</v>
      </c>
      <c r="C54" s="403">
        <v>11532</v>
      </c>
      <c r="D54" s="525">
        <v>2.3063600000000002</v>
      </c>
      <c r="E54" s="525">
        <v>2.2742599999999999</v>
      </c>
      <c r="F54" s="525">
        <v>2.4034900000000001</v>
      </c>
      <c r="G54" s="525">
        <v>2.4782899999999999</v>
      </c>
      <c r="H54" s="525">
        <v>2.661</v>
      </c>
      <c r="I54" s="525">
        <v>2.7829999999999999</v>
      </c>
      <c r="J54" s="525"/>
      <c r="K54" s="525"/>
      <c r="L54" s="525"/>
      <c r="M54" s="525"/>
      <c r="N54" s="409"/>
    </row>
    <row r="55" spans="2:39" x14ac:dyDescent="0.3">
      <c r="B55" s="412">
        <v>45839</v>
      </c>
      <c r="C55" s="403">
        <v>17911</v>
      </c>
      <c r="D55" s="525">
        <v>2.2389199999999998</v>
      </c>
      <c r="E55" s="525">
        <v>2.2748699999999999</v>
      </c>
      <c r="F55" s="525">
        <v>2.3725999999999998</v>
      </c>
      <c r="G55" s="525">
        <v>2.69</v>
      </c>
      <c r="H55" s="525">
        <v>2.859</v>
      </c>
      <c r="I55" s="525"/>
      <c r="J55" s="525"/>
      <c r="K55" s="525"/>
      <c r="L55" s="525"/>
      <c r="M55" s="525"/>
      <c r="N55" s="409"/>
    </row>
    <row r="56" spans="2:39" x14ac:dyDescent="0.3">
      <c r="B56" s="412">
        <v>45870</v>
      </c>
      <c r="C56" s="403">
        <v>34709</v>
      </c>
      <c r="D56" s="525">
        <v>2.3263500000000001</v>
      </c>
      <c r="E56" s="525">
        <v>2.4238200000000001</v>
      </c>
      <c r="F56" s="525">
        <v>2.581</v>
      </c>
      <c r="G56" s="525">
        <v>2.7509999999999999</v>
      </c>
      <c r="H56" s="525"/>
      <c r="I56" s="525"/>
      <c r="J56" s="525"/>
      <c r="K56" s="525"/>
      <c r="L56" s="525"/>
      <c r="M56" s="525"/>
      <c r="N56" s="409"/>
    </row>
    <row r="57" spans="2:39" x14ac:dyDescent="0.3">
      <c r="B57" s="412">
        <v>45901</v>
      </c>
      <c r="C57" s="403">
        <v>48045</v>
      </c>
      <c r="D57" s="531">
        <v>2.3759899999999998</v>
      </c>
      <c r="E57" s="531">
        <v>2.4830000000000001</v>
      </c>
      <c r="F57" s="531">
        <v>2.766</v>
      </c>
      <c r="G57" s="531"/>
      <c r="H57" s="531"/>
      <c r="I57" s="531"/>
      <c r="J57" s="531"/>
      <c r="K57" s="531"/>
      <c r="L57" s="531"/>
      <c r="M57" s="531"/>
      <c r="N57" s="532"/>
      <c r="AA57" s="234"/>
      <c r="AB57" s="234"/>
      <c r="AC57" s="234"/>
      <c r="AD57" s="234"/>
      <c r="AE57" s="234"/>
      <c r="AF57" s="234"/>
      <c r="AH57" s="170"/>
      <c r="AI57" s="170"/>
      <c r="AJ57" s="170"/>
      <c r="AK57" s="170"/>
      <c r="AL57" s="170"/>
      <c r="AM57" s="170"/>
    </row>
    <row r="58" spans="2:39" x14ac:dyDescent="0.3">
      <c r="B58" s="412">
        <f t="shared" ref="B58:C60" si="7">B43</f>
        <v>45961</v>
      </c>
      <c r="C58" s="403">
        <f t="shared" si="7"/>
        <v>82760</v>
      </c>
      <c r="D58" s="531">
        <v>2.4209999999999998</v>
      </c>
      <c r="E58" s="531">
        <v>2.6160000000000001</v>
      </c>
      <c r="F58" s="531"/>
      <c r="G58" s="531"/>
      <c r="H58" s="531"/>
      <c r="I58" s="531"/>
      <c r="J58" s="531"/>
      <c r="K58" s="531"/>
      <c r="L58" s="531"/>
      <c r="M58" s="531"/>
      <c r="N58" s="532"/>
      <c r="AA58" s="234"/>
      <c r="AB58" s="234"/>
      <c r="AC58" s="234"/>
      <c r="AD58" s="234"/>
      <c r="AE58" s="234"/>
      <c r="AF58" s="234"/>
      <c r="AH58" s="170"/>
      <c r="AI58" s="170"/>
      <c r="AJ58" s="170"/>
      <c r="AK58" s="170"/>
      <c r="AL58" s="170"/>
      <c r="AM58" s="170"/>
    </row>
    <row r="59" spans="2:39" x14ac:dyDescent="0.3">
      <c r="B59" s="412">
        <f t="shared" si="7"/>
        <v>45991</v>
      </c>
      <c r="C59" s="403">
        <f t="shared" si="7"/>
        <v>86837</v>
      </c>
      <c r="D59" s="531">
        <v>2.5880000000000001</v>
      </c>
      <c r="E59" s="531"/>
      <c r="F59" s="531"/>
      <c r="G59" s="531"/>
      <c r="H59" s="531"/>
      <c r="I59" s="531"/>
      <c r="J59" s="531"/>
      <c r="K59" s="531"/>
      <c r="L59" s="531"/>
      <c r="M59" s="531"/>
      <c r="N59" s="532"/>
      <c r="AA59" s="234"/>
      <c r="AB59" s="234"/>
      <c r="AC59" s="234"/>
      <c r="AD59" s="234"/>
      <c r="AE59" s="234"/>
      <c r="AF59" s="234"/>
      <c r="AH59" s="170"/>
      <c r="AI59" s="170"/>
      <c r="AJ59" s="170"/>
      <c r="AK59" s="170"/>
      <c r="AL59" s="170"/>
      <c r="AM59" s="170"/>
    </row>
    <row r="60" spans="2:39" ht="14.5" x14ac:dyDescent="0.35">
      <c r="B60" s="413">
        <f t="shared" si="7"/>
        <v>46022</v>
      </c>
      <c r="C60" s="406">
        <f t="shared" si="7"/>
        <v>102395</v>
      </c>
      <c r="D60" s="445">
        <v>2.1309999999999998</v>
      </c>
      <c r="E60" s="410"/>
      <c r="F60" s="410"/>
      <c r="G60" s="410"/>
      <c r="H60" s="410"/>
      <c r="I60" s="410"/>
      <c r="J60" s="410"/>
      <c r="K60" s="410"/>
      <c r="L60" s="410"/>
      <c r="M60" s="410"/>
      <c r="N60" s="411"/>
      <c r="AA60" s="234"/>
      <c r="AB60" s="234"/>
      <c r="AC60" s="234"/>
      <c r="AD60" s="234"/>
      <c r="AE60" s="234"/>
      <c r="AF60" s="234"/>
      <c r="AH60" s="170"/>
      <c r="AI60" s="170"/>
      <c r="AJ60" s="170"/>
      <c r="AK60" s="170"/>
      <c r="AL60" s="170"/>
      <c r="AM60" s="170"/>
    </row>
    <row r="61" spans="2:39" ht="14.5" x14ac:dyDescent="0.35">
      <c r="B61" s="565"/>
      <c r="C61" s="566"/>
      <c r="D61" s="564"/>
      <c r="E61" s="564"/>
      <c r="F61" s="564"/>
      <c r="G61" s="564"/>
      <c r="H61" s="564"/>
      <c r="I61" s="564"/>
      <c r="J61" s="564"/>
      <c r="K61" s="564"/>
      <c r="L61" s="564"/>
      <c r="M61" s="564"/>
      <c r="N61" s="564"/>
      <c r="AA61" s="234"/>
      <c r="AB61" s="234"/>
      <c r="AC61" s="234"/>
      <c r="AD61" s="234"/>
      <c r="AE61" s="234"/>
      <c r="AF61" s="234"/>
      <c r="AH61" s="170"/>
      <c r="AI61" s="170"/>
      <c r="AJ61" s="170"/>
      <c r="AK61" s="170"/>
      <c r="AL61" s="170"/>
      <c r="AM61" s="170"/>
    </row>
    <row r="62" spans="2:39" ht="14.5" x14ac:dyDescent="0.35">
      <c r="B62" s="401" t="s">
        <v>1205</v>
      </c>
      <c r="C62" s="402"/>
      <c r="D62" s="402"/>
      <c r="E62" s="402"/>
      <c r="F62" s="402"/>
      <c r="G62" s="402"/>
      <c r="H62" s="402"/>
      <c r="I62" s="402"/>
      <c r="J62" s="402"/>
      <c r="K62" s="402"/>
      <c r="L62" s="402"/>
      <c r="M62" s="402"/>
      <c r="N62" s="402"/>
      <c r="AA62" s="234"/>
      <c r="AB62" s="234"/>
      <c r="AC62" s="234"/>
      <c r="AD62" s="234"/>
      <c r="AE62" s="234"/>
      <c r="AF62" s="234"/>
      <c r="AH62" s="170"/>
      <c r="AI62" s="170"/>
      <c r="AJ62" s="170"/>
      <c r="AK62" s="170"/>
      <c r="AL62" s="170"/>
      <c r="AM62" s="170"/>
    </row>
    <row r="63" spans="2:39" x14ac:dyDescent="0.3">
      <c r="B63" s="439" t="s">
        <v>20</v>
      </c>
      <c r="C63" s="439" t="s">
        <v>21</v>
      </c>
      <c r="D63" s="440">
        <v>30</v>
      </c>
      <c r="E63" s="440">
        <v>60</v>
      </c>
      <c r="F63" s="440">
        <v>90</v>
      </c>
      <c r="G63" s="440">
        <v>120</v>
      </c>
      <c r="H63" s="440">
        <v>150</v>
      </c>
      <c r="I63" s="440">
        <v>180</v>
      </c>
      <c r="J63" s="440">
        <v>210</v>
      </c>
      <c r="K63" s="440">
        <v>240</v>
      </c>
      <c r="L63" s="440">
        <v>270</v>
      </c>
      <c r="M63" s="440">
        <v>300</v>
      </c>
      <c r="N63" s="441">
        <v>360</v>
      </c>
      <c r="AA63" s="234"/>
      <c r="AB63" s="234"/>
      <c r="AC63" s="234"/>
      <c r="AD63" s="234"/>
      <c r="AE63" s="234"/>
      <c r="AF63" s="234"/>
      <c r="AH63" s="170"/>
      <c r="AI63" s="170"/>
      <c r="AJ63" s="170"/>
      <c r="AK63" s="170"/>
      <c r="AL63" s="170"/>
      <c r="AM63" s="170"/>
    </row>
    <row r="64" spans="2:39" x14ac:dyDescent="0.3">
      <c r="B64" s="412">
        <v>45658</v>
      </c>
      <c r="C64" s="403">
        <v>997</v>
      </c>
      <c r="D64" s="524">
        <f t="shared" ref="D64:N64" si="8">C64*D4*D49</f>
        <v>1109.2999863</v>
      </c>
      <c r="E64" s="524">
        <f t="shared" si="8"/>
        <v>878.91191260532287</v>
      </c>
      <c r="F64" s="524">
        <f t="shared" si="8"/>
        <v>624.69156379094375</v>
      </c>
      <c r="G64" s="524">
        <f t="shared" si="8"/>
        <v>479.00224666674745</v>
      </c>
      <c r="H64" s="524">
        <f t="shared" si="8"/>
        <v>372.41945676092945</v>
      </c>
      <c r="I64" s="524">
        <f t="shared" si="8"/>
        <v>269.62070032093845</v>
      </c>
      <c r="J64" s="524">
        <f t="shared" si="8"/>
        <v>219.43894950134546</v>
      </c>
      <c r="K64" s="524">
        <f t="shared" si="8"/>
        <v>164.2624958901938</v>
      </c>
      <c r="L64" s="524">
        <f t="shared" si="8"/>
        <v>122.70605557992548</v>
      </c>
      <c r="M64" s="524">
        <f t="shared" si="8"/>
        <v>132.4807402084862</v>
      </c>
      <c r="N64" s="414">
        <f t="shared" si="8"/>
        <v>137.65676272843174</v>
      </c>
      <c r="AA64" s="234"/>
      <c r="AB64" s="234"/>
      <c r="AC64" s="234"/>
      <c r="AD64" s="234"/>
      <c r="AE64" s="234"/>
      <c r="AF64" s="234"/>
      <c r="AH64" s="170"/>
      <c r="AI64" s="170"/>
      <c r="AJ64" s="170"/>
      <c r="AK64" s="170"/>
      <c r="AL64" s="170"/>
      <c r="AM64" s="170"/>
    </row>
    <row r="65" spans="2:39" x14ac:dyDescent="0.3">
      <c r="B65" s="412">
        <v>45689</v>
      </c>
      <c r="C65" s="403">
        <v>1534</v>
      </c>
      <c r="D65" s="524">
        <f t="shared" ref="D65:M65" si="9">C65*D5*D50</f>
        <v>1538.1025296</v>
      </c>
      <c r="E65" s="524">
        <f t="shared" si="9"/>
        <v>1052.1042742557111</v>
      </c>
      <c r="F65" s="524">
        <f t="shared" si="9"/>
        <v>755.74207134113635</v>
      </c>
      <c r="G65" s="524">
        <f t="shared" si="9"/>
        <v>513.47844555794359</v>
      </c>
      <c r="H65" s="524">
        <f t="shared" si="9"/>
        <v>363.32112215792125</v>
      </c>
      <c r="I65" s="524">
        <f t="shared" si="9"/>
        <v>282.73282771996048</v>
      </c>
      <c r="J65" s="524">
        <f t="shared" si="9"/>
        <v>243.48252773158529</v>
      </c>
      <c r="K65" s="524">
        <f t="shared" si="9"/>
        <v>197.57730588318316</v>
      </c>
      <c r="L65" s="524">
        <f t="shared" si="9"/>
        <v>187.96690863225808</v>
      </c>
      <c r="M65" s="524">
        <f t="shared" si="9"/>
        <v>174.19273116106794</v>
      </c>
      <c r="N65" s="414"/>
      <c r="AA65" s="234"/>
      <c r="AB65" s="234"/>
      <c r="AC65" s="234"/>
      <c r="AD65" s="234"/>
      <c r="AE65" s="234"/>
      <c r="AF65" s="234"/>
      <c r="AH65" s="170"/>
      <c r="AI65" s="170"/>
      <c r="AJ65" s="170"/>
      <c r="AK65" s="170"/>
      <c r="AL65" s="170"/>
      <c r="AM65" s="170"/>
    </row>
    <row r="66" spans="2:39" x14ac:dyDescent="0.3">
      <c r="B66" s="412">
        <v>45717</v>
      </c>
      <c r="C66" s="403">
        <v>2546</v>
      </c>
      <c r="D66" s="524">
        <f t="shared" ref="D66:L66" si="10">C66*D6*D51</f>
        <v>2264.4370961999998</v>
      </c>
      <c r="E66" s="524">
        <f t="shared" si="10"/>
        <v>1310.5112673064029</v>
      </c>
      <c r="F66" s="524">
        <f t="shared" si="10"/>
        <v>733.09672665303356</v>
      </c>
      <c r="G66" s="524">
        <f t="shared" si="10"/>
        <v>403.11405509720748</v>
      </c>
      <c r="H66" s="524">
        <f t="shared" si="10"/>
        <v>233.90418929457994</v>
      </c>
      <c r="I66" s="524">
        <f t="shared" si="10"/>
        <v>165.93944428549744</v>
      </c>
      <c r="J66" s="524">
        <f t="shared" si="10"/>
        <v>121.45283823066501</v>
      </c>
      <c r="K66" s="524">
        <f t="shared" si="10"/>
        <v>101.35286474050227</v>
      </c>
      <c r="L66" s="524">
        <f t="shared" si="10"/>
        <v>79.659282368515463</v>
      </c>
      <c r="M66" s="524"/>
      <c r="N66" s="414"/>
      <c r="AA66" s="234"/>
      <c r="AB66" s="234"/>
      <c r="AC66" s="234"/>
      <c r="AD66" s="234"/>
      <c r="AE66" s="234"/>
      <c r="AF66" s="234"/>
      <c r="AH66" s="188"/>
      <c r="AI66" s="188"/>
      <c r="AJ66" s="188"/>
      <c r="AK66" s="188"/>
      <c r="AL66" s="188"/>
      <c r="AM66" s="188"/>
    </row>
    <row r="67" spans="2:39" x14ac:dyDescent="0.3">
      <c r="B67" s="412">
        <v>45748</v>
      </c>
      <c r="C67" s="403">
        <v>3787</v>
      </c>
      <c r="D67" s="524">
        <f t="shared" ref="D67:K67" si="11">C67*D7*D52</f>
        <v>5532.2457666</v>
      </c>
      <c r="E67" s="524">
        <f t="shared" si="11"/>
        <v>3681.3444294517049</v>
      </c>
      <c r="F67" s="524">
        <f t="shared" si="11"/>
        <v>2142.8855592417171</v>
      </c>
      <c r="G67" s="524">
        <f t="shared" si="11"/>
        <v>1384.875364560243</v>
      </c>
      <c r="H67" s="524">
        <f t="shared" si="11"/>
        <v>977.02846179695996</v>
      </c>
      <c r="I67" s="524">
        <f t="shared" si="11"/>
        <v>686.87904936011648</v>
      </c>
      <c r="J67" s="524">
        <f t="shared" si="11"/>
        <v>610.1303646346156</v>
      </c>
      <c r="K67" s="524">
        <f t="shared" si="11"/>
        <v>527.43213576434698</v>
      </c>
      <c r="L67" s="524"/>
      <c r="M67" s="524"/>
      <c r="N67" s="414"/>
    </row>
    <row r="68" spans="2:39" x14ac:dyDescent="0.3">
      <c r="B68" s="412">
        <v>45778</v>
      </c>
      <c r="C68" s="403">
        <v>9361</v>
      </c>
      <c r="D68" s="524">
        <f t="shared" ref="D68:J68" si="12">C68*D8*D53</f>
        <v>17750.156893700001</v>
      </c>
      <c r="E68" s="524">
        <f t="shared" si="12"/>
        <v>9924.3345962288422</v>
      </c>
      <c r="F68" s="524">
        <f t="shared" si="12"/>
        <v>5652.4047692821368</v>
      </c>
      <c r="G68" s="524">
        <f t="shared" si="12"/>
        <v>3677.4873268426204</v>
      </c>
      <c r="H68" s="524">
        <f t="shared" si="12"/>
        <v>2330.6075933865109</v>
      </c>
      <c r="I68" s="524">
        <f t="shared" si="12"/>
        <v>1766.5884366274897</v>
      </c>
      <c r="J68" s="524">
        <f t="shared" si="12"/>
        <v>1465.4231958291964</v>
      </c>
      <c r="K68" s="524"/>
      <c r="L68" s="524"/>
      <c r="M68" s="524"/>
      <c r="N68" s="414"/>
    </row>
    <row r="69" spans="2:39" x14ac:dyDescent="0.3">
      <c r="B69" s="412">
        <v>45809</v>
      </c>
      <c r="C69" s="403">
        <v>11532</v>
      </c>
      <c r="D69" s="524">
        <f t="shared" ref="D69:I69" si="13">C69*D9*D54</f>
        <v>20213.677075200001</v>
      </c>
      <c r="E69" s="524">
        <f t="shared" si="13"/>
        <v>12412.212450761977</v>
      </c>
      <c r="F69" s="524">
        <f t="shared" si="13"/>
        <v>7756.4834108532959</v>
      </c>
      <c r="G69" s="524">
        <f t="shared" si="13"/>
        <v>4997.9319707937393</v>
      </c>
      <c r="H69" s="524">
        <f t="shared" si="13"/>
        <v>3708.4317363088321</v>
      </c>
      <c r="I69" s="524">
        <f t="shared" si="13"/>
        <v>2866.9498963973483</v>
      </c>
      <c r="J69" s="524"/>
      <c r="K69" s="524"/>
      <c r="L69" s="524"/>
      <c r="M69" s="524"/>
      <c r="N69" s="414"/>
    </row>
    <row r="70" spans="2:39" x14ac:dyDescent="0.3">
      <c r="B70" s="412">
        <v>45839</v>
      </c>
      <c r="C70" s="403">
        <v>17911</v>
      </c>
      <c r="D70" s="524">
        <f>C70*D10*D55</f>
        <v>29674.959128799997</v>
      </c>
      <c r="E70" s="524">
        <f>D70*E10*E55</f>
        <v>17551.735311066644</v>
      </c>
      <c r="F70" s="524">
        <f>E70*F10*F55</f>
        <v>10410.81179975918</v>
      </c>
      <c r="G70" s="524">
        <f>F70*G10*G55</f>
        <v>7381.5799725456109</v>
      </c>
      <c r="H70" s="524">
        <f>G70*H10*H55</f>
        <v>5609.8485709556307</v>
      </c>
      <c r="I70" s="524"/>
      <c r="J70" s="524"/>
      <c r="K70" s="524"/>
      <c r="L70" s="524"/>
      <c r="M70" s="524"/>
      <c r="N70" s="414"/>
    </row>
    <row r="71" spans="2:39" x14ac:dyDescent="0.3">
      <c r="B71" s="412">
        <v>45870</v>
      </c>
      <c r="C71" s="403">
        <v>34709</v>
      </c>
      <c r="D71" s="524">
        <f>C71*D11*D56</f>
        <v>58136.603148000002</v>
      </c>
      <c r="E71" s="524">
        <f>D71*E11*E56</f>
        <v>38046.41858939005</v>
      </c>
      <c r="F71" s="524">
        <f>E71*F11*F56</f>
        <v>27393.260067546013</v>
      </c>
      <c r="G71" s="524">
        <f>F71*G11*G56</f>
        <v>20851.796131958137</v>
      </c>
      <c r="H71" s="524"/>
      <c r="I71" s="524"/>
      <c r="J71" s="524"/>
      <c r="K71" s="524"/>
      <c r="L71" s="524"/>
      <c r="M71" s="524"/>
      <c r="N71" s="414"/>
    </row>
    <row r="72" spans="2:39" x14ac:dyDescent="0.3">
      <c r="B72" s="412">
        <v>45901</v>
      </c>
      <c r="C72" s="403">
        <v>48045</v>
      </c>
      <c r="D72" s="529">
        <f>C72*D12*D57</f>
        <v>77625.018893999993</v>
      </c>
      <c r="E72" s="529">
        <f>D72*E12*E57</f>
        <v>61833.85677916681</v>
      </c>
      <c r="F72" s="524">
        <f>E72*F12*F57</f>
        <v>50182.630524013381</v>
      </c>
      <c r="G72" s="529"/>
      <c r="H72" s="529"/>
      <c r="I72" s="529"/>
      <c r="J72" s="529"/>
      <c r="K72" s="529"/>
      <c r="L72" s="529"/>
      <c r="M72" s="529"/>
      <c r="N72" s="530"/>
    </row>
    <row r="73" spans="2:39" x14ac:dyDescent="0.3">
      <c r="B73" s="412">
        <f t="shared" ref="B73:C75" si="14">B58</f>
        <v>45961</v>
      </c>
      <c r="C73" s="403">
        <f t="shared" si="14"/>
        <v>82760</v>
      </c>
      <c r="D73" s="529">
        <f>C73*D13*D58</f>
        <v>136202.05316879999</v>
      </c>
      <c r="E73" s="529">
        <f>D73*E13*E58</f>
        <v>99808.036453613371</v>
      </c>
      <c r="F73" s="529"/>
      <c r="G73" s="529"/>
      <c r="H73" s="529"/>
      <c r="I73" s="529"/>
      <c r="J73" s="529"/>
      <c r="K73" s="529"/>
      <c r="L73" s="529"/>
      <c r="M73" s="529"/>
      <c r="N73" s="530"/>
    </row>
    <row r="74" spans="2:39" x14ac:dyDescent="0.3">
      <c r="B74" s="412">
        <f t="shared" si="14"/>
        <v>45991</v>
      </c>
      <c r="C74" s="403">
        <f t="shared" si="14"/>
        <v>86837</v>
      </c>
      <c r="D74" s="529">
        <f>C74*D14*D59</f>
        <v>159923.07275115998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30"/>
    </row>
    <row r="75" spans="2:39" ht="14.5" x14ac:dyDescent="0.35">
      <c r="B75" s="413">
        <f t="shared" si="14"/>
        <v>46022</v>
      </c>
      <c r="C75" s="406">
        <f t="shared" si="14"/>
        <v>102395</v>
      </c>
      <c r="D75" s="444">
        <f>C75*D15*D60</f>
        <v>118118.05124339998</v>
      </c>
      <c r="E75" s="407"/>
      <c r="F75" s="407"/>
      <c r="G75" s="407"/>
      <c r="H75" s="407"/>
      <c r="I75" s="407"/>
      <c r="J75" s="407"/>
      <c r="K75" s="407"/>
      <c r="L75" s="407"/>
      <c r="M75" s="407"/>
      <c r="N75" s="408"/>
    </row>
    <row r="76" spans="2:39" x14ac:dyDescent="0.3">
      <c r="D76" s="291"/>
      <c r="E76" s="291"/>
      <c r="F76" s="291"/>
      <c r="G76" s="291"/>
      <c r="H76" s="291"/>
      <c r="I76" s="291"/>
      <c r="J76" s="291"/>
    </row>
    <row r="77" spans="2:39" x14ac:dyDescent="0.3">
      <c r="D77" s="291"/>
      <c r="E77" s="291"/>
      <c r="F77" s="291"/>
      <c r="G77" s="291"/>
      <c r="H77" s="291"/>
      <c r="I77" s="291"/>
      <c r="J77" s="291"/>
    </row>
    <row r="78" spans="2:39" x14ac:dyDescent="0.3">
      <c r="D78" s="291"/>
      <c r="E78" s="291"/>
      <c r="F78" s="291"/>
      <c r="G78" s="291"/>
      <c r="H78" s="291"/>
      <c r="I78" s="291"/>
      <c r="J78" s="291"/>
    </row>
    <row r="79" spans="2:39" x14ac:dyDescent="0.3">
      <c r="D79" s="291"/>
      <c r="E79" s="291"/>
      <c r="F79" s="291"/>
      <c r="G79" s="291"/>
      <c r="H79" s="291"/>
      <c r="I79" s="291"/>
      <c r="J79" s="291"/>
    </row>
    <row r="80" spans="2:39" x14ac:dyDescent="0.3">
      <c r="D80" s="291"/>
      <c r="E80" s="291"/>
      <c r="F80" s="291"/>
      <c r="G80" s="291"/>
      <c r="H80" s="291"/>
      <c r="I80" s="291"/>
      <c r="J80" s="291"/>
    </row>
    <row r="81" spans="4:10" x14ac:dyDescent="0.3">
      <c r="D81" s="291"/>
      <c r="E81" s="291"/>
      <c r="F81" s="291"/>
      <c r="G81" s="291"/>
      <c r="H81" s="291"/>
      <c r="I81" s="291"/>
      <c r="J81" s="291"/>
    </row>
    <row r="82" spans="4:10" x14ac:dyDescent="0.3">
      <c r="D82" s="291"/>
      <c r="E82" s="291"/>
      <c r="F82" s="291"/>
      <c r="G82" s="291"/>
      <c r="H82" s="291"/>
      <c r="I82" s="291"/>
      <c r="J82" s="291"/>
    </row>
    <row r="83" spans="4:10" x14ac:dyDescent="0.3">
      <c r="D83" s="291"/>
      <c r="E83" s="291"/>
      <c r="F83" s="291"/>
      <c r="G83" s="291"/>
      <c r="H83" s="291"/>
      <c r="I83" s="291"/>
      <c r="J83" s="291"/>
    </row>
    <row r="84" spans="4:10" x14ac:dyDescent="0.3">
      <c r="D84" s="291"/>
      <c r="E84" s="291"/>
      <c r="F84" s="291"/>
      <c r="G84" s="291"/>
      <c r="H84" s="291"/>
      <c r="I84" s="291"/>
      <c r="J84" s="291"/>
    </row>
    <row r="85" spans="4:10" x14ac:dyDescent="0.3">
      <c r="D85" s="291"/>
      <c r="E85" s="291"/>
      <c r="F85" s="291"/>
      <c r="G85" s="291"/>
      <c r="H85" s="291"/>
      <c r="I85" s="291"/>
      <c r="J85" s="291"/>
    </row>
  </sheetData>
  <mergeCells count="1">
    <mergeCell ref="Q3:Y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F059-D819-49CE-9409-F021E055CB65}">
  <sheetPr>
    <tabColor rgb="FFFF33CC"/>
  </sheetPr>
  <dimension ref="A1"/>
  <sheetViews>
    <sheetView showGridLines="0" zoomScale="90" zoomScaleNormal="90"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V67"/>
  <sheetViews>
    <sheetView showGridLines="0" zoomScale="80" zoomScaleNormal="80" zoomScaleSheetLayoutView="90" workbookViewId="0">
      <pane xSplit="2" ySplit="6" topLeftCell="H7" activePane="bottomRight" state="frozen"/>
      <selection pane="topRight" activeCell="E1" sqref="E1"/>
      <selection pane="bottomLeft" activeCell="A7" sqref="A7"/>
      <selection pane="bottomRight" activeCell="M9" sqref="M9"/>
    </sheetView>
  </sheetViews>
  <sheetFormatPr defaultColWidth="8.81640625" defaultRowHeight="13" x14ac:dyDescent="0.3"/>
  <cols>
    <col min="1" max="1" width="3.81640625" style="2" customWidth="1"/>
    <col min="2" max="2" width="54.7265625" style="2" bestFit="1" customWidth="1"/>
    <col min="3" max="4" width="12.81640625" style="2" customWidth="1"/>
    <col min="5" max="5" width="12.81640625" style="102" customWidth="1"/>
    <col min="6" max="14" width="12.81640625" style="2" customWidth="1"/>
    <col min="15" max="15" width="12.81640625" style="2" bestFit="1" customWidth="1"/>
    <col min="16" max="16" width="11.1796875" style="2" bestFit="1" customWidth="1"/>
    <col min="17" max="17" width="11.453125" style="2" bestFit="1" customWidth="1"/>
    <col min="18" max="16384" width="8.81640625" style="2"/>
  </cols>
  <sheetData>
    <row r="1" spans="1:22" x14ac:dyDescent="0.3">
      <c r="E1" s="2"/>
      <c r="K1" s="62"/>
    </row>
    <row r="2" spans="1:22" x14ac:dyDescent="0.3">
      <c r="B2" s="25" t="s">
        <v>4</v>
      </c>
      <c r="C2" s="227">
        <f>'Key Metrics'!C14</f>
        <v>6863</v>
      </c>
      <c r="D2" s="227">
        <f>'Key Metrics'!D14</f>
        <v>7519</v>
      </c>
      <c r="E2" s="227">
        <f>'Key Metrics'!E14</f>
        <v>10642</v>
      </c>
      <c r="F2" s="227">
        <f>'Key Metrics'!F14</f>
        <v>14980</v>
      </c>
      <c r="G2" s="227">
        <f>'Key Metrics'!G14</f>
        <v>35189</v>
      </c>
      <c r="H2" s="227">
        <f>'Key Metrics'!H14</f>
        <v>47211</v>
      </c>
      <c r="I2" s="227">
        <f>'Key Metrics'!I14</f>
        <v>68196</v>
      </c>
      <c r="J2" s="227">
        <f>'Key Metrics'!J14</f>
        <v>118808</v>
      </c>
      <c r="K2" s="227">
        <f>'Key Metrics'!K14</f>
        <v>168002</v>
      </c>
      <c r="L2" s="227">
        <f>'Key Metrics'!L14</f>
        <v>308668</v>
      </c>
      <c r="M2" s="227">
        <f>'Key Metrics'!M14</f>
        <v>375635</v>
      </c>
      <c r="N2" s="227">
        <f>'Key Metrics'!N14</f>
        <v>518345</v>
      </c>
      <c r="O2" s="417"/>
      <c r="P2" s="61"/>
      <c r="Q2" s="417"/>
      <c r="R2" s="61"/>
      <c r="S2" s="61"/>
      <c r="T2" s="61"/>
      <c r="U2" s="61"/>
      <c r="V2" s="61"/>
    </row>
    <row r="3" spans="1:22" x14ac:dyDescent="0.3">
      <c r="B3" s="27" t="s">
        <v>6</v>
      </c>
      <c r="C3" s="218">
        <f>'Key Metrics'!C23</f>
        <v>9144.75</v>
      </c>
      <c r="D3" s="218">
        <f>'Key Metrics'!D23</f>
        <v>9603</v>
      </c>
      <c r="E3" s="218">
        <f>'Key Metrics'!E23</f>
        <v>13457.25</v>
      </c>
      <c r="F3" s="218">
        <f>'Key Metrics'!F23</f>
        <v>18463</v>
      </c>
      <c r="G3" s="218">
        <f>'Key Metrics'!G23</f>
        <v>41475.5</v>
      </c>
      <c r="H3" s="218">
        <f>'Key Metrics'!H23</f>
        <v>54875</v>
      </c>
      <c r="I3" s="218">
        <f>'Key Metrics'!I23</f>
        <v>79269.5</v>
      </c>
      <c r="J3" s="218">
        <f>'Key Metrics'!J23</f>
        <v>145034</v>
      </c>
      <c r="K3" s="218">
        <f>'Key Metrics'!K23</f>
        <v>201398</v>
      </c>
      <c r="L3" s="218">
        <f>'Key Metrics'!L23</f>
        <v>405690.75</v>
      </c>
      <c r="M3" s="218">
        <f>'Key Metrics'!M23</f>
        <v>467060.4167</v>
      </c>
      <c r="N3" s="218">
        <f>'Key Metrics'!N23</f>
        <v>648259.75</v>
      </c>
      <c r="O3" s="61"/>
      <c r="P3" s="61"/>
      <c r="Q3" s="61"/>
    </row>
    <row r="4" spans="1:22" x14ac:dyDescent="0.3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61"/>
      <c r="P4" s="61"/>
      <c r="Q4" s="61"/>
    </row>
    <row r="5" spans="1:22" x14ac:dyDescent="0.3">
      <c r="A5" s="7"/>
      <c r="B5" s="31" t="s">
        <v>22</v>
      </c>
      <c r="C5" s="92" t="s">
        <v>23</v>
      </c>
      <c r="D5" s="92" t="s">
        <v>23</v>
      </c>
      <c r="E5" s="92" t="s">
        <v>23</v>
      </c>
      <c r="F5" s="92" t="s">
        <v>23</v>
      </c>
      <c r="G5" s="92" t="s">
        <v>23</v>
      </c>
      <c r="H5" s="92" t="s">
        <v>23</v>
      </c>
      <c r="I5" s="92" t="s">
        <v>23</v>
      </c>
      <c r="J5" s="92" t="s">
        <v>23</v>
      </c>
      <c r="K5" s="92" t="s">
        <v>23</v>
      </c>
      <c r="L5" s="92" t="s">
        <v>23</v>
      </c>
      <c r="M5" s="92" t="s">
        <v>23</v>
      </c>
      <c r="N5" s="92" t="s">
        <v>23</v>
      </c>
      <c r="O5" s="61"/>
      <c r="P5" s="61"/>
      <c r="Q5" s="61"/>
    </row>
    <row r="6" spans="1:22" x14ac:dyDescent="0.3">
      <c r="B6" s="33" t="s">
        <v>24</v>
      </c>
      <c r="C6" s="93">
        <v>45658</v>
      </c>
      <c r="D6" s="93">
        <v>45689</v>
      </c>
      <c r="E6" s="93">
        <v>45717</v>
      </c>
      <c r="F6" s="93">
        <v>45748</v>
      </c>
      <c r="G6" s="93">
        <v>45778</v>
      </c>
      <c r="H6" s="93">
        <v>45809</v>
      </c>
      <c r="I6" s="93">
        <v>45839</v>
      </c>
      <c r="J6" s="93">
        <v>45870</v>
      </c>
      <c r="K6" s="93">
        <v>45901</v>
      </c>
      <c r="L6" s="93">
        <v>45931</v>
      </c>
      <c r="M6" s="93">
        <v>45962</v>
      </c>
      <c r="N6" s="93">
        <v>45992</v>
      </c>
      <c r="O6" s="390"/>
      <c r="P6" s="61"/>
      <c r="Q6" s="61"/>
    </row>
    <row r="7" spans="1:22" x14ac:dyDescent="0.3">
      <c r="B7" s="35" t="s">
        <v>25</v>
      </c>
      <c r="C7" s="167">
        <f>-SUMIF('TB 0125'!H:H,'MIS P&amp;L'!B7,'TB 0125'!F:F)+C10</f>
        <v>1685.4178326291549</v>
      </c>
      <c r="D7" s="167">
        <f>-SUMIF('TB 0225'!H:H,'MIS P&amp;L'!B7,'TB 0225'!F:F)+D10</f>
        <v>1752.6994186440679</v>
      </c>
      <c r="E7" s="167">
        <f>-SUMIF('TB 0325'!H:H,'MIS P&amp;L'!B7,'TB 0325'!F:F)+E10</f>
        <v>2454.9928127470248</v>
      </c>
      <c r="F7" s="167">
        <f>-SUMIF('TB 0425'!H:H,'MIS P&amp;L'!B7,'TB 0425'!F:F)+F10</f>
        <v>3379.7516019595432</v>
      </c>
      <c r="G7" s="167">
        <f>-SUMIF('TB 0525'!H:H,'MIS P&amp;L'!B7,'TB 0525'!F:F)+G10-752</f>
        <v>7565.0948900000003</v>
      </c>
      <c r="H7" s="167">
        <f>-SUMIF('TB 0625'!H:H,'MIS P&amp;L'!B7,'TB 0625'!F:F)+H10</f>
        <v>10327.933620000002</v>
      </c>
      <c r="I7" s="167">
        <f>-SUMIF('TB 0725'!H:H,'MIS P&amp;L'!B7,'TB 0725'!F:F)+I10</f>
        <v>14930.411990000002</v>
      </c>
      <c r="J7" s="167">
        <f>-SUMIF('TB 0825'!H:H,'MIS P&amp;L'!B7,'TB 0825'!F:F)+J10</f>
        <v>27555.775230000003</v>
      </c>
      <c r="K7" s="167">
        <f>-SUMIF('TB 0925'!H:H,'MIS P&amp;L'!B7,'TB 0925'!F:F)+K10</f>
        <v>37606.65959000001</v>
      </c>
      <c r="L7" s="451">
        <f>-SUMIF('TB 1025'!H:H,'MIS P&amp;L'!B7,'TB 1025'!F:F)+L10</f>
        <v>74251.550553441979</v>
      </c>
      <c r="M7" s="451">
        <f>-SUMIF('TB 1125'!H:H,'MIS P&amp;L'!B7,'TB 1125'!F:F)+M10-'TB 1125'!P6/10^3</f>
        <v>84625.472592701262</v>
      </c>
      <c r="N7" s="451">
        <f>-SUMIF('TB 1225'!H:H,'MIS P&amp;L'!B7,'TB 1225'!F:F)+N10-('TB 1225'!P6-'TB 1225'!P7)/10^3</f>
        <v>116769.38690403252</v>
      </c>
      <c r="O7" s="390"/>
      <c r="P7" s="61"/>
      <c r="Q7" s="61"/>
    </row>
    <row r="8" spans="1:22" x14ac:dyDescent="0.3">
      <c r="B8" s="35" t="s">
        <v>26</v>
      </c>
      <c r="C8" s="167">
        <f>SUMIF('TB 0125'!H:H,'MIS P&amp;L'!B8,'TB 0125'!F:F)</f>
        <v>1316.76675</v>
      </c>
      <c r="D8" s="167">
        <f>SUMIF('TB 0225'!H:H,'MIS P&amp;L'!B8,'TB 0225'!F:F)+SUMIF('TB 0225'!H:H,"Service Cost - Retention Bonus",'TB 0225'!F:F)</f>
        <v>1808.5562500000001</v>
      </c>
      <c r="E8" s="167">
        <f>SUMIF('TB 0325'!H:H,'MIS P&amp;L'!B8,'TB 0325'!F:F)</f>
        <v>2377.6724599999998</v>
      </c>
      <c r="F8" s="167">
        <f>SUMIF('TB 0425'!H:H,'MIS P&amp;L'!B8,'TB 0425'!F:F)</f>
        <v>4666.38807</v>
      </c>
      <c r="G8" s="167">
        <f>SUMIF('TB 0525'!H:H,'MIS P&amp;L'!B8,'TB 0525'!F:F)+SUMIF('TB 0525'!H:H,"Service Cost - Retention Bonus",'TB 0525'!F:F)</f>
        <v>10125.43226</v>
      </c>
      <c r="H8" s="167">
        <f>SUMIF('TB 0625'!H:H,'MIS P&amp;L'!B8,'TB 0625'!F:F)</f>
        <v>16194.05312</v>
      </c>
      <c r="I8" s="167">
        <f>SUMIF('TB 0725'!H:H,'MIS P&amp;L'!B8,'TB 0725'!F:F)</f>
        <v>20797.581330000001</v>
      </c>
      <c r="J8" s="167">
        <f>SUMIF('TB 0825'!H:H,'MIS P&amp;L'!B8,'TB 0825'!F:F)</f>
        <v>34898.162210000002</v>
      </c>
      <c r="K8" s="167">
        <f>SUMIF('TB 0925'!H:H,'MIS P&amp;L'!B8,'TB 0925'!F:F)</f>
        <v>42682.554580000004</v>
      </c>
      <c r="L8" s="451">
        <f>SUMIF('TB 1025'!H:H,'MIS P&amp;L'!B8,'TB 1025'!F:F)</f>
        <v>80446.599439999991</v>
      </c>
      <c r="M8" s="451">
        <f>SUMIF('TB 1125'!H:H,'MIS P&amp;L'!B8,'TB 1125'!F:F)+1369000/10^3</f>
        <v>93364.573399999994</v>
      </c>
      <c r="N8" s="451">
        <f>SUMIF('TB 1225'!H:H,'MIS P&amp;L'!B8,'TB 1225'!F:F)+(2942373-123559)/10^3</f>
        <v>135426.75335000001</v>
      </c>
      <c r="O8" s="390"/>
      <c r="P8" s="61"/>
      <c r="Q8" s="61"/>
    </row>
    <row r="9" spans="1:22" x14ac:dyDescent="0.3">
      <c r="B9" s="35"/>
      <c r="C9" s="97"/>
      <c r="D9" s="97"/>
      <c r="E9" s="97"/>
      <c r="F9" s="60"/>
      <c r="G9" s="60"/>
      <c r="H9" s="60"/>
      <c r="I9" s="60"/>
      <c r="J9" s="60"/>
      <c r="K9" s="60"/>
      <c r="L9" s="60"/>
      <c r="M9" s="60"/>
      <c r="N9" s="60"/>
      <c r="O9" s="390"/>
      <c r="P9" s="61"/>
      <c r="Q9" s="61"/>
    </row>
    <row r="10" spans="1:22" x14ac:dyDescent="0.3">
      <c r="B10" s="35" t="s">
        <v>27</v>
      </c>
      <c r="C10" s="97">
        <f>111458.172629155/1000</f>
        <v>111.458172629155</v>
      </c>
      <c r="D10" s="97">
        <f>107088.778644068/1000</f>
        <v>107.088778644068</v>
      </c>
      <c r="E10" s="97">
        <f>145719.332747025/1000</f>
        <v>145.71933274702502</v>
      </c>
      <c r="F10" s="60">
        <v>219.011831959543</v>
      </c>
      <c r="G10" s="60">
        <f>497429.94/10^3</f>
        <v>497.42993999999999</v>
      </c>
      <c r="H10" s="60">
        <f>(679045.32-4262)/10^3</f>
        <v>674.78332</v>
      </c>
      <c r="I10" s="60">
        <f xml:space="preserve"> 993199.47 /10^3</f>
        <v>993.19947000000002</v>
      </c>
      <c r="J10" s="60">
        <v>1826.75272</v>
      </c>
      <c r="K10" s="60">
        <v>2192.2919999999999</v>
      </c>
      <c r="L10" s="97">
        <v>3096.4967134419903</v>
      </c>
      <c r="M10" s="97">
        <f>('TB 1125'!P5)/10^3</f>
        <v>3640.6934327012877</v>
      </c>
      <c r="N10" s="97">
        <f>('TB 1225'!P5)/10^3</f>
        <v>5073.8873740311928</v>
      </c>
      <c r="O10" s="417"/>
      <c r="P10" s="417"/>
      <c r="Q10" s="417"/>
      <c r="R10" s="417"/>
      <c r="S10" s="417"/>
    </row>
    <row r="11" spans="1:22" x14ac:dyDescent="0.3">
      <c r="B11" s="35" t="s">
        <v>62</v>
      </c>
      <c r="C11" s="97">
        <f>47693/1000</f>
        <v>47.692999999999998</v>
      </c>
      <c r="D11" s="97">
        <f>68323/1000</f>
        <v>68.322999999999993</v>
      </c>
      <c r="E11" s="97">
        <f>SUMIF('TB 0325'!H:H,'MIS P&amp;L'!B11,'TB 0325'!F:F)</f>
        <v>21.936</v>
      </c>
      <c r="F11" s="97">
        <v>33.51</v>
      </c>
      <c r="G11" s="97">
        <v>19.7</v>
      </c>
      <c r="H11" s="97">
        <v>43.826999999999998</v>
      </c>
      <c r="I11" s="97">
        <v>347.81305000000003</v>
      </c>
      <c r="J11" s="97">
        <v>1169.4879999999998</v>
      </c>
      <c r="K11" s="97">
        <v>2266.9009999999998</v>
      </c>
      <c r="L11" s="97">
        <v>8631.1561599999986</v>
      </c>
      <c r="M11" s="97">
        <v>12771.042920000004</v>
      </c>
      <c r="N11" s="97">
        <v>20491.281000000003</v>
      </c>
      <c r="O11" s="390"/>
      <c r="P11" s="61"/>
      <c r="Q11" s="61"/>
    </row>
    <row r="12" spans="1:22" x14ac:dyDescent="0.3">
      <c r="B12" s="35" t="s">
        <v>29</v>
      </c>
      <c r="C12" s="167">
        <f>SUMIF('TB 0125'!H:H,'MIS P&amp;L'!B12,'TB 0125'!F:F)</f>
        <v>18.290680000000002</v>
      </c>
      <c r="D12" s="167">
        <f>SUMIF('TB 0225'!H:H,'MIS P&amp;L'!B12,'TB 0225'!F:F)</f>
        <v>17.08784</v>
      </c>
      <c r="E12" s="167">
        <f>SUMIF('TB 0325'!H:H,'MIS P&amp;L'!B12,'TB 0325'!F:F)</f>
        <v>21.41301</v>
      </c>
      <c r="F12" s="167">
        <f>SUMIF('TB 0425'!H:H,'MIS P&amp;L'!B12,'TB 0425'!F:F)</f>
        <v>32.438099999999999</v>
      </c>
      <c r="G12" s="167">
        <f>SUMIF('TB 0525'!H:H,'MIS P&amp;L'!B12,'TB 0525'!F:F)</f>
        <v>23.140029999999999</v>
      </c>
      <c r="H12" s="60">
        <f>SUMIF('TB 0625'!H:H,'MIS P&amp;L'!B12,'TB 0625'!F:F)</f>
        <v>33.76314</v>
      </c>
      <c r="I12" s="60">
        <f>SUMIF('TB 0725'!H:H,'MIS P&amp;L'!B12,'TB 0725'!F:F)</f>
        <v>46.527099999999997</v>
      </c>
      <c r="J12" s="60">
        <f>SUMIF('TB 0825'!H:H,'MIS P&amp;L'!B12,'TB 0825'!F:F)</f>
        <v>49.718429999999998</v>
      </c>
      <c r="K12" s="60">
        <f>SUMIF('TB 0925'!H:H,'MIS P&amp;L'!B12,'TB 0925'!F:F)</f>
        <v>59.903930000000003</v>
      </c>
      <c r="L12" s="451">
        <f>SUMIF('TB 1025'!H:H,'MIS P&amp;L'!B12,'TB 1025'!F:F)</f>
        <v>92.656109999999998</v>
      </c>
      <c r="M12" s="451">
        <f>SUMIF('TB 1125'!H:H,'MIS P&amp;L'!B12,'TB 1125'!F:F)</f>
        <v>115.36249000000001</v>
      </c>
      <c r="N12" s="451">
        <f>SUMIF('TB 1225'!H:H,'MIS P&amp;L'!B12,'TB 1225'!F:F)</f>
        <v>173.99614</v>
      </c>
      <c r="O12" s="390"/>
      <c r="P12" s="61"/>
      <c r="Q12" s="61"/>
    </row>
    <row r="13" spans="1:22" x14ac:dyDescent="0.3">
      <c r="B13" s="35"/>
      <c r="C13" s="97"/>
      <c r="D13" s="97"/>
      <c r="E13" s="97"/>
      <c r="F13" s="60"/>
      <c r="G13" s="60"/>
      <c r="H13" s="60"/>
      <c r="I13" s="60"/>
      <c r="J13" s="60"/>
      <c r="K13" s="60"/>
      <c r="L13" s="60"/>
      <c r="M13" s="60"/>
      <c r="N13" s="60"/>
      <c r="O13" s="390"/>
      <c r="P13" s="61"/>
      <c r="Q13" s="61"/>
    </row>
    <row r="14" spans="1:22" x14ac:dyDescent="0.3">
      <c r="B14" s="38" t="s">
        <v>30</v>
      </c>
      <c r="C14" s="94">
        <f t="shared" ref="C14:H14" si="0">C7-C8-C10-C11-C12</f>
        <v>191.20922999999988</v>
      </c>
      <c r="D14" s="94">
        <f t="shared" si="0"/>
        <v>-248.35645000000014</v>
      </c>
      <c r="E14" s="94">
        <f t="shared" si="0"/>
        <v>-111.74799</v>
      </c>
      <c r="F14" s="332">
        <f t="shared" si="0"/>
        <v>-1571.5963999999999</v>
      </c>
      <c r="G14" s="332">
        <f t="shared" si="0"/>
        <v>-3100.6073399999991</v>
      </c>
      <c r="H14" s="332">
        <f t="shared" si="0"/>
        <v>-6618.4929599999996</v>
      </c>
      <c r="I14" s="332">
        <f t="shared" ref="I14:L14" si="1">I7-I8-I10-I11-I12</f>
        <v>-7254.7089599999981</v>
      </c>
      <c r="J14" s="332">
        <f t="shared" si="1"/>
        <v>-10388.34613</v>
      </c>
      <c r="K14" s="332">
        <f t="shared" si="1"/>
        <v>-9594.9919199999931</v>
      </c>
      <c r="L14" s="332">
        <f t="shared" si="1"/>
        <v>-18015.35787</v>
      </c>
      <c r="M14" s="332">
        <f t="shared" ref="M14:N14" si="2">M7-M8-M10-M11-M12</f>
        <v>-25266.199650000024</v>
      </c>
      <c r="N14" s="332">
        <f t="shared" si="2"/>
        <v>-44396.530959998694</v>
      </c>
      <c r="O14" s="390"/>
      <c r="P14" s="61"/>
      <c r="Q14" s="61"/>
    </row>
    <row r="15" spans="1:22" x14ac:dyDescent="0.3">
      <c r="B15" s="40" t="s">
        <v>18</v>
      </c>
      <c r="C15" s="47">
        <f t="shared" ref="C15:H15" si="3">C14/C7</f>
        <v>0.11344915563265667</v>
      </c>
      <c r="D15" s="47">
        <f t="shared" si="3"/>
        <v>-0.14169939657544639</v>
      </c>
      <c r="E15" s="47">
        <f t="shared" si="3"/>
        <v>-4.5518662791912252E-2</v>
      </c>
      <c r="F15" s="47">
        <f t="shared" si="3"/>
        <v>-0.4650035224744935</v>
      </c>
      <c r="G15" s="47">
        <f t="shared" si="3"/>
        <v>-0.40985703220967779</v>
      </c>
      <c r="H15" s="47">
        <f t="shared" si="3"/>
        <v>-0.64083418847535145</v>
      </c>
      <c r="I15" s="47">
        <f t="shared" ref="I15:K15" si="4">I14/I7</f>
        <v>-0.48590145836960236</v>
      </c>
      <c r="J15" s="47">
        <f t="shared" si="4"/>
        <v>-0.37699342672421698</v>
      </c>
      <c r="K15" s="47">
        <f t="shared" si="4"/>
        <v>-0.25514076561459337</v>
      </c>
      <c r="L15" s="47">
        <f>L14/L7</f>
        <v>-0.24262601569557238</v>
      </c>
      <c r="M15" s="47">
        <f>M14/M7</f>
        <v>-0.29856494594251959</v>
      </c>
      <c r="N15" s="47">
        <f>N14/N7</f>
        <v>-0.38020693725561988</v>
      </c>
      <c r="O15" s="390"/>
      <c r="P15" s="61"/>
      <c r="Q15" s="61"/>
    </row>
    <row r="16" spans="1:22" x14ac:dyDescent="0.3">
      <c r="B16" s="35"/>
      <c r="C16" s="8"/>
      <c r="D16" s="8"/>
      <c r="E16" s="8"/>
      <c r="F16" s="167"/>
      <c r="G16" s="167"/>
      <c r="H16" s="167"/>
      <c r="I16" s="167"/>
      <c r="J16" s="167"/>
      <c r="K16" s="167"/>
      <c r="L16" s="167"/>
      <c r="M16" s="167"/>
      <c r="N16" s="167"/>
      <c r="O16" s="390"/>
      <c r="P16" s="61"/>
      <c r="Q16" s="61"/>
    </row>
    <row r="17" spans="2:17" s="454" customFormat="1" x14ac:dyDescent="0.3">
      <c r="B17" s="449" t="s">
        <v>31</v>
      </c>
      <c r="C17" s="450">
        <f>SUMIF('TB 0125'!H:H,'MIS P&amp;L'!B17,'TB 0125'!F:F)+'TB 0125'!R8</f>
        <v>154.4280599999999</v>
      </c>
      <c r="D17" s="451">
        <f>SUMIF('TB 0225'!H:H,'MIS P&amp;L'!B17,'TB 0225'!F:F)+'TB 0225'!P8</f>
        <v>555.65932999999995</v>
      </c>
      <c r="E17" s="451">
        <f>SUMIF('TB 0325'!H:H,'MIS P&amp;L'!B17,'TB 0325'!F:F)+'TB 0325'!P7</f>
        <v>378.59594000000004</v>
      </c>
      <c r="F17" s="451">
        <f>SUMIF('TB 0425'!H:H,'MIS P&amp;L'!B17,'TB 0425'!F:F)+'TB 0425'!R7</f>
        <v>1071.6243099999999</v>
      </c>
      <c r="G17" s="451">
        <f>SUMIF('TB 0525'!H:H,'MIS P&amp;L'!B17,'TB 0525'!F:F)+'TB 0525'!R4-28</f>
        <v>2121.5456999999997</v>
      </c>
      <c r="H17" s="451">
        <f>SUMIF('TB 0625'!H:H,'MIS P&amp;L'!B17,'TB 0625'!F:F)+'TB 0625'!M5</f>
        <v>1839.1313100000002</v>
      </c>
      <c r="I17" s="451">
        <f>SUMIF('TB 0725'!H:H,'MIS P&amp;L'!B17,'TB 0725'!F:F)+'TB 0725'!L5</f>
        <v>2130.1764700000003</v>
      </c>
      <c r="J17" s="451">
        <f>SUMIF('TB 0825'!H:H,'MIS P&amp;L'!B17,'TB 0825'!F:F)+'TB 0825'!L5</f>
        <v>2395.6541900000002</v>
      </c>
      <c r="K17" s="451">
        <f>SUMIF('TB 0925'!H:H,'MIS P&amp;L'!B17,'TB 0925'!F:F)+'TB 0925'!M6</f>
        <v>2327.5013799999997</v>
      </c>
      <c r="L17" s="451">
        <f>SUMIF('TB 1025'!H:H,'MIS P&amp;L'!B17,'TB 1025'!F:F)+'TB 1025'!M6</f>
        <v>4509.7976699999999</v>
      </c>
      <c r="M17" s="451">
        <f>SUMIF('TB 1125'!H:H,'MIS P&amp;L'!B17,'TB 1125'!F:F)+'TB 1125'!M6</f>
        <v>4659.3911500000004</v>
      </c>
      <c r="N17" s="451">
        <f>SUMIF('TB 1225'!H:H,'MIS P&amp;L'!B17,'TB 1225'!F:F)+'TB 1225'!M6</f>
        <v>5498.3315200000006</v>
      </c>
      <c r="O17" s="390"/>
      <c r="P17" s="453"/>
      <c r="Q17" s="452"/>
    </row>
    <row r="18" spans="2:17" x14ac:dyDescent="0.3">
      <c r="B18" s="35" t="s">
        <v>32</v>
      </c>
      <c r="C18" s="106">
        <f>SUMIF('TB 0125'!H:H,'MIS P&amp;L'!B18,'TB 0125'!F:F)+'TB 0125'!R4</f>
        <v>135.548</v>
      </c>
      <c r="D18" s="167">
        <f>SUMIF('TB 0225'!H:H,'MIS P&amp;L'!B18,'TB 0225'!F:F)+'TB 0225'!P4</f>
        <v>249.68100000000001</v>
      </c>
      <c r="E18" s="167">
        <f>SUMIF('TB 0325'!H:H,'MIS P&amp;L'!B18,'TB 0325'!F:F)+'TB 0325'!P3</f>
        <v>436.97700000000003</v>
      </c>
      <c r="F18" s="167">
        <f>SUMIF('TB 0425'!H:H,'MIS P&amp;L'!B18,'TB 0425'!F:F)+'TB 0425'!R3</f>
        <v>913.94600000000003</v>
      </c>
      <c r="G18" s="167">
        <f>SUMIF('TB 0525'!H:H,'MIS P&amp;L'!B18,'TB 0525'!F:F)+'TB 0525'!R6</f>
        <v>1372.664</v>
      </c>
      <c r="H18" s="167">
        <f>SUMIF('TB 0625'!H:H,'MIS P&amp;L'!B18,'TB 0625'!F:F)+'TB 0625'!M6</f>
        <v>1974.55132</v>
      </c>
      <c r="I18" s="167">
        <f>SUMIF('TB 0725'!H:H,'MIS P&amp;L'!B18,'TB 0725'!F:F)+'TB 0725'!L4</f>
        <v>2871.93523</v>
      </c>
      <c r="J18" s="167">
        <f>SUMIF('TB 0825'!H:H,'MIS P&amp;L'!B18,'TB 0825'!F:F)+'TB 0825'!L4</f>
        <v>4358.6587400000008</v>
      </c>
      <c r="K18" s="167">
        <f>SUMIF('TB 0925'!H:H,'MIS P&amp;L'!B18,'TB 0925'!F:F)+'TB 0925'!M4</f>
        <v>5433.6315899999991</v>
      </c>
      <c r="L18" s="451">
        <f>SUMIF('TB 1025'!H:H,'MIS P&amp;L'!B18,'TB 1025'!F:F)+'TB 1025'!M4</f>
        <v>5889.8775300000007</v>
      </c>
      <c r="M18" s="451">
        <f>SUMIF('TB 1125'!H:H,'MIS P&amp;L'!B18,'TB 1125'!F:F)+'TB 1125'!M4</f>
        <v>5830.2844400000004</v>
      </c>
      <c r="N18" s="451">
        <f>SUMIF('TB 1225'!H:H,'MIS P&amp;L'!B18,'TB 1225'!F:F)+'TB 1225'!M4</f>
        <v>7442.0084999999999</v>
      </c>
      <c r="O18" s="390"/>
      <c r="P18" s="417"/>
      <c r="Q18" s="61"/>
    </row>
    <row r="19" spans="2:17" s="454" customFormat="1" x14ac:dyDescent="0.3">
      <c r="B19" s="449" t="s">
        <v>33</v>
      </c>
      <c r="C19" s="450">
        <f>SUMIF('TB 0125'!H:H,'MIS P&amp;L'!B19,'TB 0125'!F:F)+'TB 0125'!R7</f>
        <v>265.24941999999999</v>
      </c>
      <c r="D19" s="451">
        <f>SUMIF('TB 0225'!H:H,'MIS P&amp;L'!B19,'TB 0225'!F:F)+'TB 0225'!P7</f>
        <v>489.45735000000002</v>
      </c>
      <c r="E19" s="451">
        <f>SUMIF('TB 0325'!H:H,'MIS P&amp;L'!B19,'TB 0325'!F:F)+'TB 0325'!P6</f>
        <v>968.60078999999996</v>
      </c>
      <c r="F19" s="451">
        <f>SUMIF('TB 0425'!H:H,'MIS P&amp;L'!B19,'TB 0425'!F:F)+'TB 0425'!R6</f>
        <v>1469.4467500000001</v>
      </c>
      <c r="G19" s="451">
        <f>SUMIF('TB 0525'!H:H,'MIS P&amp;L'!B19,'TB 0525'!F:F)+'TB 0525'!R7</f>
        <v>1820.5240000000001</v>
      </c>
      <c r="H19" s="451">
        <f>SUMIF('TB 0625'!H:H,'MIS P&amp;L'!B19,'TB 0625'!F:F)+'TB 0625'!M4</f>
        <v>4666.5157200000003</v>
      </c>
      <c r="I19" s="451">
        <f>SUMIF('TB 0725'!H:H,'MIS P&amp;L'!B19,'TB 0725'!F:F)+'TB 0725'!L6</f>
        <v>4715.0503099999996</v>
      </c>
      <c r="J19" s="451">
        <f>SUMIF('TB 0825'!H:H,'MIS P&amp;L'!B19,'TB 0825'!F:F)+'TB 0825'!L6</f>
        <v>6769.6191799999997</v>
      </c>
      <c r="K19" s="451">
        <f>SUMIF('TB 0925'!H:H,'MIS P&amp;L'!B19,'TB 0925'!F:F)+'TB 0925'!M5</f>
        <v>9609.500250000001</v>
      </c>
      <c r="L19" s="451">
        <f>SUMIF('TB 1025'!H:H,'MIS P&amp;L'!B19,'TB 1025'!F:F)+'TB 1025'!M5</f>
        <v>13533.115559999998</v>
      </c>
      <c r="M19" s="451">
        <f>SUMIF('TB 1125'!H:H,'MIS P&amp;L'!B19,'TB 1125'!F:F)+'TB 1125'!M5-1369000/10^3</f>
        <v>13377.680710000001</v>
      </c>
      <c r="N19" s="451">
        <f>SUMIF('TB 1225'!H:H,'MIS P&amp;L'!B19,'TB 1225'!F:F)+'TB 1225'!M5-(2942373-123559)/10^3</f>
        <v>17626.829840000002</v>
      </c>
      <c r="O19" s="390"/>
      <c r="P19" s="559"/>
      <c r="Q19" s="452"/>
    </row>
    <row r="20" spans="2:17" x14ac:dyDescent="0.3">
      <c r="B20" s="35" t="s">
        <v>34</v>
      </c>
      <c r="C20" s="106">
        <f>SUMIF('TB 0125'!H:H,'MIS P&amp;L'!B20,'TB 0125'!F:F)+'TB 0125'!R6</f>
        <v>77.611999999999995</v>
      </c>
      <c r="D20" s="167">
        <f>SUMIF('TB 0225'!H:H,'MIS P&amp;L'!B20,'TB 0225'!F:F)+'TB 0225'!P6</f>
        <v>54</v>
      </c>
      <c r="E20" s="167">
        <f>SUMIF('TB 0325'!H:H,'MIS P&amp;L'!B20,'TB 0325'!F:F)+'TB 0325'!P5</f>
        <v>214.423</v>
      </c>
      <c r="F20" s="167">
        <f>SUMIF('TB 0425'!H:H,'MIS P&amp;L'!B20,'TB 0425'!F:F)+'TB 0425'!R5</f>
        <v>351.32799999999997</v>
      </c>
      <c r="G20" s="167">
        <f>SUMIF('TB 0525'!H:H,'MIS P&amp;L'!B20,'TB 0525'!F:F)+'TB 0525'!R5</f>
        <v>622.16200000000003</v>
      </c>
      <c r="H20" s="167">
        <f>SUMIF('TB 0625'!H:H,'MIS P&amp;L'!B20,'TB 0625'!F:F)+'TB 0625'!M7</f>
        <v>689.12636999999995</v>
      </c>
      <c r="I20" s="167">
        <f>SUMIF('TB 0725'!H:H,'MIS P&amp;L'!B20,'TB 0725'!F:F)+'TB 0725'!L7</f>
        <v>653.00076999999987</v>
      </c>
      <c r="J20" s="167">
        <f>SUMIF('TB 0825'!H:H,'MIS P&amp;L'!B20,'TB 0825'!F:F)+'TB 0825'!L7</f>
        <v>772.37655000000007</v>
      </c>
      <c r="K20" s="167">
        <f>SUMIF('TB 0925'!H:H,'MIS P&amp;L'!B20,'TB 0925'!F:F)+'TB 0925'!M3</f>
        <v>872.25708000000009</v>
      </c>
      <c r="L20" s="451">
        <f>SUMIF('TB 1025'!H:H,'MIS P&amp;L'!B20,'TB 1025'!F:F)+'TB 1025'!M3</f>
        <v>1664.95766</v>
      </c>
      <c r="M20" s="451">
        <f>SUMIF('TB 1125'!H:H,'MIS P&amp;L'!B20,'TB 1125'!F:F)+'TB 1125'!M3</f>
        <v>2306.05125</v>
      </c>
      <c r="N20" s="451">
        <f>SUMIF('TB 1225'!H:H,'MIS P&amp;L'!B20,'TB 1225'!F:F)+'TB 1225'!M3</f>
        <v>2942.7199799999999</v>
      </c>
      <c r="O20" s="390"/>
      <c r="P20" s="417"/>
      <c r="Q20" s="61"/>
    </row>
    <row r="21" spans="2:17" x14ac:dyDescent="0.3">
      <c r="B21" s="35" t="s">
        <v>958</v>
      </c>
      <c r="C21" s="9">
        <v>0</v>
      </c>
      <c r="D21" s="9">
        <v>0</v>
      </c>
      <c r="E21" s="9">
        <v>0</v>
      </c>
      <c r="F21" s="397">
        <f>SUMIF('TB 0425'!H:H,'MIS P&amp;L'!B21,'TB 0425'!F:F)</f>
        <v>99.319759999999988</v>
      </c>
      <c r="G21" s="397">
        <f>SUMIF('TB 0525'!H:H,'MIS P&amp;L'!B21,'TB 0525'!F:F)+28</f>
        <v>468.69315</v>
      </c>
      <c r="H21" s="167">
        <f>SUMIF('TB 0625'!H:H,'MIS P&amp;L'!B21,'TB 0625'!F:F)</f>
        <v>1297.7535899999998</v>
      </c>
      <c r="I21" s="167">
        <f>SUMIF('TB 0725'!H:H,'MIS P&amp;L'!B21,'TB 0725'!F:F)</f>
        <v>2435.4272799999999</v>
      </c>
      <c r="J21" s="167">
        <f>SUMIF('TB 0825'!H:H,'MIS P&amp;L'!B21,'TB 0825'!F:F)</f>
        <v>1928.288</v>
      </c>
      <c r="K21" s="167">
        <f>SUMIF('TB 0925'!H:H,'MIS P&amp;L'!B21,'TB 0925'!F:F)</f>
        <v>725.32187999999985</v>
      </c>
      <c r="L21" s="451">
        <f>SUMIF('TB 1025'!H:H,'MIS P&amp;L'!B21,'TB 1025'!F:F)</f>
        <v>1037.1373800000001</v>
      </c>
      <c r="M21" s="451">
        <f>SUMIF('TB 1125'!H:H,'MIS P&amp;L'!B21,'TB 1125'!F:F)</f>
        <v>1046.16923</v>
      </c>
      <c r="N21" s="451">
        <f>SUMIF('TB 1225'!H:H,'MIS P&amp;L'!B21,'TB 1225'!F:F)</f>
        <v>725.16000000000008</v>
      </c>
      <c r="O21" s="390"/>
      <c r="P21" s="417"/>
      <c r="Q21" s="61"/>
    </row>
    <row r="22" spans="2:17" x14ac:dyDescent="0.3">
      <c r="B22" s="35"/>
      <c r="C22" s="8"/>
      <c r="D22" s="8"/>
      <c r="E22" s="8"/>
      <c r="F22" s="167"/>
      <c r="G22" s="167"/>
      <c r="H22" s="167"/>
      <c r="I22" s="167"/>
      <c r="J22" s="167"/>
      <c r="K22" s="167"/>
      <c r="L22" s="167"/>
      <c r="M22" s="544"/>
      <c r="N22" s="544"/>
      <c r="O22" s="390"/>
      <c r="P22" s="61"/>
      <c r="Q22" s="61"/>
    </row>
    <row r="23" spans="2:17" x14ac:dyDescent="0.3">
      <c r="B23" s="38" t="s">
        <v>35</v>
      </c>
      <c r="C23" s="94">
        <f t="shared" ref="C23:E23" si="5">C14-SUM(C17:C21)</f>
        <v>-441.62824999999992</v>
      </c>
      <c r="D23" s="94">
        <f t="shared" si="5"/>
        <v>-1597.1541300000004</v>
      </c>
      <c r="E23" s="94">
        <f t="shared" si="5"/>
        <v>-2110.3447200000001</v>
      </c>
      <c r="F23" s="332">
        <f t="shared" ref="F23:K23" si="6">F14-SUM(F17:F21)</f>
        <v>-5477.2612200000003</v>
      </c>
      <c r="G23" s="332">
        <f t="shared" si="6"/>
        <v>-9506.1961899999988</v>
      </c>
      <c r="H23" s="332">
        <f t="shared" si="6"/>
        <v>-17085.57127</v>
      </c>
      <c r="I23" s="332">
        <f t="shared" si="6"/>
        <v>-20060.299019999999</v>
      </c>
      <c r="J23" s="332">
        <f t="shared" si="6"/>
        <v>-26612.942790000001</v>
      </c>
      <c r="K23" s="332">
        <f t="shared" si="6"/>
        <v>-28563.204099999992</v>
      </c>
      <c r="L23" s="332">
        <f>L14-SUM(L17:L21)</f>
        <v>-44650.243669999996</v>
      </c>
      <c r="M23" s="332">
        <f>M14-SUM(M17:M21)</f>
        <v>-52485.776430000027</v>
      </c>
      <c r="N23" s="332">
        <f>N14-SUM(N17:N21)</f>
        <v>-78631.580799998701</v>
      </c>
      <c r="O23" s="390"/>
      <c r="P23" s="61"/>
      <c r="Q23" s="61"/>
    </row>
    <row r="24" spans="2:17" x14ac:dyDescent="0.3">
      <c r="B24" s="40" t="s">
        <v>19</v>
      </c>
      <c r="C24" s="47">
        <f t="shared" ref="C24:H24" si="7">C23/C7</f>
        <v>-0.26202894110304104</v>
      </c>
      <c r="D24" s="47">
        <f t="shared" si="7"/>
        <v>-0.91125387103488553</v>
      </c>
      <c r="E24" s="47">
        <f t="shared" si="7"/>
        <v>-0.85961340051281887</v>
      </c>
      <c r="F24" s="47">
        <f t="shared" si="7"/>
        <v>-1.6206105847614196</v>
      </c>
      <c r="G24" s="47">
        <f t="shared" si="7"/>
        <v>-1.2565865105758109</v>
      </c>
      <c r="H24" s="47">
        <f t="shared" si="7"/>
        <v>-1.6543068438118018</v>
      </c>
      <c r="I24" s="47">
        <f t="shared" ref="I24:K24" si="8">I23/I7</f>
        <v>-1.3435864350853721</v>
      </c>
      <c r="J24" s="47">
        <f t="shared" si="8"/>
        <v>-0.96578457938016782</v>
      </c>
      <c r="K24" s="47">
        <f t="shared" si="8"/>
        <v>-0.75952515887891403</v>
      </c>
      <c r="L24" s="47">
        <f>L23/L7</f>
        <v>-0.60133752544148322</v>
      </c>
      <c r="M24" s="545">
        <f>M23/M7</f>
        <v>-0.62021250602181921</v>
      </c>
      <c r="N24" s="545">
        <f>N23/N7</f>
        <v>-0.67339208404530237</v>
      </c>
      <c r="O24" s="390"/>
      <c r="P24" s="61"/>
      <c r="Q24" s="61"/>
    </row>
    <row r="25" spans="2:17" x14ac:dyDescent="0.3">
      <c r="B25" s="35"/>
      <c r="C25" s="21"/>
      <c r="D25" s="21"/>
      <c r="E25" s="21"/>
      <c r="F25" s="349"/>
      <c r="G25" s="349"/>
      <c r="H25" s="349"/>
      <c r="I25" s="349"/>
      <c r="J25" s="349"/>
      <c r="K25" s="349"/>
      <c r="L25" s="349"/>
      <c r="M25" s="349"/>
      <c r="N25" s="349"/>
      <c r="O25" s="390"/>
      <c r="P25" s="61"/>
      <c r="Q25" s="61"/>
    </row>
    <row r="26" spans="2:17" x14ac:dyDescent="0.3">
      <c r="B26" s="35" t="s">
        <v>36</v>
      </c>
      <c r="C26" s="21">
        <f t="shared" ref="C26:F26" si="9">SUM(C27:C29)</f>
        <v>876.16472999999996</v>
      </c>
      <c r="D26" s="21">
        <f t="shared" si="9"/>
        <v>1322.9</v>
      </c>
      <c r="E26" s="21">
        <f t="shared" si="9"/>
        <v>1588.0343600000001</v>
      </c>
      <c r="F26" s="349">
        <f t="shared" si="9"/>
        <v>2636.4766100000002</v>
      </c>
      <c r="G26" s="349">
        <f t="shared" ref="G26:K26" si="10">SUM(G27:G29)</f>
        <v>6211.2232100000001</v>
      </c>
      <c r="H26" s="60">
        <f t="shared" si="10"/>
        <v>10479.12657</v>
      </c>
      <c r="I26" s="60">
        <f t="shared" si="10"/>
        <v>17024.857960000001</v>
      </c>
      <c r="J26" s="60">
        <f t="shared" si="10"/>
        <v>35615.456639999997</v>
      </c>
      <c r="K26" s="60">
        <f t="shared" si="10"/>
        <v>42864.798060000001</v>
      </c>
      <c r="L26" s="60">
        <f>SUM(L27:L29)</f>
        <v>63801.737979999998</v>
      </c>
      <c r="M26" s="60">
        <f>SUM(M27:M29)</f>
        <v>71694.862299999993</v>
      </c>
      <c r="N26" s="60">
        <f>SUM(N27:N29)</f>
        <v>90196.321330001316</v>
      </c>
      <c r="O26" s="390"/>
      <c r="P26" s="61"/>
      <c r="Q26" s="61"/>
    </row>
    <row r="27" spans="2:17" x14ac:dyDescent="0.3">
      <c r="B27" s="43" t="s">
        <v>37</v>
      </c>
      <c r="C27" s="96">
        <f>SUMIF('TB 0125'!H:H,'MIS P&amp;L'!B27,'TB 0125'!F:F)+'TB 0125'!R5</f>
        <v>611.77972999999997</v>
      </c>
      <c r="D27" s="96">
        <f>SUMIF('TB 0225'!H:H,'MIS P&amp;L'!B27,'TB 0225'!F:F)+'TB 0225'!P5</f>
        <v>669.82500000000005</v>
      </c>
      <c r="E27" s="96">
        <f>SUMIF('TB 0325'!H:H,'MIS P&amp;L'!B27,'TB 0325'!F:F)+'TB 0325'!P4</f>
        <v>863.64100000000008</v>
      </c>
      <c r="F27" s="398">
        <f>SUMIF('TB 0425'!H:H,'MIS P&amp;L'!B27,'TB 0425'!F:F)+'TB 0425'!R4</f>
        <v>1339.3396100000002</v>
      </c>
      <c r="G27" s="398">
        <f>SUMIF('TB 0525'!H:H,'MIS P&amp;L'!B27,'TB 0525'!F:F)</f>
        <v>3005.0652099999998</v>
      </c>
      <c r="H27" s="398">
        <f>SUMIF('TB 0625'!H:H,'MIS P&amp;L'!B27,'TB 0625'!F:F)</f>
        <v>5817.5285700000004</v>
      </c>
      <c r="I27" s="398">
        <f>SUMIF('TB 0725'!H:H,'MIS P&amp;L'!B27,'TB 0725'!F:F)</f>
        <v>7135.4088700000002</v>
      </c>
      <c r="J27" s="398">
        <f>SUMIF('TB 0825'!H:H,'MIS P&amp;L'!B27,'TB 0825'!F:F)</f>
        <v>17875.963199999998</v>
      </c>
      <c r="K27" s="398">
        <f>SUMIF('TB 0925'!H:H,'MIS P&amp;L'!B27,'TB 0925'!F:F)</f>
        <v>23474.934590000001</v>
      </c>
      <c r="L27" s="398">
        <f>SUMIF('TB 1025'!H:H,'MIS P&amp;L'!B27,'TB 1025'!F:F)</f>
        <v>21563.449579999997</v>
      </c>
      <c r="M27" s="398">
        <f>SUMIF('TB 1125'!H:H,'MIS P&amp;L'!B27,'TB 1125'!F:F)</f>
        <v>31021.67282</v>
      </c>
      <c r="N27" s="398">
        <f>SUMIF('TB 1225'!H:H,'MIS P&amp;L'!B27,'TB 1225'!F:F)</f>
        <v>39731.204000000005</v>
      </c>
      <c r="O27" s="390"/>
      <c r="P27" s="61"/>
      <c r="Q27" s="61"/>
    </row>
    <row r="28" spans="2:17" x14ac:dyDescent="0.3">
      <c r="B28" s="43" t="s">
        <v>38</v>
      </c>
      <c r="C28" s="96">
        <f>SUMIF('TB 0125'!H:H,'MIS P&amp;L'!B28,'TB 0125'!F:F)</f>
        <v>81.59</v>
      </c>
      <c r="D28" s="96">
        <f>SUMIF('TB 0225'!H:H,'MIS P&amp;L'!B28,'TB 0225'!F:F)</f>
        <v>351.67</v>
      </c>
      <c r="E28" s="96">
        <f>SUMIF('TB 0325'!H:H,'MIS P&amp;L'!B28,'TB 0325'!F:F)</f>
        <v>68.026359999999997</v>
      </c>
      <c r="F28" s="398">
        <f>SUMIF('TB 0425'!H:H,'MIS P&amp;L'!B28,'TB 0425'!F:F)</f>
        <v>427.38499999999999</v>
      </c>
      <c r="G28" s="398">
        <f>SUMIF('TB 0525'!H:H,'MIS P&amp;L'!B28,'TB 0525'!F:F)</f>
        <v>395</v>
      </c>
      <c r="H28" s="398">
        <f>SUMIF('TB 0625'!H:H,'MIS P&amp;L'!B28,'TB 0625'!F:F)</f>
        <v>576.15</v>
      </c>
      <c r="I28" s="398">
        <f>SUMIF('TB 0725'!H:H,'MIS P&amp;L'!B28,'TB 0725'!F:F)</f>
        <v>4461.0489900000002</v>
      </c>
      <c r="J28" s="398">
        <f>SUMIF('TB 0825'!H:H,'MIS P&amp;L'!B28,'TB 0825'!F:F)</f>
        <v>9270.9179999999997</v>
      </c>
      <c r="K28" s="398">
        <f>SUMIF('TB 0925'!H:H,'MIS P&amp;L'!B28,'TB 0925'!F:F)</f>
        <v>6044.9930000000004</v>
      </c>
      <c r="L28" s="398">
        <f>SUMIF('TB 1025'!H:H,'MIS P&amp;L'!B28,'TB 1025'!F:F)</f>
        <v>13299.99956</v>
      </c>
      <c r="M28" s="398">
        <f>SUMIF('TB 1125'!H:H,'MIS P&amp;L'!B28,'TB 1125'!F:F)</f>
        <v>12253.526399999999</v>
      </c>
      <c r="N28" s="398">
        <f>SUMIF('TB 1225'!H:H,'MIS P&amp;L'!B28,'TB 1225'!F:F)</f>
        <v>16041.299660000001</v>
      </c>
      <c r="O28" s="390"/>
      <c r="P28" s="61"/>
      <c r="Q28" s="61"/>
    </row>
    <row r="29" spans="2:17" x14ac:dyDescent="0.3">
      <c r="B29" s="43" t="s">
        <v>61</v>
      </c>
      <c r="C29" s="96">
        <f>SUMIF('TB 0125'!H:H,'MIS P&amp;L'!B29,'TB 0125'!F:F)+(79586/1000)</f>
        <v>182.79500000000002</v>
      </c>
      <c r="D29" s="96">
        <f>SUMIF('TB 0225'!H:H,'MIS P&amp;L'!B29,'TB 0225'!F:F)+(183118/1000)</f>
        <v>301.40499999999997</v>
      </c>
      <c r="E29" s="96">
        <f>SUMIF('TB 0325'!H:H,'MIS P&amp;L'!B29,'TB 0325'!F:F)</f>
        <v>656.36699999999996</v>
      </c>
      <c r="F29" s="398">
        <f>SUMIF('TB 0425'!H:H,'MIS P&amp;L'!B29,'TB 0425'!F:F)+(771680/1000)</f>
        <v>869.75199999999995</v>
      </c>
      <c r="G29" s="398">
        <f>SUMIF('TB 0525'!H:H,'MIS P&amp;L'!B29,'TB 0525'!F:F)+3344.989-752</f>
        <v>2811.1579999999999</v>
      </c>
      <c r="H29" s="398">
        <f>SUMIF('TB 0625'!H:H,'MIS P&amp;L'!B29,'TB 0625'!F:F)+(5295962/10^3)</f>
        <v>4085.4480000000003</v>
      </c>
      <c r="I29" s="398">
        <f>SUMIF('TB 0725'!H:H,'MIS P&amp;L'!B29,'TB 0725'!F:F)+(6771408/10^3)+194.334</f>
        <v>5428.4000999999998</v>
      </c>
      <c r="J29" s="398">
        <f>SUMIF('TB 0825'!H:H,'MIS P&amp;L'!B29,'TB 0825'!F:F)+(9030.74944)+(34.71)+1714.962</f>
        <v>8468.5754400000005</v>
      </c>
      <c r="K29" s="398">
        <f>SUMIF('TB 0925'!H:H,'MIS P&amp;L'!B29,'TB 0925'!F:F)+(10998155/10^3)+4768.292</f>
        <v>13344.870470000002</v>
      </c>
      <c r="L29" s="398">
        <f>SUMIF('TB 1025'!H:H,'MIS P&amp;L'!B29,'TB 1025'!F:F)+(17286475.84/10^3)+14447.575</f>
        <v>28938.288840000001</v>
      </c>
      <c r="M29" s="398">
        <f>('TB 1125'!S6/10^3)+SUMIF('TB 1125'!H:H,'MIS P&amp;L'!B29,'TB 1125'!F:F)-'TB 1125'!P6/10^3+17129.742</f>
        <v>28419.663079999995</v>
      </c>
      <c r="N29" s="398">
        <f>SUMIF('TB 1225'!H:H,'MIS P&amp;L'!B29,'TB 1225'!F:F)+('TB 1225'!S6+'TB 1225'!S7)/10^3-('TB 1225'!P6-'TB 1225'!P7)/10^3+20790.947</f>
        <v>34423.817670001321</v>
      </c>
      <c r="O29" s="390"/>
      <c r="P29" s="61"/>
      <c r="Q29" s="61"/>
    </row>
    <row r="30" spans="2:17" x14ac:dyDescent="0.3">
      <c r="B30" s="35" t="s">
        <v>417</v>
      </c>
      <c r="C30" s="21">
        <f t="shared" ref="C30:H30" si="11">SUM(C31:C32)</f>
        <v>3092.8645999999999</v>
      </c>
      <c r="D30" s="21">
        <f t="shared" si="11"/>
        <v>6606.2400999999991</v>
      </c>
      <c r="E30" s="21">
        <f t="shared" si="11"/>
        <v>9142.0608399999983</v>
      </c>
      <c r="F30" s="349">
        <f t="shared" si="11"/>
        <v>12823.778050000001</v>
      </c>
      <c r="G30" s="349">
        <f t="shared" si="11"/>
        <v>16357.028841290321</v>
      </c>
      <c r="H30" s="349">
        <f t="shared" si="11"/>
        <v>19256.69685</v>
      </c>
      <c r="I30" s="349">
        <f t="shared" ref="I30:N30" si="12">SUM(I31:I32)</f>
        <v>22548.29566</v>
      </c>
      <c r="J30" s="349">
        <f t="shared" si="12"/>
        <v>24500.94247129032</v>
      </c>
      <c r="K30" s="21">
        <f t="shared" si="12"/>
        <v>26041.959470000002</v>
      </c>
      <c r="L30" s="21">
        <f t="shared" si="12"/>
        <v>35188.72539</v>
      </c>
      <c r="M30" s="21">
        <f t="shared" si="12"/>
        <v>39322.951509999992</v>
      </c>
      <c r="N30" s="21">
        <f t="shared" si="12"/>
        <v>45768.017629999995</v>
      </c>
      <c r="O30" s="390"/>
      <c r="P30" s="61"/>
      <c r="Q30" s="61"/>
    </row>
    <row r="31" spans="2:17" x14ac:dyDescent="0.3">
      <c r="B31" s="43" t="s">
        <v>417</v>
      </c>
      <c r="C31" s="96">
        <f>SUMIF('TB 0125'!H:H,'MIS P&amp;L'!B30,'TB 0125'!F:F)+'TB 0125'!R3</f>
        <v>3092.8645999999999</v>
      </c>
      <c r="D31" s="96">
        <f>SUMIF('TB 0225'!H:H,'MIS P&amp;L'!B30,'TB 0225'!F:F)+'TB 0225'!P3</f>
        <v>4532.2400999999991</v>
      </c>
      <c r="E31" s="96">
        <f>SUMIF('TB 0325'!H:H,'MIS P&amp;L'!B30,'TB 0325'!F:F)+'TB 0325'!P8</f>
        <v>8965.1278399999974</v>
      </c>
      <c r="F31" s="398">
        <f>SUMIF('TB 0425'!H:H,'MIS P&amp;L'!B30,'TB 0425'!F:F)+'TB 0425'!R8</f>
        <v>12713.778050000001</v>
      </c>
      <c r="G31" s="398">
        <f>SUMIF('TB 0525'!H:H,'MIS P&amp;L'!B30,'TB 0525'!F:F)+'TB 0525'!R3</f>
        <v>15651.702841290322</v>
      </c>
      <c r="H31" s="398">
        <f>SUMIF('TB 0625'!H:H,'MIS P&amp;L'!B30,'TB 0625'!F:F)+'TB 0625'!M3+'TB 0625'!M8+'TB 0625'!M9</f>
        <v>19018.078850000002</v>
      </c>
      <c r="I31" s="398">
        <f>SUMIF('TB 0725'!H:H,'MIS P&amp;L'!B31,'TB 0725'!F:F)+'TB 0725'!L3+'TB 0725'!L8+'TB 0725'!L9</f>
        <v>21513.095659999999</v>
      </c>
      <c r="J31" s="398">
        <f>SUMIF('TB 0825'!H:H,'MIS P&amp;L'!B31,'TB 0825'!F:F)+'TB 0825'!L3+'TB 0825'!L8+'TB 0825'!L9</f>
        <v>24158.767471290321</v>
      </c>
      <c r="K31" s="398">
        <f>SUMIF('TB 0925'!H:H,'MIS P&amp;L'!B31,'TB 0925'!F:F)+'TB 0925'!M7+'TB 0925'!M8+'TB 0925'!M9</f>
        <v>26039.959470000002</v>
      </c>
      <c r="L31" s="398">
        <f>SUMIF('TB 1025'!H:H,'MIS P&amp;L'!B31,'TB 1025'!F:F)+'TB 1025'!M7+'TB 1025'!M8+'TB 1025'!M9</f>
        <v>35040.783389999997</v>
      </c>
      <c r="M31" s="398">
        <f>SUMIF('TB 1125'!H:H,'MIS P&amp;L'!B31,'TB 1125'!F:F)+'TB 1125'!M7+'TB 1125'!M8+'TB 1125'!M9</f>
        <v>39255.001509999995</v>
      </c>
      <c r="N31" s="398">
        <f>SUMIF('TB 1225'!H:H,'MIS P&amp;L'!B31,'TB 1225'!F:F)+'TB 1225'!M7+'TB 1225'!M8+'TB 1225'!M9</f>
        <v>45501.105629999998</v>
      </c>
      <c r="O31" s="390"/>
      <c r="P31" s="61"/>
      <c r="Q31" s="61"/>
    </row>
    <row r="32" spans="2:17" x14ac:dyDescent="0.3">
      <c r="B32" s="43" t="s">
        <v>263</v>
      </c>
      <c r="C32" s="96">
        <v>0</v>
      </c>
      <c r="D32" s="96">
        <f>SUMIF('TB 0225'!H:H,'MIS P&amp;L'!B32,'TB 0225'!F:F)</f>
        <v>2074</v>
      </c>
      <c r="E32" s="96">
        <f>SUMIF('TB 0325'!H:H,'MIS P&amp;L'!B32,'TB 0325'!F:F)</f>
        <v>176.93299999999999</v>
      </c>
      <c r="F32" s="398">
        <f>SUMIF('TB 0425'!H:H,'MIS P&amp;L'!B32,'TB 0425'!F:F)</f>
        <v>110</v>
      </c>
      <c r="G32" s="398">
        <f>SUMIF('TB 0525'!H:H,'MIS P&amp;L'!B32,'TB 0525'!F:F)</f>
        <v>705.32600000000002</v>
      </c>
      <c r="H32" s="398">
        <f>SUMIF('TB 0625'!H:H,'MIS P&amp;L'!B32,'TB 0625'!F:F)</f>
        <v>238.61799999999999</v>
      </c>
      <c r="I32" s="398">
        <f>SUMIF('TB 0725'!H:H,'MIS P&amp;L'!B32,'TB 0725'!F:F)</f>
        <v>1035.2</v>
      </c>
      <c r="J32" s="398">
        <f>SUMIF('TB 0825'!H:H,'MIS P&amp;L'!B32,'TB 0825'!F:F)</f>
        <v>342.17500000000001</v>
      </c>
      <c r="K32" s="398">
        <f>SUMIF('TB 0925'!H:H,'MIS P&amp;L'!B32,'TB 0925'!F:F)</f>
        <v>2</v>
      </c>
      <c r="L32" s="398">
        <f>SUMIF('TB 1025'!H:H,'MIS P&amp;L'!B32,'TB 1025'!F:F)</f>
        <v>147.94200000000001</v>
      </c>
      <c r="M32" s="398">
        <f>SUMIF('TB 1125'!H:H,'MIS P&amp;L'!B32,'TB 1125'!F:F)</f>
        <v>67.95</v>
      </c>
      <c r="N32" s="398">
        <f>SUMIF('TB 1225'!H:H,'MIS P&amp;L'!B32,'TB 1225'!F:F)</f>
        <v>266.91199999999998</v>
      </c>
      <c r="O32" s="390"/>
      <c r="P32" s="61"/>
      <c r="Q32" s="61"/>
    </row>
    <row r="33" spans="2:17" x14ac:dyDescent="0.3">
      <c r="B33" s="35" t="s">
        <v>39</v>
      </c>
      <c r="C33" s="106">
        <f>SUMIF('TB 0125'!H:H,'MIS P&amp;L'!B33,'TB 0125'!F:F)</f>
        <v>373.25871999999998</v>
      </c>
      <c r="D33" s="106">
        <f>SUMIF('TB 0225'!H:H,'MIS P&amp;L'!B33,'TB 0225'!F:F)</f>
        <v>518.67665</v>
      </c>
      <c r="E33" s="106">
        <f>SUMIF('TB 0325'!H:H,'MIS P&amp;L'!B33,'TB 0325'!F:F)</f>
        <v>549.93001000000004</v>
      </c>
      <c r="F33" s="167">
        <f>SUMIF('TB 0425'!H:H,'MIS P&amp;L'!B33,'TB 0425'!F:F)</f>
        <v>1044.16968</v>
      </c>
      <c r="G33" s="167">
        <f>SUMIF('TB 0525'!H:H,'MIS P&amp;L'!B33,'TB 0525'!F:F)</f>
        <v>1383.7628500000001</v>
      </c>
      <c r="H33" s="167">
        <f>SUMIF('TB 0625'!H:H,'MIS P&amp;L'!B33,'TB 0625'!F:F)</f>
        <v>1711.92822</v>
      </c>
      <c r="I33" s="167">
        <f>SUMIF('TB 0725'!H:H,'MIS P&amp;L'!B33,'TB 0725'!F:F)</f>
        <v>1849.1916899999999</v>
      </c>
      <c r="J33" s="167">
        <f>SUMIF('TB 0825'!H:H,'MIS P&amp;L'!B33,'TB 0825'!F:F)</f>
        <v>2314.7726000000002</v>
      </c>
      <c r="K33" s="167">
        <f>SUMIF('TB 0925'!H:H,'MIS P&amp;L'!B33,'TB 0925'!F:F)</f>
        <v>2765.2968600000004</v>
      </c>
      <c r="L33" s="167">
        <f>SUMIF('TB 1025'!H:H,'MIS P&amp;L'!B33,'TB 1025'!F:F)</f>
        <v>3971.0149300000003</v>
      </c>
      <c r="M33" s="167">
        <f>SUMIF('TB 1125'!H:H,'MIS P&amp;L'!B33,'TB 1125'!F:F)</f>
        <v>3401.2811499999998</v>
      </c>
      <c r="N33" s="167">
        <f>SUMIF('TB 1225'!H:H,'MIS P&amp;L'!B33,'TB 1225'!F:F)</f>
        <v>2866.5096100000001</v>
      </c>
      <c r="O33" s="390"/>
      <c r="P33" s="61"/>
      <c r="Q33" s="61"/>
    </row>
    <row r="34" spans="2:17" x14ac:dyDescent="0.3">
      <c r="B34" s="35" t="s">
        <v>40</v>
      </c>
      <c r="C34" s="97">
        <f t="shared" ref="C34:H34" si="13">SUM(C35:C37)</f>
        <v>487.48961000000003</v>
      </c>
      <c r="D34" s="97">
        <f t="shared" si="13"/>
        <v>711.64439999999991</v>
      </c>
      <c r="E34" s="97">
        <f t="shared" si="13"/>
        <v>860.95438999999999</v>
      </c>
      <c r="F34" s="60">
        <f t="shared" si="13"/>
        <v>657.09742000000006</v>
      </c>
      <c r="G34" s="60">
        <f t="shared" si="13"/>
        <v>1377.6577699999998</v>
      </c>
      <c r="H34" s="60">
        <f t="shared" si="13"/>
        <v>1663.7004299999999</v>
      </c>
      <c r="I34" s="60">
        <f t="shared" ref="I34:K34" si="14">SUM(I35:I37)</f>
        <v>2264.6548499999999</v>
      </c>
      <c r="J34" s="60">
        <f t="shared" si="14"/>
        <v>2190.7756100000001</v>
      </c>
      <c r="K34" s="60">
        <f t="shared" si="14"/>
        <v>1905.8183899999999</v>
      </c>
      <c r="L34" s="60">
        <f>SUM(L35:L37)</f>
        <v>2947.9018800000003</v>
      </c>
      <c r="M34" s="60">
        <f>SUM(M35:M37)</f>
        <v>5011.5741399999997</v>
      </c>
      <c r="N34" s="60">
        <f>SUM(N35:N37)</f>
        <v>5430.6649499999994</v>
      </c>
      <c r="O34" s="390"/>
      <c r="P34" s="61"/>
      <c r="Q34" s="61"/>
    </row>
    <row r="35" spans="2:17" x14ac:dyDescent="0.3">
      <c r="B35" s="43" t="s">
        <v>41</v>
      </c>
      <c r="C35" s="11">
        <f>SUMIF('TB 0125'!H:H,'MIS P&amp;L'!B35,'TB 0125'!F:F)</f>
        <v>109</v>
      </c>
      <c r="D35" s="11">
        <f>SUMIF('TB 0225'!H:H,'MIS P&amp;L'!B35,'TB 0225'!F:F)</f>
        <v>109</v>
      </c>
      <c r="E35" s="11">
        <f>SUMIF('TB 0325'!H:H,'MIS P&amp;L'!B35,'TB 0325'!F:F)</f>
        <v>237.57999999999998</v>
      </c>
      <c r="F35" s="399">
        <f>SUMIF('TB 0425'!H:H,'MIS P&amp;L'!B35,'TB 0425'!F:F)</f>
        <v>128.22999999999999</v>
      </c>
      <c r="G35" s="399">
        <f>SUMIF('TB 0525'!H:H,'MIS P&amp;L'!B35,'TB 0525'!F:F)</f>
        <v>440</v>
      </c>
      <c r="H35" s="399">
        <f>SUMIF('TB 0625'!H:H,'MIS P&amp;L'!B35,'TB 0625'!F:F)</f>
        <v>377.24</v>
      </c>
      <c r="I35" s="399">
        <f>SUMIF('TB 0725'!H:H,'MIS P&amp;L'!B35,'TB 0725'!F:F)</f>
        <v>750.95</v>
      </c>
      <c r="J35" s="399">
        <f>SUMIF('TB 0825'!H:H,'MIS P&amp;L'!B35,'TB 0825'!F:F)</f>
        <v>772.73500000000001</v>
      </c>
      <c r="K35" s="399">
        <f>SUMIF('TB 0925'!H:H,'MIS P&amp;L'!B35,'TB 0925'!F:F)</f>
        <v>794.13965999999994</v>
      </c>
      <c r="L35" s="399">
        <f>SUMIF('TB 1025'!H:H,'MIS P&amp;L'!B35,'TB 1025'!F:F)</f>
        <v>1258.3499999999999</v>
      </c>
      <c r="M35" s="399">
        <f>SUMIF('TB 1125'!H:H,'MIS P&amp;L'!B35,'TB 1125'!F:F)</f>
        <v>2211.4369999999999</v>
      </c>
      <c r="N35" s="399">
        <f>SUMIF('TB 1225'!H:H,'MIS P&amp;L'!B35,'TB 1225'!F:F)</f>
        <v>3080.8270600000001</v>
      </c>
      <c r="O35" s="390"/>
      <c r="P35" s="61"/>
      <c r="Q35" s="61"/>
    </row>
    <row r="36" spans="2:17" x14ac:dyDescent="0.3">
      <c r="B36" s="43" t="s">
        <v>42</v>
      </c>
      <c r="C36" s="11">
        <f>SUMIF('TB 0125'!H:H,'MIS P&amp;L'!B36,'TB 0125'!F:F)</f>
        <v>295.99400000000003</v>
      </c>
      <c r="D36" s="11">
        <f>SUMIF('TB 0225'!H:H,'MIS P&amp;L'!B36,'TB 0225'!F:F)</f>
        <v>301.25099999999998</v>
      </c>
      <c r="E36" s="11">
        <f>SUMIF('TB 0325'!H:H,'MIS P&amp;L'!B36,'TB 0325'!F:F)</f>
        <v>586.42495999999994</v>
      </c>
      <c r="F36" s="399">
        <f>SUMIF('TB 0425'!H:H,'MIS P&amp;L'!B36,'TB 0425'!F:F)</f>
        <v>466.89787999999999</v>
      </c>
      <c r="G36" s="399">
        <f>SUMIF('TB 0525'!H:H,'MIS P&amp;L'!B36,'TB 0525'!F:F)</f>
        <v>814.7480599999999</v>
      </c>
      <c r="H36" s="399">
        <f>SUMIF('TB 0625'!H:H,'MIS P&amp;L'!B36,'TB 0625'!F:F)</f>
        <v>1175.4557199999999</v>
      </c>
      <c r="I36" s="399">
        <f>SUMIF('TB 0725'!H:H,'MIS P&amp;L'!B36,'TB 0725'!F:F)</f>
        <v>1349.8983599999999</v>
      </c>
      <c r="J36" s="399">
        <f>SUMIF('TB 0825'!H:H,'MIS P&amp;L'!B36,'TB 0825'!F:F)</f>
        <v>1283.3703</v>
      </c>
      <c r="K36" s="399">
        <f>SUMIF('TB 0925'!H:H,'MIS P&amp;L'!B36,'TB 0925'!F:F)</f>
        <v>829.02503999999999</v>
      </c>
      <c r="L36" s="399">
        <f>SUMIF('TB 1025'!H:H,'MIS P&amp;L'!B36,'TB 1025'!F:F)</f>
        <v>1607.0294200000001</v>
      </c>
      <c r="M36" s="399">
        <f>SUMIF('TB 1125'!H:H,'MIS P&amp;L'!B36,'TB 1125'!F:F)</f>
        <v>2756.9744400000004</v>
      </c>
      <c r="N36" s="399">
        <f>SUMIF('TB 1225'!H:H,'MIS P&amp;L'!B36,'TB 1225'!F:F)</f>
        <v>2293.5917399999998</v>
      </c>
      <c r="O36" s="390"/>
      <c r="P36" s="61"/>
      <c r="Q36" s="61"/>
    </row>
    <row r="37" spans="2:17" x14ac:dyDescent="0.3">
      <c r="B37" s="43" t="s">
        <v>43</v>
      </c>
      <c r="C37" s="11">
        <f>SUMIF('TB 0125'!H:H,'MIS P&amp;L'!B37,'TB 0125'!F:F)</f>
        <v>82.495609999999999</v>
      </c>
      <c r="D37" s="11">
        <f>SUMIF('TB 0225'!H:H,'MIS P&amp;L'!B37,'TB 0225'!F:F)</f>
        <v>301.39339999999999</v>
      </c>
      <c r="E37" s="11">
        <f>SUMIF('TB 0325'!H:H,'MIS P&amp;L'!B37,'TB 0325'!F:F)</f>
        <v>36.94943</v>
      </c>
      <c r="F37" s="399">
        <f>SUMIF('TB 0425'!H:H,'MIS P&amp;L'!B37,'TB 0425'!F:F)</f>
        <v>61.969540000000002</v>
      </c>
      <c r="G37" s="399">
        <f>SUMIF('TB 0525'!H:H,'MIS P&amp;L'!B37,'TB 0525'!F:F)</f>
        <v>122.90970999999999</v>
      </c>
      <c r="H37" s="399">
        <f>SUMIF('TB 0625'!H:H,'MIS P&amp;L'!B37,'TB 0625'!F:F)</f>
        <v>111.00471</v>
      </c>
      <c r="I37" s="399">
        <f>SUMIF('TB 0725'!H:H,'MIS P&amp;L'!B37,'TB 0725'!F:F)</f>
        <v>163.80649</v>
      </c>
      <c r="J37" s="399">
        <f>SUMIF('TB 0825'!H:H,'MIS P&amp;L'!B37,'TB 0825'!F:F)</f>
        <v>134.67031</v>
      </c>
      <c r="K37" s="399">
        <f>SUMIF('TB 0925'!H:H,'MIS P&amp;L'!B37,'TB 0925'!F:F)</f>
        <v>282.65368999999998</v>
      </c>
      <c r="L37" s="399">
        <f>SUMIF('TB 1025'!H:H,'MIS P&amp;L'!B37,'TB 1025'!F:F)</f>
        <v>82.522459999999995</v>
      </c>
      <c r="M37" s="399">
        <f>SUMIF('TB 1125'!H:H,'MIS P&amp;L'!B37,'TB 1125'!F:F)</f>
        <v>43.162700000000001</v>
      </c>
      <c r="N37" s="399">
        <f>SUMIF('TB 1225'!H:H,'MIS P&amp;L'!B37,'TB 1225'!F:F)</f>
        <v>56.246150000000007</v>
      </c>
      <c r="O37" s="390"/>
      <c r="P37" s="61"/>
      <c r="Q37" s="61"/>
    </row>
    <row r="38" spans="2:17" x14ac:dyDescent="0.3">
      <c r="B38" s="35"/>
      <c r="C38" s="284"/>
      <c r="D38" s="284"/>
      <c r="E38" s="284"/>
      <c r="F38" s="349"/>
      <c r="G38" s="349"/>
      <c r="H38" s="349"/>
      <c r="I38" s="349"/>
      <c r="J38" s="349"/>
      <c r="K38" s="349"/>
      <c r="L38" s="349"/>
      <c r="M38" s="349"/>
      <c r="N38" s="349"/>
      <c r="O38" s="390"/>
      <c r="P38" s="61"/>
      <c r="Q38" s="61"/>
    </row>
    <row r="39" spans="2:17" x14ac:dyDescent="0.3">
      <c r="B39" s="38" t="s">
        <v>44</v>
      </c>
      <c r="C39" s="94">
        <f t="shared" ref="C39:H39" si="15">C23-C26-C30-C33-C34</f>
        <v>-5271.4059099999995</v>
      </c>
      <c r="D39" s="94">
        <f t="shared" si="15"/>
        <v>-10756.615279999998</v>
      </c>
      <c r="E39" s="94">
        <f t="shared" si="15"/>
        <v>-14251.32432</v>
      </c>
      <c r="F39" s="332">
        <f t="shared" si="15"/>
        <v>-22638.782979999996</v>
      </c>
      <c r="G39" s="332">
        <f t="shared" si="15"/>
        <v>-34835.868861290321</v>
      </c>
      <c r="H39" s="332">
        <f t="shared" si="15"/>
        <v>-50197.02334</v>
      </c>
      <c r="I39" s="332">
        <f t="shared" ref="I39:N39" si="16">I23-I26-I30-I33-I34</f>
        <v>-63747.299180000002</v>
      </c>
      <c r="J39" s="332">
        <f t="shared" si="16"/>
        <v>-91234.890111290311</v>
      </c>
      <c r="K39" s="332">
        <f t="shared" si="16"/>
        <v>-102141.07687999999</v>
      </c>
      <c r="L39" s="332">
        <f t="shared" si="16"/>
        <v>-150559.62385</v>
      </c>
      <c r="M39" s="332">
        <f t="shared" si="16"/>
        <v>-171916.44553000003</v>
      </c>
      <c r="N39" s="332">
        <f t="shared" si="16"/>
        <v>-222893.09432</v>
      </c>
      <c r="O39" s="390"/>
      <c r="P39" s="61"/>
      <c r="Q39" s="61"/>
    </row>
    <row r="40" spans="2:17" x14ac:dyDescent="0.3">
      <c r="B40" s="40" t="s">
        <v>45</v>
      </c>
      <c r="C40" s="47">
        <f t="shared" ref="C40:H40" si="17">C39/C7</f>
        <v>-3.1276552365515853</v>
      </c>
      <c r="D40" s="47">
        <f t="shared" si="17"/>
        <v>-6.1371705642040917</v>
      </c>
      <c r="E40" s="47">
        <f t="shared" si="17"/>
        <v>-5.8050370844277213</v>
      </c>
      <c r="F40" s="47">
        <f t="shared" si="17"/>
        <v>-6.6983570528894125</v>
      </c>
      <c r="G40" s="47">
        <f t="shared" si="17"/>
        <v>-4.6048158506694312</v>
      </c>
      <c r="H40" s="47">
        <f t="shared" si="17"/>
        <v>-4.8603162246118305</v>
      </c>
      <c r="I40" s="47">
        <f t="shared" ref="I40:N40" si="18">I39/I7</f>
        <v>-4.2696276045628387</v>
      </c>
      <c r="J40" s="47">
        <f t="shared" si="18"/>
        <v>-3.3109171979296299</v>
      </c>
      <c r="K40" s="47">
        <f t="shared" si="18"/>
        <v>-2.7160369464763718</v>
      </c>
      <c r="L40" s="47">
        <f t="shared" si="18"/>
        <v>-2.0276966976148989</v>
      </c>
      <c r="M40" s="47">
        <f t="shared" si="18"/>
        <v>-2.0314976125146909</v>
      </c>
      <c r="N40" s="47">
        <f t="shared" si="18"/>
        <v>-1.9088315887381146</v>
      </c>
      <c r="O40" s="390"/>
      <c r="P40" s="61"/>
      <c r="Q40" s="61"/>
    </row>
    <row r="41" spans="2:17" x14ac:dyDescent="0.3">
      <c r="B41" s="35"/>
      <c r="C41" s="8"/>
      <c r="D41" s="8"/>
      <c r="E41" s="8"/>
      <c r="F41" s="167"/>
      <c r="G41" s="167"/>
      <c r="H41" s="167"/>
      <c r="I41" s="167"/>
      <c r="J41" s="167"/>
      <c r="K41" s="167"/>
      <c r="L41" s="167"/>
      <c r="M41" s="167"/>
      <c r="N41" s="167"/>
      <c r="O41" s="390"/>
      <c r="P41" s="61"/>
      <c r="Q41" s="61"/>
    </row>
    <row r="42" spans="2:17" x14ac:dyDescent="0.3">
      <c r="B42" s="35" t="s">
        <v>46</v>
      </c>
      <c r="C42" s="106">
        <f>SUMIF('TB 0125'!H:H,'MIS P&amp;L'!B42,'TB 0125'!F:F)</f>
        <v>1200.5</v>
      </c>
      <c r="D42" s="106">
        <f>SUMIF('TB 0225'!H:H,'MIS P&amp;L'!B42,'TB 0225'!F:F)</f>
        <v>502.26</v>
      </c>
      <c r="E42" s="106">
        <f>SUMIF('TB 0325'!H:H,'MIS P&amp;L'!B42,'TB 0325'!F:F)</f>
        <v>1515</v>
      </c>
      <c r="F42" s="167">
        <f>SUMIF('TB 0425'!H:H,'MIS P&amp;L'!B42,'TB 0425'!F:F)</f>
        <v>601</v>
      </c>
      <c r="G42" s="167">
        <f>SUMIF('TB 0525'!H:H,'MIS P&amp;L'!B42,'TB 0525'!F:F)</f>
        <v>148.5</v>
      </c>
      <c r="H42" s="167">
        <f>SUMIF('TB 0625'!H:H,'MIS P&amp;L'!B42,'TB 0625'!F:F)</f>
        <v>3184.84</v>
      </c>
      <c r="I42" s="167">
        <f>SUMIF('TB 0725'!H:H,'MIS P&amp;L'!B42,'TB 0725'!F:F)</f>
        <v>430.15</v>
      </c>
      <c r="J42" s="167">
        <f>SUMIF('TB 0825'!H:H,'MIS P&amp;L'!B42,'TB 0825'!F:F)</f>
        <v>0</v>
      </c>
      <c r="K42" s="167">
        <f>SUMIF('TB 0925'!H:H,'MIS P&amp;L'!B42,'TB 0925'!F:F)</f>
        <v>0</v>
      </c>
      <c r="L42" s="451">
        <f>SUMIF('TB 1025'!H:H,'MIS P&amp;L'!B42,'TB 1025'!F:F)</f>
        <v>0</v>
      </c>
      <c r="M42" s="451">
        <f>SUMIF('TB 1125'!H:H,'MIS P&amp;L'!B42,'TB 1125'!F:F)</f>
        <v>0</v>
      </c>
      <c r="N42" s="451">
        <f>SUMIF('TB 1225'!H:H,'MIS P&amp;L'!B42,'TB 1225'!F:F)</f>
        <v>0</v>
      </c>
      <c r="O42" s="390"/>
      <c r="P42" s="61"/>
      <c r="Q42" s="61"/>
    </row>
    <row r="43" spans="2:17" x14ac:dyDescent="0.3">
      <c r="B43" s="35"/>
      <c r="C43" s="8"/>
      <c r="D43" s="8"/>
      <c r="E43" s="8"/>
      <c r="F43" s="167"/>
      <c r="G43" s="167"/>
      <c r="H43" s="167"/>
      <c r="I43" s="167"/>
      <c r="J43" s="167"/>
      <c r="K43" s="167"/>
      <c r="L43" s="167"/>
      <c r="M43" s="167"/>
      <c r="N43" s="167"/>
      <c r="O43" s="390"/>
      <c r="P43" s="61"/>
      <c r="Q43" s="61"/>
    </row>
    <row r="44" spans="2:17" x14ac:dyDescent="0.3">
      <c r="B44" s="38" t="s">
        <v>47</v>
      </c>
      <c r="C44" s="94">
        <f t="shared" ref="C44:L44" si="19">C39-C42</f>
        <v>-6471.9059099999995</v>
      </c>
      <c r="D44" s="94">
        <f t="shared" si="19"/>
        <v>-11258.875279999998</v>
      </c>
      <c r="E44" s="94">
        <f t="shared" si="19"/>
        <v>-15766.32432</v>
      </c>
      <c r="F44" s="332">
        <f t="shared" si="19"/>
        <v>-23239.782979999996</v>
      </c>
      <c r="G44" s="332">
        <f t="shared" si="19"/>
        <v>-34984.368861290321</v>
      </c>
      <c r="H44" s="332">
        <f t="shared" si="19"/>
        <v>-53381.863339999996</v>
      </c>
      <c r="I44" s="332">
        <f t="shared" si="19"/>
        <v>-64177.449180000003</v>
      </c>
      <c r="J44" s="332">
        <f t="shared" si="19"/>
        <v>-91234.890111290311</v>
      </c>
      <c r="K44" s="332">
        <f t="shared" si="19"/>
        <v>-102141.07687999999</v>
      </c>
      <c r="L44" s="332">
        <f t="shared" si="19"/>
        <v>-150559.62385</v>
      </c>
      <c r="M44" s="332">
        <f t="shared" ref="M44" si="20">M39-M42</f>
        <v>-171916.44553000003</v>
      </c>
      <c r="N44" s="332">
        <f t="shared" ref="N44" si="21">N39-N42</f>
        <v>-222893.09432</v>
      </c>
      <c r="O44" s="390"/>
      <c r="P44" s="61"/>
      <c r="Q44" s="61"/>
    </row>
    <row r="45" spans="2:17" x14ac:dyDescent="0.3">
      <c r="B45" s="40" t="s">
        <v>45</v>
      </c>
      <c r="C45" s="47">
        <f t="shared" ref="C45:H45" si="22">C44/C7</f>
        <v>-3.8399415175904474</v>
      </c>
      <c r="D45" s="47">
        <f t="shared" si="22"/>
        <v>-6.4237342468625602</v>
      </c>
      <c r="E45" s="47">
        <f t="shared" si="22"/>
        <v>-6.4221468340504844</v>
      </c>
      <c r="F45" s="47">
        <f t="shared" si="22"/>
        <v>-6.8761807721389419</v>
      </c>
      <c r="G45" s="47">
        <f t="shared" si="22"/>
        <v>-4.6244454788709621</v>
      </c>
      <c r="H45" s="47">
        <f t="shared" si="22"/>
        <v>-5.1686876875957291</v>
      </c>
      <c r="I45" s="47">
        <f t="shared" ref="I45:L45" si="23">I44/I7</f>
        <v>-4.2984379281016745</v>
      </c>
      <c r="J45" s="47">
        <f t="shared" si="23"/>
        <v>-3.3109171979296299</v>
      </c>
      <c r="K45" s="47">
        <f t="shared" si="23"/>
        <v>-2.7160369464763718</v>
      </c>
      <c r="L45" s="47">
        <f t="shared" si="23"/>
        <v>-2.0276966976148989</v>
      </c>
      <c r="M45" s="47">
        <f t="shared" ref="M45" si="24">M44/M7</f>
        <v>-2.0314976125146909</v>
      </c>
      <c r="N45" s="47">
        <f t="shared" ref="N45" si="25">N44/N7</f>
        <v>-1.9088315887381146</v>
      </c>
      <c r="O45" s="390"/>
      <c r="P45" s="61"/>
      <c r="Q45" s="61"/>
    </row>
    <row r="46" spans="2:17" x14ac:dyDescent="0.3">
      <c r="B46" s="35"/>
      <c r="C46" s="98"/>
      <c r="D46" s="98"/>
      <c r="E46" s="98"/>
      <c r="F46" s="400"/>
      <c r="G46" s="400"/>
      <c r="H46" s="400"/>
      <c r="I46" s="400"/>
      <c r="J46" s="400"/>
      <c r="K46" s="400"/>
      <c r="L46" s="400"/>
      <c r="M46" s="400"/>
      <c r="N46" s="400"/>
      <c r="O46" s="390"/>
      <c r="P46" s="61"/>
      <c r="Q46" s="61"/>
    </row>
    <row r="47" spans="2:17" x14ac:dyDescent="0.3">
      <c r="B47" s="35" t="s">
        <v>48</v>
      </c>
      <c r="C47" s="106">
        <f>SUMIF('TB 0125'!H:H,'MIS P&amp;L'!B47,'TB 0125'!F:F)</f>
        <v>68.039000000000001</v>
      </c>
      <c r="D47" s="106">
        <f>SUMIF('TB 0225'!H:H,'MIS P&amp;L'!B47,'TB 0225'!F:F)</f>
        <v>77.932000000000002</v>
      </c>
      <c r="E47" s="106">
        <f>SUMIF('TB 0325'!H:H,'MIS P&amp;L'!B47,'TB 0325'!F:F)</f>
        <v>160.17332999999996</v>
      </c>
      <c r="F47" s="167">
        <f>SUMIF('TB 0425'!H:H,'MIS P&amp;L'!B47,'TB 0425'!F:F)</f>
        <v>213.09815</v>
      </c>
      <c r="G47" s="167">
        <f>SUMIF('TB 0525'!H:H,'MIS P&amp;L'!B47,'TB 0525'!F:F)</f>
        <v>266.90296000000001</v>
      </c>
      <c r="H47" s="167">
        <f>SUMIF('TB 0625'!H:H,'MIS P&amp;L'!B47,'TB 0625'!F:F)</f>
        <v>293.91166999999996</v>
      </c>
      <c r="I47" s="167">
        <f>SUMIF('TB 0725'!H:H,'MIS P&amp;L'!B47,'TB 0725'!F:F)</f>
        <v>338.10246000000001</v>
      </c>
      <c r="J47" s="167">
        <f>SUMIF('TB 0825'!H:H,'MIS P&amp;L'!B47,'TB 0825'!F:F)</f>
        <v>395.11200000000002</v>
      </c>
      <c r="K47" s="167">
        <f>SUMIF('TB 0925'!H:H,'MIS P&amp;L'!B47,'TB 0925'!F:F)</f>
        <v>653.15801999999996</v>
      </c>
      <c r="L47" s="451">
        <f>SUMIF('TB 1025'!H:H,'MIS P&amp;L'!B47,'TB 1025'!F:F)</f>
        <v>856.74807999999996</v>
      </c>
      <c r="M47" s="451">
        <f>SUMIF('TB 1125'!H:H,'MIS P&amp;L'!B47,'TB 1125'!F:F)</f>
        <v>1006.83474</v>
      </c>
      <c r="N47" s="451">
        <f>SUMIF('TB 1225'!H:H,'MIS P&amp;L'!B47,'TB 1225'!F:F)</f>
        <v>1184.28854</v>
      </c>
      <c r="O47" s="390"/>
      <c r="P47" s="61"/>
      <c r="Q47" s="61"/>
    </row>
    <row r="48" spans="2:17" x14ac:dyDescent="0.3">
      <c r="B48" s="35" t="s">
        <v>49</v>
      </c>
      <c r="C48" s="106">
        <f>-SUMIF('TB 0125'!H:H,'MIS P&amp;L'!B48,'TB 0125'!F:F)</f>
        <v>530.43759</v>
      </c>
      <c r="D48" s="106">
        <f>-SUMIF('TB 0225'!H:H,'MIS P&amp;L'!B48,'TB 0225'!F:F)</f>
        <v>2475.7890000000002</v>
      </c>
      <c r="E48" s="106">
        <f>-SUMIF('TB 0325'!H:H,'MIS P&amp;L'!B48,'TB 0325'!F:F)</f>
        <v>3149.74</v>
      </c>
      <c r="F48" s="167">
        <f>-SUMIF('TB 0425'!H:H,'MIS P&amp;L'!B48,'TB 0425'!F:F)</f>
        <v>2627.8147000000004</v>
      </c>
      <c r="G48" s="167">
        <f>-SUMIF('TB 0525'!H:H,'MIS P&amp;L'!B48,'TB 0525'!F:F)</f>
        <v>2553.0613000000008</v>
      </c>
      <c r="H48" s="167">
        <f>-SUMIF('TB 0625'!H:H,'MIS P&amp;L'!B48,'TB 0625'!F:F)</f>
        <v>9875.7241000000013</v>
      </c>
      <c r="I48" s="167">
        <f>-SUMIF('TB 0725'!H:H,'MIS P&amp;L'!B48,'TB 0725'!F:F)</f>
        <v>10016.751</v>
      </c>
      <c r="J48" s="167">
        <f>-SUMIF('TB 0825'!H:H,'MIS P&amp;L'!B48,'TB 0825'!F:F)</f>
        <v>9834.8399200000003</v>
      </c>
      <c r="K48" s="167">
        <f>-SUMIF('TB 0925'!H:H,'MIS P&amp;L'!B48,'TB 0925'!F:F)</f>
        <v>10218.87478</v>
      </c>
      <c r="L48" s="451">
        <f>-SUMIF('TB 1025'!H:H,'MIS P&amp;L'!B48,'TB 1025'!F:F)</f>
        <v>10608.585480000002</v>
      </c>
      <c r="M48" s="451">
        <f>-SUMIF('TB 1125'!H:H,'MIS P&amp;L'!B48,'TB 1125'!F:F)</f>
        <v>17681.218000000001</v>
      </c>
      <c r="N48" s="451">
        <f>-SUMIF('TB 1225'!H:H,'MIS P&amp;L'!B48,'TB 1225'!F:F)</f>
        <v>18913.495689999996</v>
      </c>
      <c r="O48" s="390"/>
      <c r="P48" s="61"/>
      <c r="Q48" s="61"/>
    </row>
    <row r="49" spans="2:17" x14ac:dyDescent="0.3">
      <c r="B49" s="35"/>
      <c r="C49" s="98"/>
      <c r="D49" s="98"/>
      <c r="E49" s="98"/>
      <c r="F49" s="400"/>
      <c r="G49" s="400"/>
      <c r="H49" s="400"/>
      <c r="I49" s="400"/>
      <c r="J49" s="400"/>
      <c r="K49" s="400"/>
      <c r="L49" s="400"/>
      <c r="M49" s="400"/>
      <c r="N49" s="400"/>
      <c r="O49" s="390"/>
      <c r="P49" s="61"/>
      <c r="Q49" s="61"/>
    </row>
    <row r="50" spans="2:17" x14ac:dyDescent="0.3">
      <c r="B50" s="38" t="s">
        <v>50</v>
      </c>
      <c r="C50" s="94">
        <f t="shared" ref="C50:D50" si="26">C44-C47+C48</f>
        <v>-6009.5073199999988</v>
      </c>
      <c r="D50" s="94">
        <f t="shared" si="26"/>
        <v>-8861.0182799999984</v>
      </c>
      <c r="E50" s="94">
        <f t="shared" ref="E50:L50" si="27">E44-E47+E48</f>
        <v>-12776.75765</v>
      </c>
      <c r="F50" s="332">
        <f t="shared" si="27"/>
        <v>-20825.066429999999</v>
      </c>
      <c r="G50" s="332">
        <f t="shared" si="27"/>
        <v>-32698.210521290319</v>
      </c>
      <c r="H50" s="332">
        <f t="shared" si="27"/>
        <v>-43800.050909999998</v>
      </c>
      <c r="I50" s="332">
        <f t="shared" si="27"/>
        <v>-54498.800640000001</v>
      </c>
      <c r="J50" s="332">
        <f t="shared" si="27"/>
        <v>-81795.162191290307</v>
      </c>
      <c r="K50" s="332">
        <f t="shared" si="27"/>
        <v>-92575.360119999998</v>
      </c>
      <c r="L50" s="332">
        <f t="shared" si="27"/>
        <v>-140807.78644999999</v>
      </c>
      <c r="M50" s="332">
        <f t="shared" ref="M50:N50" si="28">M44-M47+M48</f>
        <v>-155242.06227000002</v>
      </c>
      <c r="N50" s="332">
        <f t="shared" si="28"/>
        <v>-205163.88717</v>
      </c>
      <c r="O50" s="390"/>
      <c r="P50" s="61"/>
      <c r="Q50" s="61"/>
    </row>
    <row r="51" spans="2:17" x14ac:dyDescent="0.3">
      <c r="B51" s="40" t="s">
        <v>51</v>
      </c>
      <c r="C51" s="47">
        <f t="shared" ref="C51:H51" si="29">C50/C7</f>
        <v>-3.5655890211067205</v>
      </c>
      <c r="D51" s="47">
        <f t="shared" si="29"/>
        <v>-5.0556405654856116</v>
      </c>
      <c r="E51" s="47">
        <f t="shared" si="29"/>
        <v>-5.2043971712093899</v>
      </c>
      <c r="F51" s="47">
        <f t="shared" si="29"/>
        <v>-6.1617150851931992</v>
      </c>
      <c r="G51" s="47">
        <f t="shared" si="29"/>
        <v>-4.322247241672116</v>
      </c>
      <c r="H51" s="47">
        <f t="shared" si="29"/>
        <v>-4.2409307148509727</v>
      </c>
      <c r="I51" s="47">
        <f t="shared" ref="I51:L51" si="30">I50/I7</f>
        <v>-3.6501873274831174</v>
      </c>
      <c r="J51" s="47">
        <f t="shared" si="30"/>
        <v>-2.9683491576110632</v>
      </c>
      <c r="K51" s="47">
        <f t="shared" si="30"/>
        <v>-2.4616746376648861</v>
      </c>
      <c r="L51" s="47">
        <f t="shared" si="30"/>
        <v>-1.8963615628289765</v>
      </c>
      <c r="M51" s="47">
        <f t="shared" ref="M51:N51" si="31">M50/M7</f>
        <v>-1.8344602105464551</v>
      </c>
      <c r="N51" s="47">
        <f t="shared" si="31"/>
        <v>-1.7570006369787221</v>
      </c>
      <c r="O51" s="390"/>
      <c r="P51" s="61"/>
      <c r="Q51" s="61"/>
    </row>
    <row r="52" spans="2:17" x14ac:dyDescent="0.3">
      <c r="B52" s="40"/>
      <c r="C52" s="98"/>
      <c r="D52" s="98"/>
      <c r="E52" s="98"/>
      <c r="F52" s="400"/>
      <c r="G52" s="400"/>
      <c r="H52" s="400"/>
      <c r="I52" s="400"/>
      <c r="J52" s="400"/>
      <c r="K52" s="400"/>
      <c r="L52" s="400"/>
      <c r="M52" s="400"/>
      <c r="N52" s="400"/>
      <c r="O52" s="390"/>
      <c r="P52" s="61"/>
      <c r="Q52" s="61"/>
    </row>
    <row r="53" spans="2:17" x14ac:dyDescent="0.3">
      <c r="B53" s="35" t="s">
        <v>52</v>
      </c>
      <c r="C53" s="58">
        <v>0</v>
      </c>
      <c r="D53" s="58">
        <v>0</v>
      </c>
      <c r="E53" s="58">
        <v>0</v>
      </c>
      <c r="F53" s="349">
        <v>0</v>
      </c>
      <c r="G53" s="349">
        <v>0</v>
      </c>
      <c r="H53" s="349">
        <v>0</v>
      </c>
      <c r="I53" s="349">
        <v>0</v>
      </c>
      <c r="J53" s="349">
        <v>0</v>
      </c>
      <c r="K53" s="349">
        <f>-SUMIF('TB 0925'!H:H,'MIS P&amp;L'!B53,'TB 0925'!F:F)</f>
        <v>0</v>
      </c>
      <c r="L53" s="349">
        <v>0</v>
      </c>
      <c r="M53" s="349">
        <v>0</v>
      </c>
      <c r="N53" s="349">
        <v>0</v>
      </c>
      <c r="O53" s="390"/>
      <c r="P53" s="61"/>
      <c r="Q53" s="61"/>
    </row>
    <row r="54" spans="2:17" x14ac:dyDescent="0.3">
      <c r="B54" s="35"/>
      <c r="C54" s="98"/>
      <c r="D54" s="98"/>
      <c r="E54" s="98"/>
      <c r="F54" s="400"/>
      <c r="G54" s="400"/>
      <c r="H54" s="400"/>
      <c r="I54" s="400"/>
      <c r="J54" s="400"/>
      <c r="K54" s="400"/>
      <c r="L54" s="400"/>
      <c r="M54" s="400"/>
      <c r="N54" s="400"/>
      <c r="O54" s="390"/>
      <c r="P54" s="61"/>
      <c r="Q54" s="61"/>
    </row>
    <row r="55" spans="2:17" x14ac:dyDescent="0.3">
      <c r="B55" s="38" t="s">
        <v>53</v>
      </c>
      <c r="C55" s="94">
        <f t="shared" ref="C55:K55" si="32">C50-C53</f>
        <v>-6009.5073199999988</v>
      </c>
      <c r="D55" s="94">
        <f t="shared" si="32"/>
        <v>-8861.0182799999984</v>
      </c>
      <c r="E55" s="94">
        <f t="shared" si="32"/>
        <v>-12776.75765</v>
      </c>
      <c r="F55" s="332">
        <f t="shared" si="32"/>
        <v>-20825.066429999999</v>
      </c>
      <c r="G55" s="332">
        <f t="shared" si="32"/>
        <v>-32698.210521290319</v>
      </c>
      <c r="H55" s="332">
        <f t="shared" si="32"/>
        <v>-43800.050909999998</v>
      </c>
      <c r="I55" s="332">
        <f t="shared" si="32"/>
        <v>-54498.800640000001</v>
      </c>
      <c r="J55" s="332">
        <f t="shared" si="32"/>
        <v>-81795.162191290307</v>
      </c>
      <c r="K55" s="332">
        <f t="shared" si="32"/>
        <v>-92575.360119999998</v>
      </c>
      <c r="L55" s="332">
        <f>L50-L53</f>
        <v>-140807.78644999999</v>
      </c>
      <c r="M55" s="332">
        <f>M50-M53</f>
        <v>-155242.06227000002</v>
      </c>
      <c r="N55" s="332">
        <f>N50-N53</f>
        <v>-205163.88717</v>
      </c>
      <c r="P55" s="61"/>
      <c r="Q55" s="61"/>
    </row>
    <row r="56" spans="2:17" x14ac:dyDescent="0.3">
      <c r="B56" s="48" t="s">
        <v>54</v>
      </c>
      <c r="C56" s="99">
        <f t="shared" ref="C56:H56" si="33">C55/C7</f>
        <v>-3.5655890211067205</v>
      </c>
      <c r="D56" s="99">
        <f t="shared" si="33"/>
        <v>-5.0556405654856116</v>
      </c>
      <c r="E56" s="99">
        <f t="shared" si="33"/>
        <v>-5.2043971712093899</v>
      </c>
      <c r="F56" s="99">
        <f t="shared" si="33"/>
        <v>-6.1617150851931992</v>
      </c>
      <c r="G56" s="99">
        <f t="shared" si="33"/>
        <v>-4.322247241672116</v>
      </c>
      <c r="H56" s="99">
        <f t="shared" si="33"/>
        <v>-4.2409307148509727</v>
      </c>
      <c r="I56" s="99">
        <f t="shared" ref="I56:N56" si="34">I55/I7</f>
        <v>-3.6501873274831174</v>
      </c>
      <c r="J56" s="99">
        <f t="shared" si="34"/>
        <v>-2.9683491576110632</v>
      </c>
      <c r="K56" s="99">
        <f t="shared" si="34"/>
        <v>-2.4616746376648861</v>
      </c>
      <c r="L56" s="99">
        <f t="shared" si="34"/>
        <v>-1.8963615628289765</v>
      </c>
      <c r="M56" s="99">
        <f t="shared" si="34"/>
        <v>-1.8344602105464551</v>
      </c>
      <c r="N56" s="99">
        <f t="shared" si="34"/>
        <v>-1.7570006369787221</v>
      </c>
      <c r="O56" s="61"/>
      <c r="P56" s="61"/>
      <c r="Q56" s="61"/>
    </row>
    <row r="57" spans="2:17" x14ac:dyDescent="0.3">
      <c r="B57" s="57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</row>
    <row r="58" spans="2:17" x14ac:dyDescent="0.3">
      <c r="B58" s="462" t="s">
        <v>1478</v>
      </c>
      <c r="C58" s="463">
        <f t="shared" ref="C58:M58" si="35">C55/88/1000</f>
        <v>-6.8289855909090882E-2</v>
      </c>
      <c r="D58" s="463">
        <f t="shared" si="35"/>
        <v>-0.10069338954545452</v>
      </c>
      <c r="E58" s="463">
        <f t="shared" si="35"/>
        <v>-0.14519042784090908</v>
      </c>
      <c r="F58" s="463">
        <f t="shared" si="35"/>
        <v>-0.2366484821590909</v>
      </c>
      <c r="G58" s="463">
        <f t="shared" si="35"/>
        <v>-0.37157057410557176</v>
      </c>
      <c r="H58" s="463">
        <f t="shared" si="35"/>
        <v>-0.49772785124999996</v>
      </c>
      <c r="I58" s="463">
        <f t="shared" si="35"/>
        <v>-0.61930455272727269</v>
      </c>
      <c r="J58" s="463">
        <f t="shared" si="35"/>
        <v>-0.92949047944648078</v>
      </c>
      <c r="K58" s="463">
        <f t="shared" si="35"/>
        <v>-1.0519927286363635</v>
      </c>
      <c r="L58" s="463">
        <f t="shared" si="35"/>
        <v>-1.6000884823863635</v>
      </c>
      <c r="M58" s="463">
        <f t="shared" si="35"/>
        <v>-1.7641143439772728</v>
      </c>
      <c r="N58" s="463">
        <f>N55/90/1000</f>
        <v>-2.2795987463333334</v>
      </c>
    </row>
    <row r="59" spans="2:17" hidden="1" x14ac:dyDescent="0.3">
      <c r="B59" s="462" t="s">
        <v>1506</v>
      </c>
      <c r="C59" s="463"/>
      <c r="D59" s="463"/>
      <c r="E59" s="463"/>
      <c r="F59" s="463">
        <f>'Cash Flow'!C38/88/1000</f>
        <v>5.2649186761363636</v>
      </c>
      <c r="G59" s="463">
        <f>'Cash Flow'!D38/88/1000</f>
        <v>4.8940390968035192</v>
      </c>
      <c r="H59" s="463">
        <f>'Cash Flow'!E38/88/1000</f>
        <v>22.825852658295453</v>
      </c>
      <c r="I59" s="463">
        <f>'Cash Flow'!F38/88/1000</f>
        <v>22.127198701249998</v>
      </c>
      <c r="J59" s="463">
        <f>'Cash Flow'!G38/88/1000</f>
        <v>21.448764401008066</v>
      </c>
      <c r="K59" s="463">
        <f>'Cash Flow'!H38/88/1000</f>
        <v>20.465948753863643</v>
      </c>
      <c r="L59" s="463">
        <f>'Cash Flow'!I38/88/1000</f>
        <v>33.886524001931825</v>
      </c>
      <c r="M59" s="463">
        <f>'Cash Flow'!J38/88/1000</f>
        <v>47.439313156477269</v>
      </c>
      <c r="N59" s="463"/>
    </row>
    <row r="60" spans="2:17" hidden="1" x14ac:dyDescent="0.3">
      <c r="B60" s="462" t="s">
        <v>1583</v>
      </c>
      <c r="C60" s="463"/>
      <c r="D60" s="463"/>
      <c r="E60" s="463"/>
      <c r="F60" s="541">
        <f t="shared" ref="F60:M60" si="36">-F59/F58</f>
        <v>22.247844685506724</v>
      </c>
      <c r="G60" s="541">
        <f t="shared" si="36"/>
        <v>13.171223551768687</v>
      </c>
      <c r="H60" s="541">
        <f t="shared" si="36"/>
        <v>45.860107287487168</v>
      </c>
      <c r="I60" s="541">
        <f t="shared" si="36"/>
        <v>35.729107115080907</v>
      </c>
      <c r="J60" s="541">
        <f t="shared" si="36"/>
        <v>23.07583011907877</v>
      </c>
      <c r="K60" s="541">
        <f t="shared" si="36"/>
        <v>19.454458378616792</v>
      </c>
      <c r="L60" s="541">
        <f t="shared" si="36"/>
        <v>21.177906331400902</v>
      </c>
      <c r="M60" s="541">
        <f t="shared" si="36"/>
        <v>26.891291552861173</v>
      </c>
      <c r="N60" s="541"/>
    </row>
    <row r="61" spans="2:17" x14ac:dyDescent="0.3">
      <c r="L61" s="62"/>
      <c r="M61" s="62"/>
      <c r="N61" s="62"/>
    </row>
    <row r="62" spans="2:17" x14ac:dyDescent="0.3">
      <c r="L62" s="62"/>
      <c r="M62" s="62"/>
      <c r="N62" s="62"/>
    </row>
    <row r="63" spans="2:17" x14ac:dyDescent="0.3">
      <c r="K63" s="446"/>
      <c r="L63" s="446"/>
      <c r="M63" s="446"/>
      <c r="N63" s="446"/>
    </row>
    <row r="64" spans="2:17" x14ac:dyDescent="0.3"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</row>
    <row r="65" spans="3:14" x14ac:dyDescent="0.3"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</row>
    <row r="66" spans="3:14" x14ac:dyDescent="0.3"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</row>
    <row r="67" spans="3:14" x14ac:dyDescent="0.3">
      <c r="F67" s="61"/>
      <c r="G67" s="61"/>
      <c r="H67" s="61"/>
      <c r="I67" s="61"/>
      <c r="J67" s="61"/>
      <c r="K67" s="61"/>
      <c r="L67" s="61"/>
      <c r="M67" s="61"/>
      <c r="N67" s="61"/>
    </row>
  </sheetData>
  <pageMargins left="0.7" right="0.7" top="0.75" bottom="0.75" header="0.3" footer="0.3"/>
  <pageSetup scale="4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C48"/>
  <sheetViews>
    <sheetView showGridLines="0" zoomScale="80" zoomScaleNormal="80" workbookViewId="0">
      <pane xSplit="2" ySplit="6" topLeftCell="G7" activePane="bottomRight" state="frozen"/>
      <selection pane="topRight" activeCell="D1" sqref="D1"/>
      <selection pane="bottomLeft" activeCell="A7" sqref="A7"/>
      <selection pane="bottomRight" activeCell="V20" sqref="V20"/>
    </sheetView>
  </sheetViews>
  <sheetFormatPr defaultColWidth="8.81640625" defaultRowHeight="14.5" x14ac:dyDescent="0.35"/>
  <cols>
    <col min="1" max="1" width="3.81640625" style="2" customWidth="1"/>
    <col min="2" max="2" width="25.81640625" style="2" customWidth="1"/>
    <col min="3" max="12" width="12.81640625" style="2" customWidth="1"/>
    <col min="13" max="13" width="12.453125" style="2" hidden="1" customWidth="1"/>
    <col min="14" max="14" width="12.81640625" style="2" customWidth="1"/>
    <col min="15" max="16" width="12.453125" style="2" hidden="1" customWidth="1"/>
    <col min="17" max="17" width="12.453125" style="2" customWidth="1"/>
    <col min="18" max="18" width="12.453125" style="2" hidden="1" customWidth="1"/>
    <col min="19" max="19" width="8.81640625" style="2"/>
    <col min="23" max="16384" width="8.81640625" style="2"/>
  </cols>
  <sheetData>
    <row r="1" spans="1:55" x14ac:dyDescent="0.35">
      <c r="I1" s="392"/>
      <c r="J1" s="392"/>
      <c r="K1" s="392"/>
      <c r="L1" s="392"/>
      <c r="N1" s="392"/>
      <c r="O1" s="392"/>
      <c r="Q1" s="392"/>
    </row>
    <row r="2" spans="1:55" x14ac:dyDescent="0.35">
      <c r="B2" s="25" t="s">
        <v>5</v>
      </c>
      <c r="C2" s="50">
        <f>'Key Metrics'!C20</f>
        <v>228.76666666666668</v>
      </c>
      <c r="D2" s="50">
        <f>'Key Metrics'!D20</f>
        <v>250.63333333333333</v>
      </c>
      <c r="E2" s="50">
        <f>'Key Metrics'!E20</f>
        <v>354.73333333333335</v>
      </c>
      <c r="F2" s="50">
        <f>'Key Metrics'!F20</f>
        <v>499.33333333333331</v>
      </c>
      <c r="G2" s="50">
        <f>'Key Metrics'!G20</f>
        <v>1135.1290322580646</v>
      </c>
      <c r="H2" s="50">
        <f>'Key Metrics'!H20</f>
        <v>1573.7</v>
      </c>
      <c r="I2" s="50">
        <f>'Key Metrics'!I20</f>
        <v>2199.8709677419356</v>
      </c>
      <c r="J2" s="50">
        <f>'Key Metrics'!J20</f>
        <v>3832.516129032258</v>
      </c>
      <c r="K2" s="50">
        <f>'Key Metrics'!K20</f>
        <v>5600.0666666666666</v>
      </c>
      <c r="L2" s="50">
        <f>'Key Metrics'!L20</f>
        <v>9957.032258064517</v>
      </c>
      <c r="M2" s="437" t="e">
        <f>'Key Metrics'!#REF!</f>
        <v>#REF!</v>
      </c>
      <c r="N2" s="50">
        <f>'Key Metrics'!M20</f>
        <v>12521.166666666666</v>
      </c>
      <c r="O2" s="50" t="e">
        <f>'Key Metrics'!#REF!</f>
        <v>#REF!</v>
      </c>
      <c r="P2" s="50" t="e">
        <f>'Key Metrics'!#REF!</f>
        <v>#REF!</v>
      </c>
      <c r="Q2" s="50" t="e">
        <f>'Key Metrics'!#REF!</f>
        <v>#REF!</v>
      </c>
      <c r="R2" s="50" t="e">
        <f>'Key Metrics'!#REF!</f>
        <v>#REF!</v>
      </c>
      <c r="S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</row>
    <row r="3" spans="1:55" x14ac:dyDescent="0.35">
      <c r="B3" s="27" t="s">
        <v>55</v>
      </c>
      <c r="C3" s="51">
        <f>'Key Metrics'!C26</f>
        <v>294.99193548387098</v>
      </c>
      <c r="D3" s="51">
        <f>'Key Metrics'!D26</f>
        <v>342.96428571428572</v>
      </c>
      <c r="E3" s="51">
        <f>'Key Metrics'!E26</f>
        <v>434.10483870967744</v>
      </c>
      <c r="F3" s="51">
        <f>'Key Metrics'!F26</f>
        <v>615.43333333333339</v>
      </c>
      <c r="G3" s="51">
        <f>'Key Metrics'!G26</f>
        <v>1337.9193548387098</v>
      </c>
      <c r="H3" s="51">
        <f>'Key Metrics'!H26</f>
        <v>1829.1666666666667</v>
      </c>
      <c r="I3" s="51">
        <f>'Key Metrics'!I26</f>
        <v>2557.0806451612902</v>
      </c>
      <c r="J3" s="51">
        <f>'Key Metrics'!J26</f>
        <v>4678.5161290322585</v>
      </c>
      <c r="K3" s="51">
        <f>'Key Metrics'!K26</f>
        <v>6713.2666666666664</v>
      </c>
      <c r="L3" s="51">
        <f>'Key Metrics'!L26</f>
        <v>13086.798387096775</v>
      </c>
      <c r="M3" s="431" t="e">
        <f>'Key Metrics'!#REF!</f>
        <v>#REF!</v>
      </c>
      <c r="N3" s="51">
        <f>'Key Metrics'!M26</f>
        <v>15568.680556666666</v>
      </c>
      <c r="O3" s="51" t="e">
        <f>'Key Metrics'!#REF!</f>
        <v>#REF!</v>
      </c>
      <c r="P3" s="51" t="e">
        <f>'Key Metrics'!#REF!</f>
        <v>#REF!</v>
      </c>
      <c r="Q3" s="51" t="e">
        <f>'Key Metrics'!#REF!</f>
        <v>#REF!</v>
      </c>
      <c r="R3" s="51" t="e">
        <f>'Key Metrics'!#REF!</f>
        <v>#REF!</v>
      </c>
      <c r="S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</row>
    <row r="4" spans="1:55" x14ac:dyDescent="0.35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438"/>
      <c r="N4" s="30"/>
      <c r="O4" s="30"/>
      <c r="P4" s="30"/>
      <c r="Q4" s="30"/>
      <c r="R4" s="30"/>
      <c r="S4" s="281"/>
      <c r="W4" s="281"/>
      <c r="X4" s="281"/>
      <c r="Y4" s="281"/>
      <c r="Z4" s="281"/>
      <c r="AA4" s="281"/>
      <c r="AB4" s="281"/>
      <c r="AC4" s="281"/>
      <c r="AD4" s="281"/>
      <c r="AE4" s="281"/>
      <c r="AF4" s="281"/>
      <c r="AI4" s="234"/>
      <c r="AJ4" s="234"/>
      <c r="AK4" s="234"/>
      <c r="AL4" s="234"/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</row>
    <row r="5" spans="1:55" x14ac:dyDescent="0.35">
      <c r="A5" s="7"/>
      <c r="B5" s="31" t="s">
        <v>56</v>
      </c>
      <c r="C5" s="32" t="s">
        <v>23</v>
      </c>
      <c r="D5" s="32" t="s">
        <v>23</v>
      </c>
      <c r="E5" s="32" t="s">
        <v>23</v>
      </c>
      <c r="F5" s="32" t="s">
        <v>23</v>
      </c>
      <c r="G5" s="32" t="s">
        <v>23</v>
      </c>
      <c r="H5" s="32" t="s">
        <v>23</v>
      </c>
      <c r="I5" s="32" t="s">
        <v>23</v>
      </c>
      <c r="J5" s="32" t="s">
        <v>23</v>
      </c>
      <c r="K5" s="32" t="s">
        <v>23</v>
      </c>
      <c r="L5" s="32" t="s">
        <v>23</v>
      </c>
      <c r="M5" s="214" t="s">
        <v>58</v>
      </c>
      <c r="N5" s="32" t="s">
        <v>23</v>
      </c>
      <c r="O5" s="32" t="s">
        <v>1461</v>
      </c>
      <c r="P5" s="32" t="s">
        <v>58</v>
      </c>
      <c r="Q5" s="32" t="s">
        <v>1584</v>
      </c>
      <c r="R5" s="32" t="s">
        <v>58</v>
      </c>
      <c r="S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</row>
    <row r="6" spans="1:55" x14ac:dyDescent="0.35">
      <c r="B6" s="33" t="s">
        <v>57</v>
      </c>
      <c r="C6" s="34">
        <v>45658</v>
      </c>
      <c r="D6" s="34">
        <v>45689</v>
      </c>
      <c r="E6" s="34">
        <v>45717</v>
      </c>
      <c r="F6" s="34">
        <f>'MIS P&amp;L'!F6</f>
        <v>45748</v>
      </c>
      <c r="G6" s="34">
        <f>'MIS P&amp;L'!G6</f>
        <v>45778</v>
      </c>
      <c r="H6" s="34">
        <f>'MIS P&amp;L'!H6</f>
        <v>45809</v>
      </c>
      <c r="I6" s="34">
        <f>'MIS P&amp;L'!I6</f>
        <v>45839</v>
      </c>
      <c r="J6" s="34">
        <f>'MIS P&amp;L'!J6</f>
        <v>45870</v>
      </c>
      <c r="K6" s="34">
        <f>'MIS P&amp;L'!K6</f>
        <v>45901</v>
      </c>
      <c r="L6" s="34">
        <f>'MIS P&amp;L'!L6</f>
        <v>45931</v>
      </c>
      <c r="M6" s="428">
        <f>K6+31</f>
        <v>45932</v>
      </c>
      <c r="N6" s="34">
        <f>'MIS P&amp;L'!M6</f>
        <v>45962</v>
      </c>
      <c r="O6" s="426">
        <v>45963</v>
      </c>
      <c r="P6" s="220">
        <f>M6+31</f>
        <v>45963</v>
      </c>
      <c r="Q6" s="543">
        <v>46022</v>
      </c>
      <c r="R6" s="220">
        <f>P6+31</f>
        <v>45994</v>
      </c>
      <c r="S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</row>
    <row r="7" spans="1:55" x14ac:dyDescent="0.35">
      <c r="B7" s="35" t="s">
        <v>25</v>
      </c>
      <c r="C7" s="9">
        <f>('MIS P&amp;L'!C7)*10^3/'MIS P&amp;L'!C$2</f>
        <v>245.58033405641191</v>
      </c>
      <c r="D7" s="9">
        <f>('MIS P&amp;L'!D7)*10^3/'MIS P&amp;L'!D$2</f>
        <v>233.10272890598057</v>
      </c>
      <c r="E7" s="9">
        <f>('MIS P&amp;L'!E7)*10^3/'MIS P&amp;L'!E$2</f>
        <v>230.68904461069582</v>
      </c>
      <c r="F7" s="447">
        <f>('MIS P&amp;L'!F7)*10^3/'MIS P&amp;L'!F$2</f>
        <v>225.61759692653828</v>
      </c>
      <c r="G7" s="447">
        <f>('MIS P&amp;L'!G7)*10^3/'MIS P&amp;L'!G$2</f>
        <v>214.98465116939954</v>
      </c>
      <c r="H7" s="447">
        <f>('MIS P&amp;L'!H7)*10^3/'MIS P&amp;L'!H$2</f>
        <v>218.76117048992822</v>
      </c>
      <c r="I7" s="447">
        <f>('MIS P&amp;L'!I7)*10^3/'MIS P&amp;L'!I$2</f>
        <v>218.93383761510941</v>
      </c>
      <c r="J7" s="447">
        <f>('MIS P&amp;L'!J7)*10^3/'MIS P&amp;L'!J$2</f>
        <v>231.93535140731268</v>
      </c>
      <c r="K7" s="447">
        <f>('MIS P&amp;L'!K7)*10^3/'MIS P&amp;L'!K$2</f>
        <v>223.84649938691211</v>
      </c>
      <c r="L7" s="447">
        <f>('MIS P&amp;L'!L7)*10^3/'MIS P&amp;L'!L$2</f>
        <v>240.55474021745684</v>
      </c>
      <c r="M7" s="459" t="e">
        <f>('MIS P&amp;L'!#REF!)*10^3/'MIS P&amp;L'!#REF!</f>
        <v>#REF!</v>
      </c>
      <c r="N7" s="447">
        <f>('MIS P&amp;L'!M7)*10^3/'MIS P&amp;L'!M$2</f>
        <v>225.28644187229958</v>
      </c>
      <c r="O7" s="447" t="e">
        <f>('MIS P&amp;L'!#REF!)*10^3/'MIS P&amp;L'!#REF!</f>
        <v>#REF!</v>
      </c>
      <c r="P7" s="447" t="e">
        <f>('MIS P&amp;L'!#REF!)*10^3/'MIS P&amp;L'!#REF!</f>
        <v>#REF!</v>
      </c>
      <c r="Q7" s="447" t="e">
        <f>('MIS P&amp;L'!#REF!)*10^3/'MIS P&amp;L'!#REF!</f>
        <v>#REF!</v>
      </c>
      <c r="R7" s="447" t="e">
        <f>('MIS P&amp;L'!#REF!)*10^3/'MIS P&amp;L'!#REF!</f>
        <v>#REF!</v>
      </c>
      <c r="S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</row>
    <row r="8" spans="1:55" x14ac:dyDescent="0.35">
      <c r="B8" s="35" t="s">
        <v>26</v>
      </c>
      <c r="C8" s="9">
        <f>('MIS P&amp;L'!C8)*10^3/'MIS P&amp;L'!C$2</f>
        <v>191.86460002914177</v>
      </c>
      <c r="D8" s="9">
        <f>('MIS P&amp;L'!D8)*10^3/'MIS P&amp;L'!D$2</f>
        <v>240.53148689985372</v>
      </c>
      <c r="E8" s="9">
        <f>('MIS P&amp;L'!E8)*10^3/'MIS P&amp;L'!E$2</f>
        <v>223.42345987596318</v>
      </c>
      <c r="F8" s="447">
        <f>('MIS P&amp;L'!F8)*10^3/'MIS P&amp;L'!F$2</f>
        <v>311.50788184245664</v>
      </c>
      <c r="G8" s="447">
        <f>('MIS P&amp;L'!G8)*10^3/'MIS P&amp;L'!G$2</f>
        <v>287.74424564494586</v>
      </c>
      <c r="H8" s="447">
        <f>('MIS P&amp;L'!H8)*10^3/'MIS P&amp;L'!H$2</f>
        <v>343.01440596471161</v>
      </c>
      <c r="I8" s="447">
        <f>('MIS P&amp;L'!I8)*10^3/'MIS P&amp;L'!I$2</f>
        <v>304.96775954601446</v>
      </c>
      <c r="J8" s="447">
        <f>('MIS P&amp;L'!J8)*10^3/'MIS P&amp;L'!J$2</f>
        <v>293.73579397010303</v>
      </c>
      <c r="K8" s="447">
        <f>('MIS P&amp;L'!K8)*10^3/'MIS P&amp;L'!K$2</f>
        <v>254.05980035951956</v>
      </c>
      <c r="L8" s="447">
        <f>('MIS P&amp;L'!L8)*10^3/'MIS P&amp;L'!L$2</f>
        <v>260.62500628507001</v>
      </c>
      <c r="M8" s="459" t="e">
        <f>('MIS P&amp;L'!#REF!)*10^3/'MIS P&amp;L'!#REF!</f>
        <v>#REF!</v>
      </c>
      <c r="N8" s="447">
        <f>('MIS P&amp;L'!M8)*10^3/'MIS P&amp;L'!M$2</f>
        <v>248.55131550574359</v>
      </c>
      <c r="O8" s="447" t="e">
        <f>('MIS P&amp;L'!#REF!)*10^3/'MIS P&amp;L'!#REF!</f>
        <v>#REF!</v>
      </c>
      <c r="P8" s="447" t="e">
        <f>('MIS P&amp;L'!#REF!)*10^3/'MIS P&amp;L'!#REF!</f>
        <v>#REF!</v>
      </c>
      <c r="Q8" s="447" t="e">
        <f>('MIS P&amp;L'!#REF!)*10^3/'MIS P&amp;L'!#REF!</f>
        <v>#REF!</v>
      </c>
      <c r="R8" s="447" t="e">
        <f>('MIS P&amp;L'!#REF!)*10^3/'MIS P&amp;L'!#REF!</f>
        <v>#REF!</v>
      </c>
      <c r="S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I8" s="234"/>
      <c r="AJ8" s="234"/>
      <c r="AK8" s="234"/>
      <c r="AL8" s="234"/>
      <c r="AM8" s="234"/>
      <c r="AN8" s="234"/>
      <c r="AO8" s="234"/>
      <c r="AP8" s="234"/>
      <c r="AQ8" s="234"/>
      <c r="AR8" s="234"/>
      <c r="AS8" s="234"/>
      <c r="AT8" s="234"/>
      <c r="AU8" s="234"/>
      <c r="AV8" s="234"/>
      <c r="AW8" s="234"/>
      <c r="AX8" s="234"/>
      <c r="AY8" s="234"/>
    </row>
    <row r="9" spans="1:55" x14ac:dyDescent="0.35">
      <c r="B9" s="35"/>
      <c r="C9" s="9"/>
      <c r="D9" s="9"/>
      <c r="E9" s="9"/>
      <c r="F9" s="447"/>
      <c r="G9" s="447"/>
      <c r="H9" s="447"/>
      <c r="I9" s="447"/>
      <c r="J9" s="447"/>
      <c r="K9" s="447"/>
      <c r="L9" s="447"/>
      <c r="M9" s="459"/>
      <c r="N9" s="447"/>
      <c r="O9" s="447"/>
      <c r="P9" s="447"/>
      <c r="Q9" s="447"/>
      <c r="R9" s="447"/>
      <c r="S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4"/>
      <c r="AU9" s="234"/>
      <c r="AV9" s="234"/>
      <c r="AW9" s="234"/>
      <c r="AX9" s="234"/>
      <c r="AY9" s="234"/>
    </row>
    <row r="10" spans="1:55" x14ac:dyDescent="0.35">
      <c r="B10" s="35" t="s">
        <v>27</v>
      </c>
      <c r="C10" s="9">
        <f>('MIS P&amp;L'!C10)*10^3/'MIS P&amp;L'!C$2</f>
        <v>16.240444795155909</v>
      </c>
      <c r="D10" s="9">
        <f>('MIS P&amp;L'!D10)*10^3/'MIS P&amp;L'!D$2</f>
        <v>14.242423014239661</v>
      </c>
      <c r="E10" s="9">
        <f>('MIS P&amp;L'!E10)*10^3/'MIS P&amp;L'!E$2</f>
        <v>13.692852165666698</v>
      </c>
      <c r="F10" s="447">
        <f>('MIS P&amp;L'!F10)*10^3/'MIS P&amp;L'!F$2</f>
        <v>14.620282507312616</v>
      </c>
      <c r="G10" s="447">
        <f>('MIS P&amp;L'!G10)*10^3/'MIS P&amp;L'!G$2</f>
        <v>14.13594987069823</v>
      </c>
      <c r="H10" s="447">
        <f>('MIS P&amp;L'!H10)*10^3/'MIS P&amp;L'!H$2</f>
        <v>14.2929258011904</v>
      </c>
      <c r="I10" s="447">
        <f>('MIS P&amp;L'!I10)*10^3/'MIS P&amp;L'!I$2</f>
        <v>14.563896269575928</v>
      </c>
      <c r="J10" s="447">
        <f>('MIS P&amp;L'!J10)*10^3/'MIS P&amp;L'!J$2</f>
        <v>15.375670998585953</v>
      </c>
      <c r="K10" s="447">
        <f>('MIS P&amp;L'!K10)*10^3/'MIS P&amp;L'!K$2</f>
        <v>13.049201795216723</v>
      </c>
      <c r="L10" s="447">
        <f>('MIS P&amp;L'!L10)*10^3/'MIS P&amp;L'!L$2</f>
        <v>10.031803469883467</v>
      </c>
      <c r="M10" s="459" t="e">
        <f>('MIS P&amp;L'!#REF!)*10^3/'MIS P&amp;L'!#REF!</f>
        <v>#REF!</v>
      </c>
      <c r="N10" s="447">
        <f>('MIS P&amp;L'!M10)*10^3/'MIS P&amp;L'!M$2</f>
        <v>9.6921038580038807</v>
      </c>
      <c r="O10" s="447" t="e">
        <f>('MIS P&amp;L'!#REF!)*10^3/'MIS P&amp;L'!#REF!</f>
        <v>#REF!</v>
      </c>
      <c r="P10" s="447" t="e">
        <f>('MIS P&amp;L'!#REF!)*10^3/'MIS P&amp;L'!#REF!</f>
        <v>#REF!</v>
      </c>
      <c r="Q10" s="447" t="e">
        <f>('MIS P&amp;L'!#REF!)*10^3/'MIS P&amp;L'!#REF!</f>
        <v>#REF!</v>
      </c>
      <c r="R10" s="447" t="e">
        <f>('MIS P&amp;L'!#REF!)*10^3/'MIS P&amp;L'!#REF!</f>
        <v>#REF!</v>
      </c>
      <c r="S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/>
      <c r="AY10" s="234"/>
    </row>
    <row r="11" spans="1:55" x14ac:dyDescent="0.35">
      <c r="B11" s="35" t="s">
        <v>28</v>
      </c>
      <c r="C11" s="9">
        <f>('MIS P&amp;L'!C11)*10^3/'MIS P&amp;L'!C$2</f>
        <v>6.9492933119626983</v>
      </c>
      <c r="D11" s="9">
        <f>('MIS P&amp;L'!D11)*10^3/'MIS P&amp;L'!D$2</f>
        <v>9.0867136587312149</v>
      </c>
      <c r="E11" s="9">
        <f>('MIS P&amp;L'!E11)*10^3/'MIS P&amp;L'!E$2</f>
        <v>2.06126667919564</v>
      </c>
      <c r="F11" s="447">
        <f>('MIS P&amp;L'!F11)*10^3/'MIS P&amp;L'!F$2</f>
        <v>2.2369826435246996</v>
      </c>
      <c r="G11" s="447">
        <f>('MIS P&amp;L'!G11)*10^3/'MIS P&amp;L'!G$2</f>
        <v>0.55983403904629292</v>
      </c>
      <c r="H11" s="447">
        <f>('MIS P&amp;L'!H11)*10^3/'MIS P&amp;L'!H$2</f>
        <v>0.9283217894134842</v>
      </c>
      <c r="I11" s="447">
        <f>('MIS P&amp;L'!I11)*10^3/'MIS P&amp;L'!I$2</f>
        <v>5.1001972256437336</v>
      </c>
      <c r="J11" s="447">
        <f>('MIS P&amp;L'!J11)*10^3/'MIS P&amp;L'!J$2</f>
        <v>9.8435122213992301</v>
      </c>
      <c r="K11" s="447">
        <f>('MIS P&amp;L'!K11)*10^3/'MIS P&amp;L'!K$2</f>
        <v>13.493297698836919</v>
      </c>
      <c r="L11" s="447">
        <f>('MIS P&amp;L'!L11)*10^3/'MIS P&amp;L'!L$2</f>
        <v>27.962588152966937</v>
      </c>
      <c r="M11" s="459" t="e">
        <f>('MIS P&amp;L'!#REF!)*10^3/'MIS P&amp;L'!#REF!</f>
        <v>#REF!</v>
      </c>
      <c r="N11" s="447">
        <f>('MIS P&amp;L'!M11)*10^3/'MIS P&amp;L'!M$2</f>
        <v>33.998543586194053</v>
      </c>
      <c r="O11" s="447" t="e">
        <f>('MIS P&amp;L'!#REF!)*10^3/'MIS P&amp;L'!#REF!</f>
        <v>#REF!</v>
      </c>
      <c r="P11" s="447" t="e">
        <f>('MIS P&amp;L'!#REF!)*10^3/'MIS P&amp;L'!#REF!</f>
        <v>#REF!</v>
      </c>
      <c r="Q11" s="447" t="e">
        <f>('MIS P&amp;L'!#REF!)*10^3/'MIS P&amp;L'!#REF!</f>
        <v>#REF!</v>
      </c>
      <c r="R11" s="447" t="e">
        <f>('MIS P&amp;L'!#REF!)*10^3/'MIS P&amp;L'!#REF!</f>
        <v>#REF!</v>
      </c>
      <c r="S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</row>
    <row r="12" spans="1:55" x14ac:dyDescent="0.35">
      <c r="B12" s="35" t="s">
        <v>29</v>
      </c>
      <c r="C12" s="9">
        <f>('MIS P&amp;L'!C12)*10^3/'MIS P&amp;L'!C$2</f>
        <v>2.6651143814658314</v>
      </c>
      <c r="D12" s="9">
        <f>('MIS P&amp;L'!D12)*10^3/'MIS P&amp;L'!D$2</f>
        <v>2.2726213592233009</v>
      </c>
      <c r="E12" s="9">
        <f>('MIS P&amp;L'!E12)*10^3/'MIS P&amp;L'!E$2</f>
        <v>2.01212272129299</v>
      </c>
      <c r="F12" s="447">
        <f>('MIS P&amp;L'!F12)*10^3/'MIS P&amp;L'!F$2</f>
        <v>2.1654272363150868</v>
      </c>
      <c r="G12" s="447">
        <f>('MIS P&amp;L'!G12)*10^3/'MIS P&amp;L'!G$2</f>
        <v>0.65759271363210092</v>
      </c>
      <c r="H12" s="447">
        <f>('MIS P&amp;L'!H12)*10^3/'MIS P&amp;L'!H$2</f>
        <v>0.71515409544385844</v>
      </c>
      <c r="I12" s="447">
        <f>('MIS P&amp;L'!I12)*10^3/'MIS P&amp;L'!I$2</f>
        <v>0.68225555751070444</v>
      </c>
      <c r="J12" s="447">
        <f>('MIS P&amp;L'!J12)*10^3/'MIS P&amp;L'!J$2</f>
        <v>0.41847712275267657</v>
      </c>
      <c r="K12" s="447">
        <f>('MIS P&amp;L'!K12)*10^3/'MIS P&amp;L'!K$2</f>
        <v>0.3565667670622969</v>
      </c>
      <c r="L12" s="447">
        <f>('MIS P&amp;L'!L12)*10^3/'MIS P&amp;L'!L$2</f>
        <v>0.30018048518148949</v>
      </c>
      <c r="M12" s="459" t="e">
        <f>('MIS P&amp;L'!#REF!)*10^3/'MIS P&amp;L'!#REF!</f>
        <v>#REF!</v>
      </c>
      <c r="N12" s="447">
        <f>('MIS P&amp;L'!M12)*10^3/'MIS P&amp;L'!M$2</f>
        <v>0.30711326154378588</v>
      </c>
      <c r="O12" s="447" t="e">
        <f>('MIS P&amp;L'!#REF!)*10^3/'MIS P&amp;L'!#REF!</f>
        <v>#REF!</v>
      </c>
      <c r="P12" s="447" t="e">
        <f>('MIS P&amp;L'!#REF!)*10^3/'MIS P&amp;L'!#REF!</f>
        <v>#REF!</v>
      </c>
      <c r="Q12" s="447" t="e">
        <f>('MIS P&amp;L'!#REF!)*10^3/'MIS P&amp;L'!#REF!</f>
        <v>#REF!</v>
      </c>
      <c r="R12" s="447" t="e">
        <f>('MIS P&amp;L'!#REF!)*10^3/'MIS P&amp;L'!#REF!</f>
        <v>#REF!</v>
      </c>
      <c r="S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I12" s="234"/>
      <c r="AJ12" s="234"/>
      <c r="AK12" s="234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34"/>
    </row>
    <row r="13" spans="1:55" x14ac:dyDescent="0.35">
      <c r="B13" s="35"/>
      <c r="C13" s="9"/>
      <c r="D13" s="9"/>
      <c r="E13" s="9"/>
      <c r="F13" s="9"/>
      <c r="G13" s="9"/>
      <c r="H13" s="9"/>
      <c r="I13" s="9"/>
      <c r="J13" s="9"/>
      <c r="K13" s="9"/>
      <c r="L13" s="9"/>
      <c r="M13" s="21"/>
      <c r="N13" s="9"/>
      <c r="O13" s="9"/>
      <c r="P13" s="9"/>
      <c r="Q13" s="9"/>
      <c r="R13" s="9"/>
      <c r="S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I13" s="234"/>
      <c r="AJ13" s="234"/>
      <c r="AK13" s="234"/>
      <c r="AL13" s="234"/>
      <c r="AM13" s="234"/>
      <c r="AN13" s="234"/>
      <c r="AO13" s="234"/>
      <c r="AP13" s="234"/>
      <c r="AQ13" s="234"/>
      <c r="AR13" s="234"/>
      <c r="AS13" s="234"/>
      <c r="AT13" s="234"/>
      <c r="AU13" s="234"/>
      <c r="AV13" s="234"/>
      <c r="AW13" s="234"/>
      <c r="AX13" s="234"/>
      <c r="AY13" s="234"/>
    </row>
    <row r="14" spans="1:55" x14ac:dyDescent="0.35">
      <c r="B14" s="38" t="s">
        <v>30</v>
      </c>
      <c r="C14" s="39">
        <f t="shared" ref="C14:K14" si="0">C7-C8-C10-C11-C12</f>
        <v>27.860881538685707</v>
      </c>
      <c r="D14" s="39">
        <f t="shared" si="0"/>
        <v>-33.030516026067325</v>
      </c>
      <c r="E14" s="39">
        <f t="shared" si="0"/>
        <v>-10.500656831422686</v>
      </c>
      <c r="F14" s="448">
        <f t="shared" si="0"/>
        <v>-104.91297730307076</v>
      </c>
      <c r="G14" s="448">
        <f t="shared" si="0"/>
        <v>-88.112971098922941</v>
      </c>
      <c r="H14" s="448">
        <f t="shared" si="0"/>
        <v>-140.18963716083113</v>
      </c>
      <c r="I14" s="448">
        <f t="shared" si="0"/>
        <v>-106.38027098363543</v>
      </c>
      <c r="J14" s="448">
        <f t="shared" si="0"/>
        <v>-87.438102905528211</v>
      </c>
      <c r="K14" s="448">
        <f t="shared" si="0"/>
        <v>-57.112367233723383</v>
      </c>
      <c r="L14" s="448">
        <f t="shared" ref="L14:R14" si="1">L7-L8-L10-L11-L12</f>
        <v>-58.364838175645069</v>
      </c>
      <c r="M14" s="94" t="e">
        <f>M7-M8-M10-M11-M12</f>
        <v>#REF!</v>
      </c>
      <c r="N14" s="448">
        <f t="shared" ref="N14" si="2">N7-N8-N10-N11-N12</f>
        <v>-67.262634339185738</v>
      </c>
      <c r="O14" s="448" t="e">
        <f t="shared" si="1"/>
        <v>#REF!</v>
      </c>
      <c r="P14" s="39" t="e">
        <f t="shared" si="1"/>
        <v>#REF!</v>
      </c>
      <c r="Q14" s="448" t="e">
        <f t="shared" si="1"/>
        <v>#REF!</v>
      </c>
      <c r="R14" s="39" t="e">
        <f t="shared" si="1"/>
        <v>#REF!</v>
      </c>
      <c r="S14" s="391"/>
      <c r="W14" s="391"/>
      <c r="X14" s="391"/>
      <c r="Y14" s="391"/>
      <c r="Z14" s="391"/>
      <c r="AA14" s="391"/>
      <c r="AB14" s="391"/>
      <c r="AC14" s="391"/>
      <c r="AD14" s="391"/>
      <c r="AE14" s="391"/>
      <c r="AF14" s="391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</row>
    <row r="15" spans="1:55" x14ac:dyDescent="0.35">
      <c r="B15" s="40" t="s">
        <v>18</v>
      </c>
      <c r="C15" s="41">
        <f t="shared" ref="C15:K15" si="3">C14/C7</f>
        <v>0.11344915563265674</v>
      </c>
      <c r="D15" s="41">
        <f t="shared" si="3"/>
        <v>-0.14169939657544645</v>
      </c>
      <c r="E15" s="41">
        <f t="shared" si="3"/>
        <v>-4.5518662791912343E-2</v>
      </c>
      <c r="F15" s="41">
        <f t="shared" si="3"/>
        <v>-0.4650035224744935</v>
      </c>
      <c r="G15" s="41">
        <f t="shared" si="3"/>
        <v>-0.40985703220967784</v>
      </c>
      <c r="H15" s="41">
        <f t="shared" si="3"/>
        <v>-0.64083418847535134</v>
      </c>
      <c r="I15" s="41">
        <f t="shared" si="3"/>
        <v>-0.48590145836960263</v>
      </c>
      <c r="J15" s="41">
        <f t="shared" si="3"/>
        <v>-0.37699342672421682</v>
      </c>
      <c r="K15" s="41">
        <f t="shared" si="3"/>
        <v>-0.25514076561459348</v>
      </c>
      <c r="L15" s="41">
        <f t="shared" ref="L15:R15" si="4">L14/L7</f>
        <v>-0.24262601569557257</v>
      </c>
      <c r="M15" s="47" t="e">
        <f>M14/M7</f>
        <v>#REF!</v>
      </c>
      <c r="N15" s="41">
        <f t="shared" ref="N15" si="5">N14/N7</f>
        <v>-0.29856494594251975</v>
      </c>
      <c r="O15" s="41" t="e">
        <f t="shared" si="4"/>
        <v>#REF!</v>
      </c>
      <c r="P15" s="41" t="e">
        <f t="shared" si="4"/>
        <v>#REF!</v>
      </c>
      <c r="Q15" s="41" t="e">
        <f t="shared" si="4"/>
        <v>#REF!</v>
      </c>
      <c r="R15" s="41" t="e">
        <f t="shared" si="4"/>
        <v>#REF!</v>
      </c>
      <c r="S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I15" s="234"/>
      <c r="AJ15" s="234"/>
      <c r="AK15" s="234"/>
      <c r="AL15" s="234"/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</row>
    <row r="16" spans="1:55" x14ac:dyDescent="0.35"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8"/>
      <c r="N16" s="36"/>
      <c r="O16" s="36"/>
      <c r="P16" s="36"/>
      <c r="Q16" s="36"/>
      <c r="R16" s="36"/>
      <c r="AI16" s="234"/>
      <c r="AJ16" s="234"/>
      <c r="AK16" s="234"/>
      <c r="AL16" s="234"/>
      <c r="AM16" s="234"/>
      <c r="AN16" s="234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</row>
    <row r="17" spans="2:51" x14ac:dyDescent="0.35">
      <c r="B17" s="35" t="s">
        <v>31</v>
      </c>
      <c r="C17" s="9">
        <f>('MIS P&amp;L'!C17)*10^3/'MIS P&amp;L'!C$2</f>
        <v>22.501538685705945</v>
      </c>
      <c r="D17" s="9">
        <f>('MIS P&amp;L'!D17)*10^3/'MIS P&amp;L'!D$2</f>
        <v>73.900695571219572</v>
      </c>
      <c r="E17" s="9">
        <f>('MIS P&amp;L'!E17)*10^3/'MIS P&amp;L'!E$2</f>
        <v>35.575638037962797</v>
      </c>
      <c r="F17" s="447">
        <f>('MIS P&amp;L'!F17)*10^3/'MIS P&amp;L'!F$2</f>
        <v>71.537003337783702</v>
      </c>
      <c r="G17" s="447">
        <f>('MIS P&amp;L'!G17)*10^3/'MIS P&amp;L'!G$2</f>
        <v>60.290025291994652</v>
      </c>
      <c r="H17" s="447">
        <f>('MIS P&amp;L'!H17)*10^3/'MIS P&amp;L'!H$2</f>
        <v>38.955567770223048</v>
      </c>
      <c r="I17" s="447">
        <f>('MIS P&amp;L'!I17)*10^3/'MIS P&amp;L'!I$2</f>
        <v>31.23609111971377</v>
      </c>
      <c r="J17" s="447">
        <f>('MIS P&amp;L'!J17)*10^3/'MIS P&amp;L'!J$2</f>
        <v>20.164081459161004</v>
      </c>
      <c r="K17" s="447">
        <f>('MIS P&amp;L'!K17)*10^3/'MIS P&amp;L'!K$2</f>
        <v>13.854009952262473</v>
      </c>
      <c r="L17" s="447">
        <f>('MIS P&amp;L'!L17)*10^3/'MIS P&amp;L'!L$2</f>
        <v>14.610512492386642</v>
      </c>
      <c r="M17" s="459" t="e">
        <f>('MIS P&amp;L'!#REF!)*10^3/'MIS P&amp;L'!#REF!</f>
        <v>#REF!</v>
      </c>
      <c r="N17" s="447">
        <f>('MIS P&amp;L'!M17)*10^3/'MIS P&amp;L'!M$2</f>
        <v>12.404038894139259</v>
      </c>
      <c r="O17" s="447" t="e">
        <f>('MIS P&amp;L'!#REF!)*10^3/'MIS P&amp;L'!#REF!</f>
        <v>#REF!</v>
      </c>
      <c r="P17" s="447" t="e">
        <f>('MIS P&amp;L'!#REF!)*10^3/'MIS P&amp;L'!#REF!</f>
        <v>#REF!</v>
      </c>
      <c r="Q17" s="447" t="e">
        <f>('MIS P&amp;L'!#REF!)*10^3/'MIS P&amp;L'!#REF!</f>
        <v>#REF!</v>
      </c>
      <c r="R17" s="447" t="e">
        <f>('MIS P&amp;L'!#REF!)*10^3/'MIS P&amp;L'!#REF!</f>
        <v>#REF!</v>
      </c>
      <c r="S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I17" s="234"/>
      <c r="AJ17" s="234"/>
      <c r="AK17" s="234"/>
      <c r="AL17" s="234"/>
      <c r="AM17" s="234"/>
      <c r="AN17" s="234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</row>
    <row r="18" spans="2:51" x14ac:dyDescent="0.35">
      <c r="B18" s="35" t="s">
        <v>32</v>
      </c>
      <c r="C18" s="9">
        <f>('MIS P&amp;L'!C18)*10^3/'MIS P&amp;L'!C$2</f>
        <v>19.750546408276264</v>
      </c>
      <c r="D18" s="9">
        <f>('MIS P&amp;L'!D18)*10^3/'MIS P&amp;L'!D$2</f>
        <v>33.206676419736667</v>
      </c>
      <c r="E18" s="9">
        <f>('MIS P&amp;L'!E18)*10^3/'MIS P&amp;L'!E$2</f>
        <v>41.061548581093788</v>
      </c>
      <c r="F18" s="447">
        <f>('MIS P&amp;L'!F18)*10^3/'MIS P&amp;L'!F$2</f>
        <v>61.011081441922563</v>
      </c>
      <c r="G18" s="447">
        <f>('MIS P&amp;L'!G18)*10^3/'MIS P&amp;L'!G$2</f>
        <v>39.008326465656879</v>
      </c>
      <c r="H18" s="447">
        <f>('MIS P&amp;L'!H18)*10^3/'MIS P&amp;L'!H$2</f>
        <v>41.823967295757349</v>
      </c>
      <c r="I18" s="447">
        <f>('MIS P&amp;L'!I18)*10^3/'MIS P&amp;L'!I$2</f>
        <v>42.112957211566659</v>
      </c>
      <c r="J18" s="447">
        <f>('MIS P&amp;L'!J18)*10^3/'MIS P&amp;L'!J$2</f>
        <v>36.686576156487789</v>
      </c>
      <c r="K18" s="447">
        <f>('MIS P&amp;L'!K18)*10^3/'MIS P&amp;L'!K$2</f>
        <v>32.342660146903008</v>
      </c>
      <c r="L18" s="447">
        <f>('MIS P&amp;L'!L18)*10^3/'MIS P&amp;L'!L$2</f>
        <v>19.081594237173924</v>
      </c>
      <c r="M18" s="459" t="e">
        <f>('MIS P&amp;L'!#REF!)*10^3/'MIS P&amp;L'!#REF!</f>
        <v>#REF!</v>
      </c>
      <c r="N18" s="447">
        <f>('MIS P&amp;L'!M18)*10^3/'MIS P&amp;L'!M$2</f>
        <v>15.521142705019502</v>
      </c>
      <c r="O18" s="447" t="e">
        <f>('MIS P&amp;L'!#REF!)*10^3/'MIS P&amp;L'!#REF!</f>
        <v>#REF!</v>
      </c>
      <c r="P18" s="447" t="e">
        <f>('MIS P&amp;L'!#REF!)*10^3/'MIS P&amp;L'!#REF!</f>
        <v>#REF!</v>
      </c>
      <c r="Q18" s="447" t="e">
        <f>('MIS P&amp;L'!#REF!)*10^3/'MIS P&amp;L'!#REF!</f>
        <v>#REF!</v>
      </c>
      <c r="R18" s="447" t="e">
        <f>('MIS P&amp;L'!#REF!)*10^3/'MIS P&amp;L'!#REF!</f>
        <v>#REF!</v>
      </c>
      <c r="S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</row>
    <row r="19" spans="2:51" x14ac:dyDescent="0.35">
      <c r="B19" s="35" t="s">
        <v>33</v>
      </c>
      <c r="C19" s="9">
        <f>('MIS P&amp;L'!C19)*10^3/'MIS P&amp;L'!C$2</f>
        <v>38.649194229928604</v>
      </c>
      <c r="D19" s="9">
        <f>('MIS P&amp;L'!D19)*10^3/'MIS P&amp;L'!D$2</f>
        <v>65.096069956111194</v>
      </c>
      <c r="E19" s="9">
        <f>('MIS P&amp;L'!E19)*10^3/'MIS P&amp;L'!E$2</f>
        <v>91.01680041345611</v>
      </c>
      <c r="F19" s="447">
        <f>('MIS P&amp;L'!F19)*10^3/'MIS P&amp;L'!F$2</f>
        <v>98.093908544726304</v>
      </c>
      <c r="G19" s="447">
        <f>('MIS P&amp;L'!G19)*10^3/'MIS P&amp;L'!G$2</f>
        <v>51.735599192929605</v>
      </c>
      <c r="H19" s="447">
        <f>('MIS P&amp;L'!H19)*10^3/'MIS P&amp;L'!H$2</f>
        <v>98.84382283789796</v>
      </c>
      <c r="I19" s="447">
        <f>('MIS P&amp;L'!I19)*10^3/'MIS P&amp;L'!I$2</f>
        <v>69.139690157780507</v>
      </c>
      <c r="J19" s="447">
        <f>('MIS P&amp;L'!J19)*10^3/'MIS P&amp;L'!J$2</f>
        <v>56.979489428321322</v>
      </c>
      <c r="K19" s="447">
        <f>('MIS P&amp;L'!K19)*10^3/'MIS P&amp;L'!K$2</f>
        <v>57.198725312793904</v>
      </c>
      <c r="L19" s="447">
        <f>('MIS P&amp;L'!L19)*10^3/'MIS P&amp;L'!L$2</f>
        <v>43.843597522256921</v>
      </c>
      <c r="M19" s="459" t="e">
        <f>('MIS P&amp;L'!#REF!)*10^3/'MIS P&amp;L'!#REF!</f>
        <v>#REF!</v>
      </c>
      <c r="N19" s="447">
        <f>('MIS P&amp;L'!M19)*10^3/'MIS P&amp;L'!M$2</f>
        <v>35.613509683602437</v>
      </c>
      <c r="O19" s="447" t="e">
        <f>('MIS P&amp;L'!#REF!)*10^3/'MIS P&amp;L'!#REF!</f>
        <v>#REF!</v>
      </c>
      <c r="P19" s="447" t="e">
        <f>('MIS P&amp;L'!#REF!)*10^3/'MIS P&amp;L'!#REF!</f>
        <v>#REF!</v>
      </c>
      <c r="Q19" s="447" t="e">
        <f>('MIS P&amp;L'!#REF!)*10^3/'MIS P&amp;L'!#REF!</f>
        <v>#REF!</v>
      </c>
      <c r="R19" s="447" t="e">
        <f>('MIS P&amp;L'!#REF!)*10^3/'MIS P&amp;L'!#REF!</f>
        <v>#REF!</v>
      </c>
      <c r="S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I19" s="234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</row>
    <row r="20" spans="2:51" x14ac:dyDescent="0.35">
      <c r="B20" s="35" t="s">
        <v>34</v>
      </c>
      <c r="C20" s="9">
        <f>('MIS P&amp;L'!C20)*10^3/'MIS P&amp;L'!C$2</f>
        <v>11.308757103307592</v>
      </c>
      <c r="D20" s="9">
        <f>('MIS P&amp;L'!D20)*10^3/'MIS P&amp;L'!D$2</f>
        <v>7.1818060912355364</v>
      </c>
      <c r="E20" s="9">
        <f>('MIS P&amp;L'!E20)*10^3/'MIS P&amp;L'!E$2</f>
        <v>20.14875023491825</v>
      </c>
      <c r="F20" s="447">
        <f>('MIS P&amp;L'!F20)*10^3/'MIS P&amp;L'!F$2</f>
        <v>23.453137516688919</v>
      </c>
      <c r="G20" s="447">
        <f>('MIS P&amp;L'!G20)*10^3/'MIS P&amp;L'!G$2</f>
        <v>17.680582000056837</v>
      </c>
      <c r="H20" s="447">
        <f>('MIS P&amp;L'!H20)*10^3/'MIS P&amp;L'!H$2</f>
        <v>14.596733176590201</v>
      </c>
      <c r="I20" s="447">
        <f>('MIS P&amp;L'!I20)*10^3/'MIS P&amp;L'!I$2</f>
        <v>9.5753529532523896</v>
      </c>
      <c r="J20" s="447">
        <f>('MIS P&amp;L'!J20)*10^3/'MIS P&amp;L'!J$2</f>
        <v>6.5010483300787829</v>
      </c>
      <c r="K20" s="447">
        <f>('MIS P&amp;L'!K20)*10^3/'MIS P&amp;L'!K$2</f>
        <v>5.1919446197069083</v>
      </c>
      <c r="L20" s="447">
        <f>('MIS P&amp;L'!L20)*10^3/'MIS P&amp;L'!L$2</f>
        <v>5.3940079956458078</v>
      </c>
      <c r="M20" s="459" t="e">
        <f>('MIS P&amp;L'!#REF!)*10^3/'MIS P&amp;L'!#REF!</f>
        <v>#REF!</v>
      </c>
      <c r="N20" s="447">
        <f>('MIS P&amp;L'!M20)*10^3/'MIS P&amp;L'!M$2</f>
        <v>6.1390745005124652</v>
      </c>
      <c r="O20" s="447" t="e">
        <f>('MIS P&amp;L'!#REF!)*10^3/'MIS P&amp;L'!#REF!</f>
        <v>#REF!</v>
      </c>
      <c r="P20" s="447" t="e">
        <f>('MIS P&amp;L'!#REF!)*10^3/'MIS P&amp;L'!#REF!</f>
        <v>#REF!</v>
      </c>
      <c r="Q20" s="447" t="e">
        <f>('MIS P&amp;L'!#REF!)*10^3/'MIS P&amp;L'!#REF!</f>
        <v>#REF!</v>
      </c>
      <c r="R20" s="447" t="e">
        <f>('MIS P&amp;L'!#REF!)*10^3/'MIS P&amp;L'!#REF!</f>
        <v>#REF!</v>
      </c>
      <c r="S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</row>
    <row r="21" spans="2:51" x14ac:dyDescent="0.35">
      <c r="B21" s="35" t="s">
        <v>1206</v>
      </c>
      <c r="C21" s="9">
        <f>('MIS P&amp;L'!C21)*10^3/'MIS P&amp;L'!C$2</f>
        <v>0</v>
      </c>
      <c r="D21" s="9">
        <f>('MIS P&amp;L'!D21)*10^3/'MIS P&amp;L'!D$2</f>
        <v>0</v>
      </c>
      <c r="E21" s="9">
        <f>('MIS P&amp;L'!E21)*10^3/'MIS P&amp;L'!E$2</f>
        <v>0</v>
      </c>
      <c r="F21" s="447">
        <f>('MIS P&amp;L'!F21)*10^3/'MIS P&amp;L'!F$2</f>
        <v>6.6301575433911877</v>
      </c>
      <c r="G21" s="447">
        <f>('MIS P&amp;L'!G21)*10^3/'MIS P&amp;L'!G$2</f>
        <v>13.319308590752792</v>
      </c>
      <c r="H21" s="447">
        <f>('MIS P&amp;L'!H21)*10^3/'MIS P&amp;L'!H$2</f>
        <v>27.488373260468954</v>
      </c>
      <c r="I21" s="447">
        <f>('MIS P&amp;L'!I21)*10^3/'MIS P&amp;L'!I$2</f>
        <v>35.712171974895888</v>
      </c>
      <c r="J21" s="447">
        <f>('MIS P&amp;L'!J21)*10^3/'MIS P&amp;L'!J$2</f>
        <v>16.230287522725742</v>
      </c>
      <c r="K21" s="447">
        <f>('MIS P&amp;L'!K21)*10^3/'MIS P&amp;L'!K$2</f>
        <v>4.3173407459434996</v>
      </c>
      <c r="L21" s="447">
        <f>('MIS P&amp;L'!L21)*10^3/'MIS P&amp;L'!L$2</f>
        <v>3.3600417924760588</v>
      </c>
      <c r="M21" s="459" t="e">
        <f>('MIS P&amp;L'!#REF!)*10^3/'MIS P&amp;L'!#REF!</f>
        <v>#REF!</v>
      </c>
      <c r="N21" s="447">
        <f>('MIS P&amp;L'!M21)*10^3/'MIS P&amp;L'!M$2</f>
        <v>2.7850685638984651</v>
      </c>
      <c r="O21" s="447" t="e">
        <f>('MIS P&amp;L'!#REF!)*10^3/'MIS P&amp;L'!#REF!</f>
        <v>#REF!</v>
      </c>
      <c r="P21" s="447" t="e">
        <f>('MIS P&amp;L'!#REF!)*10^3/'MIS P&amp;L'!#REF!</f>
        <v>#REF!</v>
      </c>
      <c r="Q21" s="447" t="e">
        <f>('MIS P&amp;L'!#REF!)*10^3/'MIS P&amp;L'!#REF!</f>
        <v>#REF!</v>
      </c>
      <c r="R21" s="447" t="e">
        <f>('MIS P&amp;L'!#REF!)*10^3/'MIS P&amp;L'!#REF!</f>
        <v>#REF!</v>
      </c>
      <c r="S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</row>
    <row r="22" spans="2:51" x14ac:dyDescent="0.35">
      <c r="B22" s="35"/>
      <c r="C22" s="9"/>
      <c r="D22" s="9"/>
      <c r="E22" s="9"/>
      <c r="F22" s="9"/>
      <c r="G22" s="9"/>
      <c r="H22" s="9"/>
      <c r="I22" s="9"/>
      <c r="J22" s="9"/>
      <c r="K22" s="9"/>
      <c r="L22" s="9"/>
      <c r="M22" s="459"/>
      <c r="N22" s="9"/>
      <c r="O22" s="447"/>
      <c r="P22" s="447"/>
      <c r="Q22" s="447"/>
      <c r="R22" s="447"/>
      <c r="S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4"/>
      <c r="AX22" s="234"/>
      <c r="AY22" s="234"/>
    </row>
    <row r="23" spans="2:51" x14ac:dyDescent="0.35">
      <c r="B23" s="38" t="s">
        <v>35</v>
      </c>
      <c r="C23" s="39">
        <f t="shared" ref="C23:E23" si="6">C14-SUM(C17:C20)</f>
        <v>-64.349154888532695</v>
      </c>
      <c r="D23" s="39">
        <f t="shared" si="6"/>
        <v>-212.41576406437028</v>
      </c>
      <c r="E23" s="39">
        <f t="shared" si="6"/>
        <v>-198.30339409885363</v>
      </c>
      <c r="F23" s="448">
        <f>F14-SUM(F17:F21)</f>
        <v>-365.63826568758344</v>
      </c>
      <c r="G23" s="448">
        <f t="shared" ref="G23:K23" si="7">G14-SUM(G17:G21)</f>
        <v>-270.14681264031367</v>
      </c>
      <c r="H23" s="448">
        <f t="shared" si="7"/>
        <v>-361.89810150176862</v>
      </c>
      <c r="I23" s="448">
        <f t="shared" si="7"/>
        <v>-294.15653440084463</v>
      </c>
      <c r="J23" s="448">
        <f t="shared" si="7"/>
        <v>-223.99958580230285</v>
      </c>
      <c r="K23" s="448">
        <f t="shared" si="7"/>
        <v>-170.01704801133317</v>
      </c>
      <c r="L23" s="448">
        <f t="shared" ref="L23:R23" si="8">L14-SUM(L17:L21)</f>
        <v>-144.65459221558442</v>
      </c>
      <c r="M23" s="460" t="e">
        <f>M14-SUM(M17:M21)</f>
        <v>#REF!</v>
      </c>
      <c r="N23" s="448">
        <f t="shared" ref="N23" si="9">N14-SUM(N17:N21)</f>
        <v>-139.72546868635789</v>
      </c>
      <c r="O23" s="461" t="e">
        <f t="shared" si="8"/>
        <v>#REF!</v>
      </c>
      <c r="P23" s="461" t="e">
        <f t="shared" si="8"/>
        <v>#REF!</v>
      </c>
      <c r="Q23" s="461" t="e">
        <f t="shared" si="8"/>
        <v>#REF!</v>
      </c>
      <c r="R23" s="461" t="e">
        <f t="shared" si="8"/>
        <v>#REF!</v>
      </c>
      <c r="S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</row>
    <row r="24" spans="2:51" x14ac:dyDescent="0.35">
      <c r="B24" s="40" t="s">
        <v>19</v>
      </c>
      <c r="C24" s="41">
        <f t="shared" ref="C24:K24" si="10">C23/C7</f>
        <v>-0.26202894110304104</v>
      </c>
      <c r="D24" s="41">
        <f t="shared" si="10"/>
        <v>-0.91125387103488542</v>
      </c>
      <c r="E24" s="41">
        <f t="shared" si="10"/>
        <v>-0.85961340051281898</v>
      </c>
      <c r="F24" s="41">
        <f t="shared" si="10"/>
        <v>-1.6206105847614194</v>
      </c>
      <c r="G24" s="41">
        <f t="shared" si="10"/>
        <v>-1.2565865105758107</v>
      </c>
      <c r="H24" s="41">
        <f t="shared" si="10"/>
        <v>-1.6543068438118018</v>
      </c>
      <c r="I24" s="41">
        <f t="shared" si="10"/>
        <v>-1.3435864350853723</v>
      </c>
      <c r="J24" s="41">
        <f t="shared" si="10"/>
        <v>-0.9657845793801676</v>
      </c>
      <c r="K24" s="41">
        <f t="shared" si="10"/>
        <v>-0.75952515887891414</v>
      </c>
      <c r="L24" s="41">
        <f t="shared" ref="L24:R24" si="11">L23/L7</f>
        <v>-0.60133752544148356</v>
      </c>
      <c r="M24" s="47" t="e">
        <f>M23/M7</f>
        <v>#REF!</v>
      </c>
      <c r="N24" s="41">
        <f t="shared" ref="N24" si="12">N23/N7</f>
        <v>-0.62021250602181943</v>
      </c>
      <c r="O24" s="41" t="e">
        <f t="shared" si="11"/>
        <v>#REF!</v>
      </c>
      <c r="P24" s="41" t="e">
        <f t="shared" si="11"/>
        <v>#REF!</v>
      </c>
      <c r="Q24" s="41" t="e">
        <f t="shared" si="11"/>
        <v>#REF!</v>
      </c>
      <c r="R24" s="41" t="e">
        <f t="shared" si="11"/>
        <v>#REF!</v>
      </c>
      <c r="S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</row>
    <row r="25" spans="2:51" x14ac:dyDescent="0.35"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7"/>
      <c r="N25" s="41"/>
      <c r="O25" s="41"/>
      <c r="P25" s="41"/>
      <c r="Q25" s="41"/>
      <c r="R25" s="41"/>
      <c r="S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I25" s="234"/>
      <c r="AJ25" s="234"/>
      <c r="AK25" s="234"/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</row>
    <row r="26" spans="2:51" x14ac:dyDescent="0.35">
      <c r="B26" s="35" t="s">
        <v>36</v>
      </c>
      <c r="C26" s="447">
        <f>'MIS P&amp;L'!C26*10^3/'MIS P&amp;L'!C$2</f>
        <v>127.66497595803584</v>
      </c>
      <c r="D26" s="447">
        <f>'MIS P&amp;L'!D26*10^3/'MIS P&amp;L'!D$2</f>
        <v>175.94094959436094</v>
      </c>
      <c r="E26" s="447">
        <f>'MIS P&amp;L'!E26*10^3/'MIS P&amp;L'!E$2</f>
        <v>149.22330013155423</v>
      </c>
      <c r="F26" s="447">
        <f>'MIS P&amp;L'!F26*10^3/'MIS P&amp;L'!F$2</f>
        <v>175.99977369826436</v>
      </c>
      <c r="G26" s="447">
        <f>'MIS P&amp;L'!G26*10^3/'MIS P&amp;L'!G$2</f>
        <v>176.51036431839495</v>
      </c>
      <c r="H26" s="447">
        <f>'MIS P&amp;L'!H26*10^3/'MIS P&amp;L'!H$2</f>
        <v>221.96366461206077</v>
      </c>
      <c r="I26" s="447">
        <f>'MIS P&amp;L'!I26*10^3/'MIS P&amp;L'!I$2</f>
        <v>249.64599038066751</v>
      </c>
      <c r="J26" s="447">
        <f>'MIS P&amp;L'!J26*10^3/'MIS P&amp;L'!J$2</f>
        <v>299.77321931183081</v>
      </c>
      <c r="K26" s="447">
        <f>'MIS P&amp;L'!K26*10^3/'MIS P&amp;L'!K$2</f>
        <v>255.1445700646421</v>
      </c>
      <c r="L26" s="447">
        <f>'MIS P&amp;L'!L26*10^3/'MIS P&amp;L'!L$2</f>
        <v>206.70020209415941</v>
      </c>
      <c r="M26" s="447" t="e">
        <f>'MIS P&amp;L'!#REF!*10^3/'MIS P&amp;L'!#REF!</f>
        <v>#REF!</v>
      </c>
      <c r="N26" s="447">
        <f>'MIS P&amp;L'!M26*10^3/'MIS P&amp;L'!M$2</f>
        <v>190.86310460952785</v>
      </c>
      <c r="O26" s="447" t="e">
        <f>'MIS P&amp;L'!#REF!*10^3/'MIS P&amp;L'!#REF!</f>
        <v>#REF!</v>
      </c>
      <c r="P26" s="447" t="e">
        <f>'MIS P&amp;L'!#REF!*10^3/'MIS P&amp;L'!#REF!</f>
        <v>#REF!</v>
      </c>
      <c r="Q26" s="447" t="e">
        <f>'MIS P&amp;L'!#REF!*10^3/'MIS P&amp;L'!#REF!</f>
        <v>#REF!</v>
      </c>
      <c r="R26" s="447" t="e">
        <f>'MIS P&amp;L'!#REF!*10^3/'MIS P&amp;L'!#REF!</f>
        <v>#REF!</v>
      </c>
      <c r="S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I26" s="234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34"/>
    </row>
    <row r="27" spans="2:51" x14ac:dyDescent="0.35">
      <c r="B27" s="35" t="s">
        <v>417</v>
      </c>
      <c r="C27" s="447">
        <f>'MIS P&amp;L'!C30*10^3/'MIS P&amp;L'!C$2</f>
        <v>450.65781728107243</v>
      </c>
      <c r="D27" s="447">
        <f>'MIS P&amp;L'!D30*10^3/'MIS P&amp;L'!D$2</f>
        <v>878.60621093230463</v>
      </c>
      <c r="E27" s="447">
        <f>'MIS P&amp;L'!E30*10^3/'MIS P&amp;L'!E$2</f>
        <v>859.05476790077034</v>
      </c>
      <c r="F27" s="447">
        <f>'MIS P&amp;L'!F30*10^3/'MIS P&amp;L'!F$2</f>
        <v>856.05994993324441</v>
      </c>
      <c r="G27" s="447">
        <f>'MIS P&amp;L'!G30*10^3/'MIS P&amp;L'!G$2</f>
        <v>464.83357984854132</v>
      </c>
      <c r="H27" s="447">
        <f>'MIS P&amp;L'!H30*10^3/'MIS P&amp;L'!H$2</f>
        <v>407.88580733303684</v>
      </c>
      <c r="I27" s="447">
        <f>'MIS P&amp;L'!I30*10^3/'MIS P&amp;L'!I$2</f>
        <v>330.63956331749665</v>
      </c>
      <c r="J27" s="447">
        <f>'MIS P&amp;L'!J30*10^3/'MIS P&amp;L'!J$2</f>
        <v>206.22300241810586</v>
      </c>
      <c r="K27" s="447">
        <f>'MIS P&amp;L'!K30*10^3/'MIS P&amp;L'!K$2</f>
        <v>155.00981815692671</v>
      </c>
      <c r="L27" s="447">
        <f>'MIS P&amp;L'!L30*10^3/'MIS P&amp;L'!L$2</f>
        <v>114.00185762696489</v>
      </c>
      <c r="M27" s="447" t="e">
        <f>'MIS P&amp;L'!#REF!*10^3/'MIS P&amp;L'!#REF!</f>
        <v>#REF!</v>
      </c>
      <c r="N27" s="447">
        <f>'MIS P&amp;L'!M30*10^3/'MIS P&amp;L'!M$2</f>
        <v>104.68393922291584</v>
      </c>
      <c r="O27" s="447" t="e">
        <f>'MIS P&amp;L'!#REF!*10^3/'MIS P&amp;L'!#REF!</f>
        <v>#REF!</v>
      </c>
      <c r="P27" s="447" t="e">
        <f>'MIS P&amp;L'!#REF!*10^3/'MIS P&amp;L'!#REF!</f>
        <v>#REF!</v>
      </c>
      <c r="Q27" s="447" t="e">
        <f>'MIS P&amp;L'!#REF!*10^3/'MIS P&amp;L'!#REF!</f>
        <v>#REF!</v>
      </c>
      <c r="R27" s="447" t="e">
        <f>'MIS P&amp;L'!#REF!*10^3/'MIS P&amp;L'!#REF!</f>
        <v>#REF!</v>
      </c>
      <c r="S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</row>
    <row r="28" spans="2:51" x14ac:dyDescent="0.35">
      <c r="B28" s="35" t="s">
        <v>39</v>
      </c>
      <c r="C28" s="447">
        <f>'MIS P&amp;L'!C33*10^3/'MIS P&amp;L'!C$2</f>
        <v>54.387107678857639</v>
      </c>
      <c r="D28" s="447">
        <f>'MIS P&amp;L'!D33*10^3/'MIS P&amp;L'!D$2</f>
        <v>68.982131932437824</v>
      </c>
      <c r="E28" s="447">
        <f>'MIS P&amp;L'!E33*10^3/'MIS P&amp;L'!E$2</f>
        <v>51.675437887615111</v>
      </c>
      <c r="F28" s="447">
        <f>'MIS P&amp;L'!F33*10^3/'MIS P&amp;L'!F$2</f>
        <v>69.704251001335109</v>
      </c>
      <c r="G28" s="447">
        <f>'MIS P&amp;L'!G33*10^3/'MIS P&amp;L'!G$2</f>
        <v>39.32373326891927</v>
      </c>
      <c r="H28" s="447">
        <f>'MIS P&amp;L'!H33*10^3/'MIS P&amp;L'!H$2</f>
        <v>36.261214971087249</v>
      </c>
      <c r="I28" s="447">
        <f>'MIS P&amp;L'!I33*10^3/'MIS P&amp;L'!I$2</f>
        <v>27.115838025690657</v>
      </c>
      <c r="J28" s="447">
        <f>'MIS P&amp;L'!J33*10^3/'MIS P&amp;L'!J$2</f>
        <v>19.483305837990709</v>
      </c>
      <c r="K28" s="447">
        <f>'MIS P&amp;L'!K33*10^3/'MIS P&amp;L'!K$2</f>
        <v>16.45990440589993</v>
      </c>
      <c r="L28" s="447">
        <f>'MIS P&amp;L'!L33*10^3/'MIS P&amp;L'!L$2</f>
        <v>12.865003596096777</v>
      </c>
      <c r="M28" s="447" t="e">
        <f>'MIS P&amp;L'!#REF!*10^3/'MIS P&amp;L'!#REF!</f>
        <v>#REF!</v>
      </c>
      <c r="N28" s="447">
        <f>'MIS P&amp;L'!M33*10^3/'MIS P&amp;L'!M$2</f>
        <v>9.0547503560637317</v>
      </c>
      <c r="O28" s="447" t="e">
        <f>'MIS P&amp;L'!#REF!*10^3/'MIS P&amp;L'!#REF!</f>
        <v>#REF!</v>
      </c>
      <c r="P28" s="447" t="e">
        <f>'MIS P&amp;L'!#REF!*10^3/'MIS P&amp;L'!#REF!</f>
        <v>#REF!</v>
      </c>
      <c r="Q28" s="447" t="e">
        <f>'MIS P&amp;L'!#REF!*10^3/'MIS P&amp;L'!#REF!</f>
        <v>#REF!</v>
      </c>
      <c r="R28" s="447" t="e">
        <f>'MIS P&amp;L'!#REF!*10^3/'MIS P&amp;L'!#REF!</f>
        <v>#REF!</v>
      </c>
      <c r="S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4"/>
      <c r="AX28" s="234"/>
      <c r="AY28" s="234"/>
    </row>
    <row r="29" spans="2:51" x14ac:dyDescent="0.35">
      <c r="B29" s="35" t="s">
        <v>40</v>
      </c>
      <c r="C29" s="447">
        <f>'MIS P&amp;L'!C34*10^3/'MIS P&amp;L'!C$2</f>
        <v>71.031561999125756</v>
      </c>
      <c r="D29" s="447">
        <f>'MIS P&amp;L'!D34*10^3/'MIS P&amp;L'!D$2</f>
        <v>94.646149753956635</v>
      </c>
      <c r="E29" s="447">
        <f>'MIS P&amp;L'!E34*10^3/'MIS P&amp;L'!E$2</f>
        <v>80.901558917496715</v>
      </c>
      <c r="F29" s="447">
        <f>'MIS P&amp;L'!F34*10^3/'MIS P&amp;L'!F$2</f>
        <v>43.864981308411217</v>
      </c>
      <c r="G29" s="447">
        <f>'MIS P&amp;L'!G34*10^3/'MIS P&amp;L'!G$2</f>
        <v>39.150239279320239</v>
      </c>
      <c r="H29" s="447">
        <f>'MIS P&amp;L'!H34*10^3/'MIS P&amp;L'!H$2</f>
        <v>35.23967782931944</v>
      </c>
      <c r="I29" s="447">
        <f>'MIS P&amp;L'!I34*10^3/'MIS P&amp;L'!I$2</f>
        <v>33.208030529649832</v>
      </c>
      <c r="J29" s="447">
        <f>'MIS P&amp;L'!J34*10^3/'MIS P&amp;L'!J$2</f>
        <v>18.439630412093464</v>
      </c>
      <c r="K29" s="447">
        <f>'MIS P&amp;L'!K34*10^3/'MIS P&amp;L'!K$2</f>
        <v>11.344022035451959</v>
      </c>
      <c r="L29" s="447">
        <f>'MIS P&amp;L'!L34*10^3/'MIS P&amp;L'!L$2</f>
        <v>9.5503968017416785</v>
      </c>
      <c r="M29" s="447" t="e">
        <f>'MIS P&amp;L'!#REF!*10^3/'MIS P&amp;L'!#REF!</f>
        <v>#REF!</v>
      </c>
      <c r="N29" s="447">
        <f>'MIS P&amp;L'!M34*10^3/'MIS P&amp;L'!M$2</f>
        <v>13.341605920641047</v>
      </c>
      <c r="O29" s="447" t="e">
        <f>'MIS P&amp;L'!#REF!*10^3/'MIS P&amp;L'!#REF!</f>
        <v>#REF!</v>
      </c>
      <c r="P29" s="447" t="e">
        <f>'MIS P&amp;L'!#REF!*10^3/'MIS P&amp;L'!#REF!</f>
        <v>#REF!</v>
      </c>
      <c r="Q29" s="447" t="e">
        <f>'MIS P&amp;L'!#REF!*10^3/'MIS P&amp;L'!#REF!</f>
        <v>#REF!</v>
      </c>
      <c r="R29" s="447" t="e">
        <f>'MIS P&amp;L'!#REF!*10^3/'MIS P&amp;L'!#REF!</f>
        <v>#REF!</v>
      </c>
      <c r="S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</row>
    <row r="30" spans="2:51" x14ac:dyDescent="0.35">
      <c r="B30" s="35"/>
      <c r="C30" s="284"/>
      <c r="D30" s="41"/>
      <c r="E30" s="41"/>
      <c r="F30" s="41"/>
      <c r="G30" s="41"/>
      <c r="H30" s="41"/>
      <c r="I30" s="41"/>
      <c r="J30" s="41"/>
      <c r="K30" s="41"/>
      <c r="L30" s="41"/>
      <c r="M30" s="47"/>
      <c r="N30" s="41"/>
      <c r="O30" s="41"/>
      <c r="P30" s="41"/>
      <c r="Q30" s="41"/>
      <c r="R30" s="41"/>
      <c r="S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</row>
    <row r="31" spans="2:51" x14ac:dyDescent="0.35">
      <c r="B31" s="38" t="s">
        <v>44</v>
      </c>
      <c r="C31" s="94">
        <f>C23-C26-C27-C28-C29</f>
        <v>-768.09061780562433</v>
      </c>
      <c r="D31" s="94">
        <f t="shared" ref="D31:R31" si="13">D23-D26-D27-D28-D29</f>
        <v>-1430.5912062774305</v>
      </c>
      <c r="E31" s="94">
        <f t="shared" si="13"/>
        <v>-1339.1584589362901</v>
      </c>
      <c r="F31" s="94">
        <f t="shared" si="13"/>
        <v>-1511.2672216288386</v>
      </c>
      <c r="G31" s="94">
        <f t="shared" si="13"/>
        <v>-989.96472935548934</v>
      </c>
      <c r="H31" s="94">
        <f t="shared" si="13"/>
        <v>-1063.2484662472727</v>
      </c>
      <c r="I31" s="94">
        <f t="shared" si="13"/>
        <v>-934.76595665434922</v>
      </c>
      <c r="J31" s="94">
        <f t="shared" si="13"/>
        <v>-767.91874378232365</v>
      </c>
      <c r="K31" s="94">
        <f t="shared" si="13"/>
        <v>-607.97536267425392</v>
      </c>
      <c r="L31" s="94">
        <f t="shared" si="13"/>
        <v>-487.7720523345472</v>
      </c>
      <c r="M31" s="94" t="e">
        <f t="shared" si="13"/>
        <v>#REF!</v>
      </c>
      <c r="N31" s="94">
        <f t="shared" si="13"/>
        <v>-457.66886879550634</v>
      </c>
      <c r="O31" s="94" t="e">
        <f t="shared" si="13"/>
        <v>#REF!</v>
      </c>
      <c r="P31" s="94" t="e">
        <f t="shared" si="13"/>
        <v>#REF!</v>
      </c>
      <c r="Q31" s="94" t="e">
        <f t="shared" si="13"/>
        <v>#REF!</v>
      </c>
      <c r="R31" s="94" t="e">
        <f t="shared" si="13"/>
        <v>#REF!</v>
      </c>
      <c r="S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234"/>
      <c r="AT31" s="234"/>
      <c r="AU31" s="234"/>
      <c r="AV31" s="234"/>
      <c r="AW31" s="234"/>
      <c r="AX31" s="234"/>
      <c r="AY31" s="234"/>
    </row>
    <row r="32" spans="2:51" x14ac:dyDescent="0.35">
      <c r="B32" s="40" t="s">
        <v>45</v>
      </c>
      <c r="C32" s="47">
        <f>C31/C7</f>
        <v>-3.1276552365515853</v>
      </c>
      <c r="D32" s="47">
        <f t="shared" ref="D32:R32" si="14">D31/D7</f>
        <v>-6.1371705642040926</v>
      </c>
      <c r="E32" s="47">
        <f t="shared" si="14"/>
        <v>-5.8050370844277213</v>
      </c>
      <c r="F32" s="47">
        <f t="shared" si="14"/>
        <v>-6.6983570528894134</v>
      </c>
      <c r="G32" s="47">
        <f t="shared" si="14"/>
        <v>-4.6048158506694303</v>
      </c>
      <c r="H32" s="47">
        <f t="shared" si="14"/>
        <v>-4.8603162246118297</v>
      </c>
      <c r="I32" s="47">
        <f t="shared" si="14"/>
        <v>-4.2696276045628396</v>
      </c>
      <c r="J32" s="47">
        <f t="shared" si="14"/>
        <v>-3.3109171979296295</v>
      </c>
      <c r="K32" s="47">
        <f t="shared" si="14"/>
        <v>-2.7160369464763723</v>
      </c>
      <c r="L32" s="47">
        <f t="shared" si="14"/>
        <v>-2.0276966976148993</v>
      </c>
      <c r="M32" s="47" t="e">
        <f t="shared" si="14"/>
        <v>#REF!</v>
      </c>
      <c r="N32" s="47">
        <f t="shared" si="14"/>
        <v>-2.0314976125146913</v>
      </c>
      <c r="O32" s="47" t="e">
        <f t="shared" si="14"/>
        <v>#REF!</v>
      </c>
      <c r="P32" s="47" t="e">
        <f t="shared" si="14"/>
        <v>#REF!</v>
      </c>
      <c r="Q32" s="47" t="e">
        <f t="shared" si="14"/>
        <v>#REF!</v>
      </c>
      <c r="R32" s="47" t="e">
        <f t="shared" si="14"/>
        <v>#REF!</v>
      </c>
      <c r="S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</row>
    <row r="33" spans="2:51" x14ac:dyDescent="0.35">
      <c r="B33" s="35"/>
      <c r="C33" s="8"/>
      <c r="D33" s="41"/>
      <c r="E33" s="41"/>
      <c r="F33" s="41"/>
      <c r="G33" s="41"/>
      <c r="H33" s="41"/>
      <c r="I33" s="41"/>
      <c r="J33" s="41"/>
      <c r="K33" s="41"/>
      <c r="L33" s="41"/>
      <c r="M33" s="47"/>
      <c r="N33" s="41"/>
      <c r="O33" s="41"/>
      <c r="P33" s="41"/>
      <c r="Q33" s="41"/>
      <c r="R33" s="41"/>
      <c r="S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</row>
    <row r="34" spans="2:51" x14ac:dyDescent="0.35">
      <c r="B34" s="35" t="s">
        <v>46</v>
      </c>
      <c r="C34" s="106">
        <f>'MIS P&amp;L'!C42*10^3/'MIS P&amp;L'!C$2</f>
        <v>174.92350284132303</v>
      </c>
      <c r="D34" s="106">
        <f>'MIS P&amp;L'!D42*10^3/'MIS P&amp;L'!D$2</f>
        <v>66.798776433036309</v>
      </c>
      <c r="E34" s="106">
        <f>'MIS P&amp;L'!E42*10^3/'MIS P&amp;L'!E$2</f>
        <v>142.36045856042097</v>
      </c>
      <c r="F34" s="106">
        <f>'MIS P&amp;L'!F42*10^3/'MIS P&amp;L'!F$2</f>
        <v>40.120160213618156</v>
      </c>
      <c r="G34" s="106">
        <f>'MIS P&amp;L'!G42*10^3/'MIS P&amp;L'!G$2</f>
        <v>4.2200687714910909</v>
      </c>
      <c r="H34" s="106">
        <f>'MIS P&amp;L'!H42*10^3/'MIS P&amp;L'!H$2</f>
        <v>67.459702188049391</v>
      </c>
      <c r="I34" s="106">
        <f>'MIS P&amp;L'!I42*10^3/'MIS P&amp;L'!I$2</f>
        <v>6.3075546952900465</v>
      </c>
      <c r="J34" s="106">
        <f>'MIS P&amp;L'!J42*10^3/'MIS P&amp;L'!J$2</f>
        <v>0</v>
      </c>
      <c r="K34" s="106">
        <f>'MIS P&amp;L'!K42*10^3/'MIS P&amp;L'!K$2</f>
        <v>0</v>
      </c>
      <c r="L34" s="106">
        <f>'MIS P&amp;L'!L42*10^3/'MIS P&amp;L'!L$2</f>
        <v>0</v>
      </c>
      <c r="M34" s="106" t="e">
        <f>'MIS P&amp;L'!#REF!*10^3/'MIS P&amp;L'!#REF!</f>
        <v>#REF!</v>
      </c>
      <c r="N34" s="106">
        <f>'MIS P&amp;L'!M42*10^3/'MIS P&amp;L'!M$2</f>
        <v>0</v>
      </c>
      <c r="O34" s="106" t="e">
        <f>'MIS P&amp;L'!#REF!*10^3/'MIS P&amp;L'!#REF!</f>
        <v>#REF!</v>
      </c>
      <c r="P34" s="106" t="e">
        <f>'MIS P&amp;L'!#REF!*10^3/'MIS P&amp;L'!#REF!</f>
        <v>#REF!</v>
      </c>
      <c r="Q34" s="106" t="e">
        <f>'MIS P&amp;L'!#REF!*10^3/'MIS P&amp;L'!#REF!</f>
        <v>#REF!</v>
      </c>
      <c r="R34" s="106" t="e">
        <f>'MIS P&amp;L'!#REF!*10^3/'MIS P&amp;L'!#REF!</f>
        <v>#REF!</v>
      </c>
      <c r="S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</row>
    <row r="35" spans="2:51" x14ac:dyDescent="0.35">
      <c r="B35" s="35"/>
      <c r="C35" s="8"/>
      <c r="D35" s="41"/>
      <c r="E35" s="41"/>
      <c r="F35" s="41"/>
      <c r="G35" s="41"/>
      <c r="H35" s="41"/>
      <c r="I35" s="41"/>
      <c r="J35" s="41"/>
      <c r="K35" s="41"/>
      <c r="L35" s="41"/>
      <c r="M35" s="47"/>
      <c r="N35" s="41"/>
      <c r="O35" s="41"/>
      <c r="P35" s="41"/>
      <c r="Q35" s="41"/>
      <c r="R35" s="41"/>
      <c r="S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</row>
    <row r="36" spans="2:51" x14ac:dyDescent="0.35">
      <c r="B36" s="38" t="s">
        <v>47</v>
      </c>
      <c r="C36" s="94">
        <f t="shared" ref="C36:R36" si="15">C31-C34</f>
        <v>-943.01412064694739</v>
      </c>
      <c r="D36" s="94">
        <f t="shared" si="15"/>
        <v>-1497.3899827104667</v>
      </c>
      <c r="E36" s="94">
        <f t="shared" si="15"/>
        <v>-1481.5189174967111</v>
      </c>
      <c r="F36" s="94">
        <f t="shared" si="15"/>
        <v>-1551.3873818424568</v>
      </c>
      <c r="G36" s="94">
        <f t="shared" si="15"/>
        <v>-994.18479812698047</v>
      </c>
      <c r="H36" s="94">
        <f t="shared" si="15"/>
        <v>-1130.708168435322</v>
      </c>
      <c r="I36" s="94">
        <f t="shared" si="15"/>
        <v>-941.07351134963926</v>
      </c>
      <c r="J36" s="94">
        <f t="shared" si="15"/>
        <v>-767.91874378232365</v>
      </c>
      <c r="K36" s="94">
        <f t="shared" si="15"/>
        <v>-607.97536267425392</v>
      </c>
      <c r="L36" s="94">
        <f t="shared" si="15"/>
        <v>-487.7720523345472</v>
      </c>
      <c r="M36" s="94" t="e">
        <f t="shared" si="15"/>
        <v>#REF!</v>
      </c>
      <c r="N36" s="94">
        <f t="shared" si="15"/>
        <v>-457.66886879550634</v>
      </c>
      <c r="O36" s="94" t="e">
        <f t="shared" si="15"/>
        <v>#REF!</v>
      </c>
      <c r="P36" s="94" t="e">
        <f t="shared" si="15"/>
        <v>#REF!</v>
      </c>
      <c r="Q36" s="94" t="e">
        <f t="shared" si="15"/>
        <v>#REF!</v>
      </c>
      <c r="R36" s="94" t="e">
        <f t="shared" si="15"/>
        <v>#REF!</v>
      </c>
      <c r="S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34"/>
    </row>
    <row r="37" spans="2:51" x14ac:dyDescent="0.35">
      <c r="B37" s="40" t="s">
        <v>45</v>
      </c>
      <c r="C37" s="47">
        <f>C36/C7</f>
        <v>-3.8399415175904474</v>
      </c>
      <c r="D37" s="47">
        <f t="shared" ref="D37:R37" si="16">D36/D7</f>
        <v>-6.4237342468625602</v>
      </c>
      <c r="E37" s="47">
        <f t="shared" si="16"/>
        <v>-6.4221468340504844</v>
      </c>
      <c r="F37" s="47">
        <f t="shared" si="16"/>
        <v>-6.8761807721389427</v>
      </c>
      <c r="G37" s="47">
        <f t="shared" si="16"/>
        <v>-4.6244454788709612</v>
      </c>
      <c r="H37" s="47">
        <f t="shared" si="16"/>
        <v>-5.1686876875957282</v>
      </c>
      <c r="I37" s="47">
        <f t="shared" si="16"/>
        <v>-4.2984379281016745</v>
      </c>
      <c r="J37" s="47">
        <f t="shared" si="16"/>
        <v>-3.3109171979296295</v>
      </c>
      <c r="K37" s="47">
        <f t="shared" si="16"/>
        <v>-2.7160369464763723</v>
      </c>
      <c r="L37" s="47">
        <f t="shared" si="16"/>
        <v>-2.0276966976148993</v>
      </c>
      <c r="M37" s="47" t="e">
        <f t="shared" si="16"/>
        <v>#REF!</v>
      </c>
      <c r="N37" s="47">
        <f t="shared" si="16"/>
        <v>-2.0314976125146913</v>
      </c>
      <c r="O37" s="47" t="e">
        <f t="shared" si="16"/>
        <v>#REF!</v>
      </c>
      <c r="P37" s="47" t="e">
        <f t="shared" si="16"/>
        <v>#REF!</v>
      </c>
      <c r="Q37" s="47" t="e">
        <f t="shared" si="16"/>
        <v>#REF!</v>
      </c>
      <c r="R37" s="47" t="e">
        <f t="shared" si="16"/>
        <v>#REF!</v>
      </c>
      <c r="S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34"/>
    </row>
    <row r="38" spans="2:51" x14ac:dyDescent="0.35">
      <c r="B38" s="35"/>
      <c r="C38" s="98"/>
      <c r="D38" s="41"/>
      <c r="E38" s="41"/>
      <c r="F38" s="41"/>
      <c r="G38" s="41"/>
      <c r="H38" s="41"/>
      <c r="I38" s="41"/>
      <c r="J38" s="41"/>
      <c r="K38" s="41"/>
      <c r="L38" s="41"/>
      <c r="M38" s="47"/>
      <c r="N38" s="41"/>
      <c r="O38" s="41"/>
      <c r="P38" s="41"/>
      <c r="Q38" s="41"/>
      <c r="R38" s="41"/>
      <c r="S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</row>
    <row r="39" spans="2:51" x14ac:dyDescent="0.35">
      <c r="B39" s="35" t="s">
        <v>48</v>
      </c>
      <c r="C39" s="106">
        <f>'MIS P&amp;L'!C47*10^3/'MIS P&amp;L'!C$2</f>
        <v>9.9138860556607895</v>
      </c>
      <c r="D39" s="106">
        <f>'MIS P&amp;L'!D47*10^3/'MIS P&amp;L'!D$2</f>
        <v>10.364676153743849</v>
      </c>
      <c r="E39" s="106">
        <f>'MIS P&amp;L'!E47*10^3/'MIS P&amp;L'!E$2</f>
        <v>15.051055252772031</v>
      </c>
      <c r="F39" s="106">
        <f>'MIS P&amp;L'!F47*10^3/'MIS P&amp;L'!F$2</f>
        <v>14.225510680907878</v>
      </c>
      <c r="G39" s="106">
        <f>'MIS P&amp;L'!G47*10^3/'MIS P&amp;L'!G$2</f>
        <v>7.5848407172696017</v>
      </c>
      <c r="H39" s="106">
        <f>'MIS P&amp;L'!H47*10^3/'MIS P&amp;L'!H$2</f>
        <v>6.22549130499248</v>
      </c>
      <c r="I39" s="106">
        <f>'MIS P&amp;L'!I47*10^3/'MIS P&amp;L'!I$2</f>
        <v>4.9578048565898296</v>
      </c>
      <c r="J39" s="106">
        <f>'MIS P&amp;L'!J47*10^3/'MIS P&amp;L'!J$2</f>
        <v>3.3256346373981551</v>
      </c>
      <c r="K39" s="106">
        <f>'MIS P&amp;L'!K47*10^3/'MIS P&amp;L'!K$2</f>
        <v>3.8877990738205499</v>
      </c>
      <c r="L39" s="106">
        <f>'MIS P&amp;L'!L47*10^3/'MIS P&amp;L'!L$2</f>
        <v>2.7756297381004833</v>
      </c>
      <c r="M39" s="106" t="e">
        <f>'MIS P&amp;L'!#REF!*10^3/'MIS P&amp;L'!#REF!</f>
        <v>#REF!</v>
      </c>
      <c r="N39" s="106">
        <f>'MIS P&amp;L'!M47*10^3/'MIS P&amp;L'!M$2</f>
        <v>2.6803539073834974</v>
      </c>
      <c r="O39" s="106" t="e">
        <f>'MIS P&amp;L'!#REF!*10^3/'MIS P&amp;L'!#REF!</f>
        <v>#REF!</v>
      </c>
      <c r="P39" s="106" t="e">
        <f>'MIS P&amp;L'!#REF!*10^3/'MIS P&amp;L'!#REF!</f>
        <v>#REF!</v>
      </c>
      <c r="Q39" s="106" t="e">
        <f>'MIS P&amp;L'!#REF!*10^3/'MIS P&amp;L'!#REF!</f>
        <v>#REF!</v>
      </c>
      <c r="R39" s="106" t="e">
        <f>'MIS P&amp;L'!#REF!*10^3/'MIS P&amp;L'!#REF!</f>
        <v>#REF!</v>
      </c>
      <c r="S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I39" s="234"/>
      <c r="AJ39" s="234"/>
      <c r="AK39" s="234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/>
      <c r="AX39" s="234"/>
      <c r="AY39" s="234"/>
    </row>
    <row r="40" spans="2:51" x14ac:dyDescent="0.35">
      <c r="B40" s="35" t="s">
        <v>49</v>
      </c>
      <c r="C40" s="106">
        <f>'MIS P&amp;L'!C48 *10^3/'MIS P&amp;L'!C$2</f>
        <v>77.289463791344886</v>
      </c>
      <c r="D40" s="106">
        <f>'MIS P&amp;L'!D48 *10^3/'MIS P&amp;L'!D$2</f>
        <v>329.27104668173962</v>
      </c>
      <c r="E40" s="106">
        <f>'MIS P&amp;L'!E48 *10^3/'MIS P&amp;L'!E$2</f>
        <v>295.9725615485811</v>
      </c>
      <c r="F40" s="106">
        <f>'MIS P&amp;L'!F48 *10^3/'MIS P&amp;L'!F$2</f>
        <v>175.42154205607477</v>
      </c>
      <c r="G40" s="106">
        <f>'MIS P&amp;L'!G48 *10^3/'MIS P&amp;L'!G$2</f>
        <v>72.552823325471053</v>
      </c>
      <c r="H40" s="106">
        <f>'MIS P&amp;L'!H48 *10^3/'MIS P&amp;L'!H$2</f>
        <v>209.18269259282798</v>
      </c>
      <c r="I40" s="106">
        <f>'MIS P&amp;L'!I48 *10^3/'MIS P&amp;L'!I$2</f>
        <v>146.88179658631006</v>
      </c>
      <c r="J40" s="106">
        <f>'MIS P&amp;L'!J48 *10^3/'MIS P&amp;L'!J$2</f>
        <v>82.779273449599359</v>
      </c>
      <c r="K40" s="106">
        <f>'MIS P&amp;L'!K48 *10^3/'MIS P&amp;L'!K$2</f>
        <v>60.825911477244311</v>
      </c>
      <c r="L40" s="106">
        <f>'MIS P&amp;L'!L48 *10^3/'MIS P&amp;L'!L$2</f>
        <v>34.368918967952631</v>
      </c>
      <c r="M40" s="106" t="e">
        <f>'MIS P&amp;L'!#REF! *10^3/'MIS P&amp;L'!#REF!</f>
        <v>#REF!</v>
      </c>
      <c r="N40" s="106">
        <f>'MIS P&amp;L'!M48 *10^3/'MIS P&amp;L'!M$2</f>
        <v>47.07020911256938</v>
      </c>
      <c r="O40" s="106" t="e">
        <f>'MIS P&amp;L'!#REF! *10^3/'MIS P&amp;L'!#REF!</f>
        <v>#REF!</v>
      </c>
      <c r="P40" s="106" t="e">
        <f>'MIS P&amp;L'!#REF! *10^3/'MIS P&amp;L'!#REF!</f>
        <v>#REF!</v>
      </c>
      <c r="Q40" s="106" t="e">
        <f>'MIS P&amp;L'!#REF! *10^3/'MIS P&amp;L'!#REF!</f>
        <v>#REF!</v>
      </c>
      <c r="R40" s="106" t="e">
        <f>'MIS P&amp;L'!#REF! *10^3/'MIS P&amp;L'!#REF!</f>
        <v>#REF!</v>
      </c>
      <c r="S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I40" s="234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4"/>
      <c r="AX40" s="234"/>
      <c r="AY40" s="234"/>
    </row>
    <row r="41" spans="2:51" x14ac:dyDescent="0.35">
      <c r="B41" s="35"/>
      <c r="C41" s="98"/>
      <c r="D41" s="41"/>
      <c r="E41" s="41"/>
      <c r="F41" s="41"/>
      <c r="G41" s="41"/>
      <c r="H41" s="41"/>
      <c r="I41" s="41"/>
      <c r="J41" s="41"/>
      <c r="K41" s="41"/>
      <c r="L41" s="41"/>
      <c r="M41" s="47"/>
      <c r="N41" s="41"/>
      <c r="O41" s="41"/>
      <c r="P41" s="41"/>
      <c r="Q41" s="41"/>
      <c r="R41" s="41"/>
      <c r="S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234"/>
      <c r="AT41" s="234"/>
      <c r="AU41" s="234"/>
      <c r="AV41" s="234"/>
      <c r="AW41" s="234"/>
      <c r="AX41" s="234"/>
      <c r="AY41" s="234"/>
    </row>
    <row r="42" spans="2:51" x14ac:dyDescent="0.35">
      <c r="B42" s="38" t="s">
        <v>50</v>
      </c>
      <c r="C42" s="94">
        <f t="shared" ref="C42:R42" si="17">C36-C39+C40</f>
        <v>-875.63854291126324</v>
      </c>
      <c r="D42" s="94">
        <f t="shared" si="17"/>
        <v>-1178.483612182471</v>
      </c>
      <c r="E42" s="94">
        <f t="shared" si="17"/>
        <v>-1200.5974112009021</v>
      </c>
      <c r="F42" s="94">
        <f t="shared" si="17"/>
        <v>-1390.19135046729</v>
      </c>
      <c r="G42" s="94">
        <f t="shared" si="17"/>
        <v>-929.21681551877896</v>
      </c>
      <c r="H42" s="94">
        <f t="shared" si="17"/>
        <v>-927.75096714748645</v>
      </c>
      <c r="I42" s="94">
        <f t="shared" si="17"/>
        <v>-799.14951961991903</v>
      </c>
      <c r="J42" s="94">
        <f t="shared" si="17"/>
        <v>-688.46510497012241</v>
      </c>
      <c r="K42" s="94">
        <f t="shared" si="17"/>
        <v>-551.03725027083021</v>
      </c>
      <c r="L42" s="94">
        <f t="shared" si="17"/>
        <v>-456.17876310469501</v>
      </c>
      <c r="M42" s="94" t="e">
        <f t="shared" si="17"/>
        <v>#REF!</v>
      </c>
      <c r="N42" s="94">
        <f t="shared" si="17"/>
        <v>-413.27901359032046</v>
      </c>
      <c r="O42" s="94" t="e">
        <f t="shared" si="17"/>
        <v>#REF!</v>
      </c>
      <c r="P42" s="94" t="e">
        <f t="shared" si="17"/>
        <v>#REF!</v>
      </c>
      <c r="Q42" s="94" t="e">
        <f t="shared" si="17"/>
        <v>#REF!</v>
      </c>
      <c r="R42" s="94" t="e">
        <f t="shared" si="17"/>
        <v>#REF!</v>
      </c>
      <c r="S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4"/>
      <c r="AX42" s="234"/>
      <c r="AY42" s="234"/>
    </row>
    <row r="43" spans="2:51" x14ac:dyDescent="0.35">
      <c r="B43" s="40" t="s">
        <v>51</v>
      </c>
      <c r="C43" s="47">
        <f>C42/C7</f>
        <v>-3.5655890211067209</v>
      </c>
      <c r="D43" s="47">
        <f t="shared" ref="D43:R43" si="18">D42/D7</f>
        <v>-5.0556405654856125</v>
      </c>
      <c r="E43" s="47">
        <f t="shared" si="18"/>
        <v>-5.2043971712093899</v>
      </c>
      <c r="F43" s="47">
        <f t="shared" si="18"/>
        <v>-6.161715085193201</v>
      </c>
      <c r="G43" s="47">
        <f t="shared" si="18"/>
        <v>-4.3222472416721152</v>
      </c>
      <c r="H43" s="47">
        <f t="shared" si="18"/>
        <v>-4.240930714850971</v>
      </c>
      <c r="I43" s="47">
        <f t="shared" si="18"/>
        <v>-3.6501873274831174</v>
      </c>
      <c r="J43" s="47">
        <f t="shared" si="18"/>
        <v>-2.9683491576110628</v>
      </c>
      <c r="K43" s="47">
        <f t="shared" si="18"/>
        <v>-2.461674637664887</v>
      </c>
      <c r="L43" s="47">
        <f t="shared" si="18"/>
        <v>-1.8963615628289769</v>
      </c>
      <c r="M43" s="47" t="e">
        <f t="shared" si="18"/>
        <v>#REF!</v>
      </c>
      <c r="N43" s="47">
        <f t="shared" si="18"/>
        <v>-1.8344602105464554</v>
      </c>
      <c r="O43" s="47" t="e">
        <f t="shared" si="18"/>
        <v>#REF!</v>
      </c>
      <c r="P43" s="47" t="e">
        <f t="shared" si="18"/>
        <v>#REF!</v>
      </c>
      <c r="Q43" s="47" t="e">
        <f t="shared" si="18"/>
        <v>#REF!</v>
      </c>
      <c r="R43" s="47" t="e">
        <f t="shared" si="18"/>
        <v>#REF!</v>
      </c>
    </row>
    <row r="44" spans="2:51" x14ac:dyDescent="0.35">
      <c r="B44" s="40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</row>
    <row r="45" spans="2:51" x14ac:dyDescent="0.35">
      <c r="B45" s="35" t="s">
        <v>52</v>
      </c>
      <c r="C45" s="106">
        <f>'MIS P&amp;L'!C53 *10^3/'MIS P&amp;L'!C$2</f>
        <v>0</v>
      </c>
      <c r="D45" s="106">
        <f>'MIS P&amp;L'!D53 *10^3/'MIS P&amp;L'!D$2</f>
        <v>0</v>
      </c>
      <c r="E45" s="106">
        <f>'MIS P&amp;L'!E53 *10^3/'MIS P&amp;L'!E$2</f>
        <v>0</v>
      </c>
      <c r="F45" s="106">
        <f>'MIS P&amp;L'!F53 *10^3/'MIS P&amp;L'!F$2</f>
        <v>0</v>
      </c>
      <c r="G45" s="106">
        <f>'MIS P&amp;L'!G53 *10^3/'MIS P&amp;L'!G$2</f>
        <v>0</v>
      </c>
      <c r="H45" s="106">
        <f>'MIS P&amp;L'!H53 *10^3/'MIS P&amp;L'!H$2</f>
        <v>0</v>
      </c>
      <c r="I45" s="106">
        <f>'MIS P&amp;L'!I53 *10^3/'MIS P&amp;L'!I$2</f>
        <v>0</v>
      </c>
      <c r="J45" s="106">
        <f>'MIS P&amp;L'!J53 *10^3/'MIS P&amp;L'!J$2</f>
        <v>0</v>
      </c>
      <c r="K45" s="106">
        <f>'MIS P&amp;L'!K53 *10^3/'MIS P&amp;L'!K$2</f>
        <v>0</v>
      </c>
      <c r="L45" s="106">
        <f>'MIS P&amp;L'!L53 *10^3/'MIS P&amp;L'!L$2</f>
        <v>0</v>
      </c>
      <c r="M45" s="106" t="e">
        <f>'MIS P&amp;L'!#REF! *10^3/'MIS P&amp;L'!#REF!</f>
        <v>#REF!</v>
      </c>
      <c r="N45" s="106">
        <f>'MIS P&amp;L'!M53 *10^3/'MIS P&amp;L'!M$2</f>
        <v>0</v>
      </c>
      <c r="O45" s="106" t="e">
        <f>'MIS P&amp;L'!#REF! *10^3/'MIS P&amp;L'!#REF!</f>
        <v>#REF!</v>
      </c>
      <c r="P45" s="106" t="e">
        <f>'MIS P&amp;L'!#REF! *10^3/'MIS P&amp;L'!#REF!</f>
        <v>#REF!</v>
      </c>
      <c r="Q45" s="106" t="e">
        <f>'MIS P&amp;L'!#REF! *10^3/'MIS P&amp;L'!#REF!</f>
        <v>#REF!</v>
      </c>
      <c r="R45" s="106" t="e">
        <f>'MIS P&amp;L'!#REF! *10^3/'MIS P&amp;L'!#REF!</f>
        <v>#REF!</v>
      </c>
    </row>
    <row r="46" spans="2:51" x14ac:dyDescent="0.35">
      <c r="B46" s="35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</row>
    <row r="47" spans="2:51" x14ac:dyDescent="0.35">
      <c r="B47" s="38" t="s">
        <v>53</v>
      </c>
      <c r="C47" s="94">
        <f t="shared" ref="C47:R47" si="19">C42-C45</f>
        <v>-875.63854291126324</v>
      </c>
      <c r="D47" s="94">
        <f t="shared" si="19"/>
        <v>-1178.483612182471</v>
      </c>
      <c r="E47" s="94">
        <f t="shared" si="19"/>
        <v>-1200.5974112009021</v>
      </c>
      <c r="F47" s="94">
        <f t="shared" si="19"/>
        <v>-1390.19135046729</v>
      </c>
      <c r="G47" s="94">
        <f t="shared" si="19"/>
        <v>-929.21681551877896</v>
      </c>
      <c r="H47" s="94">
        <f t="shared" si="19"/>
        <v>-927.75096714748645</v>
      </c>
      <c r="I47" s="94">
        <f t="shared" si="19"/>
        <v>-799.14951961991903</v>
      </c>
      <c r="J47" s="94">
        <f t="shared" si="19"/>
        <v>-688.46510497012241</v>
      </c>
      <c r="K47" s="94">
        <f t="shared" si="19"/>
        <v>-551.03725027083021</v>
      </c>
      <c r="L47" s="94">
        <f t="shared" si="19"/>
        <v>-456.17876310469501</v>
      </c>
      <c r="M47" s="94" t="e">
        <f t="shared" si="19"/>
        <v>#REF!</v>
      </c>
      <c r="N47" s="94">
        <f t="shared" si="19"/>
        <v>-413.27901359032046</v>
      </c>
      <c r="O47" s="94" t="e">
        <f t="shared" si="19"/>
        <v>#REF!</v>
      </c>
      <c r="P47" s="94" t="e">
        <f t="shared" si="19"/>
        <v>#REF!</v>
      </c>
      <c r="Q47" s="94" t="e">
        <f t="shared" si="19"/>
        <v>#REF!</v>
      </c>
      <c r="R47" s="94" t="e">
        <f t="shared" si="19"/>
        <v>#REF!</v>
      </c>
    </row>
    <row r="48" spans="2:51" x14ac:dyDescent="0.35">
      <c r="B48" s="48" t="s">
        <v>54</v>
      </c>
      <c r="C48" s="99">
        <f>C47/C7</f>
        <v>-3.5655890211067209</v>
      </c>
      <c r="D48" s="99">
        <f t="shared" ref="D48:R48" si="20">D47/D7</f>
        <v>-5.0556405654856125</v>
      </c>
      <c r="E48" s="99">
        <f t="shared" si="20"/>
        <v>-5.2043971712093899</v>
      </c>
      <c r="F48" s="99">
        <f t="shared" si="20"/>
        <v>-6.161715085193201</v>
      </c>
      <c r="G48" s="99">
        <f t="shared" si="20"/>
        <v>-4.3222472416721152</v>
      </c>
      <c r="H48" s="99">
        <f t="shared" si="20"/>
        <v>-4.240930714850971</v>
      </c>
      <c r="I48" s="99">
        <f t="shared" si="20"/>
        <v>-3.6501873274831174</v>
      </c>
      <c r="J48" s="99">
        <f t="shared" si="20"/>
        <v>-2.9683491576110628</v>
      </c>
      <c r="K48" s="99">
        <f t="shared" si="20"/>
        <v>-2.461674637664887</v>
      </c>
      <c r="L48" s="99">
        <f t="shared" si="20"/>
        <v>-1.8963615628289769</v>
      </c>
      <c r="M48" s="99" t="e">
        <f t="shared" si="20"/>
        <v>#REF!</v>
      </c>
      <c r="N48" s="99">
        <f t="shared" si="20"/>
        <v>-1.8344602105464554</v>
      </c>
      <c r="O48" s="99" t="e">
        <f t="shared" si="20"/>
        <v>#REF!</v>
      </c>
      <c r="P48" s="99" t="e">
        <f t="shared" si="20"/>
        <v>#REF!</v>
      </c>
      <c r="Q48" s="99" t="e">
        <f t="shared" si="20"/>
        <v>#REF!</v>
      </c>
      <c r="R48" s="99" t="e">
        <f t="shared" si="20"/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B1BC-1D74-4555-AA1E-5458039E36D2}">
  <sheetPr>
    <tabColor rgb="FF92D050"/>
  </sheetPr>
  <dimension ref="A2:BH46"/>
  <sheetViews>
    <sheetView showGridLines="0" zoomScale="80" zoomScaleNormal="90" zoomScaleSheetLayoutView="90" workbookViewId="0">
      <pane xSplit="3" ySplit="3" topLeftCell="P34" activePane="bottomRight" state="frozen"/>
      <selection pane="topRight" activeCell="E1" sqref="E1"/>
      <selection pane="bottomLeft" activeCell="A4" sqref="A4"/>
      <selection pane="bottomRight" activeCell="P7" sqref="P7:X43"/>
    </sheetView>
  </sheetViews>
  <sheetFormatPr defaultColWidth="8.81640625" defaultRowHeight="13" x14ac:dyDescent="0.3"/>
  <cols>
    <col min="1" max="1" width="3.81640625" style="2" customWidth="1"/>
    <col min="2" max="2" width="28.1796875" style="2" bestFit="1" customWidth="1"/>
    <col min="3" max="15" width="12.81640625" style="2" hidden="1" customWidth="1"/>
    <col min="16" max="24" width="12.81640625" style="2" customWidth="1"/>
    <col min="25" max="26" width="9.1796875" style="2" bestFit="1" customWidth="1"/>
    <col min="27" max="16384" width="8.81640625" style="2"/>
  </cols>
  <sheetData>
    <row r="2" spans="1:60" x14ac:dyDescent="0.3">
      <c r="A2" s="7"/>
      <c r="B2" s="31" t="s">
        <v>1365</v>
      </c>
      <c r="C2" s="32"/>
      <c r="D2" s="214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60" x14ac:dyDescent="0.3">
      <c r="B3" s="33" t="s">
        <v>24</v>
      </c>
      <c r="C3" s="34">
        <v>45352</v>
      </c>
      <c r="D3" s="93">
        <v>45383</v>
      </c>
      <c r="E3" s="34">
        <v>45413</v>
      </c>
      <c r="F3" s="34">
        <v>45444</v>
      </c>
      <c r="G3" s="34">
        <v>45474</v>
      </c>
      <c r="H3" s="34">
        <v>45505</v>
      </c>
      <c r="I3" s="93">
        <v>45536</v>
      </c>
      <c r="J3" s="93">
        <v>45566</v>
      </c>
      <c r="K3" s="93">
        <v>45597</v>
      </c>
      <c r="L3" s="93">
        <v>45627</v>
      </c>
      <c r="M3" s="93">
        <v>45658</v>
      </c>
      <c r="N3" s="93">
        <v>45689</v>
      </c>
      <c r="O3" s="93">
        <v>45717</v>
      </c>
      <c r="P3" s="93">
        <v>45748</v>
      </c>
      <c r="Q3" s="93">
        <v>45778</v>
      </c>
      <c r="R3" s="93">
        <v>45809</v>
      </c>
      <c r="S3" s="93">
        <v>45839</v>
      </c>
      <c r="T3" s="93">
        <v>45870</v>
      </c>
      <c r="U3" s="93">
        <v>45901</v>
      </c>
      <c r="V3" s="93">
        <v>45931</v>
      </c>
      <c r="W3" s="93">
        <v>45962</v>
      </c>
      <c r="X3" s="93">
        <v>45992</v>
      </c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</row>
    <row r="4" spans="1:60" x14ac:dyDescent="0.3">
      <c r="B4" s="35"/>
      <c r="C4" s="9"/>
      <c r="D4" s="21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</row>
    <row r="5" spans="1:60" x14ac:dyDescent="0.3">
      <c r="B5" s="359" t="s">
        <v>1366</v>
      </c>
      <c r="C5" s="9"/>
      <c r="D5" s="21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</row>
    <row r="6" spans="1:60" x14ac:dyDescent="0.3">
      <c r="B6" s="360"/>
      <c r="C6" s="13"/>
      <c r="D6" s="361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</row>
    <row r="7" spans="1:60" x14ac:dyDescent="0.3">
      <c r="B7" s="54" t="s">
        <v>1367</v>
      </c>
      <c r="C7" s="363">
        <v>-1805.7438999999999</v>
      </c>
      <c r="D7" s="364" t="e">
        <f t="shared" ref="D7:P7" si="0">SUM(D8:D9)</f>
        <v>#REF!</v>
      </c>
      <c r="E7" s="363" t="e">
        <f t="shared" si="0"/>
        <v>#REF!</v>
      </c>
      <c r="F7" s="363" t="e">
        <f t="shared" si="0"/>
        <v>#REF!</v>
      </c>
      <c r="G7" s="363" t="e">
        <f t="shared" si="0"/>
        <v>#REF!</v>
      </c>
      <c r="H7" s="363" t="e">
        <f t="shared" si="0"/>
        <v>#REF!</v>
      </c>
      <c r="I7" s="363" t="e">
        <f t="shared" si="0"/>
        <v>#REF!</v>
      </c>
      <c r="J7" s="363" t="e">
        <f t="shared" si="0"/>
        <v>#REF!</v>
      </c>
      <c r="K7" s="363" t="e">
        <f t="shared" si="0"/>
        <v>#REF!</v>
      </c>
      <c r="L7" s="363" t="e">
        <f t="shared" si="0"/>
        <v>#REF!</v>
      </c>
      <c r="M7" s="363">
        <f t="shared" si="0"/>
        <v>520749.56364999997</v>
      </c>
      <c r="N7" s="363">
        <f t="shared" si="0"/>
        <v>511886.93351999996</v>
      </c>
      <c r="O7" s="363">
        <f t="shared" si="0"/>
        <v>499105.09732</v>
      </c>
      <c r="P7" s="363">
        <f t="shared" si="0"/>
        <v>476596.04779999994</v>
      </c>
      <c r="Q7" s="363">
        <f t="shared" ref="Q7:X7" si="1">SUM(Q8:Q9)</f>
        <v>443897.83727870963</v>
      </c>
      <c r="R7" s="363">
        <f t="shared" si="1"/>
        <v>2023679.1998200002</v>
      </c>
      <c r="S7" s="363">
        <f t="shared" si="1"/>
        <v>1969180.3991799999</v>
      </c>
      <c r="T7" s="365">
        <f t="shared" si="1"/>
        <v>1887385.2369887095</v>
      </c>
      <c r="U7" s="365">
        <f t="shared" si="1"/>
        <v>1794809.87686</v>
      </c>
      <c r="V7" s="365">
        <f t="shared" si="1"/>
        <v>2954811.2424099999</v>
      </c>
      <c r="W7" s="365">
        <f t="shared" si="1"/>
        <v>4151752.5751399989</v>
      </c>
      <c r="X7" s="365">
        <f t="shared" si="1"/>
        <v>3944770.3979699998</v>
      </c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1"/>
      <c r="AM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</row>
    <row r="8" spans="1:60" x14ac:dyDescent="0.3">
      <c r="B8" s="64" t="s">
        <v>63</v>
      </c>
      <c r="C8" s="366">
        <v>100</v>
      </c>
      <c r="D8" s="367">
        <f>-SUMIF('TB 0424'!G:G,BS!B8,'TB 0424'!D:D)</f>
        <v>100</v>
      </c>
      <c r="E8" s="366">
        <f>-SUMIF('TB 0524'!G:G,BS!B8,'TB 0524'!D:D)</f>
        <v>4307.01</v>
      </c>
      <c r="F8" s="366">
        <f>-SUMIF('TB 0624'!G:G,BS!B8,'TB 0624'!D:D)</f>
        <v>4307.01</v>
      </c>
      <c r="G8" s="366">
        <f>-SUMIF('TB 0724'!G:G,BS!B8,'TB 0724'!D:D)</f>
        <v>4307.01</v>
      </c>
      <c r="H8" s="366">
        <f>-SUMIF('TB 0824'!G:G,BS!B8,'TB 0824'!D:D)</f>
        <v>4307.01</v>
      </c>
      <c r="I8" s="366">
        <f>-SUMIF('TB 1024'!K:K,BS!B8,'TB 1024'!H:H)</f>
        <v>4307.01</v>
      </c>
      <c r="J8" s="366">
        <f>-SUMIF('TB 1024'!K:K,BS!B8,'TB 1024'!H:H)</f>
        <v>4307.01</v>
      </c>
      <c r="K8" s="366">
        <f>-SUMIF('TB 1124'!H:H,BS!B8,'TB 1124'!F:F)</f>
        <v>4307.01</v>
      </c>
      <c r="L8" s="366">
        <f>-SUMIF('TB 1224'!H:H,BS!B8,'TB 1224'!F:F)</f>
        <v>4307.01</v>
      </c>
      <c r="M8" s="366">
        <f>-SUMIF('TB 0125'!H:H,BS!B8,'TB 0125'!F:F)</f>
        <v>9441.619999999999</v>
      </c>
      <c r="N8" s="366">
        <f>-SUMIF('TB 0225'!H:H,BS!B8,'TB 0225'!F:F)</f>
        <v>9441.619999999999</v>
      </c>
      <c r="O8" s="366">
        <f>-SUMIF('TB 0325'!H:H,BS!B8,'TB 0325'!F:F)</f>
        <v>9441.619999999999</v>
      </c>
      <c r="P8" s="366">
        <f>-SUMIF('TB 0425'!H:H,BS!B8,'TB 0425'!F:F)</f>
        <v>9441.619999999999</v>
      </c>
      <c r="Q8" s="366">
        <f>-SUMIF('TB 0525'!H:H,BS!B8,'TB 0525'!F:F)</f>
        <v>9441.619999999999</v>
      </c>
      <c r="R8" s="366">
        <f>-SUMIF('TB 0625'!H:H,BS!B8,'TB 0625'!F:F)</f>
        <v>15958.119999999999</v>
      </c>
      <c r="S8" s="366">
        <f>-SUMIF('TB 0725'!H:H,BS!B8,'TB 0725'!F:F)</f>
        <v>15958.119999999999</v>
      </c>
      <c r="T8" s="65">
        <f>-SUMIF('TB 0825'!H:H,BS!B8,'TB 0825'!F:F)</f>
        <v>15958.119999999999</v>
      </c>
      <c r="U8" s="65">
        <f>-SUMIF('TB 0925'!H:H,BS!B8,'TB 0925'!F:F)</f>
        <v>15958.119999999999</v>
      </c>
      <c r="V8" s="65">
        <f>-SUMIF('TB 1025'!H:H,BS!B8,'TB 1025'!F:F)</f>
        <v>15958.119999999999</v>
      </c>
      <c r="W8" s="65">
        <f>-SUMIF('TB 1125'!H:H,BS!B8,'TB 1125'!F:F)</f>
        <v>19705.016000000007</v>
      </c>
      <c r="X8" s="65">
        <f>-SUMIF('TB 1225'!H:H,BS!B8,'TB 1225'!F:F)</f>
        <v>19627.430000000008</v>
      </c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1"/>
      <c r="AM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</row>
    <row r="9" spans="1:60" x14ac:dyDescent="0.3">
      <c r="B9" s="64" t="s">
        <v>64</v>
      </c>
      <c r="C9" s="366">
        <v>-1905.7438999999999</v>
      </c>
      <c r="D9" s="367" t="e">
        <f>-SUMIF('TB 0424'!G:G,BS!B9,'TB 0424'!D:D)+'MIS P&amp;L'!#REF!</f>
        <v>#REF!</v>
      </c>
      <c r="E9" s="366" t="e">
        <f>-SUMIF('TB 0524'!G:G,BS!B9,'TB 0524'!D:D)+'MIS P&amp;L'!#REF!</f>
        <v>#REF!</v>
      </c>
      <c r="F9" s="366" t="e">
        <f>-SUMIF('TB 0624'!G:G,BS!B9,'TB 0624'!D:D)+'MIS P&amp;L'!#REF!</f>
        <v>#REF!</v>
      </c>
      <c r="G9" s="366" t="e">
        <f>-SUMIF('TB 0724'!G:G,BS!B9,'TB 0724'!D:D)+'MIS P&amp;L'!#REF!</f>
        <v>#REF!</v>
      </c>
      <c r="H9" s="366" t="e">
        <f>-SUMIF('TB 0824'!G:G,BS!B9,'TB 0824'!D:D)+'MIS P&amp;L'!#REF!</f>
        <v>#REF!</v>
      </c>
      <c r="I9" s="366" t="e">
        <f>H9+'MIS P&amp;L'!#REF!</f>
        <v>#REF!</v>
      </c>
      <c r="J9" s="366" t="e">
        <f>I9+'MIS P&amp;L'!#REF!</f>
        <v>#REF!</v>
      </c>
      <c r="K9" s="366" t="e">
        <f>J9+'MIS P&amp;L'!#REF!</f>
        <v>#REF!</v>
      </c>
      <c r="L9" s="366" t="e">
        <f>K9+'MIS P&amp;L'!#REF!</f>
        <v>#REF!</v>
      </c>
      <c r="M9" s="366">
        <f>-SUMIF('TB 0125'!H:H,BS!B9,'TB 0125'!F:F)+'MIS P&amp;L'!C55</f>
        <v>511307.94364999997</v>
      </c>
      <c r="N9" s="366">
        <f>-SUMIF('TB 0225'!H:H,BS!B9,'TB 0225'!F:F)+'MIS P&amp;L'!D55</f>
        <v>502445.31351999997</v>
      </c>
      <c r="O9" s="366">
        <f>-SUMIF('TB 0325'!H:H,BS!B9,'TB 0325'!F:F)+'MIS P&amp;L'!E55</f>
        <v>489663.47732000001</v>
      </c>
      <c r="P9" s="366">
        <f>-SUMIF('TB 0425'!H:H,BS!B9,'TB 0425'!F:F)+'MIS P&amp;L'!F55</f>
        <v>467154.42779999995</v>
      </c>
      <c r="Q9" s="366">
        <f>-SUMIF('TB 0525'!H:H,BS!B9,'TB 0525'!F:F)+'MIS P&amp;L'!G55</f>
        <v>434456.21727870964</v>
      </c>
      <c r="R9" s="366">
        <f>-SUMIF('TB 0625'!H:H,BS!B9,'TB 0625'!F:F)+'MIS P&amp;L'!H55</f>
        <v>2007721.0798200001</v>
      </c>
      <c r="S9" s="366">
        <f>-SUMIF('TB 0725'!H:H,BS!B9,'TB 0725'!F:F)+'MIS P&amp;L'!I55</f>
        <v>1953222.2791799998</v>
      </c>
      <c r="T9" s="65">
        <f>-SUMIF('TB 0825'!H:H,BS!B9,'TB 0825'!F:F)+'MIS P&amp;L'!J55</f>
        <v>1871427.1169887094</v>
      </c>
      <c r="U9" s="65">
        <f>-SUMIF('TB 0925'!H:H,BS!B9,'TB 0925'!F:F)+'MIS P&amp;L'!K55</f>
        <v>1778851.7568599998</v>
      </c>
      <c r="V9" s="65">
        <f>-SUMIF('TB 1025'!H:H,BS!B9,'TB 1025'!F:F)+'MIS P&amp;L'!L55</f>
        <v>2938853.1224099998</v>
      </c>
      <c r="W9" s="65">
        <f>-SUMIF('TB 1125'!H:H,BS!B9,'TB 1125'!F:F)+'MIS P&amp;L'!M55</f>
        <v>4132047.5591399991</v>
      </c>
      <c r="X9" s="65">
        <f>-SUMIF('TB 1225'!H:H,BS!B9,'TB 1225'!F:F)+'MIS P&amp;L'!N55</f>
        <v>3925142.9679699996</v>
      </c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1"/>
      <c r="AM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</row>
    <row r="10" spans="1:60" x14ac:dyDescent="0.3">
      <c r="B10" s="54"/>
      <c r="C10" s="18"/>
      <c r="D10" s="229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368"/>
      <c r="Q10" s="368"/>
      <c r="R10" s="368"/>
      <c r="S10" s="368"/>
      <c r="T10" s="365"/>
      <c r="U10" s="365"/>
      <c r="V10" s="365"/>
      <c r="W10" s="365"/>
      <c r="X10" s="365"/>
      <c r="Y10" s="391"/>
      <c r="Z10" s="391"/>
      <c r="AA10" s="391"/>
      <c r="AB10" s="391"/>
      <c r="AC10" s="391"/>
      <c r="AD10" s="391"/>
      <c r="AE10" s="391"/>
      <c r="AF10" s="391"/>
      <c r="AG10" s="391"/>
      <c r="AH10" s="380"/>
      <c r="AI10" s="380"/>
      <c r="AJ10" s="380"/>
      <c r="AK10" s="380"/>
      <c r="AL10" s="61"/>
      <c r="AM10" s="380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</row>
    <row r="11" spans="1:60" x14ac:dyDescent="0.3">
      <c r="B11" s="54" t="s">
        <v>1368</v>
      </c>
      <c r="C11" s="365">
        <v>1509.2339999999999</v>
      </c>
      <c r="D11" s="369">
        <f t="shared" ref="D11:P11" si="2">SUM(D12:D15)</f>
        <v>3065.4084600000001</v>
      </c>
      <c r="E11" s="365">
        <f t="shared" si="2"/>
        <v>261.76785999999998</v>
      </c>
      <c r="F11" s="365">
        <f t="shared" si="2"/>
        <v>261.76785999999998</v>
      </c>
      <c r="G11" s="365">
        <f t="shared" si="2"/>
        <v>261.76785999999998</v>
      </c>
      <c r="H11" s="365">
        <f t="shared" si="2"/>
        <v>261.76785999999998</v>
      </c>
      <c r="I11" s="365">
        <f t="shared" si="2"/>
        <v>0</v>
      </c>
      <c r="J11" s="365">
        <f t="shared" si="2"/>
        <v>0</v>
      </c>
      <c r="K11" s="365">
        <f t="shared" si="2"/>
        <v>0</v>
      </c>
      <c r="L11" s="365">
        <f t="shared" si="2"/>
        <v>0</v>
      </c>
      <c r="M11" s="365">
        <f t="shared" si="2"/>
        <v>0</v>
      </c>
      <c r="N11" s="365">
        <f t="shared" si="2"/>
        <v>0</v>
      </c>
      <c r="O11" s="365">
        <f t="shared" si="2"/>
        <v>0</v>
      </c>
      <c r="P11" s="368">
        <f t="shared" si="2"/>
        <v>548.98400000000004</v>
      </c>
      <c r="Q11" s="368">
        <f t="shared" ref="Q11:X11" si="3">SUM(Q12:Q15)</f>
        <v>548.98400000000004</v>
      </c>
      <c r="R11" s="368">
        <f t="shared" si="3"/>
        <v>548.98400000000004</v>
      </c>
      <c r="S11" s="368">
        <f t="shared" si="3"/>
        <v>548.98400000000004</v>
      </c>
      <c r="T11" s="365">
        <f t="shared" si="3"/>
        <v>548.98400000000004</v>
      </c>
      <c r="U11" s="365">
        <f t="shared" si="3"/>
        <v>548.98400000000004</v>
      </c>
      <c r="V11" s="365">
        <f t="shared" si="3"/>
        <v>548.98400000000004</v>
      </c>
      <c r="W11" s="365">
        <f t="shared" si="3"/>
        <v>548.98400000000004</v>
      </c>
      <c r="X11" s="365">
        <f t="shared" si="3"/>
        <v>548.98400000000004</v>
      </c>
      <c r="Y11" s="61"/>
      <c r="Z11" s="61"/>
      <c r="AA11" s="61"/>
      <c r="AB11" s="61"/>
      <c r="AC11" s="61"/>
      <c r="AD11" s="61"/>
      <c r="AE11" s="61"/>
      <c r="AF11" s="61"/>
      <c r="AG11" s="61"/>
      <c r="AH11" s="380"/>
      <c r="AI11" s="380"/>
      <c r="AJ11" s="380"/>
      <c r="AK11" s="380"/>
      <c r="AL11" s="61"/>
      <c r="AM11" s="380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</row>
    <row r="12" spans="1:60" x14ac:dyDescent="0.3">
      <c r="B12" s="64" t="s">
        <v>65</v>
      </c>
      <c r="C12" s="65">
        <v>1509.2339999999999</v>
      </c>
      <c r="D12" s="216">
        <f>-SUMIF('TB 0424'!G:G,BS!B12,'TB 0424'!D:D)</f>
        <v>3065.4084600000001</v>
      </c>
      <c r="E12" s="65">
        <f>-SUMIF('TB 0524'!G:G,BS!B12,'TB 0524'!D:D)</f>
        <v>261.76785999999998</v>
      </c>
      <c r="F12" s="65">
        <f>-SUMIF('TB 0624'!G:G,BS!B12,'TB 0624'!D:D)</f>
        <v>261.76785999999998</v>
      </c>
      <c r="G12" s="65">
        <f>-SUMIF('TB 0724'!G:G,BS!B12,'TB 0724'!D:D)</f>
        <v>261.76785999999998</v>
      </c>
      <c r="H12" s="65">
        <f>-SUMIF('TB 0824'!G:G,BS!B12,'TB 0824'!D:D)</f>
        <v>261.76785999999998</v>
      </c>
      <c r="I12" s="65">
        <f>-SUMIF('TB 0924'!G:G,BS!B12,'TB 0924'!D:D)</f>
        <v>0</v>
      </c>
      <c r="J12" s="65">
        <f>-SUMIF('TB 1024'!K:K,BS!B12,'TB 1024'!H:H)</f>
        <v>0</v>
      </c>
      <c r="K12" s="65">
        <f>-SUMIF('TB 1124'!H:H,BS!B12,'TB 1124'!F:F)</f>
        <v>0</v>
      </c>
      <c r="L12" s="65">
        <f>-SUMIF('TB 1224'!H:H,BS!B12,'TB 1224'!F:F)</f>
        <v>0</v>
      </c>
      <c r="M12" s="65">
        <f>-SUMIF('TB 0125'!H:H,BS!B12,'TB 0125'!F:F)</f>
        <v>0</v>
      </c>
      <c r="N12" s="65">
        <f>-SUMIF('TB 0225'!H:H,BS!B12,'TB 0225'!F:F)</f>
        <v>0</v>
      </c>
      <c r="O12" s="65">
        <f>-SUMIF('TB 0325'!H:H,BS!B12,'TB 0325'!F:F)</f>
        <v>0</v>
      </c>
      <c r="P12" s="370">
        <f>-SUMIF('TB 0425'!H:H,BS!B12,'TB 0425'!F:F)</f>
        <v>0</v>
      </c>
      <c r="Q12" s="370">
        <f>-SUMIF('TB 0525'!H:H,BS!B12,'TB 0525'!F:F)</f>
        <v>0</v>
      </c>
      <c r="R12" s="370">
        <f>-SUMIF('TB 0625'!H:H,BS!B12,'TB 0625'!F:F)</f>
        <v>0</v>
      </c>
      <c r="S12" s="370">
        <f>-SUMIF('TB 0725'!H:H,BS!B12,'TB 0725'!F:F)</f>
        <v>0</v>
      </c>
      <c r="T12" s="65">
        <f>-SUMIF('TB 0825'!H:H,BS!B12,'TB 0825'!F:F)</f>
        <v>0</v>
      </c>
      <c r="U12" s="65">
        <f>-SUMIF('TB 0925'!H:H,BS!B12,'TB 0925'!F:F)</f>
        <v>0</v>
      </c>
      <c r="V12" s="65">
        <f>-SUMIF('TB 1025'!H:H,BS!B12,'TB 1025'!F:F)</f>
        <v>0</v>
      </c>
      <c r="W12" s="65">
        <f>-SUMIF('TB 1125'!H:H,BS!B12,'TB 1125'!F:F)</f>
        <v>0</v>
      </c>
      <c r="X12" s="65">
        <f>-SUMIF('TB 1225'!H:H,BS!B12,'TB 1225'!F:F)</f>
        <v>0</v>
      </c>
      <c r="Y12" s="63"/>
      <c r="Z12" s="61"/>
      <c r="AA12" s="61"/>
      <c r="AB12" s="61"/>
      <c r="AC12" s="61"/>
      <c r="AD12" s="61"/>
      <c r="AE12" s="61"/>
      <c r="AF12" s="61"/>
      <c r="AG12" s="61"/>
      <c r="AH12" s="380"/>
      <c r="AI12" s="380"/>
      <c r="AJ12" s="380"/>
      <c r="AK12" s="380"/>
      <c r="AL12" s="61"/>
      <c r="AM12" s="380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</row>
    <row r="13" spans="1:60" x14ac:dyDescent="0.3">
      <c r="B13" s="64" t="s">
        <v>1369</v>
      </c>
      <c r="C13" s="65">
        <v>0</v>
      </c>
      <c r="D13" s="216">
        <f>-SUMIF('TB 0424'!G:G,BS!B13,'TB 0424'!D:D)</f>
        <v>0</v>
      </c>
      <c r="E13" s="65">
        <f>-SUMIF('TB 0524'!G:G,BS!B13,'TB 0524'!D:D)</f>
        <v>0</v>
      </c>
      <c r="F13" s="65">
        <f>-SUMIF('TB 0624'!G:G,BS!B13,'TB 0624'!D:D)</f>
        <v>0</v>
      </c>
      <c r="G13" s="65">
        <f>-SUMIF('TB 0724'!G:G,BS!B13,'TB 0724'!D:D)</f>
        <v>0</v>
      </c>
      <c r="H13" s="65">
        <f>-SUMIF('TB 0824'!G:G,BS!B13,'TB 0824'!D:D)</f>
        <v>0</v>
      </c>
      <c r="I13" s="65">
        <f>-SUMIF('TB 0924'!G:G,BS!B13,'TB 0924'!D:D)</f>
        <v>0</v>
      </c>
      <c r="J13" s="65">
        <f>-SUMIF('TB 1024'!K:K,BS!B13,'TB 1024'!H:H)</f>
        <v>0</v>
      </c>
      <c r="K13" s="65">
        <f>-SUMIF('TB 1124'!H:H,BS!B13,'TB 1124'!F:F)</f>
        <v>0</v>
      </c>
      <c r="L13" s="65">
        <f>-SUMIF('TB 1224'!H:H,BS!B13,'TB 1224'!F:F)</f>
        <v>0</v>
      </c>
      <c r="M13" s="65">
        <f>-SUMIF('TB 0125'!H:H,BS!B13,'TB 0125'!F:F)</f>
        <v>0</v>
      </c>
      <c r="N13" s="65">
        <f>-SUMIF('TB 0225'!H:H,BS!B13,'TB 0225'!F:F)</f>
        <v>0</v>
      </c>
      <c r="O13" s="65">
        <f>-SUMIF('TB 0325'!H:H,BS!B13,'TB 0325'!F:F)</f>
        <v>0</v>
      </c>
      <c r="P13" s="370">
        <f>-SUMIF('TB 0425'!H:H,BS!B13,'TB 0425'!F:F)</f>
        <v>0</v>
      </c>
      <c r="Q13" s="370">
        <f>-SUMIF('TB 0525'!H:H,BS!B13,'TB 0525'!F:F)</f>
        <v>0</v>
      </c>
      <c r="R13" s="370">
        <f>-SUMIF('TB 0625'!H:H,BS!B13,'TB 0625'!F:F)</f>
        <v>0</v>
      </c>
      <c r="S13" s="370">
        <f>-SUMIF('TB 0725'!H:H,BS!B13,'TB 0725'!F:F)</f>
        <v>0</v>
      </c>
      <c r="T13" s="65">
        <f>-SUMIF('TB 0825'!H:H,BS!B13,'TB 0825'!F:F)</f>
        <v>0</v>
      </c>
      <c r="U13" s="65">
        <f>-SUMIF('TB 0925'!H:H,BS!B13,'TB 0925'!F:F)</f>
        <v>0</v>
      </c>
      <c r="V13" s="65">
        <f>-SUMIF('TB 1025'!H:H,BS!B13,'TB 1025'!F:F)</f>
        <v>0</v>
      </c>
      <c r="W13" s="65">
        <f>-SUMIF('TB 1125'!H:H,BS!B13,'TB 1125'!F:F)</f>
        <v>0</v>
      </c>
      <c r="X13" s="65">
        <f>-SUMIF('TB 1225'!H:H,BS!B13,'TB 1225'!F:F)</f>
        <v>0</v>
      </c>
      <c r="Y13" s="63"/>
      <c r="Z13" s="61"/>
      <c r="AA13" s="61"/>
      <c r="AB13" s="61"/>
      <c r="AC13" s="61"/>
      <c r="AD13" s="61"/>
      <c r="AE13" s="61"/>
      <c r="AF13" s="61"/>
      <c r="AG13" s="61"/>
      <c r="AH13" s="380"/>
      <c r="AI13" s="380"/>
      <c r="AJ13" s="380"/>
      <c r="AK13" s="380"/>
      <c r="AL13" s="61"/>
      <c r="AM13" s="380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</row>
    <row r="14" spans="1:60" x14ac:dyDescent="0.3">
      <c r="B14" s="64" t="s">
        <v>1370</v>
      </c>
      <c r="C14" s="65">
        <v>0</v>
      </c>
      <c r="D14" s="216">
        <f>-SUMIF('TB 0424'!G:G,BS!B14,'TB 0424'!D:D)</f>
        <v>0</v>
      </c>
      <c r="E14" s="65">
        <f>-SUMIF('TB 0524'!G:G,BS!B14,'TB 0524'!D:D)</f>
        <v>0</v>
      </c>
      <c r="F14" s="65">
        <f>-SUMIF('TB 0624'!G:G,BS!B14,'TB 0624'!D:D)</f>
        <v>0</v>
      </c>
      <c r="G14" s="65">
        <f>-SUMIF('TB 0724'!G:G,BS!B14,'TB 0724'!D:D)</f>
        <v>0</v>
      </c>
      <c r="H14" s="65">
        <f>-SUMIF('TB 0824'!G:G,BS!B14,'TB 0824'!D:D)</f>
        <v>0</v>
      </c>
      <c r="I14" s="65">
        <f>-SUMIF('TB 0924'!G:G,BS!B14,'TB 0924'!D:D)</f>
        <v>0</v>
      </c>
      <c r="J14" s="65">
        <f>-SUMIF('TB 1024'!K:K,BS!B14,'TB 1024'!H:H)</f>
        <v>0</v>
      </c>
      <c r="K14" s="65">
        <f>-SUMIF('TB 1124'!H:H,BS!B14,'TB 1124'!F:F)</f>
        <v>0</v>
      </c>
      <c r="L14" s="65">
        <f>-SUMIF('TB 1224'!H:H,BS!B14,'TB 1224'!F:F)</f>
        <v>0</v>
      </c>
      <c r="M14" s="65">
        <f>-SUMIF('TB 0125'!H:H,BS!B14,'TB 0125'!F:F)</f>
        <v>0</v>
      </c>
      <c r="N14" s="65">
        <f>-SUMIF('TB 0225'!H:H,BS!B14,'TB 0225'!F:F)</f>
        <v>0</v>
      </c>
      <c r="O14" s="65">
        <f>-SUMIF('TB 0325'!H:H,BS!B14,'TB 0325'!F:F)</f>
        <v>0</v>
      </c>
      <c r="P14" s="370">
        <f>-SUMIF('TB 0425'!H:H,BS!B14,'TB 0425'!F:F)</f>
        <v>0</v>
      </c>
      <c r="Q14" s="370">
        <f>-SUMIF('TB 0525'!H:H,BS!B14,'TB 0525'!F:F)</f>
        <v>0</v>
      </c>
      <c r="R14" s="370">
        <f>-SUMIF('TB 0625'!H:H,BS!B14,'TB 0625'!F:F)</f>
        <v>0</v>
      </c>
      <c r="S14" s="370">
        <f>-SUMIF('TB 0725'!H:H,BS!B14,'TB 0725'!F:F)</f>
        <v>0</v>
      </c>
      <c r="T14" s="65">
        <f>-SUMIF('TB 0825'!H:H,BS!B14,'TB 0825'!F:F)</f>
        <v>0</v>
      </c>
      <c r="U14" s="65">
        <f>-SUMIF('TB 0925'!H:H,BS!B14,'TB 0925'!F:F)</f>
        <v>0</v>
      </c>
      <c r="V14" s="65">
        <f>-SUMIF('TB 1025'!H:H,BS!B14,'TB 1025'!F:F)</f>
        <v>0</v>
      </c>
      <c r="W14" s="65">
        <f>-SUMIF('TB 1125'!H:H,BS!B14,'TB 1125'!F:F)</f>
        <v>0</v>
      </c>
      <c r="X14" s="65">
        <f>-SUMIF('TB 1225'!H:H,BS!B14,'TB 1225'!F:F)</f>
        <v>0</v>
      </c>
      <c r="Y14" s="63"/>
      <c r="Z14" s="61"/>
      <c r="AA14" s="61"/>
      <c r="AB14" s="61"/>
      <c r="AC14" s="61"/>
      <c r="AD14" s="61"/>
      <c r="AE14" s="61"/>
      <c r="AF14" s="61"/>
      <c r="AG14" s="61"/>
      <c r="AH14" s="380"/>
      <c r="AI14" s="380"/>
      <c r="AJ14" s="380"/>
      <c r="AK14" s="380"/>
      <c r="AL14" s="61"/>
      <c r="AM14" s="380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</row>
    <row r="15" spans="1:60" x14ac:dyDescent="0.3">
      <c r="B15" s="64" t="s">
        <v>1371</v>
      </c>
      <c r="C15" s="65">
        <v>0</v>
      </c>
      <c r="D15" s="216">
        <f>-SUMIF('TB 0424'!G:G,BS!B15,'TB 0424'!D:D)</f>
        <v>0</v>
      </c>
      <c r="E15" s="65">
        <f>-SUMIF('TB 0524'!G:G,BS!B15,'TB 0524'!D:D)</f>
        <v>0</v>
      </c>
      <c r="F15" s="65">
        <f>-SUMIF('TB 0624'!G:G,BS!B15,'TB 0624'!D:D)</f>
        <v>0</v>
      </c>
      <c r="G15" s="65">
        <f>-SUMIF('TB 0724'!G:G,BS!B15,'TB 0724'!D:D)</f>
        <v>0</v>
      </c>
      <c r="H15" s="65">
        <f>-SUMIF('TB 0824'!G:G,BS!B15,'TB 0824'!D:D)</f>
        <v>0</v>
      </c>
      <c r="I15" s="65">
        <f>-SUMIF('TB 0924'!G:G,BS!B15,'TB 0924'!D:D)</f>
        <v>0</v>
      </c>
      <c r="J15" s="65">
        <f>-SUMIF('TB 1024'!K:K,BS!B15,'TB 1024'!H:H)</f>
        <v>0</v>
      </c>
      <c r="K15" s="65">
        <f>-SUMIF('TB 1124'!H:H,BS!B15,'TB 1124'!F:F)</f>
        <v>0</v>
      </c>
      <c r="L15" s="65">
        <f>-SUMIF('TB 1224'!H:H,BS!B15,'TB 1224'!F:F)</f>
        <v>0</v>
      </c>
      <c r="M15" s="65">
        <f>-SUMIF('TB 0125'!H:H,BS!B15,'TB 0125'!F:F)</f>
        <v>0</v>
      </c>
      <c r="N15" s="65">
        <f>-SUMIF('TB 0225'!H:H,BS!B15,'TB 0225'!F:F)</f>
        <v>0</v>
      </c>
      <c r="O15" s="65">
        <f>-SUMIF('TB 0325'!H:H,BS!B15,'TB 0325'!F:F)</f>
        <v>0</v>
      </c>
      <c r="P15" s="370">
        <f>-SUMIF('TB 0425'!H:H,BS!B15,'TB 0425'!F:F)</f>
        <v>548.98400000000004</v>
      </c>
      <c r="Q15" s="370">
        <f>-SUMIF('TB 0525'!H:H,BS!B15,'TB 0525'!F:F)</f>
        <v>548.98400000000004</v>
      </c>
      <c r="R15" s="370">
        <f>-SUMIF('TB 0625'!H:H,BS!B15,'TB 0625'!F:F)</f>
        <v>548.98400000000004</v>
      </c>
      <c r="S15" s="370">
        <f>-SUMIF('TB 0725'!H:H,BS!B15,'TB 0725'!F:F)</f>
        <v>548.98400000000004</v>
      </c>
      <c r="T15" s="65">
        <f>-SUMIF('TB 0825'!H:H,BS!B15,'TB 0825'!F:F)</f>
        <v>548.98400000000004</v>
      </c>
      <c r="U15" s="65">
        <f>-SUMIF('TB 0925'!H:H,BS!B15,'TB 0925'!F:F)</f>
        <v>548.98400000000004</v>
      </c>
      <c r="V15" s="65">
        <f>-SUMIF('TB 1025'!H:H,BS!B15,'TB 1025'!F:F)</f>
        <v>548.98400000000004</v>
      </c>
      <c r="W15" s="65">
        <f>-SUMIF('TB 1125'!H:H,BS!B15,'TB 1125'!F:F)</f>
        <v>548.98400000000004</v>
      </c>
      <c r="X15" s="65">
        <f>-SUMIF('TB 1225'!H:H,BS!B15,'TB 1225'!F:F)</f>
        <v>548.98400000000004</v>
      </c>
      <c r="Y15" s="63"/>
      <c r="Z15" s="61"/>
      <c r="AA15" s="61"/>
      <c r="AB15" s="61"/>
      <c r="AC15" s="61"/>
      <c r="AD15" s="61"/>
      <c r="AE15" s="61"/>
      <c r="AF15" s="61"/>
      <c r="AG15" s="61"/>
      <c r="AH15" s="380"/>
      <c r="AI15" s="380"/>
      <c r="AJ15" s="380"/>
      <c r="AK15" s="380"/>
      <c r="AL15" s="61"/>
      <c r="AM15" s="380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</row>
    <row r="16" spans="1:60" x14ac:dyDescent="0.3">
      <c r="B16" s="360"/>
      <c r="C16" s="13"/>
      <c r="D16" s="228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371"/>
      <c r="Q16" s="371"/>
      <c r="R16" s="371"/>
      <c r="S16" s="371"/>
      <c r="T16" s="13"/>
      <c r="U16" s="13"/>
      <c r="V16" s="13"/>
      <c r="W16" s="13"/>
      <c r="X16" s="13"/>
      <c r="Y16" s="61"/>
      <c r="Z16" s="61"/>
      <c r="AA16" s="61"/>
      <c r="AB16" s="61"/>
      <c r="AC16" s="61"/>
      <c r="AD16" s="61"/>
      <c r="AE16" s="61"/>
      <c r="AF16" s="61"/>
      <c r="AG16" s="61"/>
      <c r="AH16" s="380"/>
      <c r="AI16" s="380"/>
      <c r="AJ16" s="380"/>
      <c r="AK16" s="380"/>
      <c r="AL16" s="61"/>
      <c r="AM16" s="380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</row>
    <row r="17" spans="1:57" x14ac:dyDescent="0.3">
      <c r="B17" s="54" t="s">
        <v>66</v>
      </c>
      <c r="C17" s="365">
        <v>1012.0249999999999</v>
      </c>
      <c r="D17" s="369">
        <f t="shared" ref="D17:P17" si="4">SUM(D18:D21)</f>
        <v>1018.4788900000001</v>
      </c>
      <c r="E17" s="365">
        <f t="shared" si="4"/>
        <v>1605.2265600000001</v>
      </c>
      <c r="F17" s="365">
        <f t="shared" si="4"/>
        <v>1607.3873799999999</v>
      </c>
      <c r="G17" s="365">
        <f t="shared" si="4"/>
        <v>1173.2849900000001</v>
      </c>
      <c r="H17" s="365">
        <f t="shared" si="4"/>
        <v>1326.3146900000002</v>
      </c>
      <c r="I17" s="365">
        <f t="shared" si="4"/>
        <v>1877.3625099999999</v>
      </c>
      <c r="J17" s="365">
        <f t="shared" si="4"/>
        <v>1887.9560518016115</v>
      </c>
      <c r="K17" s="365">
        <f t="shared" si="4"/>
        <v>1780.2448600000002</v>
      </c>
      <c r="L17" s="365">
        <f t="shared" si="4"/>
        <v>1988.5850499999999</v>
      </c>
      <c r="M17" s="365">
        <f t="shared" si="4"/>
        <v>2568.1837199999986</v>
      </c>
      <c r="N17" s="365">
        <f t="shared" si="4"/>
        <v>5019.8768399999999</v>
      </c>
      <c r="O17" s="365">
        <f t="shared" si="4"/>
        <v>8047.2514999999985</v>
      </c>
      <c r="P17" s="368">
        <f t="shared" si="4"/>
        <v>11770.405420000001</v>
      </c>
      <c r="Q17" s="368">
        <f t="shared" ref="Q17:X17" si="5">SUM(Q18:Q21)</f>
        <v>18476.673409999999</v>
      </c>
      <c r="R17" s="368">
        <f t="shared" si="5"/>
        <v>33250.548790000001</v>
      </c>
      <c r="S17" s="368">
        <f t="shared" si="5"/>
        <v>34130.648669999995</v>
      </c>
      <c r="T17" s="365">
        <f t="shared" si="5"/>
        <v>74713.030620000005</v>
      </c>
      <c r="U17" s="365">
        <f t="shared" si="5"/>
        <v>103718.48903</v>
      </c>
      <c r="V17" s="365">
        <f t="shared" si="5"/>
        <v>160595.00696999999</v>
      </c>
      <c r="W17" s="365">
        <f t="shared" si="5"/>
        <v>192497.22949</v>
      </c>
      <c r="X17" s="365">
        <f t="shared" si="5"/>
        <v>276426.75109999999</v>
      </c>
      <c r="Y17" s="61"/>
      <c r="Z17" s="61"/>
      <c r="AA17" s="61"/>
      <c r="AB17" s="61"/>
      <c r="AC17" s="61"/>
      <c r="AD17" s="61"/>
      <c r="AE17" s="61"/>
      <c r="AF17" s="61"/>
      <c r="AG17" s="61"/>
      <c r="AH17" s="380"/>
      <c r="AI17" s="380"/>
      <c r="AJ17" s="380"/>
      <c r="AK17" s="380"/>
      <c r="AL17" s="61"/>
      <c r="AM17" s="380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</row>
    <row r="18" spans="1:57" x14ac:dyDescent="0.3">
      <c r="B18" s="64" t="s">
        <v>1372</v>
      </c>
      <c r="C18" s="65">
        <v>0</v>
      </c>
      <c r="D18" s="216">
        <f>-SUMIF('TB 0424'!G:G,BS!B18,'TB 0424'!D:D)</f>
        <v>0</v>
      </c>
      <c r="E18" s="65">
        <f>-SUMIF('TB 0524'!G:G,BS!B18,'TB 0524'!D:D)</f>
        <v>0</v>
      </c>
      <c r="F18" s="65">
        <f>-SUMIF('TB 0624'!G:G,BS!B18,'TB 0624'!D:D)</f>
        <v>0</v>
      </c>
      <c r="G18" s="65">
        <f>-SUMIF('TB 0724'!G:G,BS!B18,'TB 0724'!D:D)</f>
        <v>0</v>
      </c>
      <c r="H18" s="65">
        <f>-SUMIF('TB 0824'!G:G,BS!B18,'TB 0824'!D:D)</f>
        <v>0</v>
      </c>
      <c r="I18" s="65">
        <f>-SUMIF('TB 0924'!G:G,BS!B18,'TB 0924'!D:D)</f>
        <v>0</v>
      </c>
      <c r="J18" s="65">
        <f>-SUMIF('TB 1024'!K:K,BS!B18,'TB 1024'!H:H)</f>
        <v>0</v>
      </c>
      <c r="K18" s="366">
        <f>-SUMIF('TB 1124'!H:H,BS!B18,'TB 1124'!F:F)</f>
        <v>0</v>
      </c>
      <c r="L18" s="366">
        <f>-SUMIF('TB 1224'!H:H,BS!B18,'TB 1224'!F:F)</f>
        <v>0</v>
      </c>
      <c r="M18" s="366">
        <f>-SUMIF('TB 0125'!H:H,BS!B18,'TB 0125'!F:F)</f>
        <v>0</v>
      </c>
      <c r="N18" s="366">
        <f>-SUMIF('TB 0225'!H:H,BS!B18,'TB 0225'!F:F)</f>
        <v>0</v>
      </c>
      <c r="O18" s="366">
        <f>-SUMIF('TB 0325'!H:H,BS!B18,'TB 0325'!F:F)</f>
        <v>0</v>
      </c>
      <c r="P18" s="370">
        <f>-SUMIF('TB 0425'!H:H,BS!B18,'TB 0425'!F:F)</f>
        <v>0</v>
      </c>
      <c r="Q18" s="370">
        <f>-SUMIF('TB 0525'!H:H,BS!B18,'TB 0525'!F:F)</f>
        <v>0</v>
      </c>
      <c r="R18" s="370">
        <f>-SUMIF('TB 0625'!H:H,BS!B18,'TB 0625'!F:F)</f>
        <v>0</v>
      </c>
      <c r="S18" s="370">
        <f>-SUMIF('TB 0725'!H:H,BS!B18,'TB 0725'!F:F)</f>
        <v>0</v>
      </c>
      <c r="T18" s="65">
        <f>-SUMIF('TB 0825'!H:H,BS!B18,'TB 0825'!F:F)</f>
        <v>0</v>
      </c>
      <c r="U18" s="65">
        <f>-SUMIF('TB 0925'!H:H,BS!B18,'TB 0925'!F:F)</f>
        <v>0</v>
      </c>
      <c r="V18" s="65">
        <f>-SUMIF('TB 1025'!H:H,BS!B18,'TB 1025'!F:F)</f>
        <v>0</v>
      </c>
      <c r="W18" s="65">
        <f>-SUMIF('TB 1125'!H:H,BS!B18,'TB 1125'!F:F)</f>
        <v>0</v>
      </c>
      <c r="X18" s="65">
        <f>-SUMIF('TB 1225'!H:H,BS!B18,'TB 1225'!F:F)</f>
        <v>0</v>
      </c>
      <c r="Y18" s="63"/>
      <c r="Z18" s="61"/>
      <c r="AA18" s="61"/>
      <c r="AB18" s="61"/>
      <c r="AC18" s="63"/>
      <c r="AD18" s="63"/>
      <c r="AE18" s="63"/>
      <c r="AF18" s="63"/>
      <c r="AG18" s="63"/>
      <c r="AH18" s="380"/>
      <c r="AI18" s="380"/>
      <c r="AJ18" s="380"/>
      <c r="AK18" s="380"/>
      <c r="AL18" s="61"/>
      <c r="AM18" s="380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</row>
    <row r="19" spans="1:57" x14ac:dyDescent="0.3">
      <c r="B19" s="64" t="s">
        <v>67</v>
      </c>
      <c r="C19" s="65">
        <v>551.29099999999994</v>
      </c>
      <c r="D19" s="216">
        <f>-SUMIF('TB 0424'!G:G,BS!B19,'TB 0424'!D:D)</f>
        <v>496.06200000000001</v>
      </c>
      <c r="E19" s="65">
        <f>-SUMIF('TB 0524'!G:G,BS!B19,'TB 0524'!D:D)</f>
        <v>352.27859000000001</v>
      </c>
      <c r="F19" s="65">
        <f>-SUMIF('TB 0624'!G:G,BS!B19,'TB 0624'!D:D)</f>
        <v>708.47586000000001</v>
      </c>
      <c r="G19" s="65">
        <f>-SUMIF('TB 0724'!G:G,BS!B19,'TB 0724'!D:D)</f>
        <v>327.17806999999999</v>
      </c>
      <c r="H19" s="65">
        <f>-SUMIF('TB 0824'!G:G,BS!B19,'TB 0824'!D:D)</f>
        <v>343.65628000000004</v>
      </c>
      <c r="I19" s="65">
        <f>-SUMIF('TB 0924'!G:G,BS!B19,'TB 0924'!D:D)-8.697</f>
        <v>634.84113000000002</v>
      </c>
      <c r="J19" s="65">
        <f>-SUMIF('TB 1024'!K:K,BS!B19,'TB 1024'!H:H)</f>
        <v>926.48742000000004</v>
      </c>
      <c r="K19" s="366">
        <f>-SUMIF('TB 1124'!H:H,BS!B19,'TB 1124'!F:F)</f>
        <v>965.18671000000018</v>
      </c>
      <c r="L19" s="366">
        <f>-SUMIF('TB 1224'!H:H,BS!B19,'TB 1224'!F:F)</f>
        <v>1394.6618199999998</v>
      </c>
      <c r="M19" s="366">
        <f>-SUMIF('TB 0125'!H:H,BS!B19,'TB 0125'!F:F)</f>
        <v>1668.2542499999986</v>
      </c>
      <c r="N19" s="366">
        <f>-SUMIF('TB 0225'!H:H,BS!B19,'TB 0225'!F:F)</f>
        <v>3501.9217599999997</v>
      </c>
      <c r="O19" s="366">
        <f>-SUMIF('TB 0325'!H:H,BS!B19,'TB 0325'!F:F)</f>
        <v>6166.3990299999978</v>
      </c>
      <c r="P19" s="370">
        <f>-SUMIF('TB 0425'!H:H,BS!B19,'TB 0425'!F:F)</f>
        <v>7721.7207899999994</v>
      </c>
      <c r="Q19" s="65">
        <f>-SUMIF('TB 0525'!H:H,BS!B19,'TB 0525'!F:F)</f>
        <v>12865.927889999999</v>
      </c>
      <c r="R19" s="65">
        <f>-SUMIF('TB 0625'!H:H,BS!B19,'TB 0625'!F:F)</f>
        <v>16542.410810000001</v>
      </c>
      <c r="S19" s="65">
        <f>-SUMIF('TB 0725'!H:H,BS!B19,'TB 0725'!F:F)</f>
        <v>21924.406189999998</v>
      </c>
      <c r="T19" s="65">
        <f>-SUMIF('TB 0825'!H:H,BS!B19,'TB 0825'!F:F)</f>
        <v>33091.813590000005</v>
      </c>
      <c r="U19" s="65">
        <f>-SUMIF('TB 0925'!H:H,BS!B19,'TB 0925'!F:F)</f>
        <v>51150.455150000009</v>
      </c>
      <c r="V19" s="65">
        <f>-SUMIF('TB 1025'!H:H,BS!B19,'TB 1025'!F:F)</f>
        <v>80730.005259999991</v>
      </c>
      <c r="W19" s="65">
        <f>-SUMIF('TB 1125'!H:H,BS!B19,'TB 1125'!F:F)</f>
        <v>116424.20450000001</v>
      </c>
      <c r="X19" s="65">
        <f>-SUMIF('TB 1225'!H:H,BS!B19,'TB 1225'!F:F)</f>
        <v>163006.14273999998</v>
      </c>
      <c r="Y19" s="63"/>
      <c r="Z19" s="61"/>
      <c r="AA19" s="61"/>
      <c r="AB19" s="61"/>
      <c r="AC19" s="61"/>
      <c r="AD19" s="61"/>
      <c r="AE19" s="61"/>
      <c r="AF19" s="63"/>
      <c r="AG19" s="63"/>
      <c r="AH19" s="380"/>
      <c r="AI19" s="380"/>
      <c r="AJ19" s="380"/>
      <c r="AK19" s="61"/>
      <c r="AL19" s="61"/>
      <c r="AM19" s="380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</row>
    <row r="20" spans="1:57" x14ac:dyDescent="0.3">
      <c r="B20" s="64" t="s">
        <v>68</v>
      </c>
      <c r="C20" s="65">
        <v>435.73399999999992</v>
      </c>
      <c r="D20" s="216">
        <f>-SUMIF('TB 0424'!G:G,BS!B20,'TB 0424'!D:D)</f>
        <v>397.41689000000002</v>
      </c>
      <c r="E20" s="65">
        <f>-SUMIF('TB 0524'!G:G,BS!B20,'TB 0524'!D:D)</f>
        <v>1057.7979699999999</v>
      </c>
      <c r="F20" s="65">
        <f>-SUMIF('TB 0624'!G:G,BS!B20,'TB 0624'!D:D)</f>
        <v>873.91151999999988</v>
      </c>
      <c r="G20" s="65">
        <f>-SUMIF('TB 0724'!G:G,BS!B20,'TB 0724'!D:D)</f>
        <v>821.10692000000017</v>
      </c>
      <c r="H20" s="65">
        <f>-SUMIF('TB 0824'!G:G,BS!B20,'TB 0824'!D:D)</f>
        <v>957.65841000000023</v>
      </c>
      <c r="I20" s="65">
        <f>-SUMIF('TB 0924'!G:G,BS!B20,'TB 0924'!D:D)</f>
        <v>1217.5213799999999</v>
      </c>
      <c r="J20" s="65">
        <f>-SUMIF('TB 1024'!K:K,BS!B20,'TB 1024'!H:H)+('Raw TB'!E160/1000)+3</f>
        <v>936.46863180161131</v>
      </c>
      <c r="K20" s="366">
        <f>-SUMIF('TB 1124'!H:H,BS!B20,'TB 1124'!F:F)</f>
        <v>579.07988</v>
      </c>
      <c r="L20" s="366">
        <f>-SUMIF('TB 1224'!H:H,BS!B20,'TB 1224'!F:F)</f>
        <v>538.27762999999993</v>
      </c>
      <c r="M20" s="366">
        <f>-SUMIF('TB 0125'!H:H,BS!B20,'TB 0125'!F:F)</f>
        <v>878.75247000000002</v>
      </c>
      <c r="N20" s="366">
        <f>-SUMIF('TB 0225'!H:H,BS!B20,'TB 0225'!F:F)</f>
        <v>1498.7550799999999</v>
      </c>
      <c r="O20" s="366">
        <f>-SUMIF('TB 0325'!H:H,BS!B20,'TB 0325'!F:F)</f>
        <v>1749.2524700000001</v>
      </c>
      <c r="P20" s="370">
        <f>-SUMIF('TB 0425'!H:H,BS!B20,'TB 0425'!F:F)</f>
        <v>3911.1356300000002</v>
      </c>
      <c r="Q20" s="65">
        <f>-SUMIF('TB 0525'!H:H,BS!B20,'TB 0525'!F:F)</f>
        <v>5425.748520000001</v>
      </c>
      <c r="R20" s="65">
        <f>-SUMIF('TB 0625'!H:H,BS!B20,'TB 0625'!F:F)</f>
        <v>10550.31862</v>
      </c>
      <c r="S20" s="65">
        <f>-SUMIF('TB 0725'!H:H,BS!B20,'TB 0725'!F:F)</f>
        <v>9255.7159200000006</v>
      </c>
      <c r="T20" s="65">
        <f>-SUMIF('TB 0825'!H:H,BS!B20,'TB 0825'!F:F)</f>
        <v>10246.463239999999</v>
      </c>
      <c r="U20" s="65">
        <f>-SUMIF('TB 0925'!H:H,BS!B20,'TB 0925'!F:F)</f>
        <v>13676.537979999999</v>
      </c>
      <c r="V20" s="65">
        <f>-SUMIF('TB 1025'!H:H,BS!B20,'TB 1025'!F:F)</f>
        <v>17307.733079999998</v>
      </c>
      <c r="W20" s="65">
        <f>-SUMIF('TB 1125'!H:H,BS!B20,'TB 1125'!F:F)</f>
        <v>26266.11969</v>
      </c>
      <c r="X20" s="65">
        <f>-SUMIF('TB 1225'!H:H,BS!B20,'TB 1225'!F:F)</f>
        <v>30623.951919999996</v>
      </c>
      <c r="Y20" s="63"/>
      <c r="Z20" s="61"/>
      <c r="AA20" s="61"/>
      <c r="AB20" s="61"/>
      <c r="AC20" s="61"/>
      <c r="AD20" s="61"/>
      <c r="AE20" s="61"/>
      <c r="AF20" s="63"/>
      <c r="AG20" s="63"/>
      <c r="AH20" s="380"/>
      <c r="AI20" s="380"/>
      <c r="AJ20" s="380"/>
      <c r="AK20" s="61"/>
      <c r="AL20" s="61"/>
      <c r="AM20" s="380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</row>
    <row r="21" spans="1:57" x14ac:dyDescent="0.3">
      <c r="B21" s="64" t="s">
        <v>69</v>
      </c>
      <c r="C21" s="65">
        <v>25</v>
      </c>
      <c r="D21" s="216">
        <f>-SUMIF('TB 0424'!G:G,BS!B21,'TB 0424'!D:D)</f>
        <v>125</v>
      </c>
      <c r="E21" s="65">
        <f>-SUMIF('TB 0524'!G:G,BS!B21,'TB 0524'!D:D)</f>
        <v>195.15</v>
      </c>
      <c r="F21" s="65">
        <f>-SUMIF('TB 0624'!G:G,BS!B21,'TB 0624'!D:D)</f>
        <v>25</v>
      </c>
      <c r="G21" s="65">
        <f>-SUMIF('TB 0724'!G:G,BS!B21,'TB 0724'!D:D)</f>
        <v>25</v>
      </c>
      <c r="H21" s="65">
        <f>-SUMIF('TB 0824'!G:G,BS!B21,'TB 0824'!D:D)</f>
        <v>25</v>
      </c>
      <c r="I21" s="65">
        <f>-SUMIF('TB 0924'!G:G,BS!B21,'TB 0924'!D:D)</f>
        <v>25</v>
      </c>
      <c r="J21" s="65">
        <f>-SUMIF('TB 1024'!K:K,BS!B21,'TB 1024'!H:H)</f>
        <v>25</v>
      </c>
      <c r="K21" s="366">
        <f>-SUMIF('TB 1124'!H:H,BS!B21,'TB 1124'!F:F)</f>
        <v>235.97827000000001</v>
      </c>
      <c r="L21" s="366">
        <f>-SUMIF('TB 1224'!H:H,BS!B21,'TB 1224'!F:F)</f>
        <v>55.645599999999995</v>
      </c>
      <c r="M21" s="366">
        <f>-SUMIF('TB 0125'!H:H,BS!B21,'TB 0125'!F:F)</f>
        <v>21.177</v>
      </c>
      <c r="N21" s="366">
        <f>-SUMIF('TB 0225'!H:H,BS!B21,'TB 0225'!F:F)</f>
        <v>19.2</v>
      </c>
      <c r="O21" s="366">
        <f>-SUMIF('TB 0325'!H:H,BS!B21,'TB 0325'!F:F)</f>
        <v>131.6</v>
      </c>
      <c r="P21" s="370">
        <f>-SUMIF('TB 0425'!H:H,BS!B21,'TB 0425'!F:F)</f>
        <v>137.54900000000001</v>
      </c>
      <c r="Q21" s="65">
        <f>-SUMIF('TB 0525'!H:H,BS!B21,'TB 0525'!F:F)</f>
        <v>184.99700000000001</v>
      </c>
      <c r="R21" s="65">
        <f>-SUMIF('TB 0625'!H:H,BS!B21,'TB 0625'!F:F)</f>
        <v>6157.8193600000004</v>
      </c>
      <c r="S21" s="65">
        <f>-SUMIF('TB 0725'!H:H,BS!B21,'TB 0725'!F:F)</f>
        <v>2950.5265599999998</v>
      </c>
      <c r="T21" s="65">
        <f>-SUMIF('TB 0825'!H:H,BS!B21,'TB 0825'!F:F)</f>
        <v>31374.753790000002</v>
      </c>
      <c r="U21" s="65">
        <f>-SUMIF('TB 0925'!H:H,BS!B21,'TB 0925'!F:F)</f>
        <v>38891.495899999994</v>
      </c>
      <c r="V21" s="65">
        <f>-SUMIF('TB 1025'!H:H,BS!B21,'TB 1025'!F:F)</f>
        <v>62557.268629999999</v>
      </c>
      <c r="W21" s="65">
        <f>-SUMIF('TB 1125'!H:H,BS!B21,'TB 1125'!F:F)</f>
        <v>49806.905299999991</v>
      </c>
      <c r="X21" s="65">
        <f>-SUMIF('TB 1225'!H:H,BS!B21,'TB 1225'!F:F)</f>
        <v>82796.656440000006</v>
      </c>
      <c r="Y21" s="63"/>
      <c r="Z21" s="61"/>
      <c r="AA21" s="61"/>
      <c r="AB21" s="61"/>
      <c r="AC21" s="61"/>
      <c r="AD21" s="61"/>
      <c r="AE21" s="61"/>
      <c r="AF21" s="61"/>
      <c r="AG21" s="61"/>
      <c r="AH21" s="380"/>
      <c r="AI21" s="380"/>
      <c r="AJ21" s="380"/>
      <c r="AK21" s="61"/>
      <c r="AL21" s="61"/>
      <c r="AM21" s="380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</row>
    <row r="22" spans="1:57" x14ac:dyDescent="0.3">
      <c r="A22" s="7"/>
      <c r="B22" s="372"/>
      <c r="C22" s="13"/>
      <c r="D22" s="228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371"/>
      <c r="Q22" s="371"/>
      <c r="R22" s="371"/>
      <c r="S22" s="371"/>
      <c r="T22" s="13"/>
      <c r="U22" s="13"/>
      <c r="V22" s="13"/>
      <c r="W22" s="13"/>
      <c r="X22" s="13"/>
      <c r="Y22" s="61"/>
      <c r="Z22" s="61"/>
      <c r="AA22" s="61"/>
      <c r="AB22" s="61"/>
      <c r="AC22" s="61"/>
      <c r="AD22" s="61"/>
      <c r="AE22" s="61"/>
      <c r="AF22" s="61"/>
      <c r="AG22" s="61"/>
      <c r="AH22" s="380"/>
      <c r="AI22" s="380"/>
      <c r="AJ22" s="380"/>
      <c r="AK22" s="380"/>
      <c r="AL22" s="61"/>
      <c r="AM22" s="380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</row>
    <row r="23" spans="1:57" x14ac:dyDescent="0.3">
      <c r="A23" s="7"/>
      <c r="B23" s="373" t="s">
        <v>1373</v>
      </c>
      <c r="C23" s="374">
        <v>715.51509999999985</v>
      </c>
      <c r="D23" s="375" t="e">
        <f t="shared" ref="D23:T23" si="6">D7+D11+D17</f>
        <v>#REF!</v>
      </c>
      <c r="E23" s="374" t="e">
        <f t="shared" si="6"/>
        <v>#REF!</v>
      </c>
      <c r="F23" s="374" t="e">
        <f t="shared" si="6"/>
        <v>#REF!</v>
      </c>
      <c r="G23" s="374" t="e">
        <f t="shared" si="6"/>
        <v>#REF!</v>
      </c>
      <c r="H23" s="374" t="e">
        <f t="shared" si="6"/>
        <v>#REF!</v>
      </c>
      <c r="I23" s="374" t="e">
        <f t="shared" si="6"/>
        <v>#REF!</v>
      </c>
      <c r="J23" s="374" t="e">
        <f t="shared" si="6"/>
        <v>#REF!</v>
      </c>
      <c r="K23" s="374" t="e">
        <f t="shared" si="6"/>
        <v>#REF!</v>
      </c>
      <c r="L23" s="374" t="e">
        <f t="shared" si="6"/>
        <v>#REF!</v>
      </c>
      <c r="M23" s="374">
        <f t="shared" si="6"/>
        <v>523317.74736999994</v>
      </c>
      <c r="N23" s="374">
        <f t="shared" si="6"/>
        <v>516906.81035999994</v>
      </c>
      <c r="O23" s="374">
        <f t="shared" si="6"/>
        <v>507152.34882000001</v>
      </c>
      <c r="P23" s="376">
        <f t="shared" si="6"/>
        <v>488915.43721999996</v>
      </c>
      <c r="Q23" s="376">
        <f t="shared" si="6"/>
        <v>462923.49468870962</v>
      </c>
      <c r="R23" s="376">
        <f t="shared" si="6"/>
        <v>2057478.7326100001</v>
      </c>
      <c r="S23" s="376">
        <f t="shared" si="6"/>
        <v>2003860.0318499999</v>
      </c>
      <c r="T23" s="374">
        <f t="shared" si="6"/>
        <v>1962647.2516087096</v>
      </c>
      <c r="U23" s="374">
        <f>U7+U11+U17</f>
        <v>1899077.34989</v>
      </c>
      <c r="V23" s="374">
        <f>V7+V11+V17</f>
        <v>3115955.2333800001</v>
      </c>
      <c r="W23" s="374">
        <f>W7+W11+W17</f>
        <v>4344798.7886299994</v>
      </c>
      <c r="X23" s="374">
        <f>X7+X11+X17</f>
        <v>4221746.1330699995</v>
      </c>
      <c r="Y23" s="61"/>
      <c r="Z23" s="61"/>
      <c r="AA23" s="61"/>
      <c r="AB23" s="61"/>
      <c r="AC23" s="61"/>
      <c r="AD23" s="61"/>
      <c r="AE23" s="61"/>
      <c r="AF23" s="61"/>
      <c r="AG23" s="61"/>
      <c r="AH23" s="63"/>
      <c r="AI23" s="63"/>
      <c r="AJ23" s="63"/>
      <c r="AK23" s="63"/>
      <c r="AL23" s="61"/>
      <c r="AM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</row>
    <row r="24" spans="1:57" x14ac:dyDescent="0.3">
      <c r="B24" s="360"/>
      <c r="C24" s="13"/>
      <c r="D24" s="228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371"/>
      <c r="Q24" s="371"/>
      <c r="R24" s="371"/>
      <c r="S24" s="371"/>
      <c r="T24" s="377"/>
      <c r="U24" s="377"/>
      <c r="V24" s="13">
        <f>V23-V43</f>
        <v>0</v>
      </c>
      <c r="W24" s="13"/>
      <c r="X24" s="13"/>
      <c r="Y24" s="61"/>
      <c r="Z24" s="61"/>
      <c r="AA24" s="61"/>
      <c r="AB24" s="61"/>
      <c r="AC24" s="61"/>
      <c r="AD24" s="61"/>
      <c r="AE24" s="61"/>
      <c r="AF24" s="61"/>
      <c r="AG24" s="61"/>
      <c r="AH24" s="380"/>
      <c r="AI24" s="380"/>
      <c r="AJ24" s="380"/>
      <c r="AK24" s="380"/>
      <c r="AM24" s="380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</row>
    <row r="25" spans="1:57" x14ac:dyDescent="0.3">
      <c r="B25" s="378" t="s">
        <v>70</v>
      </c>
      <c r="C25" s="13"/>
      <c r="D25" s="228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371"/>
      <c r="Q25" s="371"/>
      <c r="R25" s="371"/>
      <c r="S25" s="371"/>
      <c r="T25" s="377"/>
      <c r="U25" s="377"/>
      <c r="V25" s="377"/>
      <c r="W25" s="377"/>
      <c r="X25" s="377"/>
      <c r="Y25" s="61"/>
      <c r="Z25" s="61"/>
      <c r="AA25" s="61"/>
      <c r="AB25" s="61"/>
      <c r="AC25" s="61"/>
      <c r="AD25" s="61"/>
      <c r="AE25" s="61"/>
      <c r="AF25" s="61"/>
      <c r="AG25" s="61"/>
      <c r="AH25" s="380"/>
      <c r="AI25" s="380"/>
      <c r="AJ25" s="380"/>
      <c r="AK25" s="380"/>
      <c r="AM25" s="380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</row>
    <row r="26" spans="1:57" x14ac:dyDescent="0.3">
      <c r="B26" s="360"/>
      <c r="C26" s="13"/>
      <c r="D26" s="228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371"/>
      <c r="Q26" s="371"/>
      <c r="R26" s="371"/>
      <c r="S26" s="371"/>
      <c r="T26" s="377"/>
      <c r="U26" s="377"/>
      <c r="V26" s="377"/>
      <c r="W26" s="377"/>
      <c r="X26" s="377"/>
      <c r="Y26" s="61"/>
      <c r="Z26" s="61"/>
      <c r="AA26" s="61"/>
      <c r="AB26" s="61"/>
      <c r="AC26" s="61"/>
      <c r="AD26" s="61"/>
      <c r="AE26" s="61"/>
      <c r="AF26" s="61"/>
      <c r="AG26" s="61"/>
      <c r="AH26" s="380"/>
      <c r="AI26" s="380"/>
      <c r="AJ26" s="380"/>
      <c r="AK26" s="380"/>
      <c r="AM26" s="380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</row>
    <row r="27" spans="1:57" x14ac:dyDescent="0.3">
      <c r="B27" s="54" t="s">
        <v>1374</v>
      </c>
      <c r="C27" s="365">
        <v>150</v>
      </c>
      <c r="D27" s="369">
        <f t="shared" ref="D27:P27" si="7">SUM(D28:D33)</f>
        <v>461</v>
      </c>
      <c r="E27" s="365">
        <f t="shared" si="7"/>
        <v>503.11290000000002</v>
      </c>
      <c r="F27" s="365">
        <f t="shared" si="7"/>
        <v>785.76557000000003</v>
      </c>
      <c r="G27" s="365">
        <f t="shared" si="7"/>
        <v>2989.7887299999998</v>
      </c>
      <c r="H27" s="365">
        <f t="shared" si="7"/>
        <v>2941.5163299999999</v>
      </c>
      <c r="I27" s="365">
        <f t="shared" si="7"/>
        <v>3230.1353300000001</v>
      </c>
      <c r="J27" s="365">
        <f t="shared" si="7"/>
        <v>3193.6391899999999</v>
      </c>
      <c r="K27" s="365">
        <f t="shared" si="7"/>
        <v>3184.4311899999998</v>
      </c>
      <c r="L27" s="365">
        <f t="shared" si="7"/>
        <v>3277.6064799999999</v>
      </c>
      <c r="M27" s="365">
        <f t="shared" si="7"/>
        <v>5247.79882</v>
      </c>
      <c r="N27" s="365">
        <f t="shared" si="7"/>
        <v>7545.1198199999999</v>
      </c>
      <c r="O27" s="365">
        <f t="shared" si="7"/>
        <v>12311.86975</v>
      </c>
      <c r="P27" s="368">
        <f t="shared" si="7"/>
        <v>13272.05083</v>
      </c>
      <c r="Q27" s="368">
        <f t="shared" ref="Q27:X27" si="8">SUM(Q28:Q33)</f>
        <v>15885.05545</v>
      </c>
      <c r="R27" s="368">
        <f t="shared" si="8"/>
        <v>18243.562749999997</v>
      </c>
      <c r="S27" s="363">
        <f t="shared" si="8"/>
        <v>20113.048289999999</v>
      </c>
      <c r="T27" s="365">
        <f t="shared" si="8"/>
        <v>29583.782279999999</v>
      </c>
      <c r="U27" s="365">
        <f t="shared" si="8"/>
        <v>36502.375260000001</v>
      </c>
      <c r="V27" s="365">
        <f t="shared" si="8"/>
        <v>47724.880380000002</v>
      </c>
      <c r="W27" s="365">
        <f t="shared" si="8"/>
        <v>51087.929640000002</v>
      </c>
      <c r="X27" s="365">
        <f t="shared" si="8"/>
        <v>59797.920100000003</v>
      </c>
      <c r="Y27" s="61"/>
      <c r="Z27" s="61"/>
      <c r="AA27" s="61"/>
      <c r="AB27" s="61"/>
      <c r="AC27" s="61"/>
      <c r="AD27" s="61"/>
      <c r="AE27" s="61"/>
      <c r="AF27" s="61"/>
      <c r="AG27" s="61"/>
      <c r="AH27" s="380"/>
      <c r="AI27" s="380"/>
      <c r="AJ27" s="380"/>
      <c r="AK27" s="63"/>
      <c r="AL27" s="61"/>
      <c r="AM27" s="380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</row>
    <row r="28" spans="1:57" x14ac:dyDescent="0.3">
      <c r="B28" s="64" t="s">
        <v>71</v>
      </c>
      <c r="C28" s="65">
        <v>0</v>
      </c>
      <c r="D28" s="216">
        <f>SUMIF('TB 0424'!G:G,BS!B28,'TB 0424'!D:D)</f>
        <v>0</v>
      </c>
      <c r="E28" s="65">
        <f>SUMIF('TB 0524'!G:G,BS!B28,'TB 0524'!D:D)</f>
        <v>42.112900000000003</v>
      </c>
      <c r="F28" s="65">
        <f>SUMIF('TB 0624'!G:G,BS!B28,'TB 0624'!D:D)</f>
        <v>40.469900000000003</v>
      </c>
      <c r="G28" s="65">
        <f>SUMIF('TB 0724'!G:G,BS!B28,'TB 0724'!D:D)</f>
        <v>857.30305999999996</v>
      </c>
      <c r="H28" s="65">
        <f>SUMIF('TB 0824'!G:G,BS!B28,'TB 0824'!D:D)</f>
        <v>821.84066000000007</v>
      </c>
      <c r="I28" s="65">
        <f>SUMIF('TB 0924'!G:G,BS!B28,'TB 0924'!D:D)</f>
        <v>774.26966000000004</v>
      </c>
      <c r="J28" s="65">
        <f>SUMIF('TB 1024'!K:K,BS!B28,'TB 1024'!H:H)</f>
        <v>750.58352000000002</v>
      </c>
      <c r="K28" s="65">
        <f>SUMIF('TB 1124'!H:H,BS!B28,'TB 1124'!F:F)</f>
        <v>754.18552</v>
      </c>
      <c r="L28" s="65">
        <f>SUMIF('TB 1224'!H:H,BS!B28,'TB 1224'!F:F)</f>
        <v>740.17081000000007</v>
      </c>
      <c r="M28" s="65">
        <f>SUMIF('TB 0125'!H:H,BS!B28,'TB 0125'!F:F)</f>
        <v>2123.1731500000001</v>
      </c>
      <c r="N28" s="65">
        <f>SUMIF('TB 0225'!H:H,BS!B28,'TB 0225'!F:F)</f>
        <v>4433.3041499999999</v>
      </c>
      <c r="O28" s="65">
        <f>SUMIF('TB 0325'!H:H,BS!B28,'TB 0325'!F:F)</f>
        <v>6690.8508199999997</v>
      </c>
      <c r="P28" s="370">
        <f>SUMIF('TB 0425'!H:H,BS!B28,'TB 0425'!F:F)</f>
        <v>8283.0508300000001</v>
      </c>
      <c r="Q28" s="65">
        <f>SUMIF('TB 0525'!H:H,BS!B28,'TB 0525'!F:F)</f>
        <v>9793.0554499999998</v>
      </c>
      <c r="R28" s="366">
        <f>SUMIF('TB 0625'!H:H,BS!B28,'TB 0625'!F:F)</f>
        <v>10722.16275</v>
      </c>
      <c r="S28" s="366">
        <f>SUMIF('TB 0725'!H:H,BS!B28,'TB 0725'!F:F)</f>
        <v>11908.648290000001</v>
      </c>
      <c r="T28" s="65">
        <f>SUMIF('TB 0825'!H:H,BS!B28,'TB 0825'!F:F)</f>
        <v>20742.382279999998</v>
      </c>
      <c r="U28" s="65">
        <f>SUMIF('TB 0925'!H:H,BS!B28,'TB 0925'!F:F)</f>
        <v>26358.469939999999</v>
      </c>
      <c r="V28" s="65">
        <f>SUMIF('TB 1025'!H:H,BS!B28,'TB 1025'!F:F)</f>
        <v>32009.480380000001</v>
      </c>
      <c r="W28" s="65">
        <f>SUMIF('TB 1125'!H:H,BS!B28,'TB 1125'!F:F)</f>
        <v>35382.529640000001</v>
      </c>
      <c r="X28" s="65">
        <f>SUMIF('TB 1225'!H:H,BS!B28,'TB 1225'!F:F)</f>
        <v>41307.520100000002</v>
      </c>
      <c r="Y28" s="63"/>
      <c r="Z28" s="61"/>
      <c r="AA28" s="61"/>
      <c r="AB28" s="61"/>
      <c r="AC28" s="61"/>
      <c r="AD28" s="61"/>
      <c r="AE28" s="61"/>
      <c r="AF28" s="61"/>
      <c r="AG28" s="61"/>
      <c r="AH28" s="380"/>
      <c r="AI28" s="380"/>
      <c r="AJ28" s="380"/>
      <c r="AK28" s="63"/>
      <c r="AL28" s="61"/>
      <c r="AM28" s="380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</row>
    <row r="29" spans="1:57" x14ac:dyDescent="0.3">
      <c r="B29" s="64" t="s">
        <v>72</v>
      </c>
      <c r="C29" s="65">
        <v>0</v>
      </c>
      <c r="D29" s="216">
        <f>SUMIF('TB 0424'!G:G,BS!B29,'TB 0424'!D:D)</f>
        <v>0</v>
      </c>
      <c r="E29" s="65">
        <f>SUMIF('TB 0524'!G:G,BS!B29,'TB 0524'!D:D)</f>
        <v>0</v>
      </c>
      <c r="F29" s="65">
        <f>SUMIF('TB 0624'!G:G,BS!B29,'TB 0624'!D:D)</f>
        <v>284.29566999999997</v>
      </c>
      <c r="G29" s="65">
        <f>SUMIF('TB 0724'!G:G,BS!B29,'TB 0724'!D:D)</f>
        <v>1521.4856699999998</v>
      </c>
      <c r="H29" s="65">
        <f>SUMIF('TB 0824'!G:G,BS!B29,'TB 0824'!D:D)</f>
        <v>1508.6756699999999</v>
      </c>
      <c r="I29" s="65">
        <f>SUMIF('TB 0924'!G:G,BS!B29,'TB 0924'!D:D)</f>
        <v>1495.8656699999999</v>
      </c>
      <c r="J29" s="65">
        <f>SUMIF('TB 1024'!K:K,BS!B29,'TB 1024'!H:H)</f>
        <v>1483.0556699999997</v>
      </c>
      <c r="K29" s="65">
        <f>SUMIF('TB 1124'!H:H,BS!B29,'TB 1124'!F:F)</f>
        <v>1470.2456699999998</v>
      </c>
      <c r="L29" s="65">
        <f>SUMIF('TB 1224'!H:H,BS!B29,'TB 1224'!F:F)</f>
        <v>1457.4356699999998</v>
      </c>
      <c r="M29" s="65">
        <f>SUMIF('TB 0125'!H:H,BS!B29,'TB 0125'!F:F)</f>
        <v>1444.6256699999999</v>
      </c>
      <c r="N29" s="65">
        <f>SUMIF('TB 0225'!H:H,BS!B29,'TB 0225'!F:F)</f>
        <v>1431.8156699999997</v>
      </c>
      <c r="O29" s="65">
        <f>SUMIF('TB 0325'!H:H,BS!B29,'TB 0325'!F:F)</f>
        <v>1425.0189299999997</v>
      </c>
      <c r="P29" s="370">
        <f>SUMIF('TB 0425'!H:H,BS!B29,'TB 0425'!F:F)</f>
        <v>0</v>
      </c>
      <c r="Q29" s="65">
        <f>SUMIF('TB 0525'!H:H,BS!B29,'TB 0525'!F:F)</f>
        <v>0</v>
      </c>
      <c r="R29" s="366">
        <f>SUMIF('TB 0625'!H:H,BS!B29,'TB 0625'!F:F)</f>
        <v>0</v>
      </c>
      <c r="S29" s="366">
        <f>SUMIF('TB 0725'!H:H,BS!B29,'TB 0725'!F:F)</f>
        <v>0</v>
      </c>
      <c r="T29" s="65">
        <f>SUMIF('TB 0825'!H:H,BS!B29,'TB 0825'!F:F)</f>
        <v>0</v>
      </c>
      <c r="U29" s="65">
        <f>SUMIF('TB 0925'!H:H,BS!B29,'TB 0925'!F:F)</f>
        <v>-848.4946799999999</v>
      </c>
      <c r="V29" s="65">
        <f>SUMIF('TB 1025'!H:H,BS!B29,'TB 1025'!F:F)</f>
        <v>0</v>
      </c>
      <c r="W29" s="65">
        <f>SUMIF('TB 1125'!H:H,BS!B29,'TB 1125'!F:F)</f>
        <v>0</v>
      </c>
      <c r="X29" s="65">
        <f>SUMIF('TB 1225'!H:H,BS!B29,'TB 1225'!F:F)</f>
        <v>0</v>
      </c>
      <c r="Y29" s="63"/>
      <c r="Z29" s="61"/>
      <c r="AA29" s="61"/>
      <c r="AB29" s="61"/>
      <c r="AC29" s="61"/>
      <c r="AD29" s="61"/>
      <c r="AE29" s="61"/>
      <c r="AF29" s="61"/>
      <c r="AG29" s="61"/>
      <c r="AH29" s="380"/>
      <c r="AI29" s="380"/>
      <c r="AJ29" s="380"/>
      <c r="AK29" s="63"/>
      <c r="AL29" s="61"/>
      <c r="AM29" s="380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</row>
    <row r="30" spans="1:57" x14ac:dyDescent="0.3">
      <c r="B30" s="64" t="s">
        <v>1375</v>
      </c>
      <c r="C30" s="65">
        <v>0</v>
      </c>
      <c r="D30" s="216">
        <f>SUMIF('TB 0424'!G:G,BS!B30,'TB 0424'!D:D)</f>
        <v>0</v>
      </c>
      <c r="E30" s="65">
        <f>SUMIF('TB 0524'!G:G,BS!B30,'TB 0524'!D:D)</f>
        <v>0</v>
      </c>
      <c r="F30" s="65">
        <f>SUMIF('TB 0624'!G:G,BS!B30,'TB 0624'!D:D)</f>
        <v>0</v>
      </c>
      <c r="G30" s="65">
        <f>SUMIF('TB 0724'!G:G,BS!B30,'TB 0724'!D:D)</f>
        <v>0</v>
      </c>
      <c r="H30" s="65">
        <f>SUMIF('TB 0824'!G:G,BS!B30,'TB 0824'!D:D)</f>
        <v>0</v>
      </c>
      <c r="I30" s="65">
        <f>SUMIF('TB 0924'!G:G,BS!B30,'TB 0924'!D:D)</f>
        <v>0</v>
      </c>
      <c r="J30" s="65">
        <f>SUMIF('TB 1024'!K:K,BS!B30,'TB 1024'!H:H)</f>
        <v>0</v>
      </c>
      <c r="K30" s="65">
        <f>SUMIF('TB 1124'!H:H,BS!B30,'TB 1124'!F:F)</f>
        <v>0</v>
      </c>
      <c r="L30" s="65">
        <f>SUMIF('TB 1224'!H:H,BS!B30,'TB 1224'!F:F)</f>
        <v>0</v>
      </c>
      <c r="M30" s="65">
        <f>SUMIF('TB 0125'!H:H,BS!B30,'TB 0125'!F:F)</f>
        <v>0</v>
      </c>
      <c r="N30" s="65">
        <f>SUMIF('TB 0225'!H:H,BS!B30,'TB 0225'!F:F)</f>
        <v>0</v>
      </c>
      <c r="O30" s="65">
        <f>SUMIF('TB 0325'!H:H,BS!B30,'TB 0325'!F:F)</f>
        <v>0</v>
      </c>
      <c r="P30" s="370">
        <f>SUMIF('TB 0425'!H:H,BS!B30,'TB 0425'!F:F)</f>
        <v>0</v>
      </c>
      <c r="Q30" s="65">
        <f>SUMIF('TB 0525'!H:H,BS!B30,'TB 0525'!F:F)</f>
        <v>0</v>
      </c>
      <c r="R30" s="366">
        <f>SUMIF('TB 0625'!H:H,BS!B30,'TB 0625'!F:F)</f>
        <v>0</v>
      </c>
      <c r="S30" s="366">
        <f>SUMIF('TB 0725'!H:H,BS!B30,'TB 0725'!F:F)</f>
        <v>0</v>
      </c>
      <c r="T30" s="65">
        <f>SUMIF('TB 0825'!H:H,BS!B30,'TB 0825'!F:F)</f>
        <v>0</v>
      </c>
      <c r="U30" s="65">
        <f>SUMIF('TB 0925'!H:H,BS!B30,'TB 0925'!F:F)</f>
        <v>0</v>
      </c>
      <c r="V30" s="65">
        <f>SUMIF('TB 1025'!H:H,BS!B30,'TB 1025'!F:F)</f>
        <v>0</v>
      </c>
      <c r="W30" s="65">
        <f>SUMIF('TB 1125'!H:H,BS!B30,'TB 1125'!F:F)</f>
        <v>0</v>
      </c>
      <c r="X30" s="65">
        <f>SUMIF('TB 1225'!H:H,BS!B30,'TB 1225'!F:F)</f>
        <v>0</v>
      </c>
      <c r="Y30" s="63"/>
      <c r="Z30" s="61"/>
      <c r="AA30" s="61"/>
      <c r="AB30" s="61"/>
      <c r="AC30" s="61"/>
      <c r="AD30" s="61"/>
      <c r="AE30" s="61"/>
      <c r="AF30" s="61"/>
      <c r="AG30" s="61"/>
      <c r="AH30" s="380"/>
      <c r="AI30" s="380"/>
      <c r="AJ30" s="380"/>
      <c r="AK30" s="63"/>
      <c r="AL30" s="61"/>
      <c r="AM30" s="380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</row>
    <row r="31" spans="1:57" x14ac:dyDescent="0.3">
      <c r="B31" s="64" t="s">
        <v>1376</v>
      </c>
      <c r="C31" s="65">
        <v>0</v>
      </c>
      <c r="D31" s="216">
        <f>SUMIF('TB 0424'!G:G,BS!B31,'TB 0424'!D:D)</f>
        <v>0</v>
      </c>
      <c r="E31" s="65">
        <f>SUMIF('TB 0524'!G:G,BS!B31,'TB 0524'!D:D)</f>
        <v>0</v>
      </c>
      <c r="F31" s="65">
        <f>SUMIF('TB 0624'!G:G,BS!B31,'TB 0624'!D:D)</f>
        <v>0</v>
      </c>
      <c r="G31" s="65">
        <f>SUMIF('TB 0724'!G:G,BS!B31,'TB 0724'!D:D)</f>
        <v>0</v>
      </c>
      <c r="H31" s="65">
        <f>SUMIF('TB 0824'!G:G,BS!B31,'TB 0824'!D:D)</f>
        <v>0</v>
      </c>
      <c r="I31" s="65">
        <f>SUMIF('TB 0924'!G:G,BS!B31,'TB 0924'!D:D)</f>
        <v>0</v>
      </c>
      <c r="J31" s="65">
        <f>SUMIF('TB 1024'!K:K,BS!B31,'TB 1024'!H:H)</f>
        <v>0</v>
      </c>
      <c r="K31" s="65">
        <f>SUMIF('TB 1124'!H:H,BS!B31,'TB 1124'!F:F)</f>
        <v>0</v>
      </c>
      <c r="L31" s="65">
        <f>SUMIF('TB 1224'!H:H,BS!B31,'TB 1224'!F:F)</f>
        <v>0</v>
      </c>
      <c r="M31" s="65">
        <f>SUMIF('TB 0125'!H:H,BS!B31,'TB 0125'!F:F)</f>
        <v>0</v>
      </c>
      <c r="N31" s="65">
        <f>SUMIF('TB 0225'!H:H,BS!B31,'TB 0225'!F:F)</f>
        <v>0</v>
      </c>
      <c r="O31" s="65">
        <f>SUMIF('TB 0325'!H:H,BS!B31,'TB 0325'!F:F)</f>
        <v>0</v>
      </c>
      <c r="P31" s="370">
        <f>SUMIF('TB 0425'!H:H,BS!B31,'TB 0425'!F:F)</f>
        <v>0</v>
      </c>
      <c r="Q31" s="65">
        <f>SUMIF('TB 0525'!H:H,BS!B31,'TB 0525'!F:F)</f>
        <v>0</v>
      </c>
      <c r="R31" s="366">
        <f>SUMIF('TB 0625'!H:H,BS!B31,'TB 0625'!F:F)</f>
        <v>0</v>
      </c>
      <c r="S31" s="366">
        <f>SUMIF('TB 0725'!H:H,BS!B31,'TB 0725'!F:F)</f>
        <v>0</v>
      </c>
      <c r="T31" s="65">
        <f>SUMIF('TB 0825'!H:H,BS!B31,'TB 0825'!F:F)</f>
        <v>0</v>
      </c>
      <c r="U31" s="65">
        <f>SUMIF('TB 0925'!H:H,BS!B31,'TB 0925'!F:F)</f>
        <v>0</v>
      </c>
      <c r="V31" s="65">
        <f>SUMIF('TB 1025'!H:H,BS!B31,'TB 1025'!F:F)</f>
        <v>0</v>
      </c>
      <c r="W31" s="65">
        <f>SUMIF('TB 1125'!H:H,BS!B31,'TB 1125'!F:F)</f>
        <v>0</v>
      </c>
      <c r="X31" s="65">
        <f>SUMIF('TB 1225'!H:H,BS!B31,'TB 1225'!F:F)</f>
        <v>0</v>
      </c>
      <c r="Y31" s="63"/>
      <c r="Z31" s="61"/>
      <c r="AA31" s="61"/>
      <c r="AB31" s="61"/>
      <c r="AC31" s="61"/>
      <c r="AD31" s="61"/>
      <c r="AE31" s="61"/>
      <c r="AF31" s="61"/>
      <c r="AG31" s="61"/>
      <c r="AH31" s="380"/>
      <c r="AI31" s="380"/>
      <c r="AJ31" s="380"/>
      <c r="AK31" s="63"/>
      <c r="AL31" s="61"/>
      <c r="AM31" s="380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</row>
    <row r="32" spans="1:57" x14ac:dyDescent="0.3">
      <c r="B32" s="64" t="s">
        <v>73</v>
      </c>
      <c r="C32" s="65">
        <v>150</v>
      </c>
      <c r="D32" s="216">
        <f>SUMIF('TB 0424'!G:G,BS!B32,'TB 0424'!D:D)</f>
        <v>461</v>
      </c>
      <c r="E32" s="65">
        <f>SUMIF('TB 0524'!G:G,BS!B32,'TB 0524'!D:D)</f>
        <v>461</v>
      </c>
      <c r="F32" s="65">
        <f>SUMIF('TB 0624'!G:G,BS!B32,'TB 0624'!D:D)</f>
        <v>461</v>
      </c>
      <c r="G32" s="65">
        <f>SUMIF('TB 0724'!G:G,BS!B32,'TB 0724'!D:D)</f>
        <v>611</v>
      </c>
      <c r="H32" s="65">
        <f>SUMIF('TB 0824'!G:G,BS!B32,'TB 0824'!D:D)</f>
        <v>611</v>
      </c>
      <c r="I32" s="65">
        <f>SUMIF('TB 0924'!G:G,BS!B32,'TB 0924'!D:D)</f>
        <v>960</v>
      </c>
      <c r="J32" s="65">
        <f>SUMIF('TB 1024'!K:K,BS!B32,'TB 1024'!H:H)</f>
        <v>960</v>
      </c>
      <c r="K32" s="65">
        <f>SUMIF('TB 1124'!H:H,BS!B32,'TB 1124'!F:F)</f>
        <v>960</v>
      </c>
      <c r="L32" s="65">
        <f>SUMIF('TB 1224'!H:H,BS!B32,'TB 1224'!F:F)</f>
        <v>1080</v>
      </c>
      <c r="M32" s="65">
        <f>SUMIF('TB 0125'!H:H,BS!B32,'TB 0125'!F:F)</f>
        <v>1680</v>
      </c>
      <c r="N32" s="65">
        <f>SUMIF('TB 0225'!H:H,BS!B32,'TB 0225'!F:F)</f>
        <v>1680</v>
      </c>
      <c r="O32" s="65">
        <f>SUMIF('TB 0325'!H:H,BS!B32,'TB 0325'!F:F)</f>
        <v>4196</v>
      </c>
      <c r="P32" s="370">
        <f>SUMIF('TB 0425'!H:H,BS!B32,'TB 0425'!F:F)</f>
        <v>0</v>
      </c>
      <c r="Q32" s="65">
        <f>SUMIF('TB 0525'!H:H,BS!B32,'TB 0525'!F:F)</f>
        <v>0</v>
      </c>
      <c r="R32" s="366">
        <f>SUMIF('TB 0625'!H:H,BS!B32,'TB 0625'!F:F)</f>
        <v>0</v>
      </c>
      <c r="S32" s="366">
        <f>SUMIF('TB 0725'!H:H,BS!B32,'TB 0725'!F:F)</f>
        <v>0</v>
      </c>
      <c r="T32" s="65">
        <f>SUMIF('TB 0825'!H:H,BS!B32,'TB 0825'!F:F)</f>
        <v>0</v>
      </c>
      <c r="U32" s="65">
        <f>SUMIF('TB 0925'!H:H,BS!B32,'TB 0925'!F:F)</f>
        <v>0</v>
      </c>
      <c r="V32" s="65">
        <f>SUMIF('TB 1025'!H:H,BS!B32,'TB 1025'!F:F)</f>
        <v>0</v>
      </c>
      <c r="W32" s="65">
        <f>SUMIF('TB 1125'!H:H,BS!B32,'TB 1125'!F:F)</f>
        <v>0</v>
      </c>
      <c r="X32" s="65">
        <f>SUMIF('TB 1225'!H:H,BS!B32,'TB 1225'!F:F)</f>
        <v>0</v>
      </c>
      <c r="Y32" s="63"/>
      <c r="Z32" s="61"/>
      <c r="AA32" s="61"/>
      <c r="AB32" s="61"/>
      <c r="AC32" s="61"/>
      <c r="AD32" s="61"/>
      <c r="AE32" s="61"/>
      <c r="AF32" s="61"/>
      <c r="AG32" s="61"/>
      <c r="AH32" s="380"/>
      <c r="AI32" s="380"/>
      <c r="AJ32" s="380"/>
      <c r="AK32" s="63"/>
      <c r="AL32" s="61"/>
      <c r="AM32" s="380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</row>
    <row r="33" spans="2:57" x14ac:dyDescent="0.3">
      <c r="B33" s="64" t="s">
        <v>74</v>
      </c>
      <c r="C33" s="65">
        <v>0</v>
      </c>
      <c r="D33" s="216">
        <f>SUMIF('TB 0424'!G:G,BS!B33,'TB 0424'!D:D)</f>
        <v>0</v>
      </c>
      <c r="E33" s="65">
        <f>SUMIF('TB 0524'!G:G,BS!B33,'TB 0524'!D:D)</f>
        <v>0</v>
      </c>
      <c r="F33" s="65">
        <f>SUMIF('TB 0624'!G:G,BS!B33,'TB 0624'!D:D)</f>
        <v>0</v>
      </c>
      <c r="G33" s="65">
        <f>SUMIF('TB 0724'!G:G,BS!B33,'TB 0724'!D:D)</f>
        <v>0</v>
      </c>
      <c r="H33" s="65">
        <f>SUMIF('TB 0824'!G:G,BS!B33,'TB 0824'!D:D)</f>
        <v>0</v>
      </c>
      <c r="I33" s="65">
        <f>SUMIF('TB 0924'!G:G,BS!B33,'TB 0924'!D:D)</f>
        <v>0</v>
      </c>
      <c r="J33" s="65">
        <f>SUMIF('TB 1024'!K:K,BS!B33,'TB 1024'!H:H)</f>
        <v>0</v>
      </c>
      <c r="K33" s="65">
        <f>SUMIF('TB 1124'!H:H,BS!B33,'TB 1124'!F:F)</f>
        <v>0</v>
      </c>
      <c r="L33" s="65">
        <f>SUMIF('TB 1224'!H:H,BS!B33,'TB 1224'!F:F)</f>
        <v>0</v>
      </c>
      <c r="M33" s="65">
        <f>SUMIF('TB 0125'!H:H,BS!B33,'TB 0125'!F:F)</f>
        <v>0</v>
      </c>
      <c r="N33" s="65">
        <f>SUMIF('TB 0225'!H:H,BS!B33,'TB 0225'!F:F)</f>
        <v>0</v>
      </c>
      <c r="O33" s="65">
        <f>SUMIF('TB 0325'!H:H,BS!B33,'TB 0325'!F:F)</f>
        <v>0</v>
      </c>
      <c r="P33" s="370">
        <f>SUMIF('TB 0425'!H:H,BS!B33,'TB 0425'!F:F)</f>
        <v>4989</v>
      </c>
      <c r="Q33" s="65">
        <f>SUMIF('TB 0525'!H:H,BS!B33,'TB 0525'!F:F)</f>
        <v>6092</v>
      </c>
      <c r="R33" s="366">
        <f>SUMIF('TB 0625'!H:H,BS!B33,'TB 0625'!F:F)</f>
        <v>7521.4</v>
      </c>
      <c r="S33" s="366">
        <f>SUMIF('TB 0725'!H:H,BS!B33,'TB 0725'!F:F)</f>
        <v>8204.4</v>
      </c>
      <c r="T33" s="65">
        <f>SUMIF('TB 0825'!H:H,BS!B33,'TB 0825'!F:F)</f>
        <v>8841.4</v>
      </c>
      <c r="U33" s="65">
        <f>SUMIF('TB 0925'!H:H,BS!B33,'TB 0925'!F:F)</f>
        <v>10992.4</v>
      </c>
      <c r="V33" s="65">
        <f>SUMIF('TB 1025'!H:H,BS!B33,'TB 1025'!F:F)</f>
        <v>15715.4</v>
      </c>
      <c r="W33" s="65">
        <f>SUMIF('TB 1125'!H:H,BS!B33,'TB 1125'!F:F)</f>
        <v>15705.4</v>
      </c>
      <c r="X33" s="65">
        <f>SUMIF('TB 1225'!H:H,BS!B33,'TB 1225'!F:F)</f>
        <v>18490.400000000001</v>
      </c>
      <c r="Y33" s="63"/>
      <c r="Z33" s="61"/>
      <c r="AA33" s="61"/>
      <c r="AB33" s="61"/>
      <c r="AC33" s="61"/>
      <c r="AD33" s="61"/>
      <c r="AE33" s="61"/>
      <c r="AF33" s="61"/>
      <c r="AG33" s="61"/>
      <c r="AH33" s="380"/>
      <c r="AI33" s="380"/>
      <c r="AJ33" s="380"/>
      <c r="AK33" s="63"/>
      <c r="AL33" s="61"/>
      <c r="AM33" s="380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</row>
    <row r="34" spans="2:57" x14ac:dyDescent="0.3">
      <c r="B34" s="360"/>
      <c r="C34" s="14"/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379"/>
      <c r="Q34" s="379"/>
      <c r="R34" s="381"/>
      <c r="S34" s="381"/>
      <c r="T34" s="13"/>
      <c r="U34" s="13"/>
      <c r="V34" s="13"/>
      <c r="W34" s="13"/>
      <c r="X34" s="13"/>
      <c r="AH34" s="380"/>
      <c r="AI34" s="380"/>
      <c r="AJ34" s="380"/>
      <c r="AK34" s="63"/>
      <c r="AL34" s="61"/>
      <c r="AM34" s="380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</row>
    <row r="35" spans="2:57" x14ac:dyDescent="0.3">
      <c r="B35" s="54" t="s">
        <v>75</v>
      </c>
      <c r="C35" s="365">
        <v>565.51510000000007</v>
      </c>
      <c r="D35" s="369">
        <f t="shared" ref="D35:P35" si="9">SUM(D36:D41)</f>
        <v>521.65989999999999</v>
      </c>
      <c r="E35" s="365">
        <f t="shared" si="9"/>
        <v>74511.118199999997</v>
      </c>
      <c r="F35" s="365">
        <f t="shared" si="9"/>
        <v>71394.431269999986</v>
      </c>
      <c r="G35" s="365">
        <f t="shared" si="9"/>
        <v>66157.544729999994</v>
      </c>
      <c r="H35" s="365">
        <f t="shared" si="9"/>
        <v>63282.379639999999</v>
      </c>
      <c r="I35" s="365">
        <f t="shared" si="9"/>
        <v>59885.661959999998</v>
      </c>
      <c r="J35" s="365">
        <f t="shared" si="9"/>
        <v>56672.879379999991</v>
      </c>
      <c r="K35" s="365">
        <f t="shared" si="9"/>
        <v>53479.348890000008</v>
      </c>
      <c r="L35" s="365">
        <f t="shared" si="9"/>
        <v>50490.73098</v>
      </c>
      <c r="M35" s="365">
        <f t="shared" si="9"/>
        <v>518069.94854999997</v>
      </c>
      <c r="N35" s="365">
        <f t="shared" si="9"/>
        <v>509361.69054000004</v>
      </c>
      <c r="O35" s="365">
        <f t="shared" si="9"/>
        <v>494840.47907</v>
      </c>
      <c r="P35" s="363">
        <f t="shared" si="9"/>
        <v>475643.38639000006</v>
      </c>
      <c r="Q35" s="363">
        <f t="shared" ref="Q35:X35" si="10">SUM(Q36:Q41)</f>
        <v>447038.43923999998</v>
      </c>
      <c r="R35" s="363">
        <f t="shared" si="10"/>
        <v>2039235.16986</v>
      </c>
      <c r="S35" s="363">
        <f t="shared" si="10"/>
        <v>1983746.9835599998</v>
      </c>
      <c r="T35" s="365">
        <f t="shared" si="10"/>
        <v>1933063.4693200006</v>
      </c>
      <c r="U35" s="365">
        <f t="shared" si="10"/>
        <v>1862574.9736300004</v>
      </c>
      <c r="V35" s="365">
        <f t="shared" si="10"/>
        <v>3068230.3530000001</v>
      </c>
      <c r="W35" s="365">
        <f t="shared" si="10"/>
        <v>4293710.8589899996</v>
      </c>
      <c r="X35" s="365">
        <f t="shared" si="10"/>
        <v>4161948.2124700006</v>
      </c>
      <c r="Y35" s="61"/>
      <c r="Z35" s="61"/>
      <c r="AA35" s="61"/>
      <c r="AB35" s="61"/>
      <c r="AC35" s="61"/>
      <c r="AD35" s="61"/>
      <c r="AE35" s="61"/>
      <c r="AF35" s="61"/>
      <c r="AG35" s="61"/>
      <c r="AH35" s="63"/>
      <c r="AI35" s="63"/>
      <c r="AJ35" s="63"/>
      <c r="AK35" s="63"/>
      <c r="AL35" s="61"/>
      <c r="AM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</row>
    <row r="36" spans="2:57" x14ac:dyDescent="0.3">
      <c r="B36" s="64" t="s">
        <v>76</v>
      </c>
      <c r="C36" s="65">
        <v>0</v>
      </c>
      <c r="D36" s="216">
        <f>SUMIF('TB 0424'!G:G,BS!B36,'TB 0424'!D:D)</f>
        <v>0</v>
      </c>
      <c r="E36" s="65">
        <f>SUMIF('TB 0524'!G:G,BS!B36,'TB 0524'!D:D)</f>
        <v>72000</v>
      </c>
      <c r="F36" s="65">
        <f>SUMIF('TB 0624'!G:G,BS!B36,'TB 0624'!D:D)</f>
        <v>70000</v>
      </c>
      <c r="G36" s="65">
        <f>SUMIF('TB 0724'!G:G,BS!B36,'TB 0724'!D:D)</f>
        <v>64502.214</v>
      </c>
      <c r="H36" s="65">
        <f>SUMIF('TB 0824'!G:G,BS!B36,'TB 0824'!D:D)</f>
        <v>60000</v>
      </c>
      <c r="I36" s="65">
        <f>SUMIF('TB 0924'!G:G,BS!B36,'TB 0924'!D:D)</f>
        <v>57000</v>
      </c>
      <c r="J36" s="65">
        <f>SUMIF('TB 1024'!K:K,BS!B36,'TB 1024'!H:H)</f>
        <v>53500</v>
      </c>
      <c r="K36" s="65">
        <f>SUMIF('TB 1124'!H:H,BS!B36,'TB 1124'!F:F)</f>
        <v>50000</v>
      </c>
      <c r="L36" s="65">
        <f>SUMIF('TB 1224'!H:H,BS!B36,'TB 1224'!F:F)</f>
        <v>47000</v>
      </c>
      <c r="M36" s="65">
        <f>SUMIF('TB 0125'!H:H,BS!B36,'TB 0125'!F:F)</f>
        <v>511500</v>
      </c>
      <c r="N36" s="65">
        <f>SUMIF('TB 0225'!H:H,BS!B36,'TB 0225'!F:F)</f>
        <v>498000</v>
      </c>
      <c r="O36" s="65">
        <f>SUMIF('TB 0325'!H:H,BS!B36,'TB 0325'!F:F)</f>
        <v>478000</v>
      </c>
      <c r="P36" s="366">
        <f>SUMIF('TB 0425'!H:H,BS!B36,'TB 0425'!F:F)</f>
        <v>452000</v>
      </c>
      <c r="Q36" s="366">
        <f>SUMIF('TB 0525'!H:H,BS!B36,'TB 0525'!F:F)</f>
        <v>415000</v>
      </c>
      <c r="R36" s="366">
        <f>SUMIF('TB 0625'!H:H,BS!B36,'TB 0625'!F:F)</f>
        <v>1979500</v>
      </c>
      <c r="S36" s="366">
        <f>SUMIF('TB 0725'!H:H,BS!B36,'TB 0725'!F:F)</f>
        <v>1942000</v>
      </c>
      <c r="T36" s="65">
        <f>SUMIF('TB 0825'!H:H,BS!B36,'TB 0825'!F:F)</f>
        <v>1872012.8926400004</v>
      </c>
      <c r="U36" s="65">
        <f>SUMIF('TB 0925'!H:H,BS!B36,'TB 0925'!F:F)</f>
        <v>1797198.2498500003</v>
      </c>
      <c r="V36" s="65">
        <f>SUMIF('TB 1025'!H:H,BS!B36,'TB 1025'!F:F)</f>
        <v>1650468.5959099999</v>
      </c>
      <c r="W36" s="65">
        <f>SUMIF('TB 1125'!H:H,BS!B36,'TB 1125'!F:F)</f>
        <v>4173443.5971599999</v>
      </c>
      <c r="X36" s="65">
        <f>SUMIF('TB 1225'!H:H,BS!B36,'TB 1225'!F:F)</f>
        <v>3963942.5460400004</v>
      </c>
      <c r="Y36" s="63"/>
      <c r="Z36" s="61"/>
      <c r="AA36" s="61"/>
      <c r="AB36" s="61"/>
      <c r="AC36" s="61"/>
      <c r="AD36" s="61"/>
      <c r="AE36" s="61"/>
      <c r="AF36" s="61"/>
      <c r="AG36" s="61"/>
      <c r="AH36" s="63"/>
      <c r="AI36" s="63"/>
      <c r="AJ36" s="63"/>
      <c r="AK36" s="63"/>
      <c r="AL36" s="61"/>
      <c r="AM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</row>
    <row r="37" spans="2:57" x14ac:dyDescent="0.3">
      <c r="B37" s="64" t="s">
        <v>1377</v>
      </c>
      <c r="C37" s="65">
        <v>0</v>
      </c>
      <c r="D37" s="216">
        <f>SUMIF('TB 0424'!G:G,BS!B37,'TB 0424'!D:D)</f>
        <v>0</v>
      </c>
      <c r="E37" s="65">
        <f>SUMIF('TB 0524'!G:G,BS!B37,'TB 0524'!D:D)</f>
        <v>0</v>
      </c>
      <c r="F37" s="65">
        <f>SUMIF('TB 0624'!G:G,BS!B37,'TB 0624'!D:D)</f>
        <v>0</v>
      </c>
      <c r="G37" s="65">
        <f>SUMIF('TB 0724'!G:G,BS!B37,'TB 0724'!D:D)</f>
        <v>0</v>
      </c>
      <c r="H37" s="65">
        <f>SUMIF('TB 0824'!G:G,BS!B37,'TB 0824'!D:D)</f>
        <v>0</v>
      </c>
      <c r="I37" s="65">
        <f>SUMIF('TB 0924'!G:G,BS!B37,'TB 0924'!D:D)</f>
        <v>0</v>
      </c>
      <c r="J37" s="65">
        <f>SUMIF('TB 1024'!K:K,BS!B37,'TB 1024'!H:H)</f>
        <v>0</v>
      </c>
      <c r="K37" s="65">
        <f>SUMIF('TB 1124'!H:H,BS!B37,'TB 1124'!F:F)</f>
        <v>0</v>
      </c>
      <c r="L37" s="65">
        <f>SUMIF('TB 1224'!H:H,BS!B37,'TB 1224'!F:F)</f>
        <v>0</v>
      </c>
      <c r="M37" s="65">
        <f>SUMIF('TB 0125'!H:H,BS!B37,'TB 0125'!F:F)</f>
        <v>0</v>
      </c>
      <c r="N37" s="65">
        <f>SUMIF('TB 0225'!H:H,BS!B37,'TB 0225'!F:F)</f>
        <v>0</v>
      </c>
      <c r="O37" s="65">
        <f>SUMIF('TB 0325'!H:H,BS!B37,'TB 0325'!F:F)</f>
        <v>0</v>
      </c>
      <c r="P37" s="370">
        <f>SUMIF('TB 0425'!H:H,BS!B37,'TB 0425'!F:F)</f>
        <v>0</v>
      </c>
      <c r="Q37" s="370">
        <f>SUMIF('TB 0525'!H:H,BS!B37,'TB 0525'!F:F)</f>
        <v>0</v>
      </c>
      <c r="R37" s="370">
        <f>SUMIF('TB 0625'!H:H,BS!B37,'TB 0625'!F:F)</f>
        <v>0</v>
      </c>
      <c r="S37" s="366">
        <f>SUMIF('TB 0725'!H:H,BS!B37,'TB 0725'!F:F)</f>
        <v>0</v>
      </c>
      <c r="T37" s="65">
        <f>SUMIF('TB 0825'!H:H,BS!B37,'TB 0825'!F:F)</f>
        <v>0</v>
      </c>
      <c r="U37" s="65">
        <f>SUMIF('TB 0925'!H:H,BS!B37,'TB 0925'!F:F)</f>
        <v>0</v>
      </c>
      <c r="V37" s="65">
        <f>SUMIF('TB 1025'!H:H,BS!B37,'TB 1025'!F:F)</f>
        <v>0</v>
      </c>
      <c r="W37" s="65">
        <f>SUMIF('TB 1125'!H:H,BS!B37,'TB 1125'!F:F)</f>
        <v>0</v>
      </c>
      <c r="X37" s="65">
        <f>SUMIF('TB 1225'!H:H,BS!B37,'TB 1225'!F:F)</f>
        <v>0</v>
      </c>
      <c r="Y37" s="63"/>
      <c r="Z37" s="61"/>
      <c r="AA37" s="61"/>
      <c r="AB37" s="61"/>
      <c r="AC37" s="61"/>
      <c r="AD37" s="61"/>
      <c r="AE37" s="61"/>
      <c r="AF37" s="61"/>
      <c r="AG37" s="61"/>
      <c r="AH37" s="380"/>
      <c r="AI37" s="380"/>
      <c r="AJ37" s="380"/>
      <c r="AK37" s="63"/>
      <c r="AL37" s="61"/>
      <c r="AM37" s="380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</row>
    <row r="38" spans="2:57" x14ac:dyDescent="0.3">
      <c r="B38" s="64" t="s">
        <v>77</v>
      </c>
      <c r="C38" s="65">
        <v>0</v>
      </c>
      <c r="D38" s="216">
        <f>SUMIF('TB 0424'!G:G,BS!B38,'TB 0424'!D:D)</f>
        <v>0</v>
      </c>
      <c r="E38" s="65">
        <f>SUMIF('TB 0524'!G:G,BS!B38,'TB 0524'!D:D)</f>
        <v>16.979029999999998</v>
      </c>
      <c r="F38" s="65">
        <f>SUMIF('TB 0624'!G:G,BS!B38,'TB 0624'!D:D)</f>
        <v>54.965979999999995</v>
      </c>
      <c r="G38" s="65">
        <f>SUMIF('TB 0724'!G:G,BS!B38,'TB 0724'!D:D)</f>
        <v>12.73977</v>
      </c>
      <c r="H38" s="65">
        <f>SUMIF('TB 0824'!G:G,BS!B38,'TB 0824'!D:D)</f>
        <v>33.845980000000004</v>
      </c>
      <c r="I38" s="65">
        <f>SUMIF('TB 0924'!G:G,BS!B38,'TB 0924'!D:D)</f>
        <v>39.040790000000001</v>
      </c>
      <c r="J38" s="65">
        <f>SUMIF('TB 1024'!K:K,BS!B38,'TB 1024'!H:H)+('Raw TB'!D159/1000)-57.85846</f>
        <v>76.481249999999847</v>
      </c>
      <c r="K38" s="65">
        <f>SUMIF('TB 1124'!H:H,BS!B38,'TB 1124'!F:F)</f>
        <v>42.427149999999983</v>
      </c>
      <c r="L38" s="65">
        <f>SUMIF('TB 1224'!H:H,BS!B38,'TB 1224'!F:F)</f>
        <v>53.182980000000043</v>
      </c>
      <c r="M38" s="65">
        <f>SUMIF('TB 0125'!H:H,BS!B38,'TB 0125'!F:F)</f>
        <v>57.744929999999385</v>
      </c>
      <c r="N38" s="65">
        <f>SUMIF('TB 0225'!H:H,BS!B38,'TB 0225'!F:F)</f>
        <v>59.03632000000016</v>
      </c>
      <c r="O38" s="65">
        <f>SUMIF('TB 0325'!H:H,BS!B38,'TB 0325'!F:F)</f>
        <v>129.22068000000036</v>
      </c>
      <c r="P38" s="366">
        <f>SUMIF('TB 0425'!H:H,BS!B38,'TB 0425'!F:F)</f>
        <v>79.574189999999945</v>
      </c>
      <c r="Q38" s="366">
        <f>SUMIF('TB 0525'!H:H,BS!B38,'TB 0525'!F:F)</f>
        <v>350.37062000000009</v>
      </c>
      <c r="R38" s="366">
        <f>SUMIF('TB 0625'!H:H,BS!B38,'TB 0625'!F:F)</f>
        <v>556.18279999999982</v>
      </c>
      <c r="S38" s="366">
        <f>SUMIF('TB 0725'!H:H,BS!B38,'TB 0725'!F:F)</f>
        <v>181.86937000000106</v>
      </c>
      <c r="T38" s="65">
        <f>SUMIF('TB 0825'!H:H,BS!B38,'TB 0825'!F:F)</f>
        <v>1084.2102600000017</v>
      </c>
      <c r="U38" s="65">
        <f>SUMIF('TB 0925'!H:H,BS!B38,'TB 0925'!F:F)</f>
        <v>1355.8121300000028</v>
      </c>
      <c r="V38" s="65">
        <f>SUMIF('TB 1025'!H:H,BS!B38,'TB 1025'!F:F)</f>
        <v>680.33862000000227</v>
      </c>
      <c r="W38" s="65">
        <f>SUMIF('TB 1125'!H:H,BS!B38,'TB 1125'!F:F)</f>
        <v>3013.3170299999997</v>
      </c>
      <c r="X38" s="65">
        <f>SUMIF('TB 1225'!H:H,BS!B38,'TB 1225'!F:F)</f>
        <v>1224.3699600000004</v>
      </c>
      <c r="Y38" s="63"/>
      <c r="Z38" s="61"/>
      <c r="AA38" s="61"/>
      <c r="AB38" s="61"/>
      <c r="AC38" s="61"/>
      <c r="AD38" s="61"/>
      <c r="AE38" s="61"/>
      <c r="AF38" s="61"/>
      <c r="AG38" s="61"/>
      <c r="AH38" s="63"/>
      <c r="AI38" s="63"/>
      <c r="AJ38" s="63"/>
      <c r="AK38" s="63"/>
      <c r="AL38" s="61"/>
      <c r="AM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</row>
    <row r="39" spans="2:57" x14ac:dyDescent="0.3">
      <c r="B39" s="64" t="s">
        <v>78</v>
      </c>
      <c r="C39" s="65">
        <v>468.08582000000001</v>
      </c>
      <c r="D39" s="216">
        <f>SUMIF('TB 0424'!G:G,BS!B39,'TB 0424'!D:D)</f>
        <v>354.35406</v>
      </c>
      <c r="E39" s="65">
        <f>SUMIF('TB 0524'!G:G,BS!B39,'TB 0524'!D:D)</f>
        <v>2024.18787</v>
      </c>
      <c r="F39" s="65">
        <f>SUMIF('TB 0624'!G:G,BS!B39,'TB 0624'!D:D)</f>
        <v>627.28030000000001</v>
      </c>
      <c r="G39" s="65">
        <f>SUMIF('TB 0724'!G:G,BS!B39,'TB 0724'!D:D)</f>
        <v>581.85220000000004</v>
      </c>
      <c r="H39" s="65">
        <f>SUMIF('TB 0824'!G:G,BS!B39,'TB 0824'!D:D)</f>
        <v>1896.0084899999999</v>
      </c>
      <c r="I39" s="65">
        <f>SUMIF('TB 0924'!G:G,BS!B39,'TB 0924'!D:D)</f>
        <v>1529.1703699999998</v>
      </c>
      <c r="J39" s="65">
        <f>SUMIF('TB 1024'!K:K,BS!B39,'TB 1024'!H:H)</f>
        <v>1567.3857599999999</v>
      </c>
      <c r="K39" s="65">
        <f>SUMIF('TB 1124'!H:H,BS!B39,'TB 1124'!F:F)</f>
        <v>1939.9963000000037</v>
      </c>
      <c r="L39" s="65">
        <f>SUMIF('TB 1224'!H:H,BS!B39,'TB 1224'!F:F)</f>
        <v>1611.7121499999996</v>
      </c>
      <c r="M39" s="65">
        <f>SUMIF('TB 0125'!H:H,BS!B39,'TB 0125'!F:F)</f>
        <v>3325.1475499999897</v>
      </c>
      <c r="N39" s="65">
        <f>SUMIF('TB 0225'!H:H,BS!B39,'TB 0225'!F:F)</f>
        <v>5801.5587200000036</v>
      </c>
      <c r="O39" s="65">
        <f>SUMIF('TB 0325'!H:H,BS!B39,'TB 0325'!F:F)</f>
        <v>7334.7525499999992</v>
      </c>
      <c r="P39" s="366">
        <f>SUMIF('TB 0425'!H:H,BS!B39,'TB 0425'!F:F)</f>
        <v>11312.843499999995</v>
      </c>
      <c r="Q39" s="366">
        <f>SUMIF('TB 0525'!H:H,BS!B39,'TB 0525'!F:F)</f>
        <v>15675.440519999996</v>
      </c>
      <c r="R39" s="366">
        <f>SUMIF('TB 0625'!H:H,BS!B39,'TB 0625'!F:F)</f>
        <v>29175.033929999976</v>
      </c>
      <c r="S39" s="366">
        <f>SUMIF('TB 0725'!H:H,BS!B39,'TB 0725'!F:F)</f>
        <v>5193.4857099999881</v>
      </c>
      <c r="T39" s="65">
        <f>SUMIF('TB 0825'!H:H,BS!B39,'TB 0825'!F:F)</f>
        <v>15478.37464000006</v>
      </c>
      <c r="U39" s="65">
        <f>SUMIF('TB 0925'!H:H,BS!B39,'TB 0925'!F:F)</f>
        <v>3805.2394899999781</v>
      </c>
      <c r="V39" s="65">
        <f>SUMIF('TB 1025'!H:H,BS!B39,'TB 1025'!F:F)</f>
        <v>1331545.5162599999</v>
      </c>
      <c r="W39" s="65">
        <f>SUMIF('TB 1125'!H:H,BS!B39,'TB 1125'!F:F)</f>
        <v>1215.9606100000001</v>
      </c>
      <c r="X39" s="65">
        <f>SUMIF('TB 1225'!H:H,BS!B39,'TB 1225'!F:F)</f>
        <v>42514.24929</v>
      </c>
      <c r="Y39" s="63"/>
      <c r="Z39" s="61"/>
      <c r="AA39" s="61"/>
      <c r="AB39" s="61"/>
      <c r="AC39" s="61"/>
      <c r="AD39" s="61"/>
      <c r="AE39" s="61"/>
      <c r="AF39" s="61"/>
      <c r="AG39" s="61"/>
      <c r="AH39" s="63"/>
      <c r="AI39" s="63"/>
      <c r="AJ39" s="63"/>
      <c r="AK39" s="63"/>
      <c r="AL39" s="61"/>
      <c r="AM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</row>
    <row r="40" spans="2:57" x14ac:dyDescent="0.3">
      <c r="B40" s="64" t="s">
        <v>1378</v>
      </c>
      <c r="C40" s="65">
        <v>0</v>
      </c>
      <c r="D40" s="216">
        <f>SUMIF('TB 0424'!G:G,BS!B40,'TB 0424'!D:D)</f>
        <v>0</v>
      </c>
      <c r="E40" s="65">
        <f>SUMIF('TB 0524'!G:G,BS!B40,'TB 0524'!D:D)</f>
        <v>0</v>
      </c>
      <c r="F40" s="65">
        <f>SUMIF('TB 0624'!G:G,BS!B40,'TB 0624'!D:D)</f>
        <v>0</v>
      </c>
      <c r="G40" s="65">
        <f>SUMIF('TB 0724'!G:G,BS!B40,'TB 0724'!D:D)</f>
        <v>0</v>
      </c>
      <c r="H40" s="65">
        <f>SUMIF('TB 0824'!G:G,BS!B40,'TB 0824'!D:D)</f>
        <v>0</v>
      </c>
      <c r="I40" s="65">
        <f>SUMIF('TB 0924'!G:G,BS!B40,'TB 0924'!D:D)</f>
        <v>0</v>
      </c>
      <c r="J40" s="65">
        <f>SUMIF('TB 1024'!K:K,BS!B40,'TB 1024'!H:H)</f>
        <v>0</v>
      </c>
      <c r="K40" s="65">
        <f>SUMIF('TB 1124'!H:H,BS!B40,'TB 1124'!F:F)</f>
        <v>0</v>
      </c>
      <c r="L40" s="65">
        <f>SUMIF('TB 1224'!H:H,BS!B40,'TB 1224'!F:F)</f>
        <v>0</v>
      </c>
      <c r="M40" s="65">
        <f>SUMIF('TB 0125'!H:H,BS!B40,'TB 0125'!F:F)</f>
        <v>0</v>
      </c>
      <c r="N40" s="65">
        <f>SUMIF('TB 0225'!H:H,BS!B40,'TB 0225'!F:F)</f>
        <v>0</v>
      </c>
      <c r="O40" s="65">
        <f>SUMIF('TB 0325'!H:H,BS!B40,'TB 0325'!F:F)</f>
        <v>0</v>
      </c>
      <c r="P40" s="366">
        <f>SUMIF('TB 0425'!H:H,BS!B40,'TB 0425'!F:F)</f>
        <v>0</v>
      </c>
      <c r="Q40" s="366">
        <f>SUMIF('TB 0525'!H:H,BS!B40,'TB 0525'!F:F)</f>
        <v>0</v>
      </c>
      <c r="R40" s="366">
        <f>SUMIF('TB 0625'!H:H,BS!B40,'TB 0625'!F:F)</f>
        <v>0</v>
      </c>
      <c r="S40" s="366">
        <f>SUMIF('TB 0725'!H:H,BS!B40,'TB 0725'!F:F)</f>
        <v>0</v>
      </c>
      <c r="T40" s="65">
        <f>SUMIF('TB 0825'!H:H,BS!B40,'TB 0825'!F:F)</f>
        <v>0</v>
      </c>
      <c r="U40" s="65">
        <f>SUMIF('TB 0925'!H:H,BS!B40,'TB 0925'!F:F)</f>
        <v>0</v>
      </c>
      <c r="V40" s="65">
        <f>SUMIF('TB 1025'!H:H,BS!B40,'TB 1025'!F:F)</f>
        <v>0</v>
      </c>
      <c r="W40" s="65">
        <f>SUMIF('TB 1125'!H:H,BS!B40,'TB 1125'!F:F)</f>
        <v>0</v>
      </c>
      <c r="X40" s="65">
        <f>SUMIF('TB 1225'!H:H,BS!B40,'TB 1225'!F:F)</f>
        <v>0</v>
      </c>
      <c r="Y40" s="63"/>
      <c r="Z40" s="61"/>
      <c r="AA40" s="61"/>
      <c r="AB40" s="61"/>
      <c r="AC40" s="61"/>
      <c r="AD40" s="61"/>
      <c r="AE40" s="61"/>
      <c r="AF40" s="61"/>
      <c r="AG40" s="61"/>
      <c r="AH40" s="63"/>
      <c r="AI40" s="63"/>
      <c r="AJ40" s="63"/>
      <c r="AK40" s="63"/>
      <c r="AL40" s="61"/>
      <c r="AM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</row>
    <row r="41" spans="2:57" x14ac:dyDescent="0.3">
      <c r="B41" s="64" t="s">
        <v>79</v>
      </c>
      <c r="C41" s="65">
        <v>97.429280000000006</v>
      </c>
      <c r="D41" s="216">
        <f>SUMIF('TB 0424'!G:G,BS!B41,'TB 0424'!D:D)</f>
        <v>167.30583999999999</v>
      </c>
      <c r="E41" s="65">
        <f>SUMIF('TB 0524'!G:G,BS!B41,'TB 0524'!D:D)</f>
        <v>469.9513</v>
      </c>
      <c r="F41" s="65">
        <f>SUMIF('TB 0624'!G:G,BS!B41,'TB 0624'!D:D)</f>
        <v>712.18498999999997</v>
      </c>
      <c r="G41" s="65">
        <f>SUMIF('TB 0724'!G:G,BS!B41,'TB 0724'!D:D)</f>
        <v>1060.73876</v>
      </c>
      <c r="H41" s="65">
        <f>SUMIF('TB 0824'!G:G,BS!B41,'TB 0824'!D:D)</f>
        <v>1352.5251700000001</v>
      </c>
      <c r="I41" s="65">
        <f>SUMIF('TB 0924'!G:G,BS!B41,'TB 0924'!D:D)</f>
        <v>1317.4507999999998</v>
      </c>
      <c r="J41" s="65">
        <f>SUMIF('TB 1024'!K:K,BS!B41,'TB 1024'!H:H)</f>
        <v>1529.0123699999999</v>
      </c>
      <c r="K41" s="65">
        <f>SUMIF('TB 1124'!H:H,BS!B41,'TB 1124'!F:F)</f>
        <v>1496.92544</v>
      </c>
      <c r="L41" s="65">
        <f>SUMIF('TB 1224'!H:H,BS!B41,'TB 1224'!F:F)</f>
        <v>1825.8358499999997</v>
      </c>
      <c r="M41" s="65">
        <f>SUMIF('TB 0125'!H:H,BS!B41,'TB 0125'!F:F)</f>
        <v>3187.0560699999996</v>
      </c>
      <c r="N41" s="65">
        <f>SUMIF('TB 0225'!H:H,BS!B41,'TB 0225'!F:F)</f>
        <v>5501.0955000000004</v>
      </c>
      <c r="O41" s="65">
        <f>SUMIF('TB 0325'!H:H,BS!B41,'TB 0325'!F:F)</f>
        <v>9376.5058399999998</v>
      </c>
      <c r="P41" s="366">
        <f>SUMIF('TB 0425'!H:H,BS!B41,'TB 0425'!F:F)</f>
        <v>12250.968700000001</v>
      </c>
      <c r="Q41" s="366">
        <f>SUMIF('TB 0525'!H:H,BS!B41,'TB 0525'!F:F)</f>
        <v>16012.628099999994</v>
      </c>
      <c r="R41" s="366">
        <f>SUMIF('TB 0625'!H:H,BS!B41,'TB 0625'!F:F)</f>
        <v>30003.953129999998</v>
      </c>
      <c r="S41" s="366">
        <f>SUMIF('TB 0725'!H:H,BS!B41,'TB 0725'!F:F)</f>
        <v>36371.628479999999</v>
      </c>
      <c r="T41" s="65">
        <f>SUMIF('TB 0825'!H:H,BS!B41,'TB 0825'!F:F)</f>
        <v>44487.991779999997</v>
      </c>
      <c r="U41" s="65">
        <f>SUMIF('TB 0925'!H:H,BS!B41,'TB 0925'!F:F)</f>
        <v>60215.672159999987</v>
      </c>
      <c r="V41" s="65">
        <f>SUMIF('TB 1025'!H:H,BS!B41,'TB 1025'!F:F)</f>
        <v>85535.90221</v>
      </c>
      <c r="W41" s="65">
        <f>SUMIF('TB 1125'!H:H,BS!B41,'TB 1125'!F:F)</f>
        <v>116037.98419</v>
      </c>
      <c r="X41" s="65">
        <f>SUMIF('TB 1225'!H:H,BS!B41,'TB 1225'!F:F)</f>
        <v>154267.04717999999</v>
      </c>
      <c r="Y41" s="63"/>
      <c r="Z41" s="61"/>
      <c r="AA41" s="61"/>
      <c r="AB41" s="61"/>
      <c r="AC41" s="61"/>
      <c r="AD41" s="61"/>
      <c r="AE41" s="61"/>
      <c r="AF41" s="61"/>
      <c r="AG41" s="61"/>
      <c r="AH41" s="63"/>
      <c r="AI41" s="63"/>
      <c r="AJ41" s="63"/>
      <c r="AK41" s="63"/>
      <c r="AL41" s="61"/>
      <c r="AM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</row>
    <row r="42" spans="2:57" x14ac:dyDescent="0.3">
      <c r="B42" s="360"/>
      <c r="C42" s="14"/>
      <c r="D42" s="1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3"/>
      <c r="U42" s="13"/>
      <c r="V42" s="13"/>
      <c r="W42" s="13"/>
      <c r="X42" s="13"/>
      <c r="AL42" s="61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</row>
    <row r="43" spans="2:57" x14ac:dyDescent="0.3">
      <c r="B43" s="373" t="s">
        <v>1373</v>
      </c>
      <c r="C43" s="374">
        <v>715.51510000000007</v>
      </c>
      <c r="D43" s="375">
        <f t="shared" ref="D43:R43" si="11">D27+D35</f>
        <v>982.65989999999999</v>
      </c>
      <c r="E43" s="374">
        <f t="shared" si="11"/>
        <v>75014.23109999999</v>
      </c>
      <c r="F43" s="374">
        <f t="shared" si="11"/>
        <v>72180.19683999999</v>
      </c>
      <c r="G43" s="374">
        <f t="shared" si="11"/>
        <v>69147.333459999994</v>
      </c>
      <c r="H43" s="374">
        <f t="shared" si="11"/>
        <v>66223.895969999998</v>
      </c>
      <c r="I43" s="374">
        <f t="shared" si="11"/>
        <v>63115.797289999995</v>
      </c>
      <c r="J43" s="374">
        <f t="shared" si="11"/>
        <v>59866.518569999993</v>
      </c>
      <c r="K43" s="374">
        <f t="shared" si="11"/>
        <v>56663.780080000011</v>
      </c>
      <c r="L43" s="374">
        <f t="shared" si="11"/>
        <v>53768.337460000002</v>
      </c>
      <c r="M43" s="374">
        <f t="shared" si="11"/>
        <v>523317.74737</v>
      </c>
      <c r="N43" s="374">
        <f t="shared" si="11"/>
        <v>516906.81036000006</v>
      </c>
      <c r="O43" s="374">
        <f t="shared" si="11"/>
        <v>507152.34882000001</v>
      </c>
      <c r="P43" s="374">
        <f t="shared" si="11"/>
        <v>488915.43722000008</v>
      </c>
      <c r="Q43" s="374">
        <f t="shared" si="11"/>
        <v>462923.49468999996</v>
      </c>
      <c r="R43" s="374">
        <f t="shared" si="11"/>
        <v>2057478.7326100001</v>
      </c>
      <c r="S43" s="374">
        <f t="shared" ref="S43:X43" si="12">S27+S35</f>
        <v>2003860.0318499999</v>
      </c>
      <c r="T43" s="374">
        <f t="shared" si="12"/>
        <v>1962647.2516000005</v>
      </c>
      <c r="U43" s="374">
        <f t="shared" si="12"/>
        <v>1899077.3488900005</v>
      </c>
      <c r="V43" s="374">
        <f t="shared" si="12"/>
        <v>3115955.2333800001</v>
      </c>
      <c r="W43" s="374">
        <f t="shared" si="12"/>
        <v>4344798.7886299994</v>
      </c>
      <c r="X43" s="374">
        <f t="shared" si="12"/>
        <v>4221746.1325700004</v>
      </c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</row>
    <row r="44" spans="2:57" x14ac:dyDescent="0.3"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 spans="2:57" x14ac:dyDescent="0.3"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</row>
    <row r="46" spans="2:57" x14ac:dyDescent="0.3">
      <c r="E46" s="380"/>
      <c r="P46" s="62"/>
      <c r="Q46" s="62"/>
      <c r="R46" s="62"/>
      <c r="S46" s="62"/>
      <c r="T46" s="62"/>
      <c r="U46" s="62"/>
      <c r="V46" s="62"/>
      <c r="W46" s="62"/>
      <c r="X46" s="62"/>
    </row>
  </sheetData>
  <pageMargins left="0.7" right="0.7" top="0.75" bottom="0.75" header="0.3" footer="0.3"/>
  <pageSetup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FA53-B259-4435-A7F7-33B8CC3D410D}">
  <sheetPr>
    <tabColor rgb="FF92D050"/>
  </sheetPr>
  <dimension ref="B2:P42"/>
  <sheetViews>
    <sheetView showGridLines="0" tabSelected="1" zoomScale="80" zoomScaleNormal="85"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C30" sqref="C30:K38"/>
    </sheetView>
  </sheetViews>
  <sheetFormatPr defaultColWidth="8.90625" defaultRowHeight="13" x14ac:dyDescent="0.3"/>
  <cols>
    <col min="1" max="1" width="3.81640625" style="2" customWidth="1"/>
    <col min="2" max="2" width="43.6328125" style="2" bestFit="1" customWidth="1"/>
    <col min="3" max="11" width="11.81640625" style="2" customWidth="1"/>
    <col min="12" max="16384" width="8.90625" style="2"/>
  </cols>
  <sheetData>
    <row r="2" spans="2:16" x14ac:dyDescent="0.3">
      <c r="B2" s="31" t="s">
        <v>1333</v>
      </c>
      <c r="C2" s="214"/>
      <c r="D2" s="214"/>
      <c r="E2" s="214"/>
      <c r="F2" s="214"/>
      <c r="G2" s="214"/>
      <c r="H2" s="214"/>
      <c r="I2" s="214"/>
      <c r="J2" s="214"/>
      <c r="K2" s="214"/>
    </row>
    <row r="3" spans="2:16" x14ac:dyDescent="0.3">
      <c r="B3" s="33" t="s">
        <v>24</v>
      </c>
      <c r="C3" s="93">
        <v>45748</v>
      </c>
      <c r="D3" s="93">
        <v>45778</v>
      </c>
      <c r="E3" s="93">
        <v>45809</v>
      </c>
      <c r="F3" s="93">
        <v>45839</v>
      </c>
      <c r="G3" s="93">
        <v>45870</v>
      </c>
      <c r="H3" s="93">
        <v>45901</v>
      </c>
      <c r="I3" s="93">
        <v>45931</v>
      </c>
      <c r="J3" s="93">
        <v>45962</v>
      </c>
      <c r="K3" s="93">
        <v>45992</v>
      </c>
    </row>
    <row r="4" spans="2:16" x14ac:dyDescent="0.3">
      <c r="B4" s="35"/>
      <c r="C4" s="21"/>
      <c r="D4" s="21"/>
      <c r="E4" s="21"/>
      <c r="F4" s="21"/>
      <c r="G4" s="21"/>
      <c r="H4" s="21"/>
      <c r="I4" s="21"/>
      <c r="J4" s="21"/>
      <c r="K4" s="21"/>
    </row>
    <row r="5" spans="2:16" x14ac:dyDescent="0.3">
      <c r="B5" s="345" t="s">
        <v>1379</v>
      </c>
      <c r="C5" s="21"/>
      <c r="D5" s="21"/>
      <c r="E5" s="21"/>
      <c r="F5" s="21"/>
      <c r="G5" s="21"/>
      <c r="H5" s="21"/>
      <c r="I5" s="21"/>
      <c r="J5" s="21"/>
      <c r="K5" s="21"/>
    </row>
    <row r="6" spans="2:16" x14ac:dyDescent="0.3">
      <c r="B6" s="35" t="s">
        <v>1380</v>
      </c>
      <c r="C6" s="382">
        <v>-20732.042749999964</v>
      </c>
      <c r="D6" s="382">
        <f>'MIS P&amp;L'!G55</f>
        <v>-32698.210521290319</v>
      </c>
      <c r="E6" s="382">
        <f>'MIS P&amp;L'!H55</f>
        <v>-43800.050909999998</v>
      </c>
      <c r="F6" s="382">
        <f>'MIS P&amp;L'!I55</f>
        <v>-54498.800640000001</v>
      </c>
      <c r="G6" s="382">
        <f>'MIS P&amp;L'!J55</f>
        <v>-81795.162191290307</v>
      </c>
      <c r="H6" s="382">
        <f>'MIS P&amp;L'!K55</f>
        <v>-92575.360119999998</v>
      </c>
      <c r="I6" s="382">
        <f>'MIS P&amp;L'!L55</f>
        <v>-140807.78644999999</v>
      </c>
      <c r="J6" s="382">
        <f>'MIS P&amp;L'!M55</f>
        <v>-155242.06227000002</v>
      </c>
      <c r="K6" s="382">
        <f>'MIS P&amp;L'!N55</f>
        <v>-205163.88717</v>
      </c>
    </row>
    <row r="7" spans="2:16" x14ac:dyDescent="0.3">
      <c r="B7" s="35" t="s">
        <v>1381</v>
      </c>
      <c r="C7" s="21"/>
      <c r="D7" s="21"/>
      <c r="E7" s="21"/>
      <c r="F7" s="21"/>
      <c r="G7" s="21"/>
      <c r="H7" s="21"/>
      <c r="I7" s="284"/>
      <c r="J7" s="284"/>
      <c r="K7" s="284"/>
    </row>
    <row r="8" spans="2:16" x14ac:dyDescent="0.3">
      <c r="B8" s="383" t="s">
        <v>48</v>
      </c>
      <c r="C8" s="21">
        <f>'MIS P&amp;L'!F47</f>
        <v>213.09815</v>
      </c>
      <c r="D8" s="21">
        <f>'MIS P&amp;L'!G47</f>
        <v>266.90296000000001</v>
      </c>
      <c r="E8" s="21">
        <f>'MIS P&amp;L'!H47</f>
        <v>293.91166999999996</v>
      </c>
      <c r="F8" s="21">
        <f>'MIS P&amp;L'!I47</f>
        <v>338.10246000000001</v>
      </c>
      <c r="G8" s="21">
        <f>'MIS P&amp;L'!J47</f>
        <v>395.11200000000002</v>
      </c>
      <c r="H8" s="21">
        <f>'MIS P&amp;L'!K47</f>
        <v>653.15801999999996</v>
      </c>
      <c r="I8" s="284">
        <f>'MIS P&amp;L'!L47</f>
        <v>856.74807999999996</v>
      </c>
      <c r="J8" s="284">
        <f>'MIS P&amp;L'!M47</f>
        <v>1006.83474</v>
      </c>
      <c r="K8" s="284">
        <f>'MIS P&amp;L'!N47</f>
        <v>1184.28854</v>
      </c>
    </row>
    <row r="9" spans="2:16" x14ac:dyDescent="0.3">
      <c r="B9" s="383" t="s">
        <v>1382</v>
      </c>
      <c r="C9" s="382">
        <f>-'MIS P&amp;L'!F48</f>
        <v>-2627.8147000000004</v>
      </c>
      <c r="D9" s="382">
        <f>-'MIS P&amp;L'!G48</f>
        <v>-2553.0613000000008</v>
      </c>
      <c r="E9" s="382">
        <f>-'MIS P&amp;L'!H48</f>
        <v>-9875.7241000000013</v>
      </c>
      <c r="F9" s="382">
        <f>-'MIS P&amp;L'!I48</f>
        <v>-10016.751</v>
      </c>
      <c r="G9" s="382">
        <f>-'MIS P&amp;L'!J48</f>
        <v>-9834.8399200000003</v>
      </c>
      <c r="H9" s="382">
        <f>-'MIS P&amp;L'!K48</f>
        <v>-10218.87478</v>
      </c>
      <c r="I9" s="382">
        <f>-'MIS P&amp;L'!L48</f>
        <v>-10608.585480000002</v>
      </c>
      <c r="J9" s="382">
        <f>-'MIS P&amp;L'!M48</f>
        <v>-17681.218000000001</v>
      </c>
      <c r="K9" s="382">
        <f>-'MIS P&amp;L'!N48</f>
        <v>-18913.495689999996</v>
      </c>
    </row>
    <row r="10" spans="2:16" x14ac:dyDescent="0.3">
      <c r="B10" s="345" t="s">
        <v>1383</v>
      </c>
      <c r="C10" s="384">
        <f t="shared" ref="C10:H10" si="0">SUM(C6:C9)</f>
        <v>-23146.759299999962</v>
      </c>
      <c r="D10" s="384">
        <f t="shared" si="0"/>
        <v>-34984.368861290321</v>
      </c>
      <c r="E10" s="384">
        <f t="shared" si="0"/>
        <v>-53381.863339999996</v>
      </c>
      <c r="F10" s="384">
        <f t="shared" si="0"/>
        <v>-64177.449179999996</v>
      </c>
      <c r="G10" s="384">
        <f t="shared" si="0"/>
        <v>-91234.890111290311</v>
      </c>
      <c r="H10" s="384">
        <f t="shared" si="0"/>
        <v>-102141.07687999999</v>
      </c>
      <c r="I10" s="384">
        <f t="shared" ref="I10:J10" si="1">SUM(I6:I9)</f>
        <v>-150559.62385</v>
      </c>
      <c r="J10" s="384">
        <f t="shared" si="1"/>
        <v>-171916.44553000003</v>
      </c>
      <c r="K10" s="384">
        <f t="shared" ref="K10" si="2">SUM(K6:K9)</f>
        <v>-222893.09431999997</v>
      </c>
      <c r="N10" s="558"/>
      <c r="O10" s="558"/>
      <c r="P10" s="558"/>
    </row>
    <row r="11" spans="2:16" x14ac:dyDescent="0.3">
      <c r="B11" s="35"/>
      <c r="C11" s="21"/>
      <c r="D11" s="21"/>
      <c r="E11" s="21"/>
      <c r="F11" s="21"/>
      <c r="G11" s="21"/>
      <c r="H11" s="21"/>
      <c r="I11" s="284"/>
      <c r="J11" s="284"/>
      <c r="K11" s="284"/>
      <c r="N11" s="558"/>
      <c r="O11" s="558"/>
      <c r="P11" s="558"/>
    </row>
    <row r="12" spans="2:16" x14ac:dyDescent="0.3">
      <c r="B12" s="345" t="s">
        <v>1384</v>
      </c>
      <c r="C12" s="21"/>
      <c r="D12" s="21"/>
      <c r="E12" s="21"/>
      <c r="F12" s="21"/>
      <c r="G12" s="21"/>
      <c r="H12" s="21"/>
      <c r="I12" s="284"/>
      <c r="J12" s="284"/>
      <c r="K12" s="284"/>
      <c r="O12" s="558"/>
    </row>
    <row r="13" spans="2:16" x14ac:dyDescent="0.3">
      <c r="B13" s="383" t="s">
        <v>1385</v>
      </c>
      <c r="C13" s="21">
        <f>BS!O38-BS!P38</f>
        <v>49.646490000000412</v>
      </c>
      <c r="D13" s="382">
        <f>BS!P38-BS!Q38</f>
        <v>-270.79643000000016</v>
      </c>
      <c r="E13" s="382">
        <f>BS!Q38-BS!R38</f>
        <v>-205.81217999999973</v>
      </c>
      <c r="F13" s="382">
        <f>BS!R38-BS!S38</f>
        <v>374.31342999999879</v>
      </c>
      <c r="G13" s="382">
        <f>BS!S38-BS!T38</f>
        <v>-902.34089000000063</v>
      </c>
      <c r="H13" s="382">
        <f>BS!T38-BS!U38</f>
        <v>-271.6018700000011</v>
      </c>
      <c r="I13" s="382">
        <f>BS!U38-BS!V38</f>
        <v>675.47351000000049</v>
      </c>
      <c r="J13" s="382">
        <f>BS!V38-BS!W38</f>
        <v>-2332.9784099999974</v>
      </c>
      <c r="K13" s="382">
        <f>BS!W38-BS!X38</f>
        <v>1788.9470699999993</v>
      </c>
    </row>
    <row r="14" spans="2:16" x14ac:dyDescent="0.3">
      <c r="B14" s="383" t="s">
        <v>1386</v>
      </c>
      <c r="C14" s="21">
        <f>BS!P19-BS!O19</f>
        <v>1555.3217600000016</v>
      </c>
      <c r="D14" s="21">
        <f>BS!Q19-BS!P19</f>
        <v>5144.2070999999996</v>
      </c>
      <c r="E14" s="21">
        <f>BS!R19-BS!Q19</f>
        <v>3676.4829200000022</v>
      </c>
      <c r="F14" s="21">
        <f>BS!S19-BS!R19</f>
        <v>5381.9953799999967</v>
      </c>
      <c r="G14" s="21">
        <f>BS!T19-BS!S19</f>
        <v>11167.407400000007</v>
      </c>
      <c r="H14" s="21">
        <f>BS!U19-BS!T19</f>
        <v>18058.641560000004</v>
      </c>
      <c r="I14" s="284">
        <f>BS!V19-BS!U19</f>
        <v>29579.550109999982</v>
      </c>
      <c r="J14" s="382">
        <f>BS!W19-BS!V19</f>
        <v>35694.199240000016</v>
      </c>
      <c r="K14" s="382">
        <f>BS!X19-BS!W19</f>
        <v>46581.938239999974</v>
      </c>
    </row>
    <row r="15" spans="2:16" x14ac:dyDescent="0.3">
      <c r="B15" s="383" t="s">
        <v>1387</v>
      </c>
      <c r="C15" s="21">
        <f>-BS!O20+BS!P20</f>
        <v>2161.8831600000003</v>
      </c>
      <c r="D15" s="21">
        <f>-BS!P20+BS!Q20</f>
        <v>1514.6128900000008</v>
      </c>
      <c r="E15" s="21">
        <f>-BS!Q20+BS!R20</f>
        <v>5124.570099999999</v>
      </c>
      <c r="F15" s="382">
        <f>-BS!R20+BS!S20</f>
        <v>-1294.6026999999995</v>
      </c>
      <c r="G15" s="382">
        <f>-BS!S20+BS!T20</f>
        <v>990.74731999999858</v>
      </c>
      <c r="H15" s="382">
        <f>-BS!T20+BS!U20</f>
        <v>3430.07474</v>
      </c>
      <c r="I15" s="382">
        <f>-BS!U20+BS!V20</f>
        <v>3631.195099999999</v>
      </c>
      <c r="J15" s="382">
        <f>-BS!V20+BS!W20</f>
        <v>8958.3866100000014</v>
      </c>
      <c r="K15" s="382">
        <f>-BS!W20+BS!X20</f>
        <v>4357.8322299999963</v>
      </c>
    </row>
    <row r="16" spans="2:16" x14ac:dyDescent="0.3">
      <c r="B16" s="383" t="s">
        <v>1388</v>
      </c>
      <c r="C16" s="382">
        <f>-BS!O21+BS!P21</f>
        <v>5.9490000000000123</v>
      </c>
      <c r="D16" s="382">
        <f>-BS!P21+BS!Q21</f>
        <v>47.448000000000008</v>
      </c>
      <c r="E16" s="382">
        <f>-BS!Q21+BS!R21</f>
        <v>5972.8223600000001</v>
      </c>
      <c r="F16" s="382">
        <f>-BS!R21+BS!S21</f>
        <v>-3207.2928000000006</v>
      </c>
      <c r="G16" s="382">
        <f>-BS!S21+BS!T21</f>
        <v>28424.227230000004</v>
      </c>
      <c r="H16" s="382">
        <f>-BS!T21+BS!U21</f>
        <v>7516.742109999992</v>
      </c>
      <c r="I16" s="382">
        <f>-BS!U21+BS!V21</f>
        <v>23665.772730000004</v>
      </c>
      <c r="J16" s="382">
        <f>-BS!V21+BS!W21</f>
        <v>-12750.363330000007</v>
      </c>
      <c r="K16" s="382">
        <f>-BS!W21+BS!X21</f>
        <v>32989.751140000015</v>
      </c>
      <c r="N16" s="558"/>
      <c r="O16" s="558"/>
      <c r="P16" s="558"/>
    </row>
    <row r="17" spans="2:16" x14ac:dyDescent="0.3">
      <c r="B17" s="383" t="s">
        <v>1389</v>
      </c>
      <c r="C17" s="382">
        <f>BS!O41-BS!P41</f>
        <v>-2874.4628600000015</v>
      </c>
      <c r="D17" s="382">
        <f>BS!P41-BS!Q41</f>
        <v>-3761.6593999999932</v>
      </c>
      <c r="E17" s="382">
        <f>BS!Q41-BS!R41</f>
        <v>-13991.325030000004</v>
      </c>
      <c r="F17" s="382">
        <f>BS!R41-BS!S41</f>
        <v>-6367.6753500000013</v>
      </c>
      <c r="G17" s="382">
        <f>BS!S41-BS!T41</f>
        <v>-8116.3632999999973</v>
      </c>
      <c r="H17" s="382">
        <f>BS!T41-BS!U41</f>
        <v>-15727.680379999991</v>
      </c>
      <c r="I17" s="382">
        <f>BS!U41-BS!V41</f>
        <v>-25320.230050000013</v>
      </c>
      <c r="J17" s="382">
        <f>BS!V41-BS!W41</f>
        <v>-30502.081980000003</v>
      </c>
      <c r="K17" s="382">
        <f>BS!W41-BS!X41</f>
        <v>-38229.062989999991</v>
      </c>
      <c r="N17" s="558"/>
    </row>
    <row r="18" spans="2:16" x14ac:dyDescent="0.3">
      <c r="B18" s="383" t="s">
        <v>1391</v>
      </c>
      <c r="C18" s="382">
        <f>BS!O32-BS!P33</f>
        <v>-793</v>
      </c>
      <c r="D18" s="382">
        <f>BS!P33-BS!Q33</f>
        <v>-1103</v>
      </c>
      <c r="E18" s="382">
        <f>BS!Q33-BS!R33</f>
        <v>-1429.3999999999996</v>
      </c>
      <c r="F18" s="382">
        <f>BS!R33-BS!S33</f>
        <v>-683</v>
      </c>
      <c r="G18" s="382">
        <f>BS!S33-BS!T33</f>
        <v>-637</v>
      </c>
      <c r="H18" s="382">
        <f>BS!T33-BS!U33</f>
        <v>-2151</v>
      </c>
      <c r="I18" s="382">
        <f>BS!U33-BS!V33</f>
        <v>-4723</v>
      </c>
      <c r="J18" s="382">
        <f>BS!V33-BS!W33</f>
        <v>10</v>
      </c>
      <c r="K18" s="382">
        <f>BS!W33-BS!X33</f>
        <v>-2785.0000000000018</v>
      </c>
      <c r="N18" s="558"/>
      <c r="O18" s="558"/>
      <c r="P18" s="558"/>
    </row>
    <row r="19" spans="2:16" hidden="1" x14ac:dyDescent="0.3">
      <c r="B19" s="345" t="s">
        <v>1392</v>
      </c>
      <c r="C19" s="384">
        <f t="shared" ref="C19:I19" si="3">SUM(C10:C18)</f>
        <v>-23041.421749999958</v>
      </c>
      <c r="D19" s="384">
        <f t="shared" si="3"/>
        <v>-33413.556701290319</v>
      </c>
      <c r="E19" s="384">
        <f t="shared" si="3"/>
        <v>-54234.525170000001</v>
      </c>
      <c r="F19" s="384">
        <f t="shared" si="3"/>
        <v>-69973.711219999997</v>
      </c>
      <c r="G19" s="384">
        <f t="shared" si="3"/>
        <v>-60308.212351290305</v>
      </c>
      <c r="H19" s="384">
        <f t="shared" si="3"/>
        <v>-91285.900719999991</v>
      </c>
      <c r="I19" s="384">
        <f t="shared" si="3"/>
        <v>-123050.86245000002</v>
      </c>
      <c r="J19" s="384">
        <f t="shared" ref="J19:K19" si="4">SUM(J10:J18)</f>
        <v>-172839.28340000001</v>
      </c>
      <c r="K19" s="384">
        <f t="shared" si="4"/>
        <v>-178188.68862999999</v>
      </c>
    </row>
    <row r="20" spans="2:16" hidden="1" x14ac:dyDescent="0.3">
      <c r="B20" s="383" t="s">
        <v>1393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84">
        <v>0</v>
      </c>
      <c r="J20" s="284">
        <v>0</v>
      </c>
      <c r="K20" s="284">
        <v>0</v>
      </c>
    </row>
    <row r="21" spans="2:16" s="29" customFormat="1" ht="13.5" thickBot="1" x14ac:dyDescent="0.35">
      <c r="B21" s="345" t="s">
        <v>1394</v>
      </c>
      <c r="C21" s="385">
        <f t="shared" ref="C21:H21" si="5">SUM(C19:C20)</f>
        <v>-23041.421749999958</v>
      </c>
      <c r="D21" s="385">
        <f t="shared" si="5"/>
        <v>-33413.556701290319</v>
      </c>
      <c r="E21" s="385">
        <f t="shared" si="5"/>
        <v>-54234.525170000001</v>
      </c>
      <c r="F21" s="385">
        <f t="shared" si="5"/>
        <v>-69973.711219999997</v>
      </c>
      <c r="G21" s="385">
        <f t="shared" si="5"/>
        <v>-60308.212351290305</v>
      </c>
      <c r="H21" s="385">
        <f t="shared" si="5"/>
        <v>-91285.900719999991</v>
      </c>
      <c r="I21" s="385">
        <f t="shared" ref="I21:J21" si="6">SUM(I19:I20)</f>
        <v>-123050.86245000002</v>
      </c>
      <c r="J21" s="385">
        <f t="shared" si="6"/>
        <v>-172839.28340000001</v>
      </c>
      <c r="K21" s="385">
        <f t="shared" ref="K21" si="7">SUM(K19:K20)</f>
        <v>-178188.68862999999</v>
      </c>
    </row>
    <row r="22" spans="2:16" ht="13.5" thickTop="1" x14ac:dyDescent="0.3">
      <c r="B22" s="35"/>
      <c r="C22" s="21"/>
      <c r="D22" s="21"/>
      <c r="E22" s="21"/>
      <c r="F22" s="21"/>
      <c r="G22" s="21"/>
      <c r="H22" s="21"/>
      <c r="I22" s="284"/>
      <c r="J22" s="284"/>
      <c r="K22" s="284"/>
    </row>
    <row r="23" spans="2:16" x14ac:dyDescent="0.3">
      <c r="B23" s="345" t="s">
        <v>1395</v>
      </c>
      <c r="C23" s="21"/>
      <c r="D23" s="21"/>
      <c r="E23" s="21"/>
      <c r="F23" s="21"/>
      <c r="G23" s="21"/>
      <c r="H23" s="21"/>
      <c r="I23" s="284"/>
      <c r="J23" s="284"/>
      <c r="K23" s="284"/>
    </row>
    <row r="24" spans="2:16" x14ac:dyDescent="0.3">
      <c r="B24" s="383" t="s">
        <v>1390</v>
      </c>
      <c r="C24" s="382">
        <f>BS!O36-BS!P36</f>
        <v>26000</v>
      </c>
      <c r="D24" s="382">
        <f>BS!P36-BS!Q36</f>
        <v>37000</v>
      </c>
      <c r="E24" s="382">
        <f>BS!Q36-BS!R36</f>
        <v>-1564500</v>
      </c>
      <c r="F24" s="382">
        <f>BS!R36-BS!S36</f>
        <v>37500</v>
      </c>
      <c r="G24" s="382">
        <f>BS!S36-BS!T36</f>
        <v>69987.107359999558</v>
      </c>
      <c r="H24" s="382">
        <f>BS!T36-BS!U36</f>
        <v>74814.642790000187</v>
      </c>
      <c r="I24" s="382">
        <f>BS!U36-BS!V36</f>
        <v>146729.65394000034</v>
      </c>
      <c r="J24" s="382">
        <f>BS!V36-BS!W36</f>
        <v>-2522975.0012499997</v>
      </c>
      <c r="K24" s="382">
        <f>BS!W36-BS!X36</f>
        <v>209501.05111999949</v>
      </c>
    </row>
    <row r="25" spans="2:16" x14ac:dyDescent="0.3">
      <c r="B25" s="383" t="s">
        <v>1396</v>
      </c>
      <c r="C25" s="21">
        <f>'MIS P&amp;L'!F48</f>
        <v>2627.8147000000004</v>
      </c>
      <c r="D25" s="21">
        <f>'MIS P&amp;L'!G48</f>
        <v>2553.0613000000008</v>
      </c>
      <c r="E25" s="21">
        <f>'MIS P&amp;L'!H48</f>
        <v>9875.7241000000013</v>
      </c>
      <c r="F25" s="21">
        <f>'MIS P&amp;L'!I48</f>
        <v>10016.751</v>
      </c>
      <c r="G25" s="21">
        <f>'MIS P&amp;L'!J48</f>
        <v>9834.8399200000003</v>
      </c>
      <c r="H25" s="21">
        <f>'MIS P&amp;L'!K48</f>
        <v>10218.87478</v>
      </c>
      <c r="I25" s="284">
        <f>'MIS P&amp;L'!L48</f>
        <v>10608.585480000002</v>
      </c>
      <c r="J25" s="284">
        <f>'MIS P&amp;L'!M48</f>
        <v>17681.218000000001</v>
      </c>
      <c r="K25" s="284">
        <f>'MIS P&amp;L'!N48</f>
        <v>18913.495689999996</v>
      </c>
    </row>
    <row r="26" spans="2:16" x14ac:dyDescent="0.3">
      <c r="B26" s="383" t="s">
        <v>1397</v>
      </c>
      <c r="C26" s="382">
        <f>-((SUMIF('TB 0425'!J:J,'Cash Flow'!B26,'TB 0425'!F:F)-SUMIF('TB 0325'!I:I,'Cash Flow'!B26,'TB 0325'!F:F)))</f>
        <v>-1608.3019999999997</v>
      </c>
      <c r="D26" s="382">
        <f>-((SUMIF('TB 0525'!I:I,'Cash Flow'!B26,'TB 0525'!F:F)-SUMIF('TB 0425'!J:J,'Cash Flow'!B26,'TB 0425'!F:F)))</f>
        <v>-1776.907580000001</v>
      </c>
      <c r="E26" s="382">
        <f>-((SUMIF('TB 0625'!I:I,'Cash Flow'!B26,'TB 0625'!F:F)-SUMIF('TB 0525'!I:I,'Cash Flow'!B26,'TB 0525'!F:F)))</f>
        <v>-1223.0189699999992</v>
      </c>
      <c r="F26" s="382">
        <f>-((SUMIF('TB 0725'!I:I,'Cash Flow'!B26,'TB 0725'!F:F)-SUMIF('TB 0625'!I:I,'Cash Flow'!B26,'TB 0625'!F:F)))</f>
        <v>-1524.5879999999997</v>
      </c>
      <c r="G26" s="382">
        <f>-((SUMIF('TB 0825'!I:I,'Cash Flow'!B26,'TB 0825'!F:F)-SUMIF('TB 0725'!I:I,'Cash Flow'!B26,'TB 0725'!F:F)))</f>
        <v>-9228.8459899999962</v>
      </c>
      <c r="H26" s="382">
        <f>-((SUMIF('TB 0925'!I:I,'Cash Flow'!B26,'TB 0925'!F:F)-SUMIF('TB 0825'!I:I,'Cash Flow'!B26,'TB 0825'!F:F)))</f>
        <v>-5420.7510000000038</v>
      </c>
      <c r="I26" s="382">
        <f>-((SUMIF('TB 1025'!I:I,'Cash Flow'!B26,'TB 1025'!F:F)-SUMIF('TB 0925'!I:I,'Cash Flow'!B26,'TB 0925'!F:F)))</f>
        <v>-7356.2531999999992</v>
      </c>
      <c r="J26" s="382">
        <f>-(SUMIF('TB 1125'!I:I,'Cash Flow'!B26,'TB 1125'!F:F)-SUMIF('TB 1025'!I:I,'Cash Flow'!B26,'TB 1025'!F:F))</f>
        <v>-4379.8840000000055</v>
      </c>
      <c r="K26" s="382">
        <f>-(SUMIF('TB 1225'!I:I,'Cash Flow'!B26,'TB 1225'!F:F)-SUMIF('TB 1125'!I:I,'Cash Flow'!B26,'TB 1125'!F:F))</f>
        <v>-7109.278999999995</v>
      </c>
    </row>
    <row r="27" spans="2:16" ht="13.5" thickBot="1" x14ac:dyDescent="0.35">
      <c r="B27" s="345" t="s">
        <v>1398</v>
      </c>
      <c r="C27" s="385">
        <f t="shared" ref="C27:H27" si="8">SUM(C24:C26)</f>
        <v>27019.512699999999</v>
      </c>
      <c r="D27" s="385">
        <f t="shared" si="8"/>
        <v>37776.153720000002</v>
      </c>
      <c r="E27" s="385">
        <f t="shared" si="8"/>
        <v>-1555847.2948700001</v>
      </c>
      <c r="F27" s="385">
        <f t="shared" si="8"/>
        <v>45992.163</v>
      </c>
      <c r="G27" s="385">
        <f t="shared" si="8"/>
        <v>70593.101289999555</v>
      </c>
      <c r="H27" s="385">
        <f t="shared" si="8"/>
        <v>79612.766570000182</v>
      </c>
      <c r="I27" s="385">
        <f>SUM(I24:I26)</f>
        <v>149981.98622000034</v>
      </c>
      <c r="J27" s="385">
        <f>SUM(J24:J26)</f>
        <v>-2509673.6672499999</v>
      </c>
      <c r="K27" s="385">
        <f>SUM(K24:K26)</f>
        <v>221305.26780999952</v>
      </c>
    </row>
    <row r="28" spans="2:16" ht="13.5" thickTop="1" x14ac:dyDescent="0.3">
      <c r="B28" s="35"/>
      <c r="C28" s="21"/>
      <c r="D28" s="21"/>
      <c r="E28" s="21"/>
      <c r="F28" s="21"/>
      <c r="G28" s="21"/>
      <c r="H28" s="21"/>
      <c r="I28" s="284"/>
      <c r="J28" s="284"/>
      <c r="K28" s="284"/>
    </row>
    <row r="29" spans="2:16" x14ac:dyDescent="0.3">
      <c r="B29" s="345" t="s">
        <v>1399</v>
      </c>
      <c r="C29" s="21"/>
      <c r="D29" s="21"/>
      <c r="E29" s="21"/>
      <c r="F29" s="21"/>
      <c r="G29" s="21"/>
      <c r="H29" s="21"/>
      <c r="I29" s="284"/>
      <c r="J29" s="284"/>
      <c r="K29" s="284"/>
    </row>
    <row r="30" spans="2:16" x14ac:dyDescent="0.3">
      <c r="B30" s="383" t="s">
        <v>1400</v>
      </c>
      <c r="C30" s="21">
        <v>0</v>
      </c>
      <c r="D30" s="21">
        <v>0</v>
      </c>
      <c r="E30" s="21">
        <v>1623581.4134500001</v>
      </c>
      <c r="F30" s="21">
        <v>0</v>
      </c>
      <c r="G30" s="21">
        <v>0</v>
      </c>
      <c r="H30" s="21">
        <v>0</v>
      </c>
      <c r="I30" s="284">
        <f>-'TB 1025'!F96</f>
        <v>1300809.1529999999</v>
      </c>
      <c r="J30" s="284">
        <f>('TB 1125'!D96*1/1000)+(-'TB 1125'!C171*1/1000)-3</f>
        <v>1352183.395</v>
      </c>
      <c r="K30" s="382">
        <f>-('TB 1225'!F171)</f>
        <v>-1818.29</v>
      </c>
    </row>
    <row r="31" spans="2:16" x14ac:dyDescent="0.3">
      <c r="B31" s="35"/>
      <c r="C31" s="21"/>
      <c r="D31" s="21"/>
      <c r="E31" s="21"/>
      <c r="F31" s="21"/>
      <c r="G31" s="21"/>
      <c r="H31" s="21"/>
      <c r="I31" s="284"/>
      <c r="J31" s="284"/>
      <c r="K31" s="284"/>
    </row>
    <row r="32" spans="2:16" ht="13.5" thickBot="1" x14ac:dyDescent="0.35">
      <c r="B32" s="345" t="s">
        <v>1401</v>
      </c>
      <c r="C32" s="386">
        <f t="shared" ref="C32:H32" si="9">SUM(C30:C31)</f>
        <v>0</v>
      </c>
      <c r="D32" s="386">
        <f t="shared" si="9"/>
        <v>0</v>
      </c>
      <c r="E32" s="387">
        <f t="shared" si="9"/>
        <v>1623581.4134500001</v>
      </c>
      <c r="F32" s="387">
        <f t="shared" si="9"/>
        <v>0</v>
      </c>
      <c r="G32" s="387">
        <f t="shared" si="9"/>
        <v>0</v>
      </c>
      <c r="H32" s="387">
        <f t="shared" si="9"/>
        <v>0</v>
      </c>
      <c r="I32" s="560">
        <f t="shared" ref="I32:J32" si="10">SUM(I30:I31)</f>
        <v>1300809.1529999999</v>
      </c>
      <c r="J32" s="560">
        <f t="shared" si="10"/>
        <v>1352183.395</v>
      </c>
      <c r="K32" s="560">
        <f t="shared" ref="K32" si="11">SUM(K30:K31)</f>
        <v>-1818.29</v>
      </c>
    </row>
    <row r="33" spans="2:11" ht="13.5" thickTop="1" x14ac:dyDescent="0.3">
      <c r="B33" s="35"/>
      <c r="C33" s="21"/>
      <c r="D33" s="21"/>
      <c r="E33" s="21"/>
      <c r="F33" s="21"/>
      <c r="G33" s="21"/>
      <c r="H33" s="21"/>
      <c r="I33" s="284"/>
      <c r="J33" s="284"/>
      <c r="K33" s="284"/>
    </row>
    <row r="34" spans="2:11" x14ac:dyDescent="0.3">
      <c r="B34" s="345" t="s">
        <v>1402</v>
      </c>
      <c r="C34" s="388">
        <f t="shared" ref="C34:I34" si="12">C21+C27+C32</f>
        <v>3978.0909500000416</v>
      </c>
      <c r="D34" s="388">
        <f t="shared" si="12"/>
        <v>4362.5970187096827</v>
      </c>
      <c r="E34" s="388">
        <f t="shared" si="12"/>
        <v>13499.593409999972</v>
      </c>
      <c r="F34" s="388">
        <f t="shared" si="12"/>
        <v>-23981.548219999997</v>
      </c>
      <c r="G34" s="388">
        <f t="shared" si="12"/>
        <v>10284.888938709249</v>
      </c>
      <c r="H34" s="388">
        <f t="shared" si="12"/>
        <v>-11673.134149999809</v>
      </c>
      <c r="I34" s="388">
        <f t="shared" si="12"/>
        <v>1327740.2767700003</v>
      </c>
      <c r="J34" s="388">
        <f t="shared" ref="J34:K34" si="13">J21+J27+J32</f>
        <v>-1330329.55565</v>
      </c>
      <c r="K34" s="388">
        <f t="shared" si="13"/>
        <v>41298.289179999534</v>
      </c>
    </row>
    <row r="35" spans="2:11" x14ac:dyDescent="0.3">
      <c r="B35" s="383" t="s">
        <v>1403</v>
      </c>
      <c r="C35" s="382">
        <f>BS!O39</f>
        <v>7334.7525499999992</v>
      </c>
      <c r="D35" s="382">
        <f>BS!P39</f>
        <v>11312.843499999995</v>
      </c>
      <c r="E35" s="382">
        <f>BS!Q39</f>
        <v>15675.440519999996</v>
      </c>
      <c r="F35" s="382">
        <f>BS!R39</f>
        <v>29175.033929999976</v>
      </c>
      <c r="G35" s="382">
        <f>BS!S39</f>
        <v>5193.4857099999881</v>
      </c>
      <c r="H35" s="382">
        <f>BS!T39</f>
        <v>15478.37464000006</v>
      </c>
      <c r="I35" s="382">
        <f>BS!U39</f>
        <v>3805.2394899999781</v>
      </c>
      <c r="J35" s="382">
        <f>BS!V39</f>
        <v>1331545.5162599999</v>
      </c>
      <c r="K35" s="382">
        <f>BS!W39</f>
        <v>1215.9606100000001</v>
      </c>
    </row>
    <row r="36" spans="2:11" x14ac:dyDescent="0.3">
      <c r="B36" s="345" t="s">
        <v>1404</v>
      </c>
      <c r="C36" s="388">
        <f t="shared" ref="C36:H36" si="14">SUM(C34:C35)</f>
        <v>11312.843500000041</v>
      </c>
      <c r="D36" s="388">
        <f t="shared" si="14"/>
        <v>15675.440518709678</v>
      </c>
      <c r="E36" s="388">
        <f t="shared" si="14"/>
        <v>29175.033929999969</v>
      </c>
      <c r="F36" s="388">
        <f t="shared" si="14"/>
        <v>5193.485709999979</v>
      </c>
      <c r="G36" s="388">
        <f t="shared" si="14"/>
        <v>15478.374648709238</v>
      </c>
      <c r="H36" s="388">
        <f t="shared" si="14"/>
        <v>3805.2404900002512</v>
      </c>
      <c r="I36" s="388">
        <f t="shared" ref="I36:J36" si="15">SUM(I34:I35)</f>
        <v>1331545.5162600004</v>
      </c>
      <c r="J36" s="388">
        <f t="shared" si="15"/>
        <v>1215.960609999951</v>
      </c>
      <c r="K36" s="388">
        <f t="shared" ref="K36" si="16">SUM(K34:K35)</f>
        <v>42514.249789999536</v>
      </c>
    </row>
    <row r="37" spans="2:11" x14ac:dyDescent="0.3">
      <c r="B37" s="35" t="s">
        <v>1410</v>
      </c>
      <c r="C37" s="382">
        <f>BS!P36</f>
        <v>452000</v>
      </c>
      <c r="D37" s="382">
        <f>BS!Q36</f>
        <v>415000</v>
      </c>
      <c r="E37" s="382">
        <f>BS!R36</f>
        <v>1979500</v>
      </c>
      <c r="F37" s="382">
        <f>BS!S36</f>
        <v>1942000</v>
      </c>
      <c r="G37" s="382">
        <f>BS!T36</f>
        <v>1872012.8926400004</v>
      </c>
      <c r="H37" s="382">
        <f>BS!U36</f>
        <v>1797198.2498500003</v>
      </c>
      <c r="I37" s="382">
        <f>BS!V36</f>
        <v>1650468.5959099999</v>
      </c>
      <c r="J37" s="382">
        <f>BS!W36</f>
        <v>4173443.5971599999</v>
      </c>
      <c r="K37" s="382">
        <f>BS!X36</f>
        <v>3963942.5460400004</v>
      </c>
    </row>
    <row r="38" spans="2:11" x14ac:dyDescent="0.3">
      <c r="B38" s="345" t="s">
        <v>1338</v>
      </c>
      <c r="C38" s="388">
        <f t="shared" ref="C38:H38" si="17">SUM(C36:C37)</f>
        <v>463312.84350000002</v>
      </c>
      <c r="D38" s="388">
        <f t="shared" si="17"/>
        <v>430675.44051870966</v>
      </c>
      <c r="E38" s="388">
        <f t="shared" si="17"/>
        <v>2008675.0339299999</v>
      </c>
      <c r="F38" s="388">
        <f t="shared" si="17"/>
        <v>1947193.4857099999</v>
      </c>
      <c r="G38" s="388">
        <f t="shared" si="17"/>
        <v>1887491.2672887098</v>
      </c>
      <c r="H38" s="388">
        <f t="shared" si="17"/>
        <v>1801003.4903400005</v>
      </c>
      <c r="I38" s="388">
        <f t="shared" ref="I38:J38" si="18">SUM(I36:I37)</f>
        <v>2982014.1121700006</v>
      </c>
      <c r="J38" s="388">
        <f t="shared" si="18"/>
        <v>4174659.5577699998</v>
      </c>
      <c r="K38" s="388">
        <f t="shared" ref="K38" si="19">SUM(K36:K37)</f>
        <v>4006456.7958299997</v>
      </c>
    </row>
    <row r="39" spans="2:11" x14ac:dyDescent="0.3">
      <c r="B39" s="27"/>
      <c r="C39" s="20"/>
      <c r="D39" s="20"/>
      <c r="E39" s="20"/>
      <c r="F39" s="20"/>
      <c r="G39" s="20"/>
      <c r="H39" s="20"/>
      <c r="I39" s="20"/>
      <c r="J39" s="20"/>
      <c r="K39" s="20"/>
    </row>
    <row r="40" spans="2:11" x14ac:dyDescent="0.3">
      <c r="C40" s="102"/>
      <c r="D40" s="102"/>
      <c r="E40" s="102"/>
      <c r="F40" s="102"/>
      <c r="G40" s="102"/>
      <c r="H40" s="102"/>
      <c r="I40" s="102"/>
      <c r="J40" s="102"/>
      <c r="K40" s="102"/>
    </row>
    <row r="41" spans="2:11" x14ac:dyDescent="0.3">
      <c r="C41" s="391"/>
      <c r="D41" s="391"/>
      <c r="E41" s="391"/>
      <c r="F41" s="391"/>
      <c r="G41" s="391"/>
      <c r="H41" s="391"/>
      <c r="I41" s="391"/>
      <c r="J41" s="391"/>
      <c r="K41" s="391"/>
    </row>
    <row r="42" spans="2:11" x14ac:dyDescent="0.3">
      <c r="C42" s="391"/>
      <c r="D42" s="391"/>
      <c r="E42" s="391"/>
      <c r="F42" s="391"/>
      <c r="G42" s="391"/>
      <c r="H42" s="391"/>
      <c r="I42" s="391"/>
      <c r="J42" s="391"/>
      <c r="K42" s="391"/>
    </row>
  </sheetData>
  <pageMargins left="0.7" right="0.7" top="0.75" bottom="0.75" header="0.3" footer="0.3"/>
  <pageSetup orientation="portrait" r:id="rId1"/>
  <ignoredErrors>
    <ignoredError sqref="C37:K3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0B08-6725-4257-B369-08133E98129C}">
  <dimension ref="A1:G185"/>
  <sheetViews>
    <sheetView topLeftCell="A58" workbookViewId="0">
      <selection activeCell="D70" sqref="D70"/>
    </sheetView>
  </sheetViews>
  <sheetFormatPr defaultRowHeight="14.5" x14ac:dyDescent="0.35"/>
  <cols>
    <col min="1" max="1" width="49.1796875" bestFit="1" customWidth="1"/>
    <col min="2" max="2" width="44.08984375" bestFit="1" customWidth="1"/>
    <col min="3" max="3" width="15.1796875" bestFit="1" customWidth="1"/>
    <col min="4" max="5" width="11.90625" bestFit="1" customWidth="1"/>
    <col min="6" max="6" width="14.36328125" bestFit="1" customWidth="1"/>
    <col min="7" max="7" width="44.08984375" bestFit="1" customWidth="1"/>
  </cols>
  <sheetData>
    <row r="1" spans="1:7" x14ac:dyDescent="0.35">
      <c r="A1" s="520" t="s">
        <v>464</v>
      </c>
      <c r="B1" s="520"/>
      <c r="C1" s="520" t="s">
        <v>498</v>
      </c>
      <c r="D1" s="520" t="s">
        <v>465</v>
      </c>
      <c r="E1" s="520" t="s">
        <v>466</v>
      </c>
      <c r="F1" s="520" t="s">
        <v>499</v>
      </c>
      <c r="G1" s="290" t="s">
        <v>433</v>
      </c>
    </row>
    <row r="2" spans="1:7" x14ac:dyDescent="0.35">
      <c r="G2" s="23"/>
    </row>
    <row r="3" spans="1:7" x14ac:dyDescent="0.35">
      <c r="A3" s="153" t="s">
        <v>70</v>
      </c>
      <c r="B3" s="154" t="str">
        <f>TRIM(A3)</f>
        <v>Assets</v>
      </c>
      <c r="C3" t="s">
        <v>85</v>
      </c>
      <c r="D3" t="s">
        <v>85</v>
      </c>
      <c r="E3" t="s">
        <v>85</v>
      </c>
      <c r="F3" t="s">
        <v>85</v>
      </c>
      <c r="G3" s="23"/>
    </row>
    <row r="4" spans="1:7" x14ac:dyDescent="0.35">
      <c r="A4" s="153" t="s">
        <v>500</v>
      </c>
      <c r="B4" s="154" t="str">
        <f t="shared" ref="B4:B67" si="0">TRIM(A4)</f>
        <v>Accounts Receivable</v>
      </c>
      <c r="C4" s="521">
        <v>37891105.43</v>
      </c>
      <c r="D4" s="521">
        <v>47811279</v>
      </c>
      <c r="E4" s="521">
        <v>82689067.400000006</v>
      </c>
      <c r="F4" s="521">
        <v>3013317.03</v>
      </c>
      <c r="G4" s="23" t="str">
        <f>VLOOKUP(B4,'TB 1125'!A:A,1,0)</f>
        <v>Accounts Receivable</v>
      </c>
    </row>
    <row r="5" spans="1:7" x14ac:dyDescent="0.35">
      <c r="A5" s="153" t="s">
        <v>501</v>
      </c>
      <c r="B5" s="154" t="str">
        <f t="shared" si="0"/>
        <v>Accrued Interest</v>
      </c>
      <c r="C5" s="521">
        <v>44549174</v>
      </c>
      <c r="D5" s="521">
        <v>60436186</v>
      </c>
      <c r="E5" s="521">
        <v>44549174</v>
      </c>
      <c r="F5" s="521">
        <v>60436186</v>
      </c>
      <c r="G5" s="23" t="str">
        <f>VLOOKUP(B5,'TB 1125'!A:A,1,0)</f>
        <v>Accrued Interest</v>
      </c>
    </row>
    <row r="6" spans="1:7" x14ac:dyDescent="0.35">
      <c r="A6" s="153" t="s">
        <v>1432</v>
      </c>
      <c r="B6" s="154" t="str">
        <f t="shared" si="0"/>
        <v>Accumulated Amortization on Leasehold Improvement</v>
      </c>
      <c r="C6" s="521">
        <v>-1139002.06</v>
      </c>
      <c r="D6" s="521">
        <v>0</v>
      </c>
      <c r="E6" s="521">
        <v>343755.54</v>
      </c>
      <c r="F6" s="521">
        <v>-1482757.6</v>
      </c>
      <c r="G6" s="23" t="str">
        <f>VLOOKUP(B6,'TB 1125'!A:A,1,0)</f>
        <v>Accumulated Amortization on Leasehold Improvement</v>
      </c>
    </row>
    <row r="7" spans="1:7" x14ac:dyDescent="0.35">
      <c r="A7" s="153" t="s">
        <v>503</v>
      </c>
      <c r="B7" s="154" t="str">
        <f t="shared" si="0"/>
        <v>Accumulated Depreciation on Computer and Laptops</v>
      </c>
      <c r="C7" s="521">
        <v>-2065810.3</v>
      </c>
      <c r="D7" s="521">
        <v>0</v>
      </c>
      <c r="E7" s="521">
        <v>634271.44999999995</v>
      </c>
      <c r="F7" s="521">
        <v>-2700081.75</v>
      </c>
      <c r="G7" s="23" t="str">
        <f>VLOOKUP(B7,'TB 1125'!A:A,1,0)</f>
        <v>Accumulated Depreciation on Computer and Laptops</v>
      </c>
    </row>
    <row r="8" spans="1:7" x14ac:dyDescent="0.35">
      <c r="A8" s="153" t="s">
        <v>760</v>
      </c>
      <c r="B8" s="154" t="str">
        <f t="shared" si="0"/>
        <v>Accumulated Depreciation on Furniture &amp; Equipment</v>
      </c>
      <c r="C8" s="521">
        <v>-87026.18</v>
      </c>
      <c r="D8" s="521">
        <v>0</v>
      </c>
      <c r="E8" s="521">
        <v>11003.51</v>
      </c>
      <c r="F8" s="521">
        <v>-98029.69</v>
      </c>
      <c r="G8" s="23" t="str">
        <f>VLOOKUP(B8,'TB 1125'!A:A,1,0)</f>
        <v>Accumulated Depreciation on Furniture &amp; Equipment</v>
      </c>
    </row>
    <row r="9" spans="1:7" x14ac:dyDescent="0.35">
      <c r="A9" s="153" t="s">
        <v>504</v>
      </c>
      <c r="B9" s="154" t="str">
        <f t="shared" si="0"/>
        <v>Accumulated Depreciation on Office Equipment</v>
      </c>
      <c r="C9" s="521">
        <v>-99018.23</v>
      </c>
      <c r="D9" s="521">
        <v>0</v>
      </c>
      <c r="E9" s="521">
        <v>17804.240000000002</v>
      </c>
      <c r="F9" s="521">
        <v>-116822.47</v>
      </c>
      <c r="G9" s="23" t="str">
        <f>VLOOKUP(B9,'TB 1125'!A:A,1,0)</f>
        <v>Accumulated Depreciation on Office Equipment</v>
      </c>
    </row>
    <row r="10" spans="1:7" x14ac:dyDescent="0.35">
      <c r="A10" s="153" t="s">
        <v>961</v>
      </c>
      <c r="B10" s="154" t="str">
        <f t="shared" si="0"/>
        <v>Advance to Vendors</v>
      </c>
      <c r="C10" s="521">
        <v>8263651.8200000003</v>
      </c>
      <c r="D10" s="521">
        <v>839774.54</v>
      </c>
      <c r="E10" s="521">
        <v>347360</v>
      </c>
      <c r="F10" s="521">
        <v>8756066.3599999994</v>
      </c>
      <c r="G10" s="23" t="str">
        <f>VLOOKUP(B10,'TB 1125'!A:A,1,0)</f>
        <v>Advance to Vendors</v>
      </c>
    </row>
    <row r="11" spans="1:7" x14ac:dyDescent="0.35">
      <c r="A11" s="153" t="s">
        <v>505</v>
      </c>
      <c r="B11" s="154" t="str">
        <f t="shared" si="0"/>
        <v>Amazon Wallet</v>
      </c>
      <c r="C11" s="521">
        <v>305.98</v>
      </c>
      <c r="D11" s="521">
        <v>0</v>
      </c>
      <c r="E11" s="521">
        <v>0</v>
      </c>
      <c r="F11" s="521">
        <v>305.98</v>
      </c>
      <c r="G11" s="23" t="str">
        <f>VLOOKUP(B11,'TB 1125'!A:A,1,0)</f>
        <v>Amazon Wallet</v>
      </c>
    </row>
    <row r="12" spans="1:7" x14ac:dyDescent="0.35">
      <c r="A12" s="153" t="s">
        <v>506</v>
      </c>
      <c r="B12" s="154" t="str">
        <f t="shared" si="0"/>
        <v>Axis Bank 1655</v>
      </c>
      <c r="C12" s="521">
        <v>11810.34</v>
      </c>
      <c r="D12" s="521">
        <v>0</v>
      </c>
      <c r="E12" s="521">
        <v>0</v>
      </c>
      <c r="F12" s="521">
        <v>11810.34</v>
      </c>
      <c r="G12" s="23" t="str">
        <f>VLOOKUP(B12,'TB 1125'!A:A,1,0)</f>
        <v>Axis Bank 1655</v>
      </c>
    </row>
    <row r="13" spans="1:7" x14ac:dyDescent="0.35">
      <c r="A13" s="153" t="s">
        <v>507</v>
      </c>
      <c r="B13" s="154" t="str">
        <f t="shared" si="0"/>
        <v>Computer and Laptops</v>
      </c>
      <c r="C13" s="521">
        <v>21313987.030000001</v>
      </c>
      <c r="D13" s="521">
        <v>4210884</v>
      </c>
      <c r="E13" s="521">
        <v>0</v>
      </c>
      <c r="F13" s="521">
        <v>25524871.030000001</v>
      </c>
      <c r="G13" s="23" t="str">
        <f>VLOOKUP(B13,'TB 1125'!A:A,1,0)</f>
        <v>Computer and Laptops</v>
      </c>
    </row>
    <row r="14" spans="1:7" x14ac:dyDescent="0.35">
      <c r="A14" s="153" t="s">
        <v>1420</v>
      </c>
      <c r="B14" s="154" t="str">
        <f t="shared" si="0"/>
        <v>Expert Inventory</v>
      </c>
      <c r="C14" s="521">
        <v>1489288</v>
      </c>
      <c r="D14" s="521">
        <v>3398794</v>
      </c>
      <c r="E14" s="521">
        <v>1577281.32</v>
      </c>
      <c r="F14" s="521">
        <v>3310800.68</v>
      </c>
      <c r="G14" s="23" t="str">
        <f>VLOOKUP(B14,'TB 1125'!A:A,1,0)</f>
        <v>Expert Inventory</v>
      </c>
    </row>
    <row r="15" spans="1:7" x14ac:dyDescent="0.35">
      <c r="A15" s="153" t="s">
        <v>678</v>
      </c>
      <c r="B15" s="154" t="str">
        <f t="shared" si="0"/>
        <v>Furniture and Equipment</v>
      </c>
      <c r="C15" s="521">
        <v>704611.34</v>
      </c>
      <c r="D15" s="521">
        <v>0</v>
      </c>
      <c r="E15" s="521">
        <v>0</v>
      </c>
      <c r="F15" s="521">
        <v>704611.34</v>
      </c>
      <c r="G15" s="23" t="str">
        <f>VLOOKUP(B15,'TB 1125'!A:A,1,0)</f>
        <v>Furniture and Equipment</v>
      </c>
    </row>
    <row r="16" spans="1:7" x14ac:dyDescent="0.35">
      <c r="A16" s="153" t="s">
        <v>712</v>
      </c>
      <c r="B16" s="154" t="str">
        <f t="shared" si="0"/>
        <v>HDFC Bank 6899</v>
      </c>
      <c r="C16" s="521">
        <v>72359.7</v>
      </c>
      <c r="D16" s="521">
        <v>551242740</v>
      </c>
      <c r="E16" s="521">
        <v>551070000</v>
      </c>
      <c r="F16" s="521">
        <v>245099.7</v>
      </c>
      <c r="G16" s="23" t="str">
        <f>VLOOKUP(B16,'TB 1125'!A:A,1,0)</f>
        <v>HDFC Bank 6899</v>
      </c>
    </row>
    <row r="17" spans="1:7" x14ac:dyDescent="0.35">
      <c r="A17" s="153" t="s">
        <v>713</v>
      </c>
      <c r="B17" s="154" t="str">
        <f t="shared" si="0"/>
        <v>HDFC Bank 9531</v>
      </c>
      <c r="C17" s="521">
        <v>400270.09</v>
      </c>
      <c r="D17" s="521">
        <v>1777553</v>
      </c>
      <c r="E17" s="521">
        <v>1728189.74</v>
      </c>
      <c r="F17" s="521">
        <v>449633.35</v>
      </c>
      <c r="G17" s="23" t="str">
        <f>VLOOKUP(B17,'TB 1125'!A:A,1,0)</f>
        <v>HDFC Bank 9531</v>
      </c>
    </row>
    <row r="18" spans="1:7" x14ac:dyDescent="0.35">
      <c r="A18" s="153" t="s">
        <v>1507</v>
      </c>
      <c r="B18" s="154" t="str">
        <f t="shared" si="0"/>
        <v>ICICI 7454</v>
      </c>
      <c r="C18" s="521">
        <v>0</v>
      </c>
      <c r="D18" s="521">
        <v>800000000</v>
      </c>
      <c r="E18" s="521">
        <v>800000000</v>
      </c>
      <c r="F18" s="521">
        <v>0</v>
      </c>
      <c r="G18" s="23" t="str">
        <f>VLOOKUP(B18,'TB 1125'!A:A,1,0)</f>
        <v>ICICI 7454</v>
      </c>
    </row>
    <row r="19" spans="1:7" x14ac:dyDescent="0.35">
      <c r="A19" s="153" t="s">
        <v>508</v>
      </c>
      <c r="B19" s="154" t="str">
        <f t="shared" si="0"/>
        <v>Input Tax Credits</v>
      </c>
      <c r="C19" s="521">
        <v>0</v>
      </c>
      <c r="D19" s="521">
        <v>0</v>
      </c>
      <c r="E19" s="521">
        <v>0</v>
      </c>
      <c r="F19" s="521">
        <v>0</v>
      </c>
      <c r="G19" s="23"/>
    </row>
    <row r="20" spans="1:7" x14ac:dyDescent="0.35">
      <c r="A20" s="153" t="s">
        <v>509</v>
      </c>
      <c r="B20" s="154" t="str">
        <f t="shared" si="0"/>
        <v>Input CGST</v>
      </c>
      <c r="C20" s="521">
        <v>11231923.109999999</v>
      </c>
      <c r="D20" s="521">
        <v>4509931.8899999997</v>
      </c>
      <c r="E20" s="521">
        <v>8117.75</v>
      </c>
      <c r="F20" s="521">
        <v>15733737.25</v>
      </c>
      <c r="G20" s="23" t="str">
        <f>VLOOKUP(B20,'TB 1125'!A:A,1,0)</f>
        <v>Input CGST</v>
      </c>
    </row>
    <row r="21" spans="1:7" x14ac:dyDescent="0.35">
      <c r="A21" s="153" t="s">
        <v>510</v>
      </c>
      <c r="B21" s="154" t="str">
        <f t="shared" si="0"/>
        <v>Input IGST</v>
      </c>
      <c r="C21" s="521">
        <v>6483602.5599999996</v>
      </c>
      <c r="D21" s="521">
        <v>5521606.9299999997</v>
      </c>
      <c r="E21" s="521">
        <v>1879447.8</v>
      </c>
      <c r="F21" s="521">
        <v>10125761.689999999</v>
      </c>
      <c r="G21" s="23" t="str">
        <f>VLOOKUP(B21,'TB 1125'!A:A,1,0)</f>
        <v>Input IGST</v>
      </c>
    </row>
    <row r="22" spans="1:7" x14ac:dyDescent="0.35">
      <c r="A22" s="153" t="s">
        <v>511</v>
      </c>
      <c r="B22" s="154" t="str">
        <f t="shared" si="0"/>
        <v>Input SGST</v>
      </c>
      <c r="C22" s="521">
        <v>11163565.17</v>
      </c>
      <c r="D22" s="521">
        <v>4509931.8899999997</v>
      </c>
      <c r="E22" s="521">
        <v>8117.75</v>
      </c>
      <c r="F22" s="521">
        <v>15665379.310000001</v>
      </c>
      <c r="G22" s="23" t="str">
        <f>VLOOKUP(B22,'TB 1125'!A:A,1,0)</f>
        <v>Input SGST</v>
      </c>
    </row>
    <row r="23" spans="1:7" ht="15.5" x14ac:dyDescent="0.35">
      <c r="A23" s="156" t="s">
        <v>512</v>
      </c>
      <c r="B23" s="154" t="str">
        <f t="shared" si="0"/>
        <v>Total for Input Tax Credits</v>
      </c>
      <c r="C23" s="522">
        <v>28879090.84</v>
      </c>
      <c r="D23" s="522">
        <v>14541470.710000001</v>
      </c>
      <c r="E23" s="522">
        <v>1895683.3</v>
      </c>
      <c r="F23" s="522">
        <v>41524878.25</v>
      </c>
      <c r="G23" s="23"/>
    </row>
    <row r="24" spans="1:7" x14ac:dyDescent="0.35">
      <c r="B24" s="154" t="str">
        <f t="shared" si="0"/>
        <v/>
      </c>
      <c r="G24" s="23"/>
    </row>
    <row r="25" spans="1:7" x14ac:dyDescent="0.35">
      <c r="A25" s="153" t="s">
        <v>514</v>
      </c>
      <c r="B25" s="154" t="str">
        <f t="shared" si="0"/>
        <v>Investments</v>
      </c>
      <c r="C25" s="521">
        <v>0</v>
      </c>
      <c r="D25" s="521">
        <v>0</v>
      </c>
      <c r="E25" s="521">
        <v>0</v>
      </c>
      <c r="F25" s="521">
        <v>0</v>
      </c>
      <c r="G25" s="23"/>
    </row>
    <row r="26" spans="1:7" x14ac:dyDescent="0.35">
      <c r="A26" s="153" t="s">
        <v>1508</v>
      </c>
      <c r="B26" s="154" t="str">
        <f t="shared" si="0"/>
        <v>ABSL Floating Rate Fund</v>
      </c>
      <c r="C26" s="521">
        <v>0</v>
      </c>
      <c r="D26" s="521">
        <v>79996000.200000003</v>
      </c>
      <c r="E26" s="521">
        <v>0</v>
      </c>
      <c r="F26" s="521">
        <v>79996000.200000003</v>
      </c>
      <c r="G26" s="23" t="str">
        <f>VLOOKUP(B26,'TB 1125'!A:A,1,0)</f>
        <v>ABSL Floating Rate Fund</v>
      </c>
    </row>
    <row r="27" spans="1:7" x14ac:dyDescent="0.35">
      <c r="A27" s="153" t="s">
        <v>1339</v>
      </c>
      <c r="B27" s="154" t="str">
        <f t="shared" si="0"/>
        <v>Aditya Birla Sun Life Money Manager Fund</v>
      </c>
      <c r="C27" s="521">
        <v>0</v>
      </c>
      <c r="D27" s="521">
        <v>59997000.149999999</v>
      </c>
      <c r="E27" s="521">
        <v>0</v>
      </c>
      <c r="F27" s="521">
        <v>59997000.149999999</v>
      </c>
      <c r="G27" s="23" t="str">
        <f>VLOOKUP(B27,'TB 1125'!A:A,1,0)</f>
        <v>Aditya Birla Sun Life Money Manager Fund</v>
      </c>
    </row>
    <row r="28" spans="1:7" x14ac:dyDescent="0.35">
      <c r="A28" s="153" t="s">
        <v>1509</v>
      </c>
      <c r="B28" s="154" t="str">
        <f t="shared" si="0"/>
        <v>Axis Liquid Fund</v>
      </c>
      <c r="C28" s="521">
        <v>0</v>
      </c>
      <c r="D28" s="521">
        <v>99995000.25</v>
      </c>
      <c r="E28" s="521">
        <v>0</v>
      </c>
      <c r="F28" s="521">
        <v>99995000.25</v>
      </c>
      <c r="G28" s="23" t="str">
        <f>VLOOKUP(B28,'TB 1125'!A:A,1,0)</f>
        <v>Axis Liquid Fund</v>
      </c>
    </row>
    <row r="29" spans="1:7" x14ac:dyDescent="0.35">
      <c r="A29" s="153" t="s">
        <v>1510</v>
      </c>
      <c r="B29" s="154" t="str">
        <f t="shared" si="0"/>
        <v>Fixed Deposit 318213005918</v>
      </c>
      <c r="C29" s="521">
        <v>0</v>
      </c>
      <c r="D29" s="521">
        <v>248500000</v>
      </c>
      <c r="E29" s="521">
        <v>0</v>
      </c>
      <c r="F29" s="521">
        <v>248500000</v>
      </c>
      <c r="G29" s="23" t="str">
        <f>VLOOKUP(B29,'TB 1125'!A:A,1,0)</f>
        <v>Fixed Deposit 318213005918</v>
      </c>
    </row>
    <row r="30" spans="1:7" x14ac:dyDescent="0.35">
      <c r="A30" s="153" t="s">
        <v>1511</v>
      </c>
      <c r="B30" s="154" t="str">
        <f t="shared" si="0"/>
        <v>Fixed Deposit 318213005919</v>
      </c>
      <c r="C30" s="521">
        <v>0</v>
      </c>
      <c r="D30" s="521">
        <v>248500000</v>
      </c>
      <c r="E30" s="521">
        <v>0</v>
      </c>
      <c r="F30" s="521">
        <v>248500000</v>
      </c>
      <c r="G30" s="23" t="str">
        <f>VLOOKUP(B30,'TB 1125'!A:A,1,0)</f>
        <v>Fixed Deposit 318213005919</v>
      </c>
    </row>
    <row r="31" spans="1:7" x14ac:dyDescent="0.35">
      <c r="A31" s="153" t="s">
        <v>1512</v>
      </c>
      <c r="B31" s="154" t="str">
        <f t="shared" si="0"/>
        <v>Fixed Deposit 318213005920</v>
      </c>
      <c r="C31" s="521">
        <v>0</v>
      </c>
      <c r="D31" s="521">
        <v>248500000</v>
      </c>
      <c r="E31" s="521">
        <v>0</v>
      </c>
      <c r="F31" s="521">
        <v>248500000</v>
      </c>
      <c r="G31" s="23" t="str">
        <f>VLOOKUP(B31,'TB 1125'!A:A,1,0)</f>
        <v>Fixed Deposit 318213005920</v>
      </c>
    </row>
    <row r="32" spans="1:7" x14ac:dyDescent="0.35">
      <c r="A32" s="153" t="s">
        <v>1513</v>
      </c>
      <c r="B32" s="154" t="str">
        <f t="shared" si="0"/>
        <v>Fixed Deposit 318213005922</v>
      </c>
      <c r="C32" s="521">
        <v>0</v>
      </c>
      <c r="D32" s="521">
        <v>54500000</v>
      </c>
      <c r="E32" s="521">
        <v>0</v>
      </c>
      <c r="F32" s="521">
        <v>54500000</v>
      </c>
      <c r="G32" s="23" t="str">
        <f>VLOOKUP(B32,'TB 1125'!A:A,1,0)</f>
        <v>Fixed Deposit 318213005922</v>
      </c>
    </row>
    <row r="33" spans="1:7" x14ac:dyDescent="0.35">
      <c r="A33" s="153" t="s">
        <v>1209</v>
      </c>
      <c r="B33" s="154" t="str">
        <f t="shared" si="0"/>
        <v>Fixed Deposit 50301170464152</v>
      </c>
      <c r="C33" s="521">
        <v>50000000</v>
      </c>
      <c r="D33" s="521">
        <v>0</v>
      </c>
      <c r="E33" s="521">
        <v>50000000</v>
      </c>
      <c r="F33" s="521">
        <v>0</v>
      </c>
      <c r="G33" s="23" t="str">
        <f>VLOOKUP(B33,'TB 1125'!A:A,1,0)</f>
        <v>Fixed Deposit 50301170464152</v>
      </c>
    </row>
    <row r="34" spans="1:7" x14ac:dyDescent="0.35">
      <c r="A34" s="153" t="s">
        <v>1210</v>
      </c>
      <c r="B34" s="154" t="str">
        <f t="shared" si="0"/>
        <v>Fixed Deposit 50301170464596</v>
      </c>
      <c r="C34" s="521">
        <v>100000000</v>
      </c>
      <c r="D34" s="521">
        <v>0</v>
      </c>
      <c r="E34" s="521">
        <v>0</v>
      </c>
      <c r="F34" s="521">
        <v>100000000</v>
      </c>
      <c r="G34" s="23" t="str">
        <f>VLOOKUP(B34,'TB 1125'!A:A,1,0)</f>
        <v>Fixed Deposit 50301170464596</v>
      </c>
    </row>
    <row r="35" spans="1:7" x14ac:dyDescent="0.35">
      <c r="A35" s="153" t="s">
        <v>1211</v>
      </c>
      <c r="B35" s="154" t="str">
        <f t="shared" si="0"/>
        <v>Fixed Deposit 50301170464942</v>
      </c>
      <c r="C35" s="521">
        <v>150000000</v>
      </c>
      <c r="D35" s="521">
        <v>0</v>
      </c>
      <c r="E35" s="521">
        <v>0</v>
      </c>
      <c r="F35" s="521">
        <v>150000000</v>
      </c>
      <c r="G35" s="23" t="str">
        <f>VLOOKUP(B35,'TB 1125'!A:A,1,0)</f>
        <v>Fixed Deposit 50301170464942</v>
      </c>
    </row>
    <row r="36" spans="1:7" x14ac:dyDescent="0.35">
      <c r="A36" s="153" t="s">
        <v>1212</v>
      </c>
      <c r="B36" s="154" t="str">
        <f t="shared" si="0"/>
        <v>Fixed Deposit 50301170465320</v>
      </c>
      <c r="C36" s="521">
        <v>300000000</v>
      </c>
      <c r="D36" s="521">
        <v>0</v>
      </c>
      <c r="E36" s="521">
        <v>0</v>
      </c>
      <c r="F36" s="521">
        <v>300000000</v>
      </c>
      <c r="G36" s="23" t="str">
        <f>VLOOKUP(B36,'TB 1125'!A:A,1,0)</f>
        <v>Fixed Deposit 50301170465320</v>
      </c>
    </row>
    <row r="37" spans="1:7" x14ac:dyDescent="0.35">
      <c r="A37" s="153" t="s">
        <v>1514</v>
      </c>
      <c r="B37" s="154" t="str">
        <f t="shared" si="0"/>
        <v>Fixed Deposit 50301242721572</v>
      </c>
      <c r="C37" s="521">
        <v>0</v>
      </c>
      <c r="D37" s="521">
        <v>5200000</v>
      </c>
      <c r="E37" s="521">
        <v>0</v>
      </c>
      <c r="F37" s="521">
        <v>5200000</v>
      </c>
      <c r="G37" s="23" t="str">
        <f>VLOOKUP(B37,'TB 1125'!A:A,1,0)</f>
        <v>Fixed Deposit 50301242721572</v>
      </c>
    </row>
    <row r="38" spans="1:7" x14ac:dyDescent="0.35">
      <c r="A38" s="153" t="s">
        <v>1515</v>
      </c>
      <c r="B38" s="154" t="str">
        <f t="shared" si="0"/>
        <v>Fixed Deposit 50301242791241</v>
      </c>
      <c r="C38" s="521">
        <v>0</v>
      </c>
      <c r="D38" s="521">
        <v>247400000</v>
      </c>
      <c r="E38" s="521">
        <v>0</v>
      </c>
      <c r="F38" s="521">
        <v>247400000</v>
      </c>
      <c r="G38" s="23" t="str">
        <f>VLOOKUP(B38,'TB 1125'!A:A,1,0)</f>
        <v>Fixed Deposit 50301242791241</v>
      </c>
    </row>
    <row r="39" spans="1:7" x14ac:dyDescent="0.35">
      <c r="A39" s="153" t="s">
        <v>1516</v>
      </c>
      <c r="B39" s="154" t="str">
        <f t="shared" si="0"/>
        <v>Fixed Deposit 50301242884314</v>
      </c>
      <c r="C39" s="521">
        <v>0</v>
      </c>
      <c r="D39" s="521">
        <v>247400000</v>
      </c>
      <c r="E39" s="521">
        <v>0</v>
      </c>
      <c r="F39" s="521">
        <v>247400000</v>
      </c>
      <c r="G39" s="23" t="str">
        <f>VLOOKUP(B39,'TB 1125'!A:A,1,0)</f>
        <v>Fixed Deposit 50301242884314</v>
      </c>
    </row>
    <row r="40" spans="1:7" x14ac:dyDescent="0.35">
      <c r="A40" s="153" t="s">
        <v>1213</v>
      </c>
      <c r="B40" s="154" t="str">
        <f t="shared" si="0"/>
        <v>Fixed Deposit 9349969993</v>
      </c>
      <c r="C40" s="521">
        <v>100000000</v>
      </c>
      <c r="D40" s="521">
        <v>0</v>
      </c>
      <c r="E40" s="521">
        <v>0</v>
      </c>
      <c r="F40" s="521">
        <v>100000000</v>
      </c>
      <c r="G40" s="23" t="str">
        <f>VLOOKUP(B40,'TB 1125'!A:A,1,0)</f>
        <v>Fixed Deposit 9349969993</v>
      </c>
    </row>
    <row r="41" spans="1:7" x14ac:dyDescent="0.35">
      <c r="A41" s="153" t="s">
        <v>1214</v>
      </c>
      <c r="B41" s="154" t="str">
        <f t="shared" si="0"/>
        <v>Fixed Deposit 9349970005</v>
      </c>
      <c r="C41" s="521">
        <v>150000000</v>
      </c>
      <c r="D41" s="521">
        <v>0</v>
      </c>
      <c r="E41" s="521">
        <v>0</v>
      </c>
      <c r="F41" s="521">
        <v>150000000</v>
      </c>
      <c r="G41" s="23" t="str">
        <f>VLOOKUP(B41,'TB 1125'!A:A,1,0)</f>
        <v>Fixed Deposit 9349970005</v>
      </c>
    </row>
    <row r="42" spans="1:7" x14ac:dyDescent="0.35">
      <c r="A42" s="153" t="s">
        <v>1215</v>
      </c>
      <c r="B42" s="154" t="str">
        <f t="shared" si="0"/>
        <v>Fixed Deposit 9349970036</v>
      </c>
      <c r="C42" s="521">
        <v>150000000</v>
      </c>
      <c r="D42" s="521">
        <v>0</v>
      </c>
      <c r="E42" s="521">
        <v>0</v>
      </c>
      <c r="F42" s="521">
        <v>150000000</v>
      </c>
      <c r="G42" s="23" t="str">
        <f>VLOOKUP(B42,'TB 1125'!A:A,1,0)</f>
        <v>Fixed Deposit 9349970036</v>
      </c>
    </row>
    <row r="43" spans="1:7" x14ac:dyDescent="0.35">
      <c r="A43" s="153" t="s">
        <v>1216</v>
      </c>
      <c r="B43" s="154" t="str">
        <f t="shared" si="0"/>
        <v>Fixed Deposit 9349970081</v>
      </c>
      <c r="C43" s="521">
        <v>180000000</v>
      </c>
      <c r="D43" s="521">
        <v>0</v>
      </c>
      <c r="E43" s="521">
        <v>0</v>
      </c>
      <c r="F43" s="521">
        <v>180000000</v>
      </c>
      <c r="G43" s="23" t="str">
        <f>VLOOKUP(B43,'TB 1125'!A:A,1,0)</f>
        <v>Fixed Deposit 9349970081</v>
      </c>
    </row>
    <row r="44" spans="1:7" x14ac:dyDescent="0.35">
      <c r="A44" s="153" t="s">
        <v>1217</v>
      </c>
      <c r="B44" s="154" t="str">
        <f t="shared" si="0"/>
        <v>Fixed Deposit 9349970098</v>
      </c>
      <c r="C44" s="521">
        <v>170000000</v>
      </c>
      <c r="D44" s="521">
        <v>0</v>
      </c>
      <c r="E44" s="521">
        <v>0</v>
      </c>
      <c r="F44" s="521">
        <v>170000000</v>
      </c>
      <c r="G44" s="23" t="str">
        <f>VLOOKUP(B44,'TB 1125'!A:A,1,0)</f>
        <v>Fixed Deposit 9349970098</v>
      </c>
    </row>
    <row r="45" spans="1:7" x14ac:dyDescent="0.35">
      <c r="A45" s="153" t="s">
        <v>1218</v>
      </c>
      <c r="B45" s="154" t="str">
        <f t="shared" si="0"/>
        <v>Fixed Deposit 9349970463</v>
      </c>
      <c r="C45" s="521">
        <v>17000000</v>
      </c>
      <c r="D45" s="521">
        <v>0</v>
      </c>
      <c r="E45" s="521">
        <v>0</v>
      </c>
      <c r="F45" s="521">
        <v>17000000</v>
      </c>
      <c r="G45" s="23" t="str">
        <f>VLOOKUP(B45,'TB 1125'!A:A,1,0)</f>
        <v>Fixed Deposit 9349970463</v>
      </c>
    </row>
    <row r="46" spans="1:7" x14ac:dyDescent="0.35">
      <c r="A46" s="153" t="s">
        <v>1219</v>
      </c>
      <c r="B46" s="154" t="str">
        <f t="shared" si="0"/>
        <v>Fixed Deposit 9349970623</v>
      </c>
      <c r="C46" s="521">
        <v>250000000</v>
      </c>
      <c r="D46" s="521">
        <v>0</v>
      </c>
      <c r="E46" s="521">
        <v>0</v>
      </c>
      <c r="F46" s="521">
        <v>250000000</v>
      </c>
      <c r="G46" s="23" t="str">
        <f>VLOOKUP(B46,'TB 1125'!A:A,1,0)</f>
        <v>Fixed Deposit 9349970623</v>
      </c>
    </row>
    <row r="47" spans="1:7" x14ac:dyDescent="0.35">
      <c r="A47" s="153" t="s">
        <v>1517</v>
      </c>
      <c r="B47" s="154" t="str">
        <f t="shared" si="0"/>
        <v>Fixed Deposit 9350861248</v>
      </c>
      <c r="C47" s="521">
        <v>0</v>
      </c>
      <c r="D47" s="521">
        <v>140000000</v>
      </c>
      <c r="E47" s="521">
        <v>0</v>
      </c>
      <c r="F47" s="521">
        <v>140000000</v>
      </c>
      <c r="G47" s="23" t="str">
        <f>VLOOKUP(B47,'TB 1125'!A:A,1,0)</f>
        <v>Fixed Deposit 9350861248</v>
      </c>
    </row>
    <row r="48" spans="1:7" x14ac:dyDescent="0.35">
      <c r="A48" s="153" t="s">
        <v>1518</v>
      </c>
      <c r="B48" s="154" t="str">
        <f t="shared" si="0"/>
        <v>Fixed Deposit 9350861293</v>
      </c>
      <c r="C48" s="521">
        <v>0</v>
      </c>
      <c r="D48" s="521">
        <v>250000000</v>
      </c>
      <c r="E48" s="521">
        <v>0</v>
      </c>
      <c r="F48" s="521">
        <v>250000000</v>
      </c>
      <c r="G48" s="23" t="str">
        <f>VLOOKUP(B48,'TB 1125'!A:A,1,0)</f>
        <v>Fixed Deposit 9350861293</v>
      </c>
    </row>
    <row r="49" spans="1:7" x14ac:dyDescent="0.35">
      <c r="A49" s="153" t="s">
        <v>1519</v>
      </c>
      <c r="B49" s="154" t="str">
        <f t="shared" si="0"/>
        <v>Fixed Deposit 9350862504</v>
      </c>
      <c r="C49" s="521">
        <v>0</v>
      </c>
      <c r="D49" s="521">
        <v>60000000</v>
      </c>
      <c r="E49" s="521">
        <v>0</v>
      </c>
      <c r="F49" s="521">
        <v>60000000</v>
      </c>
      <c r="G49" s="23" t="str">
        <f>VLOOKUP(B49,'TB 1125'!A:A,1,0)</f>
        <v>Fixed Deposit 9350862504</v>
      </c>
    </row>
    <row r="50" spans="1:7" x14ac:dyDescent="0.35">
      <c r="A50" s="153" t="s">
        <v>1520</v>
      </c>
      <c r="B50" s="154" t="str">
        <f t="shared" si="0"/>
        <v>Fixed Deposit 9350862511</v>
      </c>
      <c r="C50" s="521">
        <v>0</v>
      </c>
      <c r="D50" s="521">
        <v>90000000</v>
      </c>
      <c r="E50" s="521">
        <v>0</v>
      </c>
      <c r="F50" s="521">
        <v>90000000</v>
      </c>
      <c r="G50" s="23" t="str">
        <f>VLOOKUP(B50,'TB 1125'!A:A,1,0)</f>
        <v>Fixed Deposit 9350862511</v>
      </c>
    </row>
    <row r="51" spans="1:7" x14ac:dyDescent="0.35">
      <c r="A51" s="153" t="s">
        <v>1521</v>
      </c>
      <c r="B51" s="154" t="str">
        <f t="shared" si="0"/>
        <v>Fixed Deposit 9350866717</v>
      </c>
      <c r="C51" s="521">
        <v>0</v>
      </c>
      <c r="D51" s="521">
        <v>520000000</v>
      </c>
      <c r="E51" s="521">
        <v>520000000</v>
      </c>
      <c r="F51" s="521">
        <v>0</v>
      </c>
      <c r="G51" s="23" t="str">
        <f>VLOOKUP(B51,'TB 1125'!A:A,1,0)</f>
        <v>Fixed Deposit 9350866717</v>
      </c>
    </row>
    <row r="52" spans="1:7" x14ac:dyDescent="0.35">
      <c r="A52" s="153" t="s">
        <v>1522</v>
      </c>
      <c r="B52" s="154" t="str">
        <f t="shared" si="0"/>
        <v>Fixed Deposit 9350871643</v>
      </c>
      <c r="C52" s="521">
        <v>0</v>
      </c>
      <c r="D52" s="521">
        <v>240000000</v>
      </c>
      <c r="E52" s="521">
        <v>240000000</v>
      </c>
      <c r="F52" s="521">
        <v>0</v>
      </c>
      <c r="G52" s="23" t="str">
        <f>VLOOKUP(B52,'TB 1125'!A:A,1,0)</f>
        <v>Fixed Deposit 9350871643</v>
      </c>
    </row>
    <row r="53" spans="1:7" x14ac:dyDescent="0.35">
      <c r="A53" s="153" t="s">
        <v>1523</v>
      </c>
      <c r="B53" s="154" t="str">
        <f t="shared" si="0"/>
        <v>Fixed Deposit 9350881598</v>
      </c>
      <c r="C53" s="521">
        <v>0</v>
      </c>
      <c r="D53" s="521">
        <v>240000000</v>
      </c>
      <c r="E53" s="521">
        <v>7000000</v>
      </c>
      <c r="F53" s="521">
        <v>233000000</v>
      </c>
      <c r="G53" s="23" t="str">
        <f>VLOOKUP(B53,'TB 1125'!A:A,1,0)</f>
        <v>Fixed Deposit 9350881598</v>
      </c>
    </row>
    <row r="54" spans="1:7" x14ac:dyDescent="0.35">
      <c r="A54" s="153" t="s">
        <v>1524</v>
      </c>
      <c r="B54" s="154" t="str">
        <f t="shared" si="0"/>
        <v>Fixed Deposit 9350881987</v>
      </c>
      <c r="C54" s="521">
        <v>0</v>
      </c>
      <c r="D54" s="521">
        <v>38000000</v>
      </c>
      <c r="E54" s="521">
        <v>38000000</v>
      </c>
      <c r="F54" s="521">
        <v>0</v>
      </c>
      <c r="G54" s="23" t="str">
        <f>VLOOKUP(B54,'TB 1125'!A:A,1,0)</f>
        <v>Fixed Deposit 9350881987</v>
      </c>
    </row>
    <row r="55" spans="1:7" x14ac:dyDescent="0.35">
      <c r="A55" s="153" t="s">
        <v>1345</v>
      </c>
      <c r="B55" s="154" t="str">
        <f t="shared" si="0"/>
        <v>ICICI Prudential Money Market Fund</v>
      </c>
      <c r="C55" s="521">
        <v>0</v>
      </c>
      <c r="D55" s="521">
        <v>59997000.149999999</v>
      </c>
      <c r="E55" s="521">
        <v>0</v>
      </c>
      <c r="F55" s="521">
        <v>59997000.149999999</v>
      </c>
      <c r="G55" s="23" t="str">
        <f>VLOOKUP(B55,'TB 1125'!A:A,1,0)</f>
        <v>ICICI Prudential Money Market Fund</v>
      </c>
    </row>
    <row r="56" spans="1:7" x14ac:dyDescent="0.35">
      <c r="A56" s="153" t="s">
        <v>1525</v>
      </c>
      <c r="B56" s="154" t="str">
        <f t="shared" si="0"/>
        <v>Kotak Money Market Fund</v>
      </c>
      <c r="C56" s="521">
        <v>0</v>
      </c>
      <c r="D56" s="521">
        <v>79996000.200000003</v>
      </c>
      <c r="E56" s="521">
        <v>0</v>
      </c>
      <c r="F56" s="521">
        <v>79996000.200000003</v>
      </c>
      <c r="G56" s="23" t="str">
        <f>VLOOKUP(B56,'TB 1125'!A:A,1,0)</f>
        <v>Kotak Money Market Fund</v>
      </c>
    </row>
    <row r="57" spans="1:7" x14ac:dyDescent="0.35">
      <c r="A57" s="153" t="s">
        <v>1526</v>
      </c>
      <c r="B57" s="154" t="str">
        <f t="shared" si="0"/>
        <v>SBI Liquid Fund</v>
      </c>
      <c r="C57" s="521">
        <v>0</v>
      </c>
      <c r="D57" s="521">
        <v>39998000.100000001</v>
      </c>
      <c r="E57" s="521">
        <v>0</v>
      </c>
      <c r="F57" s="521">
        <v>39998000.100000001</v>
      </c>
      <c r="G57" s="23" t="str">
        <f>VLOOKUP(B57,'TB 1125'!A:A,1,0)</f>
        <v>SBI Liquid Fund</v>
      </c>
    </row>
    <row r="58" spans="1:7" x14ac:dyDescent="0.35">
      <c r="A58" s="153" t="s">
        <v>1349</v>
      </c>
      <c r="B58" s="154" t="str">
        <f t="shared" si="0"/>
        <v>Tata Money Market Fund</v>
      </c>
      <c r="C58" s="521">
        <v>33468595.91</v>
      </c>
      <c r="D58" s="521">
        <v>0</v>
      </c>
      <c r="E58" s="521">
        <v>0</v>
      </c>
      <c r="F58" s="521">
        <v>33468595.91</v>
      </c>
      <c r="G58" s="23" t="str">
        <f>VLOOKUP(B58,'TB 1125'!A:A,1,0)</f>
        <v>Tata Money Market Fund</v>
      </c>
    </row>
    <row r="59" spans="1:7" x14ac:dyDescent="0.35">
      <c r="A59" s="153" t="s">
        <v>1527</v>
      </c>
      <c r="B59" s="154" t="str">
        <f t="shared" si="0"/>
        <v>UTI Liquid Fund</v>
      </c>
      <c r="C59" s="521">
        <v>0</v>
      </c>
      <c r="D59" s="521">
        <v>79996000.200000003</v>
      </c>
      <c r="E59" s="521">
        <v>0</v>
      </c>
      <c r="F59" s="521">
        <v>79996000.200000003</v>
      </c>
      <c r="G59" s="23" t="str">
        <f>VLOOKUP(B59,'TB 1125'!A:A,1,0)</f>
        <v>UTI Liquid Fund</v>
      </c>
    </row>
    <row r="60" spans="1:7" ht="15.5" x14ac:dyDescent="0.35">
      <c r="A60" s="156" t="s">
        <v>521</v>
      </c>
      <c r="B60" s="154" t="str">
        <f t="shared" si="0"/>
        <v>Total for Investments</v>
      </c>
      <c r="C60" s="522">
        <v>1650468595.9100001</v>
      </c>
      <c r="D60" s="522">
        <v>3377975001.25</v>
      </c>
      <c r="E60" s="522">
        <v>855000000</v>
      </c>
      <c r="F60" s="522">
        <v>4173443597.1599998</v>
      </c>
      <c r="G60" s="23"/>
    </row>
    <row r="61" spans="1:7" x14ac:dyDescent="0.35">
      <c r="B61" s="154" t="str">
        <f t="shared" si="0"/>
        <v/>
      </c>
      <c r="G61" s="23"/>
    </row>
    <row r="62" spans="1:7" x14ac:dyDescent="0.35">
      <c r="A62" s="153" t="s">
        <v>682</v>
      </c>
      <c r="B62" s="154" t="str">
        <f t="shared" si="0"/>
        <v>Kotak Mahindra Bank 0429</v>
      </c>
      <c r="C62" s="521">
        <v>1300809153</v>
      </c>
      <c r="D62" s="521">
        <v>1353927099</v>
      </c>
      <c r="E62" s="521">
        <v>2654736252</v>
      </c>
      <c r="F62" s="521">
        <v>0</v>
      </c>
      <c r="G62" s="23" t="str">
        <f>VLOOKUP(B62,'TB 1125'!A:A,1,0)</f>
        <v>Kotak Mahindra Bank 0429</v>
      </c>
    </row>
    <row r="63" spans="1:7" x14ac:dyDescent="0.35">
      <c r="A63" s="153" t="s">
        <v>522</v>
      </c>
      <c r="B63" s="154" t="str">
        <f t="shared" si="0"/>
        <v>Kotak Mahindra Bank 9942</v>
      </c>
      <c r="C63" s="521">
        <v>1000000</v>
      </c>
      <c r="D63" s="521">
        <v>3512687718</v>
      </c>
      <c r="E63" s="521">
        <v>3513387718</v>
      </c>
      <c r="F63" s="521">
        <v>300000</v>
      </c>
      <c r="G63" s="23" t="str">
        <f>VLOOKUP(B63,'TB 1125'!A:A,1,0)</f>
        <v>Kotak Mahindra Bank 9942</v>
      </c>
    </row>
    <row r="64" spans="1:7" x14ac:dyDescent="0.35">
      <c r="A64" s="153" t="s">
        <v>523</v>
      </c>
      <c r="B64" s="154" t="str">
        <f t="shared" si="0"/>
        <v>Kotak Mahindra Bank 9966</v>
      </c>
      <c r="C64" s="521">
        <v>29251923.129999999</v>
      </c>
      <c r="D64" s="521">
        <v>677575657.04999995</v>
      </c>
      <c r="E64" s="521">
        <v>706618162.96000004</v>
      </c>
      <c r="F64" s="521">
        <v>209417.22</v>
      </c>
      <c r="G64" s="23" t="str">
        <f>VLOOKUP(B64,'TB 1125'!A:A,1,0)</f>
        <v>Kotak Mahindra Bank 9966</v>
      </c>
    </row>
    <row r="65" spans="1:7" x14ac:dyDescent="0.35">
      <c r="A65" s="153" t="s">
        <v>722</v>
      </c>
      <c r="B65" s="154" t="str">
        <f t="shared" si="0"/>
        <v>Leasehold Improvement</v>
      </c>
      <c r="C65" s="521">
        <v>12860897.199999999</v>
      </c>
      <c r="D65" s="521">
        <v>0</v>
      </c>
      <c r="E65" s="521">
        <v>0</v>
      </c>
      <c r="F65" s="521">
        <v>12860897.199999999</v>
      </c>
      <c r="G65" s="23" t="str">
        <f>VLOOKUP(B65,'TB 1125'!A:A,1,0)</f>
        <v>Leasehold Improvement</v>
      </c>
    </row>
    <row r="66" spans="1:7" x14ac:dyDescent="0.35">
      <c r="A66" s="153" t="s">
        <v>524</v>
      </c>
      <c r="B66" s="154" t="str">
        <f t="shared" si="0"/>
        <v>Office Equipment</v>
      </c>
      <c r="C66" s="521">
        <v>520841.58</v>
      </c>
      <c r="D66" s="521">
        <v>169000</v>
      </c>
      <c r="E66" s="521">
        <v>0</v>
      </c>
      <c r="F66" s="521">
        <v>689841.58</v>
      </c>
      <c r="G66" s="23" t="str">
        <f>VLOOKUP(B66,'TB 1125'!A:A,1,0)</f>
        <v>Office Equipment</v>
      </c>
    </row>
    <row r="67" spans="1:7" x14ac:dyDescent="0.35">
      <c r="A67" s="153" t="s">
        <v>1298</v>
      </c>
      <c r="B67" s="154" t="str">
        <f t="shared" si="0"/>
        <v>Prepaid - Consumption</v>
      </c>
      <c r="C67" s="521">
        <v>1222814</v>
      </c>
      <c r="D67" s="521">
        <v>0</v>
      </c>
      <c r="E67" s="521">
        <v>0</v>
      </c>
      <c r="F67" s="521">
        <v>1222814</v>
      </c>
      <c r="G67" s="23" t="str">
        <f>VLOOKUP(B67,'TB 1125'!A:A,1,0)</f>
        <v>Prepaid - Consumption</v>
      </c>
    </row>
    <row r="68" spans="1:7" x14ac:dyDescent="0.35">
      <c r="A68" s="153" t="s">
        <v>526</v>
      </c>
      <c r="B68" s="154" t="str">
        <f t="shared" ref="B68:B131" si="1">TRIM(A68)</f>
        <v>Prepaid Expense - Asset</v>
      </c>
      <c r="C68" s="521">
        <v>1326433.3500000001</v>
      </c>
      <c r="D68" s="521">
        <v>0</v>
      </c>
      <c r="E68" s="521">
        <v>250391.67</v>
      </c>
      <c r="F68" s="521">
        <v>1076041.68</v>
      </c>
      <c r="G68" s="23" t="str">
        <f>VLOOKUP(B68,'TB 1125'!A:A,1,0)</f>
        <v>Prepaid Expense - Asset</v>
      </c>
    </row>
    <row r="69" spans="1:7" x14ac:dyDescent="0.35">
      <c r="A69" s="153" t="s">
        <v>527</v>
      </c>
      <c r="B69" s="154" t="str">
        <f t="shared" si="1"/>
        <v>Prepaid Expenses</v>
      </c>
      <c r="C69" s="521">
        <v>45327018.829999998</v>
      </c>
      <c r="D69" s="521">
        <v>10016667.24</v>
      </c>
      <c r="E69" s="521">
        <v>5536023.0499999998</v>
      </c>
      <c r="F69" s="521">
        <v>49807663.020000003</v>
      </c>
      <c r="G69" s="23" t="str">
        <f>VLOOKUP(B69,'TB 1125'!A:A,1,0)</f>
        <v>Prepaid Expenses</v>
      </c>
    </row>
    <row r="70" spans="1:7" x14ac:dyDescent="0.35">
      <c r="A70" s="153" t="s">
        <v>528</v>
      </c>
      <c r="B70" s="154" t="str">
        <f t="shared" si="1"/>
        <v>Receipt from Customers</v>
      </c>
      <c r="C70" s="521">
        <v>-37210766.810000002</v>
      </c>
      <c r="D70" s="521">
        <v>81827859.909999996</v>
      </c>
      <c r="E70" s="521">
        <v>44617093.100000001</v>
      </c>
      <c r="F70" s="521">
        <v>0</v>
      </c>
      <c r="G70" s="23" t="str">
        <f>VLOOKUP(B70,'TB 1125'!A:A,1,0)</f>
        <v>Receipt from Customers</v>
      </c>
    </row>
    <row r="71" spans="1:7" x14ac:dyDescent="0.35">
      <c r="A71" s="153" t="s">
        <v>529</v>
      </c>
      <c r="B71" s="154" t="str">
        <f t="shared" si="1"/>
        <v>Reverse Charge Tax Input but not due</v>
      </c>
      <c r="C71" s="521">
        <v>2254508.8199999998</v>
      </c>
      <c r="D71" s="521">
        <v>525642.79</v>
      </c>
      <c r="E71" s="521">
        <v>0</v>
      </c>
      <c r="F71" s="521">
        <v>2780151.61</v>
      </c>
      <c r="G71" s="23" t="str">
        <f>VLOOKUP(B71,'TB 1125'!A:A,1,0)</f>
        <v>Reverse Charge Tax Input but not due</v>
      </c>
    </row>
    <row r="72" spans="1:7" x14ac:dyDescent="0.35">
      <c r="A72" s="153" t="s">
        <v>530</v>
      </c>
      <c r="B72" s="154" t="str">
        <f t="shared" si="1"/>
        <v>Security Deposit</v>
      </c>
      <c r="C72" s="521">
        <v>15715400</v>
      </c>
      <c r="D72" s="521">
        <v>40000</v>
      </c>
      <c r="E72" s="521">
        <v>50000</v>
      </c>
      <c r="F72" s="521">
        <v>15705400</v>
      </c>
      <c r="G72" s="23" t="str">
        <f>VLOOKUP(B72,'TB 1125'!A:A,1,0)</f>
        <v>Security Deposit</v>
      </c>
    </row>
    <row r="73" spans="1:7" x14ac:dyDescent="0.35">
      <c r="A73" s="153" t="s">
        <v>1528</v>
      </c>
      <c r="B73" s="154" t="str">
        <f t="shared" si="1"/>
        <v>Slaash Technologies - Control Account</v>
      </c>
      <c r="C73" s="521">
        <v>0</v>
      </c>
      <c r="D73" s="521">
        <v>277200</v>
      </c>
      <c r="E73" s="521">
        <v>277200</v>
      </c>
      <c r="F73" s="521">
        <v>0</v>
      </c>
      <c r="G73" s="23" t="str">
        <f>VLOOKUP(B73,'TB 1125'!A:A,1,0)</f>
        <v>Slaash Technologies - Control Account</v>
      </c>
    </row>
    <row r="74" spans="1:7" x14ac:dyDescent="0.35">
      <c r="A74" s="153" t="s">
        <v>531</v>
      </c>
      <c r="B74" s="154" t="str">
        <f t="shared" si="1"/>
        <v>TDS Receivable</v>
      </c>
      <c r="C74" s="521">
        <v>1271832.7</v>
      </c>
      <c r="D74" s="521">
        <v>0</v>
      </c>
      <c r="E74" s="521">
        <v>0</v>
      </c>
      <c r="F74" s="521">
        <v>1271832.7</v>
      </c>
      <c r="G74" s="23" t="str">
        <f>VLOOKUP(B74,'TB 1125'!A:A,1,0)</f>
        <v>TDS Receivable</v>
      </c>
    </row>
    <row r="75" spans="1:7" x14ac:dyDescent="0.35">
      <c r="A75" s="153" t="s">
        <v>1529</v>
      </c>
      <c r="B75" s="154" t="str">
        <f t="shared" si="1"/>
        <v>Virtu Travels - Control Account</v>
      </c>
      <c r="C75" s="521">
        <v>0</v>
      </c>
      <c r="D75" s="521">
        <v>368955</v>
      </c>
      <c r="E75" s="521">
        <v>368955</v>
      </c>
      <c r="F75" s="521">
        <v>0</v>
      </c>
      <c r="G75" s="23" t="str">
        <f>VLOOKUP(B75,'TB 1125'!A:A,1,0)</f>
        <v>Virtu Travels - Control Account</v>
      </c>
    </row>
    <row r="76" spans="1:7" x14ac:dyDescent="0.35">
      <c r="A76" s="153" t="s">
        <v>532</v>
      </c>
      <c r="B76" s="154" t="str">
        <f t="shared" si="1"/>
        <v>Liabilities</v>
      </c>
      <c r="C76" t="s">
        <v>85</v>
      </c>
      <c r="D76" t="s">
        <v>85</v>
      </c>
      <c r="E76" t="s">
        <v>85</v>
      </c>
      <c r="F76" t="s">
        <v>85</v>
      </c>
      <c r="G76" s="23"/>
    </row>
    <row r="77" spans="1:7" x14ac:dyDescent="0.35">
      <c r="A77" s="153" t="s">
        <v>533</v>
      </c>
      <c r="B77" s="154" t="str">
        <f t="shared" si="1"/>
        <v>Accounts Payable</v>
      </c>
      <c r="C77" s="521">
        <v>-52884681.119999997</v>
      </c>
      <c r="D77" s="521">
        <v>78743954.200000003</v>
      </c>
      <c r="E77" s="521">
        <v>106803344.09999999</v>
      </c>
      <c r="F77" s="521">
        <v>-80944071.019999996</v>
      </c>
      <c r="G77" s="23" t="str">
        <f>VLOOKUP(B77,'TB 1125'!A:A,1,0)</f>
        <v>Accounts Payable</v>
      </c>
    </row>
    <row r="78" spans="1:7" x14ac:dyDescent="0.35">
      <c r="A78" s="153" t="s">
        <v>1329</v>
      </c>
      <c r="B78" s="154" t="str">
        <f t="shared" si="1"/>
        <v>Advance from B2C Customer</v>
      </c>
      <c r="C78" s="521">
        <v>-4574135.6900000004</v>
      </c>
      <c r="D78" s="521">
        <v>9431001.7200000007</v>
      </c>
      <c r="E78" s="521">
        <v>10438196</v>
      </c>
      <c r="F78" s="521">
        <v>-5581329.9699999997</v>
      </c>
      <c r="G78" s="23" t="str">
        <f>VLOOKUP(B78,'TB 1125'!A:A,1,0)</f>
        <v>Advance from B2C Customer</v>
      </c>
    </row>
    <row r="79" spans="1:7" x14ac:dyDescent="0.35">
      <c r="A79" s="153" t="s">
        <v>534</v>
      </c>
      <c r="B79" s="154" t="str">
        <f t="shared" si="1"/>
        <v>App Wallet</v>
      </c>
      <c r="C79" s="521">
        <v>-1963787.27</v>
      </c>
      <c r="D79" s="521">
        <v>127411</v>
      </c>
      <c r="E79" s="521">
        <v>299705</v>
      </c>
      <c r="F79" s="521">
        <v>-2136081.27</v>
      </c>
      <c r="G79" s="23" t="str">
        <f>VLOOKUP(B79,'TB 1125'!A:A,1,0)</f>
        <v>App Wallet</v>
      </c>
    </row>
    <row r="80" spans="1:7" x14ac:dyDescent="0.35">
      <c r="A80" s="153" t="s">
        <v>535</v>
      </c>
      <c r="B80" s="154" t="str">
        <f t="shared" si="1"/>
        <v>Employee Reimbursements</v>
      </c>
      <c r="C80" s="521">
        <v>494297.59</v>
      </c>
      <c r="D80" s="521">
        <v>0</v>
      </c>
      <c r="E80" s="521">
        <v>0</v>
      </c>
      <c r="F80" s="521">
        <v>494297.59</v>
      </c>
      <c r="G80" s="23" t="str">
        <f>VLOOKUP(B80,'TB 1125'!A:A,1,0)</f>
        <v>Employee Reimbursements</v>
      </c>
    </row>
    <row r="81" spans="1:7" x14ac:dyDescent="0.35">
      <c r="A81" s="153" t="s">
        <v>621</v>
      </c>
      <c r="B81" s="154" t="str">
        <f t="shared" si="1"/>
        <v>Employee Salaries Payable</v>
      </c>
      <c r="C81" s="521">
        <v>-1562915</v>
      </c>
      <c r="D81" s="521">
        <v>30710373.390000001</v>
      </c>
      <c r="E81" s="521">
        <v>30088903</v>
      </c>
      <c r="F81" s="521">
        <v>-941444.61</v>
      </c>
      <c r="G81" s="23" t="str">
        <f>VLOOKUP(B81,'TB 1125'!A:A,1,0)</f>
        <v>Employee Salaries Payable</v>
      </c>
    </row>
    <row r="82" spans="1:7" x14ac:dyDescent="0.35">
      <c r="A82" s="153" t="s">
        <v>1198</v>
      </c>
      <c r="B82" s="154" t="str">
        <f t="shared" si="1"/>
        <v>Expert Joining Bonus Payable</v>
      </c>
      <c r="C82" s="521">
        <v>-1373346</v>
      </c>
      <c r="D82" s="521">
        <v>1231526.6499999999</v>
      </c>
      <c r="E82" s="521">
        <v>1260150</v>
      </c>
      <c r="F82" s="521">
        <v>-1401969.35</v>
      </c>
      <c r="G82" s="23" t="str">
        <f>VLOOKUP(B82,'TB 1125'!A:A,1,0)</f>
        <v>Expert Joining Bonus Payable</v>
      </c>
    </row>
    <row r="83" spans="1:7" x14ac:dyDescent="0.35">
      <c r="A83" s="153" t="s">
        <v>1222</v>
      </c>
      <c r="B83" s="154" t="str">
        <f t="shared" si="1"/>
        <v>Expert Referral Bonus Payable</v>
      </c>
      <c r="C83" s="521">
        <v>0</v>
      </c>
      <c r="D83" s="521">
        <v>3346943</v>
      </c>
      <c r="E83" s="521">
        <v>3361793</v>
      </c>
      <c r="F83" s="521">
        <v>-14850</v>
      </c>
      <c r="G83" s="23" t="str">
        <f>VLOOKUP(B83,'TB 1125'!A:A,1,0)</f>
        <v>Expert Referral Bonus Payable</v>
      </c>
    </row>
    <row r="84" spans="1:7" x14ac:dyDescent="0.35">
      <c r="A84" s="153" t="s">
        <v>1285</v>
      </c>
      <c r="B84" s="154" t="str">
        <f t="shared" si="1"/>
        <v>Expert Retention Bonus Payable</v>
      </c>
      <c r="C84" s="521">
        <v>0</v>
      </c>
      <c r="D84" s="521">
        <v>0</v>
      </c>
      <c r="E84" s="521">
        <v>6676440</v>
      </c>
      <c r="F84" s="521">
        <v>-6676440</v>
      </c>
      <c r="G84" s="23" t="str">
        <f>VLOOKUP(B84,'TB 1125'!A:A,1,0)</f>
        <v>Expert Retention Bonus Payable</v>
      </c>
    </row>
    <row r="85" spans="1:7" x14ac:dyDescent="0.35">
      <c r="A85" s="153" t="s">
        <v>963</v>
      </c>
      <c r="B85" s="154" t="str">
        <f t="shared" si="1"/>
        <v>Expert Service Cost Payable</v>
      </c>
      <c r="C85" s="521">
        <v>-71783996.969999999</v>
      </c>
      <c r="D85" s="521">
        <v>77434366.5</v>
      </c>
      <c r="E85" s="521">
        <v>89521346.680000007</v>
      </c>
      <c r="F85" s="521">
        <v>-83870977.150000006</v>
      </c>
      <c r="G85" s="23" t="str">
        <f>VLOOKUP(B85,'TB 1125'!A:A,1,0)</f>
        <v>Expert Service Cost Payable</v>
      </c>
    </row>
    <row r="86" spans="1:7" x14ac:dyDescent="0.35">
      <c r="A86" s="153" t="s">
        <v>536</v>
      </c>
      <c r="B86" s="154" t="str">
        <f t="shared" si="1"/>
        <v>GST Payable</v>
      </c>
      <c r="C86" s="521">
        <v>0</v>
      </c>
      <c r="D86" s="521">
        <v>0</v>
      </c>
      <c r="E86" s="521">
        <v>0</v>
      </c>
      <c r="F86" s="521">
        <v>0</v>
      </c>
      <c r="G86" s="23"/>
    </row>
    <row r="87" spans="1:7" x14ac:dyDescent="0.35">
      <c r="A87" s="153" t="s">
        <v>537</v>
      </c>
      <c r="B87" s="154" t="str">
        <f t="shared" si="1"/>
        <v>Output CGST</v>
      </c>
      <c r="C87" s="521">
        <v>-1768190.4</v>
      </c>
      <c r="D87" s="521">
        <v>1607548.93</v>
      </c>
      <c r="E87" s="521">
        <v>1894627.85</v>
      </c>
      <c r="F87" s="521">
        <v>-2055269.32</v>
      </c>
      <c r="G87" s="23" t="str">
        <f>VLOOKUP(B87,'TB 1125'!A:A,1,0)</f>
        <v>Output CGST</v>
      </c>
    </row>
    <row r="88" spans="1:7" x14ac:dyDescent="0.35">
      <c r="A88" s="153" t="s">
        <v>538</v>
      </c>
      <c r="B88" s="154" t="str">
        <f t="shared" si="1"/>
        <v>Output IGST</v>
      </c>
      <c r="C88" s="521">
        <v>-202818.5</v>
      </c>
      <c r="D88" s="521">
        <v>349343</v>
      </c>
      <c r="E88" s="521">
        <v>377080.93</v>
      </c>
      <c r="F88" s="521">
        <v>-230556.43</v>
      </c>
      <c r="G88" s="23" t="str">
        <f>VLOOKUP(B88,'TB 1125'!A:A,1,0)</f>
        <v>Output IGST</v>
      </c>
    </row>
    <row r="89" spans="1:7" x14ac:dyDescent="0.35">
      <c r="A89" s="153" t="s">
        <v>539</v>
      </c>
      <c r="B89" s="154" t="str">
        <f t="shared" si="1"/>
        <v>Output SGST</v>
      </c>
      <c r="C89" s="521">
        <v>-1768188.4</v>
      </c>
      <c r="D89" s="521">
        <v>1607548.93</v>
      </c>
      <c r="E89" s="521">
        <v>1894627.85</v>
      </c>
      <c r="F89" s="521">
        <v>-2055267.32</v>
      </c>
      <c r="G89" s="23" t="str">
        <f>VLOOKUP(B89,'TB 1125'!A:A,1,0)</f>
        <v>Output SGST</v>
      </c>
    </row>
    <row r="90" spans="1:7" ht="15.5" x14ac:dyDescent="0.35">
      <c r="A90" s="156" t="s">
        <v>540</v>
      </c>
      <c r="B90" s="154" t="str">
        <f t="shared" si="1"/>
        <v>Total for GST Payable</v>
      </c>
      <c r="C90" s="522">
        <v>-3739197.3</v>
      </c>
      <c r="D90" s="522">
        <v>3564440.86</v>
      </c>
      <c r="E90" s="522">
        <v>4166336.63</v>
      </c>
      <c r="F90" s="522">
        <v>-4341093.07</v>
      </c>
      <c r="G90" s="23"/>
    </row>
    <row r="91" spans="1:7" x14ac:dyDescent="0.35">
      <c r="B91" s="154" t="str">
        <f t="shared" si="1"/>
        <v/>
      </c>
      <c r="G91" s="23"/>
    </row>
    <row r="92" spans="1:7" x14ac:dyDescent="0.35">
      <c r="A92" s="153" t="s">
        <v>541</v>
      </c>
      <c r="B92" s="154" t="str">
        <f t="shared" si="1"/>
        <v>Professional Tax</v>
      </c>
      <c r="C92" s="521">
        <v>-39000</v>
      </c>
      <c r="D92" s="521">
        <v>39200</v>
      </c>
      <c r="E92" s="521">
        <v>38000</v>
      </c>
      <c r="F92" s="521">
        <v>-37800</v>
      </c>
      <c r="G92" s="23" t="str">
        <f>VLOOKUP(B92,'TB 1125'!A:A,1,0)</f>
        <v>Professional Tax</v>
      </c>
    </row>
    <row r="93" spans="1:7" x14ac:dyDescent="0.35">
      <c r="A93" s="153" t="s">
        <v>542</v>
      </c>
      <c r="B93" s="154" t="str">
        <f t="shared" si="1"/>
        <v>Provident Fund</v>
      </c>
      <c r="C93" s="521">
        <v>0</v>
      </c>
      <c r="D93" s="521">
        <v>0</v>
      </c>
      <c r="E93" s="521">
        <v>0</v>
      </c>
      <c r="F93" s="521">
        <v>0</v>
      </c>
      <c r="G93" s="23" t="str">
        <f>VLOOKUP(B93,'TB 1125'!A:A,1,0)</f>
        <v>Provident Fund</v>
      </c>
    </row>
    <row r="94" spans="1:7" x14ac:dyDescent="0.35">
      <c r="A94" s="153" t="s">
        <v>543</v>
      </c>
      <c r="B94" s="154" t="str">
        <f t="shared" si="1"/>
        <v>Provident Fund - Employee</v>
      </c>
      <c r="C94" s="521">
        <v>-447570</v>
      </c>
      <c r="D94" s="521">
        <v>452538</v>
      </c>
      <c r="E94" s="521">
        <v>464708</v>
      </c>
      <c r="F94" s="521">
        <v>-459740</v>
      </c>
      <c r="G94" s="23" t="str">
        <f>VLOOKUP(B94,'TB 1125'!A:A,1,0)</f>
        <v>Provident Fund - Employee</v>
      </c>
    </row>
    <row r="95" spans="1:7" x14ac:dyDescent="0.35">
      <c r="A95" s="153" t="s">
        <v>544</v>
      </c>
      <c r="B95" s="154" t="str">
        <f t="shared" si="1"/>
        <v>Provident Fund - Employer</v>
      </c>
      <c r="C95" s="521">
        <v>-447570</v>
      </c>
      <c r="D95" s="521">
        <v>452538</v>
      </c>
      <c r="E95" s="521">
        <v>464708</v>
      </c>
      <c r="F95" s="521">
        <v>-459740</v>
      </c>
      <c r="G95" s="23" t="str">
        <f>VLOOKUP(B95,'TB 1125'!A:A,1,0)</f>
        <v>Provident Fund - Employer</v>
      </c>
    </row>
    <row r="96" spans="1:7" ht="15.5" x14ac:dyDescent="0.35">
      <c r="A96" s="156" t="s">
        <v>545</v>
      </c>
      <c r="B96" s="154" t="str">
        <f t="shared" si="1"/>
        <v>Total for Provident Fund</v>
      </c>
      <c r="C96" s="522">
        <v>-895140</v>
      </c>
      <c r="D96" s="522">
        <v>905076</v>
      </c>
      <c r="E96" s="522">
        <v>929416</v>
      </c>
      <c r="F96" s="522">
        <v>-919480</v>
      </c>
      <c r="G96" s="23"/>
    </row>
    <row r="97" spans="1:7" x14ac:dyDescent="0.35">
      <c r="B97" s="154" t="str">
        <f t="shared" si="1"/>
        <v/>
      </c>
      <c r="G97" s="23"/>
    </row>
    <row r="98" spans="1:7" x14ac:dyDescent="0.35">
      <c r="A98" s="153" t="s">
        <v>617</v>
      </c>
      <c r="B98" s="154" t="str">
        <f t="shared" si="1"/>
        <v>Provision for Customer Acquisition Cost</v>
      </c>
      <c r="C98" s="521">
        <v>-13575425</v>
      </c>
      <c r="D98" s="521">
        <v>13575425</v>
      </c>
      <c r="E98" s="521">
        <v>12411398</v>
      </c>
      <c r="F98" s="521">
        <v>-12411398</v>
      </c>
      <c r="G98" s="23" t="str">
        <f>VLOOKUP(B98,'TB 1125'!A:A,1,0)</f>
        <v>Provision for Customer Acquisition Cost</v>
      </c>
    </row>
    <row r="99" spans="1:7" x14ac:dyDescent="0.35">
      <c r="A99" s="153" t="s">
        <v>1423</v>
      </c>
      <c r="B99" s="154" t="str">
        <f t="shared" si="1"/>
        <v>Provision for Gratuity - LT</v>
      </c>
      <c r="C99" s="521">
        <v>-548984</v>
      </c>
      <c r="D99" s="521">
        <v>0</v>
      </c>
      <c r="E99" s="521">
        <v>0</v>
      </c>
      <c r="F99" s="521">
        <v>-548984</v>
      </c>
      <c r="G99" s="23" t="str">
        <f>VLOOKUP(B99,'TB 1125'!A:A,1,0)</f>
        <v>Provision for Gratuity - LT</v>
      </c>
    </row>
    <row r="100" spans="1:7" x14ac:dyDescent="0.35">
      <c r="A100" s="153" t="s">
        <v>1424</v>
      </c>
      <c r="B100" s="154" t="str">
        <f t="shared" si="1"/>
        <v>Provision for Gratuity - ST</v>
      </c>
      <c r="C100" s="521">
        <v>-1269</v>
      </c>
      <c r="D100" s="521">
        <v>0</v>
      </c>
      <c r="E100" s="521">
        <v>0</v>
      </c>
      <c r="F100" s="521">
        <v>-1269</v>
      </c>
      <c r="G100" s="23" t="str">
        <f>VLOOKUP(B100,'TB 1125'!A:A,1,0)</f>
        <v>Provision for Gratuity - ST</v>
      </c>
    </row>
    <row r="101" spans="1:7" x14ac:dyDescent="0.35">
      <c r="A101" s="153" t="s">
        <v>1350</v>
      </c>
      <c r="B101" s="154" t="str">
        <f t="shared" si="1"/>
        <v>Provision for Marketing Expense</v>
      </c>
      <c r="C101" s="521">
        <v>-15670233</v>
      </c>
      <c r="D101" s="521">
        <v>15670233</v>
      </c>
      <c r="E101" s="521">
        <v>24366217</v>
      </c>
      <c r="F101" s="521">
        <v>-24366217</v>
      </c>
      <c r="G101" s="23" t="str">
        <f>VLOOKUP(B101,'TB 1125'!A:A,1,0)</f>
        <v>Provision for Marketing Expense</v>
      </c>
    </row>
    <row r="102" spans="1:7" x14ac:dyDescent="0.35">
      <c r="A102" s="153" t="s">
        <v>547</v>
      </c>
      <c r="B102" s="154" t="str">
        <f t="shared" si="1"/>
        <v>Provision for Other Cost</v>
      </c>
      <c r="C102" s="521">
        <v>-21677124.890000001</v>
      </c>
      <c r="D102" s="521">
        <v>21677124.890000001</v>
      </c>
      <c r="E102" s="521">
        <v>8038850</v>
      </c>
      <c r="F102" s="521">
        <v>-8038850</v>
      </c>
      <c r="G102" s="23" t="str">
        <f>VLOOKUP(B102,'TB 1125'!A:A,1,0)</f>
        <v>Provision for Other Cost</v>
      </c>
    </row>
    <row r="103" spans="1:7" x14ac:dyDescent="0.35">
      <c r="A103" s="153" t="s">
        <v>959</v>
      </c>
      <c r="B103" s="154" t="str">
        <f t="shared" si="1"/>
        <v>Provision for Professional Fees</v>
      </c>
      <c r="C103" s="521">
        <v>-70000</v>
      </c>
      <c r="D103" s="521">
        <v>70000</v>
      </c>
      <c r="E103" s="521">
        <v>1316320</v>
      </c>
      <c r="F103" s="521">
        <v>-1316320</v>
      </c>
      <c r="G103" s="23" t="str">
        <f>VLOOKUP(B103,'TB 1125'!A:A,1,0)</f>
        <v>Provision for Professional Fees</v>
      </c>
    </row>
    <row r="104" spans="1:7" x14ac:dyDescent="0.35">
      <c r="A104" s="153" t="s">
        <v>1226</v>
      </c>
      <c r="B104" s="154" t="str">
        <f t="shared" si="1"/>
        <v>Provision for Rent Expense</v>
      </c>
      <c r="C104" s="521">
        <v>-188100</v>
      </c>
      <c r="D104" s="521">
        <v>188100</v>
      </c>
      <c r="E104" s="521">
        <v>16916</v>
      </c>
      <c r="F104" s="521">
        <v>-16916</v>
      </c>
      <c r="G104" s="23" t="str">
        <f>VLOOKUP(B104,'TB 1125'!A:A,1,0)</f>
        <v>Provision for Rent Expense</v>
      </c>
    </row>
    <row r="105" spans="1:7" x14ac:dyDescent="0.35">
      <c r="A105" s="153" t="s">
        <v>634</v>
      </c>
      <c r="B105" s="154" t="str">
        <f t="shared" si="1"/>
        <v>Provision for Service Cost</v>
      </c>
      <c r="C105" s="521">
        <v>-400000</v>
      </c>
      <c r="D105" s="521">
        <v>400000</v>
      </c>
      <c r="E105" s="521">
        <v>134790</v>
      </c>
      <c r="F105" s="521">
        <v>-134790</v>
      </c>
      <c r="G105" s="23" t="str">
        <f>VLOOKUP(B105,'TB 1125'!A:A,1,0)</f>
        <v>Provision for Service Cost</v>
      </c>
    </row>
    <row r="106" spans="1:7" x14ac:dyDescent="0.35">
      <c r="A106" s="153" t="s">
        <v>549</v>
      </c>
      <c r="B106" s="154" t="str">
        <f t="shared" si="1"/>
        <v>Provision for Software Expense</v>
      </c>
      <c r="C106" s="521">
        <v>-3153866.8</v>
      </c>
      <c r="D106" s="521">
        <v>3153866.8</v>
      </c>
      <c r="E106" s="521">
        <v>3714772.3</v>
      </c>
      <c r="F106" s="521">
        <v>-3714772.3</v>
      </c>
      <c r="G106" s="23" t="str">
        <f>VLOOKUP(B106,'TB 1125'!A:A,1,0)</f>
        <v>Provision for Software Expense</v>
      </c>
    </row>
    <row r="107" spans="1:7" x14ac:dyDescent="0.35">
      <c r="A107" s="153" t="s">
        <v>1227</v>
      </c>
      <c r="B107" s="154" t="str">
        <f t="shared" si="1"/>
        <v>Provision for Staff Welfare Expense</v>
      </c>
      <c r="C107" s="521">
        <v>-821927.03</v>
      </c>
      <c r="D107" s="521">
        <v>821927.03</v>
      </c>
      <c r="E107" s="521">
        <v>2414260</v>
      </c>
      <c r="F107" s="521">
        <v>-2414260</v>
      </c>
      <c r="G107" s="23" t="str">
        <f>VLOOKUP(B107,'TB 1125'!A:A,1,0)</f>
        <v>Provision for Staff Welfare Expense</v>
      </c>
    </row>
    <row r="108" spans="1:7" x14ac:dyDescent="0.35">
      <c r="A108" s="153" t="s">
        <v>1228</v>
      </c>
      <c r="B108" s="154" t="str">
        <f t="shared" si="1"/>
        <v>Provision for TC Expense</v>
      </c>
      <c r="C108" s="521">
        <v>-154572.91</v>
      </c>
      <c r="D108" s="521">
        <v>154572.91</v>
      </c>
      <c r="E108" s="521">
        <v>842113</v>
      </c>
      <c r="F108" s="521">
        <v>-842113</v>
      </c>
      <c r="G108" s="23" t="str">
        <f>VLOOKUP(B108,'TB 1125'!A:A,1,0)</f>
        <v>Provision for TC Expense</v>
      </c>
    </row>
    <row r="109" spans="1:7" x14ac:dyDescent="0.35">
      <c r="A109" s="153" t="s">
        <v>550</v>
      </c>
      <c r="B109" s="154" t="str">
        <f t="shared" si="1"/>
        <v>TDS Payable</v>
      </c>
      <c r="C109" s="521">
        <v>-6067609.71</v>
      </c>
      <c r="D109" s="521">
        <v>6340985</v>
      </c>
      <c r="E109" s="521">
        <v>8041773.7199999997</v>
      </c>
      <c r="F109" s="521">
        <v>-7768398.4299999997</v>
      </c>
      <c r="G109" s="23" t="str">
        <f>VLOOKUP(B109,'TB 1125'!A:A,1,0)</f>
        <v>TDS Payable</v>
      </c>
    </row>
    <row r="110" spans="1:7" x14ac:dyDescent="0.35">
      <c r="A110" s="153" t="s">
        <v>551</v>
      </c>
      <c r="B110" s="154" t="str">
        <f t="shared" si="1"/>
        <v>Variable Salary Payable</v>
      </c>
      <c r="C110" s="521">
        <v>-2699443</v>
      </c>
      <c r="D110" s="521">
        <v>0</v>
      </c>
      <c r="E110" s="521">
        <v>0</v>
      </c>
      <c r="F110" s="521">
        <v>-2699443</v>
      </c>
      <c r="G110" s="23" t="str">
        <f>VLOOKUP(B110,'TB 1125'!A:A,1,0)</f>
        <v>Variable Salary Payable</v>
      </c>
    </row>
    <row r="111" spans="1:7" x14ac:dyDescent="0.35">
      <c r="A111" s="153" t="s">
        <v>552</v>
      </c>
      <c r="B111" s="154" t="str">
        <f t="shared" si="1"/>
        <v>Equities</v>
      </c>
      <c r="C111" t="s">
        <v>85</v>
      </c>
      <c r="D111" t="s">
        <v>85</v>
      </c>
      <c r="E111" t="s">
        <v>85</v>
      </c>
      <c r="F111" t="s">
        <v>85</v>
      </c>
      <c r="G111" s="23"/>
    </row>
    <row r="112" spans="1:7" x14ac:dyDescent="0.35">
      <c r="A112" s="153" t="s">
        <v>553</v>
      </c>
      <c r="B112" s="154" t="str">
        <f t="shared" si="1"/>
        <v>Current Year Earnings</v>
      </c>
      <c r="C112" s="521">
        <v>460158688.26999998</v>
      </c>
      <c r="D112" s="521">
        <v>0</v>
      </c>
      <c r="E112" s="521">
        <v>0</v>
      </c>
      <c r="F112" s="521">
        <v>460158688.26999998</v>
      </c>
      <c r="G112" s="23" t="str">
        <f>VLOOKUP(B112,'TB 1125'!A:A,1,0)</f>
        <v>Current Year Earnings</v>
      </c>
    </row>
    <row r="113" spans="1:7" x14ac:dyDescent="0.35">
      <c r="A113" s="153" t="s">
        <v>1426</v>
      </c>
      <c r="B113" s="154" t="str">
        <f t="shared" si="1"/>
        <v>ESOP Outstanding Reserve</v>
      </c>
      <c r="C113" s="521">
        <v>-1245691</v>
      </c>
      <c r="D113" s="521">
        <v>0</v>
      </c>
      <c r="E113" s="521">
        <v>0</v>
      </c>
      <c r="F113" s="521">
        <v>-1245691</v>
      </c>
      <c r="G113" s="23" t="str">
        <f>VLOOKUP(B113,'TB 1125'!A:A,1,0)</f>
        <v>ESOP Outstanding Reserve</v>
      </c>
    </row>
    <row r="114" spans="1:7" x14ac:dyDescent="0.35">
      <c r="A114" s="153" t="s">
        <v>554</v>
      </c>
      <c r="B114" s="154" t="str">
        <f t="shared" si="1"/>
        <v>Owner's Equity</v>
      </c>
      <c r="C114" s="521">
        <v>-100000</v>
      </c>
      <c r="D114" s="521">
        <v>0</v>
      </c>
      <c r="E114" s="521">
        <v>0</v>
      </c>
      <c r="F114" s="521">
        <v>-100000</v>
      </c>
      <c r="G114" s="23" t="str">
        <f>VLOOKUP(B114,'TB 1125'!A:A,1,0)</f>
        <v>Owner's Equity</v>
      </c>
    </row>
    <row r="115" spans="1:7" x14ac:dyDescent="0.35">
      <c r="A115" s="153" t="s">
        <v>1557</v>
      </c>
      <c r="B115" s="154" t="str">
        <f t="shared" si="1"/>
        <v>BERTELSMANN NEDERLAND B.V.</v>
      </c>
      <c r="C115" s="521">
        <v>0</v>
      </c>
      <c r="D115" s="521">
        <v>0</v>
      </c>
      <c r="E115" s="521">
        <v>2798700</v>
      </c>
      <c r="F115" s="521">
        <v>-2798700</v>
      </c>
      <c r="G115" s="23" t="str">
        <f>VLOOKUP(B115,'TB 1125'!A:A,1,0)</f>
        <v>BERTELSMANN NEDERLAND B.V.</v>
      </c>
    </row>
    <row r="116" spans="1:7" x14ac:dyDescent="0.35">
      <c r="A116" s="153" t="s">
        <v>683</v>
      </c>
      <c r="B116" s="154" t="str">
        <f t="shared" si="1"/>
        <v>Elevation Capital III Limited ESC</v>
      </c>
      <c r="C116" s="521">
        <v>-10</v>
      </c>
      <c r="D116" s="521">
        <v>0</v>
      </c>
      <c r="E116" s="521">
        <v>0</v>
      </c>
      <c r="F116" s="521">
        <v>-10</v>
      </c>
      <c r="G116" s="23" t="str">
        <f>VLOOKUP(B116,'TB 1125'!A:A,1,0)</f>
        <v>Elevation Capital III Limited ESC</v>
      </c>
    </row>
    <row r="117" spans="1:7" x14ac:dyDescent="0.35">
      <c r="A117" s="153" t="s">
        <v>684</v>
      </c>
      <c r="B117" s="154" t="str">
        <f t="shared" si="1"/>
        <v>Elevation Capital III Limited PSC</v>
      </c>
      <c r="C117" s="521">
        <v>-5463300</v>
      </c>
      <c r="D117" s="521">
        <v>0</v>
      </c>
      <c r="E117" s="521">
        <v>0</v>
      </c>
      <c r="F117" s="521">
        <v>-5463300</v>
      </c>
      <c r="G117" s="23" t="str">
        <f>VLOOKUP(B117,'TB 1125'!A:A,1,0)</f>
        <v>Elevation Capital III Limited PSC</v>
      </c>
    </row>
    <row r="118" spans="1:7" x14ac:dyDescent="0.35">
      <c r="A118" s="153" t="s">
        <v>1559</v>
      </c>
      <c r="B118" s="154" t="str">
        <f t="shared" si="1"/>
        <v>ELEVATION CAPITAL VIII LIMITED</v>
      </c>
      <c r="C118" s="521">
        <v>0</v>
      </c>
      <c r="D118" s="521">
        <v>0</v>
      </c>
      <c r="E118" s="521">
        <v>1097500</v>
      </c>
      <c r="F118" s="521">
        <v>-1097500</v>
      </c>
      <c r="G118" s="23" t="str">
        <f>VLOOKUP(B118,'TB 1125'!A:A,1,0)</f>
        <v>ELEVATION CAPITAL VIII LIMITED</v>
      </c>
    </row>
    <row r="119" spans="1:7" x14ac:dyDescent="0.35">
      <c r="A119" s="153" t="s">
        <v>685</v>
      </c>
      <c r="B119" s="154" t="str">
        <f t="shared" si="1"/>
        <v>Gaurav Munjal</v>
      </c>
      <c r="C119" s="521">
        <v>-10800</v>
      </c>
      <c r="D119" s="521">
        <v>0</v>
      </c>
      <c r="E119" s="521">
        <v>0</v>
      </c>
      <c r="F119" s="521">
        <v>-10800</v>
      </c>
      <c r="G119" s="23" t="str">
        <f>VLOOKUP(B119,'TB 1125'!A:A,1,0)</f>
        <v>Gaurav Munjal</v>
      </c>
    </row>
    <row r="120" spans="1:7" x14ac:dyDescent="0.35">
      <c r="A120" s="153" t="s">
        <v>1229</v>
      </c>
      <c r="B120" s="154" t="str">
        <f t="shared" si="1"/>
        <v>Lightspeed India Partners IV LLC</v>
      </c>
      <c r="C120" s="521">
        <v>-3772700</v>
      </c>
      <c r="D120" s="521">
        <v>0</v>
      </c>
      <c r="E120" s="521">
        <v>1097500</v>
      </c>
      <c r="F120" s="521">
        <v>-4870200</v>
      </c>
      <c r="G120" s="23" t="str">
        <f>VLOOKUP(B120,'TB 1125'!A:A,1,0)</f>
        <v>Lightspeed India Partners IV LLC</v>
      </c>
    </row>
    <row r="121" spans="1:7" x14ac:dyDescent="0.35">
      <c r="A121" s="153" t="s">
        <v>555</v>
      </c>
      <c r="B121" s="154" t="str">
        <f t="shared" si="1"/>
        <v>Nexus Ventures VII Holdings LLC ESC</v>
      </c>
      <c r="C121" s="521">
        <v>-10</v>
      </c>
      <c r="D121" s="521">
        <v>0</v>
      </c>
      <c r="E121" s="521">
        <v>0</v>
      </c>
      <c r="F121" s="521">
        <v>-10</v>
      </c>
      <c r="G121" s="23" t="str">
        <f>VLOOKUP(B121,'TB 1125'!A:A,1,0)</f>
        <v>Nexus Ventures VII Holdings LLC ESC</v>
      </c>
    </row>
    <row r="122" spans="1:7" x14ac:dyDescent="0.35">
      <c r="A122" s="153" t="s">
        <v>556</v>
      </c>
      <c r="B122" s="154" t="str">
        <f t="shared" si="1"/>
        <v>Nexus Ventures VII Holdings LLC PSC</v>
      </c>
      <c r="C122" s="521">
        <v>-6497900</v>
      </c>
      <c r="D122" s="521">
        <v>0</v>
      </c>
      <c r="E122" s="521">
        <v>493900</v>
      </c>
      <c r="F122" s="521">
        <v>-6991800</v>
      </c>
      <c r="G122" s="23" t="str">
        <f>VLOOKUP(B122,'TB 1125'!A:A,1,0)</f>
        <v>Nexus Ventures VII Holdings LLC PSC</v>
      </c>
    </row>
    <row r="123" spans="1:7" x14ac:dyDescent="0.35">
      <c r="A123" s="153" t="s">
        <v>686</v>
      </c>
      <c r="B123" s="154" t="str">
        <f t="shared" si="1"/>
        <v>Niraj Singh</v>
      </c>
      <c r="C123" s="521">
        <v>-16200</v>
      </c>
      <c r="D123" s="521">
        <v>0</v>
      </c>
      <c r="E123" s="521">
        <v>0</v>
      </c>
      <c r="F123" s="521">
        <v>-16200</v>
      </c>
      <c r="G123" s="23" t="str">
        <f>VLOOKUP(B123,'TB 1125'!A:A,1,0)</f>
        <v>Niraj Singh</v>
      </c>
    </row>
    <row r="124" spans="1:7" x14ac:dyDescent="0.35">
      <c r="A124" s="153" t="s">
        <v>687</v>
      </c>
      <c r="B124" s="154" t="str">
        <f t="shared" si="1"/>
        <v>Pranav Goenka</v>
      </c>
      <c r="C124" s="521">
        <v>-5400</v>
      </c>
      <c r="D124" s="521">
        <v>0</v>
      </c>
      <c r="E124" s="521">
        <v>0</v>
      </c>
      <c r="F124" s="521">
        <v>-5400</v>
      </c>
      <c r="G124" s="23" t="str">
        <f>VLOOKUP(B124,'TB 1125'!A:A,1,0)</f>
        <v>Pranav Goenka</v>
      </c>
    </row>
    <row r="125" spans="1:7" x14ac:dyDescent="0.35">
      <c r="A125" s="153" t="s">
        <v>688</v>
      </c>
      <c r="B125" s="154" t="str">
        <f t="shared" si="1"/>
        <v>Sanjeev Kumar</v>
      </c>
      <c r="C125" s="521">
        <v>-37800</v>
      </c>
      <c r="D125" s="521">
        <v>0</v>
      </c>
      <c r="E125" s="521">
        <v>0</v>
      </c>
      <c r="F125" s="521">
        <v>-37800</v>
      </c>
      <c r="G125" s="23" t="str">
        <f>VLOOKUP(B125,'TB 1125'!A:A,1,0)</f>
        <v>Sanjeev Kumar</v>
      </c>
    </row>
    <row r="126" spans="1:7" x14ac:dyDescent="0.35">
      <c r="A126" s="153" t="s">
        <v>557</v>
      </c>
      <c r="B126" s="154" t="str">
        <f t="shared" si="1"/>
        <v>Securities Premium</v>
      </c>
      <c r="C126" s="521">
        <v>-2162702583.21</v>
      </c>
      <c r="D126" s="521">
        <v>0</v>
      </c>
      <c r="E126" s="521">
        <v>2649248652</v>
      </c>
      <c r="F126" s="521">
        <v>-4811951235.21</v>
      </c>
      <c r="G126" s="23" t="str">
        <f>VLOOKUP(B126,'TB 1125'!A:A,1,0)</f>
        <v>Securities Premium</v>
      </c>
    </row>
    <row r="127" spans="1:7" x14ac:dyDescent="0.35">
      <c r="A127" s="153" t="s">
        <v>689</v>
      </c>
      <c r="B127" s="154" t="str">
        <f t="shared" si="1"/>
        <v>Shantam Jain</v>
      </c>
      <c r="C127" s="521">
        <v>-5400</v>
      </c>
      <c r="D127" s="521">
        <v>0</v>
      </c>
      <c r="E127" s="521">
        <v>0</v>
      </c>
      <c r="F127" s="521">
        <v>-5400</v>
      </c>
      <c r="G127" s="23" t="str">
        <f>VLOOKUP(B127,'TB 1125'!A:A,1,0)</f>
        <v>Shantam Jain</v>
      </c>
    </row>
    <row r="128" spans="1:7" x14ac:dyDescent="0.35">
      <c r="A128" s="153" t="s">
        <v>690</v>
      </c>
      <c r="B128" s="154" t="str">
        <f t="shared" si="1"/>
        <v>Siddhartha Kochar</v>
      </c>
      <c r="C128" s="521">
        <v>-5400</v>
      </c>
      <c r="D128" s="521">
        <v>0</v>
      </c>
      <c r="E128" s="521">
        <v>0</v>
      </c>
      <c r="F128" s="521">
        <v>-5400</v>
      </c>
      <c r="G128" s="23" t="str">
        <f>VLOOKUP(B128,'TB 1125'!A:A,1,0)</f>
        <v>Siddhartha Kochar</v>
      </c>
    </row>
    <row r="129" spans="1:7" x14ac:dyDescent="0.35">
      <c r="A129" s="153" t="s">
        <v>691</v>
      </c>
      <c r="B129" s="154" t="str">
        <f t="shared" si="1"/>
        <v>Unnat SK Bajoria</v>
      </c>
      <c r="C129" s="521">
        <v>-5400</v>
      </c>
      <c r="D129" s="521">
        <v>0</v>
      </c>
      <c r="E129" s="521">
        <v>0</v>
      </c>
      <c r="F129" s="521">
        <v>-5400</v>
      </c>
      <c r="G129" s="23" t="str">
        <f>VLOOKUP(B129,'TB 1125'!A:A,1,0)</f>
        <v>Unnat SK Bajoria</v>
      </c>
    </row>
    <row r="130" spans="1:7" x14ac:dyDescent="0.35">
      <c r="A130" s="153" t="s">
        <v>692</v>
      </c>
      <c r="B130" s="154" t="str">
        <f t="shared" si="1"/>
        <v>Vidit Aatrey</v>
      </c>
      <c r="C130" s="521">
        <v>-37800</v>
      </c>
      <c r="D130" s="521">
        <v>0</v>
      </c>
      <c r="E130" s="521">
        <v>0</v>
      </c>
      <c r="F130" s="521">
        <v>-37800</v>
      </c>
      <c r="G130" s="23" t="str">
        <f>VLOOKUP(B130,'TB 1125'!A:A,1,0)</f>
        <v>Vidit Aatrey</v>
      </c>
    </row>
    <row r="131" spans="1:7" ht="15.5" x14ac:dyDescent="0.35">
      <c r="A131" s="156" t="s">
        <v>558</v>
      </c>
      <c r="B131" s="154" t="str">
        <f t="shared" si="1"/>
        <v>Total for Owner's Equity</v>
      </c>
      <c r="C131" s="522">
        <v>-2178660703.21</v>
      </c>
      <c r="D131" s="522">
        <v>0</v>
      </c>
      <c r="E131" s="522">
        <v>2654736252</v>
      </c>
      <c r="F131" s="522">
        <v>-4833396955.21</v>
      </c>
      <c r="G131" s="23"/>
    </row>
    <row r="132" spans="1:7" x14ac:dyDescent="0.35">
      <c r="B132" s="154" t="str">
        <f t="shared" ref="B132:B185" si="2">TRIM(A132)</f>
        <v/>
      </c>
      <c r="G132" s="23"/>
    </row>
    <row r="133" spans="1:7" x14ac:dyDescent="0.35">
      <c r="A133" s="153" t="s">
        <v>559</v>
      </c>
      <c r="B133" s="154" t="str">
        <f t="shared" si="2"/>
        <v>Retained Earnings</v>
      </c>
      <c r="C133" s="521">
        <v>58903866.530000001</v>
      </c>
      <c r="D133" s="521">
        <v>0</v>
      </c>
      <c r="E133" s="521">
        <v>0</v>
      </c>
      <c r="F133" s="521">
        <v>58903866.530000001</v>
      </c>
      <c r="G133" s="23" t="str">
        <f>VLOOKUP(B133,'TB 1125'!A:A,1,0)</f>
        <v>Retained Earnings</v>
      </c>
    </row>
    <row r="134" spans="1:7" x14ac:dyDescent="0.35">
      <c r="A134" s="153" t="s">
        <v>1230</v>
      </c>
      <c r="B134" s="154" t="str">
        <f t="shared" si="2"/>
        <v>Share Application Money Pending Allotment</v>
      </c>
      <c r="C134" s="521">
        <v>-1300809153</v>
      </c>
      <c r="D134" s="521">
        <v>2654736252</v>
      </c>
      <c r="E134" s="521">
        <v>1353927099</v>
      </c>
      <c r="F134" s="521">
        <v>0</v>
      </c>
      <c r="G134" s="23" t="str">
        <f>VLOOKUP(B134,'TB 1125'!A:A,1,0)</f>
        <v>Share Application Money Pending Allotment</v>
      </c>
    </row>
    <row r="135" spans="1:7" x14ac:dyDescent="0.35">
      <c r="A135" s="153" t="s">
        <v>467</v>
      </c>
      <c r="B135" s="154" t="str">
        <f t="shared" si="2"/>
        <v>Income</v>
      </c>
      <c r="C135" t="s">
        <v>85</v>
      </c>
      <c r="D135" t="s">
        <v>85</v>
      </c>
      <c r="E135" t="s">
        <v>85</v>
      </c>
      <c r="F135" t="s">
        <v>85</v>
      </c>
      <c r="G135" s="23"/>
    </row>
    <row r="136" spans="1:7" x14ac:dyDescent="0.35">
      <c r="A136" s="153" t="s">
        <v>1436</v>
      </c>
      <c r="B136" s="154" t="str">
        <f t="shared" si="2"/>
        <v>Additional Charges</v>
      </c>
      <c r="C136" s="521">
        <v>0</v>
      </c>
      <c r="D136" s="521">
        <v>0</v>
      </c>
      <c r="E136" s="521">
        <v>400.96</v>
      </c>
      <c r="F136" s="521">
        <v>-400.96</v>
      </c>
      <c r="G136" s="23" t="str">
        <f>VLOOKUP(B136,'TB 1125'!A:A,1,0)</f>
        <v>Additional Charges</v>
      </c>
    </row>
    <row r="137" spans="1:7" x14ac:dyDescent="0.35">
      <c r="A137" s="153" t="s">
        <v>468</v>
      </c>
      <c r="B137" s="154" t="str">
        <f t="shared" si="2"/>
        <v>Convenience and Platform Fee</v>
      </c>
      <c r="C137" s="521">
        <v>0</v>
      </c>
      <c r="D137" s="521">
        <v>0</v>
      </c>
      <c r="E137" s="521">
        <v>15396515.199999999</v>
      </c>
      <c r="F137" s="521">
        <v>-15396515.199999999</v>
      </c>
      <c r="G137" s="23" t="str">
        <f>VLOOKUP(B137,'TB 1125'!A:A,1,0)</f>
        <v>Convenience and Platform Fee</v>
      </c>
    </row>
    <row r="138" spans="1:7" x14ac:dyDescent="0.35">
      <c r="A138" s="153" t="s">
        <v>1530</v>
      </c>
      <c r="B138" s="154" t="str">
        <f t="shared" si="2"/>
        <v>Cooking income</v>
      </c>
      <c r="C138" s="521">
        <v>0</v>
      </c>
      <c r="D138" s="521">
        <v>0</v>
      </c>
      <c r="E138" s="521">
        <v>26514</v>
      </c>
      <c r="F138" s="521">
        <v>-26514</v>
      </c>
      <c r="G138" s="23" t="str">
        <f>VLOOKUP(B138,'TB 1125'!A:A,1,0)</f>
        <v>Cooking income</v>
      </c>
    </row>
    <row r="139" spans="1:7" x14ac:dyDescent="0.35">
      <c r="A139" s="153" t="s">
        <v>469</v>
      </c>
      <c r="B139" s="154" t="str">
        <f t="shared" si="2"/>
        <v>Discount</v>
      </c>
      <c r="C139" s="521">
        <v>0</v>
      </c>
      <c r="D139" s="521">
        <v>44501764</v>
      </c>
      <c r="E139" s="521">
        <v>0</v>
      </c>
      <c r="F139" s="521">
        <v>44501764</v>
      </c>
      <c r="G139" s="23" t="str">
        <f>VLOOKUP(B139,'TB 1125'!A:A,1,0)</f>
        <v>Discount</v>
      </c>
    </row>
    <row r="140" spans="1:7" x14ac:dyDescent="0.35">
      <c r="A140" s="153" t="s">
        <v>1411</v>
      </c>
      <c r="B140" s="154" t="str">
        <f t="shared" si="2"/>
        <v>Extension Fees</v>
      </c>
      <c r="C140" s="521">
        <v>0</v>
      </c>
      <c r="D140" s="521">
        <v>0</v>
      </c>
      <c r="E140" s="521">
        <v>1540734</v>
      </c>
      <c r="F140" s="521">
        <v>-1540734</v>
      </c>
      <c r="G140" s="23" t="str">
        <f>VLOOKUP(B140,'TB 1125'!A:A,1,0)</f>
        <v>Extension Fees</v>
      </c>
    </row>
    <row r="141" spans="1:7" x14ac:dyDescent="0.35">
      <c r="A141" s="153" t="s">
        <v>470</v>
      </c>
      <c r="B141" s="154" t="str">
        <f t="shared" si="2"/>
        <v>FD Interest Income</v>
      </c>
      <c r="C141" s="521">
        <v>0</v>
      </c>
      <c r="D141" s="521">
        <v>44549174</v>
      </c>
      <c r="E141" s="521">
        <v>62230392</v>
      </c>
      <c r="F141" s="521">
        <v>-17681218</v>
      </c>
      <c r="G141" s="23" t="str">
        <f>VLOOKUP(B141,'TB 1125'!A:A,1,0)</f>
        <v>FD Interest Income</v>
      </c>
    </row>
    <row r="142" spans="1:7" x14ac:dyDescent="0.35">
      <c r="A142" s="153" t="s">
        <v>1412</v>
      </c>
      <c r="B142" s="154" t="str">
        <f t="shared" si="2"/>
        <v>Forfeiture Income</v>
      </c>
      <c r="C142" s="521">
        <v>0</v>
      </c>
      <c r="D142" s="521">
        <v>600000</v>
      </c>
      <c r="E142" s="521">
        <v>1895224</v>
      </c>
      <c r="F142" s="521">
        <v>-1295224</v>
      </c>
      <c r="G142" s="23" t="str">
        <f>VLOOKUP(B142,'TB 1125'!A:A,1,0)</f>
        <v>Forfeiture Income</v>
      </c>
    </row>
    <row r="143" spans="1:7" x14ac:dyDescent="0.35">
      <c r="A143" s="153" t="s">
        <v>471</v>
      </c>
      <c r="B143" s="154" t="str">
        <f t="shared" si="2"/>
        <v>Maestro Revenue</v>
      </c>
      <c r="C143" s="521">
        <v>0</v>
      </c>
      <c r="D143" s="521">
        <v>0</v>
      </c>
      <c r="E143" s="521">
        <v>61586061</v>
      </c>
      <c r="F143" s="521">
        <v>-61586061</v>
      </c>
      <c r="G143" s="23" t="str">
        <f>VLOOKUP(B143,'TB 1125'!A:A,1,0)</f>
        <v>Maestro Revenue</v>
      </c>
    </row>
    <row r="144" spans="1:7" x14ac:dyDescent="0.35">
      <c r="A144" s="153" t="s">
        <v>1330</v>
      </c>
      <c r="B144" s="154" t="str">
        <f t="shared" si="2"/>
        <v>Offer Pack Income</v>
      </c>
      <c r="C144" s="521">
        <v>0</v>
      </c>
      <c r="D144" s="521">
        <v>0</v>
      </c>
      <c r="E144" s="521">
        <v>6311058</v>
      </c>
      <c r="F144" s="521">
        <v>-6311058</v>
      </c>
      <c r="G144" s="23" t="str">
        <f>VLOOKUP(B144,'TB 1125'!A:A,1,0)</f>
        <v>Offer Pack Income</v>
      </c>
    </row>
    <row r="145" spans="1:7" x14ac:dyDescent="0.35">
      <c r="A145" s="153" t="s">
        <v>1413</v>
      </c>
      <c r="B145" s="154" t="str">
        <f t="shared" si="2"/>
        <v>Platform Fees</v>
      </c>
      <c r="C145" s="521">
        <v>0</v>
      </c>
      <c r="D145" s="521">
        <v>0</v>
      </c>
      <c r="E145" s="521">
        <v>749415</v>
      </c>
      <c r="F145" s="521">
        <v>-749415</v>
      </c>
      <c r="G145" s="23" t="str">
        <f>VLOOKUP(B145,'TB 1125'!A:A,1,0)</f>
        <v>Platform Fees</v>
      </c>
    </row>
    <row r="146" spans="1:7" x14ac:dyDescent="0.35">
      <c r="A146" s="153" t="s">
        <v>1415</v>
      </c>
      <c r="B146" s="154" t="str">
        <f t="shared" si="2"/>
        <v>Surge Fees</v>
      </c>
      <c r="C146" s="521">
        <v>0</v>
      </c>
      <c r="D146" s="521">
        <v>0</v>
      </c>
      <c r="E146" s="521">
        <v>389915</v>
      </c>
      <c r="F146" s="521">
        <v>-389915</v>
      </c>
      <c r="G146" s="23" t="str">
        <f>VLOOKUP(B146,'TB 1125'!A:A,1,0)</f>
        <v>Surge Fees</v>
      </c>
    </row>
    <row r="147" spans="1:7" x14ac:dyDescent="0.35">
      <c r="A147" s="153" t="s">
        <v>472</v>
      </c>
      <c r="B147" s="154" t="str">
        <f t="shared" si="2"/>
        <v>Expense</v>
      </c>
      <c r="C147" t="s">
        <v>85</v>
      </c>
      <c r="D147" t="s">
        <v>85</v>
      </c>
      <c r="E147" t="s">
        <v>85</v>
      </c>
      <c r="F147" t="s">
        <v>85</v>
      </c>
      <c r="G147" s="23"/>
    </row>
    <row r="148" spans="1:7" x14ac:dyDescent="0.35">
      <c r="A148" s="153" t="s">
        <v>473</v>
      </c>
      <c r="B148" s="154" t="str">
        <f t="shared" si="2"/>
        <v>Accounting Services</v>
      </c>
      <c r="C148" s="521">
        <v>0</v>
      </c>
      <c r="D148" s="521">
        <v>140000</v>
      </c>
      <c r="E148" s="521">
        <v>0</v>
      </c>
      <c r="F148" s="521">
        <v>140000</v>
      </c>
      <c r="G148" s="23" t="str">
        <f>VLOOKUP(B148,'TB 1125'!A:A,1,0)</f>
        <v>Accounting Services</v>
      </c>
    </row>
    <row r="149" spans="1:7" x14ac:dyDescent="0.35">
      <c r="A149" s="153" t="s">
        <v>474</v>
      </c>
      <c r="B149" s="154" t="str">
        <f t="shared" si="2"/>
        <v>Bank Fees and Charges</v>
      </c>
      <c r="C149" s="521">
        <v>0</v>
      </c>
      <c r="D149" s="521">
        <v>16259.22</v>
      </c>
      <c r="E149" s="521">
        <v>0</v>
      </c>
      <c r="F149" s="521">
        <v>16259.22</v>
      </c>
      <c r="G149" s="23" t="str">
        <f>VLOOKUP(B149,'TB 1125'!A:A,1,0)</f>
        <v>Bank Fees and Charges</v>
      </c>
    </row>
    <row r="150" spans="1:7" x14ac:dyDescent="0.35">
      <c r="A150" s="153" t="s">
        <v>475</v>
      </c>
      <c r="B150" s="154" t="str">
        <f t="shared" si="2"/>
        <v>Branding Expense</v>
      </c>
      <c r="C150" s="521">
        <v>0</v>
      </c>
      <c r="D150" s="521">
        <v>29423759.399999999</v>
      </c>
      <c r="E150" s="521">
        <v>15670233</v>
      </c>
      <c r="F150" s="521">
        <v>13753526.4</v>
      </c>
      <c r="G150" s="23" t="str">
        <f>VLOOKUP(B150,'TB 1125'!A:A,1,0)</f>
        <v>Branding Expense</v>
      </c>
    </row>
    <row r="151" spans="1:7" x14ac:dyDescent="0.35">
      <c r="A151" s="153" t="s">
        <v>476</v>
      </c>
      <c r="B151" s="154" t="str">
        <f t="shared" si="2"/>
        <v>Customer Acquisition Cost</v>
      </c>
      <c r="C151" s="521">
        <v>0</v>
      </c>
      <c r="D151" s="521">
        <v>49032997.289999999</v>
      </c>
      <c r="E151" s="521">
        <v>17011324.469999999</v>
      </c>
      <c r="F151" s="521">
        <v>32021672.82</v>
      </c>
      <c r="G151" s="23" t="str">
        <f>VLOOKUP(B151,'TB 1125'!A:A,1,0)</f>
        <v>Customer Acquisition Cost</v>
      </c>
    </row>
    <row r="152" spans="1:7" x14ac:dyDescent="0.35">
      <c r="A152" s="153" t="s">
        <v>636</v>
      </c>
      <c r="B152" s="154" t="str">
        <f t="shared" si="2"/>
        <v>Customer Success Cost</v>
      </c>
      <c r="C152" s="521">
        <v>0</v>
      </c>
      <c r="D152" s="521">
        <v>3432641.91</v>
      </c>
      <c r="E152" s="521">
        <v>1573124.66</v>
      </c>
      <c r="F152" s="521">
        <v>1859517.25</v>
      </c>
      <c r="G152" s="23" t="str">
        <f>VLOOKUP(B152,'TB 1125'!A:A,1,0)</f>
        <v>Customer Success Cost</v>
      </c>
    </row>
    <row r="153" spans="1:7" x14ac:dyDescent="0.35">
      <c r="A153" s="153" t="s">
        <v>477</v>
      </c>
      <c r="B153" s="154" t="str">
        <f t="shared" si="2"/>
        <v>Depreciation and Amortization</v>
      </c>
      <c r="C153" s="521">
        <v>0</v>
      </c>
      <c r="D153" s="521">
        <v>1006834.74</v>
      </c>
      <c r="E153" s="521">
        <v>0</v>
      </c>
      <c r="F153" s="521">
        <v>1006834.74</v>
      </c>
      <c r="G153" s="23"/>
    </row>
    <row r="154" spans="1:7" x14ac:dyDescent="0.35">
      <c r="A154" s="153" t="s">
        <v>478</v>
      </c>
      <c r="B154" s="154" t="str">
        <f t="shared" si="2"/>
        <v>Employee Benefit Expense</v>
      </c>
      <c r="C154" s="521">
        <v>0</v>
      </c>
      <c r="D154" s="521">
        <v>0</v>
      </c>
      <c r="E154" s="521">
        <v>0</v>
      </c>
      <c r="F154" s="521">
        <v>0</v>
      </c>
      <c r="G154" s="23" t="str">
        <f>VLOOKUP(B154,'TB 1125'!A:A,1,0)</f>
        <v>Employee Benefit Expense</v>
      </c>
    </row>
    <row r="155" spans="1:7" x14ac:dyDescent="0.35">
      <c r="A155" s="153" t="s">
        <v>479</v>
      </c>
      <c r="B155" s="154" t="str">
        <f t="shared" si="2"/>
        <v>Employer PF Expense</v>
      </c>
      <c r="C155" s="521">
        <v>0</v>
      </c>
      <c r="D155" s="521">
        <v>464708</v>
      </c>
      <c r="E155" s="521">
        <v>0</v>
      </c>
      <c r="F155" s="521">
        <v>464708</v>
      </c>
      <c r="G155" s="23" t="str">
        <f>VLOOKUP(B155,'TB 1125'!A:A,1,0)</f>
        <v>Employer PF Expense</v>
      </c>
    </row>
    <row r="156" spans="1:7" x14ac:dyDescent="0.35">
      <c r="A156" s="153" t="s">
        <v>480</v>
      </c>
      <c r="B156" s="154" t="str">
        <f t="shared" si="2"/>
        <v>PF Admin Expense</v>
      </c>
      <c r="C156" s="521">
        <v>0</v>
      </c>
      <c r="D156" s="521">
        <v>34667.800000000003</v>
      </c>
      <c r="E156" s="521">
        <v>0</v>
      </c>
      <c r="F156" s="521">
        <v>34667.800000000003</v>
      </c>
      <c r="G156" s="23" t="str">
        <f>VLOOKUP(B156,'TB 1125'!A:A,1,0)</f>
        <v>PF Admin Expense</v>
      </c>
    </row>
    <row r="157" spans="1:7" x14ac:dyDescent="0.35">
      <c r="A157" s="153" t="s">
        <v>481</v>
      </c>
      <c r="B157" s="154" t="str">
        <f t="shared" si="2"/>
        <v>Staff Welfare Expense</v>
      </c>
      <c r="C157" s="521">
        <v>0</v>
      </c>
      <c r="D157" s="521">
        <v>6233841.7699999996</v>
      </c>
      <c r="E157" s="521">
        <v>830723.03</v>
      </c>
      <c r="F157" s="521">
        <v>5403118.7400000002</v>
      </c>
      <c r="G157" s="23" t="str">
        <f>VLOOKUP(B157,'TB 1125'!A:A,1,0)</f>
        <v>Staff Welfare Expense</v>
      </c>
    </row>
    <row r="158" spans="1:7" ht="15.5" x14ac:dyDescent="0.35">
      <c r="A158" s="156" t="s">
        <v>483</v>
      </c>
      <c r="B158" s="154" t="str">
        <f t="shared" si="2"/>
        <v>Total for Employee Benefit Expense</v>
      </c>
      <c r="C158" s="522">
        <v>0</v>
      </c>
      <c r="D158" s="522">
        <v>6733217.5700000003</v>
      </c>
      <c r="E158" s="522">
        <v>830723.03</v>
      </c>
      <c r="F158" s="522">
        <v>5902494.54</v>
      </c>
      <c r="G158" s="23"/>
    </row>
    <row r="159" spans="1:7" x14ac:dyDescent="0.35">
      <c r="B159" s="154" t="str">
        <f t="shared" si="2"/>
        <v/>
      </c>
      <c r="G159" s="23"/>
    </row>
    <row r="160" spans="1:7" x14ac:dyDescent="0.35">
      <c r="A160" s="153" t="s">
        <v>758</v>
      </c>
      <c r="B160" s="154" t="str">
        <f t="shared" si="2"/>
        <v>Expert Retention Bonus</v>
      </c>
      <c r="C160" s="521">
        <v>0</v>
      </c>
      <c r="D160" s="521">
        <v>6844750</v>
      </c>
      <c r="E160" s="521">
        <v>0</v>
      </c>
      <c r="F160" s="521">
        <v>6844750</v>
      </c>
      <c r="G160" s="23" t="str">
        <f>VLOOKUP(B160,'TB 1125'!A:A,1,0)</f>
        <v>Expert Retention Bonus</v>
      </c>
    </row>
    <row r="161" spans="1:7" x14ac:dyDescent="0.35">
      <c r="A161" s="153" t="s">
        <v>768</v>
      </c>
      <c r="B161" s="154" t="str">
        <f t="shared" si="2"/>
        <v>Expert Welfare Cost</v>
      </c>
      <c r="C161" s="521">
        <v>0</v>
      </c>
      <c r="D161" s="521">
        <v>44540</v>
      </c>
      <c r="E161" s="521">
        <v>22270.34</v>
      </c>
      <c r="F161" s="521">
        <v>22269.66</v>
      </c>
      <c r="G161" s="23"/>
    </row>
    <row r="162" spans="1:7" x14ac:dyDescent="0.35">
      <c r="A162" s="153" t="s">
        <v>484</v>
      </c>
      <c r="B162" s="154" t="str">
        <f t="shared" si="2"/>
        <v>Fund Raising Expense</v>
      </c>
      <c r="C162" s="521">
        <v>0</v>
      </c>
      <c r="D162" s="521">
        <v>1740704</v>
      </c>
      <c r="E162" s="521">
        <v>0</v>
      </c>
      <c r="F162" s="521">
        <v>1740704</v>
      </c>
      <c r="G162" s="23" t="str">
        <f>VLOOKUP(B162,'TB 1125'!A:A,1,0)</f>
        <v>Fund Raising Expense</v>
      </c>
    </row>
    <row r="163" spans="1:7" x14ac:dyDescent="0.35">
      <c r="A163" s="153" t="s">
        <v>855</v>
      </c>
      <c r="B163" s="154" t="str">
        <f t="shared" si="2"/>
        <v>Hood Rent Expense</v>
      </c>
      <c r="C163" s="521">
        <v>0</v>
      </c>
      <c r="D163" s="521">
        <v>673600</v>
      </c>
      <c r="E163" s="521">
        <v>89100</v>
      </c>
      <c r="F163" s="521">
        <v>584500</v>
      </c>
      <c r="G163" s="23" t="str">
        <f>VLOOKUP(B163,'TB 1125'!A:A,1,0)</f>
        <v>Hood Rent Expense</v>
      </c>
    </row>
    <row r="164" spans="1:7" x14ac:dyDescent="0.35">
      <c r="A164" s="153" t="s">
        <v>771</v>
      </c>
      <c r="B164" s="154" t="str">
        <f t="shared" si="2"/>
        <v>Legal Fees</v>
      </c>
      <c r="C164" s="521">
        <v>0</v>
      </c>
      <c r="D164" s="521">
        <v>765000</v>
      </c>
      <c r="E164" s="521">
        <v>0</v>
      </c>
      <c r="F164" s="521">
        <v>765000</v>
      </c>
      <c r="G164" s="23" t="str">
        <f>VLOOKUP(B164,'TB 1125'!A:A,1,0)</f>
        <v>Legal Fees</v>
      </c>
    </row>
    <row r="165" spans="1:7" x14ac:dyDescent="0.35">
      <c r="A165" s="153" t="s">
        <v>637</v>
      </c>
      <c r="B165" s="154" t="str">
        <f t="shared" si="2"/>
        <v>Managerial Cost</v>
      </c>
      <c r="C165" s="521">
        <v>0</v>
      </c>
      <c r="D165" s="521">
        <v>9034019.9700000007</v>
      </c>
      <c r="E165" s="521">
        <v>4436640.53</v>
      </c>
      <c r="F165" s="521">
        <v>4597379.4400000004</v>
      </c>
      <c r="G165" s="23" t="str">
        <f>VLOOKUP(B165,'TB 1125'!A:A,1,0)</f>
        <v>Managerial Cost</v>
      </c>
    </row>
    <row r="166" spans="1:7" x14ac:dyDescent="0.35">
      <c r="A166" s="153" t="s">
        <v>618</v>
      </c>
      <c r="B166" s="154" t="str">
        <f t="shared" si="2"/>
        <v>New User Discount</v>
      </c>
      <c r="C166" s="521">
        <v>0</v>
      </c>
      <c r="D166" s="521">
        <v>3000000</v>
      </c>
      <c r="E166" s="521">
        <v>0</v>
      </c>
      <c r="F166" s="521">
        <v>3000000</v>
      </c>
      <c r="G166" s="23" t="str">
        <f>VLOOKUP(B166,'TB 1125'!A:A,1,0)</f>
        <v>New User Discount</v>
      </c>
    </row>
    <row r="167" spans="1:7" x14ac:dyDescent="0.35">
      <c r="A167" s="153" t="s">
        <v>486</v>
      </c>
      <c r="B167" s="154" t="str">
        <f t="shared" si="2"/>
        <v>Office and Admin Expense</v>
      </c>
      <c r="C167" s="521">
        <v>0</v>
      </c>
      <c r="D167" s="521">
        <v>63868.65</v>
      </c>
      <c r="E167" s="521">
        <v>11124.95</v>
      </c>
      <c r="F167" s="521">
        <v>52743.7</v>
      </c>
      <c r="G167" s="23" t="str">
        <f>VLOOKUP(B167,'TB 1125'!A:A,1,0)</f>
        <v>Office and Admin Expense</v>
      </c>
    </row>
    <row r="168" spans="1:7" x14ac:dyDescent="0.35">
      <c r="A168" s="153" t="s">
        <v>487</v>
      </c>
      <c r="B168" s="154" t="str">
        <f t="shared" si="2"/>
        <v>Office Rent Expense</v>
      </c>
      <c r="C168" s="521">
        <v>0</v>
      </c>
      <c r="D168" s="521">
        <v>2778230.74</v>
      </c>
      <c r="E168" s="521">
        <v>74000</v>
      </c>
      <c r="F168" s="521">
        <v>2704230.74</v>
      </c>
      <c r="G168" s="23" t="str">
        <f>VLOOKUP(B168,'TB 1125'!A:A,1,0)</f>
        <v>Office Rent Expense</v>
      </c>
    </row>
    <row r="169" spans="1:7" x14ac:dyDescent="0.35">
      <c r="A169" s="153" t="s">
        <v>956</v>
      </c>
      <c r="B169" s="154" t="str">
        <f t="shared" si="2"/>
        <v>Operational Expense</v>
      </c>
      <c r="C169" s="521">
        <v>0</v>
      </c>
      <c r="D169" s="521">
        <v>990481.43</v>
      </c>
      <c r="E169" s="521">
        <v>533012.19999999995</v>
      </c>
      <c r="F169" s="521">
        <v>457469.23</v>
      </c>
      <c r="G169" s="23" t="str">
        <f>VLOOKUP(B169,'TB 1125'!A:A,1,0)</f>
        <v>Operational Expense</v>
      </c>
    </row>
    <row r="170" spans="1:7" x14ac:dyDescent="0.35">
      <c r="A170" s="153" t="s">
        <v>488</v>
      </c>
      <c r="B170" s="154" t="str">
        <f t="shared" si="2"/>
        <v>Other Cost</v>
      </c>
      <c r="C170" s="521">
        <v>0</v>
      </c>
      <c r="D170" s="521">
        <v>9837.5</v>
      </c>
      <c r="E170" s="521">
        <v>1</v>
      </c>
      <c r="F170" s="521">
        <v>9836.5</v>
      </c>
      <c r="G170" s="23" t="str">
        <f>VLOOKUP(B170,'TB 1125'!A:A,1,0)</f>
        <v>Other Cost</v>
      </c>
    </row>
    <row r="171" spans="1:7" x14ac:dyDescent="0.35">
      <c r="A171" s="153" t="s">
        <v>489</v>
      </c>
      <c r="B171" s="154" t="str">
        <f t="shared" si="2"/>
        <v>Other Expenses</v>
      </c>
      <c r="C171" s="521">
        <v>0</v>
      </c>
      <c r="D171" s="521">
        <v>10.56</v>
      </c>
      <c r="E171" s="521">
        <v>4.83</v>
      </c>
      <c r="F171" s="521">
        <v>5.73</v>
      </c>
      <c r="G171" s="23" t="str">
        <f>VLOOKUP(B171,'TB 1125'!A:A,1,0)</f>
        <v>Other Expenses</v>
      </c>
    </row>
    <row r="172" spans="1:7" x14ac:dyDescent="0.35">
      <c r="A172" s="153" t="s">
        <v>560</v>
      </c>
      <c r="B172" s="154" t="str">
        <f t="shared" si="2"/>
        <v>Payment Gateway Cost</v>
      </c>
      <c r="C172" s="521">
        <v>0</v>
      </c>
      <c r="D172" s="521">
        <v>115362.49</v>
      </c>
      <c r="E172" s="521">
        <v>0</v>
      </c>
      <c r="F172" s="521">
        <v>115362.49</v>
      </c>
      <c r="G172" s="23" t="str">
        <f>VLOOKUP(B172,'TB 1125'!A:A,1,0)</f>
        <v>Payment Gateway Cost</v>
      </c>
    </row>
    <row r="173" spans="1:7" x14ac:dyDescent="0.35">
      <c r="A173" s="153" t="s">
        <v>490</v>
      </c>
      <c r="B173" s="154" t="str">
        <f t="shared" si="2"/>
        <v>Professional Fees</v>
      </c>
      <c r="C173" s="521">
        <v>0</v>
      </c>
      <c r="D173" s="521">
        <v>2326437</v>
      </c>
      <c r="E173" s="521">
        <v>70000</v>
      </c>
      <c r="F173" s="521">
        <v>2256437</v>
      </c>
      <c r="G173" s="23" t="str">
        <f>VLOOKUP(B173,'TB 1125'!A:A,1,0)</f>
        <v>Professional Fees</v>
      </c>
    </row>
    <row r="174" spans="1:7" x14ac:dyDescent="0.35">
      <c r="A174" s="153" t="s">
        <v>1531</v>
      </c>
      <c r="B174" s="154" t="str">
        <f t="shared" si="2"/>
        <v>Purchase Discounts</v>
      </c>
      <c r="C174" s="521">
        <v>0</v>
      </c>
      <c r="D174" s="521">
        <v>0</v>
      </c>
      <c r="E174" s="521">
        <v>7937.5</v>
      </c>
      <c r="F174" s="521">
        <v>-7937.5</v>
      </c>
      <c r="G174" s="23" t="str">
        <f>VLOOKUP(B174,'TB 1125'!A:A,1,0)</f>
        <v>Purchase Discounts</v>
      </c>
    </row>
    <row r="175" spans="1:7" x14ac:dyDescent="0.35">
      <c r="A175" s="153" t="s">
        <v>491</v>
      </c>
      <c r="B175" s="154" t="str">
        <f t="shared" si="2"/>
        <v>Rates and Taxes</v>
      </c>
      <c r="C175" s="521">
        <v>0</v>
      </c>
      <c r="D175" s="521">
        <v>24998.75</v>
      </c>
      <c r="E175" s="521">
        <v>0</v>
      </c>
      <c r="F175" s="521">
        <v>24998.75</v>
      </c>
      <c r="G175" s="23" t="str">
        <f>VLOOKUP(B175,'TB 1125'!A:A,1,0)</f>
        <v>Rates and Taxes</v>
      </c>
    </row>
    <row r="176" spans="1:7" x14ac:dyDescent="0.35">
      <c r="A176" s="153" t="s">
        <v>638</v>
      </c>
      <c r="B176" s="154" t="str">
        <f t="shared" si="2"/>
        <v>Recruitment Charges</v>
      </c>
      <c r="C176" s="521">
        <v>0</v>
      </c>
      <c r="D176" s="521">
        <v>67950</v>
      </c>
      <c r="E176" s="521">
        <v>0</v>
      </c>
      <c r="F176" s="521">
        <v>67950</v>
      </c>
      <c r="G176" s="23" t="str">
        <f>VLOOKUP(B176,'TB 1125'!A:A,1,0)</f>
        <v>Recruitment Charges</v>
      </c>
    </row>
    <row r="177" spans="1:7" x14ac:dyDescent="0.35">
      <c r="A177" s="153" t="s">
        <v>857</v>
      </c>
      <c r="B177" s="154" t="str">
        <f t="shared" si="2"/>
        <v>Repairs and Maintenance</v>
      </c>
      <c r="C177" s="521">
        <v>0</v>
      </c>
      <c r="D177" s="521">
        <v>4200</v>
      </c>
      <c r="E177" s="521">
        <v>0</v>
      </c>
      <c r="F177" s="521">
        <v>4200</v>
      </c>
      <c r="G177" s="23" t="str">
        <f>VLOOKUP(B177,'TB 1125'!A:A,1,0)</f>
        <v>Repairs and Maintenance</v>
      </c>
    </row>
    <row r="178" spans="1:7" x14ac:dyDescent="0.35">
      <c r="A178" s="153" t="s">
        <v>492</v>
      </c>
      <c r="B178" s="154" t="str">
        <f t="shared" si="2"/>
        <v>Salaries and Employee Wages</v>
      </c>
      <c r="C178" s="521">
        <v>0</v>
      </c>
      <c r="D178" s="521">
        <v>36407120.600000001</v>
      </c>
      <c r="E178" s="521">
        <v>252935.13</v>
      </c>
      <c r="F178" s="521">
        <v>36154185.469999999</v>
      </c>
      <c r="G178" s="23"/>
    </row>
    <row r="179" spans="1:7" x14ac:dyDescent="0.35">
      <c r="A179" s="153" t="s">
        <v>615</v>
      </c>
      <c r="B179" s="154" t="str">
        <f t="shared" si="2"/>
        <v>Service Cost</v>
      </c>
      <c r="C179" s="521">
        <v>0</v>
      </c>
      <c r="D179" s="521">
        <v>92373303.739999995</v>
      </c>
      <c r="E179" s="521">
        <v>400000</v>
      </c>
      <c r="F179" s="521">
        <v>91973303.739999995</v>
      </c>
      <c r="G179" s="23" t="str">
        <f>VLOOKUP(B179,'TB 1125'!A:A,1,0)</f>
        <v>Service Cost</v>
      </c>
    </row>
    <row r="180" spans="1:7" x14ac:dyDescent="0.35">
      <c r="A180" s="153" t="s">
        <v>493</v>
      </c>
      <c r="B180" s="154" t="str">
        <f t="shared" si="2"/>
        <v>Software Expense</v>
      </c>
      <c r="C180" s="521">
        <v>0</v>
      </c>
      <c r="D180" s="521">
        <v>6555147.9500000002</v>
      </c>
      <c r="E180" s="521">
        <v>3153866.8</v>
      </c>
      <c r="F180" s="521">
        <v>3401281.15</v>
      </c>
      <c r="G180" s="23" t="str">
        <f>VLOOKUP(B180,'TB 1125'!A:A,1,0)</f>
        <v>Software Expense</v>
      </c>
    </row>
    <row r="181" spans="1:7" x14ac:dyDescent="0.35">
      <c r="A181" s="153" t="s">
        <v>494</v>
      </c>
      <c r="B181" s="154" t="str">
        <f t="shared" si="2"/>
        <v>Sourcing and Onboarding Expense</v>
      </c>
      <c r="C181" s="521">
        <v>0</v>
      </c>
      <c r="D181" s="521">
        <v>24145454.859999999</v>
      </c>
      <c r="E181" s="521">
        <v>10414555.15</v>
      </c>
      <c r="F181" s="521">
        <v>13730899.710000001</v>
      </c>
      <c r="G181" s="23" t="str">
        <f>VLOOKUP(B181,'TB 1125'!A:A,1,0)</f>
        <v>Sourcing and Onboarding Expense</v>
      </c>
    </row>
    <row r="182" spans="1:7" x14ac:dyDescent="0.35">
      <c r="A182" s="153" t="s">
        <v>495</v>
      </c>
      <c r="B182" s="154" t="str">
        <f t="shared" si="2"/>
        <v>Training Centre Expense</v>
      </c>
      <c r="C182" s="521">
        <v>0</v>
      </c>
      <c r="D182" s="521">
        <v>3341311.52</v>
      </c>
      <c r="E182" s="521">
        <v>1079549.3500000001</v>
      </c>
      <c r="F182" s="521">
        <v>2261762.17</v>
      </c>
      <c r="G182" s="23" t="str">
        <f>VLOOKUP(B182,'TB 1125'!A:A,1,0)</f>
        <v>Training Centre Expense</v>
      </c>
    </row>
    <row r="183" spans="1:7" x14ac:dyDescent="0.35">
      <c r="A183" s="153" t="s">
        <v>496</v>
      </c>
      <c r="B183" s="154" t="str">
        <f t="shared" si="2"/>
        <v>Training Centre Rent Expense</v>
      </c>
      <c r="C183" s="521">
        <v>0</v>
      </c>
      <c r="D183" s="521">
        <v>1847982</v>
      </c>
      <c r="E183" s="521">
        <v>97586.02</v>
      </c>
      <c r="F183" s="521">
        <v>1750395.98</v>
      </c>
      <c r="G183" s="23" t="str">
        <f>VLOOKUP(B183,'TB 1125'!A:A,1,0)</f>
        <v>Training Centre Rent Expense</v>
      </c>
    </row>
    <row r="184" spans="1:7" x14ac:dyDescent="0.35">
      <c r="A184" s="153" t="s">
        <v>858</v>
      </c>
      <c r="B184" s="154" t="str">
        <f t="shared" si="2"/>
        <v>Travel Expense</v>
      </c>
      <c r="C184" s="521">
        <v>0</v>
      </c>
      <c r="D184" s="521">
        <v>566399</v>
      </c>
      <c r="E184" s="521">
        <v>25624.5</v>
      </c>
      <c r="F184" s="521">
        <v>540774.5</v>
      </c>
      <c r="G184" s="23" t="str">
        <f>VLOOKUP(B184,'TB 1125'!A:A,1,0)</f>
        <v>Travel Expense</v>
      </c>
    </row>
    <row r="185" spans="1:7" ht="15.5" x14ac:dyDescent="0.35">
      <c r="A185" s="156" t="s">
        <v>639</v>
      </c>
      <c r="B185" s="154" t="str">
        <f t="shared" si="2"/>
        <v>Total for Trial Balance</v>
      </c>
      <c r="C185" s="522"/>
      <c r="D185" s="522">
        <v>13795129620.33</v>
      </c>
      <c r="E185" s="522">
        <v>13795129620.33</v>
      </c>
      <c r="F185" s="5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1FDE-B0D2-469B-916B-11B39BBDB2FD}">
  <dimension ref="A1:G196"/>
  <sheetViews>
    <sheetView topLeftCell="A83" zoomScale="64" workbookViewId="0">
      <selection activeCell="F104" sqref="F104"/>
    </sheetView>
  </sheetViews>
  <sheetFormatPr defaultColWidth="8.81640625" defaultRowHeight="14.5" x14ac:dyDescent="0.35"/>
  <cols>
    <col min="1" max="6" width="35.1796875" style="547" customWidth="1"/>
    <col min="7" max="7" width="44.08984375" style="547" bestFit="1" customWidth="1"/>
    <col min="8" max="16384" width="8.81640625" style="547"/>
  </cols>
  <sheetData>
    <row r="1" spans="1:7" x14ac:dyDescent="0.35">
      <c r="A1" s="551" t="s">
        <v>464</v>
      </c>
      <c r="B1" s="551"/>
      <c r="C1" s="551" t="s">
        <v>498</v>
      </c>
      <c r="D1" s="551" t="s">
        <v>465</v>
      </c>
      <c r="E1" s="551" t="s">
        <v>466</v>
      </c>
      <c r="F1" s="551" t="s">
        <v>499</v>
      </c>
      <c r="G1" s="290" t="s">
        <v>433</v>
      </c>
    </row>
    <row r="2" spans="1:7" x14ac:dyDescent="0.35">
      <c r="A2"/>
      <c r="B2"/>
      <c r="C2"/>
      <c r="D2"/>
      <c r="E2"/>
      <c r="F2"/>
    </row>
    <row r="3" spans="1:7" x14ac:dyDescent="0.35">
      <c r="A3" s="552" t="s">
        <v>70</v>
      </c>
      <c r="B3" s="556" t="str">
        <f>TRIM(A3)</f>
        <v>Assets</v>
      </c>
      <c r="C3" t="s">
        <v>85</v>
      </c>
      <c r="D3" t="s">
        <v>85</v>
      </c>
      <c r="E3" t="s">
        <v>85</v>
      </c>
      <c r="F3" t="s">
        <v>85</v>
      </c>
    </row>
    <row r="4" spans="1:7" x14ac:dyDescent="0.35">
      <c r="A4" s="552" t="s">
        <v>500</v>
      </c>
      <c r="B4" s="556" t="str">
        <f t="shared" ref="B4:B67" si="0">TRIM(A4)</f>
        <v>Accounts Receivable</v>
      </c>
      <c r="C4" s="553">
        <v>3013317.03</v>
      </c>
      <c r="D4" s="553">
        <v>66113309.75</v>
      </c>
      <c r="E4" s="553">
        <v>66969391.310000002</v>
      </c>
      <c r="F4" s="553">
        <v>2157235.4700000002</v>
      </c>
      <c r="G4" s="547" t="str">
        <f>VLOOKUP(B4,'TB 1225'!A:A,1,0)</f>
        <v>Accounts Receivable</v>
      </c>
    </row>
    <row r="5" spans="1:7" x14ac:dyDescent="0.35">
      <c r="A5" s="552" t="s">
        <v>501</v>
      </c>
      <c r="B5" s="556" t="str">
        <f t="shared" si="0"/>
        <v>Accrued Interest</v>
      </c>
      <c r="C5" s="553">
        <v>60436186</v>
      </c>
      <c r="D5" s="553">
        <v>75481262</v>
      </c>
      <c r="E5" s="553">
        <v>60436186</v>
      </c>
      <c r="F5" s="553">
        <v>75481262</v>
      </c>
      <c r="G5" s="547" t="str">
        <f>VLOOKUP(B5,'TB 1225'!A:A,1,0)</f>
        <v>Accrued Interest</v>
      </c>
    </row>
    <row r="6" spans="1:7" x14ac:dyDescent="0.35">
      <c r="A6" s="552" t="s">
        <v>1432</v>
      </c>
      <c r="B6" s="556" t="str">
        <f t="shared" si="0"/>
        <v>Accumulated Amortization on Leasehold Improvement</v>
      </c>
      <c r="C6" s="553">
        <v>-1482757.6</v>
      </c>
      <c r="D6" s="553">
        <v>0</v>
      </c>
      <c r="E6" s="553">
        <v>462364.89</v>
      </c>
      <c r="F6" s="553">
        <v>-1945122.49</v>
      </c>
      <c r="G6" s="547" t="str">
        <f>VLOOKUP(B6,'TB 1225'!A:A,1,0)</f>
        <v>Accumulated Amortization on Leasehold Improvement</v>
      </c>
    </row>
    <row r="7" spans="1:7" x14ac:dyDescent="0.35">
      <c r="A7" s="552" t="s">
        <v>503</v>
      </c>
      <c r="B7" s="556" t="str">
        <f t="shared" si="0"/>
        <v>Accumulated Depreciation on Computer and Laptops</v>
      </c>
      <c r="C7" s="553">
        <v>-2700081.75</v>
      </c>
      <c r="D7" s="553">
        <v>0</v>
      </c>
      <c r="E7" s="553">
        <v>691820.18</v>
      </c>
      <c r="F7" s="553">
        <v>-3391901.93</v>
      </c>
      <c r="G7" s="547" t="str">
        <f>VLOOKUP(B7,'TB 1225'!A:A,1,0)</f>
        <v>Accumulated Depreciation on Computer and Laptops</v>
      </c>
    </row>
    <row r="8" spans="1:7" x14ac:dyDescent="0.35">
      <c r="A8" s="552" t="s">
        <v>760</v>
      </c>
      <c r="B8" s="556" t="str">
        <f t="shared" si="0"/>
        <v>Accumulated Depreciation on Furniture &amp; Equipment</v>
      </c>
      <c r="C8" s="553">
        <v>-98029.69</v>
      </c>
      <c r="D8" s="553">
        <v>0</v>
      </c>
      <c r="E8" s="553">
        <v>11370.3</v>
      </c>
      <c r="F8" s="553">
        <v>-109399.99</v>
      </c>
      <c r="G8" s="547" t="str">
        <f>VLOOKUP(B8,'TB 1225'!A:A,1,0)</f>
        <v>Accumulated Depreciation on Furniture &amp; Equipment</v>
      </c>
    </row>
    <row r="9" spans="1:7" x14ac:dyDescent="0.35">
      <c r="A9" s="552" t="s">
        <v>504</v>
      </c>
      <c r="B9" s="556" t="str">
        <f t="shared" si="0"/>
        <v>Accumulated Depreciation on Office Equipment</v>
      </c>
      <c r="C9" s="553">
        <v>-116822.47</v>
      </c>
      <c r="D9" s="553">
        <v>0</v>
      </c>
      <c r="E9" s="553">
        <v>18733.169999999998</v>
      </c>
      <c r="F9" s="553">
        <v>-135555.64000000001</v>
      </c>
      <c r="G9" s="547" t="str">
        <f>VLOOKUP(B9,'TB 1225'!A:A,1,0)</f>
        <v>Accumulated Depreciation on Office Equipment</v>
      </c>
    </row>
    <row r="10" spans="1:7" x14ac:dyDescent="0.35">
      <c r="A10" s="552" t="s">
        <v>961</v>
      </c>
      <c r="B10" s="556" t="str">
        <f t="shared" si="0"/>
        <v>Advance to Vendors</v>
      </c>
      <c r="C10" s="553">
        <v>8756066.3599999994</v>
      </c>
      <c r="D10" s="553">
        <v>11524661</v>
      </c>
      <c r="E10" s="553">
        <v>99062.88</v>
      </c>
      <c r="F10" s="553">
        <v>20181664.48</v>
      </c>
      <c r="G10" s="547" t="str">
        <f>VLOOKUP(B10,'TB 1225'!A:A,1,0)</f>
        <v>Advance to Vendors</v>
      </c>
    </row>
    <row r="11" spans="1:7" x14ac:dyDescent="0.35">
      <c r="A11" s="552" t="s">
        <v>505</v>
      </c>
      <c r="B11" s="556" t="str">
        <f t="shared" si="0"/>
        <v>Amazon Wallet</v>
      </c>
      <c r="C11" s="553">
        <v>305.98</v>
      </c>
      <c r="D11" s="553">
        <v>0</v>
      </c>
      <c r="E11" s="553">
        <v>0</v>
      </c>
      <c r="F11" s="553">
        <v>305.98</v>
      </c>
      <c r="G11" s="547" t="str">
        <f>VLOOKUP(B11,'TB 1225'!A:A,1,0)</f>
        <v>Amazon Wallet</v>
      </c>
    </row>
    <row r="12" spans="1:7" x14ac:dyDescent="0.35">
      <c r="A12" s="552" t="s">
        <v>506</v>
      </c>
      <c r="B12" s="556" t="str">
        <f t="shared" si="0"/>
        <v>Axis Bank 1655</v>
      </c>
      <c r="C12" s="553">
        <v>11810.34</v>
      </c>
      <c r="D12" s="553">
        <v>3131680</v>
      </c>
      <c r="E12" s="553">
        <v>2916665.28</v>
      </c>
      <c r="F12" s="553">
        <v>226825.06</v>
      </c>
      <c r="G12" s="547" t="str">
        <f>VLOOKUP(B12,'TB 1225'!A:A,1,0)</f>
        <v>Axis Bank 1655</v>
      </c>
    </row>
    <row r="13" spans="1:7" x14ac:dyDescent="0.35">
      <c r="A13" s="552" t="s">
        <v>507</v>
      </c>
      <c r="B13" s="556" t="str">
        <f t="shared" si="0"/>
        <v>Computer and Laptops</v>
      </c>
      <c r="C13" s="553">
        <v>25524871.030000001</v>
      </c>
      <c r="D13" s="553">
        <v>330880</v>
      </c>
      <c r="E13" s="553">
        <v>0</v>
      </c>
      <c r="F13" s="553">
        <v>25855751.030000001</v>
      </c>
      <c r="G13" s="547" t="str">
        <f>VLOOKUP(B13,'TB 1225'!A:A,1,0)</f>
        <v>Computer and Laptops</v>
      </c>
    </row>
    <row r="14" spans="1:7" x14ac:dyDescent="0.35">
      <c r="A14" s="552" t="s">
        <v>1420</v>
      </c>
      <c r="B14" s="556" t="str">
        <f t="shared" si="0"/>
        <v>Expert Inventory</v>
      </c>
      <c r="C14" s="553">
        <v>3400180.68</v>
      </c>
      <c r="D14" s="553">
        <v>10206713</v>
      </c>
      <c r="E14" s="553">
        <v>8231916</v>
      </c>
      <c r="F14" s="553">
        <v>5374977.6799999997</v>
      </c>
      <c r="G14" s="547" t="str">
        <f>VLOOKUP(B14,'TB 1225'!A:A,1,0)</f>
        <v>Expert Inventory</v>
      </c>
    </row>
    <row r="15" spans="1:7" x14ac:dyDescent="0.35">
      <c r="A15" s="552" t="s">
        <v>678</v>
      </c>
      <c r="B15" s="556" t="str">
        <f t="shared" si="0"/>
        <v>Furniture and Equipment</v>
      </c>
      <c r="C15" s="553">
        <v>704611.34</v>
      </c>
      <c r="D15" s="553">
        <v>0</v>
      </c>
      <c r="E15" s="553">
        <v>0</v>
      </c>
      <c r="F15" s="553">
        <v>704611.34</v>
      </c>
      <c r="G15" s="547" t="str">
        <f>VLOOKUP(B15,'TB 1225'!A:A,1,0)</f>
        <v>Furniture and Equipment</v>
      </c>
    </row>
    <row r="16" spans="1:7" x14ac:dyDescent="0.35">
      <c r="A16" s="552" t="s">
        <v>712</v>
      </c>
      <c r="B16" s="556" t="str">
        <f t="shared" si="0"/>
        <v>HDFC Bank 6899</v>
      </c>
      <c r="C16" s="553">
        <v>245099.7</v>
      </c>
      <c r="D16" s="553">
        <v>191216843.90000001</v>
      </c>
      <c r="E16" s="553">
        <v>191400430.80000001</v>
      </c>
      <c r="F16" s="553">
        <v>61512.800000000003</v>
      </c>
      <c r="G16" s="547" t="str">
        <f>VLOOKUP(B16,'TB 1225'!A:A,1,0)</f>
        <v>HDFC Bank 6899</v>
      </c>
    </row>
    <row r="17" spans="1:7" x14ac:dyDescent="0.35">
      <c r="A17" s="552" t="s">
        <v>713</v>
      </c>
      <c r="B17" s="556" t="str">
        <f t="shared" si="0"/>
        <v>HDFC Bank 9531</v>
      </c>
      <c r="C17" s="553">
        <v>449633.35</v>
      </c>
      <c r="D17" s="553">
        <v>1080430.8</v>
      </c>
      <c r="E17" s="553">
        <v>1406225.65</v>
      </c>
      <c r="F17" s="553">
        <v>123838.5</v>
      </c>
      <c r="G17" s="547" t="str">
        <f>VLOOKUP(B17,'TB 1225'!A:A,1,0)</f>
        <v>HDFC Bank 9531</v>
      </c>
    </row>
    <row r="18" spans="1:7" x14ac:dyDescent="0.35">
      <c r="A18" s="552" t="s">
        <v>508</v>
      </c>
      <c r="B18" s="556" t="str">
        <f t="shared" si="0"/>
        <v>Input Tax Credits</v>
      </c>
      <c r="C18" s="553">
        <v>0</v>
      </c>
      <c r="D18" s="553">
        <v>0</v>
      </c>
      <c r="E18" s="553">
        <v>0</v>
      </c>
      <c r="F18" s="553">
        <v>0</v>
      </c>
    </row>
    <row r="19" spans="1:7" x14ac:dyDescent="0.35">
      <c r="A19" s="552" t="s">
        <v>509</v>
      </c>
      <c r="B19" s="556" t="str">
        <f t="shared" si="0"/>
        <v>Input CGST</v>
      </c>
      <c r="C19" s="553">
        <v>15716937.25</v>
      </c>
      <c r="D19" s="553">
        <v>4065386.06</v>
      </c>
      <c r="E19" s="553">
        <v>0</v>
      </c>
      <c r="F19" s="553">
        <v>19782323.309999999</v>
      </c>
      <c r="G19" s="547" t="str">
        <f>VLOOKUP(B19,'TB 1225'!A:A,1,0)</f>
        <v>Input CGST</v>
      </c>
    </row>
    <row r="20" spans="1:7" x14ac:dyDescent="0.35">
      <c r="A20" s="552" t="s">
        <v>510</v>
      </c>
      <c r="B20" s="556" t="str">
        <f t="shared" si="0"/>
        <v>Input IGST</v>
      </c>
      <c r="C20" s="553">
        <v>10163830.689999999</v>
      </c>
      <c r="D20" s="553">
        <v>3645771.78</v>
      </c>
      <c r="E20" s="553">
        <v>2009906</v>
      </c>
      <c r="F20" s="553">
        <v>11799696.470000001</v>
      </c>
      <c r="G20" s="547" t="str">
        <f>VLOOKUP(B20,'TB 1225'!A:A,1,0)</f>
        <v>Input IGST</v>
      </c>
    </row>
    <row r="21" spans="1:7" x14ac:dyDescent="0.35">
      <c r="A21" s="552" t="s">
        <v>511</v>
      </c>
      <c r="B21" s="556" t="str">
        <f t="shared" si="0"/>
        <v>Input SGST</v>
      </c>
      <c r="C21" s="553">
        <v>15648579.310000001</v>
      </c>
      <c r="D21" s="553">
        <v>4065386.06</v>
      </c>
      <c r="E21" s="553">
        <v>0</v>
      </c>
      <c r="F21" s="553">
        <v>19713965.370000001</v>
      </c>
      <c r="G21" s="547" t="str">
        <f>VLOOKUP(B21,'TB 1225'!A:A,1,0)</f>
        <v>Input SGST</v>
      </c>
    </row>
    <row r="22" spans="1:7" ht="15.5" x14ac:dyDescent="0.35">
      <c r="A22" s="554" t="s">
        <v>512</v>
      </c>
      <c r="B22" s="556" t="str">
        <f t="shared" si="0"/>
        <v>Total for Input Tax Credits</v>
      </c>
      <c r="C22" s="555">
        <v>41529347.25</v>
      </c>
      <c r="D22" s="555">
        <v>11776543.9</v>
      </c>
      <c r="E22" s="555">
        <v>2009906</v>
      </c>
      <c r="F22" s="555">
        <v>51295985.149999999</v>
      </c>
    </row>
    <row r="23" spans="1:7" x14ac:dyDescent="0.35">
      <c r="A23"/>
      <c r="B23" s="556" t="str">
        <f t="shared" si="0"/>
        <v/>
      </c>
      <c r="C23"/>
      <c r="D23"/>
      <c r="E23"/>
      <c r="F23"/>
    </row>
    <row r="24" spans="1:7" x14ac:dyDescent="0.35">
      <c r="A24" s="552" t="s">
        <v>514</v>
      </c>
      <c r="B24" s="556" t="str">
        <f t="shared" si="0"/>
        <v>Investments</v>
      </c>
      <c r="C24" s="553">
        <v>0</v>
      </c>
      <c r="D24" s="553">
        <v>0</v>
      </c>
      <c r="E24" s="553">
        <v>0</v>
      </c>
      <c r="F24" s="553">
        <v>0</v>
      </c>
    </row>
    <row r="25" spans="1:7" x14ac:dyDescent="0.35">
      <c r="A25" s="552" t="s">
        <v>1508</v>
      </c>
      <c r="B25" s="556" t="str">
        <f t="shared" si="0"/>
        <v>ABSL Floating Rate Fund</v>
      </c>
      <c r="C25" s="553">
        <v>79996000.200000003</v>
      </c>
      <c r="D25" s="553">
        <v>0</v>
      </c>
      <c r="E25" s="553">
        <v>0</v>
      </c>
      <c r="F25" s="553">
        <v>79996000.200000003</v>
      </c>
      <c r="G25" s="547" t="str">
        <f>VLOOKUP(B25,'TB 1225'!A:A,1,0)</f>
        <v>ABSL Floating Rate Fund</v>
      </c>
    </row>
    <row r="26" spans="1:7" x14ac:dyDescent="0.35">
      <c r="A26" s="552" t="s">
        <v>1339</v>
      </c>
      <c r="B26" s="556" t="str">
        <f t="shared" si="0"/>
        <v>Aditya Birla Sun Life Money Manager Fund</v>
      </c>
      <c r="C26" s="553">
        <v>59997000.149999999</v>
      </c>
      <c r="D26" s="553">
        <v>0</v>
      </c>
      <c r="E26" s="553">
        <v>0</v>
      </c>
      <c r="F26" s="553">
        <v>59997000.149999999</v>
      </c>
      <c r="G26" s="547" t="str">
        <f>VLOOKUP(B26,'TB 1225'!A:A,1,0)</f>
        <v>Aditya Birla Sun Life Money Manager Fund</v>
      </c>
    </row>
    <row r="27" spans="1:7" x14ac:dyDescent="0.35">
      <c r="A27" s="552" t="s">
        <v>1509</v>
      </c>
      <c r="B27" s="556" t="str">
        <f t="shared" si="0"/>
        <v>Axis Liquid Fund</v>
      </c>
      <c r="C27" s="553">
        <v>99995000.25</v>
      </c>
      <c r="D27" s="553">
        <v>0</v>
      </c>
      <c r="E27" s="553">
        <v>0</v>
      </c>
      <c r="F27" s="553">
        <v>99995000.25</v>
      </c>
      <c r="G27" s="547" t="str">
        <f>VLOOKUP(B27,'TB 1225'!A:A,1,0)</f>
        <v>Axis Liquid Fund</v>
      </c>
    </row>
    <row r="28" spans="1:7" x14ac:dyDescent="0.35">
      <c r="A28" s="552" t="s">
        <v>1510</v>
      </c>
      <c r="B28" s="556" t="str">
        <f t="shared" si="0"/>
        <v>Fixed Deposit 318213005918</v>
      </c>
      <c r="C28" s="553">
        <v>248500000</v>
      </c>
      <c r="D28" s="553">
        <v>0</v>
      </c>
      <c r="E28" s="553">
        <v>0</v>
      </c>
      <c r="F28" s="553">
        <v>248500000</v>
      </c>
      <c r="G28" s="547" t="str">
        <f>VLOOKUP(B28,'TB 1225'!A:A,1,0)</f>
        <v>Fixed Deposit 318213005918</v>
      </c>
    </row>
    <row r="29" spans="1:7" x14ac:dyDescent="0.35">
      <c r="A29" s="552" t="s">
        <v>1511</v>
      </c>
      <c r="B29" s="556" t="str">
        <f t="shared" si="0"/>
        <v>Fixed Deposit 318213005919</v>
      </c>
      <c r="C29" s="553">
        <v>248500000</v>
      </c>
      <c r="D29" s="553">
        <v>0</v>
      </c>
      <c r="E29" s="553">
        <v>0</v>
      </c>
      <c r="F29" s="553">
        <v>248500000</v>
      </c>
      <c r="G29" s="547" t="str">
        <f>VLOOKUP(B29,'TB 1225'!A:A,1,0)</f>
        <v>Fixed Deposit 318213005919</v>
      </c>
    </row>
    <row r="30" spans="1:7" x14ac:dyDescent="0.35">
      <c r="A30" s="552" t="s">
        <v>1512</v>
      </c>
      <c r="B30" s="556" t="str">
        <f t="shared" si="0"/>
        <v>Fixed Deposit 318213005920</v>
      </c>
      <c r="C30" s="553">
        <v>248500000</v>
      </c>
      <c r="D30" s="553">
        <v>0</v>
      </c>
      <c r="E30" s="553">
        <v>0</v>
      </c>
      <c r="F30" s="553">
        <v>248500000</v>
      </c>
      <c r="G30" s="547" t="str">
        <f>VLOOKUP(B30,'TB 1225'!A:A,1,0)</f>
        <v>Fixed Deposit 318213005920</v>
      </c>
    </row>
    <row r="31" spans="1:7" x14ac:dyDescent="0.35">
      <c r="A31" s="552" t="s">
        <v>1513</v>
      </c>
      <c r="B31" s="556" t="str">
        <f t="shared" si="0"/>
        <v>Fixed Deposit 318213005922</v>
      </c>
      <c r="C31" s="553">
        <v>54500000</v>
      </c>
      <c r="D31" s="553">
        <v>0</v>
      </c>
      <c r="E31" s="553">
        <v>0</v>
      </c>
      <c r="F31" s="553">
        <v>54500000</v>
      </c>
      <c r="G31" s="547" t="str">
        <f>VLOOKUP(B31,'TB 1225'!A:A,1,0)</f>
        <v>Fixed Deposit 318213005922</v>
      </c>
    </row>
    <row r="32" spans="1:7" x14ac:dyDescent="0.35">
      <c r="A32" s="552" t="s">
        <v>1210</v>
      </c>
      <c r="B32" s="556" t="str">
        <f t="shared" si="0"/>
        <v>Fixed Deposit 50301170464596</v>
      </c>
      <c r="C32" s="553">
        <v>100000000</v>
      </c>
      <c r="D32" s="553">
        <v>0</v>
      </c>
      <c r="E32" s="553">
        <v>100000000</v>
      </c>
      <c r="F32" s="553">
        <v>0</v>
      </c>
      <c r="G32" s="547" t="str">
        <f>VLOOKUP(B32,'TB 1225'!A:A,1,0)</f>
        <v>Fixed Deposit 50301170464596</v>
      </c>
    </row>
    <row r="33" spans="1:7" x14ac:dyDescent="0.35">
      <c r="A33" s="552" t="s">
        <v>1211</v>
      </c>
      <c r="B33" s="556" t="str">
        <f t="shared" si="0"/>
        <v>Fixed Deposit 50301170464942</v>
      </c>
      <c r="C33" s="553">
        <v>150000000</v>
      </c>
      <c r="D33" s="553">
        <v>0</v>
      </c>
      <c r="E33" s="553">
        <v>0</v>
      </c>
      <c r="F33" s="553">
        <v>150000000</v>
      </c>
      <c r="G33" s="547" t="str">
        <f>VLOOKUP(B33,'TB 1225'!A:A,1,0)</f>
        <v>Fixed Deposit 50301170464942</v>
      </c>
    </row>
    <row r="34" spans="1:7" x14ac:dyDescent="0.35">
      <c r="A34" s="552" t="s">
        <v>1212</v>
      </c>
      <c r="B34" s="556" t="str">
        <f t="shared" si="0"/>
        <v>Fixed Deposit 50301170465320</v>
      </c>
      <c r="C34" s="553">
        <v>300000000</v>
      </c>
      <c r="D34" s="553">
        <v>0</v>
      </c>
      <c r="E34" s="553">
        <v>0</v>
      </c>
      <c r="F34" s="553">
        <v>300000000</v>
      </c>
      <c r="G34" s="547" t="str">
        <f>VLOOKUP(B34,'TB 1225'!A:A,1,0)</f>
        <v>Fixed Deposit 50301170465320</v>
      </c>
    </row>
    <row r="35" spans="1:7" x14ac:dyDescent="0.35">
      <c r="A35" s="552" t="s">
        <v>1514</v>
      </c>
      <c r="B35" s="556" t="str">
        <f t="shared" si="0"/>
        <v>Fixed Deposit 50301242721572</v>
      </c>
      <c r="C35" s="553">
        <v>5200000</v>
      </c>
      <c r="D35" s="553">
        <v>0</v>
      </c>
      <c r="E35" s="553">
        <v>0</v>
      </c>
      <c r="F35" s="553">
        <v>5200000</v>
      </c>
      <c r="G35" s="547" t="str">
        <f>VLOOKUP(B35,'TB 1225'!A:A,1,0)</f>
        <v>Fixed Deposit 50301242721572</v>
      </c>
    </row>
    <row r="36" spans="1:7" x14ac:dyDescent="0.35">
      <c r="A36" s="552" t="s">
        <v>1515</v>
      </c>
      <c r="B36" s="556" t="str">
        <f t="shared" si="0"/>
        <v>Fixed Deposit 50301242791241</v>
      </c>
      <c r="C36" s="553">
        <v>247400000</v>
      </c>
      <c r="D36" s="553">
        <v>0</v>
      </c>
      <c r="E36" s="553">
        <v>0</v>
      </c>
      <c r="F36" s="553">
        <v>247400000</v>
      </c>
      <c r="G36" s="547" t="str">
        <f>VLOOKUP(B36,'TB 1225'!A:A,1,0)</f>
        <v>Fixed Deposit 50301242791241</v>
      </c>
    </row>
    <row r="37" spans="1:7" x14ac:dyDescent="0.35">
      <c r="A37" s="552" t="s">
        <v>1516</v>
      </c>
      <c r="B37" s="556" t="str">
        <f t="shared" si="0"/>
        <v>Fixed Deposit 50301242884314</v>
      </c>
      <c r="C37" s="553">
        <v>247400000</v>
      </c>
      <c r="D37" s="553">
        <v>0</v>
      </c>
      <c r="E37" s="553">
        <v>0</v>
      </c>
      <c r="F37" s="553">
        <v>247400000</v>
      </c>
      <c r="G37" s="547" t="str">
        <f>VLOOKUP(B37,'TB 1225'!A:A,1,0)</f>
        <v>Fixed Deposit 50301242884314</v>
      </c>
    </row>
    <row r="38" spans="1:7" x14ac:dyDescent="0.35">
      <c r="A38" s="552" t="s">
        <v>1594</v>
      </c>
      <c r="B38" s="556" t="str">
        <f t="shared" si="0"/>
        <v>Fixed Deposit 50301263242800</v>
      </c>
      <c r="C38" s="553">
        <v>0</v>
      </c>
      <c r="D38" s="553">
        <v>44000000</v>
      </c>
      <c r="E38" s="553">
        <v>44000000</v>
      </c>
      <c r="F38" s="553">
        <v>0</v>
      </c>
      <c r="G38" s="547" t="str">
        <f>VLOOKUP(B38,'TB 1225'!A:A,1,0)</f>
        <v>Fixed Deposit 50301263242800</v>
      </c>
    </row>
    <row r="39" spans="1:7" x14ac:dyDescent="0.35">
      <c r="A39" s="552" t="s">
        <v>1595</v>
      </c>
      <c r="B39" s="556" t="str">
        <f t="shared" si="0"/>
        <v>Fixed Deposit 50301263245670</v>
      </c>
      <c r="C39" s="553">
        <v>0</v>
      </c>
      <c r="D39" s="553">
        <v>44000000</v>
      </c>
      <c r="E39" s="553">
        <v>44000000</v>
      </c>
      <c r="F39" s="553">
        <v>0</v>
      </c>
      <c r="G39" s="547" t="str">
        <f>VLOOKUP(B39,'TB 1225'!A:A,1,0)</f>
        <v>Fixed Deposit 50301263245670</v>
      </c>
    </row>
    <row r="40" spans="1:7" x14ac:dyDescent="0.35">
      <c r="A40" s="552" t="s">
        <v>1213</v>
      </c>
      <c r="B40" s="556" t="str">
        <f t="shared" si="0"/>
        <v>Fixed Deposit 9349969993</v>
      </c>
      <c r="C40" s="553">
        <v>100000000</v>
      </c>
      <c r="D40" s="553">
        <v>0</v>
      </c>
      <c r="E40" s="553">
        <v>0</v>
      </c>
      <c r="F40" s="553">
        <v>100000000</v>
      </c>
      <c r="G40" s="547" t="str">
        <f>VLOOKUP(B40,'TB 1225'!A:A,1,0)</f>
        <v>Fixed Deposit 9349969993</v>
      </c>
    </row>
    <row r="41" spans="1:7" x14ac:dyDescent="0.35">
      <c r="A41" s="552" t="s">
        <v>1214</v>
      </c>
      <c r="B41" s="556" t="str">
        <f t="shared" si="0"/>
        <v>Fixed Deposit 9349970005</v>
      </c>
      <c r="C41" s="553">
        <v>150000000</v>
      </c>
      <c r="D41" s="553">
        <v>0</v>
      </c>
      <c r="E41" s="553">
        <v>0</v>
      </c>
      <c r="F41" s="553">
        <v>150000000</v>
      </c>
      <c r="G41" s="547" t="str">
        <f>VLOOKUP(B41,'TB 1225'!A:A,1,0)</f>
        <v>Fixed Deposit 9349970005</v>
      </c>
    </row>
    <row r="42" spans="1:7" x14ac:dyDescent="0.35">
      <c r="A42" s="552" t="s">
        <v>1215</v>
      </c>
      <c r="B42" s="556" t="str">
        <f t="shared" si="0"/>
        <v>Fixed Deposit 9349970036</v>
      </c>
      <c r="C42" s="553">
        <v>150000000</v>
      </c>
      <c r="D42" s="553">
        <v>0</v>
      </c>
      <c r="E42" s="553">
        <v>0</v>
      </c>
      <c r="F42" s="553">
        <v>150000000</v>
      </c>
      <c r="G42" s="547" t="str">
        <f>VLOOKUP(B42,'TB 1225'!A:A,1,0)</f>
        <v>Fixed Deposit 9349970036</v>
      </c>
    </row>
    <row r="43" spans="1:7" x14ac:dyDescent="0.35">
      <c r="A43" s="552" t="s">
        <v>1216</v>
      </c>
      <c r="B43" s="556" t="str">
        <f t="shared" si="0"/>
        <v>Fixed Deposit 9349970081</v>
      </c>
      <c r="C43" s="553">
        <v>180000000</v>
      </c>
      <c r="D43" s="553">
        <v>0</v>
      </c>
      <c r="E43" s="553">
        <v>0</v>
      </c>
      <c r="F43" s="553">
        <v>180000000</v>
      </c>
      <c r="G43" s="547" t="str">
        <f>VLOOKUP(B43,'TB 1225'!A:A,1,0)</f>
        <v>Fixed Deposit 9349970081</v>
      </c>
    </row>
    <row r="44" spans="1:7" x14ac:dyDescent="0.35">
      <c r="A44" s="552" t="s">
        <v>1217</v>
      </c>
      <c r="B44" s="556" t="str">
        <f t="shared" si="0"/>
        <v>Fixed Deposit 9349970098</v>
      </c>
      <c r="C44" s="553">
        <v>170000000</v>
      </c>
      <c r="D44" s="553">
        <v>0</v>
      </c>
      <c r="E44" s="553">
        <v>0</v>
      </c>
      <c r="F44" s="553">
        <v>170000000</v>
      </c>
      <c r="G44" s="547" t="str">
        <f>VLOOKUP(B44,'TB 1225'!A:A,1,0)</f>
        <v>Fixed Deposit 9349970098</v>
      </c>
    </row>
    <row r="45" spans="1:7" x14ac:dyDescent="0.35">
      <c r="A45" s="552" t="s">
        <v>1218</v>
      </c>
      <c r="B45" s="556" t="str">
        <f t="shared" si="0"/>
        <v>Fixed Deposit 9349970463</v>
      </c>
      <c r="C45" s="553">
        <v>17000000</v>
      </c>
      <c r="D45" s="553">
        <v>0</v>
      </c>
      <c r="E45" s="553">
        <v>0</v>
      </c>
      <c r="F45" s="553">
        <v>17000000</v>
      </c>
      <c r="G45" s="547" t="str">
        <f>VLOOKUP(B45,'TB 1225'!A:A,1,0)</f>
        <v>Fixed Deposit 9349970463</v>
      </c>
    </row>
    <row r="46" spans="1:7" x14ac:dyDescent="0.35">
      <c r="A46" s="552" t="s">
        <v>1219</v>
      </c>
      <c r="B46" s="556" t="str">
        <f t="shared" si="0"/>
        <v>Fixed Deposit 9349970623</v>
      </c>
      <c r="C46" s="553">
        <v>250000000</v>
      </c>
      <c r="D46" s="553">
        <v>0</v>
      </c>
      <c r="E46" s="553">
        <v>0</v>
      </c>
      <c r="F46" s="553">
        <v>250000000</v>
      </c>
      <c r="G46" s="547" t="str">
        <f>VLOOKUP(B46,'TB 1225'!A:A,1,0)</f>
        <v>Fixed Deposit 9349970623</v>
      </c>
    </row>
    <row r="47" spans="1:7" x14ac:dyDescent="0.35">
      <c r="A47" s="552" t="s">
        <v>1517</v>
      </c>
      <c r="B47" s="556" t="str">
        <f t="shared" si="0"/>
        <v>Fixed Deposit 9350861248</v>
      </c>
      <c r="C47" s="553">
        <v>140000000</v>
      </c>
      <c r="D47" s="553">
        <v>0</v>
      </c>
      <c r="E47" s="553">
        <v>0</v>
      </c>
      <c r="F47" s="553">
        <v>140000000</v>
      </c>
      <c r="G47" s="547" t="str">
        <f>VLOOKUP(B47,'TB 1225'!A:A,1,0)</f>
        <v>Fixed Deposit 9350861248</v>
      </c>
    </row>
    <row r="48" spans="1:7" x14ac:dyDescent="0.35">
      <c r="A48" s="552" t="s">
        <v>1518</v>
      </c>
      <c r="B48" s="556" t="str">
        <f t="shared" si="0"/>
        <v>Fixed Deposit 9350861293</v>
      </c>
      <c r="C48" s="553">
        <v>250000000</v>
      </c>
      <c r="D48" s="553">
        <v>0</v>
      </c>
      <c r="E48" s="553">
        <v>0</v>
      </c>
      <c r="F48" s="553">
        <v>250000000</v>
      </c>
      <c r="G48" s="547" t="str">
        <f>VLOOKUP(B48,'TB 1225'!A:A,1,0)</f>
        <v>Fixed Deposit 9350861293</v>
      </c>
    </row>
    <row r="49" spans="1:7" x14ac:dyDescent="0.35">
      <c r="A49" s="552" t="s">
        <v>1519</v>
      </c>
      <c r="B49" s="556" t="str">
        <f t="shared" si="0"/>
        <v>Fixed Deposit 9350862504</v>
      </c>
      <c r="C49" s="553">
        <v>60000000</v>
      </c>
      <c r="D49" s="553">
        <v>0</v>
      </c>
      <c r="E49" s="553">
        <v>0</v>
      </c>
      <c r="F49" s="553">
        <v>60000000</v>
      </c>
      <c r="G49" s="547" t="str">
        <f>VLOOKUP(B49,'TB 1225'!A:A,1,0)</f>
        <v>Fixed Deposit 9350862504</v>
      </c>
    </row>
    <row r="50" spans="1:7" x14ac:dyDescent="0.35">
      <c r="A50" s="552" t="s">
        <v>1520</v>
      </c>
      <c r="B50" s="556" t="str">
        <f t="shared" si="0"/>
        <v>Fixed Deposit 9350862511</v>
      </c>
      <c r="C50" s="553">
        <v>90000000</v>
      </c>
      <c r="D50" s="553">
        <v>0</v>
      </c>
      <c r="E50" s="553">
        <v>0</v>
      </c>
      <c r="F50" s="553">
        <v>90000000</v>
      </c>
      <c r="G50" s="547" t="str">
        <f>VLOOKUP(B50,'TB 1225'!A:A,1,0)</f>
        <v>Fixed Deposit 9350862511</v>
      </c>
    </row>
    <row r="51" spans="1:7" x14ac:dyDescent="0.35">
      <c r="A51" s="552" t="s">
        <v>1523</v>
      </c>
      <c r="B51" s="556" t="str">
        <f t="shared" si="0"/>
        <v>Fixed Deposit 9350881598</v>
      </c>
      <c r="C51" s="553">
        <v>233000000</v>
      </c>
      <c r="D51" s="553">
        <v>0</v>
      </c>
      <c r="E51" s="553">
        <v>233000000</v>
      </c>
      <c r="F51" s="553">
        <v>0</v>
      </c>
      <c r="G51" s="547" t="str">
        <f>VLOOKUP(B51,'TB 1225'!A:A,1,0)</f>
        <v>Fixed Deposit 9350881598</v>
      </c>
    </row>
    <row r="52" spans="1:7" x14ac:dyDescent="0.35">
      <c r="A52" s="552" t="s">
        <v>1344</v>
      </c>
      <c r="B52" s="556" t="str">
        <f t="shared" si="0"/>
        <v>HDFC Money Market Fund</v>
      </c>
      <c r="C52" s="553">
        <v>0</v>
      </c>
      <c r="D52" s="553">
        <v>72996350.180000007</v>
      </c>
      <c r="E52" s="553">
        <v>0</v>
      </c>
      <c r="F52" s="553">
        <v>72996350.180000007</v>
      </c>
      <c r="G52" s="547" t="str">
        <f>VLOOKUP(B52,'TB 1225'!A:A,1,0)</f>
        <v>HDFC Money Market Fund</v>
      </c>
    </row>
    <row r="53" spans="1:7" x14ac:dyDescent="0.35">
      <c r="A53" s="552" t="s">
        <v>1345</v>
      </c>
      <c r="B53" s="556" t="str">
        <f t="shared" si="0"/>
        <v>ICICI Prudential Money Market Fund</v>
      </c>
      <c r="C53" s="553">
        <v>59997000.149999999</v>
      </c>
      <c r="D53" s="553">
        <v>0</v>
      </c>
      <c r="E53" s="553">
        <v>0</v>
      </c>
      <c r="F53" s="553">
        <v>59997000.149999999</v>
      </c>
      <c r="G53" s="547" t="str">
        <f>VLOOKUP(B53,'TB 1225'!A:A,1,0)</f>
        <v>ICICI Prudential Money Market Fund</v>
      </c>
    </row>
    <row r="54" spans="1:7" x14ac:dyDescent="0.35">
      <c r="A54" s="552" t="s">
        <v>1525</v>
      </c>
      <c r="B54" s="556" t="str">
        <f t="shared" si="0"/>
        <v>Kotak Money Market Fund</v>
      </c>
      <c r="C54" s="553">
        <v>79996000.200000003</v>
      </c>
      <c r="D54" s="553">
        <v>0</v>
      </c>
      <c r="E54" s="553">
        <v>0</v>
      </c>
      <c r="F54" s="553">
        <v>79996000.200000003</v>
      </c>
      <c r="G54" s="547" t="str">
        <f>VLOOKUP(B54,'TB 1225'!A:A,1,0)</f>
        <v>Kotak Money Market Fund</v>
      </c>
    </row>
    <row r="55" spans="1:7" x14ac:dyDescent="0.35">
      <c r="A55" s="552" t="s">
        <v>1347</v>
      </c>
      <c r="B55" s="556" t="str">
        <f t="shared" si="0"/>
        <v>Nippon India Money Market Fund</v>
      </c>
      <c r="C55" s="553">
        <v>0</v>
      </c>
      <c r="D55" s="553">
        <v>79996000.200000003</v>
      </c>
      <c r="E55" s="553">
        <v>0</v>
      </c>
      <c r="F55" s="553">
        <v>79996000.200000003</v>
      </c>
      <c r="G55" s="547" t="str">
        <f>VLOOKUP(B55,'TB 1225'!A:A,1,0)</f>
        <v>Nippon India Money Market Fund</v>
      </c>
    </row>
    <row r="56" spans="1:7" x14ac:dyDescent="0.35">
      <c r="A56" s="552" t="s">
        <v>1526</v>
      </c>
      <c r="B56" s="556" t="str">
        <f t="shared" si="0"/>
        <v>SBI Liquid Fund</v>
      </c>
      <c r="C56" s="553">
        <v>39998000.100000001</v>
      </c>
      <c r="D56" s="553">
        <v>0</v>
      </c>
      <c r="E56" s="553">
        <v>39998000.100000001</v>
      </c>
      <c r="F56" s="553">
        <v>0</v>
      </c>
      <c r="G56" s="547" t="str">
        <f>VLOOKUP(B56,'TB 1225'!A:A,1,0)</f>
        <v>SBI Liquid Fund</v>
      </c>
    </row>
    <row r="57" spans="1:7" x14ac:dyDescent="0.35">
      <c r="A57" s="552" t="s">
        <v>1349</v>
      </c>
      <c r="B57" s="556" t="str">
        <f t="shared" si="0"/>
        <v>Tata Money Market Fund</v>
      </c>
      <c r="C57" s="553">
        <v>33468595.91</v>
      </c>
      <c r="D57" s="553">
        <v>79996000.200000003</v>
      </c>
      <c r="E57" s="553">
        <v>0</v>
      </c>
      <c r="F57" s="553">
        <v>113464596.11</v>
      </c>
      <c r="G57" s="547" t="str">
        <f>VLOOKUP(B57,'TB 1225'!A:A,1,0)</f>
        <v>Tata Money Market Fund</v>
      </c>
    </row>
    <row r="58" spans="1:7" x14ac:dyDescent="0.35">
      <c r="A58" s="552" t="s">
        <v>1527</v>
      </c>
      <c r="B58" s="556" t="str">
        <f t="shared" si="0"/>
        <v>UTI Liquid Fund</v>
      </c>
      <c r="C58" s="553">
        <v>79996000.200000003</v>
      </c>
      <c r="D58" s="553">
        <v>0</v>
      </c>
      <c r="E58" s="553">
        <v>69491401.599999994</v>
      </c>
      <c r="F58" s="553">
        <v>10504598.6</v>
      </c>
      <c r="G58" s="547" t="str">
        <f>VLOOKUP(B58,'TB 1225'!A:A,1,0)</f>
        <v>UTI Liquid Fund</v>
      </c>
    </row>
    <row r="59" spans="1:7" ht="15.5" x14ac:dyDescent="0.35">
      <c r="A59" s="554" t="s">
        <v>521</v>
      </c>
      <c r="B59" s="556" t="str">
        <f t="shared" si="0"/>
        <v>Total for Investments</v>
      </c>
      <c r="C59" s="555">
        <v>4173443597.1599998</v>
      </c>
      <c r="D59" s="555">
        <v>320988350.57999998</v>
      </c>
      <c r="E59" s="555">
        <v>530489401.69999999</v>
      </c>
      <c r="F59" s="555">
        <v>3963942546.04</v>
      </c>
    </row>
    <row r="60" spans="1:7" x14ac:dyDescent="0.35">
      <c r="A60"/>
      <c r="B60" s="556" t="str">
        <f t="shared" si="0"/>
        <v/>
      </c>
      <c r="C60"/>
      <c r="D60"/>
      <c r="E60"/>
      <c r="F60"/>
    </row>
    <row r="61" spans="1:7" x14ac:dyDescent="0.35">
      <c r="A61" s="552" t="s">
        <v>522</v>
      </c>
      <c r="B61" s="556" t="str">
        <f t="shared" si="0"/>
        <v>Kotak Mahindra Bank 9942</v>
      </c>
      <c r="C61" s="553">
        <v>300000</v>
      </c>
      <c r="D61" s="553">
        <v>431240977.49000001</v>
      </c>
      <c r="E61" s="553">
        <v>393140977.49000001</v>
      </c>
      <c r="F61" s="553">
        <v>38400000</v>
      </c>
      <c r="G61" s="547" t="str">
        <f>VLOOKUP(B61,'TB 1225'!A:A,1,0)</f>
        <v>Kotak Mahindra Bank 9942</v>
      </c>
    </row>
    <row r="62" spans="1:7" x14ac:dyDescent="0.35">
      <c r="A62" s="552" t="s">
        <v>523</v>
      </c>
      <c r="B62" s="556" t="str">
        <f t="shared" si="0"/>
        <v>Kotak Mahindra Bank 9966</v>
      </c>
      <c r="C62" s="553">
        <v>209417.22</v>
      </c>
      <c r="D62" s="553">
        <v>472406921.04000002</v>
      </c>
      <c r="E62" s="553">
        <v>469012265.32999998</v>
      </c>
      <c r="F62" s="553">
        <v>3604072.93</v>
      </c>
      <c r="G62" s="547" t="str">
        <f>VLOOKUP(B62,'TB 1225'!A:A,1,0)</f>
        <v>Kotak Mahindra Bank 9966</v>
      </c>
    </row>
    <row r="63" spans="1:7" x14ac:dyDescent="0.35">
      <c r="A63" s="552" t="s">
        <v>722</v>
      </c>
      <c r="B63" s="556" t="str">
        <f t="shared" si="0"/>
        <v>Leasehold Improvement</v>
      </c>
      <c r="C63" s="553">
        <v>12860897.199999999</v>
      </c>
      <c r="D63" s="553">
        <v>6766884</v>
      </c>
      <c r="E63" s="553">
        <v>0</v>
      </c>
      <c r="F63" s="553">
        <v>19627781.199999999</v>
      </c>
      <c r="G63" s="547" t="str">
        <f>VLOOKUP(B63,'TB 1225'!A:A,1,0)</f>
        <v>Leasehold Improvement</v>
      </c>
    </row>
    <row r="64" spans="1:7" x14ac:dyDescent="0.35">
      <c r="A64" s="552" t="s">
        <v>524</v>
      </c>
      <c r="B64" s="556" t="str">
        <f t="shared" si="0"/>
        <v>Office Equipment</v>
      </c>
      <c r="C64" s="553">
        <v>689841.58</v>
      </c>
      <c r="D64" s="553">
        <v>11515</v>
      </c>
      <c r="E64" s="553">
        <v>0</v>
      </c>
      <c r="F64" s="553">
        <v>701356.58</v>
      </c>
      <c r="G64" s="547" t="str">
        <f>VLOOKUP(B64,'TB 1225'!A:A,1,0)</f>
        <v>Office Equipment</v>
      </c>
    </row>
    <row r="65" spans="1:7" x14ac:dyDescent="0.35">
      <c r="A65" s="552" t="s">
        <v>1298</v>
      </c>
      <c r="B65" s="556" t="str">
        <f t="shared" si="0"/>
        <v>Prepaid - Consumption</v>
      </c>
      <c r="C65" s="553">
        <v>1222814</v>
      </c>
      <c r="D65" s="553">
        <v>0</v>
      </c>
      <c r="E65" s="553">
        <v>0</v>
      </c>
      <c r="F65" s="553">
        <v>1222814</v>
      </c>
      <c r="G65" s="547" t="str">
        <f>VLOOKUP(B65,'TB 1225'!A:A,1,0)</f>
        <v>Prepaid - Consumption</v>
      </c>
    </row>
    <row r="66" spans="1:7" x14ac:dyDescent="0.35">
      <c r="A66" s="552" t="s">
        <v>526</v>
      </c>
      <c r="B66" s="556" t="str">
        <f t="shared" si="0"/>
        <v>Prepaid Expense - Asset</v>
      </c>
      <c r="C66" s="553">
        <v>1076041.68</v>
      </c>
      <c r="D66" s="553">
        <v>1100595</v>
      </c>
      <c r="E66" s="553">
        <v>250391.67</v>
      </c>
      <c r="F66" s="553">
        <v>1926245.01</v>
      </c>
      <c r="G66" s="547" t="str">
        <f>VLOOKUP(B66,'TB 1225'!A:A,1,0)</f>
        <v>Prepaid Expense - Asset</v>
      </c>
    </row>
    <row r="67" spans="1:7" x14ac:dyDescent="0.35">
      <c r="A67" s="552" t="s">
        <v>527</v>
      </c>
      <c r="B67" s="556" t="str">
        <f t="shared" si="0"/>
        <v>Prepaid Expenses</v>
      </c>
      <c r="C67" s="553">
        <v>49712663.020000003</v>
      </c>
      <c r="D67" s="553">
        <v>5162370.1399999997</v>
      </c>
      <c r="E67" s="553">
        <v>7958920.75</v>
      </c>
      <c r="F67" s="553">
        <v>46916112.409999996</v>
      </c>
      <c r="G67" s="547" t="str">
        <f>VLOOKUP(B67,'TB 1225'!A:A,1,0)</f>
        <v>Prepaid Expenses</v>
      </c>
    </row>
    <row r="68" spans="1:7" x14ac:dyDescent="0.35">
      <c r="A68" s="552" t="s">
        <v>1616</v>
      </c>
      <c r="B68" s="556" t="str">
        <f t="shared" ref="B68:B131" si="1">TRIM(A68)</f>
        <v>RazorpayX Lite</v>
      </c>
      <c r="C68" s="553">
        <v>0</v>
      </c>
      <c r="D68" s="553">
        <v>90000</v>
      </c>
      <c r="E68" s="553">
        <v>0</v>
      </c>
      <c r="F68" s="553">
        <v>90000</v>
      </c>
      <c r="G68" s="547" t="str">
        <f>VLOOKUP(B68,'TB 1225'!A:A,1,0)</f>
        <v>RazorpayX Lite</v>
      </c>
    </row>
    <row r="69" spans="1:7" x14ac:dyDescent="0.35">
      <c r="A69" s="552" t="s">
        <v>528</v>
      </c>
      <c r="B69" s="556" t="str">
        <f t="shared" si="1"/>
        <v>Receipt from Customers</v>
      </c>
      <c r="C69" s="553">
        <v>0</v>
      </c>
      <c r="D69" s="553">
        <v>65831102.119999997</v>
      </c>
      <c r="E69" s="553">
        <v>68763967.629999995</v>
      </c>
      <c r="F69" s="553">
        <v>-2932865.51</v>
      </c>
      <c r="G69" s="547" t="str">
        <f>VLOOKUP(B69,'TB 1225'!A:A,1,0)</f>
        <v>Receipt from Customers</v>
      </c>
    </row>
    <row r="70" spans="1:7" x14ac:dyDescent="0.35">
      <c r="A70" s="552" t="s">
        <v>529</v>
      </c>
      <c r="B70" s="556" t="str">
        <f t="shared" si="1"/>
        <v>Reverse Charge Tax Input but not due</v>
      </c>
      <c r="C70" s="553">
        <v>2780151.61</v>
      </c>
      <c r="D70" s="553">
        <v>470256.88</v>
      </c>
      <c r="E70" s="553">
        <v>0</v>
      </c>
      <c r="F70" s="553">
        <v>3250408.49</v>
      </c>
      <c r="G70" s="547" t="str">
        <f>VLOOKUP(B70,'TB 1225'!A:A,1,0)</f>
        <v>Reverse Charge Tax Input but not due</v>
      </c>
    </row>
    <row r="71" spans="1:7" x14ac:dyDescent="0.35">
      <c r="A71" s="552" t="s">
        <v>530</v>
      </c>
      <c r="B71" s="556" t="str">
        <f t="shared" si="1"/>
        <v>Security Deposit</v>
      </c>
      <c r="C71" s="553">
        <v>15705400</v>
      </c>
      <c r="D71" s="553">
        <v>2785000</v>
      </c>
      <c r="E71" s="553">
        <v>0</v>
      </c>
      <c r="F71" s="553">
        <v>18490400</v>
      </c>
      <c r="G71" s="547" t="str">
        <f>VLOOKUP(B71,'TB 1225'!A:A,1,0)</f>
        <v>Security Deposit</v>
      </c>
    </row>
    <row r="72" spans="1:7" x14ac:dyDescent="0.35">
      <c r="A72" s="552" t="s">
        <v>531</v>
      </c>
      <c r="B72" s="556" t="str">
        <f t="shared" si="1"/>
        <v>TDS Receivable</v>
      </c>
      <c r="C72" s="553">
        <v>1271832.7</v>
      </c>
      <c r="D72" s="553">
        <v>0</v>
      </c>
      <c r="E72" s="553">
        <v>0</v>
      </c>
      <c r="F72" s="553">
        <v>1271832.7</v>
      </c>
      <c r="G72" s="547" t="str">
        <f>VLOOKUP(B72,'TB 1225'!A:A,1,0)</f>
        <v>TDS Receivable</v>
      </c>
    </row>
    <row r="73" spans="1:7" x14ac:dyDescent="0.35">
      <c r="A73" s="552" t="s">
        <v>1529</v>
      </c>
      <c r="B73" s="556" t="str">
        <f t="shared" si="1"/>
        <v>Virtu Travels - Control Account</v>
      </c>
      <c r="C73" s="553">
        <v>0</v>
      </c>
      <c r="D73" s="553">
        <v>0</v>
      </c>
      <c r="E73" s="553">
        <v>36025</v>
      </c>
      <c r="F73" s="553">
        <v>-36025</v>
      </c>
      <c r="G73" s="547" t="str">
        <f>VLOOKUP(B73,'TB 1225'!A:A,1,0)</f>
        <v>Virtu Travels - Control Account</v>
      </c>
    </row>
    <row r="74" spans="1:7" x14ac:dyDescent="0.35">
      <c r="A74" s="552" t="s">
        <v>532</v>
      </c>
      <c r="B74" s="556" t="str">
        <f t="shared" si="1"/>
        <v>Liabilities</v>
      </c>
      <c r="C74" t="s">
        <v>85</v>
      </c>
      <c r="D74" t="s">
        <v>85</v>
      </c>
      <c r="E74" t="s">
        <v>85</v>
      </c>
      <c r="F74" t="s">
        <v>85</v>
      </c>
    </row>
    <row r="75" spans="1:7" x14ac:dyDescent="0.35">
      <c r="A75" s="552" t="s">
        <v>533</v>
      </c>
      <c r="B75" s="556" t="str">
        <f t="shared" si="1"/>
        <v>Accounts Payable</v>
      </c>
      <c r="C75" s="553">
        <v>-80942920.019999996</v>
      </c>
      <c r="D75" s="553">
        <v>88692879.75</v>
      </c>
      <c r="E75" s="553">
        <v>92676328.780000001</v>
      </c>
      <c r="F75" s="553">
        <v>-84926369.049999997</v>
      </c>
      <c r="G75" s="547" t="str">
        <f>VLOOKUP(B75,'TB 1225'!A:A,1,0)</f>
        <v>Accounts Payable</v>
      </c>
    </row>
    <row r="76" spans="1:7" x14ac:dyDescent="0.35">
      <c r="A76" s="552" t="s">
        <v>1329</v>
      </c>
      <c r="B76" s="556" t="str">
        <f t="shared" si="1"/>
        <v>Advance from B2C Customer</v>
      </c>
      <c r="C76" s="553">
        <v>-5581329.9699999997</v>
      </c>
      <c r="D76" s="553">
        <v>13280942.970000001</v>
      </c>
      <c r="E76" s="553">
        <v>14842945.810000001</v>
      </c>
      <c r="F76" s="553">
        <v>-7143332.8099999996</v>
      </c>
      <c r="G76" s="547" t="str">
        <f>VLOOKUP(B76,'TB 1225'!A:A,1,0)</f>
        <v>Advance from B2C Customer</v>
      </c>
    </row>
    <row r="77" spans="1:7" x14ac:dyDescent="0.35">
      <c r="A77" s="552" t="s">
        <v>534</v>
      </c>
      <c r="B77" s="556" t="str">
        <f t="shared" si="1"/>
        <v>App Wallet</v>
      </c>
      <c r="C77" s="553">
        <v>-2136081.27</v>
      </c>
      <c r="D77" s="553">
        <v>342395</v>
      </c>
      <c r="E77" s="553">
        <v>445723</v>
      </c>
      <c r="F77" s="553">
        <v>-2239409.27</v>
      </c>
      <c r="G77" s="547" t="str">
        <f>VLOOKUP(B77,'TB 1225'!A:A,1,0)</f>
        <v>App Wallet</v>
      </c>
    </row>
    <row r="78" spans="1:7" x14ac:dyDescent="0.35">
      <c r="A78" s="552" t="s">
        <v>1596</v>
      </c>
      <c r="B78" s="556" t="str">
        <f t="shared" si="1"/>
        <v>Compensation Payable for Damages</v>
      </c>
      <c r="C78" s="553">
        <v>0</v>
      </c>
      <c r="D78" s="553">
        <v>51660</v>
      </c>
      <c r="E78" s="553">
        <v>51660</v>
      </c>
      <c r="F78" s="553">
        <v>0</v>
      </c>
    </row>
    <row r="79" spans="1:7" x14ac:dyDescent="0.35">
      <c r="A79" s="552" t="s">
        <v>535</v>
      </c>
      <c r="B79" s="556" t="str">
        <f t="shared" si="1"/>
        <v>Employee Reimbursements</v>
      </c>
      <c r="C79" s="553">
        <v>494297.59</v>
      </c>
      <c r="D79" s="553">
        <v>128231.35</v>
      </c>
      <c r="E79" s="553">
        <v>128231.35</v>
      </c>
      <c r="F79" s="553">
        <v>494297.59</v>
      </c>
      <c r="G79" s="547" t="str">
        <f>VLOOKUP(B79,'TB 1225'!A:A,1,0)</f>
        <v>Employee Reimbursements</v>
      </c>
    </row>
    <row r="80" spans="1:7" x14ac:dyDescent="0.35">
      <c r="A80" s="552" t="s">
        <v>621</v>
      </c>
      <c r="B80" s="556" t="str">
        <f t="shared" si="1"/>
        <v>Employee Salaries Payable</v>
      </c>
      <c r="C80" s="553">
        <v>-941444.61</v>
      </c>
      <c r="D80" s="553">
        <v>34499743</v>
      </c>
      <c r="E80" s="553">
        <v>34435409</v>
      </c>
      <c r="F80" s="553">
        <v>-877110.61</v>
      </c>
      <c r="G80" s="547" t="str">
        <f>VLOOKUP(B80,'TB 1225'!A:A,1,0)</f>
        <v>Employee Salaries Payable</v>
      </c>
    </row>
    <row r="81" spans="1:7" x14ac:dyDescent="0.35">
      <c r="A81" s="552" t="s">
        <v>1198</v>
      </c>
      <c r="B81" s="556" t="str">
        <f t="shared" si="1"/>
        <v>Expert Joining Bonus Payable</v>
      </c>
      <c r="C81" s="553">
        <v>-1401969.35</v>
      </c>
      <c r="D81" s="553">
        <v>1305197.3500000001</v>
      </c>
      <c r="E81" s="553">
        <v>1976890</v>
      </c>
      <c r="F81" s="553">
        <v>-2073662</v>
      </c>
      <c r="G81" s="547" t="str">
        <f>VLOOKUP(B81,'TB 1225'!A:A,1,0)</f>
        <v>Expert Joining Bonus Payable</v>
      </c>
    </row>
    <row r="82" spans="1:7" x14ac:dyDescent="0.35">
      <c r="A82" s="552" t="s">
        <v>1222</v>
      </c>
      <c r="B82" s="556" t="str">
        <f t="shared" si="1"/>
        <v>Expert Referral Bonus Payable</v>
      </c>
      <c r="C82" s="553">
        <v>-14850</v>
      </c>
      <c r="D82" s="553">
        <v>2928039</v>
      </c>
      <c r="E82" s="553">
        <v>2949697</v>
      </c>
      <c r="F82" s="553">
        <v>-36508</v>
      </c>
      <c r="G82" s="547" t="str">
        <f>VLOOKUP(B82,'TB 1225'!A:A,1,0)</f>
        <v>Expert Referral Bonus Payable</v>
      </c>
    </row>
    <row r="83" spans="1:7" x14ac:dyDescent="0.35">
      <c r="A83" s="552" t="s">
        <v>1285</v>
      </c>
      <c r="B83" s="556" t="str">
        <f t="shared" si="1"/>
        <v>Expert Retention Bonus Payable</v>
      </c>
      <c r="C83" s="553">
        <v>-6676440</v>
      </c>
      <c r="D83" s="553">
        <v>268235</v>
      </c>
      <c r="E83" s="553">
        <v>268235</v>
      </c>
      <c r="F83" s="553">
        <v>-6676440</v>
      </c>
      <c r="G83" s="547" t="str">
        <f>VLOOKUP(B83,'TB 1225'!A:A,1,0)</f>
        <v>Expert Retention Bonus Payable</v>
      </c>
    </row>
    <row r="84" spans="1:7" x14ac:dyDescent="0.35">
      <c r="A84" s="552" t="s">
        <v>963</v>
      </c>
      <c r="B84" s="556" t="str">
        <f t="shared" si="1"/>
        <v>Expert Service Cost Payable</v>
      </c>
      <c r="C84" s="553">
        <v>-83870977.150000006</v>
      </c>
      <c r="D84" s="553">
        <v>89243771.040000007</v>
      </c>
      <c r="E84" s="553">
        <v>128258509.98999999</v>
      </c>
      <c r="F84" s="553">
        <v>-122885716.09999999</v>
      </c>
      <c r="G84" s="547" t="str">
        <f>VLOOKUP(B84,'TB 1225'!A:A,1,0)</f>
        <v>Expert Service Cost Payable</v>
      </c>
    </row>
    <row r="85" spans="1:7" x14ac:dyDescent="0.35">
      <c r="A85" s="552" t="s">
        <v>536</v>
      </c>
      <c r="B85" s="556" t="str">
        <f t="shared" si="1"/>
        <v>GST Payable</v>
      </c>
      <c r="C85" s="553">
        <v>0</v>
      </c>
      <c r="D85" s="553">
        <v>0</v>
      </c>
      <c r="E85" s="553">
        <v>0</v>
      </c>
      <c r="F85" s="553">
        <v>0</v>
      </c>
    </row>
    <row r="86" spans="1:7" x14ac:dyDescent="0.35">
      <c r="A86" s="552" t="s">
        <v>537</v>
      </c>
      <c r="B86" s="556" t="str">
        <f t="shared" si="1"/>
        <v>Output CGST</v>
      </c>
      <c r="C86" s="553">
        <v>-2055269.32</v>
      </c>
      <c r="D86" s="553">
        <v>1780559</v>
      </c>
      <c r="E86" s="553">
        <v>2585849.27</v>
      </c>
      <c r="F86" s="553">
        <v>-2860559.59</v>
      </c>
      <c r="G86" s="547" t="str">
        <f>VLOOKUP(B86,'TB 1225'!A:A,1,0)</f>
        <v>Output CGST</v>
      </c>
    </row>
    <row r="87" spans="1:7" x14ac:dyDescent="0.35">
      <c r="A87" s="552" t="s">
        <v>538</v>
      </c>
      <c r="B87" s="556" t="str">
        <f t="shared" si="1"/>
        <v>Output IGST</v>
      </c>
      <c r="C87" s="553">
        <v>-230556.43</v>
      </c>
      <c r="D87" s="553">
        <v>621696</v>
      </c>
      <c r="E87" s="553">
        <v>372445.7</v>
      </c>
      <c r="F87" s="553">
        <v>18693.87</v>
      </c>
      <c r="G87" s="547" t="str">
        <f>VLOOKUP(B87,'TB 1225'!A:A,1,0)</f>
        <v>Output IGST</v>
      </c>
    </row>
    <row r="88" spans="1:7" x14ac:dyDescent="0.35">
      <c r="A88" s="552" t="s">
        <v>539</v>
      </c>
      <c r="B88" s="556" t="str">
        <f t="shared" si="1"/>
        <v>Output SGST</v>
      </c>
      <c r="C88" s="553">
        <v>-2055267.32</v>
      </c>
      <c r="D88" s="553">
        <v>1780559</v>
      </c>
      <c r="E88" s="553">
        <v>2585849.27</v>
      </c>
      <c r="F88" s="553">
        <v>-2860557.59</v>
      </c>
      <c r="G88" s="547" t="str">
        <f>VLOOKUP(B88,'TB 1225'!A:A,1,0)</f>
        <v>Output SGST</v>
      </c>
    </row>
    <row r="89" spans="1:7" ht="15.5" x14ac:dyDescent="0.35">
      <c r="A89" s="554" t="s">
        <v>540</v>
      </c>
      <c r="B89" s="556" t="str">
        <f t="shared" si="1"/>
        <v>Total for GST Payable</v>
      </c>
      <c r="C89" s="555">
        <v>-4341093.07</v>
      </c>
      <c r="D89" s="555">
        <v>4182814</v>
      </c>
      <c r="E89" s="555">
        <v>5544144.2400000002</v>
      </c>
      <c r="F89" s="555">
        <v>-5702423.3099999996</v>
      </c>
    </row>
    <row r="90" spans="1:7" x14ac:dyDescent="0.35">
      <c r="A90"/>
      <c r="B90" s="556" t="str">
        <f t="shared" si="1"/>
        <v/>
      </c>
      <c r="C90"/>
      <c r="D90"/>
      <c r="E90"/>
      <c r="F90"/>
    </row>
    <row r="91" spans="1:7" x14ac:dyDescent="0.35">
      <c r="A91" s="552" t="s">
        <v>1224</v>
      </c>
      <c r="B91" s="556" t="str">
        <f t="shared" si="1"/>
        <v>LWF - Employee</v>
      </c>
      <c r="C91" s="553">
        <v>0</v>
      </c>
      <c r="D91" s="553">
        <v>0</v>
      </c>
      <c r="E91" s="553">
        <v>8275</v>
      </c>
      <c r="F91" s="553">
        <v>-8275</v>
      </c>
      <c r="G91" s="547" t="str">
        <f>VLOOKUP(B91,'TB 1225'!A:A,1,0)</f>
        <v>LWF - Employee</v>
      </c>
    </row>
    <row r="92" spans="1:7" x14ac:dyDescent="0.35">
      <c r="A92" s="552" t="s">
        <v>1225</v>
      </c>
      <c r="B92" s="556" t="str">
        <f t="shared" si="1"/>
        <v>LWF - Employer</v>
      </c>
      <c r="C92" s="553">
        <v>0</v>
      </c>
      <c r="D92" s="553">
        <v>0</v>
      </c>
      <c r="E92" s="553">
        <v>18625</v>
      </c>
      <c r="F92" s="553">
        <v>-18625</v>
      </c>
      <c r="G92" s="547" t="str">
        <f>VLOOKUP(B92,'TB 1225'!A:A,1,0)</f>
        <v>LWF - Employer</v>
      </c>
    </row>
    <row r="93" spans="1:7" x14ac:dyDescent="0.35">
      <c r="A93" s="552" t="s">
        <v>1597</v>
      </c>
      <c r="B93" s="556" t="str">
        <f t="shared" si="1"/>
        <v>NPS Employer</v>
      </c>
      <c r="C93" s="553">
        <v>0</v>
      </c>
      <c r="D93" s="553">
        <v>0</v>
      </c>
      <c r="E93" s="553">
        <v>74603</v>
      </c>
      <c r="F93" s="553">
        <v>-74603</v>
      </c>
      <c r="G93" s="547" t="str">
        <f>VLOOKUP(B93,'TB 1225'!A:A,1,0)</f>
        <v>NPS Employer</v>
      </c>
    </row>
    <row r="94" spans="1:7" x14ac:dyDescent="0.35">
      <c r="A94" s="552" t="s">
        <v>541</v>
      </c>
      <c r="B94" s="556" t="str">
        <f t="shared" si="1"/>
        <v>Professional Tax</v>
      </c>
      <c r="C94" s="553">
        <v>-37800</v>
      </c>
      <c r="D94" s="553">
        <v>38005.9</v>
      </c>
      <c r="E94" s="553">
        <v>40200</v>
      </c>
      <c r="F94" s="553">
        <v>-39994.1</v>
      </c>
      <c r="G94" s="547" t="str">
        <f>VLOOKUP(B94,'TB 1225'!A:A,1,0)</f>
        <v>Professional Tax</v>
      </c>
    </row>
    <row r="95" spans="1:7" x14ac:dyDescent="0.35">
      <c r="A95" s="552" t="s">
        <v>542</v>
      </c>
      <c r="B95" s="556" t="str">
        <f t="shared" si="1"/>
        <v>Provident Fund</v>
      </c>
      <c r="C95" s="553">
        <v>0</v>
      </c>
      <c r="D95" s="553">
        <v>0</v>
      </c>
      <c r="E95" s="553">
        <v>0</v>
      </c>
      <c r="F95" s="553">
        <v>0</v>
      </c>
      <c r="G95" s="547" t="str">
        <f>VLOOKUP(B95,'TB 1225'!A:A,1,0)</f>
        <v>Provident Fund</v>
      </c>
    </row>
    <row r="96" spans="1:7" x14ac:dyDescent="0.35">
      <c r="A96" s="552" t="s">
        <v>543</v>
      </c>
      <c r="B96" s="556" t="str">
        <f t="shared" si="1"/>
        <v>Provident Fund - Employee</v>
      </c>
      <c r="C96" s="553">
        <v>-459740</v>
      </c>
      <c r="D96" s="553">
        <v>468309</v>
      </c>
      <c r="E96" s="553">
        <v>492087</v>
      </c>
      <c r="F96" s="553">
        <v>-483518</v>
      </c>
      <c r="G96" s="547" t="str">
        <f>VLOOKUP(B96,'TB 1225'!A:A,1,0)</f>
        <v>Provident Fund - Employee</v>
      </c>
    </row>
    <row r="97" spans="1:7" x14ac:dyDescent="0.35">
      <c r="A97" s="552" t="s">
        <v>544</v>
      </c>
      <c r="B97" s="556" t="str">
        <f t="shared" si="1"/>
        <v>Provident Fund - Employer</v>
      </c>
      <c r="C97" s="553">
        <v>-459740</v>
      </c>
      <c r="D97" s="553">
        <v>468309</v>
      </c>
      <c r="E97" s="553">
        <v>492087</v>
      </c>
      <c r="F97" s="553">
        <v>-483518</v>
      </c>
      <c r="G97" s="547" t="str">
        <f>VLOOKUP(B97,'TB 1225'!A:A,1,0)</f>
        <v>Provident Fund - Employer</v>
      </c>
    </row>
    <row r="98" spans="1:7" ht="15.5" x14ac:dyDescent="0.35">
      <c r="A98" s="554" t="s">
        <v>545</v>
      </c>
      <c r="B98" s="556" t="str">
        <f t="shared" si="1"/>
        <v>Total for Provident Fund</v>
      </c>
      <c r="C98" s="555">
        <v>-919480</v>
      </c>
      <c r="D98" s="555">
        <v>936618</v>
      </c>
      <c r="E98" s="555">
        <v>984174</v>
      </c>
      <c r="F98" s="555">
        <v>-967036</v>
      </c>
    </row>
    <row r="99" spans="1:7" x14ac:dyDescent="0.35">
      <c r="A99"/>
      <c r="B99" s="556" t="str">
        <f t="shared" si="1"/>
        <v/>
      </c>
      <c r="C99"/>
      <c r="D99"/>
      <c r="E99"/>
      <c r="F99"/>
    </row>
    <row r="100" spans="1:7" x14ac:dyDescent="0.35">
      <c r="A100" s="552" t="s">
        <v>617</v>
      </c>
      <c r="B100" s="556" t="str">
        <f t="shared" si="1"/>
        <v>Provision for Customer Acquisition Cost</v>
      </c>
      <c r="C100" s="553">
        <v>-11411398</v>
      </c>
      <c r="D100" s="553">
        <v>11411398</v>
      </c>
      <c r="E100" s="553">
        <v>28063799.890000001</v>
      </c>
      <c r="F100" s="553">
        <v>-28063799.890000001</v>
      </c>
      <c r="G100" s="547" t="str">
        <f>VLOOKUP(B100,'TB 1225'!A:A,1,0)</f>
        <v>Provision for Customer Acquisition Cost</v>
      </c>
    </row>
    <row r="101" spans="1:7" x14ac:dyDescent="0.35">
      <c r="A101" s="552" t="s">
        <v>1423</v>
      </c>
      <c r="B101" s="556" t="str">
        <f t="shared" si="1"/>
        <v>Provision for Gratuity - LT</v>
      </c>
      <c r="C101" s="553">
        <v>-548984</v>
      </c>
      <c r="D101" s="553">
        <v>0</v>
      </c>
      <c r="E101" s="553">
        <v>0</v>
      </c>
      <c r="F101" s="553">
        <v>-548984</v>
      </c>
      <c r="G101" s="547" t="str">
        <f>VLOOKUP(B101,'TB 1225'!A:A,1,0)</f>
        <v>Provision for Gratuity - LT</v>
      </c>
    </row>
    <row r="102" spans="1:7" x14ac:dyDescent="0.35">
      <c r="A102" s="552" t="s">
        <v>1424</v>
      </c>
      <c r="B102" s="556" t="str">
        <f t="shared" si="1"/>
        <v>Provision for Gratuity - ST</v>
      </c>
      <c r="C102" s="553">
        <v>-1269</v>
      </c>
      <c r="D102" s="553">
        <v>0</v>
      </c>
      <c r="E102" s="553">
        <v>0</v>
      </c>
      <c r="F102" s="553">
        <v>-1269</v>
      </c>
      <c r="G102" s="547" t="str">
        <f>VLOOKUP(B102,'TB 1225'!A:A,1,0)</f>
        <v>Provision for Gratuity - ST</v>
      </c>
    </row>
    <row r="103" spans="1:7" x14ac:dyDescent="0.35">
      <c r="A103" s="552" t="s">
        <v>1350</v>
      </c>
      <c r="B103" s="556" t="str">
        <f t="shared" si="1"/>
        <v>Provision for Marketing Expense</v>
      </c>
      <c r="C103" s="553">
        <v>-22866217</v>
      </c>
      <c r="D103" s="553">
        <v>22866217</v>
      </c>
      <c r="E103" s="553">
        <v>26805889</v>
      </c>
      <c r="F103" s="553">
        <v>-26805889</v>
      </c>
      <c r="G103" s="547" t="str">
        <f>VLOOKUP(B103,'TB 1225'!A:A,1,0)</f>
        <v>Provision for Marketing Expense</v>
      </c>
    </row>
    <row r="104" spans="1:7" x14ac:dyDescent="0.35">
      <c r="A104" s="552" t="s">
        <v>547</v>
      </c>
      <c r="B104" s="556" t="str">
        <f t="shared" si="1"/>
        <v>Provision for Other Cost</v>
      </c>
      <c r="C104" s="553">
        <v>-8038850</v>
      </c>
      <c r="D104" s="553">
        <v>8038850</v>
      </c>
      <c r="E104" s="553">
        <f>15284991.25+100000</f>
        <v>15384991.25</v>
      </c>
      <c r="F104" s="553">
        <f>-15284991.25-100000</f>
        <v>-15384991.25</v>
      </c>
      <c r="G104" s="547" t="str">
        <f>VLOOKUP(B104,'TB 1225'!A:A,1,0)</f>
        <v>Provision for Other Cost</v>
      </c>
    </row>
    <row r="105" spans="1:7" x14ac:dyDescent="0.35">
      <c r="A105" s="552" t="s">
        <v>959</v>
      </c>
      <c r="B105" s="556" t="str">
        <f t="shared" si="1"/>
        <v>Provision for Professional Fees</v>
      </c>
      <c r="C105" s="553">
        <v>-366320</v>
      </c>
      <c r="D105" s="553">
        <v>366320</v>
      </c>
      <c r="E105" s="553">
        <v>580000</v>
      </c>
      <c r="F105" s="553">
        <v>-580000</v>
      </c>
      <c r="G105" s="547" t="str">
        <f>VLOOKUP(B105,'TB 1225'!A:A,1,0)</f>
        <v>Provision for Professional Fees</v>
      </c>
    </row>
    <row r="106" spans="1:7" x14ac:dyDescent="0.35">
      <c r="A106" s="552" t="s">
        <v>1226</v>
      </c>
      <c r="B106" s="556" t="str">
        <f t="shared" si="1"/>
        <v>Provision for Rent Expense</v>
      </c>
      <c r="C106" s="553">
        <v>-16916</v>
      </c>
      <c r="D106" s="553">
        <v>16916</v>
      </c>
      <c r="E106" s="553">
        <v>24416</v>
      </c>
      <c r="F106" s="553">
        <v>-24416</v>
      </c>
      <c r="G106" s="547" t="str">
        <f>VLOOKUP(B106,'TB 1225'!A:A,1,0)</f>
        <v>Provision for Rent Expense</v>
      </c>
    </row>
    <row r="107" spans="1:7" x14ac:dyDescent="0.35">
      <c r="A107" s="552" t="s">
        <v>634</v>
      </c>
      <c r="B107" s="556" t="str">
        <f t="shared" si="1"/>
        <v>Provision for Service Cost</v>
      </c>
      <c r="C107" s="553">
        <v>-134790</v>
      </c>
      <c r="D107" s="553">
        <v>134790</v>
      </c>
      <c r="E107" s="553">
        <v>134790</v>
      </c>
      <c r="F107" s="553">
        <v>-134790</v>
      </c>
      <c r="G107" s="547" t="str">
        <f>VLOOKUP(B107,'TB 1225'!A:A,1,0)</f>
        <v>Provision for Service Cost</v>
      </c>
    </row>
    <row r="108" spans="1:7" x14ac:dyDescent="0.35">
      <c r="A108" s="552" t="s">
        <v>549</v>
      </c>
      <c r="B108" s="556" t="str">
        <f t="shared" si="1"/>
        <v>Provision for Software Expense</v>
      </c>
      <c r="C108" s="553">
        <v>-3714772.3</v>
      </c>
      <c r="D108" s="553">
        <v>3714772</v>
      </c>
      <c r="E108" s="553">
        <v>4002027</v>
      </c>
      <c r="F108" s="553">
        <v>-4002027.3</v>
      </c>
      <c r="G108" s="547" t="str">
        <f>VLOOKUP(B108,'TB 1225'!A:A,1,0)</f>
        <v>Provision for Software Expense</v>
      </c>
    </row>
    <row r="109" spans="1:7" x14ac:dyDescent="0.35">
      <c r="A109" s="552" t="s">
        <v>1227</v>
      </c>
      <c r="B109" s="556" t="str">
        <f t="shared" si="1"/>
        <v>Provision for Staff Welfare Expense</v>
      </c>
      <c r="C109" s="553">
        <v>-2414260</v>
      </c>
      <c r="D109" s="553">
        <v>2414260</v>
      </c>
      <c r="E109" s="553">
        <v>5892118</v>
      </c>
      <c r="F109" s="553">
        <v>-5892118</v>
      </c>
      <c r="G109" s="547" t="str">
        <f>VLOOKUP(B109,'TB 1225'!A:A,1,0)</f>
        <v>Provision for Staff Welfare Expense</v>
      </c>
    </row>
    <row r="110" spans="1:7" x14ac:dyDescent="0.35">
      <c r="A110" s="552" t="s">
        <v>1228</v>
      </c>
      <c r="B110" s="556" t="str">
        <f t="shared" si="1"/>
        <v>Provision for TC Expense</v>
      </c>
      <c r="C110" s="553">
        <v>-842113</v>
      </c>
      <c r="D110" s="553">
        <v>842113</v>
      </c>
      <c r="E110" s="553">
        <v>1907356</v>
      </c>
      <c r="F110" s="553">
        <v>-1907356</v>
      </c>
      <c r="G110" s="547" t="str">
        <f>VLOOKUP(B110,'TB 1225'!A:A,1,0)</f>
        <v>Provision for TC Expense</v>
      </c>
    </row>
    <row r="111" spans="1:7" x14ac:dyDescent="0.35">
      <c r="A111" s="552" t="s">
        <v>550</v>
      </c>
      <c r="B111" s="556" t="str">
        <f t="shared" si="1"/>
        <v>TDS Payable</v>
      </c>
      <c r="C111" s="553">
        <v>-7768398.4299999997</v>
      </c>
      <c r="D111" s="553">
        <v>8040832</v>
      </c>
      <c r="E111" s="553">
        <v>8646414.2899999991</v>
      </c>
      <c r="F111" s="553">
        <v>-8373980.7199999997</v>
      </c>
      <c r="G111" s="547" t="str">
        <f>VLOOKUP(B111,'TB 1225'!A:A,1,0)</f>
        <v>TDS Payable</v>
      </c>
    </row>
    <row r="112" spans="1:7" x14ac:dyDescent="0.35">
      <c r="A112" s="552" t="s">
        <v>551</v>
      </c>
      <c r="B112" s="556" t="str">
        <f t="shared" si="1"/>
        <v>Variable Salary Payable</v>
      </c>
      <c r="C112" s="553">
        <v>-2699443</v>
      </c>
      <c r="D112" s="553">
        <v>0</v>
      </c>
      <c r="E112" s="553">
        <v>0</v>
      </c>
      <c r="F112" s="553">
        <v>-2699443</v>
      </c>
      <c r="G112" s="547" t="str">
        <f>VLOOKUP(B112,'TB 1225'!A:A,1,0)</f>
        <v>Variable Salary Payable</v>
      </c>
    </row>
    <row r="113" spans="1:7" x14ac:dyDescent="0.35">
      <c r="A113" s="552" t="s">
        <v>552</v>
      </c>
      <c r="B113" s="556" t="str">
        <f t="shared" si="1"/>
        <v>Equities</v>
      </c>
      <c r="C113" t="s">
        <v>85</v>
      </c>
      <c r="D113" t="s">
        <v>85</v>
      </c>
      <c r="E113" t="s">
        <v>85</v>
      </c>
      <c r="F113" t="s">
        <v>85</v>
      </c>
    </row>
    <row r="114" spans="1:7" x14ac:dyDescent="0.35">
      <c r="A114" s="552" t="s">
        <v>553</v>
      </c>
      <c r="B114" s="556" t="str">
        <f t="shared" si="1"/>
        <v>Current Year Earnings</v>
      </c>
      <c r="C114" s="553">
        <v>623986204.53999996</v>
      </c>
      <c r="D114" s="553">
        <v>0</v>
      </c>
      <c r="E114" s="553">
        <v>0</v>
      </c>
      <c r="F114" s="553">
        <v>623986204.53999996</v>
      </c>
      <c r="G114" s="547" t="str">
        <f>VLOOKUP(B114,'TB 1225'!A:A,1,0)</f>
        <v>Current Year Earnings</v>
      </c>
    </row>
    <row r="115" spans="1:7" x14ac:dyDescent="0.35">
      <c r="A115" s="552" t="s">
        <v>1426</v>
      </c>
      <c r="B115" s="556" t="str">
        <f t="shared" si="1"/>
        <v>ESOP Outstanding Reserve</v>
      </c>
      <c r="C115" s="553">
        <v>-1245691</v>
      </c>
      <c r="D115" s="553">
        <v>0</v>
      </c>
      <c r="E115" s="553">
        <v>0</v>
      </c>
      <c r="F115" s="553">
        <v>-1245691</v>
      </c>
      <c r="G115" s="547" t="str">
        <f>VLOOKUP(B115,'TB 1225'!A:A,1,0)</f>
        <v>ESOP Outstanding Reserve</v>
      </c>
    </row>
    <row r="116" spans="1:7" x14ac:dyDescent="0.35">
      <c r="A116" s="552" t="s">
        <v>554</v>
      </c>
      <c r="B116" s="556" t="str">
        <f t="shared" si="1"/>
        <v>Owner's Equity</v>
      </c>
      <c r="C116" s="553">
        <v>-100000</v>
      </c>
      <c r="D116" s="553">
        <v>0</v>
      </c>
      <c r="E116" s="553">
        <v>0</v>
      </c>
      <c r="F116" s="553">
        <v>-100000</v>
      </c>
      <c r="G116" s="547" t="str">
        <f>VLOOKUP(B116,'TB 1225'!A:A,1,0)</f>
        <v>Owner's Equity</v>
      </c>
    </row>
    <row r="117" spans="1:7" x14ac:dyDescent="0.35">
      <c r="A117" s="552" t="s">
        <v>1557</v>
      </c>
      <c r="B117" s="556" t="str">
        <f t="shared" si="1"/>
        <v>BERTELSMANN NEDERLAND B.V.</v>
      </c>
      <c r="C117" s="553">
        <v>-2798700</v>
      </c>
      <c r="D117" s="553">
        <v>0</v>
      </c>
      <c r="E117" s="553">
        <v>0</v>
      </c>
      <c r="F117" s="553">
        <v>-2798700</v>
      </c>
      <c r="G117" s="547" t="str">
        <f>VLOOKUP(B117,'TB 1225'!A:A,1,0)</f>
        <v>BERTELSMANN NEDERLAND B.V.</v>
      </c>
    </row>
    <row r="118" spans="1:7" x14ac:dyDescent="0.35">
      <c r="A118" s="552" t="s">
        <v>683</v>
      </c>
      <c r="B118" s="556" t="str">
        <f t="shared" si="1"/>
        <v>Elevation Capital III Limited ESC</v>
      </c>
      <c r="C118" s="553">
        <v>-10</v>
      </c>
      <c r="D118" s="553">
        <v>0</v>
      </c>
      <c r="E118" s="553">
        <v>0</v>
      </c>
      <c r="F118" s="553">
        <v>-10</v>
      </c>
      <c r="G118" s="547" t="str">
        <f>VLOOKUP(B118,'TB 1225'!A:A,1,0)</f>
        <v>Elevation Capital III Limited ESC</v>
      </c>
    </row>
    <row r="119" spans="1:7" x14ac:dyDescent="0.35">
      <c r="A119" s="552" t="s">
        <v>684</v>
      </c>
      <c r="B119" s="556" t="str">
        <f t="shared" si="1"/>
        <v>Elevation Capital III Limited PSC</v>
      </c>
      <c r="C119" s="553">
        <v>-5463300</v>
      </c>
      <c r="D119" s="553">
        <v>0</v>
      </c>
      <c r="E119" s="553">
        <v>0</v>
      </c>
      <c r="F119" s="553">
        <v>-5463300</v>
      </c>
      <c r="G119" s="547" t="str">
        <f>VLOOKUP(B119,'TB 1225'!A:A,1,0)</f>
        <v>Elevation Capital III Limited PSC</v>
      </c>
    </row>
    <row r="120" spans="1:7" x14ac:dyDescent="0.35">
      <c r="A120" s="552" t="s">
        <v>1559</v>
      </c>
      <c r="B120" s="556" t="str">
        <f t="shared" si="1"/>
        <v>ELEVATION CAPITAL VIII LIMITED</v>
      </c>
      <c r="C120" s="553">
        <v>-1097500</v>
      </c>
      <c r="D120" s="553">
        <v>0</v>
      </c>
      <c r="E120" s="553">
        <v>0</v>
      </c>
      <c r="F120" s="553">
        <v>-1097500</v>
      </c>
      <c r="G120" s="547" t="str">
        <f>VLOOKUP(B120,'TB 1225'!A:A,1,0)</f>
        <v>ELEVATION CAPITAL VIII LIMITED</v>
      </c>
    </row>
    <row r="121" spans="1:7" x14ac:dyDescent="0.35">
      <c r="A121" s="552" t="s">
        <v>685</v>
      </c>
      <c r="B121" s="556" t="str">
        <f t="shared" si="1"/>
        <v>Gaurav Munjal</v>
      </c>
      <c r="C121" s="553">
        <v>-10800</v>
      </c>
      <c r="D121" s="553">
        <v>0</v>
      </c>
      <c r="E121" s="553">
        <v>0</v>
      </c>
      <c r="F121" s="553">
        <v>-10800</v>
      </c>
      <c r="G121" s="547" t="str">
        <f>VLOOKUP(B121,'TB 1225'!A:A,1,0)</f>
        <v>Gaurav Munjal</v>
      </c>
    </row>
    <row r="122" spans="1:7" x14ac:dyDescent="0.35">
      <c r="A122" s="552" t="s">
        <v>1229</v>
      </c>
      <c r="B122" s="556" t="str">
        <f t="shared" si="1"/>
        <v>Lightspeed India Partners IV LLC</v>
      </c>
      <c r="C122" s="553">
        <v>-4870200</v>
      </c>
      <c r="D122" s="553">
        <v>0</v>
      </c>
      <c r="E122" s="553">
        <v>0</v>
      </c>
      <c r="F122" s="553">
        <v>-4870200</v>
      </c>
      <c r="G122" s="547" t="str">
        <f>VLOOKUP(B122,'TB 1225'!A:A,1,0)</f>
        <v>Lightspeed India Partners IV LLC</v>
      </c>
    </row>
    <row r="123" spans="1:7" x14ac:dyDescent="0.35">
      <c r="A123" s="552" t="s">
        <v>555</v>
      </c>
      <c r="B123" s="556" t="str">
        <f t="shared" si="1"/>
        <v>Nexus Ventures VII Holdings LLC ESC</v>
      </c>
      <c r="C123" s="553">
        <v>-10</v>
      </c>
      <c r="D123" s="553">
        <v>0</v>
      </c>
      <c r="E123" s="553">
        <v>0</v>
      </c>
      <c r="F123" s="553">
        <v>-10</v>
      </c>
      <c r="G123" s="547" t="str">
        <f>VLOOKUP(B123,'TB 1225'!A:A,1,0)</f>
        <v>Nexus Ventures VII Holdings LLC ESC</v>
      </c>
    </row>
    <row r="124" spans="1:7" x14ac:dyDescent="0.35">
      <c r="A124" s="552" t="s">
        <v>556</v>
      </c>
      <c r="B124" s="556" t="str">
        <f t="shared" si="1"/>
        <v>Nexus Ventures VII Holdings LLC PSC</v>
      </c>
      <c r="C124" s="553">
        <v>-6991800</v>
      </c>
      <c r="D124" s="553">
        <v>0</v>
      </c>
      <c r="E124" s="553">
        <v>0</v>
      </c>
      <c r="F124" s="553">
        <v>-6991800</v>
      </c>
      <c r="G124" s="547" t="str">
        <f>VLOOKUP(B124,'TB 1225'!A:A,1,0)</f>
        <v>Nexus Ventures VII Holdings LLC PSC</v>
      </c>
    </row>
    <row r="125" spans="1:7" x14ac:dyDescent="0.35">
      <c r="A125" s="552" t="s">
        <v>686</v>
      </c>
      <c r="B125" s="556" t="str">
        <f t="shared" si="1"/>
        <v>Niraj Singh</v>
      </c>
      <c r="C125" s="553">
        <v>-16200</v>
      </c>
      <c r="D125" s="553">
        <v>0</v>
      </c>
      <c r="E125" s="553">
        <v>0</v>
      </c>
      <c r="F125" s="553">
        <v>-16200</v>
      </c>
      <c r="G125" s="547" t="str">
        <f>VLOOKUP(B125,'TB 1225'!A:A,1,0)</f>
        <v>Niraj Singh</v>
      </c>
    </row>
    <row r="126" spans="1:7" x14ac:dyDescent="0.35">
      <c r="A126" s="552" t="s">
        <v>687</v>
      </c>
      <c r="B126" s="556" t="str">
        <f t="shared" si="1"/>
        <v>Pranav Goenka</v>
      </c>
      <c r="C126" s="553">
        <v>-5400</v>
      </c>
      <c r="D126" s="553">
        <v>0</v>
      </c>
      <c r="E126" s="553">
        <v>0</v>
      </c>
      <c r="F126" s="553">
        <v>-5400</v>
      </c>
      <c r="G126" s="547" t="str">
        <f>VLOOKUP(B126,'TB 1225'!A:A,1,0)</f>
        <v>Pranav Goenka</v>
      </c>
    </row>
    <row r="127" spans="1:7" x14ac:dyDescent="0.35">
      <c r="A127" s="552" t="s">
        <v>688</v>
      </c>
      <c r="B127" s="556" t="str">
        <f t="shared" si="1"/>
        <v>Sanjeev Kumar</v>
      </c>
      <c r="C127" s="553">
        <v>-37800</v>
      </c>
      <c r="D127" s="553">
        <v>0</v>
      </c>
      <c r="E127" s="553">
        <v>0</v>
      </c>
      <c r="F127" s="553">
        <v>-37800</v>
      </c>
      <c r="G127" s="547" t="str">
        <f>VLOOKUP(B127,'TB 1225'!A:A,1,0)</f>
        <v>Sanjeev Kumar</v>
      </c>
    </row>
    <row r="128" spans="1:7" x14ac:dyDescent="0.35">
      <c r="A128" s="552" t="s">
        <v>557</v>
      </c>
      <c r="B128" s="556" t="str">
        <f t="shared" si="1"/>
        <v>Securities Premium</v>
      </c>
      <c r="C128" s="553">
        <v>-4811951235.21</v>
      </c>
      <c r="D128" s="553">
        <v>0</v>
      </c>
      <c r="E128" s="553">
        <v>0</v>
      </c>
      <c r="F128" s="553">
        <v>-4811951235.21</v>
      </c>
      <c r="G128" s="547" t="str">
        <f>VLOOKUP(B128,'TB 1225'!A:A,1,0)</f>
        <v>Securities Premium</v>
      </c>
    </row>
    <row r="129" spans="1:7" x14ac:dyDescent="0.35">
      <c r="A129" s="552" t="s">
        <v>689</v>
      </c>
      <c r="B129" s="556" t="str">
        <f t="shared" si="1"/>
        <v>Shantam Jain</v>
      </c>
      <c r="C129" s="553">
        <v>-5400</v>
      </c>
      <c r="D129" s="553">
        <v>0</v>
      </c>
      <c r="E129" s="553">
        <v>0</v>
      </c>
      <c r="F129" s="553">
        <v>-5400</v>
      </c>
      <c r="G129" s="547" t="str">
        <f>VLOOKUP(B129,'TB 1225'!A:A,1,0)</f>
        <v>Shantam Jain</v>
      </c>
    </row>
    <row r="130" spans="1:7" x14ac:dyDescent="0.35">
      <c r="A130" s="552" t="s">
        <v>690</v>
      </c>
      <c r="B130" s="556" t="str">
        <f t="shared" si="1"/>
        <v>Siddhartha Kochar</v>
      </c>
      <c r="C130" s="553">
        <v>-5400</v>
      </c>
      <c r="D130" s="553">
        <v>0</v>
      </c>
      <c r="E130" s="553">
        <v>0</v>
      </c>
      <c r="F130" s="553">
        <v>-5400</v>
      </c>
      <c r="G130" s="547" t="str">
        <f>VLOOKUP(B130,'TB 1225'!A:A,1,0)</f>
        <v>Siddhartha Kochar</v>
      </c>
    </row>
    <row r="131" spans="1:7" x14ac:dyDescent="0.35">
      <c r="A131" s="552" t="s">
        <v>691</v>
      </c>
      <c r="B131" s="556" t="str">
        <f t="shared" si="1"/>
        <v>Unnat SK Bajoria</v>
      </c>
      <c r="C131" s="553">
        <v>-5400</v>
      </c>
      <c r="D131" s="553">
        <v>0</v>
      </c>
      <c r="E131" s="553">
        <v>0</v>
      </c>
      <c r="F131" s="553">
        <v>-5400</v>
      </c>
      <c r="G131" s="547" t="str">
        <f>VLOOKUP(B131,'TB 1225'!A:A,1,0)</f>
        <v>Unnat SK Bajoria</v>
      </c>
    </row>
    <row r="132" spans="1:7" x14ac:dyDescent="0.35">
      <c r="A132" s="552" t="s">
        <v>692</v>
      </c>
      <c r="B132" s="556" t="str">
        <f t="shared" ref="B132:B195" si="2">TRIM(A132)</f>
        <v>Vidit Aatrey</v>
      </c>
      <c r="C132" s="553">
        <v>-37800</v>
      </c>
      <c r="D132" s="553">
        <v>0</v>
      </c>
      <c r="E132" s="553">
        <v>0</v>
      </c>
      <c r="F132" s="553">
        <v>-37800</v>
      </c>
      <c r="G132" s="547" t="str">
        <f>VLOOKUP(B132,'TB 1225'!A:A,1,0)</f>
        <v>Vidit Aatrey</v>
      </c>
    </row>
    <row r="133" spans="1:7" ht="15.5" x14ac:dyDescent="0.35">
      <c r="A133" s="554" t="s">
        <v>558</v>
      </c>
      <c r="B133" s="556" t="str">
        <f t="shared" si="2"/>
        <v>Total for Owner's Equity</v>
      </c>
      <c r="C133" s="555">
        <v>-4833396955.21</v>
      </c>
      <c r="D133" s="555">
        <v>0</v>
      </c>
      <c r="E133" s="555">
        <v>0</v>
      </c>
      <c r="F133" s="555">
        <v>-4833396955.21</v>
      </c>
    </row>
    <row r="134" spans="1:7" x14ac:dyDescent="0.35">
      <c r="A134"/>
      <c r="B134" s="556" t="str">
        <f t="shared" si="2"/>
        <v/>
      </c>
      <c r="C134"/>
      <c r="D134"/>
      <c r="E134"/>
      <c r="F134"/>
    </row>
    <row r="135" spans="1:7" x14ac:dyDescent="0.35">
      <c r="A135" s="552" t="s">
        <v>559</v>
      </c>
      <c r="B135" s="556" t="str">
        <f t="shared" si="2"/>
        <v>Retained Earnings</v>
      </c>
      <c r="C135" s="553">
        <v>58903866.530000001</v>
      </c>
      <c r="D135" s="553">
        <v>0</v>
      </c>
      <c r="E135" s="553">
        <v>0</v>
      </c>
      <c r="F135" s="553">
        <v>58903866.530000001</v>
      </c>
      <c r="G135" s="547" t="str">
        <f>VLOOKUP(B135,'TB 1225'!A:A,1,0)</f>
        <v>Retained Earnings</v>
      </c>
    </row>
    <row r="136" spans="1:7" x14ac:dyDescent="0.35">
      <c r="A136" s="552" t="s">
        <v>467</v>
      </c>
      <c r="B136" s="556" t="str">
        <f t="shared" si="2"/>
        <v>Income</v>
      </c>
      <c r="C136" t="s">
        <v>85</v>
      </c>
      <c r="D136" t="s">
        <v>85</v>
      </c>
      <c r="E136" t="s">
        <v>85</v>
      </c>
      <c r="F136" t="s">
        <v>85</v>
      </c>
    </row>
    <row r="137" spans="1:7" x14ac:dyDescent="0.35">
      <c r="A137" s="552" t="s">
        <v>1436</v>
      </c>
      <c r="B137" s="556" t="str">
        <f t="shared" si="2"/>
        <v>Additional Charges</v>
      </c>
      <c r="C137" s="553">
        <v>0</v>
      </c>
      <c r="D137" s="553">
        <v>0</v>
      </c>
      <c r="E137" s="553">
        <v>9</v>
      </c>
      <c r="F137" s="553">
        <v>-9</v>
      </c>
      <c r="G137" s="547" t="str">
        <f>VLOOKUP(B137,'TB 1225'!A:A,1,0)</f>
        <v>Additional Charges</v>
      </c>
    </row>
    <row r="138" spans="1:7" x14ac:dyDescent="0.35">
      <c r="A138" s="552" t="s">
        <v>468</v>
      </c>
      <c r="B138" s="556" t="str">
        <f t="shared" si="2"/>
        <v>Convenience and Platform Fee</v>
      </c>
      <c r="C138" s="553">
        <v>0</v>
      </c>
      <c r="D138" s="553">
        <v>0</v>
      </c>
      <c r="E138" s="553">
        <v>21216169.199999999</v>
      </c>
      <c r="F138" s="553">
        <v>-21216169.199999999</v>
      </c>
      <c r="G138" s="547" t="str">
        <f>VLOOKUP(B138,'TB 1225'!A:A,1,0)</f>
        <v>Convenience and Platform Fee</v>
      </c>
    </row>
    <row r="139" spans="1:7" x14ac:dyDescent="0.35">
      <c r="A139" s="552" t="s">
        <v>1530</v>
      </c>
      <c r="B139" s="556" t="str">
        <f t="shared" si="2"/>
        <v>Cooking income</v>
      </c>
      <c r="C139" s="553">
        <v>0</v>
      </c>
      <c r="D139" s="553">
        <v>0</v>
      </c>
      <c r="E139" s="553">
        <v>69046.62</v>
      </c>
      <c r="F139" s="553">
        <v>-69046.62</v>
      </c>
      <c r="G139" s="547" t="str">
        <f>VLOOKUP(B139,'TB 1225'!A:A,1,0)</f>
        <v>Cooking income</v>
      </c>
    </row>
    <row r="140" spans="1:7" x14ac:dyDescent="0.35">
      <c r="A140" s="552" t="s">
        <v>469</v>
      </c>
      <c r="B140" s="556" t="str">
        <f t="shared" si="2"/>
        <v>Discount</v>
      </c>
      <c r="C140" s="553">
        <v>0</v>
      </c>
      <c r="D140" s="553">
        <v>62141533</v>
      </c>
      <c r="E140" s="553">
        <v>0</v>
      </c>
      <c r="F140" s="553">
        <v>62141533</v>
      </c>
      <c r="G140" s="547" t="str">
        <f>VLOOKUP(B140,'TB 1225'!A:A,1,0)</f>
        <v>Discount</v>
      </c>
    </row>
    <row r="141" spans="1:7" x14ac:dyDescent="0.35">
      <c r="A141" s="552" t="s">
        <v>1411</v>
      </c>
      <c r="B141" s="556" t="str">
        <f t="shared" si="2"/>
        <v>Extension Fees</v>
      </c>
      <c r="C141" s="553">
        <v>0</v>
      </c>
      <c r="D141" s="553">
        <v>0</v>
      </c>
      <c r="E141" s="553">
        <v>2399586.77</v>
      </c>
      <c r="F141" s="553">
        <v>-2399586.77</v>
      </c>
      <c r="G141" s="547" t="str">
        <f>VLOOKUP(B141,'TB 1225'!A:A,1,0)</f>
        <v>Extension Fees</v>
      </c>
    </row>
    <row r="142" spans="1:7" x14ac:dyDescent="0.35">
      <c r="A142" s="552" t="s">
        <v>470</v>
      </c>
      <c r="B142" s="556" t="str">
        <f t="shared" si="2"/>
        <v>FD Interest Income</v>
      </c>
      <c r="C142" s="553">
        <v>0</v>
      </c>
      <c r="D142" s="553">
        <f>60436186+100000</f>
        <v>60536186</v>
      </c>
      <c r="E142" s="553">
        <v>78930786.900000006</v>
      </c>
      <c r="F142" s="553">
        <f>-18494600.9+100000</f>
        <v>-18394600.899999999</v>
      </c>
      <c r="G142" s="547" t="str">
        <f>VLOOKUP(B142,'TB 1225'!A:A,1,0)</f>
        <v>FD Interest Income</v>
      </c>
    </row>
    <row r="143" spans="1:7" x14ac:dyDescent="0.35">
      <c r="A143" s="552" t="s">
        <v>1412</v>
      </c>
      <c r="B143" s="556" t="str">
        <f t="shared" si="2"/>
        <v>Forfeiture Income</v>
      </c>
      <c r="C143" s="553">
        <v>0</v>
      </c>
      <c r="D143" s="553">
        <v>600000</v>
      </c>
      <c r="E143" s="553">
        <v>600000</v>
      </c>
      <c r="F143" s="553">
        <v>0</v>
      </c>
      <c r="G143" s="547" t="str">
        <f>VLOOKUP(B143,'TB 1225'!A:A,1,0)</f>
        <v>Forfeiture Income</v>
      </c>
    </row>
    <row r="144" spans="1:7" x14ac:dyDescent="0.35">
      <c r="A144" s="552" t="s">
        <v>1351</v>
      </c>
      <c r="B144" s="556" t="str">
        <f t="shared" si="2"/>
        <v>Gain or Loss on Mutual Fund Investment</v>
      </c>
      <c r="C144" s="553">
        <v>0</v>
      </c>
      <c r="D144" s="553">
        <v>0</v>
      </c>
      <c r="E144" s="553">
        <v>518894.79</v>
      </c>
      <c r="F144" s="553">
        <v>-518894.79</v>
      </c>
      <c r="G144" s="547" t="str">
        <f>VLOOKUP(B144,'TB 1225'!A:A,1,0)</f>
        <v>Gain or Loss on Mutual Fund Investment</v>
      </c>
    </row>
    <row r="145" spans="1:7" x14ac:dyDescent="0.35">
      <c r="A145" s="552" t="s">
        <v>471</v>
      </c>
      <c r="B145" s="556" t="str">
        <f t="shared" si="2"/>
        <v>Maestro Revenue</v>
      </c>
      <c r="C145" s="553">
        <v>0</v>
      </c>
      <c r="D145" s="553">
        <v>0</v>
      </c>
      <c r="E145" s="553">
        <v>84864676.799999997</v>
      </c>
      <c r="F145" s="553">
        <v>-84864676.799999997</v>
      </c>
      <c r="G145" s="547" t="str">
        <f>VLOOKUP(B145,'TB 1225'!A:A,1,0)</f>
        <v>Maestro Revenue</v>
      </c>
    </row>
    <row r="146" spans="1:7" x14ac:dyDescent="0.35">
      <c r="A146" s="552" t="s">
        <v>1330</v>
      </c>
      <c r="B146" s="556" t="str">
        <f t="shared" si="2"/>
        <v>Offer Pack Income</v>
      </c>
      <c r="C146" s="553">
        <v>0</v>
      </c>
      <c r="D146" s="553">
        <v>0</v>
      </c>
      <c r="E146" s="553">
        <v>11825540.970000001</v>
      </c>
      <c r="F146" s="553">
        <v>-11825540.970000001</v>
      </c>
      <c r="G146" s="547" t="str">
        <f>VLOOKUP(B146,'TB 1225'!A:A,1,0)</f>
        <v>Offer Pack Income</v>
      </c>
    </row>
    <row r="147" spans="1:7" x14ac:dyDescent="0.35">
      <c r="A147" s="552" t="s">
        <v>1413</v>
      </c>
      <c r="B147" s="556" t="str">
        <f t="shared" si="2"/>
        <v>Platform Fees</v>
      </c>
      <c r="C147" s="553">
        <v>0</v>
      </c>
      <c r="D147" s="553">
        <v>0</v>
      </c>
      <c r="E147" s="553">
        <v>902007</v>
      </c>
      <c r="F147" s="553">
        <v>-902007</v>
      </c>
      <c r="G147" s="547" t="str">
        <f>VLOOKUP(B147,'TB 1225'!A:A,1,0)</f>
        <v>Platform Fees</v>
      </c>
    </row>
    <row r="148" spans="1:7" x14ac:dyDescent="0.35">
      <c r="A148" s="552" t="s">
        <v>1415</v>
      </c>
      <c r="B148" s="556" t="str">
        <f t="shared" si="2"/>
        <v>Surge Fees</v>
      </c>
      <c r="C148" s="553">
        <v>0</v>
      </c>
      <c r="D148" s="553">
        <v>0</v>
      </c>
      <c r="E148" s="553">
        <v>409090</v>
      </c>
      <c r="F148" s="553">
        <v>-409090</v>
      </c>
      <c r="G148" s="547" t="str">
        <f>VLOOKUP(B148,'TB 1225'!A:A,1,0)</f>
        <v>Surge Fees</v>
      </c>
    </row>
    <row r="149" spans="1:7" x14ac:dyDescent="0.35">
      <c r="A149" s="552" t="s">
        <v>472</v>
      </c>
      <c r="B149" s="556" t="str">
        <f t="shared" si="2"/>
        <v>Expense</v>
      </c>
      <c r="C149" t="s">
        <v>85</v>
      </c>
      <c r="D149" t="s">
        <v>85</v>
      </c>
      <c r="E149" t="s">
        <v>85</v>
      </c>
      <c r="F149" t="s">
        <v>85</v>
      </c>
    </row>
    <row r="150" spans="1:7" x14ac:dyDescent="0.35">
      <c r="A150" s="552" t="s">
        <v>473</v>
      </c>
      <c r="B150" s="556" t="str">
        <f t="shared" si="2"/>
        <v>Accounting Services</v>
      </c>
      <c r="C150" s="553">
        <v>0</v>
      </c>
      <c r="D150" s="553">
        <v>295484</v>
      </c>
      <c r="E150" s="553">
        <v>70000</v>
      </c>
      <c r="F150" s="553">
        <v>225484</v>
      </c>
      <c r="G150" s="547" t="str">
        <f>VLOOKUP(B150,'TB 1225'!A:A,1,0)</f>
        <v>Accounting Services</v>
      </c>
    </row>
    <row r="151" spans="1:7" x14ac:dyDescent="0.35">
      <c r="A151" s="552" t="s">
        <v>1598</v>
      </c>
      <c r="B151" s="556" t="str">
        <f t="shared" si="2"/>
        <v>Bad Debt</v>
      </c>
      <c r="C151" s="553">
        <v>0</v>
      </c>
      <c r="D151" s="553">
        <v>4000</v>
      </c>
      <c r="E151" s="553">
        <v>0</v>
      </c>
      <c r="F151" s="553">
        <v>4000</v>
      </c>
      <c r="G151" s="547" t="str">
        <f>VLOOKUP(B151,'TB 1225'!A:A,1,0)</f>
        <v>Bad Debt</v>
      </c>
    </row>
    <row r="152" spans="1:7" x14ac:dyDescent="0.35">
      <c r="A152" s="552" t="s">
        <v>474</v>
      </c>
      <c r="B152" s="556" t="str">
        <f t="shared" si="2"/>
        <v>Bank Fees and Charges</v>
      </c>
      <c r="C152" s="553">
        <v>0</v>
      </c>
      <c r="D152" s="553">
        <v>34583.53</v>
      </c>
      <c r="E152" s="553">
        <v>0</v>
      </c>
      <c r="F152" s="553">
        <v>34583.53</v>
      </c>
      <c r="G152" s="547" t="str">
        <f>VLOOKUP(B152,'TB 1225'!A:A,1,0)</f>
        <v>Bank Fees and Charges</v>
      </c>
    </row>
    <row r="153" spans="1:7" x14ac:dyDescent="0.35">
      <c r="A153" s="552" t="s">
        <v>475</v>
      </c>
      <c r="B153" s="556" t="str">
        <f t="shared" si="2"/>
        <v>Branding Expense</v>
      </c>
      <c r="C153" s="553">
        <v>0</v>
      </c>
      <c r="D153" s="553">
        <v>13097300</v>
      </c>
      <c r="E153" s="553">
        <v>5660500</v>
      </c>
      <c r="F153" s="553">
        <v>7436800</v>
      </c>
      <c r="G153" s="547" t="str">
        <f>VLOOKUP(B153,'TB 1225'!A:A,1,0)</f>
        <v>Branding Expense</v>
      </c>
    </row>
    <row r="154" spans="1:7" x14ac:dyDescent="0.35">
      <c r="A154" s="552" t="s">
        <v>1599</v>
      </c>
      <c r="B154" s="556" t="str">
        <f t="shared" si="2"/>
        <v>BTL Acquisition Cost</v>
      </c>
      <c r="C154" s="553">
        <v>0</v>
      </c>
      <c r="D154" s="553">
        <v>18364508.170000002</v>
      </c>
      <c r="E154" s="553">
        <v>5359992</v>
      </c>
      <c r="F154" s="553">
        <v>13004516.17</v>
      </c>
      <c r="G154" s="547" t="str">
        <f>VLOOKUP(B154,'TB 1225'!A:A,1,0)</f>
        <v>BTL Acquisition Cost</v>
      </c>
    </row>
    <row r="155" spans="1:7" x14ac:dyDescent="0.35">
      <c r="A155" s="552" t="s">
        <v>1600</v>
      </c>
      <c r="B155" s="556" t="str">
        <f t="shared" si="2"/>
        <v>BTL Branding Expense</v>
      </c>
      <c r="C155" s="553">
        <v>0</v>
      </c>
      <c r="D155" s="553">
        <v>25810216.66</v>
      </c>
      <c r="E155" s="553">
        <v>17205717</v>
      </c>
      <c r="F155" s="553">
        <v>8604499.6600000001</v>
      </c>
      <c r="G155" s="547" t="str">
        <f>VLOOKUP(B155,'TB 1225'!A:A,1,0)</f>
        <v>BTL Branding Expense</v>
      </c>
    </row>
    <row r="156" spans="1:7" x14ac:dyDescent="0.35">
      <c r="A156" s="552" t="s">
        <v>1601</v>
      </c>
      <c r="B156" s="556" t="str">
        <f t="shared" si="2"/>
        <v>Compensation for Damages</v>
      </c>
      <c r="C156" s="553">
        <v>0</v>
      </c>
      <c r="D156" s="553">
        <v>51660</v>
      </c>
      <c r="E156" s="553">
        <v>28660</v>
      </c>
      <c r="F156" s="553">
        <v>23000</v>
      </c>
      <c r="G156" s="547" t="str">
        <f>VLOOKUP(B156,'TB 1225'!A:A,1,0)</f>
        <v>Compensation for Damages</v>
      </c>
    </row>
    <row r="157" spans="1:7" x14ac:dyDescent="0.35">
      <c r="A157" s="552" t="s">
        <v>476</v>
      </c>
      <c r="B157" s="556" t="str">
        <f t="shared" si="2"/>
        <v>Customer Acquisition Cost</v>
      </c>
      <c r="C157" s="553">
        <v>0</v>
      </c>
      <c r="D157" s="553">
        <v>31517833.16</v>
      </c>
      <c r="E157" s="553">
        <v>5941406</v>
      </c>
      <c r="F157" s="553">
        <v>25576427.16</v>
      </c>
      <c r="G157" s="547" t="str">
        <f>VLOOKUP(B157,'TB 1225'!A:A,1,0)</f>
        <v>Customer Acquisition Cost</v>
      </c>
    </row>
    <row r="158" spans="1:7" x14ac:dyDescent="0.35">
      <c r="A158" s="552" t="s">
        <v>636</v>
      </c>
      <c r="B158" s="556" t="str">
        <f t="shared" si="2"/>
        <v>Customer Success Cost</v>
      </c>
      <c r="C158" s="553">
        <v>0</v>
      </c>
      <c r="D158" s="553">
        <v>3470480.98</v>
      </c>
      <c r="E158" s="553">
        <v>643044</v>
      </c>
      <c r="F158" s="553">
        <v>2827436.98</v>
      </c>
      <c r="G158" s="547" t="str">
        <f>VLOOKUP(B158,'TB 1225'!A:A,1,0)</f>
        <v>Customer Success Cost</v>
      </c>
    </row>
    <row r="159" spans="1:7" x14ac:dyDescent="0.35">
      <c r="A159" s="552" t="s">
        <v>477</v>
      </c>
      <c r="B159" s="556" t="str">
        <f t="shared" si="2"/>
        <v>Depreciation and Amortization</v>
      </c>
      <c r="C159" s="553">
        <v>0</v>
      </c>
      <c r="D159" s="553">
        <v>1184288.54</v>
      </c>
      <c r="E159" s="553">
        <v>0</v>
      </c>
      <c r="F159" s="553">
        <v>1184288.54</v>
      </c>
      <c r="G159" s="547" t="str">
        <f>VLOOKUP(B159,'TB 1225'!A:A,1,0)</f>
        <v>Depreciation and Amortization</v>
      </c>
    </row>
    <row r="160" spans="1:7" x14ac:dyDescent="0.35">
      <c r="A160" s="552" t="s">
        <v>478</v>
      </c>
      <c r="B160" s="556" t="str">
        <f t="shared" si="2"/>
        <v>Employee Benefit Expense</v>
      </c>
      <c r="C160" s="553">
        <v>0</v>
      </c>
      <c r="D160" s="553">
        <v>0</v>
      </c>
      <c r="E160" s="553">
        <v>0</v>
      </c>
      <c r="F160" s="553">
        <v>0</v>
      </c>
      <c r="G160" s="547" t="str">
        <f>VLOOKUP(B160,'TB 1225'!A:A,1,0)</f>
        <v>Employee Benefit Expense</v>
      </c>
    </row>
    <row r="161" spans="1:7" x14ac:dyDescent="0.35">
      <c r="A161" s="552" t="s">
        <v>1231</v>
      </c>
      <c r="B161" s="556" t="str">
        <f t="shared" si="2"/>
        <v>Employer LWF Expense</v>
      </c>
      <c r="C161" s="553">
        <v>0</v>
      </c>
      <c r="D161" s="553">
        <v>18625</v>
      </c>
      <c r="E161" s="553">
        <v>0</v>
      </c>
      <c r="F161" s="553">
        <v>18625</v>
      </c>
      <c r="G161" s="547" t="str">
        <f>VLOOKUP(B161,'TB 1225'!A:A,1,0)</f>
        <v>Employer LWF Expense</v>
      </c>
    </row>
    <row r="162" spans="1:7" x14ac:dyDescent="0.35">
      <c r="A162" s="552" t="s">
        <v>479</v>
      </c>
      <c r="B162" s="556" t="str">
        <f t="shared" si="2"/>
        <v>Employer PF Expense</v>
      </c>
      <c r="C162" s="553">
        <v>0</v>
      </c>
      <c r="D162" s="553">
        <v>492087</v>
      </c>
      <c r="E162" s="553">
        <v>0</v>
      </c>
      <c r="F162" s="553">
        <v>492087</v>
      </c>
      <c r="G162" s="547" t="str">
        <f>VLOOKUP(B162,'TB 1225'!A:A,1,0)</f>
        <v>Employer PF Expense</v>
      </c>
    </row>
    <row r="163" spans="1:7" x14ac:dyDescent="0.35">
      <c r="A163" s="552" t="s">
        <v>480</v>
      </c>
      <c r="B163" s="556" t="str">
        <f t="shared" si="2"/>
        <v>PF Admin Expense</v>
      </c>
      <c r="C163" s="553">
        <v>0</v>
      </c>
      <c r="D163" s="553">
        <v>34950</v>
      </c>
      <c r="E163" s="553">
        <v>0</v>
      </c>
      <c r="F163" s="553">
        <v>34950</v>
      </c>
      <c r="G163" s="547" t="str">
        <f>VLOOKUP(B163,'TB 1225'!A:A,1,0)</f>
        <v>PF Admin Expense</v>
      </c>
    </row>
    <row r="164" spans="1:7" x14ac:dyDescent="0.35">
      <c r="A164" s="552" t="s">
        <v>481</v>
      </c>
      <c r="B164" s="556" t="str">
        <f t="shared" si="2"/>
        <v>Staff Welfare Expense</v>
      </c>
      <c r="C164" s="553">
        <v>0</v>
      </c>
      <c r="D164" s="553">
        <v>7721708.3300000001</v>
      </c>
      <c r="E164" s="553">
        <v>2419814</v>
      </c>
      <c r="F164" s="553">
        <v>5301894.33</v>
      </c>
      <c r="G164" s="547" t="str">
        <f>VLOOKUP(B164,'TB 1225'!A:A,1,0)</f>
        <v>Staff Welfare Expense</v>
      </c>
    </row>
    <row r="165" spans="1:7" ht="15.5" x14ac:dyDescent="0.35">
      <c r="A165" s="554" t="s">
        <v>483</v>
      </c>
      <c r="B165" s="556" t="str">
        <f t="shared" si="2"/>
        <v>Total for Employee Benefit Expense</v>
      </c>
      <c r="C165" s="555">
        <v>0</v>
      </c>
      <c r="D165" s="555">
        <v>8267370.3300000001</v>
      </c>
      <c r="E165" s="555">
        <v>2419814</v>
      </c>
      <c r="F165" s="555">
        <v>5847556.3300000001</v>
      </c>
    </row>
    <row r="166" spans="1:7" x14ac:dyDescent="0.35">
      <c r="A166"/>
      <c r="B166" s="556" t="str">
        <f t="shared" si="2"/>
        <v/>
      </c>
      <c r="C166"/>
      <c r="D166"/>
      <c r="E166"/>
      <c r="F166"/>
    </row>
    <row r="167" spans="1:7" x14ac:dyDescent="0.35">
      <c r="A167" s="552" t="s">
        <v>1618</v>
      </c>
      <c r="B167" s="556" t="str">
        <f t="shared" si="2"/>
        <v>Expert - Payment Gateway Cost</v>
      </c>
      <c r="C167" s="553">
        <v>0</v>
      </c>
      <c r="D167" s="553">
        <v>3240.28</v>
      </c>
      <c r="E167" s="553">
        <v>0</v>
      </c>
      <c r="F167" s="553">
        <v>3240.28</v>
      </c>
      <c r="G167" s="547" t="str">
        <f>VLOOKUP(B167,'TB 1225'!A:A,1,0)</f>
        <v>Expert - Payment Gateway Cost</v>
      </c>
    </row>
    <row r="168" spans="1:7" x14ac:dyDescent="0.35">
      <c r="A168" s="552" t="s">
        <v>758</v>
      </c>
      <c r="B168" s="556" t="str">
        <f t="shared" si="2"/>
        <v>Expert Retention Bonus</v>
      </c>
      <c r="C168" s="553">
        <v>0</v>
      </c>
      <c r="D168" s="553">
        <v>367000</v>
      </c>
      <c r="E168" s="553">
        <v>90250</v>
      </c>
      <c r="F168" s="553">
        <v>276750</v>
      </c>
      <c r="G168" s="547" t="str">
        <f>VLOOKUP(B168,'TB 1225'!A:A,1,0)</f>
        <v>Expert Retention Bonus</v>
      </c>
    </row>
    <row r="169" spans="1:7" x14ac:dyDescent="0.35">
      <c r="A169" s="552" t="s">
        <v>768</v>
      </c>
      <c r="B169" s="556" t="str">
        <f t="shared" si="2"/>
        <v>Expert Welfare Cost</v>
      </c>
      <c r="C169" s="553">
        <v>0</v>
      </c>
      <c r="D169" s="553">
        <v>66509.490000000005</v>
      </c>
      <c r="E169" s="553">
        <v>44540</v>
      </c>
      <c r="F169" s="553">
        <v>21969.49</v>
      </c>
      <c r="G169" s="547" t="str">
        <f>VLOOKUP(B169,'TB 1225'!A:A,1,0)</f>
        <v>Expert Welfare Cost</v>
      </c>
    </row>
    <row r="170" spans="1:7" x14ac:dyDescent="0.35">
      <c r="A170" s="552" t="s">
        <v>1232</v>
      </c>
      <c r="B170" s="556" t="str">
        <f t="shared" si="2"/>
        <v>Foreign Exchange Gain or Loss</v>
      </c>
      <c r="C170" s="553">
        <v>0</v>
      </c>
      <c r="D170" s="553">
        <v>1030.25</v>
      </c>
      <c r="E170" s="553">
        <v>0</v>
      </c>
      <c r="F170" s="553">
        <v>1030.25</v>
      </c>
      <c r="G170" s="547" t="str">
        <f>VLOOKUP(B170,'TB 1225'!A:A,1,0)</f>
        <v>Foreign Exchange Gain or Loss</v>
      </c>
    </row>
    <row r="171" spans="1:7" x14ac:dyDescent="0.35">
      <c r="A171" s="552" t="s">
        <v>484</v>
      </c>
      <c r="B171" s="556" t="str">
        <f t="shared" si="2"/>
        <v>Fund Raising Expense</v>
      </c>
      <c r="C171" s="553">
        <v>0</v>
      </c>
      <c r="D171" s="553">
        <v>1818290</v>
      </c>
      <c r="E171" s="553">
        <v>0</v>
      </c>
      <c r="F171" s="553">
        <v>1818290</v>
      </c>
      <c r="G171" s="547" t="str">
        <f>VLOOKUP(B171,'TB 1225'!A:A,1,0)</f>
        <v>Fund Raising Expense</v>
      </c>
    </row>
    <row r="172" spans="1:7" x14ac:dyDescent="0.35">
      <c r="A172" s="552" t="s">
        <v>1602</v>
      </c>
      <c r="B172" s="556" t="str">
        <f t="shared" si="2"/>
        <v>Growth Tools Cost</v>
      </c>
      <c r="C172" s="553">
        <v>0</v>
      </c>
      <c r="D172" s="553">
        <v>1010260.67</v>
      </c>
      <c r="E172" s="553">
        <v>110000</v>
      </c>
      <c r="F172" s="553">
        <v>900260.67</v>
      </c>
      <c r="G172" s="547" t="str">
        <f>VLOOKUP(B172,'TB 1225'!A:A,1,0)</f>
        <v>Growth Tools Cost</v>
      </c>
    </row>
    <row r="173" spans="1:7" x14ac:dyDescent="0.35">
      <c r="A173" s="552" t="s">
        <v>855</v>
      </c>
      <c r="B173" s="556" t="str">
        <f t="shared" si="2"/>
        <v>Hood Rent Expense</v>
      </c>
      <c r="C173" s="553">
        <v>0</v>
      </c>
      <c r="D173" s="553">
        <v>601760</v>
      </c>
      <c r="E173" s="553">
        <v>173100</v>
      </c>
      <c r="F173" s="553">
        <v>428660</v>
      </c>
      <c r="G173" s="547" t="str">
        <f>VLOOKUP(B173,'TB 1225'!A:A,1,0)</f>
        <v>Hood Rent Expense</v>
      </c>
    </row>
    <row r="174" spans="1:7" x14ac:dyDescent="0.35">
      <c r="A174" s="552" t="s">
        <v>771</v>
      </c>
      <c r="B174" s="556" t="str">
        <f t="shared" si="2"/>
        <v>Legal Fees</v>
      </c>
      <c r="C174" s="553">
        <v>0</v>
      </c>
      <c r="D174" s="553">
        <v>580000</v>
      </c>
      <c r="E174" s="553">
        <v>255000</v>
      </c>
      <c r="F174" s="553">
        <v>325000</v>
      </c>
      <c r="G174" s="547" t="str">
        <f>VLOOKUP(B174,'TB 1225'!A:A,1,0)</f>
        <v>Legal Fees</v>
      </c>
    </row>
    <row r="175" spans="1:7" x14ac:dyDescent="0.35">
      <c r="A175" s="552" t="s">
        <v>637</v>
      </c>
      <c r="B175" s="556" t="str">
        <f t="shared" si="2"/>
        <v>Managerial Cost</v>
      </c>
      <c r="C175" s="553">
        <v>0</v>
      </c>
      <c r="D175" s="553">
        <v>5599789.5</v>
      </c>
      <c r="E175" s="553">
        <v>0</v>
      </c>
      <c r="F175" s="553">
        <v>5599789.5</v>
      </c>
      <c r="G175" s="547" t="str">
        <f>VLOOKUP(B175,'TB 1225'!A:A,1,0)</f>
        <v>Managerial Cost</v>
      </c>
    </row>
    <row r="176" spans="1:7" x14ac:dyDescent="0.35">
      <c r="A176" s="552" t="s">
        <v>618</v>
      </c>
      <c r="B176" s="556" t="str">
        <f t="shared" si="2"/>
        <v>New User Discount</v>
      </c>
      <c r="C176" s="553">
        <v>0</v>
      </c>
      <c r="D176" s="553">
        <v>3331601</v>
      </c>
      <c r="E176" s="553">
        <v>567408</v>
      </c>
      <c r="F176" s="553">
        <v>2764193</v>
      </c>
      <c r="G176" s="547" t="str">
        <f>VLOOKUP(B176,'TB 1225'!A:A,1,0)</f>
        <v>New User Discount</v>
      </c>
    </row>
    <row r="177" spans="1:7" x14ac:dyDescent="0.35">
      <c r="A177" s="552" t="s">
        <v>486</v>
      </c>
      <c r="B177" s="556" t="str">
        <f t="shared" si="2"/>
        <v>Office and Admin Expense</v>
      </c>
      <c r="C177" s="553">
        <v>0</v>
      </c>
      <c r="D177" s="553">
        <v>157337</v>
      </c>
      <c r="E177" s="553">
        <v>16916</v>
      </c>
      <c r="F177" s="553">
        <v>140421</v>
      </c>
      <c r="G177" s="547" t="str">
        <f>VLOOKUP(B177,'TB 1225'!A:A,1,0)</f>
        <v>Office and Admin Expense</v>
      </c>
    </row>
    <row r="178" spans="1:7" x14ac:dyDescent="0.35">
      <c r="A178" s="552" t="s">
        <v>487</v>
      </c>
      <c r="B178" s="556" t="str">
        <f t="shared" si="2"/>
        <v>Office Rent Expense</v>
      </c>
      <c r="C178" s="553">
        <v>0</v>
      </c>
      <c r="D178" s="553">
        <v>2153170.7400000002</v>
      </c>
      <c r="E178" s="553">
        <v>0</v>
      </c>
      <c r="F178" s="553">
        <v>2153170.7400000002</v>
      </c>
      <c r="G178" s="547" t="str">
        <f>VLOOKUP(B178,'TB 1225'!A:A,1,0)</f>
        <v>Office Rent Expense</v>
      </c>
    </row>
    <row r="179" spans="1:7" x14ac:dyDescent="0.35">
      <c r="A179" s="552" t="s">
        <v>956</v>
      </c>
      <c r="B179" s="556" t="str">
        <f t="shared" si="2"/>
        <v>Operational Expense</v>
      </c>
      <c r="C179" s="553">
        <v>0</v>
      </c>
      <c r="D179" s="553">
        <v>993891</v>
      </c>
      <c r="E179" s="553">
        <v>697391</v>
      </c>
      <c r="F179" s="553">
        <v>296500</v>
      </c>
      <c r="G179" s="547" t="str">
        <f>VLOOKUP(B179,'TB 1225'!A:A,1,0)</f>
        <v>Operational Expense</v>
      </c>
    </row>
    <row r="180" spans="1:7" x14ac:dyDescent="0.35">
      <c r="A180" s="552" t="s">
        <v>488</v>
      </c>
      <c r="B180" s="556" t="str">
        <f t="shared" si="2"/>
        <v>Other Cost</v>
      </c>
      <c r="C180" s="553">
        <v>0</v>
      </c>
      <c r="D180" s="553">
        <v>13185.45</v>
      </c>
      <c r="E180" s="553">
        <v>0</v>
      </c>
      <c r="F180" s="553">
        <v>13185.45</v>
      </c>
      <c r="G180" s="547" t="str">
        <f>VLOOKUP(B180,'TB 1225'!A:A,1,0)</f>
        <v>Other Cost</v>
      </c>
    </row>
    <row r="181" spans="1:7" x14ac:dyDescent="0.35">
      <c r="A181" s="552" t="s">
        <v>489</v>
      </c>
      <c r="B181" s="556" t="str">
        <f t="shared" si="2"/>
        <v>Other Expenses</v>
      </c>
      <c r="C181" s="553">
        <v>0</v>
      </c>
      <c r="D181" s="553">
        <v>3.09</v>
      </c>
      <c r="E181" s="553">
        <v>5.59</v>
      </c>
      <c r="F181" s="553">
        <v>-2.5</v>
      </c>
      <c r="G181" s="547" t="str">
        <f>VLOOKUP(B181,'TB 1225'!A:A,1,0)</f>
        <v>Other Expenses</v>
      </c>
    </row>
    <row r="182" spans="1:7" x14ac:dyDescent="0.35">
      <c r="A182" s="552" t="s">
        <v>560</v>
      </c>
      <c r="B182" s="556" t="str">
        <f t="shared" si="2"/>
        <v>Payment Gateway Cost</v>
      </c>
      <c r="C182" s="553">
        <v>0</v>
      </c>
      <c r="D182" s="553">
        <v>170755.86</v>
      </c>
      <c r="E182" s="553">
        <v>0</v>
      </c>
      <c r="F182" s="553">
        <v>170755.86</v>
      </c>
      <c r="G182" s="547" t="str">
        <f>VLOOKUP(B182,'TB 1225'!A:A,1,0)</f>
        <v>Payment Gateway Cost</v>
      </c>
    </row>
    <row r="183" spans="1:7" x14ac:dyDescent="0.35">
      <c r="A183" s="552" t="s">
        <v>490</v>
      </c>
      <c r="B183" s="556" t="str">
        <f t="shared" si="2"/>
        <v>Professional Fees</v>
      </c>
      <c r="C183" s="553">
        <v>0</v>
      </c>
      <c r="D183" s="553">
        <v>2571663.06</v>
      </c>
      <c r="E183" s="553">
        <v>41320</v>
      </c>
      <c r="F183" s="553">
        <v>2530343.06</v>
      </c>
      <c r="G183" s="547" t="str">
        <f>VLOOKUP(B183,'TB 1225'!A:A,1,0)</f>
        <v>Professional Fees</v>
      </c>
    </row>
    <row r="184" spans="1:7" x14ac:dyDescent="0.35">
      <c r="A184" s="552" t="s">
        <v>1531</v>
      </c>
      <c r="B184" s="556" t="str">
        <f t="shared" si="2"/>
        <v>Purchase Discounts</v>
      </c>
      <c r="C184" s="553">
        <v>0</v>
      </c>
      <c r="D184" s="553">
        <v>0</v>
      </c>
      <c r="E184" s="553">
        <v>800</v>
      </c>
      <c r="F184" s="553">
        <v>-800</v>
      </c>
      <c r="G184" s="547" t="str">
        <f>VLOOKUP(B184,'TB 1225'!A:A,1,0)</f>
        <v>Purchase Discounts</v>
      </c>
    </row>
    <row r="185" spans="1:7" x14ac:dyDescent="0.35">
      <c r="A185" s="552" t="s">
        <v>491</v>
      </c>
      <c r="B185" s="556" t="str">
        <f t="shared" si="2"/>
        <v>Rates and Taxes</v>
      </c>
      <c r="C185" s="553">
        <v>0</v>
      </c>
      <c r="D185" s="553">
        <v>12249.42</v>
      </c>
      <c r="E185" s="553">
        <v>0</v>
      </c>
      <c r="F185" s="553">
        <v>12249.42</v>
      </c>
      <c r="G185" s="547" t="str">
        <f>VLOOKUP(B185,'TB 1225'!A:A,1,0)</f>
        <v>Rates and Taxes</v>
      </c>
    </row>
    <row r="186" spans="1:7" x14ac:dyDescent="0.35">
      <c r="A186" s="552" t="s">
        <v>638</v>
      </c>
      <c r="B186" s="556" t="str">
        <f t="shared" si="2"/>
        <v>Recruitment Charges</v>
      </c>
      <c r="C186" s="553">
        <v>0</v>
      </c>
      <c r="D186" s="553">
        <v>266912</v>
      </c>
      <c r="E186" s="553">
        <v>0</v>
      </c>
      <c r="F186" s="553">
        <v>266912</v>
      </c>
      <c r="G186" s="547" t="str">
        <f>VLOOKUP(B186,'TB 1225'!A:A,1,0)</f>
        <v>Recruitment Charges</v>
      </c>
    </row>
    <row r="187" spans="1:7" x14ac:dyDescent="0.35">
      <c r="A187" s="552" t="s">
        <v>492</v>
      </c>
      <c r="B187" s="556" t="str">
        <f t="shared" si="2"/>
        <v>Salaries and Employee Wages</v>
      </c>
      <c r="C187" s="553">
        <v>0</v>
      </c>
      <c r="D187" s="553">
        <v>42983080.520000003</v>
      </c>
      <c r="E187" s="553">
        <v>11000</v>
      </c>
      <c r="F187" s="553">
        <v>42972080.520000003</v>
      </c>
      <c r="G187" s="547" t="str">
        <f>VLOOKUP(B187,'TB 1225'!A:A,1,0)</f>
        <v>Salaries and Employee Wages</v>
      </c>
    </row>
    <row r="188" spans="1:7" x14ac:dyDescent="0.35">
      <c r="A188" s="552" t="s">
        <v>615</v>
      </c>
      <c r="B188" s="556" t="str">
        <f t="shared" si="2"/>
        <v>Service Cost</v>
      </c>
      <c r="C188" s="553">
        <v>0</v>
      </c>
      <c r="D188" s="553">
        <v>132309219.86</v>
      </c>
      <c r="E188" s="553">
        <v>0</v>
      </c>
      <c r="F188" s="553">
        <v>132309219.86</v>
      </c>
      <c r="G188" s="547" t="str">
        <f>VLOOKUP(B188,'TB 1225'!A:A,1,0)</f>
        <v>Service Cost</v>
      </c>
    </row>
    <row r="189" spans="1:7" x14ac:dyDescent="0.35">
      <c r="A189" s="552" t="s">
        <v>493</v>
      </c>
      <c r="B189" s="556" t="str">
        <f t="shared" si="2"/>
        <v>Software Expense</v>
      </c>
      <c r="C189" s="553">
        <v>0</v>
      </c>
      <c r="D189" s="553">
        <v>7038832.6100000003</v>
      </c>
      <c r="E189" s="553">
        <v>4172323</v>
      </c>
      <c r="F189" s="553">
        <v>2866509.61</v>
      </c>
      <c r="G189" s="547" t="str">
        <f>VLOOKUP(B189,'TB 1225'!A:A,1,0)</f>
        <v>Software Expense</v>
      </c>
    </row>
    <row r="190" spans="1:7" x14ac:dyDescent="0.35">
      <c r="A190" s="552" t="s">
        <v>494</v>
      </c>
      <c r="B190" s="556" t="str">
        <f t="shared" si="2"/>
        <v>Sourcing and Onboarding Expense</v>
      </c>
      <c r="C190" s="553">
        <v>0</v>
      </c>
      <c r="D190" s="553">
        <v>22335290.84</v>
      </c>
      <c r="E190" s="553">
        <v>3078154</v>
      </c>
      <c r="F190" s="553">
        <v>19257136.84</v>
      </c>
      <c r="G190" s="547" t="str">
        <f>VLOOKUP(B190,'TB 1225'!A:A,1,0)</f>
        <v>Sourcing and Onboarding Expense</v>
      </c>
    </row>
    <row r="191" spans="1:7" x14ac:dyDescent="0.35">
      <c r="A191" s="552" t="s">
        <v>495</v>
      </c>
      <c r="B191" s="556" t="str">
        <f t="shared" si="2"/>
        <v>Training Centre Expense</v>
      </c>
      <c r="C191" s="553">
        <v>0</v>
      </c>
      <c r="D191" s="553">
        <v>2998895.52</v>
      </c>
      <c r="E191" s="553">
        <v>583841</v>
      </c>
      <c r="F191" s="553">
        <v>2415054.52</v>
      </c>
      <c r="G191" s="547" t="str">
        <f>VLOOKUP(B191,'TB 1225'!A:A,1,0)</f>
        <v>Training Centre Expense</v>
      </c>
    </row>
    <row r="192" spans="1:7" x14ac:dyDescent="0.35">
      <c r="A192" s="552" t="s">
        <v>496</v>
      </c>
      <c r="B192" s="556" t="str">
        <f t="shared" si="2"/>
        <v>Training Centre Rent Expense</v>
      </c>
      <c r="C192" s="553">
        <v>0</v>
      </c>
      <c r="D192" s="553">
        <v>2552393</v>
      </c>
      <c r="E192" s="553">
        <v>258272</v>
      </c>
      <c r="F192" s="553">
        <v>2294121</v>
      </c>
      <c r="G192" s="547" t="str">
        <f>VLOOKUP(B192,'TB 1225'!A:A,1,0)</f>
        <v>Training Centre Rent Expense</v>
      </c>
    </row>
    <row r="193" spans="1:7" x14ac:dyDescent="0.35">
      <c r="A193" s="552" t="s">
        <v>858</v>
      </c>
      <c r="B193" s="556" t="str">
        <f t="shared" si="2"/>
        <v>Travel Expense</v>
      </c>
      <c r="C193" s="553">
        <v>0</v>
      </c>
      <c r="D193" s="553">
        <v>609347.78</v>
      </c>
      <c r="E193" s="553">
        <v>15714</v>
      </c>
      <c r="F193" s="553">
        <v>593633.78</v>
      </c>
      <c r="G193" s="547" t="str">
        <f>VLOOKUP(B193,'TB 1225'!A:A,1,0)</f>
        <v>Travel Expense</v>
      </c>
    </row>
    <row r="194" spans="1:7" x14ac:dyDescent="0.35">
      <c r="A194" s="552" t="s">
        <v>1603</v>
      </c>
      <c r="B194" s="556" t="str">
        <f t="shared" si="2"/>
        <v>User Communication Cost</v>
      </c>
      <c r="C194" s="553">
        <v>0</v>
      </c>
      <c r="D194" s="553">
        <v>250000</v>
      </c>
      <c r="E194" s="553">
        <v>0</v>
      </c>
      <c r="F194" s="553">
        <v>250000</v>
      </c>
      <c r="G194" s="547" t="str">
        <f>VLOOKUP(B194,'TB 1225'!A:A,1,0)</f>
        <v>User Communication Cost</v>
      </c>
    </row>
    <row r="195" spans="1:7" ht="15.5" x14ac:dyDescent="0.35">
      <c r="A195" s="554" t="s">
        <v>639</v>
      </c>
      <c r="B195" s="556" t="str">
        <f t="shared" si="2"/>
        <v>Total for Trial Balance</v>
      </c>
      <c r="C195" s="555"/>
      <c r="D195" s="555">
        <v>2427532450.27</v>
      </c>
      <c r="E195" s="555">
        <v>2427532450.27</v>
      </c>
      <c r="F195" s="555"/>
    </row>
    <row r="196" spans="1:7" x14ac:dyDescent="0.35">
      <c r="A196" s="548" t="s">
        <v>85</v>
      </c>
      <c r="B196" s="54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D7FD-DE2D-4260-B260-5AC90A31089A}">
  <sheetPr filterMode="1"/>
  <dimension ref="A1:V195"/>
  <sheetViews>
    <sheetView showGridLines="0" zoomScale="80" zoomScaleNormal="85" workbookViewId="0">
      <selection activeCell="E44" sqref="E44"/>
    </sheetView>
  </sheetViews>
  <sheetFormatPr defaultColWidth="8.90625" defaultRowHeight="14.5" x14ac:dyDescent="0.35"/>
  <cols>
    <col min="1" max="1" width="41.26953125" style="23" bestFit="1" customWidth="1"/>
    <col min="2" max="2" width="17" style="23" bestFit="1" customWidth="1"/>
    <col min="3" max="4" width="17.26953125" style="23" bestFit="1" customWidth="1"/>
    <col min="5" max="5" width="17" style="23" bestFit="1" customWidth="1"/>
    <col min="6" max="6" width="13.08984375" style="23" bestFit="1" customWidth="1"/>
    <col min="7" max="7" width="4.81640625" style="23" bestFit="1" customWidth="1"/>
    <col min="8" max="8" width="39.1796875" style="23" bestFit="1" customWidth="1"/>
    <col min="9" max="9" width="18.90625" style="23" bestFit="1" customWidth="1"/>
    <col min="10" max="10" width="14.08984375" style="23" bestFit="1" customWidth="1"/>
    <col min="11" max="11" width="21.7265625" style="23" bestFit="1" customWidth="1"/>
    <col min="12" max="12" width="14.1796875" style="23" bestFit="1" customWidth="1"/>
    <col min="13" max="13" width="10" style="23" bestFit="1" customWidth="1"/>
    <col min="14" max="14" width="8.90625" style="23"/>
    <col min="15" max="15" width="13.453125" style="23" bestFit="1" customWidth="1"/>
    <col min="16" max="16" width="14" style="23" bestFit="1" customWidth="1"/>
    <col min="17" max="17" width="8.90625" style="23"/>
    <col min="18" max="18" width="19.81640625" style="23" bestFit="1" customWidth="1"/>
    <col min="19" max="19" width="10.6328125" style="23" bestFit="1" customWidth="1"/>
    <col min="20" max="20" width="8.90625" style="23"/>
    <col min="21" max="21" width="13.90625" style="23" bestFit="1" customWidth="1"/>
    <col min="22" max="22" width="9.90625" style="23" bestFit="1" customWidth="1"/>
    <col min="23" max="16384" width="8.90625" style="23"/>
  </cols>
  <sheetData>
    <row r="1" spans="1:22" x14ac:dyDescent="0.35">
      <c r="A1" s="24"/>
      <c r="B1" s="24">
        <f>SUBTOTAL(9,B3:B1048576)</f>
        <v>3013317.03</v>
      </c>
      <c r="C1" s="24">
        <f t="shared" ref="C1:F1" si="0">SUBTOTAL(9,C3:C1048576)</f>
        <v>131944411.87</v>
      </c>
      <c r="D1" s="24">
        <f t="shared" si="0"/>
        <v>135733358.94</v>
      </c>
      <c r="E1" s="24">
        <f t="shared" si="0"/>
        <v>1224369.9600000004</v>
      </c>
      <c r="F1" s="24">
        <f t="shared" si="0"/>
        <v>1224.3699600000004</v>
      </c>
      <c r="G1" s="24"/>
      <c r="H1" s="24"/>
      <c r="I1" s="24"/>
      <c r="J1" s="24"/>
      <c r="K1" s="24"/>
      <c r="L1" s="24"/>
      <c r="M1" s="24"/>
      <c r="P1" s="24"/>
    </row>
    <row r="2" spans="1:22" x14ac:dyDescent="0.35">
      <c r="A2" s="490" t="s">
        <v>86</v>
      </c>
      <c r="B2" s="490" t="s">
        <v>9</v>
      </c>
      <c r="C2" s="490" t="s">
        <v>88</v>
      </c>
      <c r="D2" s="490" t="s">
        <v>89</v>
      </c>
      <c r="E2" s="490" t="s">
        <v>11</v>
      </c>
      <c r="F2" s="490" t="s">
        <v>613</v>
      </c>
      <c r="G2" s="501" t="s">
        <v>159</v>
      </c>
      <c r="H2" s="490" t="s">
        <v>612</v>
      </c>
      <c r="I2" s="491"/>
      <c r="K2" s="508" t="s">
        <v>1566</v>
      </c>
      <c r="L2" s="509" t="s">
        <v>186</v>
      </c>
      <c r="M2" s="510" t="s">
        <v>648</v>
      </c>
      <c r="O2" s="482" t="s">
        <v>25</v>
      </c>
      <c r="P2" s="483"/>
      <c r="Q2" s="511"/>
      <c r="R2" s="482" t="s">
        <v>1561</v>
      </c>
      <c r="S2" s="483"/>
      <c r="T2" s="511"/>
      <c r="U2" s="482" t="s">
        <v>1567</v>
      </c>
      <c r="V2" s="512"/>
    </row>
    <row r="3" spans="1:22" x14ac:dyDescent="0.35">
      <c r="A3" s="491" t="s">
        <v>561</v>
      </c>
      <c r="B3" s="492">
        <f>SUMIF('Raw TB 1225'!$B:$B,'TB 1225'!$A3,'Raw TB 1225'!C:C)</f>
        <v>3013317.03</v>
      </c>
      <c r="C3" s="492">
        <f>SUMIF('Raw TB 1225'!$B:$B,'TB 1225'!$A3,'Raw TB 1225'!D:D)</f>
        <v>66113309.75</v>
      </c>
      <c r="D3" s="492">
        <f>SUMIF('Raw TB 1225'!$B:$B,'TB 1225'!$A3,'Raw TB 1225'!E:E)</f>
        <v>66969391.310000002</v>
      </c>
      <c r="E3" s="492">
        <f>SUMIF('Raw TB 1225'!$B:$B,'TB 1225'!$A3,'Raw TB 1225'!F:F)</f>
        <v>2157235.4700000002</v>
      </c>
      <c r="F3" s="492">
        <f>E3/10^3</f>
        <v>2157.2354700000001</v>
      </c>
      <c r="G3" s="502" t="s">
        <v>181</v>
      </c>
      <c r="H3" s="491" t="s">
        <v>77</v>
      </c>
      <c r="I3" s="491"/>
      <c r="K3" s="493" t="s">
        <v>34</v>
      </c>
      <c r="L3" s="498">
        <v>92283</v>
      </c>
      <c r="M3" s="494">
        <f>L3/10^3</f>
        <v>92.283000000000001</v>
      </c>
      <c r="O3" s="482" t="s">
        <v>1562</v>
      </c>
      <c r="P3" s="484" t="s">
        <v>186</v>
      </c>
      <c r="Q3" s="513"/>
      <c r="R3" s="482" t="s">
        <v>1562</v>
      </c>
      <c r="S3" s="484" t="s">
        <v>186</v>
      </c>
      <c r="T3" s="513"/>
      <c r="U3" s="482" t="s">
        <v>1562</v>
      </c>
      <c r="V3" s="484" t="s">
        <v>186</v>
      </c>
    </row>
    <row r="4" spans="1:22" hidden="1" x14ac:dyDescent="0.35">
      <c r="A4" s="491" t="s">
        <v>288</v>
      </c>
      <c r="B4" s="492">
        <f>SUMIF('Raw TB 1225'!$B:$B,'TB 1225'!$A4,'Raw TB 1225'!C:C)</f>
        <v>60436186</v>
      </c>
      <c r="C4" s="492">
        <f>SUMIF('Raw TB 1225'!$B:$B,'TB 1225'!$A4,'Raw TB 1225'!D:D)</f>
        <v>75481262</v>
      </c>
      <c r="D4" s="492">
        <f>SUMIF('Raw TB 1225'!$B:$B,'TB 1225'!$A4,'Raw TB 1225'!E:E)</f>
        <v>60436186</v>
      </c>
      <c r="E4" s="492">
        <f>SUMIF('Raw TB 1225'!$B:$B,'TB 1225'!$A4,'Raw TB 1225'!F:F)</f>
        <v>75481262</v>
      </c>
      <c r="F4" s="492">
        <f t="shared" ref="F4:F67" si="1">E4/10^3</f>
        <v>75481.262000000002</v>
      </c>
      <c r="G4" s="502" t="s">
        <v>181</v>
      </c>
      <c r="H4" s="491" t="s">
        <v>79</v>
      </c>
      <c r="I4" s="491"/>
      <c r="K4" s="493" t="s">
        <v>1235</v>
      </c>
      <c r="L4" s="498">
        <v>1842219</v>
      </c>
      <c r="M4" s="494">
        <f t="shared" ref="M4:M9" si="2">L4/10^3</f>
        <v>1842.2190000000001</v>
      </c>
      <c r="O4" s="485" t="s">
        <v>1568</v>
      </c>
      <c r="P4" s="486">
        <v>121686117.40000001</v>
      </c>
      <c r="Q4" s="513"/>
      <c r="R4" s="485" t="s">
        <v>1615</v>
      </c>
      <c r="S4" s="486">
        <v>62141532.5</v>
      </c>
      <c r="T4" s="513"/>
      <c r="U4" s="485" t="s">
        <v>1569</v>
      </c>
      <c r="V4" s="514">
        <f>S6</f>
        <v>20859296</v>
      </c>
    </row>
    <row r="5" spans="1:22" hidden="1" x14ac:dyDescent="0.35">
      <c r="A5" s="491" t="s">
        <v>1433</v>
      </c>
      <c r="B5" s="492">
        <f>SUMIF('Raw TB 1225'!$B:$B,'TB 1225'!$A5,'Raw TB 1225'!C:C)</f>
        <v>-1482757.6</v>
      </c>
      <c r="C5" s="492">
        <f>SUMIF('Raw TB 1225'!$B:$B,'TB 1225'!$A5,'Raw TB 1225'!D:D)</f>
        <v>0</v>
      </c>
      <c r="D5" s="492">
        <f>SUMIF('Raw TB 1225'!$B:$B,'TB 1225'!$A5,'Raw TB 1225'!E:E)</f>
        <v>462364.89</v>
      </c>
      <c r="E5" s="492">
        <f>SUMIF('Raw TB 1225'!$B:$B,'TB 1225'!$A5,'Raw TB 1225'!F:F)</f>
        <v>-1945122.49</v>
      </c>
      <c r="F5" s="492">
        <f t="shared" si="1"/>
        <v>-1945.12249</v>
      </c>
      <c r="G5" s="502" t="s">
        <v>181</v>
      </c>
      <c r="H5" s="491" t="s">
        <v>71</v>
      </c>
      <c r="I5" s="491"/>
      <c r="K5" s="493" t="s">
        <v>1290</v>
      </c>
      <c r="L5" s="498">
        <v>1188507</v>
      </c>
      <c r="M5" s="494">
        <f t="shared" si="2"/>
        <v>1188.5070000000001</v>
      </c>
      <c r="O5" s="485" t="s">
        <v>27</v>
      </c>
      <c r="P5" s="486">
        <v>5073887.3740311926</v>
      </c>
      <c r="Q5" s="513"/>
      <c r="R5" s="485" t="s">
        <v>1563</v>
      </c>
      <c r="S5" s="486">
        <v>41282228</v>
      </c>
      <c r="T5" s="513"/>
      <c r="U5" s="485" t="s">
        <v>1570</v>
      </c>
      <c r="V5" s="514">
        <v>-9988940.7900011595</v>
      </c>
    </row>
    <row r="6" spans="1:22" hidden="1" x14ac:dyDescent="0.35">
      <c r="A6" s="491" t="s">
        <v>562</v>
      </c>
      <c r="B6" s="492">
        <f>SUMIF('Raw TB 1225'!$B:$B,'TB 1225'!$A6,'Raw TB 1225'!C:C)</f>
        <v>-2700081.75</v>
      </c>
      <c r="C6" s="492">
        <f>SUMIF('Raw TB 1225'!$B:$B,'TB 1225'!$A6,'Raw TB 1225'!D:D)</f>
        <v>0</v>
      </c>
      <c r="D6" s="492">
        <f>SUMIF('Raw TB 1225'!$B:$B,'TB 1225'!$A6,'Raw TB 1225'!E:E)</f>
        <v>691820.18</v>
      </c>
      <c r="E6" s="492">
        <f>SUMIF('Raw TB 1225'!$B:$B,'TB 1225'!$A6,'Raw TB 1225'!F:F)</f>
        <v>-3391901.93</v>
      </c>
      <c r="F6" s="492">
        <f t="shared" si="1"/>
        <v>-3391.90193</v>
      </c>
      <c r="G6" s="502" t="s">
        <v>181</v>
      </c>
      <c r="H6" s="491" t="s">
        <v>71</v>
      </c>
      <c r="I6" s="491"/>
      <c r="K6" s="493" t="s">
        <v>31</v>
      </c>
      <c r="L6" s="498">
        <v>789156</v>
      </c>
      <c r="M6" s="494">
        <f t="shared" si="2"/>
        <v>789.15599999999995</v>
      </c>
      <c r="O6" s="485" t="s">
        <v>1571</v>
      </c>
      <c r="P6" s="486">
        <v>11825540.970000001</v>
      </c>
      <c r="Q6" s="513"/>
      <c r="R6" s="485" t="s">
        <v>279</v>
      </c>
      <c r="S6" s="486">
        <v>20859296</v>
      </c>
      <c r="T6" s="513"/>
      <c r="U6" s="485" t="s">
        <v>1572</v>
      </c>
      <c r="V6" s="515"/>
    </row>
    <row r="7" spans="1:22" hidden="1" x14ac:dyDescent="0.35">
      <c r="A7" s="491" t="s">
        <v>772</v>
      </c>
      <c r="B7" s="492">
        <f>SUMIF('Raw TB 1225'!$B:$B,'TB 1225'!$A7,'Raw TB 1225'!C:C)</f>
        <v>-98029.69</v>
      </c>
      <c r="C7" s="492">
        <f>SUMIF('Raw TB 1225'!$B:$B,'TB 1225'!$A7,'Raw TB 1225'!D:D)</f>
        <v>0</v>
      </c>
      <c r="D7" s="492">
        <f>SUMIF('Raw TB 1225'!$B:$B,'TB 1225'!$A7,'Raw TB 1225'!E:E)</f>
        <v>11370.3</v>
      </c>
      <c r="E7" s="492">
        <f>SUMIF('Raw TB 1225'!$B:$B,'TB 1225'!$A7,'Raw TB 1225'!F:F)</f>
        <v>-109399.99</v>
      </c>
      <c r="F7" s="492">
        <f t="shared" si="1"/>
        <v>-109.39999</v>
      </c>
      <c r="G7" s="502" t="s">
        <v>181</v>
      </c>
      <c r="H7" s="491" t="s">
        <v>71</v>
      </c>
      <c r="I7" s="491"/>
      <c r="K7" s="493" t="s">
        <v>417</v>
      </c>
      <c r="L7" s="498">
        <f>36471796-11000</f>
        <v>36460796</v>
      </c>
      <c r="M7" s="494">
        <f t="shared" si="2"/>
        <v>36460.796000000002</v>
      </c>
      <c r="O7" s="487" t="s">
        <v>1614</v>
      </c>
      <c r="P7" s="550">
        <v>1834914.1400013231</v>
      </c>
      <c r="Q7" s="515"/>
      <c r="R7" s="487" t="s">
        <v>1564</v>
      </c>
      <c r="S7" s="550">
        <f>S4-S5-S6</f>
        <v>8.5</v>
      </c>
      <c r="T7" s="485"/>
      <c r="U7" s="487" t="s">
        <v>277</v>
      </c>
      <c r="V7" s="516">
        <f>SUM(V4:V6)</f>
        <v>10870355.20999884</v>
      </c>
    </row>
    <row r="8" spans="1:22" hidden="1" x14ac:dyDescent="0.35">
      <c r="A8" s="491" t="s">
        <v>198</v>
      </c>
      <c r="B8" s="492">
        <f>SUMIF('Raw TB 1225'!$B:$B,'TB 1225'!$A8,'Raw TB 1225'!C:C)</f>
        <v>-116822.47</v>
      </c>
      <c r="C8" s="492">
        <f>SUMIF('Raw TB 1225'!$B:$B,'TB 1225'!$A8,'Raw TB 1225'!D:D)</f>
        <v>0</v>
      </c>
      <c r="D8" s="492">
        <f>SUMIF('Raw TB 1225'!$B:$B,'TB 1225'!$A8,'Raw TB 1225'!E:E)</f>
        <v>18733.169999999998</v>
      </c>
      <c r="E8" s="492">
        <f>SUMIF('Raw TB 1225'!$B:$B,'TB 1225'!$A8,'Raw TB 1225'!F:F)</f>
        <v>-135555.64000000001</v>
      </c>
      <c r="F8" s="492">
        <f t="shared" si="1"/>
        <v>-135.55564000000001</v>
      </c>
      <c r="G8" s="502" t="s">
        <v>181</v>
      </c>
      <c r="H8" s="491" t="s">
        <v>71</v>
      </c>
      <c r="I8" s="491"/>
      <c r="K8" s="493" t="s">
        <v>1291</v>
      </c>
      <c r="L8" s="498">
        <f>625000+1596399.52+741000</f>
        <v>2962399.52</v>
      </c>
      <c r="M8" s="494">
        <f t="shared" si="2"/>
        <v>2962.3995199999999</v>
      </c>
      <c r="O8" s="488" t="s">
        <v>1573</v>
      </c>
      <c r="P8" s="489">
        <f>P4+P5-P6+P7</f>
        <v>116769377.94403252</v>
      </c>
      <c r="Q8" s="511"/>
      <c r="R8" s="488" t="s">
        <v>1563</v>
      </c>
      <c r="S8" s="489">
        <f>S5</f>
        <v>41282228</v>
      </c>
      <c r="T8" s="511"/>
      <c r="U8" s="488" t="s">
        <v>1567</v>
      </c>
      <c r="V8" s="517">
        <f>V7</f>
        <v>10870355.20999884</v>
      </c>
    </row>
    <row r="9" spans="1:22" hidden="1" x14ac:dyDescent="0.35">
      <c r="A9" s="491" t="s">
        <v>967</v>
      </c>
      <c r="B9" s="492">
        <f>SUMIF('Raw TB 1225'!$B:$B,'TB 1225'!$A9,'Raw TB 1225'!C:C)</f>
        <v>8756066.3599999994</v>
      </c>
      <c r="C9" s="492">
        <f>SUMIF('Raw TB 1225'!$B:$B,'TB 1225'!$A9,'Raw TB 1225'!D:D)</f>
        <v>11524661</v>
      </c>
      <c r="D9" s="492">
        <f>SUMIF('Raw TB 1225'!$B:$B,'TB 1225'!$A9,'Raw TB 1225'!E:E)</f>
        <v>99062.88</v>
      </c>
      <c r="E9" s="492">
        <f>SUMIF('Raw TB 1225'!$B:$B,'TB 1225'!$A9,'Raw TB 1225'!F:F)</f>
        <v>20181664.48</v>
      </c>
      <c r="F9" s="492">
        <f t="shared" si="1"/>
        <v>20181.664479999999</v>
      </c>
      <c r="G9" s="502" t="s">
        <v>181</v>
      </c>
      <c r="H9" s="491" t="s">
        <v>79</v>
      </c>
      <c r="I9" s="491"/>
      <c r="K9" s="495" t="s">
        <v>1292</v>
      </c>
      <c r="L9" s="499">
        <v>128807</v>
      </c>
      <c r="M9" s="497">
        <f t="shared" si="2"/>
        <v>128.80699999999999</v>
      </c>
    </row>
    <row r="10" spans="1:22" hidden="1" x14ac:dyDescent="0.35">
      <c r="A10" s="491" t="s">
        <v>365</v>
      </c>
      <c r="B10" s="492">
        <f>SUMIF('Raw TB 1225'!$B:$B,'TB 1225'!$A10,'Raw TB 1225'!C:C)</f>
        <v>305.98</v>
      </c>
      <c r="C10" s="492">
        <f>SUMIF('Raw TB 1225'!$B:$B,'TB 1225'!$A10,'Raw TB 1225'!D:D)</f>
        <v>0</v>
      </c>
      <c r="D10" s="492">
        <f>SUMIF('Raw TB 1225'!$B:$B,'TB 1225'!$A10,'Raw TB 1225'!E:E)</f>
        <v>0</v>
      </c>
      <c r="E10" s="492">
        <f>SUMIF('Raw TB 1225'!$B:$B,'TB 1225'!$A10,'Raw TB 1225'!F:F)</f>
        <v>305.98</v>
      </c>
      <c r="F10" s="492">
        <f t="shared" si="1"/>
        <v>0.30598000000000003</v>
      </c>
      <c r="G10" s="502" t="s">
        <v>181</v>
      </c>
      <c r="H10" s="491" t="s">
        <v>79</v>
      </c>
      <c r="I10" s="491"/>
      <c r="K10" s="495"/>
      <c r="L10" s="500">
        <f>SUM(L3:L9)</f>
        <v>43464167.520000003</v>
      </c>
      <c r="M10" s="496">
        <f>SUM(M3:M9)</f>
        <v>43464.167520000003</v>
      </c>
    </row>
    <row r="11" spans="1:22" hidden="1" x14ac:dyDescent="0.35">
      <c r="A11" s="491" t="s">
        <v>563</v>
      </c>
      <c r="B11" s="492">
        <f>SUMIF('Raw TB 1225'!$B:$B,'TB 1225'!$A11,'Raw TB 1225'!C:C)</f>
        <v>11810.34</v>
      </c>
      <c r="C11" s="492">
        <f>SUMIF('Raw TB 1225'!$B:$B,'TB 1225'!$A11,'Raw TB 1225'!D:D)</f>
        <v>3131680</v>
      </c>
      <c r="D11" s="492">
        <f>SUMIF('Raw TB 1225'!$B:$B,'TB 1225'!$A11,'Raw TB 1225'!E:E)</f>
        <v>2916665.28</v>
      </c>
      <c r="E11" s="492">
        <f>SUMIF('Raw TB 1225'!$B:$B,'TB 1225'!$A11,'Raw TB 1225'!F:F)</f>
        <v>226825.06</v>
      </c>
      <c r="F11" s="492">
        <f t="shared" si="1"/>
        <v>226.82506000000001</v>
      </c>
      <c r="G11" s="502" t="s">
        <v>181</v>
      </c>
      <c r="H11" s="491" t="s">
        <v>78</v>
      </c>
      <c r="I11" s="491"/>
      <c r="L11" s="206">
        <f>L10-E106-E124</f>
        <v>0</v>
      </c>
    </row>
    <row r="12" spans="1:22" hidden="1" x14ac:dyDescent="0.35">
      <c r="A12" s="491" t="s">
        <v>564</v>
      </c>
      <c r="B12" s="492">
        <f>SUMIF('Raw TB 1225'!$B:$B,'TB 1225'!$A12,'Raw TB 1225'!C:C)</f>
        <v>25524871.030000001</v>
      </c>
      <c r="C12" s="492">
        <f>SUMIF('Raw TB 1225'!$B:$B,'TB 1225'!$A12,'Raw TB 1225'!D:D)</f>
        <v>330880</v>
      </c>
      <c r="D12" s="492">
        <f>SUMIF('Raw TB 1225'!$B:$B,'TB 1225'!$A12,'Raw TB 1225'!E:E)</f>
        <v>0</v>
      </c>
      <c r="E12" s="492">
        <f>SUMIF('Raw TB 1225'!$B:$B,'TB 1225'!$A12,'Raw TB 1225'!F:F)</f>
        <v>25855751.030000001</v>
      </c>
      <c r="F12" s="492">
        <f t="shared" si="1"/>
        <v>25855.751029999999</v>
      </c>
      <c r="G12" s="502" t="s">
        <v>181</v>
      </c>
      <c r="H12" s="491" t="s">
        <v>71</v>
      </c>
      <c r="I12" s="491" t="s">
        <v>1397</v>
      </c>
    </row>
    <row r="13" spans="1:22" hidden="1" x14ac:dyDescent="0.35">
      <c r="A13" s="491" t="s">
        <v>1293</v>
      </c>
      <c r="B13" s="492">
        <f>SUMIF('Raw TB 1225'!$B:$B,'TB 1225'!$A13,'Raw TB 1225'!C:C)</f>
        <v>3400180.68</v>
      </c>
      <c r="C13" s="492">
        <f>SUMIF('Raw TB 1225'!$B:$B,'TB 1225'!$A13,'Raw TB 1225'!D:D)</f>
        <v>10206713</v>
      </c>
      <c r="D13" s="492">
        <f>SUMIF('Raw TB 1225'!$B:$B,'TB 1225'!$A13,'Raw TB 1225'!E:E)</f>
        <v>8231916</v>
      </c>
      <c r="E13" s="492">
        <f>SUMIF('Raw TB 1225'!$B:$B,'TB 1225'!$A13,'Raw TB 1225'!F:F)</f>
        <v>5374977.6799999997</v>
      </c>
      <c r="F13" s="492">
        <f t="shared" si="1"/>
        <v>5374.97768</v>
      </c>
      <c r="G13" s="502" t="s">
        <v>181</v>
      </c>
      <c r="H13" s="491" t="s">
        <v>79</v>
      </c>
      <c r="I13" s="491"/>
    </row>
    <row r="14" spans="1:22" hidden="1" x14ac:dyDescent="0.35">
      <c r="A14" s="491" t="s">
        <v>693</v>
      </c>
      <c r="B14" s="492">
        <f>SUMIF('Raw TB 1225'!$B:$B,'TB 1225'!$A14,'Raw TB 1225'!C:C)</f>
        <v>704611.34</v>
      </c>
      <c r="C14" s="492">
        <f>SUMIF('Raw TB 1225'!$B:$B,'TB 1225'!$A14,'Raw TB 1225'!D:D)</f>
        <v>0</v>
      </c>
      <c r="D14" s="492">
        <f>SUMIF('Raw TB 1225'!$B:$B,'TB 1225'!$A14,'Raw TB 1225'!E:E)</f>
        <v>0</v>
      </c>
      <c r="E14" s="492">
        <f>SUMIF('Raw TB 1225'!$B:$B,'TB 1225'!$A14,'Raw TB 1225'!F:F)</f>
        <v>704611.34</v>
      </c>
      <c r="F14" s="492">
        <f t="shared" si="1"/>
        <v>704.61133999999993</v>
      </c>
      <c r="G14" s="502" t="s">
        <v>181</v>
      </c>
      <c r="H14" s="491" t="s">
        <v>71</v>
      </c>
      <c r="I14" s="491" t="s">
        <v>1397</v>
      </c>
      <c r="L14" s="206"/>
    </row>
    <row r="15" spans="1:22" hidden="1" x14ac:dyDescent="0.35">
      <c r="A15" s="491" t="s">
        <v>714</v>
      </c>
      <c r="B15" s="492">
        <f>SUMIF('Raw TB 1225'!$B:$B,'TB 1225'!$A15,'Raw TB 1225'!C:C)</f>
        <v>245099.7</v>
      </c>
      <c r="C15" s="492">
        <f>SUMIF('Raw TB 1225'!$B:$B,'TB 1225'!$A15,'Raw TB 1225'!D:D)</f>
        <v>191216843.90000001</v>
      </c>
      <c r="D15" s="492">
        <f>SUMIF('Raw TB 1225'!$B:$B,'TB 1225'!$A15,'Raw TB 1225'!E:E)</f>
        <v>191400430.80000001</v>
      </c>
      <c r="E15" s="492">
        <f>SUMIF('Raw TB 1225'!$B:$B,'TB 1225'!$A15,'Raw TB 1225'!F:F)</f>
        <v>61512.800000000003</v>
      </c>
      <c r="F15" s="492">
        <f t="shared" si="1"/>
        <v>61.512800000000006</v>
      </c>
      <c r="G15" s="502" t="s">
        <v>181</v>
      </c>
      <c r="H15" s="491" t="s">
        <v>78</v>
      </c>
      <c r="I15" s="491"/>
      <c r="L15" s="396"/>
    </row>
    <row r="16" spans="1:22" hidden="1" x14ac:dyDescent="0.35">
      <c r="A16" s="491" t="s">
        <v>715</v>
      </c>
      <c r="B16" s="492">
        <f>SUMIF('Raw TB 1225'!$B:$B,'TB 1225'!$A16,'Raw TB 1225'!C:C)</f>
        <v>449633.35</v>
      </c>
      <c r="C16" s="492">
        <f>SUMIF('Raw TB 1225'!$B:$B,'TB 1225'!$A16,'Raw TB 1225'!D:D)</f>
        <v>1080430.8</v>
      </c>
      <c r="D16" s="492">
        <f>SUMIF('Raw TB 1225'!$B:$B,'TB 1225'!$A16,'Raw TB 1225'!E:E)</f>
        <v>1406225.65</v>
      </c>
      <c r="E16" s="492">
        <f>SUMIF('Raw TB 1225'!$B:$B,'TB 1225'!$A16,'Raw TB 1225'!F:F)</f>
        <v>123838.5</v>
      </c>
      <c r="F16" s="492">
        <f t="shared" si="1"/>
        <v>123.8385</v>
      </c>
      <c r="G16" s="502" t="s">
        <v>181</v>
      </c>
      <c r="H16" s="491" t="s">
        <v>78</v>
      </c>
      <c r="I16" s="491"/>
      <c r="L16" s="206"/>
    </row>
    <row r="17" spans="1:9" hidden="1" x14ac:dyDescent="0.35">
      <c r="A17" s="491" t="s">
        <v>565</v>
      </c>
      <c r="B17" s="492">
        <f>SUMIF('Raw TB 1225'!$B:$B,'TB 1225'!$A17,'Raw TB 1225'!C:C)</f>
        <v>15716937.25</v>
      </c>
      <c r="C17" s="492">
        <f>SUMIF('Raw TB 1225'!$B:$B,'TB 1225'!$A17,'Raw TB 1225'!D:D)</f>
        <v>4065386.06</v>
      </c>
      <c r="D17" s="492">
        <f>SUMIF('Raw TB 1225'!$B:$B,'TB 1225'!$A17,'Raw TB 1225'!E:E)</f>
        <v>0</v>
      </c>
      <c r="E17" s="492">
        <f>SUMIF('Raw TB 1225'!$B:$B,'TB 1225'!$A17,'Raw TB 1225'!F:F)</f>
        <v>19782323.309999999</v>
      </c>
      <c r="F17" s="492">
        <f t="shared" si="1"/>
        <v>19782.32331</v>
      </c>
      <c r="G17" s="502" t="s">
        <v>181</v>
      </c>
      <c r="H17" s="491" t="s">
        <v>79</v>
      </c>
      <c r="I17" s="491"/>
    </row>
    <row r="18" spans="1:9" hidden="1" x14ac:dyDescent="0.35">
      <c r="A18" s="491" t="s">
        <v>566</v>
      </c>
      <c r="B18" s="492">
        <f>SUMIF('Raw TB 1225'!$B:$B,'TB 1225'!$A18,'Raw TB 1225'!C:C)</f>
        <v>10163830.689999999</v>
      </c>
      <c r="C18" s="492">
        <f>SUMIF('Raw TB 1225'!$B:$B,'TB 1225'!$A18,'Raw TB 1225'!D:D)</f>
        <v>3645771.78</v>
      </c>
      <c r="D18" s="492">
        <f>SUMIF('Raw TB 1225'!$B:$B,'TB 1225'!$A18,'Raw TB 1225'!E:E)</f>
        <v>2009906</v>
      </c>
      <c r="E18" s="492">
        <f>SUMIF('Raw TB 1225'!$B:$B,'TB 1225'!$A18,'Raw TB 1225'!F:F)</f>
        <v>11799696.470000001</v>
      </c>
      <c r="F18" s="492">
        <f t="shared" si="1"/>
        <v>11799.696470000001</v>
      </c>
      <c r="G18" s="502" t="s">
        <v>181</v>
      </c>
      <c r="H18" s="491" t="s">
        <v>79</v>
      </c>
      <c r="I18" s="491"/>
    </row>
    <row r="19" spans="1:9" hidden="1" x14ac:dyDescent="0.35">
      <c r="A19" s="491" t="s">
        <v>567</v>
      </c>
      <c r="B19" s="492">
        <f>SUMIF('Raw TB 1225'!$B:$B,'TB 1225'!$A19,'Raw TB 1225'!C:C)</f>
        <v>15648579.310000001</v>
      </c>
      <c r="C19" s="492">
        <f>SUMIF('Raw TB 1225'!$B:$B,'TB 1225'!$A19,'Raw TB 1225'!D:D)</f>
        <v>4065386.06</v>
      </c>
      <c r="D19" s="492">
        <f>SUMIF('Raw TB 1225'!$B:$B,'TB 1225'!$A19,'Raw TB 1225'!E:E)</f>
        <v>0</v>
      </c>
      <c r="E19" s="492">
        <f>SUMIF('Raw TB 1225'!$B:$B,'TB 1225'!$A19,'Raw TB 1225'!F:F)</f>
        <v>19713965.370000001</v>
      </c>
      <c r="F19" s="492">
        <f t="shared" si="1"/>
        <v>19713.965370000002</v>
      </c>
      <c r="G19" s="502" t="s">
        <v>181</v>
      </c>
      <c r="H19" s="491" t="s">
        <v>79</v>
      </c>
      <c r="I19" s="491"/>
    </row>
    <row r="20" spans="1:9" hidden="1" x14ac:dyDescent="0.35">
      <c r="A20" s="491" t="s">
        <v>1352</v>
      </c>
      <c r="B20" s="492">
        <f>SUMIF('Raw TB 1225'!$B:$B,'TB 1225'!$A20,'Raw TB 1225'!C:C)</f>
        <v>59997000.149999999</v>
      </c>
      <c r="C20" s="492">
        <f>SUMIF('Raw TB 1225'!$B:$B,'TB 1225'!$A20,'Raw TB 1225'!D:D)</f>
        <v>0</v>
      </c>
      <c r="D20" s="492">
        <f>SUMIF('Raw TB 1225'!$B:$B,'TB 1225'!$A20,'Raw TB 1225'!E:E)</f>
        <v>0</v>
      </c>
      <c r="E20" s="492">
        <f>SUMIF('Raw TB 1225'!$B:$B,'TB 1225'!$A20,'Raw TB 1225'!F:F)</f>
        <v>59997000.149999999</v>
      </c>
      <c r="F20" s="492">
        <f t="shared" si="1"/>
        <v>59997.00015</v>
      </c>
      <c r="G20" s="502" t="s">
        <v>181</v>
      </c>
      <c r="H20" s="491" t="s">
        <v>76</v>
      </c>
      <c r="I20" s="491"/>
    </row>
    <row r="21" spans="1:9" hidden="1" x14ac:dyDescent="0.35">
      <c r="A21" s="491" t="s">
        <v>1239</v>
      </c>
      <c r="B21" s="492">
        <f>SUMIF('Raw TB 1225'!$B:$B,'TB 1225'!$A21,'Raw TB 1225'!C:C)</f>
        <v>0</v>
      </c>
      <c r="C21" s="492">
        <f>SUMIF('Raw TB 1225'!$B:$B,'TB 1225'!$A21,'Raw TB 1225'!D:D)</f>
        <v>0</v>
      </c>
      <c r="D21" s="492">
        <f>SUMIF('Raw TB 1225'!$B:$B,'TB 1225'!$A21,'Raw TB 1225'!E:E)</f>
        <v>0</v>
      </c>
      <c r="E21" s="492">
        <f>SUMIF('Raw TB 1225'!$B:$B,'TB 1225'!$A21,'Raw TB 1225'!F:F)</f>
        <v>0</v>
      </c>
      <c r="F21" s="492">
        <f t="shared" si="1"/>
        <v>0</v>
      </c>
      <c r="G21" s="502" t="s">
        <v>181</v>
      </c>
      <c r="H21" s="491" t="s">
        <v>76</v>
      </c>
      <c r="I21" s="491"/>
    </row>
    <row r="22" spans="1:9" hidden="1" x14ac:dyDescent="0.35">
      <c r="A22" s="491" t="s">
        <v>1240</v>
      </c>
      <c r="B22" s="492">
        <f>SUMIF('Raw TB 1225'!$B:$B,'TB 1225'!$A22,'Raw TB 1225'!C:C)</f>
        <v>100000000</v>
      </c>
      <c r="C22" s="492">
        <f>SUMIF('Raw TB 1225'!$B:$B,'TB 1225'!$A22,'Raw TB 1225'!D:D)</f>
        <v>0</v>
      </c>
      <c r="D22" s="492">
        <f>SUMIF('Raw TB 1225'!$B:$B,'TB 1225'!$A22,'Raw TB 1225'!E:E)</f>
        <v>100000000</v>
      </c>
      <c r="E22" s="492">
        <f>SUMIF('Raw TB 1225'!$B:$B,'TB 1225'!$A22,'Raw TB 1225'!F:F)</f>
        <v>0</v>
      </c>
      <c r="F22" s="492">
        <f t="shared" si="1"/>
        <v>0</v>
      </c>
      <c r="G22" s="502" t="s">
        <v>181</v>
      </c>
      <c r="H22" s="491" t="s">
        <v>76</v>
      </c>
      <c r="I22" s="491"/>
    </row>
    <row r="23" spans="1:9" hidden="1" x14ac:dyDescent="0.35">
      <c r="A23" s="491" t="s">
        <v>1241</v>
      </c>
      <c r="B23" s="492">
        <f>SUMIF('Raw TB 1225'!$B:$B,'TB 1225'!$A23,'Raw TB 1225'!C:C)</f>
        <v>150000000</v>
      </c>
      <c r="C23" s="492">
        <f>SUMIF('Raw TB 1225'!$B:$B,'TB 1225'!$A23,'Raw TB 1225'!D:D)</f>
        <v>0</v>
      </c>
      <c r="D23" s="492">
        <f>SUMIF('Raw TB 1225'!$B:$B,'TB 1225'!$A23,'Raw TB 1225'!E:E)</f>
        <v>0</v>
      </c>
      <c r="E23" s="492">
        <f>SUMIF('Raw TB 1225'!$B:$B,'TB 1225'!$A23,'Raw TB 1225'!F:F)</f>
        <v>150000000</v>
      </c>
      <c r="F23" s="492">
        <f t="shared" si="1"/>
        <v>150000</v>
      </c>
      <c r="G23" s="502" t="s">
        <v>181</v>
      </c>
      <c r="H23" s="491" t="s">
        <v>76</v>
      </c>
      <c r="I23" s="491"/>
    </row>
    <row r="24" spans="1:9" hidden="1" x14ac:dyDescent="0.35">
      <c r="A24" s="491" t="s">
        <v>1242</v>
      </c>
      <c r="B24" s="492">
        <f>SUMIF('Raw TB 1225'!$B:$B,'TB 1225'!$A24,'Raw TB 1225'!C:C)</f>
        <v>300000000</v>
      </c>
      <c r="C24" s="492">
        <f>SUMIF('Raw TB 1225'!$B:$B,'TB 1225'!$A24,'Raw TB 1225'!D:D)</f>
        <v>0</v>
      </c>
      <c r="D24" s="492">
        <f>SUMIF('Raw TB 1225'!$B:$B,'TB 1225'!$A24,'Raw TB 1225'!E:E)</f>
        <v>0</v>
      </c>
      <c r="E24" s="492">
        <f>SUMIF('Raw TB 1225'!$B:$B,'TB 1225'!$A24,'Raw TB 1225'!F:F)</f>
        <v>300000000</v>
      </c>
      <c r="F24" s="492">
        <f t="shared" si="1"/>
        <v>300000</v>
      </c>
      <c r="G24" s="502" t="s">
        <v>181</v>
      </c>
      <c r="H24" s="491" t="s">
        <v>76</v>
      </c>
      <c r="I24" s="491"/>
    </row>
    <row r="25" spans="1:9" hidden="1" x14ac:dyDescent="0.35">
      <c r="A25" s="491" t="s">
        <v>1243</v>
      </c>
      <c r="B25" s="492">
        <f>SUMIF('Raw TB 1225'!$B:$B,'TB 1225'!$A25,'Raw TB 1225'!C:C)</f>
        <v>100000000</v>
      </c>
      <c r="C25" s="492">
        <f>SUMIF('Raw TB 1225'!$B:$B,'TB 1225'!$A25,'Raw TB 1225'!D:D)</f>
        <v>0</v>
      </c>
      <c r="D25" s="492">
        <f>SUMIF('Raw TB 1225'!$B:$B,'TB 1225'!$A25,'Raw TB 1225'!E:E)</f>
        <v>0</v>
      </c>
      <c r="E25" s="492">
        <f>SUMIF('Raw TB 1225'!$B:$B,'TB 1225'!$A25,'Raw TB 1225'!F:F)</f>
        <v>100000000</v>
      </c>
      <c r="F25" s="492">
        <f t="shared" si="1"/>
        <v>100000</v>
      </c>
      <c r="G25" s="502" t="s">
        <v>181</v>
      </c>
      <c r="H25" s="491" t="s">
        <v>76</v>
      </c>
      <c r="I25" s="491"/>
    </row>
    <row r="26" spans="1:9" hidden="1" x14ac:dyDescent="0.35">
      <c r="A26" s="491" t="s">
        <v>1244</v>
      </c>
      <c r="B26" s="492">
        <f>SUMIF('Raw TB 1225'!$B:$B,'TB 1225'!$A26,'Raw TB 1225'!C:C)</f>
        <v>150000000</v>
      </c>
      <c r="C26" s="492">
        <f>SUMIF('Raw TB 1225'!$B:$B,'TB 1225'!$A26,'Raw TB 1225'!D:D)</f>
        <v>0</v>
      </c>
      <c r="D26" s="492">
        <f>SUMIF('Raw TB 1225'!$B:$B,'TB 1225'!$A26,'Raw TB 1225'!E:E)</f>
        <v>0</v>
      </c>
      <c r="E26" s="492">
        <f>SUMIF('Raw TB 1225'!$B:$B,'TB 1225'!$A26,'Raw TB 1225'!F:F)</f>
        <v>150000000</v>
      </c>
      <c r="F26" s="492">
        <f t="shared" si="1"/>
        <v>150000</v>
      </c>
      <c r="G26" s="502" t="s">
        <v>181</v>
      </c>
      <c r="H26" s="491" t="s">
        <v>76</v>
      </c>
      <c r="I26" s="491"/>
    </row>
    <row r="27" spans="1:9" hidden="1" x14ac:dyDescent="0.35">
      <c r="A27" s="491" t="s">
        <v>1245</v>
      </c>
      <c r="B27" s="492">
        <f>SUMIF('Raw TB 1225'!$B:$B,'TB 1225'!$A27,'Raw TB 1225'!C:C)</f>
        <v>150000000</v>
      </c>
      <c r="C27" s="492">
        <f>SUMIF('Raw TB 1225'!$B:$B,'TB 1225'!$A27,'Raw TB 1225'!D:D)</f>
        <v>0</v>
      </c>
      <c r="D27" s="492">
        <f>SUMIF('Raw TB 1225'!$B:$B,'TB 1225'!$A27,'Raw TB 1225'!E:E)</f>
        <v>0</v>
      </c>
      <c r="E27" s="492">
        <f>SUMIF('Raw TB 1225'!$B:$B,'TB 1225'!$A27,'Raw TB 1225'!F:F)</f>
        <v>150000000</v>
      </c>
      <c r="F27" s="492">
        <f t="shared" si="1"/>
        <v>150000</v>
      </c>
      <c r="G27" s="502" t="s">
        <v>181</v>
      </c>
      <c r="H27" s="491" t="s">
        <v>76</v>
      </c>
      <c r="I27" s="491"/>
    </row>
    <row r="28" spans="1:9" hidden="1" x14ac:dyDescent="0.35">
      <c r="A28" s="491" t="s">
        <v>1246</v>
      </c>
      <c r="B28" s="492">
        <f>SUMIF('Raw TB 1225'!$B:$B,'TB 1225'!$A28,'Raw TB 1225'!C:C)</f>
        <v>180000000</v>
      </c>
      <c r="C28" s="492">
        <f>SUMIF('Raw TB 1225'!$B:$B,'TB 1225'!$A28,'Raw TB 1225'!D:D)</f>
        <v>0</v>
      </c>
      <c r="D28" s="492">
        <f>SUMIF('Raw TB 1225'!$B:$B,'TB 1225'!$A28,'Raw TB 1225'!E:E)</f>
        <v>0</v>
      </c>
      <c r="E28" s="492">
        <f>SUMIF('Raw TB 1225'!$B:$B,'TB 1225'!$A28,'Raw TB 1225'!F:F)</f>
        <v>180000000</v>
      </c>
      <c r="F28" s="492">
        <f t="shared" si="1"/>
        <v>180000</v>
      </c>
      <c r="G28" s="502" t="s">
        <v>181</v>
      </c>
      <c r="H28" s="491" t="s">
        <v>76</v>
      </c>
      <c r="I28" s="491"/>
    </row>
    <row r="29" spans="1:9" hidden="1" x14ac:dyDescent="0.35">
      <c r="A29" s="491" t="s">
        <v>1247</v>
      </c>
      <c r="B29" s="492">
        <f>SUMIF('Raw TB 1225'!$B:$B,'TB 1225'!$A29,'Raw TB 1225'!C:C)</f>
        <v>170000000</v>
      </c>
      <c r="C29" s="492">
        <f>SUMIF('Raw TB 1225'!$B:$B,'TB 1225'!$A29,'Raw TB 1225'!D:D)</f>
        <v>0</v>
      </c>
      <c r="D29" s="492">
        <f>SUMIF('Raw TB 1225'!$B:$B,'TB 1225'!$A29,'Raw TB 1225'!E:E)</f>
        <v>0</v>
      </c>
      <c r="E29" s="492">
        <f>SUMIF('Raw TB 1225'!$B:$B,'TB 1225'!$A29,'Raw TB 1225'!F:F)</f>
        <v>170000000</v>
      </c>
      <c r="F29" s="492">
        <f t="shared" si="1"/>
        <v>170000</v>
      </c>
      <c r="G29" s="502" t="s">
        <v>181</v>
      </c>
      <c r="H29" s="491" t="s">
        <v>76</v>
      </c>
      <c r="I29" s="491"/>
    </row>
    <row r="30" spans="1:9" hidden="1" x14ac:dyDescent="0.35">
      <c r="A30" s="491" t="s">
        <v>1248</v>
      </c>
      <c r="B30" s="492">
        <f>SUMIF('Raw TB 1225'!$B:$B,'TB 1225'!$A30,'Raw TB 1225'!C:C)</f>
        <v>17000000</v>
      </c>
      <c r="C30" s="492">
        <f>SUMIF('Raw TB 1225'!$B:$B,'TB 1225'!$A30,'Raw TB 1225'!D:D)</f>
        <v>0</v>
      </c>
      <c r="D30" s="492">
        <f>SUMIF('Raw TB 1225'!$B:$B,'TB 1225'!$A30,'Raw TB 1225'!E:E)</f>
        <v>0</v>
      </c>
      <c r="E30" s="492">
        <f>SUMIF('Raw TB 1225'!$B:$B,'TB 1225'!$A30,'Raw TB 1225'!F:F)</f>
        <v>17000000</v>
      </c>
      <c r="F30" s="492">
        <f t="shared" si="1"/>
        <v>17000</v>
      </c>
      <c r="G30" s="502" t="s">
        <v>181</v>
      </c>
      <c r="H30" s="491" t="s">
        <v>76</v>
      </c>
      <c r="I30" s="491"/>
    </row>
    <row r="31" spans="1:9" hidden="1" x14ac:dyDescent="0.35">
      <c r="A31" s="491" t="s">
        <v>1249</v>
      </c>
      <c r="B31" s="492">
        <f>SUMIF('Raw TB 1225'!$B:$B,'TB 1225'!$A31,'Raw TB 1225'!C:C)</f>
        <v>250000000</v>
      </c>
      <c r="C31" s="492">
        <f>SUMIF('Raw TB 1225'!$B:$B,'TB 1225'!$A31,'Raw TB 1225'!D:D)</f>
        <v>0</v>
      </c>
      <c r="D31" s="492">
        <f>SUMIF('Raw TB 1225'!$B:$B,'TB 1225'!$A31,'Raw TB 1225'!E:E)</f>
        <v>0</v>
      </c>
      <c r="E31" s="492">
        <f>SUMIF('Raw TB 1225'!$B:$B,'TB 1225'!$A31,'Raw TB 1225'!F:F)</f>
        <v>250000000</v>
      </c>
      <c r="F31" s="492">
        <f t="shared" si="1"/>
        <v>250000</v>
      </c>
      <c r="G31" s="502" t="s">
        <v>181</v>
      </c>
      <c r="H31" s="491" t="s">
        <v>76</v>
      </c>
      <c r="I31" s="491"/>
    </row>
    <row r="32" spans="1:9" hidden="1" x14ac:dyDescent="0.35">
      <c r="A32" s="491" t="s">
        <v>1357</v>
      </c>
      <c r="B32" s="492">
        <f>SUMIF('Raw TB 1225'!$B:$B,'TB 1225'!$A32,'Raw TB 1225'!C:C)</f>
        <v>0</v>
      </c>
      <c r="C32" s="492">
        <f>SUMIF('Raw TB 1225'!$B:$B,'TB 1225'!$A32,'Raw TB 1225'!D:D)</f>
        <v>72996350.180000007</v>
      </c>
      <c r="D32" s="492">
        <f>SUMIF('Raw TB 1225'!$B:$B,'TB 1225'!$A32,'Raw TB 1225'!E:E)</f>
        <v>0</v>
      </c>
      <c r="E32" s="492">
        <f>SUMIF('Raw TB 1225'!$B:$B,'TB 1225'!$A32,'Raw TB 1225'!F:F)</f>
        <v>72996350.180000007</v>
      </c>
      <c r="F32" s="492">
        <f t="shared" si="1"/>
        <v>72996.350180000009</v>
      </c>
      <c r="G32" s="502" t="s">
        <v>181</v>
      </c>
      <c r="H32" s="491" t="s">
        <v>76</v>
      </c>
      <c r="I32" s="491"/>
    </row>
    <row r="33" spans="1:9" hidden="1" x14ac:dyDescent="0.35">
      <c r="A33" s="491" t="s">
        <v>1358</v>
      </c>
      <c r="B33" s="492">
        <f>SUMIF('Raw TB 1225'!$B:$B,'TB 1225'!$A33,'Raw TB 1225'!C:C)</f>
        <v>59997000.149999999</v>
      </c>
      <c r="C33" s="492">
        <f>SUMIF('Raw TB 1225'!$B:$B,'TB 1225'!$A33,'Raw TB 1225'!D:D)</f>
        <v>0</v>
      </c>
      <c r="D33" s="492">
        <f>SUMIF('Raw TB 1225'!$B:$B,'TB 1225'!$A33,'Raw TB 1225'!E:E)</f>
        <v>0</v>
      </c>
      <c r="E33" s="492">
        <f>SUMIF('Raw TB 1225'!$B:$B,'TB 1225'!$A33,'Raw TB 1225'!F:F)</f>
        <v>59997000.149999999</v>
      </c>
      <c r="F33" s="492">
        <f t="shared" si="1"/>
        <v>59997.00015</v>
      </c>
      <c r="G33" s="502" t="s">
        <v>181</v>
      </c>
      <c r="H33" s="491" t="s">
        <v>76</v>
      </c>
      <c r="I33" s="491"/>
    </row>
    <row r="34" spans="1:9" hidden="1" x14ac:dyDescent="0.35">
      <c r="A34" s="491" t="s">
        <v>1360</v>
      </c>
      <c r="B34" s="492">
        <f>SUMIF('Raw TB 1225'!$B:$B,'TB 1225'!$A34,'Raw TB 1225'!C:C)</f>
        <v>0</v>
      </c>
      <c r="C34" s="492">
        <f>SUMIF('Raw TB 1225'!$B:$B,'TB 1225'!$A34,'Raw TB 1225'!D:D)</f>
        <v>79996000.200000003</v>
      </c>
      <c r="D34" s="492">
        <f>SUMIF('Raw TB 1225'!$B:$B,'TB 1225'!$A34,'Raw TB 1225'!E:E)</f>
        <v>0</v>
      </c>
      <c r="E34" s="492">
        <f>SUMIF('Raw TB 1225'!$B:$B,'TB 1225'!$A34,'Raw TB 1225'!F:F)</f>
        <v>79996000.200000003</v>
      </c>
      <c r="F34" s="492">
        <f t="shared" si="1"/>
        <v>79996.000200000009</v>
      </c>
      <c r="G34" s="502" t="s">
        <v>181</v>
      </c>
      <c r="H34" s="491" t="s">
        <v>76</v>
      </c>
      <c r="I34" s="491"/>
    </row>
    <row r="35" spans="1:9" hidden="1" x14ac:dyDescent="0.35">
      <c r="A35" s="491" t="s">
        <v>1362</v>
      </c>
      <c r="B35" s="492">
        <f>SUMIF('Raw TB 1225'!$B:$B,'TB 1225'!$A35,'Raw TB 1225'!C:C)</f>
        <v>33468595.91</v>
      </c>
      <c r="C35" s="492">
        <f>SUMIF('Raw TB 1225'!$B:$B,'TB 1225'!$A35,'Raw TB 1225'!D:D)</f>
        <v>79996000.200000003</v>
      </c>
      <c r="D35" s="492">
        <f>SUMIF('Raw TB 1225'!$B:$B,'TB 1225'!$A35,'Raw TB 1225'!E:E)</f>
        <v>0</v>
      </c>
      <c r="E35" s="492">
        <f>SUMIF('Raw TB 1225'!$B:$B,'TB 1225'!$A35,'Raw TB 1225'!F:F)</f>
        <v>113464596.11</v>
      </c>
      <c r="F35" s="492">
        <f t="shared" si="1"/>
        <v>113464.59611</v>
      </c>
      <c r="G35" s="502" t="s">
        <v>181</v>
      </c>
      <c r="H35" s="491" t="s">
        <v>76</v>
      </c>
      <c r="I35" s="491"/>
    </row>
    <row r="36" spans="1:9" hidden="1" x14ac:dyDescent="0.35">
      <c r="A36" s="491" t="s">
        <v>697</v>
      </c>
      <c r="B36" s="492">
        <f>SUMIF('Raw TB 1225'!$B:$B,'TB 1225'!$A36,'Raw TB 1225'!C:C)</f>
        <v>0</v>
      </c>
      <c r="C36" s="492">
        <f>SUMIF('Raw TB 1225'!$B:$B,'TB 1225'!$A36,'Raw TB 1225'!D:D)</f>
        <v>0</v>
      </c>
      <c r="D36" s="492">
        <f>SUMIF('Raw TB 1225'!$B:$B,'TB 1225'!$A36,'Raw TB 1225'!E:E)</f>
        <v>0</v>
      </c>
      <c r="E36" s="492">
        <f>SUMIF('Raw TB 1225'!$B:$B,'TB 1225'!$A36,'Raw TB 1225'!F:F)</f>
        <v>0</v>
      </c>
      <c r="F36" s="492">
        <f t="shared" si="1"/>
        <v>0</v>
      </c>
      <c r="G36" s="502" t="s">
        <v>181</v>
      </c>
      <c r="H36" s="491" t="s">
        <v>78</v>
      </c>
      <c r="I36" s="491"/>
    </row>
    <row r="37" spans="1:9" hidden="1" x14ac:dyDescent="0.35">
      <c r="A37" s="491" t="s">
        <v>572</v>
      </c>
      <c r="B37" s="492">
        <f>SUMIF('Raw TB 1225'!$B:$B,'TB 1225'!$A37,'Raw TB 1225'!C:C)</f>
        <v>300000</v>
      </c>
      <c r="C37" s="492">
        <f>SUMIF('Raw TB 1225'!$B:$B,'TB 1225'!$A37,'Raw TB 1225'!D:D)</f>
        <v>431240977.49000001</v>
      </c>
      <c r="D37" s="492">
        <f>SUMIF('Raw TB 1225'!$B:$B,'TB 1225'!$A37,'Raw TB 1225'!E:E)</f>
        <v>393140977.49000001</v>
      </c>
      <c r="E37" s="492">
        <f>SUMIF('Raw TB 1225'!$B:$B,'TB 1225'!$A37,'Raw TB 1225'!F:F)</f>
        <v>38400000</v>
      </c>
      <c r="F37" s="492">
        <f t="shared" si="1"/>
        <v>38400</v>
      </c>
      <c r="G37" s="502" t="s">
        <v>181</v>
      </c>
      <c r="H37" s="491" t="s">
        <v>78</v>
      </c>
      <c r="I37" s="491"/>
    </row>
    <row r="38" spans="1:9" hidden="1" x14ac:dyDescent="0.35">
      <c r="A38" s="491" t="s">
        <v>573</v>
      </c>
      <c r="B38" s="492">
        <f>SUMIF('Raw TB 1225'!$B:$B,'TB 1225'!$A38,'Raw TB 1225'!C:C)</f>
        <v>209417.22</v>
      </c>
      <c r="C38" s="492">
        <f>SUMIF('Raw TB 1225'!$B:$B,'TB 1225'!$A38,'Raw TB 1225'!D:D)</f>
        <v>472406921.04000002</v>
      </c>
      <c r="D38" s="492">
        <f>SUMIF('Raw TB 1225'!$B:$B,'TB 1225'!$A38,'Raw TB 1225'!E:E)</f>
        <v>469012265.32999998</v>
      </c>
      <c r="E38" s="492">
        <f>SUMIF('Raw TB 1225'!$B:$B,'TB 1225'!$A38,'Raw TB 1225'!F:F)+8000</f>
        <v>3612072.93</v>
      </c>
      <c r="F38" s="492">
        <f t="shared" si="1"/>
        <v>3612.0729300000003</v>
      </c>
      <c r="G38" s="502" t="s">
        <v>181</v>
      </c>
      <c r="H38" s="491" t="s">
        <v>78</v>
      </c>
      <c r="I38" s="491"/>
    </row>
    <row r="39" spans="1:9" hidden="1" x14ac:dyDescent="0.35">
      <c r="A39" s="491" t="s">
        <v>723</v>
      </c>
      <c r="B39" s="492">
        <f>SUMIF('Raw TB 1225'!$B:$B,'TB 1225'!$A39,'Raw TB 1225'!C:C)</f>
        <v>12860897.199999999</v>
      </c>
      <c r="C39" s="492">
        <f>SUMIF('Raw TB 1225'!$B:$B,'TB 1225'!$A39,'Raw TB 1225'!D:D)</f>
        <v>6766884</v>
      </c>
      <c r="D39" s="492">
        <f>SUMIF('Raw TB 1225'!$B:$B,'TB 1225'!$A39,'Raw TB 1225'!E:E)</f>
        <v>0</v>
      </c>
      <c r="E39" s="492">
        <f>SUMIF('Raw TB 1225'!$B:$B,'TB 1225'!$A39,'Raw TB 1225'!F:F)</f>
        <v>19627781.199999999</v>
      </c>
      <c r="F39" s="492">
        <f t="shared" si="1"/>
        <v>19627.781199999998</v>
      </c>
      <c r="G39" s="502" t="s">
        <v>181</v>
      </c>
      <c r="H39" s="491" t="s">
        <v>71</v>
      </c>
      <c r="I39" s="491" t="s">
        <v>1397</v>
      </c>
    </row>
    <row r="40" spans="1:9" hidden="1" x14ac:dyDescent="0.35">
      <c r="A40" s="491" t="s">
        <v>231</v>
      </c>
      <c r="B40" s="492">
        <f>SUMIF('Raw TB 1225'!$B:$B,'TB 1225'!$A40,'Raw TB 1225'!C:C)</f>
        <v>689841.58</v>
      </c>
      <c r="C40" s="492">
        <f>SUMIF('Raw TB 1225'!$B:$B,'TB 1225'!$A40,'Raw TB 1225'!D:D)</f>
        <v>11515</v>
      </c>
      <c r="D40" s="492">
        <f>SUMIF('Raw TB 1225'!$B:$B,'TB 1225'!$A40,'Raw TB 1225'!E:E)</f>
        <v>0</v>
      </c>
      <c r="E40" s="492">
        <f>SUMIF('Raw TB 1225'!$B:$B,'TB 1225'!$A40,'Raw TB 1225'!F:F)</f>
        <v>701356.58</v>
      </c>
      <c r="F40" s="492">
        <f t="shared" si="1"/>
        <v>701.35658000000001</v>
      </c>
      <c r="G40" s="502" t="s">
        <v>181</v>
      </c>
      <c r="H40" s="491" t="s">
        <v>71</v>
      </c>
      <c r="I40" s="491" t="s">
        <v>1397</v>
      </c>
    </row>
    <row r="41" spans="1:9" hidden="1" x14ac:dyDescent="0.35">
      <c r="A41" s="491" t="s">
        <v>1297</v>
      </c>
      <c r="B41" s="492">
        <f>SUMIF('Raw TB 1225'!$B:$B,'TB 1225'!$A41,'Raw TB 1225'!C:C)</f>
        <v>1222814</v>
      </c>
      <c r="C41" s="492">
        <f>SUMIF('Raw TB 1225'!$B:$B,'TB 1225'!$A41,'Raw TB 1225'!D:D)</f>
        <v>0</v>
      </c>
      <c r="D41" s="492">
        <f>SUMIF('Raw TB 1225'!$B:$B,'TB 1225'!$A41,'Raw TB 1225'!E:E)</f>
        <v>0</v>
      </c>
      <c r="E41" s="492">
        <f>SUMIF('Raw TB 1225'!$B:$B,'TB 1225'!$A41,'Raw TB 1225'!F:F)</f>
        <v>1222814</v>
      </c>
      <c r="F41" s="492">
        <f t="shared" si="1"/>
        <v>1222.8140000000001</v>
      </c>
      <c r="G41" s="502" t="s">
        <v>181</v>
      </c>
      <c r="H41" s="491" t="s">
        <v>79</v>
      </c>
      <c r="I41" s="491"/>
    </row>
    <row r="42" spans="1:9" hidden="1" x14ac:dyDescent="0.35">
      <c r="A42" s="491" t="s">
        <v>575</v>
      </c>
      <c r="B42" s="492">
        <f>SUMIF('Raw TB 1225'!$B:$B,'TB 1225'!$A42,'Raw TB 1225'!C:C)</f>
        <v>1076041.68</v>
      </c>
      <c r="C42" s="492">
        <f>SUMIF('Raw TB 1225'!$B:$B,'TB 1225'!$A42,'Raw TB 1225'!D:D)</f>
        <v>1100595</v>
      </c>
      <c r="D42" s="492">
        <f>SUMIF('Raw TB 1225'!$B:$B,'TB 1225'!$A42,'Raw TB 1225'!E:E)</f>
        <v>250391.67</v>
      </c>
      <c r="E42" s="492">
        <f>SUMIF('Raw TB 1225'!$B:$B,'TB 1225'!$A42,'Raw TB 1225'!F:F)</f>
        <v>1926245.01</v>
      </c>
      <c r="F42" s="492">
        <f t="shared" si="1"/>
        <v>1926.2450100000001</v>
      </c>
      <c r="G42" s="502" t="s">
        <v>181</v>
      </c>
      <c r="H42" s="491" t="s">
        <v>79</v>
      </c>
      <c r="I42" s="491"/>
    </row>
    <row r="43" spans="1:9" hidden="1" x14ac:dyDescent="0.35">
      <c r="A43" s="491" t="s">
        <v>376</v>
      </c>
      <c r="B43" s="492">
        <f>SUMIF('Raw TB 1225'!$B:$B,'TB 1225'!$A43,'Raw TB 1225'!C:C)</f>
        <v>49712663.020000003</v>
      </c>
      <c r="C43" s="492">
        <f>SUMIF('Raw TB 1225'!$B:$B,'TB 1225'!$A43,'Raw TB 1225'!D:D)</f>
        <v>5162370.1399999997</v>
      </c>
      <c r="D43" s="492">
        <f>SUMIF('Raw TB 1225'!$B:$B,'TB 1225'!$A43,'Raw TB 1225'!E:E)</f>
        <v>7958920.75</v>
      </c>
      <c r="E43" s="492">
        <f>SUMIF('Raw TB 1225'!$B:$B,'TB 1225'!$A43,'Raw TB 1225'!F:F)</f>
        <v>46916112.409999996</v>
      </c>
      <c r="F43" s="492">
        <f t="shared" si="1"/>
        <v>46916.112409999994</v>
      </c>
      <c r="G43" s="502" t="s">
        <v>181</v>
      </c>
      <c r="H43" s="491" t="s">
        <v>67</v>
      </c>
      <c r="I43" s="491"/>
    </row>
    <row r="44" spans="1:9" x14ac:dyDescent="0.35">
      <c r="A44" s="491" t="s">
        <v>576</v>
      </c>
      <c r="B44" s="492">
        <f>SUMIF('Raw TB 1225'!$B:$B,'TB 1225'!$A44,'Raw TB 1225'!C:C)</f>
        <v>0</v>
      </c>
      <c r="C44" s="492">
        <f>SUMIF('Raw TB 1225'!$B:$B,'TB 1225'!$A44,'Raw TB 1225'!D:D)</f>
        <v>65831102.119999997</v>
      </c>
      <c r="D44" s="492">
        <f>SUMIF('Raw TB 1225'!$B:$B,'TB 1225'!$A44,'Raw TB 1225'!E:E)</f>
        <v>68763967.629999995</v>
      </c>
      <c r="E44" s="492">
        <f>SUMIF('Raw TB 1225'!$B:$B,'TB 1225'!$A44,'Raw TB 1225'!F:F)+2000000</f>
        <v>-932865.50999999978</v>
      </c>
      <c r="F44" s="492">
        <f t="shared" si="1"/>
        <v>-932.86550999999974</v>
      </c>
      <c r="G44" s="502" t="s">
        <v>181</v>
      </c>
      <c r="H44" s="491" t="s">
        <v>77</v>
      </c>
      <c r="I44" s="491"/>
    </row>
    <row r="45" spans="1:9" hidden="1" x14ac:dyDescent="0.35">
      <c r="A45" s="491" t="s">
        <v>577</v>
      </c>
      <c r="B45" s="492">
        <f>SUMIF('Raw TB 1225'!$B:$B,'TB 1225'!$A45,'Raw TB 1225'!C:C)</f>
        <v>2780151.61</v>
      </c>
      <c r="C45" s="492">
        <f>SUMIF('Raw TB 1225'!$B:$B,'TB 1225'!$A45,'Raw TB 1225'!D:D)</f>
        <v>470256.88</v>
      </c>
      <c r="D45" s="492">
        <f>SUMIF('Raw TB 1225'!$B:$B,'TB 1225'!$A45,'Raw TB 1225'!E:E)</f>
        <v>0</v>
      </c>
      <c r="E45" s="492">
        <f>SUMIF('Raw TB 1225'!$B:$B,'TB 1225'!$A45,'Raw TB 1225'!F:F)</f>
        <v>3250408.49</v>
      </c>
      <c r="F45" s="492">
        <f t="shared" si="1"/>
        <v>3250.4084900000003</v>
      </c>
      <c r="G45" s="502" t="s">
        <v>181</v>
      </c>
      <c r="H45" s="491" t="s">
        <v>79</v>
      </c>
      <c r="I45" s="491"/>
    </row>
    <row r="46" spans="1:9" hidden="1" x14ac:dyDescent="0.35">
      <c r="A46" s="491" t="s">
        <v>146</v>
      </c>
      <c r="B46" s="492">
        <f>SUMIF('Raw TB 1225'!$B:$B,'TB 1225'!$A46,'Raw TB 1225'!C:C)</f>
        <v>15705400</v>
      </c>
      <c r="C46" s="492">
        <f>SUMIF('Raw TB 1225'!$B:$B,'TB 1225'!$A46,'Raw TB 1225'!D:D)</f>
        <v>2785000</v>
      </c>
      <c r="D46" s="492">
        <f>SUMIF('Raw TB 1225'!$B:$B,'TB 1225'!$A46,'Raw TB 1225'!E:E)</f>
        <v>0</v>
      </c>
      <c r="E46" s="492">
        <f>SUMIF('Raw TB 1225'!$B:$B,'TB 1225'!$A46,'Raw TB 1225'!F:F)</f>
        <v>18490400</v>
      </c>
      <c r="F46" s="492">
        <f t="shared" si="1"/>
        <v>18490.400000000001</v>
      </c>
      <c r="G46" s="502" t="s">
        <v>181</v>
      </c>
      <c r="H46" s="491" t="s">
        <v>74</v>
      </c>
      <c r="I46" s="491"/>
    </row>
    <row r="47" spans="1:9" hidden="1" x14ac:dyDescent="0.35">
      <c r="A47" s="491" t="s">
        <v>345</v>
      </c>
      <c r="B47" s="492">
        <f>SUMIF('Raw TB 1225'!$B:$B,'TB 1225'!$A47,'Raw TB 1225'!C:C)</f>
        <v>1271832.7</v>
      </c>
      <c r="C47" s="492">
        <f>SUMIF('Raw TB 1225'!$B:$B,'TB 1225'!$A47,'Raw TB 1225'!D:D)</f>
        <v>0</v>
      </c>
      <c r="D47" s="492">
        <f>SUMIF('Raw TB 1225'!$B:$B,'TB 1225'!$A47,'Raw TB 1225'!E:E)</f>
        <v>0</v>
      </c>
      <c r="E47" s="492">
        <f>SUMIF('Raw TB 1225'!$B:$B,'TB 1225'!$A47,'Raw TB 1225'!F:F)</f>
        <v>1271832.7</v>
      </c>
      <c r="F47" s="492">
        <f t="shared" si="1"/>
        <v>1271.8326999999999</v>
      </c>
      <c r="G47" s="502" t="s">
        <v>181</v>
      </c>
      <c r="H47" s="491" t="s">
        <v>79</v>
      </c>
      <c r="I47" s="491"/>
    </row>
    <row r="48" spans="1:9" hidden="1" x14ac:dyDescent="0.35">
      <c r="A48" s="491" t="s">
        <v>427</v>
      </c>
      <c r="B48" s="492">
        <f>SUMIF('Raw TB 1225'!$B:$B,'TB 1225'!$A48,'Raw TB 1225'!C:C)</f>
        <v>-80942920.019999996</v>
      </c>
      <c r="C48" s="492">
        <f>SUMIF('Raw TB 1225'!$B:$B,'TB 1225'!$A48,'Raw TB 1225'!D:D)</f>
        <v>88692879.75</v>
      </c>
      <c r="D48" s="492">
        <f>SUMIF('Raw TB 1225'!$B:$B,'TB 1225'!$A48,'Raw TB 1225'!E:E)</f>
        <v>92676328.780000001</v>
      </c>
      <c r="E48" s="492">
        <f>SUMIF('Raw TB 1225'!$B:$B,'TB 1225'!$A48,'Raw TB 1225'!F:F)</f>
        <v>-84926369.049999997</v>
      </c>
      <c r="F48" s="492">
        <f t="shared" si="1"/>
        <v>-84926.369049999994</v>
      </c>
      <c r="G48" s="502" t="s">
        <v>180</v>
      </c>
      <c r="H48" s="491" t="s">
        <v>67</v>
      </c>
      <c r="I48" s="491"/>
    </row>
    <row r="49" spans="1:9" hidden="1" x14ac:dyDescent="0.35">
      <c r="A49" s="491" t="s">
        <v>1331</v>
      </c>
      <c r="B49" s="492">
        <f>SUMIF('Raw TB 1225'!$B:$B,'TB 1225'!$A49,'Raw TB 1225'!C:C)</f>
        <v>-5581329.9699999997</v>
      </c>
      <c r="C49" s="492">
        <f>SUMIF('Raw TB 1225'!$B:$B,'TB 1225'!$A49,'Raw TB 1225'!D:D)</f>
        <v>13280942.970000001</v>
      </c>
      <c r="D49" s="492">
        <f>SUMIF('Raw TB 1225'!$B:$B,'TB 1225'!$A49,'Raw TB 1225'!E:E)</f>
        <v>14842945.810000001</v>
      </c>
      <c r="E49" s="492">
        <f>SUMIF('Raw TB 1225'!$B:$B,'TB 1225'!$A49,'Raw TB 1225'!F:F)-2000000</f>
        <v>-9143332.8099999987</v>
      </c>
      <c r="F49" s="492">
        <f t="shared" si="1"/>
        <v>-9143.3328099999981</v>
      </c>
      <c r="G49" s="502" t="s">
        <v>180</v>
      </c>
      <c r="H49" s="491" t="s">
        <v>68</v>
      </c>
      <c r="I49" s="491"/>
    </row>
    <row r="50" spans="1:9" hidden="1" x14ac:dyDescent="0.35">
      <c r="A50" s="491" t="s">
        <v>423</v>
      </c>
      <c r="B50" s="492">
        <f>SUMIF('Raw TB 1225'!$B:$B,'TB 1225'!$A50,'Raw TB 1225'!C:C)</f>
        <v>-2136081.27</v>
      </c>
      <c r="C50" s="492">
        <f>SUMIF('Raw TB 1225'!$B:$B,'TB 1225'!$A50,'Raw TB 1225'!D:D)</f>
        <v>342395</v>
      </c>
      <c r="D50" s="492">
        <f>SUMIF('Raw TB 1225'!$B:$B,'TB 1225'!$A50,'Raw TB 1225'!E:E)</f>
        <v>445723</v>
      </c>
      <c r="E50" s="492">
        <f>SUMIF('Raw TB 1225'!$B:$B,'TB 1225'!$A50,'Raw TB 1225'!F:F)</f>
        <v>-2239409.27</v>
      </c>
      <c r="F50" s="492">
        <f t="shared" si="1"/>
        <v>-2239.4092700000001</v>
      </c>
      <c r="G50" s="502" t="s">
        <v>180</v>
      </c>
      <c r="H50" s="491" t="s">
        <v>68</v>
      </c>
      <c r="I50" s="491"/>
    </row>
    <row r="51" spans="1:9" hidden="1" x14ac:dyDescent="0.35">
      <c r="A51" s="491" t="s">
        <v>578</v>
      </c>
      <c r="B51" s="492">
        <f>SUMIF('Raw TB 1225'!$B:$B,'TB 1225'!$A51,'Raw TB 1225'!C:C)</f>
        <v>494297.59</v>
      </c>
      <c r="C51" s="492">
        <f>SUMIF('Raw TB 1225'!$B:$B,'TB 1225'!$A51,'Raw TB 1225'!D:D)</f>
        <v>128231.35</v>
      </c>
      <c r="D51" s="492">
        <f>SUMIF('Raw TB 1225'!$B:$B,'TB 1225'!$A51,'Raw TB 1225'!E:E)</f>
        <v>128231.35</v>
      </c>
      <c r="E51" s="492">
        <f>SUMIF('Raw TB 1225'!$B:$B,'TB 1225'!$A51,'Raw TB 1225'!F:F)</f>
        <v>494297.59</v>
      </c>
      <c r="F51" s="492">
        <f t="shared" si="1"/>
        <v>494.29759000000001</v>
      </c>
      <c r="G51" s="502" t="s">
        <v>180</v>
      </c>
      <c r="H51" s="491" t="s">
        <v>68</v>
      </c>
      <c r="I51" s="491"/>
    </row>
    <row r="52" spans="1:9" hidden="1" x14ac:dyDescent="0.35">
      <c r="A52" s="491" t="s">
        <v>622</v>
      </c>
      <c r="B52" s="492">
        <f>SUMIF('Raw TB 1225'!$B:$B,'TB 1225'!$A52,'Raw TB 1225'!C:C)</f>
        <v>-941444.61</v>
      </c>
      <c r="C52" s="492">
        <f>SUMIF('Raw TB 1225'!$B:$B,'TB 1225'!$A52,'Raw TB 1225'!D:D)</f>
        <v>34499743</v>
      </c>
      <c r="D52" s="492">
        <f>SUMIF('Raw TB 1225'!$B:$B,'TB 1225'!$A52,'Raw TB 1225'!E:E)</f>
        <v>34435409</v>
      </c>
      <c r="E52" s="492">
        <f>SUMIF('Raw TB 1225'!$B:$B,'TB 1225'!$A52,'Raw TB 1225'!F:F)</f>
        <v>-877110.61</v>
      </c>
      <c r="F52" s="492">
        <f t="shared" si="1"/>
        <v>-877.11060999999995</v>
      </c>
      <c r="G52" s="502" t="s">
        <v>180</v>
      </c>
      <c r="H52" s="491" t="s">
        <v>68</v>
      </c>
      <c r="I52" s="491"/>
    </row>
    <row r="53" spans="1:9" hidden="1" x14ac:dyDescent="0.35">
      <c r="A53" s="491" t="s">
        <v>775</v>
      </c>
      <c r="B53" s="492">
        <f>SUMIF('Raw TB 1225'!$B:$B,'TB 1225'!$A53,'Raw TB 1225'!C:C)</f>
        <v>0</v>
      </c>
      <c r="C53" s="492">
        <f>SUMIF('Raw TB 1225'!$B:$B,'TB 1225'!$A53,'Raw TB 1225'!D:D)</f>
        <v>0</v>
      </c>
      <c r="D53" s="492">
        <f>SUMIF('Raw TB 1225'!$B:$B,'TB 1225'!$A53,'Raw TB 1225'!E:E)</f>
        <v>0</v>
      </c>
      <c r="E53" s="492">
        <f>SUMIF('Raw TB 1225'!$B:$B,'TB 1225'!$A53,'Raw TB 1225'!F:F)</f>
        <v>0</v>
      </c>
      <c r="F53" s="492">
        <f t="shared" si="1"/>
        <v>0</v>
      </c>
      <c r="G53" s="502" t="s">
        <v>180</v>
      </c>
      <c r="H53" s="491" t="s">
        <v>68</v>
      </c>
      <c r="I53" s="491"/>
    </row>
    <row r="54" spans="1:9" hidden="1" x14ac:dyDescent="0.35">
      <c r="A54" s="491" t="s">
        <v>776</v>
      </c>
      <c r="B54" s="492">
        <f>SUMIF('Raw TB 1225'!$B:$B,'TB 1225'!$A54,'Raw TB 1225'!C:C)</f>
        <v>0</v>
      </c>
      <c r="C54" s="492">
        <f>SUMIF('Raw TB 1225'!$B:$B,'TB 1225'!$A54,'Raw TB 1225'!D:D)</f>
        <v>0</v>
      </c>
      <c r="D54" s="492">
        <f>SUMIF('Raw TB 1225'!$B:$B,'TB 1225'!$A54,'Raw TB 1225'!E:E)</f>
        <v>0</v>
      </c>
      <c r="E54" s="492">
        <f>SUMIF('Raw TB 1225'!$B:$B,'TB 1225'!$A54,'Raw TB 1225'!F:F)</f>
        <v>0</v>
      </c>
      <c r="F54" s="492">
        <f t="shared" si="1"/>
        <v>0</v>
      </c>
      <c r="G54" s="502" t="s">
        <v>180</v>
      </c>
      <c r="H54" s="491" t="s">
        <v>68</v>
      </c>
      <c r="I54" s="491"/>
    </row>
    <row r="55" spans="1:9" hidden="1" x14ac:dyDescent="0.35">
      <c r="A55" s="491" t="s">
        <v>1199</v>
      </c>
      <c r="B55" s="492">
        <f>SUMIF('Raw TB 1225'!$B:$B,'TB 1225'!$A55,'Raw TB 1225'!C:C)</f>
        <v>-1401969.35</v>
      </c>
      <c r="C55" s="492">
        <f>SUMIF('Raw TB 1225'!$B:$B,'TB 1225'!$A55,'Raw TB 1225'!D:D)</f>
        <v>1305197.3500000001</v>
      </c>
      <c r="D55" s="492">
        <f>SUMIF('Raw TB 1225'!$B:$B,'TB 1225'!$A55,'Raw TB 1225'!E:E)</f>
        <v>1976890</v>
      </c>
      <c r="E55" s="492">
        <f>SUMIF('Raw TB 1225'!$B:$B,'TB 1225'!$A55,'Raw TB 1225'!F:F)</f>
        <v>-2073662</v>
      </c>
      <c r="F55" s="492">
        <f t="shared" si="1"/>
        <v>-2073.6619999999998</v>
      </c>
      <c r="G55" s="502" t="s">
        <v>180</v>
      </c>
      <c r="H55" s="491" t="s">
        <v>67</v>
      </c>
      <c r="I55" s="491"/>
    </row>
    <row r="56" spans="1:9" hidden="1" x14ac:dyDescent="0.35">
      <c r="A56" s="491" t="s">
        <v>1252</v>
      </c>
      <c r="B56" s="492">
        <f>SUMIF('Raw TB 1225'!$B:$B,'TB 1225'!$A56,'Raw TB 1225'!C:C)</f>
        <v>-14850</v>
      </c>
      <c r="C56" s="492">
        <f>SUMIF('Raw TB 1225'!$B:$B,'TB 1225'!$A56,'Raw TB 1225'!D:D)</f>
        <v>2928039</v>
      </c>
      <c r="D56" s="492">
        <f>SUMIF('Raw TB 1225'!$B:$B,'TB 1225'!$A56,'Raw TB 1225'!E:E)</f>
        <v>2949697</v>
      </c>
      <c r="E56" s="492">
        <f>SUMIF('Raw TB 1225'!$B:$B,'TB 1225'!$A56,'Raw TB 1225'!F:F)</f>
        <v>-36508</v>
      </c>
      <c r="F56" s="492">
        <f t="shared" si="1"/>
        <v>-36.508000000000003</v>
      </c>
      <c r="G56" s="502" t="s">
        <v>180</v>
      </c>
      <c r="H56" s="491" t="s">
        <v>67</v>
      </c>
      <c r="I56" s="491"/>
    </row>
    <row r="57" spans="1:9" hidden="1" x14ac:dyDescent="0.35">
      <c r="A57" s="491" t="s">
        <v>1288</v>
      </c>
      <c r="B57" s="492">
        <f>SUMIF('Raw TB 1225'!$B:$B,'TB 1225'!$A57,'Raw TB 1225'!C:C)</f>
        <v>-6676440</v>
      </c>
      <c r="C57" s="492">
        <f>SUMIF('Raw TB 1225'!$B:$B,'TB 1225'!$A57,'Raw TB 1225'!D:D)</f>
        <v>268235</v>
      </c>
      <c r="D57" s="492">
        <f>SUMIF('Raw TB 1225'!$B:$B,'TB 1225'!$A57,'Raw TB 1225'!E:E)</f>
        <v>268235</v>
      </c>
      <c r="E57" s="492">
        <f>SUMIF('Raw TB 1225'!$B:$B,'TB 1225'!$A57,'Raw TB 1225'!F:F)</f>
        <v>-6676440</v>
      </c>
      <c r="F57" s="492">
        <f t="shared" si="1"/>
        <v>-6676.44</v>
      </c>
      <c r="G57" s="502" t="s">
        <v>180</v>
      </c>
      <c r="H57" s="491" t="s">
        <v>68</v>
      </c>
      <c r="I57" s="491"/>
    </row>
    <row r="58" spans="1:9" hidden="1" x14ac:dyDescent="0.35">
      <c r="A58" s="491" t="s">
        <v>969</v>
      </c>
      <c r="B58" s="492">
        <f>SUMIF('Raw TB 1225'!$B:$B,'TB 1225'!$A58,'Raw TB 1225'!C:C)</f>
        <v>-83870977.150000006</v>
      </c>
      <c r="C58" s="492">
        <f>SUMIF('Raw TB 1225'!$B:$B,'TB 1225'!$A58,'Raw TB 1225'!D:D)</f>
        <v>89243771.040000007</v>
      </c>
      <c r="D58" s="492">
        <f>SUMIF('Raw TB 1225'!$B:$B,'TB 1225'!$A58,'Raw TB 1225'!E:E)</f>
        <v>128258509.98999999</v>
      </c>
      <c r="E58" s="492">
        <f>SUMIF('Raw TB 1225'!$B:$B,'TB 1225'!$A58,'Raw TB 1225'!F:F)</f>
        <v>-122885716.09999999</v>
      </c>
      <c r="F58" s="492">
        <f t="shared" si="1"/>
        <v>-122885.71609999999</v>
      </c>
      <c r="G58" s="502" t="s">
        <v>180</v>
      </c>
      <c r="H58" s="491" t="s">
        <v>67</v>
      </c>
      <c r="I58" s="491"/>
    </row>
    <row r="59" spans="1:9" hidden="1" x14ac:dyDescent="0.35">
      <c r="A59" s="491" t="s">
        <v>1253</v>
      </c>
      <c r="B59" s="492">
        <f>SUMIF('Raw TB 1225'!$B:$B,'TB 1225'!$A59,'Raw TB 1225'!C:C)</f>
        <v>0</v>
      </c>
      <c r="C59" s="492">
        <f>SUMIF('Raw TB 1225'!$B:$B,'TB 1225'!$A59,'Raw TB 1225'!D:D)</f>
        <v>0</v>
      </c>
      <c r="D59" s="492">
        <f>SUMIF('Raw TB 1225'!$B:$B,'TB 1225'!$A59,'Raw TB 1225'!E:E)</f>
        <v>0</v>
      </c>
      <c r="E59" s="492">
        <f>SUMIF('Raw TB 1225'!$B:$B,'TB 1225'!$A59,'Raw TB 1225'!F:F)</f>
        <v>0</v>
      </c>
      <c r="F59" s="492">
        <f t="shared" si="1"/>
        <v>0</v>
      </c>
      <c r="G59" s="502" t="s">
        <v>180</v>
      </c>
      <c r="H59" s="491" t="s">
        <v>67</v>
      </c>
      <c r="I59" s="491"/>
    </row>
    <row r="60" spans="1:9" hidden="1" x14ac:dyDescent="0.35">
      <c r="A60" s="491" t="s">
        <v>579</v>
      </c>
      <c r="B60" s="492">
        <f>SUMIF('Raw TB 1225'!$B:$B,'TB 1225'!$A60,'Raw TB 1225'!C:C)</f>
        <v>-2055269.32</v>
      </c>
      <c r="C60" s="492">
        <f>SUMIF('Raw TB 1225'!$B:$B,'TB 1225'!$A60,'Raw TB 1225'!D:D)</f>
        <v>1780559</v>
      </c>
      <c r="D60" s="492">
        <f>SUMIF('Raw TB 1225'!$B:$B,'TB 1225'!$A60,'Raw TB 1225'!E:E)</f>
        <v>2585849.27</v>
      </c>
      <c r="E60" s="492">
        <f>SUMIF('Raw TB 1225'!$B:$B,'TB 1225'!$A60,'Raw TB 1225'!F:F)</f>
        <v>-2860559.59</v>
      </c>
      <c r="F60" s="492">
        <f t="shared" si="1"/>
        <v>-2860.5595899999998</v>
      </c>
      <c r="G60" s="502" t="s">
        <v>180</v>
      </c>
      <c r="H60" s="491" t="s">
        <v>79</v>
      </c>
      <c r="I60" s="491"/>
    </row>
    <row r="61" spans="1:9" hidden="1" x14ac:dyDescent="0.35">
      <c r="A61" s="491" t="s">
        <v>580</v>
      </c>
      <c r="B61" s="492">
        <f>SUMIF('Raw TB 1225'!$B:$B,'TB 1225'!$A61,'Raw TB 1225'!C:C)</f>
        <v>-230556.43</v>
      </c>
      <c r="C61" s="492">
        <f>SUMIF('Raw TB 1225'!$B:$B,'TB 1225'!$A61,'Raw TB 1225'!D:D)</f>
        <v>621696</v>
      </c>
      <c r="D61" s="492">
        <f>SUMIF('Raw TB 1225'!$B:$B,'TB 1225'!$A61,'Raw TB 1225'!E:E)</f>
        <v>372445.7</v>
      </c>
      <c r="E61" s="492">
        <f>SUMIF('Raw TB 1225'!$B:$B,'TB 1225'!$A61,'Raw TB 1225'!F:F)</f>
        <v>18693.87</v>
      </c>
      <c r="F61" s="492">
        <f t="shared" si="1"/>
        <v>18.69387</v>
      </c>
      <c r="G61" s="502" t="s">
        <v>180</v>
      </c>
      <c r="H61" s="491" t="s">
        <v>79</v>
      </c>
      <c r="I61" s="491"/>
    </row>
    <row r="62" spans="1:9" hidden="1" x14ac:dyDescent="0.35">
      <c r="A62" s="491" t="s">
        <v>581</v>
      </c>
      <c r="B62" s="492">
        <f>SUMIF('Raw TB 1225'!$B:$B,'TB 1225'!$A62,'Raw TB 1225'!C:C)</f>
        <v>-2055267.32</v>
      </c>
      <c r="C62" s="492">
        <f>SUMIF('Raw TB 1225'!$B:$B,'TB 1225'!$A62,'Raw TB 1225'!D:D)</f>
        <v>1780559</v>
      </c>
      <c r="D62" s="492">
        <f>SUMIF('Raw TB 1225'!$B:$B,'TB 1225'!$A62,'Raw TB 1225'!E:E)</f>
        <v>2585849.27</v>
      </c>
      <c r="E62" s="492">
        <f>SUMIF('Raw TB 1225'!$B:$B,'TB 1225'!$A62,'Raw TB 1225'!F:F)</f>
        <v>-2860557.59</v>
      </c>
      <c r="F62" s="492">
        <f t="shared" si="1"/>
        <v>-2860.5575899999999</v>
      </c>
      <c r="G62" s="502" t="s">
        <v>180</v>
      </c>
      <c r="H62" s="491" t="s">
        <v>79</v>
      </c>
      <c r="I62" s="491"/>
    </row>
    <row r="63" spans="1:9" hidden="1" x14ac:dyDescent="0.35">
      <c r="A63" s="491" t="s">
        <v>582</v>
      </c>
      <c r="B63" s="492">
        <f>SUMIF('Raw TB 1225'!$B:$B,'TB 1225'!$A63,'Raw TB 1225'!C:C)</f>
        <v>-37800</v>
      </c>
      <c r="C63" s="492">
        <f>SUMIF('Raw TB 1225'!$B:$B,'TB 1225'!$A63,'Raw TB 1225'!D:D)</f>
        <v>38005.9</v>
      </c>
      <c r="D63" s="492">
        <f>SUMIF('Raw TB 1225'!$B:$B,'TB 1225'!$A63,'Raw TB 1225'!E:E)</f>
        <v>40200</v>
      </c>
      <c r="E63" s="492">
        <f>SUMIF('Raw TB 1225'!$B:$B,'TB 1225'!$A63,'Raw TB 1225'!F:F)</f>
        <v>-39994.1</v>
      </c>
      <c r="F63" s="492">
        <f t="shared" si="1"/>
        <v>-39.994099999999996</v>
      </c>
      <c r="G63" s="502" t="s">
        <v>180</v>
      </c>
      <c r="H63" s="491" t="s">
        <v>68</v>
      </c>
      <c r="I63" s="491"/>
    </row>
    <row r="64" spans="1:9" hidden="1" x14ac:dyDescent="0.35">
      <c r="A64" s="491" t="s">
        <v>583</v>
      </c>
      <c r="B64" s="492">
        <f>SUMIF('Raw TB 1225'!$B:$B,'TB 1225'!$A64,'Raw TB 1225'!C:C)</f>
        <v>-459740</v>
      </c>
      <c r="C64" s="492">
        <f>SUMIF('Raw TB 1225'!$B:$B,'TB 1225'!$A64,'Raw TB 1225'!D:D)</f>
        <v>468309</v>
      </c>
      <c r="D64" s="492">
        <f>SUMIF('Raw TB 1225'!$B:$B,'TB 1225'!$A64,'Raw TB 1225'!E:E)</f>
        <v>492087</v>
      </c>
      <c r="E64" s="492">
        <f>SUMIF('Raw TB 1225'!$B:$B,'TB 1225'!$A64,'Raw TB 1225'!F:F)</f>
        <v>-483518</v>
      </c>
      <c r="F64" s="492">
        <f t="shared" si="1"/>
        <v>-483.51799999999997</v>
      </c>
      <c r="G64" s="502" t="s">
        <v>180</v>
      </c>
      <c r="H64" s="491" t="s">
        <v>68</v>
      </c>
      <c r="I64" s="491"/>
    </row>
    <row r="65" spans="1:9" hidden="1" x14ac:dyDescent="0.35">
      <c r="A65" s="491" t="s">
        <v>584</v>
      </c>
      <c r="B65" s="492">
        <f>SUMIF('Raw TB 1225'!$B:$B,'TB 1225'!$A65,'Raw TB 1225'!C:C)</f>
        <v>-459740</v>
      </c>
      <c r="C65" s="492">
        <f>SUMIF('Raw TB 1225'!$B:$B,'TB 1225'!$A65,'Raw TB 1225'!D:D)</f>
        <v>468309</v>
      </c>
      <c r="D65" s="492">
        <f>SUMIF('Raw TB 1225'!$B:$B,'TB 1225'!$A65,'Raw TB 1225'!E:E)</f>
        <v>492087</v>
      </c>
      <c r="E65" s="492">
        <f>SUMIF('Raw TB 1225'!$B:$B,'TB 1225'!$A65,'Raw TB 1225'!F:F)</f>
        <v>-483518</v>
      </c>
      <c r="F65" s="492">
        <f t="shared" si="1"/>
        <v>-483.51799999999997</v>
      </c>
      <c r="G65" s="502" t="s">
        <v>180</v>
      </c>
      <c r="H65" s="491" t="s">
        <v>68</v>
      </c>
      <c r="I65" s="491"/>
    </row>
    <row r="66" spans="1:9" hidden="1" x14ac:dyDescent="0.35">
      <c r="A66" s="491" t="s">
        <v>138</v>
      </c>
      <c r="B66" s="492">
        <f>SUMIF('Raw TB 1225'!$B:$B,'TB 1225'!$A66,'Raw TB 1225'!C:C)</f>
        <v>0</v>
      </c>
      <c r="C66" s="492">
        <f>SUMIF('Raw TB 1225'!$B:$B,'TB 1225'!$A66,'Raw TB 1225'!D:D)</f>
        <v>0</v>
      </c>
      <c r="D66" s="492">
        <f>SUMIF('Raw TB 1225'!$B:$B,'TB 1225'!$A66,'Raw TB 1225'!E:E)</f>
        <v>0</v>
      </c>
      <c r="E66" s="492">
        <f>SUMIF('Raw TB 1225'!$B:$B,'TB 1225'!$A66,'Raw TB 1225'!F:F)</f>
        <v>0</v>
      </c>
      <c r="F66" s="492">
        <f t="shared" si="1"/>
        <v>0</v>
      </c>
      <c r="G66" s="502" t="s">
        <v>180</v>
      </c>
      <c r="H66" s="491" t="s">
        <v>69</v>
      </c>
      <c r="I66" s="491"/>
    </row>
    <row r="67" spans="1:9" hidden="1" x14ac:dyDescent="0.35">
      <c r="A67" s="491" t="s">
        <v>620</v>
      </c>
      <c r="B67" s="492">
        <f>SUMIF('Raw TB 1225'!$B:$B,'TB 1225'!$A67,'Raw TB 1225'!C:C)</f>
        <v>-11411398</v>
      </c>
      <c r="C67" s="492">
        <f>SUMIF('Raw TB 1225'!$B:$B,'TB 1225'!$A67,'Raw TB 1225'!D:D)</f>
        <v>11411398</v>
      </c>
      <c r="D67" s="492">
        <f>SUMIF('Raw TB 1225'!$B:$B,'TB 1225'!$A67,'Raw TB 1225'!E:E)</f>
        <v>28063799.890000001</v>
      </c>
      <c r="E67" s="492">
        <f>SUMIF('Raw TB 1225'!$B:$B,'TB 1225'!$A67,'Raw TB 1225'!F:F)</f>
        <v>-28063799.890000001</v>
      </c>
      <c r="F67" s="492">
        <f t="shared" si="1"/>
        <v>-28063.799890000002</v>
      </c>
      <c r="G67" s="502" t="s">
        <v>180</v>
      </c>
      <c r="H67" s="491" t="s">
        <v>69</v>
      </c>
      <c r="I67" s="491"/>
    </row>
    <row r="68" spans="1:9" hidden="1" x14ac:dyDescent="0.35">
      <c r="A68" s="491" t="s">
        <v>1429</v>
      </c>
      <c r="B68" s="492">
        <f>SUMIF('Raw TB 1225'!$B:$B,'TB 1225'!$A68,'Raw TB 1225'!C:C)</f>
        <v>-548984</v>
      </c>
      <c r="C68" s="492">
        <f>SUMIF('Raw TB 1225'!$B:$B,'TB 1225'!$A68,'Raw TB 1225'!D:D)</f>
        <v>0</v>
      </c>
      <c r="D68" s="492">
        <f>SUMIF('Raw TB 1225'!$B:$B,'TB 1225'!$A68,'Raw TB 1225'!E:E)</f>
        <v>0</v>
      </c>
      <c r="E68" s="492">
        <f>SUMIF('Raw TB 1225'!$B:$B,'TB 1225'!$A68,'Raw TB 1225'!F:F)</f>
        <v>-548984</v>
      </c>
      <c r="F68" s="492">
        <f t="shared" ref="F68:F131" si="3">E68/10^3</f>
        <v>-548.98400000000004</v>
      </c>
      <c r="G68" s="502" t="s">
        <v>180</v>
      </c>
      <c r="H68" s="491" t="s">
        <v>1371</v>
      </c>
      <c r="I68" s="491"/>
    </row>
    <row r="69" spans="1:9" hidden="1" x14ac:dyDescent="0.35">
      <c r="A69" s="491" t="s">
        <v>1430</v>
      </c>
      <c r="B69" s="492">
        <f>SUMIF('Raw TB 1225'!$B:$B,'TB 1225'!$A69,'Raw TB 1225'!C:C)</f>
        <v>-1269</v>
      </c>
      <c r="C69" s="492">
        <f>SUMIF('Raw TB 1225'!$B:$B,'TB 1225'!$A69,'Raw TB 1225'!D:D)</f>
        <v>0</v>
      </c>
      <c r="D69" s="492">
        <f>SUMIF('Raw TB 1225'!$B:$B,'TB 1225'!$A69,'Raw TB 1225'!E:E)</f>
        <v>0</v>
      </c>
      <c r="E69" s="492">
        <f>SUMIF('Raw TB 1225'!$B:$B,'TB 1225'!$A69,'Raw TB 1225'!F:F)</f>
        <v>-1269</v>
      </c>
      <c r="F69" s="492">
        <f t="shared" si="3"/>
        <v>-1.2689999999999999</v>
      </c>
      <c r="G69" s="502" t="s">
        <v>180</v>
      </c>
      <c r="H69" s="491" t="s">
        <v>69</v>
      </c>
      <c r="I69" s="491"/>
    </row>
    <row r="70" spans="1:9" hidden="1" x14ac:dyDescent="0.35">
      <c r="A70" s="491" t="s">
        <v>1364</v>
      </c>
      <c r="B70" s="492">
        <f>SUMIF('Raw TB 1225'!$B:$B,'TB 1225'!$A70,'Raw TB 1225'!C:C)</f>
        <v>-22866217</v>
      </c>
      <c r="C70" s="492">
        <f>SUMIF('Raw TB 1225'!$B:$B,'TB 1225'!$A70,'Raw TB 1225'!D:D)</f>
        <v>22866217</v>
      </c>
      <c r="D70" s="492">
        <f>SUMIF('Raw TB 1225'!$B:$B,'TB 1225'!$A70,'Raw TB 1225'!E:E)</f>
        <v>26805889</v>
      </c>
      <c r="E70" s="492">
        <f>SUMIF('Raw TB 1225'!$B:$B,'TB 1225'!$A70,'Raw TB 1225'!F:F)</f>
        <v>-26805889</v>
      </c>
      <c r="F70" s="492">
        <f t="shared" si="3"/>
        <v>-26805.888999999999</v>
      </c>
      <c r="G70" s="502" t="s">
        <v>180</v>
      </c>
      <c r="H70" s="491" t="s">
        <v>69</v>
      </c>
      <c r="I70" s="491"/>
    </row>
    <row r="71" spans="1:9" hidden="1" x14ac:dyDescent="0.35">
      <c r="A71" s="491" t="s">
        <v>585</v>
      </c>
      <c r="B71" s="492">
        <f>SUMIF('Raw TB 1225'!$B:$B,'TB 1225'!$A71,'Raw TB 1225'!C:C)</f>
        <v>-8038850</v>
      </c>
      <c r="C71" s="492">
        <f>SUMIF('Raw TB 1225'!$B:$B,'TB 1225'!$A71,'Raw TB 1225'!D:D)</f>
        <v>8038850</v>
      </c>
      <c r="D71" s="492">
        <f>SUMIF('Raw TB 1225'!$B:$B,'TB 1225'!$A71,'Raw TB 1225'!E:E)</f>
        <v>15384991.25</v>
      </c>
      <c r="E71" s="492">
        <f>SUMIF('Raw TB 1225'!$B:$B,'TB 1225'!$A71,'Raw TB 1225'!F:F)</f>
        <v>-15384991.25</v>
      </c>
      <c r="F71" s="492">
        <f t="shared" si="3"/>
        <v>-15384.991249999999</v>
      </c>
      <c r="G71" s="502" t="s">
        <v>180</v>
      </c>
      <c r="H71" s="491" t="s">
        <v>69</v>
      </c>
      <c r="I71" s="491"/>
    </row>
    <row r="72" spans="1:9" hidden="1" x14ac:dyDescent="0.35">
      <c r="A72" s="491" t="s">
        <v>1256</v>
      </c>
      <c r="B72" s="492">
        <f>SUMIF('Raw TB 1225'!$B:$B,'TB 1225'!$A72,'Raw TB 1225'!C:C)</f>
        <v>-16916</v>
      </c>
      <c r="C72" s="492">
        <f>SUMIF('Raw TB 1225'!$B:$B,'TB 1225'!$A72,'Raw TB 1225'!D:D)</f>
        <v>16916</v>
      </c>
      <c r="D72" s="492">
        <f>SUMIF('Raw TB 1225'!$B:$B,'TB 1225'!$A72,'Raw TB 1225'!E:E)</f>
        <v>24416</v>
      </c>
      <c r="E72" s="492">
        <f>SUMIF('Raw TB 1225'!$B:$B,'TB 1225'!$A72,'Raw TB 1225'!F:F)</f>
        <v>-24416</v>
      </c>
      <c r="F72" s="492">
        <f t="shared" si="3"/>
        <v>-24.416</v>
      </c>
      <c r="G72" s="502" t="s">
        <v>180</v>
      </c>
      <c r="H72" s="491" t="s">
        <v>69</v>
      </c>
      <c r="I72" s="491"/>
    </row>
    <row r="73" spans="1:9" hidden="1" x14ac:dyDescent="0.35">
      <c r="A73" s="491" t="s">
        <v>586</v>
      </c>
      <c r="B73" s="492">
        <f>SUMIF('Raw TB 1225'!$B:$B,'TB 1225'!$A73,'Raw TB 1225'!C:C)</f>
        <v>-3714772.3</v>
      </c>
      <c r="C73" s="492">
        <f>SUMIF('Raw TB 1225'!$B:$B,'TB 1225'!$A73,'Raw TB 1225'!D:D)</f>
        <v>3714772</v>
      </c>
      <c r="D73" s="492">
        <f>SUMIF('Raw TB 1225'!$B:$B,'TB 1225'!$A73,'Raw TB 1225'!E:E)</f>
        <v>4002027</v>
      </c>
      <c r="E73" s="492">
        <f>SUMIF('Raw TB 1225'!$B:$B,'TB 1225'!$A73,'Raw TB 1225'!F:F)</f>
        <v>-4002027.3</v>
      </c>
      <c r="F73" s="492">
        <f t="shared" si="3"/>
        <v>-4002.0272999999997</v>
      </c>
      <c r="G73" s="502" t="s">
        <v>180</v>
      </c>
      <c r="H73" s="491" t="s">
        <v>69</v>
      </c>
      <c r="I73" s="491"/>
    </row>
    <row r="74" spans="1:9" hidden="1" x14ac:dyDescent="0.35">
      <c r="A74" s="491" t="s">
        <v>1257</v>
      </c>
      <c r="B74" s="492">
        <f>SUMIF('Raw TB 1225'!$B:$B,'TB 1225'!$A74,'Raw TB 1225'!C:C)</f>
        <v>-2414260</v>
      </c>
      <c r="C74" s="492">
        <f>SUMIF('Raw TB 1225'!$B:$B,'TB 1225'!$A74,'Raw TB 1225'!D:D)</f>
        <v>2414260</v>
      </c>
      <c r="D74" s="492">
        <f>SUMIF('Raw TB 1225'!$B:$B,'TB 1225'!$A74,'Raw TB 1225'!E:E)</f>
        <v>5892118</v>
      </c>
      <c r="E74" s="492">
        <f>SUMIF('Raw TB 1225'!$B:$B,'TB 1225'!$A74,'Raw TB 1225'!F:F)</f>
        <v>-5892118</v>
      </c>
      <c r="F74" s="492">
        <f t="shared" si="3"/>
        <v>-5892.1180000000004</v>
      </c>
      <c r="G74" s="502" t="s">
        <v>180</v>
      </c>
      <c r="H74" s="491" t="s">
        <v>69</v>
      </c>
      <c r="I74" s="491"/>
    </row>
    <row r="75" spans="1:9" hidden="1" x14ac:dyDescent="0.35">
      <c r="A75" s="491" t="s">
        <v>1258</v>
      </c>
      <c r="B75" s="492">
        <f>SUMIF('Raw TB 1225'!$B:$B,'TB 1225'!$A75,'Raw TB 1225'!C:C)</f>
        <v>-842113</v>
      </c>
      <c r="C75" s="492">
        <f>SUMIF('Raw TB 1225'!$B:$B,'TB 1225'!$A75,'Raw TB 1225'!D:D)</f>
        <v>842113</v>
      </c>
      <c r="D75" s="492">
        <f>SUMIF('Raw TB 1225'!$B:$B,'TB 1225'!$A75,'Raw TB 1225'!E:E)</f>
        <v>1907356</v>
      </c>
      <c r="E75" s="492">
        <f>SUMIF('Raw TB 1225'!$B:$B,'TB 1225'!$A75,'Raw TB 1225'!F:F)</f>
        <v>-1907356</v>
      </c>
      <c r="F75" s="492">
        <f t="shared" si="3"/>
        <v>-1907.356</v>
      </c>
      <c r="G75" s="502" t="s">
        <v>180</v>
      </c>
      <c r="H75" s="491" t="s">
        <v>69</v>
      </c>
      <c r="I75" s="491"/>
    </row>
    <row r="76" spans="1:9" hidden="1" x14ac:dyDescent="0.35">
      <c r="A76" s="491" t="s">
        <v>425</v>
      </c>
      <c r="B76" s="492">
        <f>SUMIF('Raw TB 1225'!$B:$B,'TB 1225'!$A76,'Raw TB 1225'!C:C)</f>
        <v>-7768398.4299999997</v>
      </c>
      <c r="C76" s="492">
        <f>SUMIF('Raw TB 1225'!$B:$B,'TB 1225'!$A76,'Raw TB 1225'!D:D)</f>
        <v>8040832</v>
      </c>
      <c r="D76" s="492">
        <f>SUMIF('Raw TB 1225'!$B:$B,'TB 1225'!$A76,'Raw TB 1225'!E:E)</f>
        <v>8646414.2899999991</v>
      </c>
      <c r="E76" s="492">
        <f>SUMIF('Raw TB 1225'!$B:$B,'TB 1225'!$A76,'Raw TB 1225'!F:F)</f>
        <v>-8373980.7199999997</v>
      </c>
      <c r="F76" s="492">
        <f t="shared" si="3"/>
        <v>-8373.9807199999996</v>
      </c>
      <c r="G76" s="502" t="s">
        <v>180</v>
      </c>
      <c r="H76" s="491" t="s">
        <v>68</v>
      </c>
      <c r="I76" s="491"/>
    </row>
    <row r="77" spans="1:9" hidden="1" x14ac:dyDescent="0.35">
      <c r="A77" s="491" t="s">
        <v>587</v>
      </c>
      <c r="B77" s="492">
        <f>SUMIF('Raw TB 1225'!$B:$B,'TB 1225'!$A77,'Raw TB 1225'!C:C)</f>
        <v>-2699443</v>
      </c>
      <c r="C77" s="492">
        <f>SUMIF('Raw TB 1225'!$B:$B,'TB 1225'!$A77,'Raw TB 1225'!D:D)</f>
        <v>0</v>
      </c>
      <c r="D77" s="492">
        <f>SUMIF('Raw TB 1225'!$B:$B,'TB 1225'!$A77,'Raw TB 1225'!E:E)</f>
        <v>0</v>
      </c>
      <c r="E77" s="492">
        <f>SUMIF('Raw TB 1225'!$B:$B,'TB 1225'!$A77,'Raw TB 1225'!F:F)</f>
        <v>-2699443</v>
      </c>
      <c r="F77" s="492">
        <f t="shared" si="3"/>
        <v>-2699.4430000000002</v>
      </c>
      <c r="G77" s="502" t="s">
        <v>180</v>
      </c>
      <c r="H77" s="491" t="s">
        <v>68</v>
      </c>
      <c r="I77" s="491"/>
    </row>
    <row r="78" spans="1:9" hidden="1" x14ac:dyDescent="0.35">
      <c r="A78" s="491" t="s">
        <v>588</v>
      </c>
      <c r="B78" s="492">
        <f>SUMIF('Raw TB 1225'!$B:$B,'TB 1225'!$A78,'Raw TB 1225'!C:C)</f>
        <v>623986204.53999996</v>
      </c>
      <c r="C78" s="492">
        <f>SUMIF('Raw TB 1225'!$B:$B,'TB 1225'!$A78,'Raw TB 1225'!D:D)</f>
        <v>0</v>
      </c>
      <c r="D78" s="492">
        <f>SUMIF('Raw TB 1225'!$B:$B,'TB 1225'!$A78,'Raw TB 1225'!E:E)</f>
        <v>0</v>
      </c>
      <c r="E78" s="492">
        <f>SUMIF('Raw TB 1225'!$B:$B,'TB 1225'!$A78,'Raw TB 1225'!F:F)</f>
        <v>623986204.53999996</v>
      </c>
      <c r="F78" s="492">
        <f t="shared" si="3"/>
        <v>623986.20453999995</v>
      </c>
      <c r="G78" s="502" t="s">
        <v>180</v>
      </c>
      <c r="H78" s="491" t="s">
        <v>64</v>
      </c>
      <c r="I78" s="491"/>
    </row>
    <row r="79" spans="1:9" hidden="1" x14ac:dyDescent="0.35">
      <c r="A79" s="491" t="s">
        <v>1431</v>
      </c>
      <c r="B79" s="492">
        <f>SUMIF('Raw TB 1225'!$B:$B,'TB 1225'!$A79,'Raw TB 1225'!C:C)</f>
        <v>-1245691</v>
      </c>
      <c r="C79" s="492">
        <f>SUMIF('Raw TB 1225'!$B:$B,'TB 1225'!$A79,'Raw TB 1225'!D:D)</f>
        <v>0</v>
      </c>
      <c r="D79" s="492">
        <f>SUMIF('Raw TB 1225'!$B:$B,'TB 1225'!$A79,'Raw TB 1225'!E:E)</f>
        <v>0</v>
      </c>
      <c r="E79" s="492">
        <f>SUMIF('Raw TB 1225'!$B:$B,'TB 1225'!$A79,'Raw TB 1225'!F:F)</f>
        <v>-1245691</v>
      </c>
      <c r="F79" s="492">
        <f t="shared" si="3"/>
        <v>-1245.691</v>
      </c>
      <c r="G79" s="502" t="s">
        <v>180</v>
      </c>
      <c r="H79" s="491" t="s">
        <v>64</v>
      </c>
      <c r="I79" s="491"/>
    </row>
    <row r="80" spans="1:9" hidden="1" x14ac:dyDescent="0.35">
      <c r="A80" s="491" t="s">
        <v>589</v>
      </c>
      <c r="B80" s="492">
        <f>SUMIF('Raw TB 1225'!$B:$B,'TB 1225'!$A80,'Raw TB 1225'!C:C)</f>
        <v>-100000</v>
      </c>
      <c r="C80" s="492">
        <f>SUMIF('Raw TB 1225'!$B:$B,'TB 1225'!$A80,'Raw TB 1225'!D:D)</f>
        <v>0</v>
      </c>
      <c r="D80" s="492">
        <f>SUMIF('Raw TB 1225'!$B:$B,'TB 1225'!$A80,'Raw TB 1225'!E:E)</f>
        <v>0</v>
      </c>
      <c r="E80" s="492">
        <f>SUMIF('Raw TB 1225'!$B:$B,'TB 1225'!$A80,'Raw TB 1225'!F:F)</f>
        <v>-100000</v>
      </c>
      <c r="F80" s="492">
        <f t="shared" si="3"/>
        <v>-100</v>
      </c>
      <c r="G80" s="502" t="s">
        <v>180</v>
      </c>
      <c r="H80" s="491" t="s">
        <v>63</v>
      </c>
      <c r="I80" s="491"/>
    </row>
    <row r="81" spans="1:9" hidden="1" x14ac:dyDescent="0.35">
      <c r="A81" s="491" t="s">
        <v>698</v>
      </c>
      <c r="B81" s="492">
        <f>SUMIF('Raw TB 1225'!$B:$B,'TB 1225'!$A81,'Raw TB 1225'!C:C)</f>
        <v>-10</v>
      </c>
      <c r="C81" s="492">
        <f>SUMIF('Raw TB 1225'!$B:$B,'TB 1225'!$A81,'Raw TB 1225'!D:D)</f>
        <v>0</v>
      </c>
      <c r="D81" s="492">
        <f>SUMIF('Raw TB 1225'!$B:$B,'TB 1225'!$A81,'Raw TB 1225'!E:E)</f>
        <v>0</v>
      </c>
      <c r="E81" s="492">
        <f>SUMIF('Raw TB 1225'!$B:$B,'TB 1225'!$A81,'Raw TB 1225'!F:F)</f>
        <v>-10</v>
      </c>
      <c r="F81" s="492">
        <f t="shared" si="3"/>
        <v>-0.01</v>
      </c>
      <c r="G81" s="502" t="s">
        <v>180</v>
      </c>
      <c r="H81" s="491" t="s">
        <v>63</v>
      </c>
      <c r="I81" s="491"/>
    </row>
    <row r="82" spans="1:9" hidden="1" x14ac:dyDescent="0.35">
      <c r="A82" s="491" t="s">
        <v>699</v>
      </c>
      <c r="B82" s="492">
        <f>SUMIF('Raw TB 1225'!$B:$B,'TB 1225'!$A82,'Raw TB 1225'!C:C)</f>
        <v>-5463300</v>
      </c>
      <c r="C82" s="492">
        <f>SUMIF('Raw TB 1225'!$B:$B,'TB 1225'!$A82,'Raw TB 1225'!D:D)</f>
        <v>0</v>
      </c>
      <c r="D82" s="492">
        <f>SUMIF('Raw TB 1225'!$B:$B,'TB 1225'!$A82,'Raw TB 1225'!E:E)</f>
        <v>0</v>
      </c>
      <c r="E82" s="492">
        <f>SUMIF('Raw TB 1225'!$B:$B,'TB 1225'!$A82,'Raw TB 1225'!F:F)</f>
        <v>-5463300</v>
      </c>
      <c r="F82" s="492">
        <f t="shared" si="3"/>
        <v>-5463.3</v>
      </c>
      <c r="G82" s="502" t="s">
        <v>180</v>
      </c>
      <c r="H82" s="491" t="s">
        <v>63</v>
      </c>
      <c r="I82" s="491"/>
    </row>
    <row r="83" spans="1:9" hidden="1" x14ac:dyDescent="0.35">
      <c r="A83" s="491" t="s">
        <v>700</v>
      </c>
      <c r="B83" s="492">
        <f>SUMIF('Raw TB 1225'!$B:$B,'TB 1225'!$A83,'Raw TB 1225'!C:C)</f>
        <v>-10800</v>
      </c>
      <c r="C83" s="492">
        <f>SUMIF('Raw TB 1225'!$B:$B,'TB 1225'!$A83,'Raw TB 1225'!D:D)</f>
        <v>0</v>
      </c>
      <c r="D83" s="492">
        <f>SUMIF('Raw TB 1225'!$B:$B,'TB 1225'!$A83,'Raw TB 1225'!E:E)</f>
        <v>0</v>
      </c>
      <c r="E83" s="492">
        <f>SUMIF('Raw TB 1225'!$B:$B,'TB 1225'!$A83,'Raw TB 1225'!F:F)</f>
        <v>-10800</v>
      </c>
      <c r="F83" s="492">
        <f t="shared" si="3"/>
        <v>-10.8</v>
      </c>
      <c r="G83" s="502" t="s">
        <v>180</v>
      </c>
      <c r="H83" s="491" t="s">
        <v>63</v>
      </c>
      <c r="I83" s="491"/>
    </row>
    <row r="84" spans="1:9" hidden="1" x14ac:dyDescent="0.35">
      <c r="A84" s="491" t="s">
        <v>1259</v>
      </c>
      <c r="B84" s="492">
        <f>SUMIF('Raw TB 1225'!$B:$B,'TB 1225'!$A84,'Raw TB 1225'!C:C)</f>
        <v>-4870200</v>
      </c>
      <c r="C84" s="492">
        <f>SUMIF('Raw TB 1225'!$B:$B,'TB 1225'!$A84,'Raw TB 1225'!D:D)</f>
        <v>0</v>
      </c>
      <c r="D84" s="492">
        <f>SUMIF('Raw TB 1225'!$B:$B,'TB 1225'!$A84,'Raw TB 1225'!E:E)</f>
        <v>0</v>
      </c>
      <c r="E84" s="492">
        <f>SUMIF('Raw TB 1225'!$B:$B,'TB 1225'!$A84,'Raw TB 1225'!F:F)</f>
        <v>-4870200</v>
      </c>
      <c r="F84" s="492">
        <f t="shared" si="3"/>
        <v>-4870.2</v>
      </c>
      <c r="G84" s="502" t="s">
        <v>180</v>
      </c>
      <c r="H84" s="491" t="s">
        <v>63</v>
      </c>
      <c r="I84" s="491"/>
    </row>
    <row r="85" spans="1:9" hidden="1" x14ac:dyDescent="0.35">
      <c r="A85" s="491" t="s">
        <v>590</v>
      </c>
      <c r="B85" s="492">
        <f>SUMIF('Raw TB 1225'!$B:$B,'TB 1225'!$A85,'Raw TB 1225'!C:C)</f>
        <v>-10</v>
      </c>
      <c r="C85" s="492">
        <f>SUMIF('Raw TB 1225'!$B:$B,'TB 1225'!$A85,'Raw TB 1225'!D:D)</f>
        <v>0</v>
      </c>
      <c r="D85" s="492">
        <f>SUMIF('Raw TB 1225'!$B:$B,'TB 1225'!$A85,'Raw TB 1225'!E:E)</f>
        <v>0</v>
      </c>
      <c r="E85" s="492">
        <f>SUMIF('Raw TB 1225'!$B:$B,'TB 1225'!$A85,'Raw TB 1225'!F:F)</f>
        <v>-10</v>
      </c>
      <c r="F85" s="492">
        <f t="shared" si="3"/>
        <v>-0.01</v>
      </c>
      <c r="G85" s="502" t="s">
        <v>180</v>
      </c>
      <c r="H85" s="491" t="s">
        <v>63</v>
      </c>
      <c r="I85" s="491"/>
    </row>
    <row r="86" spans="1:9" hidden="1" x14ac:dyDescent="0.35">
      <c r="A86" s="491" t="s">
        <v>591</v>
      </c>
      <c r="B86" s="492">
        <f>SUMIF('Raw TB 1225'!$B:$B,'TB 1225'!$A86,'Raw TB 1225'!C:C)</f>
        <v>-6991800</v>
      </c>
      <c r="C86" s="492">
        <f>SUMIF('Raw TB 1225'!$B:$B,'TB 1225'!$A86,'Raw TB 1225'!D:D)</f>
        <v>0</v>
      </c>
      <c r="D86" s="492">
        <f>SUMIF('Raw TB 1225'!$B:$B,'TB 1225'!$A86,'Raw TB 1225'!E:E)</f>
        <v>0</v>
      </c>
      <c r="E86" s="492">
        <f>SUMIF('Raw TB 1225'!$B:$B,'TB 1225'!$A86,'Raw TB 1225'!F:F)</f>
        <v>-6991800</v>
      </c>
      <c r="F86" s="492">
        <f t="shared" si="3"/>
        <v>-6991.8</v>
      </c>
      <c r="G86" s="502" t="s">
        <v>180</v>
      </c>
      <c r="H86" s="491" t="s">
        <v>63</v>
      </c>
      <c r="I86" s="491"/>
    </row>
    <row r="87" spans="1:9" hidden="1" x14ac:dyDescent="0.35">
      <c r="A87" s="491" t="s">
        <v>701</v>
      </c>
      <c r="B87" s="492">
        <f>SUMIF('Raw TB 1225'!$B:$B,'TB 1225'!$A87,'Raw TB 1225'!C:C)</f>
        <v>-16200</v>
      </c>
      <c r="C87" s="492">
        <f>SUMIF('Raw TB 1225'!$B:$B,'TB 1225'!$A87,'Raw TB 1225'!D:D)</f>
        <v>0</v>
      </c>
      <c r="D87" s="492">
        <f>SUMIF('Raw TB 1225'!$B:$B,'TB 1225'!$A87,'Raw TB 1225'!E:E)</f>
        <v>0</v>
      </c>
      <c r="E87" s="492">
        <f>SUMIF('Raw TB 1225'!$B:$B,'TB 1225'!$A87,'Raw TB 1225'!F:F)</f>
        <v>-16200</v>
      </c>
      <c r="F87" s="492">
        <f t="shared" si="3"/>
        <v>-16.2</v>
      </c>
      <c r="G87" s="502" t="s">
        <v>180</v>
      </c>
      <c r="H87" s="491" t="s">
        <v>63</v>
      </c>
      <c r="I87" s="491"/>
    </row>
    <row r="88" spans="1:9" hidden="1" x14ac:dyDescent="0.35">
      <c r="A88" s="491" t="s">
        <v>702</v>
      </c>
      <c r="B88" s="492">
        <f>SUMIF('Raw TB 1225'!$B:$B,'TB 1225'!$A88,'Raw TB 1225'!C:C)</f>
        <v>-5400</v>
      </c>
      <c r="C88" s="492">
        <f>SUMIF('Raw TB 1225'!$B:$B,'TB 1225'!$A88,'Raw TB 1225'!D:D)</f>
        <v>0</v>
      </c>
      <c r="D88" s="492">
        <f>SUMIF('Raw TB 1225'!$B:$B,'TB 1225'!$A88,'Raw TB 1225'!E:E)</f>
        <v>0</v>
      </c>
      <c r="E88" s="492">
        <f>SUMIF('Raw TB 1225'!$B:$B,'TB 1225'!$A88,'Raw TB 1225'!F:F)</f>
        <v>-5400</v>
      </c>
      <c r="F88" s="492">
        <f t="shared" si="3"/>
        <v>-5.4</v>
      </c>
      <c r="G88" s="502" t="s">
        <v>180</v>
      </c>
      <c r="H88" s="491" t="s">
        <v>63</v>
      </c>
      <c r="I88" s="491"/>
    </row>
    <row r="89" spans="1:9" hidden="1" x14ac:dyDescent="0.35">
      <c r="A89" s="491" t="s">
        <v>703</v>
      </c>
      <c r="B89" s="492">
        <f>SUMIF('Raw TB 1225'!$B:$B,'TB 1225'!$A89,'Raw TB 1225'!C:C)</f>
        <v>-37800</v>
      </c>
      <c r="C89" s="492">
        <f>SUMIF('Raw TB 1225'!$B:$B,'TB 1225'!$A89,'Raw TB 1225'!D:D)</f>
        <v>0</v>
      </c>
      <c r="D89" s="492">
        <f>SUMIF('Raw TB 1225'!$B:$B,'TB 1225'!$A89,'Raw TB 1225'!E:E)</f>
        <v>0</v>
      </c>
      <c r="E89" s="492">
        <f>SUMIF('Raw TB 1225'!$B:$B,'TB 1225'!$A89,'Raw TB 1225'!F:F)</f>
        <v>-37800</v>
      </c>
      <c r="F89" s="492">
        <f t="shared" si="3"/>
        <v>-37.799999999999997</v>
      </c>
      <c r="G89" s="502" t="s">
        <v>180</v>
      </c>
      <c r="H89" s="491" t="s">
        <v>63</v>
      </c>
      <c r="I89" s="491"/>
    </row>
    <row r="90" spans="1:9" hidden="1" x14ac:dyDescent="0.35">
      <c r="A90" s="491" t="s">
        <v>592</v>
      </c>
      <c r="B90" s="492">
        <f>SUMIF('Raw TB 1225'!$B:$B,'TB 1225'!$A90,'Raw TB 1225'!C:C)</f>
        <v>-4811951235.21</v>
      </c>
      <c r="C90" s="492">
        <f>SUMIF('Raw TB 1225'!$B:$B,'TB 1225'!$A90,'Raw TB 1225'!D:D)</f>
        <v>0</v>
      </c>
      <c r="D90" s="492">
        <f>SUMIF('Raw TB 1225'!$B:$B,'TB 1225'!$A90,'Raw TB 1225'!E:E)</f>
        <v>0</v>
      </c>
      <c r="E90" s="492">
        <f>SUMIF('Raw TB 1225'!$B:$B,'TB 1225'!$A90,'Raw TB 1225'!F:F)</f>
        <v>-4811951235.21</v>
      </c>
      <c r="F90" s="492">
        <f t="shared" si="3"/>
        <v>-4811951.2352099996</v>
      </c>
      <c r="G90" s="502" t="s">
        <v>180</v>
      </c>
      <c r="H90" s="491" t="s">
        <v>64</v>
      </c>
      <c r="I90" s="491"/>
    </row>
    <row r="91" spans="1:9" hidden="1" x14ac:dyDescent="0.35">
      <c r="A91" s="491" t="s">
        <v>704</v>
      </c>
      <c r="B91" s="492">
        <f>SUMIF('Raw TB 1225'!$B:$B,'TB 1225'!$A91,'Raw TB 1225'!C:C)</f>
        <v>-5400</v>
      </c>
      <c r="C91" s="492">
        <f>SUMIF('Raw TB 1225'!$B:$B,'TB 1225'!$A91,'Raw TB 1225'!D:D)</f>
        <v>0</v>
      </c>
      <c r="D91" s="492">
        <f>SUMIF('Raw TB 1225'!$B:$B,'TB 1225'!$A91,'Raw TB 1225'!E:E)</f>
        <v>0</v>
      </c>
      <c r="E91" s="492">
        <f>SUMIF('Raw TB 1225'!$B:$B,'TB 1225'!$A91,'Raw TB 1225'!F:F)</f>
        <v>-5400</v>
      </c>
      <c r="F91" s="492">
        <f t="shared" si="3"/>
        <v>-5.4</v>
      </c>
      <c r="G91" s="502" t="s">
        <v>180</v>
      </c>
      <c r="H91" s="491" t="s">
        <v>63</v>
      </c>
      <c r="I91" s="491"/>
    </row>
    <row r="92" spans="1:9" hidden="1" x14ac:dyDescent="0.35">
      <c r="A92" s="491" t="s">
        <v>705</v>
      </c>
      <c r="B92" s="492">
        <f>SUMIF('Raw TB 1225'!$B:$B,'TB 1225'!$A92,'Raw TB 1225'!C:C)</f>
        <v>-5400</v>
      </c>
      <c r="C92" s="492">
        <f>SUMIF('Raw TB 1225'!$B:$B,'TB 1225'!$A92,'Raw TB 1225'!D:D)</f>
        <v>0</v>
      </c>
      <c r="D92" s="492">
        <f>SUMIF('Raw TB 1225'!$B:$B,'TB 1225'!$A92,'Raw TB 1225'!E:E)</f>
        <v>0</v>
      </c>
      <c r="E92" s="492">
        <f>SUMIF('Raw TB 1225'!$B:$B,'TB 1225'!$A92,'Raw TB 1225'!F:F)</f>
        <v>-5400</v>
      </c>
      <c r="F92" s="492">
        <f t="shared" si="3"/>
        <v>-5.4</v>
      </c>
      <c r="G92" s="502" t="s">
        <v>180</v>
      </c>
      <c r="H92" s="491" t="s">
        <v>63</v>
      </c>
      <c r="I92" s="491"/>
    </row>
    <row r="93" spans="1:9" hidden="1" x14ac:dyDescent="0.35">
      <c r="A93" s="491" t="s">
        <v>706</v>
      </c>
      <c r="B93" s="492">
        <f>SUMIF('Raw TB 1225'!$B:$B,'TB 1225'!$A93,'Raw TB 1225'!C:C)</f>
        <v>-5400</v>
      </c>
      <c r="C93" s="492">
        <f>SUMIF('Raw TB 1225'!$B:$B,'TB 1225'!$A93,'Raw TB 1225'!D:D)</f>
        <v>0</v>
      </c>
      <c r="D93" s="492">
        <f>SUMIF('Raw TB 1225'!$B:$B,'TB 1225'!$A93,'Raw TB 1225'!E:E)</f>
        <v>0</v>
      </c>
      <c r="E93" s="492">
        <f>SUMIF('Raw TB 1225'!$B:$B,'TB 1225'!$A93,'Raw TB 1225'!F:F)</f>
        <v>-5400</v>
      </c>
      <c r="F93" s="492">
        <f t="shared" si="3"/>
        <v>-5.4</v>
      </c>
      <c r="G93" s="502" t="s">
        <v>180</v>
      </c>
      <c r="H93" s="491" t="s">
        <v>63</v>
      </c>
      <c r="I93" s="491"/>
    </row>
    <row r="94" spans="1:9" hidden="1" x14ac:dyDescent="0.35">
      <c r="A94" s="491" t="s">
        <v>707</v>
      </c>
      <c r="B94" s="492">
        <f>SUMIF('Raw TB 1225'!$B:$B,'TB 1225'!$A94,'Raw TB 1225'!C:C)</f>
        <v>-37800</v>
      </c>
      <c r="C94" s="492">
        <f>SUMIF('Raw TB 1225'!$B:$B,'TB 1225'!$A94,'Raw TB 1225'!D:D)</f>
        <v>0</v>
      </c>
      <c r="D94" s="492">
        <f>SUMIF('Raw TB 1225'!$B:$B,'TB 1225'!$A94,'Raw TB 1225'!E:E)</f>
        <v>0</v>
      </c>
      <c r="E94" s="492">
        <f>SUMIF('Raw TB 1225'!$B:$B,'TB 1225'!$A94,'Raw TB 1225'!F:F)</f>
        <v>-37800</v>
      </c>
      <c r="F94" s="492">
        <f t="shared" si="3"/>
        <v>-37.799999999999997</v>
      </c>
      <c r="G94" s="502" t="s">
        <v>180</v>
      </c>
      <c r="H94" s="491" t="s">
        <v>63</v>
      </c>
      <c r="I94" s="491"/>
    </row>
    <row r="95" spans="1:9" hidden="1" x14ac:dyDescent="0.35">
      <c r="A95" s="491" t="s">
        <v>593</v>
      </c>
      <c r="B95" s="492">
        <f>SUMIF('Raw TB 1225'!$B:$B,'TB 1225'!$A95,'Raw TB 1225'!C:C)</f>
        <v>58903866.530000001</v>
      </c>
      <c r="C95" s="492">
        <f>SUMIF('Raw TB 1225'!$B:$B,'TB 1225'!$A95,'Raw TB 1225'!D:D)</f>
        <v>0</v>
      </c>
      <c r="D95" s="492">
        <f>SUMIF('Raw TB 1225'!$B:$B,'TB 1225'!$A95,'Raw TB 1225'!E:E)</f>
        <v>0</v>
      </c>
      <c r="E95" s="492">
        <f>SUMIF('Raw TB 1225'!$B:$B,'TB 1225'!$A95,'Raw TB 1225'!F:F)</f>
        <v>58903866.530000001</v>
      </c>
      <c r="F95" s="492">
        <f t="shared" si="3"/>
        <v>58903.866529999999</v>
      </c>
      <c r="G95" s="502" t="s">
        <v>180</v>
      </c>
      <c r="H95" s="491" t="s">
        <v>64</v>
      </c>
      <c r="I95" s="491"/>
    </row>
    <row r="96" spans="1:9" hidden="1" x14ac:dyDescent="0.35">
      <c r="A96" s="491" t="s">
        <v>1260</v>
      </c>
      <c r="B96" s="492">
        <f>SUMIF('Raw TB 1225'!$B:$B,'TB 1225'!$A96,'Raw TB 1225'!C:C)</f>
        <v>0</v>
      </c>
      <c r="C96" s="492">
        <f>SUMIF('Raw TB 1225'!$B:$B,'TB 1225'!$A96,'Raw TB 1225'!D:D)</f>
        <v>0</v>
      </c>
      <c r="D96" s="492">
        <f>SUMIF('Raw TB 1225'!$B:$B,'TB 1225'!$A96,'Raw TB 1225'!E:E)</f>
        <v>0</v>
      </c>
      <c r="E96" s="492">
        <f>SUMIF('Raw TB 1225'!$B:$B,'TB 1225'!$A96,'Raw TB 1225'!F:F)</f>
        <v>0</v>
      </c>
      <c r="F96" s="492">
        <f t="shared" si="3"/>
        <v>0</v>
      </c>
      <c r="G96" s="502" t="s">
        <v>180</v>
      </c>
      <c r="H96" s="491" t="s">
        <v>64</v>
      </c>
      <c r="I96" s="491" t="s">
        <v>1400</v>
      </c>
    </row>
    <row r="97" spans="1:9" hidden="1" x14ac:dyDescent="0.35">
      <c r="A97" s="491" t="s">
        <v>594</v>
      </c>
      <c r="B97" s="492">
        <f>SUMIF('Raw TB 1225'!$B:$B,'TB 1225'!$A97,'Raw TB 1225'!C:C)</f>
        <v>0</v>
      </c>
      <c r="C97" s="492">
        <f>SUMIF('Raw TB 1225'!$B:$B,'TB 1225'!$A97,'Raw TB 1225'!D:D)</f>
        <v>60536186</v>
      </c>
      <c r="D97" s="492">
        <f>SUMIF('Raw TB 1225'!$B:$B,'TB 1225'!$A97,'Raw TB 1225'!E:E)</f>
        <v>78930786.900000006</v>
      </c>
      <c r="E97" s="492">
        <f>SUMIF('Raw TB 1225'!$B:$B,'TB 1225'!$A97,'Raw TB 1225'!F:F)</f>
        <v>-18394600.899999999</v>
      </c>
      <c r="F97" s="492">
        <f t="shared" si="3"/>
        <v>-18394.600899999998</v>
      </c>
      <c r="G97" s="502" t="s">
        <v>184</v>
      </c>
      <c r="H97" s="491" t="s">
        <v>49</v>
      </c>
      <c r="I97" s="491"/>
    </row>
    <row r="98" spans="1:9" hidden="1" x14ac:dyDescent="0.35">
      <c r="A98" s="491" t="s">
        <v>1363</v>
      </c>
      <c r="B98" s="492">
        <f>SUMIF('Raw TB 1225'!$B:$B,'TB 1225'!$A98,'Raw TB 1225'!C:C)</f>
        <v>0</v>
      </c>
      <c r="C98" s="492">
        <f>SUMIF('Raw TB 1225'!$B:$B,'TB 1225'!$A98,'Raw TB 1225'!D:D)</f>
        <v>0</v>
      </c>
      <c r="D98" s="492">
        <f>SUMIF('Raw TB 1225'!$B:$B,'TB 1225'!$A98,'Raw TB 1225'!E:E)</f>
        <v>518894.79</v>
      </c>
      <c r="E98" s="492">
        <f>SUMIF('Raw TB 1225'!$B:$B,'TB 1225'!$A98,'Raw TB 1225'!F:F)</f>
        <v>-518894.79</v>
      </c>
      <c r="F98" s="492">
        <f t="shared" si="3"/>
        <v>-518.89478999999994</v>
      </c>
      <c r="G98" s="502" t="s">
        <v>184</v>
      </c>
      <c r="H98" s="491" t="s">
        <v>49</v>
      </c>
      <c r="I98" s="491"/>
    </row>
    <row r="99" spans="1:9" hidden="1" x14ac:dyDescent="0.35">
      <c r="A99" s="491" t="s">
        <v>408</v>
      </c>
      <c r="B99" s="492">
        <f>SUMIF('Raw TB 1225'!$B:$B,'TB 1225'!$A99,'Raw TB 1225'!C:C)</f>
        <v>0</v>
      </c>
      <c r="C99" s="492">
        <f>SUMIF('Raw TB 1225'!$B:$B,'TB 1225'!$A99,'Raw TB 1225'!D:D)</f>
        <v>0</v>
      </c>
      <c r="D99" s="492">
        <f>SUMIF('Raw TB 1225'!$B:$B,'TB 1225'!$A99,'Raw TB 1225'!E:E)</f>
        <v>0</v>
      </c>
      <c r="E99" s="492">
        <f>SUMIF('Raw TB 1225'!$B:$B,'TB 1225'!$A99,'Raw TB 1225'!F:F)</f>
        <v>0</v>
      </c>
      <c r="F99" s="492">
        <f t="shared" si="3"/>
        <v>0</v>
      </c>
      <c r="G99" s="502" t="s">
        <v>182</v>
      </c>
      <c r="H99" s="491" t="s">
        <v>41</v>
      </c>
      <c r="I99" s="491"/>
    </row>
    <row r="100" spans="1:9" hidden="1" x14ac:dyDescent="0.35">
      <c r="A100" s="491" t="s">
        <v>595</v>
      </c>
      <c r="B100" s="492">
        <f>SUMIF('Raw TB 1225'!$B:$B,'TB 1225'!$A100,'Raw TB 1225'!C:C)</f>
        <v>0</v>
      </c>
      <c r="C100" s="492">
        <f>SUMIF('Raw TB 1225'!$B:$B,'TB 1225'!$A100,'Raw TB 1225'!D:D)</f>
        <v>34583.53</v>
      </c>
      <c r="D100" s="492">
        <f>SUMIF('Raw TB 1225'!$B:$B,'TB 1225'!$A100,'Raw TB 1225'!E:E)</f>
        <v>0</v>
      </c>
      <c r="E100" s="492">
        <f>SUMIF('Raw TB 1225'!$B:$B,'TB 1225'!$A100,'Raw TB 1225'!F:F)</f>
        <v>34583.53</v>
      </c>
      <c r="F100" s="492">
        <f t="shared" si="3"/>
        <v>34.583529999999996</v>
      </c>
      <c r="G100" s="502" t="s">
        <v>182</v>
      </c>
      <c r="H100" s="491" t="s">
        <v>43</v>
      </c>
      <c r="I100" s="491"/>
    </row>
    <row r="101" spans="1:9" hidden="1" x14ac:dyDescent="0.35">
      <c r="A101" s="491" t="s">
        <v>38</v>
      </c>
      <c r="B101" s="492">
        <f>SUMIF('Raw TB 1225'!$B:$B,'TB 1225'!$A101,'Raw TB 1225'!C:C)</f>
        <v>0</v>
      </c>
      <c r="C101" s="492">
        <f>SUMIF('Raw TB 1225'!$B:$B,'TB 1225'!$A101,'Raw TB 1225'!D:D)</f>
        <v>13097300</v>
      </c>
      <c r="D101" s="492">
        <f>SUMIF('Raw TB 1225'!$B:$B,'TB 1225'!$A101,'Raw TB 1225'!E:E)</f>
        <v>5660500</v>
      </c>
      <c r="E101" s="492">
        <f>SUMIF('Raw TB 1225'!$B:$B,'TB 1225'!$A101,'Raw TB 1225'!F:F)</f>
        <v>7436800</v>
      </c>
      <c r="F101" s="492">
        <f t="shared" si="3"/>
        <v>7436.8</v>
      </c>
      <c r="G101" s="502" t="s">
        <v>182</v>
      </c>
      <c r="H101" s="491" t="s">
        <v>38</v>
      </c>
      <c r="I101" s="491"/>
    </row>
    <row r="102" spans="1:9" hidden="1" x14ac:dyDescent="0.35">
      <c r="A102" s="491" t="s">
        <v>409</v>
      </c>
      <c r="B102" s="492">
        <f>SUMIF('Raw TB 1225'!$B:$B,'TB 1225'!$A102,'Raw TB 1225'!C:C)</f>
        <v>0</v>
      </c>
      <c r="C102" s="492">
        <f>SUMIF('Raw TB 1225'!$B:$B,'TB 1225'!$A102,'Raw TB 1225'!D:D)</f>
        <v>0</v>
      </c>
      <c r="D102" s="492">
        <f>SUMIF('Raw TB 1225'!$B:$B,'TB 1225'!$A102,'Raw TB 1225'!E:E)</f>
        <v>0</v>
      </c>
      <c r="E102" s="492">
        <f>SUMIF('Raw TB 1225'!$B:$B,'TB 1225'!$A102,'Raw TB 1225'!F:F)</f>
        <v>0</v>
      </c>
      <c r="F102" s="492">
        <f t="shared" si="3"/>
        <v>0</v>
      </c>
      <c r="G102" s="502" t="s">
        <v>182</v>
      </c>
      <c r="H102" s="491" t="s">
        <v>31</v>
      </c>
      <c r="I102" s="491"/>
    </row>
    <row r="103" spans="1:9" hidden="1" x14ac:dyDescent="0.35">
      <c r="A103" s="491" t="s">
        <v>296</v>
      </c>
      <c r="B103" s="492">
        <f>SUMIF('Raw TB 1225'!$B:$B,'TB 1225'!$A103,'Raw TB 1225'!C:C)</f>
        <v>0</v>
      </c>
      <c r="C103" s="492">
        <f>SUMIF('Raw TB 1225'!$B:$B,'TB 1225'!$A103,'Raw TB 1225'!D:D)</f>
        <v>31517833.16</v>
      </c>
      <c r="D103" s="492">
        <f>SUMIF('Raw TB 1225'!$B:$B,'TB 1225'!$A103,'Raw TB 1225'!E:E)</f>
        <v>5941406</v>
      </c>
      <c r="E103" s="492">
        <f>SUMIF('Raw TB 1225'!$B:$B,'TB 1225'!$A103,'Raw TB 1225'!F:F)</f>
        <v>25576427.16</v>
      </c>
      <c r="F103" s="492">
        <f t="shared" si="3"/>
        <v>25576.427159999999</v>
      </c>
      <c r="G103" s="502" t="s">
        <v>182</v>
      </c>
      <c r="H103" s="491" t="s">
        <v>37</v>
      </c>
      <c r="I103" s="491"/>
    </row>
    <row r="104" spans="1:9" hidden="1" x14ac:dyDescent="0.35">
      <c r="A104" s="491" t="s">
        <v>34</v>
      </c>
      <c r="B104" s="492">
        <f>SUMIF('Raw TB 1225'!$B:$B,'TB 1225'!$A104,'Raw TB 1225'!C:C)</f>
        <v>0</v>
      </c>
      <c r="C104" s="492">
        <f>SUMIF('Raw TB 1225'!$B:$B,'TB 1225'!$A104,'Raw TB 1225'!D:D)</f>
        <v>3470480.98</v>
      </c>
      <c r="D104" s="492">
        <f>SUMIF('Raw TB 1225'!$B:$B,'TB 1225'!$A104,'Raw TB 1225'!E:E)</f>
        <v>643044</v>
      </c>
      <c r="E104" s="492">
        <f>SUMIF('Raw TB 1225'!$B:$B,'TB 1225'!$A104,'Raw TB 1225'!F:F)</f>
        <v>2827436.98</v>
      </c>
      <c r="F104" s="492">
        <f t="shared" si="3"/>
        <v>2827.4369799999999</v>
      </c>
      <c r="G104" s="502" t="s">
        <v>182</v>
      </c>
      <c r="H104" s="491" t="s">
        <v>34</v>
      </c>
      <c r="I104" s="491"/>
    </row>
    <row r="105" spans="1:9" hidden="1" x14ac:dyDescent="0.35">
      <c r="A105" s="491" t="s">
        <v>596</v>
      </c>
      <c r="B105" s="492">
        <f>SUMIF('Raw TB 1225'!$B:$B,'TB 1225'!$A105,'Raw TB 1225'!C:C)</f>
        <v>0</v>
      </c>
      <c r="C105" s="492">
        <f>SUMIF('Raw TB 1225'!$B:$B,'TB 1225'!$A105,'Raw TB 1225'!D:D)</f>
        <v>1184288.54</v>
      </c>
      <c r="D105" s="492">
        <f>SUMIF('Raw TB 1225'!$B:$B,'TB 1225'!$A105,'Raw TB 1225'!E:E)</f>
        <v>0</v>
      </c>
      <c r="E105" s="492">
        <f>SUMIF('Raw TB 1225'!$B:$B,'TB 1225'!$A105,'Raw TB 1225'!F:F)</f>
        <v>1184288.54</v>
      </c>
      <c r="F105" s="492">
        <f t="shared" si="3"/>
        <v>1184.28854</v>
      </c>
      <c r="G105" s="502" t="s">
        <v>182</v>
      </c>
      <c r="H105" s="491" t="s">
        <v>48</v>
      </c>
      <c r="I105" s="491"/>
    </row>
    <row r="106" spans="1:9" hidden="1" x14ac:dyDescent="0.35">
      <c r="A106" s="491" t="s">
        <v>109</v>
      </c>
      <c r="B106" s="492">
        <f>SUMIF('Raw TB 1225'!$B:$B,'TB 1225'!$A106,'Raw TB 1225'!C:C)</f>
        <v>0</v>
      </c>
      <c r="C106" s="492">
        <f>SUMIF('Raw TB 1225'!$B:$B,'TB 1225'!$A106,'Raw TB 1225'!D:D)</f>
        <v>492087</v>
      </c>
      <c r="D106" s="492">
        <f>SUMIF('Raw TB 1225'!$B:$B,'TB 1225'!$A106,'Raw TB 1225'!E:E)</f>
        <v>0</v>
      </c>
      <c r="E106" s="492">
        <f>SUMIF('Raw TB 1225'!$B:$B,'TB 1225'!$A106,'Raw TB 1225'!F:F)</f>
        <v>492087</v>
      </c>
      <c r="F106" s="492">
        <f t="shared" si="3"/>
        <v>492.08699999999999</v>
      </c>
      <c r="G106" s="502" t="s">
        <v>182</v>
      </c>
      <c r="H106" s="491"/>
      <c r="I106" s="491"/>
    </row>
    <row r="107" spans="1:9" hidden="1" x14ac:dyDescent="0.35">
      <c r="A107" s="491" t="s">
        <v>597</v>
      </c>
      <c r="B107" s="492">
        <f>SUMIF('Raw TB 1225'!$B:$B,'TB 1225'!$A107,'Raw TB 1225'!C:C)</f>
        <v>0</v>
      </c>
      <c r="C107" s="492">
        <f>SUMIF('Raw TB 1225'!$B:$B,'TB 1225'!$A107,'Raw TB 1225'!D:D)</f>
        <v>34950</v>
      </c>
      <c r="D107" s="492">
        <f>SUMIF('Raw TB 1225'!$B:$B,'TB 1225'!$A107,'Raw TB 1225'!E:E)</f>
        <v>0</v>
      </c>
      <c r="E107" s="492">
        <f>SUMIF('Raw TB 1225'!$B:$B,'TB 1225'!$A107,'Raw TB 1225'!F:F)</f>
        <v>34950</v>
      </c>
      <c r="F107" s="492">
        <f t="shared" si="3"/>
        <v>34.950000000000003</v>
      </c>
      <c r="G107" s="502" t="s">
        <v>182</v>
      </c>
      <c r="H107" s="491" t="s">
        <v>417</v>
      </c>
      <c r="I107" s="491"/>
    </row>
    <row r="108" spans="1:9" hidden="1" x14ac:dyDescent="0.35">
      <c r="A108" s="491" t="s">
        <v>598</v>
      </c>
      <c r="B108" s="492">
        <f>SUMIF('Raw TB 1225'!$B:$B,'TB 1225'!$A108,'Raw TB 1225'!C:C)</f>
        <v>0</v>
      </c>
      <c r="C108" s="492">
        <f>SUMIF('Raw TB 1225'!$B:$B,'TB 1225'!$A108,'Raw TB 1225'!D:D)</f>
        <v>7721708.3300000001</v>
      </c>
      <c r="D108" s="492">
        <f>SUMIF('Raw TB 1225'!$B:$B,'TB 1225'!$A108,'Raw TB 1225'!E:E)</f>
        <v>2419814</v>
      </c>
      <c r="E108" s="492">
        <f>SUMIF('Raw TB 1225'!$B:$B,'TB 1225'!$A108,'Raw TB 1225'!F:F)</f>
        <v>5301894.33</v>
      </c>
      <c r="F108" s="492">
        <f t="shared" si="3"/>
        <v>5301.8943300000001</v>
      </c>
      <c r="G108" s="502" t="s">
        <v>182</v>
      </c>
      <c r="H108" s="491" t="s">
        <v>417</v>
      </c>
      <c r="I108" s="491"/>
    </row>
    <row r="109" spans="1:9" hidden="1" x14ac:dyDescent="0.35">
      <c r="A109" s="491" t="s">
        <v>599</v>
      </c>
      <c r="B109" s="492">
        <f>SUMIF('Raw TB 1225'!$B:$B,'TB 1225'!$A109,'Raw TB 1225'!C:C)</f>
        <v>0</v>
      </c>
      <c r="C109" s="492">
        <f>SUMIF('Raw TB 1225'!$B:$B,'TB 1225'!$A109,'Raw TB 1225'!D:D)</f>
        <v>0</v>
      </c>
      <c r="D109" s="492">
        <f>SUMIF('Raw TB 1225'!$B:$B,'TB 1225'!$A109,'Raw TB 1225'!E:E)</f>
        <v>0</v>
      </c>
      <c r="E109" s="492">
        <f>SUMIF('Raw TB 1225'!$B:$B,'TB 1225'!$A109,'Raw TB 1225'!F:F)</f>
        <v>0</v>
      </c>
      <c r="F109" s="492">
        <f t="shared" si="3"/>
        <v>0</v>
      </c>
      <c r="G109" s="502" t="s">
        <v>182</v>
      </c>
      <c r="H109" s="491" t="s">
        <v>417</v>
      </c>
      <c r="I109" s="491"/>
    </row>
    <row r="110" spans="1:9" hidden="1" x14ac:dyDescent="0.35">
      <c r="A110" s="491" t="s">
        <v>417</v>
      </c>
      <c r="B110" s="492">
        <f>SUMIF('Raw TB 1225'!$B:$B,'TB 1225'!$A110,'Raw TB 1225'!C:C)</f>
        <v>0</v>
      </c>
      <c r="C110" s="492">
        <f>SUMIF('Raw TB 1225'!$B:$B,'TB 1225'!$A110,'Raw TB 1225'!D:D)</f>
        <v>0</v>
      </c>
      <c r="D110" s="492">
        <f>SUMIF('Raw TB 1225'!$B:$B,'TB 1225'!$A110,'Raw TB 1225'!E:E)</f>
        <v>0</v>
      </c>
      <c r="E110" s="492">
        <f>SUMIF('Raw TB 1225'!$B:$B,'TB 1225'!$A110,'Raw TB 1225'!F:F)</f>
        <v>0</v>
      </c>
      <c r="F110" s="492">
        <f t="shared" si="3"/>
        <v>0</v>
      </c>
      <c r="G110" s="502" t="s">
        <v>182</v>
      </c>
      <c r="H110" s="491" t="s">
        <v>417</v>
      </c>
      <c r="I110" s="491"/>
    </row>
    <row r="111" spans="1:9" hidden="1" x14ac:dyDescent="0.35">
      <c r="A111" s="491" t="s">
        <v>759</v>
      </c>
      <c r="B111" s="492">
        <f>SUMIF('Raw TB 1225'!$B:$B,'TB 1225'!$A111,'Raw TB 1225'!C:C)</f>
        <v>0</v>
      </c>
      <c r="C111" s="492">
        <f>SUMIF('Raw TB 1225'!$B:$B,'TB 1225'!$A111,'Raw TB 1225'!D:D)</f>
        <v>367000</v>
      </c>
      <c r="D111" s="492">
        <f>SUMIF('Raw TB 1225'!$B:$B,'TB 1225'!$A111,'Raw TB 1225'!E:E)</f>
        <v>90250</v>
      </c>
      <c r="E111" s="492">
        <f>SUMIF('Raw TB 1225'!$B:$B,'TB 1225'!$A111,'Raw TB 1225'!F:F)</f>
        <v>276750</v>
      </c>
      <c r="F111" s="492">
        <f t="shared" si="3"/>
        <v>276.75</v>
      </c>
      <c r="G111" s="502" t="s">
        <v>182</v>
      </c>
      <c r="H111" s="491" t="s">
        <v>26</v>
      </c>
      <c r="I111" s="491"/>
    </row>
    <row r="112" spans="1:9" hidden="1" x14ac:dyDescent="0.35">
      <c r="A112" s="491" t="s">
        <v>778</v>
      </c>
      <c r="B112" s="492">
        <f>SUMIF('Raw TB 1225'!$B:$B,'TB 1225'!$A112,'Raw TB 1225'!C:C)</f>
        <v>0</v>
      </c>
      <c r="C112" s="492">
        <f>SUMIF('Raw TB 1225'!$B:$B,'TB 1225'!$A112,'Raw TB 1225'!D:D)</f>
        <v>66509.490000000005</v>
      </c>
      <c r="D112" s="492">
        <f>SUMIF('Raw TB 1225'!$B:$B,'TB 1225'!$A112,'Raw TB 1225'!E:E)</f>
        <v>44540</v>
      </c>
      <c r="E112" s="492">
        <f>SUMIF('Raw TB 1225'!$B:$B,'TB 1225'!$A112,'Raw TB 1225'!F:F)</f>
        <v>21969.49</v>
      </c>
      <c r="F112" s="492">
        <f t="shared" si="3"/>
        <v>21.96949</v>
      </c>
      <c r="G112" s="502" t="s">
        <v>182</v>
      </c>
      <c r="H112" s="491" t="s">
        <v>26</v>
      </c>
      <c r="I112" s="491"/>
    </row>
    <row r="113" spans="1:9" hidden="1" x14ac:dyDescent="0.35">
      <c r="A113" s="491" t="s">
        <v>1262</v>
      </c>
      <c r="B113" s="492">
        <f>SUMIF('Raw TB 1225'!$B:$B,'TB 1225'!$A113,'Raw TB 1225'!C:C)</f>
        <v>0</v>
      </c>
      <c r="C113" s="492">
        <f>SUMIF('Raw TB 1225'!$B:$B,'TB 1225'!$A113,'Raw TB 1225'!D:D)</f>
        <v>1030.25</v>
      </c>
      <c r="D113" s="492">
        <f>SUMIF('Raw TB 1225'!$B:$B,'TB 1225'!$A113,'Raw TB 1225'!E:E)</f>
        <v>0</v>
      </c>
      <c r="E113" s="492">
        <f>SUMIF('Raw TB 1225'!$B:$B,'TB 1225'!$A113,'Raw TB 1225'!F:F)</f>
        <v>1030.25</v>
      </c>
      <c r="F113" s="492">
        <f t="shared" si="3"/>
        <v>1.0302500000000001</v>
      </c>
      <c r="G113" s="502" t="s">
        <v>184</v>
      </c>
      <c r="H113" s="491" t="s">
        <v>43</v>
      </c>
      <c r="I113" s="491"/>
    </row>
    <row r="114" spans="1:9" hidden="1" x14ac:dyDescent="0.35">
      <c r="A114" s="491" t="s">
        <v>864</v>
      </c>
      <c r="B114" s="492">
        <f>SUMIF('Raw TB 1225'!$B:$B,'TB 1225'!$A114,'Raw TB 1225'!C:C)</f>
        <v>0</v>
      </c>
      <c r="C114" s="492">
        <f>SUMIF('Raw TB 1225'!$B:$B,'TB 1225'!$A114,'Raw TB 1225'!D:D)</f>
        <v>601760</v>
      </c>
      <c r="D114" s="492">
        <f>SUMIF('Raw TB 1225'!$B:$B,'TB 1225'!$A114,'Raw TB 1225'!E:E)</f>
        <v>173100</v>
      </c>
      <c r="E114" s="492">
        <f>SUMIF('Raw TB 1225'!$B:$B,'TB 1225'!$A114,'Raw TB 1225'!F:F)</f>
        <v>428660</v>
      </c>
      <c r="F114" s="492">
        <f t="shared" si="3"/>
        <v>428.66</v>
      </c>
      <c r="G114" s="502" t="s">
        <v>182</v>
      </c>
      <c r="H114" s="491" t="s">
        <v>958</v>
      </c>
      <c r="I114" s="491"/>
    </row>
    <row r="115" spans="1:9" hidden="1" x14ac:dyDescent="0.35">
      <c r="A115" s="491" t="s">
        <v>32</v>
      </c>
      <c r="B115" s="492">
        <f>SUMIF('Raw TB 1225'!$B:$B,'TB 1225'!$A115,'Raw TB 1225'!C:C)</f>
        <v>0</v>
      </c>
      <c r="C115" s="492">
        <f>SUMIF('Raw TB 1225'!$B:$B,'TB 1225'!$A115,'Raw TB 1225'!D:D)</f>
        <v>5599789.5</v>
      </c>
      <c r="D115" s="492">
        <f>SUMIF('Raw TB 1225'!$B:$B,'TB 1225'!$A115,'Raw TB 1225'!E:E)</f>
        <v>0</v>
      </c>
      <c r="E115" s="492">
        <f>SUMIF('Raw TB 1225'!$B:$B,'TB 1225'!$A115,'Raw TB 1225'!F:F)</f>
        <v>5599789.5</v>
      </c>
      <c r="F115" s="492">
        <f t="shared" si="3"/>
        <v>5599.7894999999999</v>
      </c>
      <c r="G115" s="502" t="s">
        <v>182</v>
      </c>
      <c r="H115" s="491" t="s">
        <v>32</v>
      </c>
      <c r="I115" s="491"/>
    </row>
    <row r="116" spans="1:9" hidden="1" x14ac:dyDescent="0.35">
      <c r="A116" s="491" t="s">
        <v>602</v>
      </c>
      <c r="B116" s="492">
        <f>SUMIF('Raw TB 1225'!$B:$B,'TB 1225'!$A116,'Raw TB 1225'!C:C)</f>
        <v>0</v>
      </c>
      <c r="C116" s="492">
        <f>SUMIF('Raw TB 1225'!$B:$B,'TB 1225'!$A116,'Raw TB 1225'!D:D)</f>
        <v>157337</v>
      </c>
      <c r="D116" s="492">
        <f>SUMIF('Raw TB 1225'!$B:$B,'TB 1225'!$A116,'Raw TB 1225'!E:E)</f>
        <v>16916</v>
      </c>
      <c r="E116" s="492">
        <f>SUMIF('Raw TB 1225'!$B:$B,'TB 1225'!$A116,'Raw TB 1225'!F:F)</f>
        <v>140421</v>
      </c>
      <c r="F116" s="492">
        <f t="shared" si="3"/>
        <v>140.42099999999999</v>
      </c>
      <c r="G116" s="502" t="s">
        <v>182</v>
      </c>
      <c r="H116" s="491" t="s">
        <v>42</v>
      </c>
      <c r="I116" s="491"/>
    </row>
    <row r="117" spans="1:9" hidden="1" x14ac:dyDescent="0.35">
      <c r="A117" s="491" t="s">
        <v>603</v>
      </c>
      <c r="B117" s="492">
        <f>SUMIF('Raw TB 1225'!$B:$B,'TB 1225'!$A117,'Raw TB 1225'!C:C)</f>
        <v>0</v>
      </c>
      <c r="C117" s="492">
        <f>SUMIF('Raw TB 1225'!$B:$B,'TB 1225'!$A117,'Raw TB 1225'!D:D)</f>
        <v>2153170.7400000002</v>
      </c>
      <c r="D117" s="492">
        <f>SUMIF('Raw TB 1225'!$B:$B,'TB 1225'!$A117,'Raw TB 1225'!E:E)</f>
        <v>0</v>
      </c>
      <c r="E117" s="492">
        <f>SUMIF('Raw TB 1225'!$B:$B,'TB 1225'!$A117,'Raw TB 1225'!F:F)</f>
        <v>2153170.7400000002</v>
      </c>
      <c r="F117" s="492">
        <f t="shared" si="3"/>
        <v>2153.17074</v>
      </c>
      <c r="G117" s="502" t="s">
        <v>182</v>
      </c>
      <c r="H117" s="491" t="s">
        <v>42</v>
      </c>
      <c r="I117" s="491"/>
    </row>
    <row r="118" spans="1:9" hidden="1" x14ac:dyDescent="0.35">
      <c r="A118" s="491" t="s">
        <v>957</v>
      </c>
      <c r="B118" s="492">
        <f>SUMIF('Raw TB 1225'!$B:$B,'TB 1225'!$A118,'Raw TB 1225'!C:C)</f>
        <v>0</v>
      </c>
      <c r="C118" s="492">
        <f>SUMIF('Raw TB 1225'!$B:$B,'TB 1225'!$A118,'Raw TB 1225'!D:D)</f>
        <v>993891</v>
      </c>
      <c r="D118" s="492">
        <f>SUMIF('Raw TB 1225'!$B:$B,'TB 1225'!$A118,'Raw TB 1225'!E:E)</f>
        <v>697391</v>
      </c>
      <c r="E118" s="492">
        <f>SUMIF('Raw TB 1225'!$B:$B,'TB 1225'!$A118,'Raw TB 1225'!F:F)</f>
        <v>296500</v>
      </c>
      <c r="F118" s="492">
        <f t="shared" si="3"/>
        <v>296.5</v>
      </c>
      <c r="G118" s="502" t="s">
        <v>182</v>
      </c>
      <c r="H118" s="491" t="s">
        <v>958</v>
      </c>
      <c r="I118" s="491"/>
    </row>
    <row r="119" spans="1:9" hidden="1" x14ac:dyDescent="0.35">
      <c r="A119" s="491" t="s">
        <v>604</v>
      </c>
      <c r="B119" s="492">
        <f>SUMIF('Raw TB 1225'!$B:$B,'TB 1225'!$A119,'Raw TB 1225'!C:C)</f>
        <v>0</v>
      </c>
      <c r="C119" s="492">
        <f>SUMIF('Raw TB 1225'!$B:$B,'TB 1225'!$A119,'Raw TB 1225'!D:D)</f>
        <v>13185.45</v>
      </c>
      <c r="D119" s="492">
        <f>SUMIF('Raw TB 1225'!$B:$B,'TB 1225'!$A119,'Raw TB 1225'!E:E)</f>
        <v>0</v>
      </c>
      <c r="E119" s="492">
        <f>SUMIF('Raw TB 1225'!$B:$B,'TB 1225'!$A119,'Raw TB 1225'!F:F)-8000</f>
        <v>5185.4500000000007</v>
      </c>
      <c r="F119" s="492">
        <f t="shared" si="3"/>
        <v>5.1854500000000003</v>
      </c>
      <c r="G119" s="502" t="s">
        <v>182</v>
      </c>
      <c r="H119" s="491" t="s">
        <v>43</v>
      </c>
      <c r="I119" s="491"/>
    </row>
    <row r="120" spans="1:9" hidden="1" x14ac:dyDescent="0.35">
      <c r="A120" s="491" t="s">
        <v>605</v>
      </c>
      <c r="B120" s="492">
        <f>SUMIF('Raw TB 1225'!$B:$B,'TB 1225'!$A120,'Raw TB 1225'!C:C)</f>
        <v>0</v>
      </c>
      <c r="C120" s="492">
        <f>SUMIF('Raw TB 1225'!$B:$B,'TB 1225'!$A120,'Raw TB 1225'!D:D)</f>
        <v>3.09</v>
      </c>
      <c r="D120" s="492">
        <f>SUMIF('Raw TB 1225'!$B:$B,'TB 1225'!$A120,'Raw TB 1225'!E:E)</f>
        <v>5.59</v>
      </c>
      <c r="E120" s="492">
        <f>SUMIF('Raw TB 1225'!$B:$B,'TB 1225'!$A120,'Raw TB 1225'!F:F)</f>
        <v>-2.5</v>
      </c>
      <c r="F120" s="492">
        <f t="shared" si="3"/>
        <v>-2.5000000000000001E-3</v>
      </c>
      <c r="G120" s="502" t="s">
        <v>182</v>
      </c>
      <c r="H120" s="491" t="s">
        <v>43</v>
      </c>
      <c r="I120" s="491"/>
    </row>
    <row r="121" spans="1:9" hidden="1" x14ac:dyDescent="0.35">
      <c r="A121" s="491" t="s">
        <v>41</v>
      </c>
      <c r="B121" s="492">
        <f>SUMIF('Raw TB 1225'!$B:$B,'TB 1225'!$A121,'Raw TB 1225'!C:C)</f>
        <v>0</v>
      </c>
      <c r="C121" s="492">
        <f>SUMIF('Raw TB 1225'!$B:$B,'TB 1225'!$A121,'Raw TB 1225'!D:D)</f>
        <v>2571663.06</v>
      </c>
      <c r="D121" s="492">
        <f>SUMIF('Raw TB 1225'!$B:$B,'TB 1225'!$A121,'Raw TB 1225'!E:E)</f>
        <v>41320</v>
      </c>
      <c r="E121" s="492">
        <f>SUMIF('Raw TB 1225'!$B:$B,'TB 1225'!$A121,'Raw TB 1225'!F:F)</f>
        <v>2530343.06</v>
      </c>
      <c r="F121" s="492">
        <f t="shared" si="3"/>
        <v>2530.3430600000002</v>
      </c>
      <c r="G121" s="502" t="s">
        <v>182</v>
      </c>
      <c r="H121" s="491" t="s">
        <v>41</v>
      </c>
      <c r="I121" s="491"/>
    </row>
    <row r="122" spans="1:9" hidden="1" x14ac:dyDescent="0.35">
      <c r="A122" s="491" t="s">
        <v>606</v>
      </c>
      <c r="B122" s="492">
        <f>SUMIF('Raw TB 1225'!$B:$B,'TB 1225'!$A122,'Raw TB 1225'!C:C)</f>
        <v>0</v>
      </c>
      <c r="C122" s="492">
        <f>SUMIF('Raw TB 1225'!$B:$B,'TB 1225'!$A122,'Raw TB 1225'!D:D)</f>
        <v>12249.42</v>
      </c>
      <c r="D122" s="492">
        <f>SUMIF('Raw TB 1225'!$B:$B,'TB 1225'!$A122,'Raw TB 1225'!E:E)</f>
        <v>0</v>
      </c>
      <c r="E122" s="492">
        <f>SUMIF('Raw TB 1225'!$B:$B,'TB 1225'!$A122,'Raw TB 1225'!F:F)</f>
        <v>12249.42</v>
      </c>
      <c r="F122" s="492">
        <f t="shared" si="3"/>
        <v>12.249420000000001</v>
      </c>
      <c r="G122" s="502" t="s">
        <v>182</v>
      </c>
      <c r="H122" s="491" t="s">
        <v>43</v>
      </c>
      <c r="I122" s="491"/>
    </row>
    <row r="123" spans="1:9" hidden="1" x14ac:dyDescent="0.35">
      <c r="A123" s="491" t="s">
        <v>239</v>
      </c>
      <c r="B123" s="492">
        <f>SUMIF('Raw TB 1225'!$B:$B,'TB 1225'!$A123,'Raw TB 1225'!C:C)</f>
        <v>0</v>
      </c>
      <c r="C123" s="492">
        <f>SUMIF('Raw TB 1225'!$B:$B,'TB 1225'!$A123,'Raw TB 1225'!D:D)</f>
        <v>266912</v>
      </c>
      <c r="D123" s="492">
        <f>SUMIF('Raw TB 1225'!$B:$B,'TB 1225'!$A123,'Raw TB 1225'!E:E)</f>
        <v>0</v>
      </c>
      <c r="E123" s="492">
        <f>SUMIF('Raw TB 1225'!$B:$B,'TB 1225'!$A123,'Raw TB 1225'!F:F)</f>
        <v>266912</v>
      </c>
      <c r="F123" s="492">
        <f t="shared" si="3"/>
        <v>266.91199999999998</v>
      </c>
      <c r="G123" s="502" t="s">
        <v>182</v>
      </c>
      <c r="H123" s="491" t="s">
        <v>263</v>
      </c>
      <c r="I123" s="491"/>
    </row>
    <row r="124" spans="1:9" hidden="1" x14ac:dyDescent="0.35">
      <c r="A124" s="491" t="s">
        <v>607</v>
      </c>
      <c r="B124" s="492">
        <f>SUMIF('Raw TB 1225'!$B:$B,'TB 1225'!$A124,'Raw TB 1225'!C:C)</f>
        <v>0</v>
      </c>
      <c r="C124" s="492">
        <f>SUMIF('Raw TB 1225'!$B:$B,'TB 1225'!$A124,'Raw TB 1225'!D:D)</f>
        <v>42983080.520000003</v>
      </c>
      <c r="D124" s="492">
        <f>SUMIF('Raw TB 1225'!$B:$B,'TB 1225'!$A124,'Raw TB 1225'!E:E)</f>
        <v>11000</v>
      </c>
      <c r="E124" s="492">
        <f>SUMIF('Raw TB 1225'!$B:$B,'TB 1225'!$A124,'Raw TB 1225'!F:F)</f>
        <v>42972080.520000003</v>
      </c>
      <c r="F124" s="492">
        <f t="shared" si="3"/>
        <v>42972.080520000003</v>
      </c>
      <c r="G124" s="502" t="s">
        <v>182</v>
      </c>
      <c r="H124" s="491"/>
      <c r="I124" s="491"/>
    </row>
    <row r="125" spans="1:9" hidden="1" x14ac:dyDescent="0.35">
      <c r="A125" s="491" t="s">
        <v>26</v>
      </c>
      <c r="B125" s="492">
        <f>SUMIF('Raw TB 1225'!$B:$B,'TB 1225'!$A125,'Raw TB 1225'!C:C)</f>
        <v>0</v>
      </c>
      <c r="C125" s="492">
        <f>SUMIF('Raw TB 1225'!$B:$B,'TB 1225'!$A125,'Raw TB 1225'!D:D)</f>
        <v>132309219.86</v>
      </c>
      <c r="D125" s="492">
        <f>SUMIF('Raw TB 1225'!$B:$B,'TB 1225'!$A125,'Raw TB 1225'!E:E)</f>
        <v>0</v>
      </c>
      <c r="E125" s="492">
        <f>SUMIF('Raw TB 1225'!$B:$B,'TB 1225'!$A125,'Raw TB 1225'!F:F)</f>
        <v>132309219.86</v>
      </c>
      <c r="F125" s="492">
        <f t="shared" si="3"/>
        <v>132309.21986000001</v>
      </c>
      <c r="G125" s="502" t="s">
        <v>182</v>
      </c>
      <c r="H125" s="491" t="s">
        <v>26</v>
      </c>
      <c r="I125" s="491"/>
    </row>
    <row r="126" spans="1:9" hidden="1" x14ac:dyDescent="0.35">
      <c r="A126" s="491" t="s">
        <v>608</v>
      </c>
      <c r="B126" s="492">
        <f>SUMIF('Raw TB 1225'!$B:$B,'TB 1225'!$A126,'Raw TB 1225'!C:C)</f>
        <v>0</v>
      </c>
      <c r="C126" s="492">
        <f>SUMIF('Raw TB 1225'!$B:$B,'TB 1225'!$A126,'Raw TB 1225'!D:D)</f>
        <v>7038832.6100000003</v>
      </c>
      <c r="D126" s="492">
        <f>SUMIF('Raw TB 1225'!$B:$B,'TB 1225'!$A126,'Raw TB 1225'!E:E)</f>
        <v>4172323</v>
      </c>
      <c r="E126" s="492">
        <f>SUMIF('Raw TB 1225'!$B:$B,'TB 1225'!$A126,'Raw TB 1225'!F:F)</f>
        <v>2866509.61</v>
      </c>
      <c r="F126" s="492">
        <f t="shared" si="3"/>
        <v>2866.5096100000001</v>
      </c>
      <c r="G126" s="502" t="s">
        <v>182</v>
      </c>
      <c r="H126" s="491" t="s">
        <v>39</v>
      </c>
      <c r="I126" s="491"/>
    </row>
    <row r="127" spans="1:9" hidden="1" x14ac:dyDescent="0.35">
      <c r="A127" s="491" t="s">
        <v>609</v>
      </c>
      <c r="B127" s="492">
        <f>SUMIF('Raw TB 1225'!$B:$B,'TB 1225'!$A127,'Raw TB 1225'!C:C)</f>
        <v>0</v>
      </c>
      <c r="C127" s="492">
        <f>SUMIF('Raw TB 1225'!$B:$B,'TB 1225'!$A127,'Raw TB 1225'!D:D)</f>
        <v>22335290.84</v>
      </c>
      <c r="D127" s="492">
        <f>SUMIF('Raw TB 1225'!$B:$B,'TB 1225'!$A127,'Raw TB 1225'!E:E)</f>
        <v>3078154</v>
      </c>
      <c r="E127" s="492">
        <f>SUMIF('Raw TB 1225'!$B:$B,'TB 1225'!$A127,'Raw TB 1225'!F:F)</f>
        <v>19257136.84</v>
      </c>
      <c r="F127" s="492">
        <f t="shared" si="3"/>
        <v>19257.136839999999</v>
      </c>
      <c r="G127" s="502" t="s">
        <v>182</v>
      </c>
      <c r="H127" s="491" t="s">
        <v>33</v>
      </c>
      <c r="I127" s="491"/>
    </row>
    <row r="128" spans="1:9" hidden="1" x14ac:dyDescent="0.35">
      <c r="A128" s="491" t="s">
        <v>610</v>
      </c>
      <c r="B128" s="492">
        <f>SUMIF('Raw TB 1225'!$B:$B,'TB 1225'!$A128,'Raw TB 1225'!C:C)</f>
        <v>0</v>
      </c>
      <c r="C128" s="492">
        <f>SUMIF('Raw TB 1225'!$B:$B,'TB 1225'!$A128,'Raw TB 1225'!D:D)</f>
        <v>2998895.52</v>
      </c>
      <c r="D128" s="492">
        <f>SUMIF('Raw TB 1225'!$B:$B,'TB 1225'!$A128,'Raw TB 1225'!E:E)</f>
        <v>583841</v>
      </c>
      <c r="E128" s="492">
        <f>SUMIF('Raw TB 1225'!$B:$B,'TB 1225'!$A128,'Raw TB 1225'!F:F)</f>
        <v>2415054.52</v>
      </c>
      <c r="F128" s="492">
        <f t="shared" si="3"/>
        <v>2415.0545200000001</v>
      </c>
      <c r="G128" s="502" t="s">
        <v>182</v>
      </c>
      <c r="H128" s="491" t="s">
        <v>31</v>
      </c>
      <c r="I128" s="491"/>
    </row>
    <row r="129" spans="1:10" hidden="1" x14ac:dyDescent="0.35">
      <c r="A129" s="491" t="s">
        <v>611</v>
      </c>
      <c r="B129" s="492">
        <f>SUMIF('Raw TB 1225'!$B:$B,'TB 1225'!$A129,'Raw TB 1225'!C:C)</f>
        <v>0</v>
      </c>
      <c r="C129" s="492">
        <f>SUMIF('Raw TB 1225'!$B:$B,'TB 1225'!$A129,'Raw TB 1225'!D:D)</f>
        <v>2552393</v>
      </c>
      <c r="D129" s="492">
        <f>SUMIF('Raw TB 1225'!$B:$B,'TB 1225'!$A129,'Raw TB 1225'!E:E)</f>
        <v>258272</v>
      </c>
      <c r="E129" s="492">
        <f>SUMIF('Raw TB 1225'!$B:$B,'TB 1225'!$A129,'Raw TB 1225'!F:F)</f>
        <v>2294121</v>
      </c>
      <c r="F129" s="492">
        <f t="shared" si="3"/>
        <v>2294.1210000000001</v>
      </c>
      <c r="G129" s="502" t="s">
        <v>182</v>
      </c>
      <c r="H129" s="491" t="s">
        <v>31</v>
      </c>
      <c r="I129" s="491"/>
    </row>
    <row r="130" spans="1:10" hidden="1" x14ac:dyDescent="0.35">
      <c r="A130" s="503" t="s">
        <v>960</v>
      </c>
      <c r="B130" s="492">
        <f>SUMIF('Raw TB 1225'!$B:$B,'TB 1225'!$A130,'Raw TB 1225'!C:C)</f>
        <v>-366320</v>
      </c>
      <c r="C130" s="492">
        <f>SUMIF('Raw TB 1225'!$B:$B,'TB 1225'!$A130,'Raw TB 1225'!D:D)</f>
        <v>366320</v>
      </c>
      <c r="D130" s="492">
        <f>SUMIF('Raw TB 1225'!$B:$B,'TB 1225'!$A130,'Raw TB 1225'!E:E)</f>
        <v>580000</v>
      </c>
      <c r="E130" s="492">
        <f>SUMIF('Raw TB 1225'!$B:$B,'TB 1225'!$A130,'Raw TB 1225'!F:F)</f>
        <v>-580000</v>
      </c>
      <c r="F130" s="492">
        <f t="shared" si="3"/>
        <v>-580</v>
      </c>
      <c r="G130" s="502" t="s">
        <v>180</v>
      </c>
      <c r="H130" s="491" t="s">
        <v>69</v>
      </c>
      <c r="I130" s="491"/>
    </row>
    <row r="131" spans="1:10" hidden="1" x14ac:dyDescent="0.35">
      <c r="A131" s="491" t="s">
        <v>29</v>
      </c>
      <c r="B131" s="492">
        <f>SUMIF('Raw TB 1225'!$B:$B,'TB 1225'!$A131,'Raw TB 1225'!C:C)</f>
        <v>0</v>
      </c>
      <c r="C131" s="492">
        <f>SUMIF('Raw TB 1225'!$B:$B,'TB 1225'!$A131,'Raw TB 1225'!D:D)</f>
        <v>170755.86</v>
      </c>
      <c r="D131" s="492">
        <f>SUMIF('Raw TB 1225'!$B:$B,'TB 1225'!$A131,'Raw TB 1225'!E:E)</f>
        <v>0</v>
      </c>
      <c r="E131" s="492">
        <f>SUMIF('Raw TB 1225'!$B:$B,'TB 1225'!$A131,'Raw TB 1225'!F:F)</f>
        <v>170755.86</v>
      </c>
      <c r="F131" s="492">
        <f t="shared" si="3"/>
        <v>170.75585999999998</v>
      </c>
      <c r="G131" s="502" t="s">
        <v>182</v>
      </c>
      <c r="H131" s="491" t="s">
        <v>29</v>
      </c>
      <c r="I131" s="491"/>
    </row>
    <row r="132" spans="1:10" hidden="1" x14ac:dyDescent="0.35">
      <c r="A132" s="503" t="s">
        <v>623</v>
      </c>
      <c r="B132" s="492">
        <f>SUMIF('Raw TB 1225'!$B:$B,'TB 1225'!$A132,'Raw TB 1225'!C:C)</f>
        <v>-134790</v>
      </c>
      <c r="C132" s="492">
        <f>SUMIF('Raw TB 1225'!$B:$B,'TB 1225'!$A132,'Raw TB 1225'!D:D)</f>
        <v>134790</v>
      </c>
      <c r="D132" s="492">
        <f>SUMIF('Raw TB 1225'!$B:$B,'TB 1225'!$A132,'Raw TB 1225'!E:E)</f>
        <v>134790</v>
      </c>
      <c r="E132" s="492">
        <f>SUMIF('Raw TB 1225'!$B:$B,'TB 1225'!$A132,'Raw TB 1225'!F:F)</f>
        <v>-134790</v>
      </c>
      <c r="F132" s="492">
        <f t="shared" ref="F132:F193" si="4">E132/10^3</f>
        <v>-134.79</v>
      </c>
      <c r="G132" s="502" t="s">
        <v>180</v>
      </c>
      <c r="H132" s="491" t="s">
        <v>69</v>
      </c>
      <c r="I132" s="491"/>
    </row>
    <row r="133" spans="1:10" hidden="1" x14ac:dyDescent="0.35">
      <c r="A133" s="491" t="s">
        <v>1437</v>
      </c>
      <c r="B133" s="492">
        <f>SUMIF('Raw TB 1225'!$B:$B,'TB 1225'!$A133,'Raw TB 1225'!C:C)</f>
        <v>0</v>
      </c>
      <c r="C133" s="492">
        <f>SUMIF('Raw TB 1225'!$B:$B,'TB 1225'!$A133,'Raw TB 1225'!D:D)</f>
        <v>0</v>
      </c>
      <c r="D133" s="492">
        <f>SUMIF('Raw TB 1225'!$B:$B,'TB 1225'!$A133,'Raw TB 1225'!E:E)</f>
        <v>9</v>
      </c>
      <c r="E133" s="492">
        <f>SUMIF('Raw TB 1225'!$B:$B,'TB 1225'!$A133,'Raw TB 1225'!F:F)</f>
        <v>-9</v>
      </c>
      <c r="F133" s="492">
        <f t="shared" si="4"/>
        <v>-8.9999999999999993E-3</v>
      </c>
      <c r="G133" s="502" t="s">
        <v>184</v>
      </c>
      <c r="H133" s="491" t="s">
        <v>25</v>
      </c>
      <c r="I133" s="491"/>
    </row>
    <row r="134" spans="1:10" hidden="1" x14ac:dyDescent="0.35">
      <c r="A134" s="491" t="s">
        <v>295</v>
      </c>
      <c r="B134" s="492">
        <f>SUMIF('Raw TB 1225'!$B:$B,'TB 1225'!$A134,'Raw TB 1225'!C:C)</f>
        <v>0</v>
      </c>
      <c r="C134" s="492">
        <f>SUMIF('Raw TB 1225'!$B:$B,'TB 1225'!$A134,'Raw TB 1225'!D:D)</f>
        <v>0</v>
      </c>
      <c r="D134" s="492">
        <f>SUMIF('Raw TB 1225'!$B:$B,'TB 1225'!$A134,'Raw TB 1225'!E:E)</f>
        <v>21216169.199999999</v>
      </c>
      <c r="E134" s="492">
        <f>SUMIF('Raw TB 1225'!$B:$B,'TB 1225'!$A134,'Raw TB 1225'!F:F)</f>
        <v>-21216169.199999999</v>
      </c>
      <c r="F134" s="492">
        <f t="shared" si="4"/>
        <v>-21216.1692</v>
      </c>
      <c r="G134" s="502" t="s">
        <v>184</v>
      </c>
      <c r="H134" s="491" t="s">
        <v>25</v>
      </c>
      <c r="I134" s="491"/>
    </row>
    <row r="135" spans="1:10" hidden="1" x14ac:dyDescent="0.35">
      <c r="A135" s="491" t="s">
        <v>316</v>
      </c>
      <c r="B135" s="492">
        <f>SUMIF('Raw TB 1225'!$B:$B,'TB 1225'!$A135,'Raw TB 1225'!C:C)</f>
        <v>0</v>
      </c>
      <c r="C135" s="492">
        <f>SUMIF('Raw TB 1225'!$B:$B,'TB 1225'!$A135,'Raw TB 1225'!D:D)</f>
        <v>62141533</v>
      </c>
      <c r="D135" s="492">
        <f>SUMIF('Raw TB 1225'!$B:$B,'TB 1225'!$A135,'Raw TB 1225'!E:E)</f>
        <v>0</v>
      </c>
      <c r="E135" s="492">
        <f>SUMIF('Raw TB 1225'!$B:$B,'TB 1225'!$A135,'Raw TB 1225'!F:F)</f>
        <v>62141533</v>
      </c>
      <c r="F135" s="492">
        <f t="shared" si="4"/>
        <v>62141.533000000003</v>
      </c>
      <c r="G135" s="502" t="s">
        <v>182</v>
      </c>
      <c r="H135" s="491"/>
      <c r="I135" s="504"/>
      <c r="J135" s="206"/>
    </row>
    <row r="136" spans="1:10" hidden="1" x14ac:dyDescent="0.35">
      <c r="A136" s="491" t="s">
        <v>1405</v>
      </c>
      <c r="B136" s="492">
        <f>SUMIF('Raw TB 1225'!$B:$B,'TB 1225'!$A136,'Raw TB 1225'!C:C)</f>
        <v>0</v>
      </c>
      <c r="C136" s="492">
        <f>SUMIF('Raw TB 1225'!$B:$B,'TB 1225'!$A136,'Raw TB 1225'!D:D)</f>
        <v>0</v>
      </c>
      <c r="D136" s="492">
        <f>SUMIF('Raw TB 1225'!$B:$B,'TB 1225'!$A136,'Raw TB 1225'!E:E)</f>
        <v>2399586.77</v>
      </c>
      <c r="E136" s="492">
        <f>SUMIF('Raw TB 1225'!$B:$B,'TB 1225'!$A136,'Raw TB 1225'!F:F)</f>
        <v>-2399586.77</v>
      </c>
      <c r="F136" s="492">
        <f t="shared" si="4"/>
        <v>-2399.5867699999999</v>
      </c>
      <c r="G136" s="502" t="s">
        <v>184</v>
      </c>
      <c r="H136" s="491" t="s">
        <v>25</v>
      </c>
      <c r="I136" s="491"/>
    </row>
    <row r="137" spans="1:10" hidden="1" x14ac:dyDescent="0.35">
      <c r="A137" s="503" t="s">
        <v>1406</v>
      </c>
      <c r="B137" s="492">
        <f>SUMIF('Raw TB 1225'!$B:$B,'TB 1225'!$A137,'Raw TB 1225'!C:C)</f>
        <v>0</v>
      </c>
      <c r="C137" s="492">
        <f>SUMIF('Raw TB 1225'!$B:$B,'TB 1225'!$A137,'Raw TB 1225'!D:D)</f>
        <v>600000</v>
      </c>
      <c r="D137" s="492">
        <f>SUMIF('Raw TB 1225'!$B:$B,'TB 1225'!$A137,'Raw TB 1225'!E:E)</f>
        <v>600000</v>
      </c>
      <c r="E137" s="492">
        <f>SUMIF('Raw TB 1225'!$B:$B,'TB 1225'!$A137,'Raw TB 1225'!F:F)</f>
        <v>0</v>
      </c>
      <c r="F137" s="492">
        <f t="shared" si="4"/>
        <v>0</v>
      </c>
      <c r="G137" s="502" t="s">
        <v>184</v>
      </c>
      <c r="H137" s="491" t="s">
        <v>25</v>
      </c>
      <c r="I137" s="491"/>
    </row>
    <row r="138" spans="1:10" hidden="1" x14ac:dyDescent="0.35">
      <c r="A138" s="491" t="s">
        <v>303</v>
      </c>
      <c r="B138" s="492">
        <f>SUMIF('Raw TB 1225'!$B:$B,'TB 1225'!$A138,'Raw TB 1225'!C:C)</f>
        <v>0</v>
      </c>
      <c r="C138" s="492">
        <f>SUMIF('Raw TB 1225'!$B:$B,'TB 1225'!$A138,'Raw TB 1225'!D:D)</f>
        <v>0</v>
      </c>
      <c r="D138" s="492">
        <f>SUMIF('Raw TB 1225'!$B:$B,'TB 1225'!$A138,'Raw TB 1225'!E:E)</f>
        <v>84864676.799999997</v>
      </c>
      <c r="E138" s="492">
        <f>SUMIF('Raw TB 1225'!$B:$B,'TB 1225'!$A138,'Raw TB 1225'!F:F)</f>
        <v>-84864676.799999997</v>
      </c>
      <c r="F138" s="492">
        <f t="shared" si="4"/>
        <v>-84864.676800000001</v>
      </c>
      <c r="G138" s="502" t="s">
        <v>184</v>
      </c>
      <c r="H138" s="491" t="s">
        <v>25</v>
      </c>
      <c r="I138" s="491"/>
    </row>
    <row r="139" spans="1:10" hidden="1" x14ac:dyDescent="0.35">
      <c r="A139" s="491" t="s">
        <v>1332</v>
      </c>
      <c r="B139" s="492">
        <f>SUMIF('Raw TB 1225'!$B:$B,'TB 1225'!$A139,'Raw TB 1225'!C:C)</f>
        <v>0</v>
      </c>
      <c r="C139" s="492">
        <f>SUMIF('Raw TB 1225'!$B:$B,'TB 1225'!$A139,'Raw TB 1225'!D:D)</f>
        <v>0</v>
      </c>
      <c r="D139" s="492">
        <f>SUMIF('Raw TB 1225'!$B:$B,'TB 1225'!$A139,'Raw TB 1225'!E:E)</f>
        <v>11825540.970000001</v>
      </c>
      <c r="E139" s="492">
        <f>SUMIF('Raw TB 1225'!$B:$B,'TB 1225'!$A139,'Raw TB 1225'!F:F)</f>
        <v>-11825540.970000001</v>
      </c>
      <c r="F139" s="492">
        <f t="shared" si="4"/>
        <v>-11825.54097</v>
      </c>
      <c r="G139" s="502" t="s">
        <v>184</v>
      </c>
      <c r="H139" s="491" t="s">
        <v>25</v>
      </c>
      <c r="I139" s="491"/>
    </row>
    <row r="140" spans="1:10" hidden="1" x14ac:dyDescent="0.35">
      <c r="A140" s="491" t="s">
        <v>1407</v>
      </c>
      <c r="B140" s="492">
        <f>SUMIF('Raw TB 1225'!$B:$B,'TB 1225'!$A140,'Raw TB 1225'!C:C)</f>
        <v>0</v>
      </c>
      <c r="C140" s="492">
        <f>SUMIF('Raw TB 1225'!$B:$B,'TB 1225'!$A140,'Raw TB 1225'!D:D)</f>
        <v>0</v>
      </c>
      <c r="D140" s="492">
        <f>SUMIF('Raw TB 1225'!$B:$B,'TB 1225'!$A140,'Raw TB 1225'!E:E)</f>
        <v>902007</v>
      </c>
      <c r="E140" s="492">
        <f>SUMIF('Raw TB 1225'!$B:$B,'TB 1225'!$A140,'Raw TB 1225'!F:F)</f>
        <v>-902007</v>
      </c>
      <c r="F140" s="492">
        <f t="shared" si="4"/>
        <v>-902.00699999999995</v>
      </c>
      <c r="G140" s="502" t="s">
        <v>184</v>
      </c>
      <c r="H140" s="491" t="s">
        <v>25</v>
      </c>
      <c r="I140" s="491"/>
    </row>
    <row r="141" spans="1:10" hidden="1" x14ac:dyDescent="0.35">
      <c r="A141" s="491" t="s">
        <v>1477</v>
      </c>
      <c r="B141" s="492">
        <f>SUMIF('Raw TB 1225'!$B:$B,'TB 1225'!$A141,'Raw TB 1225'!C:C)</f>
        <v>0</v>
      </c>
      <c r="C141" s="492">
        <f>SUMIF('Raw TB 1225'!$B:$B,'TB 1225'!$A141,'Raw TB 1225'!D:D)</f>
        <v>0</v>
      </c>
      <c r="D141" s="492">
        <f>SUMIF('Raw TB 1225'!$B:$B,'TB 1225'!$A141,'Raw TB 1225'!E:E)</f>
        <v>0</v>
      </c>
      <c r="E141" s="492">
        <f>SUMIF('Raw TB 1225'!$B:$B,'TB 1225'!$A141,'Raw TB 1225'!F:F)</f>
        <v>0</v>
      </c>
      <c r="F141" s="492">
        <f t="shared" si="4"/>
        <v>0</v>
      </c>
      <c r="G141" s="502" t="s">
        <v>184</v>
      </c>
      <c r="H141" s="491" t="s">
        <v>25</v>
      </c>
      <c r="I141" s="491"/>
    </row>
    <row r="142" spans="1:10" hidden="1" x14ac:dyDescent="0.35">
      <c r="A142" s="491" t="s">
        <v>1409</v>
      </c>
      <c r="B142" s="492">
        <f>SUMIF('Raw TB 1225'!$B:$B,'TB 1225'!$A142,'Raw TB 1225'!C:C)</f>
        <v>0</v>
      </c>
      <c r="C142" s="492">
        <f>SUMIF('Raw TB 1225'!$B:$B,'TB 1225'!$A142,'Raw TB 1225'!D:D)</f>
        <v>0</v>
      </c>
      <c r="D142" s="492">
        <f>SUMIF('Raw TB 1225'!$B:$B,'TB 1225'!$A142,'Raw TB 1225'!E:E)</f>
        <v>409090</v>
      </c>
      <c r="E142" s="492">
        <f>SUMIF('Raw TB 1225'!$B:$B,'TB 1225'!$A142,'Raw TB 1225'!F:F)</f>
        <v>-409090</v>
      </c>
      <c r="F142" s="492">
        <f t="shared" si="4"/>
        <v>-409.09</v>
      </c>
      <c r="G142" s="502" t="s">
        <v>184</v>
      </c>
      <c r="H142" s="491" t="s">
        <v>25</v>
      </c>
      <c r="I142" s="491"/>
    </row>
    <row r="143" spans="1:10" hidden="1" x14ac:dyDescent="0.35">
      <c r="A143" s="491" t="s">
        <v>619</v>
      </c>
      <c r="B143" s="492">
        <f>SUMIF('Raw TB 1225'!$B:$B,'TB 1225'!$A143,'Raw TB 1225'!C:C)</f>
        <v>0</v>
      </c>
      <c r="C143" s="492">
        <f>SUMIF('Raw TB 1225'!$B:$B,'TB 1225'!$A143,'Raw TB 1225'!D:D)</f>
        <v>3331601</v>
      </c>
      <c r="D143" s="492">
        <f>SUMIF('Raw TB 1225'!$B:$B,'TB 1225'!$A143,'Raw TB 1225'!E:E)</f>
        <v>567408</v>
      </c>
      <c r="E143" s="492">
        <f>SUMIF('Raw TB 1225'!$B:$B,'TB 1225'!$A143,'Raw TB 1225'!F:F)</f>
        <v>2764193</v>
      </c>
      <c r="F143" s="492">
        <f t="shared" si="4"/>
        <v>2764.1930000000002</v>
      </c>
      <c r="G143" s="502" t="s">
        <v>184</v>
      </c>
      <c r="H143" s="491" t="s">
        <v>61</v>
      </c>
      <c r="I143" s="491"/>
    </row>
    <row r="144" spans="1:10" hidden="1" x14ac:dyDescent="0.35">
      <c r="A144" s="491" t="s">
        <v>1532</v>
      </c>
      <c r="B144" s="492">
        <f>SUMIF('Raw TB 1225'!$B:$B,'TB 1225'!$A144,'Raw TB 1225'!C:C)</f>
        <v>0</v>
      </c>
      <c r="C144" s="492">
        <f>SUMIF('Raw TB 1225'!$B:$B,'TB 1225'!$A144,'Raw TB 1225'!D:D)</f>
        <v>0</v>
      </c>
      <c r="D144" s="492">
        <f>SUMIF('Raw TB 1225'!$B:$B,'TB 1225'!$A144,'Raw TB 1225'!E:E)</f>
        <v>0</v>
      </c>
      <c r="E144" s="492">
        <f>SUMIF('Raw TB 1225'!$B:$B,'TB 1225'!$A144,'Raw TB 1225'!F:F)</f>
        <v>0</v>
      </c>
      <c r="F144" s="492">
        <f t="shared" si="4"/>
        <v>0</v>
      </c>
      <c r="G144" s="502" t="s">
        <v>181</v>
      </c>
      <c r="H144" s="491" t="s">
        <v>78</v>
      </c>
      <c r="I144" s="491"/>
    </row>
    <row r="145" spans="1:9" hidden="1" x14ac:dyDescent="0.35">
      <c r="A145" s="505" t="s">
        <v>1533</v>
      </c>
      <c r="B145" s="492">
        <f>SUMIF('Raw TB 1225'!$B:$B,'TB 1225'!$A145,'Raw TB 1225'!C:C)</f>
        <v>79996000.200000003</v>
      </c>
      <c r="C145" s="492">
        <f>SUMIF('Raw TB 1225'!$B:$B,'TB 1225'!$A145,'Raw TB 1225'!D:D)</f>
        <v>0</v>
      </c>
      <c r="D145" s="492">
        <f>SUMIF('Raw TB 1225'!$B:$B,'TB 1225'!$A145,'Raw TB 1225'!E:E)</f>
        <v>0</v>
      </c>
      <c r="E145" s="492">
        <f>SUMIF('Raw TB 1225'!$B:$B,'TB 1225'!$A145,'Raw TB 1225'!F:F)</f>
        <v>79996000.200000003</v>
      </c>
      <c r="F145" s="492">
        <f t="shared" si="4"/>
        <v>79996.000200000009</v>
      </c>
      <c r="G145" s="502" t="s">
        <v>181</v>
      </c>
      <c r="H145" s="491" t="s">
        <v>76</v>
      </c>
      <c r="I145" s="506"/>
    </row>
    <row r="146" spans="1:9" hidden="1" x14ac:dyDescent="0.35">
      <c r="A146" s="491" t="s">
        <v>1534</v>
      </c>
      <c r="B146" s="492">
        <f>SUMIF('Raw TB 1225'!$B:$B,'TB 1225'!$A146,'Raw TB 1225'!C:C)</f>
        <v>99995000.25</v>
      </c>
      <c r="C146" s="492">
        <f>SUMIF('Raw TB 1225'!$B:$B,'TB 1225'!$A146,'Raw TB 1225'!D:D)</f>
        <v>0</v>
      </c>
      <c r="D146" s="492">
        <f>SUMIF('Raw TB 1225'!$B:$B,'TB 1225'!$A146,'Raw TB 1225'!E:E)</f>
        <v>0</v>
      </c>
      <c r="E146" s="492">
        <f>SUMIF('Raw TB 1225'!$B:$B,'TB 1225'!$A146,'Raw TB 1225'!F:F)</f>
        <v>99995000.25</v>
      </c>
      <c r="F146" s="492">
        <f t="shared" si="4"/>
        <v>99995.000249999997</v>
      </c>
      <c r="G146" s="502" t="s">
        <v>181</v>
      </c>
      <c r="H146" s="491" t="s">
        <v>76</v>
      </c>
      <c r="I146" s="506"/>
    </row>
    <row r="147" spans="1:9" hidden="1" x14ac:dyDescent="0.35">
      <c r="A147" s="491" t="s">
        <v>1535</v>
      </c>
      <c r="B147" s="492">
        <f>SUMIF('Raw TB 1225'!$B:$B,'TB 1225'!$A147,'Raw TB 1225'!C:C)</f>
        <v>248500000</v>
      </c>
      <c r="C147" s="492">
        <f>SUMIF('Raw TB 1225'!$B:$B,'TB 1225'!$A147,'Raw TB 1225'!D:D)</f>
        <v>0</v>
      </c>
      <c r="D147" s="492">
        <f>SUMIF('Raw TB 1225'!$B:$B,'TB 1225'!$A147,'Raw TB 1225'!E:E)</f>
        <v>0</v>
      </c>
      <c r="E147" s="492">
        <f>SUMIF('Raw TB 1225'!$B:$B,'TB 1225'!$A147,'Raw TB 1225'!F:F)</f>
        <v>248500000</v>
      </c>
      <c r="F147" s="492">
        <f t="shared" si="4"/>
        <v>248500</v>
      </c>
      <c r="G147" s="502" t="s">
        <v>181</v>
      </c>
      <c r="H147" s="491" t="s">
        <v>76</v>
      </c>
      <c r="I147" s="491"/>
    </row>
    <row r="148" spans="1:9" hidden="1" x14ac:dyDescent="0.35">
      <c r="A148" s="491" t="s">
        <v>1536</v>
      </c>
      <c r="B148" s="492">
        <f>SUMIF('Raw TB 1225'!$B:$B,'TB 1225'!$A148,'Raw TB 1225'!C:C)</f>
        <v>248500000</v>
      </c>
      <c r="C148" s="492">
        <f>SUMIF('Raw TB 1225'!$B:$B,'TB 1225'!$A148,'Raw TB 1225'!D:D)</f>
        <v>0</v>
      </c>
      <c r="D148" s="492">
        <f>SUMIF('Raw TB 1225'!$B:$B,'TB 1225'!$A148,'Raw TB 1225'!E:E)</f>
        <v>0</v>
      </c>
      <c r="E148" s="492">
        <f>SUMIF('Raw TB 1225'!$B:$B,'TB 1225'!$A148,'Raw TB 1225'!F:F)</f>
        <v>248500000</v>
      </c>
      <c r="F148" s="492">
        <f t="shared" si="4"/>
        <v>248500</v>
      </c>
      <c r="G148" s="502" t="s">
        <v>181</v>
      </c>
      <c r="H148" s="491" t="s">
        <v>76</v>
      </c>
      <c r="I148" s="491"/>
    </row>
    <row r="149" spans="1:9" hidden="1" x14ac:dyDescent="0.35">
      <c r="A149" s="491" t="s">
        <v>1537</v>
      </c>
      <c r="B149" s="492">
        <f>SUMIF('Raw TB 1225'!$B:$B,'TB 1225'!$A149,'Raw TB 1225'!C:C)</f>
        <v>248500000</v>
      </c>
      <c r="C149" s="492">
        <f>SUMIF('Raw TB 1225'!$B:$B,'TB 1225'!$A149,'Raw TB 1225'!D:D)</f>
        <v>0</v>
      </c>
      <c r="D149" s="492">
        <f>SUMIF('Raw TB 1225'!$B:$B,'TB 1225'!$A149,'Raw TB 1225'!E:E)</f>
        <v>0</v>
      </c>
      <c r="E149" s="492">
        <f>SUMIF('Raw TB 1225'!$B:$B,'TB 1225'!$A149,'Raw TB 1225'!F:F)</f>
        <v>248500000</v>
      </c>
      <c r="F149" s="492">
        <f t="shared" si="4"/>
        <v>248500</v>
      </c>
      <c r="G149" s="502" t="s">
        <v>181</v>
      </c>
      <c r="H149" s="491" t="s">
        <v>76</v>
      </c>
      <c r="I149" s="491"/>
    </row>
    <row r="150" spans="1:9" hidden="1" x14ac:dyDescent="0.35">
      <c r="A150" s="491" t="s">
        <v>1538</v>
      </c>
      <c r="B150" s="492">
        <f>SUMIF('Raw TB 1225'!$B:$B,'TB 1225'!$A150,'Raw TB 1225'!C:C)</f>
        <v>54500000</v>
      </c>
      <c r="C150" s="492">
        <f>SUMIF('Raw TB 1225'!$B:$B,'TB 1225'!$A150,'Raw TB 1225'!D:D)</f>
        <v>0</v>
      </c>
      <c r="D150" s="492">
        <f>SUMIF('Raw TB 1225'!$B:$B,'TB 1225'!$A150,'Raw TB 1225'!E:E)</f>
        <v>0</v>
      </c>
      <c r="E150" s="492">
        <f>SUMIF('Raw TB 1225'!$B:$B,'TB 1225'!$A150,'Raw TB 1225'!F:F)</f>
        <v>54500000</v>
      </c>
      <c r="F150" s="492">
        <f t="shared" si="4"/>
        <v>54500</v>
      </c>
      <c r="G150" s="502" t="s">
        <v>181</v>
      </c>
      <c r="H150" s="491" t="s">
        <v>76</v>
      </c>
      <c r="I150" s="491"/>
    </row>
    <row r="151" spans="1:9" hidden="1" x14ac:dyDescent="0.35">
      <c r="A151" s="491" t="s">
        <v>1539</v>
      </c>
      <c r="B151" s="492">
        <f>SUMIF('Raw TB 1225'!$B:$B,'TB 1225'!$A151,'Raw TB 1225'!C:C)</f>
        <v>5200000</v>
      </c>
      <c r="C151" s="492">
        <f>SUMIF('Raw TB 1225'!$B:$B,'TB 1225'!$A151,'Raw TB 1225'!D:D)</f>
        <v>0</v>
      </c>
      <c r="D151" s="492">
        <f>SUMIF('Raw TB 1225'!$B:$B,'TB 1225'!$A151,'Raw TB 1225'!E:E)</f>
        <v>0</v>
      </c>
      <c r="E151" s="492">
        <f>SUMIF('Raw TB 1225'!$B:$B,'TB 1225'!$A151,'Raw TB 1225'!F:F)</f>
        <v>5200000</v>
      </c>
      <c r="F151" s="492">
        <f t="shared" si="4"/>
        <v>5200</v>
      </c>
      <c r="G151" s="502" t="s">
        <v>181</v>
      </c>
      <c r="H151" s="491" t="s">
        <v>76</v>
      </c>
      <c r="I151" s="491"/>
    </row>
    <row r="152" spans="1:9" hidden="1" x14ac:dyDescent="0.35">
      <c r="A152" s="491" t="s">
        <v>1540</v>
      </c>
      <c r="B152" s="492">
        <f>SUMIF('Raw TB 1225'!$B:$B,'TB 1225'!$A152,'Raw TB 1225'!C:C)</f>
        <v>247400000</v>
      </c>
      <c r="C152" s="492">
        <f>SUMIF('Raw TB 1225'!$B:$B,'TB 1225'!$A152,'Raw TB 1225'!D:D)</f>
        <v>0</v>
      </c>
      <c r="D152" s="492">
        <f>SUMIF('Raw TB 1225'!$B:$B,'TB 1225'!$A152,'Raw TB 1225'!E:E)</f>
        <v>0</v>
      </c>
      <c r="E152" s="492">
        <f>SUMIF('Raw TB 1225'!$B:$B,'TB 1225'!$A152,'Raw TB 1225'!F:F)</f>
        <v>247400000</v>
      </c>
      <c r="F152" s="492">
        <f t="shared" si="4"/>
        <v>247400</v>
      </c>
      <c r="G152" s="502" t="s">
        <v>181</v>
      </c>
      <c r="H152" s="491" t="s">
        <v>76</v>
      </c>
      <c r="I152" s="491"/>
    </row>
    <row r="153" spans="1:9" hidden="1" x14ac:dyDescent="0.35">
      <c r="A153" s="491" t="s">
        <v>1541</v>
      </c>
      <c r="B153" s="492">
        <f>SUMIF('Raw TB 1225'!$B:$B,'TB 1225'!$A153,'Raw TB 1225'!C:C)</f>
        <v>247400000</v>
      </c>
      <c r="C153" s="492">
        <f>SUMIF('Raw TB 1225'!$B:$B,'TB 1225'!$A153,'Raw TB 1225'!D:D)</f>
        <v>0</v>
      </c>
      <c r="D153" s="492">
        <f>SUMIF('Raw TB 1225'!$B:$B,'TB 1225'!$A153,'Raw TB 1225'!E:E)</f>
        <v>0</v>
      </c>
      <c r="E153" s="492">
        <f>SUMIF('Raw TB 1225'!$B:$B,'TB 1225'!$A153,'Raw TB 1225'!F:F)</f>
        <v>247400000</v>
      </c>
      <c r="F153" s="492">
        <f t="shared" si="4"/>
        <v>247400</v>
      </c>
      <c r="G153" s="502" t="s">
        <v>181</v>
      </c>
      <c r="H153" s="491" t="s">
        <v>76</v>
      </c>
      <c r="I153" s="491"/>
    </row>
    <row r="154" spans="1:9" hidden="1" x14ac:dyDescent="0.35">
      <c r="A154" s="491" t="s">
        <v>1542</v>
      </c>
      <c r="B154" s="492">
        <f>SUMIF('Raw TB 1225'!$B:$B,'TB 1225'!$A154,'Raw TB 1225'!C:C)</f>
        <v>140000000</v>
      </c>
      <c r="C154" s="492">
        <f>SUMIF('Raw TB 1225'!$B:$B,'TB 1225'!$A154,'Raw TB 1225'!D:D)</f>
        <v>0</v>
      </c>
      <c r="D154" s="492">
        <f>SUMIF('Raw TB 1225'!$B:$B,'TB 1225'!$A154,'Raw TB 1225'!E:E)</f>
        <v>0</v>
      </c>
      <c r="E154" s="492">
        <f>SUMIF('Raw TB 1225'!$B:$B,'TB 1225'!$A154,'Raw TB 1225'!F:F)</f>
        <v>140000000</v>
      </c>
      <c r="F154" s="492">
        <f t="shared" si="4"/>
        <v>140000</v>
      </c>
      <c r="G154" s="502" t="s">
        <v>181</v>
      </c>
      <c r="H154" s="491" t="s">
        <v>76</v>
      </c>
      <c r="I154" s="491"/>
    </row>
    <row r="155" spans="1:9" hidden="1" x14ac:dyDescent="0.35">
      <c r="A155" s="491" t="s">
        <v>1543</v>
      </c>
      <c r="B155" s="492">
        <f>SUMIF('Raw TB 1225'!$B:$B,'TB 1225'!$A155,'Raw TB 1225'!C:C)</f>
        <v>250000000</v>
      </c>
      <c r="C155" s="492">
        <f>SUMIF('Raw TB 1225'!$B:$B,'TB 1225'!$A155,'Raw TB 1225'!D:D)</f>
        <v>0</v>
      </c>
      <c r="D155" s="492">
        <f>SUMIF('Raw TB 1225'!$B:$B,'TB 1225'!$A155,'Raw TB 1225'!E:E)</f>
        <v>0</v>
      </c>
      <c r="E155" s="492">
        <f>SUMIF('Raw TB 1225'!$B:$B,'TB 1225'!$A155,'Raw TB 1225'!F:F)</f>
        <v>250000000</v>
      </c>
      <c r="F155" s="492">
        <f t="shared" si="4"/>
        <v>250000</v>
      </c>
      <c r="G155" s="502" t="s">
        <v>181</v>
      </c>
      <c r="H155" s="491" t="s">
        <v>76</v>
      </c>
      <c r="I155" s="491"/>
    </row>
    <row r="156" spans="1:9" hidden="1" x14ac:dyDescent="0.35">
      <c r="A156" s="491" t="s">
        <v>1544</v>
      </c>
      <c r="B156" s="492">
        <f>SUMIF('Raw TB 1225'!$B:$B,'TB 1225'!$A156,'Raw TB 1225'!C:C)</f>
        <v>60000000</v>
      </c>
      <c r="C156" s="492">
        <f>SUMIF('Raw TB 1225'!$B:$B,'TB 1225'!$A156,'Raw TB 1225'!D:D)</f>
        <v>0</v>
      </c>
      <c r="D156" s="492">
        <f>SUMIF('Raw TB 1225'!$B:$B,'TB 1225'!$A156,'Raw TB 1225'!E:E)</f>
        <v>0</v>
      </c>
      <c r="E156" s="492">
        <f>SUMIF('Raw TB 1225'!$B:$B,'TB 1225'!$A156,'Raw TB 1225'!F:F)</f>
        <v>60000000</v>
      </c>
      <c r="F156" s="492">
        <f t="shared" si="4"/>
        <v>60000</v>
      </c>
      <c r="G156" s="502" t="s">
        <v>181</v>
      </c>
      <c r="H156" s="491" t="s">
        <v>76</v>
      </c>
      <c r="I156" s="491"/>
    </row>
    <row r="157" spans="1:9" hidden="1" x14ac:dyDescent="0.35">
      <c r="A157" s="491" t="s">
        <v>1545</v>
      </c>
      <c r="B157" s="492">
        <f>SUMIF('Raw TB 1225'!$B:$B,'TB 1225'!$A157,'Raw TB 1225'!C:C)</f>
        <v>90000000</v>
      </c>
      <c r="C157" s="492">
        <f>SUMIF('Raw TB 1225'!$B:$B,'TB 1225'!$A157,'Raw TB 1225'!D:D)</f>
        <v>0</v>
      </c>
      <c r="D157" s="492">
        <f>SUMIF('Raw TB 1225'!$B:$B,'TB 1225'!$A157,'Raw TB 1225'!E:E)</f>
        <v>0</v>
      </c>
      <c r="E157" s="492">
        <f>SUMIF('Raw TB 1225'!$B:$B,'TB 1225'!$A157,'Raw TB 1225'!F:F)</f>
        <v>90000000</v>
      </c>
      <c r="F157" s="492">
        <f t="shared" si="4"/>
        <v>90000</v>
      </c>
      <c r="G157" s="502" t="s">
        <v>181</v>
      </c>
      <c r="H157" s="491" t="s">
        <v>76</v>
      </c>
      <c r="I157" s="491"/>
    </row>
    <row r="158" spans="1:9" hidden="1" x14ac:dyDescent="0.35">
      <c r="A158" s="491" t="s">
        <v>1546</v>
      </c>
      <c r="B158" s="492">
        <f>SUMIF('Raw TB 1225'!$B:$B,'TB 1225'!$A158,'Raw TB 1225'!C:C)</f>
        <v>0</v>
      </c>
      <c r="C158" s="492">
        <f>SUMIF('Raw TB 1225'!$B:$B,'TB 1225'!$A158,'Raw TB 1225'!D:D)</f>
        <v>0</v>
      </c>
      <c r="D158" s="492">
        <f>SUMIF('Raw TB 1225'!$B:$B,'TB 1225'!$A158,'Raw TB 1225'!E:E)</f>
        <v>0</v>
      </c>
      <c r="E158" s="492">
        <f>SUMIF('Raw TB 1225'!$B:$B,'TB 1225'!$A158,'Raw TB 1225'!F:F)</f>
        <v>0</v>
      </c>
      <c r="F158" s="492">
        <f t="shared" si="4"/>
        <v>0</v>
      </c>
      <c r="G158" s="502" t="s">
        <v>181</v>
      </c>
      <c r="H158" s="491" t="s">
        <v>76</v>
      </c>
      <c r="I158" s="491"/>
    </row>
    <row r="159" spans="1:9" hidden="1" x14ac:dyDescent="0.35">
      <c r="A159" s="491" t="s">
        <v>1547</v>
      </c>
      <c r="B159" s="492">
        <f>SUMIF('Raw TB 1225'!$B:$B,'TB 1225'!$A159,'Raw TB 1225'!C:C)</f>
        <v>0</v>
      </c>
      <c r="C159" s="492">
        <f>SUMIF('Raw TB 1225'!$B:$B,'TB 1225'!$A159,'Raw TB 1225'!D:D)</f>
        <v>0</v>
      </c>
      <c r="D159" s="492">
        <f>SUMIF('Raw TB 1225'!$B:$B,'TB 1225'!$A159,'Raw TB 1225'!E:E)</f>
        <v>0</v>
      </c>
      <c r="E159" s="492">
        <f>SUMIF('Raw TB 1225'!$B:$B,'TB 1225'!$A159,'Raw TB 1225'!F:F)</f>
        <v>0</v>
      </c>
      <c r="F159" s="492">
        <f t="shared" si="4"/>
        <v>0</v>
      </c>
      <c r="G159" s="502" t="s">
        <v>181</v>
      </c>
      <c r="H159" s="491" t="s">
        <v>76</v>
      </c>
      <c r="I159" s="491"/>
    </row>
    <row r="160" spans="1:9" hidden="1" x14ac:dyDescent="0.35">
      <c r="A160" s="491" t="s">
        <v>1548</v>
      </c>
      <c r="B160" s="492">
        <f>SUMIF('Raw TB 1225'!$B:$B,'TB 1225'!$A160,'Raw TB 1225'!C:C)</f>
        <v>233000000</v>
      </c>
      <c r="C160" s="492">
        <f>SUMIF('Raw TB 1225'!$B:$B,'TB 1225'!$A160,'Raw TB 1225'!D:D)</f>
        <v>0</v>
      </c>
      <c r="D160" s="492">
        <f>SUMIF('Raw TB 1225'!$B:$B,'TB 1225'!$A160,'Raw TB 1225'!E:E)</f>
        <v>233000000</v>
      </c>
      <c r="E160" s="492">
        <f>SUMIF('Raw TB 1225'!$B:$B,'TB 1225'!$A160,'Raw TB 1225'!F:F)</f>
        <v>0</v>
      </c>
      <c r="F160" s="492">
        <f t="shared" si="4"/>
        <v>0</v>
      </c>
      <c r="G160" s="502" t="s">
        <v>181</v>
      </c>
      <c r="H160" s="491" t="s">
        <v>76</v>
      </c>
      <c r="I160" s="491"/>
    </row>
    <row r="161" spans="1:9" hidden="1" x14ac:dyDescent="0.35">
      <c r="A161" s="491" t="s">
        <v>1549</v>
      </c>
      <c r="B161" s="492">
        <f>SUMIF('Raw TB 1225'!$B:$B,'TB 1225'!$A161,'Raw TB 1225'!C:C)</f>
        <v>0</v>
      </c>
      <c r="C161" s="492">
        <f>SUMIF('Raw TB 1225'!$B:$B,'TB 1225'!$A161,'Raw TB 1225'!D:D)</f>
        <v>0</v>
      </c>
      <c r="D161" s="492">
        <f>SUMIF('Raw TB 1225'!$B:$B,'TB 1225'!$A161,'Raw TB 1225'!E:E)</f>
        <v>0</v>
      </c>
      <c r="E161" s="492">
        <f>SUMIF('Raw TB 1225'!$B:$B,'TB 1225'!$A161,'Raw TB 1225'!F:F)</f>
        <v>0</v>
      </c>
      <c r="F161" s="492">
        <f t="shared" si="4"/>
        <v>0</v>
      </c>
      <c r="G161" s="502" t="s">
        <v>181</v>
      </c>
      <c r="H161" s="491" t="s">
        <v>76</v>
      </c>
      <c r="I161" s="491"/>
    </row>
    <row r="162" spans="1:9" hidden="1" x14ac:dyDescent="0.35">
      <c r="A162" s="491" t="s">
        <v>1550</v>
      </c>
      <c r="B162" s="492">
        <f>SUMIF('Raw TB 1225'!$B:$B,'TB 1225'!$A162,'Raw TB 1225'!C:C)</f>
        <v>79996000.200000003</v>
      </c>
      <c r="C162" s="492">
        <f>SUMIF('Raw TB 1225'!$B:$B,'TB 1225'!$A162,'Raw TB 1225'!D:D)</f>
        <v>0</v>
      </c>
      <c r="D162" s="492">
        <f>SUMIF('Raw TB 1225'!$B:$B,'TB 1225'!$A162,'Raw TB 1225'!E:E)</f>
        <v>0</v>
      </c>
      <c r="E162" s="492">
        <f>SUMIF('Raw TB 1225'!$B:$B,'TB 1225'!$A162,'Raw TB 1225'!F:F)</f>
        <v>79996000.200000003</v>
      </c>
      <c r="F162" s="492">
        <f t="shared" si="4"/>
        <v>79996.000200000009</v>
      </c>
      <c r="G162" s="502" t="s">
        <v>181</v>
      </c>
      <c r="H162" s="491" t="s">
        <v>76</v>
      </c>
      <c r="I162" s="491"/>
    </row>
    <row r="163" spans="1:9" hidden="1" x14ac:dyDescent="0.35">
      <c r="A163" s="491" t="s">
        <v>1551</v>
      </c>
      <c r="B163" s="492">
        <f>SUMIF('Raw TB 1225'!$B:$B,'TB 1225'!$A163,'Raw TB 1225'!C:C)</f>
        <v>39998000.100000001</v>
      </c>
      <c r="C163" s="492">
        <f>SUMIF('Raw TB 1225'!$B:$B,'TB 1225'!$A163,'Raw TB 1225'!D:D)</f>
        <v>0</v>
      </c>
      <c r="D163" s="492">
        <f>SUMIF('Raw TB 1225'!$B:$B,'TB 1225'!$A163,'Raw TB 1225'!E:E)</f>
        <v>39998000.100000001</v>
      </c>
      <c r="E163" s="492">
        <f>SUMIF('Raw TB 1225'!$B:$B,'TB 1225'!$A163,'Raw TB 1225'!F:F)</f>
        <v>0</v>
      </c>
      <c r="F163" s="492">
        <f t="shared" si="4"/>
        <v>0</v>
      </c>
      <c r="G163" s="502" t="s">
        <v>181</v>
      </c>
      <c r="H163" s="491" t="s">
        <v>76</v>
      </c>
      <c r="I163" s="491"/>
    </row>
    <row r="164" spans="1:9" hidden="1" x14ac:dyDescent="0.35">
      <c r="A164" s="491" t="s">
        <v>1552</v>
      </c>
      <c r="B164" s="492">
        <f>SUMIF('Raw TB 1225'!$B:$B,'TB 1225'!$A164,'Raw TB 1225'!C:C)</f>
        <v>79996000.200000003</v>
      </c>
      <c r="C164" s="492">
        <f>SUMIF('Raw TB 1225'!$B:$B,'TB 1225'!$A164,'Raw TB 1225'!D:D)</f>
        <v>0</v>
      </c>
      <c r="D164" s="492">
        <f>SUMIF('Raw TB 1225'!$B:$B,'TB 1225'!$A164,'Raw TB 1225'!E:E)</f>
        <v>69491401.599999994</v>
      </c>
      <c r="E164" s="492">
        <f>SUMIF('Raw TB 1225'!$B:$B,'TB 1225'!$A164,'Raw TB 1225'!F:F)</f>
        <v>10504598.6</v>
      </c>
      <c r="F164" s="492">
        <f t="shared" si="4"/>
        <v>10504.598599999999</v>
      </c>
      <c r="G164" s="502" t="s">
        <v>181</v>
      </c>
      <c r="H164" s="491" t="s">
        <v>76</v>
      </c>
      <c r="I164" s="491"/>
    </row>
    <row r="165" spans="1:9" hidden="1" x14ac:dyDescent="0.35">
      <c r="A165" s="491" t="s">
        <v>1553</v>
      </c>
      <c r="B165" s="492">
        <f>SUMIF('Raw TB 1225'!$B:$B,'TB 1225'!$A165,'Raw TB 1225'!C:C)</f>
        <v>0</v>
      </c>
      <c r="C165" s="492">
        <f>SUMIF('Raw TB 1225'!$B:$B,'TB 1225'!$A165,'Raw TB 1225'!D:D)</f>
        <v>0</v>
      </c>
      <c r="D165" s="492">
        <f>SUMIF('Raw TB 1225'!$B:$B,'TB 1225'!$A165,'Raw TB 1225'!E:E)</f>
        <v>0</v>
      </c>
      <c r="E165" s="492">
        <f>SUMIF('Raw TB 1225'!$B:$B,'TB 1225'!$A165,'Raw TB 1225'!F:F)</f>
        <v>0</v>
      </c>
      <c r="F165" s="492">
        <f t="shared" si="4"/>
        <v>0</v>
      </c>
      <c r="G165" s="502" t="s">
        <v>181</v>
      </c>
      <c r="H165" s="491" t="s">
        <v>79</v>
      </c>
      <c r="I165" s="491"/>
    </row>
    <row r="166" spans="1:9" hidden="1" x14ac:dyDescent="0.35">
      <c r="A166" s="491" t="s">
        <v>1554</v>
      </c>
      <c r="B166" s="492">
        <f>SUMIF('Raw TB 1225'!$B:$B,'TB 1225'!$A166,'Raw TB 1225'!C:C)</f>
        <v>0</v>
      </c>
      <c r="C166" s="492">
        <f>SUMIF('Raw TB 1225'!$B:$B,'TB 1225'!$A166,'Raw TB 1225'!D:D)</f>
        <v>0</v>
      </c>
      <c r="D166" s="492">
        <f>SUMIF('Raw TB 1225'!$B:$B,'TB 1225'!$A166,'Raw TB 1225'!E:E)</f>
        <v>36025</v>
      </c>
      <c r="E166" s="492">
        <f>SUMIF('Raw TB 1225'!$B:$B,'TB 1225'!$A166,'Raw TB 1225'!F:F)</f>
        <v>-36025</v>
      </c>
      <c r="F166" s="492">
        <f t="shared" si="4"/>
        <v>-36.024999999999999</v>
      </c>
      <c r="G166" s="502" t="s">
        <v>181</v>
      </c>
      <c r="H166" s="491" t="s">
        <v>79</v>
      </c>
      <c r="I166" s="491"/>
    </row>
    <row r="167" spans="1:9" hidden="1" x14ac:dyDescent="0.35">
      <c r="A167" s="491" t="s">
        <v>177</v>
      </c>
      <c r="B167" s="492">
        <f>SUMIF('Raw TB 1225'!$B:$B,'TB 1225'!$A167,'Raw TB 1225'!C:C)</f>
        <v>0</v>
      </c>
      <c r="C167" s="492">
        <f>SUMIF('Raw TB 1225'!$B:$B,'TB 1225'!$A167,'Raw TB 1225'!D:D)</f>
        <v>0</v>
      </c>
      <c r="D167" s="492">
        <f>SUMIF('Raw TB 1225'!$B:$B,'TB 1225'!$A167,'Raw TB 1225'!E:E)</f>
        <v>0</v>
      </c>
      <c r="E167" s="492">
        <f>SUMIF('Raw TB 1225'!$B:$B,'TB 1225'!$A167,'Raw TB 1225'!F:F)</f>
        <v>0</v>
      </c>
      <c r="F167" s="492">
        <f t="shared" si="4"/>
        <v>0</v>
      </c>
      <c r="G167" s="502" t="s">
        <v>180</v>
      </c>
      <c r="H167" s="491" t="s">
        <v>68</v>
      </c>
      <c r="I167" s="491"/>
    </row>
    <row r="168" spans="1:9" hidden="1" x14ac:dyDescent="0.35">
      <c r="A168" s="491" t="s">
        <v>1555</v>
      </c>
      <c r="B168" s="492">
        <f>SUMIF('Raw TB 1225'!$B:$B,'TB 1225'!$A168,'Raw TB 1225'!C:C)</f>
        <v>0</v>
      </c>
      <c r="C168" s="492">
        <f>SUMIF('Raw TB 1225'!$B:$B,'TB 1225'!$A168,'Raw TB 1225'!D:D)</f>
        <v>0</v>
      </c>
      <c r="D168" s="492">
        <f>SUMIF('Raw TB 1225'!$B:$B,'TB 1225'!$A168,'Raw TB 1225'!E:E)</f>
        <v>69046.62</v>
      </c>
      <c r="E168" s="492">
        <f>SUMIF('Raw TB 1225'!$B:$B,'TB 1225'!$A168,'Raw TB 1225'!F:F)</f>
        <v>-69046.62</v>
      </c>
      <c r="F168" s="492">
        <f t="shared" si="4"/>
        <v>-69.04661999999999</v>
      </c>
      <c r="G168" s="502" t="s">
        <v>184</v>
      </c>
      <c r="H168" s="491" t="s">
        <v>25</v>
      </c>
      <c r="I168" s="491"/>
    </row>
    <row r="169" spans="1:9" hidden="1" x14ac:dyDescent="0.35">
      <c r="A169" s="491" t="s">
        <v>287</v>
      </c>
      <c r="B169" s="492">
        <f>SUMIF('Raw TB 1225'!$B:$B,'TB 1225'!$A169,'Raw TB 1225'!C:C)</f>
        <v>0</v>
      </c>
      <c r="C169" s="492">
        <f>SUMIF('Raw TB 1225'!$B:$B,'TB 1225'!$A169,'Raw TB 1225'!D:D)</f>
        <v>295484</v>
      </c>
      <c r="D169" s="492">
        <f>SUMIF('Raw TB 1225'!$B:$B,'TB 1225'!$A169,'Raw TB 1225'!E:E)</f>
        <v>70000</v>
      </c>
      <c r="E169" s="492">
        <f>SUMIF('Raw TB 1225'!$B:$B,'TB 1225'!$A169,'Raw TB 1225'!F:F)</f>
        <v>225484</v>
      </c>
      <c r="F169" s="492">
        <f t="shared" si="4"/>
        <v>225.48400000000001</v>
      </c>
      <c r="G169" s="502" t="s">
        <v>182</v>
      </c>
      <c r="H169" s="491" t="s">
        <v>41</v>
      </c>
      <c r="I169" s="491"/>
    </row>
    <row r="170" spans="1:9" hidden="1" x14ac:dyDescent="0.35">
      <c r="A170" s="491" t="s">
        <v>1474</v>
      </c>
      <c r="B170" s="492">
        <f>SUMIF('Raw TB 1225'!$B:$B,'TB 1225'!$A170,'Raw TB 1225'!C:C)</f>
        <v>0</v>
      </c>
      <c r="C170" s="492">
        <f>SUMIF('Raw TB 1225'!$B:$B,'TB 1225'!$A170,'Raw TB 1225'!D:D)</f>
        <v>0</v>
      </c>
      <c r="D170" s="492">
        <f>SUMIF('Raw TB 1225'!$B:$B,'TB 1225'!$A170,'Raw TB 1225'!E:E)</f>
        <v>0</v>
      </c>
      <c r="E170" s="492">
        <f>SUMIF('Raw TB 1225'!$B:$B,'TB 1225'!$A170,'Raw TB 1225'!F:F)</f>
        <v>0</v>
      </c>
      <c r="F170" s="492">
        <f t="shared" si="4"/>
        <v>0</v>
      </c>
      <c r="G170" s="502" t="s">
        <v>182</v>
      </c>
      <c r="H170" s="491" t="s">
        <v>417</v>
      </c>
      <c r="I170" s="491"/>
    </row>
    <row r="171" spans="1:9" hidden="1" x14ac:dyDescent="0.35">
      <c r="A171" s="491" t="s">
        <v>600</v>
      </c>
      <c r="B171" s="492">
        <f>SUMIF('Raw TB 1225'!$B:$B,'TB 1225'!$A171,'Raw TB 1225'!C:C)</f>
        <v>0</v>
      </c>
      <c r="C171" s="492">
        <f>SUMIF('Raw TB 1225'!$B:$B,'TB 1225'!$A171,'Raw TB 1225'!D:D)</f>
        <v>1818290</v>
      </c>
      <c r="D171" s="492">
        <f>SUMIF('Raw TB 1225'!$B:$B,'TB 1225'!$A171,'Raw TB 1225'!E:E)</f>
        <v>0</v>
      </c>
      <c r="E171" s="492">
        <f>SUMIF('Raw TB 1225'!$B:$B,'TB 1225'!$A171,'Raw TB 1225'!F:F)</f>
        <v>1818290</v>
      </c>
      <c r="F171" s="492">
        <f t="shared" si="4"/>
        <v>1818.29</v>
      </c>
      <c r="G171" s="502" t="s">
        <v>180</v>
      </c>
      <c r="H171" s="491" t="s">
        <v>63</v>
      </c>
      <c r="I171" s="491" t="s">
        <v>1400</v>
      </c>
    </row>
    <row r="172" spans="1:9" hidden="1" x14ac:dyDescent="0.35">
      <c r="A172" s="491" t="s">
        <v>220</v>
      </c>
      <c r="B172" s="492">
        <f>SUMIF('Raw TB 1225'!$B:$B,'TB 1225'!$A172,'Raw TB 1225'!C:C)</f>
        <v>0</v>
      </c>
      <c r="C172" s="492">
        <f>SUMIF('Raw TB 1225'!$B:$B,'TB 1225'!$A172,'Raw TB 1225'!D:D)</f>
        <v>580000</v>
      </c>
      <c r="D172" s="492">
        <f>SUMIF('Raw TB 1225'!$B:$B,'TB 1225'!$A172,'Raw TB 1225'!E:E)</f>
        <v>255000</v>
      </c>
      <c r="E172" s="492">
        <f>SUMIF('Raw TB 1225'!$B:$B,'TB 1225'!$A172,'Raw TB 1225'!F:F)</f>
        <v>325000</v>
      </c>
      <c r="F172" s="492">
        <f t="shared" si="4"/>
        <v>325</v>
      </c>
      <c r="G172" s="502" t="s">
        <v>182</v>
      </c>
      <c r="H172" s="491" t="s">
        <v>41</v>
      </c>
      <c r="I172" s="491"/>
    </row>
    <row r="173" spans="1:9" hidden="1" x14ac:dyDescent="0.35">
      <c r="A173" s="491" t="s">
        <v>1556</v>
      </c>
      <c r="B173" s="492">
        <f>SUMIF('Raw TB 1225'!$B:$B,'TB 1225'!$A173,'Raw TB 1225'!C:C)</f>
        <v>0</v>
      </c>
      <c r="C173" s="492">
        <f>SUMIF('Raw TB 1225'!$B:$B,'TB 1225'!$A173,'Raw TB 1225'!D:D)</f>
        <v>0</v>
      </c>
      <c r="D173" s="492">
        <f>SUMIF('Raw TB 1225'!$B:$B,'TB 1225'!$A173,'Raw TB 1225'!E:E)</f>
        <v>800</v>
      </c>
      <c r="E173" s="492">
        <f>SUMIF('Raw TB 1225'!$B:$B,'TB 1225'!$A173,'Raw TB 1225'!F:F)</f>
        <v>-800</v>
      </c>
      <c r="F173" s="492">
        <f t="shared" si="4"/>
        <v>-0.8</v>
      </c>
      <c r="G173" s="502" t="s">
        <v>182</v>
      </c>
      <c r="H173" s="491" t="s">
        <v>43</v>
      </c>
      <c r="I173" s="491"/>
    </row>
    <row r="174" spans="1:9" hidden="1" x14ac:dyDescent="0.35">
      <c r="A174" s="491" t="s">
        <v>866</v>
      </c>
      <c r="B174" s="492">
        <f>SUMIF('Raw TB 1225'!$B:$B,'TB 1225'!$A174,'Raw TB 1225'!C:C)</f>
        <v>0</v>
      </c>
      <c r="C174" s="492">
        <f>SUMIF('Raw TB 1225'!$B:$B,'TB 1225'!$A174,'Raw TB 1225'!D:D)</f>
        <v>0</v>
      </c>
      <c r="D174" s="492">
        <f>SUMIF('Raw TB 1225'!$B:$B,'TB 1225'!$A174,'Raw TB 1225'!E:E)</f>
        <v>0</v>
      </c>
      <c r="E174" s="492">
        <f>SUMIF('Raw TB 1225'!$B:$B,'TB 1225'!$A174,'Raw TB 1225'!F:F)</f>
        <v>0</v>
      </c>
      <c r="F174" s="492">
        <f t="shared" si="4"/>
        <v>0</v>
      </c>
      <c r="G174" s="502" t="s">
        <v>182</v>
      </c>
      <c r="H174" s="491" t="s">
        <v>958</v>
      </c>
      <c r="I174" s="491"/>
    </row>
    <row r="175" spans="1:9" hidden="1" x14ac:dyDescent="0.35">
      <c r="A175" s="491" t="s">
        <v>972</v>
      </c>
      <c r="B175" s="492">
        <f>SUMIF('Raw TB 1225'!$B:$B,'TB 1225'!$A175,'Raw TB 1225'!C:C)</f>
        <v>0</v>
      </c>
      <c r="C175" s="492">
        <f>SUMIF('Raw TB 1225'!$B:$B,'TB 1225'!$A175,'Raw TB 1225'!D:D)</f>
        <v>0</v>
      </c>
      <c r="D175" s="492">
        <f>SUMIF('Raw TB 1225'!$B:$B,'TB 1225'!$A175,'Raw TB 1225'!E:E)</f>
        <v>0</v>
      </c>
      <c r="E175" s="492">
        <f>SUMIF('Raw TB 1225'!$B:$B,'TB 1225'!$A175,'Raw TB 1225'!F:F)</f>
        <v>0</v>
      </c>
      <c r="F175" s="492">
        <f t="shared" si="4"/>
        <v>0</v>
      </c>
      <c r="G175" s="502" t="s">
        <v>182</v>
      </c>
      <c r="H175" s="491" t="s">
        <v>43</v>
      </c>
      <c r="I175" s="491"/>
    </row>
    <row r="176" spans="1:9" hidden="1" x14ac:dyDescent="0.35">
      <c r="A176" s="491" t="s">
        <v>867</v>
      </c>
      <c r="B176" s="492">
        <f>SUMIF('Raw TB 1225'!$B:$B,'TB 1225'!$A176,'Raw TB 1225'!C:C)</f>
        <v>0</v>
      </c>
      <c r="C176" s="492">
        <f>SUMIF('Raw TB 1225'!$B:$B,'TB 1225'!$A176,'Raw TB 1225'!D:D)</f>
        <v>609347.78</v>
      </c>
      <c r="D176" s="492">
        <f>SUMIF('Raw TB 1225'!$B:$B,'TB 1225'!$A176,'Raw TB 1225'!E:E)</f>
        <v>15714</v>
      </c>
      <c r="E176" s="492">
        <f>SUMIF('Raw TB 1225'!$B:$B,'TB 1225'!$A176,'Raw TB 1225'!F:F)</f>
        <v>593633.78</v>
      </c>
      <c r="F176" s="492">
        <f t="shared" si="4"/>
        <v>593.63378</v>
      </c>
      <c r="G176" s="502" t="s">
        <v>182</v>
      </c>
      <c r="H176" s="491" t="s">
        <v>417</v>
      </c>
      <c r="I176" s="491"/>
    </row>
    <row r="177" spans="1:9" hidden="1" x14ac:dyDescent="0.35">
      <c r="A177" s="491" t="s">
        <v>1558</v>
      </c>
      <c r="B177" s="492">
        <f>SUMIF('Raw TB 1225'!$B:$B,'TB 1225'!$A177,'Raw TB 1225'!C:C)</f>
        <v>-2798700</v>
      </c>
      <c r="C177" s="492">
        <f>SUMIF('Raw TB 1225'!$B:$B,'TB 1225'!$A177,'Raw TB 1225'!D:D)</f>
        <v>0</v>
      </c>
      <c r="D177" s="492">
        <f>SUMIF('Raw TB 1225'!$B:$B,'TB 1225'!$A177,'Raw TB 1225'!E:E)</f>
        <v>0</v>
      </c>
      <c r="E177" s="492">
        <f>SUMIF('Raw TB 1225'!$B:$B,'TB 1225'!$A177,'Raw TB 1225'!F:F)</f>
        <v>-2798700</v>
      </c>
      <c r="F177" s="492">
        <f t="shared" si="4"/>
        <v>-2798.7</v>
      </c>
      <c r="G177" s="502" t="s">
        <v>180</v>
      </c>
      <c r="H177" s="491" t="s">
        <v>63</v>
      </c>
      <c r="I177" s="491"/>
    </row>
    <row r="178" spans="1:9" hidden="1" x14ac:dyDescent="0.35">
      <c r="A178" s="491" t="s">
        <v>1560</v>
      </c>
      <c r="B178" s="492">
        <f>SUMIF('Raw TB 1225'!$B:$B,'TB 1225'!$A178,'Raw TB 1225'!C:C)</f>
        <v>-1097500</v>
      </c>
      <c r="C178" s="492">
        <f>SUMIF('Raw TB 1225'!$B:$B,'TB 1225'!$A178,'Raw TB 1225'!D:D)</f>
        <v>0</v>
      </c>
      <c r="D178" s="492">
        <f>SUMIF('Raw TB 1225'!$B:$B,'TB 1225'!$A178,'Raw TB 1225'!E:E)</f>
        <v>0</v>
      </c>
      <c r="E178" s="492">
        <f>SUMIF('Raw TB 1225'!$B:$B,'TB 1225'!$A178,'Raw TB 1225'!F:F)</f>
        <v>-1097500</v>
      </c>
      <c r="F178" s="492">
        <f t="shared" si="4"/>
        <v>-1097.5</v>
      </c>
      <c r="G178" s="502" t="s">
        <v>180</v>
      </c>
      <c r="H178" s="491" t="s">
        <v>63</v>
      </c>
      <c r="I178" s="491"/>
    </row>
    <row r="179" spans="1:9" hidden="1" x14ac:dyDescent="0.35">
      <c r="A179" s="491" t="s">
        <v>1604</v>
      </c>
      <c r="B179" s="492">
        <f>SUMIF('Raw TB 1225'!$B:$B,'TB 1225'!$A179,'Raw TB 1225'!C:C)</f>
        <v>0</v>
      </c>
      <c r="C179" s="492">
        <f>SUMIF('Raw TB 1225'!$B:$B,'TB 1225'!$A179,'Raw TB 1225'!D:D)</f>
        <v>44000000</v>
      </c>
      <c r="D179" s="492">
        <f>SUMIF('Raw TB 1225'!$B:$B,'TB 1225'!$A179,'Raw TB 1225'!E:E)</f>
        <v>44000000</v>
      </c>
      <c r="E179" s="492">
        <f>SUMIF('Raw TB 1225'!$B:$B,'TB 1225'!$A179,'Raw TB 1225'!F:F)</f>
        <v>0</v>
      </c>
      <c r="F179" s="492">
        <f t="shared" si="4"/>
        <v>0</v>
      </c>
      <c r="G179" s="502" t="s">
        <v>181</v>
      </c>
      <c r="H179" s="491" t="s">
        <v>76</v>
      </c>
      <c r="I179" s="491"/>
    </row>
    <row r="180" spans="1:9" hidden="1" x14ac:dyDescent="0.35">
      <c r="A180" s="491" t="s">
        <v>1605</v>
      </c>
      <c r="B180" s="492">
        <f>SUMIF('Raw TB 1225'!$B:$B,'TB 1225'!$A180,'Raw TB 1225'!C:C)</f>
        <v>0</v>
      </c>
      <c r="C180" s="492">
        <f>SUMIF('Raw TB 1225'!$B:$B,'TB 1225'!$A180,'Raw TB 1225'!D:D)</f>
        <v>44000000</v>
      </c>
      <c r="D180" s="492">
        <f>SUMIF('Raw TB 1225'!$B:$B,'TB 1225'!$A180,'Raw TB 1225'!E:E)</f>
        <v>44000000</v>
      </c>
      <c r="E180" s="492">
        <f>SUMIF('Raw TB 1225'!$B:$B,'TB 1225'!$A180,'Raw TB 1225'!F:F)</f>
        <v>0</v>
      </c>
      <c r="F180" s="492">
        <f t="shared" si="4"/>
        <v>0</v>
      </c>
      <c r="G180" s="502" t="s">
        <v>181</v>
      </c>
      <c r="H180" s="491" t="s">
        <v>76</v>
      </c>
      <c r="I180" s="491"/>
    </row>
    <row r="181" spans="1:9" hidden="1" x14ac:dyDescent="0.35">
      <c r="A181" s="491" t="s">
        <v>1254</v>
      </c>
      <c r="B181" s="492">
        <f>SUMIF('Raw TB 1225'!$B:$B,'TB 1225'!$A181,'Raw TB 1225'!C:C)</f>
        <v>0</v>
      </c>
      <c r="C181" s="492">
        <f>SUMIF('Raw TB 1225'!$B:$B,'TB 1225'!$A181,'Raw TB 1225'!D:D)</f>
        <v>0</v>
      </c>
      <c r="D181" s="492">
        <f>SUMIF('Raw TB 1225'!$B:$B,'TB 1225'!$A181,'Raw TB 1225'!E:E)</f>
        <v>8275</v>
      </c>
      <c r="E181" s="492">
        <f>SUMIF('Raw TB 1225'!$B:$B,'TB 1225'!$A181,'Raw TB 1225'!F:F)</f>
        <v>-8275</v>
      </c>
      <c r="F181" s="492">
        <f t="shared" si="4"/>
        <v>-8.2750000000000004</v>
      </c>
      <c r="G181" s="502" t="s">
        <v>180</v>
      </c>
      <c r="H181" s="491" t="s">
        <v>68</v>
      </c>
      <c r="I181" s="491"/>
    </row>
    <row r="182" spans="1:9" hidden="1" x14ac:dyDescent="0.35">
      <c r="A182" s="491" t="s">
        <v>1255</v>
      </c>
      <c r="B182" s="492">
        <f>SUMIF('Raw TB 1225'!$B:$B,'TB 1225'!$A182,'Raw TB 1225'!C:C)</f>
        <v>0</v>
      </c>
      <c r="C182" s="492">
        <f>SUMIF('Raw TB 1225'!$B:$B,'TB 1225'!$A182,'Raw TB 1225'!D:D)</f>
        <v>0</v>
      </c>
      <c r="D182" s="492">
        <f>SUMIF('Raw TB 1225'!$B:$B,'TB 1225'!$A182,'Raw TB 1225'!E:E)</f>
        <v>18625</v>
      </c>
      <c r="E182" s="492">
        <f>SUMIF('Raw TB 1225'!$B:$B,'TB 1225'!$A182,'Raw TB 1225'!F:F)</f>
        <v>-18625</v>
      </c>
      <c r="F182" s="492">
        <f t="shared" si="4"/>
        <v>-18.625</v>
      </c>
      <c r="G182" s="502" t="s">
        <v>180</v>
      </c>
      <c r="H182" s="491" t="s">
        <v>68</v>
      </c>
      <c r="I182" s="491"/>
    </row>
    <row r="183" spans="1:9" hidden="1" x14ac:dyDescent="0.35">
      <c r="A183" s="491" t="s">
        <v>1606</v>
      </c>
      <c r="B183" s="492">
        <f>SUMIF('Raw TB 1225'!$B:$B,'TB 1225'!$A183,'Raw TB 1225'!C:C)</f>
        <v>0</v>
      </c>
      <c r="C183" s="492">
        <f>SUMIF('Raw TB 1225'!$B:$B,'TB 1225'!$A183,'Raw TB 1225'!D:D)</f>
        <v>0</v>
      </c>
      <c r="D183" s="492">
        <f>SUMIF('Raw TB 1225'!$B:$B,'TB 1225'!$A183,'Raw TB 1225'!E:E)</f>
        <v>74603</v>
      </c>
      <c r="E183" s="492">
        <f>SUMIF('Raw TB 1225'!$B:$B,'TB 1225'!$A183,'Raw TB 1225'!F:F)</f>
        <v>-74603</v>
      </c>
      <c r="F183" s="492">
        <f t="shared" si="4"/>
        <v>-74.602999999999994</v>
      </c>
      <c r="G183" s="502" t="s">
        <v>180</v>
      </c>
      <c r="H183" s="491" t="s">
        <v>68</v>
      </c>
      <c r="I183" s="491"/>
    </row>
    <row r="184" spans="1:9" hidden="1" x14ac:dyDescent="0.35">
      <c r="A184" s="491" t="s">
        <v>1607</v>
      </c>
      <c r="B184" s="492">
        <f>SUMIF('Raw TB 1225'!$B:$B,'TB 1225'!$A184,'Raw TB 1225'!C:C)</f>
        <v>0</v>
      </c>
      <c r="C184" s="492">
        <f>SUMIF('Raw TB 1225'!$B:$B,'TB 1225'!$A184,'Raw TB 1225'!D:D)</f>
        <v>4000</v>
      </c>
      <c r="D184" s="492">
        <f>SUMIF('Raw TB 1225'!$B:$B,'TB 1225'!$A184,'Raw TB 1225'!E:E)</f>
        <v>0</v>
      </c>
      <c r="E184" s="492">
        <f>SUMIF('Raw TB 1225'!$B:$B,'TB 1225'!$A184,'Raw TB 1225'!F:F)</f>
        <v>4000</v>
      </c>
      <c r="F184" s="492">
        <f t="shared" si="4"/>
        <v>4</v>
      </c>
      <c r="G184" s="502" t="s">
        <v>182</v>
      </c>
      <c r="H184" s="491" t="s">
        <v>43</v>
      </c>
      <c r="I184" s="491"/>
    </row>
    <row r="185" spans="1:9" hidden="1" x14ac:dyDescent="0.35">
      <c r="A185" s="491" t="s">
        <v>1608</v>
      </c>
      <c r="B185" s="492">
        <f>SUMIF('Raw TB 1225'!$B:$B,'TB 1225'!$A185,'Raw TB 1225'!C:C)</f>
        <v>0</v>
      </c>
      <c r="C185" s="492">
        <f>SUMIF('Raw TB 1225'!$B:$B,'TB 1225'!$A185,'Raw TB 1225'!D:D)</f>
        <v>18364508.170000002</v>
      </c>
      <c r="D185" s="492">
        <f>SUMIF('Raw TB 1225'!$B:$B,'TB 1225'!$A185,'Raw TB 1225'!E:E)</f>
        <v>5359992</v>
      </c>
      <c r="E185" s="492">
        <f>SUMIF('Raw TB 1225'!$B:$B,'TB 1225'!$A185,'Raw TB 1225'!F:F)</f>
        <v>13004516.17</v>
      </c>
      <c r="F185" s="492">
        <f t="shared" si="4"/>
        <v>13004.516170000001</v>
      </c>
      <c r="G185" s="502" t="s">
        <v>182</v>
      </c>
      <c r="H185" s="491" t="s">
        <v>37</v>
      </c>
      <c r="I185" s="491"/>
    </row>
    <row r="186" spans="1:9" hidden="1" x14ac:dyDescent="0.35">
      <c r="A186" s="491" t="s">
        <v>1609</v>
      </c>
      <c r="B186" s="492">
        <f>SUMIF('Raw TB 1225'!$B:$B,'TB 1225'!$A186,'Raw TB 1225'!C:C)</f>
        <v>0</v>
      </c>
      <c r="C186" s="492">
        <f>SUMIF('Raw TB 1225'!$B:$B,'TB 1225'!$A186,'Raw TB 1225'!D:D)</f>
        <v>25810216.66</v>
      </c>
      <c r="D186" s="492">
        <f>SUMIF('Raw TB 1225'!$B:$B,'TB 1225'!$A186,'Raw TB 1225'!E:E)</f>
        <v>17205717</v>
      </c>
      <c r="E186" s="492">
        <f>SUMIF('Raw TB 1225'!$B:$B,'TB 1225'!$A186,'Raw TB 1225'!F:F)</f>
        <v>8604499.6600000001</v>
      </c>
      <c r="F186" s="492">
        <f t="shared" si="4"/>
        <v>8604.4996599999995</v>
      </c>
      <c r="G186" s="502" t="s">
        <v>182</v>
      </c>
      <c r="H186" s="491" t="s">
        <v>38</v>
      </c>
      <c r="I186" s="491"/>
    </row>
    <row r="187" spans="1:9" hidden="1" x14ac:dyDescent="0.35">
      <c r="A187" s="491" t="s">
        <v>1610</v>
      </c>
      <c r="B187" s="492">
        <f>SUMIF('Raw TB 1225'!$B:$B,'TB 1225'!$A187,'Raw TB 1225'!C:C)</f>
        <v>0</v>
      </c>
      <c r="C187" s="492">
        <f>SUMIF('Raw TB 1225'!$B:$B,'TB 1225'!$A187,'Raw TB 1225'!D:D)</f>
        <v>51660</v>
      </c>
      <c r="D187" s="492">
        <f>SUMIF('Raw TB 1225'!$B:$B,'TB 1225'!$A187,'Raw TB 1225'!E:E)</f>
        <v>28660</v>
      </c>
      <c r="E187" s="492">
        <f>SUMIF('Raw TB 1225'!$B:$B,'TB 1225'!$A187,'Raw TB 1225'!F:F)</f>
        <v>23000</v>
      </c>
      <c r="F187" s="492">
        <f t="shared" si="4"/>
        <v>23</v>
      </c>
      <c r="G187" s="502" t="s">
        <v>182</v>
      </c>
      <c r="H187" s="491" t="s">
        <v>34</v>
      </c>
      <c r="I187" s="491"/>
    </row>
    <row r="188" spans="1:9" hidden="1" x14ac:dyDescent="0.35">
      <c r="A188" s="491" t="s">
        <v>1611</v>
      </c>
      <c r="B188" s="492">
        <f>SUMIF('Raw TB 1225'!$B:$B,'TB 1225'!$A188,'Raw TB 1225'!C:C)</f>
        <v>0</v>
      </c>
      <c r="C188" s="492">
        <f>SUMIF('Raw TB 1225'!$B:$B,'TB 1225'!$A188,'Raw TB 1225'!D:D)</f>
        <v>0</v>
      </c>
      <c r="D188" s="492">
        <f>SUMIF('Raw TB 1225'!$B:$B,'TB 1225'!$A188,'Raw TB 1225'!E:E)</f>
        <v>0</v>
      </c>
      <c r="E188" s="492">
        <f>SUMIF('Raw TB 1225'!$B:$B,'TB 1225'!$A188,'Raw TB 1225'!F:F)</f>
        <v>0</v>
      </c>
      <c r="F188" s="492">
        <f t="shared" si="4"/>
        <v>0</v>
      </c>
      <c r="G188" s="502" t="s">
        <v>182</v>
      </c>
      <c r="H188" s="491" t="s">
        <v>41</v>
      </c>
      <c r="I188" s="491"/>
    </row>
    <row r="189" spans="1:9" hidden="1" x14ac:dyDescent="0.35">
      <c r="A189" s="491" t="s">
        <v>1261</v>
      </c>
      <c r="B189" s="492">
        <f>SUMIF('Raw TB 1225'!$B:$B,'TB 1225'!$A189,'Raw TB 1225'!C:C)</f>
        <v>0</v>
      </c>
      <c r="C189" s="492">
        <f>SUMIF('Raw TB 1225'!$B:$B,'TB 1225'!$A189,'Raw TB 1225'!D:D)</f>
        <v>18625</v>
      </c>
      <c r="D189" s="492">
        <f>SUMIF('Raw TB 1225'!$B:$B,'TB 1225'!$A189,'Raw TB 1225'!E:E)</f>
        <v>0</v>
      </c>
      <c r="E189" s="492">
        <f>SUMIF('Raw TB 1225'!$B:$B,'TB 1225'!$A189,'Raw TB 1225'!F:F)</f>
        <v>18625</v>
      </c>
      <c r="F189" s="492">
        <f t="shared" si="4"/>
        <v>18.625</v>
      </c>
      <c r="G189" s="502" t="s">
        <v>182</v>
      </c>
      <c r="H189" s="491" t="s">
        <v>417</v>
      </c>
      <c r="I189" s="491"/>
    </row>
    <row r="190" spans="1:9" hidden="1" x14ac:dyDescent="0.35">
      <c r="A190" s="491" t="s">
        <v>1612</v>
      </c>
      <c r="B190" s="492">
        <f>SUMIF('Raw TB 1225'!$B:$B,'TB 1225'!$A190,'Raw TB 1225'!C:C)</f>
        <v>0</v>
      </c>
      <c r="C190" s="492">
        <f>SUMIF('Raw TB 1225'!$B:$B,'TB 1225'!$A190,'Raw TB 1225'!D:D)</f>
        <v>1010260.67</v>
      </c>
      <c r="D190" s="492">
        <f>SUMIF('Raw TB 1225'!$B:$B,'TB 1225'!$A190,'Raw TB 1225'!E:E)</f>
        <v>110000</v>
      </c>
      <c r="E190" s="492">
        <f>SUMIF('Raw TB 1225'!$B:$B,'TB 1225'!$A190,'Raw TB 1225'!F:F)</f>
        <v>900260.67</v>
      </c>
      <c r="F190" s="492">
        <f t="shared" si="4"/>
        <v>900.26067</v>
      </c>
      <c r="G190" s="502" t="s">
        <v>182</v>
      </c>
      <c r="H190" s="491" t="s">
        <v>37</v>
      </c>
      <c r="I190" s="491"/>
    </row>
    <row r="191" spans="1:9" hidden="1" x14ac:dyDescent="0.35">
      <c r="A191" s="491" t="s">
        <v>1613</v>
      </c>
      <c r="B191" s="492">
        <f>SUMIF('Raw TB 1225'!$B:$B,'TB 1225'!$A191,'Raw TB 1225'!C:C)</f>
        <v>0</v>
      </c>
      <c r="C191" s="492">
        <f>SUMIF('Raw TB 1225'!$B:$B,'TB 1225'!$A191,'Raw TB 1225'!D:D)</f>
        <v>250000</v>
      </c>
      <c r="D191" s="492">
        <f>SUMIF('Raw TB 1225'!$B:$B,'TB 1225'!$A191,'Raw TB 1225'!E:E)</f>
        <v>0</v>
      </c>
      <c r="E191" s="492">
        <f>SUMIF('Raw TB 1225'!$B:$B,'TB 1225'!$A191,'Raw TB 1225'!F:F)</f>
        <v>250000</v>
      </c>
      <c r="F191" s="492">
        <f t="shared" si="4"/>
        <v>250</v>
      </c>
      <c r="G191" s="502" t="s">
        <v>182</v>
      </c>
      <c r="H191" s="491" t="s">
        <v>37</v>
      </c>
      <c r="I191" s="491"/>
    </row>
    <row r="192" spans="1:9" hidden="1" x14ac:dyDescent="0.35">
      <c r="A192" s="491" t="s">
        <v>1617</v>
      </c>
      <c r="B192" s="492">
        <v>0</v>
      </c>
      <c r="C192" s="492">
        <v>90000</v>
      </c>
      <c r="D192" s="492">
        <v>0</v>
      </c>
      <c r="E192" s="492">
        <v>90000</v>
      </c>
      <c r="F192" s="492">
        <f t="shared" si="4"/>
        <v>90</v>
      </c>
      <c r="G192" s="502" t="s">
        <v>181</v>
      </c>
      <c r="H192" s="491" t="s">
        <v>78</v>
      </c>
      <c r="I192" s="491"/>
    </row>
    <row r="193" spans="1:9" hidden="1" x14ac:dyDescent="0.35">
      <c r="A193" s="491" t="s">
        <v>1619</v>
      </c>
      <c r="B193" s="492">
        <v>0</v>
      </c>
      <c r="C193" s="492">
        <v>3240.28</v>
      </c>
      <c r="D193" s="492">
        <v>0</v>
      </c>
      <c r="E193" s="492">
        <v>3240.28</v>
      </c>
      <c r="F193" s="492">
        <f t="shared" si="4"/>
        <v>3.2402800000000003</v>
      </c>
      <c r="G193" s="502" t="s">
        <v>182</v>
      </c>
      <c r="H193" s="491" t="s">
        <v>29</v>
      </c>
      <c r="I193" s="491"/>
    </row>
    <row r="195" spans="1:9" x14ac:dyDescent="0.35">
      <c r="E195" s="206"/>
    </row>
  </sheetData>
  <autoFilter ref="A2:M193" xr:uid="{738591FE-2BE1-40B1-99BD-BBBCE0122885}">
    <filterColumn colId="7">
      <filters>
        <filter val="Trade Receivables"/>
      </filters>
    </filterColumn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FEED-CFDF-40B6-9E94-1069E99FA6A2}">
  <dimension ref="A1:V178"/>
  <sheetViews>
    <sheetView showGridLines="0" workbookViewId="0">
      <selection activeCell="B1" sqref="B1"/>
    </sheetView>
  </sheetViews>
  <sheetFormatPr defaultColWidth="8.90625" defaultRowHeight="14.5" x14ac:dyDescent="0.35"/>
  <cols>
    <col min="1" max="1" width="41.26953125" style="23" bestFit="1" customWidth="1"/>
    <col min="2" max="2" width="17" style="23" bestFit="1" customWidth="1"/>
    <col min="3" max="4" width="17.26953125" style="23" bestFit="1" customWidth="1"/>
    <col min="5" max="5" width="17" style="23" bestFit="1" customWidth="1"/>
    <col min="6" max="6" width="13.08984375" style="23" bestFit="1" customWidth="1"/>
    <col min="7" max="7" width="4.81640625" style="23" bestFit="1" customWidth="1"/>
    <col min="8" max="8" width="39.1796875" style="23" bestFit="1" customWidth="1"/>
    <col min="9" max="9" width="18.90625" style="23" bestFit="1" customWidth="1"/>
    <col min="10" max="10" width="14.08984375" style="23" bestFit="1" customWidth="1"/>
    <col min="11" max="11" width="21.7265625" style="23" bestFit="1" customWidth="1"/>
    <col min="12" max="12" width="14.1796875" style="23" bestFit="1" customWidth="1"/>
    <col min="13" max="13" width="10" style="23" bestFit="1" customWidth="1"/>
    <col min="14" max="14" width="8.90625" style="23"/>
    <col min="15" max="15" width="13.453125" style="23" bestFit="1" customWidth="1"/>
    <col min="16" max="16" width="10.6328125" style="23" bestFit="1" customWidth="1"/>
    <col min="17" max="17" width="8.90625" style="23"/>
    <col min="18" max="18" width="19.81640625" style="23" bestFit="1" customWidth="1"/>
    <col min="19" max="19" width="10.6328125" style="23" bestFit="1" customWidth="1"/>
    <col min="20" max="20" width="8.90625" style="23"/>
    <col min="21" max="21" width="13.90625" style="23" bestFit="1" customWidth="1"/>
    <col min="22" max="22" width="9.90625" style="23" bestFit="1" customWidth="1"/>
    <col min="23" max="16384" width="8.90625" style="23"/>
  </cols>
  <sheetData>
    <row r="1" spans="1:22" x14ac:dyDescent="0.35">
      <c r="A1" s="24"/>
      <c r="B1" s="24">
        <f>SUBTOTAL(9,B3:B1048576)</f>
        <v>-2.384185791015625E-7</v>
      </c>
      <c r="C1" s="24">
        <f t="shared" ref="C1:F1" si="0">SUBTOTAL(9,C3:C1048576)</f>
        <v>13791679620.330002</v>
      </c>
      <c r="D1" s="24">
        <f t="shared" si="0"/>
        <v>13791679620.330004</v>
      </c>
      <c r="E1" s="24">
        <f t="shared" si="0"/>
        <v>-9.3877315521240234E-7</v>
      </c>
      <c r="F1" s="24">
        <f t="shared" si="0"/>
        <v>1.1041265679523349E-9</v>
      </c>
      <c r="G1" s="24"/>
      <c r="H1" s="24">
        <v>17681218</v>
      </c>
      <c r="I1" s="24">
        <f>-E1+H1</f>
        <v>17681218.000000939</v>
      </c>
      <c r="J1" s="24"/>
      <c r="K1" s="24"/>
      <c r="L1" s="24"/>
      <c r="M1" s="24"/>
    </row>
    <row r="2" spans="1:22" x14ac:dyDescent="0.35">
      <c r="A2" s="490" t="s">
        <v>86</v>
      </c>
      <c r="B2" s="490" t="s">
        <v>9</v>
      </c>
      <c r="C2" s="490" t="s">
        <v>88</v>
      </c>
      <c r="D2" s="490" t="s">
        <v>89</v>
      </c>
      <c r="E2" s="490" t="s">
        <v>11</v>
      </c>
      <c r="F2" s="490" t="s">
        <v>613</v>
      </c>
      <c r="G2" s="501" t="s">
        <v>159</v>
      </c>
      <c r="H2" s="490" t="s">
        <v>612</v>
      </c>
      <c r="I2" s="491"/>
      <c r="K2" s="508" t="s">
        <v>1566</v>
      </c>
      <c r="L2" s="509" t="s">
        <v>186</v>
      </c>
      <c r="M2" s="510" t="s">
        <v>648</v>
      </c>
      <c r="O2" s="482" t="s">
        <v>25</v>
      </c>
      <c r="P2" s="483"/>
      <c r="Q2" s="511"/>
      <c r="R2" s="482" t="s">
        <v>1561</v>
      </c>
      <c r="S2" s="483"/>
      <c r="T2" s="511"/>
      <c r="U2" s="482" t="s">
        <v>1567</v>
      </c>
      <c r="V2" s="512"/>
    </row>
    <row r="3" spans="1:22" x14ac:dyDescent="0.35">
      <c r="A3" s="491" t="s">
        <v>561</v>
      </c>
      <c r="B3" s="492">
        <f>SUMIF('Raw TB 1125'!$B:$B,'TB 1125'!$A3,'Raw TB 1125'!C:C)</f>
        <v>37891105.43</v>
      </c>
      <c r="C3" s="492">
        <f>SUMIF('Raw TB 1125'!$B:$B,'TB 1125'!$A3,'Raw TB 1125'!D:D)</f>
        <v>47811279</v>
      </c>
      <c r="D3" s="492">
        <f>SUMIF('Raw TB 1125'!$B:$B,'TB 1125'!$A3,'Raw TB 1125'!E:E)</f>
        <v>82689067.400000006</v>
      </c>
      <c r="E3" s="492">
        <f>SUMIF('Raw TB 1125'!$B:$B,'TB 1125'!$A3,'Raw TB 1125'!F:F)</f>
        <v>3013317.03</v>
      </c>
      <c r="F3" s="492">
        <f t="shared" ref="F3:F34" si="1">E3/10^3</f>
        <v>3013.3170299999997</v>
      </c>
      <c r="G3" s="502" t="s">
        <v>181</v>
      </c>
      <c r="H3" s="491" t="s">
        <v>77</v>
      </c>
      <c r="I3" s="491"/>
      <c r="K3" s="493" t="s">
        <v>34</v>
      </c>
      <c r="L3" s="498">
        <v>446534</v>
      </c>
      <c r="M3" s="494">
        <f t="shared" ref="M3:M9" si="2">L3/10^3</f>
        <v>446.53399999999999</v>
      </c>
      <c r="O3" s="482" t="s">
        <v>1562</v>
      </c>
      <c r="P3" s="484" t="s">
        <v>186</v>
      </c>
      <c r="Q3" s="513"/>
      <c r="R3" s="482" t="s">
        <v>1562</v>
      </c>
      <c r="S3" s="484" t="s">
        <v>186</v>
      </c>
      <c r="T3" s="513"/>
      <c r="U3" s="482" t="s">
        <v>1562</v>
      </c>
      <c r="V3" s="484" t="s">
        <v>186</v>
      </c>
    </row>
    <row r="4" spans="1:22" x14ac:dyDescent="0.35">
      <c r="A4" s="491" t="s">
        <v>288</v>
      </c>
      <c r="B4" s="492">
        <f>SUMIF('Raw TB 1125'!$B:$B,'TB 1125'!$A4,'Raw TB 1125'!C:C)</f>
        <v>44549174</v>
      </c>
      <c r="C4" s="492">
        <f>SUMIF('Raw TB 1125'!$B:$B,'TB 1125'!$A4,'Raw TB 1125'!D:D)</f>
        <v>60436186</v>
      </c>
      <c r="D4" s="492">
        <f>SUMIF('Raw TB 1125'!$B:$B,'TB 1125'!$A4,'Raw TB 1125'!E:E)</f>
        <v>44549174</v>
      </c>
      <c r="E4" s="492">
        <f>SUMIF('Raw TB 1125'!$B:$B,'TB 1125'!$A4,'Raw TB 1125'!F:F)</f>
        <v>60436186</v>
      </c>
      <c r="F4" s="492">
        <f t="shared" si="1"/>
        <v>60436.186000000002</v>
      </c>
      <c r="G4" s="502" t="s">
        <v>181</v>
      </c>
      <c r="H4" s="491" t="s">
        <v>79</v>
      </c>
      <c r="I4" s="491"/>
      <c r="K4" s="493" t="s">
        <v>1235</v>
      </c>
      <c r="L4" s="498">
        <v>1232905</v>
      </c>
      <c r="M4" s="494">
        <f t="shared" si="2"/>
        <v>1232.905</v>
      </c>
      <c r="O4" s="485" t="s">
        <v>1568</v>
      </c>
      <c r="P4" s="486">
        <v>87295837.159999996</v>
      </c>
      <c r="Q4" s="513"/>
      <c r="R4" s="485" t="s">
        <v>1565</v>
      </c>
      <c r="S4" s="486">
        <v>44501764</v>
      </c>
      <c r="T4" s="513"/>
      <c r="U4" s="485" t="s">
        <v>1569</v>
      </c>
      <c r="V4" s="514">
        <f>S6</f>
        <v>14600979.079999998</v>
      </c>
    </row>
    <row r="5" spans="1:22" x14ac:dyDescent="0.35">
      <c r="A5" s="491" t="s">
        <v>1433</v>
      </c>
      <c r="B5" s="492">
        <f>SUMIF('Raw TB 1125'!$B:$B,'TB 1125'!$A5,'Raw TB 1125'!C:C)</f>
        <v>-1139002.06</v>
      </c>
      <c r="C5" s="492">
        <f>SUMIF('Raw TB 1125'!$B:$B,'TB 1125'!$A5,'Raw TB 1125'!D:D)</f>
        <v>0</v>
      </c>
      <c r="D5" s="492">
        <f>SUMIF('Raw TB 1125'!$B:$B,'TB 1125'!$A5,'Raw TB 1125'!E:E)</f>
        <v>343755.54</v>
      </c>
      <c r="E5" s="492">
        <f>SUMIF('Raw TB 1125'!$B:$B,'TB 1125'!$A5,'Raw TB 1125'!F:F)</f>
        <v>-1482757.6</v>
      </c>
      <c r="F5" s="492">
        <f t="shared" si="1"/>
        <v>-1482.7576000000001</v>
      </c>
      <c r="G5" s="502" t="s">
        <v>181</v>
      </c>
      <c r="H5" s="491" t="s">
        <v>71</v>
      </c>
      <c r="I5" s="491"/>
      <c r="K5" s="493" t="s">
        <v>1290</v>
      </c>
      <c r="L5" s="498">
        <v>1015781</v>
      </c>
      <c r="M5" s="494">
        <f t="shared" si="2"/>
        <v>1015.7809999999999</v>
      </c>
      <c r="O5" s="485" t="s">
        <v>27</v>
      </c>
      <c r="P5" s="486">
        <v>3640693.4327012878</v>
      </c>
      <c r="Q5" s="513"/>
      <c r="R5" s="485" t="s">
        <v>1563</v>
      </c>
      <c r="S5" s="486">
        <v>29900784.920000002</v>
      </c>
      <c r="T5" s="513"/>
      <c r="U5" s="485" t="s">
        <v>1570</v>
      </c>
      <c r="V5" s="514">
        <f>-P6</f>
        <v>-6311058</v>
      </c>
    </row>
    <row r="6" spans="1:22" x14ac:dyDescent="0.35">
      <c r="A6" s="491" t="s">
        <v>562</v>
      </c>
      <c r="B6" s="492">
        <f>SUMIF('Raw TB 1125'!$B:$B,'TB 1125'!$A6,'Raw TB 1125'!C:C)</f>
        <v>-2065810.3</v>
      </c>
      <c r="C6" s="492">
        <f>SUMIF('Raw TB 1125'!$B:$B,'TB 1125'!$A6,'Raw TB 1125'!D:D)</f>
        <v>0</v>
      </c>
      <c r="D6" s="492">
        <f>SUMIF('Raw TB 1125'!$B:$B,'TB 1125'!$A6,'Raw TB 1125'!E:E)</f>
        <v>634271.44999999995</v>
      </c>
      <c r="E6" s="492">
        <f>SUMIF('Raw TB 1125'!$B:$B,'TB 1125'!$A6,'Raw TB 1125'!F:F)</f>
        <v>-2700081.75</v>
      </c>
      <c r="F6" s="492">
        <f t="shared" si="1"/>
        <v>-2700.0817499999998</v>
      </c>
      <c r="G6" s="502" t="s">
        <v>181</v>
      </c>
      <c r="H6" s="491" t="s">
        <v>71</v>
      </c>
      <c r="I6" s="491"/>
      <c r="K6" s="493" t="s">
        <v>31</v>
      </c>
      <c r="L6" s="498">
        <v>647233</v>
      </c>
      <c r="M6" s="494">
        <f t="shared" si="2"/>
        <v>647.23299999999995</v>
      </c>
      <c r="O6" s="485" t="s">
        <v>1571</v>
      </c>
      <c r="P6" s="486">
        <v>6311058</v>
      </c>
      <c r="Q6" s="513"/>
      <c r="R6" s="485" t="s">
        <v>1574</v>
      </c>
      <c r="S6" s="486">
        <f>S4-S5</f>
        <v>14600979.079999998</v>
      </c>
      <c r="T6" s="513"/>
      <c r="U6" s="485" t="s">
        <v>1572</v>
      </c>
      <c r="V6" s="515"/>
    </row>
    <row r="7" spans="1:22" x14ac:dyDescent="0.35">
      <c r="A7" s="491" t="s">
        <v>772</v>
      </c>
      <c r="B7" s="492">
        <f>SUMIF('Raw TB 1125'!$B:$B,'TB 1125'!$A7,'Raw TB 1125'!C:C)</f>
        <v>-87026.18</v>
      </c>
      <c r="C7" s="492">
        <f>SUMIF('Raw TB 1125'!$B:$B,'TB 1125'!$A7,'Raw TB 1125'!D:D)</f>
        <v>0</v>
      </c>
      <c r="D7" s="492">
        <f>SUMIF('Raw TB 1125'!$B:$B,'TB 1125'!$A7,'Raw TB 1125'!E:E)</f>
        <v>11003.51</v>
      </c>
      <c r="E7" s="492">
        <f>SUMIF('Raw TB 1125'!$B:$B,'TB 1125'!$A7,'Raw TB 1125'!F:F)</f>
        <v>-98029.69</v>
      </c>
      <c r="F7" s="492">
        <f t="shared" si="1"/>
        <v>-98.029690000000002</v>
      </c>
      <c r="G7" s="502" t="s">
        <v>181</v>
      </c>
      <c r="H7" s="491" t="s">
        <v>71</v>
      </c>
      <c r="I7" s="491"/>
      <c r="K7" s="493" t="s">
        <v>417</v>
      </c>
      <c r="L7" s="498">
        <f>32072446+238409.47</f>
        <v>32310855.469999999</v>
      </c>
      <c r="M7" s="494">
        <f t="shared" si="2"/>
        <v>32310.855469999999</v>
      </c>
      <c r="O7" s="487"/>
      <c r="P7" s="518"/>
      <c r="Q7" s="515"/>
      <c r="R7" s="519" t="s">
        <v>1564</v>
      </c>
      <c r="S7" s="518">
        <f>S4-S5-S6</f>
        <v>0</v>
      </c>
      <c r="T7" s="485"/>
      <c r="U7" s="519" t="s">
        <v>277</v>
      </c>
      <c r="V7" s="516">
        <f>SUM(V4:V6)</f>
        <v>8289921.0799999982</v>
      </c>
    </row>
    <row r="8" spans="1:22" x14ac:dyDescent="0.35">
      <c r="A8" s="491" t="s">
        <v>198</v>
      </c>
      <c r="B8" s="492">
        <f>SUMIF('Raw TB 1125'!$B:$B,'TB 1125'!$A8,'Raw TB 1125'!C:C)</f>
        <v>-99018.23</v>
      </c>
      <c r="C8" s="492">
        <f>SUMIF('Raw TB 1125'!$B:$B,'TB 1125'!$A8,'Raw TB 1125'!D:D)</f>
        <v>0</v>
      </c>
      <c r="D8" s="492">
        <f>SUMIF('Raw TB 1125'!$B:$B,'TB 1125'!$A8,'Raw TB 1125'!E:E)</f>
        <v>17804.240000000002</v>
      </c>
      <c r="E8" s="492">
        <f>SUMIF('Raw TB 1125'!$B:$B,'TB 1125'!$A8,'Raw TB 1125'!F:F)</f>
        <v>-116822.47</v>
      </c>
      <c r="F8" s="492">
        <f t="shared" si="1"/>
        <v>-116.82247</v>
      </c>
      <c r="G8" s="502" t="s">
        <v>181</v>
      </c>
      <c r="H8" s="491" t="s">
        <v>71</v>
      </c>
      <c r="I8" s="491"/>
      <c r="K8" s="493" t="s">
        <v>1291</v>
      </c>
      <c r="L8" s="498">
        <v>773017</v>
      </c>
      <c r="M8" s="494">
        <f t="shared" si="2"/>
        <v>773.01700000000005</v>
      </c>
      <c r="O8" s="488" t="s">
        <v>1573</v>
      </c>
      <c r="P8" s="489">
        <f>P4+P5-P6</f>
        <v>84625472.592701286</v>
      </c>
      <c r="Q8" s="511"/>
      <c r="R8" s="488" t="s">
        <v>1563</v>
      </c>
      <c r="S8" s="489">
        <v>29900784.920000002</v>
      </c>
      <c r="T8" s="511"/>
      <c r="U8" s="488" t="s">
        <v>1567</v>
      </c>
      <c r="V8" s="517">
        <f>V7</f>
        <v>8289921.0799999982</v>
      </c>
    </row>
    <row r="9" spans="1:22" x14ac:dyDescent="0.35">
      <c r="A9" s="491" t="s">
        <v>967</v>
      </c>
      <c r="B9" s="492">
        <f>SUMIF('Raw TB 1125'!$B:$B,'TB 1125'!$A9,'Raw TB 1125'!C:C)</f>
        <v>8263651.8200000003</v>
      </c>
      <c r="C9" s="492">
        <f>SUMIF('Raw TB 1125'!$B:$B,'TB 1125'!$A9,'Raw TB 1125'!D:D)</f>
        <v>839774.54</v>
      </c>
      <c r="D9" s="492">
        <f>SUMIF('Raw TB 1125'!$B:$B,'TB 1125'!$A9,'Raw TB 1125'!E:E)</f>
        <v>347360</v>
      </c>
      <c r="E9" s="492">
        <f>SUMIF('Raw TB 1125'!$B:$B,'TB 1125'!$A9,'Raw TB 1125'!F:F)</f>
        <v>8756066.3599999994</v>
      </c>
      <c r="F9" s="492">
        <f t="shared" si="1"/>
        <v>8756.0663599999989</v>
      </c>
      <c r="G9" s="502" t="s">
        <v>181</v>
      </c>
      <c r="H9" s="491" t="s">
        <v>79</v>
      </c>
      <c r="I9" s="491"/>
      <c r="K9" s="495" t="s">
        <v>1292</v>
      </c>
      <c r="L9" s="499">
        <v>192568</v>
      </c>
      <c r="M9" s="497">
        <f t="shared" si="2"/>
        <v>192.56800000000001</v>
      </c>
    </row>
    <row r="10" spans="1:22" x14ac:dyDescent="0.35">
      <c r="A10" s="491" t="s">
        <v>365</v>
      </c>
      <c r="B10" s="492">
        <f>SUMIF('Raw TB 1125'!$B:$B,'TB 1125'!$A10,'Raw TB 1125'!C:C)</f>
        <v>305.98</v>
      </c>
      <c r="C10" s="492">
        <f>SUMIF('Raw TB 1125'!$B:$B,'TB 1125'!$A10,'Raw TB 1125'!D:D)</f>
        <v>0</v>
      </c>
      <c r="D10" s="492">
        <f>SUMIF('Raw TB 1125'!$B:$B,'TB 1125'!$A10,'Raw TB 1125'!E:E)</f>
        <v>0</v>
      </c>
      <c r="E10" s="492">
        <f>SUMIF('Raw TB 1125'!$B:$B,'TB 1125'!$A10,'Raw TB 1125'!F:F)</f>
        <v>305.98</v>
      </c>
      <c r="F10" s="492">
        <f t="shared" si="1"/>
        <v>0.30598000000000003</v>
      </c>
      <c r="G10" s="502" t="s">
        <v>181</v>
      </c>
      <c r="H10" s="491" t="s">
        <v>79</v>
      </c>
      <c r="I10" s="491"/>
      <c r="K10" s="495"/>
      <c r="L10" s="500">
        <f>SUM(L3:L9)</f>
        <v>36618893.469999999</v>
      </c>
      <c r="M10" s="496">
        <f>SUM(M3:M9)</f>
        <v>36618.893469999995</v>
      </c>
    </row>
    <row r="11" spans="1:22" x14ac:dyDescent="0.35">
      <c r="A11" s="491" t="s">
        <v>563</v>
      </c>
      <c r="B11" s="492">
        <f>SUMIF('Raw TB 1125'!$B:$B,'TB 1125'!$A11,'Raw TB 1125'!C:C)</f>
        <v>11810.34</v>
      </c>
      <c r="C11" s="492">
        <f>SUMIF('Raw TB 1125'!$B:$B,'TB 1125'!$A11,'Raw TB 1125'!D:D)</f>
        <v>0</v>
      </c>
      <c r="D11" s="492">
        <f>SUMIF('Raw TB 1125'!$B:$B,'TB 1125'!$A11,'Raw TB 1125'!E:E)</f>
        <v>0</v>
      </c>
      <c r="E11" s="492">
        <f>SUMIF('Raw TB 1125'!$B:$B,'TB 1125'!$A11,'Raw TB 1125'!F:F)</f>
        <v>11810.34</v>
      </c>
      <c r="F11" s="492">
        <f t="shared" si="1"/>
        <v>11.81034</v>
      </c>
      <c r="G11" s="502" t="s">
        <v>181</v>
      </c>
      <c r="H11" s="491" t="s">
        <v>78</v>
      </c>
      <c r="I11" s="491"/>
      <c r="L11" s="206">
        <f>L10-E106-E124</f>
        <v>0</v>
      </c>
    </row>
    <row r="12" spans="1:22" x14ac:dyDescent="0.35">
      <c r="A12" s="491" t="s">
        <v>564</v>
      </c>
      <c r="B12" s="492">
        <f>SUMIF('Raw TB 1125'!$B:$B,'TB 1125'!$A12,'Raw TB 1125'!C:C)</f>
        <v>21313987.030000001</v>
      </c>
      <c r="C12" s="492">
        <f>SUMIF('Raw TB 1125'!$B:$B,'TB 1125'!$A12,'Raw TB 1125'!D:D)</f>
        <v>4210884</v>
      </c>
      <c r="D12" s="492">
        <f>SUMIF('Raw TB 1125'!$B:$B,'TB 1125'!$A12,'Raw TB 1125'!E:E)</f>
        <v>0</v>
      </c>
      <c r="E12" s="492">
        <f>SUMIF('Raw TB 1125'!$B:$B,'TB 1125'!$A12,'Raw TB 1125'!F:F)</f>
        <v>25524871.030000001</v>
      </c>
      <c r="F12" s="492">
        <f t="shared" si="1"/>
        <v>25524.871030000002</v>
      </c>
      <c r="G12" s="502" t="s">
        <v>181</v>
      </c>
      <c r="H12" s="491" t="s">
        <v>71</v>
      </c>
      <c r="I12" s="491" t="s">
        <v>1397</v>
      </c>
    </row>
    <row r="13" spans="1:22" x14ac:dyDescent="0.35">
      <c r="A13" s="491" t="s">
        <v>1293</v>
      </c>
      <c r="B13" s="492">
        <f>SUMIF('Raw TB 1125'!$B:$B,'TB 1125'!$A13,'Raw TB 1125'!C:C)</f>
        <v>1489288</v>
      </c>
      <c r="C13" s="492">
        <f>SUMIF('Raw TB 1125'!$B:$B,'TB 1125'!$A13,'Raw TB 1125'!D:D)</f>
        <v>3398794</v>
      </c>
      <c r="D13" s="492">
        <f>SUMIF('Raw TB 1125'!$B:$B,'TB 1125'!$A13,'Raw TB 1125'!E:E)</f>
        <v>1577281.32</v>
      </c>
      <c r="E13" s="492">
        <f>SUMIF('Raw TB 1125'!$B:$B,'TB 1125'!$A13,'Raw TB 1125'!F:F)</f>
        <v>3310800.68</v>
      </c>
      <c r="F13" s="492">
        <f t="shared" si="1"/>
        <v>3310.8006800000003</v>
      </c>
      <c r="G13" s="502" t="s">
        <v>181</v>
      </c>
      <c r="H13" s="491" t="s">
        <v>79</v>
      </c>
      <c r="I13" s="491"/>
    </row>
    <row r="14" spans="1:22" x14ac:dyDescent="0.35">
      <c r="A14" s="491" t="s">
        <v>693</v>
      </c>
      <c r="B14" s="492">
        <f>SUMIF('Raw TB 1125'!$B:$B,'TB 1125'!$A14,'Raw TB 1125'!C:C)</f>
        <v>704611.34</v>
      </c>
      <c r="C14" s="492">
        <f>SUMIF('Raw TB 1125'!$B:$B,'TB 1125'!$A14,'Raw TB 1125'!D:D)</f>
        <v>0</v>
      </c>
      <c r="D14" s="492">
        <f>SUMIF('Raw TB 1125'!$B:$B,'TB 1125'!$A14,'Raw TB 1125'!E:E)</f>
        <v>0</v>
      </c>
      <c r="E14" s="492">
        <f>SUMIF('Raw TB 1125'!$B:$B,'TB 1125'!$A14,'Raw TB 1125'!F:F)</f>
        <v>704611.34</v>
      </c>
      <c r="F14" s="492">
        <f t="shared" si="1"/>
        <v>704.61133999999993</v>
      </c>
      <c r="G14" s="502" t="s">
        <v>181</v>
      </c>
      <c r="H14" s="491" t="s">
        <v>71</v>
      </c>
      <c r="I14" s="491" t="s">
        <v>1397</v>
      </c>
    </row>
    <row r="15" spans="1:22" x14ac:dyDescent="0.35">
      <c r="A15" s="491" t="s">
        <v>714</v>
      </c>
      <c r="B15" s="492">
        <f>SUMIF('Raw TB 1125'!$B:$B,'TB 1125'!$A15,'Raw TB 1125'!C:C)</f>
        <v>72359.7</v>
      </c>
      <c r="C15" s="492">
        <f>SUMIF('Raw TB 1125'!$B:$B,'TB 1125'!$A15,'Raw TB 1125'!D:D)</f>
        <v>551242740</v>
      </c>
      <c r="D15" s="492">
        <f>SUMIF('Raw TB 1125'!$B:$B,'TB 1125'!$A15,'Raw TB 1125'!E:E)</f>
        <v>551070000</v>
      </c>
      <c r="E15" s="492">
        <f>SUMIF('Raw TB 1125'!$B:$B,'TB 1125'!$A15,'Raw TB 1125'!F:F)</f>
        <v>245099.7</v>
      </c>
      <c r="F15" s="492">
        <f t="shared" si="1"/>
        <v>245.09970000000001</v>
      </c>
      <c r="G15" s="502" t="s">
        <v>181</v>
      </c>
      <c r="H15" s="491" t="s">
        <v>78</v>
      </c>
      <c r="I15" s="491"/>
      <c r="L15" s="396"/>
    </row>
    <row r="16" spans="1:22" x14ac:dyDescent="0.35">
      <c r="A16" s="491" t="s">
        <v>715</v>
      </c>
      <c r="B16" s="492">
        <f>SUMIF('Raw TB 1125'!$B:$B,'TB 1125'!$A16,'Raw TB 1125'!C:C)</f>
        <v>400270.09</v>
      </c>
      <c r="C16" s="492">
        <f>SUMIF('Raw TB 1125'!$B:$B,'TB 1125'!$A16,'Raw TB 1125'!D:D)</f>
        <v>1777553</v>
      </c>
      <c r="D16" s="492">
        <f>SUMIF('Raw TB 1125'!$B:$B,'TB 1125'!$A16,'Raw TB 1125'!E:E)</f>
        <v>1728189.74</v>
      </c>
      <c r="E16" s="492">
        <f>SUMIF('Raw TB 1125'!$B:$B,'TB 1125'!$A16,'Raw TB 1125'!F:F)</f>
        <v>449633.35</v>
      </c>
      <c r="F16" s="492">
        <f t="shared" si="1"/>
        <v>449.63334999999995</v>
      </c>
      <c r="G16" s="502" t="s">
        <v>181</v>
      </c>
      <c r="H16" s="491" t="s">
        <v>78</v>
      </c>
      <c r="I16" s="491"/>
      <c r="L16" s="206"/>
    </row>
    <row r="17" spans="1:9" x14ac:dyDescent="0.35">
      <c r="A17" s="491" t="s">
        <v>565</v>
      </c>
      <c r="B17" s="492">
        <f>SUMIF('Raw TB 1125'!$B:$B,'TB 1125'!$A17,'Raw TB 1125'!C:C)</f>
        <v>11231923.109999999</v>
      </c>
      <c r="C17" s="492">
        <f>SUMIF('Raw TB 1125'!$B:$B,'TB 1125'!$A17,'Raw TB 1125'!D:D)</f>
        <v>4509931.8899999997</v>
      </c>
      <c r="D17" s="492">
        <f>SUMIF('Raw TB 1125'!$B:$B,'TB 1125'!$A17,'Raw TB 1125'!E:E)</f>
        <v>8117.75</v>
      </c>
      <c r="E17" s="492">
        <f>SUMIF('Raw TB 1125'!$B:$B,'TB 1125'!$A17,'Raw TB 1125'!F:F)</f>
        <v>15733737.25</v>
      </c>
      <c r="F17" s="492">
        <f t="shared" si="1"/>
        <v>15733.73725</v>
      </c>
      <c r="G17" s="502" t="s">
        <v>181</v>
      </c>
      <c r="H17" s="491" t="s">
        <v>79</v>
      </c>
      <c r="I17" s="491"/>
    </row>
    <row r="18" spans="1:9" x14ac:dyDescent="0.35">
      <c r="A18" s="491" t="s">
        <v>566</v>
      </c>
      <c r="B18" s="492">
        <f>SUMIF('Raw TB 1125'!$B:$B,'TB 1125'!$A18,'Raw TB 1125'!C:C)</f>
        <v>6483602.5599999996</v>
      </c>
      <c r="C18" s="492">
        <f>SUMIF('Raw TB 1125'!$B:$B,'TB 1125'!$A18,'Raw TB 1125'!D:D)</f>
        <v>5521606.9299999997</v>
      </c>
      <c r="D18" s="492">
        <f>SUMIF('Raw TB 1125'!$B:$B,'TB 1125'!$A18,'Raw TB 1125'!E:E)</f>
        <v>1879447.8</v>
      </c>
      <c r="E18" s="492">
        <f>SUMIF('Raw TB 1125'!$B:$B,'TB 1125'!$A18,'Raw TB 1125'!F:F)</f>
        <v>10125761.689999999</v>
      </c>
      <c r="F18" s="492">
        <f t="shared" si="1"/>
        <v>10125.761689999999</v>
      </c>
      <c r="G18" s="502" t="s">
        <v>181</v>
      </c>
      <c r="H18" s="491" t="s">
        <v>79</v>
      </c>
      <c r="I18" s="491"/>
    </row>
    <row r="19" spans="1:9" x14ac:dyDescent="0.35">
      <c r="A19" s="491" t="s">
        <v>567</v>
      </c>
      <c r="B19" s="492">
        <f>SUMIF('Raw TB 1125'!$B:$B,'TB 1125'!$A19,'Raw TB 1125'!C:C)</f>
        <v>11163565.17</v>
      </c>
      <c r="C19" s="492">
        <f>SUMIF('Raw TB 1125'!$B:$B,'TB 1125'!$A19,'Raw TB 1125'!D:D)</f>
        <v>4509931.8899999997</v>
      </c>
      <c r="D19" s="492">
        <f>SUMIF('Raw TB 1125'!$B:$B,'TB 1125'!$A19,'Raw TB 1125'!E:E)</f>
        <v>8117.75</v>
      </c>
      <c r="E19" s="492">
        <f>SUMIF('Raw TB 1125'!$B:$B,'TB 1125'!$A19,'Raw TB 1125'!F:F)</f>
        <v>15665379.310000001</v>
      </c>
      <c r="F19" s="492">
        <f t="shared" si="1"/>
        <v>15665.37931</v>
      </c>
      <c r="G19" s="502" t="s">
        <v>181</v>
      </c>
      <c r="H19" s="491" t="s">
        <v>79</v>
      </c>
      <c r="I19" s="491"/>
    </row>
    <row r="20" spans="1:9" x14ac:dyDescent="0.35">
      <c r="A20" s="491" t="s">
        <v>1352</v>
      </c>
      <c r="B20" s="492">
        <f>SUMIF('Raw TB 1125'!$B:$B,'TB 1125'!$A20,'Raw TB 1125'!C:C)</f>
        <v>0</v>
      </c>
      <c r="C20" s="492">
        <f>SUMIF('Raw TB 1125'!$B:$B,'TB 1125'!$A20,'Raw TB 1125'!D:D)</f>
        <v>59997000.149999999</v>
      </c>
      <c r="D20" s="492">
        <f>SUMIF('Raw TB 1125'!$B:$B,'TB 1125'!$A20,'Raw TB 1125'!E:E)</f>
        <v>0</v>
      </c>
      <c r="E20" s="492">
        <f>SUMIF('Raw TB 1125'!$B:$B,'TB 1125'!$A20,'Raw TB 1125'!F:F)</f>
        <v>59997000.149999999</v>
      </c>
      <c r="F20" s="492">
        <f t="shared" si="1"/>
        <v>59997.00015</v>
      </c>
      <c r="G20" s="502" t="s">
        <v>181</v>
      </c>
      <c r="H20" s="491" t="s">
        <v>76</v>
      </c>
      <c r="I20" s="491"/>
    </row>
    <row r="21" spans="1:9" x14ac:dyDescent="0.35">
      <c r="A21" s="491" t="s">
        <v>1239</v>
      </c>
      <c r="B21" s="492">
        <f>SUMIF('Raw TB 1125'!$B:$B,'TB 1125'!$A21,'Raw TB 1125'!C:C)</f>
        <v>50000000</v>
      </c>
      <c r="C21" s="492">
        <f>SUMIF('Raw TB 1125'!$B:$B,'TB 1125'!$A21,'Raw TB 1125'!D:D)</f>
        <v>0</v>
      </c>
      <c r="D21" s="492">
        <f>SUMIF('Raw TB 1125'!$B:$B,'TB 1125'!$A21,'Raw TB 1125'!E:E)</f>
        <v>50000000</v>
      </c>
      <c r="E21" s="492">
        <f>SUMIF('Raw TB 1125'!$B:$B,'TB 1125'!$A21,'Raw TB 1125'!F:F)</f>
        <v>0</v>
      </c>
      <c r="F21" s="492">
        <f t="shared" si="1"/>
        <v>0</v>
      </c>
      <c r="G21" s="502" t="s">
        <v>181</v>
      </c>
      <c r="H21" s="491" t="s">
        <v>76</v>
      </c>
      <c r="I21" s="491"/>
    </row>
    <row r="22" spans="1:9" x14ac:dyDescent="0.35">
      <c r="A22" s="491" t="s">
        <v>1240</v>
      </c>
      <c r="B22" s="492">
        <f>SUMIF('Raw TB 1125'!$B:$B,'TB 1125'!$A22,'Raw TB 1125'!C:C)</f>
        <v>100000000</v>
      </c>
      <c r="C22" s="492">
        <f>SUMIF('Raw TB 1125'!$B:$B,'TB 1125'!$A22,'Raw TB 1125'!D:D)</f>
        <v>0</v>
      </c>
      <c r="D22" s="492">
        <f>SUMIF('Raw TB 1125'!$B:$B,'TB 1125'!$A22,'Raw TB 1125'!E:E)</f>
        <v>0</v>
      </c>
      <c r="E22" s="492">
        <f>SUMIF('Raw TB 1125'!$B:$B,'TB 1125'!$A22,'Raw TB 1125'!F:F)</f>
        <v>100000000</v>
      </c>
      <c r="F22" s="492">
        <f t="shared" si="1"/>
        <v>100000</v>
      </c>
      <c r="G22" s="502" t="s">
        <v>181</v>
      </c>
      <c r="H22" s="491" t="s">
        <v>76</v>
      </c>
      <c r="I22" s="491"/>
    </row>
    <row r="23" spans="1:9" x14ac:dyDescent="0.35">
      <c r="A23" s="491" t="s">
        <v>1241</v>
      </c>
      <c r="B23" s="492">
        <f>SUMIF('Raw TB 1125'!$B:$B,'TB 1125'!$A23,'Raw TB 1125'!C:C)</f>
        <v>150000000</v>
      </c>
      <c r="C23" s="492">
        <f>SUMIF('Raw TB 1125'!$B:$B,'TB 1125'!$A23,'Raw TB 1125'!D:D)</f>
        <v>0</v>
      </c>
      <c r="D23" s="492">
        <f>SUMIF('Raw TB 1125'!$B:$B,'TB 1125'!$A23,'Raw TB 1125'!E:E)</f>
        <v>0</v>
      </c>
      <c r="E23" s="492">
        <f>SUMIF('Raw TB 1125'!$B:$B,'TB 1125'!$A23,'Raw TB 1125'!F:F)</f>
        <v>150000000</v>
      </c>
      <c r="F23" s="492">
        <f t="shared" si="1"/>
        <v>150000</v>
      </c>
      <c r="G23" s="502" t="s">
        <v>181</v>
      </c>
      <c r="H23" s="491" t="s">
        <v>76</v>
      </c>
      <c r="I23" s="491"/>
    </row>
    <row r="24" spans="1:9" x14ac:dyDescent="0.35">
      <c r="A24" s="491" t="s">
        <v>1242</v>
      </c>
      <c r="B24" s="492">
        <f>SUMIF('Raw TB 1125'!$B:$B,'TB 1125'!$A24,'Raw TB 1125'!C:C)</f>
        <v>300000000</v>
      </c>
      <c r="C24" s="492">
        <f>SUMIF('Raw TB 1125'!$B:$B,'TB 1125'!$A24,'Raw TB 1125'!D:D)</f>
        <v>0</v>
      </c>
      <c r="D24" s="492">
        <f>SUMIF('Raw TB 1125'!$B:$B,'TB 1125'!$A24,'Raw TB 1125'!E:E)</f>
        <v>0</v>
      </c>
      <c r="E24" s="492">
        <f>SUMIF('Raw TB 1125'!$B:$B,'TB 1125'!$A24,'Raw TB 1125'!F:F)</f>
        <v>300000000</v>
      </c>
      <c r="F24" s="492">
        <f t="shared" si="1"/>
        <v>300000</v>
      </c>
      <c r="G24" s="502" t="s">
        <v>181</v>
      </c>
      <c r="H24" s="491" t="s">
        <v>76</v>
      </c>
      <c r="I24" s="491"/>
    </row>
    <row r="25" spans="1:9" x14ac:dyDescent="0.35">
      <c r="A25" s="491" t="s">
        <v>1243</v>
      </c>
      <c r="B25" s="492">
        <f>SUMIF('Raw TB 1125'!$B:$B,'TB 1125'!$A25,'Raw TB 1125'!C:C)</f>
        <v>100000000</v>
      </c>
      <c r="C25" s="492">
        <f>SUMIF('Raw TB 1125'!$B:$B,'TB 1125'!$A25,'Raw TB 1125'!D:D)</f>
        <v>0</v>
      </c>
      <c r="D25" s="492">
        <f>SUMIF('Raw TB 1125'!$B:$B,'TB 1125'!$A25,'Raw TB 1125'!E:E)</f>
        <v>0</v>
      </c>
      <c r="E25" s="492">
        <f>SUMIF('Raw TB 1125'!$B:$B,'TB 1125'!$A25,'Raw TB 1125'!F:F)</f>
        <v>100000000</v>
      </c>
      <c r="F25" s="492">
        <f t="shared" si="1"/>
        <v>100000</v>
      </c>
      <c r="G25" s="502" t="s">
        <v>181</v>
      </c>
      <c r="H25" s="491" t="s">
        <v>76</v>
      </c>
      <c r="I25" s="491"/>
    </row>
    <row r="26" spans="1:9" x14ac:dyDescent="0.35">
      <c r="A26" s="491" t="s">
        <v>1244</v>
      </c>
      <c r="B26" s="492">
        <f>SUMIF('Raw TB 1125'!$B:$B,'TB 1125'!$A26,'Raw TB 1125'!C:C)</f>
        <v>150000000</v>
      </c>
      <c r="C26" s="492">
        <f>SUMIF('Raw TB 1125'!$B:$B,'TB 1125'!$A26,'Raw TB 1125'!D:D)</f>
        <v>0</v>
      </c>
      <c r="D26" s="492">
        <f>SUMIF('Raw TB 1125'!$B:$B,'TB 1125'!$A26,'Raw TB 1125'!E:E)</f>
        <v>0</v>
      </c>
      <c r="E26" s="492">
        <f>SUMIF('Raw TB 1125'!$B:$B,'TB 1125'!$A26,'Raw TB 1125'!F:F)</f>
        <v>150000000</v>
      </c>
      <c r="F26" s="492">
        <f t="shared" si="1"/>
        <v>150000</v>
      </c>
      <c r="G26" s="502" t="s">
        <v>181</v>
      </c>
      <c r="H26" s="491" t="s">
        <v>76</v>
      </c>
      <c r="I26" s="491"/>
    </row>
    <row r="27" spans="1:9" x14ac:dyDescent="0.35">
      <c r="A27" s="491" t="s">
        <v>1245</v>
      </c>
      <c r="B27" s="492">
        <f>SUMIF('Raw TB 1125'!$B:$B,'TB 1125'!$A27,'Raw TB 1125'!C:C)</f>
        <v>150000000</v>
      </c>
      <c r="C27" s="492">
        <f>SUMIF('Raw TB 1125'!$B:$B,'TB 1125'!$A27,'Raw TB 1125'!D:D)</f>
        <v>0</v>
      </c>
      <c r="D27" s="492">
        <f>SUMIF('Raw TB 1125'!$B:$B,'TB 1125'!$A27,'Raw TB 1125'!E:E)</f>
        <v>0</v>
      </c>
      <c r="E27" s="492">
        <f>SUMIF('Raw TB 1125'!$B:$B,'TB 1125'!$A27,'Raw TB 1125'!F:F)</f>
        <v>150000000</v>
      </c>
      <c r="F27" s="492">
        <f t="shared" si="1"/>
        <v>150000</v>
      </c>
      <c r="G27" s="502" t="s">
        <v>181</v>
      </c>
      <c r="H27" s="491" t="s">
        <v>76</v>
      </c>
      <c r="I27" s="491"/>
    </row>
    <row r="28" spans="1:9" x14ac:dyDescent="0.35">
      <c r="A28" s="491" t="s">
        <v>1246</v>
      </c>
      <c r="B28" s="492">
        <f>SUMIF('Raw TB 1125'!$B:$B,'TB 1125'!$A28,'Raw TB 1125'!C:C)</f>
        <v>180000000</v>
      </c>
      <c r="C28" s="492">
        <f>SUMIF('Raw TB 1125'!$B:$B,'TB 1125'!$A28,'Raw TB 1125'!D:D)</f>
        <v>0</v>
      </c>
      <c r="D28" s="492">
        <f>SUMIF('Raw TB 1125'!$B:$B,'TB 1125'!$A28,'Raw TB 1125'!E:E)</f>
        <v>0</v>
      </c>
      <c r="E28" s="492">
        <f>SUMIF('Raw TB 1125'!$B:$B,'TB 1125'!$A28,'Raw TB 1125'!F:F)</f>
        <v>180000000</v>
      </c>
      <c r="F28" s="492">
        <f t="shared" si="1"/>
        <v>180000</v>
      </c>
      <c r="G28" s="502" t="s">
        <v>181</v>
      </c>
      <c r="H28" s="491" t="s">
        <v>76</v>
      </c>
      <c r="I28" s="491"/>
    </row>
    <row r="29" spans="1:9" x14ac:dyDescent="0.35">
      <c r="A29" s="491" t="s">
        <v>1247</v>
      </c>
      <c r="B29" s="492">
        <f>SUMIF('Raw TB 1125'!$B:$B,'TB 1125'!$A29,'Raw TB 1125'!C:C)</f>
        <v>170000000</v>
      </c>
      <c r="C29" s="492">
        <f>SUMIF('Raw TB 1125'!$B:$B,'TB 1125'!$A29,'Raw TB 1125'!D:D)</f>
        <v>0</v>
      </c>
      <c r="D29" s="492">
        <f>SUMIF('Raw TB 1125'!$B:$B,'TB 1125'!$A29,'Raw TB 1125'!E:E)</f>
        <v>0</v>
      </c>
      <c r="E29" s="492">
        <f>SUMIF('Raw TB 1125'!$B:$B,'TB 1125'!$A29,'Raw TB 1125'!F:F)</f>
        <v>170000000</v>
      </c>
      <c r="F29" s="492">
        <f t="shared" si="1"/>
        <v>170000</v>
      </c>
      <c r="G29" s="502" t="s">
        <v>181</v>
      </c>
      <c r="H29" s="491" t="s">
        <v>76</v>
      </c>
      <c r="I29" s="491"/>
    </row>
    <row r="30" spans="1:9" x14ac:dyDescent="0.35">
      <c r="A30" s="491" t="s">
        <v>1248</v>
      </c>
      <c r="B30" s="492">
        <f>SUMIF('Raw TB 1125'!$B:$B,'TB 1125'!$A30,'Raw TB 1125'!C:C)</f>
        <v>17000000</v>
      </c>
      <c r="C30" s="492">
        <f>SUMIF('Raw TB 1125'!$B:$B,'TB 1125'!$A30,'Raw TB 1125'!D:D)</f>
        <v>0</v>
      </c>
      <c r="D30" s="492">
        <f>SUMIF('Raw TB 1125'!$B:$B,'TB 1125'!$A30,'Raw TB 1125'!E:E)</f>
        <v>0</v>
      </c>
      <c r="E30" s="492">
        <f>SUMIF('Raw TB 1125'!$B:$B,'TB 1125'!$A30,'Raw TB 1125'!F:F)</f>
        <v>17000000</v>
      </c>
      <c r="F30" s="492">
        <f t="shared" si="1"/>
        <v>17000</v>
      </c>
      <c r="G30" s="502" t="s">
        <v>181</v>
      </c>
      <c r="H30" s="491" t="s">
        <v>76</v>
      </c>
      <c r="I30" s="491"/>
    </row>
    <row r="31" spans="1:9" x14ac:dyDescent="0.35">
      <c r="A31" s="491" t="s">
        <v>1249</v>
      </c>
      <c r="B31" s="492">
        <f>SUMIF('Raw TB 1125'!$B:$B,'TB 1125'!$A31,'Raw TB 1125'!C:C)</f>
        <v>250000000</v>
      </c>
      <c r="C31" s="492">
        <f>SUMIF('Raw TB 1125'!$B:$B,'TB 1125'!$A31,'Raw TB 1125'!D:D)</f>
        <v>0</v>
      </c>
      <c r="D31" s="492">
        <f>SUMIF('Raw TB 1125'!$B:$B,'TB 1125'!$A31,'Raw TB 1125'!E:E)</f>
        <v>0</v>
      </c>
      <c r="E31" s="492">
        <f>SUMIF('Raw TB 1125'!$B:$B,'TB 1125'!$A31,'Raw TB 1125'!F:F)</f>
        <v>250000000</v>
      </c>
      <c r="F31" s="492">
        <f t="shared" si="1"/>
        <v>250000</v>
      </c>
      <c r="G31" s="502" t="s">
        <v>181</v>
      </c>
      <c r="H31" s="491" t="s">
        <v>76</v>
      </c>
      <c r="I31" s="491"/>
    </row>
    <row r="32" spans="1:9" x14ac:dyDescent="0.35">
      <c r="A32" s="491" t="s">
        <v>1357</v>
      </c>
      <c r="B32" s="492">
        <f>SUMIF('Raw TB 1125'!$B:$B,'TB 1125'!$A32,'Raw TB 1125'!C:C)</f>
        <v>0</v>
      </c>
      <c r="C32" s="492">
        <f>SUMIF('Raw TB 1125'!$B:$B,'TB 1125'!$A32,'Raw TB 1125'!D:D)</f>
        <v>0</v>
      </c>
      <c r="D32" s="492">
        <f>SUMIF('Raw TB 1125'!$B:$B,'TB 1125'!$A32,'Raw TB 1125'!E:E)</f>
        <v>0</v>
      </c>
      <c r="E32" s="492">
        <f>SUMIF('Raw TB 1125'!$B:$B,'TB 1125'!$A32,'Raw TB 1125'!F:F)</f>
        <v>0</v>
      </c>
      <c r="F32" s="492">
        <f t="shared" si="1"/>
        <v>0</v>
      </c>
      <c r="G32" s="502" t="s">
        <v>181</v>
      </c>
      <c r="H32" s="491" t="s">
        <v>76</v>
      </c>
      <c r="I32" s="491"/>
    </row>
    <row r="33" spans="1:9" x14ac:dyDescent="0.35">
      <c r="A33" s="491" t="s">
        <v>1358</v>
      </c>
      <c r="B33" s="492">
        <f>SUMIF('Raw TB 1125'!$B:$B,'TB 1125'!$A33,'Raw TB 1125'!C:C)</f>
        <v>0</v>
      </c>
      <c r="C33" s="492">
        <f>SUMIF('Raw TB 1125'!$B:$B,'TB 1125'!$A33,'Raw TB 1125'!D:D)</f>
        <v>59997000.149999999</v>
      </c>
      <c r="D33" s="492">
        <f>SUMIF('Raw TB 1125'!$B:$B,'TB 1125'!$A33,'Raw TB 1125'!E:E)</f>
        <v>0</v>
      </c>
      <c r="E33" s="492">
        <f>SUMIF('Raw TB 1125'!$B:$B,'TB 1125'!$A33,'Raw TB 1125'!F:F)</f>
        <v>59997000.149999999</v>
      </c>
      <c r="F33" s="492">
        <f t="shared" si="1"/>
        <v>59997.00015</v>
      </c>
      <c r="G33" s="502" t="s">
        <v>181</v>
      </c>
      <c r="H33" s="491" t="s">
        <v>76</v>
      </c>
      <c r="I33" s="491"/>
    </row>
    <row r="34" spans="1:9" x14ac:dyDescent="0.35">
      <c r="A34" s="491" t="s">
        <v>1360</v>
      </c>
      <c r="B34" s="492">
        <f>SUMIF('Raw TB 1125'!$B:$B,'TB 1125'!$A34,'Raw TB 1125'!C:C)</f>
        <v>0</v>
      </c>
      <c r="C34" s="492">
        <f>SUMIF('Raw TB 1125'!$B:$B,'TB 1125'!$A34,'Raw TB 1125'!D:D)</f>
        <v>0</v>
      </c>
      <c r="D34" s="492">
        <f>SUMIF('Raw TB 1125'!$B:$B,'TB 1125'!$A34,'Raw TB 1125'!E:E)</f>
        <v>0</v>
      </c>
      <c r="E34" s="492">
        <f>SUMIF('Raw TB 1125'!$B:$B,'TB 1125'!$A34,'Raw TB 1125'!F:F)</f>
        <v>0</v>
      </c>
      <c r="F34" s="492">
        <f t="shared" si="1"/>
        <v>0</v>
      </c>
      <c r="G34" s="502" t="s">
        <v>181</v>
      </c>
      <c r="H34" s="491" t="s">
        <v>76</v>
      </c>
      <c r="I34" s="491"/>
    </row>
    <row r="35" spans="1:9" x14ac:dyDescent="0.35">
      <c r="A35" s="491" t="s">
        <v>1362</v>
      </c>
      <c r="B35" s="492">
        <f>SUMIF('Raw TB 1125'!$B:$B,'TB 1125'!$A35,'Raw TB 1125'!C:C)</f>
        <v>33468595.91</v>
      </c>
      <c r="C35" s="492">
        <f>SUMIF('Raw TB 1125'!$B:$B,'TB 1125'!$A35,'Raw TB 1125'!D:D)</f>
        <v>0</v>
      </c>
      <c r="D35" s="492">
        <f>SUMIF('Raw TB 1125'!$B:$B,'TB 1125'!$A35,'Raw TB 1125'!E:E)</f>
        <v>0</v>
      </c>
      <c r="E35" s="492">
        <f>SUMIF('Raw TB 1125'!$B:$B,'TB 1125'!$A35,'Raw TB 1125'!F:F)</f>
        <v>33468595.91</v>
      </c>
      <c r="F35" s="492">
        <f t="shared" ref="F35:F66" si="3">E35/10^3</f>
        <v>33468.595910000004</v>
      </c>
      <c r="G35" s="502" t="s">
        <v>181</v>
      </c>
      <c r="H35" s="491" t="s">
        <v>76</v>
      </c>
      <c r="I35" s="491"/>
    </row>
    <row r="36" spans="1:9" x14ac:dyDescent="0.35">
      <c r="A36" s="491" t="s">
        <v>697</v>
      </c>
      <c r="B36" s="492">
        <f>SUMIF('Raw TB 1125'!$B:$B,'TB 1125'!$A36,'Raw TB 1125'!C:C)</f>
        <v>1300809153</v>
      </c>
      <c r="C36" s="492">
        <f>SUMIF('Raw TB 1125'!$B:$B,'TB 1125'!$A36,'Raw TB 1125'!D:D)</f>
        <v>1353927099</v>
      </c>
      <c r="D36" s="492">
        <f>SUMIF('Raw TB 1125'!$B:$B,'TB 1125'!$A36,'Raw TB 1125'!E:E)</f>
        <v>2654736252</v>
      </c>
      <c r="E36" s="492">
        <f>SUMIF('Raw TB 1125'!$B:$B,'TB 1125'!$A36,'Raw TB 1125'!F:F)</f>
        <v>0</v>
      </c>
      <c r="F36" s="492">
        <f t="shared" si="3"/>
        <v>0</v>
      </c>
      <c r="G36" s="502" t="s">
        <v>181</v>
      </c>
      <c r="H36" s="491" t="s">
        <v>78</v>
      </c>
      <c r="I36" s="491"/>
    </row>
    <row r="37" spans="1:9" x14ac:dyDescent="0.35">
      <c r="A37" s="491" t="s">
        <v>572</v>
      </c>
      <c r="B37" s="492">
        <f>SUMIF('Raw TB 1125'!$B:$B,'TB 1125'!$A37,'Raw TB 1125'!C:C)</f>
        <v>1000000</v>
      </c>
      <c r="C37" s="492">
        <f>SUMIF('Raw TB 1125'!$B:$B,'TB 1125'!$A37,'Raw TB 1125'!D:D)</f>
        <v>3512687718</v>
      </c>
      <c r="D37" s="492">
        <f>SUMIF('Raw TB 1125'!$B:$B,'TB 1125'!$A37,'Raw TB 1125'!E:E)</f>
        <v>3513387718</v>
      </c>
      <c r="E37" s="492">
        <f>SUMIF('Raw TB 1125'!$B:$B,'TB 1125'!$A37,'Raw TB 1125'!F:F)</f>
        <v>300000</v>
      </c>
      <c r="F37" s="492">
        <f t="shared" si="3"/>
        <v>300</v>
      </c>
      <c r="G37" s="502" t="s">
        <v>181</v>
      </c>
      <c r="H37" s="491" t="s">
        <v>78</v>
      </c>
      <c r="I37" s="491"/>
    </row>
    <row r="38" spans="1:9" x14ac:dyDescent="0.35">
      <c r="A38" s="491" t="s">
        <v>573</v>
      </c>
      <c r="B38" s="492">
        <f>SUMIF('Raw TB 1125'!$B:$B,'TB 1125'!$A38,'Raw TB 1125'!C:C)</f>
        <v>29251923.129999999</v>
      </c>
      <c r="C38" s="492">
        <f>SUMIF('Raw TB 1125'!$B:$B,'TB 1125'!$A38,'Raw TB 1125'!D:D)</f>
        <v>677575657.04999995</v>
      </c>
      <c r="D38" s="492">
        <f>SUMIF('Raw TB 1125'!$B:$B,'TB 1125'!$A38,'Raw TB 1125'!E:E)</f>
        <v>706618162.96000004</v>
      </c>
      <c r="E38" s="492">
        <f>SUMIF('Raw TB 1125'!$B:$B,'TB 1125'!$A38,'Raw TB 1125'!F:F)</f>
        <v>209417.22</v>
      </c>
      <c r="F38" s="492">
        <f t="shared" si="3"/>
        <v>209.41722000000001</v>
      </c>
      <c r="G38" s="502" t="s">
        <v>181</v>
      </c>
      <c r="H38" s="491" t="s">
        <v>78</v>
      </c>
      <c r="I38" s="491"/>
    </row>
    <row r="39" spans="1:9" x14ac:dyDescent="0.35">
      <c r="A39" s="491" t="s">
        <v>723</v>
      </c>
      <c r="B39" s="492">
        <f>SUMIF('Raw TB 1125'!$B:$B,'TB 1125'!$A39,'Raw TB 1125'!C:C)</f>
        <v>12860897.199999999</v>
      </c>
      <c r="C39" s="492">
        <f>SUMIF('Raw TB 1125'!$B:$B,'TB 1125'!$A39,'Raw TB 1125'!D:D)</f>
        <v>0</v>
      </c>
      <c r="D39" s="492">
        <f>SUMIF('Raw TB 1125'!$B:$B,'TB 1125'!$A39,'Raw TB 1125'!E:E)</f>
        <v>0</v>
      </c>
      <c r="E39" s="492">
        <f>SUMIF('Raw TB 1125'!$B:$B,'TB 1125'!$A39,'Raw TB 1125'!F:F)</f>
        <v>12860897.199999999</v>
      </c>
      <c r="F39" s="492">
        <f t="shared" si="3"/>
        <v>12860.897199999999</v>
      </c>
      <c r="G39" s="502" t="s">
        <v>181</v>
      </c>
      <c r="H39" s="491" t="s">
        <v>71</v>
      </c>
      <c r="I39" s="491" t="s">
        <v>1397</v>
      </c>
    </row>
    <row r="40" spans="1:9" x14ac:dyDescent="0.35">
      <c r="A40" s="491" t="s">
        <v>231</v>
      </c>
      <c r="B40" s="492">
        <f>SUMIF('Raw TB 1125'!$B:$B,'TB 1125'!$A40,'Raw TB 1125'!C:C)</f>
        <v>520841.58</v>
      </c>
      <c r="C40" s="492">
        <f>SUMIF('Raw TB 1125'!$B:$B,'TB 1125'!$A40,'Raw TB 1125'!D:D)</f>
        <v>169000</v>
      </c>
      <c r="D40" s="492">
        <f>SUMIF('Raw TB 1125'!$B:$B,'TB 1125'!$A40,'Raw TB 1125'!E:E)</f>
        <v>0</v>
      </c>
      <c r="E40" s="492">
        <f>SUMIF('Raw TB 1125'!$B:$B,'TB 1125'!$A40,'Raw TB 1125'!F:F)</f>
        <v>689841.58</v>
      </c>
      <c r="F40" s="492">
        <f t="shared" si="3"/>
        <v>689.84157999999991</v>
      </c>
      <c r="G40" s="502" t="s">
        <v>181</v>
      </c>
      <c r="H40" s="491" t="s">
        <v>71</v>
      </c>
      <c r="I40" s="491" t="s">
        <v>1397</v>
      </c>
    </row>
    <row r="41" spans="1:9" x14ac:dyDescent="0.35">
      <c r="A41" s="491" t="s">
        <v>1297</v>
      </c>
      <c r="B41" s="492">
        <f>SUMIF('Raw TB 1125'!$B:$B,'TB 1125'!$A41,'Raw TB 1125'!C:C)</f>
        <v>1222814</v>
      </c>
      <c r="C41" s="492">
        <f>SUMIF('Raw TB 1125'!$B:$B,'TB 1125'!$A41,'Raw TB 1125'!D:D)</f>
        <v>0</v>
      </c>
      <c r="D41" s="492">
        <f>SUMIF('Raw TB 1125'!$B:$B,'TB 1125'!$A41,'Raw TB 1125'!E:E)</f>
        <v>0</v>
      </c>
      <c r="E41" s="492">
        <f>SUMIF('Raw TB 1125'!$B:$B,'TB 1125'!$A41,'Raw TB 1125'!F:F)</f>
        <v>1222814</v>
      </c>
      <c r="F41" s="492">
        <f t="shared" si="3"/>
        <v>1222.8140000000001</v>
      </c>
      <c r="G41" s="502" t="s">
        <v>181</v>
      </c>
      <c r="H41" s="491" t="s">
        <v>79</v>
      </c>
      <c r="I41" s="491"/>
    </row>
    <row r="42" spans="1:9" x14ac:dyDescent="0.35">
      <c r="A42" s="491" t="s">
        <v>575</v>
      </c>
      <c r="B42" s="492">
        <f>SUMIF('Raw TB 1125'!$B:$B,'TB 1125'!$A42,'Raw TB 1125'!C:C)</f>
        <v>1326433.3500000001</v>
      </c>
      <c r="C42" s="492">
        <f>SUMIF('Raw TB 1125'!$B:$B,'TB 1125'!$A42,'Raw TB 1125'!D:D)</f>
        <v>0</v>
      </c>
      <c r="D42" s="492">
        <f>SUMIF('Raw TB 1125'!$B:$B,'TB 1125'!$A42,'Raw TB 1125'!E:E)</f>
        <v>250391.67</v>
      </c>
      <c r="E42" s="492">
        <f>SUMIF('Raw TB 1125'!$B:$B,'TB 1125'!$A42,'Raw TB 1125'!F:F)</f>
        <v>1076041.68</v>
      </c>
      <c r="F42" s="492">
        <f t="shared" si="3"/>
        <v>1076.04168</v>
      </c>
      <c r="G42" s="502" t="s">
        <v>181</v>
      </c>
      <c r="H42" s="491" t="s">
        <v>79</v>
      </c>
      <c r="I42" s="491"/>
    </row>
    <row r="43" spans="1:9" x14ac:dyDescent="0.35">
      <c r="A43" s="491" t="s">
        <v>376</v>
      </c>
      <c r="B43" s="492">
        <f>SUMIF('Raw TB 1125'!$B:$B,'TB 1125'!$A43,'Raw TB 1125'!C:C)</f>
        <v>45327018.829999998</v>
      </c>
      <c r="C43" s="492">
        <f>SUMIF('Raw TB 1125'!$B:$B,'TB 1125'!$A43,'Raw TB 1125'!D:D)</f>
        <v>10016667.24</v>
      </c>
      <c r="D43" s="492">
        <f>SUMIF('Raw TB 1125'!$B:$B,'TB 1125'!$A43,'Raw TB 1125'!E:E)</f>
        <v>5536023.0499999998</v>
      </c>
      <c r="E43" s="492">
        <f>SUMIF('Raw TB 1125'!$B:$B,'TB 1125'!$A43,'Raw TB 1125'!F:F)</f>
        <v>49807663.020000003</v>
      </c>
      <c r="F43" s="492">
        <f t="shared" si="3"/>
        <v>49807.66302</v>
      </c>
      <c r="G43" s="502" t="s">
        <v>181</v>
      </c>
      <c r="H43" s="491" t="s">
        <v>67</v>
      </c>
      <c r="I43" s="491"/>
    </row>
    <row r="44" spans="1:9" x14ac:dyDescent="0.35">
      <c r="A44" s="491" t="s">
        <v>576</v>
      </c>
      <c r="B44" s="492">
        <f>SUMIF('Raw TB 1125'!$B:$B,'TB 1125'!$A44,'Raw TB 1125'!C:C)</f>
        <v>-37210766.810000002</v>
      </c>
      <c r="C44" s="492">
        <f>SUMIF('Raw TB 1125'!$B:$B,'TB 1125'!$A44,'Raw TB 1125'!D:D)</f>
        <v>81827859.909999996</v>
      </c>
      <c r="D44" s="492">
        <f>SUMIF('Raw TB 1125'!$B:$B,'TB 1125'!$A44,'Raw TB 1125'!E:E)</f>
        <v>44617093.100000001</v>
      </c>
      <c r="E44" s="492">
        <f>SUMIF('Raw TB 1125'!$B:$B,'TB 1125'!$A44,'Raw TB 1125'!F:F)</f>
        <v>0</v>
      </c>
      <c r="F44" s="492">
        <f t="shared" si="3"/>
        <v>0</v>
      </c>
      <c r="G44" s="502" t="s">
        <v>181</v>
      </c>
      <c r="H44" s="491" t="s">
        <v>77</v>
      </c>
      <c r="I44" s="491"/>
    </row>
    <row r="45" spans="1:9" x14ac:dyDescent="0.35">
      <c r="A45" s="491" t="s">
        <v>577</v>
      </c>
      <c r="B45" s="492">
        <f>SUMIF('Raw TB 1125'!$B:$B,'TB 1125'!$A45,'Raw TB 1125'!C:C)</f>
        <v>2254508.8199999998</v>
      </c>
      <c r="C45" s="492">
        <f>SUMIF('Raw TB 1125'!$B:$B,'TB 1125'!$A45,'Raw TB 1125'!D:D)</f>
        <v>525642.79</v>
      </c>
      <c r="D45" s="492">
        <f>SUMIF('Raw TB 1125'!$B:$B,'TB 1125'!$A45,'Raw TB 1125'!E:E)</f>
        <v>0</v>
      </c>
      <c r="E45" s="492">
        <f>SUMIF('Raw TB 1125'!$B:$B,'TB 1125'!$A45,'Raw TB 1125'!F:F)</f>
        <v>2780151.61</v>
      </c>
      <c r="F45" s="492">
        <f t="shared" si="3"/>
        <v>2780.1516099999999</v>
      </c>
      <c r="G45" s="502" t="s">
        <v>181</v>
      </c>
      <c r="H45" s="491" t="s">
        <v>79</v>
      </c>
      <c r="I45" s="491"/>
    </row>
    <row r="46" spans="1:9" x14ac:dyDescent="0.35">
      <c r="A46" s="491" t="s">
        <v>146</v>
      </c>
      <c r="B46" s="492">
        <f>SUMIF('Raw TB 1125'!$B:$B,'TB 1125'!$A46,'Raw TB 1125'!C:C)</f>
        <v>15715400</v>
      </c>
      <c r="C46" s="492">
        <f>SUMIF('Raw TB 1125'!$B:$B,'TB 1125'!$A46,'Raw TB 1125'!D:D)</f>
        <v>40000</v>
      </c>
      <c r="D46" s="492">
        <f>SUMIF('Raw TB 1125'!$B:$B,'TB 1125'!$A46,'Raw TB 1125'!E:E)</f>
        <v>50000</v>
      </c>
      <c r="E46" s="492">
        <f>SUMIF('Raw TB 1125'!$B:$B,'TB 1125'!$A46,'Raw TB 1125'!F:F)</f>
        <v>15705400</v>
      </c>
      <c r="F46" s="492">
        <f t="shared" si="3"/>
        <v>15705.4</v>
      </c>
      <c r="G46" s="502" t="s">
        <v>181</v>
      </c>
      <c r="H46" s="491" t="s">
        <v>74</v>
      </c>
      <c r="I46" s="491"/>
    </row>
    <row r="47" spans="1:9" x14ac:dyDescent="0.35">
      <c r="A47" s="491" t="s">
        <v>345</v>
      </c>
      <c r="B47" s="492">
        <f>SUMIF('Raw TB 1125'!$B:$B,'TB 1125'!$A47,'Raw TB 1125'!C:C)</f>
        <v>1271832.7</v>
      </c>
      <c r="C47" s="492">
        <f>SUMIF('Raw TB 1125'!$B:$B,'TB 1125'!$A47,'Raw TB 1125'!D:D)</f>
        <v>0</v>
      </c>
      <c r="D47" s="492">
        <f>SUMIF('Raw TB 1125'!$B:$B,'TB 1125'!$A47,'Raw TB 1125'!E:E)</f>
        <v>0</v>
      </c>
      <c r="E47" s="492">
        <f>SUMIF('Raw TB 1125'!$B:$B,'TB 1125'!$A47,'Raw TB 1125'!F:F)</f>
        <v>1271832.7</v>
      </c>
      <c r="F47" s="492">
        <f t="shared" si="3"/>
        <v>1271.8326999999999</v>
      </c>
      <c r="G47" s="502" t="s">
        <v>181</v>
      </c>
      <c r="H47" s="491" t="s">
        <v>79</v>
      </c>
      <c r="I47" s="491"/>
    </row>
    <row r="48" spans="1:9" x14ac:dyDescent="0.35">
      <c r="A48" s="491" t="s">
        <v>427</v>
      </c>
      <c r="B48" s="492">
        <f>SUMIF('Raw TB 1125'!$B:$B,'TB 1125'!$A48,'Raw TB 1125'!C:C)</f>
        <v>-52884681.119999997</v>
      </c>
      <c r="C48" s="492">
        <f>SUMIF('Raw TB 1125'!$B:$B,'TB 1125'!$A48,'Raw TB 1125'!D:D)</f>
        <v>78743954.200000003</v>
      </c>
      <c r="D48" s="492">
        <f>SUMIF('Raw TB 1125'!$B:$B,'TB 1125'!$A48,'Raw TB 1125'!E:E)</f>
        <v>106803344.09999999</v>
      </c>
      <c r="E48" s="492">
        <f>SUMIF('Raw TB 1125'!$B:$B,'TB 1125'!$A48,'Raw TB 1125'!F:F)</f>
        <v>-80944071.019999996</v>
      </c>
      <c r="F48" s="492">
        <f t="shared" si="3"/>
        <v>-80944.071020000003</v>
      </c>
      <c r="G48" s="502" t="s">
        <v>180</v>
      </c>
      <c r="H48" s="491" t="s">
        <v>67</v>
      </c>
      <c r="I48" s="491"/>
    </row>
    <row r="49" spans="1:9" x14ac:dyDescent="0.35">
      <c r="A49" s="491" t="s">
        <v>1331</v>
      </c>
      <c r="B49" s="492">
        <f>SUMIF('Raw TB 1125'!$B:$B,'TB 1125'!$A49,'Raw TB 1125'!C:C)</f>
        <v>-4574135.6900000004</v>
      </c>
      <c r="C49" s="492">
        <f>SUMIF('Raw TB 1125'!$B:$B,'TB 1125'!$A49,'Raw TB 1125'!D:D)</f>
        <v>9431001.7200000007</v>
      </c>
      <c r="D49" s="492">
        <f>SUMIF('Raw TB 1125'!$B:$B,'TB 1125'!$A49,'Raw TB 1125'!E:E)</f>
        <v>10438196</v>
      </c>
      <c r="E49" s="492">
        <f>SUMIF('Raw TB 1125'!$B:$B,'TB 1125'!$A49,'Raw TB 1125'!F:F)</f>
        <v>-5581329.9699999997</v>
      </c>
      <c r="F49" s="492">
        <f t="shared" si="3"/>
        <v>-5581.3299699999998</v>
      </c>
      <c r="G49" s="502" t="s">
        <v>180</v>
      </c>
      <c r="H49" s="491" t="s">
        <v>68</v>
      </c>
      <c r="I49" s="491"/>
    </row>
    <row r="50" spans="1:9" x14ac:dyDescent="0.35">
      <c r="A50" s="491" t="s">
        <v>423</v>
      </c>
      <c r="B50" s="492">
        <f>SUMIF('Raw TB 1125'!$B:$B,'TB 1125'!$A50,'Raw TB 1125'!C:C)</f>
        <v>-1963787.27</v>
      </c>
      <c r="C50" s="492">
        <f>SUMIF('Raw TB 1125'!$B:$B,'TB 1125'!$A50,'Raw TB 1125'!D:D)</f>
        <v>127411</v>
      </c>
      <c r="D50" s="492">
        <f>SUMIF('Raw TB 1125'!$B:$B,'TB 1125'!$A50,'Raw TB 1125'!E:E)</f>
        <v>299705</v>
      </c>
      <c r="E50" s="492">
        <f>SUMIF('Raw TB 1125'!$B:$B,'TB 1125'!$A50,'Raw TB 1125'!F:F)</f>
        <v>-2136081.27</v>
      </c>
      <c r="F50" s="492">
        <f t="shared" si="3"/>
        <v>-2136.0812700000001</v>
      </c>
      <c r="G50" s="502" t="s">
        <v>180</v>
      </c>
      <c r="H50" s="491" t="s">
        <v>68</v>
      </c>
      <c r="I50" s="491"/>
    </row>
    <row r="51" spans="1:9" x14ac:dyDescent="0.35">
      <c r="A51" s="491" t="s">
        <v>578</v>
      </c>
      <c r="B51" s="492">
        <f>SUMIF('Raw TB 1125'!$B:$B,'TB 1125'!$A51,'Raw TB 1125'!C:C)</f>
        <v>494297.59</v>
      </c>
      <c r="C51" s="492">
        <f>SUMIF('Raw TB 1125'!$B:$B,'TB 1125'!$A51,'Raw TB 1125'!D:D)</f>
        <v>0</v>
      </c>
      <c r="D51" s="492">
        <f>SUMIF('Raw TB 1125'!$B:$B,'TB 1125'!$A51,'Raw TB 1125'!E:E)</f>
        <v>0</v>
      </c>
      <c r="E51" s="492">
        <f>SUMIF('Raw TB 1125'!$B:$B,'TB 1125'!$A51,'Raw TB 1125'!F:F)</f>
        <v>494297.59</v>
      </c>
      <c r="F51" s="492">
        <f t="shared" si="3"/>
        <v>494.29759000000001</v>
      </c>
      <c r="G51" s="502" t="s">
        <v>180</v>
      </c>
      <c r="H51" s="491" t="s">
        <v>68</v>
      </c>
      <c r="I51" s="491"/>
    </row>
    <row r="52" spans="1:9" x14ac:dyDescent="0.35">
      <c r="A52" s="491" t="s">
        <v>622</v>
      </c>
      <c r="B52" s="492">
        <f>SUMIF('Raw TB 1125'!$B:$B,'TB 1125'!$A52,'Raw TB 1125'!C:C)</f>
        <v>-1562915</v>
      </c>
      <c r="C52" s="492">
        <f>SUMIF('Raw TB 1125'!$B:$B,'TB 1125'!$A52,'Raw TB 1125'!D:D)</f>
        <v>30710373.390000001</v>
      </c>
      <c r="D52" s="492">
        <f>SUMIF('Raw TB 1125'!$B:$B,'TB 1125'!$A52,'Raw TB 1125'!E:E)</f>
        <v>30088903</v>
      </c>
      <c r="E52" s="492">
        <f>SUMIF('Raw TB 1125'!$B:$B,'TB 1125'!$A52,'Raw TB 1125'!F:F)</f>
        <v>-941444.61</v>
      </c>
      <c r="F52" s="492">
        <f t="shared" si="3"/>
        <v>-941.44461000000001</v>
      </c>
      <c r="G52" s="502" t="s">
        <v>180</v>
      </c>
      <c r="H52" s="491" t="s">
        <v>68</v>
      </c>
      <c r="I52" s="491"/>
    </row>
    <row r="53" spans="1:9" x14ac:dyDescent="0.35">
      <c r="A53" s="491" t="s">
        <v>775</v>
      </c>
      <c r="B53" s="492">
        <f>SUMIF('Raw TB 1125'!$B:$B,'TB 1125'!$A53,'Raw TB 1125'!C:C)</f>
        <v>0</v>
      </c>
      <c r="C53" s="492">
        <f>SUMIF('Raw TB 1125'!$B:$B,'TB 1125'!$A53,'Raw TB 1125'!D:D)</f>
        <v>0</v>
      </c>
      <c r="D53" s="492">
        <f>SUMIF('Raw TB 1125'!$B:$B,'TB 1125'!$A53,'Raw TB 1125'!E:E)</f>
        <v>0</v>
      </c>
      <c r="E53" s="492">
        <f>SUMIF('Raw TB 1125'!$B:$B,'TB 1125'!$A53,'Raw TB 1125'!F:F)</f>
        <v>0</v>
      </c>
      <c r="F53" s="492">
        <f t="shared" si="3"/>
        <v>0</v>
      </c>
      <c r="G53" s="502" t="s">
        <v>180</v>
      </c>
      <c r="H53" s="491" t="s">
        <v>68</v>
      </c>
      <c r="I53" s="491"/>
    </row>
    <row r="54" spans="1:9" x14ac:dyDescent="0.35">
      <c r="A54" s="491" t="s">
        <v>776</v>
      </c>
      <c r="B54" s="492">
        <f>SUMIF('Raw TB 1125'!$B:$B,'TB 1125'!$A54,'Raw TB 1125'!C:C)</f>
        <v>0</v>
      </c>
      <c r="C54" s="492">
        <f>SUMIF('Raw TB 1125'!$B:$B,'TB 1125'!$A54,'Raw TB 1125'!D:D)</f>
        <v>0</v>
      </c>
      <c r="D54" s="492">
        <f>SUMIF('Raw TB 1125'!$B:$B,'TB 1125'!$A54,'Raw TB 1125'!E:E)</f>
        <v>0</v>
      </c>
      <c r="E54" s="492">
        <f>SUMIF('Raw TB 1125'!$B:$B,'TB 1125'!$A54,'Raw TB 1125'!F:F)</f>
        <v>0</v>
      </c>
      <c r="F54" s="492">
        <f t="shared" si="3"/>
        <v>0</v>
      </c>
      <c r="G54" s="502" t="s">
        <v>180</v>
      </c>
      <c r="H54" s="491" t="s">
        <v>68</v>
      </c>
      <c r="I54" s="491"/>
    </row>
    <row r="55" spans="1:9" x14ac:dyDescent="0.35">
      <c r="A55" s="491" t="s">
        <v>1199</v>
      </c>
      <c r="B55" s="492">
        <f>SUMIF('Raw TB 1125'!$B:$B,'TB 1125'!$A55,'Raw TB 1125'!C:C)</f>
        <v>-1373346</v>
      </c>
      <c r="C55" s="492">
        <f>SUMIF('Raw TB 1125'!$B:$B,'TB 1125'!$A55,'Raw TB 1125'!D:D)</f>
        <v>1231526.6499999999</v>
      </c>
      <c r="D55" s="492">
        <f>SUMIF('Raw TB 1125'!$B:$B,'TB 1125'!$A55,'Raw TB 1125'!E:E)</f>
        <v>1260150</v>
      </c>
      <c r="E55" s="492">
        <f>SUMIF('Raw TB 1125'!$B:$B,'TB 1125'!$A55,'Raw TB 1125'!F:F)</f>
        <v>-1401969.35</v>
      </c>
      <c r="F55" s="492">
        <f t="shared" si="3"/>
        <v>-1401.9693500000001</v>
      </c>
      <c r="G55" s="502" t="s">
        <v>180</v>
      </c>
      <c r="H55" s="491" t="s">
        <v>67</v>
      </c>
      <c r="I55" s="491"/>
    </row>
    <row r="56" spans="1:9" x14ac:dyDescent="0.35">
      <c r="A56" s="491" t="s">
        <v>1252</v>
      </c>
      <c r="B56" s="492">
        <f>SUMIF('Raw TB 1125'!$B:$B,'TB 1125'!$A56,'Raw TB 1125'!C:C)</f>
        <v>0</v>
      </c>
      <c r="C56" s="492">
        <f>SUMIF('Raw TB 1125'!$B:$B,'TB 1125'!$A56,'Raw TB 1125'!D:D)</f>
        <v>3346943</v>
      </c>
      <c r="D56" s="492">
        <f>SUMIF('Raw TB 1125'!$B:$B,'TB 1125'!$A56,'Raw TB 1125'!E:E)</f>
        <v>3361793</v>
      </c>
      <c r="E56" s="492">
        <f>SUMIF('Raw TB 1125'!$B:$B,'TB 1125'!$A56,'Raw TB 1125'!F:F)</f>
        <v>-14850</v>
      </c>
      <c r="F56" s="492">
        <f t="shared" si="3"/>
        <v>-14.85</v>
      </c>
      <c r="G56" s="502" t="s">
        <v>180</v>
      </c>
      <c r="H56" s="491" t="s">
        <v>67</v>
      </c>
      <c r="I56" s="491"/>
    </row>
    <row r="57" spans="1:9" x14ac:dyDescent="0.35">
      <c r="A57" s="491" t="s">
        <v>1288</v>
      </c>
      <c r="B57" s="492">
        <f>SUMIF('Raw TB 1125'!$B:$B,'TB 1125'!$A57,'Raw TB 1125'!C:C)</f>
        <v>0</v>
      </c>
      <c r="C57" s="492">
        <f>SUMIF('Raw TB 1125'!$B:$B,'TB 1125'!$A57,'Raw TB 1125'!D:D)</f>
        <v>0</v>
      </c>
      <c r="D57" s="492">
        <f>SUMIF('Raw TB 1125'!$B:$B,'TB 1125'!$A57,'Raw TB 1125'!E:E)</f>
        <v>6676440</v>
      </c>
      <c r="E57" s="492">
        <f>SUMIF('Raw TB 1125'!$B:$B,'TB 1125'!$A57,'Raw TB 1125'!F:F)</f>
        <v>-6676440</v>
      </c>
      <c r="F57" s="492">
        <f t="shared" si="3"/>
        <v>-6676.44</v>
      </c>
      <c r="G57" s="502" t="s">
        <v>180</v>
      </c>
      <c r="H57" s="491" t="s">
        <v>68</v>
      </c>
      <c r="I57" s="491"/>
    </row>
    <row r="58" spans="1:9" x14ac:dyDescent="0.35">
      <c r="A58" s="491" t="s">
        <v>969</v>
      </c>
      <c r="B58" s="492">
        <f>SUMIF('Raw TB 1125'!$B:$B,'TB 1125'!$A58,'Raw TB 1125'!C:C)</f>
        <v>-71783996.969999999</v>
      </c>
      <c r="C58" s="492">
        <f>SUMIF('Raw TB 1125'!$B:$B,'TB 1125'!$A58,'Raw TB 1125'!D:D)</f>
        <v>77434366.5</v>
      </c>
      <c r="D58" s="492">
        <f>SUMIF('Raw TB 1125'!$B:$B,'TB 1125'!$A58,'Raw TB 1125'!E:E)</f>
        <v>89521346.680000007</v>
      </c>
      <c r="E58" s="492">
        <f>SUMIF('Raw TB 1125'!$B:$B,'TB 1125'!$A58,'Raw TB 1125'!F:F)</f>
        <v>-83870977.150000006</v>
      </c>
      <c r="F58" s="492">
        <f t="shared" si="3"/>
        <v>-83870.977150000006</v>
      </c>
      <c r="G58" s="502" t="s">
        <v>180</v>
      </c>
      <c r="H58" s="491" t="s">
        <v>67</v>
      </c>
      <c r="I58" s="491"/>
    </row>
    <row r="59" spans="1:9" x14ac:dyDescent="0.35">
      <c r="A59" s="491" t="s">
        <v>1253</v>
      </c>
      <c r="B59" s="492">
        <f>SUMIF('Raw TB 1125'!$B:$B,'TB 1125'!$A59,'Raw TB 1125'!C:C)</f>
        <v>0</v>
      </c>
      <c r="C59" s="492">
        <f>SUMIF('Raw TB 1125'!$B:$B,'TB 1125'!$A59,'Raw TB 1125'!D:D)</f>
        <v>0</v>
      </c>
      <c r="D59" s="492">
        <f>SUMIF('Raw TB 1125'!$B:$B,'TB 1125'!$A59,'Raw TB 1125'!E:E)</f>
        <v>0</v>
      </c>
      <c r="E59" s="492">
        <f>SUMIF('Raw TB 1125'!$B:$B,'TB 1125'!$A59,'Raw TB 1125'!F:F)</f>
        <v>0</v>
      </c>
      <c r="F59" s="492">
        <f t="shared" si="3"/>
        <v>0</v>
      </c>
      <c r="G59" s="502" t="s">
        <v>180</v>
      </c>
      <c r="H59" s="491" t="s">
        <v>67</v>
      </c>
      <c r="I59" s="491"/>
    </row>
    <row r="60" spans="1:9" x14ac:dyDescent="0.35">
      <c r="A60" s="491" t="s">
        <v>579</v>
      </c>
      <c r="B60" s="492">
        <f>SUMIF('Raw TB 1125'!$B:$B,'TB 1125'!$A60,'Raw TB 1125'!C:C)</f>
        <v>-1768190.4</v>
      </c>
      <c r="C60" s="492">
        <f>SUMIF('Raw TB 1125'!$B:$B,'TB 1125'!$A60,'Raw TB 1125'!D:D)</f>
        <v>1607548.93</v>
      </c>
      <c r="D60" s="492">
        <f>SUMIF('Raw TB 1125'!$B:$B,'TB 1125'!$A60,'Raw TB 1125'!E:E)</f>
        <v>1894627.85</v>
      </c>
      <c r="E60" s="492">
        <f>SUMIF('Raw TB 1125'!$B:$B,'TB 1125'!$A60,'Raw TB 1125'!F:F)</f>
        <v>-2055269.32</v>
      </c>
      <c r="F60" s="492">
        <f t="shared" si="3"/>
        <v>-2055.2693199999999</v>
      </c>
      <c r="G60" s="502" t="s">
        <v>180</v>
      </c>
      <c r="H60" s="491" t="s">
        <v>79</v>
      </c>
      <c r="I60" s="491"/>
    </row>
    <row r="61" spans="1:9" x14ac:dyDescent="0.35">
      <c r="A61" s="491" t="s">
        <v>580</v>
      </c>
      <c r="B61" s="492">
        <f>SUMIF('Raw TB 1125'!$B:$B,'TB 1125'!$A61,'Raw TB 1125'!C:C)</f>
        <v>-202818.5</v>
      </c>
      <c r="C61" s="492">
        <f>SUMIF('Raw TB 1125'!$B:$B,'TB 1125'!$A61,'Raw TB 1125'!D:D)</f>
        <v>349343</v>
      </c>
      <c r="D61" s="492">
        <f>SUMIF('Raw TB 1125'!$B:$B,'TB 1125'!$A61,'Raw TB 1125'!E:E)</f>
        <v>377080.93</v>
      </c>
      <c r="E61" s="492">
        <f>SUMIF('Raw TB 1125'!$B:$B,'TB 1125'!$A61,'Raw TB 1125'!F:F)</f>
        <v>-230556.43</v>
      </c>
      <c r="F61" s="492">
        <f t="shared" si="3"/>
        <v>-230.55643000000001</v>
      </c>
      <c r="G61" s="502" t="s">
        <v>180</v>
      </c>
      <c r="H61" s="491" t="s">
        <v>79</v>
      </c>
      <c r="I61" s="491"/>
    </row>
    <row r="62" spans="1:9" x14ac:dyDescent="0.35">
      <c r="A62" s="491" t="s">
        <v>581</v>
      </c>
      <c r="B62" s="492">
        <f>SUMIF('Raw TB 1125'!$B:$B,'TB 1125'!$A62,'Raw TB 1125'!C:C)</f>
        <v>-1768188.4</v>
      </c>
      <c r="C62" s="492">
        <f>SUMIF('Raw TB 1125'!$B:$B,'TB 1125'!$A62,'Raw TB 1125'!D:D)</f>
        <v>1607548.93</v>
      </c>
      <c r="D62" s="492">
        <f>SUMIF('Raw TB 1125'!$B:$B,'TB 1125'!$A62,'Raw TB 1125'!E:E)</f>
        <v>1894627.85</v>
      </c>
      <c r="E62" s="492">
        <f>SUMIF('Raw TB 1125'!$B:$B,'TB 1125'!$A62,'Raw TB 1125'!F:F)</f>
        <v>-2055267.32</v>
      </c>
      <c r="F62" s="492">
        <f t="shared" si="3"/>
        <v>-2055.2673199999999</v>
      </c>
      <c r="G62" s="502" t="s">
        <v>180</v>
      </c>
      <c r="H62" s="491" t="s">
        <v>79</v>
      </c>
      <c r="I62" s="491"/>
    </row>
    <row r="63" spans="1:9" x14ac:dyDescent="0.35">
      <c r="A63" s="491" t="s">
        <v>582</v>
      </c>
      <c r="B63" s="492">
        <f>SUMIF('Raw TB 1125'!$B:$B,'TB 1125'!$A63,'Raw TB 1125'!C:C)</f>
        <v>-39000</v>
      </c>
      <c r="C63" s="492">
        <f>SUMIF('Raw TB 1125'!$B:$B,'TB 1125'!$A63,'Raw TB 1125'!D:D)</f>
        <v>39200</v>
      </c>
      <c r="D63" s="492">
        <f>SUMIF('Raw TB 1125'!$B:$B,'TB 1125'!$A63,'Raw TB 1125'!E:E)</f>
        <v>38000</v>
      </c>
      <c r="E63" s="492">
        <f>SUMIF('Raw TB 1125'!$B:$B,'TB 1125'!$A63,'Raw TB 1125'!F:F)</f>
        <v>-37800</v>
      </c>
      <c r="F63" s="492">
        <f t="shared" si="3"/>
        <v>-37.799999999999997</v>
      </c>
      <c r="G63" s="502" t="s">
        <v>180</v>
      </c>
      <c r="H63" s="491" t="s">
        <v>68</v>
      </c>
      <c r="I63" s="491"/>
    </row>
    <row r="64" spans="1:9" x14ac:dyDescent="0.35">
      <c r="A64" s="491" t="s">
        <v>583</v>
      </c>
      <c r="B64" s="492">
        <f>SUMIF('Raw TB 1125'!$B:$B,'TB 1125'!$A64,'Raw TB 1125'!C:C)</f>
        <v>-447570</v>
      </c>
      <c r="C64" s="492">
        <f>SUMIF('Raw TB 1125'!$B:$B,'TB 1125'!$A64,'Raw TB 1125'!D:D)</f>
        <v>452538</v>
      </c>
      <c r="D64" s="492">
        <f>SUMIF('Raw TB 1125'!$B:$B,'TB 1125'!$A64,'Raw TB 1125'!E:E)</f>
        <v>464708</v>
      </c>
      <c r="E64" s="492">
        <f>SUMIF('Raw TB 1125'!$B:$B,'TB 1125'!$A64,'Raw TB 1125'!F:F)</f>
        <v>-459740</v>
      </c>
      <c r="F64" s="492">
        <f t="shared" si="3"/>
        <v>-459.74</v>
      </c>
      <c r="G64" s="502" t="s">
        <v>180</v>
      </c>
      <c r="H64" s="491" t="s">
        <v>68</v>
      </c>
      <c r="I64" s="491"/>
    </row>
    <row r="65" spans="1:9" x14ac:dyDescent="0.35">
      <c r="A65" s="491" t="s">
        <v>584</v>
      </c>
      <c r="B65" s="492">
        <f>SUMIF('Raw TB 1125'!$B:$B,'TB 1125'!$A65,'Raw TB 1125'!C:C)</f>
        <v>-447570</v>
      </c>
      <c r="C65" s="492">
        <f>SUMIF('Raw TB 1125'!$B:$B,'TB 1125'!$A65,'Raw TB 1125'!D:D)</f>
        <v>452538</v>
      </c>
      <c r="D65" s="492">
        <f>SUMIF('Raw TB 1125'!$B:$B,'TB 1125'!$A65,'Raw TB 1125'!E:E)</f>
        <v>464708</v>
      </c>
      <c r="E65" s="492">
        <f>SUMIF('Raw TB 1125'!$B:$B,'TB 1125'!$A65,'Raw TB 1125'!F:F)</f>
        <v>-459740</v>
      </c>
      <c r="F65" s="492">
        <f t="shared" si="3"/>
        <v>-459.74</v>
      </c>
      <c r="G65" s="502" t="s">
        <v>180</v>
      </c>
      <c r="H65" s="491" t="s">
        <v>68</v>
      </c>
      <c r="I65" s="491"/>
    </row>
    <row r="66" spans="1:9" x14ac:dyDescent="0.35">
      <c r="A66" s="491" t="s">
        <v>138</v>
      </c>
      <c r="B66" s="492">
        <f>SUMIF('Raw TB 1125'!$B:$B,'TB 1125'!$A66,'Raw TB 1125'!C:C)</f>
        <v>0</v>
      </c>
      <c r="C66" s="492">
        <f>SUMIF('Raw TB 1125'!$B:$B,'TB 1125'!$A66,'Raw TB 1125'!D:D)</f>
        <v>0</v>
      </c>
      <c r="D66" s="492">
        <f>SUMIF('Raw TB 1125'!$B:$B,'TB 1125'!$A66,'Raw TB 1125'!E:E)</f>
        <v>0</v>
      </c>
      <c r="E66" s="492">
        <f>SUMIF('Raw TB 1125'!$B:$B,'TB 1125'!$A66,'Raw TB 1125'!F:F)</f>
        <v>0</v>
      </c>
      <c r="F66" s="492">
        <f t="shared" si="3"/>
        <v>0</v>
      </c>
      <c r="G66" s="502" t="s">
        <v>180</v>
      </c>
      <c r="H66" s="491" t="s">
        <v>69</v>
      </c>
      <c r="I66" s="491"/>
    </row>
    <row r="67" spans="1:9" x14ac:dyDescent="0.35">
      <c r="A67" s="491" t="s">
        <v>620</v>
      </c>
      <c r="B67" s="492">
        <f>SUMIF('Raw TB 1125'!$B:$B,'TB 1125'!$A67,'Raw TB 1125'!C:C)</f>
        <v>-13575425</v>
      </c>
      <c r="C67" s="492">
        <f>SUMIF('Raw TB 1125'!$B:$B,'TB 1125'!$A67,'Raw TB 1125'!D:D)</f>
        <v>13575425</v>
      </c>
      <c r="D67" s="492">
        <f>SUMIF('Raw TB 1125'!$B:$B,'TB 1125'!$A67,'Raw TB 1125'!E:E)-1000000</f>
        <v>11411398</v>
      </c>
      <c r="E67" s="492">
        <f>B67+C67-D67</f>
        <v>-11411398</v>
      </c>
      <c r="F67" s="492">
        <f t="shared" ref="F67:F98" si="4">E67/10^3</f>
        <v>-11411.397999999999</v>
      </c>
      <c r="G67" s="502" t="s">
        <v>180</v>
      </c>
      <c r="H67" s="491" t="s">
        <v>69</v>
      </c>
      <c r="I67" s="491"/>
    </row>
    <row r="68" spans="1:9" x14ac:dyDescent="0.35">
      <c r="A68" s="491" t="s">
        <v>1429</v>
      </c>
      <c r="B68" s="492">
        <f>SUMIF('Raw TB 1125'!$B:$B,'TB 1125'!$A68,'Raw TB 1125'!C:C)</f>
        <v>-548984</v>
      </c>
      <c r="C68" s="492">
        <f>SUMIF('Raw TB 1125'!$B:$B,'TB 1125'!$A68,'Raw TB 1125'!D:D)</f>
        <v>0</v>
      </c>
      <c r="D68" s="492">
        <f>SUMIF('Raw TB 1125'!$B:$B,'TB 1125'!$A68,'Raw TB 1125'!E:E)</f>
        <v>0</v>
      </c>
      <c r="E68" s="492">
        <f>SUMIF('Raw TB 1125'!$B:$B,'TB 1125'!$A68,'Raw TB 1125'!F:F)</f>
        <v>-548984</v>
      </c>
      <c r="F68" s="492">
        <f t="shared" si="4"/>
        <v>-548.98400000000004</v>
      </c>
      <c r="G68" s="502" t="s">
        <v>180</v>
      </c>
      <c r="H68" s="491" t="s">
        <v>1371</v>
      </c>
      <c r="I68" s="491"/>
    </row>
    <row r="69" spans="1:9" x14ac:dyDescent="0.35">
      <c r="A69" s="491" t="s">
        <v>1430</v>
      </c>
      <c r="B69" s="492">
        <f>SUMIF('Raw TB 1125'!$B:$B,'TB 1125'!$A69,'Raw TB 1125'!C:C)</f>
        <v>-1269</v>
      </c>
      <c r="C69" s="492">
        <f>SUMIF('Raw TB 1125'!$B:$B,'TB 1125'!$A69,'Raw TB 1125'!D:D)</f>
        <v>0</v>
      </c>
      <c r="D69" s="492">
        <f>SUMIF('Raw TB 1125'!$B:$B,'TB 1125'!$A69,'Raw TB 1125'!E:E)</f>
        <v>0</v>
      </c>
      <c r="E69" s="492">
        <f>SUMIF('Raw TB 1125'!$B:$B,'TB 1125'!$A69,'Raw TB 1125'!F:F)</f>
        <v>-1269</v>
      </c>
      <c r="F69" s="492">
        <f t="shared" si="4"/>
        <v>-1.2689999999999999</v>
      </c>
      <c r="G69" s="502" t="s">
        <v>180</v>
      </c>
      <c r="H69" s="491" t="s">
        <v>69</v>
      </c>
      <c r="I69" s="491"/>
    </row>
    <row r="70" spans="1:9" x14ac:dyDescent="0.35">
      <c r="A70" s="491" t="s">
        <v>1364</v>
      </c>
      <c r="B70" s="492">
        <f>SUMIF('Raw TB 1125'!$B:$B,'TB 1125'!$A70,'Raw TB 1125'!C:C)</f>
        <v>-15670233</v>
      </c>
      <c r="C70" s="492">
        <f>SUMIF('Raw TB 1125'!$B:$B,'TB 1125'!$A70,'Raw TB 1125'!D:D)</f>
        <v>15670233</v>
      </c>
      <c r="D70" s="492">
        <f>SUMIF('Raw TB 1125'!$B:$B,'TB 1125'!$A70,'Raw TB 1125'!E:E)-1500000</f>
        <v>22866217</v>
      </c>
      <c r="E70" s="492">
        <f>B70+C70-D70</f>
        <v>-22866217</v>
      </c>
      <c r="F70" s="492">
        <f t="shared" si="4"/>
        <v>-22866.217000000001</v>
      </c>
      <c r="G70" s="502" t="s">
        <v>180</v>
      </c>
      <c r="H70" s="491" t="s">
        <v>69</v>
      </c>
      <c r="I70" s="491"/>
    </row>
    <row r="71" spans="1:9" x14ac:dyDescent="0.35">
      <c r="A71" s="491" t="s">
        <v>585</v>
      </c>
      <c r="B71" s="492">
        <f>SUMIF('Raw TB 1125'!$B:$B,'TB 1125'!$A71,'Raw TB 1125'!C:C)-6844750</f>
        <v>-28521874.890000001</v>
      </c>
      <c r="C71" s="492">
        <f>SUMIF('Raw TB 1125'!$B:$B,'TB 1125'!$A71,'Raw TB 1125'!D:D)+6844750</f>
        <v>28521874.890000001</v>
      </c>
      <c r="D71" s="492">
        <f>SUMIF('Raw TB 1125'!$B:$B,'TB 1125'!$A71,'Raw TB 1125'!E:E)</f>
        <v>8038850</v>
      </c>
      <c r="E71" s="492">
        <f>SUMIF('Raw TB 1125'!$B:$B,'TB 1125'!$A71,'Raw TB 1125'!F:F)</f>
        <v>-8038850</v>
      </c>
      <c r="F71" s="492">
        <f t="shared" si="4"/>
        <v>-8038.85</v>
      </c>
      <c r="G71" s="502" t="s">
        <v>180</v>
      </c>
      <c r="H71" s="491" t="s">
        <v>69</v>
      </c>
      <c r="I71" s="491"/>
    </row>
    <row r="72" spans="1:9" x14ac:dyDescent="0.35">
      <c r="A72" s="491" t="s">
        <v>1256</v>
      </c>
      <c r="B72" s="492">
        <f>SUMIF('Raw TB 1125'!$B:$B,'TB 1125'!$A72,'Raw TB 1125'!C:C)</f>
        <v>-188100</v>
      </c>
      <c r="C72" s="492">
        <f>SUMIF('Raw TB 1125'!$B:$B,'TB 1125'!$A72,'Raw TB 1125'!D:D)</f>
        <v>188100</v>
      </c>
      <c r="D72" s="492">
        <f>SUMIF('Raw TB 1125'!$B:$B,'TB 1125'!$A72,'Raw TB 1125'!E:E)</f>
        <v>16916</v>
      </c>
      <c r="E72" s="492">
        <f>SUMIF('Raw TB 1125'!$B:$B,'TB 1125'!$A72,'Raw TB 1125'!F:F)</f>
        <v>-16916</v>
      </c>
      <c r="F72" s="492">
        <f t="shared" si="4"/>
        <v>-16.916</v>
      </c>
      <c r="G72" s="502" t="s">
        <v>180</v>
      </c>
      <c r="H72" s="491" t="s">
        <v>69</v>
      </c>
      <c r="I72" s="491"/>
    </row>
    <row r="73" spans="1:9" x14ac:dyDescent="0.35">
      <c r="A73" s="491" t="s">
        <v>586</v>
      </c>
      <c r="B73" s="492">
        <f>SUMIF('Raw TB 1125'!$B:$B,'TB 1125'!$A73,'Raw TB 1125'!C:C)</f>
        <v>-3153866.8</v>
      </c>
      <c r="C73" s="492">
        <f>SUMIF('Raw TB 1125'!$B:$B,'TB 1125'!$A73,'Raw TB 1125'!D:D)</f>
        <v>3153866.8</v>
      </c>
      <c r="D73" s="492">
        <f>SUMIF('Raw TB 1125'!$B:$B,'TB 1125'!$A73,'Raw TB 1125'!E:E)</f>
        <v>3714772.3</v>
      </c>
      <c r="E73" s="492">
        <f>SUMIF('Raw TB 1125'!$B:$B,'TB 1125'!$A73,'Raw TB 1125'!F:F)</f>
        <v>-3714772.3</v>
      </c>
      <c r="F73" s="492">
        <f t="shared" si="4"/>
        <v>-3714.7722999999996</v>
      </c>
      <c r="G73" s="502" t="s">
        <v>180</v>
      </c>
      <c r="H73" s="491" t="s">
        <v>69</v>
      </c>
      <c r="I73" s="491"/>
    </row>
    <row r="74" spans="1:9" x14ac:dyDescent="0.35">
      <c r="A74" s="491" t="s">
        <v>1257</v>
      </c>
      <c r="B74" s="492">
        <f>SUMIF('Raw TB 1125'!$B:$B,'TB 1125'!$A74,'Raw TB 1125'!C:C)</f>
        <v>-821927.03</v>
      </c>
      <c r="C74" s="492">
        <f>SUMIF('Raw TB 1125'!$B:$B,'TB 1125'!$A74,'Raw TB 1125'!D:D)</f>
        <v>821927.03</v>
      </c>
      <c r="D74" s="492">
        <f>SUMIF('Raw TB 1125'!$B:$B,'TB 1125'!$A74,'Raw TB 1125'!E:E)</f>
        <v>2414260</v>
      </c>
      <c r="E74" s="492">
        <f>SUMIF('Raw TB 1125'!$B:$B,'TB 1125'!$A74,'Raw TB 1125'!F:F)</f>
        <v>-2414260</v>
      </c>
      <c r="F74" s="492">
        <f t="shared" si="4"/>
        <v>-2414.2600000000002</v>
      </c>
      <c r="G74" s="502" t="s">
        <v>180</v>
      </c>
      <c r="H74" s="491" t="s">
        <v>69</v>
      </c>
      <c r="I74" s="491"/>
    </row>
    <row r="75" spans="1:9" x14ac:dyDescent="0.35">
      <c r="A75" s="491" t="s">
        <v>1258</v>
      </c>
      <c r="B75" s="492">
        <f>SUMIF('Raw TB 1125'!$B:$B,'TB 1125'!$A75,'Raw TB 1125'!C:C)</f>
        <v>-154572.91</v>
      </c>
      <c r="C75" s="492">
        <f>SUMIF('Raw TB 1125'!$B:$B,'TB 1125'!$A75,'Raw TB 1125'!D:D)</f>
        <v>154572.91</v>
      </c>
      <c r="D75" s="492">
        <f>SUMIF('Raw TB 1125'!$B:$B,'TB 1125'!$A75,'Raw TB 1125'!E:E)</f>
        <v>842113</v>
      </c>
      <c r="E75" s="492">
        <f>SUMIF('Raw TB 1125'!$B:$B,'TB 1125'!$A75,'Raw TB 1125'!F:F)</f>
        <v>-842113</v>
      </c>
      <c r="F75" s="492">
        <f t="shared" si="4"/>
        <v>-842.11300000000006</v>
      </c>
      <c r="G75" s="502" t="s">
        <v>180</v>
      </c>
      <c r="H75" s="491" t="s">
        <v>69</v>
      </c>
      <c r="I75" s="491"/>
    </row>
    <row r="76" spans="1:9" x14ac:dyDescent="0.35">
      <c r="A76" s="491" t="s">
        <v>425</v>
      </c>
      <c r="B76" s="492">
        <f>SUMIF('Raw TB 1125'!$B:$B,'TB 1125'!$A76,'Raw TB 1125'!C:C)</f>
        <v>-6067609.71</v>
      </c>
      <c r="C76" s="492">
        <f>SUMIF('Raw TB 1125'!$B:$B,'TB 1125'!$A76,'Raw TB 1125'!D:D)</f>
        <v>6340985</v>
      </c>
      <c r="D76" s="492">
        <f>SUMIF('Raw TB 1125'!$B:$B,'TB 1125'!$A76,'Raw TB 1125'!E:E)</f>
        <v>8041773.7199999997</v>
      </c>
      <c r="E76" s="492">
        <f>SUMIF('Raw TB 1125'!$B:$B,'TB 1125'!$A76,'Raw TB 1125'!F:F)</f>
        <v>-7768398.4299999997</v>
      </c>
      <c r="F76" s="492">
        <f t="shared" si="4"/>
        <v>-7768.3984299999993</v>
      </c>
      <c r="G76" s="502" t="s">
        <v>180</v>
      </c>
      <c r="H76" s="491" t="s">
        <v>68</v>
      </c>
      <c r="I76" s="491"/>
    </row>
    <row r="77" spans="1:9" x14ac:dyDescent="0.35">
      <c r="A77" s="491" t="s">
        <v>587</v>
      </c>
      <c r="B77" s="492">
        <f>SUMIF('Raw TB 1125'!$B:$B,'TB 1125'!$A77,'Raw TB 1125'!C:C)</f>
        <v>-2699443</v>
      </c>
      <c r="C77" s="492">
        <f>SUMIF('Raw TB 1125'!$B:$B,'TB 1125'!$A77,'Raw TB 1125'!D:D)</f>
        <v>0</v>
      </c>
      <c r="D77" s="492">
        <f>SUMIF('Raw TB 1125'!$B:$B,'TB 1125'!$A77,'Raw TB 1125'!E:E)</f>
        <v>0</v>
      </c>
      <c r="E77" s="492">
        <f>SUMIF('Raw TB 1125'!$B:$B,'TB 1125'!$A77,'Raw TB 1125'!F:F)</f>
        <v>-2699443</v>
      </c>
      <c r="F77" s="492">
        <f t="shared" si="4"/>
        <v>-2699.4430000000002</v>
      </c>
      <c r="G77" s="502" t="s">
        <v>180</v>
      </c>
      <c r="H77" s="491" t="s">
        <v>68</v>
      </c>
      <c r="I77" s="491"/>
    </row>
    <row r="78" spans="1:9" x14ac:dyDescent="0.35">
      <c r="A78" s="491" t="s">
        <v>588</v>
      </c>
      <c r="B78" s="492">
        <f>SUMIF('Raw TB 1125'!$B:$B,'TB 1125'!$A78,'Raw TB 1125'!C:C)</f>
        <v>460158688.26999998</v>
      </c>
      <c r="C78" s="492">
        <f>SUMIF('Raw TB 1125'!$B:$B,'TB 1125'!$A78,'Raw TB 1125'!D:D)</f>
        <v>0</v>
      </c>
      <c r="D78" s="492">
        <f>SUMIF('Raw TB 1125'!$B:$B,'TB 1125'!$A78,'Raw TB 1125'!E:E)</f>
        <v>0</v>
      </c>
      <c r="E78" s="492">
        <f>SUMIF('Raw TB 1125'!$B:$B,'TB 1125'!$A78,'Raw TB 1125'!F:F)</f>
        <v>460158688.26999998</v>
      </c>
      <c r="F78" s="492">
        <f t="shared" si="4"/>
        <v>460158.68826999998</v>
      </c>
      <c r="G78" s="502" t="s">
        <v>180</v>
      </c>
      <c r="H78" s="491" t="s">
        <v>64</v>
      </c>
      <c r="I78" s="491"/>
    </row>
    <row r="79" spans="1:9" x14ac:dyDescent="0.35">
      <c r="A79" s="491" t="s">
        <v>1431</v>
      </c>
      <c r="B79" s="492">
        <f>SUMIF('Raw TB 1125'!$B:$B,'TB 1125'!$A79,'Raw TB 1125'!C:C)</f>
        <v>-1245691</v>
      </c>
      <c r="C79" s="492">
        <f>SUMIF('Raw TB 1125'!$B:$B,'TB 1125'!$A79,'Raw TB 1125'!D:D)</f>
        <v>0</v>
      </c>
      <c r="D79" s="492">
        <f>SUMIF('Raw TB 1125'!$B:$B,'TB 1125'!$A79,'Raw TB 1125'!E:E)</f>
        <v>0</v>
      </c>
      <c r="E79" s="492">
        <f>SUMIF('Raw TB 1125'!$B:$B,'TB 1125'!$A79,'Raw TB 1125'!F:F)</f>
        <v>-1245691</v>
      </c>
      <c r="F79" s="492">
        <f t="shared" si="4"/>
        <v>-1245.691</v>
      </c>
      <c r="G79" s="502" t="s">
        <v>180</v>
      </c>
      <c r="H79" s="491" t="s">
        <v>64</v>
      </c>
      <c r="I79" s="491"/>
    </row>
    <row r="80" spans="1:9" x14ac:dyDescent="0.35">
      <c r="A80" s="491" t="s">
        <v>589</v>
      </c>
      <c r="B80" s="492">
        <f>SUMIF('Raw TB 1125'!$B:$B,'TB 1125'!$A80,'Raw TB 1125'!C:C)</f>
        <v>-100000</v>
      </c>
      <c r="C80" s="492">
        <f>SUMIF('Raw TB 1125'!$B:$B,'TB 1125'!$A80,'Raw TB 1125'!D:D)</f>
        <v>0</v>
      </c>
      <c r="D80" s="492">
        <f>SUMIF('Raw TB 1125'!$B:$B,'TB 1125'!$A80,'Raw TB 1125'!E:E)</f>
        <v>0</v>
      </c>
      <c r="E80" s="492">
        <f>SUMIF('Raw TB 1125'!$B:$B,'TB 1125'!$A80,'Raw TB 1125'!F:F)</f>
        <v>-100000</v>
      </c>
      <c r="F80" s="492">
        <f t="shared" si="4"/>
        <v>-100</v>
      </c>
      <c r="G80" s="502" t="s">
        <v>180</v>
      </c>
      <c r="H80" s="491" t="s">
        <v>63</v>
      </c>
      <c r="I80" s="491"/>
    </row>
    <row r="81" spans="1:9" x14ac:dyDescent="0.35">
      <c r="A81" s="491" t="s">
        <v>698</v>
      </c>
      <c r="B81" s="492">
        <f>SUMIF('Raw TB 1125'!$B:$B,'TB 1125'!$A81,'Raw TB 1125'!C:C)</f>
        <v>-10</v>
      </c>
      <c r="C81" s="492">
        <f>SUMIF('Raw TB 1125'!$B:$B,'TB 1125'!$A81,'Raw TB 1125'!D:D)</f>
        <v>0</v>
      </c>
      <c r="D81" s="492">
        <f>SUMIF('Raw TB 1125'!$B:$B,'TB 1125'!$A81,'Raw TB 1125'!E:E)</f>
        <v>0</v>
      </c>
      <c r="E81" s="492">
        <f>SUMIF('Raw TB 1125'!$B:$B,'TB 1125'!$A81,'Raw TB 1125'!F:F)</f>
        <v>-10</v>
      </c>
      <c r="F81" s="492">
        <f t="shared" si="4"/>
        <v>-0.01</v>
      </c>
      <c r="G81" s="502" t="s">
        <v>180</v>
      </c>
      <c r="H81" s="491" t="s">
        <v>63</v>
      </c>
      <c r="I81" s="491"/>
    </row>
    <row r="82" spans="1:9" x14ac:dyDescent="0.35">
      <c r="A82" s="491" t="s">
        <v>699</v>
      </c>
      <c r="B82" s="492">
        <f>SUMIF('Raw TB 1125'!$B:$B,'TB 1125'!$A82,'Raw TB 1125'!C:C)</f>
        <v>-5463300</v>
      </c>
      <c r="C82" s="492">
        <f>SUMIF('Raw TB 1125'!$B:$B,'TB 1125'!$A82,'Raw TB 1125'!D:D)</f>
        <v>0</v>
      </c>
      <c r="D82" s="492">
        <f>SUMIF('Raw TB 1125'!$B:$B,'TB 1125'!$A82,'Raw TB 1125'!E:E)</f>
        <v>0</v>
      </c>
      <c r="E82" s="492">
        <f>SUMIF('Raw TB 1125'!$B:$B,'TB 1125'!$A82,'Raw TB 1125'!F:F)</f>
        <v>-5463300</v>
      </c>
      <c r="F82" s="492">
        <f t="shared" si="4"/>
        <v>-5463.3</v>
      </c>
      <c r="G82" s="502" t="s">
        <v>180</v>
      </c>
      <c r="H82" s="491" t="s">
        <v>63</v>
      </c>
      <c r="I82" s="491"/>
    </row>
    <row r="83" spans="1:9" x14ac:dyDescent="0.35">
      <c r="A83" s="491" t="s">
        <v>700</v>
      </c>
      <c r="B83" s="492">
        <f>SUMIF('Raw TB 1125'!$B:$B,'TB 1125'!$A83,'Raw TB 1125'!C:C)</f>
        <v>-10800</v>
      </c>
      <c r="C83" s="492">
        <f>SUMIF('Raw TB 1125'!$B:$B,'TB 1125'!$A83,'Raw TB 1125'!D:D)</f>
        <v>0</v>
      </c>
      <c r="D83" s="492">
        <f>SUMIF('Raw TB 1125'!$B:$B,'TB 1125'!$A83,'Raw TB 1125'!E:E)</f>
        <v>0</v>
      </c>
      <c r="E83" s="492">
        <f>SUMIF('Raw TB 1125'!$B:$B,'TB 1125'!$A83,'Raw TB 1125'!F:F)</f>
        <v>-10800</v>
      </c>
      <c r="F83" s="492">
        <f t="shared" si="4"/>
        <v>-10.8</v>
      </c>
      <c r="G83" s="502" t="s">
        <v>180</v>
      </c>
      <c r="H83" s="491" t="s">
        <v>63</v>
      </c>
      <c r="I83" s="491"/>
    </row>
    <row r="84" spans="1:9" x14ac:dyDescent="0.35">
      <c r="A84" s="491" t="s">
        <v>1259</v>
      </c>
      <c r="B84" s="492">
        <f>SUMIF('Raw TB 1125'!$B:$B,'TB 1125'!$A84,'Raw TB 1125'!C:C)</f>
        <v>-3772700</v>
      </c>
      <c r="C84" s="492">
        <f>SUMIF('Raw TB 1125'!$B:$B,'TB 1125'!$A84,'Raw TB 1125'!D:D)</f>
        <v>0</v>
      </c>
      <c r="D84" s="492">
        <f>SUMIF('Raw TB 1125'!$B:$B,'TB 1125'!$A84,'Raw TB 1125'!E:E)</f>
        <v>1097500</v>
      </c>
      <c r="E84" s="492">
        <f>SUMIF('Raw TB 1125'!$B:$B,'TB 1125'!$A84,'Raw TB 1125'!F:F)</f>
        <v>-4870200</v>
      </c>
      <c r="F84" s="492">
        <f t="shared" si="4"/>
        <v>-4870.2</v>
      </c>
      <c r="G84" s="502" t="s">
        <v>180</v>
      </c>
      <c r="H84" s="491" t="s">
        <v>63</v>
      </c>
      <c r="I84" s="491"/>
    </row>
    <row r="85" spans="1:9" x14ac:dyDescent="0.35">
      <c r="A85" s="491" t="s">
        <v>590</v>
      </c>
      <c r="B85" s="492">
        <f>SUMIF('Raw TB 1125'!$B:$B,'TB 1125'!$A85,'Raw TB 1125'!C:C)</f>
        <v>-10</v>
      </c>
      <c r="C85" s="492">
        <f>SUMIF('Raw TB 1125'!$B:$B,'TB 1125'!$A85,'Raw TB 1125'!D:D)</f>
        <v>0</v>
      </c>
      <c r="D85" s="492">
        <f>SUMIF('Raw TB 1125'!$B:$B,'TB 1125'!$A85,'Raw TB 1125'!E:E)</f>
        <v>0</v>
      </c>
      <c r="E85" s="492">
        <f>SUMIF('Raw TB 1125'!$B:$B,'TB 1125'!$A85,'Raw TB 1125'!F:F)</f>
        <v>-10</v>
      </c>
      <c r="F85" s="492">
        <f t="shared" si="4"/>
        <v>-0.01</v>
      </c>
      <c r="G85" s="502" t="s">
        <v>180</v>
      </c>
      <c r="H85" s="491" t="s">
        <v>63</v>
      </c>
      <c r="I85" s="491"/>
    </row>
    <row r="86" spans="1:9" x14ac:dyDescent="0.35">
      <c r="A86" s="491" t="s">
        <v>591</v>
      </c>
      <c r="B86" s="492">
        <f>SUMIF('Raw TB 1125'!$B:$B,'TB 1125'!$A86,'Raw TB 1125'!C:C)</f>
        <v>-6497900</v>
      </c>
      <c r="C86" s="492">
        <f>SUMIF('Raw TB 1125'!$B:$B,'TB 1125'!$A86,'Raw TB 1125'!D:D)</f>
        <v>0</v>
      </c>
      <c r="D86" s="492">
        <f>SUMIF('Raw TB 1125'!$B:$B,'TB 1125'!$A86,'Raw TB 1125'!E:E)</f>
        <v>493900</v>
      </c>
      <c r="E86" s="492">
        <f>SUMIF('Raw TB 1125'!$B:$B,'TB 1125'!$A86,'Raw TB 1125'!F:F)</f>
        <v>-6991800</v>
      </c>
      <c r="F86" s="492">
        <f t="shared" si="4"/>
        <v>-6991.8</v>
      </c>
      <c r="G86" s="502" t="s">
        <v>180</v>
      </c>
      <c r="H86" s="491" t="s">
        <v>63</v>
      </c>
      <c r="I86" s="491"/>
    </row>
    <row r="87" spans="1:9" x14ac:dyDescent="0.35">
      <c r="A87" s="491" t="s">
        <v>701</v>
      </c>
      <c r="B87" s="492">
        <f>SUMIF('Raw TB 1125'!$B:$B,'TB 1125'!$A87,'Raw TB 1125'!C:C)</f>
        <v>-16200</v>
      </c>
      <c r="C87" s="492">
        <f>SUMIF('Raw TB 1125'!$B:$B,'TB 1125'!$A87,'Raw TB 1125'!D:D)</f>
        <v>0</v>
      </c>
      <c r="D87" s="492">
        <f>SUMIF('Raw TB 1125'!$B:$B,'TB 1125'!$A87,'Raw TB 1125'!E:E)</f>
        <v>0</v>
      </c>
      <c r="E87" s="492">
        <f>SUMIF('Raw TB 1125'!$B:$B,'TB 1125'!$A87,'Raw TB 1125'!F:F)</f>
        <v>-16200</v>
      </c>
      <c r="F87" s="492">
        <f t="shared" si="4"/>
        <v>-16.2</v>
      </c>
      <c r="G87" s="502" t="s">
        <v>180</v>
      </c>
      <c r="H87" s="491" t="s">
        <v>63</v>
      </c>
      <c r="I87" s="491"/>
    </row>
    <row r="88" spans="1:9" x14ac:dyDescent="0.35">
      <c r="A88" s="491" t="s">
        <v>702</v>
      </c>
      <c r="B88" s="492">
        <f>SUMIF('Raw TB 1125'!$B:$B,'TB 1125'!$A88,'Raw TB 1125'!C:C)</f>
        <v>-5400</v>
      </c>
      <c r="C88" s="492">
        <f>SUMIF('Raw TB 1125'!$B:$B,'TB 1125'!$A88,'Raw TB 1125'!D:D)</f>
        <v>0</v>
      </c>
      <c r="D88" s="492">
        <f>SUMIF('Raw TB 1125'!$B:$B,'TB 1125'!$A88,'Raw TB 1125'!E:E)</f>
        <v>0</v>
      </c>
      <c r="E88" s="492">
        <f>SUMIF('Raw TB 1125'!$B:$B,'TB 1125'!$A88,'Raw TB 1125'!F:F)</f>
        <v>-5400</v>
      </c>
      <c r="F88" s="492">
        <f t="shared" si="4"/>
        <v>-5.4</v>
      </c>
      <c r="G88" s="502" t="s">
        <v>180</v>
      </c>
      <c r="H88" s="491" t="s">
        <v>63</v>
      </c>
      <c r="I88" s="491"/>
    </row>
    <row r="89" spans="1:9" x14ac:dyDescent="0.35">
      <c r="A89" s="491" t="s">
        <v>703</v>
      </c>
      <c r="B89" s="492">
        <f>SUMIF('Raw TB 1125'!$B:$B,'TB 1125'!$A89,'Raw TB 1125'!C:C)</f>
        <v>-37800</v>
      </c>
      <c r="C89" s="492">
        <f>SUMIF('Raw TB 1125'!$B:$B,'TB 1125'!$A89,'Raw TB 1125'!D:D)</f>
        <v>0</v>
      </c>
      <c r="D89" s="492">
        <f>SUMIF('Raw TB 1125'!$B:$B,'TB 1125'!$A89,'Raw TB 1125'!E:E)</f>
        <v>0</v>
      </c>
      <c r="E89" s="492">
        <f>SUMIF('Raw TB 1125'!$B:$B,'TB 1125'!$A89,'Raw TB 1125'!F:F)</f>
        <v>-37800</v>
      </c>
      <c r="F89" s="492">
        <f t="shared" si="4"/>
        <v>-37.799999999999997</v>
      </c>
      <c r="G89" s="502" t="s">
        <v>180</v>
      </c>
      <c r="H89" s="491" t="s">
        <v>63</v>
      </c>
      <c r="I89" s="491"/>
    </row>
    <row r="90" spans="1:9" x14ac:dyDescent="0.35">
      <c r="A90" s="491" t="s">
        <v>592</v>
      </c>
      <c r="B90" s="492">
        <f>SUMIF('Raw TB 1125'!$B:$B,'TB 1125'!$A90,'Raw TB 1125'!C:C)</f>
        <v>-2162702583.21</v>
      </c>
      <c r="C90" s="492">
        <f>SUMIF('Raw TB 1125'!$B:$B,'TB 1125'!$A90,'Raw TB 1125'!D:D)</f>
        <v>0</v>
      </c>
      <c r="D90" s="492">
        <f>SUMIF('Raw TB 1125'!$B:$B,'TB 1125'!$A90,'Raw TB 1125'!E:E)</f>
        <v>2649248652</v>
      </c>
      <c r="E90" s="492">
        <f>SUMIF('Raw TB 1125'!$B:$B,'TB 1125'!$A90,'Raw TB 1125'!F:F)</f>
        <v>-4811951235.21</v>
      </c>
      <c r="F90" s="492">
        <f t="shared" si="4"/>
        <v>-4811951.2352099996</v>
      </c>
      <c r="G90" s="502" t="s">
        <v>180</v>
      </c>
      <c r="H90" s="491" t="s">
        <v>64</v>
      </c>
      <c r="I90" s="491"/>
    </row>
    <row r="91" spans="1:9" x14ac:dyDescent="0.35">
      <c r="A91" s="491" t="s">
        <v>704</v>
      </c>
      <c r="B91" s="492">
        <f>SUMIF('Raw TB 1125'!$B:$B,'TB 1125'!$A91,'Raw TB 1125'!C:C)</f>
        <v>-5400</v>
      </c>
      <c r="C91" s="492">
        <f>SUMIF('Raw TB 1125'!$B:$B,'TB 1125'!$A91,'Raw TB 1125'!D:D)</f>
        <v>0</v>
      </c>
      <c r="D91" s="492">
        <f>SUMIF('Raw TB 1125'!$B:$B,'TB 1125'!$A91,'Raw TB 1125'!E:E)</f>
        <v>0</v>
      </c>
      <c r="E91" s="492">
        <f>SUMIF('Raw TB 1125'!$B:$B,'TB 1125'!$A91,'Raw TB 1125'!F:F)</f>
        <v>-5400</v>
      </c>
      <c r="F91" s="492">
        <f t="shared" si="4"/>
        <v>-5.4</v>
      </c>
      <c r="G91" s="502" t="s">
        <v>180</v>
      </c>
      <c r="H91" s="491" t="s">
        <v>63</v>
      </c>
      <c r="I91" s="491"/>
    </row>
    <row r="92" spans="1:9" x14ac:dyDescent="0.35">
      <c r="A92" s="491" t="s">
        <v>705</v>
      </c>
      <c r="B92" s="492">
        <f>SUMIF('Raw TB 1125'!$B:$B,'TB 1125'!$A92,'Raw TB 1125'!C:C)</f>
        <v>-5400</v>
      </c>
      <c r="C92" s="492">
        <f>SUMIF('Raw TB 1125'!$B:$B,'TB 1125'!$A92,'Raw TB 1125'!D:D)</f>
        <v>0</v>
      </c>
      <c r="D92" s="492">
        <f>SUMIF('Raw TB 1125'!$B:$B,'TB 1125'!$A92,'Raw TB 1125'!E:E)</f>
        <v>0</v>
      </c>
      <c r="E92" s="492">
        <f>SUMIF('Raw TB 1125'!$B:$B,'TB 1125'!$A92,'Raw TB 1125'!F:F)</f>
        <v>-5400</v>
      </c>
      <c r="F92" s="492">
        <f t="shared" si="4"/>
        <v>-5.4</v>
      </c>
      <c r="G92" s="502" t="s">
        <v>180</v>
      </c>
      <c r="H92" s="491" t="s">
        <v>63</v>
      </c>
      <c r="I92" s="491"/>
    </row>
    <row r="93" spans="1:9" x14ac:dyDescent="0.35">
      <c r="A93" s="491" t="s">
        <v>706</v>
      </c>
      <c r="B93" s="492">
        <f>SUMIF('Raw TB 1125'!$B:$B,'TB 1125'!$A93,'Raw TB 1125'!C:C)</f>
        <v>-5400</v>
      </c>
      <c r="C93" s="492">
        <f>SUMIF('Raw TB 1125'!$B:$B,'TB 1125'!$A93,'Raw TB 1125'!D:D)</f>
        <v>0</v>
      </c>
      <c r="D93" s="492">
        <f>SUMIF('Raw TB 1125'!$B:$B,'TB 1125'!$A93,'Raw TB 1125'!E:E)</f>
        <v>0</v>
      </c>
      <c r="E93" s="492">
        <f>SUMIF('Raw TB 1125'!$B:$B,'TB 1125'!$A93,'Raw TB 1125'!F:F)</f>
        <v>-5400</v>
      </c>
      <c r="F93" s="492">
        <f t="shared" si="4"/>
        <v>-5.4</v>
      </c>
      <c r="G93" s="502" t="s">
        <v>180</v>
      </c>
      <c r="H93" s="491" t="s">
        <v>63</v>
      </c>
      <c r="I93" s="491"/>
    </row>
    <row r="94" spans="1:9" x14ac:dyDescent="0.35">
      <c r="A94" s="491" t="s">
        <v>707</v>
      </c>
      <c r="B94" s="492">
        <f>SUMIF('Raw TB 1125'!$B:$B,'TB 1125'!$A94,'Raw TB 1125'!C:C)</f>
        <v>-37800</v>
      </c>
      <c r="C94" s="492">
        <f>SUMIF('Raw TB 1125'!$B:$B,'TB 1125'!$A94,'Raw TB 1125'!D:D)</f>
        <v>0</v>
      </c>
      <c r="D94" s="492">
        <f>SUMIF('Raw TB 1125'!$B:$B,'TB 1125'!$A94,'Raw TB 1125'!E:E)</f>
        <v>0</v>
      </c>
      <c r="E94" s="492">
        <f>SUMIF('Raw TB 1125'!$B:$B,'TB 1125'!$A94,'Raw TB 1125'!F:F)</f>
        <v>-37800</v>
      </c>
      <c r="F94" s="492">
        <f t="shared" si="4"/>
        <v>-37.799999999999997</v>
      </c>
      <c r="G94" s="502" t="s">
        <v>180</v>
      </c>
      <c r="H94" s="491" t="s">
        <v>63</v>
      </c>
      <c r="I94" s="491"/>
    </row>
    <row r="95" spans="1:9" x14ac:dyDescent="0.35">
      <c r="A95" s="491" t="s">
        <v>593</v>
      </c>
      <c r="B95" s="492">
        <f>SUMIF('Raw TB 1125'!$B:$B,'TB 1125'!$A95,'Raw TB 1125'!C:C)+6844750</f>
        <v>65748616.530000001</v>
      </c>
      <c r="C95" s="492">
        <f>SUMIF('Raw TB 1125'!$B:$B,'TB 1125'!$A95,'Raw TB 1125'!D:D)</f>
        <v>0</v>
      </c>
      <c r="D95" s="492">
        <f>SUMIF('Raw TB 1125'!$B:$B,'TB 1125'!$A95,'Raw TB 1125'!E:E)</f>
        <v>0</v>
      </c>
      <c r="E95" s="492">
        <f>SUMIF('Raw TB 1125'!$B:$B,'TB 1125'!$A95,'Raw TB 1125'!F:F)+6844750</f>
        <v>65748616.530000001</v>
      </c>
      <c r="F95" s="492">
        <f t="shared" si="4"/>
        <v>65748.616529999999</v>
      </c>
      <c r="G95" s="502" t="s">
        <v>180</v>
      </c>
      <c r="H95" s="491" t="s">
        <v>64</v>
      </c>
      <c r="I95" s="491"/>
    </row>
    <row r="96" spans="1:9" x14ac:dyDescent="0.35">
      <c r="A96" s="491" t="s">
        <v>1260</v>
      </c>
      <c r="B96" s="492">
        <f>SUMIF('Raw TB 1125'!$B:$B,'TB 1125'!$A96,'Raw TB 1125'!C:C)</f>
        <v>-1300809153</v>
      </c>
      <c r="C96" s="492">
        <f>SUMIF('Raw TB 1125'!$B:$B,'TB 1125'!$A96,'Raw TB 1125'!D:D)</f>
        <v>2654736252</v>
      </c>
      <c r="D96" s="492">
        <f>SUMIF('Raw TB 1125'!$B:$B,'TB 1125'!$A96,'Raw TB 1125'!E:E)</f>
        <v>1353927099</v>
      </c>
      <c r="E96" s="492">
        <f>SUMIF('Raw TB 1125'!$B:$B,'TB 1125'!$A96,'Raw TB 1125'!F:F)</f>
        <v>0</v>
      </c>
      <c r="F96" s="492">
        <f t="shared" si="4"/>
        <v>0</v>
      </c>
      <c r="G96" s="502" t="s">
        <v>180</v>
      </c>
      <c r="H96" s="491" t="s">
        <v>64</v>
      </c>
      <c r="I96" s="491" t="s">
        <v>1400</v>
      </c>
    </row>
    <row r="97" spans="1:9" x14ac:dyDescent="0.35">
      <c r="A97" s="491" t="s">
        <v>594</v>
      </c>
      <c r="B97" s="492">
        <f>SUMIF('Raw TB 1125'!$B:$B,'TB 1125'!$A97,'Raw TB 1125'!C:C)</f>
        <v>0</v>
      </c>
      <c r="C97" s="492">
        <f>SUMIF('Raw TB 1125'!$B:$B,'TB 1125'!$A97,'Raw TB 1125'!D:D)</f>
        <v>44549174</v>
      </c>
      <c r="D97" s="492">
        <f>SUMIF('Raw TB 1125'!$B:$B,'TB 1125'!$A97,'Raw TB 1125'!E:E)</f>
        <v>62230392</v>
      </c>
      <c r="E97" s="492">
        <f>SUMIF('Raw TB 1125'!$B:$B,'TB 1125'!$A97,'Raw TB 1125'!F:F)</f>
        <v>-17681218</v>
      </c>
      <c r="F97" s="492">
        <f t="shared" si="4"/>
        <v>-17681.218000000001</v>
      </c>
      <c r="G97" s="502" t="s">
        <v>184</v>
      </c>
      <c r="H97" s="491" t="s">
        <v>49</v>
      </c>
      <c r="I97" s="491"/>
    </row>
    <row r="98" spans="1:9" x14ac:dyDescent="0.35">
      <c r="A98" s="491" t="s">
        <v>1363</v>
      </c>
      <c r="B98" s="492">
        <f>SUMIF('Raw TB 1125'!$B:$B,'TB 1125'!$A98,'Raw TB 1125'!C:C)</f>
        <v>0</v>
      </c>
      <c r="C98" s="492">
        <f>SUMIF('Raw TB 1125'!$B:$B,'TB 1125'!$A98,'Raw TB 1125'!D:D)</f>
        <v>0</v>
      </c>
      <c r="D98" s="492">
        <f>SUMIF('Raw TB 1125'!$B:$B,'TB 1125'!$A98,'Raw TB 1125'!E:E)</f>
        <v>0</v>
      </c>
      <c r="E98" s="492">
        <f>SUMIF('Raw TB 1125'!$B:$B,'TB 1125'!$A98,'Raw TB 1125'!F:F)</f>
        <v>0</v>
      </c>
      <c r="F98" s="492">
        <f t="shared" si="4"/>
        <v>0</v>
      </c>
      <c r="G98" s="502" t="s">
        <v>184</v>
      </c>
      <c r="H98" s="491" t="s">
        <v>49</v>
      </c>
      <c r="I98" s="491"/>
    </row>
    <row r="99" spans="1:9" x14ac:dyDescent="0.35">
      <c r="A99" s="491" t="s">
        <v>408</v>
      </c>
      <c r="B99" s="492">
        <f>SUMIF('Raw TB 1125'!$B:$B,'TB 1125'!$A99,'Raw TB 1125'!C:C)</f>
        <v>0</v>
      </c>
      <c r="C99" s="492">
        <f>SUMIF('Raw TB 1125'!$B:$B,'TB 1125'!$A99,'Raw TB 1125'!D:D)</f>
        <v>0</v>
      </c>
      <c r="D99" s="492">
        <f>SUMIF('Raw TB 1125'!$B:$B,'TB 1125'!$A99,'Raw TB 1125'!E:E)</f>
        <v>0</v>
      </c>
      <c r="E99" s="492">
        <f>SUMIF('Raw TB 1125'!$B:$B,'TB 1125'!$A99,'Raw TB 1125'!F:F)</f>
        <v>0</v>
      </c>
      <c r="F99" s="492">
        <f t="shared" ref="F99:F130" si="5">E99/10^3</f>
        <v>0</v>
      </c>
      <c r="G99" s="502" t="s">
        <v>182</v>
      </c>
      <c r="H99" s="491" t="s">
        <v>41</v>
      </c>
      <c r="I99" s="491"/>
    </row>
    <row r="100" spans="1:9" x14ac:dyDescent="0.35">
      <c r="A100" s="491" t="s">
        <v>595</v>
      </c>
      <c r="B100" s="492">
        <f>SUMIF('Raw TB 1125'!$B:$B,'TB 1125'!$A100,'Raw TB 1125'!C:C)</f>
        <v>0</v>
      </c>
      <c r="C100" s="492">
        <f>SUMIF('Raw TB 1125'!$B:$B,'TB 1125'!$A100,'Raw TB 1125'!D:D)</f>
        <v>16259.22</v>
      </c>
      <c r="D100" s="492">
        <f>SUMIF('Raw TB 1125'!$B:$B,'TB 1125'!$A100,'Raw TB 1125'!E:E)</f>
        <v>0</v>
      </c>
      <c r="E100" s="492">
        <f>SUMIF('Raw TB 1125'!$B:$B,'TB 1125'!$A100,'Raw TB 1125'!F:F)</f>
        <v>16259.22</v>
      </c>
      <c r="F100" s="492">
        <f t="shared" si="5"/>
        <v>16.259219999999999</v>
      </c>
      <c r="G100" s="502" t="s">
        <v>182</v>
      </c>
      <c r="H100" s="491" t="s">
        <v>43</v>
      </c>
      <c r="I100" s="491"/>
    </row>
    <row r="101" spans="1:9" x14ac:dyDescent="0.35">
      <c r="A101" s="491" t="s">
        <v>38</v>
      </c>
      <c r="B101" s="492">
        <f>SUMIF('Raw TB 1125'!$B:$B,'TB 1125'!$A101,'Raw TB 1125'!C:C)</f>
        <v>0</v>
      </c>
      <c r="C101" s="492">
        <f>SUMIF('Raw TB 1125'!$B:$B,'TB 1125'!$A101,'Raw TB 1125'!D:D)-1500000</f>
        <v>27923759.399999999</v>
      </c>
      <c r="D101" s="492">
        <f>SUMIF('Raw TB 1125'!$B:$B,'TB 1125'!$A101,'Raw TB 1125'!E:E)</f>
        <v>15670233</v>
      </c>
      <c r="E101" s="492">
        <f>B101+C101-D101</f>
        <v>12253526.399999999</v>
      </c>
      <c r="F101" s="492">
        <f t="shared" si="5"/>
        <v>12253.526399999999</v>
      </c>
      <c r="G101" s="502" t="s">
        <v>182</v>
      </c>
      <c r="H101" s="491" t="s">
        <v>38</v>
      </c>
      <c r="I101" s="491"/>
    </row>
    <row r="102" spans="1:9" x14ac:dyDescent="0.35">
      <c r="A102" s="491" t="s">
        <v>409</v>
      </c>
      <c r="B102" s="492">
        <f>SUMIF('Raw TB 1125'!$B:$B,'TB 1125'!$A102,'Raw TB 1125'!C:C)</f>
        <v>0</v>
      </c>
      <c r="C102" s="492">
        <f>SUMIF('Raw TB 1125'!$B:$B,'TB 1125'!$A102,'Raw TB 1125'!D:D)</f>
        <v>0</v>
      </c>
      <c r="D102" s="492">
        <f>SUMIF('Raw TB 1125'!$B:$B,'TB 1125'!$A102,'Raw TB 1125'!E:E)</f>
        <v>0</v>
      </c>
      <c r="E102" s="492">
        <f>SUMIF('Raw TB 1125'!$B:$B,'TB 1125'!$A102,'Raw TB 1125'!F:F)</f>
        <v>0</v>
      </c>
      <c r="F102" s="492">
        <f t="shared" si="5"/>
        <v>0</v>
      </c>
      <c r="G102" s="502" t="s">
        <v>182</v>
      </c>
      <c r="H102" s="491" t="s">
        <v>31</v>
      </c>
      <c r="I102" s="491"/>
    </row>
    <row r="103" spans="1:9" x14ac:dyDescent="0.35">
      <c r="A103" s="491" t="s">
        <v>296</v>
      </c>
      <c r="B103" s="492">
        <f>SUMIF('Raw TB 1125'!$B:$B,'TB 1125'!$A103,'Raw TB 1125'!C:C)</f>
        <v>0</v>
      </c>
      <c r="C103" s="492">
        <f>SUMIF('Raw TB 1125'!$B:$B,'TB 1125'!$A103,'Raw TB 1125'!D:D)-1000000</f>
        <v>48032997.289999999</v>
      </c>
      <c r="D103" s="492">
        <f>SUMIF('Raw TB 1125'!$B:$B,'TB 1125'!$A103,'Raw TB 1125'!E:E)</f>
        <v>17011324.469999999</v>
      </c>
      <c r="E103" s="492">
        <f>B103+C103-D103</f>
        <v>31021672.82</v>
      </c>
      <c r="F103" s="492">
        <f t="shared" si="5"/>
        <v>31021.67282</v>
      </c>
      <c r="G103" s="502" t="s">
        <v>182</v>
      </c>
      <c r="H103" s="491" t="s">
        <v>37</v>
      </c>
      <c r="I103" s="491"/>
    </row>
    <row r="104" spans="1:9" x14ac:dyDescent="0.35">
      <c r="A104" s="491" t="s">
        <v>34</v>
      </c>
      <c r="B104" s="492">
        <f>SUMIF('Raw TB 1125'!$B:$B,'TB 1125'!$A104,'Raw TB 1125'!C:C)</f>
        <v>0</v>
      </c>
      <c r="C104" s="492">
        <f>SUMIF('Raw TB 1125'!$B:$B,'TB 1125'!$A104,'Raw TB 1125'!D:D)</f>
        <v>3432641.91</v>
      </c>
      <c r="D104" s="492">
        <f>SUMIF('Raw TB 1125'!$B:$B,'TB 1125'!$A104,'Raw TB 1125'!E:E)</f>
        <v>1573124.66</v>
      </c>
      <c r="E104" s="492">
        <f>SUMIF('Raw TB 1125'!$B:$B,'TB 1125'!$A104,'Raw TB 1125'!F:F)</f>
        <v>1859517.25</v>
      </c>
      <c r="F104" s="492">
        <f t="shared" si="5"/>
        <v>1859.5172500000001</v>
      </c>
      <c r="G104" s="502" t="s">
        <v>182</v>
      </c>
      <c r="H104" s="491" t="s">
        <v>34</v>
      </c>
      <c r="I104" s="491"/>
    </row>
    <row r="105" spans="1:9" x14ac:dyDescent="0.35">
      <c r="A105" s="491" t="s">
        <v>596</v>
      </c>
      <c r="B105" s="492">
        <f>SUMIF('Raw TB 1125'!$B:$B,'TB 1125'!$A105,'Raw TB 1125'!C:C)</f>
        <v>0</v>
      </c>
      <c r="C105" s="492">
        <f>SUMIF('Raw TB 1125'!$B:$B,'TB 1125'!$A105,'Raw TB 1125'!D:D)</f>
        <v>1006834.74</v>
      </c>
      <c r="D105" s="492">
        <f>SUMIF('Raw TB 1125'!$B:$B,'TB 1125'!$A105,'Raw TB 1125'!E:E)</f>
        <v>0</v>
      </c>
      <c r="E105" s="492">
        <f>SUMIF('Raw TB 1125'!$B:$B,'TB 1125'!$A105,'Raw TB 1125'!F:F)</f>
        <v>1006834.74</v>
      </c>
      <c r="F105" s="492">
        <f t="shared" si="5"/>
        <v>1006.83474</v>
      </c>
      <c r="G105" s="502" t="s">
        <v>182</v>
      </c>
      <c r="H105" s="491" t="s">
        <v>48</v>
      </c>
      <c r="I105" s="491"/>
    </row>
    <row r="106" spans="1:9" x14ac:dyDescent="0.35">
      <c r="A106" s="491" t="s">
        <v>109</v>
      </c>
      <c r="B106" s="492">
        <f>SUMIF('Raw TB 1125'!$B:$B,'TB 1125'!$A106,'Raw TB 1125'!C:C)</f>
        <v>0</v>
      </c>
      <c r="C106" s="492">
        <f>SUMIF('Raw TB 1125'!$B:$B,'TB 1125'!$A106,'Raw TB 1125'!D:D)</f>
        <v>464708</v>
      </c>
      <c r="D106" s="492">
        <f>SUMIF('Raw TB 1125'!$B:$B,'TB 1125'!$A106,'Raw TB 1125'!E:E)</f>
        <v>0</v>
      </c>
      <c r="E106" s="492">
        <f>SUMIF('Raw TB 1125'!$B:$B,'TB 1125'!$A106,'Raw TB 1125'!F:F)</f>
        <v>464708</v>
      </c>
      <c r="F106" s="492">
        <f t="shared" si="5"/>
        <v>464.70800000000003</v>
      </c>
      <c r="G106" s="502" t="s">
        <v>182</v>
      </c>
      <c r="H106" s="491"/>
      <c r="I106" s="491"/>
    </row>
    <row r="107" spans="1:9" x14ac:dyDescent="0.35">
      <c r="A107" s="491" t="s">
        <v>597</v>
      </c>
      <c r="B107" s="492">
        <f>SUMIF('Raw TB 1125'!$B:$B,'TB 1125'!$A107,'Raw TB 1125'!C:C)</f>
        <v>0</v>
      </c>
      <c r="C107" s="492">
        <f>SUMIF('Raw TB 1125'!$B:$B,'TB 1125'!$A107,'Raw TB 1125'!D:D)</f>
        <v>34667.800000000003</v>
      </c>
      <c r="D107" s="492">
        <f>SUMIF('Raw TB 1125'!$B:$B,'TB 1125'!$A107,'Raw TB 1125'!E:E)</f>
        <v>0</v>
      </c>
      <c r="E107" s="492">
        <f>SUMIF('Raw TB 1125'!$B:$B,'TB 1125'!$A107,'Raw TB 1125'!F:F)</f>
        <v>34667.800000000003</v>
      </c>
      <c r="F107" s="492">
        <f t="shared" si="5"/>
        <v>34.6678</v>
      </c>
      <c r="G107" s="502" t="s">
        <v>182</v>
      </c>
      <c r="H107" s="491" t="s">
        <v>417</v>
      </c>
      <c r="I107" s="491"/>
    </row>
    <row r="108" spans="1:9" x14ac:dyDescent="0.35">
      <c r="A108" s="491" t="s">
        <v>598</v>
      </c>
      <c r="B108" s="492">
        <f>SUMIF('Raw TB 1125'!$B:$B,'TB 1125'!$A108,'Raw TB 1125'!C:C)</f>
        <v>0</v>
      </c>
      <c r="C108" s="492">
        <f>SUMIF('Raw TB 1125'!$B:$B,'TB 1125'!$A108,'Raw TB 1125'!D:D)</f>
        <v>6233841.7699999996</v>
      </c>
      <c r="D108" s="492">
        <f>SUMIF('Raw TB 1125'!$B:$B,'TB 1125'!$A108,'Raw TB 1125'!E:E)</f>
        <v>830723.03</v>
      </c>
      <c r="E108" s="492">
        <f>SUMIF('Raw TB 1125'!$B:$B,'TB 1125'!$A108,'Raw TB 1125'!F:F)</f>
        <v>5403118.7400000002</v>
      </c>
      <c r="F108" s="492">
        <f t="shared" si="5"/>
        <v>5403.1187399999999</v>
      </c>
      <c r="G108" s="502" t="s">
        <v>182</v>
      </c>
      <c r="H108" s="491" t="s">
        <v>417</v>
      </c>
      <c r="I108" s="491"/>
    </row>
    <row r="109" spans="1:9" x14ac:dyDescent="0.35">
      <c r="A109" s="491" t="s">
        <v>599</v>
      </c>
      <c r="B109" s="492">
        <f>SUMIF('Raw TB 1125'!$B:$B,'TB 1125'!$A109,'Raw TB 1125'!C:C)</f>
        <v>0</v>
      </c>
      <c r="C109" s="492">
        <f>SUMIF('Raw TB 1125'!$B:$B,'TB 1125'!$A109,'Raw TB 1125'!D:D)</f>
        <v>0</v>
      </c>
      <c r="D109" s="492">
        <f>SUMIF('Raw TB 1125'!$B:$B,'TB 1125'!$A109,'Raw TB 1125'!E:E)</f>
        <v>0</v>
      </c>
      <c r="E109" s="492">
        <f>SUMIF('Raw TB 1125'!$B:$B,'TB 1125'!$A109,'Raw TB 1125'!F:F)</f>
        <v>0</v>
      </c>
      <c r="F109" s="492">
        <f t="shared" si="5"/>
        <v>0</v>
      </c>
      <c r="G109" s="502" t="s">
        <v>182</v>
      </c>
      <c r="H109" s="491" t="s">
        <v>417</v>
      </c>
      <c r="I109" s="491"/>
    </row>
    <row r="110" spans="1:9" x14ac:dyDescent="0.35">
      <c r="A110" s="491" t="s">
        <v>417</v>
      </c>
      <c r="B110" s="492">
        <f>SUMIF('Raw TB 1125'!$B:$B,'TB 1125'!$A110,'Raw TB 1125'!C:C)</f>
        <v>0</v>
      </c>
      <c r="C110" s="492">
        <f>SUMIF('Raw TB 1125'!$B:$B,'TB 1125'!$A110,'Raw TB 1125'!D:D)</f>
        <v>0</v>
      </c>
      <c r="D110" s="492">
        <f>SUMIF('Raw TB 1125'!$B:$B,'TB 1125'!$A110,'Raw TB 1125'!E:E)</f>
        <v>0</v>
      </c>
      <c r="E110" s="492">
        <f>SUMIF('Raw TB 1125'!$B:$B,'TB 1125'!$A110,'Raw TB 1125'!F:F)</f>
        <v>0</v>
      </c>
      <c r="F110" s="492">
        <f t="shared" si="5"/>
        <v>0</v>
      </c>
      <c r="G110" s="502" t="s">
        <v>182</v>
      </c>
      <c r="H110" s="491" t="s">
        <v>417</v>
      </c>
      <c r="I110" s="491"/>
    </row>
    <row r="111" spans="1:9" x14ac:dyDescent="0.35">
      <c r="A111" s="491" t="s">
        <v>759</v>
      </c>
      <c r="B111" s="492">
        <f>SUMIF('Raw TB 1125'!$B:$B,'TB 1125'!$A111,'Raw TB 1125'!C:C)</f>
        <v>0</v>
      </c>
      <c r="C111" s="492">
        <f>SUMIF('Raw TB 1125'!$B:$B,'TB 1125'!$A111,'Raw TB 1125'!D:D)</f>
        <v>6844750</v>
      </c>
      <c r="D111" s="492">
        <f>SUMIF('Raw TB 1125'!$B:$B,'TB 1125'!$A111,'Raw TB 1125'!E:E)</f>
        <v>0</v>
      </c>
      <c r="E111" s="492">
        <f>SUMIF('Raw TB 1125'!$B:$B,'TB 1125'!$A111,'Raw TB 1125'!F:F)</f>
        <v>6844750</v>
      </c>
      <c r="F111" s="492">
        <f t="shared" si="5"/>
        <v>6844.75</v>
      </c>
      <c r="G111" s="502" t="s">
        <v>182</v>
      </c>
      <c r="H111" s="491" t="s">
        <v>26</v>
      </c>
      <c r="I111" s="491"/>
    </row>
    <row r="112" spans="1:9" x14ac:dyDescent="0.35">
      <c r="A112" s="491" t="s">
        <v>778</v>
      </c>
      <c r="B112" s="492">
        <f>SUMIF('Raw TB 1125'!$B:$B,'TB 1125'!$A112,'Raw TB 1125'!C:C)</f>
        <v>0</v>
      </c>
      <c r="C112" s="492">
        <f>SUMIF('Raw TB 1125'!$B:$B,'TB 1125'!$A112,'Raw TB 1125'!D:D)</f>
        <v>44540</v>
      </c>
      <c r="D112" s="492">
        <f>SUMIF('Raw TB 1125'!$B:$B,'TB 1125'!$A112,'Raw TB 1125'!E:E)</f>
        <v>22270.34</v>
      </c>
      <c r="E112" s="492">
        <f>SUMIF('Raw TB 1125'!$B:$B,'TB 1125'!$A112,'Raw TB 1125'!F:F)</f>
        <v>22269.66</v>
      </c>
      <c r="F112" s="492">
        <f t="shared" si="5"/>
        <v>22.269659999999998</v>
      </c>
      <c r="G112" s="502" t="s">
        <v>182</v>
      </c>
      <c r="H112" s="491" t="s">
        <v>26</v>
      </c>
      <c r="I112" s="491"/>
    </row>
    <row r="113" spans="1:9" x14ac:dyDescent="0.35">
      <c r="A113" s="491" t="s">
        <v>1262</v>
      </c>
      <c r="B113" s="492">
        <f>SUMIF('Raw TB 1125'!$B:$B,'TB 1125'!$A113,'Raw TB 1125'!C:C)</f>
        <v>0</v>
      </c>
      <c r="C113" s="492">
        <f>SUMIF('Raw TB 1125'!$B:$B,'TB 1125'!$A113,'Raw TB 1125'!D:D)</f>
        <v>0</v>
      </c>
      <c r="D113" s="492">
        <f>SUMIF('Raw TB 1125'!$B:$B,'TB 1125'!$A113,'Raw TB 1125'!E:E)</f>
        <v>0</v>
      </c>
      <c r="E113" s="492">
        <f>SUMIF('Raw TB 1125'!$B:$B,'TB 1125'!$A113,'Raw TB 1125'!F:F)</f>
        <v>0</v>
      </c>
      <c r="F113" s="492">
        <f t="shared" si="5"/>
        <v>0</v>
      </c>
      <c r="G113" s="502" t="s">
        <v>184</v>
      </c>
      <c r="H113" s="491" t="s">
        <v>43</v>
      </c>
      <c r="I113" s="491"/>
    </row>
    <row r="114" spans="1:9" x14ac:dyDescent="0.35">
      <c r="A114" s="491" t="s">
        <v>864</v>
      </c>
      <c r="B114" s="492">
        <f>SUMIF('Raw TB 1125'!$B:$B,'TB 1125'!$A114,'Raw TB 1125'!C:C)</f>
        <v>0</v>
      </c>
      <c r="C114" s="492">
        <f>SUMIF('Raw TB 1125'!$B:$B,'TB 1125'!$A114,'Raw TB 1125'!D:D)</f>
        <v>673600</v>
      </c>
      <c r="D114" s="492">
        <f>SUMIF('Raw TB 1125'!$B:$B,'TB 1125'!$A114,'Raw TB 1125'!E:E)</f>
        <v>89100</v>
      </c>
      <c r="E114" s="492">
        <f>SUMIF('Raw TB 1125'!$B:$B,'TB 1125'!$A114,'Raw TB 1125'!F:F)</f>
        <v>584500</v>
      </c>
      <c r="F114" s="492">
        <f t="shared" si="5"/>
        <v>584.5</v>
      </c>
      <c r="G114" s="502" t="s">
        <v>182</v>
      </c>
      <c r="H114" s="491" t="s">
        <v>958</v>
      </c>
      <c r="I114" s="491"/>
    </row>
    <row r="115" spans="1:9" x14ac:dyDescent="0.35">
      <c r="A115" s="491" t="s">
        <v>32</v>
      </c>
      <c r="B115" s="492">
        <f>SUMIF('Raw TB 1125'!$B:$B,'TB 1125'!$A115,'Raw TB 1125'!C:C)</f>
        <v>0</v>
      </c>
      <c r="C115" s="492">
        <f>SUMIF('Raw TB 1125'!$B:$B,'TB 1125'!$A115,'Raw TB 1125'!D:D)</f>
        <v>9034019.9700000007</v>
      </c>
      <c r="D115" s="492">
        <f>SUMIF('Raw TB 1125'!$B:$B,'TB 1125'!$A115,'Raw TB 1125'!E:E)</f>
        <v>4436640.53</v>
      </c>
      <c r="E115" s="492">
        <f>SUMIF('Raw TB 1125'!$B:$B,'TB 1125'!$A115,'Raw TB 1125'!F:F)</f>
        <v>4597379.4400000004</v>
      </c>
      <c r="F115" s="492">
        <f t="shared" si="5"/>
        <v>4597.3794400000006</v>
      </c>
      <c r="G115" s="502" t="s">
        <v>182</v>
      </c>
      <c r="H115" s="491" t="s">
        <v>32</v>
      </c>
      <c r="I115" s="491"/>
    </row>
    <row r="116" spans="1:9" x14ac:dyDescent="0.35">
      <c r="A116" s="491" t="s">
        <v>602</v>
      </c>
      <c r="B116" s="492">
        <f>SUMIF('Raw TB 1125'!$B:$B,'TB 1125'!$A116,'Raw TB 1125'!C:C)</f>
        <v>0</v>
      </c>
      <c r="C116" s="492">
        <f>SUMIF('Raw TB 1125'!$B:$B,'TB 1125'!$A116,'Raw TB 1125'!D:D)</f>
        <v>63868.65</v>
      </c>
      <c r="D116" s="492">
        <f>SUMIF('Raw TB 1125'!$B:$B,'TB 1125'!$A116,'Raw TB 1125'!E:E)</f>
        <v>11124.95</v>
      </c>
      <c r="E116" s="492">
        <f>SUMIF('Raw TB 1125'!$B:$B,'TB 1125'!$A116,'Raw TB 1125'!F:F)</f>
        <v>52743.7</v>
      </c>
      <c r="F116" s="492">
        <f t="shared" si="5"/>
        <v>52.743699999999997</v>
      </c>
      <c r="G116" s="502" t="s">
        <v>182</v>
      </c>
      <c r="H116" s="491" t="s">
        <v>42</v>
      </c>
      <c r="I116" s="491"/>
    </row>
    <row r="117" spans="1:9" x14ac:dyDescent="0.35">
      <c r="A117" s="491" t="s">
        <v>603</v>
      </c>
      <c r="B117" s="492">
        <f>SUMIF('Raw TB 1125'!$B:$B,'TB 1125'!$A117,'Raw TB 1125'!C:C)</f>
        <v>0</v>
      </c>
      <c r="C117" s="492">
        <f>SUMIF('Raw TB 1125'!$B:$B,'TB 1125'!$A117,'Raw TB 1125'!D:D)</f>
        <v>2778230.74</v>
      </c>
      <c r="D117" s="492">
        <f>SUMIF('Raw TB 1125'!$B:$B,'TB 1125'!$A117,'Raw TB 1125'!E:E)</f>
        <v>74000</v>
      </c>
      <c r="E117" s="492">
        <f>SUMIF('Raw TB 1125'!$B:$B,'TB 1125'!$A117,'Raw TB 1125'!F:F)</f>
        <v>2704230.74</v>
      </c>
      <c r="F117" s="492">
        <f t="shared" si="5"/>
        <v>2704.2307400000004</v>
      </c>
      <c r="G117" s="502" t="s">
        <v>182</v>
      </c>
      <c r="H117" s="491" t="s">
        <v>42</v>
      </c>
      <c r="I117" s="491"/>
    </row>
    <row r="118" spans="1:9" x14ac:dyDescent="0.35">
      <c r="A118" s="491" t="s">
        <v>957</v>
      </c>
      <c r="B118" s="492">
        <f>SUMIF('Raw TB 1125'!$B:$B,'TB 1125'!$A118,'Raw TB 1125'!C:C)</f>
        <v>0</v>
      </c>
      <c r="C118" s="492">
        <f>SUMIF('Raw TB 1125'!$B:$B,'TB 1125'!$A118,'Raw TB 1125'!D:D)</f>
        <v>990481.43</v>
      </c>
      <c r="D118" s="492">
        <f>SUMIF('Raw TB 1125'!$B:$B,'TB 1125'!$A118,'Raw TB 1125'!E:E)</f>
        <v>533012.19999999995</v>
      </c>
      <c r="E118" s="492">
        <f>SUMIF('Raw TB 1125'!$B:$B,'TB 1125'!$A118,'Raw TB 1125'!F:F)</f>
        <v>457469.23</v>
      </c>
      <c r="F118" s="492">
        <f t="shared" si="5"/>
        <v>457.46922999999998</v>
      </c>
      <c r="G118" s="502" t="s">
        <v>182</v>
      </c>
      <c r="H118" s="491" t="s">
        <v>958</v>
      </c>
      <c r="I118" s="491"/>
    </row>
    <row r="119" spans="1:9" x14ac:dyDescent="0.35">
      <c r="A119" s="491" t="s">
        <v>604</v>
      </c>
      <c r="B119" s="492">
        <f>SUMIF('Raw TB 1125'!$B:$B,'TB 1125'!$A119,'Raw TB 1125'!C:C)</f>
        <v>0</v>
      </c>
      <c r="C119" s="492">
        <f>SUMIF('Raw TB 1125'!$B:$B,'TB 1125'!$A119,'Raw TB 1125'!D:D)</f>
        <v>9837.5</v>
      </c>
      <c r="D119" s="492">
        <f>SUMIF('Raw TB 1125'!$B:$B,'TB 1125'!$A119,'Raw TB 1125'!E:E)</f>
        <v>1</v>
      </c>
      <c r="E119" s="492">
        <f>SUMIF('Raw TB 1125'!$B:$B,'TB 1125'!$A119,'Raw TB 1125'!F:F)</f>
        <v>9836.5</v>
      </c>
      <c r="F119" s="492">
        <f t="shared" si="5"/>
        <v>9.8364999999999991</v>
      </c>
      <c r="G119" s="502" t="s">
        <v>182</v>
      </c>
      <c r="H119" s="491" t="s">
        <v>43</v>
      </c>
      <c r="I119" s="491"/>
    </row>
    <row r="120" spans="1:9" x14ac:dyDescent="0.35">
      <c r="A120" s="491" t="s">
        <v>605</v>
      </c>
      <c r="B120" s="492">
        <f>SUMIF('Raw TB 1125'!$B:$B,'TB 1125'!$A120,'Raw TB 1125'!C:C)</f>
        <v>0</v>
      </c>
      <c r="C120" s="492">
        <f>SUMIF('Raw TB 1125'!$B:$B,'TB 1125'!$A120,'Raw TB 1125'!D:D)</f>
        <v>10.56</v>
      </c>
      <c r="D120" s="492">
        <f>SUMIF('Raw TB 1125'!$B:$B,'TB 1125'!$A120,'Raw TB 1125'!E:E)</f>
        <v>4.83</v>
      </c>
      <c r="E120" s="492">
        <f>SUMIF('Raw TB 1125'!$B:$B,'TB 1125'!$A120,'Raw TB 1125'!F:F)</f>
        <v>5.73</v>
      </c>
      <c r="F120" s="492">
        <f t="shared" si="5"/>
        <v>5.7300000000000007E-3</v>
      </c>
      <c r="G120" s="502" t="s">
        <v>182</v>
      </c>
      <c r="H120" s="491" t="s">
        <v>43</v>
      </c>
      <c r="I120" s="491"/>
    </row>
    <row r="121" spans="1:9" x14ac:dyDescent="0.35">
      <c r="A121" s="491" t="s">
        <v>41</v>
      </c>
      <c r="B121" s="492">
        <f>SUMIF('Raw TB 1125'!$B:$B,'TB 1125'!$A121,'Raw TB 1125'!C:C)</f>
        <v>0</v>
      </c>
      <c r="C121" s="492">
        <f>SUMIF('Raw TB 1125'!$B:$B,'TB 1125'!$A121,'Raw TB 1125'!D:D)-950000</f>
        <v>1376437</v>
      </c>
      <c r="D121" s="492">
        <f>SUMIF('Raw TB 1125'!$B:$B,'TB 1125'!$A121,'Raw TB 1125'!E:E)</f>
        <v>70000</v>
      </c>
      <c r="E121" s="492">
        <f>B121+C121-D121</f>
        <v>1306437</v>
      </c>
      <c r="F121" s="492">
        <f t="shared" si="5"/>
        <v>1306.4369999999999</v>
      </c>
      <c r="G121" s="502" t="s">
        <v>182</v>
      </c>
      <c r="H121" s="491" t="s">
        <v>41</v>
      </c>
      <c r="I121" s="491"/>
    </row>
    <row r="122" spans="1:9" x14ac:dyDescent="0.35">
      <c r="A122" s="491" t="s">
        <v>606</v>
      </c>
      <c r="B122" s="492">
        <f>SUMIF('Raw TB 1125'!$B:$B,'TB 1125'!$A122,'Raw TB 1125'!C:C)</f>
        <v>0</v>
      </c>
      <c r="C122" s="492">
        <f>SUMIF('Raw TB 1125'!$B:$B,'TB 1125'!$A122,'Raw TB 1125'!D:D)</f>
        <v>24998.75</v>
      </c>
      <c r="D122" s="492">
        <f>SUMIF('Raw TB 1125'!$B:$B,'TB 1125'!$A122,'Raw TB 1125'!E:E)</f>
        <v>0</v>
      </c>
      <c r="E122" s="492">
        <f>SUMIF('Raw TB 1125'!$B:$B,'TB 1125'!$A122,'Raw TB 1125'!F:F)</f>
        <v>24998.75</v>
      </c>
      <c r="F122" s="492">
        <f t="shared" si="5"/>
        <v>24.998750000000001</v>
      </c>
      <c r="G122" s="502" t="s">
        <v>182</v>
      </c>
      <c r="H122" s="491" t="s">
        <v>43</v>
      </c>
      <c r="I122" s="491"/>
    </row>
    <row r="123" spans="1:9" x14ac:dyDescent="0.35">
      <c r="A123" s="491" t="s">
        <v>239</v>
      </c>
      <c r="B123" s="492">
        <f>SUMIF('Raw TB 1125'!$B:$B,'TB 1125'!$A123,'Raw TB 1125'!C:C)</f>
        <v>0</v>
      </c>
      <c r="C123" s="492">
        <f>SUMIF('Raw TB 1125'!$B:$B,'TB 1125'!$A123,'Raw TB 1125'!D:D)</f>
        <v>67950</v>
      </c>
      <c r="D123" s="492">
        <f>SUMIF('Raw TB 1125'!$B:$B,'TB 1125'!$A123,'Raw TB 1125'!E:E)</f>
        <v>0</v>
      </c>
      <c r="E123" s="492">
        <f>SUMIF('Raw TB 1125'!$B:$B,'TB 1125'!$A123,'Raw TB 1125'!F:F)</f>
        <v>67950</v>
      </c>
      <c r="F123" s="492">
        <f t="shared" si="5"/>
        <v>67.95</v>
      </c>
      <c r="G123" s="502" t="s">
        <v>182</v>
      </c>
      <c r="H123" s="491" t="s">
        <v>263</v>
      </c>
      <c r="I123" s="491"/>
    </row>
    <row r="124" spans="1:9" x14ac:dyDescent="0.35">
      <c r="A124" s="491" t="s">
        <v>607</v>
      </c>
      <c r="B124" s="492">
        <f>SUMIF('Raw TB 1125'!$B:$B,'TB 1125'!$A124,'Raw TB 1125'!C:C)</f>
        <v>0</v>
      </c>
      <c r="C124" s="492">
        <f>SUMIF('Raw TB 1125'!$B:$B,'TB 1125'!$A124,'Raw TB 1125'!D:D)</f>
        <v>36407120.600000001</v>
      </c>
      <c r="D124" s="492">
        <f>SUMIF('Raw TB 1125'!$B:$B,'TB 1125'!$A124,'Raw TB 1125'!E:E)</f>
        <v>252935.13</v>
      </c>
      <c r="E124" s="492">
        <f>SUMIF('Raw TB 1125'!$B:$B,'TB 1125'!$A124,'Raw TB 1125'!F:F)</f>
        <v>36154185.469999999</v>
      </c>
      <c r="F124" s="492">
        <f t="shared" si="5"/>
        <v>36154.185469999997</v>
      </c>
      <c r="G124" s="502" t="s">
        <v>182</v>
      </c>
      <c r="H124" s="491"/>
      <c r="I124" s="491"/>
    </row>
    <row r="125" spans="1:9" x14ac:dyDescent="0.35">
      <c r="A125" s="491" t="s">
        <v>26</v>
      </c>
      <c r="B125" s="492">
        <f>SUMIF('Raw TB 1125'!$B:$B,'TB 1125'!$A125,'Raw TB 1125'!C:C)</f>
        <v>0</v>
      </c>
      <c r="C125" s="492">
        <f>SUMIF('Raw TB 1125'!$B:$B,'TB 1125'!$A125,'Raw TB 1125'!D:D)-6844750</f>
        <v>85528553.739999995</v>
      </c>
      <c r="D125" s="492">
        <f>SUMIF('Raw TB 1125'!$B:$B,'TB 1125'!$A125,'Raw TB 1125'!E:E)</f>
        <v>400000</v>
      </c>
      <c r="E125" s="492">
        <f>SUMIF('Raw TB 1125'!$B:$B,'TB 1125'!$A125,'Raw TB 1125'!F:F)-6844750</f>
        <v>85128553.739999995</v>
      </c>
      <c r="F125" s="492">
        <f t="shared" si="5"/>
        <v>85128.553739999988</v>
      </c>
      <c r="G125" s="502" t="s">
        <v>182</v>
      </c>
      <c r="H125" s="491" t="s">
        <v>26</v>
      </c>
      <c r="I125" s="491"/>
    </row>
    <row r="126" spans="1:9" x14ac:dyDescent="0.35">
      <c r="A126" s="491" t="s">
        <v>608</v>
      </c>
      <c r="B126" s="492">
        <f>SUMIF('Raw TB 1125'!$B:$B,'TB 1125'!$A126,'Raw TB 1125'!C:C)</f>
        <v>0</v>
      </c>
      <c r="C126" s="492">
        <f>SUMIF('Raw TB 1125'!$B:$B,'TB 1125'!$A126,'Raw TB 1125'!D:D)</f>
        <v>6555147.9500000002</v>
      </c>
      <c r="D126" s="492">
        <f>SUMIF('Raw TB 1125'!$B:$B,'TB 1125'!$A126,'Raw TB 1125'!E:E)</f>
        <v>3153866.8</v>
      </c>
      <c r="E126" s="492">
        <f>SUMIF('Raw TB 1125'!$B:$B,'TB 1125'!$A126,'Raw TB 1125'!F:F)</f>
        <v>3401281.15</v>
      </c>
      <c r="F126" s="492">
        <f t="shared" si="5"/>
        <v>3401.2811499999998</v>
      </c>
      <c r="G126" s="502" t="s">
        <v>182</v>
      </c>
      <c r="H126" s="491" t="s">
        <v>39</v>
      </c>
      <c r="I126" s="491"/>
    </row>
    <row r="127" spans="1:9" x14ac:dyDescent="0.35">
      <c r="A127" s="491" t="s">
        <v>609</v>
      </c>
      <c r="B127" s="492">
        <f>SUMIF('Raw TB 1125'!$B:$B,'TB 1125'!$A127,'Raw TB 1125'!C:C)</f>
        <v>0</v>
      </c>
      <c r="C127" s="492">
        <f>SUMIF('Raw TB 1125'!$B:$B,'TB 1125'!$A127,'Raw TB 1125'!D:D)</f>
        <v>24145454.859999999</v>
      </c>
      <c r="D127" s="492">
        <f>SUMIF('Raw TB 1125'!$B:$B,'TB 1125'!$A127,'Raw TB 1125'!E:E)</f>
        <v>10414555.15</v>
      </c>
      <c r="E127" s="492">
        <f>SUMIF('Raw TB 1125'!$B:$B,'TB 1125'!$A127,'Raw TB 1125'!F:F)</f>
        <v>13730899.710000001</v>
      </c>
      <c r="F127" s="492">
        <f t="shared" si="5"/>
        <v>13730.899710000002</v>
      </c>
      <c r="G127" s="502" t="s">
        <v>182</v>
      </c>
      <c r="H127" s="491" t="s">
        <v>33</v>
      </c>
      <c r="I127" s="491"/>
    </row>
    <row r="128" spans="1:9" x14ac:dyDescent="0.35">
      <c r="A128" s="491" t="s">
        <v>610</v>
      </c>
      <c r="B128" s="492">
        <f>SUMIF('Raw TB 1125'!$B:$B,'TB 1125'!$A128,'Raw TB 1125'!C:C)</f>
        <v>0</v>
      </c>
      <c r="C128" s="492">
        <f>SUMIF('Raw TB 1125'!$B:$B,'TB 1125'!$A128,'Raw TB 1125'!D:D)</f>
        <v>3341311.52</v>
      </c>
      <c r="D128" s="492">
        <f>SUMIF('Raw TB 1125'!$B:$B,'TB 1125'!$A128,'Raw TB 1125'!E:E)</f>
        <v>1079549.3500000001</v>
      </c>
      <c r="E128" s="492">
        <f>SUMIF('Raw TB 1125'!$B:$B,'TB 1125'!$A128,'Raw TB 1125'!F:F)</f>
        <v>2261762.17</v>
      </c>
      <c r="F128" s="492">
        <f t="shared" si="5"/>
        <v>2261.76217</v>
      </c>
      <c r="G128" s="502" t="s">
        <v>182</v>
      </c>
      <c r="H128" s="491" t="s">
        <v>31</v>
      </c>
      <c r="I128" s="491"/>
    </row>
    <row r="129" spans="1:10" x14ac:dyDescent="0.35">
      <c r="A129" s="491" t="s">
        <v>611</v>
      </c>
      <c r="B129" s="492">
        <f>SUMIF('Raw TB 1125'!$B:$B,'TB 1125'!$A129,'Raw TB 1125'!C:C)</f>
        <v>0</v>
      </c>
      <c r="C129" s="492">
        <f>SUMIF('Raw TB 1125'!$B:$B,'TB 1125'!$A129,'Raw TB 1125'!D:D)</f>
        <v>1847982</v>
      </c>
      <c r="D129" s="492">
        <f>SUMIF('Raw TB 1125'!$B:$B,'TB 1125'!$A129,'Raw TB 1125'!E:E)</f>
        <v>97586.02</v>
      </c>
      <c r="E129" s="492">
        <f>SUMIF('Raw TB 1125'!$B:$B,'TB 1125'!$A129,'Raw TB 1125'!F:F)</f>
        <v>1750395.98</v>
      </c>
      <c r="F129" s="492">
        <f t="shared" si="5"/>
        <v>1750.39598</v>
      </c>
      <c r="G129" s="502" t="s">
        <v>182</v>
      </c>
      <c r="H129" s="491" t="s">
        <v>31</v>
      </c>
      <c r="I129" s="491"/>
    </row>
    <row r="130" spans="1:10" x14ac:dyDescent="0.35">
      <c r="A130" s="503" t="s">
        <v>960</v>
      </c>
      <c r="B130" s="492">
        <f>SUMIF('Raw TB 1125'!$B:$B,'TB 1125'!$A130,'Raw TB 1125'!C:C)</f>
        <v>-70000</v>
      </c>
      <c r="C130" s="492">
        <f>SUMIF('Raw TB 1125'!$B:$B,'TB 1125'!$A130,'Raw TB 1125'!D:D)</f>
        <v>70000</v>
      </c>
      <c r="D130" s="492">
        <f>SUMIF('Raw TB 1125'!$B:$B,'TB 1125'!$A130,'Raw TB 1125'!E:E)-950000</f>
        <v>366320</v>
      </c>
      <c r="E130" s="492">
        <f>B130+C130-D130</f>
        <v>-366320</v>
      </c>
      <c r="F130" s="492">
        <f t="shared" si="5"/>
        <v>-366.32</v>
      </c>
      <c r="G130" s="502" t="s">
        <v>180</v>
      </c>
      <c r="H130" s="491" t="s">
        <v>69</v>
      </c>
      <c r="I130" s="491"/>
    </row>
    <row r="131" spans="1:10" x14ac:dyDescent="0.35">
      <c r="A131" s="491" t="s">
        <v>29</v>
      </c>
      <c r="B131" s="492">
        <f>SUMIF('Raw TB 1125'!$B:$B,'TB 1125'!$A131,'Raw TB 1125'!C:C)</f>
        <v>0</v>
      </c>
      <c r="C131" s="492">
        <f>SUMIF('Raw TB 1125'!$B:$B,'TB 1125'!$A131,'Raw TB 1125'!D:D)</f>
        <v>115362.49</v>
      </c>
      <c r="D131" s="492">
        <f>SUMIF('Raw TB 1125'!$B:$B,'TB 1125'!$A131,'Raw TB 1125'!E:E)</f>
        <v>0</v>
      </c>
      <c r="E131" s="492">
        <f>SUMIF('Raw TB 1125'!$B:$B,'TB 1125'!$A131,'Raw TB 1125'!F:F)</f>
        <v>115362.49</v>
      </c>
      <c r="F131" s="492">
        <f t="shared" ref="F131:F162" si="6">E131/10^3</f>
        <v>115.36249000000001</v>
      </c>
      <c r="G131" s="502" t="s">
        <v>182</v>
      </c>
      <c r="H131" s="491" t="s">
        <v>29</v>
      </c>
      <c r="I131" s="491"/>
    </row>
    <row r="132" spans="1:10" x14ac:dyDescent="0.35">
      <c r="A132" s="503" t="s">
        <v>623</v>
      </c>
      <c r="B132" s="492">
        <f>SUMIF('Raw TB 1125'!$B:$B,'TB 1125'!$A132,'Raw TB 1125'!C:C)</f>
        <v>-400000</v>
      </c>
      <c r="C132" s="492">
        <f>SUMIF('Raw TB 1125'!$B:$B,'TB 1125'!$A132,'Raw TB 1125'!D:D)</f>
        <v>400000</v>
      </c>
      <c r="D132" s="492">
        <f>SUMIF('Raw TB 1125'!$B:$B,'TB 1125'!$A132,'Raw TB 1125'!E:E)</f>
        <v>134790</v>
      </c>
      <c r="E132" s="492">
        <f>SUMIF('Raw TB 1125'!$B:$B,'TB 1125'!$A132,'Raw TB 1125'!F:F)</f>
        <v>-134790</v>
      </c>
      <c r="F132" s="492">
        <f t="shared" si="6"/>
        <v>-134.79</v>
      </c>
      <c r="G132" s="502" t="s">
        <v>180</v>
      </c>
      <c r="H132" s="491" t="s">
        <v>69</v>
      </c>
      <c r="I132" s="491"/>
    </row>
    <row r="133" spans="1:10" x14ac:dyDescent="0.35">
      <c r="A133" s="491" t="s">
        <v>1437</v>
      </c>
      <c r="B133" s="492">
        <f>SUMIF('Raw TB 1125'!$B:$B,'TB 1125'!$A133,'Raw TB 1125'!C:C)</f>
        <v>0</v>
      </c>
      <c r="C133" s="492">
        <f>SUMIF('Raw TB 1125'!$B:$B,'TB 1125'!$A133,'Raw TB 1125'!D:D)</f>
        <v>0</v>
      </c>
      <c r="D133" s="492">
        <f>SUMIF('Raw TB 1125'!$B:$B,'TB 1125'!$A133,'Raw TB 1125'!E:E)</f>
        <v>400.96</v>
      </c>
      <c r="E133" s="492">
        <f>SUMIF('Raw TB 1125'!$B:$B,'TB 1125'!$A133,'Raw TB 1125'!F:F)</f>
        <v>-400.96</v>
      </c>
      <c r="F133" s="492">
        <f t="shared" si="6"/>
        <v>-0.40095999999999998</v>
      </c>
      <c r="G133" s="502" t="s">
        <v>184</v>
      </c>
      <c r="H133" s="491" t="s">
        <v>25</v>
      </c>
      <c r="I133" s="491"/>
    </row>
    <row r="134" spans="1:10" x14ac:dyDescent="0.35">
      <c r="A134" s="491" t="s">
        <v>295</v>
      </c>
      <c r="B134" s="492">
        <f>SUMIF('Raw TB 1125'!$B:$B,'TB 1125'!$A134,'Raw TB 1125'!C:C)</f>
        <v>0</v>
      </c>
      <c r="C134" s="492">
        <f>SUMIF('Raw TB 1125'!$B:$B,'TB 1125'!$A134,'Raw TB 1125'!D:D)</f>
        <v>0</v>
      </c>
      <c r="D134" s="492">
        <f>SUMIF('Raw TB 1125'!$B:$B,'TB 1125'!$A134,'Raw TB 1125'!E:E)</f>
        <v>15396515.199999999</v>
      </c>
      <c r="E134" s="492">
        <f>SUMIF('Raw TB 1125'!$B:$B,'TB 1125'!$A134,'Raw TB 1125'!F:F)</f>
        <v>-15396515.199999999</v>
      </c>
      <c r="F134" s="492">
        <f t="shared" si="6"/>
        <v>-15396.5152</v>
      </c>
      <c r="G134" s="502" t="s">
        <v>184</v>
      </c>
      <c r="H134" s="491" t="s">
        <v>25</v>
      </c>
      <c r="I134" s="491"/>
    </row>
    <row r="135" spans="1:10" x14ac:dyDescent="0.35">
      <c r="A135" s="491" t="s">
        <v>316</v>
      </c>
      <c r="B135" s="492">
        <f>SUMIF('Raw TB 1125'!$B:$B,'TB 1125'!$A135,'Raw TB 1125'!C:C)</f>
        <v>0</v>
      </c>
      <c r="C135" s="492">
        <f>SUMIF('Raw TB 1125'!$B:$B,'TB 1125'!$A135,'Raw TB 1125'!D:D)</f>
        <v>44501764</v>
      </c>
      <c r="D135" s="492">
        <f>SUMIF('Raw TB 1125'!$B:$B,'TB 1125'!$A135,'Raw TB 1125'!E:E)</f>
        <v>0</v>
      </c>
      <c r="E135" s="492">
        <f>SUMIF('Raw TB 1125'!$B:$B,'TB 1125'!$A135,'Raw TB 1125'!F:F)</f>
        <v>44501764</v>
      </c>
      <c r="F135" s="492">
        <f t="shared" si="6"/>
        <v>44501.764000000003</v>
      </c>
      <c r="G135" s="502" t="s">
        <v>182</v>
      </c>
      <c r="H135" s="491"/>
      <c r="I135" s="504"/>
      <c r="J135" s="206"/>
    </row>
    <row r="136" spans="1:10" x14ac:dyDescent="0.35">
      <c r="A136" s="491" t="s">
        <v>1405</v>
      </c>
      <c r="B136" s="492">
        <f>SUMIF('Raw TB 1125'!$B:$B,'TB 1125'!$A136,'Raw TB 1125'!C:C)</f>
        <v>0</v>
      </c>
      <c r="C136" s="492">
        <f>SUMIF('Raw TB 1125'!$B:$B,'TB 1125'!$A136,'Raw TB 1125'!D:D)</f>
        <v>0</v>
      </c>
      <c r="D136" s="492">
        <f>SUMIF('Raw TB 1125'!$B:$B,'TB 1125'!$A136,'Raw TB 1125'!E:E)</f>
        <v>1540734</v>
      </c>
      <c r="E136" s="492">
        <f>SUMIF('Raw TB 1125'!$B:$B,'TB 1125'!$A136,'Raw TB 1125'!F:F)</f>
        <v>-1540734</v>
      </c>
      <c r="F136" s="492">
        <f t="shared" si="6"/>
        <v>-1540.7339999999999</v>
      </c>
      <c r="G136" s="502" t="s">
        <v>184</v>
      </c>
      <c r="H136" s="491" t="s">
        <v>25</v>
      </c>
      <c r="I136" s="491"/>
    </row>
    <row r="137" spans="1:10" x14ac:dyDescent="0.35">
      <c r="A137" s="503" t="s">
        <v>1406</v>
      </c>
      <c r="B137" s="492">
        <f>SUMIF('Raw TB 1125'!$B:$B,'TB 1125'!$A137,'Raw TB 1125'!C:C)</f>
        <v>0</v>
      </c>
      <c r="C137" s="492">
        <f>SUMIF('Raw TB 1125'!$B:$B,'TB 1125'!$A137,'Raw TB 1125'!D:D)</f>
        <v>600000</v>
      </c>
      <c r="D137" s="492">
        <f>SUMIF('Raw TB 1125'!$B:$B,'TB 1125'!$A137,'Raw TB 1125'!E:E)</f>
        <v>1895224</v>
      </c>
      <c r="E137" s="492">
        <f>SUMIF('Raw TB 1125'!$B:$B,'TB 1125'!$A137,'Raw TB 1125'!F:F)</f>
        <v>-1295224</v>
      </c>
      <c r="F137" s="492">
        <f t="shared" si="6"/>
        <v>-1295.2239999999999</v>
      </c>
      <c r="G137" s="502" t="s">
        <v>184</v>
      </c>
      <c r="H137" s="491" t="s">
        <v>25</v>
      </c>
      <c r="I137" s="491"/>
    </row>
    <row r="138" spans="1:10" x14ac:dyDescent="0.35">
      <c r="A138" s="491" t="s">
        <v>303</v>
      </c>
      <c r="B138" s="492">
        <f>SUMIF('Raw TB 1125'!$B:$B,'TB 1125'!$A138,'Raw TB 1125'!C:C)</f>
        <v>0</v>
      </c>
      <c r="C138" s="492">
        <f>SUMIF('Raw TB 1125'!$B:$B,'TB 1125'!$A138,'Raw TB 1125'!D:D)</f>
        <v>0</v>
      </c>
      <c r="D138" s="492">
        <f>SUMIF('Raw TB 1125'!$B:$B,'TB 1125'!$A138,'Raw TB 1125'!E:E)</f>
        <v>61586061</v>
      </c>
      <c r="E138" s="492">
        <f>SUMIF('Raw TB 1125'!$B:$B,'TB 1125'!$A138,'Raw TB 1125'!F:F)</f>
        <v>-61586061</v>
      </c>
      <c r="F138" s="492">
        <f t="shared" si="6"/>
        <v>-61586.061000000002</v>
      </c>
      <c r="G138" s="502" t="s">
        <v>184</v>
      </c>
      <c r="H138" s="491" t="s">
        <v>25</v>
      </c>
      <c r="I138" s="491"/>
    </row>
    <row r="139" spans="1:10" x14ac:dyDescent="0.35">
      <c r="A139" s="491" t="s">
        <v>1332</v>
      </c>
      <c r="B139" s="492">
        <f>SUMIF('Raw TB 1125'!$B:$B,'TB 1125'!$A139,'Raw TB 1125'!C:C)</f>
        <v>0</v>
      </c>
      <c r="C139" s="492">
        <f>SUMIF('Raw TB 1125'!$B:$B,'TB 1125'!$A139,'Raw TB 1125'!D:D)</f>
        <v>0</v>
      </c>
      <c r="D139" s="492">
        <f>SUMIF('Raw TB 1125'!$B:$B,'TB 1125'!$A139,'Raw TB 1125'!E:E)</f>
        <v>6311058</v>
      </c>
      <c r="E139" s="492">
        <f>SUMIF('Raw TB 1125'!$B:$B,'TB 1125'!$A139,'Raw TB 1125'!F:F)</f>
        <v>-6311058</v>
      </c>
      <c r="F139" s="492">
        <f t="shared" si="6"/>
        <v>-6311.058</v>
      </c>
      <c r="G139" s="502" t="s">
        <v>184</v>
      </c>
      <c r="H139" s="491" t="s">
        <v>25</v>
      </c>
      <c r="I139" s="491"/>
    </row>
    <row r="140" spans="1:10" x14ac:dyDescent="0.35">
      <c r="A140" s="491" t="s">
        <v>1407</v>
      </c>
      <c r="B140" s="492">
        <f>SUMIF('Raw TB 1125'!$B:$B,'TB 1125'!$A140,'Raw TB 1125'!C:C)</f>
        <v>0</v>
      </c>
      <c r="C140" s="492">
        <f>SUMIF('Raw TB 1125'!$B:$B,'TB 1125'!$A140,'Raw TB 1125'!D:D)</f>
        <v>0</v>
      </c>
      <c r="D140" s="492">
        <f>SUMIF('Raw TB 1125'!$B:$B,'TB 1125'!$A140,'Raw TB 1125'!E:E)</f>
        <v>749415</v>
      </c>
      <c r="E140" s="492">
        <f>SUMIF('Raw TB 1125'!$B:$B,'TB 1125'!$A140,'Raw TB 1125'!F:F)</f>
        <v>-749415</v>
      </c>
      <c r="F140" s="492">
        <f t="shared" si="6"/>
        <v>-749.41499999999996</v>
      </c>
      <c r="G140" s="502" t="s">
        <v>184</v>
      </c>
      <c r="H140" s="491" t="s">
        <v>25</v>
      </c>
      <c r="I140" s="491"/>
    </row>
    <row r="141" spans="1:10" x14ac:dyDescent="0.35">
      <c r="A141" s="491" t="s">
        <v>1477</v>
      </c>
      <c r="B141" s="492">
        <f>SUMIF('Raw TB 1125'!$B:$B,'TB 1125'!$A141,'Raw TB 1125'!C:C)</f>
        <v>0</v>
      </c>
      <c r="C141" s="492">
        <f>SUMIF('Raw TB 1125'!$B:$B,'TB 1125'!$A141,'Raw TB 1125'!D:D)</f>
        <v>0</v>
      </c>
      <c r="D141" s="492">
        <f>SUMIF('Raw TB 1125'!$B:$B,'TB 1125'!$A141,'Raw TB 1125'!E:E)</f>
        <v>0</v>
      </c>
      <c r="E141" s="492">
        <f>SUMIF('Raw TB 1125'!$B:$B,'TB 1125'!$A141,'Raw TB 1125'!F:F)</f>
        <v>0</v>
      </c>
      <c r="F141" s="492">
        <f t="shared" si="6"/>
        <v>0</v>
      </c>
      <c r="G141" s="502" t="s">
        <v>184</v>
      </c>
      <c r="H141" s="491" t="s">
        <v>25</v>
      </c>
      <c r="I141" s="491"/>
    </row>
    <row r="142" spans="1:10" x14ac:dyDescent="0.35">
      <c r="A142" s="491" t="s">
        <v>1409</v>
      </c>
      <c r="B142" s="492">
        <f>SUMIF('Raw TB 1125'!$B:$B,'TB 1125'!$A142,'Raw TB 1125'!C:C)</f>
        <v>0</v>
      </c>
      <c r="C142" s="492">
        <f>SUMIF('Raw TB 1125'!$B:$B,'TB 1125'!$A142,'Raw TB 1125'!D:D)</f>
        <v>0</v>
      </c>
      <c r="D142" s="492">
        <f>SUMIF('Raw TB 1125'!$B:$B,'TB 1125'!$A142,'Raw TB 1125'!E:E)</f>
        <v>389915</v>
      </c>
      <c r="E142" s="492">
        <f>SUMIF('Raw TB 1125'!$B:$B,'TB 1125'!$A142,'Raw TB 1125'!F:F)</f>
        <v>-389915</v>
      </c>
      <c r="F142" s="492">
        <f t="shared" si="6"/>
        <v>-389.91500000000002</v>
      </c>
      <c r="G142" s="502" t="s">
        <v>184</v>
      </c>
      <c r="H142" s="491" t="s">
        <v>25</v>
      </c>
      <c r="I142" s="491"/>
    </row>
    <row r="143" spans="1:10" x14ac:dyDescent="0.35">
      <c r="A143" s="491" t="s">
        <v>619</v>
      </c>
      <c r="B143" s="492">
        <f>SUMIF('Raw TB 1125'!$B:$B,'TB 1125'!$A143,'Raw TB 1125'!C:C)</f>
        <v>0</v>
      </c>
      <c r="C143" s="492">
        <f>SUMIF('Raw TB 1125'!$B:$B,'TB 1125'!$A143,'Raw TB 1125'!D:D)</f>
        <v>3000000</v>
      </c>
      <c r="D143" s="492">
        <f>SUMIF('Raw TB 1125'!$B:$B,'TB 1125'!$A143,'Raw TB 1125'!E:E)</f>
        <v>0</v>
      </c>
      <c r="E143" s="492">
        <f>SUMIF('Raw TB 1125'!$B:$B,'TB 1125'!$A143,'Raw TB 1125'!F:F)</f>
        <v>3000000</v>
      </c>
      <c r="F143" s="492">
        <f t="shared" si="6"/>
        <v>3000</v>
      </c>
      <c r="G143" s="502" t="s">
        <v>184</v>
      </c>
      <c r="H143" s="491" t="s">
        <v>61</v>
      </c>
      <c r="I143" s="491"/>
    </row>
    <row r="144" spans="1:10" x14ac:dyDescent="0.35">
      <c r="A144" s="491" t="s">
        <v>1532</v>
      </c>
      <c r="B144" s="492">
        <f>SUMIF('Raw TB 1125'!$B:$B,'TB 1125'!$A144,'Raw TB 1125'!C:C)</f>
        <v>0</v>
      </c>
      <c r="C144" s="492">
        <f>SUMIF('Raw TB 1125'!$B:$B,'TB 1125'!$A144,'Raw TB 1125'!D:D)</f>
        <v>800000000</v>
      </c>
      <c r="D144" s="492">
        <f>SUMIF('Raw TB 1125'!$B:$B,'TB 1125'!$A144,'Raw TB 1125'!E:E)</f>
        <v>800000000</v>
      </c>
      <c r="E144" s="492">
        <f>SUMIF('Raw TB 1125'!$B:$B,'TB 1125'!$A144,'Raw TB 1125'!F:F)</f>
        <v>0</v>
      </c>
      <c r="F144" s="492">
        <f t="shared" si="6"/>
        <v>0</v>
      </c>
      <c r="G144" s="491" t="s">
        <v>181</v>
      </c>
      <c r="H144" s="491" t="s">
        <v>78</v>
      </c>
      <c r="I144" s="491"/>
    </row>
    <row r="145" spans="1:9" x14ac:dyDescent="0.35">
      <c r="A145" s="505" t="s">
        <v>1533</v>
      </c>
      <c r="B145" s="492">
        <f>SUMIF('Raw TB 1125'!$B:$B,'TB 1125'!$A145,'Raw TB 1125'!C:C)</f>
        <v>0</v>
      </c>
      <c r="C145" s="492">
        <f>SUMIF('Raw TB 1125'!$B:$B,'TB 1125'!$A145,'Raw TB 1125'!D:D)</f>
        <v>79996000.200000003</v>
      </c>
      <c r="D145" s="492">
        <f>SUMIF('Raw TB 1125'!$B:$B,'TB 1125'!$A145,'Raw TB 1125'!E:E)</f>
        <v>0</v>
      </c>
      <c r="E145" s="492">
        <f>SUMIF('Raw TB 1125'!$B:$B,'TB 1125'!$A145,'Raw TB 1125'!F:F)</f>
        <v>79996000.200000003</v>
      </c>
      <c r="F145" s="492">
        <f t="shared" si="6"/>
        <v>79996.000200000009</v>
      </c>
      <c r="G145" s="491" t="s">
        <v>181</v>
      </c>
      <c r="H145" s="491" t="s">
        <v>76</v>
      </c>
      <c r="I145" s="506"/>
    </row>
    <row r="146" spans="1:9" x14ac:dyDescent="0.35">
      <c r="A146" s="491" t="s">
        <v>1534</v>
      </c>
      <c r="B146" s="492">
        <f>SUMIF('Raw TB 1125'!$B:$B,'TB 1125'!$A146,'Raw TB 1125'!C:C)</f>
        <v>0</v>
      </c>
      <c r="C146" s="492">
        <f>SUMIF('Raw TB 1125'!$B:$B,'TB 1125'!$A146,'Raw TB 1125'!D:D)</f>
        <v>99995000.25</v>
      </c>
      <c r="D146" s="492">
        <f>SUMIF('Raw TB 1125'!$B:$B,'TB 1125'!$A146,'Raw TB 1125'!E:E)</f>
        <v>0</v>
      </c>
      <c r="E146" s="492">
        <f>SUMIF('Raw TB 1125'!$B:$B,'TB 1125'!$A146,'Raw TB 1125'!F:F)</f>
        <v>99995000.25</v>
      </c>
      <c r="F146" s="492">
        <f t="shared" si="6"/>
        <v>99995.000249999997</v>
      </c>
      <c r="G146" s="491" t="s">
        <v>181</v>
      </c>
      <c r="H146" s="491" t="s">
        <v>76</v>
      </c>
      <c r="I146" s="506"/>
    </row>
    <row r="147" spans="1:9" x14ac:dyDescent="0.35">
      <c r="A147" s="491" t="s">
        <v>1535</v>
      </c>
      <c r="B147" s="492">
        <f>SUMIF('Raw TB 1125'!$B:$B,'TB 1125'!$A147,'Raw TB 1125'!C:C)</f>
        <v>0</v>
      </c>
      <c r="C147" s="492">
        <f>SUMIF('Raw TB 1125'!$B:$B,'TB 1125'!$A147,'Raw TB 1125'!D:D)</f>
        <v>248500000</v>
      </c>
      <c r="D147" s="492">
        <f>SUMIF('Raw TB 1125'!$B:$B,'TB 1125'!$A147,'Raw TB 1125'!E:E)</f>
        <v>0</v>
      </c>
      <c r="E147" s="492">
        <f>SUMIF('Raw TB 1125'!$B:$B,'TB 1125'!$A147,'Raw TB 1125'!F:F)</f>
        <v>248500000</v>
      </c>
      <c r="F147" s="492">
        <f t="shared" si="6"/>
        <v>248500</v>
      </c>
      <c r="G147" s="491" t="s">
        <v>181</v>
      </c>
      <c r="H147" s="491" t="s">
        <v>76</v>
      </c>
      <c r="I147" s="491"/>
    </row>
    <row r="148" spans="1:9" x14ac:dyDescent="0.35">
      <c r="A148" s="491" t="s">
        <v>1536</v>
      </c>
      <c r="B148" s="492">
        <f>SUMIF('Raw TB 1125'!$B:$B,'TB 1125'!$A148,'Raw TB 1125'!C:C)</f>
        <v>0</v>
      </c>
      <c r="C148" s="492">
        <f>SUMIF('Raw TB 1125'!$B:$B,'TB 1125'!$A148,'Raw TB 1125'!D:D)</f>
        <v>248500000</v>
      </c>
      <c r="D148" s="492">
        <f>SUMIF('Raw TB 1125'!$B:$B,'TB 1125'!$A148,'Raw TB 1125'!E:E)</f>
        <v>0</v>
      </c>
      <c r="E148" s="492">
        <f>SUMIF('Raw TB 1125'!$B:$B,'TB 1125'!$A148,'Raw TB 1125'!F:F)</f>
        <v>248500000</v>
      </c>
      <c r="F148" s="492">
        <f t="shared" si="6"/>
        <v>248500</v>
      </c>
      <c r="G148" s="491" t="s">
        <v>181</v>
      </c>
      <c r="H148" s="491" t="s">
        <v>76</v>
      </c>
      <c r="I148" s="491"/>
    </row>
    <row r="149" spans="1:9" x14ac:dyDescent="0.35">
      <c r="A149" s="491" t="s">
        <v>1537</v>
      </c>
      <c r="B149" s="492">
        <f>SUMIF('Raw TB 1125'!$B:$B,'TB 1125'!$A149,'Raw TB 1125'!C:C)</f>
        <v>0</v>
      </c>
      <c r="C149" s="492">
        <f>SUMIF('Raw TB 1125'!$B:$B,'TB 1125'!$A149,'Raw TB 1125'!D:D)</f>
        <v>248500000</v>
      </c>
      <c r="D149" s="492">
        <f>SUMIF('Raw TB 1125'!$B:$B,'TB 1125'!$A149,'Raw TB 1125'!E:E)</f>
        <v>0</v>
      </c>
      <c r="E149" s="492">
        <f>SUMIF('Raw TB 1125'!$B:$B,'TB 1125'!$A149,'Raw TB 1125'!F:F)</f>
        <v>248500000</v>
      </c>
      <c r="F149" s="492">
        <f t="shared" si="6"/>
        <v>248500</v>
      </c>
      <c r="G149" s="491" t="s">
        <v>181</v>
      </c>
      <c r="H149" s="491" t="s">
        <v>76</v>
      </c>
      <c r="I149" s="491"/>
    </row>
    <row r="150" spans="1:9" x14ac:dyDescent="0.35">
      <c r="A150" s="491" t="s">
        <v>1538</v>
      </c>
      <c r="B150" s="492">
        <f>SUMIF('Raw TB 1125'!$B:$B,'TB 1125'!$A150,'Raw TB 1125'!C:C)</f>
        <v>0</v>
      </c>
      <c r="C150" s="492">
        <f>SUMIF('Raw TB 1125'!$B:$B,'TB 1125'!$A150,'Raw TB 1125'!D:D)</f>
        <v>54500000</v>
      </c>
      <c r="D150" s="492">
        <f>SUMIF('Raw TB 1125'!$B:$B,'TB 1125'!$A150,'Raw TB 1125'!E:E)</f>
        <v>0</v>
      </c>
      <c r="E150" s="492">
        <f>SUMIF('Raw TB 1125'!$B:$B,'TB 1125'!$A150,'Raw TB 1125'!F:F)</f>
        <v>54500000</v>
      </c>
      <c r="F150" s="492">
        <f t="shared" si="6"/>
        <v>54500</v>
      </c>
      <c r="G150" s="491" t="s">
        <v>181</v>
      </c>
      <c r="H150" s="491" t="s">
        <v>76</v>
      </c>
      <c r="I150" s="491"/>
    </row>
    <row r="151" spans="1:9" x14ac:dyDescent="0.35">
      <c r="A151" s="491" t="s">
        <v>1539</v>
      </c>
      <c r="B151" s="492">
        <f>SUMIF('Raw TB 1125'!$B:$B,'TB 1125'!$A151,'Raw TB 1125'!C:C)</f>
        <v>0</v>
      </c>
      <c r="C151" s="492">
        <f>SUMIF('Raw TB 1125'!$B:$B,'TB 1125'!$A151,'Raw TB 1125'!D:D)</f>
        <v>5200000</v>
      </c>
      <c r="D151" s="492">
        <f>SUMIF('Raw TB 1125'!$B:$B,'TB 1125'!$A151,'Raw TB 1125'!E:E)</f>
        <v>0</v>
      </c>
      <c r="E151" s="492">
        <f>SUMIF('Raw TB 1125'!$B:$B,'TB 1125'!$A151,'Raw TB 1125'!F:F)</f>
        <v>5200000</v>
      </c>
      <c r="F151" s="492">
        <f t="shared" si="6"/>
        <v>5200</v>
      </c>
      <c r="G151" s="491" t="s">
        <v>181</v>
      </c>
      <c r="H151" s="491" t="s">
        <v>76</v>
      </c>
      <c r="I151" s="491"/>
    </row>
    <row r="152" spans="1:9" x14ac:dyDescent="0.35">
      <c r="A152" s="491" t="s">
        <v>1540</v>
      </c>
      <c r="B152" s="492">
        <f>SUMIF('Raw TB 1125'!$B:$B,'TB 1125'!$A152,'Raw TB 1125'!C:C)</f>
        <v>0</v>
      </c>
      <c r="C152" s="492">
        <f>SUMIF('Raw TB 1125'!$B:$B,'TB 1125'!$A152,'Raw TB 1125'!D:D)</f>
        <v>247400000</v>
      </c>
      <c r="D152" s="492">
        <f>SUMIF('Raw TB 1125'!$B:$B,'TB 1125'!$A152,'Raw TB 1125'!E:E)</f>
        <v>0</v>
      </c>
      <c r="E152" s="492">
        <f>SUMIF('Raw TB 1125'!$B:$B,'TB 1125'!$A152,'Raw TB 1125'!F:F)</f>
        <v>247400000</v>
      </c>
      <c r="F152" s="492">
        <f t="shared" si="6"/>
        <v>247400</v>
      </c>
      <c r="G152" s="491" t="s">
        <v>181</v>
      </c>
      <c r="H152" s="491" t="s">
        <v>76</v>
      </c>
      <c r="I152" s="491"/>
    </row>
    <row r="153" spans="1:9" x14ac:dyDescent="0.35">
      <c r="A153" s="491" t="s">
        <v>1541</v>
      </c>
      <c r="B153" s="492">
        <f>SUMIF('Raw TB 1125'!$B:$B,'TB 1125'!$A153,'Raw TB 1125'!C:C)</f>
        <v>0</v>
      </c>
      <c r="C153" s="492">
        <f>SUMIF('Raw TB 1125'!$B:$B,'TB 1125'!$A153,'Raw TB 1125'!D:D)</f>
        <v>247400000</v>
      </c>
      <c r="D153" s="492">
        <f>SUMIF('Raw TB 1125'!$B:$B,'TB 1125'!$A153,'Raw TB 1125'!E:E)</f>
        <v>0</v>
      </c>
      <c r="E153" s="492">
        <f>SUMIF('Raw TB 1125'!$B:$B,'TB 1125'!$A153,'Raw TB 1125'!F:F)</f>
        <v>247400000</v>
      </c>
      <c r="F153" s="492">
        <f t="shared" si="6"/>
        <v>247400</v>
      </c>
      <c r="G153" s="491" t="s">
        <v>181</v>
      </c>
      <c r="H153" s="491" t="s">
        <v>76</v>
      </c>
      <c r="I153" s="491"/>
    </row>
    <row r="154" spans="1:9" x14ac:dyDescent="0.35">
      <c r="A154" s="491" t="s">
        <v>1542</v>
      </c>
      <c r="B154" s="492">
        <f>SUMIF('Raw TB 1125'!$B:$B,'TB 1125'!$A154,'Raw TB 1125'!C:C)</f>
        <v>0</v>
      </c>
      <c r="C154" s="492">
        <f>SUMIF('Raw TB 1125'!$B:$B,'TB 1125'!$A154,'Raw TB 1125'!D:D)</f>
        <v>140000000</v>
      </c>
      <c r="D154" s="492">
        <f>SUMIF('Raw TB 1125'!$B:$B,'TB 1125'!$A154,'Raw TB 1125'!E:E)</f>
        <v>0</v>
      </c>
      <c r="E154" s="492">
        <f>SUMIF('Raw TB 1125'!$B:$B,'TB 1125'!$A154,'Raw TB 1125'!F:F)</f>
        <v>140000000</v>
      </c>
      <c r="F154" s="492">
        <f t="shared" si="6"/>
        <v>140000</v>
      </c>
      <c r="G154" s="491" t="s">
        <v>181</v>
      </c>
      <c r="H154" s="491" t="s">
        <v>76</v>
      </c>
      <c r="I154" s="491"/>
    </row>
    <row r="155" spans="1:9" x14ac:dyDescent="0.35">
      <c r="A155" s="491" t="s">
        <v>1543</v>
      </c>
      <c r="B155" s="492">
        <f>SUMIF('Raw TB 1125'!$B:$B,'TB 1125'!$A155,'Raw TB 1125'!C:C)</f>
        <v>0</v>
      </c>
      <c r="C155" s="492">
        <f>SUMIF('Raw TB 1125'!$B:$B,'TB 1125'!$A155,'Raw TB 1125'!D:D)</f>
        <v>250000000</v>
      </c>
      <c r="D155" s="492">
        <f>SUMIF('Raw TB 1125'!$B:$B,'TB 1125'!$A155,'Raw TB 1125'!E:E)</f>
        <v>0</v>
      </c>
      <c r="E155" s="492">
        <f>SUMIF('Raw TB 1125'!$B:$B,'TB 1125'!$A155,'Raw TB 1125'!F:F)</f>
        <v>250000000</v>
      </c>
      <c r="F155" s="492">
        <f t="shared" si="6"/>
        <v>250000</v>
      </c>
      <c r="G155" s="491" t="s">
        <v>181</v>
      </c>
      <c r="H155" s="491" t="s">
        <v>76</v>
      </c>
      <c r="I155" s="491"/>
    </row>
    <row r="156" spans="1:9" x14ac:dyDescent="0.35">
      <c r="A156" s="491" t="s">
        <v>1544</v>
      </c>
      <c r="B156" s="492">
        <f>SUMIF('Raw TB 1125'!$B:$B,'TB 1125'!$A156,'Raw TB 1125'!C:C)</f>
        <v>0</v>
      </c>
      <c r="C156" s="492">
        <f>SUMIF('Raw TB 1125'!$B:$B,'TB 1125'!$A156,'Raw TB 1125'!D:D)</f>
        <v>60000000</v>
      </c>
      <c r="D156" s="492">
        <f>SUMIF('Raw TB 1125'!$B:$B,'TB 1125'!$A156,'Raw TB 1125'!E:E)</f>
        <v>0</v>
      </c>
      <c r="E156" s="492">
        <f>SUMIF('Raw TB 1125'!$B:$B,'TB 1125'!$A156,'Raw TB 1125'!F:F)</f>
        <v>60000000</v>
      </c>
      <c r="F156" s="492">
        <f t="shared" si="6"/>
        <v>60000</v>
      </c>
      <c r="G156" s="491" t="s">
        <v>181</v>
      </c>
      <c r="H156" s="491" t="s">
        <v>76</v>
      </c>
      <c r="I156" s="491"/>
    </row>
    <row r="157" spans="1:9" x14ac:dyDescent="0.35">
      <c r="A157" s="491" t="s">
        <v>1545</v>
      </c>
      <c r="B157" s="492">
        <f>SUMIF('Raw TB 1125'!$B:$B,'TB 1125'!$A157,'Raw TB 1125'!C:C)</f>
        <v>0</v>
      </c>
      <c r="C157" s="492">
        <f>SUMIF('Raw TB 1125'!$B:$B,'TB 1125'!$A157,'Raw TB 1125'!D:D)</f>
        <v>90000000</v>
      </c>
      <c r="D157" s="492">
        <f>SUMIF('Raw TB 1125'!$B:$B,'TB 1125'!$A157,'Raw TB 1125'!E:E)</f>
        <v>0</v>
      </c>
      <c r="E157" s="492">
        <f>SUMIF('Raw TB 1125'!$B:$B,'TB 1125'!$A157,'Raw TB 1125'!F:F)</f>
        <v>90000000</v>
      </c>
      <c r="F157" s="492">
        <f t="shared" si="6"/>
        <v>90000</v>
      </c>
      <c r="G157" s="491" t="s">
        <v>181</v>
      </c>
      <c r="H157" s="491" t="s">
        <v>76</v>
      </c>
      <c r="I157" s="491"/>
    </row>
    <row r="158" spans="1:9" x14ac:dyDescent="0.35">
      <c r="A158" s="491" t="s">
        <v>1546</v>
      </c>
      <c r="B158" s="492">
        <f>SUMIF('Raw TB 1125'!$B:$B,'TB 1125'!$A158,'Raw TB 1125'!C:C)</f>
        <v>0</v>
      </c>
      <c r="C158" s="492">
        <f>SUMIF('Raw TB 1125'!$B:$B,'TB 1125'!$A158,'Raw TB 1125'!D:D)</f>
        <v>520000000</v>
      </c>
      <c r="D158" s="492">
        <f>SUMIF('Raw TB 1125'!$B:$B,'TB 1125'!$A158,'Raw TB 1125'!E:E)</f>
        <v>520000000</v>
      </c>
      <c r="E158" s="492">
        <f>SUMIF('Raw TB 1125'!$B:$B,'TB 1125'!$A158,'Raw TB 1125'!F:F)</f>
        <v>0</v>
      </c>
      <c r="F158" s="492">
        <f t="shared" si="6"/>
        <v>0</v>
      </c>
      <c r="G158" s="491" t="s">
        <v>181</v>
      </c>
      <c r="H158" s="491" t="s">
        <v>76</v>
      </c>
      <c r="I158" s="491"/>
    </row>
    <row r="159" spans="1:9" x14ac:dyDescent="0.35">
      <c r="A159" s="491" t="s">
        <v>1547</v>
      </c>
      <c r="B159" s="492">
        <f>SUMIF('Raw TB 1125'!$B:$B,'TB 1125'!$A159,'Raw TB 1125'!C:C)</f>
        <v>0</v>
      </c>
      <c r="C159" s="492">
        <f>SUMIF('Raw TB 1125'!$B:$B,'TB 1125'!$A159,'Raw TB 1125'!D:D)</f>
        <v>240000000</v>
      </c>
      <c r="D159" s="492">
        <f>SUMIF('Raw TB 1125'!$B:$B,'TB 1125'!$A159,'Raw TB 1125'!E:E)</f>
        <v>240000000</v>
      </c>
      <c r="E159" s="492">
        <f>SUMIF('Raw TB 1125'!$B:$B,'TB 1125'!$A159,'Raw TB 1125'!F:F)</f>
        <v>0</v>
      </c>
      <c r="F159" s="492">
        <f t="shared" si="6"/>
        <v>0</v>
      </c>
      <c r="G159" s="491" t="s">
        <v>181</v>
      </c>
      <c r="H159" s="491" t="s">
        <v>76</v>
      </c>
      <c r="I159" s="491"/>
    </row>
    <row r="160" spans="1:9" x14ac:dyDescent="0.35">
      <c r="A160" s="491" t="s">
        <v>1548</v>
      </c>
      <c r="B160" s="492">
        <f>SUMIF('Raw TB 1125'!$B:$B,'TB 1125'!$A160,'Raw TB 1125'!C:C)</f>
        <v>0</v>
      </c>
      <c r="C160" s="492">
        <f>SUMIF('Raw TB 1125'!$B:$B,'TB 1125'!$A160,'Raw TB 1125'!D:D)</f>
        <v>240000000</v>
      </c>
      <c r="D160" s="492">
        <f>SUMIF('Raw TB 1125'!$B:$B,'TB 1125'!$A160,'Raw TB 1125'!E:E)</f>
        <v>7000000</v>
      </c>
      <c r="E160" s="492">
        <f>SUMIF('Raw TB 1125'!$B:$B,'TB 1125'!$A160,'Raw TB 1125'!F:F)</f>
        <v>233000000</v>
      </c>
      <c r="F160" s="492">
        <f t="shared" si="6"/>
        <v>233000</v>
      </c>
      <c r="G160" s="491" t="s">
        <v>181</v>
      </c>
      <c r="H160" s="491" t="s">
        <v>76</v>
      </c>
      <c r="I160" s="491"/>
    </row>
    <row r="161" spans="1:9" x14ac:dyDescent="0.35">
      <c r="A161" s="491" t="s">
        <v>1549</v>
      </c>
      <c r="B161" s="492">
        <f>SUMIF('Raw TB 1125'!$B:$B,'TB 1125'!$A161,'Raw TB 1125'!C:C)</f>
        <v>0</v>
      </c>
      <c r="C161" s="492">
        <f>SUMIF('Raw TB 1125'!$B:$B,'TB 1125'!$A161,'Raw TB 1125'!D:D)</f>
        <v>38000000</v>
      </c>
      <c r="D161" s="492">
        <f>SUMIF('Raw TB 1125'!$B:$B,'TB 1125'!$A161,'Raw TB 1125'!E:E)</f>
        <v>38000000</v>
      </c>
      <c r="E161" s="492">
        <f>SUMIF('Raw TB 1125'!$B:$B,'TB 1125'!$A161,'Raw TB 1125'!F:F)</f>
        <v>0</v>
      </c>
      <c r="F161" s="492">
        <f t="shared" si="6"/>
        <v>0</v>
      </c>
      <c r="G161" s="491" t="s">
        <v>181</v>
      </c>
      <c r="H161" s="491" t="s">
        <v>76</v>
      </c>
      <c r="I161" s="491"/>
    </row>
    <row r="162" spans="1:9" x14ac:dyDescent="0.35">
      <c r="A162" s="491" t="s">
        <v>1550</v>
      </c>
      <c r="B162" s="492">
        <f>SUMIF('Raw TB 1125'!$B:$B,'TB 1125'!$A162,'Raw TB 1125'!C:C)</f>
        <v>0</v>
      </c>
      <c r="C162" s="492">
        <f>SUMIF('Raw TB 1125'!$B:$B,'TB 1125'!$A162,'Raw TB 1125'!D:D)</f>
        <v>79996000.200000003</v>
      </c>
      <c r="D162" s="492">
        <f>SUMIF('Raw TB 1125'!$B:$B,'TB 1125'!$A162,'Raw TB 1125'!E:E)</f>
        <v>0</v>
      </c>
      <c r="E162" s="492">
        <f>SUMIF('Raw TB 1125'!$B:$B,'TB 1125'!$A162,'Raw TB 1125'!F:F)</f>
        <v>79996000.200000003</v>
      </c>
      <c r="F162" s="492">
        <f t="shared" si="6"/>
        <v>79996.000200000009</v>
      </c>
      <c r="G162" s="491" t="s">
        <v>181</v>
      </c>
      <c r="H162" s="491" t="s">
        <v>76</v>
      </c>
      <c r="I162" s="491"/>
    </row>
    <row r="163" spans="1:9" x14ac:dyDescent="0.35">
      <c r="A163" s="491" t="s">
        <v>1551</v>
      </c>
      <c r="B163" s="492">
        <f>SUMIF('Raw TB 1125'!$B:$B,'TB 1125'!$A163,'Raw TB 1125'!C:C)</f>
        <v>0</v>
      </c>
      <c r="C163" s="492">
        <f>SUMIF('Raw TB 1125'!$B:$B,'TB 1125'!$A163,'Raw TB 1125'!D:D)</f>
        <v>39998000.100000001</v>
      </c>
      <c r="D163" s="492">
        <f>SUMIF('Raw TB 1125'!$B:$B,'TB 1125'!$A163,'Raw TB 1125'!E:E)</f>
        <v>0</v>
      </c>
      <c r="E163" s="492">
        <f>SUMIF('Raw TB 1125'!$B:$B,'TB 1125'!$A163,'Raw TB 1125'!F:F)</f>
        <v>39998000.100000001</v>
      </c>
      <c r="F163" s="492">
        <f t="shared" ref="F163:F178" si="7">E163/10^3</f>
        <v>39998.000100000005</v>
      </c>
      <c r="G163" s="491" t="s">
        <v>181</v>
      </c>
      <c r="H163" s="491" t="s">
        <v>76</v>
      </c>
      <c r="I163" s="491"/>
    </row>
    <row r="164" spans="1:9" x14ac:dyDescent="0.35">
      <c r="A164" s="491" t="s">
        <v>1552</v>
      </c>
      <c r="B164" s="492">
        <f>SUMIF('Raw TB 1125'!$B:$B,'TB 1125'!$A164,'Raw TB 1125'!C:C)</f>
        <v>0</v>
      </c>
      <c r="C164" s="492">
        <f>SUMIF('Raw TB 1125'!$B:$B,'TB 1125'!$A164,'Raw TB 1125'!D:D)</f>
        <v>79996000.200000003</v>
      </c>
      <c r="D164" s="492">
        <f>SUMIF('Raw TB 1125'!$B:$B,'TB 1125'!$A164,'Raw TB 1125'!E:E)</f>
        <v>0</v>
      </c>
      <c r="E164" s="492">
        <f>SUMIF('Raw TB 1125'!$B:$B,'TB 1125'!$A164,'Raw TB 1125'!F:F)</f>
        <v>79996000.200000003</v>
      </c>
      <c r="F164" s="492">
        <f t="shared" si="7"/>
        <v>79996.000200000009</v>
      </c>
      <c r="G164" s="491" t="s">
        <v>181</v>
      </c>
      <c r="H164" s="491" t="s">
        <v>76</v>
      </c>
      <c r="I164" s="491"/>
    </row>
    <row r="165" spans="1:9" x14ac:dyDescent="0.35">
      <c r="A165" s="491" t="s">
        <v>1553</v>
      </c>
      <c r="B165" s="492">
        <f>SUMIF('Raw TB 1125'!$B:$B,'TB 1125'!$A165,'Raw TB 1125'!C:C)</f>
        <v>0</v>
      </c>
      <c r="C165" s="492">
        <f>SUMIF('Raw TB 1125'!$B:$B,'TB 1125'!$A165,'Raw TB 1125'!D:D)</f>
        <v>277200</v>
      </c>
      <c r="D165" s="492">
        <f>SUMIF('Raw TB 1125'!$B:$B,'TB 1125'!$A165,'Raw TB 1125'!E:E)</f>
        <v>277200</v>
      </c>
      <c r="E165" s="492">
        <f>SUMIF('Raw TB 1125'!$B:$B,'TB 1125'!$A165,'Raw TB 1125'!F:F)</f>
        <v>0</v>
      </c>
      <c r="F165" s="492">
        <f t="shared" si="7"/>
        <v>0</v>
      </c>
      <c r="G165" s="491" t="s">
        <v>181</v>
      </c>
      <c r="H165" s="491" t="s">
        <v>79</v>
      </c>
      <c r="I165" s="491"/>
    </row>
    <row r="166" spans="1:9" x14ac:dyDescent="0.35">
      <c r="A166" s="491" t="s">
        <v>1554</v>
      </c>
      <c r="B166" s="492">
        <f>SUMIF('Raw TB 1125'!$B:$B,'TB 1125'!$A166,'Raw TB 1125'!C:C)</f>
        <v>0</v>
      </c>
      <c r="C166" s="492">
        <f>SUMIF('Raw TB 1125'!$B:$B,'TB 1125'!$A166,'Raw TB 1125'!D:D)</f>
        <v>368955</v>
      </c>
      <c r="D166" s="492">
        <f>SUMIF('Raw TB 1125'!$B:$B,'TB 1125'!$A166,'Raw TB 1125'!E:E)</f>
        <v>368955</v>
      </c>
      <c r="E166" s="492">
        <f>SUMIF('Raw TB 1125'!$B:$B,'TB 1125'!$A166,'Raw TB 1125'!F:F)</f>
        <v>0</v>
      </c>
      <c r="F166" s="492">
        <f t="shared" si="7"/>
        <v>0</v>
      </c>
      <c r="G166" s="491" t="s">
        <v>181</v>
      </c>
      <c r="H166" s="491" t="s">
        <v>79</v>
      </c>
      <c r="I166" s="491"/>
    </row>
    <row r="167" spans="1:9" x14ac:dyDescent="0.35">
      <c r="A167" s="491" t="s">
        <v>177</v>
      </c>
      <c r="B167" s="492">
        <f>SUMIF('Raw TB 1125'!$B:$B,'TB 1125'!$A167,'Raw TB 1125'!C:C)</f>
        <v>0</v>
      </c>
      <c r="C167" s="492">
        <f>SUMIF('Raw TB 1125'!$B:$B,'TB 1125'!$A167,'Raw TB 1125'!D:D)</f>
        <v>0</v>
      </c>
      <c r="D167" s="492">
        <f>SUMIF('Raw TB 1125'!$B:$B,'TB 1125'!$A167,'Raw TB 1125'!E:E)</f>
        <v>0</v>
      </c>
      <c r="E167" s="492">
        <f>SUMIF('Raw TB 1125'!$B:$B,'TB 1125'!$A167,'Raw TB 1125'!F:F)</f>
        <v>0</v>
      </c>
      <c r="F167" s="492">
        <f t="shared" si="7"/>
        <v>0</v>
      </c>
      <c r="G167" s="491" t="s">
        <v>180</v>
      </c>
      <c r="H167" s="491" t="s">
        <v>68</v>
      </c>
      <c r="I167" s="491"/>
    </row>
    <row r="168" spans="1:9" x14ac:dyDescent="0.35">
      <c r="A168" s="491" t="s">
        <v>1555</v>
      </c>
      <c r="B168" s="492">
        <f>SUMIF('Raw TB 1125'!$B:$B,'TB 1125'!$A168,'Raw TB 1125'!C:C)</f>
        <v>0</v>
      </c>
      <c r="C168" s="492">
        <f>SUMIF('Raw TB 1125'!$B:$B,'TB 1125'!$A168,'Raw TB 1125'!D:D)</f>
        <v>0</v>
      </c>
      <c r="D168" s="492">
        <f>SUMIF('Raw TB 1125'!$B:$B,'TB 1125'!$A168,'Raw TB 1125'!E:E)</f>
        <v>26514</v>
      </c>
      <c r="E168" s="492">
        <f>SUMIF('Raw TB 1125'!$B:$B,'TB 1125'!$A168,'Raw TB 1125'!F:F)</f>
        <v>-26514</v>
      </c>
      <c r="F168" s="492">
        <f t="shared" si="7"/>
        <v>-26.513999999999999</v>
      </c>
      <c r="G168" s="502" t="s">
        <v>184</v>
      </c>
      <c r="H168" s="491" t="s">
        <v>25</v>
      </c>
      <c r="I168" s="491"/>
    </row>
    <row r="169" spans="1:9" x14ac:dyDescent="0.35">
      <c r="A169" s="491" t="s">
        <v>287</v>
      </c>
      <c r="B169" s="492">
        <f>SUMIF('Raw TB 1125'!$B:$B,'TB 1125'!$A169,'Raw TB 1125'!C:C)</f>
        <v>0</v>
      </c>
      <c r="C169" s="492">
        <f>SUMIF('Raw TB 1125'!$B:$B,'TB 1125'!$A169,'Raw TB 1125'!D:D)</f>
        <v>140000</v>
      </c>
      <c r="D169" s="492">
        <f>SUMIF('Raw TB 1125'!$B:$B,'TB 1125'!$A169,'Raw TB 1125'!E:E)</f>
        <v>0</v>
      </c>
      <c r="E169" s="492">
        <f>SUMIF('Raw TB 1125'!$B:$B,'TB 1125'!$A169,'Raw TB 1125'!F:F)</f>
        <v>140000</v>
      </c>
      <c r="F169" s="492">
        <f t="shared" si="7"/>
        <v>140</v>
      </c>
      <c r="G169" s="502" t="s">
        <v>182</v>
      </c>
      <c r="H169" s="491" t="s">
        <v>41</v>
      </c>
      <c r="I169" s="491"/>
    </row>
    <row r="170" spans="1:9" x14ac:dyDescent="0.35">
      <c r="A170" s="491" t="s">
        <v>1474</v>
      </c>
      <c r="B170" s="492">
        <f>SUMIF('Raw TB 1125'!$B:$B,'TB 1125'!$A170,'Raw TB 1125'!C:C)</f>
        <v>0</v>
      </c>
      <c r="C170" s="492">
        <f>SUMIF('Raw TB 1125'!$B:$B,'TB 1125'!$A170,'Raw TB 1125'!D:D)</f>
        <v>0</v>
      </c>
      <c r="D170" s="492">
        <f>SUMIF('Raw TB 1125'!$B:$B,'TB 1125'!$A170,'Raw TB 1125'!E:E)</f>
        <v>0</v>
      </c>
      <c r="E170" s="492">
        <f>SUMIF('Raw TB 1125'!$B:$B,'TB 1125'!$A170,'Raw TB 1125'!F:F)</f>
        <v>0</v>
      </c>
      <c r="F170" s="492">
        <f t="shared" si="7"/>
        <v>0</v>
      </c>
      <c r="G170" s="502" t="s">
        <v>182</v>
      </c>
      <c r="H170" s="491" t="s">
        <v>417</v>
      </c>
      <c r="I170" s="491"/>
    </row>
    <row r="171" spans="1:9" x14ac:dyDescent="0.35">
      <c r="A171" s="491" t="s">
        <v>600</v>
      </c>
      <c r="B171" s="492">
        <f>SUMIF('Raw TB 1125'!$B:$B,'TB 1125'!$A171,'Raw TB 1125'!C:C)</f>
        <v>0</v>
      </c>
      <c r="C171" s="492">
        <f>SUMIF('Raw TB 1125'!$B:$B,'TB 1125'!$A171,'Raw TB 1125'!D:D)</f>
        <v>1740704</v>
      </c>
      <c r="D171" s="492">
        <f>SUMIF('Raw TB 1125'!$B:$B,'TB 1125'!$A171,'Raw TB 1125'!E:E)</f>
        <v>0</v>
      </c>
      <c r="E171" s="492">
        <f>SUMIF('Raw TB 1125'!$B:$B,'TB 1125'!$A171,'Raw TB 1125'!F:F)</f>
        <v>1740704</v>
      </c>
      <c r="F171" s="492">
        <f t="shared" si="7"/>
        <v>1740.704</v>
      </c>
      <c r="G171" s="502" t="s">
        <v>182</v>
      </c>
      <c r="H171" s="507" t="s">
        <v>63</v>
      </c>
      <c r="I171" s="491" t="s">
        <v>1400</v>
      </c>
    </row>
    <row r="172" spans="1:9" x14ac:dyDescent="0.35">
      <c r="A172" s="491" t="s">
        <v>220</v>
      </c>
      <c r="B172" s="492">
        <f>SUMIF('Raw TB 1125'!$B:$B,'TB 1125'!$A172,'Raw TB 1125'!C:C)</f>
        <v>0</v>
      </c>
      <c r="C172" s="492">
        <f>SUMIF('Raw TB 1125'!$B:$B,'TB 1125'!$A172,'Raw TB 1125'!D:D)</f>
        <v>765000</v>
      </c>
      <c r="D172" s="492">
        <f>SUMIF('Raw TB 1125'!$B:$B,'TB 1125'!$A172,'Raw TB 1125'!E:E)</f>
        <v>0</v>
      </c>
      <c r="E172" s="492">
        <f>SUMIF('Raw TB 1125'!$B:$B,'TB 1125'!$A172,'Raw TB 1125'!F:F)</f>
        <v>765000</v>
      </c>
      <c r="F172" s="492">
        <f t="shared" si="7"/>
        <v>765</v>
      </c>
      <c r="G172" s="502" t="s">
        <v>182</v>
      </c>
      <c r="H172" s="491" t="s">
        <v>41</v>
      </c>
      <c r="I172" s="491"/>
    </row>
    <row r="173" spans="1:9" x14ac:dyDescent="0.35">
      <c r="A173" s="491" t="s">
        <v>1556</v>
      </c>
      <c r="B173" s="492">
        <f>SUMIF('Raw TB 1125'!$B:$B,'TB 1125'!$A173,'Raw TB 1125'!C:C)</f>
        <v>0</v>
      </c>
      <c r="C173" s="492">
        <f>SUMIF('Raw TB 1125'!$B:$B,'TB 1125'!$A173,'Raw TB 1125'!D:D)</f>
        <v>0</v>
      </c>
      <c r="D173" s="492">
        <f>SUMIF('Raw TB 1125'!$B:$B,'TB 1125'!$A173,'Raw TB 1125'!E:E)</f>
        <v>7937.5</v>
      </c>
      <c r="E173" s="492">
        <f>SUMIF('Raw TB 1125'!$B:$B,'TB 1125'!$A173,'Raw TB 1125'!F:F)</f>
        <v>-7937.5</v>
      </c>
      <c r="F173" s="492">
        <f t="shared" si="7"/>
        <v>-7.9375</v>
      </c>
      <c r="G173" s="502" t="s">
        <v>182</v>
      </c>
      <c r="H173" s="491" t="s">
        <v>43</v>
      </c>
      <c r="I173" s="491"/>
    </row>
    <row r="174" spans="1:9" x14ac:dyDescent="0.35">
      <c r="A174" s="491" t="s">
        <v>866</v>
      </c>
      <c r="B174" s="492">
        <f>SUMIF('Raw TB 1125'!$B:$B,'TB 1125'!$A174,'Raw TB 1125'!C:C)</f>
        <v>0</v>
      </c>
      <c r="C174" s="492">
        <f>SUMIF('Raw TB 1125'!$B:$B,'TB 1125'!$A174,'Raw TB 1125'!D:D)</f>
        <v>4200</v>
      </c>
      <c r="D174" s="492">
        <f>SUMIF('Raw TB 1125'!$B:$B,'TB 1125'!$A174,'Raw TB 1125'!E:E)</f>
        <v>0</v>
      </c>
      <c r="E174" s="492">
        <f>SUMIF('Raw TB 1125'!$B:$B,'TB 1125'!$A174,'Raw TB 1125'!F:F)</f>
        <v>4200</v>
      </c>
      <c r="F174" s="492">
        <f t="shared" si="7"/>
        <v>4.2</v>
      </c>
      <c r="G174" s="502" t="s">
        <v>182</v>
      </c>
      <c r="H174" s="491" t="s">
        <v>958</v>
      </c>
      <c r="I174" s="491"/>
    </row>
    <row r="175" spans="1:9" x14ac:dyDescent="0.35">
      <c r="A175" s="491" t="s">
        <v>972</v>
      </c>
      <c r="B175" s="492">
        <f>SUMIF('Raw TB 1125'!$B:$B,'TB 1125'!$A175,'Raw TB 1125'!C:C)</f>
        <v>0</v>
      </c>
      <c r="C175" s="492">
        <f>SUMIF('Raw TB 1125'!$B:$B,'TB 1125'!$A175,'Raw TB 1125'!D:D)</f>
        <v>0</v>
      </c>
      <c r="D175" s="492">
        <f>SUMIF('Raw TB 1125'!$B:$B,'TB 1125'!$A175,'Raw TB 1125'!E:E)</f>
        <v>0</v>
      </c>
      <c r="E175" s="492">
        <f>SUMIF('Raw TB 1125'!$B:$B,'TB 1125'!$A175,'Raw TB 1125'!F:F)</f>
        <v>0</v>
      </c>
      <c r="F175" s="492">
        <f t="shared" si="7"/>
        <v>0</v>
      </c>
      <c r="G175" s="502" t="s">
        <v>182</v>
      </c>
      <c r="H175" s="491" t="s">
        <v>43</v>
      </c>
      <c r="I175" s="491"/>
    </row>
    <row r="176" spans="1:9" x14ac:dyDescent="0.35">
      <c r="A176" s="491" t="s">
        <v>867</v>
      </c>
      <c r="B176" s="492">
        <f>SUMIF('Raw TB 1125'!$B:$B,'TB 1125'!$A176,'Raw TB 1125'!C:C)</f>
        <v>0</v>
      </c>
      <c r="C176" s="492">
        <f>SUMIF('Raw TB 1125'!$B:$B,'TB 1125'!$A176,'Raw TB 1125'!D:D)</f>
        <v>566399</v>
      </c>
      <c r="D176" s="492">
        <f>SUMIF('Raw TB 1125'!$B:$B,'TB 1125'!$A176,'Raw TB 1125'!E:E)</f>
        <v>25624.5</v>
      </c>
      <c r="E176" s="492">
        <f>SUMIF('Raw TB 1125'!$B:$B,'TB 1125'!$A176,'Raw TB 1125'!F:F)</f>
        <v>540774.5</v>
      </c>
      <c r="F176" s="492">
        <f t="shared" si="7"/>
        <v>540.77449999999999</v>
      </c>
      <c r="G176" s="502" t="s">
        <v>182</v>
      </c>
      <c r="H176" s="491" t="s">
        <v>417</v>
      </c>
      <c r="I176" s="491"/>
    </row>
    <row r="177" spans="1:9" x14ac:dyDescent="0.35">
      <c r="A177" s="491" t="s">
        <v>1558</v>
      </c>
      <c r="B177" s="491">
        <v>0</v>
      </c>
      <c r="C177" s="491">
        <v>0</v>
      </c>
      <c r="D177" s="491">
        <v>2798700</v>
      </c>
      <c r="E177" s="491">
        <v>-2798700</v>
      </c>
      <c r="F177" s="492">
        <f t="shared" si="7"/>
        <v>-2798.7</v>
      </c>
      <c r="G177" s="491" t="s">
        <v>180</v>
      </c>
      <c r="H177" s="491" t="s">
        <v>63</v>
      </c>
      <c r="I177" s="491"/>
    </row>
    <row r="178" spans="1:9" x14ac:dyDescent="0.35">
      <c r="A178" s="491" t="s">
        <v>1560</v>
      </c>
      <c r="B178" s="491">
        <v>0</v>
      </c>
      <c r="C178" s="491">
        <v>0</v>
      </c>
      <c r="D178" s="491">
        <v>1097500</v>
      </c>
      <c r="E178" s="491">
        <v>-1097500</v>
      </c>
      <c r="F178" s="492">
        <f t="shared" si="7"/>
        <v>-1097.5</v>
      </c>
      <c r="G178" s="491" t="s">
        <v>180</v>
      </c>
      <c r="H178" s="491" t="s">
        <v>63</v>
      </c>
      <c r="I178" s="491"/>
    </row>
  </sheetData>
  <autoFilter ref="A2:M178" xr:uid="{738591FE-2BE1-40B1-99BD-BBBCE0122885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2E07-FCBA-42F5-8AAD-714BAEC8E30F}">
  <dimension ref="A1:G168"/>
  <sheetViews>
    <sheetView topLeftCell="B113" workbookViewId="0">
      <selection activeCell="F130" sqref="F130"/>
    </sheetView>
  </sheetViews>
  <sheetFormatPr defaultRowHeight="14.5" x14ac:dyDescent="0.35"/>
  <cols>
    <col min="1" max="1" width="49.1796875" bestFit="1" customWidth="1"/>
    <col min="2" max="2" width="44.08984375" bestFit="1" customWidth="1"/>
    <col min="3" max="3" width="15.1796875" bestFit="1" customWidth="1"/>
    <col min="4" max="5" width="11.90625" bestFit="1" customWidth="1"/>
    <col min="6" max="6" width="14.453125" bestFit="1" customWidth="1"/>
    <col min="7" max="7" width="44.08984375" bestFit="1" customWidth="1"/>
  </cols>
  <sheetData>
    <row r="1" spans="1:7" x14ac:dyDescent="0.35">
      <c r="A1" s="207" t="s">
        <v>464</v>
      </c>
      <c r="B1" s="207"/>
      <c r="C1" s="219" t="s">
        <v>498</v>
      </c>
      <c r="D1" s="219" t="s">
        <v>465</v>
      </c>
      <c r="E1" s="219" t="s">
        <v>466</v>
      </c>
      <c r="F1" s="219" t="s">
        <v>499</v>
      </c>
      <c r="G1" s="290" t="s">
        <v>433</v>
      </c>
    </row>
    <row r="2" spans="1:7" x14ac:dyDescent="0.35">
      <c r="A2" s="23"/>
      <c r="B2" s="23"/>
      <c r="C2" s="23"/>
      <c r="D2" s="23"/>
      <c r="E2" s="23"/>
      <c r="F2" s="23"/>
      <c r="G2" s="23"/>
    </row>
    <row r="3" spans="1:7" x14ac:dyDescent="0.35">
      <c r="A3" s="174" t="s">
        <v>70</v>
      </c>
      <c r="B3" s="175" t="s">
        <v>70</v>
      </c>
      <c r="C3" s="23" t="s">
        <v>85</v>
      </c>
      <c r="D3" s="23" t="s">
        <v>85</v>
      </c>
      <c r="E3" s="23" t="s">
        <v>85</v>
      </c>
      <c r="F3" s="23" t="s">
        <v>85</v>
      </c>
      <c r="G3" s="23"/>
    </row>
    <row r="4" spans="1:7" x14ac:dyDescent="0.35">
      <c r="A4" s="174" t="s">
        <v>500</v>
      </c>
      <c r="B4" s="175" t="s">
        <v>561</v>
      </c>
      <c r="C4" s="455">
        <v>1355812.13</v>
      </c>
      <c r="D4" s="455">
        <v>41598722.799999997</v>
      </c>
      <c r="E4" s="455">
        <v>5063429.5</v>
      </c>
      <c r="F4" s="455">
        <v>37891105.43</v>
      </c>
      <c r="G4" s="23" t="str">
        <f>VLOOKUP(B4,'TB 1025'!A:A,1,0)</f>
        <v>Accounts Receivable</v>
      </c>
    </row>
    <row r="5" spans="1:7" x14ac:dyDescent="0.35">
      <c r="A5" s="174" t="s">
        <v>501</v>
      </c>
      <c r="B5" s="175" t="s">
        <v>288</v>
      </c>
      <c r="C5" s="455">
        <v>35241207</v>
      </c>
      <c r="D5" s="455">
        <v>44549174</v>
      </c>
      <c r="E5" s="455">
        <v>35241207</v>
      </c>
      <c r="F5" s="455">
        <v>44549174</v>
      </c>
      <c r="G5" s="23" t="str">
        <f>VLOOKUP(B5,'TB 1025'!A:A,1,0)</f>
        <v>Accrued Interest</v>
      </c>
    </row>
    <row r="6" spans="1:7" x14ac:dyDescent="0.35">
      <c r="A6" s="174" t="s">
        <v>1432</v>
      </c>
      <c r="B6" s="175" t="s">
        <v>1433</v>
      </c>
      <c r="C6" s="455">
        <v>-848494.68</v>
      </c>
      <c r="D6" s="455">
        <v>0</v>
      </c>
      <c r="E6" s="455">
        <v>290507.38</v>
      </c>
      <c r="F6" s="455">
        <v>-1139002.06</v>
      </c>
      <c r="G6" s="23" t="str">
        <f>VLOOKUP(B6,'TB 1025'!A:A,1,0)</f>
        <v>Accumulated Amortization on Leasehold Improvement</v>
      </c>
    </row>
    <row r="7" spans="1:7" x14ac:dyDescent="0.35">
      <c r="A7" s="174" t="s">
        <v>503</v>
      </c>
      <c r="B7" s="175" t="s">
        <v>562</v>
      </c>
      <c r="C7" s="455">
        <v>-1524947.88</v>
      </c>
      <c r="D7" s="455">
        <v>0</v>
      </c>
      <c r="E7" s="455">
        <v>540862.42000000004</v>
      </c>
      <c r="F7" s="455">
        <v>-2065810.3</v>
      </c>
      <c r="G7" s="23" t="str">
        <f>VLOOKUP(B7,'TB 1025'!A:A,1,0)</f>
        <v>Accumulated Depreciation on Computer and Laptops</v>
      </c>
    </row>
    <row r="8" spans="1:7" x14ac:dyDescent="0.35">
      <c r="A8" s="174" t="s">
        <v>760</v>
      </c>
      <c r="B8" s="175" t="s">
        <v>772</v>
      </c>
      <c r="C8" s="455">
        <v>-75655.88</v>
      </c>
      <c r="D8" s="455">
        <v>0</v>
      </c>
      <c r="E8" s="455">
        <v>11370.3</v>
      </c>
      <c r="F8" s="455">
        <v>-87026.18</v>
      </c>
      <c r="G8" s="23" t="str">
        <f>VLOOKUP(B8,'TB 1025'!A:A,1,0)</f>
        <v>Accumulated Depreciation on Furniture &amp; Equipment</v>
      </c>
    </row>
    <row r="9" spans="1:7" x14ac:dyDescent="0.35">
      <c r="A9" s="174" t="s">
        <v>504</v>
      </c>
      <c r="B9" s="175" t="s">
        <v>198</v>
      </c>
      <c r="C9" s="455">
        <v>-85010.25</v>
      </c>
      <c r="D9" s="455">
        <v>0</v>
      </c>
      <c r="E9" s="455">
        <v>14007.98</v>
      </c>
      <c r="F9" s="455">
        <v>-99018.23</v>
      </c>
      <c r="G9" s="23" t="str">
        <f>VLOOKUP(B9,'TB 1025'!A:A,1,0)</f>
        <v>Accumulated Depreciation on Office Equipment</v>
      </c>
    </row>
    <row r="10" spans="1:7" x14ac:dyDescent="0.35">
      <c r="A10" s="174" t="s">
        <v>961</v>
      </c>
      <c r="B10" s="175" t="s">
        <v>967</v>
      </c>
      <c r="C10" s="455">
        <v>41291.82</v>
      </c>
      <c r="D10" s="455">
        <v>10721451.369999999</v>
      </c>
      <c r="E10" s="455">
        <v>2481091.37</v>
      </c>
      <c r="F10" s="455">
        <v>8281651.8200000003</v>
      </c>
      <c r="G10" s="23" t="str">
        <f>VLOOKUP(B10,'TB 1025'!A:A,1,0)</f>
        <v>Advance to Vendors</v>
      </c>
    </row>
    <row r="11" spans="1:7" x14ac:dyDescent="0.35">
      <c r="A11" s="174" t="s">
        <v>505</v>
      </c>
      <c r="B11" s="175" t="s">
        <v>365</v>
      </c>
      <c r="C11" s="455">
        <v>305.98</v>
      </c>
      <c r="D11" s="455">
        <v>0</v>
      </c>
      <c r="E11" s="455">
        <v>0</v>
      </c>
      <c r="F11" s="455">
        <v>305.98</v>
      </c>
      <c r="G11" s="23" t="str">
        <f>VLOOKUP(B11,'TB 1025'!A:A,1,0)</f>
        <v>Amazon Wallet</v>
      </c>
    </row>
    <row r="12" spans="1:7" x14ac:dyDescent="0.35">
      <c r="A12" s="174" t="s">
        <v>506</v>
      </c>
      <c r="B12" s="175" t="s">
        <v>563</v>
      </c>
      <c r="C12" s="455">
        <v>11928.34</v>
      </c>
      <c r="D12" s="455">
        <v>0</v>
      </c>
      <c r="E12" s="455">
        <v>118</v>
      </c>
      <c r="F12" s="455">
        <v>11810.34</v>
      </c>
      <c r="G12" s="23" t="str">
        <f>VLOOKUP(B12,'TB 1025'!A:A,1,0)</f>
        <v>Axis Bank 1655</v>
      </c>
    </row>
    <row r="13" spans="1:7" x14ac:dyDescent="0.35">
      <c r="A13" s="174" t="s">
        <v>507</v>
      </c>
      <c r="B13" s="175" t="s">
        <v>564</v>
      </c>
      <c r="C13" s="455">
        <v>17022787.030000001</v>
      </c>
      <c r="D13" s="455">
        <v>4291200</v>
      </c>
      <c r="E13" s="455">
        <v>0</v>
      </c>
      <c r="F13" s="455">
        <v>21313987.030000001</v>
      </c>
      <c r="G13" s="23" t="str">
        <f>VLOOKUP(B13,'TB 1025'!A:A,1,0)</f>
        <v>Computer and Laptops</v>
      </c>
    </row>
    <row r="14" spans="1:7" x14ac:dyDescent="0.35">
      <c r="A14" s="174" t="s">
        <v>1420</v>
      </c>
      <c r="B14" s="175" t="s">
        <v>1293</v>
      </c>
      <c r="C14" s="455">
        <v>656178</v>
      </c>
      <c r="D14" s="455">
        <v>3057675</v>
      </c>
      <c r="E14" s="455">
        <v>2224565</v>
      </c>
      <c r="F14" s="455">
        <v>1489288</v>
      </c>
      <c r="G14" s="23" t="str">
        <f>VLOOKUP(B14,'TB 1025'!A:A,1,0)</f>
        <v>Expert Inventory</v>
      </c>
    </row>
    <row r="15" spans="1:7" x14ac:dyDescent="0.35">
      <c r="A15" s="174" t="s">
        <v>678</v>
      </c>
      <c r="B15" s="175" t="s">
        <v>693</v>
      </c>
      <c r="C15" s="455">
        <v>704611.34</v>
      </c>
      <c r="D15" s="455">
        <v>0</v>
      </c>
      <c r="E15" s="455">
        <v>0</v>
      </c>
      <c r="F15" s="455">
        <v>704611.34</v>
      </c>
      <c r="G15" s="23" t="str">
        <f>VLOOKUP(B15,'TB 1025'!A:A,1,0)</f>
        <v>Furniture and Equipment</v>
      </c>
    </row>
    <row r="16" spans="1:7" x14ac:dyDescent="0.35">
      <c r="A16" s="174" t="s">
        <v>712</v>
      </c>
      <c r="B16" s="175" t="s">
        <v>714</v>
      </c>
      <c r="C16" s="455">
        <v>72359.7</v>
      </c>
      <c r="D16" s="455">
        <v>0</v>
      </c>
      <c r="E16" s="455">
        <v>0</v>
      </c>
      <c r="F16" s="455">
        <v>72359.7</v>
      </c>
      <c r="G16" s="23" t="str">
        <f>VLOOKUP(B16,'TB 1025'!A:A,1,0)</f>
        <v>HDFC Bank 6899</v>
      </c>
    </row>
    <row r="17" spans="1:7" x14ac:dyDescent="0.35">
      <c r="A17" s="174" t="s">
        <v>713</v>
      </c>
      <c r="B17" s="175" t="s">
        <v>715</v>
      </c>
      <c r="C17" s="455">
        <v>154853.49</v>
      </c>
      <c r="D17" s="455">
        <v>2511008.77</v>
      </c>
      <c r="E17" s="455">
        <v>2265592.17</v>
      </c>
      <c r="F17" s="455">
        <v>400270.09</v>
      </c>
      <c r="G17" s="23" t="str">
        <f>VLOOKUP(B17,'TB 1025'!A:A,1,0)</f>
        <v>HDFC Bank 9531</v>
      </c>
    </row>
    <row r="18" spans="1:7" x14ac:dyDescent="0.35">
      <c r="A18" s="174" t="s">
        <v>508</v>
      </c>
      <c r="B18" s="175" t="s">
        <v>1466</v>
      </c>
      <c r="C18" s="455">
        <v>0</v>
      </c>
      <c r="D18" s="455">
        <v>0</v>
      </c>
      <c r="E18" s="455">
        <v>0</v>
      </c>
      <c r="F18" s="455">
        <v>0</v>
      </c>
      <c r="G18" s="23"/>
    </row>
    <row r="19" spans="1:7" x14ac:dyDescent="0.35">
      <c r="A19" s="174" t="s">
        <v>509</v>
      </c>
      <c r="B19" s="175" t="s">
        <v>565</v>
      </c>
      <c r="C19" s="455">
        <v>8358796.4699999997</v>
      </c>
      <c r="D19" s="455">
        <v>2873126.64</v>
      </c>
      <c r="E19" s="455">
        <v>0</v>
      </c>
      <c r="F19" s="455">
        <v>11231923.109999999</v>
      </c>
      <c r="G19" s="23" t="str">
        <f>VLOOKUP(B19,'TB 1025'!A:A,1,0)</f>
        <v>Input CGST</v>
      </c>
    </row>
    <row r="20" spans="1:7" x14ac:dyDescent="0.35">
      <c r="A20" s="174" t="s">
        <v>510</v>
      </c>
      <c r="B20" s="175" t="s">
        <v>566</v>
      </c>
      <c r="C20" s="455">
        <v>3749270.17</v>
      </c>
      <c r="D20" s="455">
        <v>3032160.39</v>
      </c>
      <c r="E20" s="455">
        <v>297828</v>
      </c>
      <c r="F20" s="455">
        <v>6483602.5599999996</v>
      </c>
      <c r="G20" s="23" t="str">
        <f>VLOOKUP(B20,'TB 1025'!A:A,1,0)</f>
        <v>Input IGST</v>
      </c>
    </row>
    <row r="21" spans="1:7" x14ac:dyDescent="0.35">
      <c r="A21" s="174" t="s">
        <v>511</v>
      </c>
      <c r="B21" s="175" t="s">
        <v>567</v>
      </c>
      <c r="C21" s="455">
        <v>8290438.5199999996</v>
      </c>
      <c r="D21" s="455">
        <v>2873126.65</v>
      </c>
      <c r="E21" s="455">
        <v>0</v>
      </c>
      <c r="F21" s="455">
        <v>11163565.17</v>
      </c>
      <c r="G21" s="23" t="str">
        <f>VLOOKUP(B21,'TB 1025'!A:A,1,0)</f>
        <v>Input SGST</v>
      </c>
    </row>
    <row r="22" spans="1:7" ht="15.5" x14ac:dyDescent="0.35">
      <c r="A22" s="177" t="s">
        <v>512</v>
      </c>
      <c r="B22" s="175" t="s">
        <v>1467</v>
      </c>
      <c r="C22" s="456">
        <v>20398505.16</v>
      </c>
      <c r="D22" s="456">
        <v>8778413.6799999997</v>
      </c>
      <c r="E22" s="456">
        <v>297828</v>
      </c>
      <c r="F22" s="456">
        <v>28879090.84</v>
      </c>
      <c r="G22" s="23"/>
    </row>
    <row r="23" spans="1:7" x14ac:dyDescent="0.35">
      <c r="A23" s="23"/>
      <c r="B23" s="175" t="s">
        <v>85</v>
      </c>
      <c r="C23" s="23"/>
      <c r="D23" s="23"/>
      <c r="E23" s="23"/>
      <c r="F23" s="23"/>
      <c r="G23" s="23"/>
    </row>
    <row r="24" spans="1:7" x14ac:dyDescent="0.35">
      <c r="A24" s="174" t="s">
        <v>514</v>
      </c>
      <c r="B24" s="175" t="s">
        <v>261</v>
      </c>
      <c r="C24" s="455">
        <v>0</v>
      </c>
      <c r="D24" s="455">
        <v>0</v>
      </c>
      <c r="E24" s="455">
        <v>0</v>
      </c>
      <c r="F24" s="455">
        <v>0</v>
      </c>
      <c r="G24" s="23"/>
    </row>
    <row r="25" spans="1:7" x14ac:dyDescent="0.35">
      <c r="A25" s="174" t="s">
        <v>1339</v>
      </c>
      <c r="B25" s="175" t="s">
        <v>1352</v>
      </c>
      <c r="C25" s="455">
        <v>39998000.100000001</v>
      </c>
      <c r="D25" s="455">
        <v>0</v>
      </c>
      <c r="E25" s="455">
        <v>39998000.100000001</v>
      </c>
      <c r="F25" s="455">
        <v>0</v>
      </c>
      <c r="G25" s="23" t="str">
        <f>VLOOKUP(B25,'TB 1025'!A:A,1,0)</f>
        <v>Aditya Birla Sun Life Money Manager Fund</v>
      </c>
    </row>
    <row r="26" spans="1:7" x14ac:dyDescent="0.35">
      <c r="A26" s="174" t="s">
        <v>1209</v>
      </c>
      <c r="B26" s="175" t="s">
        <v>1239</v>
      </c>
      <c r="C26" s="455">
        <v>50000000</v>
      </c>
      <c r="D26" s="455">
        <v>0</v>
      </c>
      <c r="E26" s="455">
        <v>0</v>
      </c>
      <c r="F26" s="455">
        <v>50000000</v>
      </c>
      <c r="G26" s="23" t="str">
        <f>VLOOKUP(B26,'TB 1025'!A:A,1,0)</f>
        <v>Fixed Deposit 50301170464152</v>
      </c>
    </row>
    <row r="27" spans="1:7" x14ac:dyDescent="0.35">
      <c r="A27" s="174" t="s">
        <v>1210</v>
      </c>
      <c r="B27" s="175" t="s">
        <v>1240</v>
      </c>
      <c r="C27" s="455">
        <v>100000000</v>
      </c>
      <c r="D27" s="455">
        <v>0</v>
      </c>
      <c r="E27" s="455">
        <v>0</v>
      </c>
      <c r="F27" s="455">
        <v>100000000</v>
      </c>
      <c r="G27" s="23" t="str">
        <f>VLOOKUP(B27,'TB 1025'!A:A,1,0)</f>
        <v>Fixed Deposit 50301170464596</v>
      </c>
    </row>
    <row r="28" spans="1:7" x14ac:dyDescent="0.35">
      <c r="A28" s="174" t="s">
        <v>1211</v>
      </c>
      <c r="B28" s="175" t="s">
        <v>1241</v>
      </c>
      <c r="C28" s="455">
        <v>150000000</v>
      </c>
      <c r="D28" s="455">
        <v>0</v>
      </c>
      <c r="E28" s="455">
        <v>0</v>
      </c>
      <c r="F28" s="455">
        <v>150000000</v>
      </c>
      <c r="G28" s="23" t="str">
        <f>VLOOKUP(B28,'TB 1025'!A:A,1,0)</f>
        <v>Fixed Deposit 50301170464942</v>
      </c>
    </row>
    <row r="29" spans="1:7" x14ac:dyDescent="0.35">
      <c r="A29" s="174" t="s">
        <v>1212</v>
      </c>
      <c r="B29" s="175" t="s">
        <v>1242</v>
      </c>
      <c r="C29" s="455">
        <v>300000000</v>
      </c>
      <c r="D29" s="455">
        <v>0</v>
      </c>
      <c r="E29" s="455">
        <v>0</v>
      </c>
      <c r="F29" s="455">
        <v>300000000</v>
      </c>
      <c r="G29" s="23" t="str">
        <f>VLOOKUP(B29,'TB 1025'!A:A,1,0)</f>
        <v>Fixed Deposit 50301170465320</v>
      </c>
    </row>
    <row r="30" spans="1:7" x14ac:dyDescent="0.35">
      <c r="A30" s="174" t="s">
        <v>1213</v>
      </c>
      <c r="B30" s="175" t="s">
        <v>1243</v>
      </c>
      <c r="C30" s="455">
        <v>100000000</v>
      </c>
      <c r="D30" s="455">
        <v>0</v>
      </c>
      <c r="E30" s="455">
        <v>0</v>
      </c>
      <c r="F30" s="455">
        <v>100000000</v>
      </c>
      <c r="G30" s="23" t="str">
        <f>VLOOKUP(B30,'TB 1025'!A:A,1,0)</f>
        <v>Fixed Deposit 9349969993</v>
      </c>
    </row>
    <row r="31" spans="1:7" x14ac:dyDescent="0.35">
      <c r="A31" s="174" t="s">
        <v>1214</v>
      </c>
      <c r="B31" s="175" t="s">
        <v>1244</v>
      </c>
      <c r="C31" s="455">
        <v>150000000</v>
      </c>
      <c r="D31" s="455">
        <v>0</v>
      </c>
      <c r="E31" s="455">
        <v>0</v>
      </c>
      <c r="F31" s="455">
        <v>150000000</v>
      </c>
      <c r="G31" s="23" t="str">
        <f>VLOOKUP(B31,'TB 1025'!A:A,1,0)</f>
        <v>Fixed Deposit 9349970005</v>
      </c>
    </row>
    <row r="32" spans="1:7" x14ac:dyDescent="0.35">
      <c r="A32" s="174" t="s">
        <v>1215</v>
      </c>
      <c r="B32" s="175" t="s">
        <v>1245</v>
      </c>
      <c r="C32" s="455">
        <v>150000000</v>
      </c>
      <c r="D32" s="455">
        <v>0</v>
      </c>
      <c r="E32" s="455">
        <v>0</v>
      </c>
      <c r="F32" s="455">
        <v>150000000</v>
      </c>
      <c r="G32" s="23" t="str">
        <f>VLOOKUP(B32,'TB 1025'!A:A,1,0)</f>
        <v>Fixed Deposit 9349970036</v>
      </c>
    </row>
    <row r="33" spans="1:7" x14ac:dyDescent="0.35">
      <c r="A33" s="174" t="s">
        <v>1216</v>
      </c>
      <c r="B33" s="175" t="s">
        <v>1246</v>
      </c>
      <c r="C33" s="455">
        <v>180000000</v>
      </c>
      <c r="D33" s="455">
        <v>0</v>
      </c>
      <c r="E33" s="455">
        <v>0</v>
      </c>
      <c r="F33" s="455">
        <v>180000000</v>
      </c>
      <c r="G33" s="23" t="str">
        <f>VLOOKUP(B33,'TB 1025'!A:A,1,0)</f>
        <v>Fixed Deposit 9349970081</v>
      </c>
    </row>
    <row r="34" spans="1:7" x14ac:dyDescent="0.35">
      <c r="A34" s="174" t="s">
        <v>1217</v>
      </c>
      <c r="B34" s="175" t="s">
        <v>1247</v>
      </c>
      <c r="C34" s="455">
        <v>170000000</v>
      </c>
      <c r="D34" s="455">
        <v>0</v>
      </c>
      <c r="E34" s="455">
        <v>0</v>
      </c>
      <c r="F34" s="455">
        <v>170000000</v>
      </c>
      <c r="G34" s="23" t="str">
        <f>VLOOKUP(B34,'TB 1025'!A:A,1,0)</f>
        <v>Fixed Deposit 9349970098</v>
      </c>
    </row>
    <row r="35" spans="1:7" x14ac:dyDescent="0.35">
      <c r="A35" s="174" t="s">
        <v>1218</v>
      </c>
      <c r="B35" s="175" t="s">
        <v>1248</v>
      </c>
      <c r="C35" s="455">
        <v>17000000</v>
      </c>
      <c r="D35" s="455">
        <v>0</v>
      </c>
      <c r="E35" s="455">
        <v>0</v>
      </c>
      <c r="F35" s="455">
        <v>17000000</v>
      </c>
      <c r="G35" s="23" t="str">
        <f>VLOOKUP(B35,'TB 1025'!A:A,1,0)</f>
        <v>Fixed Deposit 9349970463</v>
      </c>
    </row>
    <row r="36" spans="1:7" x14ac:dyDescent="0.35">
      <c r="A36" s="174" t="s">
        <v>1219</v>
      </c>
      <c r="B36" s="175" t="s">
        <v>1249</v>
      </c>
      <c r="C36" s="455">
        <v>250000000</v>
      </c>
      <c r="D36" s="455">
        <v>0</v>
      </c>
      <c r="E36" s="455">
        <v>0</v>
      </c>
      <c r="F36" s="455">
        <v>250000000</v>
      </c>
      <c r="G36" s="23" t="str">
        <f>VLOOKUP(B36,'TB 1025'!A:A,1,0)</f>
        <v>Fixed Deposit 9349970623</v>
      </c>
    </row>
    <row r="37" spans="1:7" x14ac:dyDescent="0.35">
      <c r="A37" s="174" t="s">
        <v>1344</v>
      </c>
      <c r="B37" s="175" t="s">
        <v>1357</v>
      </c>
      <c r="C37" s="455">
        <v>39998000.100000001</v>
      </c>
      <c r="D37" s="455">
        <v>0.28999999999999998</v>
      </c>
      <c r="E37" s="455">
        <v>39998000.390000001</v>
      </c>
      <c r="F37" s="455">
        <v>0</v>
      </c>
      <c r="G37" s="23" t="str">
        <f>VLOOKUP(B37,'TB 1025'!A:A,1,0)</f>
        <v>HDFC Money Market Fund</v>
      </c>
    </row>
    <row r="38" spans="1:7" x14ac:dyDescent="0.35">
      <c r="A38" s="174" t="s">
        <v>1345</v>
      </c>
      <c r="B38" s="175" t="s">
        <v>1358</v>
      </c>
      <c r="C38" s="455">
        <v>20206249.449999999</v>
      </c>
      <c r="D38" s="455">
        <v>0</v>
      </c>
      <c r="E38" s="455">
        <v>20206249.449999999</v>
      </c>
      <c r="F38" s="455">
        <v>0</v>
      </c>
      <c r="G38" s="23" t="str">
        <f>VLOOKUP(B38,'TB 1025'!A:A,1,0)</f>
        <v>ICICI Prudential Money Market Fund</v>
      </c>
    </row>
    <row r="39" spans="1:7" x14ac:dyDescent="0.35">
      <c r="A39" s="174" t="s">
        <v>1347</v>
      </c>
      <c r="B39" s="175" t="s">
        <v>1360</v>
      </c>
      <c r="C39" s="455">
        <v>39998000.100000001</v>
      </c>
      <c r="D39" s="455">
        <v>0</v>
      </c>
      <c r="E39" s="455">
        <v>39998000.100000001</v>
      </c>
      <c r="F39" s="455">
        <v>0</v>
      </c>
      <c r="G39" s="23" t="str">
        <f>VLOOKUP(B39,'TB 1025'!A:A,1,0)</f>
        <v>Nippon India Money Market Fund</v>
      </c>
    </row>
    <row r="40" spans="1:7" x14ac:dyDescent="0.35">
      <c r="A40" s="174" t="s">
        <v>1349</v>
      </c>
      <c r="B40" s="175" t="s">
        <v>1362</v>
      </c>
      <c r="C40" s="455">
        <v>39998000.100000001</v>
      </c>
      <c r="D40" s="455">
        <v>0</v>
      </c>
      <c r="E40" s="455">
        <v>6529404.1900000004</v>
      </c>
      <c r="F40" s="455">
        <v>33468595.91</v>
      </c>
      <c r="G40" s="23" t="str">
        <f>VLOOKUP(B40,'TB 1025'!A:A,1,0)</f>
        <v>Tata Money Market Fund</v>
      </c>
    </row>
    <row r="41" spans="1:7" ht="15.5" x14ac:dyDescent="0.35">
      <c r="A41" s="177" t="s">
        <v>521</v>
      </c>
      <c r="B41" s="175" t="s">
        <v>1468</v>
      </c>
      <c r="C41" s="456">
        <v>1797198249.8499999</v>
      </c>
      <c r="D41" s="456">
        <v>0.28999999999999998</v>
      </c>
      <c r="E41" s="456">
        <v>146729654.22999999</v>
      </c>
      <c r="F41" s="456">
        <v>1650468595.9100001</v>
      </c>
      <c r="G41" s="23"/>
    </row>
    <row r="42" spans="1:7" x14ac:dyDescent="0.35">
      <c r="A42" s="23"/>
      <c r="B42" s="175" t="s">
        <v>85</v>
      </c>
      <c r="C42" s="23"/>
      <c r="D42" s="23"/>
      <c r="E42" s="23"/>
      <c r="F42" s="23"/>
      <c r="G42" s="23"/>
    </row>
    <row r="43" spans="1:7" x14ac:dyDescent="0.35">
      <c r="A43" s="174" t="s">
        <v>682</v>
      </c>
      <c r="B43" s="175" t="s">
        <v>697</v>
      </c>
      <c r="C43" s="455">
        <v>0</v>
      </c>
      <c r="D43" s="455">
        <v>1300809153</v>
      </c>
      <c r="E43" s="455">
        <v>0</v>
      </c>
      <c r="F43" s="455">
        <v>1300809153</v>
      </c>
      <c r="G43" s="23" t="str">
        <f>VLOOKUP(B43,'TB 1025'!A:A,1,0)</f>
        <v>Kotak Mahindra Bank 0429</v>
      </c>
    </row>
    <row r="44" spans="1:7" x14ac:dyDescent="0.35">
      <c r="A44" s="174" t="s">
        <v>522</v>
      </c>
      <c r="B44" s="175" t="s">
        <v>572</v>
      </c>
      <c r="C44" s="455">
        <v>515267.96</v>
      </c>
      <c r="D44" s="455">
        <v>148030272.41999999</v>
      </c>
      <c r="E44" s="455">
        <v>147545540.38</v>
      </c>
      <c r="F44" s="455">
        <v>1000000</v>
      </c>
      <c r="G44" s="23" t="str">
        <f>VLOOKUP(B44,'TB 1025'!A:A,1,0)</f>
        <v>Kotak Mahindra Bank 9942</v>
      </c>
    </row>
    <row r="45" spans="1:7" x14ac:dyDescent="0.35">
      <c r="A45" s="174" t="s">
        <v>523</v>
      </c>
      <c r="B45" s="175" t="s">
        <v>573</v>
      </c>
      <c r="C45" s="455">
        <v>3050830</v>
      </c>
      <c r="D45" s="455">
        <v>185634179.47999999</v>
      </c>
      <c r="E45" s="455">
        <v>159433086.34999999</v>
      </c>
      <c r="F45" s="455">
        <v>29251923.129999999</v>
      </c>
      <c r="G45" s="23" t="str">
        <f>VLOOKUP(B45,'TB 1025'!A:A,1,0)</f>
        <v>Kotak Mahindra Bank 9966</v>
      </c>
    </row>
    <row r="46" spans="1:7" x14ac:dyDescent="0.35">
      <c r="A46" s="174" t="s">
        <v>722</v>
      </c>
      <c r="B46" s="175" t="s">
        <v>723</v>
      </c>
      <c r="C46" s="455">
        <v>9795844</v>
      </c>
      <c r="D46" s="455">
        <v>3065053.2</v>
      </c>
      <c r="E46" s="455">
        <v>0</v>
      </c>
      <c r="F46" s="455">
        <v>12860897.199999999</v>
      </c>
      <c r="G46" s="23" t="str">
        <f>VLOOKUP(B46,'TB 1025'!A:A,1,0)</f>
        <v>Leasehold Improvement</v>
      </c>
    </row>
    <row r="47" spans="1:7" x14ac:dyDescent="0.35">
      <c r="A47" s="174" t="s">
        <v>524</v>
      </c>
      <c r="B47" s="175" t="s">
        <v>231</v>
      </c>
      <c r="C47" s="455">
        <v>520841.58</v>
      </c>
      <c r="D47" s="455">
        <v>0</v>
      </c>
      <c r="E47" s="455">
        <v>0</v>
      </c>
      <c r="F47" s="455">
        <v>520841.58</v>
      </c>
      <c r="G47" s="23" t="str">
        <f>VLOOKUP(B47,'TB 1025'!A:A,1,0)</f>
        <v>Office Equipment</v>
      </c>
    </row>
    <row r="48" spans="1:7" x14ac:dyDescent="0.35">
      <c r="A48" s="174" t="s">
        <v>1298</v>
      </c>
      <c r="B48" s="175" t="s">
        <v>1297</v>
      </c>
      <c r="C48" s="455">
        <v>1222814</v>
      </c>
      <c r="D48" s="455">
        <v>0</v>
      </c>
      <c r="E48" s="455">
        <v>0</v>
      </c>
      <c r="F48" s="455">
        <v>1222814</v>
      </c>
      <c r="G48" s="23" t="str">
        <f>VLOOKUP(B48,'TB 1025'!A:A,1,0)</f>
        <v>Prepaid - Consumption</v>
      </c>
    </row>
    <row r="49" spans="1:7" x14ac:dyDescent="0.35">
      <c r="A49" s="174" t="s">
        <v>526</v>
      </c>
      <c r="B49" s="175" t="s">
        <v>575</v>
      </c>
      <c r="C49" s="455">
        <v>500000.02</v>
      </c>
      <c r="D49" s="455">
        <v>876433.33</v>
      </c>
      <c r="E49" s="455">
        <v>50000</v>
      </c>
      <c r="F49" s="455">
        <v>1326433.3500000001</v>
      </c>
      <c r="G49" s="23" t="str">
        <f>VLOOKUP(B49,'TB 1025'!A:A,1,0)</f>
        <v>Prepaid Expense - Asset</v>
      </c>
    </row>
    <row r="50" spans="1:7" x14ac:dyDescent="0.35">
      <c r="A50" s="174" t="s">
        <v>527</v>
      </c>
      <c r="B50" s="175" t="s">
        <v>376</v>
      </c>
      <c r="C50" s="455">
        <v>34480609.5</v>
      </c>
      <c r="D50" s="455">
        <v>20338268.68</v>
      </c>
      <c r="E50" s="455">
        <v>9487904.3499999996</v>
      </c>
      <c r="F50" s="455">
        <v>45330973.829999998</v>
      </c>
      <c r="G50" s="23" t="str">
        <f>VLOOKUP(B50,'TB 1025'!A:A,1,0)</f>
        <v>Prepaid Expenses</v>
      </c>
    </row>
    <row r="51" spans="1:7" x14ac:dyDescent="0.35">
      <c r="A51" s="174" t="s">
        <v>528</v>
      </c>
      <c r="B51" s="175" t="s">
        <v>576</v>
      </c>
      <c r="C51" s="455">
        <v>0</v>
      </c>
      <c r="D51" s="455">
        <v>1618181.72</v>
      </c>
      <c r="E51" s="455">
        <v>38828948.530000001</v>
      </c>
      <c r="F51" s="455">
        <v>-37210766.810000002</v>
      </c>
      <c r="G51" s="23" t="str">
        <f>VLOOKUP(B51,'TB 1025'!A:A,1,0)</f>
        <v>Receipt from Customers</v>
      </c>
    </row>
    <row r="52" spans="1:7" x14ac:dyDescent="0.35">
      <c r="A52" s="174" t="s">
        <v>529</v>
      </c>
      <c r="B52" s="175" t="s">
        <v>577</v>
      </c>
      <c r="C52" s="455">
        <v>1924500.62</v>
      </c>
      <c r="D52" s="455">
        <v>330008.2</v>
      </c>
      <c r="E52" s="455">
        <v>0</v>
      </c>
      <c r="F52" s="455">
        <v>2254508.8199999998</v>
      </c>
      <c r="G52" s="23" t="str">
        <f>VLOOKUP(B52,'TB 1025'!A:A,1,0)</f>
        <v>Reverse Charge Tax Input but not due</v>
      </c>
    </row>
    <row r="53" spans="1:7" x14ac:dyDescent="0.35">
      <c r="A53" s="174" t="s">
        <v>530</v>
      </c>
      <c r="B53" s="175" t="s">
        <v>146</v>
      </c>
      <c r="C53" s="455">
        <v>10992400</v>
      </c>
      <c r="D53" s="455">
        <v>5248000</v>
      </c>
      <c r="E53" s="455">
        <v>525000</v>
      </c>
      <c r="F53" s="455">
        <v>15715400</v>
      </c>
      <c r="G53" s="23" t="str">
        <f>VLOOKUP(B53,'TB 1025'!A:A,1,0)</f>
        <v>Security Deposit</v>
      </c>
    </row>
    <row r="54" spans="1:7" x14ac:dyDescent="0.35">
      <c r="A54" s="174" t="s">
        <v>531</v>
      </c>
      <c r="B54" s="175" t="s">
        <v>345</v>
      </c>
      <c r="C54" s="455">
        <v>1271832.7</v>
      </c>
      <c r="D54" s="455">
        <v>0</v>
      </c>
      <c r="E54" s="455">
        <v>0</v>
      </c>
      <c r="F54" s="455">
        <v>1271832.7</v>
      </c>
      <c r="G54" s="23" t="str">
        <f>VLOOKUP(B54,'TB 1025'!A:A,1,0)</f>
        <v>TDS Receivable</v>
      </c>
    </row>
    <row r="55" spans="1:7" x14ac:dyDescent="0.35">
      <c r="A55" s="174" t="s">
        <v>532</v>
      </c>
      <c r="B55" s="175" t="s">
        <v>532</v>
      </c>
      <c r="C55" s="23" t="s">
        <v>85</v>
      </c>
      <c r="D55" s="23" t="s">
        <v>85</v>
      </c>
      <c r="E55" s="23" t="s">
        <v>85</v>
      </c>
      <c r="F55" s="23" t="s">
        <v>85</v>
      </c>
      <c r="G55" s="23"/>
    </row>
    <row r="56" spans="1:7" x14ac:dyDescent="0.35">
      <c r="A56" s="174" t="s">
        <v>533</v>
      </c>
      <c r="B56" s="175" t="s">
        <v>427</v>
      </c>
      <c r="C56" s="455">
        <v>-41381916.039999999</v>
      </c>
      <c r="D56" s="455">
        <v>58278384.450000003</v>
      </c>
      <c r="E56" s="455">
        <v>69800104.530000001</v>
      </c>
      <c r="F56" s="455">
        <v>-52903636.119999997</v>
      </c>
      <c r="G56" s="23" t="str">
        <f>VLOOKUP(B56,'TB 1025'!A:A,1,0)</f>
        <v>Accounts Payable</v>
      </c>
    </row>
    <row r="57" spans="1:7" x14ac:dyDescent="0.35">
      <c r="A57" s="174" t="s">
        <v>1329</v>
      </c>
      <c r="B57" s="175" t="s">
        <v>1331</v>
      </c>
      <c r="C57" s="455">
        <v>-2666909.4700000002</v>
      </c>
      <c r="D57" s="455">
        <v>2665224.5</v>
      </c>
      <c r="E57" s="455">
        <v>4572450.72</v>
      </c>
      <c r="F57" s="455">
        <v>-4574135.6900000004</v>
      </c>
      <c r="G57" s="23" t="str">
        <f>VLOOKUP(B57,'TB 1025'!A:A,1,0)</f>
        <v>Advance from B2C Customer</v>
      </c>
    </row>
    <row r="58" spans="1:7" x14ac:dyDescent="0.35">
      <c r="A58" s="174" t="s">
        <v>534</v>
      </c>
      <c r="B58" s="175" t="s">
        <v>423</v>
      </c>
      <c r="C58" s="455">
        <v>-1745739.27</v>
      </c>
      <c r="D58" s="455">
        <v>1059939</v>
      </c>
      <c r="E58" s="455">
        <v>1277987</v>
      </c>
      <c r="F58" s="455">
        <v>-1963787.27</v>
      </c>
      <c r="G58" s="23" t="str">
        <f>VLOOKUP(B58,'TB 1025'!A:A,1,0)</f>
        <v>App Wallet</v>
      </c>
    </row>
    <row r="59" spans="1:7" x14ac:dyDescent="0.35">
      <c r="A59" s="174" t="s">
        <v>535</v>
      </c>
      <c r="B59" s="175" t="s">
        <v>578</v>
      </c>
      <c r="C59" s="455">
        <v>-605702.41</v>
      </c>
      <c r="D59" s="455">
        <v>1253463.73</v>
      </c>
      <c r="E59" s="455">
        <v>153463.73000000001</v>
      </c>
      <c r="F59" s="455">
        <v>494297.59</v>
      </c>
      <c r="G59" s="23" t="str">
        <f>VLOOKUP(B59,'TB 1025'!A:A,1,0)</f>
        <v>Employee Reimbursements</v>
      </c>
    </row>
    <row r="60" spans="1:7" x14ac:dyDescent="0.35">
      <c r="A60" s="174" t="s">
        <v>621</v>
      </c>
      <c r="B60" s="175" t="s">
        <v>622</v>
      </c>
      <c r="C60" s="455">
        <v>-1141495</v>
      </c>
      <c r="D60" s="455">
        <v>28065200</v>
      </c>
      <c r="E60" s="455">
        <v>28486620</v>
      </c>
      <c r="F60" s="455">
        <v>-1562915</v>
      </c>
      <c r="G60" s="23" t="str">
        <f>VLOOKUP(B60,'TB 1025'!A:A,1,0)</f>
        <v>Employee Salaries Payable</v>
      </c>
    </row>
    <row r="61" spans="1:7" x14ac:dyDescent="0.35">
      <c r="A61" s="174" t="s">
        <v>763</v>
      </c>
      <c r="B61" s="175" t="s">
        <v>1469</v>
      </c>
      <c r="C61" s="455">
        <v>0</v>
      </c>
      <c r="D61" s="455">
        <v>0</v>
      </c>
      <c r="E61" s="455">
        <v>0</v>
      </c>
      <c r="F61" s="455">
        <v>0</v>
      </c>
      <c r="G61" s="23"/>
    </row>
    <row r="62" spans="1:7" x14ac:dyDescent="0.35">
      <c r="A62" s="174" t="s">
        <v>764</v>
      </c>
      <c r="B62" s="175" t="s">
        <v>775</v>
      </c>
      <c r="C62" s="455">
        <v>-149</v>
      </c>
      <c r="D62" s="455">
        <v>149</v>
      </c>
      <c r="E62" s="455">
        <v>0</v>
      </c>
      <c r="F62" s="455">
        <v>0</v>
      </c>
      <c r="G62" s="23" t="str">
        <f>VLOOKUP(B62,'TB 1025'!A:A,1,0)</f>
        <v>ESI - Employee</v>
      </c>
    </row>
    <row r="63" spans="1:7" x14ac:dyDescent="0.35">
      <c r="A63" s="174" t="s">
        <v>765</v>
      </c>
      <c r="B63" s="175" t="s">
        <v>776</v>
      </c>
      <c r="C63" s="455">
        <v>-642</v>
      </c>
      <c r="D63" s="455">
        <v>642</v>
      </c>
      <c r="E63" s="455">
        <v>0</v>
      </c>
      <c r="F63" s="455">
        <v>0</v>
      </c>
      <c r="G63" s="23" t="str">
        <f>VLOOKUP(B63,'TB 1025'!A:A,1,0)</f>
        <v>ESI - Employer</v>
      </c>
    </row>
    <row r="64" spans="1:7" ht="15.5" x14ac:dyDescent="0.35">
      <c r="A64" s="177" t="s">
        <v>766</v>
      </c>
      <c r="B64" s="175" t="s">
        <v>1470</v>
      </c>
      <c r="C64" s="456">
        <v>-791</v>
      </c>
      <c r="D64" s="456">
        <v>791</v>
      </c>
      <c r="E64" s="456">
        <v>0</v>
      </c>
      <c r="F64" s="456">
        <v>0</v>
      </c>
      <c r="G64" s="23"/>
    </row>
    <row r="65" spans="1:7" x14ac:dyDescent="0.35">
      <c r="A65" s="23"/>
      <c r="B65" s="175" t="s">
        <v>85</v>
      </c>
      <c r="C65" s="23"/>
      <c r="D65" s="23"/>
      <c r="E65" s="23"/>
      <c r="F65" s="23"/>
      <c r="G65" s="23"/>
    </row>
    <row r="66" spans="1:7" x14ac:dyDescent="0.35">
      <c r="A66" s="174" t="s">
        <v>1198</v>
      </c>
      <c r="B66" s="175" t="s">
        <v>1199</v>
      </c>
      <c r="C66" s="455">
        <v>-836506</v>
      </c>
      <c r="D66" s="455">
        <v>730990</v>
      </c>
      <c r="E66" s="455">
        <v>1267830</v>
      </c>
      <c r="F66" s="455">
        <v>-1373346</v>
      </c>
      <c r="G66" s="23" t="str">
        <f>VLOOKUP(B66,'TB 1025'!A:A,1,0)</f>
        <v>Expert Joining Bonus Payable</v>
      </c>
    </row>
    <row r="67" spans="1:7" x14ac:dyDescent="0.35">
      <c r="A67" s="174" t="s">
        <v>1222</v>
      </c>
      <c r="B67" s="175" t="s">
        <v>1252</v>
      </c>
      <c r="C67" s="455">
        <v>0</v>
      </c>
      <c r="D67" s="455">
        <v>3700425</v>
      </c>
      <c r="E67" s="455">
        <v>3700425</v>
      </c>
      <c r="F67" s="455">
        <v>0</v>
      </c>
      <c r="G67" s="23" t="str">
        <f>VLOOKUP(B67,'TB 1025'!A:A,1,0)</f>
        <v>Expert Referral Bonus Payable</v>
      </c>
    </row>
    <row r="68" spans="1:7" x14ac:dyDescent="0.35">
      <c r="A68" s="174" t="s">
        <v>1285</v>
      </c>
      <c r="B68" s="175" t="s">
        <v>1288</v>
      </c>
      <c r="C68" s="455">
        <v>0</v>
      </c>
      <c r="D68" s="455">
        <v>45193.5</v>
      </c>
      <c r="E68" s="455">
        <v>45193.5</v>
      </c>
      <c r="F68" s="455">
        <v>0</v>
      </c>
      <c r="G68" s="23" t="str">
        <f>VLOOKUP(B68,'TB 1025'!A:A,1,0)</f>
        <v>Expert Retention Bonus Payable</v>
      </c>
    </row>
    <row r="69" spans="1:7" x14ac:dyDescent="0.35">
      <c r="A69" s="174" t="s">
        <v>963</v>
      </c>
      <c r="B69" s="175" t="s">
        <v>969</v>
      </c>
      <c r="C69" s="455">
        <v>-43427132.380000003</v>
      </c>
      <c r="D69" s="455">
        <v>42844167.450000003</v>
      </c>
      <c r="E69" s="455">
        <v>71201032.040000007</v>
      </c>
      <c r="F69" s="455">
        <v>-71783996.969999999</v>
      </c>
      <c r="G69" s="23" t="str">
        <f>VLOOKUP(B69,'TB 1025'!A:A,1,0)</f>
        <v>Expert Service Cost Payable</v>
      </c>
    </row>
    <row r="70" spans="1:7" x14ac:dyDescent="0.35">
      <c r="A70" s="174" t="s">
        <v>1223</v>
      </c>
      <c r="B70" s="175" t="s">
        <v>1253</v>
      </c>
      <c r="C70" s="455">
        <v>0</v>
      </c>
      <c r="D70" s="455">
        <v>33660</v>
      </c>
      <c r="E70" s="455">
        <v>33660</v>
      </c>
      <c r="F70" s="455">
        <v>0</v>
      </c>
      <c r="G70" s="23" t="str">
        <f>VLOOKUP(B70,'TB 1025'!A:A,1,0)</f>
        <v>Expert Yulu Bonus Payable</v>
      </c>
    </row>
    <row r="71" spans="1:7" x14ac:dyDescent="0.35">
      <c r="A71" s="174" t="s">
        <v>536</v>
      </c>
      <c r="B71" s="175" t="s">
        <v>426</v>
      </c>
      <c r="C71" s="455">
        <v>0</v>
      </c>
      <c r="D71" s="455">
        <v>0</v>
      </c>
      <c r="E71" s="455">
        <v>0</v>
      </c>
      <c r="F71" s="455">
        <v>0</v>
      </c>
      <c r="G71" s="23"/>
    </row>
    <row r="72" spans="1:7" x14ac:dyDescent="0.35">
      <c r="A72" s="174" t="s">
        <v>537</v>
      </c>
      <c r="B72" s="175" t="s">
        <v>579</v>
      </c>
      <c r="C72" s="455">
        <v>-483792.27</v>
      </c>
      <c r="D72" s="455">
        <v>490766</v>
      </c>
      <c r="E72" s="455">
        <v>1775164.13</v>
      </c>
      <c r="F72" s="455">
        <v>-1768190.4</v>
      </c>
      <c r="G72" s="23" t="str">
        <f>VLOOKUP(B72,'TB 1025'!A:A,1,0)</f>
        <v>Output CGST</v>
      </c>
    </row>
    <row r="73" spans="1:7" x14ac:dyDescent="0.35">
      <c r="A73" s="174" t="s">
        <v>538</v>
      </c>
      <c r="B73" s="175" t="s">
        <v>580</v>
      </c>
      <c r="C73" s="455">
        <v>-73380.600000000006</v>
      </c>
      <c r="D73" s="455">
        <v>92834</v>
      </c>
      <c r="E73" s="455">
        <v>222271.9</v>
      </c>
      <c r="F73" s="455">
        <v>-202818.5</v>
      </c>
      <c r="G73" s="23" t="str">
        <f>VLOOKUP(B73,'TB 1025'!A:A,1,0)</f>
        <v>Output IGST</v>
      </c>
    </row>
    <row r="74" spans="1:7" x14ac:dyDescent="0.35">
      <c r="A74" s="174" t="s">
        <v>539</v>
      </c>
      <c r="B74" s="175" t="s">
        <v>581</v>
      </c>
      <c r="C74" s="455">
        <v>-483790.27</v>
      </c>
      <c r="D74" s="455">
        <v>490766</v>
      </c>
      <c r="E74" s="455">
        <v>1775164.13</v>
      </c>
      <c r="F74" s="455">
        <v>-1768188.4</v>
      </c>
      <c r="G74" s="23" t="str">
        <f>VLOOKUP(B74,'TB 1025'!A:A,1,0)</f>
        <v>Output SGST</v>
      </c>
    </row>
    <row r="75" spans="1:7" ht="15.5" x14ac:dyDescent="0.35">
      <c r="A75" s="177" t="s">
        <v>540</v>
      </c>
      <c r="B75" s="175" t="s">
        <v>1471</v>
      </c>
      <c r="C75" s="456">
        <v>-1040963.14</v>
      </c>
      <c r="D75" s="456">
        <v>1074366</v>
      </c>
      <c r="E75" s="456">
        <v>3772600.16</v>
      </c>
      <c r="F75" s="456">
        <v>-3739197.3</v>
      </c>
      <c r="G75" s="23"/>
    </row>
    <row r="76" spans="1:7" x14ac:dyDescent="0.35">
      <c r="A76" s="23"/>
      <c r="B76" s="175" t="s">
        <v>85</v>
      </c>
      <c r="C76" s="23"/>
      <c r="D76" s="23"/>
      <c r="E76" s="23"/>
      <c r="F76" s="23"/>
      <c r="G76" s="23"/>
    </row>
    <row r="77" spans="1:7" x14ac:dyDescent="0.35">
      <c r="A77" s="174" t="s">
        <v>541</v>
      </c>
      <c r="B77" s="175" t="s">
        <v>582</v>
      </c>
      <c r="C77" s="455">
        <v>-34200</v>
      </c>
      <c r="D77" s="455">
        <v>34400</v>
      </c>
      <c r="E77" s="455">
        <v>39200</v>
      </c>
      <c r="F77" s="455">
        <v>-39000</v>
      </c>
      <c r="G77" s="23" t="str">
        <f>VLOOKUP(B77,'TB 1025'!A:A,1,0)</f>
        <v>Professional Tax</v>
      </c>
    </row>
    <row r="78" spans="1:7" x14ac:dyDescent="0.35">
      <c r="A78" s="174" t="s">
        <v>542</v>
      </c>
      <c r="B78" s="175" t="s">
        <v>177</v>
      </c>
      <c r="C78" s="455">
        <v>0</v>
      </c>
      <c r="D78" s="455">
        <v>0</v>
      </c>
      <c r="E78" s="455">
        <v>0</v>
      </c>
      <c r="F78" s="455">
        <v>0</v>
      </c>
      <c r="G78" s="23"/>
    </row>
    <row r="79" spans="1:7" x14ac:dyDescent="0.35">
      <c r="A79" s="174" t="s">
        <v>543</v>
      </c>
      <c r="B79" s="175" t="s">
        <v>583</v>
      </c>
      <c r="C79" s="455">
        <v>-369952</v>
      </c>
      <c r="D79" s="455">
        <v>388322</v>
      </c>
      <c r="E79" s="455">
        <v>465940</v>
      </c>
      <c r="F79" s="455">
        <v>-447570</v>
      </c>
      <c r="G79" s="23" t="str">
        <f>VLOOKUP(B79,'TB 1025'!A:A,1,0)</f>
        <v>Provident Fund - Employee</v>
      </c>
    </row>
    <row r="80" spans="1:7" x14ac:dyDescent="0.35">
      <c r="A80" s="174" t="s">
        <v>544</v>
      </c>
      <c r="B80" s="175" t="s">
        <v>584</v>
      </c>
      <c r="C80" s="455">
        <v>-369952</v>
      </c>
      <c r="D80" s="455">
        <v>388322</v>
      </c>
      <c r="E80" s="455">
        <v>465940</v>
      </c>
      <c r="F80" s="455">
        <v>-447570</v>
      </c>
      <c r="G80" s="23" t="str">
        <f>VLOOKUP(B80,'TB 1025'!A:A,1,0)</f>
        <v>Provident Fund - Employer</v>
      </c>
    </row>
    <row r="81" spans="1:7" ht="15.5" x14ac:dyDescent="0.35">
      <c r="A81" s="177" t="s">
        <v>545</v>
      </c>
      <c r="B81" s="175" t="s">
        <v>1472</v>
      </c>
      <c r="C81" s="456">
        <v>-739904</v>
      </c>
      <c r="D81" s="456">
        <v>776644</v>
      </c>
      <c r="E81" s="456">
        <v>931880</v>
      </c>
      <c r="F81" s="456">
        <v>-895140</v>
      </c>
      <c r="G81" s="23"/>
    </row>
    <row r="82" spans="1:7" x14ac:dyDescent="0.35">
      <c r="A82" s="23"/>
      <c r="B82" s="175" t="s">
        <v>85</v>
      </c>
      <c r="C82" s="23"/>
      <c r="D82" s="23"/>
      <c r="E82" s="23"/>
      <c r="F82" s="23"/>
      <c r="G82" s="23"/>
    </row>
    <row r="83" spans="1:7" x14ac:dyDescent="0.35">
      <c r="A83" s="174" t="s">
        <v>546</v>
      </c>
      <c r="B83" s="175" t="s">
        <v>138</v>
      </c>
      <c r="C83" s="455">
        <v>-100000</v>
      </c>
      <c r="D83" s="455">
        <v>100000</v>
      </c>
      <c r="E83" s="455">
        <v>0</v>
      </c>
      <c r="F83" s="455">
        <v>0</v>
      </c>
      <c r="G83" s="23" t="str">
        <f>VLOOKUP(B83,'TB 1025'!A:A,1,0)</f>
        <v>Provision for Audit Fees</v>
      </c>
    </row>
    <row r="84" spans="1:7" x14ac:dyDescent="0.35">
      <c r="A84" s="174" t="s">
        <v>617</v>
      </c>
      <c r="B84" s="175" t="s">
        <v>620</v>
      </c>
      <c r="C84" s="455">
        <v>-12872789</v>
      </c>
      <c r="D84" s="455">
        <v>12000000</v>
      </c>
      <c r="E84" s="455">
        <v>12702636</v>
      </c>
      <c r="F84" s="455">
        <v>-13575425</v>
      </c>
      <c r="G84" s="23" t="str">
        <f>VLOOKUP(B84,'TB 1025'!A:A,1,0)</f>
        <v>Provision for Customer Acquisition Cost</v>
      </c>
    </row>
    <row r="85" spans="1:7" x14ac:dyDescent="0.35">
      <c r="A85" s="174" t="s">
        <v>1423</v>
      </c>
      <c r="B85" s="175" t="s">
        <v>1429</v>
      </c>
      <c r="C85" s="455">
        <v>-548984</v>
      </c>
      <c r="D85" s="455">
        <v>0</v>
      </c>
      <c r="E85" s="455">
        <v>0</v>
      </c>
      <c r="F85" s="455">
        <v>-548984</v>
      </c>
      <c r="G85" s="23" t="str">
        <f>VLOOKUP(B85,'TB 1025'!A:A,1,0)</f>
        <v>Provision for Gratuity - LT</v>
      </c>
    </row>
    <row r="86" spans="1:7" x14ac:dyDescent="0.35">
      <c r="A86" s="174" t="s">
        <v>1424</v>
      </c>
      <c r="B86" s="175" t="s">
        <v>1430</v>
      </c>
      <c r="C86" s="455">
        <v>-1269</v>
      </c>
      <c r="D86" s="455">
        <v>0</v>
      </c>
      <c r="E86" s="455">
        <v>0</v>
      </c>
      <c r="F86" s="455">
        <v>-1269</v>
      </c>
      <c r="G86" s="23" t="str">
        <f>VLOOKUP(B86,'TB 1025'!A:A,1,0)</f>
        <v>Provision for Gratuity - ST</v>
      </c>
    </row>
    <row r="87" spans="1:7" x14ac:dyDescent="0.35">
      <c r="A87" s="174" t="s">
        <v>1350</v>
      </c>
      <c r="B87" s="175" t="s">
        <v>1364</v>
      </c>
      <c r="C87" s="455">
        <v>-8000000</v>
      </c>
      <c r="D87" s="455">
        <v>8000000</v>
      </c>
      <c r="E87" s="455">
        <v>15670233</v>
      </c>
      <c r="F87" s="455">
        <v>-15670233</v>
      </c>
      <c r="G87" s="23" t="str">
        <f>VLOOKUP(B87,'TB 1025'!A:A,1,0)</f>
        <v>Provision for Marketing Expense</v>
      </c>
    </row>
    <row r="88" spans="1:7" x14ac:dyDescent="0.35">
      <c r="A88" s="174" t="s">
        <v>547</v>
      </c>
      <c r="B88" s="175" t="s">
        <v>585</v>
      </c>
      <c r="C88" s="455">
        <v>-16329714.720000001</v>
      </c>
      <c r="D88" s="455">
        <f>16317477.23</f>
        <v>16317477.23</v>
      </c>
      <c r="E88" s="455">
        <f>22064887.4-400000</f>
        <v>21664887.399999999</v>
      </c>
      <c r="F88" s="455">
        <f>C88+D88-E88</f>
        <v>-21677124.890000001</v>
      </c>
      <c r="G88" s="23" t="str">
        <f>VLOOKUP(B88,'TB 1025'!A:A,1,0)</f>
        <v>Provision for Other Cost</v>
      </c>
    </row>
    <row r="89" spans="1:7" x14ac:dyDescent="0.35">
      <c r="A89" s="174" t="s">
        <v>959</v>
      </c>
      <c r="B89" s="175" t="s">
        <v>960</v>
      </c>
      <c r="C89" s="455">
        <v>0</v>
      </c>
      <c r="D89" s="455">
        <v>0</v>
      </c>
      <c r="E89" s="455">
        <v>70000</v>
      </c>
      <c r="F89" s="455">
        <v>-70000</v>
      </c>
      <c r="G89" s="23" t="str">
        <f>VLOOKUP(B89,'TB 1025'!A:A,1,0)</f>
        <v>Provision for Professional Fees</v>
      </c>
    </row>
    <row r="90" spans="1:7" x14ac:dyDescent="0.35">
      <c r="A90" s="174" t="s">
        <v>1226</v>
      </c>
      <c r="B90" s="175" t="s">
        <v>1256</v>
      </c>
      <c r="C90" s="455">
        <v>-278100</v>
      </c>
      <c r="D90" s="455">
        <v>90000</v>
      </c>
      <c r="E90" s="455">
        <v>0</v>
      </c>
      <c r="F90" s="455">
        <v>-188100</v>
      </c>
      <c r="G90" s="23" t="str">
        <f>VLOOKUP(B90,'TB 1025'!A:A,1,0)</f>
        <v>Provision for Rent Expense</v>
      </c>
    </row>
    <row r="91" spans="1:7" x14ac:dyDescent="0.35">
      <c r="A91" s="457" t="s">
        <v>634</v>
      </c>
      <c r="B91" s="175" t="s">
        <v>623</v>
      </c>
      <c r="C91" s="455">
        <v>0</v>
      </c>
      <c r="D91" s="455">
        <v>0</v>
      </c>
      <c r="E91" s="455">
        <v>400000</v>
      </c>
      <c r="F91" s="455">
        <v>-400000</v>
      </c>
      <c r="G91" s="23" t="str">
        <f>VLOOKUP(B91,'TB 1025'!A:A,1,0)</f>
        <v>Provision for Service Cost</v>
      </c>
    </row>
    <row r="92" spans="1:7" x14ac:dyDescent="0.35">
      <c r="A92" s="174" t="s">
        <v>549</v>
      </c>
      <c r="B92" s="175" t="s">
        <v>586</v>
      </c>
      <c r="C92" s="455">
        <v>-15445</v>
      </c>
      <c r="D92" s="455">
        <v>0</v>
      </c>
      <c r="E92" s="455">
        <v>3138421.8</v>
      </c>
      <c r="F92" s="455">
        <v>-3153866.8</v>
      </c>
      <c r="G92" s="23" t="str">
        <f>VLOOKUP(B92,'TB 1025'!A:A,1,0)</f>
        <v>Provision for Software Expense</v>
      </c>
    </row>
    <row r="93" spans="1:7" x14ac:dyDescent="0.35">
      <c r="A93" s="174" t="s">
        <v>1227</v>
      </c>
      <c r="B93" s="175" t="s">
        <v>1257</v>
      </c>
      <c r="C93" s="455">
        <v>-1144399.17</v>
      </c>
      <c r="D93" s="455">
        <v>825075.53</v>
      </c>
      <c r="E93" s="455">
        <v>502603.39</v>
      </c>
      <c r="F93" s="455">
        <v>-821927.03</v>
      </c>
      <c r="G93" s="23" t="str">
        <f>VLOOKUP(B93,'TB 1025'!A:A,1,0)</f>
        <v>Provision for Staff Welfare Expense</v>
      </c>
    </row>
    <row r="94" spans="1:7" x14ac:dyDescent="0.35">
      <c r="A94" s="174" t="s">
        <v>1228</v>
      </c>
      <c r="B94" s="175" t="s">
        <v>1258</v>
      </c>
      <c r="C94" s="455">
        <v>-149779.01</v>
      </c>
      <c r="D94" s="455">
        <v>0</v>
      </c>
      <c r="E94" s="455">
        <v>4793.8999999999996</v>
      </c>
      <c r="F94" s="455">
        <v>-154572.91</v>
      </c>
      <c r="G94" s="23" t="str">
        <f>VLOOKUP(B94,'TB 1025'!A:A,1,0)</f>
        <v>Provision for TC Expense</v>
      </c>
    </row>
    <row r="95" spans="1:7" x14ac:dyDescent="0.35">
      <c r="A95" s="174" t="s">
        <v>550</v>
      </c>
      <c r="B95" s="175" t="s">
        <v>425</v>
      </c>
      <c r="C95" s="455">
        <v>-4496613.0599999996</v>
      </c>
      <c r="D95" s="455">
        <v>4670073</v>
      </c>
      <c r="E95" s="455">
        <v>6241069.6500000004</v>
      </c>
      <c r="F95" s="455">
        <v>-6067609.71</v>
      </c>
      <c r="G95" s="23" t="str">
        <f>VLOOKUP(B95,'TB 1025'!A:A,1,0)</f>
        <v>TDS Payable</v>
      </c>
    </row>
    <row r="96" spans="1:7" x14ac:dyDescent="0.35">
      <c r="A96" s="174" t="s">
        <v>551</v>
      </c>
      <c r="B96" s="175" t="s">
        <v>587</v>
      </c>
      <c r="C96" s="23">
        <v>-2230694</v>
      </c>
      <c r="D96" s="23">
        <v>0</v>
      </c>
      <c r="E96" s="23">
        <v>468749</v>
      </c>
      <c r="F96" s="23">
        <v>-2699443</v>
      </c>
      <c r="G96" s="23" t="str">
        <f>VLOOKUP(B96,'TB 1025'!A:A,1,0)</f>
        <v>Variable Salary Payable</v>
      </c>
    </row>
    <row r="97" spans="1:7" x14ac:dyDescent="0.35">
      <c r="A97" s="174" t="s">
        <v>552</v>
      </c>
      <c r="B97" s="175" t="s">
        <v>552</v>
      </c>
      <c r="C97" s="455" t="s">
        <v>85</v>
      </c>
      <c r="D97" s="455" t="s">
        <v>85</v>
      </c>
      <c r="E97" s="455" t="s">
        <v>85</v>
      </c>
      <c r="F97" s="455" t="s">
        <v>85</v>
      </c>
      <c r="G97" s="23"/>
    </row>
    <row r="98" spans="1:7" x14ac:dyDescent="0.35">
      <c r="A98" s="174" t="s">
        <v>553</v>
      </c>
      <c r="B98" s="175" t="s">
        <v>588</v>
      </c>
      <c r="C98" s="455">
        <v>326192651.81999999</v>
      </c>
      <c r="D98" s="455">
        <v>0</v>
      </c>
      <c r="E98" s="455">
        <v>0</v>
      </c>
      <c r="F98" s="455">
        <v>326192651.81999999</v>
      </c>
      <c r="G98" s="23" t="str">
        <f>VLOOKUP(B98,'TB 1025'!A:A,1,0)</f>
        <v>Current Year Earnings</v>
      </c>
    </row>
    <row r="99" spans="1:7" x14ac:dyDescent="0.35">
      <c r="A99" s="174" t="s">
        <v>1426</v>
      </c>
      <c r="B99" s="175" t="s">
        <v>1431</v>
      </c>
      <c r="C99" s="455">
        <v>-1245691</v>
      </c>
      <c r="D99" s="455">
        <v>0</v>
      </c>
      <c r="E99" s="455">
        <v>0</v>
      </c>
      <c r="F99" s="455">
        <v>-1245691</v>
      </c>
      <c r="G99" s="23" t="str">
        <f>VLOOKUP(B99,'TB 1025'!A:A,1,0)</f>
        <v>ESOP Outstanding Reserve</v>
      </c>
    </row>
    <row r="100" spans="1:7" x14ac:dyDescent="0.35">
      <c r="A100" s="174" t="s">
        <v>554</v>
      </c>
      <c r="B100" s="175" t="s">
        <v>589</v>
      </c>
      <c r="C100" s="455">
        <v>-100000</v>
      </c>
      <c r="D100" s="455">
        <v>0</v>
      </c>
      <c r="E100" s="455">
        <v>0</v>
      </c>
      <c r="F100" s="455">
        <v>-100000</v>
      </c>
      <c r="G100" s="23" t="str">
        <f>VLOOKUP(B100,'TB 1025'!A:A,1,0)</f>
        <v>Owner's Equity</v>
      </c>
    </row>
    <row r="101" spans="1:7" x14ac:dyDescent="0.35">
      <c r="A101" s="174" t="s">
        <v>683</v>
      </c>
      <c r="B101" s="175" t="s">
        <v>698</v>
      </c>
      <c r="C101" s="455">
        <v>-10</v>
      </c>
      <c r="D101" s="455">
        <v>0</v>
      </c>
      <c r="E101" s="455">
        <v>0</v>
      </c>
      <c r="F101" s="455">
        <v>-10</v>
      </c>
      <c r="G101" s="23" t="str">
        <f>VLOOKUP(B101,'TB 1025'!A:A,1,0)</f>
        <v>Elevation Capital III Limited ESC</v>
      </c>
    </row>
    <row r="102" spans="1:7" x14ac:dyDescent="0.35">
      <c r="A102" s="174" t="s">
        <v>684</v>
      </c>
      <c r="B102" s="175" t="s">
        <v>699</v>
      </c>
      <c r="C102" s="455">
        <v>-5463300</v>
      </c>
      <c r="D102" s="455">
        <v>0</v>
      </c>
      <c r="E102" s="455">
        <v>0</v>
      </c>
      <c r="F102" s="455">
        <v>-5463300</v>
      </c>
      <c r="G102" s="23" t="str">
        <f>VLOOKUP(B102,'TB 1025'!A:A,1,0)</f>
        <v>Elevation Capital III Limited PSC</v>
      </c>
    </row>
    <row r="103" spans="1:7" x14ac:dyDescent="0.35">
      <c r="A103" s="174" t="s">
        <v>685</v>
      </c>
      <c r="B103" s="175" t="s">
        <v>700</v>
      </c>
      <c r="C103" s="455">
        <v>-10800</v>
      </c>
      <c r="D103" s="455">
        <v>0</v>
      </c>
      <c r="E103" s="455">
        <v>0</v>
      </c>
      <c r="F103" s="455">
        <v>-10800</v>
      </c>
      <c r="G103" s="23" t="str">
        <f>VLOOKUP(B103,'TB 1025'!A:A,1,0)</f>
        <v>Gaurav Munjal</v>
      </c>
    </row>
    <row r="104" spans="1:7" x14ac:dyDescent="0.35">
      <c r="A104" s="174" t="s">
        <v>1229</v>
      </c>
      <c r="B104" s="175" t="s">
        <v>1259</v>
      </c>
      <c r="C104" s="455">
        <v>-3772700</v>
      </c>
      <c r="D104" s="455">
        <v>0</v>
      </c>
      <c r="E104" s="455">
        <v>0</v>
      </c>
      <c r="F104" s="455">
        <v>-3772700</v>
      </c>
      <c r="G104" s="23" t="str">
        <f>VLOOKUP(B104,'TB 1025'!A:A,1,0)</f>
        <v>Lightspeed India Partners IV LLC</v>
      </c>
    </row>
    <row r="105" spans="1:7" x14ac:dyDescent="0.35">
      <c r="A105" s="174" t="s">
        <v>555</v>
      </c>
      <c r="B105" s="175" t="s">
        <v>590</v>
      </c>
      <c r="C105" s="455">
        <v>-10</v>
      </c>
      <c r="D105" s="455">
        <v>0</v>
      </c>
      <c r="E105" s="455">
        <v>0</v>
      </c>
      <c r="F105" s="455">
        <v>-10</v>
      </c>
      <c r="G105" s="23" t="str">
        <f>VLOOKUP(B105,'TB 1025'!A:A,1,0)</f>
        <v>Nexus Ventures VII Holdings LLC ESC</v>
      </c>
    </row>
    <row r="106" spans="1:7" x14ac:dyDescent="0.35">
      <c r="A106" s="174" t="s">
        <v>556</v>
      </c>
      <c r="B106" s="175" t="s">
        <v>591</v>
      </c>
      <c r="C106" s="455">
        <v>-6497900</v>
      </c>
      <c r="D106" s="455">
        <v>0</v>
      </c>
      <c r="E106" s="455">
        <v>0</v>
      </c>
      <c r="F106" s="455">
        <v>-6497900</v>
      </c>
      <c r="G106" s="23" t="str">
        <f>VLOOKUP(B106,'TB 1025'!A:A,1,0)</f>
        <v>Nexus Ventures VII Holdings LLC PSC</v>
      </c>
    </row>
    <row r="107" spans="1:7" x14ac:dyDescent="0.35">
      <c r="A107" s="174" t="s">
        <v>686</v>
      </c>
      <c r="B107" s="175" t="s">
        <v>701</v>
      </c>
      <c r="C107" s="455">
        <v>-16200</v>
      </c>
      <c r="D107" s="455">
        <v>0</v>
      </c>
      <c r="E107" s="455">
        <v>0</v>
      </c>
      <c r="F107" s="455">
        <v>-16200</v>
      </c>
      <c r="G107" s="23" t="str">
        <f>VLOOKUP(B107,'TB 1025'!A:A,1,0)</f>
        <v>Niraj Singh</v>
      </c>
    </row>
    <row r="108" spans="1:7" x14ac:dyDescent="0.35">
      <c r="A108" s="174" t="s">
        <v>687</v>
      </c>
      <c r="B108" s="175" t="s">
        <v>702</v>
      </c>
      <c r="C108" s="455">
        <v>-5400</v>
      </c>
      <c r="D108" s="455">
        <v>0</v>
      </c>
      <c r="E108" s="455">
        <v>0</v>
      </c>
      <c r="F108" s="455">
        <v>-5400</v>
      </c>
      <c r="G108" s="23" t="str">
        <f>VLOOKUP(B108,'TB 1025'!A:A,1,0)</f>
        <v>Pranav Goenka</v>
      </c>
    </row>
    <row r="109" spans="1:7" x14ac:dyDescent="0.35">
      <c r="A109" s="174" t="s">
        <v>688</v>
      </c>
      <c r="B109" s="175" t="s">
        <v>703</v>
      </c>
      <c r="C109" s="455">
        <v>-37800</v>
      </c>
      <c r="D109" s="455">
        <v>0</v>
      </c>
      <c r="E109" s="455">
        <v>0</v>
      </c>
      <c r="F109" s="455">
        <v>-37800</v>
      </c>
      <c r="G109" s="23" t="str">
        <f>VLOOKUP(B109,'TB 1025'!A:A,1,0)</f>
        <v>Sanjeev Kumar</v>
      </c>
    </row>
    <row r="110" spans="1:7" x14ac:dyDescent="0.35">
      <c r="A110" s="174" t="s">
        <v>557</v>
      </c>
      <c r="B110" s="175" t="s">
        <v>592</v>
      </c>
      <c r="C110" s="455">
        <v>-2162702583.21</v>
      </c>
      <c r="D110" s="455">
        <v>0</v>
      </c>
      <c r="E110" s="455">
        <v>0</v>
      </c>
      <c r="F110" s="455">
        <v>-2162702583.21</v>
      </c>
      <c r="G110" s="23" t="str">
        <f>VLOOKUP(B110,'TB 1025'!A:A,1,0)</f>
        <v>Securities Premium</v>
      </c>
    </row>
    <row r="111" spans="1:7" x14ac:dyDescent="0.35">
      <c r="A111" s="174" t="s">
        <v>689</v>
      </c>
      <c r="B111" s="175" t="s">
        <v>704</v>
      </c>
      <c r="C111" s="455">
        <v>-5400</v>
      </c>
      <c r="D111" s="455">
        <v>0</v>
      </c>
      <c r="E111" s="455">
        <v>0</v>
      </c>
      <c r="F111" s="455">
        <v>-5400</v>
      </c>
      <c r="G111" s="23" t="str">
        <f>VLOOKUP(B111,'TB 1025'!A:A,1,0)</f>
        <v>Shantam Jain</v>
      </c>
    </row>
    <row r="112" spans="1:7" x14ac:dyDescent="0.35">
      <c r="A112" s="174" t="s">
        <v>690</v>
      </c>
      <c r="B112" s="175" t="s">
        <v>705</v>
      </c>
      <c r="C112" s="455">
        <v>-5400</v>
      </c>
      <c r="D112" s="455">
        <v>0</v>
      </c>
      <c r="E112" s="455">
        <v>0</v>
      </c>
      <c r="F112" s="455">
        <v>-5400</v>
      </c>
      <c r="G112" s="23" t="str">
        <f>VLOOKUP(B112,'TB 1025'!A:A,1,0)</f>
        <v>Siddhartha Kochar</v>
      </c>
    </row>
    <row r="113" spans="1:7" x14ac:dyDescent="0.35">
      <c r="A113" s="174" t="s">
        <v>691</v>
      </c>
      <c r="B113" s="175" t="s">
        <v>706</v>
      </c>
      <c r="C113" s="455">
        <v>-5400</v>
      </c>
      <c r="D113" s="455">
        <v>0</v>
      </c>
      <c r="E113" s="455">
        <v>0</v>
      </c>
      <c r="F113" s="455">
        <v>-5400</v>
      </c>
      <c r="G113" s="23" t="str">
        <f>VLOOKUP(B113,'TB 1025'!A:A,1,0)</f>
        <v>Unnat SK Bajoria</v>
      </c>
    </row>
    <row r="114" spans="1:7" ht="15.5" x14ac:dyDescent="0.35">
      <c r="A114" s="177" t="s">
        <v>692</v>
      </c>
      <c r="B114" s="175" t="s">
        <v>707</v>
      </c>
      <c r="C114" s="456">
        <v>-37800</v>
      </c>
      <c r="D114" s="456">
        <v>0</v>
      </c>
      <c r="E114" s="456">
        <v>0</v>
      </c>
      <c r="F114" s="456">
        <v>-37800</v>
      </c>
      <c r="G114" s="23" t="str">
        <f>VLOOKUP(B114,'TB 1025'!A:A,1,0)</f>
        <v>Vidit Aatrey</v>
      </c>
    </row>
    <row r="115" spans="1:7" x14ac:dyDescent="0.35">
      <c r="A115" s="23" t="s">
        <v>558</v>
      </c>
      <c r="B115" s="175" t="s">
        <v>1473</v>
      </c>
      <c r="C115" s="23">
        <v>-2178660703.21</v>
      </c>
      <c r="D115" s="23">
        <v>0</v>
      </c>
      <c r="E115" s="23">
        <v>0</v>
      </c>
      <c r="F115" s="23">
        <v>-2178660703.21</v>
      </c>
      <c r="G115" s="23"/>
    </row>
    <row r="116" spans="1:7" x14ac:dyDescent="0.35">
      <c r="A116" s="174"/>
      <c r="B116" s="175" t="s">
        <v>85</v>
      </c>
      <c r="C116" s="455"/>
      <c r="D116" s="455"/>
      <c r="E116" s="455"/>
      <c r="F116" s="455"/>
      <c r="G116" s="23"/>
    </row>
    <row r="117" spans="1:7" x14ac:dyDescent="0.35">
      <c r="A117" s="174" t="s">
        <v>559</v>
      </c>
      <c r="B117" s="175" t="s">
        <v>593</v>
      </c>
      <c r="C117" s="455">
        <v>58903866.530000001</v>
      </c>
      <c r="D117" s="455">
        <v>0</v>
      </c>
      <c r="E117" s="455">
        <v>0</v>
      </c>
      <c r="F117" s="455">
        <v>58903866.530000001</v>
      </c>
      <c r="G117" s="23" t="str">
        <f>VLOOKUP(B117,'TB 1025'!A:A,1,0)</f>
        <v>Retained Earnings</v>
      </c>
    </row>
    <row r="118" spans="1:7" x14ac:dyDescent="0.35">
      <c r="A118" s="174" t="s">
        <v>1230</v>
      </c>
      <c r="B118" s="175" t="s">
        <v>1260</v>
      </c>
      <c r="C118" s="23">
        <v>0</v>
      </c>
      <c r="D118" s="23">
        <v>0</v>
      </c>
      <c r="E118" s="23">
        <v>1300809153</v>
      </c>
      <c r="F118" s="23">
        <v>-1300809153</v>
      </c>
      <c r="G118" s="23" t="str">
        <f>VLOOKUP(B118,'TB 1025'!A:A,1,0)</f>
        <v>Share Application Money Pending Allotment</v>
      </c>
    </row>
    <row r="119" spans="1:7" x14ac:dyDescent="0.35">
      <c r="A119" s="174" t="s">
        <v>467</v>
      </c>
      <c r="B119" s="175" t="s">
        <v>467</v>
      </c>
      <c r="C119" s="455" t="s">
        <v>85</v>
      </c>
      <c r="D119" s="455" t="s">
        <v>85</v>
      </c>
      <c r="E119" s="455" t="s">
        <v>85</v>
      </c>
      <c r="F119" s="455" t="s">
        <v>85</v>
      </c>
      <c r="G119" s="23"/>
    </row>
    <row r="120" spans="1:7" x14ac:dyDescent="0.35">
      <c r="A120" s="174" t="s">
        <v>1436</v>
      </c>
      <c r="B120" s="175" t="s">
        <v>1437</v>
      </c>
      <c r="C120" s="455">
        <v>0</v>
      </c>
      <c r="D120" s="455">
        <v>0</v>
      </c>
      <c r="E120" s="455">
        <v>11060.84</v>
      </c>
      <c r="F120" s="455">
        <v>-11060.84</v>
      </c>
      <c r="G120" s="23" t="str">
        <f>VLOOKUP(B120,'TB 1025'!A:A,1,0)</f>
        <v>Additional Charges</v>
      </c>
    </row>
    <row r="121" spans="1:7" x14ac:dyDescent="0.35">
      <c r="A121" s="174" t="s">
        <v>468</v>
      </c>
      <c r="B121" s="175" t="s">
        <v>295</v>
      </c>
      <c r="C121" s="455">
        <v>0</v>
      </c>
      <c r="D121" s="455">
        <v>0</v>
      </c>
      <c r="E121" s="455">
        <v>13215761</v>
      </c>
      <c r="F121" s="455">
        <v>-13215761</v>
      </c>
      <c r="G121" s="23" t="str">
        <f>VLOOKUP(B121,'TB 1025'!A:A,1,0)</f>
        <v>Convenience and Platform Fee</v>
      </c>
    </row>
    <row r="122" spans="1:7" x14ac:dyDescent="0.35">
      <c r="A122" s="174" t="s">
        <v>469</v>
      </c>
      <c r="B122" s="175" t="s">
        <v>316</v>
      </c>
      <c r="C122" s="455">
        <v>0</v>
      </c>
      <c r="D122" s="455">
        <v>40365207</v>
      </c>
      <c r="E122" s="455">
        <v>0</v>
      </c>
      <c r="F122" s="455">
        <v>40365207</v>
      </c>
      <c r="G122" s="23" t="str">
        <f>VLOOKUP(B122,'TB 1025'!A:A,1,0)</f>
        <v>Discount</v>
      </c>
    </row>
    <row r="123" spans="1:7" x14ac:dyDescent="0.35">
      <c r="A123" s="174" t="s">
        <v>1411</v>
      </c>
      <c r="B123" s="175" t="s">
        <v>1405</v>
      </c>
      <c r="C123" s="455">
        <v>0</v>
      </c>
      <c r="D123" s="455">
        <v>0</v>
      </c>
      <c r="E123" s="455">
        <v>2607729</v>
      </c>
      <c r="F123" s="455">
        <v>-2607729</v>
      </c>
      <c r="G123" s="23" t="str">
        <f>VLOOKUP(B123,'TB 1025'!A:A,1,0)</f>
        <v>Extension Fees</v>
      </c>
    </row>
    <row r="124" spans="1:7" x14ac:dyDescent="0.35">
      <c r="A124" s="174" t="s">
        <v>470</v>
      </c>
      <c r="B124" s="175" t="s">
        <v>594</v>
      </c>
      <c r="C124" s="455">
        <v>0</v>
      </c>
      <c r="D124" s="455">
        <v>35241207</v>
      </c>
      <c r="E124" s="455">
        <v>44549174</v>
      </c>
      <c r="F124" s="455">
        <v>-9307967</v>
      </c>
      <c r="G124" s="23" t="str">
        <f>VLOOKUP(B124,'TB 1025'!A:A,1,0)</f>
        <v>FD Interest Income</v>
      </c>
    </row>
    <row r="125" spans="1:7" x14ac:dyDescent="0.35">
      <c r="A125" s="174" t="s">
        <v>1412</v>
      </c>
      <c r="B125" s="175" t="s">
        <v>1406</v>
      </c>
      <c r="C125" s="458">
        <v>0</v>
      </c>
      <c r="D125" s="458">
        <v>0</v>
      </c>
      <c r="E125" s="458">
        <v>1638718</v>
      </c>
      <c r="F125" s="458">
        <v>-1638718</v>
      </c>
      <c r="G125" s="23" t="str">
        <f>VLOOKUP(B125,'TB 1025'!A:A,1,0)</f>
        <v>Forfeiture Income</v>
      </c>
    </row>
    <row r="126" spans="1:7" x14ac:dyDescent="0.35">
      <c r="A126" s="174" t="s">
        <v>1351</v>
      </c>
      <c r="B126" s="175" t="s">
        <v>1363</v>
      </c>
      <c r="C126" s="23">
        <v>0</v>
      </c>
      <c r="D126" s="23">
        <v>0.16</v>
      </c>
      <c r="E126" s="23">
        <v>1300618.6399999999</v>
      </c>
      <c r="F126" s="23">
        <v>-1300618.48</v>
      </c>
      <c r="G126" s="23" t="str">
        <f>VLOOKUP(B126,'TB 1025'!A:A,1,0)</f>
        <v>Gain or Loss on Mutual Fund Investment</v>
      </c>
    </row>
    <row r="127" spans="1:7" x14ac:dyDescent="0.35">
      <c r="A127" s="174" t="s">
        <v>471</v>
      </c>
      <c r="B127" s="175" t="s">
        <v>303</v>
      </c>
      <c r="C127" s="23">
        <v>0</v>
      </c>
      <c r="D127" s="23">
        <v>0</v>
      </c>
      <c r="E127" s="23">
        <v>52863044</v>
      </c>
      <c r="F127" s="23">
        <v>-52863044</v>
      </c>
      <c r="G127" s="23" t="str">
        <f>VLOOKUP(B127,'TB 1025'!A:A,1,0)</f>
        <v>Maestro Revenue</v>
      </c>
    </row>
    <row r="128" spans="1:7" x14ac:dyDescent="0.35">
      <c r="A128" s="174" t="s">
        <v>1330</v>
      </c>
      <c r="B128" s="175" t="s">
        <v>1332</v>
      </c>
      <c r="C128" s="23">
        <v>0</v>
      </c>
      <c r="D128" s="23">
        <v>4335491</v>
      </c>
      <c r="E128" s="23">
        <v>4335491</v>
      </c>
      <c r="F128" s="23">
        <v>0</v>
      </c>
      <c r="G128" s="23" t="str">
        <f>VLOOKUP(B128,'TB 1025'!A:A,1,0)</f>
        <v>Offer Pack Income</v>
      </c>
    </row>
    <row r="129" spans="1:7" x14ac:dyDescent="0.35">
      <c r="A129" s="174" t="s">
        <v>1413</v>
      </c>
      <c r="B129" s="175" t="s">
        <v>1407</v>
      </c>
      <c r="C129" s="23">
        <v>0</v>
      </c>
      <c r="D129" s="23">
        <v>0</v>
      </c>
      <c r="E129" s="23">
        <v>401161</v>
      </c>
      <c r="F129" s="23">
        <v>-401161</v>
      </c>
      <c r="G129" s="23" t="str">
        <f>VLOOKUP(B129,'TB 1025'!A:A,1,0)</f>
        <v>Platform Fees</v>
      </c>
    </row>
    <row r="130" spans="1:7" x14ac:dyDescent="0.35">
      <c r="A130" s="174" t="s">
        <v>1476</v>
      </c>
      <c r="B130" s="175" t="s">
        <v>1477</v>
      </c>
      <c r="C130" s="23">
        <v>0</v>
      </c>
      <c r="D130" s="23">
        <v>0</v>
      </c>
      <c r="E130" s="23">
        <v>31550</v>
      </c>
      <c r="F130" s="23">
        <v>-31550</v>
      </c>
      <c r="G130" s="23" t="str">
        <f>VLOOKUP(B130,'TB 1025'!A:A,1,0)</f>
        <v>Save Surge</v>
      </c>
    </row>
    <row r="131" spans="1:7" x14ac:dyDescent="0.35">
      <c r="A131" s="174" t="s">
        <v>1415</v>
      </c>
      <c r="B131" s="175" t="s">
        <v>1409</v>
      </c>
      <c r="C131" s="23">
        <v>0</v>
      </c>
      <c r="D131" s="23">
        <v>0</v>
      </c>
      <c r="E131" s="23">
        <v>386030</v>
      </c>
      <c r="F131" s="23">
        <v>-386030</v>
      </c>
      <c r="G131" s="23" t="str">
        <f>VLOOKUP(B131,'TB 1025'!A:A,1,0)</f>
        <v>Surge Fees</v>
      </c>
    </row>
    <row r="132" spans="1:7" x14ac:dyDescent="0.35">
      <c r="A132" s="174" t="s">
        <v>472</v>
      </c>
      <c r="B132" s="175" t="s">
        <v>472</v>
      </c>
      <c r="C132" s="455" t="s">
        <v>85</v>
      </c>
      <c r="D132" s="455" t="s">
        <v>85</v>
      </c>
      <c r="E132" s="455" t="s">
        <v>85</v>
      </c>
      <c r="F132" s="455" t="s">
        <v>85</v>
      </c>
      <c r="G132" s="23"/>
    </row>
    <row r="133" spans="1:7" x14ac:dyDescent="0.35">
      <c r="A133" s="174" t="s">
        <v>635</v>
      </c>
      <c r="B133" s="175" t="s">
        <v>408</v>
      </c>
      <c r="C133" s="455">
        <v>0</v>
      </c>
      <c r="D133" s="455">
        <v>100000</v>
      </c>
      <c r="E133" s="455">
        <v>100000</v>
      </c>
      <c r="F133" s="455">
        <v>0</v>
      </c>
      <c r="G133" s="23" t="str">
        <f>VLOOKUP(B133,'TB 1025'!A:A,1,0)</f>
        <v>Audit Fees</v>
      </c>
    </row>
    <row r="134" spans="1:7" x14ac:dyDescent="0.35">
      <c r="A134" s="174" t="s">
        <v>474</v>
      </c>
      <c r="B134" s="175" t="s">
        <v>595</v>
      </c>
      <c r="C134" s="455">
        <v>0</v>
      </c>
      <c r="D134" s="455">
        <v>19440.439999999999</v>
      </c>
      <c r="E134" s="455">
        <v>0</v>
      </c>
      <c r="F134" s="455">
        <v>19440.439999999999</v>
      </c>
      <c r="G134" s="23" t="str">
        <f>VLOOKUP(B134,'TB 1025'!A:A,1,0)</f>
        <v>Bank Fees and Charges</v>
      </c>
    </row>
    <row r="135" spans="1:7" x14ac:dyDescent="0.35">
      <c r="A135" s="174" t="s">
        <v>475</v>
      </c>
      <c r="B135" s="175" t="s">
        <v>38</v>
      </c>
      <c r="C135" s="455">
        <v>0</v>
      </c>
      <c r="D135" s="455">
        <v>21299999.559999999</v>
      </c>
      <c r="E135" s="455">
        <v>8000000</v>
      </c>
      <c r="F135" s="455">
        <v>13299999.560000001</v>
      </c>
      <c r="G135" s="23" t="str">
        <f>VLOOKUP(B135,'TB 1025'!A:A,1,0)</f>
        <v>Branding Expense</v>
      </c>
    </row>
    <row r="136" spans="1:7" x14ac:dyDescent="0.35">
      <c r="A136" s="174" t="s">
        <v>476</v>
      </c>
      <c r="B136" s="175" t="s">
        <v>296</v>
      </c>
      <c r="C136" s="455">
        <v>0</v>
      </c>
      <c r="D136" s="455">
        <v>35677057.770000003</v>
      </c>
      <c r="E136" s="455">
        <v>14113608.189999999</v>
      </c>
      <c r="F136" s="455">
        <v>21563449.579999998</v>
      </c>
      <c r="G136" s="23" t="str">
        <f>VLOOKUP(B136,'TB 1025'!A:A,1,0)</f>
        <v>Customer Acquisition Cost</v>
      </c>
    </row>
    <row r="137" spans="1:7" x14ac:dyDescent="0.35">
      <c r="A137" s="174" t="s">
        <v>636</v>
      </c>
      <c r="B137" s="175" t="s">
        <v>34</v>
      </c>
      <c r="C137" s="455">
        <v>0</v>
      </c>
      <c r="D137" s="455">
        <v>2301548.7400000002</v>
      </c>
      <c r="E137" s="455">
        <v>728424.08</v>
      </c>
      <c r="F137" s="455">
        <v>1573124.66</v>
      </c>
      <c r="G137" s="23" t="str">
        <f>VLOOKUP(B137,'TB 1025'!A:A,1,0)</f>
        <v>Customer Success Cost</v>
      </c>
    </row>
    <row r="138" spans="1:7" x14ac:dyDescent="0.35">
      <c r="A138" s="174" t="s">
        <v>477</v>
      </c>
      <c r="B138" s="175" t="s">
        <v>596</v>
      </c>
      <c r="C138" s="455">
        <v>0</v>
      </c>
      <c r="D138" s="455">
        <v>856748.08</v>
      </c>
      <c r="E138" s="455">
        <v>0</v>
      </c>
      <c r="F138" s="455">
        <v>856748.08</v>
      </c>
      <c r="G138" s="23" t="str">
        <f>VLOOKUP(B138,'TB 1025'!A:A,1,0)</f>
        <v>Depreciation and Amortization</v>
      </c>
    </row>
    <row r="139" spans="1:7" x14ac:dyDescent="0.35">
      <c r="A139" s="174" t="s">
        <v>478</v>
      </c>
      <c r="B139" s="175" t="s">
        <v>1474</v>
      </c>
      <c r="C139" s="455">
        <v>0</v>
      </c>
      <c r="D139" s="455">
        <v>0</v>
      </c>
      <c r="E139" s="455">
        <v>0</v>
      </c>
      <c r="F139" s="455">
        <v>0</v>
      </c>
      <c r="G139" s="23"/>
    </row>
    <row r="140" spans="1:7" x14ac:dyDescent="0.35">
      <c r="A140" s="174" t="s">
        <v>479</v>
      </c>
      <c r="B140" s="175" t="s">
        <v>109</v>
      </c>
      <c r="C140" s="455">
        <v>0</v>
      </c>
      <c r="D140" s="455">
        <v>465940</v>
      </c>
      <c r="E140" s="455">
        <v>0</v>
      </c>
      <c r="F140" s="455">
        <v>465940</v>
      </c>
      <c r="G140" s="23" t="str">
        <f>VLOOKUP(B140,'TB 1025'!A:A,1,0)</f>
        <v>Employer PF Expense</v>
      </c>
    </row>
    <row r="141" spans="1:7" x14ac:dyDescent="0.35">
      <c r="A141" s="174" t="s">
        <v>480</v>
      </c>
      <c r="B141" s="175" t="s">
        <v>597</v>
      </c>
      <c r="C141" s="455">
        <v>0</v>
      </c>
      <c r="D141" s="455">
        <v>38564.800000000003</v>
      </c>
      <c r="E141" s="455">
        <v>0</v>
      </c>
      <c r="F141" s="455">
        <v>38564.800000000003</v>
      </c>
      <c r="G141" s="23" t="str">
        <f>VLOOKUP(B141,'TB 1025'!A:A,1,0)</f>
        <v>PF Admin Expense</v>
      </c>
    </row>
    <row r="142" spans="1:7" x14ac:dyDescent="0.35">
      <c r="A142" s="174" t="s">
        <v>481</v>
      </c>
      <c r="B142" s="175" t="s">
        <v>598</v>
      </c>
      <c r="C142" s="455">
        <v>0</v>
      </c>
      <c r="D142" s="455">
        <v>4338626.63</v>
      </c>
      <c r="E142" s="455">
        <v>1941168.17</v>
      </c>
      <c r="F142" s="455">
        <v>2397458.46</v>
      </c>
      <c r="G142" s="23" t="str">
        <f>VLOOKUP(B142,'TB 1025'!A:A,1,0)</f>
        <v>Staff Welfare Expense</v>
      </c>
    </row>
    <row r="143" spans="1:7" x14ac:dyDescent="0.35">
      <c r="A143" s="174" t="s">
        <v>482</v>
      </c>
      <c r="B143" s="175" t="s">
        <v>599</v>
      </c>
      <c r="C143" s="455">
        <v>0</v>
      </c>
      <c r="D143" s="455">
        <v>468749</v>
      </c>
      <c r="E143" s="455">
        <v>0</v>
      </c>
      <c r="F143" s="455">
        <v>468749</v>
      </c>
      <c r="G143" s="23" t="str">
        <f>VLOOKUP(B143,'TB 1025'!A:A,1,0)</f>
        <v>Variable Salary</v>
      </c>
    </row>
    <row r="144" spans="1:7" ht="15.5" x14ac:dyDescent="0.35">
      <c r="A144" s="177" t="s">
        <v>483</v>
      </c>
      <c r="B144" s="175" t="s">
        <v>1475</v>
      </c>
      <c r="C144" s="456">
        <v>0</v>
      </c>
      <c r="D144" s="456">
        <v>5311880.43</v>
      </c>
      <c r="E144" s="456">
        <v>1941168.17</v>
      </c>
      <c r="F144" s="456">
        <v>3370712.26</v>
      </c>
      <c r="G144" s="23"/>
    </row>
    <row r="145" spans="1:7" x14ac:dyDescent="0.35">
      <c r="A145" s="23"/>
      <c r="B145" s="175" t="s">
        <v>85</v>
      </c>
      <c r="C145" s="23"/>
      <c r="D145" s="23"/>
      <c r="E145" s="23"/>
      <c r="F145" s="23"/>
      <c r="G145" s="23"/>
    </row>
    <row r="146" spans="1:7" x14ac:dyDescent="0.35">
      <c r="A146" s="174" t="s">
        <v>965</v>
      </c>
      <c r="B146" s="175" t="s">
        <v>417</v>
      </c>
      <c r="C146" s="455">
        <v>0</v>
      </c>
      <c r="D146" s="455">
        <v>2000</v>
      </c>
      <c r="E146" s="455">
        <v>0</v>
      </c>
      <c r="F146" s="455">
        <v>2000</v>
      </c>
      <c r="G146" s="23" t="str">
        <f>VLOOKUP(B146,'TB 1025'!A:A,1,0)</f>
        <v>Employee Cost</v>
      </c>
    </row>
    <row r="147" spans="1:7" x14ac:dyDescent="0.35">
      <c r="A147" s="174" t="s">
        <v>758</v>
      </c>
      <c r="B147" s="175" t="s">
        <v>759</v>
      </c>
      <c r="C147" s="455">
        <v>0</v>
      </c>
      <c r="D147" s="455">
        <v>45650</v>
      </c>
      <c r="E147" s="455">
        <v>0</v>
      </c>
      <c r="F147" s="455">
        <v>45650</v>
      </c>
      <c r="G147" s="23" t="str">
        <f>VLOOKUP(B147,'TB 1025'!A:A,1,0)</f>
        <v>Expert Retention Bonus</v>
      </c>
    </row>
    <row r="148" spans="1:7" x14ac:dyDescent="0.35">
      <c r="A148" s="174" t="s">
        <v>768</v>
      </c>
      <c r="B148" s="175" t="s">
        <v>778</v>
      </c>
      <c r="C148" s="455">
        <v>0</v>
      </c>
      <c r="D148" s="455">
        <v>103918.98</v>
      </c>
      <c r="E148" s="455">
        <v>0</v>
      </c>
      <c r="F148" s="455">
        <v>103918.98</v>
      </c>
      <c r="G148" s="23" t="str">
        <f>VLOOKUP(B148,'TB 1025'!A:A,1,0)</f>
        <v>Expert Welfare Cost</v>
      </c>
    </row>
    <row r="149" spans="1:7" x14ac:dyDescent="0.35">
      <c r="A149" s="174" t="s">
        <v>1232</v>
      </c>
      <c r="B149" s="175" t="s">
        <v>1262</v>
      </c>
      <c r="C149" s="455">
        <v>0</v>
      </c>
      <c r="D149" s="455">
        <v>0</v>
      </c>
      <c r="E149" s="455">
        <v>2409.84</v>
      </c>
      <c r="F149" s="455">
        <v>-2409.84</v>
      </c>
      <c r="G149" s="23" t="str">
        <f>VLOOKUP(B149,'TB 1025'!A:A,1,0)</f>
        <v>Foreign Exchange Gain or Loss</v>
      </c>
    </row>
    <row r="150" spans="1:7" x14ac:dyDescent="0.35">
      <c r="A150" s="174" t="s">
        <v>855</v>
      </c>
      <c r="B150" s="175" t="s">
        <v>864</v>
      </c>
      <c r="C150" s="455">
        <v>0</v>
      </c>
      <c r="D150" s="455">
        <v>662500</v>
      </c>
      <c r="E150" s="455">
        <v>0</v>
      </c>
      <c r="F150" s="455">
        <v>662500</v>
      </c>
      <c r="G150" s="23" t="str">
        <f>VLOOKUP(B150,'TB 1025'!A:A,1,0)</f>
        <v>Hood Rent Expense</v>
      </c>
    </row>
    <row r="151" spans="1:7" x14ac:dyDescent="0.35">
      <c r="A151" s="174" t="s">
        <v>637</v>
      </c>
      <c r="B151" s="175" t="s">
        <v>32</v>
      </c>
      <c r="C151" s="455">
        <v>0</v>
      </c>
      <c r="D151" s="455">
        <v>8617213.1199999992</v>
      </c>
      <c r="E151" s="455">
        <v>4180572.59</v>
      </c>
      <c r="F151" s="455">
        <v>4436640.53</v>
      </c>
      <c r="G151" s="23" t="str">
        <f>VLOOKUP(B151,'TB 1025'!A:A,1,0)</f>
        <v>Managerial Cost</v>
      </c>
    </row>
    <row r="152" spans="1:7" x14ac:dyDescent="0.35">
      <c r="A152" s="174" t="s">
        <v>618</v>
      </c>
      <c r="B152" s="175" t="s">
        <v>619</v>
      </c>
      <c r="C152" s="455">
        <v>0</v>
      </c>
      <c r="D152" s="455">
        <v>3741458</v>
      </c>
      <c r="E152" s="455">
        <v>6537220</v>
      </c>
      <c r="F152" s="455">
        <v>-2795762</v>
      </c>
      <c r="G152" s="23" t="str">
        <f>VLOOKUP(B152,'TB 1025'!A:A,1,0)</f>
        <v>New User Discount</v>
      </c>
    </row>
    <row r="153" spans="1:7" x14ac:dyDescent="0.35">
      <c r="A153" s="174" t="s">
        <v>486</v>
      </c>
      <c r="B153" s="175" t="s">
        <v>602</v>
      </c>
      <c r="C153" s="455">
        <v>0</v>
      </c>
      <c r="D153" s="455">
        <v>44216.42</v>
      </c>
      <c r="E153" s="455">
        <v>150000</v>
      </c>
      <c r="F153" s="455">
        <v>-105783.58</v>
      </c>
      <c r="G153" s="23" t="str">
        <f>VLOOKUP(B153,'TB 1025'!A:A,1,0)</f>
        <v>Office and Admin Expense</v>
      </c>
    </row>
    <row r="154" spans="1:7" x14ac:dyDescent="0.35">
      <c r="A154" s="174" t="s">
        <v>487</v>
      </c>
      <c r="B154" s="175" t="s">
        <v>603</v>
      </c>
      <c r="C154" s="455">
        <v>0</v>
      </c>
      <c r="D154" s="455">
        <v>1712813</v>
      </c>
      <c r="E154" s="455">
        <v>0</v>
      </c>
      <c r="F154" s="455">
        <v>1712813</v>
      </c>
      <c r="G154" s="23" t="str">
        <f>VLOOKUP(B154,'TB 1025'!A:A,1,0)</f>
        <v>Office Rent Expense</v>
      </c>
    </row>
    <row r="155" spans="1:7" x14ac:dyDescent="0.35">
      <c r="A155" s="174" t="s">
        <v>956</v>
      </c>
      <c r="B155" s="175" t="s">
        <v>957</v>
      </c>
      <c r="C155" s="455">
        <v>0</v>
      </c>
      <c r="D155" s="455">
        <v>814637.38</v>
      </c>
      <c r="E155" s="455">
        <v>440000</v>
      </c>
      <c r="F155" s="455">
        <v>374637.38</v>
      </c>
      <c r="G155" s="23" t="str">
        <f>VLOOKUP(B155,'TB 1025'!A:A,1,0)</f>
        <v>Operational Expense</v>
      </c>
    </row>
    <row r="156" spans="1:7" x14ac:dyDescent="0.35">
      <c r="A156" s="174" t="s">
        <v>488</v>
      </c>
      <c r="B156" s="175" t="s">
        <v>604</v>
      </c>
      <c r="C156" s="455">
        <v>0</v>
      </c>
      <c r="D156" s="455">
        <v>40895.51</v>
      </c>
      <c r="E156" s="455">
        <v>289.97000000000003</v>
      </c>
      <c r="F156" s="455">
        <v>40605.54</v>
      </c>
      <c r="G156" s="23" t="str">
        <f>VLOOKUP(B156,'TB 1025'!A:A,1,0)</f>
        <v>Other Cost</v>
      </c>
    </row>
    <row r="157" spans="1:7" x14ac:dyDescent="0.35">
      <c r="A157" s="174" t="s">
        <v>489</v>
      </c>
      <c r="B157" s="175" t="s">
        <v>605</v>
      </c>
      <c r="C157" s="455">
        <v>0</v>
      </c>
      <c r="D157" s="455">
        <v>521.16</v>
      </c>
      <c r="E157" s="455">
        <v>5.64</v>
      </c>
      <c r="F157" s="455">
        <v>515.52</v>
      </c>
      <c r="G157" s="23" t="str">
        <f>VLOOKUP(B157,'TB 1025'!A:A,1,0)</f>
        <v>Other Expenses</v>
      </c>
    </row>
    <row r="158" spans="1:7" x14ac:dyDescent="0.35">
      <c r="A158" s="174" t="s">
        <v>560</v>
      </c>
      <c r="B158" s="175" t="s">
        <v>29</v>
      </c>
      <c r="C158" s="455">
        <v>0</v>
      </c>
      <c r="D158" s="455">
        <v>92656.11</v>
      </c>
      <c r="E158" s="455">
        <v>0</v>
      </c>
      <c r="F158" s="455">
        <v>92656.11</v>
      </c>
      <c r="G158" s="23" t="str">
        <f>VLOOKUP(B158,'TB 1025'!A:A,1,0)</f>
        <v>Payment Gateway Cost</v>
      </c>
    </row>
    <row r="159" spans="1:7" x14ac:dyDescent="0.35">
      <c r="A159" s="174" t="s">
        <v>490</v>
      </c>
      <c r="B159" s="175" t="s">
        <v>41</v>
      </c>
      <c r="C159" s="455">
        <v>0</v>
      </c>
      <c r="D159" s="455">
        <v>1258350</v>
      </c>
      <c r="E159" s="455">
        <v>0</v>
      </c>
      <c r="F159" s="455">
        <v>1258350</v>
      </c>
      <c r="G159" s="23" t="str">
        <f>VLOOKUP(B159,'TB 1025'!A:A,1,0)</f>
        <v>Professional Fees</v>
      </c>
    </row>
    <row r="160" spans="1:7" x14ac:dyDescent="0.35">
      <c r="A160" s="174" t="s">
        <v>491</v>
      </c>
      <c r="B160" s="175" t="s">
        <v>606</v>
      </c>
      <c r="C160" s="455">
        <v>0</v>
      </c>
      <c r="D160" s="455">
        <v>24370.799999999999</v>
      </c>
      <c r="E160" s="455">
        <v>0</v>
      </c>
      <c r="F160" s="455">
        <v>24370.799999999999</v>
      </c>
      <c r="G160" s="23" t="str">
        <f>VLOOKUP(B160,'TB 1025'!A:A,1,0)</f>
        <v>Rates and Taxes</v>
      </c>
    </row>
    <row r="161" spans="1:7" x14ac:dyDescent="0.35">
      <c r="A161" s="174" t="s">
        <v>638</v>
      </c>
      <c r="B161" s="175" t="s">
        <v>239</v>
      </c>
      <c r="C161" s="455">
        <v>0</v>
      </c>
      <c r="D161" s="455">
        <v>759492</v>
      </c>
      <c r="E161" s="455">
        <v>611550</v>
      </c>
      <c r="F161" s="455">
        <v>147942</v>
      </c>
      <c r="G161" s="23" t="str">
        <f>VLOOKUP(B161,'TB 1025'!A:A,1,0)</f>
        <v>Recruitment Charges</v>
      </c>
    </row>
    <row r="162" spans="1:7" x14ac:dyDescent="0.35">
      <c r="A162" s="174" t="s">
        <v>492</v>
      </c>
      <c r="B162" s="175" t="s">
        <v>607</v>
      </c>
      <c r="C162" s="455">
        <v>0</v>
      </c>
      <c r="D162" s="455">
        <v>34897040.640000001</v>
      </c>
      <c r="E162" s="455">
        <v>122937.51</v>
      </c>
      <c r="F162" s="455">
        <v>34774103.130000003</v>
      </c>
      <c r="G162" s="23" t="str">
        <f>VLOOKUP(B162,'TB 1025'!A:A,1,0)</f>
        <v>Salaries and Employee Wages</v>
      </c>
    </row>
    <row r="163" spans="1:7" x14ac:dyDescent="0.35">
      <c r="A163" s="174" t="s">
        <v>615</v>
      </c>
      <c r="B163" s="175" t="s">
        <v>26</v>
      </c>
      <c r="C163" s="455">
        <v>0</v>
      </c>
      <c r="D163" s="455">
        <f>73552280.46-100000</f>
        <v>73452280.459999993</v>
      </c>
      <c r="E163" s="455">
        <v>0</v>
      </c>
      <c r="F163" s="455">
        <f>C163+D163-E163</f>
        <v>73452280.459999993</v>
      </c>
      <c r="G163" s="23" t="str">
        <f>VLOOKUP(B163,'TB 1025'!A:A,1,0)</f>
        <v>Service Cost</v>
      </c>
    </row>
    <row r="164" spans="1:7" x14ac:dyDescent="0.35">
      <c r="A164" s="174" t="s">
        <v>493</v>
      </c>
      <c r="B164" s="175" t="s">
        <v>608</v>
      </c>
      <c r="C164" s="455">
        <v>0</v>
      </c>
      <c r="D164" s="455">
        <v>4236486.8499999996</v>
      </c>
      <c r="E164" s="455">
        <v>265471.92</v>
      </c>
      <c r="F164" s="455">
        <v>3971014.93</v>
      </c>
      <c r="G164" s="23" t="str">
        <f>VLOOKUP(B164,'TB 1025'!A:A,1,0)</f>
        <v>Software Expense</v>
      </c>
    </row>
    <row r="165" spans="1:7" x14ac:dyDescent="0.35">
      <c r="A165" s="174" t="s">
        <v>494</v>
      </c>
      <c r="B165" s="175" t="s">
        <v>609</v>
      </c>
      <c r="C165" s="455">
        <v>0</v>
      </c>
      <c r="D165" s="455">
        <f>20363173.4-400000</f>
        <v>19963173.399999999</v>
      </c>
      <c r="E165" s="455">
        <v>7288519.8399999999</v>
      </c>
      <c r="F165" s="455">
        <f>C165+D165-E165</f>
        <v>12674653.559999999</v>
      </c>
      <c r="G165" s="23" t="str">
        <f>VLOOKUP(B165,'TB 1025'!A:A,1,0)</f>
        <v>Sourcing and Onboarding Expense</v>
      </c>
    </row>
    <row r="166" spans="1:7" x14ac:dyDescent="0.35">
      <c r="A166" s="174" t="s">
        <v>495</v>
      </c>
      <c r="B166" s="175" t="s">
        <v>610</v>
      </c>
      <c r="C166" s="455">
        <v>0</v>
      </c>
      <c r="D166" s="455">
        <v>2431509.85</v>
      </c>
      <c r="E166" s="455">
        <v>740011.18</v>
      </c>
      <c r="F166" s="455">
        <v>1691498.67</v>
      </c>
      <c r="G166" s="23" t="str">
        <f>VLOOKUP(B166,'TB 1025'!A:A,1,0)</f>
        <v>Training Centre Expense</v>
      </c>
    </row>
    <row r="167" spans="1:7" x14ac:dyDescent="0.35">
      <c r="A167" s="174" t="s">
        <v>496</v>
      </c>
      <c r="B167" s="175" t="s">
        <v>611</v>
      </c>
      <c r="C167" s="455">
        <v>0</v>
      </c>
      <c r="D167" s="455">
        <v>2115799</v>
      </c>
      <c r="E167" s="455">
        <v>0</v>
      </c>
      <c r="F167" s="455">
        <v>2115799</v>
      </c>
      <c r="G167" s="23" t="str">
        <f>VLOOKUP(B167,'TB 1025'!A:A,1,0)</f>
        <v>Training Centre Rent Expense</v>
      </c>
    </row>
    <row r="168" spans="1:7" ht="15.5" x14ac:dyDescent="0.35">
      <c r="A168" s="177" t="s">
        <v>639</v>
      </c>
      <c r="B168" s="175" t="s">
        <v>639</v>
      </c>
      <c r="C168" s="456"/>
      <c r="D168" s="456">
        <v>2265048233.1900001</v>
      </c>
      <c r="E168" s="456">
        <v>2265048233.1900001</v>
      </c>
      <c r="F168" s="456"/>
      <c r="G168" s="2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91FE-2BE1-40B1-99BD-BBBCE0122885}">
  <dimension ref="A1:M146"/>
  <sheetViews>
    <sheetView workbookViewId="0">
      <selection activeCell="C10" sqref="C10"/>
    </sheetView>
  </sheetViews>
  <sheetFormatPr defaultColWidth="8.90625" defaultRowHeight="14.5" x14ac:dyDescent="0.35"/>
  <cols>
    <col min="1" max="1" width="41.36328125" style="23" bestFit="1" customWidth="1"/>
    <col min="2" max="2" width="17" style="23" bestFit="1" customWidth="1"/>
    <col min="3" max="4" width="16.36328125" style="23" bestFit="1" customWidth="1"/>
    <col min="5" max="5" width="17" style="23" bestFit="1" customWidth="1"/>
    <col min="6" max="6" width="13.08984375" style="23" bestFit="1" customWidth="1"/>
    <col min="7" max="7" width="4.81640625" style="23" bestFit="1" customWidth="1"/>
    <col min="8" max="8" width="39.1796875" style="23" bestFit="1" customWidth="1"/>
    <col min="9" max="9" width="18.90625" style="23" bestFit="1" customWidth="1"/>
    <col min="10" max="10" width="14.08984375" style="23" bestFit="1" customWidth="1"/>
    <col min="11" max="11" width="19.1796875" style="23" bestFit="1" customWidth="1"/>
    <col min="12" max="12" width="14.1796875" style="23" bestFit="1" customWidth="1"/>
    <col min="13" max="13" width="10" style="23" bestFit="1" customWidth="1"/>
    <col min="14" max="16384" width="8.90625" style="23"/>
  </cols>
  <sheetData>
    <row r="1" spans="1:13" x14ac:dyDescent="0.35">
      <c r="A1" s="24"/>
      <c r="B1" s="24">
        <f>SUBTOTAL(9,B3:B1048576)</f>
        <v>-4.4703483581542969E-7</v>
      </c>
      <c r="C1" s="24">
        <f t="shared" ref="C1:F1" si="0">SUBTOTAL(9,C3:C1048576)</f>
        <v>2271392983.1900005</v>
      </c>
      <c r="D1" s="24">
        <f t="shared" si="0"/>
        <v>2271392983.1900001</v>
      </c>
      <c r="E1" s="24">
        <f t="shared" si="0"/>
        <v>-6.7055225372314453E-8</v>
      </c>
      <c r="F1" s="24">
        <f t="shared" si="0"/>
        <v>9.2086338554508984E-10</v>
      </c>
      <c r="G1" s="24"/>
      <c r="H1" s="24"/>
      <c r="I1" s="24"/>
      <c r="J1" s="24"/>
      <c r="K1" s="24"/>
      <c r="L1" s="24"/>
      <c r="M1" s="24"/>
    </row>
    <row r="2" spans="1:13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358" t="s">
        <v>159</v>
      </c>
      <c r="H2" s="109" t="s">
        <v>612</v>
      </c>
      <c r="K2" s="109" t="s">
        <v>159</v>
      </c>
      <c r="L2" s="109" t="s">
        <v>186</v>
      </c>
      <c r="M2" s="109" t="s">
        <v>648</v>
      </c>
    </row>
    <row r="3" spans="1:13" x14ac:dyDescent="0.35">
      <c r="A3" s="23" t="s">
        <v>561</v>
      </c>
      <c r="B3" s="24">
        <f>SUMIF('Raw TB 1025'!$B:$B,'TB 1025'!$A3,'Raw TB 1025'!C:C)</f>
        <v>1355812.13</v>
      </c>
      <c r="C3" s="24">
        <f>SUMIF('Raw TB 1025'!$B:$B,'TB 1025'!$A3,'Raw TB 1025'!D:D)</f>
        <v>41598722.799999997</v>
      </c>
      <c r="D3" s="24">
        <f>SUMIF('Raw TB 1025'!$B:$B,'TB 1025'!$A3,'Raw TB 1025'!E:E)</f>
        <v>5063429.5</v>
      </c>
      <c r="E3" s="24">
        <f>SUMIF('Raw TB 1025'!$B:$B,'TB 1025'!$A3,'Raw TB 1025'!F:F)</f>
        <v>37891105.43</v>
      </c>
      <c r="F3" s="24">
        <f>E3/10^3</f>
        <v>37891.105430000003</v>
      </c>
      <c r="G3" s="22" t="s">
        <v>181</v>
      </c>
      <c r="H3" s="23" t="s">
        <v>77</v>
      </c>
      <c r="K3" s="23" t="s">
        <v>34</v>
      </c>
      <c r="L3" s="24">
        <v>91833</v>
      </c>
      <c r="M3" s="24">
        <f>L3/10^3</f>
        <v>91.832999999999998</v>
      </c>
    </row>
    <row r="4" spans="1:13" x14ac:dyDescent="0.35">
      <c r="A4" s="23" t="s">
        <v>288</v>
      </c>
      <c r="B4" s="24">
        <f>SUMIF('Raw TB 1025'!$B:$B,'TB 1025'!$A4,'Raw TB 1025'!C:C)</f>
        <v>35241207</v>
      </c>
      <c r="C4" s="24">
        <f>SUMIF('Raw TB 1025'!$B:$B,'TB 1025'!$A4,'Raw TB 1025'!D:D)</f>
        <v>44549174</v>
      </c>
      <c r="D4" s="24">
        <f>SUMIF('Raw TB 1025'!$B:$B,'TB 1025'!$A4,'Raw TB 1025'!E:E)</f>
        <v>35241207</v>
      </c>
      <c r="E4" s="24">
        <f>SUMIF('Raw TB 1025'!$B:$B,'TB 1025'!$A4,'Raw TB 1025'!F:F)</f>
        <v>44549174</v>
      </c>
      <c r="F4" s="24">
        <f t="shared" ref="F4:F67" si="1">E4/10^3</f>
        <v>44549.173999999999</v>
      </c>
      <c r="G4" s="22" t="s">
        <v>181</v>
      </c>
      <c r="H4" s="23" t="s">
        <v>79</v>
      </c>
      <c r="K4" s="23" t="s">
        <v>1235</v>
      </c>
      <c r="L4" s="24">
        <v>1453237</v>
      </c>
      <c r="M4" s="24">
        <f t="shared" ref="M4:M9" si="2">L4/10^3</f>
        <v>1453.2370000000001</v>
      </c>
    </row>
    <row r="5" spans="1:13" x14ac:dyDescent="0.35">
      <c r="A5" s="23" t="s">
        <v>1433</v>
      </c>
      <c r="B5" s="24">
        <f>SUMIF('Raw TB 1025'!$B:$B,'TB 1025'!$A5,'Raw TB 1025'!C:C)</f>
        <v>-848494.68</v>
      </c>
      <c r="C5" s="24">
        <f>SUMIF('Raw TB 1025'!$B:$B,'TB 1025'!$A5,'Raw TB 1025'!D:D)</f>
        <v>0</v>
      </c>
      <c r="D5" s="24">
        <f>SUMIF('Raw TB 1025'!$B:$B,'TB 1025'!$A5,'Raw TB 1025'!E:E)</f>
        <v>290507.38</v>
      </c>
      <c r="E5" s="24">
        <f>SUMIF('Raw TB 1025'!$B:$B,'TB 1025'!$A5,'Raw TB 1025'!F:F)</f>
        <v>-1139002.06</v>
      </c>
      <c r="F5" s="24">
        <f t="shared" si="1"/>
        <v>-1139.00206</v>
      </c>
      <c r="G5" s="22" t="s">
        <v>181</v>
      </c>
      <c r="H5" s="23" t="s">
        <v>71</v>
      </c>
      <c r="K5" s="23" t="s">
        <v>1290</v>
      </c>
      <c r="L5" s="24">
        <v>858462</v>
      </c>
      <c r="M5" s="24">
        <f t="shared" si="2"/>
        <v>858.46199999999999</v>
      </c>
    </row>
    <row r="6" spans="1:13" x14ac:dyDescent="0.35">
      <c r="A6" s="23" t="s">
        <v>562</v>
      </c>
      <c r="B6" s="24">
        <f>SUMIF('Raw TB 1025'!$B:$B,'TB 1025'!$A6,'Raw TB 1025'!C:C)</f>
        <v>-1524947.88</v>
      </c>
      <c r="C6" s="24">
        <f>SUMIF('Raw TB 1025'!$B:$B,'TB 1025'!$A6,'Raw TB 1025'!D:D)</f>
        <v>0</v>
      </c>
      <c r="D6" s="24">
        <f>SUMIF('Raw TB 1025'!$B:$B,'TB 1025'!$A6,'Raw TB 1025'!E:E)</f>
        <v>540862.42000000004</v>
      </c>
      <c r="E6" s="24">
        <f>SUMIF('Raw TB 1025'!$B:$B,'TB 1025'!$A6,'Raw TB 1025'!F:F)</f>
        <v>-2065810.3</v>
      </c>
      <c r="F6" s="24">
        <f t="shared" si="1"/>
        <v>-2065.8103000000001</v>
      </c>
      <c r="G6" s="22" t="s">
        <v>181</v>
      </c>
      <c r="H6" s="23" t="s">
        <v>71</v>
      </c>
      <c r="K6" s="23" t="s">
        <v>31</v>
      </c>
      <c r="L6" s="24">
        <v>702500</v>
      </c>
      <c r="M6" s="24">
        <f t="shared" si="2"/>
        <v>702.5</v>
      </c>
    </row>
    <row r="7" spans="1:13" x14ac:dyDescent="0.35">
      <c r="A7" s="23" t="s">
        <v>772</v>
      </c>
      <c r="B7" s="24">
        <f>SUMIF('Raw TB 1025'!$B:$B,'TB 1025'!$A7,'Raw TB 1025'!C:C)</f>
        <v>-75655.88</v>
      </c>
      <c r="C7" s="24">
        <f>SUMIF('Raw TB 1025'!$B:$B,'TB 1025'!$A7,'Raw TB 1025'!D:D)</f>
        <v>0</v>
      </c>
      <c r="D7" s="24">
        <f>SUMIF('Raw TB 1025'!$B:$B,'TB 1025'!$A7,'Raw TB 1025'!E:E)</f>
        <v>11370.3</v>
      </c>
      <c r="E7" s="24">
        <f>SUMIF('Raw TB 1025'!$B:$B,'TB 1025'!$A7,'Raw TB 1025'!F:F)</f>
        <v>-87026.18</v>
      </c>
      <c r="F7" s="24">
        <f t="shared" si="1"/>
        <v>-87.026179999999997</v>
      </c>
      <c r="G7" s="22" t="s">
        <v>181</v>
      </c>
      <c r="H7" s="23" t="s">
        <v>71</v>
      </c>
      <c r="K7" s="23" t="s">
        <v>417</v>
      </c>
      <c r="L7" s="24">
        <f>30126570+252935.13</f>
        <v>30379505.129999999</v>
      </c>
      <c r="M7" s="24">
        <f t="shared" si="2"/>
        <v>30379.505129999998</v>
      </c>
    </row>
    <row r="8" spans="1:13" x14ac:dyDescent="0.35">
      <c r="A8" s="23" t="s">
        <v>198</v>
      </c>
      <c r="B8" s="24">
        <f>SUMIF('Raw TB 1025'!$B:$B,'TB 1025'!$A8,'Raw TB 1025'!C:C)</f>
        <v>-85010.25</v>
      </c>
      <c r="C8" s="24">
        <f>SUMIF('Raw TB 1025'!$B:$B,'TB 1025'!$A8,'Raw TB 1025'!D:D)</f>
        <v>0</v>
      </c>
      <c r="D8" s="24">
        <f>SUMIF('Raw TB 1025'!$B:$B,'TB 1025'!$A8,'Raw TB 1025'!E:E)</f>
        <v>14007.98</v>
      </c>
      <c r="E8" s="24">
        <f>SUMIF('Raw TB 1025'!$B:$B,'TB 1025'!$A8,'Raw TB 1025'!F:F)</f>
        <v>-99018.23</v>
      </c>
      <c r="F8" s="24">
        <f t="shared" si="1"/>
        <v>-99.018230000000003</v>
      </c>
      <c r="G8" s="22" t="s">
        <v>181</v>
      </c>
      <c r="H8" s="23" t="s">
        <v>71</v>
      </c>
      <c r="K8" s="23" t="s">
        <v>1291</v>
      </c>
      <c r="L8" s="24">
        <v>1459409</v>
      </c>
      <c r="M8" s="24">
        <f t="shared" si="2"/>
        <v>1459.4090000000001</v>
      </c>
    </row>
    <row r="9" spans="1:13" x14ac:dyDescent="0.35">
      <c r="A9" s="23" t="s">
        <v>967</v>
      </c>
      <c r="B9" s="24">
        <f>SUMIF('Raw TB 1025'!$B:$B,'TB 1025'!$A9,'Raw TB 1025'!C:C)</f>
        <v>41291.82</v>
      </c>
      <c r="C9" s="24">
        <f>SUMIF('Raw TB 1025'!$B:$B,'TB 1025'!$A9,'Raw TB 1025'!D:D)</f>
        <v>10721451.369999999</v>
      </c>
      <c r="D9" s="24">
        <f>SUMIF('Raw TB 1025'!$B:$B,'TB 1025'!$A9,'Raw TB 1025'!E:E)</f>
        <v>2481091.37</v>
      </c>
      <c r="E9" s="24">
        <f>SUMIF('Raw TB 1025'!$B:$B,'TB 1025'!$A9,'Raw TB 1025'!F:F)</f>
        <v>8281651.8200000003</v>
      </c>
      <c r="F9" s="24">
        <f t="shared" si="1"/>
        <v>8281.651820000001</v>
      </c>
      <c r="G9" s="22" t="s">
        <v>181</v>
      </c>
      <c r="H9" s="23" t="s">
        <v>79</v>
      </c>
      <c r="K9" s="23" t="s">
        <v>1292</v>
      </c>
      <c r="L9" s="24">
        <f>250097+45000</f>
        <v>295097</v>
      </c>
      <c r="M9" s="24">
        <f t="shared" si="2"/>
        <v>295.09699999999998</v>
      </c>
    </row>
    <row r="10" spans="1:13" x14ac:dyDescent="0.35">
      <c r="A10" s="23" t="s">
        <v>365</v>
      </c>
      <c r="B10" s="24">
        <f>SUMIF('Raw TB 1025'!$B:$B,'TB 1025'!$A10,'Raw TB 1025'!C:C)</f>
        <v>305.98</v>
      </c>
      <c r="C10" s="24">
        <f>SUMIF('Raw TB 1025'!$B:$B,'TB 1025'!$A10,'Raw TB 1025'!D:D)</f>
        <v>0</v>
      </c>
      <c r="D10" s="24">
        <f>SUMIF('Raw TB 1025'!$B:$B,'TB 1025'!$A10,'Raw TB 1025'!E:E)</f>
        <v>0</v>
      </c>
      <c r="E10" s="24">
        <f>SUMIF('Raw TB 1025'!$B:$B,'TB 1025'!$A10,'Raw TB 1025'!F:F)</f>
        <v>305.98</v>
      </c>
      <c r="F10" s="24">
        <f t="shared" si="1"/>
        <v>0.30598000000000003</v>
      </c>
      <c r="G10" s="22" t="s">
        <v>181</v>
      </c>
      <c r="H10" s="23" t="s">
        <v>79</v>
      </c>
      <c r="L10" s="210">
        <f>SUM(L3:L9)</f>
        <v>35240043.129999995</v>
      </c>
      <c r="M10" s="210">
        <f>SUM(M3:M9)</f>
        <v>35240.043129999998</v>
      </c>
    </row>
    <row r="11" spans="1:13" x14ac:dyDescent="0.35">
      <c r="A11" s="23" t="s">
        <v>563</v>
      </c>
      <c r="B11" s="24">
        <f>SUMIF('Raw TB 1025'!$B:$B,'TB 1025'!$A11,'Raw TB 1025'!C:C)</f>
        <v>11928.34</v>
      </c>
      <c r="C11" s="24">
        <f>SUMIF('Raw TB 1025'!$B:$B,'TB 1025'!$A11,'Raw TB 1025'!D:D)</f>
        <v>0</v>
      </c>
      <c r="D11" s="24">
        <f>SUMIF('Raw TB 1025'!$B:$B,'TB 1025'!$A11,'Raw TB 1025'!E:E)</f>
        <v>118</v>
      </c>
      <c r="E11" s="24">
        <f>SUMIF('Raw TB 1025'!$B:$B,'TB 1025'!$A11,'Raw TB 1025'!F:F)</f>
        <v>11810.34</v>
      </c>
      <c r="F11" s="24">
        <f t="shared" si="1"/>
        <v>11.81034</v>
      </c>
      <c r="G11" s="22" t="s">
        <v>181</v>
      </c>
      <c r="H11" s="23" t="s">
        <v>78</v>
      </c>
      <c r="L11" s="206">
        <f>L10-E106-E124</f>
        <v>0</v>
      </c>
    </row>
    <row r="12" spans="1:13" x14ac:dyDescent="0.35">
      <c r="A12" s="23" t="s">
        <v>564</v>
      </c>
      <c r="B12" s="24">
        <f>SUMIF('Raw TB 1025'!$B:$B,'TB 1025'!$A12,'Raw TB 1025'!C:C)</f>
        <v>17022787.030000001</v>
      </c>
      <c r="C12" s="24">
        <f>SUMIF('Raw TB 1025'!$B:$B,'TB 1025'!$A12,'Raw TB 1025'!D:D)</f>
        <v>4291200</v>
      </c>
      <c r="D12" s="24">
        <f>SUMIF('Raw TB 1025'!$B:$B,'TB 1025'!$A12,'Raw TB 1025'!E:E)</f>
        <v>0</v>
      </c>
      <c r="E12" s="24">
        <f>SUMIF('Raw TB 1025'!$B:$B,'TB 1025'!$A12,'Raw TB 1025'!F:F)</f>
        <v>21313987.030000001</v>
      </c>
      <c r="F12" s="24">
        <f t="shared" si="1"/>
        <v>21313.98703</v>
      </c>
      <c r="G12" s="22" t="s">
        <v>181</v>
      </c>
      <c r="H12" s="23" t="s">
        <v>71</v>
      </c>
      <c r="I12" s="23" t="s">
        <v>1397</v>
      </c>
    </row>
    <row r="13" spans="1:13" x14ac:dyDescent="0.35">
      <c r="A13" s="23" t="s">
        <v>1293</v>
      </c>
      <c r="B13" s="24">
        <f>SUMIF('Raw TB 1025'!$B:$B,'TB 1025'!$A13,'Raw TB 1025'!C:C)</f>
        <v>656178</v>
      </c>
      <c r="C13" s="24">
        <f>SUMIF('Raw TB 1025'!$B:$B,'TB 1025'!$A13,'Raw TB 1025'!D:D)</f>
        <v>3057675</v>
      </c>
      <c r="D13" s="24">
        <f>SUMIF('Raw TB 1025'!$B:$B,'TB 1025'!$A13,'Raw TB 1025'!E:E)</f>
        <v>2224565</v>
      </c>
      <c r="E13" s="24">
        <f>SUMIF('Raw TB 1025'!$B:$B,'TB 1025'!$A13,'Raw TB 1025'!F:F)</f>
        <v>1489288</v>
      </c>
      <c r="F13" s="24">
        <f t="shared" si="1"/>
        <v>1489.288</v>
      </c>
      <c r="G13" s="22" t="s">
        <v>181</v>
      </c>
      <c r="H13" s="23" t="s">
        <v>79</v>
      </c>
    </row>
    <row r="14" spans="1:13" x14ac:dyDescent="0.35">
      <c r="A14" s="23" t="s">
        <v>693</v>
      </c>
      <c r="B14" s="24">
        <f>SUMIF('Raw TB 1025'!$B:$B,'TB 1025'!$A14,'Raw TB 1025'!C:C)</f>
        <v>704611.34</v>
      </c>
      <c r="C14" s="24">
        <f>SUMIF('Raw TB 1025'!$B:$B,'TB 1025'!$A14,'Raw TB 1025'!D:D)</f>
        <v>0</v>
      </c>
      <c r="D14" s="24">
        <f>SUMIF('Raw TB 1025'!$B:$B,'TB 1025'!$A14,'Raw TB 1025'!E:E)</f>
        <v>0</v>
      </c>
      <c r="E14" s="24">
        <f>SUMIF('Raw TB 1025'!$B:$B,'TB 1025'!$A14,'Raw TB 1025'!F:F)</f>
        <v>704611.34</v>
      </c>
      <c r="F14" s="24">
        <f t="shared" si="1"/>
        <v>704.61133999999993</v>
      </c>
      <c r="G14" s="22" t="s">
        <v>181</v>
      </c>
      <c r="H14" s="23" t="s">
        <v>71</v>
      </c>
      <c r="I14" s="23" t="s">
        <v>1397</v>
      </c>
    </row>
    <row r="15" spans="1:13" x14ac:dyDescent="0.35">
      <c r="A15" s="23" t="s">
        <v>714</v>
      </c>
      <c r="B15" s="24">
        <f>SUMIF('Raw TB 1025'!$B:$B,'TB 1025'!$A15,'Raw TB 1025'!C:C)</f>
        <v>72359.7</v>
      </c>
      <c r="C15" s="24">
        <f>SUMIF('Raw TB 1025'!$B:$B,'TB 1025'!$A15,'Raw TB 1025'!D:D)</f>
        <v>0</v>
      </c>
      <c r="D15" s="24">
        <f>SUMIF('Raw TB 1025'!$B:$B,'TB 1025'!$A15,'Raw TB 1025'!E:E)</f>
        <v>0</v>
      </c>
      <c r="E15" s="24">
        <f>SUMIF('Raw TB 1025'!$B:$B,'TB 1025'!$A15,'Raw TB 1025'!F:F)</f>
        <v>72359.7</v>
      </c>
      <c r="F15" s="24">
        <f t="shared" si="1"/>
        <v>72.359700000000004</v>
      </c>
      <c r="G15" s="22" t="s">
        <v>181</v>
      </c>
      <c r="H15" s="23" t="s">
        <v>78</v>
      </c>
    </row>
    <row r="16" spans="1:13" x14ac:dyDescent="0.35">
      <c r="A16" s="23" t="s">
        <v>715</v>
      </c>
      <c r="B16" s="24">
        <f>SUMIF('Raw TB 1025'!$B:$B,'TB 1025'!$A16,'Raw TB 1025'!C:C)</f>
        <v>154853.49</v>
      </c>
      <c r="C16" s="24">
        <f>SUMIF('Raw TB 1025'!$B:$B,'TB 1025'!$A16,'Raw TB 1025'!D:D)</f>
        <v>2511008.77</v>
      </c>
      <c r="D16" s="24">
        <f>SUMIF('Raw TB 1025'!$B:$B,'TB 1025'!$A16,'Raw TB 1025'!E:E)</f>
        <v>2265592.17</v>
      </c>
      <c r="E16" s="24">
        <f>SUMIF('Raw TB 1025'!$B:$B,'TB 1025'!$A16,'Raw TB 1025'!F:F)</f>
        <v>400270.09</v>
      </c>
      <c r="F16" s="24">
        <f t="shared" si="1"/>
        <v>400.27009000000004</v>
      </c>
      <c r="G16" s="22" t="s">
        <v>181</v>
      </c>
      <c r="H16" s="23" t="s">
        <v>78</v>
      </c>
    </row>
    <row r="17" spans="1:8" x14ac:dyDescent="0.35">
      <c r="A17" s="23" t="s">
        <v>565</v>
      </c>
      <c r="B17" s="24">
        <f>SUMIF('Raw TB 1025'!$B:$B,'TB 1025'!$A17,'Raw TB 1025'!C:C)</f>
        <v>8358796.4699999997</v>
      </c>
      <c r="C17" s="24">
        <f>SUMIF('Raw TB 1025'!$B:$B,'TB 1025'!$A17,'Raw TB 1025'!D:D)</f>
        <v>2873126.64</v>
      </c>
      <c r="D17" s="24">
        <f>SUMIF('Raw TB 1025'!$B:$B,'TB 1025'!$A17,'Raw TB 1025'!E:E)</f>
        <v>0</v>
      </c>
      <c r="E17" s="24">
        <f>SUMIF('Raw TB 1025'!$B:$B,'TB 1025'!$A17,'Raw TB 1025'!F:F)</f>
        <v>11231923.109999999</v>
      </c>
      <c r="F17" s="24">
        <f t="shared" si="1"/>
        <v>11231.92311</v>
      </c>
      <c r="G17" s="22" t="s">
        <v>181</v>
      </c>
      <c r="H17" s="23" t="s">
        <v>79</v>
      </c>
    </row>
    <row r="18" spans="1:8" x14ac:dyDescent="0.35">
      <c r="A18" s="23" t="s">
        <v>566</v>
      </c>
      <c r="B18" s="24">
        <f>SUMIF('Raw TB 1025'!$B:$B,'TB 1025'!$A18,'Raw TB 1025'!C:C)</f>
        <v>3749270.17</v>
      </c>
      <c r="C18" s="24">
        <f>SUMIF('Raw TB 1025'!$B:$B,'TB 1025'!$A18,'Raw TB 1025'!D:D)</f>
        <v>3032160.39</v>
      </c>
      <c r="D18" s="24">
        <f>SUMIF('Raw TB 1025'!$B:$B,'TB 1025'!$A18,'Raw TB 1025'!E:E)</f>
        <v>297828</v>
      </c>
      <c r="E18" s="24">
        <f>SUMIF('Raw TB 1025'!$B:$B,'TB 1025'!$A18,'Raw TB 1025'!F:F)</f>
        <v>6483602.5599999996</v>
      </c>
      <c r="F18" s="24">
        <f t="shared" si="1"/>
        <v>6483.6025599999994</v>
      </c>
      <c r="G18" s="22" t="s">
        <v>181</v>
      </c>
      <c r="H18" s="23" t="s">
        <v>79</v>
      </c>
    </row>
    <row r="19" spans="1:8" x14ac:dyDescent="0.35">
      <c r="A19" s="23" t="s">
        <v>567</v>
      </c>
      <c r="B19" s="24">
        <f>SUMIF('Raw TB 1025'!$B:$B,'TB 1025'!$A19,'Raw TB 1025'!C:C)</f>
        <v>8290438.5199999996</v>
      </c>
      <c r="C19" s="24">
        <f>SUMIF('Raw TB 1025'!$B:$B,'TB 1025'!$A19,'Raw TB 1025'!D:D)</f>
        <v>2873126.65</v>
      </c>
      <c r="D19" s="24">
        <f>SUMIF('Raw TB 1025'!$B:$B,'TB 1025'!$A19,'Raw TB 1025'!E:E)</f>
        <v>0</v>
      </c>
      <c r="E19" s="24">
        <f>SUMIF('Raw TB 1025'!$B:$B,'TB 1025'!$A19,'Raw TB 1025'!F:F)</f>
        <v>11163565.17</v>
      </c>
      <c r="F19" s="24">
        <f t="shared" si="1"/>
        <v>11163.56517</v>
      </c>
      <c r="G19" s="22" t="s">
        <v>181</v>
      </c>
      <c r="H19" s="23" t="s">
        <v>79</v>
      </c>
    </row>
    <row r="20" spans="1:8" x14ac:dyDescent="0.35">
      <c r="A20" s="23" t="s">
        <v>1352</v>
      </c>
      <c r="B20" s="24">
        <f>SUMIF('Raw TB 1025'!$B:$B,'TB 1025'!$A20,'Raw TB 1025'!C:C)</f>
        <v>39998000.100000001</v>
      </c>
      <c r="C20" s="24">
        <f>SUMIF('Raw TB 1025'!$B:$B,'TB 1025'!$A20,'Raw TB 1025'!D:D)</f>
        <v>0</v>
      </c>
      <c r="D20" s="24">
        <f>SUMIF('Raw TB 1025'!$B:$B,'TB 1025'!$A20,'Raw TB 1025'!E:E)</f>
        <v>39998000.100000001</v>
      </c>
      <c r="E20" s="24">
        <f>SUMIF('Raw TB 1025'!$B:$B,'TB 1025'!$A20,'Raw TB 1025'!F:F)</f>
        <v>0</v>
      </c>
      <c r="F20" s="24">
        <f t="shared" si="1"/>
        <v>0</v>
      </c>
      <c r="G20" s="22" t="s">
        <v>181</v>
      </c>
      <c r="H20" s="23" t="s">
        <v>76</v>
      </c>
    </row>
    <row r="21" spans="1:8" x14ac:dyDescent="0.35">
      <c r="A21" s="23" t="s">
        <v>1239</v>
      </c>
      <c r="B21" s="24">
        <f>SUMIF('Raw TB 1025'!$B:$B,'TB 1025'!$A21,'Raw TB 1025'!C:C)</f>
        <v>50000000</v>
      </c>
      <c r="C21" s="24">
        <f>SUMIF('Raw TB 1025'!$B:$B,'TB 1025'!$A21,'Raw TB 1025'!D:D)</f>
        <v>0</v>
      </c>
      <c r="D21" s="24">
        <f>SUMIF('Raw TB 1025'!$B:$B,'TB 1025'!$A21,'Raw TB 1025'!E:E)</f>
        <v>0</v>
      </c>
      <c r="E21" s="24">
        <f>SUMIF('Raw TB 1025'!$B:$B,'TB 1025'!$A21,'Raw TB 1025'!F:F)</f>
        <v>50000000</v>
      </c>
      <c r="F21" s="24">
        <f t="shared" si="1"/>
        <v>50000</v>
      </c>
      <c r="G21" s="22" t="s">
        <v>181</v>
      </c>
      <c r="H21" s="23" t="s">
        <v>76</v>
      </c>
    </row>
    <row r="22" spans="1:8" x14ac:dyDescent="0.35">
      <c r="A22" s="23" t="s">
        <v>1240</v>
      </c>
      <c r="B22" s="24">
        <f>SUMIF('Raw TB 1025'!$B:$B,'TB 1025'!$A22,'Raw TB 1025'!C:C)</f>
        <v>100000000</v>
      </c>
      <c r="C22" s="24">
        <f>SUMIF('Raw TB 1025'!$B:$B,'TB 1025'!$A22,'Raw TB 1025'!D:D)</f>
        <v>0</v>
      </c>
      <c r="D22" s="24">
        <f>SUMIF('Raw TB 1025'!$B:$B,'TB 1025'!$A22,'Raw TB 1025'!E:E)</f>
        <v>0</v>
      </c>
      <c r="E22" s="24">
        <f>SUMIF('Raw TB 1025'!$B:$B,'TB 1025'!$A22,'Raw TB 1025'!F:F)</f>
        <v>100000000</v>
      </c>
      <c r="F22" s="24">
        <f t="shared" si="1"/>
        <v>100000</v>
      </c>
      <c r="G22" s="22" t="s">
        <v>181</v>
      </c>
      <c r="H22" s="23" t="s">
        <v>76</v>
      </c>
    </row>
    <row r="23" spans="1:8" x14ac:dyDescent="0.35">
      <c r="A23" s="23" t="s">
        <v>1241</v>
      </c>
      <c r="B23" s="24">
        <f>SUMIF('Raw TB 1025'!$B:$B,'TB 1025'!$A23,'Raw TB 1025'!C:C)</f>
        <v>150000000</v>
      </c>
      <c r="C23" s="24">
        <f>SUMIF('Raw TB 1025'!$B:$B,'TB 1025'!$A23,'Raw TB 1025'!D:D)</f>
        <v>0</v>
      </c>
      <c r="D23" s="24">
        <f>SUMIF('Raw TB 1025'!$B:$B,'TB 1025'!$A23,'Raw TB 1025'!E:E)</f>
        <v>0</v>
      </c>
      <c r="E23" s="24">
        <f>SUMIF('Raw TB 1025'!$B:$B,'TB 1025'!$A23,'Raw TB 1025'!F:F)</f>
        <v>150000000</v>
      </c>
      <c r="F23" s="24">
        <f t="shared" si="1"/>
        <v>150000</v>
      </c>
      <c r="G23" s="22" t="s">
        <v>181</v>
      </c>
      <c r="H23" s="23" t="s">
        <v>76</v>
      </c>
    </row>
    <row r="24" spans="1:8" x14ac:dyDescent="0.35">
      <c r="A24" s="23" t="s">
        <v>1242</v>
      </c>
      <c r="B24" s="24">
        <f>SUMIF('Raw TB 1025'!$B:$B,'TB 1025'!$A24,'Raw TB 1025'!C:C)</f>
        <v>300000000</v>
      </c>
      <c r="C24" s="24">
        <f>SUMIF('Raw TB 1025'!$B:$B,'TB 1025'!$A24,'Raw TB 1025'!D:D)</f>
        <v>0</v>
      </c>
      <c r="D24" s="24">
        <f>SUMIF('Raw TB 1025'!$B:$B,'TB 1025'!$A24,'Raw TB 1025'!E:E)</f>
        <v>0</v>
      </c>
      <c r="E24" s="24">
        <f>SUMIF('Raw TB 1025'!$B:$B,'TB 1025'!$A24,'Raw TB 1025'!F:F)</f>
        <v>300000000</v>
      </c>
      <c r="F24" s="24">
        <f t="shared" si="1"/>
        <v>300000</v>
      </c>
      <c r="G24" s="22" t="s">
        <v>181</v>
      </c>
      <c r="H24" s="23" t="s">
        <v>76</v>
      </c>
    </row>
    <row r="25" spans="1:8" x14ac:dyDescent="0.35">
      <c r="A25" s="23" t="s">
        <v>1243</v>
      </c>
      <c r="B25" s="24">
        <f>SUMIF('Raw TB 1025'!$B:$B,'TB 1025'!$A25,'Raw TB 1025'!C:C)</f>
        <v>100000000</v>
      </c>
      <c r="C25" s="24">
        <f>SUMIF('Raw TB 1025'!$B:$B,'TB 1025'!$A25,'Raw TB 1025'!D:D)</f>
        <v>0</v>
      </c>
      <c r="D25" s="24">
        <f>SUMIF('Raw TB 1025'!$B:$B,'TB 1025'!$A25,'Raw TB 1025'!E:E)</f>
        <v>0</v>
      </c>
      <c r="E25" s="24">
        <f>SUMIF('Raw TB 1025'!$B:$B,'TB 1025'!$A25,'Raw TB 1025'!F:F)</f>
        <v>100000000</v>
      </c>
      <c r="F25" s="24">
        <f t="shared" si="1"/>
        <v>100000</v>
      </c>
      <c r="G25" s="22" t="s">
        <v>181</v>
      </c>
      <c r="H25" s="23" t="s">
        <v>76</v>
      </c>
    </row>
    <row r="26" spans="1:8" x14ac:dyDescent="0.35">
      <c r="A26" s="23" t="s">
        <v>1244</v>
      </c>
      <c r="B26" s="24">
        <f>SUMIF('Raw TB 1025'!$B:$B,'TB 1025'!$A26,'Raw TB 1025'!C:C)</f>
        <v>150000000</v>
      </c>
      <c r="C26" s="24">
        <f>SUMIF('Raw TB 1025'!$B:$B,'TB 1025'!$A26,'Raw TB 1025'!D:D)</f>
        <v>0</v>
      </c>
      <c r="D26" s="24">
        <f>SUMIF('Raw TB 1025'!$B:$B,'TB 1025'!$A26,'Raw TB 1025'!E:E)</f>
        <v>0</v>
      </c>
      <c r="E26" s="24">
        <f>SUMIF('Raw TB 1025'!$B:$B,'TB 1025'!$A26,'Raw TB 1025'!F:F)</f>
        <v>150000000</v>
      </c>
      <c r="F26" s="24">
        <f t="shared" si="1"/>
        <v>150000</v>
      </c>
      <c r="G26" s="22" t="s">
        <v>181</v>
      </c>
      <c r="H26" s="23" t="s">
        <v>76</v>
      </c>
    </row>
    <row r="27" spans="1:8" x14ac:dyDescent="0.35">
      <c r="A27" s="23" t="s">
        <v>1245</v>
      </c>
      <c r="B27" s="24">
        <f>SUMIF('Raw TB 1025'!$B:$B,'TB 1025'!$A27,'Raw TB 1025'!C:C)</f>
        <v>150000000</v>
      </c>
      <c r="C27" s="24">
        <f>SUMIF('Raw TB 1025'!$B:$B,'TB 1025'!$A27,'Raw TB 1025'!D:D)</f>
        <v>0</v>
      </c>
      <c r="D27" s="24">
        <f>SUMIF('Raw TB 1025'!$B:$B,'TB 1025'!$A27,'Raw TB 1025'!E:E)</f>
        <v>0</v>
      </c>
      <c r="E27" s="24">
        <f>SUMIF('Raw TB 1025'!$B:$B,'TB 1025'!$A27,'Raw TB 1025'!F:F)</f>
        <v>150000000</v>
      </c>
      <c r="F27" s="24">
        <f t="shared" si="1"/>
        <v>150000</v>
      </c>
      <c r="G27" s="22" t="s">
        <v>181</v>
      </c>
      <c r="H27" s="23" t="s">
        <v>76</v>
      </c>
    </row>
    <row r="28" spans="1:8" x14ac:dyDescent="0.35">
      <c r="A28" s="23" t="s">
        <v>1246</v>
      </c>
      <c r="B28" s="24">
        <f>SUMIF('Raw TB 1025'!$B:$B,'TB 1025'!$A28,'Raw TB 1025'!C:C)</f>
        <v>180000000</v>
      </c>
      <c r="C28" s="24">
        <f>SUMIF('Raw TB 1025'!$B:$B,'TB 1025'!$A28,'Raw TB 1025'!D:D)</f>
        <v>0</v>
      </c>
      <c r="D28" s="24">
        <f>SUMIF('Raw TB 1025'!$B:$B,'TB 1025'!$A28,'Raw TB 1025'!E:E)</f>
        <v>0</v>
      </c>
      <c r="E28" s="24">
        <f>SUMIF('Raw TB 1025'!$B:$B,'TB 1025'!$A28,'Raw TB 1025'!F:F)</f>
        <v>180000000</v>
      </c>
      <c r="F28" s="24">
        <f t="shared" si="1"/>
        <v>180000</v>
      </c>
      <c r="G28" s="22" t="s">
        <v>181</v>
      </c>
      <c r="H28" s="23" t="s">
        <v>76</v>
      </c>
    </row>
    <row r="29" spans="1:8" x14ac:dyDescent="0.35">
      <c r="A29" s="23" t="s">
        <v>1247</v>
      </c>
      <c r="B29" s="24">
        <f>SUMIF('Raw TB 1025'!$B:$B,'TB 1025'!$A29,'Raw TB 1025'!C:C)</f>
        <v>170000000</v>
      </c>
      <c r="C29" s="24">
        <f>SUMIF('Raw TB 1025'!$B:$B,'TB 1025'!$A29,'Raw TB 1025'!D:D)</f>
        <v>0</v>
      </c>
      <c r="D29" s="24">
        <f>SUMIF('Raw TB 1025'!$B:$B,'TB 1025'!$A29,'Raw TB 1025'!E:E)</f>
        <v>0</v>
      </c>
      <c r="E29" s="24">
        <f>SUMIF('Raw TB 1025'!$B:$B,'TB 1025'!$A29,'Raw TB 1025'!F:F)</f>
        <v>170000000</v>
      </c>
      <c r="F29" s="24">
        <f t="shared" si="1"/>
        <v>170000</v>
      </c>
      <c r="G29" s="22" t="s">
        <v>181</v>
      </c>
      <c r="H29" s="23" t="s">
        <v>76</v>
      </c>
    </row>
    <row r="30" spans="1:8" x14ac:dyDescent="0.35">
      <c r="A30" s="23" t="s">
        <v>1248</v>
      </c>
      <c r="B30" s="24">
        <f>SUMIF('Raw TB 1025'!$B:$B,'TB 1025'!$A30,'Raw TB 1025'!C:C)</f>
        <v>17000000</v>
      </c>
      <c r="C30" s="24">
        <f>SUMIF('Raw TB 1025'!$B:$B,'TB 1025'!$A30,'Raw TB 1025'!D:D)</f>
        <v>0</v>
      </c>
      <c r="D30" s="24">
        <f>SUMIF('Raw TB 1025'!$B:$B,'TB 1025'!$A30,'Raw TB 1025'!E:E)</f>
        <v>0</v>
      </c>
      <c r="E30" s="24">
        <f>SUMIF('Raw TB 1025'!$B:$B,'TB 1025'!$A30,'Raw TB 1025'!F:F)</f>
        <v>17000000</v>
      </c>
      <c r="F30" s="24">
        <f t="shared" si="1"/>
        <v>17000</v>
      </c>
      <c r="G30" s="22" t="s">
        <v>181</v>
      </c>
      <c r="H30" s="23" t="s">
        <v>76</v>
      </c>
    </row>
    <row r="31" spans="1:8" x14ac:dyDescent="0.35">
      <c r="A31" s="23" t="s">
        <v>1249</v>
      </c>
      <c r="B31" s="24">
        <f>SUMIF('Raw TB 1025'!$B:$B,'TB 1025'!$A31,'Raw TB 1025'!C:C)</f>
        <v>250000000</v>
      </c>
      <c r="C31" s="24">
        <f>SUMIF('Raw TB 1025'!$B:$B,'TB 1025'!$A31,'Raw TB 1025'!D:D)</f>
        <v>0</v>
      </c>
      <c r="D31" s="24">
        <f>SUMIF('Raw TB 1025'!$B:$B,'TB 1025'!$A31,'Raw TB 1025'!E:E)</f>
        <v>0</v>
      </c>
      <c r="E31" s="24">
        <f>SUMIF('Raw TB 1025'!$B:$B,'TB 1025'!$A31,'Raw TB 1025'!F:F)</f>
        <v>250000000</v>
      </c>
      <c r="F31" s="24">
        <f t="shared" si="1"/>
        <v>250000</v>
      </c>
      <c r="G31" s="22" t="s">
        <v>181</v>
      </c>
      <c r="H31" s="23" t="s">
        <v>76</v>
      </c>
    </row>
    <row r="32" spans="1:8" x14ac:dyDescent="0.35">
      <c r="A32" s="23" t="s">
        <v>1357</v>
      </c>
      <c r="B32" s="24">
        <f>SUMIF('Raw TB 1025'!$B:$B,'TB 1025'!$A32,'Raw TB 1025'!C:C)</f>
        <v>39998000.100000001</v>
      </c>
      <c r="C32" s="24">
        <f>SUMIF('Raw TB 1025'!$B:$B,'TB 1025'!$A32,'Raw TB 1025'!D:D)</f>
        <v>0.28999999999999998</v>
      </c>
      <c r="D32" s="24">
        <f>SUMIF('Raw TB 1025'!$B:$B,'TB 1025'!$A32,'Raw TB 1025'!E:E)</f>
        <v>39998000.390000001</v>
      </c>
      <c r="E32" s="24">
        <f>SUMIF('Raw TB 1025'!$B:$B,'TB 1025'!$A32,'Raw TB 1025'!F:F)</f>
        <v>0</v>
      </c>
      <c r="F32" s="24">
        <f t="shared" si="1"/>
        <v>0</v>
      </c>
      <c r="G32" s="22" t="s">
        <v>181</v>
      </c>
      <c r="H32" s="23" t="s">
        <v>76</v>
      </c>
    </row>
    <row r="33" spans="1:9" x14ac:dyDescent="0.35">
      <c r="A33" s="23" t="s">
        <v>1358</v>
      </c>
      <c r="B33" s="24">
        <f>SUMIF('Raw TB 1025'!$B:$B,'TB 1025'!$A33,'Raw TB 1025'!C:C)</f>
        <v>20206249.449999999</v>
      </c>
      <c r="C33" s="24">
        <f>SUMIF('Raw TB 1025'!$B:$B,'TB 1025'!$A33,'Raw TB 1025'!D:D)</f>
        <v>0</v>
      </c>
      <c r="D33" s="24">
        <f>SUMIF('Raw TB 1025'!$B:$B,'TB 1025'!$A33,'Raw TB 1025'!E:E)</f>
        <v>20206249.449999999</v>
      </c>
      <c r="E33" s="24">
        <f>SUMIF('Raw TB 1025'!$B:$B,'TB 1025'!$A33,'Raw TB 1025'!F:F)</f>
        <v>0</v>
      </c>
      <c r="F33" s="24">
        <f t="shared" si="1"/>
        <v>0</v>
      </c>
      <c r="G33" s="22" t="s">
        <v>181</v>
      </c>
      <c r="H33" s="23" t="s">
        <v>76</v>
      </c>
    </row>
    <row r="34" spans="1:9" x14ac:dyDescent="0.35">
      <c r="A34" s="23" t="s">
        <v>1360</v>
      </c>
      <c r="B34" s="24">
        <f>SUMIF('Raw TB 1025'!$B:$B,'TB 1025'!$A34,'Raw TB 1025'!C:C)</f>
        <v>39998000.100000001</v>
      </c>
      <c r="C34" s="24">
        <f>SUMIF('Raw TB 1025'!$B:$B,'TB 1025'!$A34,'Raw TB 1025'!D:D)</f>
        <v>0</v>
      </c>
      <c r="D34" s="24">
        <f>SUMIF('Raw TB 1025'!$B:$B,'TB 1025'!$A34,'Raw TB 1025'!E:E)</f>
        <v>39998000.100000001</v>
      </c>
      <c r="E34" s="24">
        <f>SUMIF('Raw TB 1025'!$B:$B,'TB 1025'!$A34,'Raw TB 1025'!F:F)</f>
        <v>0</v>
      </c>
      <c r="F34" s="24">
        <f t="shared" si="1"/>
        <v>0</v>
      </c>
      <c r="G34" s="22" t="s">
        <v>181</v>
      </c>
      <c r="H34" s="23" t="s">
        <v>76</v>
      </c>
    </row>
    <row r="35" spans="1:9" x14ac:dyDescent="0.35">
      <c r="A35" s="23" t="s">
        <v>1362</v>
      </c>
      <c r="B35" s="24">
        <f>SUMIF('Raw TB 1025'!$B:$B,'TB 1025'!$A35,'Raw TB 1025'!C:C)</f>
        <v>39998000.100000001</v>
      </c>
      <c r="C35" s="24">
        <f>SUMIF('Raw TB 1025'!$B:$B,'TB 1025'!$A35,'Raw TB 1025'!D:D)</f>
        <v>0</v>
      </c>
      <c r="D35" s="24">
        <f>SUMIF('Raw TB 1025'!$B:$B,'TB 1025'!$A35,'Raw TB 1025'!E:E)</f>
        <v>6529404.1900000004</v>
      </c>
      <c r="E35" s="24">
        <f>SUMIF('Raw TB 1025'!$B:$B,'TB 1025'!$A35,'Raw TB 1025'!F:F)</f>
        <v>33468595.91</v>
      </c>
      <c r="F35" s="24">
        <f t="shared" si="1"/>
        <v>33468.595910000004</v>
      </c>
      <c r="G35" s="22" t="s">
        <v>181</v>
      </c>
      <c r="H35" s="23" t="s">
        <v>76</v>
      </c>
    </row>
    <row r="36" spans="1:9" x14ac:dyDescent="0.35">
      <c r="A36" s="23" t="s">
        <v>697</v>
      </c>
      <c r="B36" s="24">
        <f>SUMIF('Raw TB 1025'!$B:$B,'TB 1025'!$A36,'Raw TB 1025'!C:C)</f>
        <v>0</v>
      </c>
      <c r="C36" s="24">
        <f>SUMIF('Raw TB 1025'!$B:$B,'TB 1025'!$A36,'Raw TB 1025'!D:D)</f>
        <v>1300809153</v>
      </c>
      <c r="D36" s="24">
        <f>SUMIF('Raw TB 1025'!$B:$B,'TB 1025'!$A36,'Raw TB 1025'!E:E)</f>
        <v>0</v>
      </c>
      <c r="E36" s="24">
        <f>SUMIF('Raw TB 1025'!$B:$B,'TB 1025'!$A36,'Raw TB 1025'!F:F)</f>
        <v>1300809153</v>
      </c>
      <c r="F36" s="24">
        <f t="shared" si="1"/>
        <v>1300809.1529999999</v>
      </c>
      <c r="G36" s="22" t="s">
        <v>181</v>
      </c>
      <c r="H36" s="23" t="s">
        <v>78</v>
      </c>
    </row>
    <row r="37" spans="1:9" x14ac:dyDescent="0.35">
      <c r="A37" s="23" t="s">
        <v>572</v>
      </c>
      <c r="B37" s="24">
        <f>SUMIF('Raw TB 1025'!$B:$B,'TB 1025'!$A37,'Raw TB 1025'!C:C)</f>
        <v>515267.96</v>
      </c>
      <c r="C37" s="24">
        <f>SUMIF('Raw TB 1025'!$B:$B,'TB 1025'!$A37,'Raw TB 1025'!D:D)</f>
        <v>148030272.41999999</v>
      </c>
      <c r="D37" s="24">
        <f>SUMIF('Raw TB 1025'!$B:$B,'TB 1025'!$A37,'Raw TB 1025'!E:E)</f>
        <v>147545540.38</v>
      </c>
      <c r="E37" s="24">
        <f>SUMIF('Raw TB 1025'!$B:$B,'TB 1025'!$A37,'Raw TB 1025'!F:F)</f>
        <v>1000000</v>
      </c>
      <c r="F37" s="24">
        <f t="shared" si="1"/>
        <v>1000</v>
      </c>
      <c r="G37" s="22" t="s">
        <v>181</v>
      </c>
      <c r="H37" s="23" t="s">
        <v>78</v>
      </c>
    </row>
    <row r="38" spans="1:9" x14ac:dyDescent="0.35">
      <c r="A38" s="23" t="s">
        <v>573</v>
      </c>
      <c r="B38" s="24">
        <f>SUMIF('Raw TB 1025'!$B:$B,'TB 1025'!$A38,'Raw TB 1025'!C:C)</f>
        <v>3050830</v>
      </c>
      <c r="C38" s="24">
        <f>SUMIF('Raw TB 1025'!$B:$B,'TB 1025'!$A38,'Raw TB 1025'!D:D)</f>
        <v>185634179.47999999</v>
      </c>
      <c r="D38" s="24">
        <f>SUMIF('Raw TB 1025'!$B:$B,'TB 1025'!$A38,'Raw TB 1025'!E:E)</f>
        <v>159433086.34999999</v>
      </c>
      <c r="E38" s="24">
        <f>SUMIF('Raw TB 1025'!$B:$B,'TB 1025'!$A38,'Raw TB 1025'!F:F)</f>
        <v>29251923.129999999</v>
      </c>
      <c r="F38" s="24">
        <f t="shared" si="1"/>
        <v>29251.923129999999</v>
      </c>
      <c r="G38" s="22" t="s">
        <v>181</v>
      </c>
      <c r="H38" s="23" t="s">
        <v>78</v>
      </c>
    </row>
    <row r="39" spans="1:9" x14ac:dyDescent="0.35">
      <c r="A39" s="23" t="s">
        <v>723</v>
      </c>
      <c r="B39" s="24">
        <f>SUMIF('Raw TB 1025'!$B:$B,'TB 1025'!$A39,'Raw TB 1025'!C:C)</f>
        <v>9795844</v>
      </c>
      <c r="C39" s="24">
        <f>SUMIF('Raw TB 1025'!$B:$B,'TB 1025'!$A39,'Raw TB 1025'!D:D)</f>
        <v>3065053.2</v>
      </c>
      <c r="D39" s="24">
        <f>SUMIF('Raw TB 1025'!$B:$B,'TB 1025'!$A39,'Raw TB 1025'!E:E)</f>
        <v>0</v>
      </c>
      <c r="E39" s="24">
        <f>SUMIF('Raw TB 1025'!$B:$B,'TB 1025'!$A39,'Raw TB 1025'!F:F)</f>
        <v>12860897.199999999</v>
      </c>
      <c r="F39" s="24">
        <f t="shared" si="1"/>
        <v>12860.897199999999</v>
      </c>
      <c r="G39" s="22" t="s">
        <v>181</v>
      </c>
      <c r="H39" s="23" t="s">
        <v>71</v>
      </c>
      <c r="I39" s="23" t="s">
        <v>1397</v>
      </c>
    </row>
    <row r="40" spans="1:9" x14ac:dyDescent="0.35">
      <c r="A40" s="23" t="s">
        <v>231</v>
      </c>
      <c r="B40" s="24">
        <f>SUMIF('Raw TB 1025'!$B:$B,'TB 1025'!$A40,'Raw TB 1025'!C:C)</f>
        <v>520841.58</v>
      </c>
      <c r="C40" s="24">
        <f>SUMIF('Raw TB 1025'!$B:$B,'TB 1025'!$A40,'Raw TB 1025'!D:D)</f>
        <v>0</v>
      </c>
      <c r="D40" s="24">
        <f>SUMIF('Raw TB 1025'!$B:$B,'TB 1025'!$A40,'Raw TB 1025'!E:E)</f>
        <v>0</v>
      </c>
      <c r="E40" s="24">
        <f>SUMIF('Raw TB 1025'!$B:$B,'TB 1025'!$A40,'Raw TB 1025'!F:F)</f>
        <v>520841.58</v>
      </c>
      <c r="F40" s="24">
        <f t="shared" si="1"/>
        <v>520.84158000000002</v>
      </c>
      <c r="G40" s="22" t="s">
        <v>181</v>
      </c>
      <c r="H40" s="23" t="s">
        <v>71</v>
      </c>
      <c r="I40" s="23" t="s">
        <v>1397</v>
      </c>
    </row>
    <row r="41" spans="1:9" x14ac:dyDescent="0.35">
      <c r="A41" s="23" t="s">
        <v>1297</v>
      </c>
      <c r="B41" s="24">
        <f>SUMIF('Raw TB 1025'!$B:$B,'TB 1025'!$A41,'Raw TB 1025'!C:C)</f>
        <v>1222814</v>
      </c>
      <c r="C41" s="24">
        <f>SUMIF('Raw TB 1025'!$B:$B,'TB 1025'!$A41,'Raw TB 1025'!D:D)</f>
        <v>0</v>
      </c>
      <c r="D41" s="24">
        <f>SUMIF('Raw TB 1025'!$B:$B,'TB 1025'!$A41,'Raw TB 1025'!E:E)</f>
        <v>0</v>
      </c>
      <c r="E41" s="24">
        <f>SUMIF('Raw TB 1025'!$B:$B,'TB 1025'!$A41,'Raw TB 1025'!F:F)</f>
        <v>1222814</v>
      </c>
      <c r="F41" s="24">
        <f t="shared" si="1"/>
        <v>1222.8140000000001</v>
      </c>
      <c r="G41" s="22" t="s">
        <v>181</v>
      </c>
      <c r="H41" s="23" t="s">
        <v>79</v>
      </c>
    </row>
    <row r="42" spans="1:9" x14ac:dyDescent="0.35">
      <c r="A42" s="23" t="s">
        <v>575</v>
      </c>
      <c r="B42" s="24">
        <f>SUMIF('Raw TB 1025'!$B:$B,'TB 1025'!$A42,'Raw TB 1025'!C:C)</f>
        <v>500000.02</v>
      </c>
      <c r="C42" s="24">
        <f>SUMIF('Raw TB 1025'!$B:$B,'TB 1025'!$A42,'Raw TB 1025'!D:D)</f>
        <v>876433.33</v>
      </c>
      <c r="D42" s="24">
        <f>SUMIF('Raw TB 1025'!$B:$B,'TB 1025'!$A42,'Raw TB 1025'!E:E)</f>
        <v>50000</v>
      </c>
      <c r="E42" s="24">
        <f>SUMIF('Raw TB 1025'!$B:$B,'TB 1025'!$A42,'Raw TB 1025'!F:F)</f>
        <v>1326433.3500000001</v>
      </c>
      <c r="F42" s="24">
        <f t="shared" si="1"/>
        <v>1326.43335</v>
      </c>
      <c r="G42" s="22" t="s">
        <v>181</v>
      </c>
      <c r="H42" s="23" t="s">
        <v>79</v>
      </c>
    </row>
    <row r="43" spans="1:9" x14ac:dyDescent="0.35">
      <c r="A43" s="23" t="s">
        <v>376</v>
      </c>
      <c r="B43" s="24">
        <f>SUMIF('Raw TB 1025'!$B:$B,'TB 1025'!$A43,'Raw TB 1025'!C:C)</f>
        <v>34480609.5</v>
      </c>
      <c r="C43" s="24">
        <f>SUMIF('Raw TB 1025'!$B:$B,'TB 1025'!$A43,'Raw TB 1025'!D:D)</f>
        <v>20338268.68</v>
      </c>
      <c r="D43" s="24">
        <f>SUMIF('Raw TB 1025'!$B:$B,'TB 1025'!$A43,'Raw TB 1025'!E:E)</f>
        <v>9487904.3499999996</v>
      </c>
      <c r="E43" s="24">
        <f>SUMIF('Raw TB 1025'!$B:$B,'TB 1025'!$A43,'Raw TB 1025'!F:F)</f>
        <v>45330973.829999998</v>
      </c>
      <c r="F43" s="24">
        <f t="shared" si="1"/>
        <v>45330.973829999995</v>
      </c>
      <c r="G43" s="22" t="s">
        <v>181</v>
      </c>
      <c r="H43" s="23" t="s">
        <v>67</v>
      </c>
    </row>
    <row r="44" spans="1:9" x14ac:dyDescent="0.35">
      <c r="A44" s="23" t="s">
        <v>576</v>
      </c>
      <c r="B44" s="24">
        <f>SUMIF('Raw TB 1025'!$B:$B,'TB 1025'!$A44,'Raw TB 1025'!C:C)</f>
        <v>0</v>
      </c>
      <c r="C44" s="24">
        <f>SUMIF('Raw TB 1025'!$B:$B,'TB 1025'!$A44,'Raw TB 1025'!D:D)</f>
        <v>1618181.72</v>
      </c>
      <c r="D44" s="24">
        <f>SUMIF('Raw TB 1025'!$B:$B,'TB 1025'!$A44,'Raw TB 1025'!E:E)</f>
        <v>38828948.530000001</v>
      </c>
      <c r="E44" s="24">
        <f>SUMIF('Raw TB 1025'!$B:$B,'TB 1025'!$A44,'Raw TB 1025'!F:F)</f>
        <v>-37210766.810000002</v>
      </c>
      <c r="F44" s="24">
        <f t="shared" si="1"/>
        <v>-37210.766810000001</v>
      </c>
      <c r="G44" s="22" t="s">
        <v>181</v>
      </c>
      <c r="H44" s="23" t="s">
        <v>77</v>
      </c>
    </row>
    <row r="45" spans="1:9" x14ac:dyDescent="0.35">
      <c r="A45" s="23" t="s">
        <v>577</v>
      </c>
      <c r="B45" s="24">
        <f>SUMIF('Raw TB 1025'!$B:$B,'TB 1025'!$A45,'Raw TB 1025'!C:C)</f>
        <v>1924500.62</v>
      </c>
      <c r="C45" s="24">
        <f>SUMIF('Raw TB 1025'!$B:$B,'TB 1025'!$A45,'Raw TB 1025'!D:D)</f>
        <v>330008.2</v>
      </c>
      <c r="D45" s="24">
        <f>SUMIF('Raw TB 1025'!$B:$B,'TB 1025'!$A45,'Raw TB 1025'!E:E)</f>
        <v>0</v>
      </c>
      <c r="E45" s="24">
        <f>SUMIF('Raw TB 1025'!$B:$B,'TB 1025'!$A45,'Raw TB 1025'!F:F)</f>
        <v>2254508.8199999998</v>
      </c>
      <c r="F45" s="24">
        <f t="shared" si="1"/>
        <v>2254.50882</v>
      </c>
      <c r="G45" s="22" t="s">
        <v>181</v>
      </c>
      <c r="H45" s="23" t="s">
        <v>79</v>
      </c>
    </row>
    <row r="46" spans="1:9" x14ac:dyDescent="0.35">
      <c r="A46" s="23" t="s">
        <v>146</v>
      </c>
      <c r="B46" s="24">
        <f>SUMIF('Raw TB 1025'!$B:$B,'TB 1025'!$A46,'Raw TB 1025'!C:C)</f>
        <v>10992400</v>
      </c>
      <c r="C46" s="24">
        <f>SUMIF('Raw TB 1025'!$B:$B,'TB 1025'!$A46,'Raw TB 1025'!D:D)</f>
        <v>5248000</v>
      </c>
      <c r="D46" s="24">
        <f>SUMIF('Raw TB 1025'!$B:$B,'TB 1025'!$A46,'Raw TB 1025'!E:E)</f>
        <v>525000</v>
      </c>
      <c r="E46" s="24">
        <f>SUMIF('Raw TB 1025'!$B:$B,'TB 1025'!$A46,'Raw TB 1025'!F:F)</f>
        <v>15715400</v>
      </c>
      <c r="F46" s="24">
        <f t="shared" si="1"/>
        <v>15715.4</v>
      </c>
      <c r="G46" s="22" t="s">
        <v>181</v>
      </c>
      <c r="H46" s="23" t="s">
        <v>74</v>
      </c>
    </row>
    <row r="47" spans="1:9" x14ac:dyDescent="0.35">
      <c r="A47" s="23" t="s">
        <v>345</v>
      </c>
      <c r="B47" s="24">
        <f>SUMIF('Raw TB 1025'!$B:$B,'TB 1025'!$A47,'Raw TB 1025'!C:C)</f>
        <v>1271832.7</v>
      </c>
      <c r="C47" s="24">
        <f>SUMIF('Raw TB 1025'!$B:$B,'TB 1025'!$A47,'Raw TB 1025'!D:D)</f>
        <v>0</v>
      </c>
      <c r="D47" s="24">
        <f>SUMIF('Raw TB 1025'!$B:$B,'TB 1025'!$A47,'Raw TB 1025'!E:E)</f>
        <v>0</v>
      </c>
      <c r="E47" s="24">
        <f>SUMIF('Raw TB 1025'!$B:$B,'TB 1025'!$A47,'Raw TB 1025'!F:F)</f>
        <v>1271832.7</v>
      </c>
      <c r="F47" s="24">
        <f t="shared" si="1"/>
        <v>1271.8326999999999</v>
      </c>
      <c r="G47" s="22" t="s">
        <v>181</v>
      </c>
      <c r="H47" s="23" t="s">
        <v>79</v>
      </c>
    </row>
    <row r="48" spans="1:9" x14ac:dyDescent="0.35">
      <c r="A48" s="23" t="s">
        <v>427</v>
      </c>
      <c r="B48" s="24">
        <f>SUMIF('Raw TB 1025'!$B:$B,'TB 1025'!$A48,'Raw TB 1025'!C:C)</f>
        <v>-41381916.039999999</v>
      </c>
      <c r="C48" s="24">
        <f>SUMIF('Raw TB 1025'!$B:$B,'TB 1025'!$A48,'Raw TB 1025'!D:D)</f>
        <v>58278384.450000003</v>
      </c>
      <c r="D48" s="24">
        <f>SUMIF('Raw TB 1025'!$B:$B,'TB 1025'!$A48,'Raw TB 1025'!E:E)</f>
        <v>69800104.530000001</v>
      </c>
      <c r="E48" s="24">
        <f>SUMIF('Raw TB 1025'!$B:$B,'TB 1025'!$A48,'Raw TB 1025'!F:F)</f>
        <v>-52903636.119999997</v>
      </c>
      <c r="F48" s="24">
        <f t="shared" si="1"/>
        <v>-52903.636119999996</v>
      </c>
      <c r="G48" s="22" t="s">
        <v>180</v>
      </c>
      <c r="H48" s="23" t="s">
        <v>67</v>
      </c>
    </row>
    <row r="49" spans="1:8" x14ac:dyDescent="0.35">
      <c r="A49" s="23" t="s">
        <v>1331</v>
      </c>
      <c r="B49" s="24">
        <f>SUMIF('Raw TB 1025'!$B:$B,'TB 1025'!$A49,'Raw TB 1025'!C:C)</f>
        <v>-2666909.4700000002</v>
      </c>
      <c r="C49" s="24">
        <f>SUMIF('Raw TB 1025'!$B:$B,'TB 1025'!$A49,'Raw TB 1025'!D:D)</f>
        <v>2665224.5</v>
      </c>
      <c r="D49" s="24">
        <f>SUMIF('Raw TB 1025'!$B:$B,'TB 1025'!$A49,'Raw TB 1025'!E:E)</f>
        <v>4572450.72</v>
      </c>
      <c r="E49" s="24">
        <f>SUMIF('Raw TB 1025'!$B:$B,'TB 1025'!$A49,'Raw TB 1025'!F:F)</f>
        <v>-4574135.6900000004</v>
      </c>
      <c r="F49" s="24">
        <f t="shared" si="1"/>
        <v>-4574.1356900000001</v>
      </c>
      <c r="G49" s="22" t="s">
        <v>180</v>
      </c>
      <c r="H49" s="23" t="s">
        <v>68</v>
      </c>
    </row>
    <row r="50" spans="1:8" x14ac:dyDescent="0.35">
      <c r="A50" s="23" t="s">
        <v>423</v>
      </c>
      <c r="B50" s="24">
        <f>SUMIF('Raw TB 1025'!$B:$B,'TB 1025'!$A50,'Raw TB 1025'!C:C)</f>
        <v>-1745739.27</v>
      </c>
      <c r="C50" s="24">
        <f>SUMIF('Raw TB 1025'!$B:$B,'TB 1025'!$A50,'Raw TB 1025'!D:D)</f>
        <v>1059939</v>
      </c>
      <c r="D50" s="24">
        <f>SUMIF('Raw TB 1025'!$B:$B,'TB 1025'!$A50,'Raw TB 1025'!E:E)</f>
        <v>1277987</v>
      </c>
      <c r="E50" s="24">
        <f>SUMIF('Raw TB 1025'!$B:$B,'TB 1025'!$A50,'Raw TB 1025'!F:F)</f>
        <v>-1963787.27</v>
      </c>
      <c r="F50" s="24">
        <f t="shared" si="1"/>
        <v>-1963.78727</v>
      </c>
      <c r="G50" s="22" t="s">
        <v>180</v>
      </c>
      <c r="H50" s="23" t="s">
        <v>68</v>
      </c>
    </row>
    <row r="51" spans="1:8" x14ac:dyDescent="0.35">
      <c r="A51" s="23" t="s">
        <v>578</v>
      </c>
      <c r="B51" s="24">
        <f>SUMIF('Raw TB 1025'!$B:$B,'TB 1025'!$A51,'Raw TB 1025'!C:C)</f>
        <v>-605702.41</v>
      </c>
      <c r="C51" s="24">
        <f>SUMIF('Raw TB 1025'!$B:$B,'TB 1025'!$A51,'Raw TB 1025'!D:D)</f>
        <v>1253463.73</v>
      </c>
      <c r="D51" s="24">
        <f>SUMIF('Raw TB 1025'!$B:$B,'TB 1025'!$A51,'Raw TB 1025'!E:E)</f>
        <v>153463.73000000001</v>
      </c>
      <c r="E51" s="24">
        <f>SUMIF('Raw TB 1025'!$B:$B,'TB 1025'!$A51,'Raw TB 1025'!F:F)</f>
        <v>494297.59</v>
      </c>
      <c r="F51" s="24">
        <f t="shared" si="1"/>
        <v>494.29759000000001</v>
      </c>
      <c r="G51" s="22" t="s">
        <v>180</v>
      </c>
      <c r="H51" s="23" t="s">
        <v>68</v>
      </c>
    </row>
    <row r="52" spans="1:8" x14ac:dyDescent="0.35">
      <c r="A52" s="23" t="s">
        <v>622</v>
      </c>
      <c r="B52" s="24">
        <f>SUMIF('Raw TB 1025'!$B:$B,'TB 1025'!$A52,'Raw TB 1025'!C:C)</f>
        <v>-1141495</v>
      </c>
      <c r="C52" s="24">
        <f>SUMIF('Raw TB 1025'!$B:$B,'TB 1025'!$A52,'Raw TB 1025'!D:D)</f>
        <v>28065200</v>
      </c>
      <c r="D52" s="24">
        <f>SUMIF('Raw TB 1025'!$B:$B,'TB 1025'!$A52,'Raw TB 1025'!E:E)</f>
        <v>28486620</v>
      </c>
      <c r="E52" s="24">
        <f>SUMIF('Raw TB 1025'!$B:$B,'TB 1025'!$A52,'Raw TB 1025'!F:F)</f>
        <v>-1562915</v>
      </c>
      <c r="F52" s="24">
        <f t="shared" si="1"/>
        <v>-1562.915</v>
      </c>
      <c r="G52" s="22" t="s">
        <v>180</v>
      </c>
      <c r="H52" s="23" t="s">
        <v>68</v>
      </c>
    </row>
    <row r="53" spans="1:8" x14ac:dyDescent="0.35">
      <c r="A53" s="23" t="s">
        <v>775</v>
      </c>
      <c r="B53" s="24">
        <f>SUMIF('Raw TB 1025'!$B:$B,'TB 1025'!$A53,'Raw TB 1025'!C:C)</f>
        <v>-149</v>
      </c>
      <c r="C53" s="24">
        <f>SUMIF('Raw TB 1025'!$B:$B,'TB 1025'!$A53,'Raw TB 1025'!D:D)</f>
        <v>149</v>
      </c>
      <c r="D53" s="24">
        <f>SUMIF('Raw TB 1025'!$B:$B,'TB 1025'!$A53,'Raw TB 1025'!E:E)</f>
        <v>0</v>
      </c>
      <c r="E53" s="24">
        <f>SUMIF('Raw TB 1025'!$B:$B,'TB 1025'!$A53,'Raw TB 1025'!F:F)</f>
        <v>0</v>
      </c>
      <c r="F53" s="24">
        <f t="shared" si="1"/>
        <v>0</v>
      </c>
      <c r="G53" s="22" t="s">
        <v>180</v>
      </c>
      <c r="H53" s="23" t="s">
        <v>68</v>
      </c>
    </row>
    <row r="54" spans="1:8" x14ac:dyDescent="0.35">
      <c r="A54" s="23" t="s">
        <v>776</v>
      </c>
      <c r="B54" s="24">
        <f>SUMIF('Raw TB 1025'!$B:$B,'TB 1025'!$A54,'Raw TB 1025'!C:C)</f>
        <v>-642</v>
      </c>
      <c r="C54" s="24">
        <f>SUMIF('Raw TB 1025'!$B:$B,'TB 1025'!$A54,'Raw TB 1025'!D:D)</f>
        <v>642</v>
      </c>
      <c r="D54" s="24">
        <f>SUMIF('Raw TB 1025'!$B:$B,'TB 1025'!$A54,'Raw TB 1025'!E:E)</f>
        <v>0</v>
      </c>
      <c r="E54" s="24">
        <f>SUMIF('Raw TB 1025'!$B:$B,'TB 1025'!$A54,'Raw TB 1025'!F:F)</f>
        <v>0</v>
      </c>
      <c r="F54" s="24">
        <f t="shared" si="1"/>
        <v>0</v>
      </c>
      <c r="G54" s="22" t="s">
        <v>180</v>
      </c>
      <c r="H54" s="23" t="s">
        <v>68</v>
      </c>
    </row>
    <row r="55" spans="1:8" x14ac:dyDescent="0.35">
      <c r="A55" s="23" t="s">
        <v>1199</v>
      </c>
      <c r="B55" s="24">
        <f>SUMIF('Raw TB 1025'!$B:$B,'TB 1025'!$A55,'Raw TB 1025'!C:C)</f>
        <v>-836506</v>
      </c>
      <c r="C55" s="24">
        <f>SUMIF('Raw TB 1025'!$B:$B,'TB 1025'!$A55,'Raw TB 1025'!D:D)</f>
        <v>730990</v>
      </c>
      <c r="D55" s="24">
        <f>SUMIF('Raw TB 1025'!$B:$B,'TB 1025'!$A55,'Raw TB 1025'!E:E)</f>
        <v>1267830</v>
      </c>
      <c r="E55" s="24">
        <f>SUMIF('Raw TB 1025'!$B:$B,'TB 1025'!$A55,'Raw TB 1025'!F:F)</f>
        <v>-1373346</v>
      </c>
      <c r="F55" s="24">
        <f t="shared" si="1"/>
        <v>-1373.346</v>
      </c>
      <c r="G55" s="22" t="s">
        <v>180</v>
      </c>
      <c r="H55" s="23" t="s">
        <v>67</v>
      </c>
    </row>
    <row r="56" spans="1:8" x14ac:dyDescent="0.35">
      <c r="A56" s="23" t="s">
        <v>1252</v>
      </c>
      <c r="B56" s="24">
        <f>SUMIF('Raw TB 1025'!$B:$B,'TB 1025'!$A56,'Raw TB 1025'!C:C)</f>
        <v>0</v>
      </c>
      <c r="C56" s="24">
        <f>SUMIF('Raw TB 1025'!$B:$B,'TB 1025'!$A56,'Raw TB 1025'!D:D)</f>
        <v>3700425</v>
      </c>
      <c r="D56" s="24">
        <f>SUMIF('Raw TB 1025'!$B:$B,'TB 1025'!$A56,'Raw TB 1025'!E:E)</f>
        <v>3700425</v>
      </c>
      <c r="E56" s="24">
        <f>SUMIF('Raw TB 1025'!$B:$B,'TB 1025'!$A56,'Raw TB 1025'!F:F)</f>
        <v>0</v>
      </c>
      <c r="F56" s="24">
        <f t="shared" si="1"/>
        <v>0</v>
      </c>
      <c r="G56" s="22" t="s">
        <v>180</v>
      </c>
      <c r="H56" s="23" t="s">
        <v>67</v>
      </c>
    </row>
    <row r="57" spans="1:8" x14ac:dyDescent="0.35">
      <c r="A57" s="23" t="s">
        <v>1288</v>
      </c>
      <c r="B57" s="24">
        <f>SUMIF('Raw TB 1025'!$B:$B,'TB 1025'!$A57,'Raw TB 1025'!C:C)</f>
        <v>0</v>
      </c>
      <c r="C57" s="24">
        <f>SUMIF('Raw TB 1025'!$B:$B,'TB 1025'!$A57,'Raw TB 1025'!D:D)</f>
        <v>45193.5</v>
      </c>
      <c r="D57" s="24">
        <f>SUMIF('Raw TB 1025'!$B:$B,'TB 1025'!$A57,'Raw TB 1025'!E:E)</f>
        <v>45193.5</v>
      </c>
      <c r="E57" s="24">
        <f>SUMIF('Raw TB 1025'!$B:$B,'TB 1025'!$A57,'Raw TB 1025'!F:F)</f>
        <v>0</v>
      </c>
      <c r="F57" s="24">
        <f t="shared" si="1"/>
        <v>0</v>
      </c>
      <c r="G57" s="22" t="s">
        <v>180</v>
      </c>
      <c r="H57" s="23" t="s">
        <v>68</v>
      </c>
    </row>
    <row r="58" spans="1:8" x14ac:dyDescent="0.35">
      <c r="A58" s="23" t="s">
        <v>969</v>
      </c>
      <c r="B58" s="24">
        <f>SUMIF('Raw TB 1025'!$B:$B,'TB 1025'!$A58,'Raw TB 1025'!C:C)</f>
        <v>-43427132.380000003</v>
      </c>
      <c r="C58" s="24">
        <f>SUMIF('Raw TB 1025'!$B:$B,'TB 1025'!$A58,'Raw TB 1025'!D:D)</f>
        <v>42844167.450000003</v>
      </c>
      <c r="D58" s="24">
        <f>SUMIF('Raw TB 1025'!$B:$B,'TB 1025'!$A58,'Raw TB 1025'!E:E)</f>
        <v>71201032.040000007</v>
      </c>
      <c r="E58" s="24">
        <f>SUMIF('Raw TB 1025'!$B:$B,'TB 1025'!$A58,'Raw TB 1025'!F:F)</f>
        <v>-71783996.969999999</v>
      </c>
      <c r="F58" s="24">
        <f t="shared" si="1"/>
        <v>-71783.996969999993</v>
      </c>
      <c r="G58" s="22" t="s">
        <v>180</v>
      </c>
      <c r="H58" s="23" t="s">
        <v>67</v>
      </c>
    </row>
    <row r="59" spans="1:8" x14ac:dyDescent="0.35">
      <c r="A59" s="23" t="s">
        <v>1253</v>
      </c>
      <c r="B59" s="24">
        <f>SUMIF('Raw TB 1025'!$B:$B,'TB 1025'!$A59,'Raw TB 1025'!C:C)</f>
        <v>0</v>
      </c>
      <c r="C59" s="24">
        <f>SUMIF('Raw TB 1025'!$B:$B,'TB 1025'!$A59,'Raw TB 1025'!D:D)</f>
        <v>33660</v>
      </c>
      <c r="D59" s="24">
        <f>SUMIF('Raw TB 1025'!$B:$B,'TB 1025'!$A59,'Raw TB 1025'!E:E)</f>
        <v>33660</v>
      </c>
      <c r="E59" s="24">
        <f>SUMIF('Raw TB 1025'!$B:$B,'TB 1025'!$A59,'Raw TB 1025'!F:F)</f>
        <v>0</v>
      </c>
      <c r="F59" s="24">
        <f t="shared" si="1"/>
        <v>0</v>
      </c>
      <c r="G59" s="22" t="s">
        <v>180</v>
      </c>
      <c r="H59" s="23" t="s">
        <v>67</v>
      </c>
    </row>
    <row r="60" spans="1:8" x14ac:dyDescent="0.35">
      <c r="A60" s="23" t="s">
        <v>579</v>
      </c>
      <c r="B60" s="24">
        <f>SUMIF('Raw TB 1025'!$B:$B,'TB 1025'!$A60,'Raw TB 1025'!C:C)</f>
        <v>-483792.27</v>
      </c>
      <c r="C60" s="24">
        <f>SUMIF('Raw TB 1025'!$B:$B,'TB 1025'!$A60,'Raw TB 1025'!D:D)</f>
        <v>490766</v>
      </c>
      <c r="D60" s="24">
        <f>SUMIF('Raw TB 1025'!$B:$B,'TB 1025'!$A60,'Raw TB 1025'!E:E)</f>
        <v>1775164.13</v>
      </c>
      <c r="E60" s="24">
        <f>SUMIF('Raw TB 1025'!$B:$B,'TB 1025'!$A60,'Raw TB 1025'!F:F)</f>
        <v>-1768190.4</v>
      </c>
      <c r="F60" s="24">
        <f t="shared" si="1"/>
        <v>-1768.1904</v>
      </c>
      <c r="G60" s="22" t="s">
        <v>180</v>
      </c>
      <c r="H60" s="23" t="s">
        <v>79</v>
      </c>
    </row>
    <row r="61" spans="1:8" x14ac:dyDescent="0.35">
      <c r="A61" s="23" t="s">
        <v>580</v>
      </c>
      <c r="B61" s="24">
        <f>SUMIF('Raw TB 1025'!$B:$B,'TB 1025'!$A61,'Raw TB 1025'!C:C)</f>
        <v>-73380.600000000006</v>
      </c>
      <c r="C61" s="24">
        <f>SUMIF('Raw TB 1025'!$B:$B,'TB 1025'!$A61,'Raw TB 1025'!D:D)</f>
        <v>92834</v>
      </c>
      <c r="D61" s="24">
        <f>SUMIF('Raw TB 1025'!$B:$B,'TB 1025'!$A61,'Raw TB 1025'!E:E)</f>
        <v>222271.9</v>
      </c>
      <c r="E61" s="24">
        <f>SUMIF('Raw TB 1025'!$B:$B,'TB 1025'!$A61,'Raw TB 1025'!F:F)</f>
        <v>-202818.5</v>
      </c>
      <c r="F61" s="24">
        <f t="shared" si="1"/>
        <v>-202.8185</v>
      </c>
      <c r="G61" s="22" t="s">
        <v>180</v>
      </c>
      <c r="H61" s="23" t="s">
        <v>79</v>
      </c>
    </row>
    <row r="62" spans="1:8" x14ac:dyDescent="0.35">
      <c r="A62" s="23" t="s">
        <v>581</v>
      </c>
      <c r="B62" s="24">
        <f>SUMIF('Raw TB 1025'!$B:$B,'TB 1025'!$A62,'Raw TB 1025'!C:C)</f>
        <v>-483790.27</v>
      </c>
      <c r="C62" s="24">
        <f>SUMIF('Raw TB 1025'!$B:$B,'TB 1025'!$A62,'Raw TB 1025'!D:D)</f>
        <v>490766</v>
      </c>
      <c r="D62" s="24">
        <f>SUMIF('Raw TB 1025'!$B:$B,'TB 1025'!$A62,'Raw TB 1025'!E:E)</f>
        <v>1775164.13</v>
      </c>
      <c r="E62" s="24">
        <f>SUMIF('Raw TB 1025'!$B:$B,'TB 1025'!$A62,'Raw TB 1025'!F:F)</f>
        <v>-1768188.4</v>
      </c>
      <c r="F62" s="24">
        <f t="shared" si="1"/>
        <v>-1768.1884</v>
      </c>
      <c r="G62" s="22" t="s">
        <v>180</v>
      </c>
      <c r="H62" s="23" t="s">
        <v>79</v>
      </c>
    </row>
    <row r="63" spans="1:8" x14ac:dyDescent="0.35">
      <c r="A63" s="23" t="s">
        <v>582</v>
      </c>
      <c r="B63" s="24">
        <f>SUMIF('Raw TB 1025'!$B:$B,'TB 1025'!$A63,'Raw TB 1025'!C:C)</f>
        <v>-34200</v>
      </c>
      <c r="C63" s="24">
        <f>SUMIF('Raw TB 1025'!$B:$B,'TB 1025'!$A63,'Raw TB 1025'!D:D)</f>
        <v>34400</v>
      </c>
      <c r="D63" s="24">
        <f>SUMIF('Raw TB 1025'!$B:$B,'TB 1025'!$A63,'Raw TB 1025'!E:E)</f>
        <v>39200</v>
      </c>
      <c r="E63" s="24">
        <f>SUMIF('Raw TB 1025'!$B:$B,'TB 1025'!$A63,'Raw TB 1025'!F:F)</f>
        <v>-39000</v>
      </c>
      <c r="F63" s="24">
        <f t="shared" si="1"/>
        <v>-39</v>
      </c>
      <c r="G63" s="22" t="s">
        <v>180</v>
      </c>
      <c r="H63" s="23" t="s">
        <v>68</v>
      </c>
    </row>
    <row r="64" spans="1:8" x14ac:dyDescent="0.35">
      <c r="A64" s="23" t="s">
        <v>583</v>
      </c>
      <c r="B64" s="24">
        <f>SUMIF('Raw TB 1025'!$B:$B,'TB 1025'!$A64,'Raw TB 1025'!C:C)</f>
        <v>-369952</v>
      </c>
      <c r="C64" s="24">
        <f>SUMIF('Raw TB 1025'!$B:$B,'TB 1025'!$A64,'Raw TB 1025'!D:D)</f>
        <v>388322</v>
      </c>
      <c r="D64" s="24">
        <f>SUMIF('Raw TB 1025'!$B:$B,'TB 1025'!$A64,'Raw TB 1025'!E:E)</f>
        <v>465940</v>
      </c>
      <c r="E64" s="24">
        <f>SUMIF('Raw TB 1025'!$B:$B,'TB 1025'!$A64,'Raw TB 1025'!F:F)</f>
        <v>-447570</v>
      </c>
      <c r="F64" s="24">
        <f t="shared" si="1"/>
        <v>-447.57</v>
      </c>
      <c r="G64" s="22" t="s">
        <v>180</v>
      </c>
      <c r="H64" s="23" t="s">
        <v>68</v>
      </c>
    </row>
    <row r="65" spans="1:8" x14ac:dyDescent="0.35">
      <c r="A65" s="23" t="s">
        <v>584</v>
      </c>
      <c r="B65" s="24">
        <f>SUMIF('Raw TB 1025'!$B:$B,'TB 1025'!$A65,'Raw TB 1025'!C:C)</f>
        <v>-369952</v>
      </c>
      <c r="C65" s="24">
        <f>SUMIF('Raw TB 1025'!$B:$B,'TB 1025'!$A65,'Raw TB 1025'!D:D)</f>
        <v>388322</v>
      </c>
      <c r="D65" s="24">
        <f>SUMIF('Raw TB 1025'!$B:$B,'TB 1025'!$A65,'Raw TB 1025'!E:E)</f>
        <v>465940</v>
      </c>
      <c r="E65" s="24">
        <f>SUMIF('Raw TB 1025'!$B:$B,'TB 1025'!$A65,'Raw TB 1025'!F:F)</f>
        <v>-447570</v>
      </c>
      <c r="F65" s="24">
        <f t="shared" si="1"/>
        <v>-447.57</v>
      </c>
      <c r="G65" s="22" t="s">
        <v>180</v>
      </c>
      <c r="H65" s="23" t="s">
        <v>68</v>
      </c>
    </row>
    <row r="66" spans="1:8" x14ac:dyDescent="0.35">
      <c r="A66" s="23" t="s">
        <v>138</v>
      </c>
      <c r="B66" s="24">
        <f>SUMIF('Raw TB 1025'!$B:$B,'TB 1025'!$A66,'Raw TB 1025'!C:C)</f>
        <v>-100000</v>
      </c>
      <c r="C66" s="24">
        <f>SUMIF('Raw TB 1025'!$B:$B,'TB 1025'!$A66,'Raw TB 1025'!D:D)</f>
        <v>100000</v>
      </c>
      <c r="D66" s="24">
        <f>SUMIF('Raw TB 1025'!$B:$B,'TB 1025'!$A66,'Raw TB 1025'!E:E)</f>
        <v>0</v>
      </c>
      <c r="E66" s="24">
        <f>SUMIF('Raw TB 1025'!$B:$B,'TB 1025'!$A66,'Raw TB 1025'!F:F)</f>
        <v>0</v>
      </c>
      <c r="F66" s="24">
        <f t="shared" si="1"/>
        <v>0</v>
      </c>
      <c r="G66" s="22" t="s">
        <v>180</v>
      </c>
      <c r="H66" s="23" t="s">
        <v>69</v>
      </c>
    </row>
    <row r="67" spans="1:8" x14ac:dyDescent="0.35">
      <c r="A67" s="23" t="s">
        <v>620</v>
      </c>
      <c r="B67" s="24">
        <f>SUMIF('Raw TB 1025'!$B:$B,'TB 1025'!$A67,'Raw TB 1025'!C:C)</f>
        <v>-12872789</v>
      </c>
      <c r="C67" s="24">
        <f>SUMIF('Raw TB 1025'!$B:$B,'TB 1025'!$A67,'Raw TB 1025'!D:D)</f>
        <v>12000000</v>
      </c>
      <c r="D67" s="24">
        <f>SUMIF('Raw TB 1025'!$B:$B,'TB 1025'!$A67,'Raw TB 1025'!E:E)</f>
        <v>12702636</v>
      </c>
      <c r="E67" s="24">
        <f>SUMIF('Raw TB 1025'!$B:$B,'TB 1025'!$A67,'Raw TB 1025'!F:F)</f>
        <v>-13575425</v>
      </c>
      <c r="F67" s="24">
        <f t="shared" si="1"/>
        <v>-13575.424999999999</v>
      </c>
      <c r="G67" s="22" t="s">
        <v>180</v>
      </c>
      <c r="H67" s="23" t="s">
        <v>69</v>
      </c>
    </row>
    <row r="68" spans="1:8" x14ac:dyDescent="0.35">
      <c r="A68" s="23" t="s">
        <v>1429</v>
      </c>
      <c r="B68" s="24">
        <f>SUMIF('Raw TB 1025'!$B:$B,'TB 1025'!$A68,'Raw TB 1025'!C:C)</f>
        <v>-548984</v>
      </c>
      <c r="C68" s="24">
        <f>SUMIF('Raw TB 1025'!$B:$B,'TB 1025'!$A68,'Raw TB 1025'!D:D)</f>
        <v>0</v>
      </c>
      <c r="D68" s="24">
        <f>SUMIF('Raw TB 1025'!$B:$B,'TB 1025'!$A68,'Raw TB 1025'!E:E)</f>
        <v>0</v>
      </c>
      <c r="E68" s="24">
        <f>SUMIF('Raw TB 1025'!$B:$B,'TB 1025'!$A68,'Raw TB 1025'!F:F)</f>
        <v>-548984</v>
      </c>
      <c r="F68" s="24">
        <f t="shared" ref="F68:F131" si="3">E68/10^3</f>
        <v>-548.98400000000004</v>
      </c>
      <c r="G68" s="22" t="s">
        <v>180</v>
      </c>
      <c r="H68" s="23" t="s">
        <v>1371</v>
      </c>
    </row>
    <row r="69" spans="1:8" x14ac:dyDescent="0.35">
      <c r="A69" s="23" t="s">
        <v>1430</v>
      </c>
      <c r="B69" s="24">
        <f>SUMIF('Raw TB 1025'!$B:$B,'TB 1025'!$A69,'Raw TB 1025'!C:C)</f>
        <v>-1269</v>
      </c>
      <c r="C69" s="24">
        <f>SUMIF('Raw TB 1025'!$B:$B,'TB 1025'!$A69,'Raw TB 1025'!D:D)</f>
        <v>0</v>
      </c>
      <c r="D69" s="24">
        <f>SUMIF('Raw TB 1025'!$B:$B,'TB 1025'!$A69,'Raw TB 1025'!E:E)</f>
        <v>0</v>
      </c>
      <c r="E69" s="24">
        <f>SUMIF('Raw TB 1025'!$B:$B,'TB 1025'!$A69,'Raw TB 1025'!F:F)</f>
        <v>-1269</v>
      </c>
      <c r="F69" s="24">
        <f t="shared" si="3"/>
        <v>-1.2689999999999999</v>
      </c>
      <c r="G69" s="22" t="s">
        <v>180</v>
      </c>
      <c r="H69" s="23" t="s">
        <v>69</v>
      </c>
    </row>
    <row r="70" spans="1:8" x14ac:dyDescent="0.35">
      <c r="A70" s="23" t="s">
        <v>1364</v>
      </c>
      <c r="B70" s="24">
        <f>SUMIF('Raw TB 1025'!$B:$B,'TB 1025'!$A70,'Raw TB 1025'!C:C)</f>
        <v>-8000000</v>
      </c>
      <c r="C70" s="24">
        <f>SUMIF('Raw TB 1025'!$B:$B,'TB 1025'!$A70,'Raw TB 1025'!D:D)</f>
        <v>8000000</v>
      </c>
      <c r="D70" s="24">
        <f>SUMIF('Raw TB 1025'!$B:$B,'TB 1025'!$A70,'Raw TB 1025'!E:E)</f>
        <v>15670233</v>
      </c>
      <c r="E70" s="24">
        <f>SUMIF('Raw TB 1025'!$B:$B,'TB 1025'!$A70,'Raw TB 1025'!F:F)</f>
        <v>-15670233</v>
      </c>
      <c r="F70" s="24">
        <f t="shared" si="3"/>
        <v>-15670.233</v>
      </c>
      <c r="G70" s="22" t="s">
        <v>180</v>
      </c>
      <c r="H70" s="23" t="s">
        <v>69</v>
      </c>
    </row>
    <row r="71" spans="1:8" x14ac:dyDescent="0.35">
      <c r="A71" s="23" t="s">
        <v>585</v>
      </c>
      <c r="B71" s="24">
        <f>SUMIF('Raw TB 1025'!$B:$B,'TB 1025'!$A71,'Raw TB 1025'!C:C)</f>
        <v>-16329714.720000001</v>
      </c>
      <c r="C71" s="24">
        <f>SUMIF('Raw TB 1025'!$B:$B,'TB 1025'!$A71,'Raw TB 1025'!D:D)</f>
        <v>16317477.23</v>
      </c>
      <c r="D71" s="24">
        <f>SUMIF('Raw TB 1025'!$B:$B,'TB 1025'!$A71,'Raw TB 1025'!E:E)+6844750</f>
        <v>28509637.399999999</v>
      </c>
      <c r="E71" s="24">
        <f>SUMIF('Raw TB 1025'!$B:$B,'TB 1025'!$A71,'Raw TB 1025'!F:F)-6844750</f>
        <v>-28521874.890000001</v>
      </c>
      <c r="F71" s="24">
        <f t="shared" si="3"/>
        <v>-28521.874889999999</v>
      </c>
      <c r="G71" s="22" t="s">
        <v>180</v>
      </c>
      <c r="H71" s="23" t="s">
        <v>69</v>
      </c>
    </row>
    <row r="72" spans="1:8" x14ac:dyDescent="0.35">
      <c r="A72" s="23" t="s">
        <v>1256</v>
      </c>
      <c r="B72" s="24">
        <f>SUMIF('Raw TB 1025'!$B:$B,'TB 1025'!$A72,'Raw TB 1025'!C:C)</f>
        <v>-278100</v>
      </c>
      <c r="C72" s="24">
        <f>SUMIF('Raw TB 1025'!$B:$B,'TB 1025'!$A72,'Raw TB 1025'!D:D)</f>
        <v>90000</v>
      </c>
      <c r="D72" s="24">
        <f>SUMIF('Raw TB 1025'!$B:$B,'TB 1025'!$A72,'Raw TB 1025'!E:E)</f>
        <v>0</v>
      </c>
      <c r="E72" s="24">
        <f>SUMIF('Raw TB 1025'!$B:$B,'TB 1025'!$A72,'Raw TB 1025'!F:F)</f>
        <v>-188100</v>
      </c>
      <c r="F72" s="24">
        <f t="shared" si="3"/>
        <v>-188.1</v>
      </c>
      <c r="G72" s="22" t="s">
        <v>180</v>
      </c>
      <c r="H72" s="23" t="s">
        <v>69</v>
      </c>
    </row>
    <row r="73" spans="1:8" x14ac:dyDescent="0.35">
      <c r="A73" s="23" t="s">
        <v>586</v>
      </c>
      <c r="B73" s="24">
        <f>SUMIF('Raw TB 1025'!$B:$B,'TB 1025'!$A73,'Raw TB 1025'!C:C)</f>
        <v>-15445</v>
      </c>
      <c r="C73" s="24">
        <f>SUMIF('Raw TB 1025'!$B:$B,'TB 1025'!$A73,'Raw TB 1025'!D:D)</f>
        <v>0</v>
      </c>
      <c r="D73" s="24">
        <f>SUMIF('Raw TB 1025'!$B:$B,'TB 1025'!$A73,'Raw TB 1025'!E:E)</f>
        <v>3138421.8</v>
      </c>
      <c r="E73" s="24">
        <f>SUMIF('Raw TB 1025'!$B:$B,'TB 1025'!$A73,'Raw TB 1025'!F:F)</f>
        <v>-3153866.8</v>
      </c>
      <c r="F73" s="24">
        <f t="shared" si="3"/>
        <v>-3153.8667999999998</v>
      </c>
      <c r="G73" s="22" t="s">
        <v>180</v>
      </c>
      <c r="H73" s="23" t="s">
        <v>69</v>
      </c>
    </row>
    <row r="74" spans="1:8" x14ac:dyDescent="0.35">
      <c r="A74" s="23" t="s">
        <v>1257</v>
      </c>
      <c r="B74" s="24">
        <f>SUMIF('Raw TB 1025'!$B:$B,'TB 1025'!$A74,'Raw TB 1025'!C:C)</f>
        <v>-1144399.17</v>
      </c>
      <c r="C74" s="24">
        <f>SUMIF('Raw TB 1025'!$B:$B,'TB 1025'!$A74,'Raw TB 1025'!D:D)</f>
        <v>825075.53</v>
      </c>
      <c r="D74" s="24">
        <f>SUMIF('Raw TB 1025'!$B:$B,'TB 1025'!$A74,'Raw TB 1025'!E:E)</f>
        <v>502603.39</v>
      </c>
      <c r="E74" s="24">
        <f>SUMIF('Raw TB 1025'!$B:$B,'TB 1025'!$A74,'Raw TB 1025'!F:F)</f>
        <v>-821927.03</v>
      </c>
      <c r="F74" s="24">
        <f t="shared" si="3"/>
        <v>-821.92703000000006</v>
      </c>
      <c r="G74" s="22" t="s">
        <v>180</v>
      </c>
      <c r="H74" s="23" t="s">
        <v>69</v>
      </c>
    </row>
    <row r="75" spans="1:8" x14ac:dyDescent="0.35">
      <c r="A75" s="23" t="s">
        <v>1258</v>
      </c>
      <c r="B75" s="24">
        <f>SUMIF('Raw TB 1025'!$B:$B,'TB 1025'!$A75,'Raw TB 1025'!C:C)</f>
        <v>-149779.01</v>
      </c>
      <c r="C75" s="24">
        <f>SUMIF('Raw TB 1025'!$B:$B,'TB 1025'!$A75,'Raw TB 1025'!D:D)</f>
        <v>0</v>
      </c>
      <c r="D75" s="24">
        <f>SUMIF('Raw TB 1025'!$B:$B,'TB 1025'!$A75,'Raw TB 1025'!E:E)</f>
        <v>4793.8999999999996</v>
      </c>
      <c r="E75" s="24">
        <f>SUMIF('Raw TB 1025'!$B:$B,'TB 1025'!$A75,'Raw TB 1025'!F:F)</f>
        <v>-154572.91</v>
      </c>
      <c r="F75" s="24">
        <f t="shared" si="3"/>
        <v>-154.57291000000001</v>
      </c>
      <c r="G75" s="22" t="s">
        <v>180</v>
      </c>
      <c r="H75" s="23" t="s">
        <v>69</v>
      </c>
    </row>
    <row r="76" spans="1:8" x14ac:dyDescent="0.35">
      <c r="A76" s="23" t="s">
        <v>425</v>
      </c>
      <c r="B76" s="24">
        <f>SUMIF('Raw TB 1025'!$B:$B,'TB 1025'!$A76,'Raw TB 1025'!C:C)</f>
        <v>-4496613.0599999996</v>
      </c>
      <c r="C76" s="24">
        <f>SUMIF('Raw TB 1025'!$B:$B,'TB 1025'!$A76,'Raw TB 1025'!D:D)</f>
        <v>4670073</v>
      </c>
      <c r="D76" s="24">
        <f>SUMIF('Raw TB 1025'!$B:$B,'TB 1025'!$A76,'Raw TB 1025'!E:E)</f>
        <v>6241069.6500000004</v>
      </c>
      <c r="E76" s="24">
        <f>SUMIF('Raw TB 1025'!$B:$B,'TB 1025'!$A76,'Raw TB 1025'!F:F)</f>
        <v>-6067609.71</v>
      </c>
      <c r="F76" s="24">
        <f t="shared" si="3"/>
        <v>-6067.6097099999997</v>
      </c>
      <c r="G76" s="22" t="s">
        <v>180</v>
      </c>
      <c r="H76" s="23" t="s">
        <v>68</v>
      </c>
    </row>
    <row r="77" spans="1:8" x14ac:dyDescent="0.35">
      <c r="A77" s="23" t="s">
        <v>587</v>
      </c>
      <c r="B77" s="24">
        <f>SUMIF('Raw TB 1025'!$B:$B,'TB 1025'!$A77,'Raw TB 1025'!C:C)</f>
        <v>-2230694</v>
      </c>
      <c r="C77" s="24">
        <f>SUMIF('Raw TB 1025'!$B:$B,'TB 1025'!$A77,'Raw TB 1025'!D:D)</f>
        <v>0</v>
      </c>
      <c r="D77" s="24">
        <f>SUMIF('Raw TB 1025'!$B:$B,'TB 1025'!$A77,'Raw TB 1025'!E:E)</f>
        <v>468749</v>
      </c>
      <c r="E77" s="24">
        <f>SUMIF('Raw TB 1025'!$B:$B,'TB 1025'!$A77,'Raw TB 1025'!F:F)</f>
        <v>-2699443</v>
      </c>
      <c r="F77" s="24">
        <f t="shared" si="3"/>
        <v>-2699.4430000000002</v>
      </c>
      <c r="G77" s="22" t="s">
        <v>180</v>
      </c>
      <c r="H77" s="23" t="s">
        <v>68</v>
      </c>
    </row>
    <row r="78" spans="1:8" x14ac:dyDescent="0.35">
      <c r="A78" s="23" t="s">
        <v>588</v>
      </c>
      <c r="B78" s="24">
        <f>SUMIF('Raw TB 1025'!$B:$B,'TB 1025'!$A78,'Raw TB 1025'!C:C)</f>
        <v>326192651.81999999</v>
      </c>
      <c r="C78" s="24">
        <f>SUMIF('Raw TB 1025'!$B:$B,'TB 1025'!$A78,'Raw TB 1025'!D:D)</f>
        <v>0</v>
      </c>
      <c r="D78" s="24">
        <f>SUMIF('Raw TB 1025'!$B:$B,'TB 1025'!$A78,'Raw TB 1025'!E:E)</f>
        <v>0</v>
      </c>
      <c r="E78" s="24">
        <f>SUMIF('Raw TB 1025'!$B:$B,'TB 1025'!$A78,'Raw TB 1025'!F:F)</f>
        <v>326192651.81999999</v>
      </c>
      <c r="F78" s="24">
        <f t="shared" si="3"/>
        <v>326192.65181999997</v>
      </c>
      <c r="G78" s="22" t="s">
        <v>180</v>
      </c>
      <c r="H78" s="23" t="s">
        <v>64</v>
      </c>
    </row>
    <row r="79" spans="1:8" x14ac:dyDescent="0.35">
      <c r="A79" s="23" t="s">
        <v>1431</v>
      </c>
      <c r="B79" s="24">
        <f>SUMIF('Raw TB 1025'!$B:$B,'TB 1025'!$A79,'Raw TB 1025'!C:C)</f>
        <v>-1245691</v>
      </c>
      <c r="C79" s="24">
        <f>SUMIF('Raw TB 1025'!$B:$B,'TB 1025'!$A79,'Raw TB 1025'!D:D)</f>
        <v>0</v>
      </c>
      <c r="D79" s="24">
        <f>SUMIF('Raw TB 1025'!$B:$B,'TB 1025'!$A79,'Raw TB 1025'!E:E)</f>
        <v>0</v>
      </c>
      <c r="E79" s="24">
        <f>SUMIF('Raw TB 1025'!$B:$B,'TB 1025'!$A79,'Raw TB 1025'!F:F)</f>
        <v>-1245691</v>
      </c>
      <c r="F79" s="24">
        <f t="shared" si="3"/>
        <v>-1245.691</v>
      </c>
      <c r="G79" s="22" t="s">
        <v>180</v>
      </c>
      <c r="H79" s="23" t="s">
        <v>64</v>
      </c>
    </row>
    <row r="80" spans="1:8" x14ac:dyDescent="0.35">
      <c r="A80" s="23" t="s">
        <v>589</v>
      </c>
      <c r="B80" s="24">
        <f>SUMIF('Raw TB 1025'!$B:$B,'TB 1025'!$A80,'Raw TB 1025'!C:C)</f>
        <v>-100000</v>
      </c>
      <c r="C80" s="24">
        <f>SUMIF('Raw TB 1025'!$B:$B,'TB 1025'!$A80,'Raw TB 1025'!D:D)</f>
        <v>0</v>
      </c>
      <c r="D80" s="24">
        <f>SUMIF('Raw TB 1025'!$B:$B,'TB 1025'!$A80,'Raw TB 1025'!E:E)</f>
        <v>0</v>
      </c>
      <c r="E80" s="24">
        <f>SUMIF('Raw TB 1025'!$B:$B,'TB 1025'!$A80,'Raw TB 1025'!F:F)</f>
        <v>-100000</v>
      </c>
      <c r="F80" s="24">
        <f t="shared" si="3"/>
        <v>-100</v>
      </c>
      <c r="G80" s="22" t="s">
        <v>180</v>
      </c>
      <c r="H80" s="23" t="s">
        <v>63</v>
      </c>
    </row>
    <row r="81" spans="1:8" x14ac:dyDescent="0.35">
      <c r="A81" s="23" t="s">
        <v>698</v>
      </c>
      <c r="B81" s="24">
        <f>SUMIF('Raw TB 1025'!$B:$B,'TB 1025'!$A81,'Raw TB 1025'!C:C)</f>
        <v>-10</v>
      </c>
      <c r="C81" s="24">
        <f>SUMIF('Raw TB 1025'!$B:$B,'TB 1025'!$A81,'Raw TB 1025'!D:D)</f>
        <v>0</v>
      </c>
      <c r="D81" s="24">
        <f>SUMIF('Raw TB 1025'!$B:$B,'TB 1025'!$A81,'Raw TB 1025'!E:E)</f>
        <v>0</v>
      </c>
      <c r="E81" s="24">
        <f>SUMIF('Raw TB 1025'!$B:$B,'TB 1025'!$A81,'Raw TB 1025'!F:F)</f>
        <v>-10</v>
      </c>
      <c r="F81" s="24">
        <f t="shared" si="3"/>
        <v>-0.01</v>
      </c>
      <c r="G81" s="22" t="s">
        <v>180</v>
      </c>
      <c r="H81" s="23" t="s">
        <v>63</v>
      </c>
    </row>
    <row r="82" spans="1:8" x14ac:dyDescent="0.35">
      <c r="A82" s="23" t="s">
        <v>699</v>
      </c>
      <c r="B82" s="24">
        <f>SUMIF('Raw TB 1025'!$B:$B,'TB 1025'!$A82,'Raw TB 1025'!C:C)</f>
        <v>-5463300</v>
      </c>
      <c r="C82" s="24">
        <f>SUMIF('Raw TB 1025'!$B:$B,'TB 1025'!$A82,'Raw TB 1025'!D:D)</f>
        <v>0</v>
      </c>
      <c r="D82" s="24">
        <f>SUMIF('Raw TB 1025'!$B:$B,'TB 1025'!$A82,'Raw TB 1025'!E:E)</f>
        <v>0</v>
      </c>
      <c r="E82" s="24">
        <f>SUMIF('Raw TB 1025'!$B:$B,'TB 1025'!$A82,'Raw TB 1025'!F:F)</f>
        <v>-5463300</v>
      </c>
      <c r="F82" s="24">
        <f t="shared" si="3"/>
        <v>-5463.3</v>
      </c>
      <c r="G82" s="22" t="s">
        <v>180</v>
      </c>
      <c r="H82" s="23" t="s">
        <v>63</v>
      </c>
    </row>
    <row r="83" spans="1:8" x14ac:dyDescent="0.35">
      <c r="A83" s="23" t="s">
        <v>700</v>
      </c>
      <c r="B83" s="24">
        <f>SUMIF('Raw TB 1025'!$B:$B,'TB 1025'!$A83,'Raw TB 1025'!C:C)</f>
        <v>-10800</v>
      </c>
      <c r="C83" s="24">
        <f>SUMIF('Raw TB 1025'!$B:$B,'TB 1025'!$A83,'Raw TB 1025'!D:D)</f>
        <v>0</v>
      </c>
      <c r="D83" s="24">
        <f>SUMIF('Raw TB 1025'!$B:$B,'TB 1025'!$A83,'Raw TB 1025'!E:E)</f>
        <v>0</v>
      </c>
      <c r="E83" s="24">
        <f>SUMIF('Raw TB 1025'!$B:$B,'TB 1025'!$A83,'Raw TB 1025'!F:F)</f>
        <v>-10800</v>
      </c>
      <c r="F83" s="24">
        <f t="shared" si="3"/>
        <v>-10.8</v>
      </c>
      <c r="G83" s="22" t="s">
        <v>180</v>
      </c>
      <c r="H83" s="23" t="s">
        <v>63</v>
      </c>
    </row>
    <row r="84" spans="1:8" x14ac:dyDescent="0.35">
      <c r="A84" s="23" t="s">
        <v>1259</v>
      </c>
      <c r="B84" s="24">
        <f>SUMIF('Raw TB 1025'!$B:$B,'TB 1025'!$A84,'Raw TB 1025'!C:C)</f>
        <v>-3772700</v>
      </c>
      <c r="C84" s="24">
        <f>SUMIF('Raw TB 1025'!$B:$B,'TB 1025'!$A84,'Raw TB 1025'!D:D)</f>
        <v>0</v>
      </c>
      <c r="D84" s="24">
        <f>SUMIF('Raw TB 1025'!$B:$B,'TB 1025'!$A84,'Raw TB 1025'!E:E)</f>
        <v>0</v>
      </c>
      <c r="E84" s="24">
        <f>SUMIF('Raw TB 1025'!$B:$B,'TB 1025'!$A84,'Raw TB 1025'!F:F)</f>
        <v>-3772700</v>
      </c>
      <c r="F84" s="24">
        <f t="shared" si="3"/>
        <v>-3772.7</v>
      </c>
      <c r="G84" s="22" t="s">
        <v>180</v>
      </c>
      <c r="H84" s="23" t="s">
        <v>63</v>
      </c>
    </row>
    <row r="85" spans="1:8" x14ac:dyDescent="0.35">
      <c r="A85" s="23" t="s">
        <v>590</v>
      </c>
      <c r="B85" s="24">
        <f>SUMIF('Raw TB 1025'!$B:$B,'TB 1025'!$A85,'Raw TB 1025'!C:C)</f>
        <v>-10</v>
      </c>
      <c r="C85" s="24">
        <f>SUMIF('Raw TB 1025'!$B:$B,'TB 1025'!$A85,'Raw TB 1025'!D:D)</f>
        <v>0</v>
      </c>
      <c r="D85" s="24">
        <f>SUMIF('Raw TB 1025'!$B:$B,'TB 1025'!$A85,'Raw TB 1025'!E:E)</f>
        <v>0</v>
      </c>
      <c r="E85" s="24">
        <f>SUMIF('Raw TB 1025'!$B:$B,'TB 1025'!$A85,'Raw TB 1025'!F:F)</f>
        <v>-10</v>
      </c>
      <c r="F85" s="24">
        <f t="shared" si="3"/>
        <v>-0.01</v>
      </c>
      <c r="G85" s="22" t="s">
        <v>180</v>
      </c>
      <c r="H85" s="23" t="s">
        <v>63</v>
      </c>
    </row>
    <row r="86" spans="1:8" x14ac:dyDescent="0.35">
      <c r="A86" s="23" t="s">
        <v>591</v>
      </c>
      <c r="B86" s="24">
        <f>SUMIF('Raw TB 1025'!$B:$B,'TB 1025'!$A86,'Raw TB 1025'!C:C)</f>
        <v>-6497900</v>
      </c>
      <c r="C86" s="24">
        <f>SUMIF('Raw TB 1025'!$B:$B,'TB 1025'!$A86,'Raw TB 1025'!D:D)</f>
        <v>0</v>
      </c>
      <c r="D86" s="24">
        <f>SUMIF('Raw TB 1025'!$B:$B,'TB 1025'!$A86,'Raw TB 1025'!E:E)</f>
        <v>0</v>
      </c>
      <c r="E86" s="24">
        <f>SUMIF('Raw TB 1025'!$B:$B,'TB 1025'!$A86,'Raw TB 1025'!F:F)</f>
        <v>-6497900</v>
      </c>
      <c r="F86" s="24">
        <f t="shared" si="3"/>
        <v>-6497.9</v>
      </c>
      <c r="G86" s="22" t="s">
        <v>180</v>
      </c>
      <c r="H86" s="23" t="s">
        <v>63</v>
      </c>
    </row>
    <row r="87" spans="1:8" x14ac:dyDescent="0.35">
      <c r="A87" s="23" t="s">
        <v>701</v>
      </c>
      <c r="B87" s="24">
        <f>SUMIF('Raw TB 1025'!$B:$B,'TB 1025'!$A87,'Raw TB 1025'!C:C)</f>
        <v>-16200</v>
      </c>
      <c r="C87" s="24">
        <f>SUMIF('Raw TB 1025'!$B:$B,'TB 1025'!$A87,'Raw TB 1025'!D:D)</f>
        <v>0</v>
      </c>
      <c r="D87" s="24">
        <f>SUMIF('Raw TB 1025'!$B:$B,'TB 1025'!$A87,'Raw TB 1025'!E:E)</f>
        <v>0</v>
      </c>
      <c r="E87" s="24">
        <f>SUMIF('Raw TB 1025'!$B:$B,'TB 1025'!$A87,'Raw TB 1025'!F:F)</f>
        <v>-16200</v>
      </c>
      <c r="F87" s="24">
        <f t="shared" si="3"/>
        <v>-16.2</v>
      </c>
      <c r="G87" s="22" t="s">
        <v>180</v>
      </c>
      <c r="H87" s="23" t="s">
        <v>63</v>
      </c>
    </row>
    <row r="88" spans="1:8" x14ac:dyDescent="0.35">
      <c r="A88" s="23" t="s">
        <v>702</v>
      </c>
      <c r="B88" s="24">
        <f>SUMIF('Raw TB 1025'!$B:$B,'TB 1025'!$A88,'Raw TB 1025'!C:C)</f>
        <v>-5400</v>
      </c>
      <c r="C88" s="24">
        <f>SUMIF('Raw TB 1025'!$B:$B,'TB 1025'!$A88,'Raw TB 1025'!D:D)</f>
        <v>0</v>
      </c>
      <c r="D88" s="24">
        <f>SUMIF('Raw TB 1025'!$B:$B,'TB 1025'!$A88,'Raw TB 1025'!E:E)</f>
        <v>0</v>
      </c>
      <c r="E88" s="24">
        <f>SUMIF('Raw TB 1025'!$B:$B,'TB 1025'!$A88,'Raw TB 1025'!F:F)</f>
        <v>-5400</v>
      </c>
      <c r="F88" s="24">
        <f t="shared" si="3"/>
        <v>-5.4</v>
      </c>
      <c r="G88" s="22" t="s">
        <v>180</v>
      </c>
      <c r="H88" s="23" t="s">
        <v>63</v>
      </c>
    </row>
    <row r="89" spans="1:8" x14ac:dyDescent="0.35">
      <c r="A89" s="23" t="s">
        <v>703</v>
      </c>
      <c r="B89" s="24">
        <f>SUMIF('Raw TB 1025'!$B:$B,'TB 1025'!$A89,'Raw TB 1025'!C:C)</f>
        <v>-37800</v>
      </c>
      <c r="C89" s="24">
        <f>SUMIF('Raw TB 1025'!$B:$B,'TB 1025'!$A89,'Raw TB 1025'!D:D)</f>
        <v>0</v>
      </c>
      <c r="D89" s="24">
        <f>SUMIF('Raw TB 1025'!$B:$B,'TB 1025'!$A89,'Raw TB 1025'!E:E)</f>
        <v>0</v>
      </c>
      <c r="E89" s="24">
        <f>SUMIF('Raw TB 1025'!$B:$B,'TB 1025'!$A89,'Raw TB 1025'!F:F)</f>
        <v>-37800</v>
      </c>
      <c r="F89" s="24">
        <f t="shared" si="3"/>
        <v>-37.799999999999997</v>
      </c>
      <c r="G89" s="22" t="s">
        <v>180</v>
      </c>
      <c r="H89" s="23" t="s">
        <v>63</v>
      </c>
    </row>
    <row r="90" spans="1:8" x14ac:dyDescent="0.35">
      <c r="A90" s="23" t="s">
        <v>592</v>
      </c>
      <c r="B90" s="24">
        <f>SUMIF('Raw TB 1025'!$B:$B,'TB 1025'!$A90,'Raw TB 1025'!C:C)</f>
        <v>-2162702583.21</v>
      </c>
      <c r="C90" s="24">
        <f>SUMIF('Raw TB 1025'!$B:$B,'TB 1025'!$A90,'Raw TB 1025'!D:D)</f>
        <v>0</v>
      </c>
      <c r="D90" s="24">
        <f>SUMIF('Raw TB 1025'!$B:$B,'TB 1025'!$A90,'Raw TB 1025'!E:E)</f>
        <v>0</v>
      </c>
      <c r="E90" s="24">
        <f>SUMIF('Raw TB 1025'!$B:$B,'TB 1025'!$A90,'Raw TB 1025'!F:F)</f>
        <v>-2162702583.21</v>
      </c>
      <c r="F90" s="24">
        <f t="shared" si="3"/>
        <v>-2162702.5832099998</v>
      </c>
      <c r="G90" s="22" t="s">
        <v>180</v>
      </c>
      <c r="H90" s="23" t="s">
        <v>64</v>
      </c>
    </row>
    <row r="91" spans="1:8" x14ac:dyDescent="0.35">
      <c r="A91" s="23" t="s">
        <v>704</v>
      </c>
      <c r="B91" s="24">
        <f>SUMIF('Raw TB 1025'!$B:$B,'TB 1025'!$A91,'Raw TB 1025'!C:C)</f>
        <v>-5400</v>
      </c>
      <c r="C91" s="24">
        <f>SUMIF('Raw TB 1025'!$B:$B,'TB 1025'!$A91,'Raw TB 1025'!D:D)</f>
        <v>0</v>
      </c>
      <c r="D91" s="24">
        <f>SUMIF('Raw TB 1025'!$B:$B,'TB 1025'!$A91,'Raw TB 1025'!E:E)</f>
        <v>0</v>
      </c>
      <c r="E91" s="24">
        <f>SUMIF('Raw TB 1025'!$B:$B,'TB 1025'!$A91,'Raw TB 1025'!F:F)</f>
        <v>-5400</v>
      </c>
      <c r="F91" s="24">
        <f t="shared" si="3"/>
        <v>-5.4</v>
      </c>
      <c r="G91" s="22" t="s">
        <v>180</v>
      </c>
      <c r="H91" s="23" t="s">
        <v>63</v>
      </c>
    </row>
    <row r="92" spans="1:8" x14ac:dyDescent="0.35">
      <c r="A92" s="23" t="s">
        <v>705</v>
      </c>
      <c r="B92" s="24">
        <f>SUMIF('Raw TB 1025'!$B:$B,'TB 1025'!$A92,'Raw TB 1025'!C:C)</f>
        <v>-5400</v>
      </c>
      <c r="C92" s="24">
        <f>SUMIF('Raw TB 1025'!$B:$B,'TB 1025'!$A92,'Raw TB 1025'!D:D)</f>
        <v>0</v>
      </c>
      <c r="D92" s="24">
        <f>SUMIF('Raw TB 1025'!$B:$B,'TB 1025'!$A92,'Raw TB 1025'!E:E)</f>
        <v>0</v>
      </c>
      <c r="E92" s="24">
        <f>SUMIF('Raw TB 1025'!$B:$B,'TB 1025'!$A92,'Raw TB 1025'!F:F)</f>
        <v>-5400</v>
      </c>
      <c r="F92" s="24">
        <f t="shared" si="3"/>
        <v>-5.4</v>
      </c>
      <c r="G92" s="22" t="s">
        <v>180</v>
      </c>
      <c r="H92" s="23" t="s">
        <v>63</v>
      </c>
    </row>
    <row r="93" spans="1:8" x14ac:dyDescent="0.35">
      <c r="A93" s="23" t="s">
        <v>706</v>
      </c>
      <c r="B93" s="24">
        <f>SUMIF('Raw TB 1025'!$B:$B,'TB 1025'!$A93,'Raw TB 1025'!C:C)</f>
        <v>-5400</v>
      </c>
      <c r="C93" s="24">
        <f>SUMIF('Raw TB 1025'!$B:$B,'TB 1025'!$A93,'Raw TB 1025'!D:D)</f>
        <v>0</v>
      </c>
      <c r="D93" s="24">
        <f>SUMIF('Raw TB 1025'!$B:$B,'TB 1025'!$A93,'Raw TB 1025'!E:E)</f>
        <v>0</v>
      </c>
      <c r="E93" s="24">
        <f>SUMIF('Raw TB 1025'!$B:$B,'TB 1025'!$A93,'Raw TB 1025'!F:F)</f>
        <v>-5400</v>
      </c>
      <c r="F93" s="24">
        <f t="shared" si="3"/>
        <v>-5.4</v>
      </c>
      <c r="G93" s="22" t="s">
        <v>180</v>
      </c>
      <c r="H93" s="23" t="s">
        <v>63</v>
      </c>
    </row>
    <row r="94" spans="1:8" x14ac:dyDescent="0.35">
      <c r="A94" s="23" t="s">
        <v>707</v>
      </c>
      <c r="B94" s="24">
        <f>SUMIF('Raw TB 1025'!$B:$B,'TB 1025'!$A94,'Raw TB 1025'!C:C)</f>
        <v>-37800</v>
      </c>
      <c r="C94" s="24">
        <f>SUMIF('Raw TB 1025'!$B:$B,'TB 1025'!$A94,'Raw TB 1025'!D:D)</f>
        <v>0</v>
      </c>
      <c r="D94" s="24">
        <f>SUMIF('Raw TB 1025'!$B:$B,'TB 1025'!$A94,'Raw TB 1025'!E:E)</f>
        <v>0</v>
      </c>
      <c r="E94" s="24">
        <f>SUMIF('Raw TB 1025'!$B:$B,'TB 1025'!$A94,'Raw TB 1025'!F:F)</f>
        <v>-37800</v>
      </c>
      <c r="F94" s="24">
        <f t="shared" si="3"/>
        <v>-37.799999999999997</v>
      </c>
      <c r="G94" s="22" t="s">
        <v>180</v>
      </c>
      <c r="H94" s="23" t="s">
        <v>63</v>
      </c>
    </row>
    <row r="95" spans="1:8" x14ac:dyDescent="0.35">
      <c r="A95" s="23" t="s">
        <v>593</v>
      </c>
      <c r="B95" s="24">
        <f>SUMIF('Raw TB 1025'!$B:$B,'TB 1025'!$A95,'Raw TB 1025'!C:C)</f>
        <v>58903866.530000001</v>
      </c>
      <c r="C95" s="24">
        <f>SUMIF('Raw TB 1025'!$B:$B,'TB 1025'!$A95,'Raw TB 1025'!D:D)</f>
        <v>0</v>
      </c>
      <c r="D95" s="24">
        <f>SUMIF('Raw TB 1025'!$B:$B,'TB 1025'!$A95,'Raw TB 1025'!E:E)</f>
        <v>0</v>
      </c>
      <c r="E95" s="24">
        <f>SUMIF('Raw TB 1025'!$B:$B,'TB 1025'!$A95,'Raw TB 1025'!F:F)</f>
        <v>58903866.530000001</v>
      </c>
      <c r="F95" s="24">
        <f t="shared" si="3"/>
        <v>58903.866529999999</v>
      </c>
      <c r="G95" s="22" t="s">
        <v>180</v>
      </c>
      <c r="H95" s="23" t="s">
        <v>64</v>
      </c>
    </row>
    <row r="96" spans="1:8" x14ac:dyDescent="0.35">
      <c r="A96" s="23" t="s">
        <v>1260</v>
      </c>
      <c r="B96" s="24">
        <f>SUMIF('Raw TB 1025'!$B:$B,'TB 1025'!$A96,'Raw TB 1025'!C:C)</f>
        <v>0</v>
      </c>
      <c r="C96" s="24">
        <f>SUMIF('Raw TB 1025'!$B:$B,'TB 1025'!$A96,'Raw TB 1025'!D:D)</f>
        <v>0</v>
      </c>
      <c r="D96" s="24">
        <f>SUMIF('Raw TB 1025'!$B:$B,'TB 1025'!$A96,'Raw TB 1025'!E:E)</f>
        <v>1300809153</v>
      </c>
      <c r="E96" s="24">
        <f>SUMIF('Raw TB 1025'!$B:$B,'TB 1025'!$A96,'Raw TB 1025'!F:F)</f>
        <v>-1300809153</v>
      </c>
      <c r="F96" s="24">
        <f t="shared" si="3"/>
        <v>-1300809.1529999999</v>
      </c>
      <c r="G96" s="22" t="s">
        <v>180</v>
      </c>
      <c r="H96" s="23" t="s">
        <v>64</v>
      </c>
    </row>
    <row r="97" spans="1:8" x14ac:dyDescent="0.35">
      <c r="A97" s="23" t="s">
        <v>594</v>
      </c>
      <c r="B97" s="24">
        <f>SUMIF('Raw TB 1025'!$B:$B,'TB 1025'!$A97,'Raw TB 1025'!C:C)</f>
        <v>0</v>
      </c>
      <c r="C97" s="24">
        <f>SUMIF('Raw TB 1025'!$B:$B,'TB 1025'!$A97,'Raw TB 1025'!D:D)</f>
        <v>35241207</v>
      </c>
      <c r="D97" s="24">
        <f>SUMIF('Raw TB 1025'!$B:$B,'TB 1025'!$A97,'Raw TB 1025'!E:E)</f>
        <v>44549174</v>
      </c>
      <c r="E97" s="24">
        <f>SUMIF('Raw TB 1025'!$B:$B,'TB 1025'!$A97,'Raw TB 1025'!F:F)</f>
        <v>-9307967</v>
      </c>
      <c r="F97" s="24">
        <f t="shared" si="3"/>
        <v>-9307.9670000000006</v>
      </c>
      <c r="G97" s="22" t="s">
        <v>184</v>
      </c>
      <c r="H97" s="23" t="s">
        <v>49</v>
      </c>
    </row>
    <row r="98" spans="1:8" x14ac:dyDescent="0.35">
      <c r="A98" s="23" t="s">
        <v>1363</v>
      </c>
      <c r="B98" s="24">
        <f>SUMIF('Raw TB 1025'!$B:$B,'TB 1025'!$A98,'Raw TB 1025'!C:C)</f>
        <v>0</v>
      </c>
      <c r="C98" s="24">
        <f>SUMIF('Raw TB 1025'!$B:$B,'TB 1025'!$A98,'Raw TB 1025'!D:D)</f>
        <v>0.16</v>
      </c>
      <c r="D98" s="24">
        <f>SUMIF('Raw TB 1025'!$B:$B,'TB 1025'!$A98,'Raw TB 1025'!E:E)</f>
        <v>1300618.6399999999</v>
      </c>
      <c r="E98" s="24">
        <f>SUMIF('Raw TB 1025'!$B:$B,'TB 1025'!$A98,'Raw TB 1025'!F:F)</f>
        <v>-1300618.48</v>
      </c>
      <c r="F98" s="24">
        <f t="shared" si="3"/>
        <v>-1300.6184800000001</v>
      </c>
      <c r="G98" s="22" t="s">
        <v>184</v>
      </c>
      <c r="H98" s="23" t="s">
        <v>49</v>
      </c>
    </row>
    <row r="99" spans="1:8" x14ac:dyDescent="0.35">
      <c r="A99" s="23" t="s">
        <v>408</v>
      </c>
      <c r="B99" s="24">
        <f>SUMIF('Raw TB 1025'!$B:$B,'TB 1025'!$A99,'Raw TB 1025'!C:C)</f>
        <v>0</v>
      </c>
      <c r="C99" s="24">
        <f>SUMIF('Raw TB 1025'!$B:$B,'TB 1025'!$A99,'Raw TB 1025'!D:D)</f>
        <v>100000</v>
      </c>
      <c r="D99" s="24">
        <f>SUMIF('Raw TB 1025'!$B:$B,'TB 1025'!$A99,'Raw TB 1025'!E:E)</f>
        <v>100000</v>
      </c>
      <c r="E99" s="24">
        <f>SUMIF('Raw TB 1025'!$B:$B,'TB 1025'!$A99,'Raw TB 1025'!F:F)</f>
        <v>0</v>
      </c>
      <c r="F99" s="24">
        <f t="shared" si="3"/>
        <v>0</v>
      </c>
      <c r="G99" s="22" t="s">
        <v>182</v>
      </c>
      <c r="H99" s="23" t="s">
        <v>41</v>
      </c>
    </row>
    <row r="100" spans="1:8" x14ac:dyDescent="0.35">
      <c r="A100" s="23" t="s">
        <v>595</v>
      </c>
      <c r="B100" s="24">
        <f>SUMIF('Raw TB 1025'!$B:$B,'TB 1025'!$A100,'Raw TB 1025'!C:C)</f>
        <v>0</v>
      </c>
      <c r="C100" s="24">
        <f>SUMIF('Raw TB 1025'!$B:$B,'TB 1025'!$A100,'Raw TB 1025'!D:D)</f>
        <v>19440.439999999999</v>
      </c>
      <c r="D100" s="24">
        <f>SUMIF('Raw TB 1025'!$B:$B,'TB 1025'!$A100,'Raw TB 1025'!E:E)</f>
        <v>0</v>
      </c>
      <c r="E100" s="24">
        <f>SUMIF('Raw TB 1025'!$B:$B,'TB 1025'!$A100,'Raw TB 1025'!F:F)</f>
        <v>19440.439999999999</v>
      </c>
      <c r="F100" s="24">
        <f t="shared" si="3"/>
        <v>19.440439999999999</v>
      </c>
      <c r="G100" s="22" t="s">
        <v>182</v>
      </c>
      <c r="H100" s="23" t="s">
        <v>43</v>
      </c>
    </row>
    <row r="101" spans="1:8" x14ac:dyDescent="0.35">
      <c r="A101" s="23" t="s">
        <v>38</v>
      </c>
      <c r="B101" s="24">
        <f>SUMIF('Raw TB 1025'!$B:$B,'TB 1025'!$A101,'Raw TB 1025'!C:C)</f>
        <v>0</v>
      </c>
      <c r="C101" s="24">
        <f>SUMIF('Raw TB 1025'!$B:$B,'TB 1025'!$A101,'Raw TB 1025'!D:D)</f>
        <v>21299999.559999999</v>
      </c>
      <c r="D101" s="24">
        <f>SUMIF('Raw TB 1025'!$B:$B,'TB 1025'!$A101,'Raw TB 1025'!E:E)</f>
        <v>8000000</v>
      </c>
      <c r="E101" s="24">
        <f>SUMIF('Raw TB 1025'!$B:$B,'TB 1025'!$A101,'Raw TB 1025'!F:F)</f>
        <v>13299999.560000001</v>
      </c>
      <c r="F101" s="24">
        <f t="shared" si="3"/>
        <v>13299.99956</v>
      </c>
      <c r="G101" s="22" t="s">
        <v>182</v>
      </c>
      <c r="H101" s="23" t="s">
        <v>38</v>
      </c>
    </row>
    <row r="102" spans="1:8" x14ac:dyDescent="0.35">
      <c r="A102" s="23" t="s">
        <v>409</v>
      </c>
      <c r="B102" s="24">
        <f>SUMIF('Raw TB 1025'!$B:$B,'TB 1025'!$A102,'Raw TB 1025'!C:C)</f>
        <v>0</v>
      </c>
      <c r="C102" s="24">
        <f>SUMIF('Raw TB 1025'!$B:$B,'TB 1025'!$A102,'Raw TB 1025'!D:D)</f>
        <v>0</v>
      </c>
      <c r="D102" s="24">
        <f>SUMIF('Raw TB 1025'!$B:$B,'TB 1025'!$A102,'Raw TB 1025'!E:E)</f>
        <v>0</v>
      </c>
      <c r="E102" s="24">
        <f>SUMIF('Raw TB 1025'!$B:$B,'TB 1025'!$A102,'Raw TB 1025'!F:F)</f>
        <v>0</v>
      </c>
      <c r="F102" s="24">
        <f t="shared" si="3"/>
        <v>0</v>
      </c>
      <c r="G102" s="22" t="s">
        <v>182</v>
      </c>
      <c r="H102" s="23" t="s">
        <v>31</v>
      </c>
    </row>
    <row r="103" spans="1:8" x14ac:dyDescent="0.35">
      <c r="A103" s="23" t="s">
        <v>296</v>
      </c>
      <c r="B103" s="24">
        <f>SUMIF('Raw TB 1025'!$B:$B,'TB 1025'!$A103,'Raw TB 1025'!C:C)</f>
        <v>0</v>
      </c>
      <c r="C103" s="24">
        <f>SUMIF('Raw TB 1025'!$B:$B,'TB 1025'!$A103,'Raw TB 1025'!D:D)</f>
        <v>35677057.770000003</v>
      </c>
      <c r="D103" s="24">
        <f>SUMIF('Raw TB 1025'!$B:$B,'TB 1025'!$A103,'Raw TB 1025'!E:E)</f>
        <v>14113608.189999999</v>
      </c>
      <c r="E103" s="24">
        <f>SUMIF('Raw TB 1025'!$B:$B,'TB 1025'!$A103,'Raw TB 1025'!F:F)</f>
        <v>21563449.579999998</v>
      </c>
      <c r="F103" s="24">
        <f t="shared" si="3"/>
        <v>21563.449579999997</v>
      </c>
      <c r="G103" s="22" t="s">
        <v>182</v>
      </c>
      <c r="H103" s="23" t="s">
        <v>37</v>
      </c>
    </row>
    <row r="104" spans="1:8" x14ac:dyDescent="0.35">
      <c r="A104" s="23" t="s">
        <v>34</v>
      </c>
      <c r="B104" s="24">
        <f>SUMIF('Raw TB 1025'!$B:$B,'TB 1025'!$A104,'Raw TB 1025'!C:C)</f>
        <v>0</v>
      </c>
      <c r="C104" s="24">
        <f>SUMIF('Raw TB 1025'!$B:$B,'TB 1025'!$A104,'Raw TB 1025'!D:D)</f>
        <v>2301548.7400000002</v>
      </c>
      <c r="D104" s="24">
        <f>SUMIF('Raw TB 1025'!$B:$B,'TB 1025'!$A104,'Raw TB 1025'!E:E)</f>
        <v>728424.08</v>
      </c>
      <c r="E104" s="24">
        <f>SUMIF('Raw TB 1025'!$B:$B,'TB 1025'!$A104,'Raw TB 1025'!F:F)</f>
        <v>1573124.66</v>
      </c>
      <c r="F104" s="24">
        <f t="shared" si="3"/>
        <v>1573.1246599999999</v>
      </c>
      <c r="G104" s="22" t="s">
        <v>182</v>
      </c>
      <c r="H104" s="23" t="s">
        <v>34</v>
      </c>
    </row>
    <row r="105" spans="1:8" x14ac:dyDescent="0.35">
      <c r="A105" s="23" t="s">
        <v>596</v>
      </c>
      <c r="B105" s="24">
        <f>SUMIF('Raw TB 1025'!$B:$B,'TB 1025'!$A105,'Raw TB 1025'!C:C)</f>
        <v>0</v>
      </c>
      <c r="C105" s="24">
        <f>SUMIF('Raw TB 1025'!$B:$B,'TB 1025'!$A105,'Raw TB 1025'!D:D)</f>
        <v>856748.08</v>
      </c>
      <c r="D105" s="24">
        <f>SUMIF('Raw TB 1025'!$B:$B,'TB 1025'!$A105,'Raw TB 1025'!E:E)</f>
        <v>0</v>
      </c>
      <c r="E105" s="24">
        <f>SUMIF('Raw TB 1025'!$B:$B,'TB 1025'!$A105,'Raw TB 1025'!F:F)</f>
        <v>856748.08</v>
      </c>
      <c r="F105" s="24">
        <f t="shared" si="3"/>
        <v>856.74807999999996</v>
      </c>
      <c r="G105" s="22" t="s">
        <v>182</v>
      </c>
      <c r="H105" s="23" t="s">
        <v>48</v>
      </c>
    </row>
    <row r="106" spans="1:8" x14ac:dyDescent="0.35">
      <c r="A106" s="23" t="s">
        <v>109</v>
      </c>
      <c r="B106" s="24">
        <f>SUMIF('Raw TB 1025'!$B:$B,'TB 1025'!$A106,'Raw TB 1025'!C:C)</f>
        <v>0</v>
      </c>
      <c r="C106" s="24">
        <f>SUMIF('Raw TB 1025'!$B:$B,'TB 1025'!$A106,'Raw TB 1025'!D:D)</f>
        <v>465940</v>
      </c>
      <c r="D106" s="24">
        <f>SUMIF('Raw TB 1025'!$B:$B,'TB 1025'!$A106,'Raw TB 1025'!E:E)</f>
        <v>0</v>
      </c>
      <c r="E106" s="24">
        <f>SUMIF('Raw TB 1025'!$B:$B,'TB 1025'!$A106,'Raw TB 1025'!F:F)</f>
        <v>465940</v>
      </c>
      <c r="F106" s="24">
        <f t="shared" si="3"/>
        <v>465.94</v>
      </c>
      <c r="G106" s="22" t="s">
        <v>182</v>
      </c>
    </row>
    <row r="107" spans="1:8" x14ac:dyDescent="0.35">
      <c r="A107" s="23" t="s">
        <v>597</v>
      </c>
      <c r="B107" s="24">
        <f>SUMIF('Raw TB 1025'!$B:$B,'TB 1025'!$A107,'Raw TB 1025'!C:C)</f>
        <v>0</v>
      </c>
      <c r="C107" s="24">
        <f>SUMIF('Raw TB 1025'!$B:$B,'TB 1025'!$A107,'Raw TB 1025'!D:D)</f>
        <v>38564.800000000003</v>
      </c>
      <c r="D107" s="24">
        <f>SUMIF('Raw TB 1025'!$B:$B,'TB 1025'!$A107,'Raw TB 1025'!E:E)</f>
        <v>0</v>
      </c>
      <c r="E107" s="24">
        <f>SUMIF('Raw TB 1025'!$B:$B,'TB 1025'!$A107,'Raw TB 1025'!F:F)</f>
        <v>38564.800000000003</v>
      </c>
      <c r="F107" s="24">
        <f t="shared" si="3"/>
        <v>38.564800000000005</v>
      </c>
      <c r="G107" s="22" t="s">
        <v>182</v>
      </c>
      <c r="H107" s="23" t="s">
        <v>417</v>
      </c>
    </row>
    <row r="108" spans="1:8" x14ac:dyDescent="0.35">
      <c r="A108" s="23" t="s">
        <v>598</v>
      </c>
      <c r="B108" s="24">
        <f>SUMIF('Raw TB 1025'!$B:$B,'TB 1025'!$A108,'Raw TB 1025'!C:C)</f>
        <v>0</v>
      </c>
      <c r="C108" s="24">
        <f>SUMIF('Raw TB 1025'!$B:$B,'TB 1025'!$A108,'Raw TB 1025'!D:D)</f>
        <v>4338626.63</v>
      </c>
      <c r="D108" s="24">
        <f>SUMIF('Raw TB 1025'!$B:$B,'TB 1025'!$A108,'Raw TB 1025'!E:E)</f>
        <v>1941168.17</v>
      </c>
      <c r="E108" s="24">
        <f>SUMIF('Raw TB 1025'!$B:$B,'TB 1025'!$A108,'Raw TB 1025'!F:F)</f>
        <v>2397458.46</v>
      </c>
      <c r="F108" s="24">
        <f t="shared" si="3"/>
        <v>2397.4584599999998</v>
      </c>
      <c r="G108" s="22" t="s">
        <v>182</v>
      </c>
      <c r="H108" s="23" t="s">
        <v>417</v>
      </c>
    </row>
    <row r="109" spans="1:8" x14ac:dyDescent="0.35">
      <c r="A109" s="23" t="s">
        <v>599</v>
      </c>
      <c r="B109" s="24">
        <f>SUMIF('Raw TB 1025'!$B:$B,'TB 1025'!$A109,'Raw TB 1025'!C:C)</f>
        <v>0</v>
      </c>
      <c r="C109" s="24">
        <f>SUMIF('Raw TB 1025'!$B:$B,'TB 1025'!$A109,'Raw TB 1025'!D:D)</f>
        <v>468749</v>
      </c>
      <c r="D109" s="24">
        <f>SUMIF('Raw TB 1025'!$B:$B,'TB 1025'!$A109,'Raw TB 1025'!E:E)</f>
        <v>0</v>
      </c>
      <c r="E109" s="24">
        <f>SUMIF('Raw TB 1025'!$B:$B,'TB 1025'!$A109,'Raw TB 1025'!F:F)</f>
        <v>468749</v>
      </c>
      <c r="F109" s="24">
        <f t="shared" si="3"/>
        <v>468.74900000000002</v>
      </c>
      <c r="G109" s="22" t="s">
        <v>182</v>
      </c>
      <c r="H109" s="23" t="s">
        <v>417</v>
      </c>
    </row>
    <row r="110" spans="1:8" x14ac:dyDescent="0.35">
      <c r="A110" s="23" t="s">
        <v>417</v>
      </c>
      <c r="B110" s="24">
        <f>SUMIF('Raw TB 1025'!$B:$B,'TB 1025'!$A110,'Raw TB 1025'!C:C)</f>
        <v>0</v>
      </c>
      <c r="C110" s="24">
        <f>SUMIF('Raw TB 1025'!$B:$B,'TB 1025'!$A110,'Raw TB 1025'!D:D)</f>
        <v>2000</v>
      </c>
      <c r="D110" s="24">
        <f>SUMIF('Raw TB 1025'!$B:$B,'TB 1025'!$A110,'Raw TB 1025'!E:E)</f>
        <v>0</v>
      </c>
      <c r="E110" s="24">
        <f>SUMIF('Raw TB 1025'!$B:$B,'TB 1025'!$A110,'Raw TB 1025'!F:F)</f>
        <v>2000</v>
      </c>
      <c r="F110" s="24">
        <f t="shared" si="3"/>
        <v>2</v>
      </c>
      <c r="G110" s="22" t="s">
        <v>182</v>
      </c>
      <c r="H110" s="23" t="s">
        <v>417</v>
      </c>
    </row>
    <row r="111" spans="1:8" x14ac:dyDescent="0.35">
      <c r="A111" s="23" t="s">
        <v>759</v>
      </c>
      <c r="B111" s="24">
        <f>SUMIF('Raw TB 1025'!$B:$B,'TB 1025'!$A111,'Raw TB 1025'!C:C)</f>
        <v>0</v>
      </c>
      <c r="C111" s="24">
        <f>SUMIF('Raw TB 1025'!$B:$B,'TB 1025'!$A111,'Raw TB 1025'!D:D)</f>
        <v>45650</v>
      </c>
      <c r="D111" s="24">
        <f>SUMIF('Raw TB 1025'!$B:$B,'TB 1025'!$A111,'Raw TB 1025'!E:E)</f>
        <v>0</v>
      </c>
      <c r="E111" s="24">
        <f>SUMIF('Raw TB 1025'!$B:$B,'TB 1025'!$A111,'Raw TB 1025'!F:F)</f>
        <v>45650</v>
      </c>
      <c r="F111" s="24">
        <f t="shared" si="3"/>
        <v>45.65</v>
      </c>
      <c r="G111" s="22" t="s">
        <v>182</v>
      </c>
      <c r="H111" s="23" t="s">
        <v>26</v>
      </c>
    </row>
    <row r="112" spans="1:8" x14ac:dyDescent="0.35">
      <c r="A112" s="23" t="s">
        <v>778</v>
      </c>
      <c r="B112" s="24">
        <f>SUMIF('Raw TB 1025'!$B:$B,'TB 1025'!$A112,'Raw TB 1025'!C:C)</f>
        <v>0</v>
      </c>
      <c r="C112" s="24">
        <f>SUMIF('Raw TB 1025'!$B:$B,'TB 1025'!$A112,'Raw TB 1025'!D:D)</f>
        <v>103918.98</v>
      </c>
      <c r="D112" s="24">
        <f>SUMIF('Raw TB 1025'!$B:$B,'TB 1025'!$A112,'Raw TB 1025'!E:E)</f>
        <v>0</v>
      </c>
      <c r="E112" s="24">
        <f>SUMIF('Raw TB 1025'!$B:$B,'TB 1025'!$A112,'Raw TB 1025'!F:F)</f>
        <v>103918.98</v>
      </c>
      <c r="F112" s="24">
        <f t="shared" si="3"/>
        <v>103.91897999999999</v>
      </c>
      <c r="G112" s="22" t="s">
        <v>182</v>
      </c>
      <c r="H112" s="23" t="s">
        <v>26</v>
      </c>
    </row>
    <row r="113" spans="1:8" x14ac:dyDescent="0.35">
      <c r="A113" s="23" t="s">
        <v>1262</v>
      </c>
      <c r="B113" s="24">
        <f>SUMIF('Raw TB 1025'!$B:$B,'TB 1025'!$A113,'Raw TB 1025'!C:C)</f>
        <v>0</v>
      </c>
      <c r="C113" s="24">
        <f>SUMIF('Raw TB 1025'!$B:$B,'TB 1025'!$A113,'Raw TB 1025'!D:D)</f>
        <v>0</v>
      </c>
      <c r="D113" s="24">
        <f>SUMIF('Raw TB 1025'!$B:$B,'TB 1025'!$A113,'Raw TB 1025'!E:E)</f>
        <v>2409.84</v>
      </c>
      <c r="E113" s="24">
        <f>SUMIF('Raw TB 1025'!$B:$B,'TB 1025'!$A113,'Raw TB 1025'!F:F)</f>
        <v>-2409.84</v>
      </c>
      <c r="F113" s="24">
        <f t="shared" si="3"/>
        <v>-2.40984</v>
      </c>
      <c r="G113" s="22" t="s">
        <v>184</v>
      </c>
      <c r="H113" s="23" t="s">
        <v>43</v>
      </c>
    </row>
    <row r="114" spans="1:8" x14ac:dyDescent="0.35">
      <c r="A114" s="23" t="s">
        <v>864</v>
      </c>
      <c r="B114" s="24">
        <f>SUMIF('Raw TB 1025'!$B:$B,'TB 1025'!$A114,'Raw TB 1025'!C:C)</f>
        <v>0</v>
      </c>
      <c r="C114" s="24">
        <f>SUMIF('Raw TB 1025'!$B:$B,'TB 1025'!$A114,'Raw TB 1025'!D:D)</f>
        <v>662500</v>
      </c>
      <c r="D114" s="24">
        <f>SUMIF('Raw TB 1025'!$B:$B,'TB 1025'!$A114,'Raw TB 1025'!E:E)</f>
        <v>0</v>
      </c>
      <c r="E114" s="24">
        <f>SUMIF('Raw TB 1025'!$B:$B,'TB 1025'!$A114,'Raw TB 1025'!F:F)</f>
        <v>662500</v>
      </c>
      <c r="F114" s="24">
        <f t="shared" si="3"/>
        <v>662.5</v>
      </c>
      <c r="G114" s="22" t="s">
        <v>182</v>
      </c>
      <c r="H114" s="23" t="s">
        <v>958</v>
      </c>
    </row>
    <row r="115" spans="1:8" x14ac:dyDescent="0.35">
      <c r="A115" s="23" t="s">
        <v>32</v>
      </c>
      <c r="B115" s="24">
        <f>SUMIF('Raw TB 1025'!$B:$B,'TB 1025'!$A115,'Raw TB 1025'!C:C)</f>
        <v>0</v>
      </c>
      <c r="C115" s="24">
        <f>SUMIF('Raw TB 1025'!$B:$B,'TB 1025'!$A115,'Raw TB 1025'!D:D)</f>
        <v>8617213.1199999992</v>
      </c>
      <c r="D115" s="24">
        <f>SUMIF('Raw TB 1025'!$B:$B,'TB 1025'!$A115,'Raw TB 1025'!E:E)</f>
        <v>4180572.59</v>
      </c>
      <c r="E115" s="24">
        <f>SUMIF('Raw TB 1025'!$B:$B,'TB 1025'!$A115,'Raw TB 1025'!F:F)</f>
        <v>4436640.53</v>
      </c>
      <c r="F115" s="24">
        <f t="shared" si="3"/>
        <v>4436.6405300000006</v>
      </c>
      <c r="G115" s="22" t="s">
        <v>182</v>
      </c>
      <c r="H115" s="23" t="s">
        <v>32</v>
      </c>
    </row>
    <row r="116" spans="1:8" x14ac:dyDescent="0.35">
      <c r="A116" s="23" t="s">
        <v>602</v>
      </c>
      <c r="B116" s="24">
        <f>SUMIF('Raw TB 1025'!$B:$B,'TB 1025'!$A116,'Raw TB 1025'!C:C)</f>
        <v>0</v>
      </c>
      <c r="C116" s="24">
        <f>SUMIF('Raw TB 1025'!$B:$B,'TB 1025'!$A116,'Raw TB 1025'!D:D)</f>
        <v>44216.42</v>
      </c>
      <c r="D116" s="24">
        <f>SUMIF('Raw TB 1025'!$B:$B,'TB 1025'!$A116,'Raw TB 1025'!E:E)</f>
        <v>150000</v>
      </c>
      <c r="E116" s="24">
        <f>SUMIF('Raw TB 1025'!$B:$B,'TB 1025'!$A116,'Raw TB 1025'!F:F)</f>
        <v>-105783.58</v>
      </c>
      <c r="F116" s="24">
        <f t="shared" si="3"/>
        <v>-105.78358</v>
      </c>
      <c r="G116" s="22" t="s">
        <v>182</v>
      </c>
      <c r="H116" s="23" t="s">
        <v>42</v>
      </c>
    </row>
    <row r="117" spans="1:8" x14ac:dyDescent="0.35">
      <c r="A117" s="23" t="s">
        <v>603</v>
      </c>
      <c r="B117" s="24">
        <f>SUMIF('Raw TB 1025'!$B:$B,'TB 1025'!$A117,'Raw TB 1025'!C:C)</f>
        <v>0</v>
      </c>
      <c r="C117" s="24">
        <f>SUMIF('Raw TB 1025'!$B:$B,'TB 1025'!$A117,'Raw TB 1025'!D:D)</f>
        <v>1712813</v>
      </c>
      <c r="D117" s="24">
        <f>SUMIF('Raw TB 1025'!$B:$B,'TB 1025'!$A117,'Raw TB 1025'!E:E)</f>
        <v>0</v>
      </c>
      <c r="E117" s="24">
        <f>SUMIF('Raw TB 1025'!$B:$B,'TB 1025'!$A117,'Raw TB 1025'!F:F)</f>
        <v>1712813</v>
      </c>
      <c r="F117" s="24">
        <f t="shared" si="3"/>
        <v>1712.8130000000001</v>
      </c>
      <c r="G117" s="22" t="s">
        <v>182</v>
      </c>
      <c r="H117" s="23" t="s">
        <v>42</v>
      </c>
    </row>
    <row r="118" spans="1:8" x14ac:dyDescent="0.35">
      <c r="A118" s="23" t="s">
        <v>957</v>
      </c>
      <c r="B118" s="24">
        <f>SUMIF('Raw TB 1025'!$B:$B,'TB 1025'!$A118,'Raw TB 1025'!C:C)</f>
        <v>0</v>
      </c>
      <c r="C118" s="24">
        <f>SUMIF('Raw TB 1025'!$B:$B,'TB 1025'!$A118,'Raw TB 1025'!D:D)</f>
        <v>814637.38</v>
      </c>
      <c r="D118" s="24">
        <f>SUMIF('Raw TB 1025'!$B:$B,'TB 1025'!$A118,'Raw TB 1025'!E:E)</f>
        <v>440000</v>
      </c>
      <c r="E118" s="24">
        <f>SUMIF('Raw TB 1025'!$B:$B,'TB 1025'!$A118,'Raw TB 1025'!F:F)</f>
        <v>374637.38</v>
      </c>
      <c r="F118" s="24">
        <f t="shared" si="3"/>
        <v>374.63738000000001</v>
      </c>
      <c r="G118" s="22" t="s">
        <v>182</v>
      </c>
      <c r="H118" s="23" t="s">
        <v>958</v>
      </c>
    </row>
    <row r="119" spans="1:8" x14ac:dyDescent="0.35">
      <c r="A119" s="23" t="s">
        <v>604</v>
      </c>
      <c r="B119" s="24">
        <f>SUMIF('Raw TB 1025'!$B:$B,'TB 1025'!$A119,'Raw TB 1025'!C:C)</f>
        <v>0</v>
      </c>
      <c r="C119" s="24">
        <f>SUMIF('Raw TB 1025'!$B:$B,'TB 1025'!$A119,'Raw TB 1025'!D:D)</f>
        <v>40895.51</v>
      </c>
      <c r="D119" s="24">
        <f>SUMIF('Raw TB 1025'!$B:$B,'TB 1025'!$A119,'Raw TB 1025'!E:E)</f>
        <v>289.97000000000003</v>
      </c>
      <c r="E119" s="24">
        <f>SUMIF('Raw TB 1025'!$B:$B,'TB 1025'!$A119,'Raw TB 1025'!F:F)</f>
        <v>40605.54</v>
      </c>
      <c r="F119" s="24">
        <f t="shared" si="3"/>
        <v>40.605539999999998</v>
      </c>
      <c r="G119" s="22" t="s">
        <v>182</v>
      </c>
      <c r="H119" s="23" t="s">
        <v>43</v>
      </c>
    </row>
    <row r="120" spans="1:8" x14ac:dyDescent="0.35">
      <c r="A120" s="23" t="s">
        <v>605</v>
      </c>
      <c r="B120" s="24">
        <f>SUMIF('Raw TB 1025'!$B:$B,'TB 1025'!$A120,'Raw TB 1025'!C:C)</f>
        <v>0</v>
      </c>
      <c r="C120" s="24">
        <f>SUMIF('Raw TB 1025'!$B:$B,'TB 1025'!$A120,'Raw TB 1025'!D:D)</f>
        <v>521.16</v>
      </c>
      <c r="D120" s="24">
        <f>SUMIF('Raw TB 1025'!$B:$B,'TB 1025'!$A120,'Raw TB 1025'!E:E)</f>
        <v>5.64</v>
      </c>
      <c r="E120" s="24">
        <f>SUMIF('Raw TB 1025'!$B:$B,'TB 1025'!$A120,'Raw TB 1025'!F:F)</f>
        <v>515.52</v>
      </c>
      <c r="F120" s="24">
        <f t="shared" si="3"/>
        <v>0.51551999999999998</v>
      </c>
      <c r="G120" s="22" t="s">
        <v>182</v>
      </c>
      <c r="H120" s="23" t="s">
        <v>43</v>
      </c>
    </row>
    <row r="121" spans="1:8" x14ac:dyDescent="0.35">
      <c r="A121" s="23" t="s">
        <v>41</v>
      </c>
      <c r="B121" s="24">
        <f>SUMIF('Raw TB 1025'!$B:$B,'TB 1025'!$A121,'Raw TB 1025'!C:C)</f>
        <v>0</v>
      </c>
      <c r="C121" s="24">
        <f>SUMIF('Raw TB 1025'!$B:$B,'TB 1025'!$A121,'Raw TB 1025'!D:D)</f>
        <v>1258350</v>
      </c>
      <c r="D121" s="24">
        <f>SUMIF('Raw TB 1025'!$B:$B,'TB 1025'!$A121,'Raw TB 1025'!E:E)</f>
        <v>0</v>
      </c>
      <c r="E121" s="24">
        <f>SUMIF('Raw TB 1025'!$B:$B,'TB 1025'!$A121,'Raw TB 1025'!F:F)</f>
        <v>1258350</v>
      </c>
      <c r="F121" s="24">
        <f t="shared" si="3"/>
        <v>1258.3499999999999</v>
      </c>
      <c r="G121" s="22" t="s">
        <v>182</v>
      </c>
      <c r="H121" s="23" t="s">
        <v>41</v>
      </c>
    </row>
    <row r="122" spans="1:8" x14ac:dyDescent="0.35">
      <c r="A122" s="23" t="s">
        <v>606</v>
      </c>
      <c r="B122" s="24">
        <f>SUMIF('Raw TB 1025'!$B:$B,'TB 1025'!$A122,'Raw TB 1025'!C:C)</f>
        <v>0</v>
      </c>
      <c r="C122" s="24">
        <f>SUMIF('Raw TB 1025'!$B:$B,'TB 1025'!$A122,'Raw TB 1025'!D:D)</f>
        <v>24370.799999999999</v>
      </c>
      <c r="D122" s="24">
        <f>SUMIF('Raw TB 1025'!$B:$B,'TB 1025'!$A122,'Raw TB 1025'!E:E)</f>
        <v>0</v>
      </c>
      <c r="E122" s="24">
        <f>SUMIF('Raw TB 1025'!$B:$B,'TB 1025'!$A122,'Raw TB 1025'!F:F)</f>
        <v>24370.799999999999</v>
      </c>
      <c r="F122" s="24">
        <f t="shared" si="3"/>
        <v>24.370799999999999</v>
      </c>
      <c r="G122" s="22" t="s">
        <v>182</v>
      </c>
      <c r="H122" s="23" t="s">
        <v>43</v>
      </c>
    </row>
    <row r="123" spans="1:8" x14ac:dyDescent="0.35">
      <c r="A123" s="23" t="s">
        <v>239</v>
      </c>
      <c r="B123" s="24">
        <f>SUMIF('Raw TB 1025'!$B:$B,'TB 1025'!$A123,'Raw TB 1025'!C:C)</f>
        <v>0</v>
      </c>
      <c r="C123" s="24">
        <f>SUMIF('Raw TB 1025'!$B:$B,'TB 1025'!$A123,'Raw TB 1025'!D:D)</f>
        <v>759492</v>
      </c>
      <c r="D123" s="24">
        <f>SUMIF('Raw TB 1025'!$B:$B,'TB 1025'!$A123,'Raw TB 1025'!E:E)</f>
        <v>611550</v>
      </c>
      <c r="E123" s="24">
        <f>SUMIF('Raw TB 1025'!$B:$B,'TB 1025'!$A123,'Raw TB 1025'!F:F)</f>
        <v>147942</v>
      </c>
      <c r="F123" s="24">
        <f t="shared" si="3"/>
        <v>147.94200000000001</v>
      </c>
      <c r="G123" s="22" t="s">
        <v>182</v>
      </c>
      <c r="H123" s="23" t="s">
        <v>263</v>
      </c>
    </row>
    <row r="124" spans="1:8" x14ac:dyDescent="0.35">
      <c r="A124" s="23" t="s">
        <v>607</v>
      </c>
      <c r="B124" s="24">
        <f>SUMIF('Raw TB 1025'!$B:$B,'TB 1025'!$A124,'Raw TB 1025'!C:C)</f>
        <v>0</v>
      </c>
      <c r="C124" s="24">
        <f>SUMIF('Raw TB 1025'!$B:$B,'TB 1025'!$A124,'Raw TB 1025'!D:D)</f>
        <v>34897040.640000001</v>
      </c>
      <c r="D124" s="24">
        <f>SUMIF('Raw TB 1025'!$B:$B,'TB 1025'!$A124,'Raw TB 1025'!E:E)</f>
        <v>122937.51</v>
      </c>
      <c r="E124" s="24">
        <f>SUMIF('Raw TB 1025'!$B:$B,'TB 1025'!$A124,'Raw TB 1025'!F:F)</f>
        <v>34774103.130000003</v>
      </c>
      <c r="F124" s="24">
        <f t="shared" si="3"/>
        <v>34774.103130000003</v>
      </c>
      <c r="G124" s="22" t="s">
        <v>182</v>
      </c>
    </row>
    <row r="125" spans="1:8" x14ac:dyDescent="0.35">
      <c r="A125" s="23" t="s">
        <v>26</v>
      </c>
      <c r="B125" s="24">
        <f>SUMIF('Raw TB 1025'!$B:$B,'TB 1025'!$A125,'Raw TB 1025'!C:C)</f>
        <v>0</v>
      </c>
      <c r="C125" s="24">
        <f>SUMIF('Raw TB 1025'!$B:$B,'TB 1025'!$A125,'Raw TB 1025'!D:D)+6844750</f>
        <v>80297030.459999993</v>
      </c>
      <c r="D125" s="24">
        <f>SUMIF('Raw TB 1025'!$B:$B,'TB 1025'!$A125,'Raw TB 1025'!E:E)</f>
        <v>0</v>
      </c>
      <c r="E125" s="24">
        <f>SUMIF('Raw TB 1025'!$B:$B,'TB 1025'!$A125,'Raw TB 1025'!F:F)+6844750</f>
        <v>80297030.459999993</v>
      </c>
      <c r="F125" s="24">
        <f t="shared" si="3"/>
        <v>80297.030459999994</v>
      </c>
      <c r="G125" s="22" t="s">
        <v>182</v>
      </c>
      <c r="H125" s="23" t="s">
        <v>26</v>
      </c>
    </row>
    <row r="126" spans="1:8" x14ac:dyDescent="0.35">
      <c r="A126" s="23" t="s">
        <v>608</v>
      </c>
      <c r="B126" s="24">
        <f>SUMIF('Raw TB 1025'!$B:$B,'TB 1025'!$A126,'Raw TB 1025'!C:C)</f>
        <v>0</v>
      </c>
      <c r="C126" s="24">
        <f>SUMIF('Raw TB 1025'!$B:$B,'TB 1025'!$A126,'Raw TB 1025'!D:D)</f>
        <v>4236486.8499999996</v>
      </c>
      <c r="D126" s="24">
        <f>SUMIF('Raw TB 1025'!$B:$B,'TB 1025'!$A126,'Raw TB 1025'!E:E)</f>
        <v>265471.92</v>
      </c>
      <c r="E126" s="24">
        <f>SUMIF('Raw TB 1025'!$B:$B,'TB 1025'!$A126,'Raw TB 1025'!F:F)</f>
        <v>3971014.93</v>
      </c>
      <c r="F126" s="24">
        <f t="shared" si="3"/>
        <v>3971.0149300000003</v>
      </c>
      <c r="G126" s="22" t="s">
        <v>182</v>
      </c>
      <c r="H126" s="23" t="s">
        <v>39</v>
      </c>
    </row>
    <row r="127" spans="1:8" x14ac:dyDescent="0.35">
      <c r="A127" s="23" t="s">
        <v>609</v>
      </c>
      <c r="B127" s="24">
        <f>SUMIF('Raw TB 1025'!$B:$B,'TB 1025'!$A127,'Raw TB 1025'!C:C)</f>
        <v>0</v>
      </c>
      <c r="C127" s="24">
        <f>SUMIF('Raw TB 1025'!$B:$B,'TB 1025'!$A127,'Raw TB 1025'!D:D)</f>
        <v>19963173.399999999</v>
      </c>
      <c r="D127" s="24">
        <f>SUMIF('Raw TB 1025'!$B:$B,'TB 1025'!$A127,'Raw TB 1025'!E:E)</f>
        <v>7288519.8399999999</v>
      </c>
      <c r="E127" s="24">
        <f>SUMIF('Raw TB 1025'!$B:$B,'TB 1025'!$A127,'Raw TB 1025'!F:F)</f>
        <v>12674653.559999999</v>
      </c>
      <c r="F127" s="24">
        <f t="shared" si="3"/>
        <v>12674.653559999999</v>
      </c>
      <c r="G127" s="22" t="s">
        <v>182</v>
      </c>
      <c r="H127" s="23" t="s">
        <v>33</v>
      </c>
    </row>
    <row r="128" spans="1:8" x14ac:dyDescent="0.35">
      <c r="A128" s="23" t="s">
        <v>610</v>
      </c>
      <c r="B128" s="24">
        <f>SUMIF('Raw TB 1025'!$B:$B,'TB 1025'!$A128,'Raw TB 1025'!C:C)</f>
        <v>0</v>
      </c>
      <c r="C128" s="24">
        <f>SUMIF('Raw TB 1025'!$B:$B,'TB 1025'!$A128,'Raw TB 1025'!D:D)</f>
        <v>2431509.85</v>
      </c>
      <c r="D128" s="24">
        <f>SUMIF('Raw TB 1025'!$B:$B,'TB 1025'!$A128,'Raw TB 1025'!E:E)</f>
        <v>740011.18</v>
      </c>
      <c r="E128" s="24">
        <f>SUMIF('Raw TB 1025'!$B:$B,'TB 1025'!$A128,'Raw TB 1025'!F:F)</f>
        <v>1691498.67</v>
      </c>
      <c r="F128" s="24">
        <f t="shared" si="3"/>
        <v>1691.4986699999999</v>
      </c>
      <c r="G128" s="22" t="s">
        <v>182</v>
      </c>
      <c r="H128" s="23" t="s">
        <v>31</v>
      </c>
    </row>
    <row r="129" spans="1:10" x14ac:dyDescent="0.35">
      <c r="A129" s="23" t="s">
        <v>611</v>
      </c>
      <c r="B129" s="24">
        <f>SUMIF('Raw TB 1025'!$B:$B,'TB 1025'!$A129,'Raw TB 1025'!C:C)</f>
        <v>0</v>
      </c>
      <c r="C129" s="24">
        <f>SUMIF('Raw TB 1025'!$B:$B,'TB 1025'!$A129,'Raw TB 1025'!D:D)</f>
        <v>2115799</v>
      </c>
      <c r="D129" s="24">
        <f>SUMIF('Raw TB 1025'!$B:$B,'TB 1025'!$A129,'Raw TB 1025'!E:E)</f>
        <v>0</v>
      </c>
      <c r="E129" s="24">
        <f>SUMIF('Raw TB 1025'!$B:$B,'TB 1025'!$A129,'Raw TB 1025'!F:F)</f>
        <v>2115799</v>
      </c>
      <c r="F129" s="24">
        <f t="shared" si="3"/>
        <v>2115.799</v>
      </c>
      <c r="G129" s="22" t="s">
        <v>182</v>
      </c>
      <c r="H129" s="23" t="s">
        <v>31</v>
      </c>
    </row>
    <row r="130" spans="1:10" x14ac:dyDescent="0.35">
      <c r="A130" s="175" t="s">
        <v>960</v>
      </c>
      <c r="B130" s="24">
        <f>SUMIF('Raw TB 1025'!$B:$B,'TB 1025'!$A130,'Raw TB 1025'!C:C)</f>
        <v>0</v>
      </c>
      <c r="C130" s="24">
        <f>SUMIF('Raw TB 1025'!$B:$B,'TB 1025'!$A130,'Raw TB 1025'!D:D)</f>
        <v>0</v>
      </c>
      <c r="D130" s="24">
        <f>SUMIF('Raw TB 1025'!$B:$B,'TB 1025'!$A130,'Raw TB 1025'!E:E)</f>
        <v>70000</v>
      </c>
      <c r="E130" s="24">
        <f>SUMIF('Raw TB 1025'!$B:$B,'TB 1025'!$A130,'Raw TB 1025'!F:F)</f>
        <v>-70000</v>
      </c>
      <c r="F130" s="24">
        <f t="shared" si="3"/>
        <v>-70</v>
      </c>
      <c r="G130" s="22" t="s">
        <v>180</v>
      </c>
      <c r="H130" s="23" t="s">
        <v>69</v>
      </c>
    </row>
    <row r="131" spans="1:10" x14ac:dyDescent="0.35">
      <c r="A131" s="23" t="s">
        <v>29</v>
      </c>
      <c r="B131" s="24">
        <f>SUMIF('Raw TB 1025'!$B:$B,'TB 1025'!$A131,'Raw TB 1025'!C:C)</f>
        <v>0</v>
      </c>
      <c r="C131" s="24">
        <f>SUMIF('Raw TB 1025'!$B:$B,'TB 1025'!$A131,'Raw TB 1025'!D:D)</f>
        <v>92656.11</v>
      </c>
      <c r="D131" s="24">
        <f>SUMIF('Raw TB 1025'!$B:$B,'TB 1025'!$A131,'Raw TB 1025'!E:E)</f>
        <v>0</v>
      </c>
      <c r="E131" s="24">
        <f>SUMIF('Raw TB 1025'!$B:$B,'TB 1025'!$A131,'Raw TB 1025'!F:F)</f>
        <v>92656.11</v>
      </c>
      <c r="F131" s="24">
        <f t="shared" si="3"/>
        <v>92.656109999999998</v>
      </c>
      <c r="G131" s="22" t="s">
        <v>182</v>
      </c>
      <c r="H131" s="23" t="s">
        <v>29</v>
      </c>
    </row>
    <row r="132" spans="1:10" x14ac:dyDescent="0.35">
      <c r="A132" s="175" t="s">
        <v>623</v>
      </c>
      <c r="B132" s="24">
        <f>SUMIF('Raw TB 1025'!$B:$B,'TB 1025'!$A132,'Raw TB 1025'!C:C)</f>
        <v>0</v>
      </c>
      <c r="C132" s="24">
        <f>SUMIF('Raw TB 1025'!$B:$B,'TB 1025'!$A132,'Raw TB 1025'!D:D)</f>
        <v>0</v>
      </c>
      <c r="D132" s="24">
        <f>SUMIF('Raw TB 1025'!$B:$B,'TB 1025'!$A132,'Raw TB 1025'!E:E)</f>
        <v>400000</v>
      </c>
      <c r="E132" s="24">
        <f>SUMIF('Raw TB 1025'!$B:$B,'TB 1025'!$A132,'Raw TB 1025'!F:F)</f>
        <v>-400000</v>
      </c>
      <c r="F132" s="24">
        <f t="shared" ref="F132" si="4">E132/10^3</f>
        <v>-400</v>
      </c>
      <c r="G132" s="22" t="s">
        <v>180</v>
      </c>
      <c r="H132" s="23" t="s">
        <v>69</v>
      </c>
    </row>
    <row r="133" spans="1:10" x14ac:dyDescent="0.35">
      <c r="A133" s="23" t="s">
        <v>1437</v>
      </c>
      <c r="B133" s="24">
        <f>SUMIF('Raw TB 1025'!$B:$B,'TB 1025'!$A133,'Raw TB 1025'!C:C)</f>
        <v>0</v>
      </c>
      <c r="C133" s="24">
        <f>SUMIF('Raw TB 1025'!$B:$B,'TB 1025'!$A133,'Raw TB 1025'!D:D)</f>
        <v>0</v>
      </c>
      <c r="D133" s="24">
        <f>SUMIF('Raw TB 1025'!$B:$B,'TB 1025'!$A133,'Raw TB 1025'!E:E)</f>
        <v>11060.84</v>
      </c>
      <c r="E133" s="24">
        <f>SUMIF('Raw TB 1025'!$B:$B,'TB 1025'!$A133,'Raw TB 1025'!F:F)</f>
        <v>-11060.84</v>
      </c>
      <c r="F133" s="24">
        <f t="shared" ref="F133:F136" si="5">E133/10^3</f>
        <v>-11.060840000000001</v>
      </c>
      <c r="G133" s="22" t="s">
        <v>184</v>
      </c>
      <c r="H133" s="23" t="s">
        <v>25</v>
      </c>
    </row>
    <row r="134" spans="1:10" x14ac:dyDescent="0.35">
      <c r="A134" s="23" t="s">
        <v>295</v>
      </c>
      <c r="B134" s="24">
        <f>SUMIF('Raw TB 1025'!$B:$B,'TB 1025'!$A134,'Raw TB 1025'!C:C)</f>
        <v>0</v>
      </c>
      <c r="C134" s="24">
        <f>SUMIF('Raw TB 1025'!$B:$B,'TB 1025'!$A134,'Raw TB 1025'!D:D)</f>
        <v>0</v>
      </c>
      <c r="D134" s="24">
        <f>SUMIF('Raw TB 1025'!$B:$B,'TB 1025'!$A134,'Raw TB 1025'!E:E)</f>
        <v>13215761</v>
      </c>
      <c r="E134" s="24">
        <f>SUMIF('Raw TB 1025'!$B:$B,'TB 1025'!$A134,'Raw TB 1025'!F:F)</f>
        <v>-13215761</v>
      </c>
      <c r="F134" s="24">
        <f t="shared" si="5"/>
        <v>-13215.761</v>
      </c>
      <c r="G134" s="22" t="s">
        <v>184</v>
      </c>
      <c r="H134" s="23" t="s">
        <v>25</v>
      </c>
    </row>
    <row r="135" spans="1:10" x14ac:dyDescent="0.35">
      <c r="A135" s="23" t="s">
        <v>316</v>
      </c>
      <c r="B135" s="24">
        <f>SUMIF('Raw TB 1025'!$B:$B,'TB 1025'!$A135,'Raw TB 1025'!C:C)</f>
        <v>0</v>
      </c>
      <c r="C135" s="24">
        <f>SUMIF('Raw TB 1025'!$B:$B,'TB 1025'!$A135,'Raw TB 1025'!D:D)</f>
        <v>40365207</v>
      </c>
      <c r="D135" s="24">
        <f>SUMIF('Raw TB 1025'!$B:$B,'TB 1025'!$A135,'Raw TB 1025'!E:E)</f>
        <v>0</v>
      </c>
      <c r="E135" s="24">
        <f>SUMIF('Raw TB 1025'!$B:$B,'TB 1025'!$A135,'Raw TB 1025'!F:F)</f>
        <v>40365207</v>
      </c>
      <c r="F135" s="24">
        <f t="shared" si="5"/>
        <v>40365.207000000002</v>
      </c>
      <c r="G135" s="22" t="s">
        <v>182</v>
      </c>
      <c r="I135" s="123">
        <v>23078731.1604761</v>
      </c>
      <c r="J135" s="206">
        <v>17286475.8395239</v>
      </c>
    </row>
    <row r="136" spans="1:10" x14ac:dyDescent="0.35">
      <c r="A136" s="23" t="s">
        <v>1405</v>
      </c>
      <c r="B136" s="24">
        <f>SUMIF('Raw TB 1025'!$B:$B,'TB 1025'!$A136,'Raw TB 1025'!C:C)</f>
        <v>0</v>
      </c>
      <c r="C136" s="24">
        <f>SUMIF('Raw TB 1025'!$B:$B,'TB 1025'!$A136,'Raw TB 1025'!D:D)</f>
        <v>0</v>
      </c>
      <c r="D136" s="24">
        <f>SUMIF('Raw TB 1025'!$B:$B,'TB 1025'!$A136,'Raw TB 1025'!E:E)</f>
        <v>2607729</v>
      </c>
      <c r="E136" s="24">
        <f>SUMIF('Raw TB 1025'!$B:$B,'TB 1025'!$A136,'Raw TB 1025'!F:F)</f>
        <v>-2607729</v>
      </c>
      <c r="F136" s="24">
        <f t="shared" si="5"/>
        <v>-2607.7289999999998</v>
      </c>
      <c r="G136" s="22" t="s">
        <v>184</v>
      </c>
      <c r="H136" s="23" t="s">
        <v>25</v>
      </c>
    </row>
    <row r="137" spans="1:10" x14ac:dyDescent="0.35">
      <c r="A137" s="175" t="s">
        <v>1406</v>
      </c>
      <c r="B137" s="24">
        <f>SUMIF('Raw TB 1025'!$B:$B,'TB 1025'!$A137,'Raw TB 1025'!C:C)</f>
        <v>0</v>
      </c>
      <c r="C137" s="24">
        <f>SUMIF('Raw TB 1025'!$B:$B,'TB 1025'!$A137,'Raw TB 1025'!D:D)</f>
        <v>0</v>
      </c>
      <c r="D137" s="24">
        <f>SUMIF('Raw TB 1025'!$B:$B,'TB 1025'!$A137,'Raw TB 1025'!E:E)</f>
        <v>1638718</v>
      </c>
      <c r="E137" s="24">
        <f>SUMIF('Raw TB 1025'!$B:$B,'TB 1025'!$A137,'Raw TB 1025'!F:F)</f>
        <v>-1638718</v>
      </c>
      <c r="F137" s="24">
        <f t="shared" ref="F137:F143" si="6">E137/10^3</f>
        <v>-1638.7180000000001</v>
      </c>
      <c r="G137" s="22" t="s">
        <v>184</v>
      </c>
      <c r="H137" s="23" t="s">
        <v>25</v>
      </c>
    </row>
    <row r="138" spans="1:10" x14ac:dyDescent="0.35">
      <c r="A138" s="23" t="s">
        <v>303</v>
      </c>
      <c r="B138" s="24">
        <f>SUMIF('Raw TB 1025'!$B:$B,'TB 1025'!$A138,'Raw TB 1025'!C:C)</f>
        <v>0</v>
      </c>
      <c r="C138" s="24">
        <f>SUMIF('Raw TB 1025'!$B:$B,'TB 1025'!$A138,'Raw TB 1025'!D:D)</f>
        <v>0</v>
      </c>
      <c r="D138" s="24">
        <f>SUMIF('Raw TB 1025'!$B:$B,'TB 1025'!$A138,'Raw TB 1025'!E:E)</f>
        <v>52863044</v>
      </c>
      <c r="E138" s="24">
        <f>SUMIF('Raw TB 1025'!$B:$B,'TB 1025'!$A138,'Raw TB 1025'!F:F)</f>
        <v>-52863044</v>
      </c>
      <c r="F138" s="24">
        <f t="shared" si="6"/>
        <v>-52863.044000000002</v>
      </c>
      <c r="G138" s="22" t="s">
        <v>184</v>
      </c>
      <c r="H138" s="23" t="s">
        <v>25</v>
      </c>
    </row>
    <row r="139" spans="1:10" x14ac:dyDescent="0.35">
      <c r="A139" s="23" t="s">
        <v>1332</v>
      </c>
      <c r="B139" s="24">
        <f>SUMIF('Raw TB 1025'!$B:$B,'TB 1025'!$A139,'Raw TB 1025'!C:C)</f>
        <v>0</v>
      </c>
      <c r="C139" s="24">
        <f>SUMIF('Raw TB 1025'!$B:$B,'TB 1025'!$A139,'Raw TB 1025'!D:D)</f>
        <v>4335491</v>
      </c>
      <c r="D139" s="24">
        <f>SUMIF('Raw TB 1025'!$B:$B,'TB 1025'!$A139,'Raw TB 1025'!E:E)</f>
        <v>4335491</v>
      </c>
      <c r="E139" s="24">
        <f>SUMIF('Raw TB 1025'!$B:$B,'TB 1025'!$A139,'Raw TB 1025'!F:F)</f>
        <v>0</v>
      </c>
      <c r="F139" s="24">
        <f t="shared" si="6"/>
        <v>0</v>
      </c>
      <c r="G139" s="22" t="s">
        <v>184</v>
      </c>
      <c r="H139" s="23" t="s">
        <v>25</v>
      </c>
    </row>
    <row r="140" spans="1:10" x14ac:dyDescent="0.35">
      <c r="A140" s="23" t="s">
        <v>1407</v>
      </c>
      <c r="B140" s="24">
        <f>SUMIF('Raw TB 1025'!$B:$B,'TB 1025'!$A140,'Raw TB 1025'!C:C)</f>
        <v>0</v>
      </c>
      <c r="C140" s="24">
        <f>SUMIF('Raw TB 1025'!$B:$B,'TB 1025'!$A140,'Raw TB 1025'!D:D)</f>
        <v>0</v>
      </c>
      <c r="D140" s="24">
        <f>SUMIF('Raw TB 1025'!$B:$B,'TB 1025'!$A140,'Raw TB 1025'!E:E)</f>
        <v>401161</v>
      </c>
      <c r="E140" s="24">
        <f>SUMIF('Raw TB 1025'!$B:$B,'TB 1025'!$A140,'Raw TB 1025'!F:F)</f>
        <v>-401161</v>
      </c>
      <c r="F140" s="24">
        <f t="shared" si="6"/>
        <v>-401.161</v>
      </c>
      <c r="G140" s="22" t="s">
        <v>184</v>
      </c>
      <c r="H140" s="23" t="s">
        <v>25</v>
      </c>
    </row>
    <row r="141" spans="1:10" x14ac:dyDescent="0.35">
      <c r="A141" s="23" t="s">
        <v>1477</v>
      </c>
      <c r="B141" s="24">
        <f>SUMIF('Raw TB 1025'!$B:$B,'TB 1025'!$A141,'Raw TB 1025'!C:C)</f>
        <v>0</v>
      </c>
      <c r="C141" s="24">
        <f>SUMIF('Raw TB 1025'!$B:$B,'TB 1025'!$A141,'Raw TB 1025'!D:D)</f>
        <v>0</v>
      </c>
      <c r="D141" s="24">
        <f>SUMIF('Raw TB 1025'!$B:$B,'TB 1025'!$A141,'Raw TB 1025'!E:E)</f>
        <v>31550</v>
      </c>
      <c r="E141" s="24">
        <f>SUMIF('Raw TB 1025'!$B:$B,'TB 1025'!$A141,'Raw TB 1025'!F:F)</f>
        <v>-31550</v>
      </c>
      <c r="F141" s="24">
        <f t="shared" si="6"/>
        <v>-31.55</v>
      </c>
      <c r="G141" s="22" t="s">
        <v>184</v>
      </c>
      <c r="H141" s="23" t="s">
        <v>25</v>
      </c>
    </row>
    <row r="142" spans="1:10" x14ac:dyDescent="0.35">
      <c r="A142" s="23" t="s">
        <v>1409</v>
      </c>
      <c r="B142" s="24">
        <f>SUMIF('Raw TB 1025'!$B:$B,'TB 1025'!$A142,'Raw TB 1025'!C:C)</f>
        <v>0</v>
      </c>
      <c r="C142" s="24">
        <f>SUMIF('Raw TB 1025'!$B:$B,'TB 1025'!$A142,'Raw TB 1025'!D:D)</f>
        <v>0</v>
      </c>
      <c r="D142" s="24">
        <f>SUMIF('Raw TB 1025'!$B:$B,'TB 1025'!$A142,'Raw TB 1025'!E:E)</f>
        <v>386030</v>
      </c>
      <c r="E142" s="24">
        <f>SUMIF('Raw TB 1025'!$B:$B,'TB 1025'!$A142,'Raw TB 1025'!F:F)</f>
        <v>-386030</v>
      </c>
      <c r="F142" s="24">
        <f t="shared" si="6"/>
        <v>-386.03</v>
      </c>
      <c r="G142" s="22" t="s">
        <v>184</v>
      </c>
      <c r="H142" s="23" t="s">
        <v>25</v>
      </c>
    </row>
    <row r="143" spans="1:10" x14ac:dyDescent="0.35">
      <c r="A143" s="23" t="s">
        <v>619</v>
      </c>
      <c r="B143" s="24">
        <f>SUMIF('Raw TB 1025'!$B:$B,'TB 1025'!$A143,'Raw TB 1025'!C:C)</f>
        <v>0</v>
      </c>
      <c r="C143" s="24">
        <f>SUMIF('Raw TB 1025'!$B:$B,'TB 1025'!$A143,'Raw TB 1025'!D:D)</f>
        <v>3741458</v>
      </c>
      <c r="D143" s="24">
        <f>SUMIF('Raw TB 1025'!$B:$B,'TB 1025'!$A143,'Raw TB 1025'!E:E)</f>
        <v>6537220</v>
      </c>
      <c r="E143" s="24">
        <f>SUMIF('Raw TB 1025'!$B:$B,'TB 1025'!$A143,'Raw TB 1025'!F:F)</f>
        <v>-2795762</v>
      </c>
      <c r="F143" s="24">
        <f t="shared" si="6"/>
        <v>-2795.7620000000002</v>
      </c>
      <c r="G143" s="22" t="s">
        <v>184</v>
      </c>
      <c r="H143" s="23" t="s">
        <v>61</v>
      </c>
    </row>
    <row r="144" spans="1:10" x14ac:dyDescent="0.35">
      <c r="I144" s="23">
        <v>40630664.160471596</v>
      </c>
    </row>
    <row r="145" spans="9:9" x14ac:dyDescent="0.35">
      <c r="I145" s="206">
        <f>E135-I144</f>
        <v>-265457.16047159582</v>
      </c>
    </row>
    <row r="146" spans="9:9" x14ac:dyDescent="0.35">
      <c r="I146" s="206">
        <f>I145/1000</f>
        <v>-265.45716047159584</v>
      </c>
    </row>
  </sheetData>
  <autoFilter ref="A2:M146" xr:uid="{738591FE-2BE1-40B1-99BD-BBBCE0122885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DE35-68F1-4DF1-9F13-549067395CFA}">
  <dimension ref="B2:BA26"/>
  <sheetViews>
    <sheetView showGridLines="0" zoomScale="80" zoomScaleNormal="80" zoomScaleSheetLayoutView="90" workbookViewId="0">
      <pane xSplit="2" ySplit="3" topLeftCell="I4" activePane="bottomRight" state="frozen"/>
      <selection pane="topRight" activeCell="D1" sqref="D1"/>
      <selection pane="bottomLeft" activeCell="A4" sqref="A4"/>
      <selection pane="bottomRight" activeCell="R16" sqref="R16"/>
    </sheetView>
  </sheetViews>
  <sheetFormatPr defaultColWidth="8.81640625" defaultRowHeight="13" x14ac:dyDescent="0.3"/>
  <cols>
    <col min="1" max="1" width="3.81640625" style="2" customWidth="1"/>
    <col min="2" max="2" width="33.1796875" style="2" bestFit="1" customWidth="1"/>
    <col min="3" max="4" width="12.81640625" style="2" customWidth="1"/>
    <col min="5" max="19" width="13.08984375" style="2" customWidth="1"/>
    <col min="20" max="16384" width="8.81640625" style="2"/>
  </cols>
  <sheetData>
    <row r="2" spans="2:53" x14ac:dyDescent="0.3">
      <c r="B2" s="31" t="s">
        <v>1333</v>
      </c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</row>
    <row r="3" spans="2:53" x14ac:dyDescent="0.3">
      <c r="B3" s="341" t="s">
        <v>24</v>
      </c>
      <c r="C3" s="53">
        <v>45383</v>
      </c>
      <c r="D3" s="52">
        <v>45413</v>
      </c>
      <c r="E3" s="52">
        <v>45444</v>
      </c>
      <c r="F3" s="53">
        <v>45474</v>
      </c>
      <c r="G3" s="53">
        <v>45505</v>
      </c>
      <c r="H3" s="53">
        <v>45536</v>
      </c>
      <c r="I3" s="53">
        <v>45566</v>
      </c>
      <c r="J3" s="53">
        <v>45597</v>
      </c>
      <c r="K3" s="53">
        <v>45627</v>
      </c>
      <c r="L3" s="53">
        <v>45658</v>
      </c>
      <c r="M3" s="53">
        <v>45689</v>
      </c>
      <c r="N3" s="53">
        <v>45717</v>
      </c>
      <c r="O3" s="53">
        <v>45748</v>
      </c>
      <c r="P3" s="53">
        <v>45778</v>
      </c>
      <c r="Q3" s="53">
        <v>45809</v>
      </c>
      <c r="R3" s="53">
        <v>45839</v>
      </c>
      <c r="S3" s="53">
        <v>45870</v>
      </c>
    </row>
    <row r="4" spans="2:53" x14ac:dyDescent="0.3">
      <c r="B4" s="342"/>
      <c r="C4" s="343" t="s">
        <v>23</v>
      </c>
      <c r="D4" s="343" t="s">
        <v>23</v>
      </c>
      <c r="E4" s="343" t="s">
        <v>23</v>
      </c>
      <c r="F4" s="343" t="s">
        <v>23</v>
      </c>
      <c r="G4" s="343" t="s">
        <v>23</v>
      </c>
      <c r="H4" s="343" t="s">
        <v>23</v>
      </c>
      <c r="I4" s="343" t="s">
        <v>23</v>
      </c>
      <c r="J4" s="343" t="s">
        <v>23</v>
      </c>
      <c r="K4" s="343" t="s">
        <v>23</v>
      </c>
      <c r="L4" s="343" t="s">
        <v>23</v>
      </c>
      <c r="M4" s="343" t="s">
        <v>23</v>
      </c>
      <c r="N4" s="343" t="s">
        <v>23</v>
      </c>
      <c r="O4" s="343" t="s">
        <v>23</v>
      </c>
      <c r="P4" s="343" t="s">
        <v>23</v>
      </c>
      <c r="Q4" s="343" t="s">
        <v>23</v>
      </c>
      <c r="R4" s="343" t="s">
        <v>23</v>
      </c>
      <c r="S4" s="343" t="s">
        <v>23</v>
      </c>
    </row>
    <row r="5" spans="2:53" s="7" customFormat="1" x14ac:dyDescent="0.3">
      <c r="B5" s="35"/>
      <c r="C5" s="8"/>
      <c r="D5" s="36"/>
      <c r="E5" s="344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2:53" x14ac:dyDescent="0.3">
      <c r="B6" s="345" t="s">
        <v>1334</v>
      </c>
      <c r="C6" s="346">
        <v>468.08582000000001</v>
      </c>
      <c r="D6" s="347">
        <v>354.35405999999989</v>
      </c>
      <c r="E6" s="347">
        <v>74024.187869999994</v>
      </c>
      <c r="F6" s="346">
        <v>70627.280299999984</v>
      </c>
      <c r="G6" s="346">
        <v>65084.066199999979</v>
      </c>
      <c r="H6" s="346">
        <v>61896.008487229992</v>
      </c>
      <c r="I6" s="346">
        <f t="shared" ref="I6:R6" si="0">H10</f>
        <v>58529.170367229992</v>
      </c>
      <c r="J6" s="346">
        <f t="shared" si="0"/>
        <v>55067.385757229997</v>
      </c>
      <c r="K6" s="346">
        <f t="shared" si="0"/>
        <v>51939.996207229997</v>
      </c>
      <c r="L6" s="346">
        <f t="shared" si="0"/>
        <v>48611.712147229991</v>
      </c>
      <c r="M6" s="346">
        <f t="shared" si="0"/>
        <v>514825.14754722995</v>
      </c>
      <c r="N6" s="346">
        <f t="shared" si="0"/>
        <v>503801.55871722993</v>
      </c>
      <c r="O6" s="346">
        <f t="shared" si="0"/>
        <v>485334.75254722993</v>
      </c>
      <c r="P6" s="346">
        <f t="shared" si="0"/>
        <v>463312.84349722991</v>
      </c>
      <c r="Q6" s="346">
        <f t="shared" si="0"/>
        <v>430675.4405172299</v>
      </c>
      <c r="R6" s="346">
        <f t="shared" si="0"/>
        <v>2008675.0339272299</v>
      </c>
      <c r="S6" s="346">
        <f>R10</f>
        <v>1947193.0339272299</v>
      </c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</row>
    <row r="7" spans="2:53" x14ac:dyDescent="0.3">
      <c r="B7" s="35" t="s">
        <v>1335</v>
      </c>
      <c r="C7" s="60">
        <v>-1322.7317600000001</v>
      </c>
      <c r="D7" s="60">
        <v>-3465.02889</v>
      </c>
      <c r="E7" s="60">
        <v>-3325.1553199999998</v>
      </c>
      <c r="F7" s="60">
        <v>-3365.6865199999997</v>
      </c>
      <c r="G7" s="60">
        <v>-3406.6337100000001</v>
      </c>
      <c r="H7" s="60">
        <v>-3616.86312</v>
      </c>
      <c r="I7" s="60">
        <v>-3682.6886100000002</v>
      </c>
      <c r="J7" s="60">
        <v>-3285.2145500000001</v>
      </c>
      <c r="K7" s="60">
        <v>-3254.5540599999999</v>
      </c>
      <c r="L7" s="60">
        <v>-7814.9561999999996</v>
      </c>
      <c r="M7" s="60">
        <v>-9905.2803199999998</v>
      </c>
      <c r="N7" s="60">
        <v>-14432.67633</v>
      </c>
      <c r="O7" s="60">
        <v>-21642.94094</v>
      </c>
      <c r="P7" s="60">
        <v>-29464.982779999998</v>
      </c>
      <c r="Q7" s="60">
        <v>-42261.283440000101</v>
      </c>
      <c r="R7" s="60">
        <v>-70958</v>
      </c>
      <c r="S7" s="60">
        <v>-58079.5674</v>
      </c>
      <c r="T7" s="61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1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</row>
    <row r="8" spans="2:53" x14ac:dyDescent="0.3">
      <c r="B8" s="35" t="s">
        <v>1336</v>
      </c>
      <c r="C8" s="60">
        <v>1550</v>
      </c>
      <c r="D8" s="59">
        <v>-58.5</v>
      </c>
      <c r="E8" s="59">
        <v>0</v>
      </c>
      <c r="F8" s="348">
        <v>0</v>
      </c>
      <c r="G8" s="348">
        <v>0</v>
      </c>
      <c r="H8" s="348">
        <v>0</v>
      </c>
      <c r="I8" s="60">
        <v>0</v>
      </c>
      <c r="J8" s="60">
        <v>0</v>
      </c>
      <c r="K8" s="60">
        <v>0</v>
      </c>
      <c r="L8" s="349">
        <v>474979.31855999999</v>
      </c>
      <c r="M8" s="58">
        <v>0</v>
      </c>
      <c r="N8" s="58">
        <v>0</v>
      </c>
      <c r="O8" s="58">
        <v>0</v>
      </c>
      <c r="P8" s="58">
        <v>0</v>
      </c>
      <c r="Q8" s="21">
        <v>1623581.4134500001</v>
      </c>
      <c r="R8" s="21">
        <v>0</v>
      </c>
      <c r="S8" s="21">
        <v>0</v>
      </c>
      <c r="T8" s="61"/>
      <c r="U8" s="63"/>
      <c r="V8" s="63"/>
      <c r="W8" s="63"/>
      <c r="X8" s="63"/>
      <c r="Y8" s="63"/>
      <c r="Z8" s="63"/>
      <c r="AA8" s="63"/>
      <c r="AB8" s="63"/>
      <c r="AC8" s="63"/>
      <c r="AD8" s="63"/>
      <c r="AE8" s="62"/>
      <c r="AF8" s="62"/>
      <c r="AG8" s="62"/>
      <c r="AH8" s="62"/>
      <c r="AI8" s="61"/>
      <c r="AJ8" s="61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</row>
    <row r="9" spans="2:53" x14ac:dyDescent="0.3">
      <c r="B9" s="35" t="s">
        <v>1337</v>
      </c>
      <c r="C9" s="60">
        <v>-341</v>
      </c>
      <c r="D9" s="59">
        <v>77193.362699999998</v>
      </c>
      <c r="E9" s="59">
        <v>-71.752250000000004</v>
      </c>
      <c r="F9" s="60">
        <v>-2177.5275799999999</v>
      </c>
      <c r="G9" s="60">
        <v>218.57599999999999</v>
      </c>
      <c r="H9" s="60">
        <v>250.02500000000001</v>
      </c>
      <c r="I9" s="60">
        <v>220.904</v>
      </c>
      <c r="J9" s="60">
        <v>157.82499999999999</v>
      </c>
      <c r="K9" s="60">
        <f>-73.73</f>
        <v>-73.73</v>
      </c>
      <c r="L9" s="60">
        <v>-950.92696000000001</v>
      </c>
      <c r="M9" s="60">
        <v>-1118.3085100000001</v>
      </c>
      <c r="N9" s="60">
        <v>-4034.1298400000001</v>
      </c>
      <c r="O9" s="60">
        <v>-378.96811000000008</v>
      </c>
      <c r="P9" s="60">
        <v>-3172.4202</v>
      </c>
      <c r="Q9" s="60">
        <v>-3320.5365999999999</v>
      </c>
      <c r="R9" s="60">
        <v>9476</v>
      </c>
      <c r="S9" s="60">
        <v>-1622.6511</v>
      </c>
      <c r="T9" s="61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</row>
    <row r="10" spans="2:53" x14ac:dyDescent="0.3">
      <c r="B10" s="345" t="s">
        <v>1338</v>
      </c>
      <c r="C10" s="346">
        <f t="shared" ref="C10:S10" si="1">C6+C7+C8+C9</f>
        <v>354.35405999999989</v>
      </c>
      <c r="D10" s="346">
        <f t="shared" si="1"/>
        <v>74024.187869999994</v>
      </c>
      <c r="E10" s="346">
        <f t="shared" si="1"/>
        <v>70627.280299999984</v>
      </c>
      <c r="F10" s="346">
        <f t="shared" si="1"/>
        <v>65084.066199999979</v>
      </c>
      <c r="G10" s="346">
        <f t="shared" si="1"/>
        <v>61896.008489999978</v>
      </c>
      <c r="H10" s="346">
        <f t="shared" si="1"/>
        <v>58529.170367229992</v>
      </c>
      <c r="I10" s="346">
        <f t="shared" si="1"/>
        <v>55067.385757229997</v>
      </c>
      <c r="J10" s="346">
        <f t="shared" si="1"/>
        <v>51939.996207229997</v>
      </c>
      <c r="K10" s="346">
        <f t="shared" si="1"/>
        <v>48611.712147229991</v>
      </c>
      <c r="L10" s="346">
        <f t="shared" si="1"/>
        <v>514825.14754722995</v>
      </c>
      <c r="M10" s="346">
        <f t="shared" si="1"/>
        <v>503801.55871722993</v>
      </c>
      <c r="N10" s="346">
        <f t="shared" si="1"/>
        <v>485334.75254722993</v>
      </c>
      <c r="O10" s="346">
        <f t="shared" si="1"/>
        <v>463312.84349722991</v>
      </c>
      <c r="P10" s="346">
        <f t="shared" si="1"/>
        <v>430675.4405172299</v>
      </c>
      <c r="Q10" s="346">
        <f t="shared" si="1"/>
        <v>2008675.0339272299</v>
      </c>
      <c r="R10" s="346">
        <f t="shared" si="1"/>
        <v>1947193.0339272299</v>
      </c>
      <c r="S10" s="346">
        <f t="shared" si="1"/>
        <v>1887490.81542723</v>
      </c>
      <c r="T10" s="61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</row>
    <row r="11" spans="2:53" x14ac:dyDescent="0.3">
      <c r="B11" s="350" t="s">
        <v>59</v>
      </c>
      <c r="C11" s="351">
        <v>0</v>
      </c>
      <c r="D11" s="351">
        <v>0</v>
      </c>
      <c r="E11" s="351">
        <v>0</v>
      </c>
      <c r="F11" s="351">
        <v>0</v>
      </c>
      <c r="G11" s="351">
        <v>0</v>
      </c>
      <c r="H11" s="351">
        <v>0</v>
      </c>
      <c r="I11" s="351">
        <v>0</v>
      </c>
      <c r="J11" s="351">
        <v>0</v>
      </c>
      <c r="K11" s="351">
        <v>0</v>
      </c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</row>
    <row r="12" spans="2:53" x14ac:dyDescent="0.3">
      <c r="D12" s="63"/>
      <c r="S12" s="352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</row>
    <row r="13" spans="2:53" x14ac:dyDescent="0.3"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</row>
    <row r="14" spans="2:53" x14ac:dyDescent="0.3">
      <c r="S14" s="353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</row>
    <row r="15" spans="2:53" x14ac:dyDescent="0.3">
      <c r="S15" s="285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</row>
    <row r="16" spans="2:53" x14ac:dyDescent="0.3">
      <c r="S16" s="246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</row>
    <row r="17" spans="3:32" ht="13.5" customHeight="1" x14ac:dyDescent="0.3">
      <c r="S17" s="285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</row>
    <row r="18" spans="3:32" x14ac:dyDescent="0.3">
      <c r="S18" s="353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</row>
    <row r="19" spans="3:32" x14ac:dyDescent="0.3">
      <c r="S19" s="354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</row>
    <row r="21" spans="3:32" x14ac:dyDescent="0.3"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246"/>
    </row>
    <row r="22" spans="3:32" x14ac:dyDescent="0.3"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</row>
    <row r="23" spans="3:32" x14ac:dyDescent="0.3">
      <c r="D23" s="63"/>
      <c r="E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</row>
    <row r="24" spans="3:32" x14ac:dyDescent="0.3"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</row>
    <row r="25" spans="3:32" x14ac:dyDescent="0.3"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</row>
    <row r="26" spans="3:32" x14ac:dyDescent="0.3"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</row>
  </sheetData>
  <pageMargins left="0.7" right="0.7" top="0.75" bottom="0.75" header="0.3" footer="0.3"/>
  <pageSetup scale="55" orientation="portrait" r:id="rId1"/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6D9C-55DD-4479-9110-4070DFE5E8B8}">
  <dimension ref="A1:R54"/>
  <sheetViews>
    <sheetView showGridLines="0" zoomScale="80" zoomScaleNormal="80" workbookViewId="0">
      <selection activeCell="M34" sqref="M34"/>
    </sheetView>
  </sheetViews>
  <sheetFormatPr defaultColWidth="9.1796875" defaultRowHeight="13" x14ac:dyDescent="0.3"/>
  <cols>
    <col min="1" max="1" width="23.81640625" style="2" bestFit="1" customWidth="1"/>
    <col min="2" max="2" width="8.81640625" style="2" hidden="1" customWidth="1"/>
    <col min="3" max="3" width="9.1796875" style="2" hidden="1" customWidth="1"/>
    <col min="4" max="4" width="15.453125" style="2" hidden="1" customWidth="1"/>
    <col min="5" max="5" width="10.81640625" style="2" bestFit="1" customWidth="1"/>
    <col min="6" max="6" width="15.453125" style="2" bestFit="1" customWidth="1"/>
    <col min="7" max="7" width="9.1796875" style="2" bestFit="1" customWidth="1"/>
    <col min="8" max="8" width="15.453125" style="2" bestFit="1" customWidth="1"/>
    <col min="9" max="9" width="9.1796875" style="2" bestFit="1" customWidth="1"/>
    <col min="10" max="10" width="15.453125" style="2" bestFit="1" customWidth="1"/>
    <col min="11" max="11" width="9.1796875" style="2" bestFit="1" customWidth="1"/>
    <col min="12" max="12" width="15.453125" style="2" bestFit="1" customWidth="1"/>
    <col min="13" max="13" width="9.1796875" style="2" bestFit="1" customWidth="1"/>
    <col min="14" max="14" width="15.453125" style="2" bestFit="1" customWidth="1"/>
    <col min="15" max="15" width="9.1796875" style="2" bestFit="1" customWidth="1"/>
    <col min="16" max="16" width="15.453125" style="2" bestFit="1" customWidth="1"/>
    <col min="17" max="17" width="9.1796875" style="2" bestFit="1" customWidth="1"/>
    <col min="18" max="18" width="15.453125" style="2" bestFit="1" customWidth="1"/>
    <col min="19" max="16384" width="9.1796875" style="2"/>
  </cols>
  <sheetData>
    <row r="1" spans="1:18" x14ac:dyDescent="0.3">
      <c r="A1" s="237" t="s">
        <v>1267</v>
      </c>
      <c r="B1" s="238" t="s">
        <v>1268</v>
      </c>
      <c r="C1" s="239" t="s">
        <v>1269</v>
      </c>
      <c r="D1" s="34">
        <v>45778</v>
      </c>
      <c r="E1" s="421" t="s">
        <v>1269</v>
      </c>
      <c r="F1" s="420">
        <v>45809</v>
      </c>
      <c r="G1" s="182" t="s">
        <v>1269</v>
      </c>
      <c r="H1" s="420">
        <v>45839</v>
      </c>
      <c r="I1" s="182" t="s">
        <v>1269</v>
      </c>
      <c r="J1" s="420">
        <v>45870</v>
      </c>
      <c r="K1" s="240" t="s">
        <v>1269</v>
      </c>
      <c r="L1" s="241">
        <v>45901</v>
      </c>
      <c r="M1" s="240" t="s">
        <v>1269</v>
      </c>
      <c r="N1" s="241">
        <v>45931</v>
      </c>
      <c r="O1" s="240" t="s">
        <v>1269</v>
      </c>
      <c r="P1" s="241">
        <v>45962</v>
      </c>
      <c r="Q1" s="240" t="s">
        <v>1269</v>
      </c>
      <c r="R1" s="241">
        <v>45992</v>
      </c>
    </row>
    <row r="2" spans="1:18" x14ac:dyDescent="0.3">
      <c r="A2" s="243" t="s">
        <v>1270</v>
      </c>
      <c r="C2" s="244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</row>
    <row r="3" spans="1:18" x14ac:dyDescent="0.3">
      <c r="A3" s="8" t="s">
        <v>1274</v>
      </c>
      <c r="B3" s="422" t="s">
        <v>1440</v>
      </c>
      <c r="C3" s="269">
        <v>7</v>
      </c>
      <c r="D3" s="9">
        <f>4441700.33333333/1000</f>
        <v>4441.7003333333305</v>
      </c>
      <c r="E3" s="269">
        <f>C3</f>
        <v>7</v>
      </c>
      <c r="F3" s="9">
        <v>5923.442</v>
      </c>
      <c r="G3" s="269">
        <f>E27</f>
        <v>7</v>
      </c>
      <c r="H3" s="9">
        <f t="shared" ref="H3:I11" si="0">F27</f>
        <v>5923.442</v>
      </c>
      <c r="I3" s="269">
        <f>G27</f>
        <v>7</v>
      </c>
      <c r="J3" s="9">
        <f t="shared" ref="J3:M11" si="1">H27</f>
        <v>6041.8720000000003</v>
      </c>
      <c r="K3" s="269">
        <f>I27-1</f>
        <v>6</v>
      </c>
      <c r="L3" s="9">
        <f>J27-(11000/12)</f>
        <v>3006.2853333333337</v>
      </c>
      <c r="M3" s="269">
        <f>K27</f>
        <v>7</v>
      </c>
      <c r="N3" s="9">
        <f t="shared" ref="N3:O11" si="2">L27</f>
        <v>4753.5053333333335</v>
      </c>
      <c r="O3" s="269">
        <f>M27</f>
        <v>9</v>
      </c>
      <c r="P3" s="9">
        <f t="shared" ref="P3:P11" si="3">N27</f>
        <v>5586.5053333333335</v>
      </c>
      <c r="Q3" s="269">
        <f>O27</f>
        <v>11</v>
      </c>
      <c r="R3" s="9">
        <f t="shared" ref="R3:R11" si="4">P27</f>
        <v>7669.5053333333335</v>
      </c>
    </row>
    <row r="4" spans="1:18" x14ac:dyDescent="0.3">
      <c r="A4" s="8" t="s">
        <v>1275</v>
      </c>
      <c r="B4" s="2" t="s">
        <v>1197</v>
      </c>
      <c r="C4" s="246">
        <v>34</v>
      </c>
      <c r="D4" s="9">
        <f>3707352/1000</f>
        <v>3707.3519999999999</v>
      </c>
      <c r="E4" s="246">
        <v>38</v>
      </c>
      <c r="F4" s="9">
        <f>4089.71</f>
        <v>4089.71</v>
      </c>
      <c r="G4" s="246">
        <f t="shared" ref="G4:G11" si="5">E28</f>
        <v>45</v>
      </c>
      <c r="H4" s="9">
        <f t="shared" si="0"/>
        <v>5077.8469999999998</v>
      </c>
      <c r="I4" s="246">
        <f t="shared" si="0"/>
        <v>56</v>
      </c>
      <c r="J4" s="9">
        <f t="shared" si="1"/>
        <v>6798.8469999999998</v>
      </c>
      <c r="K4" s="246">
        <f t="shared" si="1"/>
        <v>62</v>
      </c>
      <c r="L4" s="9">
        <f t="shared" si="1"/>
        <v>7960.9024712903192</v>
      </c>
      <c r="M4" s="246">
        <f>K28-2-4</f>
        <v>70</v>
      </c>
      <c r="N4" s="9">
        <f>L28-160-650</f>
        <v>8786.2534712903198</v>
      </c>
      <c r="O4" s="246">
        <f>M28-2-2</f>
        <v>81</v>
      </c>
      <c r="P4" s="9">
        <f>N28-230-200</f>
        <v>10231.25347129032</v>
      </c>
      <c r="Q4" s="246">
        <f>O28-4-5</f>
        <v>72</v>
      </c>
      <c r="R4" s="9">
        <f>P28-670-1000</f>
        <v>8561.2534712903198</v>
      </c>
    </row>
    <row r="5" spans="1:18" x14ac:dyDescent="0.3">
      <c r="A5" s="8" t="s">
        <v>1276</v>
      </c>
      <c r="B5" s="2" t="s">
        <v>1441</v>
      </c>
      <c r="C5" s="246">
        <v>17</v>
      </c>
      <c r="D5" s="9">
        <f>1894219/1000</f>
        <v>1894.2190000000001</v>
      </c>
      <c r="E5" s="246">
        <v>15</v>
      </c>
      <c r="F5" s="9">
        <v>1840.748</v>
      </c>
      <c r="G5" s="246">
        <f t="shared" si="5"/>
        <v>15</v>
      </c>
      <c r="H5" s="9">
        <f t="shared" si="0"/>
        <v>1840.748</v>
      </c>
      <c r="I5" s="246">
        <f t="shared" si="0"/>
        <v>16</v>
      </c>
      <c r="J5" s="9">
        <f t="shared" si="1"/>
        <v>2142.2380000000003</v>
      </c>
      <c r="K5" s="246">
        <f t="shared" si="1"/>
        <v>17</v>
      </c>
      <c r="L5" s="9">
        <f t="shared" si="1"/>
        <v>2401.3680000000004</v>
      </c>
      <c r="M5" s="246">
        <f>K29-1</f>
        <v>16</v>
      </c>
      <c r="N5" s="9">
        <f>L29-90</f>
        <v>2311.3680000000004</v>
      </c>
      <c r="O5" s="246">
        <f>M29-1</f>
        <v>17</v>
      </c>
      <c r="P5" s="9">
        <f>N29-290</f>
        <v>2521.3680000000004</v>
      </c>
      <c r="Q5" s="246">
        <f t="shared" ref="Q5:Q11" si="6">O29</f>
        <v>20</v>
      </c>
      <c r="R5" s="9">
        <f t="shared" si="4"/>
        <v>3271.3680000000004</v>
      </c>
    </row>
    <row r="6" spans="1:18" x14ac:dyDescent="0.3">
      <c r="A6" s="8" t="s">
        <v>1277</v>
      </c>
      <c r="B6" s="2" t="s">
        <v>1442</v>
      </c>
      <c r="C6" s="246">
        <v>4</v>
      </c>
      <c r="D6" s="9">
        <f>561667/1000</f>
        <v>561.66700000000003</v>
      </c>
      <c r="E6" s="246">
        <v>3</v>
      </c>
      <c r="F6" s="9">
        <v>467.67</v>
      </c>
      <c r="G6" s="246">
        <f t="shared" si="5"/>
        <v>3</v>
      </c>
      <c r="H6" s="9">
        <f t="shared" si="0"/>
        <v>467.67</v>
      </c>
      <c r="I6" s="246">
        <f t="shared" si="0"/>
        <v>3</v>
      </c>
      <c r="J6" s="9">
        <f t="shared" si="1"/>
        <v>467.67</v>
      </c>
      <c r="K6" s="246">
        <f t="shared" si="1"/>
        <v>3</v>
      </c>
      <c r="L6" s="9">
        <f t="shared" si="1"/>
        <v>467.67</v>
      </c>
      <c r="M6" s="246">
        <f t="shared" si="1"/>
        <v>4</v>
      </c>
      <c r="N6" s="9">
        <f t="shared" si="2"/>
        <v>527.79500000000007</v>
      </c>
      <c r="O6" s="246">
        <f t="shared" si="2"/>
        <v>6</v>
      </c>
      <c r="P6" s="9">
        <f t="shared" si="3"/>
        <v>1227.7950000000001</v>
      </c>
      <c r="Q6" s="246">
        <f t="shared" si="6"/>
        <v>6</v>
      </c>
      <c r="R6" s="9">
        <f t="shared" si="4"/>
        <v>1227.7950000000001</v>
      </c>
    </row>
    <row r="7" spans="1:18" x14ac:dyDescent="0.3">
      <c r="A7" s="8" t="s">
        <v>1278</v>
      </c>
      <c r="B7" s="2" t="s">
        <v>1443</v>
      </c>
      <c r="C7" s="246">
        <v>6</v>
      </c>
      <c r="D7" s="9">
        <f>1329167/1000</f>
        <v>1329.1669999999999</v>
      </c>
      <c r="E7" s="246">
        <v>7</v>
      </c>
      <c r="F7" s="9">
        <v>1430.91</v>
      </c>
      <c r="G7" s="246">
        <f t="shared" si="5"/>
        <v>8</v>
      </c>
      <c r="H7" s="9">
        <f t="shared" si="0"/>
        <v>1485.0600000000002</v>
      </c>
      <c r="I7" s="246">
        <f t="shared" si="0"/>
        <v>9</v>
      </c>
      <c r="J7" s="9">
        <f t="shared" si="1"/>
        <v>1636.1870000000001</v>
      </c>
      <c r="K7" s="246">
        <f t="shared" si="1"/>
        <v>11</v>
      </c>
      <c r="L7" s="9">
        <f t="shared" si="1"/>
        <v>1840.7670000000001</v>
      </c>
      <c r="M7" s="246">
        <f>K31-1</f>
        <v>11</v>
      </c>
      <c r="N7" s="9">
        <f>L31-75</f>
        <v>1865.7670000000001</v>
      </c>
      <c r="O7" s="246">
        <f t="shared" si="2"/>
        <v>17</v>
      </c>
      <c r="P7" s="9">
        <f t="shared" si="3"/>
        <v>2515.7669999999998</v>
      </c>
      <c r="Q7" s="246">
        <f>O31-1</f>
        <v>27</v>
      </c>
      <c r="R7" s="9">
        <f>P31-125</f>
        <v>4290.7669999999998</v>
      </c>
    </row>
    <row r="8" spans="1:18" x14ac:dyDescent="0.3">
      <c r="A8" s="8" t="s">
        <v>1279</v>
      </c>
      <c r="B8" s="2" t="s">
        <v>1197</v>
      </c>
      <c r="C8" s="246">
        <v>2</v>
      </c>
      <c r="D8" s="9">
        <f>403667/1000</f>
        <v>403.66699999999997</v>
      </c>
      <c r="E8" s="246">
        <v>2</v>
      </c>
      <c r="F8" s="9">
        <v>368.63299999999998</v>
      </c>
      <c r="G8" s="246">
        <f t="shared" si="5"/>
        <v>2</v>
      </c>
      <c r="H8" s="9">
        <f t="shared" si="0"/>
        <v>368.63299999999998</v>
      </c>
      <c r="I8" s="246">
        <f t="shared" si="0"/>
        <v>3</v>
      </c>
      <c r="J8" s="9">
        <f t="shared" si="1"/>
        <v>597.63099999999997</v>
      </c>
      <c r="K8" s="246">
        <f t="shared" si="1"/>
        <v>3</v>
      </c>
      <c r="L8" s="9">
        <f t="shared" si="1"/>
        <v>554.11699999999996</v>
      </c>
      <c r="M8" s="246">
        <f t="shared" si="1"/>
        <v>4</v>
      </c>
      <c r="N8" s="9">
        <f t="shared" si="2"/>
        <v>887.45</v>
      </c>
      <c r="O8" s="246">
        <f t="shared" si="2"/>
        <v>4</v>
      </c>
      <c r="P8" s="9">
        <f t="shared" si="3"/>
        <v>887.45</v>
      </c>
      <c r="Q8" s="246">
        <f t="shared" si="6"/>
        <v>4</v>
      </c>
      <c r="R8" s="9">
        <f t="shared" si="4"/>
        <v>887.45</v>
      </c>
    </row>
    <row r="9" spans="1:18" x14ac:dyDescent="0.3">
      <c r="A9" s="8" t="s">
        <v>1280</v>
      </c>
      <c r="B9" s="2" t="s">
        <v>1444</v>
      </c>
      <c r="C9" s="246">
        <v>5</v>
      </c>
      <c r="D9" s="9">
        <f>682401/1000</f>
        <v>682.40099999999995</v>
      </c>
      <c r="E9" s="246">
        <v>5</v>
      </c>
      <c r="F9" s="9">
        <v>653.29200000000003</v>
      </c>
      <c r="G9" s="246">
        <f t="shared" si="5"/>
        <v>5</v>
      </c>
      <c r="H9" s="9">
        <f t="shared" si="0"/>
        <v>653.29200000000003</v>
      </c>
      <c r="I9" s="246">
        <f t="shared" si="0"/>
        <v>6</v>
      </c>
      <c r="J9" s="9">
        <f t="shared" si="1"/>
        <v>702.28899999999999</v>
      </c>
      <c r="K9" s="246">
        <f t="shared" si="1"/>
        <v>9</v>
      </c>
      <c r="L9" s="9">
        <f>J33-600</f>
        <v>1457.1990000000001</v>
      </c>
      <c r="M9" s="246">
        <f t="shared" si="1"/>
        <v>10</v>
      </c>
      <c r="N9" s="9">
        <f t="shared" si="2"/>
        <v>1623.31</v>
      </c>
      <c r="O9" s="246">
        <f t="shared" si="2"/>
        <v>10</v>
      </c>
      <c r="P9" s="9">
        <f t="shared" si="3"/>
        <v>1623.31</v>
      </c>
      <c r="Q9" s="246">
        <f t="shared" si="6"/>
        <v>11</v>
      </c>
      <c r="R9" s="9">
        <f t="shared" si="4"/>
        <v>1723.31</v>
      </c>
    </row>
    <row r="10" spans="1:18" x14ac:dyDescent="0.3">
      <c r="A10" s="8" t="s">
        <v>1281</v>
      </c>
      <c r="B10" s="2" t="s">
        <v>1440</v>
      </c>
      <c r="C10" s="246">
        <v>2</v>
      </c>
      <c r="D10" s="9">
        <f>578800/1000</f>
        <v>578.79999999999995</v>
      </c>
      <c r="E10" s="246">
        <v>3</v>
      </c>
      <c r="F10" s="9">
        <v>610.87099999999998</v>
      </c>
      <c r="G10" s="246">
        <f t="shared" si="5"/>
        <v>3</v>
      </c>
      <c r="H10" s="9">
        <f t="shared" si="0"/>
        <v>610.87099999999998</v>
      </c>
      <c r="I10" s="246">
        <f t="shared" si="0"/>
        <v>3</v>
      </c>
      <c r="J10" s="9">
        <f t="shared" si="1"/>
        <v>645.46699999999998</v>
      </c>
      <c r="K10" s="246">
        <f t="shared" si="1"/>
        <v>5</v>
      </c>
      <c r="L10" s="9">
        <f t="shared" si="1"/>
        <v>1428.925</v>
      </c>
      <c r="M10" s="246">
        <f t="shared" si="1"/>
        <v>8</v>
      </c>
      <c r="N10" s="9">
        <f t="shared" si="2"/>
        <v>2237.5360000000001</v>
      </c>
      <c r="O10" s="246">
        <f t="shared" si="2"/>
        <v>16</v>
      </c>
      <c r="P10" s="9">
        <f t="shared" si="3"/>
        <v>4737.5360000000001</v>
      </c>
      <c r="Q10" s="246">
        <f t="shared" si="6"/>
        <v>16</v>
      </c>
      <c r="R10" s="9">
        <f t="shared" si="4"/>
        <v>4737.5360000000001</v>
      </c>
    </row>
    <row r="11" spans="1:18" x14ac:dyDescent="0.3">
      <c r="A11" s="8" t="s">
        <v>1282</v>
      </c>
      <c r="B11" s="423" t="s">
        <v>1442</v>
      </c>
      <c r="C11" s="271">
        <v>1</v>
      </c>
      <c r="D11" s="9">
        <f>291667/1000</f>
        <v>291.66699999999997</v>
      </c>
      <c r="E11" s="271">
        <v>1</v>
      </c>
      <c r="F11" s="28">
        <v>291.67</v>
      </c>
      <c r="G11" s="271">
        <f t="shared" si="5"/>
        <v>1</v>
      </c>
      <c r="H11" s="28">
        <f t="shared" si="0"/>
        <v>291.67</v>
      </c>
      <c r="I11" s="271">
        <f t="shared" si="0"/>
        <v>1</v>
      </c>
      <c r="J11" s="28">
        <f t="shared" si="1"/>
        <v>291.67</v>
      </c>
      <c r="K11" s="271">
        <f t="shared" si="1"/>
        <v>0</v>
      </c>
      <c r="L11" s="28">
        <f t="shared" si="1"/>
        <v>0</v>
      </c>
      <c r="M11" s="271">
        <f t="shared" si="1"/>
        <v>0</v>
      </c>
      <c r="N11" s="28">
        <f t="shared" si="2"/>
        <v>0</v>
      </c>
      <c r="O11" s="271">
        <f t="shared" si="2"/>
        <v>1</v>
      </c>
      <c r="P11" s="28">
        <f t="shared" si="3"/>
        <v>125</v>
      </c>
      <c r="Q11" s="271">
        <f t="shared" si="6"/>
        <v>2</v>
      </c>
      <c r="R11" s="28">
        <f t="shared" si="4"/>
        <v>375</v>
      </c>
    </row>
    <row r="12" spans="1:18" x14ac:dyDescent="0.3">
      <c r="A12" s="247" t="s">
        <v>277</v>
      </c>
      <c r="B12" s="248"/>
      <c r="C12" s="249">
        <f t="shared" ref="C12:R12" si="7">SUM(C3:C11)</f>
        <v>78</v>
      </c>
      <c r="D12" s="250">
        <f t="shared" si="7"/>
        <v>13890.640333333327</v>
      </c>
      <c r="E12" s="249">
        <f t="shared" si="7"/>
        <v>81</v>
      </c>
      <c r="F12" s="250">
        <f t="shared" si="7"/>
        <v>15676.945999999998</v>
      </c>
      <c r="G12" s="249">
        <f t="shared" si="7"/>
        <v>89</v>
      </c>
      <c r="H12" s="250">
        <f t="shared" si="7"/>
        <v>16719.232999999997</v>
      </c>
      <c r="I12" s="249">
        <f t="shared" si="7"/>
        <v>104</v>
      </c>
      <c r="J12" s="250">
        <f t="shared" si="7"/>
        <v>19323.871000000003</v>
      </c>
      <c r="K12" s="249">
        <f t="shared" si="7"/>
        <v>116</v>
      </c>
      <c r="L12" s="250">
        <f t="shared" si="7"/>
        <v>19117.233804623651</v>
      </c>
      <c r="M12" s="249">
        <f t="shared" si="7"/>
        <v>130</v>
      </c>
      <c r="N12" s="250">
        <f t="shared" si="7"/>
        <v>22992.984804623655</v>
      </c>
      <c r="O12" s="249">
        <f t="shared" si="7"/>
        <v>161</v>
      </c>
      <c r="P12" s="250">
        <f t="shared" si="7"/>
        <v>29455.984804623651</v>
      </c>
      <c r="Q12" s="249">
        <f t="shared" si="7"/>
        <v>169</v>
      </c>
      <c r="R12" s="250">
        <f t="shared" si="7"/>
        <v>32743.984804623651</v>
      </c>
    </row>
    <row r="14" spans="1:18" x14ac:dyDescent="0.3">
      <c r="A14" s="243" t="s">
        <v>1271</v>
      </c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</row>
    <row r="15" spans="1:18" x14ac:dyDescent="0.3">
      <c r="A15" s="8" t="s">
        <v>1274</v>
      </c>
      <c r="B15" s="25"/>
      <c r="C15" s="251">
        <v>0</v>
      </c>
      <c r="D15" s="276">
        <v>0</v>
      </c>
      <c r="E15" s="277">
        <v>0</v>
      </c>
      <c r="F15" s="276">
        <v>0</v>
      </c>
      <c r="G15" s="277">
        <v>0</v>
      </c>
      <c r="H15" s="276">
        <v>118.43</v>
      </c>
      <c r="I15" s="277">
        <v>0</v>
      </c>
      <c r="J15" s="276">
        <v>-2118.92</v>
      </c>
      <c r="K15" s="277">
        <v>1</v>
      </c>
      <c r="L15" s="276">
        <v>1747.22</v>
      </c>
      <c r="M15" s="277">
        <v>2</v>
      </c>
      <c r="N15" s="276">
        <v>833</v>
      </c>
      <c r="O15" s="277">
        <v>2</v>
      </c>
      <c r="P15" s="276">
        <f>1250+833</f>
        <v>2083</v>
      </c>
      <c r="Q15" s="277">
        <v>0</v>
      </c>
      <c r="R15" s="276">
        <v>0</v>
      </c>
    </row>
    <row r="16" spans="1:18" x14ac:dyDescent="0.3">
      <c r="A16" s="8" t="s">
        <v>1275</v>
      </c>
      <c r="C16" s="251">
        <v>0</v>
      </c>
      <c r="D16" s="252">
        <v>0</v>
      </c>
      <c r="E16" s="251">
        <v>7</v>
      </c>
      <c r="F16" s="252">
        <f>1356.77-368.633</f>
        <v>988.13699999999994</v>
      </c>
      <c r="G16" s="251">
        <v>11</v>
      </c>
      <c r="H16" s="252">
        <v>1721</v>
      </c>
      <c r="I16" s="251">
        <v>6</v>
      </c>
      <c r="J16" s="252">
        <v>1162.0554712903199</v>
      </c>
      <c r="K16" s="251">
        <f>18-4</f>
        <v>14</v>
      </c>
      <c r="L16" s="252">
        <f>2635.351-1000</f>
        <v>1635.3510000000001</v>
      </c>
      <c r="M16" s="251">
        <f>11+4</f>
        <v>15</v>
      </c>
      <c r="N16" s="252">
        <f>M16*125</f>
        <v>1875</v>
      </c>
      <c r="O16" s="251">
        <v>0</v>
      </c>
      <c r="P16" s="252">
        <v>0</v>
      </c>
      <c r="Q16" s="251">
        <v>0</v>
      </c>
      <c r="R16" s="252">
        <v>0</v>
      </c>
    </row>
    <row r="17" spans="1:18" x14ac:dyDescent="0.3">
      <c r="A17" s="8" t="s">
        <v>1276</v>
      </c>
      <c r="C17" s="251">
        <v>0</v>
      </c>
      <c r="D17" s="252">
        <v>0</v>
      </c>
      <c r="E17" s="251"/>
      <c r="F17" s="252">
        <v>0</v>
      </c>
      <c r="G17" s="251">
        <v>1</v>
      </c>
      <c r="H17" s="252">
        <v>301.49</v>
      </c>
      <c r="I17" s="251">
        <v>1</v>
      </c>
      <c r="J17" s="252">
        <v>259.13</v>
      </c>
      <c r="K17" s="251">
        <v>0</v>
      </c>
      <c r="L17" s="252">
        <v>0</v>
      </c>
      <c r="M17" s="251">
        <v>2</v>
      </c>
      <c r="N17" s="252">
        <f>M17*250</f>
        <v>500</v>
      </c>
      <c r="O17" s="251">
        <v>3</v>
      </c>
      <c r="P17" s="252">
        <f>O17*250</f>
        <v>750</v>
      </c>
      <c r="Q17" s="251">
        <v>3</v>
      </c>
      <c r="R17" s="252">
        <v>435</v>
      </c>
    </row>
    <row r="18" spans="1:18" x14ac:dyDescent="0.3">
      <c r="A18" s="8" t="s">
        <v>1277</v>
      </c>
      <c r="C18" s="251">
        <v>0</v>
      </c>
      <c r="D18" s="252">
        <v>0</v>
      </c>
      <c r="E18" s="251">
        <v>0</v>
      </c>
      <c r="F18" s="252">
        <v>0</v>
      </c>
      <c r="G18" s="251">
        <v>0</v>
      </c>
      <c r="H18" s="252">
        <v>0</v>
      </c>
      <c r="I18" s="251">
        <v>0</v>
      </c>
      <c r="J18" s="252">
        <v>0</v>
      </c>
      <c r="K18" s="251">
        <v>1</v>
      </c>
      <c r="L18" s="252">
        <v>60.125</v>
      </c>
      <c r="M18" s="251">
        <v>2</v>
      </c>
      <c r="N18" s="252">
        <v>700</v>
      </c>
      <c r="O18" s="251">
        <v>0</v>
      </c>
      <c r="P18" s="252">
        <v>0</v>
      </c>
      <c r="Q18" s="251">
        <v>0</v>
      </c>
      <c r="R18" s="252">
        <v>0</v>
      </c>
    </row>
    <row r="19" spans="1:18" x14ac:dyDescent="0.3">
      <c r="A19" s="8" t="s">
        <v>1278</v>
      </c>
      <c r="C19" s="251">
        <v>0</v>
      </c>
      <c r="D19" s="252">
        <v>0</v>
      </c>
      <c r="E19" s="251">
        <v>1</v>
      </c>
      <c r="F19" s="252">
        <v>54.15</v>
      </c>
      <c r="G19" s="251">
        <v>1</v>
      </c>
      <c r="H19" s="252">
        <v>151.12700000000001</v>
      </c>
      <c r="I19" s="251">
        <v>2</v>
      </c>
      <c r="J19" s="252">
        <v>204.58</v>
      </c>
      <c r="K19" s="251">
        <v>1</v>
      </c>
      <c r="L19" s="252">
        <v>100</v>
      </c>
      <c r="M19" s="251">
        <v>6</v>
      </c>
      <c r="N19" s="252">
        <v>650</v>
      </c>
      <c r="O19" s="251">
        <v>11</v>
      </c>
      <c r="P19" s="252">
        <v>1900</v>
      </c>
      <c r="Q19" s="251">
        <v>3</v>
      </c>
      <c r="R19" s="252">
        <v>1250</v>
      </c>
    </row>
    <row r="20" spans="1:18" x14ac:dyDescent="0.3">
      <c r="A20" s="8" t="s">
        <v>1279</v>
      </c>
      <c r="C20" s="251">
        <v>0</v>
      </c>
      <c r="D20" s="252">
        <v>0</v>
      </c>
      <c r="E20" s="251">
        <v>0</v>
      </c>
      <c r="F20" s="252">
        <f>0/1000</f>
        <v>0</v>
      </c>
      <c r="G20" s="251">
        <v>1</v>
      </c>
      <c r="H20" s="252">
        <v>228.99799999999999</v>
      </c>
      <c r="I20" s="251">
        <v>0</v>
      </c>
      <c r="J20" s="252">
        <v>-43.514000000000003</v>
      </c>
      <c r="K20" s="251">
        <v>1</v>
      </c>
      <c r="L20" s="252">
        <v>333.33300000000003</v>
      </c>
      <c r="M20" s="251">
        <v>0</v>
      </c>
      <c r="N20" s="252">
        <v>0</v>
      </c>
      <c r="O20" s="251">
        <v>0</v>
      </c>
      <c r="P20" s="252">
        <v>0</v>
      </c>
      <c r="Q20" s="251">
        <v>0</v>
      </c>
      <c r="R20" s="252">
        <v>0</v>
      </c>
    </row>
    <row r="21" spans="1:18" x14ac:dyDescent="0.3">
      <c r="A21" s="8" t="s">
        <v>1280</v>
      </c>
      <c r="C21" s="251">
        <v>0</v>
      </c>
      <c r="D21" s="252">
        <v>0</v>
      </c>
      <c r="E21" s="251">
        <v>0</v>
      </c>
      <c r="F21" s="252">
        <v>0</v>
      </c>
      <c r="G21" s="251">
        <v>1</v>
      </c>
      <c r="H21" s="252">
        <v>48.997</v>
      </c>
      <c r="I21" s="251">
        <v>3</v>
      </c>
      <c r="J21" s="252">
        <v>1354.91</v>
      </c>
      <c r="K21" s="251">
        <v>1</v>
      </c>
      <c r="L21" s="252">
        <v>166.11099999999999</v>
      </c>
      <c r="M21" s="251">
        <v>0</v>
      </c>
      <c r="N21" s="252">
        <v>0</v>
      </c>
      <c r="O21" s="251">
        <v>1</v>
      </c>
      <c r="P21" s="252">
        <v>100</v>
      </c>
      <c r="Q21" s="251">
        <v>2</v>
      </c>
      <c r="R21" s="252">
        <v>250</v>
      </c>
    </row>
    <row r="22" spans="1:18" x14ac:dyDescent="0.3">
      <c r="A22" s="8" t="s">
        <v>1281</v>
      </c>
      <c r="C22" s="251">
        <v>0</v>
      </c>
      <c r="D22" s="252">
        <v>0</v>
      </c>
      <c r="E22" s="251">
        <v>0</v>
      </c>
      <c r="F22" s="252">
        <v>0</v>
      </c>
      <c r="G22" s="251">
        <v>0</v>
      </c>
      <c r="H22" s="252">
        <v>34.595999999999997</v>
      </c>
      <c r="I22" s="251">
        <v>2</v>
      </c>
      <c r="J22" s="252">
        <v>783.45799999999997</v>
      </c>
      <c r="K22" s="251">
        <v>3</v>
      </c>
      <c r="L22" s="252">
        <v>808.61099999999999</v>
      </c>
      <c r="M22" s="251">
        <v>8</v>
      </c>
      <c r="N22" s="252">
        <v>2500</v>
      </c>
      <c r="O22" s="251">
        <v>0</v>
      </c>
      <c r="P22" s="252">
        <v>0</v>
      </c>
      <c r="Q22" s="251">
        <v>0</v>
      </c>
      <c r="R22" s="252">
        <v>0</v>
      </c>
    </row>
    <row r="23" spans="1:18" x14ac:dyDescent="0.3">
      <c r="A23" s="8" t="s">
        <v>1282</v>
      </c>
      <c r="C23" s="251">
        <v>0</v>
      </c>
      <c r="D23" s="252">
        <v>0</v>
      </c>
      <c r="E23" s="251">
        <v>0</v>
      </c>
      <c r="F23" s="252">
        <v>0</v>
      </c>
      <c r="G23" s="251">
        <v>0</v>
      </c>
      <c r="H23" s="252">
        <v>0</v>
      </c>
      <c r="I23" s="251">
        <v>-1</v>
      </c>
      <c r="J23" s="252">
        <v>-291.67</v>
      </c>
      <c r="K23" s="251">
        <v>0</v>
      </c>
      <c r="L23" s="252">
        <v>0</v>
      </c>
      <c r="M23" s="251">
        <v>1</v>
      </c>
      <c r="N23" s="252">
        <v>125</v>
      </c>
      <c r="O23" s="251">
        <v>1</v>
      </c>
      <c r="P23" s="252">
        <v>250</v>
      </c>
      <c r="Q23" s="251">
        <v>0</v>
      </c>
      <c r="R23" s="252">
        <v>0</v>
      </c>
    </row>
    <row r="24" spans="1:18" x14ac:dyDescent="0.3">
      <c r="A24" s="247" t="s">
        <v>277</v>
      </c>
      <c r="B24" s="248"/>
      <c r="C24" s="249">
        <f t="shared" ref="C24:R24" si="8">SUM(C15:C23)</f>
        <v>0</v>
      </c>
      <c r="D24" s="250">
        <f t="shared" si="8"/>
        <v>0</v>
      </c>
      <c r="E24" s="249">
        <f t="shared" si="8"/>
        <v>8</v>
      </c>
      <c r="F24" s="250">
        <f t="shared" si="8"/>
        <v>1042.287</v>
      </c>
      <c r="G24" s="249">
        <f t="shared" si="8"/>
        <v>15</v>
      </c>
      <c r="H24" s="250">
        <f t="shared" si="8"/>
        <v>2604.6379999999999</v>
      </c>
      <c r="I24" s="249">
        <f t="shared" si="8"/>
        <v>13</v>
      </c>
      <c r="J24" s="250">
        <f t="shared" si="8"/>
        <v>1310.0294712903199</v>
      </c>
      <c r="K24" s="249">
        <f t="shared" si="8"/>
        <v>22</v>
      </c>
      <c r="L24" s="250">
        <f t="shared" si="8"/>
        <v>4850.7510000000002</v>
      </c>
      <c r="M24" s="249">
        <f t="shared" si="8"/>
        <v>36</v>
      </c>
      <c r="N24" s="250">
        <f t="shared" si="8"/>
        <v>7183</v>
      </c>
      <c r="O24" s="249">
        <f t="shared" si="8"/>
        <v>18</v>
      </c>
      <c r="P24" s="250">
        <f t="shared" si="8"/>
        <v>5083</v>
      </c>
      <c r="Q24" s="249">
        <f t="shared" si="8"/>
        <v>8</v>
      </c>
      <c r="R24" s="250">
        <f t="shared" si="8"/>
        <v>1935</v>
      </c>
    </row>
    <row r="25" spans="1:18" x14ac:dyDescent="0.3">
      <c r="A25" s="253"/>
      <c r="C25" s="254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x14ac:dyDescent="0.3">
      <c r="A26" s="243" t="s">
        <v>1272</v>
      </c>
      <c r="C26" s="243"/>
      <c r="D26" s="243"/>
      <c r="E26" s="243"/>
      <c r="F26" s="243"/>
      <c r="G26" s="243"/>
      <c r="H26" s="243"/>
      <c r="I26" s="243"/>
      <c r="J26" s="243"/>
      <c r="K26" s="243"/>
      <c r="L26" s="245"/>
      <c r="M26" s="243"/>
      <c r="N26" s="243"/>
      <c r="O26" s="243"/>
      <c r="P26" s="243"/>
      <c r="Q26" s="243"/>
      <c r="R26" s="243"/>
    </row>
    <row r="27" spans="1:18" x14ac:dyDescent="0.3">
      <c r="A27" s="8" t="s">
        <v>1274</v>
      </c>
      <c r="B27" s="25"/>
      <c r="C27" s="269">
        <f t="shared" ref="C27:R35" si="9">C15+C3</f>
        <v>7</v>
      </c>
      <c r="D27" s="26">
        <f t="shared" si="9"/>
        <v>4441.7003333333305</v>
      </c>
      <c r="E27" s="269">
        <f t="shared" si="9"/>
        <v>7</v>
      </c>
      <c r="F27" s="26">
        <f t="shared" si="9"/>
        <v>5923.442</v>
      </c>
      <c r="G27" s="269">
        <f t="shared" si="9"/>
        <v>7</v>
      </c>
      <c r="H27" s="26">
        <f t="shared" si="9"/>
        <v>6041.8720000000003</v>
      </c>
      <c r="I27" s="269">
        <f t="shared" si="9"/>
        <v>7</v>
      </c>
      <c r="J27" s="26">
        <f t="shared" si="9"/>
        <v>3922.9520000000002</v>
      </c>
      <c r="K27" s="269">
        <f t="shared" si="9"/>
        <v>7</v>
      </c>
      <c r="L27" s="26">
        <f t="shared" si="9"/>
        <v>4753.5053333333335</v>
      </c>
      <c r="M27" s="269">
        <f t="shared" si="9"/>
        <v>9</v>
      </c>
      <c r="N27" s="26">
        <f t="shared" si="9"/>
        <v>5586.5053333333335</v>
      </c>
      <c r="O27" s="269">
        <f t="shared" si="9"/>
        <v>11</v>
      </c>
      <c r="P27" s="26">
        <f t="shared" si="9"/>
        <v>7669.5053333333335</v>
      </c>
      <c r="Q27" s="269">
        <f t="shared" si="9"/>
        <v>11</v>
      </c>
      <c r="R27" s="26">
        <f t="shared" si="9"/>
        <v>7669.5053333333335</v>
      </c>
    </row>
    <row r="28" spans="1:18" x14ac:dyDescent="0.3">
      <c r="A28" s="8" t="s">
        <v>1275</v>
      </c>
      <c r="C28" s="246">
        <f t="shared" si="9"/>
        <v>34</v>
      </c>
      <c r="D28" s="9">
        <f t="shared" si="9"/>
        <v>3707.3519999999999</v>
      </c>
      <c r="E28" s="246">
        <v>45</v>
      </c>
      <c r="F28" s="9">
        <f t="shared" si="9"/>
        <v>5077.8469999999998</v>
      </c>
      <c r="G28" s="246">
        <f t="shared" si="9"/>
        <v>56</v>
      </c>
      <c r="H28" s="9">
        <f t="shared" si="9"/>
        <v>6798.8469999999998</v>
      </c>
      <c r="I28" s="246">
        <f t="shared" si="9"/>
        <v>62</v>
      </c>
      <c r="J28" s="9">
        <f t="shared" si="9"/>
        <v>7960.9024712903192</v>
      </c>
      <c r="K28" s="246">
        <f t="shared" si="9"/>
        <v>76</v>
      </c>
      <c r="L28" s="9">
        <f t="shared" si="9"/>
        <v>9596.2534712903198</v>
      </c>
      <c r="M28" s="246">
        <f t="shared" si="9"/>
        <v>85</v>
      </c>
      <c r="N28" s="9">
        <f t="shared" si="9"/>
        <v>10661.25347129032</v>
      </c>
      <c r="O28" s="246">
        <f t="shared" si="9"/>
        <v>81</v>
      </c>
      <c r="P28" s="9">
        <f t="shared" si="9"/>
        <v>10231.25347129032</v>
      </c>
      <c r="Q28" s="246">
        <f t="shared" si="9"/>
        <v>72</v>
      </c>
      <c r="R28" s="9">
        <f t="shared" si="9"/>
        <v>8561.2534712903198</v>
      </c>
    </row>
    <row r="29" spans="1:18" x14ac:dyDescent="0.3">
      <c r="A29" s="8" t="s">
        <v>1276</v>
      </c>
      <c r="C29" s="246">
        <f t="shared" si="9"/>
        <v>17</v>
      </c>
      <c r="D29" s="9">
        <f t="shared" si="9"/>
        <v>1894.2190000000001</v>
      </c>
      <c r="E29" s="246">
        <f t="shared" si="9"/>
        <v>15</v>
      </c>
      <c r="F29" s="9">
        <f t="shared" si="9"/>
        <v>1840.748</v>
      </c>
      <c r="G29" s="246">
        <f t="shared" si="9"/>
        <v>16</v>
      </c>
      <c r="H29" s="9">
        <f t="shared" si="9"/>
        <v>2142.2380000000003</v>
      </c>
      <c r="I29" s="246">
        <f t="shared" si="9"/>
        <v>17</v>
      </c>
      <c r="J29" s="9">
        <f t="shared" si="9"/>
        <v>2401.3680000000004</v>
      </c>
      <c r="K29" s="246">
        <f t="shared" si="9"/>
        <v>17</v>
      </c>
      <c r="L29" s="9">
        <f t="shared" si="9"/>
        <v>2401.3680000000004</v>
      </c>
      <c r="M29" s="246">
        <f t="shared" si="9"/>
        <v>18</v>
      </c>
      <c r="N29" s="9">
        <f t="shared" si="9"/>
        <v>2811.3680000000004</v>
      </c>
      <c r="O29" s="246">
        <f t="shared" si="9"/>
        <v>20</v>
      </c>
      <c r="P29" s="9">
        <f t="shared" si="9"/>
        <v>3271.3680000000004</v>
      </c>
      <c r="Q29" s="246">
        <f t="shared" si="9"/>
        <v>23</v>
      </c>
      <c r="R29" s="9">
        <f t="shared" si="9"/>
        <v>3706.3680000000004</v>
      </c>
    </row>
    <row r="30" spans="1:18" x14ac:dyDescent="0.3">
      <c r="A30" s="8" t="s">
        <v>1277</v>
      </c>
      <c r="C30" s="246">
        <f t="shared" si="9"/>
        <v>4</v>
      </c>
      <c r="D30" s="9">
        <f t="shared" si="9"/>
        <v>561.66700000000003</v>
      </c>
      <c r="E30" s="246">
        <f t="shared" si="9"/>
        <v>3</v>
      </c>
      <c r="F30" s="9">
        <f t="shared" si="9"/>
        <v>467.67</v>
      </c>
      <c r="G30" s="246">
        <f t="shared" si="9"/>
        <v>3</v>
      </c>
      <c r="H30" s="9">
        <f t="shared" si="9"/>
        <v>467.67</v>
      </c>
      <c r="I30" s="246">
        <f t="shared" si="9"/>
        <v>3</v>
      </c>
      <c r="J30" s="9">
        <f t="shared" si="9"/>
        <v>467.67</v>
      </c>
      <c r="K30" s="246">
        <f t="shared" si="9"/>
        <v>4</v>
      </c>
      <c r="L30" s="9">
        <f t="shared" si="9"/>
        <v>527.79500000000007</v>
      </c>
      <c r="M30" s="246">
        <f t="shared" si="9"/>
        <v>6</v>
      </c>
      <c r="N30" s="9">
        <f t="shared" si="9"/>
        <v>1227.7950000000001</v>
      </c>
      <c r="O30" s="246">
        <f t="shared" si="9"/>
        <v>6</v>
      </c>
      <c r="P30" s="9">
        <f t="shared" si="9"/>
        <v>1227.7950000000001</v>
      </c>
      <c r="Q30" s="246">
        <f t="shared" si="9"/>
        <v>6</v>
      </c>
      <c r="R30" s="9">
        <f t="shared" si="9"/>
        <v>1227.7950000000001</v>
      </c>
    </row>
    <row r="31" spans="1:18" x14ac:dyDescent="0.3">
      <c r="A31" s="8" t="s">
        <v>1278</v>
      </c>
      <c r="C31" s="246">
        <f t="shared" si="9"/>
        <v>6</v>
      </c>
      <c r="D31" s="9">
        <f t="shared" si="9"/>
        <v>1329.1669999999999</v>
      </c>
      <c r="E31" s="246">
        <f t="shared" si="9"/>
        <v>8</v>
      </c>
      <c r="F31" s="9">
        <f t="shared" si="9"/>
        <v>1485.0600000000002</v>
      </c>
      <c r="G31" s="246">
        <f t="shared" si="9"/>
        <v>9</v>
      </c>
      <c r="H31" s="9">
        <f t="shared" si="9"/>
        <v>1636.1870000000001</v>
      </c>
      <c r="I31" s="246">
        <f t="shared" si="9"/>
        <v>11</v>
      </c>
      <c r="J31" s="9">
        <f t="shared" si="9"/>
        <v>1840.7670000000001</v>
      </c>
      <c r="K31" s="246">
        <f t="shared" si="9"/>
        <v>12</v>
      </c>
      <c r="L31" s="9">
        <f t="shared" si="9"/>
        <v>1940.7670000000001</v>
      </c>
      <c r="M31" s="246">
        <f t="shared" si="9"/>
        <v>17</v>
      </c>
      <c r="N31" s="9">
        <f t="shared" si="9"/>
        <v>2515.7669999999998</v>
      </c>
      <c r="O31" s="246">
        <f t="shared" si="9"/>
        <v>28</v>
      </c>
      <c r="P31" s="9">
        <f t="shared" si="9"/>
        <v>4415.7669999999998</v>
      </c>
      <c r="Q31" s="246">
        <f t="shared" si="9"/>
        <v>30</v>
      </c>
      <c r="R31" s="9">
        <f t="shared" si="9"/>
        <v>5540.7669999999998</v>
      </c>
    </row>
    <row r="32" spans="1:18" x14ac:dyDescent="0.3">
      <c r="A32" s="8" t="s">
        <v>1279</v>
      </c>
      <c r="C32" s="246">
        <f t="shared" si="9"/>
        <v>2</v>
      </c>
      <c r="D32" s="9">
        <f t="shared" si="9"/>
        <v>403.66699999999997</v>
      </c>
      <c r="E32" s="246">
        <f t="shared" si="9"/>
        <v>2</v>
      </c>
      <c r="F32" s="9">
        <f t="shared" si="9"/>
        <v>368.63299999999998</v>
      </c>
      <c r="G32" s="246">
        <f t="shared" si="9"/>
        <v>3</v>
      </c>
      <c r="H32" s="9">
        <f t="shared" si="9"/>
        <v>597.63099999999997</v>
      </c>
      <c r="I32" s="246">
        <f t="shared" si="9"/>
        <v>3</v>
      </c>
      <c r="J32" s="9">
        <f t="shared" si="9"/>
        <v>554.11699999999996</v>
      </c>
      <c r="K32" s="246">
        <f t="shared" si="9"/>
        <v>4</v>
      </c>
      <c r="L32" s="9">
        <f t="shared" si="9"/>
        <v>887.45</v>
      </c>
      <c r="M32" s="246">
        <f t="shared" si="9"/>
        <v>4</v>
      </c>
      <c r="N32" s="9">
        <f t="shared" si="9"/>
        <v>887.45</v>
      </c>
      <c r="O32" s="246">
        <f t="shared" si="9"/>
        <v>4</v>
      </c>
      <c r="P32" s="9">
        <f t="shared" si="9"/>
        <v>887.45</v>
      </c>
      <c r="Q32" s="246">
        <f t="shared" si="9"/>
        <v>4</v>
      </c>
      <c r="R32" s="9">
        <f t="shared" si="9"/>
        <v>887.45</v>
      </c>
    </row>
    <row r="33" spans="1:18" x14ac:dyDescent="0.3">
      <c r="A33" s="8" t="s">
        <v>1280</v>
      </c>
      <c r="C33" s="246">
        <f t="shared" si="9"/>
        <v>5</v>
      </c>
      <c r="D33" s="9">
        <f t="shared" si="9"/>
        <v>682.40099999999995</v>
      </c>
      <c r="E33" s="246">
        <f t="shared" si="9"/>
        <v>5</v>
      </c>
      <c r="F33" s="9">
        <f t="shared" si="9"/>
        <v>653.29200000000003</v>
      </c>
      <c r="G33" s="246">
        <f t="shared" si="9"/>
        <v>6</v>
      </c>
      <c r="H33" s="9">
        <f t="shared" si="9"/>
        <v>702.28899999999999</v>
      </c>
      <c r="I33" s="246">
        <f t="shared" si="9"/>
        <v>9</v>
      </c>
      <c r="J33" s="9">
        <f t="shared" si="9"/>
        <v>2057.1990000000001</v>
      </c>
      <c r="K33" s="246">
        <f t="shared" si="9"/>
        <v>10</v>
      </c>
      <c r="L33" s="9">
        <f t="shared" si="9"/>
        <v>1623.31</v>
      </c>
      <c r="M33" s="246">
        <f t="shared" si="9"/>
        <v>10</v>
      </c>
      <c r="N33" s="9">
        <f t="shared" si="9"/>
        <v>1623.31</v>
      </c>
      <c r="O33" s="246">
        <f t="shared" si="9"/>
        <v>11</v>
      </c>
      <c r="P33" s="9">
        <f t="shared" si="9"/>
        <v>1723.31</v>
      </c>
      <c r="Q33" s="246">
        <f t="shared" si="9"/>
        <v>13</v>
      </c>
      <c r="R33" s="9">
        <f t="shared" si="9"/>
        <v>1973.31</v>
      </c>
    </row>
    <row r="34" spans="1:18" x14ac:dyDescent="0.3">
      <c r="A34" s="8" t="s">
        <v>1281</v>
      </c>
      <c r="C34" s="246">
        <f t="shared" si="9"/>
        <v>2</v>
      </c>
      <c r="D34" s="9">
        <f t="shared" si="9"/>
        <v>578.79999999999995</v>
      </c>
      <c r="E34" s="246">
        <f t="shared" si="9"/>
        <v>3</v>
      </c>
      <c r="F34" s="9">
        <f t="shared" si="9"/>
        <v>610.87099999999998</v>
      </c>
      <c r="G34" s="246">
        <f t="shared" si="9"/>
        <v>3</v>
      </c>
      <c r="H34" s="9">
        <f t="shared" si="9"/>
        <v>645.46699999999998</v>
      </c>
      <c r="I34" s="246">
        <f t="shared" si="9"/>
        <v>5</v>
      </c>
      <c r="J34" s="9">
        <f t="shared" si="9"/>
        <v>1428.925</v>
      </c>
      <c r="K34" s="246">
        <f t="shared" si="9"/>
        <v>8</v>
      </c>
      <c r="L34" s="9">
        <f t="shared" si="9"/>
        <v>2237.5360000000001</v>
      </c>
      <c r="M34" s="246">
        <f t="shared" si="9"/>
        <v>16</v>
      </c>
      <c r="N34" s="9">
        <f t="shared" si="9"/>
        <v>4737.5360000000001</v>
      </c>
      <c r="O34" s="246">
        <f t="shared" si="9"/>
        <v>16</v>
      </c>
      <c r="P34" s="9">
        <f t="shared" si="9"/>
        <v>4737.5360000000001</v>
      </c>
      <c r="Q34" s="246">
        <f t="shared" si="9"/>
        <v>16</v>
      </c>
      <c r="R34" s="9">
        <f t="shared" si="9"/>
        <v>4737.5360000000001</v>
      </c>
    </row>
    <row r="35" spans="1:18" x14ac:dyDescent="0.3">
      <c r="A35" s="20" t="s">
        <v>1282</v>
      </c>
      <c r="B35" s="217"/>
      <c r="C35" s="271">
        <f t="shared" si="9"/>
        <v>1</v>
      </c>
      <c r="D35" s="28">
        <f t="shared" si="9"/>
        <v>291.66699999999997</v>
      </c>
      <c r="E35" s="271">
        <f t="shared" si="9"/>
        <v>1</v>
      </c>
      <c r="F35" s="28">
        <f t="shared" si="9"/>
        <v>291.67</v>
      </c>
      <c r="G35" s="271">
        <f t="shared" si="9"/>
        <v>1</v>
      </c>
      <c r="H35" s="28">
        <f t="shared" si="9"/>
        <v>291.67</v>
      </c>
      <c r="I35" s="271">
        <f t="shared" si="9"/>
        <v>0</v>
      </c>
      <c r="J35" s="28">
        <f t="shared" si="9"/>
        <v>0</v>
      </c>
      <c r="K35" s="271">
        <f t="shared" si="9"/>
        <v>0</v>
      </c>
      <c r="L35" s="28">
        <f t="shared" si="9"/>
        <v>0</v>
      </c>
      <c r="M35" s="271">
        <f t="shared" si="9"/>
        <v>1</v>
      </c>
      <c r="N35" s="28">
        <f t="shared" si="9"/>
        <v>125</v>
      </c>
      <c r="O35" s="271">
        <f t="shared" si="9"/>
        <v>2</v>
      </c>
      <c r="P35" s="28">
        <f t="shared" si="9"/>
        <v>375</v>
      </c>
      <c r="Q35" s="271">
        <f t="shared" si="9"/>
        <v>2</v>
      </c>
      <c r="R35" s="28">
        <f t="shared" si="9"/>
        <v>375</v>
      </c>
    </row>
    <row r="36" spans="1:18" x14ac:dyDescent="0.3">
      <c r="A36" s="247" t="s">
        <v>277</v>
      </c>
      <c r="B36" s="248"/>
      <c r="C36" s="249">
        <f t="shared" ref="C36:R36" si="10">SUM(C27:C35)</f>
        <v>78</v>
      </c>
      <c r="D36" s="250">
        <f t="shared" si="10"/>
        <v>13890.640333333327</v>
      </c>
      <c r="E36" s="249">
        <f t="shared" si="10"/>
        <v>89</v>
      </c>
      <c r="F36" s="250">
        <f t="shared" si="10"/>
        <v>16719.232999999997</v>
      </c>
      <c r="G36" s="249">
        <f t="shared" si="10"/>
        <v>104</v>
      </c>
      <c r="H36" s="250">
        <f t="shared" si="10"/>
        <v>19323.871000000003</v>
      </c>
      <c r="I36" s="249">
        <f t="shared" si="10"/>
        <v>117</v>
      </c>
      <c r="J36" s="250">
        <f t="shared" si="10"/>
        <v>20633.900471290319</v>
      </c>
      <c r="K36" s="249">
        <f t="shared" si="10"/>
        <v>138</v>
      </c>
      <c r="L36" s="250">
        <f t="shared" si="10"/>
        <v>23967.984804623651</v>
      </c>
      <c r="M36" s="249">
        <f t="shared" si="10"/>
        <v>166</v>
      </c>
      <c r="N36" s="250">
        <f t="shared" si="10"/>
        <v>30175.984804623651</v>
      </c>
      <c r="O36" s="249">
        <f t="shared" si="10"/>
        <v>179</v>
      </c>
      <c r="P36" s="250">
        <f t="shared" si="10"/>
        <v>34538.984804623651</v>
      </c>
      <c r="Q36" s="249">
        <f t="shared" si="10"/>
        <v>177</v>
      </c>
      <c r="R36" s="250">
        <f t="shared" si="10"/>
        <v>34678.984804623651</v>
      </c>
    </row>
    <row r="38" spans="1:18" x14ac:dyDescent="0.3">
      <c r="A38" s="243" t="s">
        <v>263</v>
      </c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</row>
    <row r="39" spans="1:18" x14ac:dyDescent="0.3">
      <c r="A39" s="280" t="s">
        <v>263</v>
      </c>
      <c r="C39" s="246" t="e">
        <f>C32+C33+C34+C35+C36+#REF!+C44+C45+C37</f>
        <v>#REF!</v>
      </c>
      <c r="D39" s="9" t="e">
        <f>D32+D33+D34+D35+D36+#REF!+D44+D45+D37</f>
        <v>#REF!</v>
      </c>
      <c r="E39" s="246">
        <v>0</v>
      </c>
      <c r="F39" s="9">
        <v>237.583</v>
      </c>
      <c r="G39" s="246">
        <v>0</v>
      </c>
      <c r="H39" s="9">
        <v>1035.2</v>
      </c>
      <c r="I39" s="246">
        <v>0</v>
      </c>
      <c r="J39" s="9">
        <v>342.17500000000001</v>
      </c>
      <c r="K39" s="246">
        <v>0</v>
      </c>
      <c r="L39" s="9">
        <v>200</v>
      </c>
      <c r="M39" s="246">
        <v>0</v>
      </c>
      <c r="N39" s="9">
        <f>N36*0.02</f>
        <v>603.51969609247305</v>
      </c>
      <c r="O39" s="246">
        <v>0</v>
      </c>
      <c r="P39" s="9">
        <f>P36*0.02</f>
        <v>690.77969609247305</v>
      </c>
      <c r="Q39" s="246">
        <v>0</v>
      </c>
      <c r="R39" s="9">
        <f>R36*0.02</f>
        <v>693.579696092473</v>
      </c>
    </row>
    <row r="40" spans="1:18" x14ac:dyDescent="0.3">
      <c r="A40" s="280" t="s">
        <v>1445</v>
      </c>
      <c r="C40" s="246"/>
      <c r="D40" s="9"/>
      <c r="E40" s="246">
        <v>0</v>
      </c>
      <c r="F40" s="9">
        <f>471.322+200.762</f>
        <v>672.08400000000006</v>
      </c>
      <c r="G40" s="246">
        <v>0</v>
      </c>
      <c r="H40" s="9">
        <v>771.5</v>
      </c>
      <c r="I40" s="246">
        <v>0</v>
      </c>
      <c r="J40" s="9">
        <f>585+275.5</f>
        <v>860.5</v>
      </c>
      <c r="K40" s="246"/>
      <c r="L40" s="9">
        <v>1750</v>
      </c>
      <c r="M40" s="246"/>
      <c r="N40" s="9">
        <v>2250</v>
      </c>
      <c r="O40" s="246"/>
      <c r="P40" s="9">
        <v>1850</v>
      </c>
      <c r="Q40" s="246"/>
      <c r="R40" s="9">
        <v>1650</v>
      </c>
    </row>
    <row r="41" spans="1:18" ht="26" x14ac:dyDescent="0.3">
      <c r="A41" s="424" t="s">
        <v>1446</v>
      </c>
      <c r="C41" s="246"/>
      <c r="D41" s="9"/>
      <c r="E41" s="246">
        <v>0</v>
      </c>
      <c r="F41" s="9">
        <v>1626.7659999999998</v>
      </c>
      <c r="G41" s="246">
        <v>0</v>
      </c>
      <c r="H41" s="9">
        <v>1417.7246599999958</v>
      </c>
      <c r="I41" s="246">
        <v>0</v>
      </c>
      <c r="J41" s="9">
        <v>1664.367</v>
      </c>
      <c r="K41" s="246"/>
      <c r="L41" s="9">
        <v>1624</v>
      </c>
      <c r="M41" s="246"/>
      <c r="N41" s="9">
        <f>(N36+N40+N39)*0.08</f>
        <v>2642.3603600572901</v>
      </c>
      <c r="O41" s="246"/>
      <c r="P41" s="9">
        <f>(P36+P40+P39)*0.07</f>
        <v>2595.5835150501289</v>
      </c>
      <c r="Q41" s="246"/>
      <c r="R41" s="9">
        <f>(R36+R40+R39)*0.06</f>
        <v>2221.3538700429672</v>
      </c>
    </row>
    <row r="42" spans="1:18" x14ac:dyDescent="0.3">
      <c r="A42" s="247" t="s">
        <v>277</v>
      </c>
      <c r="B42" s="248"/>
      <c r="C42" s="249" t="e">
        <f>C39</f>
        <v>#REF!</v>
      </c>
      <c r="D42" s="250" t="e">
        <f t="shared" ref="D42:Q42" si="11">D39</f>
        <v>#REF!</v>
      </c>
      <c r="E42" s="249">
        <f t="shared" si="11"/>
        <v>0</v>
      </c>
      <c r="F42" s="250">
        <f>SUM(F39:F41)</f>
        <v>2536.433</v>
      </c>
      <c r="G42" s="249">
        <f t="shared" si="11"/>
        <v>0</v>
      </c>
      <c r="H42" s="250">
        <f>SUM(H39:H41)</f>
        <v>3224.424659999996</v>
      </c>
      <c r="I42" s="249">
        <f t="shared" si="11"/>
        <v>0</v>
      </c>
      <c r="J42" s="250">
        <f>SUM(J39:J41)</f>
        <v>2867.0419999999999</v>
      </c>
      <c r="K42" s="249">
        <f t="shared" si="11"/>
        <v>0</v>
      </c>
      <c r="L42" s="250">
        <f>SUM(L39:L41)</f>
        <v>3574</v>
      </c>
      <c r="M42" s="249">
        <f t="shared" si="11"/>
        <v>0</v>
      </c>
      <c r="N42" s="250">
        <f>SUM(N39:N41)</f>
        <v>5495.8800561497628</v>
      </c>
      <c r="O42" s="249">
        <f t="shared" si="11"/>
        <v>0</v>
      </c>
      <c r="P42" s="250">
        <f>SUM(P39:P41)</f>
        <v>5136.3632111426014</v>
      </c>
      <c r="Q42" s="249">
        <f t="shared" si="11"/>
        <v>0</v>
      </c>
      <c r="R42" s="250">
        <f>SUM(R39:R41)</f>
        <v>4564.9335661354398</v>
      </c>
    </row>
    <row r="44" spans="1:18" x14ac:dyDescent="0.3">
      <c r="A44" s="243" t="s">
        <v>1447</v>
      </c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</row>
    <row r="45" spans="1:18" x14ac:dyDescent="0.3">
      <c r="A45" s="8" t="s">
        <v>1448</v>
      </c>
      <c r="C45" s="246">
        <f>C27+C28+C29+C30+C31+C33+C34+C35+C32</f>
        <v>78</v>
      </c>
      <c r="D45" s="9">
        <f>D27+D28+D29+D30+D31+D33+D34+D35+D32</f>
        <v>13890.640333333327</v>
      </c>
      <c r="E45" s="246">
        <f>E36+E39</f>
        <v>89</v>
      </c>
      <c r="F45" s="9">
        <f>F36+SUM(F39:F41)</f>
        <v>19255.665999999997</v>
      </c>
      <c r="G45" s="246">
        <f>G36+G39</f>
        <v>104</v>
      </c>
      <c r="H45" s="9">
        <f>H36+SUM(H39:H41)</f>
        <v>22548.29566</v>
      </c>
      <c r="I45" s="246">
        <f>I36+I39</f>
        <v>117</v>
      </c>
      <c r="J45" s="9">
        <f>J36+SUM(J39:J41)</f>
        <v>23500.94247129032</v>
      </c>
      <c r="K45" s="246">
        <f>K36+K39</f>
        <v>138</v>
      </c>
      <c r="L45" s="9">
        <f>L36+SUM(L39:L41)</f>
        <v>27541.984804623651</v>
      </c>
      <c r="M45" s="246">
        <f>M36+M39</f>
        <v>166</v>
      </c>
      <c r="N45" s="9">
        <f>N36+SUM(N39:N41)</f>
        <v>35671.864860773414</v>
      </c>
      <c r="O45" s="246">
        <f>O36+O39</f>
        <v>179</v>
      </c>
      <c r="P45" s="9">
        <f>P36+SUM(P39:P41)</f>
        <v>39675.348015766256</v>
      </c>
      <c r="Q45" s="246">
        <f>Q36+Q39</f>
        <v>177</v>
      </c>
      <c r="R45" s="9">
        <f>R36+SUM(R39:R41)</f>
        <v>39243.918370759093</v>
      </c>
    </row>
    <row r="46" spans="1:18" x14ac:dyDescent="0.3">
      <c r="A46" s="247" t="s">
        <v>277</v>
      </c>
      <c r="B46" s="248"/>
      <c r="C46" s="249">
        <f>C45</f>
        <v>78</v>
      </c>
      <c r="D46" s="250">
        <f t="shared" ref="D46:R46" si="12">D45</f>
        <v>13890.640333333327</v>
      </c>
      <c r="E46" s="249">
        <f t="shared" si="12"/>
        <v>89</v>
      </c>
      <c r="F46" s="250">
        <f t="shared" si="12"/>
        <v>19255.665999999997</v>
      </c>
      <c r="G46" s="249">
        <f t="shared" si="12"/>
        <v>104</v>
      </c>
      <c r="H46" s="250">
        <f t="shared" si="12"/>
        <v>22548.29566</v>
      </c>
      <c r="I46" s="249">
        <f t="shared" si="12"/>
        <v>117</v>
      </c>
      <c r="J46" s="250">
        <f t="shared" si="12"/>
        <v>23500.94247129032</v>
      </c>
      <c r="K46" s="249">
        <f t="shared" si="12"/>
        <v>138</v>
      </c>
      <c r="L46" s="250">
        <f t="shared" si="12"/>
        <v>27541.984804623651</v>
      </c>
      <c r="M46" s="249">
        <f t="shared" si="12"/>
        <v>166</v>
      </c>
      <c r="N46" s="250">
        <f t="shared" si="12"/>
        <v>35671.864860773414</v>
      </c>
      <c r="O46" s="249">
        <f t="shared" si="12"/>
        <v>179</v>
      </c>
      <c r="P46" s="250">
        <f t="shared" si="12"/>
        <v>39675.348015766256</v>
      </c>
      <c r="Q46" s="249">
        <f t="shared" si="12"/>
        <v>177</v>
      </c>
      <c r="R46" s="250">
        <f t="shared" si="12"/>
        <v>39243.918370759093</v>
      </c>
    </row>
    <row r="49" spans="5:11" x14ac:dyDescent="0.3">
      <c r="G49" s="293"/>
      <c r="J49" s="425"/>
      <c r="K49" s="62"/>
    </row>
    <row r="50" spans="5:11" x14ac:dyDescent="0.3">
      <c r="E50" s="293"/>
    </row>
    <row r="51" spans="5:11" x14ac:dyDescent="0.3">
      <c r="H51" s="293"/>
    </row>
    <row r="52" spans="5:11" x14ac:dyDescent="0.3">
      <c r="H52" s="293"/>
    </row>
    <row r="54" spans="5:11" x14ac:dyDescent="0.3">
      <c r="G54" s="6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9792-0F04-4B31-B4FE-8F78C651670B}">
  <dimension ref="A1:G175"/>
  <sheetViews>
    <sheetView topLeftCell="A140" workbookViewId="0">
      <selection activeCell="B151" sqref="B151"/>
    </sheetView>
  </sheetViews>
  <sheetFormatPr defaultColWidth="8.90625" defaultRowHeight="14.5" x14ac:dyDescent="0.35"/>
  <cols>
    <col min="1" max="2" width="39.08984375" style="191" customWidth="1"/>
    <col min="3" max="6" width="20.81640625" style="191" customWidth="1"/>
    <col min="7" max="7" width="44.81640625" style="191" bestFit="1" customWidth="1"/>
    <col min="8" max="16384" width="8.90625" style="191"/>
  </cols>
  <sheetData>
    <row r="1" spans="1:7" s="290" customFormat="1" x14ac:dyDescent="0.35">
      <c r="A1" s="355" t="s">
        <v>464</v>
      </c>
      <c r="B1" s="355" t="s">
        <v>464</v>
      </c>
      <c r="C1" s="356" t="s">
        <v>498</v>
      </c>
      <c r="D1" s="356" t="s">
        <v>465</v>
      </c>
      <c r="E1" s="356" t="s">
        <v>466</v>
      </c>
      <c r="F1" s="356" t="s">
        <v>499</v>
      </c>
      <c r="G1" s="290" t="s">
        <v>433</v>
      </c>
    </row>
    <row r="3" spans="1:7" x14ac:dyDescent="0.35">
      <c r="A3" s="192" t="s">
        <v>70</v>
      </c>
      <c r="B3" s="195" t="str">
        <f>TRIM(A3)</f>
        <v>Assets</v>
      </c>
      <c r="C3" s="191" t="s">
        <v>85</v>
      </c>
      <c r="D3" s="191" t="s">
        <v>85</v>
      </c>
      <c r="E3" s="191" t="s">
        <v>85</v>
      </c>
      <c r="F3" s="191" t="s">
        <v>85</v>
      </c>
    </row>
    <row r="4" spans="1:7" x14ac:dyDescent="0.35">
      <c r="A4" s="192" t="s">
        <v>500</v>
      </c>
      <c r="B4" s="195" t="str">
        <f t="shared" ref="B4:B68" si="0">TRIM(A4)</f>
        <v>Accounts Receivable</v>
      </c>
      <c r="C4" s="286">
        <v>181869.37</v>
      </c>
      <c r="D4" s="286">
        <v>23225747.41</v>
      </c>
      <c r="E4" s="286">
        <v>22323406.52</v>
      </c>
      <c r="F4" s="286">
        <v>1084210.26</v>
      </c>
      <c r="G4" s="191" t="str">
        <f>VLOOKUP(B4,'TB 0825'!A:A,1,0)</f>
        <v>Accounts Receivable</v>
      </c>
    </row>
    <row r="5" spans="1:7" x14ac:dyDescent="0.35">
      <c r="A5" s="192" t="s">
        <v>501</v>
      </c>
      <c r="B5" s="195" t="str">
        <f t="shared" si="0"/>
        <v>Accrued Interest</v>
      </c>
      <c r="C5" s="286">
        <v>17067995</v>
      </c>
      <c r="D5" s="286">
        <v>26233497</v>
      </c>
      <c r="E5" s="286">
        <v>17067995</v>
      </c>
      <c r="F5" s="286">
        <v>26233497</v>
      </c>
      <c r="G5" s="191" t="str">
        <f>VLOOKUP(B5,'TB 0825'!A:A,1,0)</f>
        <v>Accrued Interest</v>
      </c>
    </row>
    <row r="6" spans="1:7" x14ac:dyDescent="0.35">
      <c r="A6" s="192" t="s">
        <v>1432</v>
      </c>
      <c r="B6" s="195" t="str">
        <f t="shared" si="0"/>
        <v>Accumulated Amortization on Leasehold Improvement</v>
      </c>
      <c r="C6" s="286">
        <v>-482023.22</v>
      </c>
      <c r="D6" s="286">
        <v>0</v>
      </c>
      <c r="E6" s="286">
        <v>103599.27</v>
      </c>
      <c r="F6" s="286">
        <v>-585622.49</v>
      </c>
      <c r="G6" s="191" t="str">
        <f>VLOOKUP(B6,'TB 0825'!A:A,1,0)</f>
        <v>Accumulated Amortization on Leasehold Improvement</v>
      </c>
    </row>
    <row r="7" spans="1:7" x14ac:dyDescent="0.35">
      <c r="A7" s="192" t="s">
        <v>503</v>
      </c>
      <c r="B7" s="195" t="str">
        <f t="shared" si="0"/>
        <v>Accumulated Depreciation on Computer and Laptops</v>
      </c>
      <c r="C7" s="286">
        <v>-893087.22</v>
      </c>
      <c r="D7" s="286">
        <v>0</v>
      </c>
      <c r="E7" s="286">
        <v>266134.45</v>
      </c>
      <c r="F7" s="286">
        <v>-1159221.67</v>
      </c>
      <c r="G7" s="191" t="str">
        <f>VLOOKUP(B7,'TB 0825'!A:A,1,0)</f>
        <v>Accumulated Depreciation on Computer and Laptops</v>
      </c>
    </row>
    <row r="8" spans="1:7" x14ac:dyDescent="0.35">
      <c r="A8" s="192" t="s">
        <v>760</v>
      </c>
      <c r="B8" s="195" t="str">
        <f t="shared" si="0"/>
        <v>Accumulated Depreciation on Furniture &amp; Equipment</v>
      </c>
      <c r="C8" s="286">
        <v>-53282.07</v>
      </c>
      <c r="D8" s="286">
        <v>0</v>
      </c>
      <c r="E8" s="286">
        <v>11370.3</v>
      </c>
      <c r="F8" s="286">
        <v>-64652.37</v>
      </c>
      <c r="G8" s="191" t="str">
        <f>VLOOKUP(B8,'TB 0825'!A:A,1,0)</f>
        <v>Accumulated Depreciation on Furniture &amp; Equipment</v>
      </c>
    </row>
    <row r="9" spans="1:7" x14ac:dyDescent="0.35">
      <c r="A9" s="192" t="s">
        <v>504</v>
      </c>
      <c r="B9" s="195" t="str">
        <f t="shared" si="0"/>
        <v>Accumulated Depreciation on Office Equipment</v>
      </c>
      <c r="C9" s="286">
        <v>-57446.16</v>
      </c>
      <c r="D9" s="286">
        <v>0</v>
      </c>
      <c r="E9" s="286">
        <v>14007.98</v>
      </c>
      <c r="F9" s="286">
        <v>-71454.14</v>
      </c>
      <c r="G9" s="191" t="str">
        <f>VLOOKUP(B9,'TB 0825'!A:A,1,0)</f>
        <v>Accumulated Depreciation on Office Equipment</v>
      </c>
    </row>
    <row r="10" spans="1:7" x14ac:dyDescent="0.35">
      <c r="A10" s="192" t="s">
        <v>1421</v>
      </c>
      <c r="B10" s="195" t="str">
        <f t="shared" si="0"/>
        <v>Advance from Customer</v>
      </c>
      <c r="C10" s="286">
        <v>-48822</v>
      </c>
      <c r="D10" s="286">
        <v>48822</v>
      </c>
      <c r="E10" s="286">
        <v>0</v>
      </c>
      <c r="F10" s="286">
        <v>0</v>
      </c>
      <c r="G10" s="191" t="str">
        <f>VLOOKUP(B10,'TB 0825'!A:A,1,0)</f>
        <v>Advance from Customer</v>
      </c>
    </row>
    <row r="11" spans="1:7" x14ac:dyDescent="0.35">
      <c r="A11" s="192" t="s">
        <v>961</v>
      </c>
      <c r="B11" s="195" t="str">
        <f t="shared" si="0"/>
        <v>Advance to Vendors</v>
      </c>
      <c r="C11" s="286">
        <v>4894691.82</v>
      </c>
      <c r="D11" s="286">
        <v>0</v>
      </c>
      <c r="E11" s="286">
        <v>4853400</v>
      </c>
      <c r="F11" s="286">
        <v>41291.82</v>
      </c>
      <c r="G11" s="191" t="str">
        <f>VLOOKUP(B11,'TB 0825'!A:A,1,0)</f>
        <v>Advance to Vendors</v>
      </c>
    </row>
    <row r="12" spans="1:7" x14ac:dyDescent="0.35">
      <c r="A12" s="192" t="s">
        <v>505</v>
      </c>
      <c r="B12" s="195" t="str">
        <f t="shared" si="0"/>
        <v>Amazon Wallet</v>
      </c>
      <c r="C12" s="286">
        <v>305.98</v>
      </c>
      <c r="D12" s="286">
        <v>0</v>
      </c>
      <c r="E12" s="286">
        <v>0</v>
      </c>
      <c r="F12" s="286">
        <v>305.98</v>
      </c>
      <c r="G12" s="191" t="str">
        <f>VLOOKUP(B12,'TB 0825'!A:A,1,0)</f>
        <v>Amazon Wallet</v>
      </c>
    </row>
    <row r="13" spans="1:7" x14ac:dyDescent="0.35">
      <c r="A13" s="192" t="s">
        <v>506</v>
      </c>
      <c r="B13" s="195" t="str">
        <f t="shared" si="0"/>
        <v>Axis Bank 1655</v>
      </c>
      <c r="C13" s="286">
        <v>12164.34</v>
      </c>
      <c r="D13" s="286">
        <v>0</v>
      </c>
      <c r="E13" s="286">
        <v>118</v>
      </c>
      <c r="F13" s="286">
        <v>12046.34</v>
      </c>
      <c r="G13" s="191" t="str">
        <f>VLOOKUP(B13,'TB 0825'!A:A,1,0)</f>
        <v>Axis Bank 1655</v>
      </c>
    </row>
    <row r="14" spans="1:7" x14ac:dyDescent="0.35">
      <c r="A14" s="192" t="s">
        <v>507</v>
      </c>
      <c r="B14" s="195" t="str">
        <f t="shared" si="0"/>
        <v>Computer and Laptops</v>
      </c>
      <c r="C14" s="286">
        <v>8535437.0299999993</v>
      </c>
      <c r="D14" s="286">
        <v>3066599</v>
      </c>
      <c r="E14" s="286">
        <v>0</v>
      </c>
      <c r="F14" s="286">
        <v>11602036.029999999</v>
      </c>
      <c r="G14" s="191" t="str">
        <f>VLOOKUP(B14,'TB 0825'!A:A,1,0)</f>
        <v>Computer and Laptops</v>
      </c>
    </row>
    <row r="15" spans="1:7" x14ac:dyDescent="0.35">
      <c r="A15" s="192" t="s">
        <v>678</v>
      </c>
      <c r="B15" s="195" t="str">
        <f t="shared" si="0"/>
        <v>Furniture and Equipment</v>
      </c>
      <c r="C15" s="286">
        <v>704611.34</v>
      </c>
      <c r="D15" s="286">
        <v>0</v>
      </c>
      <c r="E15" s="286">
        <v>0</v>
      </c>
      <c r="F15" s="286">
        <v>704611.34</v>
      </c>
      <c r="G15" s="191" t="str">
        <f>VLOOKUP(B15,'TB 0825'!A:A,1,0)</f>
        <v>Furniture and Equipment</v>
      </c>
    </row>
    <row r="16" spans="1:7" x14ac:dyDescent="0.35">
      <c r="A16" s="192" t="s">
        <v>712</v>
      </c>
      <c r="B16" s="195" t="str">
        <f t="shared" si="0"/>
        <v>HDFC Bank 6899</v>
      </c>
      <c r="C16" s="286">
        <v>72359.7</v>
      </c>
      <c r="D16" s="286">
        <v>400000</v>
      </c>
      <c r="E16" s="286">
        <v>400000</v>
      </c>
      <c r="F16" s="286">
        <v>72359.7</v>
      </c>
      <c r="G16" s="191" t="str">
        <f>VLOOKUP(B16,'TB 0825'!A:A,1,0)</f>
        <v>HDFC Bank 6899</v>
      </c>
    </row>
    <row r="17" spans="1:7" x14ac:dyDescent="0.35">
      <c r="A17" s="192" t="s">
        <v>713</v>
      </c>
      <c r="B17" s="195" t="str">
        <f t="shared" si="0"/>
        <v>HDFC Bank 9531</v>
      </c>
      <c r="C17" s="286">
        <v>267314.33</v>
      </c>
      <c r="D17" s="286">
        <v>1991960.65</v>
      </c>
      <c r="E17" s="286">
        <v>1877923.1</v>
      </c>
      <c r="F17" s="286">
        <v>381351.88</v>
      </c>
      <c r="G17" s="191" t="str">
        <f>VLOOKUP(B17,'TB 0825'!A:A,1,0)</f>
        <v>HDFC Bank 9531</v>
      </c>
    </row>
    <row r="18" spans="1:7" x14ac:dyDescent="0.35">
      <c r="A18" s="192" t="s">
        <v>508</v>
      </c>
      <c r="B18" s="195" t="str">
        <f t="shared" si="0"/>
        <v>Input Tax Credits</v>
      </c>
      <c r="C18" s="286">
        <v>0</v>
      </c>
      <c r="D18" s="286">
        <v>0</v>
      </c>
      <c r="E18" s="286">
        <v>0</v>
      </c>
      <c r="F18" s="286">
        <v>0</v>
      </c>
    </row>
    <row r="19" spans="1:7" x14ac:dyDescent="0.35">
      <c r="A19" s="192" t="s">
        <v>509</v>
      </c>
      <c r="B19" s="195" t="str">
        <f t="shared" si="0"/>
        <v>Input CGST</v>
      </c>
      <c r="C19" s="286">
        <v>4961720.42</v>
      </c>
      <c r="D19" s="286">
        <v>1570706.01</v>
      </c>
      <c r="E19" s="286">
        <v>0</v>
      </c>
      <c r="F19" s="286">
        <v>6532426.4299999997</v>
      </c>
      <c r="G19" s="191" t="str">
        <f>VLOOKUP(B19,'TB 0825'!A:A,1,0)</f>
        <v>Input CGST</v>
      </c>
    </row>
    <row r="20" spans="1:7" x14ac:dyDescent="0.35">
      <c r="A20" s="192" t="s">
        <v>510</v>
      </c>
      <c r="B20" s="195" t="str">
        <f t="shared" si="0"/>
        <v>Input IGST</v>
      </c>
      <c r="C20" s="286">
        <v>3320212.35</v>
      </c>
      <c r="D20" s="286">
        <v>2522542.35</v>
      </c>
      <c r="E20" s="286">
        <v>2110500</v>
      </c>
      <c r="F20" s="286">
        <v>3732254.7</v>
      </c>
      <c r="G20" s="191" t="str">
        <f>VLOOKUP(B20,'TB 0825'!A:A,1,0)</f>
        <v>Input IGST</v>
      </c>
    </row>
    <row r="21" spans="1:7" x14ac:dyDescent="0.35">
      <c r="A21" s="192" t="s">
        <v>511</v>
      </c>
      <c r="B21" s="195" t="str">
        <f t="shared" si="0"/>
        <v>Input SGST</v>
      </c>
      <c r="C21" s="286">
        <v>4893362.47</v>
      </c>
      <c r="D21" s="286">
        <v>1570706.01</v>
      </c>
      <c r="E21" s="286">
        <v>0</v>
      </c>
      <c r="F21" s="286">
        <v>6464068.4800000004</v>
      </c>
      <c r="G21" s="191" t="str">
        <f>VLOOKUP(B21,'TB 0825'!A:A,1,0)</f>
        <v>Input SGST</v>
      </c>
    </row>
    <row r="22" spans="1:7" x14ac:dyDescent="0.35">
      <c r="A22" s="355" t="s">
        <v>512</v>
      </c>
      <c r="B22" s="195" t="str">
        <f t="shared" si="0"/>
        <v>Total for Input Tax Credits</v>
      </c>
      <c r="C22" s="356">
        <v>13175295.24</v>
      </c>
      <c r="D22" s="356">
        <v>5663954.3700000001</v>
      </c>
      <c r="E22" s="356">
        <v>2110500</v>
      </c>
      <c r="F22" s="356">
        <v>16728749.609999999</v>
      </c>
    </row>
    <row r="23" spans="1:7" x14ac:dyDescent="0.35">
      <c r="B23" s="195" t="str">
        <f t="shared" si="0"/>
        <v/>
      </c>
    </row>
    <row r="24" spans="1:7" x14ac:dyDescent="0.35">
      <c r="A24" s="192" t="s">
        <v>514</v>
      </c>
      <c r="B24" s="195" t="str">
        <f t="shared" si="0"/>
        <v>Investments</v>
      </c>
      <c r="C24" s="286">
        <v>0</v>
      </c>
      <c r="D24" s="286">
        <v>0</v>
      </c>
      <c r="E24" s="286">
        <v>0</v>
      </c>
      <c r="F24" s="286">
        <v>0</v>
      </c>
    </row>
    <row r="25" spans="1:7" x14ac:dyDescent="0.35">
      <c r="A25" s="192" t="s">
        <v>1339</v>
      </c>
      <c r="B25" s="195" t="str">
        <f t="shared" si="0"/>
        <v>Aditya Birla Sun Life Money Manager Fund</v>
      </c>
      <c r="C25" s="286">
        <v>0</v>
      </c>
      <c r="D25" s="286">
        <v>39998000.100000001</v>
      </c>
      <c r="E25" s="286">
        <v>0</v>
      </c>
      <c r="F25" s="286">
        <v>39998000.100000001</v>
      </c>
      <c r="G25" s="191" t="str">
        <f>VLOOKUP(B25,'TB 0825'!A:A,1,0)</f>
        <v>Aditya Birla Sun Life Money Manager Fund</v>
      </c>
    </row>
    <row r="26" spans="1:7" x14ac:dyDescent="0.35">
      <c r="A26" s="192" t="s">
        <v>1209</v>
      </c>
      <c r="B26" s="195" t="str">
        <f t="shared" si="0"/>
        <v>Fixed Deposit 50301170464152</v>
      </c>
      <c r="C26" s="286">
        <v>50000000</v>
      </c>
      <c r="D26" s="286">
        <v>0</v>
      </c>
      <c r="E26" s="286">
        <v>0</v>
      </c>
      <c r="F26" s="286">
        <v>50000000</v>
      </c>
      <c r="G26" s="191" t="str">
        <f>VLOOKUP(B26,'TB 0825'!A:A,1,0)</f>
        <v>Fixed Deposit 50301170464152</v>
      </c>
    </row>
    <row r="27" spans="1:7" x14ac:dyDescent="0.35">
      <c r="A27" s="192" t="s">
        <v>1210</v>
      </c>
      <c r="B27" s="195" t="str">
        <f t="shared" si="0"/>
        <v>Fixed Deposit 50301170464596</v>
      </c>
      <c r="C27" s="286">
        <v>100000000</v>
      </c>
      <c r="D27" s="286">
        <v>0</v>
      </c>
      <c r="E27" s="286">
        <v>0</v>
      </c>
      <c r="F27" s="286">
        <v>100000000</v>
      </c>
      <c r="G27" s="191" t="str">
        <f>VLOOKUP(B27,'TB 0825'!A:A,1,0)</f>
        <v>Fixed Deposit 50301170464596</v>
      </c>
    </row>
    <row r="28" spans="1:7" x14ac:dyDescent="0.35">
      <c r="A28" s="192" t="s">
        <v>1211</v>
      </c>
      <c r="B28" s="195" t="str">
        <f t="shared" si="0"/>
        <v>Fixed Deposit 50301170464942</v>
      </c>
      <c r="C28" s="286">
        <v>150000000</v>
      </c>
      <c r="D28" s="286">
        <v>0</v>
      </c>
      <c r="E28" s="286">
        <v>0</v>
      </c>
      <c r="F28" s="286">
        <v>150000000</v>
      </c>
      <c r="G28" s="191" t="str">
        <f>VLOOKUP(B28,'TB 0825'!A:A,1,0)</f>
        <v>Fixed Deposit 50301170464942</v>
      </c>
    </row>
    <row r="29" spans="1:7" x14ac:dyDescent="0.35">
      <c r="A29" s="192" t="s">
        <v>1212</v>
      </c>
      <c r="B29" s="195" t="str">
        <f t="shared" si="0"/>
        <v>Fixed Deposit 50301170465320</v>
      </c>
      <c r="C29" s="286">
        <v>300000000</v>
      </c>
      <c r="D29" s="286">
        <v>0</v>
      </c>
      <c r="E29" s="286">
        <v>0</v>
      </c>
      <c r="F29" s="286">
        <v>300000000</v>
      </c>
      <c r="G29" s="191" t="str">
        <f>VLOOKUP(B29,'TB 0825'!A:A,1,0)</f>
        <v>Fixed Deposit 50301170465320</v>
      </c>
    </row>
    <row r="30" spans="1:7" x14ac:dyDescent="0.35">
      <c r="A30" s="192" t="s">
        <v>1213</v>
      </c>
      <c r="B30" s="195" t="str">
        <f t="shared" si="0"/>
        <v>Fixed Deposit 9349969993</v>
      </c>
      <c r="C30" s="286">
        <v>100000000</v>
      </c>
      <c r="D30" s="286">
        <v>0</v>
      </c>
      <c r="E30" s="286">
        <v>0</v>
      </c>
      <c r="F30" s="286">
        <v>100000000</v>
      </c>
      <c r="G30" s="191" t="str">
        <f>VLOOKUP(B30,'TB 0825'!A:A,1,0)</f>
        <v>Fixed Deposit 9349969993</v>
      </c>
    </row>
    <row r="31" spans="1:7" x14ac:dyDescent="0.35">
      <c r="A31" s="192" t="s">
        <v>1214</v>
      </c>
      <c r="B31" s="195" t="str">
        <f t="shared" si="0"/>
        <v>Fixed Deposit 9349970005</v>
      </c>
      <c r="C31" s="286">
        <v>150000000</v>
      </c>
      <c r="D31" s="286">
        <v>0</v>
      </c>
      <c r="E31" s="286">
        <v>0</v>
      </c>
      <c r="F31" s="286">
        <v>150000000</v>
      </c>
      <c r="G31" s="191" t="str">
        <f>VLOOKUP(B31,'TB 0825'!A:A,1,0)</f>
        <v>Fixed Deposit 9349970005</v>
      </c>
    </row>
    <row r="32" spans="1:7" x14ac:dyDescent="0.35">
      <c r="A32" s="192" t="s">
        <v>1215</v>
      </c>
      <c r="B32" s="195" t="str">
        <f t="shared" si="0"/>
        <v>Fixed Deposit 9349970036</v>
      </c>
      <c r="C32" s="286">
        <v>150000000</v>
      </c>
      <c r="D32" s="286">
        <v>0</v>
      </c>
      <c r="E32" s="286">
        <v>0</v>
      </c>
      <c r="F32" s="286">
        <v>150000000</v>
      </c>
      <c r="G32" s="191" t="str">
        <f>VLOOKUP(B32,'TB 0825'!A:A,1,0)</f>
        <v>Fixed Deposit 9349970036</v>
      </c>
    </row>
    <row r="33" spans="1:7" x14ac:dyDescent="0.35">
      <c r="A33" s="192" t="s">
        <v>1216</v>
      </c>
      <c r="B33" s="195" t="str">
        <f t="shared" si="0"/>
        <v>Fixed Deposit 9349970081</v>
      </c>
      <c r="C33" s="286">
        <v>180000000</v>
      </c>
      <c r="D33" s="286">
        <v>0</v>
      </c>
      <c r="E33" s="286">
        <v>0</v>
      </c>
      <c r="F33" s="286">
        <v>180000000</v>
      </c>
      <c r="G33" s="191" t="str">
        <f>VLOOKUP(B33,'TB 0825'!A:A,1,0)</f>
        <v>Fixed Deposit 9349970081</v>
      </c>
    </row>
    <row r="34" spans="1:7" x14ac:dyDescent="0.35">
      <c r="A34" s="192" t="s">
        <v>1217</v>
      </c>
      <c r="B34" s="195" t="str">
        <f t="shared" si="0"/>
        <v>Fixed Deposit 9349970098</v>
      </c>
      <c r="C34" s="286">
        <v>170000000</v>
      </c>
      <c r="D34" s="286">
        <v>0</v>
      </c>
      <c r="E34" s="286">
        <v>0</v>
      </c>
      <c r="F34" s="286">
        <v>170000000</v>
      </c>
      <c r="G34" s="191" t="str">
        <f>VLOOKUP(B34,'TB 0825'!A:A,1,0)</f>
        <v>Fixed Deposit 9349970098</v>
      </c>
    </row>
    <row r="35" spans="1:7" x14ac:dyDescent="0.35">
      <c r="A35" s="192" t="s">
        <v>1218</v>
      </c>
      <c r="B35" s="195" t="str">
        <f t="shared" si="0"/>
        <v>Fixed Deposit 9349970463</v>
      </c>
      <c r="C35" s="286">
        <v>17000000</v>
      </c>
      <c r="D35" s="286">
        <v>0</v>
      </c>
      <c r="E35" s="286">
        <v>0</v>
      </c>
      <c r="F35" s="286">
        <v>17000000</v>
      </c>
      <c r="G35" s="191" t="str">
        <f>VLOOKUP(B35,'TB 0825'!A:A,1,0)</f>
        <v>Fixed Deposit 9349970463</v>
      </c>
    </row>
    <row r="36" spans="1:7" x14ac:dyDescent="0.35">
      <c r="A36" s="192" t="s">
        <v>1219</v>
      </c>
      <c r="B36" s="195" t="str">
        <f t="shared" si="0"/>
        <v>Fixed Deposit 9349970623</v>
      </c>
      <c r="C36" s="286">
        <v>250000000</v>
      </c>
      <c r="D36" s="286">
        <v>0</v>
      </c>
      <c r="E36" s="286">
        <v>0</v>
      </c>
      <c r="F36" s="286">
        <v>250000000</v>
      </c>
      <c r="G36" s="191" t="str">
        <f>VLOOKUP(B36,'TB 0825'!A:A,1,0)</f>
        <v>Fixed Deposit 9349970623</v>
      </c>
    </row>
    <row r="37" spans="1:7" x14ac:dyDescent="0.35">
      <c r="A37" s="192" t="s">
        <v>1284</v>
      </c>
      <c r="B37" s="195" t="str">
        <f t="shared" si="0"/>
        <v>Fixed Deposit 9350026708</v>
      </c>
      <c r="C37" s="286">
        <v>325000000</v>
      </c>
      <c r="D37" s="286">
        <v>0</v>
      </c>
      <c r="E37" s="286">
        <v>325000000</v>
      </c>
      <c r="F37" s="286">
        <v>0</v>
      </c>
      <c r="G37" s="191" t="str">
        <f>VLOOKUP(B37,'TB 0825'!A:A,1,0)</f>
        <v>Fixed Deposit 9350026708</v>
      </c>
    </row>
    <row r="38" spans="1:7" x14ac:dyDescent="0.35">
      <c r="A38" s="192" t="s">
        <v>1340</v>
      </c>
      <c r="B38" s="195" t="str">
        <f t="shared" si="0"/>
        <v>Fixed Deposit 9350749607</v>
      </c>
      <c r="C38" s="286">
        <v>0</v>
      </c>
      <c r="D38" s="286">
        <v>300000000</v>
      </c>
      <c r="E38" s="286">
        <v>300000000</v>
      </c>
      <c r="F38" s="286">
        <v>0</v>
      </c>
      <c r="G38" s="191" t="str">
        <f>VLOOKUP(B38,'TB 0825'!A:A,1,0)</f>
        <v>Fixed Deposit 9350749607</v>
      </c>
    </row>
    <row r="39" spans="1:7" x14ac:dyDescent="0.35">
      <c r="A39" s="192" t="s">
        <v>1341</v>
      </c>
      <c r="B39" s="195" t="str">
        <f t="shared" si="0"/>
        <v>Fixed Deposit 9350760442</v>
      </c>
      <c r="C39" s="286">
        <v>0</v>
      </c>
      <c r="D39" s="286">
        <v>5000000</v>
      </c>
      <c r="E39" s="286">
        <v>5000000</v>
      </c>
      <c r="F39" s="286">
        <v>0</v>
      </c>
      <c r="G39" s="191" t="str">
        <f>VLOOKUP(B39,'TB 0825'!A:A,1,0)</f>
        <v>Fixed Deposit 9350760442</v>
      </c>
    </row>
    <row r="40" spans="1:7" x14ac:dyDescent="0.35">
      <c r="A40" s="192" t="s">
        <v>1342</v>
      </c>
      <c r="B40" s="195" t="str">
        <f t="shared" si="0"/>
        <v>Fixed Deposit 9350764518</v>
      </c>
      <c r="C40" s="286">
        <v>0</v>
      </c>
      <c r="D40" s="286">
        <v>10000000</v>
      </c>
      <c r="E40" s="286">
        <v>10000000</v>
      </c>
      <c r="F40" s="286">
        <v>0</v>
      </c>
      <c r="G40" s="191" t="str">
        <f>VLOOKUP(B40,'TB 0825'!A:A,1,0)</f>
        <v>Fixed Deposit 9350764518</v>
      </c>
    </row>
    <row r="41" spans="1:7" x14ac:dyDescent="0.35">
      <c r="A41" s="192" t="s">
        <v>1343</v>
      </c>
      <c r="B41" s="195" t="str">
        <f t="shared" si="0"/>
        <v>Fixed Deposit 9350764655</v>
      </c>
      <c r="C41" s="286">
        <v>0</v>
      </c>
      <c r="D41" s="286">
        <v>280000000</v>
      </c>
      <c r="E41" s="286">
        <v>280000000</v>
      </c>
      <c r="F41" s="286">
        <v>0</v>
      </c>
      <c r="G41" s="191" t="str">
        <f>VLOOKUP(B41,'TB 0825'!A:A,1,0)</f>
        <v>Fixed Deposit 9350764655</v>
      </c>
    </row>
    <row r="42" spans="1:7" x14ac:dyDescent="0.35">
      <c r="A42" s="192" t="s">
        <v>1344</v>
      </c>
      <c r="B42" s="195" t="str">
        <f t="shared" si="0"/>
        <v>HDFC Money Market Fund</v>
      </c>
      <c r="C42" s="286">
        <v>0</v>
      </c>
      <c r="D42" s="286">
        <v>39998000.100000001</v>
      </c>
      <c r="E42" s="286">
        <v>0</v>
      </c>
      <c r="F42" s="286">
        <v>39998000.100000001</v>
      </c>
      <c r="G42" s="191" t="str">
        <f>VLOOKUP(B42,'TB 0825'!A:A,1,0)</f>
        <v>HDFC Money Market Fund</v>
      </c>
    </row>
    <row r="43" spans="1:7" x14ac:dyDescent="0.35">
      <c r="A43" s="192" t="s">
        <v>1345</v>
      </c>
      <c r="B43" s="195" t="str">
        <f t="shared" si="0"/>
        <v>ICICI Prudential Money Market Fund</v>
      </c>
      <c r="C43" s="286">
        <v>0</v>
      </c>
      <c r="D43" s="286">
        <v>39998000.100000001</v>
      </c>
      <c r="E43" s="286">
        <v>0</v>
      </c>
      <c r="F43" s="286">
        <v>39998000.100000001</v>
      </c>
      <c r="G43" s="191" t="str">
        <f>VLOOKUP(B43,'TB 0825'!A:A,1,0)</f>
        <v>ICICI Prudential Money Market Fund</v>
      </c>
    </row>
    <row r="44" spans="1:7" x14ac:dyDescent="0.35">
      <c r="A44" s="192" t="s">
        <v>1346</v>
      </c>
      <c r="B44" s="195" t="str">
        <f t="shared" si="0"/>
        <v>Kotak Liquid Fund</v>
      </c>
      <c r="C44" s="286">
        <v>0</v>
      </c>
      <c r="D44" s="286">
        <v>49997500.119999997</v>
      </c>
      <c r="E44" s="286">
        <v>34972608.079999998</v>
      </c>
      <c r="F44" s="286">
        <v>15024892.039999999</v>
      </c>
      <c r="G44" s="191" t="str">
        <f>VLOOKUP(B44,'TB 0825'!A:A,1,0)</f>
        <v>Kotak Liquid Fund</v>
      </c>
    </row>
    <row r="45" spans="1:7" x14ac:dyDescent="0.35">
      <c r="A45" s="192" t="s">
        <v>1347</v>
      </c>
      <c r="B45" s="195" t="str">
        <f t="shared" si="0"/>
        <v>Nippon India Money Market Fund</v>
      </c>
      <c r="C45" s="286">
        <v>0</v>
      </c>
      <c r="D45" s="286">
        <v>39998000.100000001</v>
      </c>
      <c r="E45" s="286">
        <v>0</v>
      </c>
      <c r="F45" s="286">
        <v>39998000.100000001</v>
      </c>
      <c r="G45" s="191" t="str">
        <f>VLOOKUP(B45,'TB 0825'!A:A,1,0)</f>
        <v>Nippon India Money Market Fund</v>
      </c>
    </row>
    <row r="46" spans="1:7" x14ac:dyDescent="0.35">
      <c r="A46" s="192" t="s">
        <v>1348</v>
      </c>
      <c r="B46" s="195" t="str">
        <f t="shared" si="0"/>
        <v>SBI Magnum Ultra Short Duration Fund</v>
      </c>
      <c r="C46" s="286">
        <v>0</v>
      </c>
      <c r="D46" s="286">
        <v>39998000.100000001</v>
      </c>
      <c r="E46" s="286">
        <v>0</v>
      </c>
      <c r="F46" s="286">
        <v>39998000.100000001</v>
      </c>
      <c r="G46" s="191" t="str">
        <f>VLOOKUP(B46,'TB 0825'!A:A,1,0)</f>
        <v>SBI Magnum Ultra Short Duration Fund</v>
      </c>
    </row>
    <row r="47" spans="1:7" x14ac:dyDescent="0.35">
      <c r="A47" s="192" t="s">
        <v>1349</v>
      </c>
      <c r="B47" s="195" t="str">
        <f t="shared" si="0"/>
        <v>Tata Money Market Fund</v>
      </c>
      <c r="C47" s="286">
        <v>0</v>
      </c>
      <c r="D47" s="286">
        <v>39998000.100000001</v>
      </c>
      <c r="E47" s="286">
        <v>0</v>
      </c>
      <c r="F47" s="286">
        <v>39998000.100000001</v>
      </c>
      <c r="G47" s="191" t="str">
        <f>VLOOKUP(B47,'TB 0825'!A:A,1,0)</f>
        <v>Tata Money Market Fund</v>
      </c>
    </row>
    <row r="48" spans="1:7" x14ac:dyDescent="0.35">
      <c r="A48" s="355" t="s">
        <v>521</v>
      </c>
      <c r="B48" s="195" t="str">
        <f t="shared" si="0"/>
        <v>Total for Investments</v>
      </c>
      <c r="C48" s="356">
        <v>1942000000</v>
      </c>
      <c r="D48" s="356">
        <v>884985500.72000003</v>
      </c>
      <c r="E48" s="356">
        <v>954972608.08000004</v>
      </c>
      <c r="F48" s="356">
        <v>1872012892.6400001</v>
      </c>
    </row>
    <row r="49" spans="1:7" x14ac:dyDescent="0.35">
      <c r="B49" s="195" t="str">
        <f t="shared" si="0"/>
        <v/>
      </c>
    </row>
    <row r="50" spans="1:7" x14ac:dyDescent="0.35">
      <c r="A50" s="192" t="s">
        <v>522</v>
      </c>
      <c r="B50" s="195" t="str">
        <f t="shared" si="0"/>
        <v>Kotak Mahindra Bank 9942</v>
      </c>
      <c r="C50" s="286">
        <v>1672382.45</v>
      </c>
      <c r="D50" s="286">
        <v>955641946</v>
      </c>
      <c r="E50" s="286">
        <v>944600000</v>
      </c>
      <c r="F50" s="286">
        <v>12714328.449999999</v>
      </c>
      <c r="G50" s="191" t="str">
        <f>VLOOKUP(B50,'TB 0825'!A:A,1,0)</f>
        <v>Kotak Mahindra Bank 9942</v>
      </c>
    </row>
    <row r="51" spans="1:7" x14ac:dyDescent="0.35">
      <c r="A51" s="192" t="s">
        <v>523</v>
      </c>
      <c r="B51" s="195" t="str">
        <f t="shared" si="0"/>
        <v>Kotak Mahindra Bank 9966</v>
      </c>
      <c r="C51" s="286">
        <v>3169264.89</v>
      </c>
      <c r="D51" s="286">
        <v>77678129.650000006</v>
      </c>
      <c r="E51" s="286">
        <v>78549106.269999996</v>
      </c>
      <c r="F51" s="286">
        <v>2298288.27</v>
      </c>
      <c r="G51" s="191" t="str">
        <f>VLOOKUP(B51,'TB 0825'!A:A,1,0)</f>
        <v>Kotak Mahindra Bank 9966</v>
      </c>
    </row>
    <row r="52" spans="1:7" x14ac:dyDescent="0.35">
      <c r="A52" s="192" t="s">
        <v>722</v>
      </c>
      <c r="B52" s="195" t="str">
        <f t="shared" si="0"/>
        <v>Leasehold Improvement</v>
      </c>
      <c r="C52" s="286">
        <v>3633598</v>
      </c>
      <c r="D52" s="286">
        <v>6162246</v>
      </c>
      <c r="E52" s="286">
        <v>0</v>
      </c>
      <c r="F52" s="286">
        <v>9795844</v>
      </c>
      <c r="G52" s="191" t="str">
        <f>VLOOKUP(B52,'TB 0825'!A:A,1,0)</f>
        <v>Leasehold Improvement</v>
      </c>
    </row>
    <row r="53" spans="1:7" x14ac:dyDescent="0.35">
      <c r="A53" s="192" t="s">
        <v>524</v>
      </c>
      <c r="B53" s="195" t="str">
        <f t="shared" si="0"/>
        <v>Office Equipment</v>
      </c>
      <c r="C53" s="286">
        <v>520840.59</v>
      </c>
      <c r="D53" s="286">
        <v>0.99</v>
      </c>
      <c r="E53" s="286">
        <v>0</v>
      </c>
      <c r="F53" s="286">
        <v>520841.58</v>
      </c>
      <c r="G53" s="191" t="str">
        <f>VLOOKUP(B53,'TB 0825'!A:A,1,0)</f>
        <v>Office Equipment</v>
      </c>
    </row>
    <row r="54" spans="1:7" x14ac:dyDescent="0.35">
      <c r="A54" s="192" t="s">
        <v>1422</v>
      </c>
      <c r="B54" s="195" t="str">
        <f t="shared" si="0"/>
        <v>Other Receivable</v>
      </c>
      <c r="C54" s="286">
        <v>81296.960000000006</v>
      </c>
      <c r="D54" s="286">
        <v>0</v>
      </c>
      <c r="E54" s="286">
        <v>0</v>
      </c>
      <c r="F54" s="286">
        <v>81296.960000000006</v>
      </c>
      <c r="G54" s="191" t="str">
        <f>VLOOKUP(B54,'TB 0825'!A:A,1,0)</f>
        <v>Other Receivable</v>
      </c>
    </row>
    <row r="55" spans="1:7" x14ac:dyDescent="0.35">
      <c r="A55" s="192" t="s">
        <v>1298</v>
      </c>
      <c r="B55" s="195" t="str">
        <f t="shared" si="0"/>
        <v>Prepaid - Consumption</v>
      </c>
      <c r="C55" s="286">
        <v>1222814</v>
      </c>
      <c r="D55" s="286">
        <v>0</v>
      </c>
      <c r="E55" s="286">
        <v>0</v>
      </c>
      <c r="F55" s="286">
        <v>1222814</v>
      </c>
      <c r="G55" s="191" t="str">
        <f>VLOOKUP(B55,'TB 0825'!A:A,1,0)</f>
        <v>Prepaid - Consumption</v>
      </c>
    </row>
    <row r="56" spans="1:7" x14ac:dyDescent="0.35">
      <c r="A56" s="192" t="s">
        <v>526</v>
      </c>
      <c r="B56" s="195" t="str">
        <f t="shared" si="0"/>
        <v>Prepaid Expense - Asset</v>
      </c>
      <c r="C56" s="286">
        <v>256867.36</v>
      </c>
      <c r="D56" s="286">
        <v>550000</v>
      </c>
      <c r="E56" s="286">
        <v>128433.67</v>
      </c>
      <c r="F56" s="286">
        <v>678433.69</v>
      </c>
      <c r="G56" s="191" t="str">
        <f>VLOOKUP(B56,'TB 0825'!A:A,1,0)</f>
        <v>Prepaid Expense - Asset</v>
      </c>
    </row>
    <row r="57" spans="1:7" x14ac:dyDescent="0.35">
      <c r="A57" s="192" t="s">
        <v>527</v>
      </c>
      <c r="B57" s="195" t="str">
        <f t="shared" si="0"/>
        <v>Prepaid Expenses</v>
      </c>
      <c r="C57" s="286">
        <v>10370505.35</v>
      </c>
      <c r="D57" s="286">
        <v>13030974.92</v>
      </c>
      <c r="E57" s="286">
        <v>3805284.71</v>
      </c>
      <c r="F57" s="286">
        <v>19596195.559999999</v>
      </c>
      <c r="G57" s="191" t="str">
        <f>VLOOKUP(B57,'TB 0825'!A:A,1,0)</f>
        <v>Prepaid Expenses</v>
      </c>
    </row>
    <row r="58" spans="1:7" x14ac:dyDescent="0.35">
      <c r="A58" s="192" t="s">
        <v>528</v>
      </c>
      <c r="B58" s="195" t="str">
        <f t="shared" si="0"/>
        <v>Receipt from Customers</v>
      </c>
      <c r="C58" s="286">
        <v>0</v>
      </c>
      <c r="D58" s="286">
        <v>18027839.84</v>
      </c>
      <c r="E58" s="286">
        <v>18027839.84</v>
      </c>
      <c r="F58" s="286">
        <v>0</v>
      </c>
      <c r="G58" s="191" t="str">
        <f>VLOOKUP(B58,'TB 0825'!A:A,1,0)</f>
        <v>Receipt from Customers</v>
      </c>
    </row>
    <row r="59" spans="1:7" x14ac:dyDescent="0.35">
      <c r="A59" s="192" t="s">
        <v>529</v>
      </c>
      <c r="B59" s="195" t="str">
        <f t="shared" si="0"/>
        <v>Reverse Charge Tax Input but not due</v>
      </c>
      <c r="C59" s="286">
        <v>1700476.4</v>
      </c>
      <c r="D59" s="286">
        <v>104024.61</v>
      </c>
      <c r="E59" s="286">
        <v>0</v>
      </c>
      <c r="F59" s="286">
        <v>1804501.01</v>
      </c>
      <c r="G59" s="191" t="str">
        <f>VLOOKUP(B59,'TB 0825'!A:A,1,0)</f>
        <v>Reverse Charge Tax Input but not due</v>
      </c>
    </row>
    <row r="60" spans="1:7" x14ac:dyDescent="0.35">
      <c r="A60" s="192" t="s">
        <v>530</v>
      </c>
      <c r="B60" s="195" t="str">
        <f t="shared" si="0"/>
        <v>Security Deposit</v>
      </c>
      <c r="C60" s="286">
        <v>8204400</v>
      </c>
      <c r="D60" s="286">
        <v>837000</v>
      </c>
      <c r="E60" s="286">
        <v>200000</v>
      </c>
      <c r="F60" s="286">
        <v>8841400</v>
      </c>
      <c r="G60" s="191" t="str">
        <f>VLOOKUP(B60,'TB 0825'!A:A,1,0)</f>
        <v>Security Deposit</v>
      </c>
    </row>
    <row r="61" spans="1:7" x14ac:dyDescent="0.35">
      <c r="A61" s="192" t="s">
        <v>531</v>
      </c>
      <c r="B61" s="195" t="str">
        <f t="shared" si="0"/>
        <v>TDS Receivable</v>
      </c>
      <c r="C61" s="286">
        <v>345859.7</v>
      </c>
      <c r="D61" s="286">
        <v>0</v>
      </c>
      <c r="E61" s="286">
        <v>0</v>
      </c>
      <c r="F61" s="286">
        <v>345859.7</v>
      </c>
      <c r="G61" s="191" t="str">
        <f>VLOOKUP(B61,'TB 0825'!A:A,1,0)</f>
        <v>TDS Receivable</v>
      </c>
    </row>
    <row r="62" spans="1:7" x14ac:dyDescent="0.35">
      <c r="A62" s="192" t="s">
        <v>532</v>
      </c>
      <c r="B62" s="195" t="str">
        <f t="shared" si="0"/>
        <v>Liabilities</v>
      </c>
      <c r="C62" s="191" t="s">
        <v>85</v>
      </c>
      <c r="D62" s="191" t="s">
        <v>85</v>
      </c>
      <c r="E62" s="191" t="s">
        <v>85</v>
      </c>
      <c r="F62" s="191" t="s">
        <v>85</v>
      </c>
    </row>
    <row r="63" spans="1:7" x14ac:dyDescent="0.35">
      <c r="A63" s="192" t="s">
        <v>533</v>
      </c>
      <c r="B63" s="195" t="str">
        <f t="shared" si="0"/>
        <v>Accounts Payable</v>
      </c>
      <c r="C63" s="286">
        <v>-12344688.189999999</v>
      </c>
      <c r="D63" s="286">
        <v>32717239.32</v>
      </c>
      <c r="E63" s="286">
        <v>43012922.700000003</v>
      </c>
      <c r="F63" s="286">
        <v>-22640371.57</v>
      </c>
      <c r="G63" s="191" t="str">
        <f>VLOOKUP(B63,'TB 0825'!A:A,1,0)</f>
        <v>Accounts Payable</v>
      </c>
    </row>
    <row r="64" spans="1:7" x14ac:dyDescent="0.35">
      <c r="A64" s="192" t="s">
        <v>1329</v>
      </c>
      <c r="B64" s="195" t="str">
        <f t="shared" si="0"/>
        <v>Advance from B2C Customer</v>
      </c>
      <c r="C64" s="286">
        <v>-1444071.37</v>
      </c>
      <c r="D64" s="286">
        <v>1443482.87</v>
      </c>
      <c r="E64" s="286">
        <v>1833728</v>
      </c>
      <c r="F64" s="286">
        <v>-1834316.5</v>
      </c>
      <c r="G64" s="191" t="str">
        <f>VLOOKUP(B64,'TB 0825'!A:A,1,0)</f>
        <v>Advance from B2C Customer</v>
      </c>
    </row>
    <row r="65" spans="1:7" x14ac:dyDescent="0.35">
      <c r="A65" s="192" t="s">
        <v>534</v>
      </c>
      <c r="B65" s="195" t="str">
        <f t="shared" si="0"/>
        <v>App Wallet</v>
      </c>
      <c r="C65" s="286">
        <v>-346262.27</v>
      </c>
      <c r="D65" s="286">
        <v>0</v>
      </c>
      <c r="E65" s="286">
        <v>541717</v>
      </c>
      <c r="F65" s="286">
        <v>-887979.27</v>
      </c>
      <c r="G65" s="191" t="str">
        <f>VLOOKUP(B65,'TB 0825'!A:A,1,0)</f>
        <v>App Wallet</v>
      </c>
    </row>
    <row r="66" spans="1:7" x14ac:dyDescent="0.35">
      <c r="A66" s="192" t="s">
        <v>535</v>
      </c>
      <c r="B66" s="195" t="str">
        <f t="shared" si="0"/>
        <v>Employee Reimbursements</v>
      </c>
      <c r="C66" s="286">
        <v>0</v>
      </c>
      <c r="D66" s="286">
        <v>19532.12</v>
      </c>
      <c r="E66" s="286">
        <v>519532.12</v>
      </c>
      <c r="F66" s="286">
        <v>-500000</v>
      </c>
      <c r="G66" s="191" t="str">
        <f>VLOOKUP(B66,'TB 0825'!A:A,1,0)</f>
        <v>Employee Reimbursements</v>
      </c>
    </row>
    <row r="67" spans="1:7" x14ac:dyDescent="0.35">
      <c r="A67" s="192" t="s">
        <v>621</v>
      </c>
      <c r="B67" s="195" t="str">
        <f t="shared" si="0"/>
        <v>Employee Salaries Payable</v>
      </c>
      <c r="C67" s="286">
        <v>-877478</v>
      </c>
      <c r="D67" s="286">
        <v>19427241</v>
      </c>
      <c r="E67" s="286">
        <v>19271014</v>
      </c>
      <c r="F67" s="286">
        <v>-721251</v>
      </c>
      <c r="G67" s="191" t="str">
        <f>VLOOKUP(B67,'TB 0825'!A:A,1,0)</f>
        <v>Employee Salaries Payable</v>
      </c>
    </row>
    <row r="68" spans="1:7" x14ac:dyDescent="0.35">
      <c r="A68" s="192" t="s">
        <v>763</v>
      </c>
      <c r="B68" s="195" t="str">
        <f t="shared" si="0"/>
        <v>Employees State Insurance</v>
      </c>
      <c r="C68" s="286">
        <v>0</v>
      </c>
      <c r="D68" s="286">
        <v>0</v>
      </c>
      <c r="E68" s="286">
        <v>0</v>
      </c>
      <c r="F68" s="286">
        <v>0</v>
      </c>
    </row>
    <row r="69" spans="1:7" x14ac:dyDescent="0.35">
      <c r="A69" s="192" t="s">
        <v>764</v>
      </c>
      <c r="B69" s="195" t="str">
        <f t="shared" ref="B69:B147" si="1">TRIM(A69)</f>
        <v>ESI - Employee</v>
      </c>
      <c r="C69" s="286">
        <v>-144</v>
      </c>
      <c r="D69" s="286">
        <v>144</v>
      </c>
      <c r="E69" s="286">
        <v>144</v>
      </c>
      <c r="F69" s="286">
        <v>-144</v>
      </c>
      <c r="G69" s="191" t="str">
        <f>VLOOKUP(B69,'TB 0825'!A:A,1,0)</f>
        <v>ESI - Employee</v>
      </c>
    </row>
    <row r="70" spans="1:7" x14ac:dyDescent="0.35">
      <c r="A70" s="192" t="s">
        <v>765</v>
      </c>
      <c r="B70" s="195" t="str">
        <f t="shared" si="1"/>
        <v>ESI - Employer</v>
      </c>
      <c r="C70" s="286">
        <v>-621</v>
      </c>
      <c r="D70" s="286">
        <v>622</v>
      </c>
      <c r="E70" s="286">
        <v>621</v>
      </c>
      <c r="F70" s="286">
        <v>-620</v>
      </c>
      <c r="G70" s="191" t="str">
        <f>VLOOKUP(B70,'TB 0825'!A:A,1,0)</f>
        <v>ESI - Employer</v>
      </c>
    </row>
    <row r="71" spans="1:7" x14ac:dyDescent="0.35">
      <c r="A71" s="355" t="s">
        <v>766</v>
      </c>
      <c r="B71" s="195" t="str">
        <f t="shared" si="1"/>
        <v>Total for Employees State Insurance</v>
      </c>
      <c r="C71" s="356">
        <v>-765</v>
      </c>
      <c r="D71" s="356">
        <v>766</v>
      </c>
      <c r="E71" s="356">
        <v>765</v>
      </c>
      <c r="F71" s="356">
        <v>-764</v>
      </c>
    </row>
    <row r="72" spans="1:7" x14ac:dyDescent="0.35">
      <c r="B72" s="195" t="str">
        <f t="shared" si="1"/>
        <v/>
      </c>
    </row>
    <row r="73" spans="1:7" x14ac:dyDescent="0.35">
      <c r="A73" s="192" t="s">
        <v>1198</v>
      </c>
      <c r="B73" s="195" t="str">
        <f t="shared" si="1"/>
        <v>Expert Joining Bonus Payable</v>
      </c>
      <c r="C73" s="286">
        <v>-354140</v>
      </c>
      <c r="D73" s="286">
        <v>316150</v>
      </c>
      <c r="E73" s="286">
        <v>453220</v>
      </c>
      <c r="F73" s="286">
        <v>-491210</v>
      </c>
      <c r="G73" s="191" t="str">
        <f>VLOOKUP(B73,'TB 0825'!A:A,1,0)</f>
        <v>Expert Joining Bonus Payable</v>
      </c>
    </row>
    <row r="74" spans="1:7" x14ac:dyDescent="0.35">
      <c r="A74" s="192" t="s">
        <v>1222</v>
      </c>
      <c r="B74" s="195" t="str">
        <f t="shared" si="1"/>
        <v>Expert Referral Bonus Payable</v>
      </c>
      <c r="C74" s="286">
        <v>0</v>
      </c>
      <c r="D74" s="286">
        <v>355450</v>
      </c>
      <c r="E74" s="286">
        <v>355450</v>
      </c>
      <c r="F74" s="286">
        <v>0</v>
      </c>
      <c r="G74" s="191" t="str">
        <f>VLOOKUP(B74,'TB 0825'!A:A,1,0)</f>
        <v>Expert Referral Bonus Payable</v>
      </c>
    </row>
    <row r="75" spans="1:7" x14ac:dyDescent="0.35">
      <c r="A75" s="192" t="s">
        <v>1285</v>
      </c>
      <c r="B75" s="195" t="str">
        <f t="shared" si="1"/>
        <v>Expert Retention Bonus Payable</v>
      </c>
      <c r="C75" s="286">
        <v>0</v>
      </c>
      <c r="D75" s="286">
        <v>294350</v>
      </c>
      <c r="E75" s="286">
        <v>294350</v>
      </c>
      <c r="F75" s="286">
        <v>0</v>
      </c>
      <c r="G75" s="191" t="str">
        <f>VLOOKUP(B75,'TB 0825'!A:A,1,0)</f>
        <v>Expert Retention Bonus Payable</v>
      </c>
    </row>
    <row r="76" spans="1:7" x14ac:dyDescent="0.35">
      <c r="A76" s="192" t="s">
        <v>963</v>
      </c>
      <c r="B76" s="195" t="str">
        <f t="shared" si="1"/>
        <v>Expert Service Cost Payable</v>
      </c>
      <c r="C76" s="286">
        <v>-19596083.350000001</v>
      </c>
      <c r="D76" s="286">
        <v>18986338.329999998</v>
      </c>
      <c r="E76" s="286">
        <v>28946682.559999999</v>
      </c>
      <c r="F76" s="286">
        <v>-29556427.579999998</v>
      </c>
      <c r="G76" s="191" t="str">
        <f>VLOOKUP(B76,'TB 0825'!A:A,1,0)</f>
        <v>Expert Service Cost Payable</v>
      </c>
    </row>
    <row r="77" spans="1:7" x14ac:dyDescent="0.35">
      <c r="A77" s="192" t="s">
        <v>1223</v>
      </c>
      <c r="B77" s="195" t="str">
        <f t="shared" si="1"/>
        <v>Expert Yulu Bonus Payable</v>
      </c>
      <c r="C77" s="286">
        <v>0</v>
      </c>
      <c r="D77" s="286">
        <v>66478.5</v>
      </c>
      <c r="E77" s="286">
        <v>66478.5</v>
      </c>
      <c r="F77" s="286">
        <v>0</v>
      </c>
      <c r="G77" s="191" t="str">
        <f>VLOOKUP(B77,'TB 0825'!A:A,1,0)</f>
        <v>Expert Yulu Bonus Payable</v>
      </c>
    </row>
    <row r="78" spans="1:7" x14ac:dyDescent="0.35">
      <c r="A78" s="192" t="s">
        <v>536</v>
      </c>
      <c r="B78" s="195" t="str">
        <f t="shared" si="1"/>
        <v>GST Payable</v>
      </c>
      <c r="C78" s="286">
        <v>0</v>
      </c>
      <c r="D78" s="286">
        <v>0</v>
      </c>
      <c r="E78" s="286">
        <v>0</v>
      </c>
      <c r="F78" s="286">
        <v>0</v>
      </c>
      <c r="G78" s="191" t="str">
        <f>VLOOKUP(B78,'TB 0825'!A:A,1,0)</f>
        <v>GST Payable</v>
      </c>
    </row>
    <row r="79" spans="1:7" x14ac:dyDescent="0.35">
      <c r="A79" s="192" t="s">
        <v>537</v>
      </c>
      <c r="B79" s="195" t="str">
        <f t="shared" si="1"/>
        <v>Output CGST</v>
      </c>
      <c r="C79" s="286">
        <v>-561976.03</v>
      </c>
      <c r="D79" s="286">
        <v>513481.47</v>
      </c>
      <c r="E79" s="286">
        <v>951675.5</v>
      </c>
      <c r="F79" s="286">
        <v>-1000170.06</v>
      </c>
      <c r="G79" s="191" t="str">
        <f>VLOOKUP(B79,'TB 0825'!A:A,1,0)</f>
        <v>Output CGST</v>
      </c>
    </row>
    <row r="80" spans="1:7" x14ac:dyDescent="0.35">
      <c r="A80" s="192" t="s">
        <v>538</v>
      </c>
      <c r="B80" s="195" t="str">
        <f t="shared" si="1"/>
        <v>Output IGST</v>
      </c>
      <c r="C80" s="286">
        <v>-1640668.92</v>
      </c>
      <c r="D80" s="286">
        <v>1585079</v>
      </c>
      <c r="E80" s="286">
        <v>592829.94999999995</v>
      </c>
      <c r="F80" s="286">
        <v>-648419.87</v>
      </c>
      <c r="G80" s="191" t="str">
        <f>VLOOKUP(B80,'TB 0825'!A:A,1,0)</f>
        <v>Output IGST</v>
      </c>
    </row>
    <row r="81" spans="1:7" x14ac:dyDescent="0.35">
      <c r="A81" s="192" t="s">
        <v>539</v>
      </c>
      <c r="B81" s="195" t="str">
        <f t="shared" si="1"/>
        <v>Output SGST</v>
      </c>
      <c r="C81" s="286">
        <v>-561974.03</v>
      </c>
      <c r="D81" s="286">
        <v>513481.47</v>
      </c>
      <c r="E81" s="286">
        <v>951675.5</v>
      </c>
      <c r="F81" s="286">
        <v>-1000168.06</v>
      </c>
      <c r="G81" s="191" t="str">
        <f>VLOOKUP(B81,'TB 0825'!A:A,1,0)</f>
        <v>Output SGST</v>
      </c>
    </row>
    <row r="82" spans="1:7" x14ac:dyDescent="0.35">
      <c r="A82" s="355" t="s">
        <v>540</v>
      </c>
      <c r="B82" s="195" t="str">
        <f t="shared" si="1"/>
        <v>Total for GST Payable</v>
      </c>
      <c r="C82" s="356">
        <v>-2764618.98</v>
      </c>
      <c r="D82" s="356">
        <v>2612041.94</v>
      </c>
      <c r="E82" s="356">
        <v>2496180.9500000002</v>
      </c>
      <c r="F82" s="356">
        <v>-2648757.9900000002</v>
      </c>
    </row>
    <row r="83" spans="1:7" x14ac:dyDescent="0.35">
      <c r="B83" s="195" t="str">
        <f t="shared" si="1"/>
        <v/>
      </c>
    </row>
    <row r="84" spans="1:7" x14ac:dyDescent="0.35">
      <c r="A84" s="192" t="s">
        <v>541</v>
      </c>
      <c r="B84" s="195" t="str">
        <f t="shared" si="1"/>
        <v>Professional Tax</v>
      </c>
      <c r="C84" s="286">
        <v>-29000</v>
      </c>
      <c r="D84" s="286">
        <v>29200</v>
      </c>
      <c r="E84" s="286">
        <v>31400</v>
      </c>
      <c r="F84" s="286">
        <v>-31200</v>
      </c>
      <c r="G84" s="191" t="str">
        <f>VLOOKUP(B84,'TB 0825'!A:A,1,0)</f>
        <v>Professional Tax</v>
      </c>
    </row>
    <row r="85" spans="1:7" x14ac:dyDescent="0.35">
      <c r="A85" s="192" t="s">
        <v>542</v>
      </c>
      <c r="B85" s="195" t="str">
        <f t="shared" si="1"/>
        <v>Provident Fund</v>
      </c>
      <c r="C85" s="286">
        <v>0</v>
      </c>
      <c r="D85" s="286">
        <v>0</v>
      </c>
      <c r="E85" s="286">
        <v>0</v>
      </c>
      <c r="F85" s="286">
        <v>0</v>
      </c>
    </row>
    <row r="86" spans="1:7" x14ac:dyDescent="0.35">
      <c r="A86" s="192" t="s">
        <v>543</v>
      </c>
      <c r="B86" s="195" t="str">
        <f t="shared" si="1"/>
        <v>Provident Fund - Employee</v>
      </c>
      <c r="C86" s="286">
        <v>-306782</v>
      </c>
      <c r="D86" s="286">
        <v>306782</v>
      </c>
      <c r="E86" s="286">
        <v>327631</v>
      </c>
      <c r="F86" s="286">
        <v>-327631</v>
      </c>
      <c r="G86" s="191" t="str">
        <f>VLOOKUP(B86,'TB 0825'!A:A,1,0)</f>
        <v>Provident Fund - Employee</v>
      </c>
    </row>
    <row r="87" spans="1:7" x14ac:dyDescent="0.35">
      <c r="A87" s="192" t="s">
        <v>544</v>
      </c>
      <c r="B87" s="195" t="str">
        <f t="shared" si="1"/>
        <v>Provident Fund - Employer</v>
      </c>
      <c r="C87" s="286">
        <v>-306782</v>
      </c>
      <c r="D87" s="286">
        <v>306782</v>
      </c>
      <c r="E87" s="286">
        <v>327631</v>
      </c>
      <c r="F87" s="286">
        <v>-327631</v>
      </c>
      <c r="G87" s="191" t="str">
        <f>VLOOKUP(B87,'TB 0825'!A:A,1,0)</f>
        <v>Provident Fund - Employer</v>
      </c>
    </row>
    <row r="88" spans="1:7" x14ac:dyDescent="0.35">
      <c r="A88" s="355" t="s">
        <v>545</v>
      </c>
      <c r="B88" s="195" t="str">
        <f t="shared" si="1"/>
        <v>Total for Provident Fund</v>
      </c>
      <c r="C88" s="356">
        <v>-613564</v>
      </c>
      <c r="D88" s="356">
        <v>613564</v>
      </c>
      <c r="E88" s="356">
        <v>655262</v>
      </c>
      <c r="F88" s="356">
        <v>-655262</v>
      </c>
    </row>
    <row r="89" spans="1:7" x14ac:dyDescent="0.35">
      <c r="B89" s="195" t="str">
        <f t="shared" si="1"/>
        <v/>
      </c>
    </row>
    <row r="90" spans="1:7" x14ac:dyDescent="0.35">
      <c r="A90" s="192" t="s">
        <v>546</v>
      </c>
      <c r="B90" s="195" t="str">
        <f t="shared" si="1"/>
        <v>Provision for Audit Fees</v>
      </c>
      <c r="C90" s="286">
        <v>-100000</v>
      </c>
      <c r="D90" s="286">
        <v>0</v>
      </c>
      <c r="E90" s="286">
        <v>0</v>
      </c>
      <c r="F90" s="286">
        <v>-100000</v>
      </c>
      <c r="G90" s="191" t="str">
        <f>VLOOKUP(B90,'TB 0825'!A:A,1,0)</f>
        <v>Provision for Audit Fees</v>
      </c>
    </row>
    <row r="91" spans="1:7" x14ac:dyDescent="0.35">
      <c r="A91" s="192" t="s">
        <v>617</v>
      </c>
      <c r="B91" s="195" t="str">
        <f t="shared" si="1"/>
        <v>Provision for Customer Acquisition Cost</v>
      </c>
      <c r="C91" s="286">
        <v>-824889</v>
      </c>
      <c r="D91" s="286">
        <v>43000</v>
      </c>
      <c r="E91" s="286">
        <v>95900</v>
      </c>
      <c r="F91" s="286">
        <v>-877789</v>
      </c>
      <c r="G91" s="191" t="str">
        <f>VLOOKUP(B91,'TB 0825'!A:A,1,0)</f>
        <v>Provision for Customer Acquisition Cost</v>
      </c>
    </row>
    <row r="92" spans="1:7" x14ac:dyDescent="0.35">
      <c r="A92" s="192" t="s">
        <v>1295</v>
      </c>
      <c r="B92" s="195" t="str">
        <f t="shared" si="1"/>
        <v>Provision for Employee Cost</v>
      </c>
      <c r="C92" s="286">
        <v>-35000</v>
      </c>
      <c r="D92" s="286">
        <v>35000</v>
      </c>
      <c r="E92" s="286">
        <v>1792293</v>
      </c>
      <c r="F92" s="286">
        <v>-1792293</v>
      </c>
      <c r="G92" s="191" t="str">
        <f>VLOOKUP(B92,'TB 0825'!A:A,1,0)</f>
        <v>Provision for Employee Cost</v>
      </c>
    </row>
    <row r="93" spans="1:7" x14ac:dyDescent="0.35">
      <c r="A93" s="192" t="s">
        <v>1423</v>
      </c>
      <c r="B93" s="195" t="str">
        <f t="shared" si="1"/>
        <v>Provision for Gratuity - LT</v>
      </c>
      <c r="C93" s="286">
        <v>-548984</v>
      </c>
      <c r="D93" s="286">
        <v>0</v>
      </c>
      <c r="E93" s="286">
        <v>0</v>
      </c>
      <c r="F93" s="286">
        <v>-548984</v>
      </c>
      <c r="G93" s="191" t="str">
        <f>VLOOKUP(B93,'TB 0825'!A:A,1,0)</f>
        <v>Provision for Gratuity - LT</v>
      </c>
    </row>
    <row r="94" spans="1:7" x14ac:dyDescent="0.35">
      <c r="A94" s="192" t="s">
        <v>1424</v>
      </c>
      <c r="B94" s="195" t="str">
        <f t="shared" si="1"/>
        <v>Provision for Gratuity - ST</v>
      </c>
      <c r="C94" s="286">
        <v>-1269</v>
      </c>
      <c r="D94" s="286">
        <v>0</v>
      </c>
      <c r="E94" s="286">
        <v>0</v>
      </c>
      <c r="F94" s="286">
        <v>-1269</v>
      </c>
      <c r="G94" s="191" t="str">
        <f>VLOOKUP(B94,'TB 0825'!A:A,1,0)</f>
        <v>Provision for Gratuity - ST</v>
      </c>
    </row>
    <row r="95" spans="1:7" x14ac:dyDescent="0.35">
      <c r="A95" s="192" t="s">
        <v>1350</v>
      </c>
      <c r="B95" s="195" t="str">
        <f t="shared" si="1"/>
        <v>Provision for Marketing Expense</v>
      </c>
      <c r="C95" s="286">
        <v>0</v>
      </c>
      <c r="D95" s="286">
        <v>0</v>
      </c>
      <c r="E95" s="286">
        <v>12000000</v>
      </c>
      <c r="F95" s="286">
        <v>-12000000</v>
      </c>
      <c r="G95" s="191" t="str">
        <f>VLOOKUP(B95,'TB 0825'!A:A,1,0)</f>
        <v>Provision for Marketing Expense</v>
      </c>
    </row>
    <row r="96" spans="1:7" x14ac:dyDescent="0.35">
      <c r="A96" s="192" t="s">
        <v>547</v>
      </c>
      <c r="B96" s="195" t="str">
        <f t="shared" si="1"/>
        <v>Provision for Other Cost</v>
      </c>
      <c r="C96" s="286">
        <v>-1145386.92</v>
      </c>
      <c r="D96" s="286">
        <v>1138845</v>
      </c>
      <c r="E96" s="286">
        <v>10552048.439999999</v>
      </c>
      <c r="F96" s="286">
        <v>-10558590.359999999</v>
      </c>
      <c r="G96" s="191" t="str">
        <f>VLOOKUP(B96,'TB 0825'!A:A,1,0)</f>
        <v>Provision for Other Cost</v>
      </c>
    </row>
    <row r="97" spans="1:7" x14ac:dyDescent="0.35">
      <c r="A97" s="192" t="s">
        <v>959</v>
      </c>
      <c r="B97" s="195" t="str">
        <f t="shared" si="1"/>
        <v>Provision for Professional Fees</v>
      </c>
      <c r="C97" s="286">
        <v>0</v>
      </c>
      <c r="D97" s="286">
        <v>0</v>
      </c>
      <c r="E97" s="286">
        <v>567000</v>
      </c>
      <c r="F97" s="286">
        <v>-567000</v>
      </c>
      <c r="G97" s="191" t="str">
        <f>VLOOKUP(B97,'TB 0825'!A:A,1,0)</f>
        <v>Provision for Professional Fees</v>
      </c>
    </row>
    <row r="98" spans="1:7" x14ac:dyDescent="0.35">
      <c r="A98" s="192" t="s">
        <v>1226</v>
      </c>
      <c r="B98" s="195" t="str">
        <f t="shared" si="1"/>
        <v>Provision for Rent Expense</v>
      </c>
      <c r="C98" s="286">
        <v>-368100</v>
      </c>
      <c r="D98" s="286">
        <v>180000</v>
      </c>
      <c r="E98" s="286">
        <v>500000</v>
      </c>
      <c r="F98" s="286">
        <v>-688100</v>
      </c>
      <c r="G98" s="191" t="str">
        <f>VLOOKUP(B98,'TB 0825'!A:A,1,0)</f>
        <v>Provision for Rent Expense</v>
      </c>
    </row>
    <row r="99" spans="1:7" x14ac:dyDescent="0.35">
      <c r="A99" s="192" t="s">
        <v>634</v>
      </c>
      <c r="B99" s="195" t="str">
        <f t="shared" si="1"/>
        <v>Provision for Service Cost</v>
      </c>
      <c r="C99" s="286">
        <v>0</v>
      </c>
      <c r="D99" s="286">
        <v>0</v>
      </c>
      <c r="E99" s="286">
        <v>4300000</v>
      </c>
      <c r="F99" s="286">
        <v>-4300000</v>
      </c>
      <c r="G99" s="191" t="str">
        <f>VLOOKUP(B99,'TB 0825'!A:A,1,0)</f>
        <v>Provision for Service Cost</v>
      </c>
    </row>
    <row r="100" spans="1:7" x14ac:dyDescent="0.35">
      <c r="A100" s="192" t="s">
        <v>549</v>
      </c>
      <c r="B100" s="195" t="str">
        <f t="shared" si="1"/>
        <v>Provision for Software Expense</v>
      </c>
      <c r="C100" s="286">
        <v>-110975.03</v>
      </c>
      <c r="D100" s="286">
        <v>0</v>
      </c>
      <c r="E100" s="286">
        <v>0</v>
      </c>
      <c r="F100" s="286">
        <v>-110975.03</v>
      </c>
      <c r="G100" s="191" t="str">
        <f>VLOOKUP(B100,'TB 0825'!A:A,1,0)</f>
        <v>Provision for Software Expense</v>
      </c>
    </row>
    <row r="101" spans="1:7" x14ac:dyDescent="0.35">
      <c r="A101" s="192" t="s">
        <v>1227</v>
      </c>
      <c r="B101" s="195" t="str">
        <f t="shared" si="1"/>
        <v>Provision for Staff Welfare Expense</v>
      </c>
      <c r="C101" s="286">
        <v>-241766.92</v>
      </c>
      <c r="D101" s="286">
        <v>30110.28</v>
      </c>
      <c r="E101" s="286">
        <v>26672.13</v>
      </c>
      <c r="F101" s="286">
        <v>-238328.77</v>
      </c>
      <c r="G101" s="191" t="str">
        <f>VLOOKUP(B101,'TB 0825'!A:A,1,0)</f>
        <v>Provision for Staff Welfare Expense</v>
      </c>
    </row>
    <row r="102" spans="1:7" x14ac:dyDescent="0.35">
      <c r="A102" s="192" t="s">
        <v>1228</v>
      </c>
      <c r="B102" s="195" t="str">
        <f t="shared" si="1"/>
        <v>Provision for TC Expense</v>
      </c>
      <c r="C102" s="286">
        <v>-123139.69</v>
      </c>
      <c r="D102" s="286">
        <v>0</v>
      </c>
      <c r="E102" s="286">
        <v>17268.939999999999</v>
      </c>
      <c r="F102" s="286">
        <v>-140408.63</v>
      </c>
      <c r="G102" s="191" t="str">
        <f>VLOOKUP(B102,'TB 0825'!A:A,1,0)</f>
        <v>Provision for TC Expense</v>
      </c>
    </row>
    <row r="103" spans="1:7" x14ac:dyDescent="0.35">
      <c r="A103" s="192" t="s">
        <v>550</v>
      </c>
      <c r="B103" s="195" t="str">
        <f t="shared" si="1"/>
        <v>TDS Payable</v>
      </c>
      <c r="C103" s="286">
        <v>-4115870.28</v>
      </c>
      <c r="D103" s="286">
        <v>4240522</v>
      </c>
      <c r="E103" s="286">
        <v>3943397.19</v>
      </c>
      <c r="F103" s="286">
        <v>-3818745.47</v>
      </c>
      <c r="G103" s="191" t="str">
        <f>VLOOKUP(B103,'TB 0825'!A:A,1,0)</f>
        <v>TDS Payable</v>
      </c>
    </row>
    <row r="104" spans="1:7" x14ac:dyDescent="0.35">
      <c r="A104" s="192" t="s">
        <v>551</v>
      </c>
      <c r="B104" s="195" t="str">
        <f t="shared" si="1"/>
        <v>Variable Salary Payable</v>
      </c>
      <c r="C104" s="286">
        <v>-1389238</v>
      </c>
      <c r="D104" s="286">
        <v>0</v>
      </c>
      <c r="E104" s="286">
        <v>407707</v>
      </c>
      <c r="F104" s="286">
        <v>-1796945</v>
      </c>
      <c r="G104" s="191" t="str">
        <f>VLOOKUP(B104,'TB 0825'!A:A,1,0)</f>
        <v>Variable Salary Payable</v>
      </c>
    </row>
    <row r="105" spans="1:7" x14ac:dyDescent="0.35">
      <c r="A105" s="192" t="s">
        <v>552</v>
      </c>
      <c r="B105" s="195" t="str">
        <f t="shared" si="1"/>
        <v>Equities</v>
      </c>
      <c r="C105" s="191" t="s">
        <v>85</v>
      </c>
      <c r="D105" s="191" t="s">
        <v>85</v>
      </c>
      <c r="E105" s="191" t="s">
        <v>85</v>
      </c>
      <c r="F105" s="191" t="s">
        <v>85</v>
      </c>
    </row>
    <row r="106" spans="1:7" x14ac:dyDescent="0.35">
      <c r="A106" s="192" t="s">
        <v>553</v>
      </c>
      <c r="B106" s="195" t="str">
        <f t="shared" si="1"/>
        <v>Current Year Earnings</v>
      </c>
      <c r="C106" s="286">
        <v>151822128.5</v>
      </c>
      <c r="D106" s="286">
        <v>0</v>
      </c>
      <c r="E106" s="286">
        <v>0</v>
      </c>
      <c r="F106" s="286">
        <v>151822128.5</v>
      </c>
      <c r="G106" s="191" t="str">
        <f>VLOOKUP(B106,'TB 0825'!A:A,1,0)</f>
        <v>Current Year Earnings</v>
      </c>
    </row>
    <row r="107" spans="1:7" x14ac:dyDescent="0.35">
      <c r="A107" s="192" t="s">
        <v>1426</v>
      </c>
      <c r="B107" s="195" t="str">
        <f t="shared" si="1"/>
        <v>ESOP Outstanding Reserve</v>
      </c>
      <c r="C107" s="286">
        <v>-1245691</v>
      </c>
      <c r="D107" s="286">
        <v>0</v>
      </c>
      <c r="E107" s="286">
        <v>0</v>
      </c>
      <c r="F107" s="286">
        <v>-1245691</v>
      </c>
      <c r="G107" s="191" t="str">
        <f>VLOOKUP(B107,'TB 0825'!A:A,1,0)</f>
        <v>ESOP Outstanding Reserve</v>
      </c>
    </row>
    <row r="108" spans="1:7" x14ac:dyDescent="0.35">
      <c r="A108" s="192" t="s">
        <v>554</v>
      </c>
      <c r="B108" s="195" t="str">
        <f t="shared" si="1"/>
        <v>Owner's Equity</v>
      </c>
      <c r="C108" s="286">
        <v>-100000</v>
      </c>
      <c r="D108" s="286">
        <v>0</v>
      </c>
      <c r="E108" s="286">
        <v>0</v>
      </c>
      <c r="F108" s="286">
        <v>-100000</v>
      </c>
      <c r="G108" s="191" t="str">
        <f>VLOOKUP(B108,'TB 0825'!A:A,1,0)</f>
        <v>Owner's Equity</v>
      </c>
    </row>
    <row r="109" spans="1:7" x14ac:dyDescent="0.35">
      <c r="A109" s="192" t="s">
        <v>683</v>
      </c>
      <c r="B109" s="195" t="str">
        <f t="shared" si="1"/>
        <v>Elevation Capital III Limited ESC</v>
      </c>
      <c r="C109" s="286">
        <v>-10</v>
      </c>
      <c r="D109" s="286">
        <v>0</v>
      </c>
      <c r="E109" s="286">
        <v>0</v>
      </c>
      <c r="F109" s="286">
        <v>-10</v>
      </c>
      <c r="G109" s="191" t="str">
        <f>VLOOKUP(B109,'TB 0825'!A:A,1,0)</f>
        <v>Elevation Capital III Limited ESC</v>
      </c>
    </row>
    <row r="110" spans="1:7" x14ac:dyDescent="0.35">
      <c r="A110" s="192" t="s">
        <v>684</v>
      </c>
      <c r="B110" s="195" t="str">
        <f t="shared" si="1"/>
        <v>Elevation Capital III Limited PSC</v>
      </c>
      <c r="C110" s="286">
        <v>-5463300</v>
      </c>
      <c r="D110" s="286">
        <v>0</v>
      </c>
      <c r="E110" s="286">
        <v>0</v>
      </c>
      <c r="F110" s="286">
        <v>-5463300</v>
      </c>
      <c r="G110" s="191" t="str">
        <f>VLOOKUP(B110,'TB 0825'!A:A,1,0)</f>
        <v>Elevation Capital III Limited PSC</v>
      </c>
    </row>
    <row r="111" spans="1:7" x14ac:dyDescent="0.35">
      <c r="A111" s="192" t="s">
        <v>685</v>
      </c>
      <c r="B111" s="195" t="str">
        <f t="shared" si="1"/>
        <v>Gaurav Munjal</v>
      </c>
      <c r="C111" s="286">
        <v>-10800</v>
      </c>
      <c r="D111" s="286">
        <v>0</v>
      </c>
      <c r="E111" s="286">
        <v>0</v>
      </c>
      <c r="F111" s="286">
        <v>-10800</v>
      </c>
      <c r="G111" s="191" t="str">
        <f>VLOOKUP(B111,'TB 0825'!A:A,1,0)</f>
        <v>Gaurav Munjal</v>
      </c>
    </row>
    <row r="112" spans="1:7" x14ac:dyDescent="0.35">
      <c r="A112" s="192" t="s">
        <v>1229</v>
      </c>
      <c r="B112" s="195" t="str">
        <f t="shared" si="1"/>
        <v>Lightspeed India Partners IV LLC</v>
      </c>
      <c r="C112" s="286">
        <v>-3772700</v>
      </c>
      <c r="D112" s="286">
        <v>0</v>
      </c>
      <c r="E112" s="286">
        <v>0</v>
      </c>
      <c r="F112" s="286">
        <v>-3772700</v>
      </c>
      <c r="G112" s="191" t="str">
        <f>VLOOKUP(B112,'TB 0825'!A:A,1,0)</f>
        <v>Lightspeed India Partners IV LLC</v>
      </c>
    </row>
    <row r="113" spans="1:7" x14ac:dyDescent="0.35">
      <c r="A113" s="192" t="s">
        <v>555</v>
      </c>
      <c r="B113" s="195" t="str">
        <f t="shared" si="1"/>
        <v>Nexus Ventures VII Holdings LLC ESC</v>
      </c>
      <c r="C113" s="286">
        <v>-10</v>
      </c>
      <c r="D113" s="286">
        <v>0</v>
      </c>
      <c r="E113" s="286">
        <v>0</v>
      </c>
      <c r="F113" s="286">
        <v>-10</v>
      </c>
      <c r="G113" s="191" t="str">
        <f>VLOOKUP(B113,'TB 0825'!A:A,1,0)</f>
        <v>Nexus Ventures VII Holdings LLC ESC</v>
      </c>
    </row>
    <row r="114" spans="1:7" x14ac:dyDescent="0.35">
      <c r="A114" s="192" t="s">
        <v>556</v>
      </c>
      <c r="B114" s="195" t="str">
        <f t="shared" si="1"/>
        <v>Nexus Ventures VII Holdings LLC PSC</v>
      </c>
      <c r="C114" s="286">
        <v>-6497900</v>
      </c>
      <c r="D114" s="286">
        <v>0</v>
      </c>
      <c r="E114" s="286">
        <v>0</v>
      </c>
      <c r="F114" s="286">
        <v>-6497900</v>
      </c>
      <c r="G114" s="191" t="str">
        <f>VLOOKUP(B114,'TB 0825'!A:A,1,0)</f>
        <v>Nexus Ventures VII Holdings LLC PSC</v>
      </c>
    </row>
    <row r="115" spans="1:7" x14ac:dyDescent="0.35">
      <c r="A115" s="192" t="s">
        <v>686</v>
      </c>
      <c r="B115" s="195" t="str">
        <f t="shared" si="1"/>
        <v>Niraj Singh</v>
      </c>
      <c r="C115" s="286">
        <v>-16200</v>
      </c>
      <c r="D115" s="286">
        <v>0</v>
      </c>
      <c r="E115" s="286">
        <v>0</v>
      </c>
      <c r="F115" s="286">
        <v>-16200</v>
      </c>
      <c r="G115" s="191" t="str">
        <f>VLOOKUP(B115,'TB 0825'!A:A,1,0)</f>
        <v>Niraj Singh</v>
      </c>
    </row>
    <row r="116" spans="1:7" x14ac:dyDescent="0.35">
      <c r="A116" s="192" t="s">
        <v>687</v>
      </c>
      <c r="B116" s="195" t="str">
        <f t="shared" si="1"/>
        <v>Pranav Goenka</v>
      </c>
      <c r="C116" s="286">
        <v>-5400</v>
      </c>
      <c r="D116" s="286">
        <v>0</v>
      </c>
      <c r="E116" s="286">
        <v>0</v>
      </c>
      <c r="F116" s="286">
        <v>-5400</v>
      </c>
      <c r="G116" s="191" t="str">
        <f>VLOOKUP(B116,'TB 0825'!A:A,1,0)</f>
        <v>Pranav Goenka</v>
      </c>
    </row>
    <row r="117" spans="1:7" x14ac:dyDescent="0.35">
      <c r="A117" s="192" t="s">
        <v>688</v>
      </c>
      <c r="B117" s="195" t="str">
        <f t="shared" si="1"/>
        <v>Sanjeev Kumar</v>
      </c>
      <c r="C117" s="286">
        <v>-37800</v>
      </c>
      <c r="D117" s="286">
        <v>0</v>
      </c>
      <c r="E117" s="286">
        <v>0</v>
      </c>
      <c r="F117" s="286">
        <v>-37800</v>
      </c>
      <c r="G117" s="191" t="str">
        <f>VLOOKUP(B117,'TB 0825'!A:A,1,0)</f>
        <v>Sanjeev Kumar</v>
      </c>
    </row>
    <row r="118" spans="1:7" x14ac:dyDescent="0.35">
      <c r="A118" s="192" t="s">
        <v>557</v>
      </c>
      <c r="B118" s="195" t="str">
        <f t="shared" si="1"/>
        <v>Securities Premium</v>
      </c>
      <c r="C118" s="286">
        <v>-2162702583.21</v>
      </c>
      <c r="D118" s="286">
        <v>0</v>
      </c>
      <c r="E118" s="286">
        <v>0</v>
      </c>
      <c r="F118" s="286">
        <v>-2162702583.21</v>
      </c>
      <c r="G118" s="191" t="str">
        <f>VLOOKUP(B118,'TB 0825'!A:A,1,0)</f>
        <v>Securities Premium</v>
      </c>
    </row>
    <row r="119" spans="1:7" x14ac:dyDescent="0.35">
      <c r="A119" s="192" t="s">
        <v>689</v>
      </c>
      <c r="B119" s="195" t="str">
        <f t="shared" si="1"/>
        <v>Shantam Jain</v>
      </c>
      <c r="C119" s="286">
        <v>-5400</v>
      </c>
      <c r="D119" s="286">
        <v>0</v>
      </c>
      <c r="E119" s="286">
        <v>0</v>
      </c>
      <c r="F119" s="286">
        <v>-5400</v>
      </c>
      <c r="G119" s="191" t="str">
        <f>VLOOKUP(B119,'TB 0825'!A:A,1,0)</f>
        <v>Shantam Jain</v>
      </c>
    </row>
    <row r="120" spans="1:7" x14ac:dyDescent="0.35">
      <c r="A120" s="192" t="s">
        <v>690</v>
      </c>
      <c r="B120" s="195" t="str">
        <f t="shared" si="1"/>
        <v>Siddhartha Kochar</v>
      </c>
      <c r="C120" s="286">
        <v>-5400</v>
      </c>
      <c r="D120" s="286">
        <v>0</v>
      </c>
      <c r="E120" s="286">
        <v>0</v>
      </c>
      <c r="F120" s="286">
        <v>-5400</v>
      </c>
      <c r="G120" s="191" t="str">
        <f>VLOOKUP(B120,'TB 0825'!A:A,1,0)</f>
        <v>Siddhartha Kochar</v>
      </c>
    </row>
    <row r="121" spans="1:7" x14ac:dyDescent="0.35">
      <c r="A121" s="192" t="s">
        <v>691</v>
      </c>
      <c r="B121" s="195" t="str">
        <f t="shared" si="1"/>
        <v>Unnat SK Bajoria</v>
      </c>
      <c r="C121" s="286">
        <v>-5400</v>
      </c>
      <c r="D121" s="286">
        <v>0</v>
      </c>
      <c r="E121" s="286">
        <v>0</v>
      </c>
      <c r="F121" s="286">
        <v>-5400</v>
      </c>
      <c r="G121" s="191" t="str">
        <f>VLOOKUP(B121,'TB 0825'!A:A,1,0)</f>
        <v>Unnat SK Bajoria</v>
      </c>
    </row>
    <row r="122" spans="1:7" x14ac:dyDescent="0.35">
      <c r="A122" s="192" t="s">
        <v>692</v>
      </c>
      <c r="B122" s="195" t="str">
        <f t="shared" si="1"/>
        <v>Vidit Aatrey</v>
      </c>
      <c r="C122" s="286">
        <v>-37800</v>
      </c>
      <c r="D122" s="286">
        <v>0</v>
      </c>
      <c r="E122" s="286">
        <v>0</v>
      </c>
      <c r="F122" s="286">
        <v>-37800</v>
      </c>
      <c r="G122" s="191" t="str">
        <f>VLOOKUP(B122,'TB 0825'!A:A,1,0)</f>
        <v>Vidit Aatrey</v>
      </c>
    </row>
    <row r="123" spans="1:7" x14ac:dyDescent="0.35">
      <c r="A123" s="355" t="s">
        <v>558</v>
      </c>
      <c r="B123" s="195" t="str">
        <f t="shared" si="1"/>
        <v>Total for Owner's Equity</v>
      </c>
      <c r="C123" s="356">
        <v>-2178660703.21</v>
      </c>
      <c r="D123" s="356">
        <v>0</v>
      </c>
      <c r="E123" s="356">
        <v>0</v>
      </c>
      <c r="F123" s="356">
        <v>-2178660703.21</v>
      </c>
    </row>
    <row r="124" spans="1:7" x14ac:dyDescent="0.35">
      <c r="B124" s="195" t="str">
        <f t="shared" si="1"/>
        <v/>
      </c>
    </row>
    <row r="125" spans="1:7" x14ac:dyDescent="0.35">
      <c r="A125" s="192" t="s">
        <v>559</v>
      </c>
      <c r="B125" s="195" t="str">
        <f t="shared" si="1"/>
        <v>Retained Earnings</v>
      </c>
      <c r="C125" s="286">
        <v>58903866.530000001</v>
      </c>
      <c r="D125" s="286">
        <v>0</v>
      </c>
      <c r="E125" s="286">
        <v>0</v>
      </c>
      <c r="F125" s="286">
        <v>58903866.530000001</v>
      </c>
      <c r="G125" s="191" t="str">
        <f>VLOOKUP(B125,'TB 0825'!A:A,1,0)</f>
        <v>Retained Earnings</v>
      </c>
    </row>
    <row r="126" spans="1:7" x14ac:dyDescent="0.35">
      <c r="A126" s="192" t="s">
        <v>467</v>
      </c>
      <c r="B126" s="195" t="str">
        <f t="shared" si="1"/>
        <v>Income</v>
      </c>
      <c r="C126" s="191" t="s">
        <v>85</v>
      </c>
      <c r="D126" s="191" t="s">
        <v>85</v>
      </c>
      <c r="E126" s="191" t="s">
        <v>85</v>
      </c>
      <c r="F126" s="191" t="s">
        <v>85</v>
      </c>
    </row>
    <row r="127" spans="1:7" x14ac:dyDescent="0.35">
      <c r="A127" s="192" t="s">
        <v>468</v>
      </c>
      <c r="B127" s="195" t="str">
        <f t="shared" si="1"/>
        <v>Convenience and Platform Fee</v>
      </c>
      <c r="C127" s="191">
        <v>0</v>
      </c>
      <c r="D127" s="191">
        <v>63205</v>
      </c>
      <c r="E127" s="191">
        <v>4768421</v>
      </c>
      <c r="F127" s="191">
        <v>-4705216</v>
      </c>
      <c r="G127" s="191" t="str">
        <f>VLOOKUP(B127,'TB 0825'!A:A,1,0)</f>
        <v>Convenience and Platform Fee</v>
      </c>
    </row>
    <row r="128" spans="1:7" x14ac:dyDescent="0.35">
      <c r="A128" s="192" t="s">
        <v>469</v>
      </c>
      <c r="B128" s="195" t="str">
        <f t="shared" si="1"/>
        <v>Discount</v>
      </c>
      <c r="C128" s="191">
        <v>0</v>
      </c>
      <c r="D128" s="191">
        <v>11949909.439999999</v>
      </c>
      <c r="E128" s="191">
        <v>0</v>
      </c>
      <c r="F128" s="191">
        <v>11949909.439999999</v>
      </c>
      <c r="G128" s="191" t="str">
        <f>VLOOKUP(B128,'TB 0825'!A:A,1,0)</f>
        <v>Discount</v>
      </c>
    </row>
    <row r="129" spans="1:7" x14ac:dyDescent="0.35">
      <c r="A129" s="192" t="s">
        <v>1411</v>
      </c>
      <c r="B129" s="195" t="str">
        <f t="shared" si="1"/>
        <v>Extension Fees</v>
      </c>
      <c r="C129" s="191">
        <v>0</v>
      </c>
      <c r="D129" s="191">
        <v>0</v>
      </c>
      <c r="E129" s="191">
        <v>970746.57</v>
      </c>
      <c r="F129" s="191">
        <v>-970746.57</v>
      </c>
      <c r="G129" s="191" t="str">
        <f>VLOOKUP(B129,'TB 0825'!A:A,1,0)</f>
        <v>Extension Fees</v>
      </c>
    </row>
    <row r="130" spans="1:7" x14ac:dyDescent="0.35">
      <c r="A130" s="192" t="s">
        <v>470</v>
      </c>
      <c r="B130" s="195" t="str">
        <f t="shared" si="1"/>
        <v>FD Interest Income</v>
      </c>
      <c r="C130" s="286">
        <v>0</v>
      </c>
      <c r="D130" s="286">
        <v>17067995</v>
      </c>
      <c r="E130" s="286">
        <v>26865443</v>
      </c>
      <c r="F130" s="286">
        <v>-9797448</v>
      </c>
      <c r="G130" s="191" t="str">
        <f>VLOOKUP(B130,'TB 0825'!A:A,1,0)</f>
        <v>FD Interest Income</v>
      </c>
    </row>
    <row r="131" spans="1:7" x14ac:dyDescent="0.35">
      <c r="A131" s="192" t="s">
        <v>1412</v>
      </c>
      <c r="B131" s="195" t="str">
        <f t="shared" si="1"/>
        <v>Forfeiture Income</v>
      </c>
      <c r="C131" s="286">
        <v>0</v>
      </c>
      <c r="D131" s="286">
        <v>179362</v>
      </c>
      <c r="E131" s="286">
        <v>793210.34</v>
      </c>
      <c r="F131" s="286">
        <v>-613848.34</v>
      </c>
      <c r="G131" s="191" t="str">
        <f>VLOOKUP(B131,'TB 0825'!A:A,1,0)</f>
        <v>Forfeiture Income</v>
      </c>
    </row>
    <row r="132" spans="1:7" x14ac:dyDescent="0.35">
      <c r="A132" s="192" t="s">
        <v>1351</v>
      </c>
      <c r="B132" s="195" t="str">
        <f t="shared" si="1"/>
        <v>Gain or Loss on Mutual Fund Investment</v>
      </c>
      <c r="C132" s="286">
        <v>0</v>
      </c>
      <c r="D132" s="286">
        <v>0</v>
      </c>
      <c r="E132" s="286">
        <v>37391.919999999998</v>
      </c>
      <c r="F132" s="286">
        <v>-37391.919999999998</v>
      </c>
      <c r="G132" s="191" t="str">
        <f>VLOOKUP(B132,'TB 0825'!A:A,1,0)</f>
        <v>Gain or Loss on Mutual Fund Investment</v>
      </c>
    </row>
    <row r="133" spans="1:7" x14ac:dyDescent="0.35">
      <c r="A133" s="192" t="s">
        <v>471</v>
      </c>
      <c r="B133" s="195" t="str">
        <f t="shared" si="1"/>
        <v>Maestro Revenue</v>
      </c>
      <c r="C133" s="296">
        <v>0</v>
      </c>
      <c r="D133" s="296">
        <v>0</v>
      </c>
      <c r="E133" s="296">
        <v>19073684</v>
      </c>
      <c r="F133" s="296">
        <v>-19073684</v>
      </c>
      <c r="G133" s="191" t="str">
        <f>VLOOKUP(B133,'TB 0825'!A:A,1,0)</f>
        <v>Maestro Revenue</v>
      </c>
    </row>
    <row r="134" spans="1:7" x14ac:dyDescent="0.35">
      <c r="A134" s="192" t="s">
        <v>1330</v>
      </c>
      <c r="B134" s="195" t="str">
        <f t="shared" si="1"/>
        <v>Offer Pack Income</v>
      </c>
      <c r="C134" s="296">
        <v>0</v>
      </c>
      <c r="D134" s="296">
        <v>2098706</v>
      </c>
      <c r="E134" s="296">
        <v>2098706</v>
      </c>
      <c r="F134" s="296">
        <v>0</v>
      </c>
      <c r="G134" s="191" t="str">
        <f>VLOOKUP(B134,'TB 0825'!A:A,1,0)</f>
        <v>Offer Pack Income</v>
      </c>
    </row>
    <row r="135" spans="1:7" x14ac:dyDescent="0.35">
      <c r="A135" s="192" t="s">
        <v>1413</v>
      </c>
      <c r="B135" s="195" t="str">
        <f t="shared" si="1"/>
        <v>Platform Fees</v>
      </c>
      <c r="C135" s="296">
        <v>0</v>
      </c>
      <c r="D135" s="296">
        <v>191104</v>
      </c>
      <c r="E135" s="296">
        <v>495888.83</v>
      </c>
      <c r="F135" s="296">
        <v>-304784.83</v>
      </c>
      <c r="G135" s="191" t="str">
        <f>VLOOKUP(B135,'TB 0825'!A:A,1,0)</f>
        <v>Platform Fees</v>
      </c>
    </row>
    <row r="136" spans="1:7" x14ac:dyDescent="0.35">
      <c r="A136" s="192" t="s">
        <v>1414</v>
      </c>
      <c r="B136" s="195" t="str">
        <f t="shared" si="1"/>
        <v>Rain Fees</v>
      </c>
      <c r="C136" s="296">
        <v>0</v>
      </c>
      <c r="D136" s="296">
        <v>1199</v>
      </c>
      <c r="E136" s="296">
        <v>20858.57</v>
      </c>
      <c r="F136" s="296">
        <v>-19659.57</v>
      </c>
      <c r="G136" s="191" t="str">
        <f>VLOOKUP(B136,'TB 0825'!A:A,1,0)</f>
        <v>Rain Fees</v>
      </c>
    </row>
    <row r="137" spans="1:7" x14ac:dyDescent="0.35">
      <c r="A137" s="192" t="s">
        <v>1415</v>
      </c>
      <c r="B137" s="195" t="str">
        <f t="shared" si="1"/>
        <v>Surge Fees</v>
      </c>
      <c r="C137" s="296">
        <v>0</v>
      </c>
      <c r="D137" s="296">
        <v>27263</v>
      </c>
      <c r="E137" s="296">
        <v>68346.2</v>
      </c>
      <c r="F137" s="296">
        <v>-41083.199999999997</v>
      </c>
      <c r="G137" s="191" t="str">
        <f>VLOOKUP(B137,'TB 0825'!A:A,1,0)</f>
        <v>Surge Fees</v>
      </c>
    </row>
    <row r="138" spans="1:7" x14ac:dyDescent="0.35">
      <c r="A138" s="192" t="s">
        <v>472</v>
      </c>
      <c r="B138" s="195" t="str">
        <f t="shared" si="1"/>
        <v>Expense</v>
      </c>
      <c r="C138" s="191" t="s">
        <v>85</v>
      </c>
      <c r="D138" s="191" t="s">
        <v>85</v>
      </c>
      <c r="E138" s="191" t="s">
        <v>85</v>
      </c>
      <c r="F138" s="191" t="s">
        <v>85</v>
      </c>
    </row>
    <row r="139" spans="1:7" x14ac:dyDescent="0.35">
      <c r="A139" s="192" t="s">
        <v>473</v>
      </c>
      <c r="B139" s="195" t="str">
        <f t="shared" si="1"/>
        <v>Accounting Services</v>
      </c>
      <c r="C139" s="286">
        <v>0</v>
      </c>
      <c r="D139" s="286">
        <v>70000</v>
      </c>
      <c r="E139" s="286">
        <v>0</v>
      </c>
      <c r="F139" s="286">
        <v>70000</v>
      </c>
      <c r="G139" s="191" t="str">
        <f>VLOOKUP(B139,'TB 0825'!A:A,1,0)</f>
        <v>Accounting Services</v>
      </c>
    </row>
    <row r="140" spans="1:7" x14ac:dyDescent="0.35">
      <c r="A140" s="192" t="s">
        <v>474</v>
      </c>
      <c r="B140" s="195" t="str">
        <f t="shared" si="1"/>
        <v>Bank Fees and Charges</v>
      </c>
      <c r="C140" s="286">
        <v>0</v>
      </c>
      <c r="D140" s="286">
        <v>6698.62</v>
      </c>
      <c r="E140" s="286">
        <v>0</v>
      </c>
      <c r="F140" s="286">
        <v>6698.62</v>
      </c>
      <c r="G140" s="191" t="str">
        <f>VLOOKUP(B140,'TB 0825'!A:A,1,0)</f>
        <v>Bank Fees and Charges</v>
      </c>
    </row>
    <row r="141" spans="1:7" x14ac:dyDescent="0.35">
      <c r="A141" s="192" t="s">
        <v>475</v>
      </c>
      <c r="B141" s="195" t="str">
        <f t="shared" si="1"/>
        <v>Branding Expense</v>
      </c>
      <c r="C141" s="286">
        <v>0</v>
      </c>
      <c r="D141" s="286">
        <v>9270918</v>
      </c>
      <c r="E141" s="286">
        <v>0</v>
      </c>
      <c r="F141" s="286">
        <v>9270918</v>
      </c>
      <c r="G141" s="191" t="str">
        <f>VLOOKUP(B141,'TB 0825'!A:A,1,0)</f>
        <v>Branding Expense</v>
      </c>
    </row>
    <row r="142" spans="1:7" x14ac:dyDescent="0.35">
      <c r="A142" s="192" t="s">
        <v>726</v>
      </c>
      <c r="B142" s="195" t="str">
        <f t="shared" si="1"/>
        <v>Brokerage Charges</v>
      </c>
      <c r="C142" s="286">
        <v>0</v>
      </c>
      <c r="D142" s="286">
        <v>12500</v>
      </c>
      <c r="E142" s="286">
        <v>0</v>
      </c>
      <c r="F142" s="286">
        <v>12500</v>
      </c>
      <c r="G142" s="191" t="str">
        <f>VLOOKUP(B142,'TB 0825'!A:A,1,0)</f>
        <v>Brokerage Charges</v>
      </c>
    </row>
    <row r="143" spans="1:7" x14ac:dyDescent="0.35">
      <c r="A143" s="192" t="s">
        <v>476</v>
      </c>
      <c r="B143" s="195" t="str">
        <f t="shared" si="1"/>
        <v>Customer Acquisition Cost</v>
      </c>
      <c r="C143" s="286">
        <v>0</v>
      </c>
      <c r="D143" s="286">
        <v>17918963.199999999</v>
      </c>
      <c r="E143" s="286">
        <v>43000</v>
      </c>
      <c r="F143" s="286">
        <v>17875963.199999999</v>
      </c>
      <c r="G143" s="191" t="str">
        <f>VLOOKUP(B143,'TB 0825'!A:A,1,0)</f>
        <v>Customer Acquisition Cost</v>
      </c>
    </row>
    <row r="144" spans="1:7" x14ac:dyDescent="0.35">
      <c r="A144" s="192" t="s">
        <v>636</v>
      </c>
      <c r="B144" s="195" t="str">
        <f t="shared" si="1"/>
        <v>Customer Success Cost</v>
      </c>
      <c r="C144" s="286">
        <v>0</v>
      </c>
      <c r="D144" s="286">
        <v>680543.55</v>
      </c>
      <c r="E144" s="286">
        <v>0</v>
      </c>
      <c r="F144" s="286">
        <v>680543.55</v>
      </c>
      <c r="G144" s="191" t="str">
        <f>VLOOKUP(B144,'TB 0825'!A:A,1,0)</f>
        <v>Customer Success Cost</v>
      </c>
    </row>
    <row r="145" spans="1:7" x14ac:dyDescent="0.35">
      <c r="A145" s="192" t="s">
        <v>477</v>
      </c>
      <c r="B145" s="195" t="str">
        <f t="shared" si="1"/>
        <v>Depreciation and Amortization</v>
      </c>
      <c r="C145" s="286">
        <v>0</v>
      </c>
      <c r="D145" s="286">
        <v>395112</v>
      </c>
      <c r="E145" s="286">
        <v>0</v>
      </c>
      <c r="F145" s="286">
        <v>395112</v>
      </c>
      <c r="G145" s="191" t="str">
        <f>VLOOKUP(B145,'TB 0825'!A:A,1,0)</f>
        <v>Depreciation and Amortization</v>
      </c>
    </row>
    <row r="146" spans="1:7" x14ac:dyDescent="0.35">
      <c r="A146" s="192" t="s">
        <v>478</v>
      </c>
      <c r="B146" s="195" t="str">
        <f t="shared" si="1"/>
        <v>Employee Benefit Expense</v>
      </c>
      <c r="C146" s="286">
        <v>0</v>
      </c>
      <c r="D146" s="286">
        <v>0</v>
      </c>
      <c r="E146" s="286">
        <v>0</v>
      </c>
      <c r="F146" s="286">
        <v>0</v>
      </c>
    </row>
    <row r="147" spans="1:7" x14ac:dyDescent="0.35">
      <c r="A147" s="192" t="s">
        <v>767</v>
      </c>
      <c r="B147" s="195" t="str">
        <f t="shared" si="1"/>
        <v>Employer ESI Expense</v>
      </c>
      <c r="C147" s="286">
        <v>0</v>
      </c>
      <c r="D147" s="286">
        <v>621</v>
      </c>
      <c r="E147" s="286">
        <v>0</v>
      </c>
      <c r="F147" s="286">
        <v>621</v>
      </c>
      <c r="G147" s="191" t="str">
        <f>VLOOKUP(B147,'TB 0825'!A:A,1,0)</f>
        <v>Employer ESI Expense</v>
      </c>
    </row>
    <row r="148" spans="1:7" x14ac:dyDescent="0.35">
      <c r="A148" s="192" t="s">
        <v>479</v>
      </c>
      <c r="B148" s="195" t="str">
        <f t="shared" ref="B148:B175" si="2">TRIM(A148)</f>
        <v>Employer PF Expense</v>
      </c>
      <c r="C148" s="286">
        <v>0</v>
      </c>
      <c r="D148" s="286">
        <v>327631</v>
      </c>
      <c r="E148" s="286">
        <v>1800</v>
      </c>
      <c r="F148" s="286">
        <v>325831</v>
      </c>
      <c r="G148" s="191" t="str">
        <f>VLOOKUP(B148,'TB 0825'!A:A,1,0)</f>
        <v>Employer PF Expense</v>
      </c>
    </row>
    <row r="149" spans="1:7" x14ac:dyDescent="0.35">
      <c r="A149" s="192" t="s">
        <v>480</v>
      </c>
      <c r="B149" s="195" t="str">
        <f t="shared" si="2"/>
        <v>PF Admin Expense</v>
      </c>
      <c r="C149" s="286">
        <v>0</v>
      </c>
      <c r="D149" s="286">
        <v>24006.799999999999</v>
      </c>
      <c r="E149" s="286">
        <v>0</v>
      </c>
      <c r="F149" s="286">
        <v>24006.799999999999</v>
      </c>
      <c r="G149" s="191" t="str">
        <f>VLOOKUP(B149,'TB 0825'!A:A,1,0)</f>
        <v>PF Admin Expense</v>
      </c>
    </row>
    <row r="150" spans="1:7" x14ac:dyDescent="0.35">
      <c r="A150" s="192" t="s">
        <v>481</v>
      </c>
      <c r="B150" s="195" t="str">
        <f t="shared" si="2"/>
        <v>Staff Welfare Expense</v>
      </c>
      <c r="C150" s="286">
        <v>0</v>
      </c>
      <c r="D150" s="286">
        <v>1581150.46</v>
      </c>
      <c r="E150" s="286">
        <v>53936.28</v>
      </c>
      <c r="F150" s="286">
        <v>1527214.18</v>
      </c>
      <c r="G150" s="191" t="str">
        <f>VLOOKUP(B150,'TB 0825'!A:A,1,0)</f>
        <v>Staff Welfare Expense</v>
      </c>
    </row>
    <row r="151" spans="1:7" x14ac:dyDescent="0.35">
      <c r="A151" s="192" t="s">
        <v>482</v>
      </c>
      <c r="B151" s="195" t="str">
        <f t="shared" si="2"/>
        <v>Variable Salary</v>
      </c>
      <c r="C151" s="286">
        <v>0</v>
      </c>
      <c r="D151" s="286">
        <v>407707</v>
      </c>
      <c r="E151" s="286">
        <v>0</v>
      </c>
      <c r="F151" s="286">
        <v>407707</v>
      </c>
      <c r="G151" s="191" t="str">
        <f>VLOOKUP(B151,'TB 0825'!A:A,1,0)</f>
        <v>Variable Salary</v>
      </c>
    </row>
    <row r="152" spans="1:7" x14ac:dyDescent="0.35">
      <c r="A152" s="355" t="s">
        <v>483</v>
      </c>
      <c r="B152" s="195" t="str">
        <f t="shared" si="2"/>
        <v>Total for Employee Benefit Expense</v>
      </c>
      <c r="C152" s="356">
        <v>0</v>
      </c>
      <c r="D152" s="356">
        <v>2341116.2599999998</v>
      </c>
      <c r="E152" s="356">
        <v>55736.28</v>
      </c>
      <c r="F152" s="356">
        <v>2285379.98</v>
      </c>
    </row>
    <row r="153" spans="1:7" x14ac:dyDescent="0.35">
      <c r="B153" s="195" t="str">
        <f t="shared" si="2"/>
        <v/>
      </c>
    </row>
    <row r="154" spans="1:7" x14ac:dyDescent="0.35">
      <c r="A154" s="191" t="s">
        <v>965</v>
      </c>
      <c r="B154" s="195" t="str">
        <f t="shared" si="2"/>
        <v>Employee Cost</v>
      </c>
      <c r="C154" s="191">
        <v>0</v>
      </c>
      <c r="D154" s="191">
        <v>1901840</v>
      </c>
      <c r="E154" s="191">
        <v>0</v>
      </c>
      <c r="F154" s="191">
        <v>1901840</v>
      </c>
      <c r="G154" s="191" t="str">
        <f>VLOOKUP(B154,'TB 0825'!A:A,1,0)</f>
        <v>Employee Cost</v>
      </c>
    </row>
    <row r="155" spans="1:7" x14ac:dyDescent="0.35">
      <c r="A155" s="192" t="s">
        <v>758</v>
      </c>
      <c r="B155" s="195" t="str">
        <f t="shared" si="2"/>
        <v>Expert Retention Bonus</v>
      </c>
      <c r="C155" s="286">
        <v>0</v>
      </c>
      <c r="D155" s="286">
        <v>305000</v>
      </c>
      <c r="E155" s="286">
        <v>0</v>
      </c>
      <c r="F155" s="286">
        <v>305000</v>
      </c>
      <c r="G155" s="191" t="str">
        <f>VLOOKUP(B155,'TB 0825'!A:A,1,0)</f>
        <v>Expert Retention Bonus</v>
      </c>
    </row>
    <row r="156" spans="1:7" x14ac:dyDescent="0.35">
      <c r="A156" s="192" t="s">
        <v>768</v>
      </c>
      <c r="B156" s="195" t="str">
        <f t="shared" si="2"/>
        <v>Expert Welfare Cost</v>
      </c>
      <c r="C156" s="286">
        <v>0</v>
      </c>
      <c r="D156" s="286">
        <v>284457.96999999997</v>
      </c>
      <c r="E156" s="286">
        <v>0</v>
      </c>
      <c r="F156" s="286">
        <v>284457.96999999997</v>
      </c>
      <c r="G156" s="191" t="str">
        <f>VLOOKUP(B156,'TB 0825'!A:A,1,0)</f>
        <v>Expert Welfare Cost</v>
      </c>
    </row>
    <row r="157" spans="1:7" x14ac:dyDescent="0.35">
      <c r="A157" s="192" t="s">
        <v>855</v>
      </c>
      <c r="B157" s="195" t="str">
        <f t="shared" si="2"/>
        <v>Hood Rent Expense</v>
      </c>
      <c r="C157" s="286">
        <v>0</v>
      </c>
      <c r="D157" s="286">
        <v>502000</v>
      </c>
      <c r="E157" s="286">
        <v>0</v>
      </c>
      <c r="F157" s="286">
        <v>502000</v>
      </c>
      <c r="G157" s="191" t="str">
        <f>VLOOKUP(B157,'TB 0825'!A:A,1,0)</f>
        <v>Hood Rent Expense</v>
      </c>
    </row>
    <row r="158" spans="1:7" x14ac:dyDescent="0.35">
      <c r="A158" s="192" t="s">
        <v>637</v>
      </c>
      <c r="B158" s="195" t="str">
        <f t="shared" si="2"/>
        <v>Managerial Cost</v>
      </c>
      <c r="C158" s="286">
        <v>0</v>
      </c>
      <c r="D158" s="286">
        <v>3159002.74</v>
      </c>
      <c r="E158" s="286">
        <v>0</v>
      </c>
      <c r="F158" s="286">
        <v>3159002.74</v>
      </c>
      <c r="G158" s="191" t="str">
        <f>VLOOKUP(B158,'TB 0825'!A:A,1,0)</f>
        <v>Managerial Cost</v>
      </c>
    </row>
    <row r="159" spans="1:7" x14ac:dyDescent="0.35">
      <c r="A159" s="192" t="s">
        <v>618</v>
      </c>
      <c r="B159" s="195" t="str">
        <f t="shared" si="2"/>
        <v>New User Discount</v>
      </c>
      <c r="C159" s="286">
        <v>0</v>
      </c>
      <c r="D159" s="286">
        <v>469857</v>
      </c>
      <c r="E159" s="286">
        <v>2781703</v>
      </c>
      <c r="F159" s="286">
        <v>-2311846</v>
      </c>
      <c r="G159" s="191" t="str">
        <f>VLOOKUP(B159,'TB 0825'!A:A,1,0)</f>
        <v>New User Discount</v>
      </c>
    </row>
    <row r="160" spans="1:7" x14ac:dyDescent="0.35">
      <c r="A160" s="192" t="s">
        <v>486</v>
      </c>
      <c r="B160" s="195" t="str">
        <f t="shared" si="2"/>
        <v>Office and Admin Expense</v>
      </c>
      <c r="C160" s="286">
        <v>0</v>
      </c>
      <c r="D160" s="286">
        <v>433870.3</v>
      </c>
      <c r="E160" s="286">
        <v>0</v>
      </c>
      <c r="F160" s="286">
        <v>433870.3</v>
      </c>
      <c r="G160" s="191" t="str">
        <f>VLOOKUP(B160,'TB 0825'!A:A,1,0)</f>
        <v>Office and Admin Expense</v>
      </c>
    </row>
    <row r="161" spans="1:7" x14ac:dyDescent="0.35">
      <c r="A161" s="192" t="s">
        <v>487</v>
      </c>
      <c r="B161" s="195" t="str">
        <f t="shared" si="2"/>
        <v>Office Rent Expense</v>
      </c>
      <c r="C161" s="286">
        <v>0</v>
      </c>
      <c r="D161" s="286">
        <v>1029500</v>
      </c>
      <c r="E161" s="286">
        <v>180000</v>
      </c>
      <c r="F161" s="286">
        <v>849500</v>
      </c>
      <c r="G161" s="191" t="str">
        <f>VLOOKUP(B161,'TB 0825'!A:A,1,0)</f>
        <v>Office Rent Expense</v>
      </c>
    </row>
    <row r="162" spans="1:7" x14ac:dyDescent="0.35">
      <c r="A162" s="192" t="s">
        <v>956</v>
      </c>
      <c r="B162" s="195" t="str">
        <f t="shared" si="2"/>
        <v>Operational Expense</v>
      </c>
      <c r="C162" s="286">
        <v>0</v>
      </c>
      <c r="D162" s="286">
        <v>2552633</v>
      </c>
      <c r="E162" s="286">
        <v>1138845</v>
      </c>
      <c r="F162" s="286">
        <v>1413788</v>
      </c>
      <c r="G162" s="191" t="str">
        <f>VLOOKUP(B162,'TB 0825'!A:A,1,0)</f>
        <v>Operational Expense</v>
      </c>
    </row>
    <row r="163" spans="1:7" x14ac:dyDescent="0.35">
      <c r="A163" s="192" t="s">
        <v>488</v>
      </c>
      <c r="B163" s="195" t="str">
        <f t="shared" si="2"/>
        <v>Other Cost</v>
      </c>
      <c r="C163" s="286">
        <v>0</v>
      </c>
      <c r="D163" s="286">
        <v>100923.95</v>
      </c>
      <c r="E163" s="286">
        <v>0</v>
      </c>
      <c r="F163" s="286">
        <v>100923.95</v>
      </c>
      <c r="G163" s="191" t="str">
        <f>VLOOKUP(B163,'TB 0825'!A:A,1,0)</f>
        <v>Other Cost</v>
      </c>
    </row>
    <row r="164" spans="1:7" x14ac:dyDescent="0.35">
      <c r="A164" s="192" t="s">
        <v>489</v>
      </c>
      <c r="B164" s="195" t="str">
        <f t="shared" si="2"/>
        <v>Other Expenses</v>
      </c>
      <c r="C164" s="286">
        <v>0</v>
      </c>
      <c r="D164" s="286">
        <v>12552.44</v>
      </c>
      <c r="E164" s="286">
        <v>3.98</v>
      </c>
      <c r="F164" s="286">
        <v>12548.46</v>
      </c>
      <c r="G164" s="191" t="str">
        <f>VLOOKUP(B164,'TB 0825'!A:A,1,0)</f>
        <v>Other Expenses</v>
      </c>
    </row>
    <row r="165" spans="1:7" x14ac:dyDescent="0.35">
      <c r="A165" s="192" t="s">
        <v>560</v>
      </c>
      <c r="B165" s="195" t="str">
        <f t="shared" si="2"/>
        <v>Payment Gateway Cost</v>
      </c>
      <c r="C165" s="286">
        <v>0</v>
      </c>
      <c r="D165" s="286">
        <v>49718.43</v>
      </c>
      <c r="E165" s="286">
        <v>0</v>
      </c>
      <c r="F165" s="286">
        <v>49718.43</v>
      </c>
      <c r="G165" s="191" t="str">
        <f>VLOOKUP(B165,'TB 0825'!A:A,1,0)</f>
        <v>Payment Gateway Cost</v>
      </c>
    </row>
    <row r="166" spans="1:7" x14ac:dyDescent="0.35">
      <c r="A166" s="192" t="s">
        <v>490</v>
      </c>
      <c r="B166" s="195" t="str">
        <f t="shared" si="2"/>
        <v>Professional Fees</v>
      </c>
      <c r="C166" s="286">
        <v>0</v>
      </c>
      <c r="D166" s="286">
        <v>702735</v>
      </c>
      <c r="E166" s="286">
        <v>0</v>
      </c>
      <c r="F166" s="286">
        <v>702735</v>
      </c>
      <c r="G166" s="191" t="str">
        <f>VLOOKUP(B166,'TB 0825'!A:A,1,0)</f>
        <v>Professional Fees</v>
      </c>
    </row>
    <row r="167" spans="1:7" x14ac:dyDescent="0.35">
      <c r="A167" s="192" t="s">
        <v>491</v>
      </c>
      <c r="B167" s="195" t="str">
        <f t="shared" si="2"/>
        <v>Rates and Taxes</v>
      </c>
      <c r="C167" s="286">
        <v>0</v>
      </c>
      <c r="D167" s="286">
        <v>14499.28</v>
      </c>
      <c r="E167" s="286">
        <v>0</v>
      </c>
      <c r="F167" s="286">
        <v>14499.28</v>
      </c>
      <c r="G167" s="191" t="str">
        <f>VLOOKUP(B167,'TB 0825'!A:A,1,0)</f>
        <v>Rates and Taxes</v>
      </c>
    </row>
    <row r="168" spans="1:7" x14ac:dyDescent="0.35">
      <c r="A168" s="192" t="s">
        <v>638</v>
      </c>
      <c r="B168" s="195" t="str">
        <f t="shared" si="2"/>
        <v>Recruitment Charges</v>
      </c>
      <c r="C168" s="286">
        <v>0</v>
      </c>
      <c r="D168" s="286">
        <v>377175</v>
      </c>
      <c r="E168" s="286">
        <v>35000</v>
      </c>
      <c r="F168" s="286">
        <v>342175</v>
      </c>
      <c r="G168" s="191" t="str">
        <f>VLOOKUP(B168,'TB 0825'!A:A,1,0)</f>
        <v>Recruitment Charges</v>
      </c>
    </row>
    <row r="169" spans="1:7" x14ac:dyDescent="0.35">
      <c r="A169" s="192" t="s">
        <v>492</v>
      </c>
      <c r="B169" s="195" t="str">
        <f t="shared" si="2"/>
        <v>Salaries and Employee Wages</v>
      </c>
      <c r="C169" s="286">
        <v>0</v>
      </c>
      <c r="D169" s="286">
        <v>22567026.5</v>
      </c>
      <c r="E169" s="286">
        <v>37200</v>
      </c>
      <c r="F169" s="286">
        <v>22529826.5</v>
      </c>
      <c r="G169" s="191" t="str">
        <f>VLOOKUP(B169,'TB 0825'!A:A,1,0)</f>
        <v>Salaries and Employee Wages</v>
      </c>
    </row>
    <row r="170" spans="1:7" x14ac:dyDescent="0.35">
      <c r="A170" s="192" t="s">
        <v>615</v>
      </c>
      <c r="B170" s="195" t="str">
        <f t="shared" si="2"/>
        <v>Service Cost</v>
      </c>
      <c r="C170" s="286">
        <v>0</v>
      </c>
      <c r="D170" s="286">
        <v>34308704.240000002</v>
      </c>
      <c r="E170" s="286">
        <v>0</v>
      </c>
      <c r="F170" s="286">
        <v>34308704.240000002</v>
      </c>
      <c r="G170" s="191" t="str">
        <f>VLOOKUP(B170,'TB 0825'!A:A,1,0)</f>
        <v>Service Cost</v>
      </c>
    </row>
    <row r="171" spans="1:7" x14ac:dyDescent="0.35">
      <c r="A171" s="192" t="s">
        <v>493</v>
      </c>
      <c r="B171" s="195" t="str">
        <f t="shared" si="2"/>
        <v>Software Expense</v>
      </c>
      <c r="C171" s="286">
        <v>0</v>
      </c>
      <c r="D171" s="286">
        <v>2864772.6</v>
      </c>
      <c r="E171" s="286">
        <v>550000</v>
      </c>
      <c r="F171" s="286">
        <v>2314772.6</v>
      </c>
      <c r="G171" s="191" t="str">
        <f>VLOOKUP(B171,'TB 0825'!A:A,1,0)</f>
        <v>Software Expense</v>
      </c>
    </row>
    <row r="172" spans="1:7" x14ac:dyDescent="0.35">
      <c r="A172" s="192" t="s">
        <v>494</v>
      </c>
      <c r="B172" s="195" t="str">
        <f t="shared" si="2"/>
        <v>Sourcing and Onboarding Expense</v>
      </c>
      <c r="C172" s="286">
        <v>0</v>
      </c>
      <c r="D172" s="286">
        <v>6063784.1799999997</v>
      </c>
      <c r="E172" s="286">
        <v>0</v>
      </c>
      <c r="F172" s="286">
        <v>6063784.1799999997</v>
      </c>
      <c r="G172" s="191" t="str">
        <f>VLOOKUP(B172,'TB 0825'!A:A,1,0)</f>
        <v>Sourcing and Onboarding Expense</v>
      </c>
    </row>
    <row r="173" spans="1:7" x14ac:dyDescent="0.35">
      <c r="A173" s="192" t="s">
        <v>495</v>
      </c>
      <c r="B173" s="195" t="str">
        <f t="shared" si="2"/>
        <v>Training Centre Expense</v>
      </c>
      <c r="C173" s="286">
        <v>0</v>
      </c>
      <c r="D173" s="286">
        <v>970656.81</v>
      </c>
      <c r="E173" s="286">
        <v>1967.62</v>
      </c>
      <c r="F173" s="286">
        <v>968689.19</v>
      </c>
      <c r="G173" s="191" t="str">
        <f>VLOOKUP(B173,'TB 0825'!A:A,1,0)</f>
        <v>Training Centre Expense</v>
      </c>
    </row>
    <row r="174" spans="1:7" x14ac:dyDescent="0.35">
      <c r="A174" s="192" t="s">
        <v>496</v>
      </c>
      <c r="B174" s="195" t="str">
        <f t="shared" si="2"/>
        <v>Training Centre Rent Expense</v>
      </c>
      <c r="C174" s="286">
        <v>0</v>
      </c>
      <c r="D174" s="286">
        <v>866010</v>
      </c>
      <c r="E174" s="286">
        <v>0</v>
      </c>
      <c r="F174" s="286">
        <v>866010</v>
      </c>
      <c r="G174" s="191" t="str">
        <f>VLOOKUP(B174,'TB 0825'!A:A,1,0)</f>
        <v>Training Centre Rent Expense</v>
      </c>
    </row>
    <row r="175" spans="1:7" x14ac:dyDescent="0.35">
      <c r="A175" s="355" t="s">
        <v>639</v>
      </c>
      <c r="B175" s="195" t="str">
        <f t="shared" si="2"/>
        <v>Total for Trial Balance</v>
      </c>
      <c r="C175" s="356"/>
      <c r="D175" s="356">
        <v>2245150012.0300002</v>
      </c>
      <c r="E175" s="356">
        <v>2245150012.0300002</v>
      </c>
      <c r="F175" s="35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66F0-363B-425E-9306-88A131A4AD1D}">
  <sheetPr filterMode="1"/>
  <dimension ref="A1:L167"/>
  <sheetViews>
    <sheetView workbookViewId="0">
      <selection activeCell="E153" sqref="E153"/>
    </sheetView>
  </sheetViews>
  <sheetFormatPr defaultColWidth="8.90625" defaultRowHeight="14.5" x14ac:dyDescent="0.35"/>
  <cols>
    <col min="1" max="1" width="43.90625" style="23" bestFit="1" customWidth="1"/>
    <col min="2" max="6" width="17.81640625" style="23" customWidth="1"/>
    <col min="7" max="7" width="8.90625" style="22"/>
    <col min="8" max="8" width="43.81640625" style="23" bestFit="1" customWidth="1"/>
    <col min="9" max="9" width="8.90625" style="23"/>
    <col min="10" max="10" width="21.453125" style="23" bestFit="1" customWidth="1"/>
    <col min="11" max="11" width="14.1796875" style="23" bestFit="1" customWidth="1"/>
    <col min="12" max="12" width="13.90625" style="23" bestFit="1" customWidth="1"/>
    <col min="13" max="16384" width="8.90625" style="23"/>
  </cols>
  <sheetData>
    <row r="1" spans="1:12" s="24" customFormat="1" x14ac:dyDescent="0.35">
      <c r="B1" s="24">
        <f>SUBTOTAL(9,B3:B153)</f>
        <v>0</v>
      </c>
      <c r="C1" s="24">
        <f>SUBTOTAL(9,C3:C153)</f>
        <v>3915325.26</v>
      </c>
      <c r="D1" s="24">
        <f>SUBTOTAL(9,D3:D153)</f>
        <v>53936.28</v>
      </c>
      <c r="E1" s="24">
        <f>SUBTOTAL(9,E3:E153)</f>
        <v>3861388.98</v>
      </c>
      <c r="F1" s="24">
        <f>SUBTOTAL(9,F3:F153)</f>
        <v>3861.3889799999997</v>
      </c>
      <c r="G1" s="357"/>
    </row>
    <row r="2" spans="1:12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358" t="s">
        <v>159</v>
      </c>
      <c r="H2" s="109" t="s">
        <v>612</v>
      </c>
      <c r="J2" s="109" t="s">
        <v>159</v>
      </c>
      <c r="K2" s="109" t="s">
        <v>186</v>
      </c>
      <c r="L2" s="109" t="s">
        <v>648</v>
      </c>
    </row>
    <row r="3" spans="1:12" hidden="1" x14ac:dyDescent="0.35">
      <c r="A3" s="23" t="s">
        <v>561</v>
      </c>
      <c r="B3" s="24">
        <f>SUMIF('Raw Aug'!G:G,'TB 0825'!A3,'Raw Aug'!C:C)</f>
        <v>181869.37</v>
      </c>
      <c r="C3" s="24">
        <f>SUMIF('Raw Aug'!G:G,'TB 0825'!A3,'Raw Aug'!D:D)</f>
        <v>23225747.41</v>
      </c>
      <c r="D3" s="24">
        <f>SUMIF('Raw Aug'!G:G,'TB 0825'!A3,'Raw Aug'!E:E)</f>
        <v>22323406.52</v>
      </c>
      <c r="E3" s="24">
        <f>B3+C3-D3</f>
        <v>1084210.2600000016</v>
      </c>
      <c r="F3" s="24">
        <f>E3/10^3</f>
        <v>1084.2102600000017</v>
      </c>
      <c r="G3" s="22" t="s">
        <v>181</v>
      </c>
      <c r="H3" s="23" t="s">
        <v>77</v>
      </c>
      <c r="J3" s="23" t="s">
        <v>192</v>
      </c>
      <c r="K3" s="24">
        <v>19547233.329999998</v>
      </c>
      <c r="L3" s="206">
        <v>19547.233329999999</v>
      </c>
    </row>
    <row r="4" spans="1:12" hidden="1" x14ac:dyDescent="0.35">
      <c r="A4" s="23" t="s">
        <v>288</v>
      </c>
      <c r="B4" s="24">
        <f>SUMIF('Raw Aug'!G:G,'TB 0825'!A4,'Raw Aug'!C:C)</f>
        <v>17067995</v>
      </c>
      <c r="C4" s="24">
        <f>SUMIF('Raw Aug'!G:G,'TB 0825'!A4,'Raw Aug'!D:D)</f>
        <v>26233497</v>
      </c>
      <c r="D4" s="24">
        <f>SUMIF('Raw Aug'!G:G,'TB 0825'!A4,'Raw Aug'!E:E)</f>
        <v>17067995</v>
      </c>
      <c r="E4" s="24">
        <f t="shared" ref="E4:E67" si="0">B4+C4-D4</f>
        <v>26233497</v>
      </c>
      <c r="F4" s="24">
        <f t="shared" ref="F4:F67" si="1">E4/10^3</f>
        <v>26233.496999999999</v>
      </c>
      <c r="G4" s="22" t="s">
        <v>181</v>
      </c>
      <c r="H4" s="23" t="s">
        <v>79</v>
      </c>
      <c r="J4" s="23" t="s">
        <v>1235</v>
      </c>
      <c r="K4" s="24">
        <v>1199656</v>
      </c>
      <c r="L4" s="206">
        <v>1199.6559999999999</v>
      </c>
    </row>
    <row r="5" spans="1:12" hidden="1" x14ac:dyDescent="0.35">
      <c r="A5" s="23" t="s">
        <v>289</v>
      </c>
      <c r="B5" s="24">
        <f>SUMIF('Raw Aug'!G:G,'TB 0825'!A5,'Raw Aug'!C:C)</f>
        <v>0</v>
      </c>
      <c r="C5" s="24">
        <f>SUMIF('Raw Aug'!G:G,'TB 0825'!A5,'Raw Aug'!D:D)</f>
        <v>0</v>
      </c>
      <c r="D5" s="24">
        <f>SUMIF('Raw Aug'!G:G,'TB 0825'!A5,'Raw Aug'!E:E)</f>
        <v>0</v>
      </c>
      <c r="E5" s="24">
        <f t="shared" si="0"/>
        <v>0</v>
      </c>
      <c r="F5" s="24">
        <f t="shared" si="1"/>
        <v>0</v>
      </c>
      <c r="G5" s="22" t="s">
        <v>181</v>
      </c>
      <c r="H5" s="23" t="s">
        <v>72</v>
      </c>
      <c r="J5" s="23" t="s">
        <v>31</v>
      </c>
      <c r="K5" s="24">
        <v>560955</v>
      </c>
      <c r="L5" s="206">
        <v>560.95500000000004</v>
      </c>
    </row>
    <row r="6" spans="1:12" hidden="1" x14ac:dyDescent="0.35">
      <c r="A6" s="23" t="s">
        <v>562</v>
      </c>
      <c r="B6" s="24">
        <f>SUMIF('Raw Aug'!G:G,'TB 0825'!A6,'Raw Aug'!C:C)</f>
        <v>-893087.22</v>
      </c>
      <c r="C6" s="24">
        <f>SUMIF('Raw Aug'!G:G,'TB 0825'!A6,'Raw Aug'!D:D)</f>
        <v>0</v>
      </c>
      <c r="D6" s="24">
        <f>SUMIF('Raw Aug'!G:G,'TB 0825'!A6,'Raw Aug'!E:E)</f>
        <v>266134.45</v>
      </c>
      <c r="E6" s="24">
        <f t="shared" si="0"/>
        <v>-1159221.67</v>
      </c>
      <c r="F6" s="24">
        <f t="shared" si="1"/>
        <v>-1159.2216699999999</v>
      </c>
      <c r="G6" s="22" t="s">
        <v>181</v>
      </c>
      <c r="H6" s="23" t="s">
        <v>71</v>
      </c>
      <c r="J6" s="23" t="s">
        <v>1290</v>
      </c>
      <c r="K6" s="24">
        <v>705835</v>
      </c>
      <c r="L6" s="206">
        <v>705.83500000000004</v>
      </c>
    </row>
    <row r="7" spans="1:12" hidden="1" x14ac:dyDescent="0.35">
      <c r="A7" s="23" t="s">
        <v>772</v>
      </c>
      <c r="B7" s="24">
        <f>SUMIF('Raw Aug'!G:G,'TB 0825'!A7,'Raw Aug'!C:C)</f>
        <v>-53282.07</v>
      </c>
      <c r="C7" s="24">
        <f>SUMIF('Raw Aug'!G:G,'TB 0825'!A7,'Raw Aug'!D:D)</f>
        <v>0</v>
      </c>
      <c r="D7" s="24">
        <f>SUMIF('Raw Aug'!G:G,'TB 0825'!A7,'Raw Aug'!E:E)</f>
        <v>11370.3</v>
      </c>
      <c r="E7" s="24">
        <f t="shared" si="0"/>
        <v>-64652.369999999995</v>
      </c>
      <c r="F7" s="24">
        <f t="shared" si="1"/>
        <v>-64.652369999999991</v>
      </c>
      <c r="G7" s="22" t="s">
        <v>181</v>
      </c>
      <c r="H7" s="23" t="s">
        <v>71</v>
      </c>
      <c r="J7" s="23" t="s">
        <v>34</v>
      </c>
      <c r="K7" s="24">
        <v>91833</v>
      </c>
      <c r="L7" s="206">
        <v>91.832999999999998</v>
      </c>
    </row>
    <row r="8" spans="1:12" hidden="1" x14ac:dyDescent="0.35">
      <c r="A8" s="23" t="s">
        <v>198</v>
      </c>
      <c r="B8" s="24">
        <f>SUMIF('Raw Aug'!G:G,'TB 0825'!A8,'Raw Aug'!C:C)</f>
        <v>-57446.16</v>
      </c>
      <c r="C8" s="24">
        <f>SUMIF('Raw Aug'!G:G,'TB 0825'!A8,'Raw Aug'!D:D)</f>
        <v>0</v>
      </c>
      <c r="D8" s="24">
        <f>SUMIF('Raw Aug'!G:G,'TB 0825'!A8,'Raw Aug'!E:E)</f>
        <v>14007.98</v>
      </c>
      <c r="E8" s="24">
        <f t="shared" si="0"/>
        <v>-71454.14</v>
      </c>
      <c r="F8" s="24">
        <f t="shared" si="1"/>
        <v>-71.454139999999995</v>
      </c>
      <c r="G8" s="22" t="s">
        <v>181</v>
      </c>
      <c r="H8" s="23" t="s">
        <v>71</v>
      </c>
      <c r="J8" s="23" t="s">
        <v>1291</v>
      </c>
      <c r="K8" s="24">
        <v>475887.09677419352</v>
      </c>
      <c r="L8" s="206">
        <v>475.88709677419354</v>
      </c>
    </row>
    <row r="9" spans="1:12" hidden="1" x14ac:dyDescent="0.35">
      <c r="A9" s="23" t="s">
        <v>967</v>
      </c>
      <c r="B9" s="24">
        <f>SUMIF('Raw Aug'!G:G,'TB 0825'!A9,'Raw Aug'!C:C)</f>
        <v>4894691.82</v>
      </c>
      <c r="C9" s="24">
        <f>SUMIF('Raw Aug'!G:G,'TB 0825'!A9,'Raw Aug'!D:D)</f>
        <v>0</v>
      </c>
      <c r="D9" s="24">
        <f>SUMIF('Raw Aug'!G:G,'TB 0825'!A9,'Raw Aug'!E:E)</f>
        <v>4853400</v>
      </c>
      <c r="E9" s="24">
        <f t="shared" si="0"/>
        <v>41291.820000000298</v>
      </c>
      <c r="F9" s="24">
        <f t="shared" si="1"/>
        <v>41.2918200000003</v>
      </c>
      <c r="G9" s="22" t="s">
        <v>181</v>
      </c>
      <c r="H9" s="23" t="s">
        <v>79</v>
      </c>
      <c r="J9" s="23" t="s">
        <v>1292</v>
      </c>
      <c r="K9" s="24">
        <v>274258.06451612903</v>
      </c>
      <c r="L9" s="206">
        <v>274.25806451612902</v>
      </c>
    </row>
    <row r="10" spans="1:12" hidden="1" x14ac:dyDescent="0.35">
      <c r="A10" s="23" t="s">
        <v>365</v>
      </c>
      <c r="B10" s="24">
        <f>SUMIF('Raw Aug'!G:G,'TB 0825'!A10,'Raw Aug'!C:C)</f>
        <v>305.98</v>
      </c>
      <c r="C10" s="24">
        <f>SUMIF('Raw Aug'!G:G,'TB 0825'!A10,'Raw Aug'!D:D)</f>
        <v>0</v>
      </c>
      <c r="D10" s="24">
        <f>SUMIF('Raw Aug'!G:G,'TB 0825'!A10,'Raw Aug'!E:E)</f>
        <v>0</v>
      </c>
      <c r="E10" s="24">
        <f t="shared" si="0"/>
        <v>305.98</v>
      </c>
      <c r="F10" s="24">
        <f t="shared" si="1"/>
        <v>0.30598000000000003</v>
      </c>
      <c r="G10" s="22" t="s">
        <v>181</v>
      </c>
      <c r="H10" s="23" t="s">
        <v>79</v>
      </c>
      <c r="K10" s="210">
        <v>22855657.491290323</v>
      </c>
      <c r="L10" s="210">
        <v>22855.65749129032</v>
      </c>
    </row>
    <row r="11" spans="1:12" hidden="1" x14ac:dyDescent="0.35">
      <c r="A11" s="23" t="s">
        <v>563</v>
      </c>
      <c r="B11" s="24">
        <f>SUMIF('Raw Aug'!G:G,'TB 0825'!A11,'Raw Aug'!C:C)</f>
        <v>12164.34</v>
      </c>
      <c r="C11" s="24">
        <f>SUMIF('Raw Aug'!G:G,'TB 0825'!A11,'Raw Aug'!D:D)</f>
        <v>0</v>
      </c>
      <c r="D11" s="24">
        <f>SUMIF('Raw Aug'!G:G,'TB 0825'!A11,'Raw Aug'!E:E)</f>
        <v>118</v>
      </c>
      <c r="E11" s="24">
        <f t="shared" si="0"/>
        <v>12046.34</v>
      </c>
      <c r="F11" s="24">
        <f t="shared" si="1"/>
        <v>12.046340000000001</v>
      </c>
      <c r="G11" s="22" t="s">
        <v>181</v>
      </c>
      <c r="H11" s="23" t="s">
        <v>78</v>
      </c>
      <c r="K11" s="206">
        <v>-8.7096765637397766E-3</v>
      </c>
      <c r="L11" s="206"/>
    </row>
    <row r="12" spans="1:12" hidden="1" x14ac:dyDescent="0.35">
      <c r="A12" s="23" t="s">
        <v>564</v>
      </c>
      <c r="B12" s="24">
        <f>SUMIF('Raw Aug'!G:G,'TB 0825'!A12,'Raw Aug'!C:C)</f>
        <v>8535437.0299999993</v>
      </c>
      <c r="C12" s="24">
        <f>SUMIF('Raw Aug'!G:G,'TB 0825'!A12,'Raw Aug'!D:D)</f>
        <v>3066599</v>
      </c>
      <c r="D12" s="24">
        <f>SUMIF('Raw Aug'!G:G,'TB 0825'!A12,'Raw Aug'!E:E)</f>
        <v>0</v>
      </c>
      <c r="E12" s="24">
        <f t="shared" si="0"/>
        <v>11602036.029999999</v>
      </c>
      <c r="F12" s="24">
        <f t="shared" si="1"/>
        <v>11602.036029999999</v>
      </c>
      <c r="G12" s="22" t="s">
        <v>181</v>
      </c>
      <c r="H12" s="23" t="s">
        <v>71</v>
      </c>
      <c r="I12" s="23" t="s">
        <v>1397</v>
      </c>
    </row>
    <row r="13" spans="1:12" hidden="1" x14ac:dyDescent="0.35">
      <c r="A13" s="23" t="s">
        <v>693</v>
      </c>
      <c r="B13" s="24">
        <f>SUMIF('Raw Aug'!G:G,'TB 0825'!A13,'Raw Aug'!C:C)</f>
        <v>704611.34</v>
      </c>
      <c r="C13" s="24">
        <f>SUMIF('Raw Aug'!G:G,'TB 0825'!A13,'Raw Aug'!D:D)</f>
        <v>0</v>
      </c>
      <c r="D13" s="24">
        <f>SUMIF('Raw Aug'!G:G,'TB 0825'!A13,'Raw Aug'!E:E)</f>
        <v>0</v>
      </c>
      <c r="E13" s="24">
        <f t="shared" si="0"/>
        <v>704611.34</v>
      </c>
      <c r="F13" s="24">
        <f t="shared" si="1"/>
        <v>704.61133999999993</v>
      </c>
      <c r="G13" s="22" t="s">
        <v>181</v>
      </c>
      <c r="H13" s="23" t="s">
        <v>71</v>
      </c>
      <c r="I13" s="23" t="s">
        <v>1397</v>
      </c>
    </row>
    <row r="14" spans="1:12" hidden="1" x14ac:dyDescent="0.35">
      <c r="A14" s="23" t="s">
        <v>714</v>
      </c>
      <c r="B14" s="24">
        <f>SUMIF('Raw Aug'!G:G,'TB 0825'!A14,'Raw Aug'!C:C)</f>
        <v>72359.7</v>
      </c>
      <c r="C14" s="24">
        <f>SUMIF('Raw Aug'!G:G,'TB 0825'!A14,'Raw Aug'!D:D)</f>
        <v>400000</v>
      </c>
      <c r="D14" s="24">
        <f>SUMIF('Raw Aug'!G:G,'TB 0825'!A14,'Raw Aug'!E:E)</f>
        <v>400000</v>
      </c>
      <c r="E14" s="24">
        <f t="shared" si="0"/>
        <v>72359.700000000012</v>
      </c>
      <c r="F14" s="24">
        <f t="shared" si="1"/>
        <v>72.359700000000018</v>
      </c>
      <c r="G14" s="22" t="s">
        <v>181</v>
      </c>
      <c r="H14" s="23" t="s">
        <v>78</v>
      </c>
    </row>
    <row r="15" spans="1:12" hidden="1" x14ac:dyDescent="0.35">
      <c r="A15" s="23" t="s">
        <v>715</v>
      </c>
      <c r="B15" s="24">
        <f>SUMIF('Raw Aug'!G:G,'TB 0825'!A15,'Raw Aug'!C:C)</f>
        <v>267314.33</v>
      </c>
      <c r="C15" s="24">
        <f>SUMIF('Raw Aug'!G:G,'TB 0825'!A15,'Raw Aug'!D:D)</f>
        <v>1991960.65</v>
      </c>
      <c r="D15" s="24">
        <f>SUMIF('Raw Aug'!G:G,'TB 0825'!A15,'Raw Aug'!E:E)</f>
        <v>1877923.1</v>
      </c>
      <c r="E15" s="24">
        <f t="shared" si="0"/>
        <v>381351.87999999989</v>
      </c>
      <c r="F15" s="24">
        <f t="shared" si="1"/>
        <v>381.35187999999988</v>
      </c>
      <c r="G15" s="22" t="s">
        <v>181</v>
      </c>
      <c r="H15" s="23" t="s">
        <v>78</v>
      </c>
    </row>
    <row r="16" spans="1:12" hidden="1" x14ac:dyDescent="0.35">
      <c r="A16" s="23" t="s">
        <v>565</v>
      </c>
      <c r="B16" s="24">
        <f>SUMIF('Raw Aug'!G:G,'TB 0825'!A16,'Raw Aug'!C:C)</f>
        <v>4961720.42</v>
      </c>
      <c r="C16" s="24">
        <f>SUMIF('Raw Aug'!G:G,'TB 0825'!A16,'Raw Aug'!D:D)</f>
        <v>1570706.01</v>
      </c>
      <c r="D16" s="24">
        <f>SUMIF('Raw Aug'!G:G,'TB 0825'!A16,'Raw Aug'!E:E)</f>
        <v>0</v>
      </c>
      <c r="E16" s="24">
        <f t="shared" si="0"/>
        <v>6532426.4299999997</v>
      </c>
      <c r="F16" s="24">
        <f t="shared" si="1"/>
        <v>6532.4264299999995</v>
      </c>
      <c r="G16" s="22" t="s">
        <v>181</v>
      </c>
      <c r="H16" s="23" t="s">
        <v>79</v>
      </c>
    </row>
    <row r="17" spans="1:8" hidden="1" x14ac:dyDescent="0.35">
      <c r="A17" s="23" t="s">
        <v>566</v>
      </c>
      <c r="B17" s="24">
        <f>SUMIF('Raw Aug'!G:G,'TB 0825'!A17,'Raw Aug'!C:C)</f>
        <v>3320212.35</v>
      </c>
      <c r="C17" s="24">
        <f>SUMIF('Raw Aug'!G:G,'TB 0825'!A17,'Raw Aug'!D:D)</f>
        <v>2522542.35</v>
      </c>
      <c r="D17" s="24">
        <f>SUMIF('Raw Aug'!G:G,'TB 0825'!A17,'Raw Aug'!E:E)</f>
        <v>2110500</v>
      </c>
      <c r="E17" s="24">
        <f t="shared" si="0"/>
        <v>3732254.7</v>
      </c>
      <c r="F17" s="24">
        <f t="shared" si="1"/>
        <v>3732.2547000000004</v>
      </c>
      <c r="G17" s="22" t="s">
        <v>181</v>
      </c>
      <c r="H17" s="23" t="s">
        <v>79</v>
      </c>
    </row>
    <row r="18" spans="1:8" hidden="1" x14ac:dyDescent="0.35">
      <c r="A18" s="23" t="s">
        <v>567</v>
      </c>
      <c r="B18" s="24">
        <f>SUMIF('Raw Aug'!G:G,'TB 0825'!A18,'Raw Aug'!C:C)</f>
        <v>4893362.47</v>
      </c>
      <c r="C18" s="24">
        <f>SUMIF('Raw Aug'!G:G,'TB 0825'!A18,'Raw Aug'!D:D)</f>
        <v>1570706.01</v>
      </c>
      <c r="D18" s="24">
        <f>SUMIF('Raw Aug'!G:G,'TB 0825'!A18,'Raw Aug'!E:E)</f>
        <v>0</v>
      </c>
      <c r="E18" s="24">
        <f t="shared" si="0"/>
        <v>6464068.4799999995</v>
      </c>
      <c r="F18" s="24">
        <f t="shared" si="1"/>
        <v>6464.0684799999999</v>
      </c>
      <c r="G18" s="22" t="s">
        <v>181</v>
      </c>
      <c r="H18" s="23" t="s">
        <v>79</v>
      </c>
    </row>
    <row r="19" spans="1:8" hidden="1" x14ac:dyDescent="0.35">
      <c r="A19" s="23" t="s">
        <v>300</v>
      </c>
      <c r="B19" s="24">
        <f>SUMIF('Raw Aug'!G:G,'TB 0825'!A19,'Raw Aug'!C:C)</f>
        <v>0</v>
      </c>
      <c r="C19" s="24">
        <f>SUMIF('Raw Aug'!G:G,'TB 0825'!A19,'Raw Aug'!D:D)</f>
        <v>0</v>
      </c>
      <c r="D19" s="24">
        <f>SUMIF('Raw Aug'!G:G,'TB 0825'!A19,'Raw Aug'!E:E)</f>
        <v>0</v>
      </c>
      <c r="E19" s="24">
        <f t="shared" si="0"/>
        <v>0</v>
      </c>
      <c r="F19" s="24">
        <f t="shared" si="1"/>
        <v>0</v>
      </c>
      <c r="G19" s="22" t="s">
        <v>181</v>
      </c>
      <c r="H19" s="23" t="s">
        <v>72</v>
      </c>
    </row>
    <row r="20" spans="1:8" hidden="1" x14ac:dyDescent="0.35">
      <c r="A20" s="23" t="s">
        <v>1352</v>
      </c>
      <c r="B20" s="24">
        <f>SUMIF('Raw Aug'!G:G,'TB 0825'!A20,'Raw Aug'!C:C)</f>
        <v>0</v>
      </c>
      <c r="C20" s="24">
        <f>SUMIF('Raw Aug'!G:G,'TB 0825'!A20,'Raw Aug'!D:D)</f>
        <v>39998000.100000001</v>
      </c>
      <c r="D20" s="24">
        <f>SUMIF('Raw Aug'!G:G,'TB 0825'!A20,'Raw Aug'!E:E)</f>
        <v>0</v>
      </c>
      <c r="E20" s="24">
        <f t="shared" si="0"/>
        <v>39998000.100000001</v>
      </c>
      <c r="F20" s="24">
        <f t="shared" si="1"/>
        <v>39998.000100000005</v>
      </c>
      <c r="G20" s="22" t="s">
        <v>181</v>
      </c>
      <c r="H20" s="23" t="s">
        <v>76</v>
      </c>
    </row>
    <row r="21" spans="1:8" hidden="1" x14ac:dyDescent="0.35">
      <c r="A21" s="23" t="s">
        <v>1239</v>
      </c>
      <c r="B21" s="24">
        <f>SUMIF('Raw Aug'!G:G,'TB 0825'!A21,'Raw Aug'!C:C)</f>
        <v>50000000</v>
      </c>
      <c r="C21" s="24">
        <f>SUMIF('Raw Aug'!G:G,'TB 0825'!A21,'Raw Aug'!D:D)</f>
        <v>0</v>
      </c>
      <c r="D21" s="24">
        <f>SUMIF('Raw Aug'!G:G,'TB 0825'!A21,'Raw Aug'!E:E)</f>
        <v>0</v>
      </c>
      <c r="E21" s="24">
        <f t="shared" si="0"/>
        <v>50000000</v>
      </c>
      <c r="F21" s="24">
        <f t="shared" si="1"/>
        <v>50000</v>
      </c>
      <c r="G21" s="22" t="s">
        <v>181</v>
      </c>
      <c r="H21" s="23" t="s">
        <v>76</v>
      </c>
    </row>
    <row r="22" spans="1:8" hidden="1" x14ac:dyDescent="0.35">
      <c r="A22" s="23" t="s">
        <v>1240</v>
      </c>
      <c r="B22" s="24">
        <f>SUMIF('Raw Aug'!G:G,'TB 0825'!A22,'Raw Aug'!C:C)</f>
        <v>100000000</v>
      </c>
      <c r="C22" s="24">
        <f>SUMIF('Raw Aug'!G:G,'TB 0825'!A22,'Raw Aug'!D:D)</f>
        <v>0</v>
      </c>
      <c r="D22" s="24">
        <f>SUMIF('Raw Aug'!G:G,'TB 0825'!A22,'Raw Aug'!E:E)</f>
        <v>0</v>
      </c>
      <c r="E22" s="24">
        <f t="shared" si="0"/>
        <v>100000000</v>
      </c>
      <c r="F22" s="24">
        <f t="shared" si="1"/>
        <v>100000</v>
      </c>
      <c r="G22" s="22" t="s">
        <v>181</v>
      </c>
      <c r="H22" s="23" t="s">
        <v>76</v>
      </c>
    </row>
    <row r="23" spans="1:8" hidden="1" x14ac:dyDescent="0.35">
      <c r="A23" s="23" t="s">
        <v>1241</v>
      </c>
      <c r="B23" s="24">
        <f>SUMIF('Raw Aug'!G:G,'TB 0825'!A23,'Raw Aug'!C:C)</f>
        <v>150000000</v>
      </c>
      <c r="C23" s="24">
        <f>SUMIF('Raw Aug'!G:G,'TB 0825'!A23,'Raw Aug'!D:D)</f>
        <v>0</v>
      </c>
      <c r="D23" s="24">
        <f>SUMIF('Raw Aug'!G:G,'TB 0825'!A23,'Raw Aug'!E:E)</f>
        <v>0</v>
      </c>
      <c r="E23" s="24">
        <f t="shared" si="0"/>
        <v>150000000</v>
      </c>
      <c r="F23" s="24">
        <f t="shared" si="1"/>
        <v>150000</v>
      </c>
      <c r="G23" s="22" t="s">
        <v>181</v>
      </c>
      <c r="H23" s="23" t="s">
        <v>76</v>
      </c>
    </row>
    <row r="24" spans="1:8" hidden="1" x14ac:dyDescent="0.35">
      <c r="A24" s="23" t="s">
        <v>1242</v>
      </c>
      <c r="B24" s="24">
        <f>SUMIF('Raw Aug'!G:G,'TB 0825'!A24,'Raw Aug'!C:C)</f>
        <v>300000000</v>
      </c>
      <c r="C24" s="24">
        <f>SUMIF('Raw Aug'!G:G,'TB 0825'!A24,'Raw Aug'!D:D)</f>
        <v>0</v>
      </c>
      <c r="D24" s="24">
        <f>SUMIF('Raw Aug'!G:G,'TB 0825'!A24,'Raw Aug'!E:E)</f>
        <v>0</v>
      </c>
      <c r="E24" s="24">
        <f t="shared" si="0"/>
        <v>300000000</v>
      </c>
      <c r="F24" s="24">
        <f t="shared" si="1"/>
        <v>300000</v>
      </c>
      <c r="G24" s="22" t="s">
        <v>181</v>
      </c>
      <c r="H24" s="23" t="s">
        <v>76</v>
      </c>
    </row>
    <row r="25" spans="1:8" hidden="1" x14ac:dyDescent="0.35">
      <c r="A25" s="23" t="s">
        <v>1243</v>
      </c>
      <c r="B25" s="24">
        <f>SUMIF('Raw Aug'!G:G,'TB 0825'!A25,'Raw Aug'!C:C)</f>
        <v>100000000</v>
      </c>
      <c r="C25" s="24">
        <f>SUMIF('Raw Aug'!G:G,'TB 0825'!A25,'Raw Aug'!D:D)</f>
        <v>0</v>
      </c>
      <c r="D25" s="24">
        <f>SUMIF('Raw Aug'!G:G,'TB 0825'!A25,'Raw Aug'!E:E)</f>
        <v>0</v>
      </c>
      <c r="E25" s="24">
        <f t="shared" si="0"/>
        <v>100000000</v>
      </c>
      <c r="F25" s="24">
        <f t="shared" si="1"/>
        <v>100000</v>
      </c>
      <c r="G25" s="22" t="s">
        <v>181</v>
      </c>
      <c r="H25" s="23" t="s">
        <v>76</v>
      </c>
    </row>
    <row r="26" spans="1:8" hidden="1" x14ac:dyDescent="0.35">
      <c r="A26" s="23" t="s">
        <v>1244</v>
      </c>
      <c r="B26" s="24">
        <f>SUMIF('Raw Aug'!G:G,'TB 0825'!A26,'Raw Aug'!C:C)</f>
        <v>150000000</v>
      </c>
      <c r="C26" s="24">
        <f>SUMIF('Raw Aug'!G:G,'TB 0825'!A26,'Raw Aug'!D:D)</f>
        <v>0</v>
      </c>
      <c r="D26" s="24">
        <f>SUMIF('Raw Aug'!G:G,'TB 0825'!A26,'Raw Aug'!E:E)</f>
        <v>0</v>
      </c>
      <c r="E26" s="24">
        <f t="shared" si="0"/>
        <v>150000000</v>
      </c>
      <c r="F26" s="24">
        <f t="shared" si="1"/>
        <v>150000</v>
      </c>
      <c r="G26" s="22" t="s">
        <v>181</v>
      </c>
      <c r="H26" s="23" t="s">
        <v>76</v>
      </c>
    </row>
    <row r="27" spans="1:8" hidden="1" x14ac:dyDescent="0.35">
      <c r="A27" s="23" t="s">
        <v>1245</v>
      </c>
      <c r="B27" s="24">
        <f>SUMIF('Raw Aug'!G:G,'TB 0825'!A27,'Raw Aug'!C:C)</f>
        <v>150000000</v>
      </c>
      <c r="C27" s="24">
        <f>SUMIF('Raw Aug'!G:G,'TB 0825'!A27,'Raw Aug'!D:D)</f>
        <v>0</v>
      </c>
      <c r="D27" s="24">
        <f>SUMIF('Raw Aug'!G:G,'TB 0825'!A27,'Raw Aug'!E:E)</f>
        <v>0</v>
      </c>
      <c r="E27" s="24">
        <f t="shared" si="0"/>
        <v>150000000</v>
      </c>
      <c r="F27" s="24">
        <f t="shared" si="1"/>
        <v>150000</v>
      </c>
      <c r="G27" s="22" t="s">
        <v>181</v>
      </c>
      <c r="H27" s="23" t="s">
        <v>76</v>
      </c>
    </row>
    <row r="28" spans="1:8" hidden="1" x14ac:dyDescent="0.35">
      <c r="A28" s="23" t="s">
        <v>1246</v>
      </c>
      <c r="B28" s="24">
        <f>SUMIF('Raw Aug'!G:G,'TB 0825'!A28,'Raw Aug'!C:C)</f>
        <v>180000000</v>
      </c>
      <c r="C28" s="24">
        <f>SUMIF('Raw Aug'!G:G,'TB 0825'!A28,'Raw Aug'!D:D)</f>
        <v>0</v>
      </c>
      <c r="D28" s="24">
        <f>SUMIF('Raw Aug'!G:G,'TB 0825'!A28,'Raw Aug'!E:E)</f>
        <v>0</v>
      </c>
      <c r="E28" s="24">
        <f t="shared" si="0"/>
        <v>180000000</v>
      </c>
      <c r="F28" s="24">
        <f t="shared" si="1"/>
        <v>180000</v>
      </c>
      <c r="G28" s="22" t="s">
        <v>181</v>
      </c>
      <c r="H28" s="23" t="s">
        <v>76</v>
      </c>
    </row>
    <row r="29" spans="1:8" hidden="1" x14ac:dyDescent="0.35">
      <c r="A29" s="23" t="s">
        <v>1247</v>
      </c>
      <c r="B29" s="24">
        <f>SUMIF('Raw Aug'!G:G,'TB 0825'!A29,'Raw Aug'!C:C)</f>
        <v>170000000</v>
      </c>
      <c r="C29" s="24">
        <f>SUMIF('Raw Aug'!G:G,'TB 0825'!A29,'Raw Aug'!D:D)</f>
        <v>0</v>
      </c>
      <c r="D29" s="24">
        <f>SUMIF('Raw Aug'!G:G,'TB 0825'!A29,'Raw Aug'!E:E)</f>
        <v>0</v>
      </c>
      <c r="E29" s="24">
        <f t="shared" si="0"/>
        <v>170000000</v>
      </c>
      <c r="F29" s="24">
        <f t="shared" si="1"/>
        <v>170000</v>
      </c>
      <c r="G29" s="22" t="s">
        <v>181</v>
      </c>
      <c r="H29" s="23" t="s">
        <v>76</v>
      </c>
    </row>
    <row r="30" spans="1:8" hidden="1" x14ac:dyDescent="0.35">
      <c r="A30" s="23" t="s">
        <v>1248</v>
      </c>
      <c r="B30" s="24">
        <f>SUMIF('Raw Aug'!G:G,'TB 0825'!A30,'Raw Aug'!C:C)</f>
        <v>17000000</v>
      </c>
      <c r="C30" s="24">
        <f>SUMIF('Raw Aug'!G:G,'TB 0825'!A30,'Raw Aug'!D:D)</f>
        <v>0</v>
      </c>
      <c r="D30" s="24">
        <f>SUMIF('Raw Aug'!G:G,'TB 0825'!A30,'Raw Aug'!E:E)</f>
        <v>0</v>
      </c>
      <c r="E30" s="24">
        <f t="shared" si="0"/>
        <v>17000000</v>
      </c>
      <c r="F30" s="24">
        <f t="shared" si="1"/>
        <v>17000</v>
      </c>
      <c r="G30" s="22" t="s">
        <v>181</v>
      </c>
      <c r="H30" s="23" t="s">
        <v>76</v>
      </c>
    </row>
    <row r="31" spans="1:8" hidden="1" x14ac:dyDescent="0.35">
      <c r="A31" s="23" t="s">
        <v>1249</v>
      </c>
      <c r="B31" s="24">
        <f>SUMIF('Raw Aug'!G:G,'TB 0825'!A31,'Raw Aug'!C:C)</f>
        <v>250000000</v>
      </c>
      <c r="C31" s="24">
        <f>SUMIF('Raw Aug'!G:G,'TB 0825'!A31,'Raw Aug'!D:D)</f>
        <v>0</v>
      </c>
      <c r="D31" s="24">
        <f>SUMIF('Raw Aug'!G:G,'TB 0825'!A31,'Raw Aug'!E:E)</f>
        <v>0</v>
      </c>
      <c r="E31" s="24">
        <f t="shared" si="0"/>
        <v>250000000</v>
      </c>
      <c r="F31" s="24">
        <f t="shared" si="1"/>
        <v>250000</v>
      </c>
      <c r="G31" s="22" t="s">
        <v>181</v>
      </c>
      <c r="H31" s="23" t="s">
        <v>76</v>
      </c>
    </row>
    <row r="32" spans="1:8" hidden="1" x14ac:dyDescent="0.35">
      <c r="A32" s="23" t="s">
        <v>1287</v>
      </c>
      <c r="B32" s="24">
        <f>SUMIF('Raw Aug'!G:G,'TB 0825'!A32,'Raw Aug'!C:C)</f>
        <v>325000000</v>
      </c>
      <c r="C32" s="24">
        <f>SUMIF('Raw Aug'!G:G,'TB 0825'!A32,'Raw Aug'!D:D)</f>
        <v>0</v>
      </c>
      <c r="D32" s="24">
        <f>SUMIF('Raw Aug'!G:G,'TB 0825'!A32,'Raw Aug'!E:E)</f>
        <v>325000000</v>
      </c>
      <c r="E32" s="24">
        <f t="shared" si="0"/>
        <v>0</v>
      </c>
      <c r="F32" s="24">
        <f t="shared" si="1"/>
        <v>0</v>
      </c>
      <c r="G32" s="22" t="s">
        <v>181</v>
      </c>
      <c r="H32" s="23" t="s">
        <v>76</v>
      </c>
    </row>
    <row r="33" spans="1:9" hidden="1" x14ac:dyDescent="0.35">
      <c r="A33" s="23" t="s">
        <v>1353</v>
      </c>
      <c r="B33" s="24">
        <f>SUMIF('Raw Aug'!G:G,'TB 0825'!A33,'Raw Aug'!C:C)</f>
        <v>0</v>
      </c>
      <c r="C33" s="24">
        <f>SUMIF('Raw Aug'!G:G,'TB 0825'!A33,'Raw Aug'!D:D)</f>
        <v>300000000</v>
      </c>
      <c r="D33" s="24">
        <f>SUMIF('Raw Aug'!G:G,'TB 0825'!A33,'Raw Aug'!E:E)</f>
        <v>300000000</v>
      </c>
      <c r="E33" s="24">
        <f t="shared" si="0"/>
        <v>0</v>
      </c>
      <c r="F33" s="24">
        <f t="shared" si="1"/>
        <v>0</v>
      </c>
      <c r="G33" s="22" t="s">
        <v>181</v>
      </c>
      <c r="H33" s="23" t="s">
        <v>76</v>
      </c>
    </row>
    <row r="34" spans="1:9" hidden="1" x14ac:dyDescent="0.35">
      <c r="A34" s="23" t="s">
        <v>1354</v>
      </c>
      <c r="B34" s="24">
        <f>SUMIF('Raw Aug'!G:G,'TB 0825'!A34,'Raw Aug'!C:C)</f>
        <v>0</v>
      </c>
      <c r="C34" s="24">
        <f>SUMIF('Raw Aug'!G:G,'TB 0825'!A34,'Raw Aug'!D:D)</f>
        <v>5000000</v>
      </c>
      <c r="D34" s="24">
        <f>SUMIF('Raw Aug'!G:G,'TB 0825'!A34,'Raw Aug'!E:E)</f>
        <v>5000000</v>
      </c>
      <c r="E34" s="24">
        <f t="shared" si="0"/>
        <v>0</v>
      </c>
      <c r="F34" s="24">
        <f t="shared" si="1"/>
        <v>0</v>
      </c>
      <c r="G34" s="22" t="s">
        <v>181</v>
      </c>
      <c r="H34" s="23" t="s">
        <v>76</v>
      </c>
    </row>
    <row r="35" spans="1:9" hidden="1" x14ac:dyDescent="0.35">
      <c r="A35" s="23" t="s">
        <v>1355</v>
      </c>
      <c r="B35" s="24">
        <f>SUMIF('Raw Aug'!G:G,'TB 0825'!A35,'Raw Aug'!C:C)</f>
        <v>0</v>
      </c>
      <c r="C35" s="24">
        <f>SUMIF('Raw Aug'!G:G,'TB 0825'!A35,'Raw Aug'!D:D)</f>
        <v>10000000</v>
      </c>
      <c r="D35" s="24">
        <f>SUMIF('Raw Aug'!G:G,'TB 0825'!A35,'Raw Aug'!E:E)</f>
        <v>10000000</v>
      </c>
      <c r="E35" s="24">
        <f t="shared" si="0"/>
        <v>0</v>
      </c>
      <c r="F35" s="24">
        <f t="shared" si="1"/>
        <v>0</v>
      </c>
      <c r="G35" s="22" t="s">
        <v>181</v>
      </c>
      <c r="H35" s="23" t="s">
        <v>76</v>
      </c>
    </row>
    <row r="36" spans="1:9" hidden="1" x14ac:dyDescent="0.35">
      <c r="A36" s="23" t="s">
        <v>1356</v>
      </c>
      <c r="B36" s="24">
        <f>SUMIF('Raw Aug'!G:G,'TB 0825'!A36,'Raw Aug'!C:C)</f>
        <v>0</v>
      </c>
      <c r="C36" s="24">
        <f>SUMIF('Raw Aug'!G:G,'TB 0825'!A36,'Raw Aug'!D:D)</f>
        <v>280000000</v>
      </c>
      <c r="D36" s="24">
        <f>SUMIF('Raw Aug'!G:G,'TB 0825'!A36,'Raw Aug'!E:E)</f>
        <v>280000000</v>
      </c>
      <c r="E36" s="24">
        <f t="shared" si="0"/>
        <v>0</v>
      </c>
      <c r="F36" s="24">
        <f t="shared" si="1"/>
        <v>0</v>
      </c>
      <c r="G36" s="22" t="s">
        <v>181</v>
      </c>
      <c r="H36" s="23" t="s">
        <v>76</v>
      </c>
    </row>
    <row r="37" spans="1:9" hidden="1" x14ac:dyDescent="0.35">
      <c r="A37" s="23" t="s">
        <v>1357</v>
      </c>
      <c r="B37" s="24">
        <f>SUMIF('Raw Aug'!G:G,'TB 0825'!A37,'Raw Aug'!C:C)</f>
        <v>0</v>
      </c>
      <c r="C37" s="24">
        <f>SUMIF('Raw Aug'!G:G,'TB 0825'!A37,'Raw Aug'!D:D)</f>
        <v>39998000.100000001</v>
      </c>
      <c r="D37" s="24">
        <f>SUMIF('Raw Aug'!G:G,'TB 0825'!A37,'Raw Aug'!E:E)</f>
        <v>0</v>
      </c>
      <c r="E37" s="24">
        <f t="shared" si="0"/>
        <v>39998000.100000001</v>
      </c>
      <c r="F37" s="24">
        <f t="shared" si="1"/>
        <v>39998.000100000005</v>
      </c>
      <c r="G37" s="22" t="s">
        <v>181</v>
      </c>
      <c r="H37" s="23" t="s">
        <v>76</v>
      </c>
    </row>
    <row r="38" spans="1:9" hidden="1" x14ac:dyDescent="0.35">
      <c r="A38" s="23" t="s">
        <v>1358</v>
      </c>
      <c r="B38" s="24">
        <f>SUMIF('Raw Aug'!G:G,'TB 0825'!A38,'Raw Aug'!C:C)</f>
        <v>0</v>
      </c>
      <c r="C38" s="24">
        <f>SUMIF('Raw Aug'!G:G,'TB 0825'!A38,'Raw Aug'!D:D)</f>
        <v>39998000.100000001</v>
      </c>
      <c r="D38" s="24">
        <f>SUMIF('Raw Aug'!G:G,'TB 0825'!A38,'Raw Aug'!E:E)</f>
        <v>0</v>
      </c>
      <c r="E38" s="24">
        <f t="shared" si="0"/>
        <v>39998000.100000001</v>
      </c>
      <c r="F38" s="24">
        <f t="shared" si="1"/>
        <v>39998.000100000005</v>
      </c>
      <c r="G38" s="22" t="s">
        <v>181</v>
      </c>
      <c r="H38" s="23" t="s">
        <v>76</v>
      </c>
    </row>
    <row r="39" spans="1:9" hidden="1" x14ac:dyDescent="0.35">
      <c r="A39" s="23" t="s">
        <v>1359</v>
      </c>
      <c r="B39" s="24">
        <f>SUMIF('Raw Aug'!G:G,'TB 0825'!A39,'Raw Aug'!C:C)</f>
        <v>0</v>
      </c>
      <c r="C39" s="24">
        <f>SUMIF('Raw Aug'!G:G,'TB 0825'!A39,'Raw Aug'!D:D)</f>
        <v>49997500.119999997</v>
      </c>
      <c r="D39" s="24">
        <f>SUMIF('Raw Aug'!G:G,'TB 0825'!A39,'Raw Aug'!E:E)</f>
        <v>34972608.079999998</v>
      </c>
      <c r="E39" s="24">
        <f t="shared" si="0"/>
        <v>15024892.039999999</v>
      </c>
      <c r="F39" s="24">
        <f t="shared" si="1"/>
        <v>15024.892039999999</v>
      </c>
      <c r="G39" s="22" t="s">
        <v>181</v>
      </c>
      <c r="H39" s="23" t="s">
        <v>76</v>
      </c>
    </row>
    <row r="40" spans="1:9" hidden="1" x14ac:dyDescent="0.35">
      <c r="A40" s="23" t="s">
        <v>1360</v>
      </c>
      <c r="B40" s="24">
        <f>SUMIF('Raw Aug'!G:G,'TB 0825'!A40,'Raw Aug'!C:C)</f>
        <v>0</v>
      </c>
      <c r="C40" s="24">
        <f>SUMIF('Raw Aug'!G:G,'TB 0825'!A40,'Raw Aug'!D:D)</f>
        <v>39998000.100000001</v>
      </c>
      <c r="D40" s="24">
        <f>SUMIF('Raw Aug'!G:G,'TB 0825'!A40,'Raw Aug'!E:E)</f>
        <v>0</v>
      </c>
      <c r="E40" s="24">
        <f t="shared" si="0"/>
        <v>39998000.100000001</v>
      </c>
      <c r="F40" s="24">
        <f t="shared" si="1"/>
        <v>39998.000100000005</v>
      </c>
      <c r="G40" s="22" t="s">
        <v>181</v>
      </c>
      <c r="H40" s="23" t="s">
        <v>76</v>
      </c>
    </row>
    <row r="41" spans="1:9" hidden="1" x14ac:dyDescent="0.35">
      <c r="A41" s="23" t="s">
        <v>1361</v>
      </c>
      <c r="B41" s="24">
        <f>SUMIF('Raw Aug'!G:G,'TB 0825'!A41,'Raw Aug'!C:C)</f>
        <v>0</v>
      </c>
      <c r="C41" s="24">
        <f>SUMIF('Raw Aug'!G:G,'TB 0825'!A41,'Raw Aug'!D:D)</f>
        <v>39998000.100000001</v>
      </c>
      <c r="D41" s="24">
        <f>SUMIF('Raw Aug'!G:G,'TB 0825'!A41,'Raw Aug'!E:E)</f>
        <v>0</v>
      </c>
      <c r="E41" s="24">
        <f t="shared" si="0"/>
        <v>39998000.100000001</v>
      </c>
      <c r="F41" s="24">
        <f t="shared" si="1"/>
        <v>39998.000100000005</v>
      </c>
      <c r="G41" s="22" t="s">
        <v>181</v>
      </c>
      <c r="H41" s="23" t="s">
        <v>76</v>
      </c>
    </row>
    <row r="42" spans="1:9" hidden="1" x14ac:dyDescent="0.35">
      <c r="A42" s="23" t="s">
        <v>1362</v>
      </c>
      <c r="B42" s="24">
        <f>SUMIF('Raw Aug'!G:G,'TB 0825'!A42,'Raw Aug'!C:C)</f>
        <v>0</v>
      </c>
      <c r="C42" s="24">
        <f>SUMIF('Raw Aug'!G:G,'TB 0825'!A42,'Raw Aug'!D:D)</f>
        <v>39998000.100000001</v>
      </c>
      <c r="D42" s="24">
        <f>SUMIF('Raw Aug'!G:G,'TB 0825'!A42,'Raw Aug'!E:E)</f>
        <v>0</v>
      </c>
      <c r="E42" s="24">
        <f t="shared" si="0"/>
        <v>39998000.100000001</v>
      </c>
      <c r="F42" s="24">
        <f t="shared" si="1"/>
        <v>39998.000100000005</v>
      </c>
      <c r="G42" s="22" t="s">
        <v>181</v>
      </c>
      <c r="H42" s="23" t="s">
        <v>76</v>
      </c>
    </row>
    <row r="43" spans="1:9" hidden="1" x14ac:dyDescent="0.35">
      <c r="A43" s="23" t="s">
        <v>572</v>
      </c>
      <c r="B43" s="24">
        <f>SUMIF('Raw Aug'!G:G,'TB 0825'!A43,'Raw Aug'!C:C)</f>
        <v>1672382.45</v>
      </c>
      <c r="C43" s="24">
        <f>SUMIF('Raw Aug'!G:G,'TB 0825'!A43,'Raw Aug'!D:D)</f>
        <v>955641946</v>
      </c>
      <c r="D43" s="24">
        <f>SUMIF('Raw Aug'!G:G,'TB 0825'!A43,'Raw Aug'!E:E)</f>
        <v>944600000</v>
      </c>
      <c r="E43" s="24">
        <f t="shared" si="0"/>
        <v>12714328.450000048</v>
      </c>
      <c r="F43" s="24">
        <f t="shared" si="1"/>
        <v>12714.328450000048</v>
      </c>
      <c r="G43" s="22" t="s">
        <v>181</v>
      </c>
      <c r="H43" s="23" t="s">
        <v>78</v>
      </c>
    </row>
    <row r="44" spans="1:9" hidden="1" x14ac:dyDescent="0.35">
      <c r="A44" s="23" t="s">
        <v>573</v>
      </c>
      <c r="B44" s="24">
        <f>SUMIF('Raw Aug'!G:G,'TB 0825'!A44,'Raw Aug'!C:C)</f>
        <v>3169264.89</v>
      </c>
      <c r="C44" s="24">
        <f>SUMIF('Raw Aug'!G:G,'TB 0825'!A44,'Raw Aug'!D:D)</f>
        <v>77678129.650000006</v>
      </c>
      <c r="D44" s="24">
        <f>SUMIF('Raw Aug'!G:G,'TB 0825'!A44,'Raw Aug'!E:E)</f>
        <v>78549106.269999996</v>
      </c>
      <c r="E44" s="24">
        <f t="shared" si="0"/>
        <v>2298288.2700000107</v>
      </c>
      <c r="F44" s="24">
        <f t="shared" si="1"/>
        <v>2298.2882700000109</v>
      </c>
      <c r="G44" s="22" t="s">
        <v>181</v>
      </c>
      <c r="H44" s="23" t="s">
        <v>78</v>
      </c>
    </row>
    <row r="45" spans="1:9" hidden="1" x14ac:dyDescent="0.35">
      <c r="A45" s="23" t="s">
        <v>723</v>
      </c>
      <c r="B45" s="24">
        <f>SUMIF('Raw Aug'!G:G,'TB 0825'!A45,'Raw Aug'!C:C)</f>
        <v>3633598</v>
      </c>
      <c r="C45" s="24">
        <f>SUMIF('Raw Aug'!G:G,'TB 0825'!A45,'Raw Aug'!D:D)</f>
        <v>6162246</v>
      </c>
      <c r="D45" s="24">
        <f>SUMIF('Raw Aug'!G:G,'TB 0825'!A45,'Raw Aug'!E:E)</f>
        <v>0</v>
      </c>
      <c r="E45" s="24">
        <f t="shared" si="0"/>
        <v>9795844</v>
      </c>
      <c r="F45" s="24">
        <f t="shared" si="1"/>
        <v>9795.8439999999991</v>
      </c>
      <c r="G45" s="22" t="s">
        <v>181</v>
      </c>
      <c r="H45" s="23" t="s">
        <v>71</v>
      </c>
      <c r="I45" s="23" t="s">
        <v>1397</v>
      </c>
    </row>
    <row r="46" spans="1:9" hidden="1" x14ac:dyDescent="0.35">
      <c r="A46" s="23" t="s">
        <v>231</v>
      </c>
      <c r="B46" s="24">
        <f>SUMIF('Raw Aug'!G:G,'TB 0825'!A46,'Raw Aug'!C:C)</f>
        <v>520840.59</v>
      </c>
      <c r="C46" s="24">
        <f>SUMIF('Raw Aug'!G:G,'TB 0825'!A46,'Raw Aug'!D:D)</f>
        <v>0.99</v>
      </c>
      <c r="D46" s="24">
        <f>SUMIF('Raw Aug'!G:G,'TB 0825'!A46,'Raw Aug'!E:E)</f>
        <v>0</v>
      </c>
      <c r="E46" s="24">
        <f t="shared" si="0"/>
        <v>520841.58</v>
      </c>
      <c r="F46" s="24">
        <f t="shared" si="1"/>
        <v>520.84158000000002</v>
      </c>
      <c r="G46" s="22" t="s">
        <v>181</v>
      </c>
      <c r="H46" s="23" t="s">
        <v>71</v>
      </c>
      <c r="I46" s="23" t="s">
        <v>1397</v>
      </c>
    </row>
    <row r="47" spans="1:9" hidden="1" x14ac:dyDescent="0.35">
      <c r="A47" s="23" t="s">
        <v>1297</v>
      </c>
      <c r="B47" s="24">
        <f>SUMIF('Raw Aug'!G:G,'TB 0825'!A47,'Raw Aug'!C:C)</f>
        <v>1222814</v>
      </c>
      <c r="C47" s="24">
        <f>SUMIF('Raw Aug'!G:G,'TB 0825'!A47,'Raw Aug'!D:D)</f>
        <v>0</v>
      </c>
      <c r="D47" s="24">
        <f>SUMIF('Raw Aug'!G:G,'TB 0825'!A47,'Raw Aug'!E:E)</f>
        <v>0</v>
      </c>
      <c r="E47" s="24">
        <f t="shared" si="0"/>
        <v>1222814</v>
      </c>
      <c r="F47" s="24">
        <f t="shared" si="1"/>
        <v>1222.8140000000001</v>
      </c>
      <c r="G47" s="22" t="s">
        <v>181</v>
      </c>
      <c r="H47" s="23" t="s">
        <v>79</v>
      </c>
    </row>
    <row r="48" spans="1:9" hidden="1" x14ac:dyDescent="0.35">
      <c r="A48" s="23" t="s">
        <v>575</v>
      </c>
      <c r="B48" s="24">
        <f>SUMIF('Raw Aug'!G:G,'TB 0825'!A48,'Raw Aug'!C:C)</f>
        <v>256867.36</v>
      </c>
      <c r="C48" s="24">
        <f>SUMIF('Raw Aug'!G:G,'TB 0825'!A48,'Raw Aug'!D:D)</f>
        <v>550000</v>
      </c>
      <c r="D48" s="24">
        <f>SUMIF('Raw Aug'!G:G,'TB 0825'!A48,'Raw Aug'!E:E)</f>
        <v>128433.67</v>
      </c>
      <c r="E48" s="24">
        <f t="shared" si="0"/>
        <v>678433.69</v>
      </c>
      <c r="F48" s="24">
        <f t="shared" si="1"/>
        <v>678.43368999999996</v>
      </c>
      <c r="G48" s="22" t="s">
        <v>181</v>
      </c>
      <c r="H48" s="23" t="s">
        <v>79</v>
      </c>
    </row>
    <row r="49" spans="1:8" hidden="1" x14ac:dyDescent="0.35">
      <c r="A49" s="23" t="s">
        <v>376</v>
      </c>
      <c r="B49" s="24">
        <f>SUMIF('Raw Aug'!G:G,'TB 0825'!A49,'Raw Aug'!C:C)</f>
        <v>10370505.35</v>
      </c>
      <c r="C49" s="24">
        <f>SUMIF('Raw Aug'!G:G,'TB 0825'!A49,'Raw Aug'!D:D)</f>
        <v>13030974.92</v>
      </c>
      <c r="D49" s="24">
        <f>SUMIF('Raw Aug'!G:G,'TB 0825'!A49,'Raw Aug'!E:E)</f>
        <v>3805284.71</v>
      </c>
      <c r="E49" s="24">
        <f t="shared" si="0"/>
        <v>19596195.559999999</v>
      </c>
      <c r="F49" s="24">
        <f t="shared" si="1"/>
        <v>19596.19556</v>
      </c>
      <c r="G49" s="22" t="s">
        <v>181</v>
      </c>
      <c r="H49" s="23" t="s">
        <v>67</v>
      </c>
    </row>
    <row r="50" spans="1:8" hidden="1" x14ac:dyDescent="0.35">
      <c r="A50" s="23" t="s">
        <v>576</v>
      </c>
      <c r="B50" s="24">
        <f>SUMIF('Raw Aug'!G:G,'TB 0825'!A50,'Raw Aug'!C:C)</f>
        <v>0</v>
      </c>
      <c r="C50" s="24">
        <f>SUMIF('Raw Aug'!G:G,'TB 0825'!A50,'Raw Aug'!D:D)</f>
        <v>18027839.84</v>
      </c>
      <c r="D50" s="24">
        <f>SUMIF('Raw Aug'!G:G,'TB 0825'!A50,'Raw Aug'!E:E)</f>
        <v>18027839.84</v>
      </c>
      <c r="E50" s="24">
        <f t="shared" si="0"/>
        <v>0</v>
      </c>
      <c r="F50" s="24">
        <f t="shared" si="1"/>
        <v>0</v>
      </c>
      <c r="G50" s="22" t="s">
        <v>181</v>
      </c>
      <c r="H50" s="23" t="s">
        <v>77</v>
      </c>
    </row>
    <row r="51" spans="1:8" hidden="1" x14ac:dyDescent="0.35">
      <c r="A51" s="23" t="s">
        <v>577</v>
      </c>
      <c r="B51" s="24">
        <f>SUMIF('Raw Aug'!G:G,'TB 0825'!A51,'Raw Aug'!C:C)</f>
        <v>1700476.4</v>
      </c>
      <c r="C51" s="24">
        <f>SUMIF('Raw Aug'!G:G,'TB 0825'!A51,'Raw Aug'!D:D)</f>
        <v>104024.61</v>
      </c>
      <c r="D51" s="24">
        <f>SUMIF('Raw Aug'!G:G,'TB 0825'!A51,'Raw Aug'!E:E)</f>
        <v>0</v>
      </c>
      <c r="E51" s="24">
        <f t="shared" si="0"/>
        <v>1804501.01</v>
      </c>
      <c r="F51" s="24">
        <f t="shared" si="1"/>
        <v>1804.50101</v>
      </c>
      <c r="G51" s="22" t="s">
        <v>181</v>
      </c>
      <c r="H51" s="23" t="s">
        <v>79</v>
      </c>
    </row>
    <row r="52" spans="1:8" hidden="1" x14ac:dyDescent="0.35">
      <c r="A52" s="23" t="s">
        <v>146</v>
      </c>
      <c r="B52" s="24">
        <f>SUMIF('Raw Aug'!G:G,'TB 0825'!A52,'Raw Aug'!C:C)</f>
        <v>8204400</v>
      </c>
      <c r="C52" s="24">
        <f>SUMIF('Raw Aug'!G:G,'TB 0825'!A52,'Raw Aug'!D:D)</f>
        <v>837000</v>
      </c>
      <c r="D52" s="24">
        <f>SUMIF('Raw Aug'!G:G,'TB 0825'!A52,'Raw Aug'!E:E)</f>
        <v>200000</v>
      </c>
      <c r="E52" s="24">
        <f t="shared" si="0"/>
        <v>8841400</v>
      </c>
      <c r="F52" s="24">
        <f t="shared" si="1"/>
        <v>8841.4</v>
      </c>
      <c r="G52" s="22" t="s">
        <v>181</v>
      </c>
      <c r="H52" s="23" t="s">
        <v>74</v>
      </c>
    </row>
    <row r="53" spans="1:8" hidden="1" x14ac:dyDescent="0.35">
      <c r="A53" s="23" t="s">
        <v>345</v>
      </c>
      <c r="B53" s="24">
        <f>SUMIF('Raw Aug'!G:G,'TB 0825'!A53,'Raw Aug'!C:C)</f>
        <v>345859.7</v>
      </c>
      <c r="C53" s="24">
        <f>SUMIF('Raw Aug'!G:G,'TB 0825'!A53,'Raw Aug'!D:D)</f>
        <v>0</v>
      </c>
      <c r="D53" s="24">
        <f>SUMIF('Raw Aug'!G:G,'TB 0825'!A53,'Raw Aug'!E:E)</f>
        <v>0</v>
      </c>
      <c r="E53" s="24">
        <f t="shared" si="0"/>
        <v>345859.7</v>
      </c>
      <c r="F53" s="24">
        <f t="shared" si="1"/>
        <v>345.85970000000003</v>
      </c>
      <c r="G53" s="22" t="s">
        <v>181</v>
      </c>
      <c r="H53" s="23" t="s">
        <v>79</v>
      </c>
    </row>
    <row r="54" spans="1:8" hidden="1" x14ac:dyDescent="0.35">
      <c r="A54" s="23" t="s">
        <v>427</v>
      </c>
      <c r="B54" s="24">
        <f>SUMIF('Raw Aug'!G:G,'TB 0825'!A54,'Raw Aug'!C:C)</f>
        <v>-12344688.189999999</v>
      </c>
      <c r="C54" s="24">
        <f>SUMIF('Raw Aug'!G:G,'TB 0825'!A54,'Raw Aug'!D:D)</f>
        <v>32717239.32</v>
      </c>
      <c r="D54" s="24">
        <f>SUMIF('Raw Aug'!G:G,'TB 0825'!A54,'Raw Aug'!E:E)</f>
        <v>43012922.700000003</v>
      </c>
      <c r="E54" s="24">
        <f t="shared" si="0"/>
        <v>-22640371.57</v>
      </c>
      <c r="F54" s="24">
        <f t="shared" si="1"/>
        <v>-22640.371569999999</v>
      </c>
      <c r="G54" s="22" t="s">
        <v>180</v>
      </c>
      <c r="H54" s="23" t="s">
        <v>67</v>
      </c>
    </row>
    <row r="55" spans="1:8" hidden="1" x14ac:dyDescent="0.35">
      <c r="A55" s="23" t="s">
        <v>1331</v>
      </c>
      <c r="B55" s="24">
        <f>SUMIF('Raw Aug'!G:G,'TB 0825'!A55,'Raw Aug'!C:C)</f>
        <v>-1444071.37</v>
      </c>
      <c r="C55" s="24">
        <f>SUMIF('Raw Aug'!G:G,'TB 0825'!A55,'Raw Aug'!D:D)</f>
        <v>1443482.87</v>
      </c>
      <c r="D55" s="24">
        <f>SUMIF('Raw Aug'!G:G,'TB 0825'!A55,'Raw Aug'!E:E)</f>
        <v>1833728</v>
      </c>
      <c r="E55" s="24">
        <f t="shared" si="0"/>
        <v>-1834316.5</v>
      </c>
      <c r="F55" s="24">
        <f t="shared" si="1"/>
        <v>-1834.3164999999999</v>
      </c>
      <c r="G55" s="22" t="s">
        <v>180</v>
      </c>
      <c r="H55" s="23" t="s">
        <v>68</v>
      </c>
    </row>
    <row r="56" spans="1:8" hidden="1" x14ac:dyDescent="0.35">
      <c r="A56" s="23" t="s">
        <v>423</v>
      </c>
      <c r="B56" s="24">
        <f>SUMIF('Raw Aug'!G:G,'TB 0825'!A56,'Raw Aug'!C:C)</f>
        <v>-346262.27</v>
      </c>
      <c r="C56" s="24">
        <f>SUMIF('Raw Aug'!G:G,'TB 0825'!A56,'Raw Aug'!D:D)</f>
        <v>0</v>
      </c>
      <c r="D56" s="24">
        <f>SUMIF('Raw Aug'!G:G,'TB 0825'!A56,'Raw Aug'!E:E)</f>
        <v>541717</v>
      </c>
      <c r="E56" s="24">
        <f t="shared" si="0"/>
        <v>-887979.27</v>
      </c>
      <c r="F56" s="24">
        <f t="shared" si="1"/>
        <v>-887.97927000000004</v>
      </c>
      <c r="G56" s="22" t="s">
        <v>180</v>
      </c>
      <c r="H56" s="23" t="s">
        <v>68</v>
      </c>
    </row>
    <row r="57" spans="1:8" hidden="1" x14ac:dyDescent="0.35">
      <c r="A57" s="23" t="s">
        <v>578</v>
      </c>
      <c r="B57" s="24">
        <f>SUMIF('Raw Aug'!G:G,'TB 0825'!A57,'Raw Aug'!C:C)</f>
        <v>0</v>
      </c>
      <c r="C57" s="24">
        <f>SUMIF('Raw Aug'!G:G,'TB 0825'!A57,'Raw Aug'!D:D)</f>
        <v>19532.12</v>
      </c>
      <c r="D57" s="24">
        <f>SUMIF('Raw Aug'!G:G,'TB 0825'!A57,'Raw Aug'!E:E)</f>
        <v>519532.12</v>
      </c>
      <c r="E57" s="24">
        <f t="shared" si="0"/>
        <v>-500000</v>
      </c>
      <c r="F57" s="24">
        <f t="shared" si="1"/>
        <v>-500</v>
      </c>
      <c r="G57" s="22" t="s">
        <v>180</v>
      </c>
      <c r="H57" s="23" t="s">
        <v>68</v>
      </c>
    </row>
    <row r="58" spans="1:8" hidden="1" x14ac:dyDescent="0.35">
      <c r="A58" s="23" t="s">
        <v>622</v>
      </c>
      <c r="B58" s="24">
        <f>SUMIF('Raw Aug'!G:G,'TB 0825'!A58,'Raw Aug'!C:C)</f>
        <v>-877478</v>
      </c>
      <c r="C58" s="24">
        <f>SUMIF('Raw Aug'!G:G,'TB 0825'!A58,'Raw Aug'!D:D)</f>
        <v>19427241</v>
      </c>
      <c r="D58" s="24">
        <f>SUMIF('Raw Aug'!G:G,'TB 0825'!A58,'Raw Aug'!E:E)</f>
        <v>19271014</v>
      </c>
      <c r="E58" s="24">
        <f t="shared" si="0"/>
        <v>-721251</v>
      </c>
      <c r="F58" s="24">
        <f t="shared" si="1"/>
        <v>-721.25099999999998</v>
      </c>
      <c r="G58" s="22" t="s">
        <v>180</v>
      </c>
      <c r="H58" s="23" t="s">
        <v>68</v>
      </c>
    </row>
    <row r="59" spans="1:8" hidden="1" x14ac:dyDescent="0.35">
      <c r="A59" s="23" t="s">
        <v>775</v>
      </c>
      <c r="B59" s="24">
        <f>SUMIF('Raw Aug'!G:G,'TB 0825'!A59,'Raw Aug'!C:C)</f>
        <v>-144</v>
      </c>
      <c r="C59" s="24">
        <f>SUMIF('Raw Aug'!G:G,'TB 0825'!A59,'Raw Aug'!D:D)</f>
        <v>144</v>
      </c>
      <c r="D59" s="24">
        <f>SUMIF('Raw Aug'!G:G,'TB 0825'!A59,'Raw Aug'!E:E)</f>
        <v>144</v>
      </c>
      <c r="E59" s="24">
        <f t="shared" si="0"/>
        <v>-144</v>
      </c>
      <c r="F59" s="24">
        <f t="shared" si="1"/>
        <v>-0.14399999999999999</v>
      </c>
      <c r="G59" s="22" t="s">
        <v>180</v>
      </c>
      <c r="H59" s="23" t="s">
        <v>68</v>
      </c>
    </row>
    <row r="60" spans="1:8" hidden="1" x14ac:dyDescent="0.35">
      <c r="A60" s="23" t="s">
        <v>776</v>
      </c>
      <c r="B60" s="24">
        <f>SUMIF('Raw Aug'!G:G,'TB 0825'!A60,'Raw Aug'!C:C)</f>
        <v>-621</v>
      </c>
      <c r="C60" s="24">
        <f>SUMIF('Raw Aug'!G:G,'TB 0825'!A60,'Raw Aug'!D:D)</f>
        <v>622</v>
      </c>
      <c r="D60" s="24">
        <f>SUMIF('Raw Aug'!G:G,'TB 0825'!A60,'Raw Aug'!E:E)</f>
        <v>621</v>
      </c>
      <c r="E60" s="24">
        <f t="shared" si="0"/>
        <v>-620</v>
      </c>
      <c r="F60" s="24">
        <f t="shared" si="1"/>
        <v>-0.62</v>
      </c>
      <c r="G60" s="22" t="s">
        <v>180</v>
      </c>
      <c r="H60" s="23" t="s">
        <v>68</v>
      </c>
    </row>
    <row r="61" spans="1:8" hidden="1" x14ac:dyDescent="0.35">
      <c r="A61" s="23" t="s">
        <v>1199</v>
      </c>
      <c r="B61" s="24">
        <f>SUMIF('Raw Aug'!G:G,'TB 0825'!A61,'Raw Aug'!C:C)</f>
        <v>-354140</v>
      </c>
      <c r="C61" s="24">
        <f>SUMIF('Raw Aug'!G:G,'TB 0825'!A61,'Raw Aug'!D:D)</f>
        <v>316150</v>
      </c>
      <c r="D61" s="24">
        <f>SUMIF('Raw Aug'!G:G,'TB 0825'!A61,'Raw Aug'!E:E)</f>
        <v>453220</v>
      </c>
      <c r="E61" s="24">
        <f t="shared" si="0"/>
        <v>-491210</v>
      </c>
      <c r="F61" s="24">
        <f t="shared" si="1"/>
        <v>-491.21</v>
      </c>
      <c r="G61" s="22" t="s">
        <v>180</v>
      </c>
      <c r="H61" s="23" t="s">
        <v>67</v>
      </c>
    </row>
    <row r="62" spans="1:8" hidden="1" x14ac:dyDescent="0.35">
      <c r="A62" s="23" t="s">
        <v>1252</v>
      </c>
      <c r="B62" s="24">
        <f>SUMIF('Raw Aug'!G:G,'TB 0825'!A62,'Raw Aug'!C:C)</f>
        <v>0</v>
      </c>
      <c r="C62" s="24">
        <f>SUMIF('Raw Aug'!G:G,'TB 0825'!A62,'Raw Aug'!D:D)</f>
        <v>355450</v>
      </c>
      <c r="D62" s="24">
        <f>SUMIF('Raw Aug'!G:G,'TB 0825'!A62,'Raw Aug'!E:E)</f>
        <v>355450</v>
      </c>
      <c r="E62" s="24">
        <f t="shared" si="0"/>
        <v>0</v>
      </c>
      <c r="F62" s="24">
        <f t="shared" si="1"/>
        <v>0</v>
      </c>
      <c r="G62" s="22" t="s">
        <v>180</v>
      </c>
      <c r="H62" s="23" t="s">
        <v>67</v>
      </c>
    </row>
    <row r="63" spans="1:8" hidden="1" x14ac:dyDescent="0.35">
      <c r="A63" s="23" t="s">
        <v>1288</v>
      </c>
      <c r="B63" s="24">
        <f>SUMIF('Raw Aug'!G:G,'TB 0825'!A63,'Raw Aug'!C:C)</f>
        <v>0</v>
      </c>
      <c r="C63" s="24">
        <f>SUMIF('Raw Aug'!G:G,'TB 0825'!A63,'Raw Aug'!D:D)</f>
        <v>294350</v>
      </c>
      <c r="D63" s="24">
        <f>SUMIF('Raw Aug'!G:G,'TB 0825'!A63,'Raw Aug'!E:E)</f>
        <v>294350</v>
      </c>
      <c r="E63" s="24">
        <f t="shared" si="0"/>
        <v>0</v>
      </c>
      <c r="F63" s="24">
        <f t="shared" si="1"/>
        <v>0</v>
      </c>
      <c r="G63" s="22" t="s">
        <v>180</v>
      </c>
      <c r="H63" s="23" t="s">
        <v>68</v>
      </c>
    </row>
    <row r="64" spans="1:8" hidden="1" x14ac:dyDescent="0.35">
      <c r="A64" s="23" t="s">
        <v>969</v>
      </c>
      <c r="B64" s="24">
        <f>SUMIF('Raw Aug'!G:G,'TB 0825'!A64,'Raw Aug'!C:C)</f>
        <v>-19596083.350000001</v>
      </c>
      <c r="C64" s="24">
        <f>SUMIF('Raw Aug'!G:G,'TB 0825'!A64,'Raw Aug'!D:D)</f>
        <v>18986338.329999998</v>
      </c>
      <c r="D64" s="24">
        <f>SUMIF('Raw Aug'!G:G,'TB 0825'!A64,'Raw Aug'!E:E)</f>
        <v>28946682.559999999</v>
      </c>
      <c r="E64" s="24">
        <f t="shared" si="0"/>
        <v>-29556427.580000002</v>
      </c>
      <c r="F64" s="24">
        <f t="shared" si="1"/>
        <v>-29556.427580000003</v>
      </c>
      <c r="G64" s="22" t="s">
        <v>180</v>
      </c>
      <c r="H64" s="23" t="s">
        <v>67</v>
      </c>
    </row>
    <row r="65" spans="1:8" hidden="1" x14ac:dyDescent="0.35">
      <c r="A65" s="23" t="s">
        <v>1253</v>
      </c>
      <c r="B65" s="24">
        <f>SUMIF('Raw Aug'!G:G,'TB 0825'!A65,'Raw Aug'!C:C)</f>
        <v>0</v>
      </c>
      <c r="C65" s="24">
        <f>SUMIF('Raw Aug'!G:G,'TB 0825'!A65,'Raw Aug'!D:D)</f>
        <v>66478.5</v>
      </c>
      <c r="D65" s="24">
        <f>SUMIF('Raw Aug'!G:G,'TB 0825'!A65,'Raw Aug'!E:E)</f>
        <v>66478.5</v>
      </c>
      <c r="E65" s="24">
        <f t="shared" si="0"/>
        <v>0</v>
      </c>
      <c r="F65" s="24">
        <f t="shared" si="1"/>
        <v>0</v>
      </c>
      <c r="G65" s="22" t="s">
        <v>180</v>
      </c>
      <c r="H65" s="23" t="s">
        <v>67</v>
      </c>
    </row>
    <row r="66" spans="1:8" hidden="1" x14ac:dyDescent="0.35">
      <c r="A66" s="23" t="s">
        <v>579</v>
      </c>
      <c r="B66" s="24">
        <f>SUMIF('Raw Aug'!G:G,'TB 0825'!A66,'Raw Aug'!C:C)</f>
        <v>-561976.03</v>
      </c>
      <c r="C66" s="24">
        <f>SUMIF('Raw Aug'!G:G,'TB 0825'!A66,'Raw Aug'!D:D)</f>
        <v>513481.47</v>
      </c>
      <c r="D66" s="24">
        <f>SUMIF('Raw Aug'!G:G,'TB 0825'!A66,'Raw Aug'!E:E)</f>
        <v>951675.5</v>
      </c>
      <c r="E66" s="24">
        <f t="shared" si="0"/>
        <v>-1000170.06</v>
      </c>
      <c r="F66" s="24">
        <f t="shared" si="1"/>
        <v>-1000.17006</v>
      </c>
      <c r="G66" s="22" t="s">
        <v>180</v>
      </c>
      <c r="H66" s="23" t="s">
        <v>79</v>
      </c>
    </row>
    <row r="67" spans="1:8" hidden="1" x14ac:dyDescent="0.35">
      <c r="A67" s="23" t="s">
        <v>580</v>
      </c>
      <c r="B67" s="24">
        <f>SUMIF('Raw Aug'!G:G,'TB 0825'!A67,'Raw Aug'!C:C)</f>
        <v>-1640668.92</v>
      </c>
      <c r="C67" s="24">
        <f>SUMIF('Raw Aug'!G:G,'TB 0825'!A67,'Raw Aug'!D:D)</f>
        <v>1585079</v>
      </c>
      <c r="D67" s="24">
        <f>SUMIF('Raw Aug'!G:G,'TB 0825'!A67,'Raw Aug'!E:E)</f>
        <v>592829.94999999995</v>
      </c>
      <c r="E67" s="24">
        <f t="shared" si="0"/>
        <v>-648419.86999999988</v>
      </c>
      <c r="F67" s="24">
        <f t="shared" si="1"/>
        <v>-648.41986999999983</v>
      </c>
      <c r="G67" s="22" t="s">
        <v>180</v>
      </c>
      <c r="H67" s="23" t="s">
        <v>79</v>
      </c>
    </row>
    <row r="68" spans="1:8" hidden="1" x14ac:dyDescent="0.35">
      <c r="A68" s="23" t="s">
        <v>581</v>
      </c>
      <c r="B68" s="24">
        <f>SUMIF('Raw Aug'!G:G,'TB 0825'!A68,'Raw Aug'!C:C)</f>
        <v>-561974.03</v>
      </c>
      <c r="C68" s="24">
        <f>SUMIF('Raw Aug'!G:G,'TB 0825'!A68,'Raw Aug'!D:D)</f>
        <v>513481.47</v>
      </c>
      <c r="D68" s="24">
        <f>SUMIF('Raw Aug'!G:G,'TB 0825'!A68,'Raw Aug'!E:E)</f>
        <v>951675.5</v>
      </c>
      <c r="E68" s="24">
        <f t="shared" ref="E68:E131" si="2">B68+C68-D68</f>
        <v>-1000168.06</v>
      </c>
      <c r="F68" s="24">
        <f t="shared" ref="F68:F131" si="3">E68/10^3</f>
        <v>-1000.1680600000001</v>
      </c>
      <c r="G68" s="22" t="s">
        <v>180</v>
      </c>
      <c r="H68" s="23" t="s">
        <v>79</v>
      </c>
    </row>
    <row r="69" spans="1:8" hidden="1" x14ac:dyDescent="0.35">
      <c r="A69" s="23" t="s">
        <v>582</v>
      </c>
      <c r="B69" s="24">
        <f>SUMIF('Raw Aug'!G:G,'TB 0825'!A69,'Raw Aug'!C:C)</f>
        <v>-29000</v>
      </c>
      <c r="C69" s="24">
        <f>SUMIF('Raw Aug'!G:G,'TB 0825'!A69,'Raw Aug'!D:D)</f>
        <v>29200</v>
      </c>
      <c r="D69" s="24">
        <f>SUMIF('Raw Aug'!G:G,'TB 0825'!A69,'Raw Aug'!E:E)</f>
        <v>31400</v>
      </c>
      <c r="E69" s="24">
        <f t="shared" si="2"/>
        <v>-31200</v>
      </c>
      <c r="F69" s="24">
        <f t="shared" si="3"/>
        <v>-31.2</v>
      </c>
      <c r="G69" s="22" t="s">
        <v>180</v>
      </c>
      <c r="H69" s="23" t="s">
        <v>68</v>
      </c>
    </row>
    <row r="70" spans="1:8" hidden="1" x14ac:dyDescent="0.35">
      <c r="A70" s="23" t="s">
        <v>583</v>
      </c>
      <c r="B70" s="24">
        <f>SUMIF('Raw Aug'!G:G,'TB 0825'!A70,'Raw Aug'!C:C)</f>
        <v>-306782</v>
      </c>
      <c r="C70" s="24">
        <f>SUMIF('Raw Aug'!G:G,'TB 0825'!A70,'Raw Aug'!D:D)</f>
        <v>306782</v>
      </c>
      <c r="D70" s="24">
        <f>SUMIF('Raw Aug'!G:G,'TB 0825'!A70,'Raw Aug'!E:E)</f>
        <v>327631</v>
      </c>
      <c r="E70" s="24">
        <f t="shared" si="2"/>
        <v>-327631</v>
      </c>
      <c r="F70" s="24">
        <f t="shared" si="3"/>
        <v>-327.63099999999997</v>
      </c>
      <c r="G70" s="22" t="s">
        <v>180</v>
      </c>
      <c r="H70" s="23" t="s">
        <v>68</v>
      </c>
    </row>
    <row r="71" spans="1:8" hidden="1" x14ac:dyDescent="0.35">
      <c r="A71" s="23" t="s">
        <v>584</v>
      </c>
      <c r="B71" s="24">
        <f>SUMIF('Raw Aug'!G:G,'TB 0825'!A71,'Raw Aug'!C:C)</f>
        <v>-306782</v>
      </c>
      <c r="C71" s="24">
        <f>SUMIF('Raw Aug'!G:G,'TB 0825'!A71,'Raw Aug'!D:D)</f>
        <v>306782</v>
      </c>
      <c r="D71" s="24">
        <f>SUMIF('Raw Aug'!G:G,'TB 0825'!A71,'Raw Aug'!E:E)</f>
        <v>327631</v>
      </c>
      <c r="E71" s="24">
        <f t="shared" si="2"/>
        <v>-327631</v>
      </c>
      <c r="F71" s="24">
        <f t="shared" si="3"/>
        <v>-327.63099999999997</v>
      </c>
      <c r="G71" s="22" t="s">
        <v>180</v>
      </c>
      <c r="H71" s="23" t="s">
        <v>68</v>
      </c>
    </row>
    <row r="72" spans="1:8" hidden="1" x14ac:dyDescent="0.35">
      <c r="A72" s="23" t="s">
        <v>138</v>
      </c>
      <c r="B72" s="24">
        <f>SUMIF('Raw Aug'!G:G,'TB 0825'!A72,'Raw Aug'!C:C)</f>
        <v>-100000</v>
      </c>
      <c r="C72" s="24">
        <f>SUMIF('Raw Aug'!G:G,'TB 0825'!A72,'Raw Aug'!D:D)</f>
        <v>0</v>
      </c>
      <c r="D72" s="24">
        <f>SUMIF('Raw Aug'!G:G,'TB 0825'!A72,'Raw Aug'!E:E)</f>
        <v>0</v>
      </c>
      <c r="E72" s="24">
        <f t="shared" si="2"/>
        <v>-100000</v>
      </c>
      <c r="F72" s="24">
        <f t="shared" si="3"/>
        <v>-100</v>
      </c>
      <c r="G72" s="22" t="s">
        <v>180</v>
      </c>
      <c r="H72" s="23" t="s">
        <v>69</v>
      </c>
    </row>
    <row r="73" spans="1:8" hidden="1" x14ac:dyDescent="0.35">
      <c r="A73" s="23" t="s">
        <v>620</v>
      </c>
      <c r="B73" s="24">
        <f>SUMIF('Raw Aug'!G:G,'TB 0825'!A73,'Raw Aug'!C:C)</f>
        <v>-824889</v>
      </c>
      <c r="C73" s="24">
        <f>SUMIF('Raw Aug'!G:G,'TB 0825'!A73,'Raw Aug'!D:D)</f>
        <v>43000</v>
      </c>
      <c r="D73" s="24">
        <f>SUMIF('Raw Aug'!G:G,'TB 0825'!A73,'Raw Aug'!E:E)</f>
        <v>95900</v>
      </c>
      <c r="E73" s="24">
        <f t="shared" si="2"/>
        <v>-877789</v>
      </c>
      <c r="F73" s="24">
        <f t="shared" si="3"/>
        <v>-877.78899999999999</v>
      </c>
      <c r="G73" s="22" t="s">
        <v>180</v>
      </c>
      <c r="H73" s="23" t="s">
        <v>69</v>
      </c>
    </row>
    <row r="74" spans="1:8" hidden="1" x14ac:dyDescent="0.35">
      <c r="A74" s="23" t="s">
        <v>1296</v>
      </c>
      <c r="B74" s="24">
        <f>SUMIF('Raw Aug'!G:G,'TB 0825'!A74,'Raw Aug'!C:C)</f>
        <v>-35000</v>
      </c>
      <c r="C74" s="24">
        <f>SUMIF('Raw Aug'!G:G,'TB 0825'!A74,'Raw Aug'!D:D)</f>
        <v>35000</v>
      </c>
      <c r="D74" s="24">
        <f>SUMIF('Raw Aug'!G:G,'TB 0825'!A74,'Raw Aug'!E:E)</f>
        <v>1792293</v>
      </c>
      <c r="E74" s="24">
        <f t="shared" si="2"/>
        <v>-1792293</v>
      </c>
      <c r="F74" s="24">
        <f t="shared" si="3"/>
        <v>-1792.2929999999999</v>
      </c>
      <c r="G74" s="22" t="s">
        <v>180</v>
      </c>
      <c r="H74" s="23" t="s">
        <v>69</v>
      </c>
    </row>
    <row r="75" spans="1:8" hidden="1" x14ac:dyDescent="0.35">
      <c r="A75" s="23" t="s">
        <v>585</v>
      </c>
      <c r="B75" s="24">
        <f>SUMIF('Raw Aug'!G:G,'TB 0825'!A75,'Raw Aug'!C:C)</f>
        <v>-1145386.92</v>
      </c>
      <c r="C75" s="24">
        <f>SUMIF('Raw Aug'!G:G,'TB 0825'!A75,'Raw Aug'!D:D)</f>
        <v>1138845</v>
      </c>
      <c r="D75" s="24">
        <f>SUMIF('Raw Aug'!G:G,'TB 0825'!A75,'Raw Aug'!E:E)</f>
        <v>10552048.439999999</v>
      </c>
      <c r="E75" s="24">
        <f t="shared" si="2"/>
        <v>-10558590.359999999</v>
      </c>
      <c r="F75" s="24">
        <f t="shared" si="3"/>
        <v>-10558.59036</v>
      </c>
      <c r="G75" s="22" t="s">
        <v>180</v>
      </c>
      <c r="H75" s="23" t="s">
        <v>69</v>
      </c>
    </row>
    <row r="76" spans="1:8" hidden="1" x14ac:dyDescent="0.35">
      <c r="A76" s="23" t="s">
        <v>1256</v>
      </c>
      <c r="B76" s="24">
        <f>SUMIF('Raw Aug'!G:G,'TB 0825'!A76,'Raw Aug'!C:C)</f>
        <v>-368100</v>
      </c>
      <c r="C76" s="24">
        <f>SUMIF('Raw Aug'!G:G,'TB 0825'!A76,'Raw Aug'!D:D)</f>
        <v>180000</v>
      </c>
      <c r="D76" s="24">
        <f>SUMIF('Raw Aug'!G:G,'TB 0825'!A76,'Raw Aug'!E:E)</f>
        <v>500000</v>
      </c>
      <c r="E76" s="24">
        <f t="shared" si="2"/>
        <v>-688100</v>
      </c>
      <c r="F76" s="24">
        <f t="shared" si="3"/>
        <v>-688.1</v>
      </c>
      <c r="G76" s="22" t="s">
        <v>180</v>
      </c>
      <c r="H76" s="23" t="s">
        <v>69</v>
      </c>
    </row>
    <row r="77" spans="1:8" hidden="1" x14ac:dyDescent="0.35">
      <c r="A77" s="23" t="s">
        <v>586</v>
      </c>
      <c r="B77" s="24">
        <f>SUMIF('Raw Aug'!G:G,'TB 0825'!A77,'Raw Aug'!C:C)</f>
        <v>-110975.03</v>
      </c>
      <c r="C77" s="24">
        <f>SUMIF('Raw Aug'!G:G,'TB 0825'!A77,'Raw Aug'!D:D)</f>
        <v>0</v>
      </c>
      <c r="D77" s="24">
        <f>SUMIF('Raw Aug'!G:G,'TB 0825'!A77,'Raw Aug'!E:E)</f>
        <v>0</v>
      </c>
      <c r="E77" s="24">
        <f t="shared" si="2"/>
        <v>-110975.03</v>
      </c>
      <c r="F77" s="24">
        <f t="shared" si="3"/>
        <v>-110.97503</v>
      </c>
      <c r="G77" s="22" t="s">
        <v>180</v>
      </c>
      <c r="H77" s="23" t="s">
        <v>69</v>
      </c>
    </row>
    <row r="78" spans="1:8" hidden="1" x14ac:dyDescent="0.35">
      <c r="A78" s="23" t="s">
        <v>1257</v>
      </c>
      <c r="B78" s="24">
        <f>SUMIF('Raw Aug'!G:G,'TB 0825'!A78,'Raw Aug'!C:C)</f>
        <v>-241766.92</v>
      </c>
      <c r="C78" s="24">
        <f>SUMIF('Raw Aug'!G:G,'TB 0825'!A78,'Raw Aug'!D:D)</f>
        <v>30110.28</v>
      </c>
      <c r="D78" s="24">
        <f>SUMIF('Raw Aug'!G:G,'TB 0825'!A78,'Raw Aug'!E:E)</f>
        <v>26672.13</v>
      </c>
      <c r="E78" s="24">
        <f t="shared" si="2"/>
        <v>-238328.77000000002</v>
      </c>
      <c r="F78" s="24">
        <f t="shared" si="3"/>
        <v>-238.32877000000002</v>
      </c>
      <c r="G78" s="22" t="s">
        <v>180</v>
      </c>
      <c r="H78" s="23" t="s">
        <v>69</v>
      </c>
    </row>
    <row r="79" spans="1:8" hidden="1" x14ac:dyDescent="0.35">
      <c r="A79" s="23" t="s">
        <v>1258</v>
      </c>
      <c r="B79" s="24">
        <f>SUMIF('Raw Aug'!G:G,'TB 0825'!A79,'Raw Aug'!C:C)</f>
        <v>-123139.69</v>
      </c>
      <c r="C79" s="24">
        <f>SUMIF('Raw Aug'!G:G,'TB 0825'!A79,'Raw Aug'!D:D)</f>
        <v>0</v>
      </c>
      <c r="D79" s="24">
        <f>SUMIF('Raw Aug'!G:G,'TB 0825'!A79,'Raw Aug'!E:E)</f>
        <v>17268.939999999999</v>
      </c>
      <c r="E79" s="24">
        <f t="shared" si="2"/>
        <v>-140408.63</v>
      </c>
      <c r="F79" s="24">
        <f t="shared" si="3"/>
        <v>-140.40863000000002</v>
      </c>
      <c r="G79" s="22" t="s">
        <v>180</v>
      </c>
      <c r="H79" s="23" t="s">
        <v>69</v>
      </c>
    </row>
    <row r="80" spans="1:8" hidden="1" x14ac:dyDescent="0.35">
      <c r="A80" s="23" t="s">
        <v>425</v>
      </c>
      <c r="B80" s="24">
        <f>SUMIF('Raw Aug'!G:G,'TB 0825'!A80,'Raw Aug'!C:C)</f>
        <v>-4115870.28</v>
      </c>
      <c r="C80" s="24">
        <f>SUMIF('Raw Aug'!G:G,'TB 0825'!A80,'Raw Aug'!D:D)</f>
        <v>4240522</v>
      </c>
      <c r="D80" s="24">
        <f>SUMIF('Raw Aug'!G:G,'TB 0825'!A80,'Raw Aug'!E:E)</f>
        <v>3943397.19</v>
      </c>
      <c r="E80" s="24">
        <f t="shared" si="2"/>
        <v>-3818745.4699999997</v>
      </c>
      <c r="F80" s="24">
        <f t="shared" si="3"/>
        <v>-3818.7454699999998</v>
      </c>
      <c r="G80" s="22" t="s">
        <v>180</v>
      </c>
      <c r="H80" s="23" t="s">
        <v>68</v>
      </c>
    </row>
    <row r="81" spans="1:8" hidden="1" x14ac:dyDescent="0.35">
      <c r="A81" s="23" t="s">
        <v>587</v>
      </c>
      <c r="B81" s="24">
        <f>SUMIF('Raw Aug'!G:G,'TB 0825'!A81,'Raw Aug'!C:C)</f>
        <v>-1389238</v>
      </c>
      <c r="C81" s="24">
        <f>SUMIF('Raw Aug'!G:G,'TB 0825'!A81,'Raw Aug'!D:D)</f>
        <v>0</v>
      </c>
      <c r="D81" s="24">
        <f>SUMIF('Raw Aug'!G:G,'TB 0825'!A81,'Raw Aug'!E:E)</f>
        <v>407707</v>
      </c>
      <c r="E81" s="24">
        <f t="shared" si="2"/>
        <v>-1796945</v>
      </c>
      <c r="F81" s="24">
        <f t="shared" si="3"/>
        <v>-1796.9449999999999</v>
      </c>
      <c r="G81" s="22" t="s">
        <v>180</v>
      </c>
      <c r="H81" s="23" t="s">
        <v>68</v>
      </c>
    </row>
    <row r="82" spans="1:8" hidden="1" x14ac:dyDescent="0.35">
      <c r="A82" s="23" t="s">
        <v>588</v>
      </c>
      <c r="B82" s="24">
        <f>SUMIF('Raw Aug'!G:G,'TB 0825'!A82,'Raw Aug'!C:C)</f>
        <v>151822128.5</v>
      </c>
      <c r="C82" s="24">
        <f>SUMIF('Raw Aug'!G:G,'TB 0825'!A82,'Raw Aug'!D:D)</f>
        <v>0</v>
      </c>
      <c r="D82" s="24">
        <f>SUMIF('Raw Aug'!G:G,'TB 0825'!A82,'Raw Aug'!E:E)</f>
        <v>0</v>
      </c>
      <c r="E82" s="24">
        <f t="shared" si="2"/>
        <v>151822128.5</v>
      </c>
      <c r="F82" s="24">
        <f t="shared" si="3"/>
        <v>151822.12849999999</v>
      </c>
      <c r="G82" s="22" t="s">
        <v>180</v>
      </c>
      <c r="H82" s="23" t="s">
        <v>64</v>
      </c>
    </row>
    <row r="83" spans="1:8" hidden="1" x14ac:dyDescent="0.35">
      <c r="A83" s="23" t="s">
        <v>589</v>
      </c>
      <c r="B83" s="24">
        <f>SUMIF('Raw Aug'!G:G,'TB 0825'!A83,'Raw Aug'!C:C)</f>
        <v>-100000</v>
      </c>
      <c r="C83" s="24">
        <f>SUMIF('Raw Aug'!G:G,'TB 0825'!A83,'Raw Aug'!D:D)</f>
        <v>0</v>
      </c>
      <c r="D83" s="24">
        <f>SUMIF('Raw Aug'!G:G,'TB 0825'!A83,'Raw Aug'!E:E)</f>
        <v>0</v>
      </c>
      <c r="E83" s="24">
        <f t="shared" si="2"/>
        <v>-100000</v>
      </c>
      <c r="F83" s="24">
        <f t="shared" si="3"/>
        <v>-100</v>
      </c>
      <c r="G83" s="22" t="s">
        <v>180</v>
      </c>
      <c r="H83" s="23" t="s">
        <v>63</v>
      </c>
    </row>
    <row r="84" spans="1:8" hidden="1" x14ac:dyDescent="0.35">
      <c r="A84" s="23" t="s">
        <v>698</v>
      </c>
      <c r="B84" s="24">
        <f>SUMIF('Raw Aug'!G:G,'TB 0825'!A84,'Raw Aug'!C:C)</f>
        <v>-10</v>
      </c>
      <c r="C84" s="24">
        <f>SUMIF('Raw Aug'!G:G,'TB 0825'!A84,'Raw Aug'!D:D)</f>
        <v>0</v>
      </c>
      <c r="D84" s="24">
        <f>SUMIF('Raw Aug'!G:G,'TB 0825'!A84,'Raw Aug'!E:E)</f>
        <v>0</v>
      </c>
      <c r="E84" s="24">
        <f t="shared" si="2"/>
        <v>-10</v>
      </c>
      <c r="F84" s="24">
        <f t="shared" si="3"/>
        <v>-0.01</v>
      </c>
      <c r="G84" s="22" t="s">
        <v>180</v>
      </c>
      <c r="H84" s="23" t="s">
        <v>63</v>
      </c>
    </row>
    <row r="85" spans="1:8" hidden="1" x14ac:dyDescent="0.35">
      <c r="A85" s="23" t="s">
        <v>699</v>
      </c>
      <c r="B85" s="24">
        <f>SUMIF('Raw Aug'!G:G,'TB 0825'!A85,'Raw Aug'!C:C)</f>
        <v>-5463300</v>
      </c>
      <c r="C85" s="24">
        <f>SUMIF('Raw Aug'!G:G,'TB 0825'!A85,'Raw Aug'!D:D)</f>
        <v>0</v>
      </c>
      <c r="D85" s="24">
        <f>SUMIF('Raw Aug'!G:G,'TB 0825'!A85,'Raw Aug'!E:E)</f>
        <v>0</v>
      </c>
      <c r="E85" s="24">
        <f t="shared" si="2"/>
        <v>-5463300</v>
      </c>
      <c r="F85" s="24">
        <f t="shared" si="3"/>
        <v>-5463.3</v>
      </c>
      <c r="G85" s="22" t="s">
        <v>180</v>
      </c>
      <c r="H85" s="23" t="s">
        <v>63</v>
      </c>
    </row>
    <row r="86" spans="1:8" hidden="1" x14ac:dyDescent="0.35">
      <c r="A86" s="23" t="s">
        <v>700</v>
      </c>
      <c r="B86" s="24">
        <f>SUMIF('Raw Aug'!G:G,'TB 0825'!A86,'Raw Aug'!C:C)</f>
        <v>-10800</v>
      </c>
      <c r="C86" s="24">
        <f>SUMIF('Raw Aug'!G:G,'TB 0825'!A86,'Raw Aug'!D:D)</f>
        <v>0</v>
      </c>
      <c r="D86" s="24">
        <f>SUMIF('Raw Aug'!G:G,'TB 0825'!A86,'Raw Aug'!E:E)</f>
        <v>0</v>
      </c>
      <c r="E86" s="24">
        <f t="shared" si="2"/>
        <v>-10800</v>
      </c>
      <c r="F86" s="24">
        <f t="shared" si="3"/>
        <v>-10.8</v>
      </c>
      <c r="G86" s="22" t="s">
        <v>180</v>
      </c>
      <c r="H86" s="23" t="s">
        <v>63</v>
      </c>
    </row>
    <row r="87" spans="1:8" hidden="1" x14ac:dyDescent="0.35">
      <c r="A87" s="23" t="s">
        <v>1259</v>
      </c>
      <c r="B87" s="24">
        <f>SUMIF('Raw Aug'!G:G,'TB 0825'!A87,'Raw Aug'!C:C)</f>
        <v>-3772700</v>
      </c>
      <c r="C87" s="24">
        <f>SUMIF('Raw Aug'!G:G,'TB 0825'!A87,'Raw Aug'!D:D)</f>
        <v>0</v>
      </c>
      <c r="D87" s="24">
        <f>SUMIF('Raw Aug'!G:G,'TB 0825'!A87,'Raw Aug'!E:E)</f>
        <v>0</v>
      </c>
      <c r="E87" s="24">
        <f t="shared" si="2"/>
        <v>-3772700</v>
      </c>
      <c r="F87" s="24">
        <f t="shared" si="3"/>
        <v>-3772.7</v>
      </c>
      <c r="G87" s="22" t="s">
        <v>180</v>
      </c>
      <c r="H87" s="23" t="s">
        <v>63</v>
      </c>
    </row>
    <row r="88" spans="1:8" hidden="1" x14ac:dyDescent="0.35">
      <c r="A88" s="23" t="s">
        <v>590</v>
      </c>
      <c r="B88" s="24">
        <f>SUMIF('Raw Aug'!G:G,'TB 0825'!A88,'Raw Aug'!C:C)</f>
        <v>-10</v>
      </c>
      <c r="C88" s="24">
        <f>SUMIF('Raw Aug'!G:G,'TB 0825'!A88,'Raw Aug'!D:D)</f>
        <v>0</v>
      </c>
      <c r="D88" s="24">
        <f>SUMIF('Raw Aug'!G:G,'TB 0825'!A88,'Raw Aug'!E:E)</f>
        <v>0</v>
      </c>
      <c r="E88" s="24">
        <f t="shared" si="2"/>
        <v>-10</v>
      </c>
      <c r="F88" s="24">
        <f t="shared" si="3"/>
        <v>-0.01</v>
      </c>
      <c r="G88" s="22" t="s">
        <v>180</v>
      </c>
      <c r="H88" s="23" t="s">
        <v>63</v>
      </c>
    </row>
    <row r="89" spans="1:8" hidden="1" x14ac:dyDescent="0.35">
      <c r="A89" s="23" t="s">
        <v>591</v>
      </c>
      <c r="B89" s="24">
        <f>SUMIF('Raw Aug'!G:G,'TB 0825'!A89,'Raw Aug'!C:C)</f>
        <v>-6497900</v>
      </c>
      <c r="C89" s="24">
        <f>SUMIF('Raw Aug'!G:G,'TB 0825'!A89,'Raw Aug'!D:D)</f>
        <v>0</v>
      </c>
      <c r="D89" s="24">
        <f>SUMIF('Raw Aug'!G:G,'TB 0825'!A89,'Raw Aug'!E:E)</f>
        <v>0</v>
      </c>
      <c r="E89" s="24">
        <f t="shared" si="2"/>
        <v>-6497900</v>
      </c>
      <c r="F89" s="24">
        <f t="shared" si="3"/>
        <v>-6497.9</v>
      </c>
      <c r="G89" s="22" t="s">
        <v>180</v>
      </c>
      <c r="H89" s="23" t="s">
        <v>63</v>
      </c>
    </row>
    <row r="90" spans="1:8" hidden="1" x14ac:dyDescent="0.35">
      <c r="A90" s="23" t="s">
        <v>701</v>
      </c>
      <c r="B90" s="24">
        <f>SUMIF('Raw Aug'!G:G,'TB 0825'!A90,'Raw Aug'!C:C)</f>
        <v>-16200</v>
      </c>
      <c r="C90" s="24">
        <f>SUMIF('Raw Aug'!G:G,'TB 0825'!A90,'Raw Aug'!D:D)</f>
        <v>0</v>
      </c>
      <c r="D90" s="24">
        <f>SUMIF('Raw Aug'!G:G,'TB 0825'!A90,'Raw Aug'!E:E)</f>
        <v>0</v>
      </c>
      <c r="E90" s="24">
        <f t="shared" si="2"/>
        <v>-16200</v>
      </c>
      <c r="F90" s="24">
        <f t="shared" si="3"/>
        <v>-16.2</v>
      </c>
      <c r="G90" s="22" t="s">
        <v>180</v>
      </c>
      <c r="H90" s="23" t="s">
        <v>63</v>
      </c>
    </row>
    <row r="91" spans="1:8" hidden="1" x14ac:dyDescent="0.35">
      <c r="A91" s="23" t="s">
        <v>702</v>
      </c>
      <c r="B91" s="24">
        <f>SUMIF('Raw Aug'!G:G,'TB 0825'!A91,'Raw Aug'!C:C)</f>
        <v>-5400</v>
      </c>
      <c r="C91" s="24">
        <f>SUMIF('Raw Aug'!G:G,'TB 0825'!A91,'Raw Aug'!D:D)</f>
        <v>0</v>
      </c>
      <c r="D91" s="24">
        <f>SUMIF('Raw Aug'!G:G,'TB 0825'!A91,'Raw Aug'!E:E)</f>
        <v>0</v>
      </c>
      <c r="E91" s="24">
        <f t="shared" si="2"/>
        <v>-5400</v>
      </c>
      <c r="F91" s="24">
        <f t="shared" si="3"/>
        <v>-5.4</v>
      </c>
      <c r="G91" s="22" t="s">
        <v>180</v>
      </c>
      <c r="H91" s="23" t="s">
        <v>63</v>
      </c>
    </row>
    <row r="92" spans="1:8" hidden="1" x14ac:dyDescent="0.35">
      <c r="A92" s="23" t="s">
        <v>703</v>
      </c>
      <c r="B92" s="24">
        <f>SUMIF('Raw Aug'!G:G,'TB 0825'!A92,'Raw Aug'!C:C)</f>
        <v>-37800</v>
      </c>
      <c r="C92" s="24">
        <f>SUMIF('Raw Aug'!G:G,'TB 0825'!A92,'Raw Aug'!D:D)</f>
        <v>0</v>
      </c>
      <c r="D92" s="24">
        <f>SUMIF('Raw Aug'!G:G,'TB 0825'!A92,'Raw Aug'!E:E)</f>
        <v>0</v>
      </c>
      <c r="E92" s="24">
        <f t="shared" si="2"/>
        <v>-37800</v>
      </c>
      <c r="F92" s="24">
        <f t="shared" si="3"/>
        <v>-37.799999999999997</v>
      </c>
      <c r="G92" s="22" t="s">
        <v>180</v>
      </c>
      <c r="H92" s="23" t="s">
        <v>63</v>
      </c>
    </row>
    <row r="93" spans="1:8" hidden="1" x14ac:dyDescent="0.35">
      <c r="A93" s="23" t="s">
        <v>592</v>
      </c>
      <c r="B93" s="24">
        <f>SUMIF('Raw Aug'!G:G,'TB 0825'!A93,'Raw Aug'!C:C)</f>
        <v>-2162702583.21</v>
      </c>
      <c r="C93" s="24">
        <f>SUMIF('Raw Aug'!G:G,'TB 0825'!A93,'Raw Aug'!D:D)</f>
        <v>0</v>
      </c>
      <c r="D93" s="24">
        <f>SUMIF('Raw Aug'!G:G,'TB 0825'!A93,'Raw Aug'!E:E)</f>
        <v>0</v>
      </c>
      <c r="E93" s="24">
        <f t="shared" si="2"/>
        <v>-2162702583.21</v>
      </c>
      <c r="F93" s="24">
        <f t="shared" si="3"/>
        <v>-2162702.5832099998</v>
      </c>
      <c r="G93" s="22" t="s">
        <v>180</v>
      </c>
      <c r="H93" s="23" t="s">
        <v>64</v>
      </c>
    </row>
    <row r="94" spans="1:8" hidden="1" x14ac:dyDescent="0.35">
      <c r="A94" s="23" t="s">
        <v>704</v>
      </c>
      <c r="B94" s="24">
        <f>SUMIF('Raw Aug'!G:G,'TB 0825'!A94,'Raw Aug'!C:C)</f>
        <v>-5400</v>
      </c>
      <c r="C94" s="24">
        <f>SUMIF('Raw Aug'!G:G,'TB 0825'!A94,'Raw Aug'!D:D)</f>
        <v>0</v>
      </c>
      <c r="D94" s="24">
        <f>SUMIF('Raw Aug'!G:G,'TB 0825'!A94,'Raw Aug'!E:E)</f>
        <v>0</v>
      </c>
      <c r="E94" s="24">
        <f t="shared" si="2"/>
        <v>-5400</v>
      </c>
      <c r="F94" s="24">
        <f t="shared" si="3"/>
        <v>-5.4</v>
      </c>
      <c r="G94" s="22" t="s">
        <v>180</v>
      </c>
      <c r="H94" s="23" t="s">
        <v>63</v>
      </c>
    </row>
    <row r="95" spans="1:8" hidden="1" x14ac:dyDescent="0.35">
      <c r="A95" s="23" t="s">
        <v>705</v>
      </c>
      <c r="B95" s="24">
        <f>SUMIF('Raw Aug'!G:G,'TB 0825'!A95,'Raw Aug'!C:C)</f>
        <v>-5400</v>
      </c>
      <c r="C95" s="24">
        <f>SUMIF('Raw Aug'!G:G,'TB 0825'!A95,'Raw Aug'!D:D)</f>
        <v>0</v>
      </c>
      <c r="D95" s="24">
        <f>SUMIF('Raw Aug'!G:G,'TB 0825'!A95,'Raw Aug'!E:E)</f>
        <v>0</v>
      </c>
      <c r="E95" s="24">
        <f t="shared" si="2"/>
        <v>-5400</v>
      </c>
      <c r="F95" s="24">
        <f t="shared" si="3"/>
        <v>-5.4</v>
      </c>
      <c r="G95" s="22" t="s">
        <v>180</v>
      </c>
      <c r="H95" s="23" t="s">
        <v>63</v>
      </c>
    </row>
    <row r="96" spans="1:8" hidden="1" x14ac:dyDescent="0.35">
      <c r="A96" s="23" t="s">
        <v>706</v>
      </c>
      <c r="B96" s="24">
        <f>SUMIF('Raw Aug'!G:G,'TB 0825'!A96,'Raw Aug'!C:C)</f>
        <v>-5400</v>
      </c>
      <c r="C96" s="24">
        <f>SUMIF('Raw Aug'!G:G,'TB 0825'!A96,'Raw Aug'!D:D)</f>
        <v>0</v>
      </c>
      <c r="D96" s="24">
        <f>SUMIF('Raw Aug'!G:G,'TB 0825'!A96,'Raw Aug'!E:E)</f>
        <v>0</v>
      </c>
      <c r="E96" s="24">
        <f t="shared" si="2"/>
        <v>-5400</v>
      </c>
      <c r="F96" s="24">
        <f t="shared" si="3"/>
        <v>-5.4</v>
      </c>
      <c r="G96" s="22" t="s">
        <v>180</v>
      </c>
      <c r="H96" s="23" t="s">
        <v>63</v>
      </c>
    </row>
    <row r="97" spans="1:8" hidden="1" x14ac:dyDescent="0.35">
      <c r="A97" s="23" t="s">
        <v>707</v>
      </c>
      <c r="B97" s="24">
        <f>SUMIF('Raw Aug'!G:G,'TB 0825'!A97,'Raw Aug'!C:C)</f>
        <v>-37800</v>
      </c>
      <c r="C97" s="24">
        <f>SUMIF('Raw Aug'!G:G,'TB 0825'!A97,'Raw Aug'!D:D)</f>
        <v>0</v>
      </c>
      <c r="D97" s="24">
        <f>SUMIF('Raw Aug'!G:G,'TB 0825'!A97,'Raw Aug'!E:E)</f>
        <v>0</v>
      </c>
      <c r="E97" s="24">
        <f t="shared" si="2"/>
        <v>-37800</v>
      </c>
      <c r="F97" s="24">
        <f t="shared" si="3"/>
        <v>-37.799999999999997</v>
      </c>
      <c r="G97" s="22" t="s">
        <v>180</v>
      </c>
      <c r="H97" s="23" t="s">
        <v>63</v>
      </c>
    </row>
    <row r="98" spans="1:8" hidden="1" x14ac:dyDescent="0.35">
      <c r="A98" s="23" t="s">
        <v>593</v>
      </c>
      <c r="B98" s="24">
        <f>SUMIF('Raw Aug'!G:G,'TB 0825'!A98,'Raw Aug'!C:C)</f>
        <v>58903866.530000001</v>
      </c>
      <c r="C98" s="24">
        <f>SUMIF('Raw Aug'!G:G,'TB 0825'!A98,'Raw Aug'!D:D)</f>
        <v>0</v>
      </c>
      <c r="D98" s="24">
        <f>SUMIF('Raw Aug'!G:G,'TB 0825'!A98,'Raw Aug'!E:E)</f>
        <v>0</v>
      </c>
      <c r="E98" s="24">
        <f t="shared" si="2"/>
        <v>58903866.530000001</v>
      </c>
      <c r="F98" s="24">
        <f t="shared" si="3"/>
        <v>58903.866529999999</v>
      </c>
      <c r="G98" s="22" t="s">
        <v>180</v>
      </c>
      <c r="H98" s="23" t="s">
        <v>64</v>
      </c>
    </row>
    <row r="99" spans="1:8" hidden="1" x14ac:dyDescent="0.35">
      <c r="A99" s="23" t="s">
        <v>594</v>
      </c>
      <c r="B99" s="24">
        <f>SUMIF('Raw Aug'!G:G,'TB 0825'!A99,'Raw Aug'!C:C)</f>
        <v>0</v>
      </c>
      <c r="C99" s="24">
        <f>SUMIF('Raw Aug'!G:G,'TB 0825'!A99,'Raw Aug'!D:D)</f>
        <v>17067995</v>
      </c>
      <c r="D99" s="24">
        <f>SUMIF('Raw Aug'!G:G,'TB 0825'!A99,'Raw Aug'!E:E)</f>
        <v>26865443</v>
      </c>
      <c r="E99" s="24">
        <f t="shared" si="2"/>
        <v>-9797448</v>
      </c>
      <c r="F99" s="24">
        <f t="shared" si="3"/>
        <v>-9797.4480000000003</v>
      </c>
      <c r="G99" s="22" t="s">
        <v>184</v>
      </c>
      <c r="H99" s="23" t="s">
        <v>49</v>
      </c>
    </row>
    <row r="100" spans="1:8" hidden="1" x14ac:dyDescent="0.35">
      <c r="A100" s="23" t="s">
        <v>1363</v>
      </c>
      <c r="B100" s="24">
        <f>SUMIF('Raw Aug'!G:G,'TB 0825'!A100,'Raw Aug'!C:C)</f>
        <v>0</v>
      </c>
      <c r="C100" s="24">
        <f>SUMIF('Raw Aug'!G:G,'TB 0825'!A100,'Raw Aug'!D:D)</f>
        <v>0</v>
      </c>
      <c r="D100" s="24">
        <f>SUMIF('Raw Aug'!G:G,'TB 0825'!A100,'Raw Aug'!E:E)</f>
        <v>37391.919999999998</v>
      </c>
      <c r="E100" s="24">
        <f t="shared" si="2"/>
        <v>-37391.919999999998</v>
      </c>
      <c r="F100" s="24">
        <f t="shared" si="3"/>
        <v>-37.391919999999999</v>
      </c>
      <c r="G100" s="22" t="s">
        <v>184</v>
      </c>
      <c r="H100" s="23" t="s">
        <v>49</v>
      </c>
    </row>
    <row r="101" spans="1:8" hidden="1" x14ac:dyDescent="0.35">
      <c r="A101" s="23" t="s">
        <v>287</v>
      </c>
      <c r="B101" s="24">
        <f>SUMIF('Raw Aug'!G:G,'TB 0825'!A101,'Raw Aug'!C:C)</f>
        <v>0</v>
      </c>
      <c r="C101" s="24">
        <f>SUMIF('Raw Aug'!G:G,'TB 0825'!A101,'Raw Aug'!D:D)</f>
        <v>70000</v>
      </c>
      <c r="D101" s="24">
        <f>SUMIF('Raw Aug'!G:G,'TB 0825'!A101,'Raw Aug'!E:E)</f>
        <v>0</v>
      </c>
      <c r="E101" s="24">
        <f t="shared" si="2"/>
        <v>70000</v>
      </c>
      <c r="F101" s="24">
        <f t="shared" si="3"/>
        <v>70</v>
      </c>
      <c r="G101" s="22" t="s">
        <v>182</v>
      </c>
      <c r="H101" s="23" t="s">
        <v>41</v>
      </c>
    </row>
    <row r="102" spans="1:8" hidden="1" x14ac:dyDescent="0.35">
      <c r="A102" s="23" t="s">
        <v>595</v>
      </c>
      <c r="B102" s="24">
        <f>SUMIF('Raw Aug'!G:G,'TB 0825'!A102,'Raw Aug'!C:C)</f>
        <v>0</v>
      </c>
      <c r="C102" s="24">
        <f>SUMIF('Raw Aug'!G:G,'TB 0825'!A102,'Raw Aug'!D:D)</f>
        <v>6698.62</v>
      </c>
      <c r="D102" s="24">
        <f>SUMIF('Raw Aug'!G:G,'TB 0825'!A102,'Raw Aug'!E:E)</f>
        <v>0</v>
      </c>
      <c r="E102" s="24">
        <f t="shared" si="2"/>
        <v>6698.62</v>
      </c>
      <c r="F102" s="24">
        <f t="shared" si="3"/>
        <v>6.69862</v>
      </c>
      <c r="G102" s="22" t="s">
        <v>182</v>
      </c>
      <c r="H102" s="23" t="s">
        <v>43</v>
      </c>
    </row>
    <row r="103" spans="1:8" hidden="1" x14ac:dyDescent="0.35">
      <c r="A103" s="23" t="s">
        <v>38</v>
      </c>
      <c r="B103" s="24">
        <f>SUMIF('Raw Aug'!G:G,'TB 0825'!A103,'Raw Aug'!C:C)</f>
        <v>0</v>
      </c>
      <c r="C103" s="24">
        <f>SUMIF('Raw Aug'!G:G,'TB 0825'!A103,'Raw Aug'!D:D)</f>
        <v>9270918</v>
      </c>
      <c r="D103" s="24">
        <f>SUMIF('Raw Aug'!G:G,'TB 0825'!A103,'Raw Aug'!E:E)</f>
        <v>0</v>
      </c>
      <c r="E103" s="24">
        <f t="shared" si="2"/>
        <v>9270918</v>
      </c>
      <c r="F103" s="24">
        <f t="shared" si="3"/>
        <v>9270.9179999999997</v>
      </c>
      <c r="G103" s="22" t="s">
        <v>182</v>
      </c>
      <c r="H103" s="23" t="s">
        <v>38</v>
      </c>
    </row>
    <row r="104" spans="1:8" hidden="1" x14ac:dyDescent="0.35">
      <c r="A104" s="23" t="s">
        <v>409</v>
      </c>
      <c r="B104" s="24">
        <f>SUMIF('Raw Aug'!G:G,'TB 0825'!A104,'Raw Aug'!C:C)</f>
        <v>0</v>
      </c>
      <c r="C104" s="24">
        <f>SUMIF('Raw Aug'!G:G,'TB 0825'!A104,'Raw Aug'!D:D)</f>
        <v>12500</v>
      </c>
      <c r="D104" s="24">
        <f>SUMIF('Raw Aug'!G:G,'TB 0825'!A104,'Raw Aug'!E:E)</f>
        <v>0</v>
      </c>
      <c r="E104" s="24">
        <f t="shared" si="2"/>
        <v>12500</v>
      </c>
      <c r="F104" s="24">
        <f t="shared" si="3"/>
        <v>12.5</v>
      </c>
      <c r="G104" s="22" t="s">
        <v>182</v>
      </c>
      <c r="H104" s="23" t="s">
        <v>958</v>
      </c>
    </row>
    <row r="105" spans="1:8" hidden="1" x14ac:dyDescent="0.35">
      <c r="A105" s="23" t="s">
        <v>296</v>
      </c>
      <c r="B105" s="24">
        <f>SUMIF('Raw Aug'!G:G,'TB 0825'!A105,'Raw Aug'!C:C)</f>
        <v>0</v>
      </c>
      <c r="C105" s="24">
        <f>SUMIF('Raw Aug'!G:G,'TB 0825'!A105,'Raw Aug'!D:D)</f>
        <v>17918963.199999999</v>
      </c>
      <c r="D105" s="24">
        <f>SUMIF('Raw Aug'!G:G,'TB 0825'!A105,'Raw Aug'!E:E)</f>
        <v>43000</v>
      </c>
      <c r="E105" s="24">
        <f t="shared" si="2"/>
        <v>17875963.199999999</v>
      </c>
      <c r="F105" s="24">
        <f t="shared" si="3"/>
        <v>17875.963199999998</v>
      </c>
      <c r="G105" s="22" t="s">
        <v>182</v>
      </c>
      <c r="H105" s="23" t="s">
        <v>37</v>
      </c>
    </row>
    <row r="106" spans="1:8" hidden="1" x14ac:dyDescent="0.35">
      <c r="A106" s="23" t="s">
        <v>34</v>
      </c>
      <c r="B106" s="24">
        <f>SUMIF('Raw Aug'!G:G,'TB 0825'!A106,'Raw Aug'!C:C)</f>
        <v>0</v>
      </c>
      <c r="C106" s="24">
        <f>SUMIF('Raw Aug'!G:G,'TB 0825'!A106,'Raw Aug'!D:D)</f>
        <v>680543.55</v>
      </c>
      <c r="D106" s="24">
        <f>SUMIF('Raw Aug'!G:G,'TB 0825'!A106,'Raw Aug'!E:E)</f>
        <v>0</v>
      </c>
      <c r="E106" s="24">
        <f t="shared" si="2"/>
        <v>680543.55</v>
      </c>
      <c r="F106" s="24">
        <f t="shared" si="3"/>
        <v>680.5435500000001</v>
      </c>
      <c r="G106" s="22" t="s">
        <v>182</v>
      </c>
      <c r="H106" s="23" t="s">
        <v>34</v>
      </c>
    </row>
    <row r="107" spans="1:8" hidden="1" x14ac:dyDescent="0.35">
      <c r="A107" s="23" t="s">
        <v>596</v>
      </c>
      <c r="B107" s="24">
        <f>SUMIF('Raw Aug'!G:G,'TB 0825'!A107,'Raw Aug'!C:C)</f>
        <v>0</v>
      </c>
      <c r="C107" s="24">
        <f>SUMIF('Raw Aug'!G:G,'TB 0825'!A107,'Raw Aug'!D:D)</f>
        <v>395112</v>
      </c>
      <c r="D107" s="24">
        <f>SUMIF('Raw Aug'!G:G,'TB 0825'!A107,'Raw Aug'!E:E)</f>
        <v>0</v>
      </c>
      <c r="E107" s="24">
        <f t="shared" si="2"/>
        <v>395112</v>
      </c>
      <c r="F107" s="24">
        <f t="shared" si="3"/>
        <v>395.11200000000002</v>
      </c>
      <c r="G107" s="22" t="s">
        <v>182</v>
      </c>
      <c r="H107" s="23" t="s">
        <v>48</v>
      </c>
    </row>
    <row r="108" spans="1:8" x14ac:dyDescent="0.35">
      <c r="A108" s="23" t="s">
        <v>777</v>
      </c>
      <c r="B108" s="24">
        <f>SUMIF('Raw Aug'!G:G,'TB 0825'!A108,'Raw Aug'!C:C)</f>
        <v>0</v>
      </c>
      <c r="C108" s="24">
        <f>SUMIF('Raw Aug'!G:G,'TB 0825'!A108,'Raw Aug'!D:D)</f>
        <v>621</v>
      </c>
      <c r="D108" s="24">
        <f>SUMIF('Raw Aug'!G:G,'TB 0825'!A108,'Raw Aug'!E:E)</f>
        <v>0</v>
      </c>
      <c r="E108" s="24">
        <f t="shared" si="2"/>
        <v>621</v>
      </c>
      <c r="F108" s="24">
        <f t="shared" si="3"/>
        <v>0.621</v>
      </c>
      <c r="G108" s="22" t="s">
        <v>182</v>
      </c>
      <c r="H108" s="23" t="s">
        <v>417</v>
      </c>
    </row>
    <row r="109" spans="1:8" hidden="1" x14ac:dyDescent="0.35">
      <c r="A109" s="23" t="s">
        <v>109</v>
      </c>
      <c r="B109" s="24">
        <f>SUMIF('Raw Aug'!G:G,'TB 0825'!A109,'Raw Aug'!C:C)</f>
        <v>0</v>
      </c>
      <c r="C109" s="24">
        <f>SUMIF('Raw Aug'!G:G,'TB 0825'!A109,'Raw Aug'!D:D)</f>
        <v>327631</v>
      </c>
      <c r="D109" s="24">
        <f>SUMIF('Raw Aug'!G:G,'TB 0825'!A109,'Raw Aug'!E:E)</f>
        <v>1800</v>
      </c>
      <c r="E109" s="24">
        <f t="shared" si="2"/>
        <v>325831</v>
      </c>
      <c r="F109" s="24">
        <f t="shared" si="3"/>
        <v>325.83100000000002</v>
      </c>
      <c r="G109" s="22" t="s">
        <v>182</v>
      </c>
    </row>
    <row r="110" spans="1:8" x14ac:dyDescent="0.35">
      <c r="A110" s="23" t="s">
        <v>597</v>
      </c>
      <c r="B110" s="24">
        <f>SUMIF('Raw Aug'!G:G,'TB 0825'!A110,'Raw Aug'!C:C)</f>
        <v>0</v>
      </c>
      <c r="C110" s="24">
        <f>SUMIF('Raw Aug'!G:G,'TB 0825'!A110,'Raw Aug'!D:D)</f>
        <v>24006.799999999999</v>
      </c>
      <c r="D110" s="24">
        <f>SUMIF('Raw Aug'!G:G,'TB 0825'!A110,'Raw Aug'!E:E)</f>
        <v>0</v>
      </c>
      <c r="E110" s="24">
        <f t="shared" si="2"/>
        <v>24006.799999999999</v>
      </c>
      <c r="F110" s="24">
        <f t="shared" si="3"/>
        <v>24.006799999999998</v>
      </c>
      <c r="G110" s="22" t="s">
        <v>182</v>
      </c>
      <c r="H110" s="23" t="s">
        <v>417</v>
      </c>
    </row>
    <row r="111" spans="1:8" x14ac:dyDescent="0.35">
      <c r="A111" s="23" t="s">
        <v>598</v>
      </c>
      <c r="B111" s="24">
        <f>SUMIF('Raw Aug'!G:G,'TB 0825'!A111,'Raw Aug'!C:C)</f>
        <v>0</v>
      </c>
      <c r="C111" s="24">
        <f>SUMIF('Raw Aug'!G:G,'TB 0825'!A111,'Raw Aug'!D:D)</f>
        <v>1581150.46</v>
      </c>
      <c r="D111" s="24">
        <f>SUMIF('Raw Aug'!G:G,'TB 0825'!A111,'Raw Aug'!E:E)</f>
        <v>53936.28</v>
      </c>
      <c r="E111" s="24">
        <f t="shared" si="2"/>
        <v>1527214.18</v>
      </c>
      <c r="F111" s="24">
        <f t="shared" si="3"/>
        <v>1527.2141799999999</v>
      </c>
      <c r="G111" s="22" t="s">
        <v>182</v>
      </c>
      <c r="H111" s="23" t="s">
        <v>417</v>
      </c>
    </row>
    <row r="112" spans="1:8" hidden="1" x14ac:dyDescent="0.35">
      <c r="A112" s="23" t="s">
        <v>759</v>
      </c>
      <c r="B112" s="24">
        <f>SUMIF('Raw Aug'!G:G,'TB 0825'!A112,'Raw Aug'!C:C)</f>
        <v>0</v>
      </c>
      <c r="C112" s="24">
        <f>SUMIF('Raw Aug'!G:G,'TB 0825'!A112,'Raw Aug'!D:D)</f>
        <v>305000</v>
      </c>
      <c r="D112" s="24">
        <f>SUMIF('Raw Aug'!G:G,'TB 0825'!A112,'Raw Aug'!E:E)</f>
        <v>0</v>
      </c>
      <c r="E112" s="24">
        <f t="shared" si="2"/>
        <v>305000</v>
      </c>
      <c r="F112" s="24">
        <f t="shared" si="3"/>
        <v>305</v>
      </c>
      <c r="G112" s="22" t="s">
        <v>182</v>
      </c>
      <c r="H112" s="23" t="s">
        <v>26</v>
      </c>
    </row>
    <row r="113" spans="1:9" hidden="1" x14ac:dyDescent="0.35">
      <c r="A113" s="23" t="s">
        <v>778</v>
      </c>
      <c r="B113" s="24">
        <f>SUMIF('Raw Aug'!G:G,'TB 0825'!A113,'Raw Aug'!C:C)</f>
        <v>0</v>
      </c>
      <c r="C113" s="24">
        <f>SUMIF('Raw Aug'!G:G,'TB 0825'!A113,'Raw Aug'!D:D)</f>
        <v>284457.96999999997</v>
      </c>
      <c r="D113" s="24">
        <f>SUMIF('Raw Aug'!G:G,'TB 0825'!A113,'Raw Aug'!E:E)</f>
        <v>0</v>
      </c>
      <c r="E113" s="24">
        <f t="shared" si="2"/>
        <v>284457.96999999997</v>
      </c>
      <c r="F113" s="24">
        <f t="shared" si="3"/>
        <v>284.45796999999999</v>
      </c>
      <c r="G113" s="22" t="s">
        <v>182</v>
      </c>
      <c r="H113" s="23" t="s">
        <v>26</v>
      </c>
    </row>
    <row r="114" spans="1:9" hidden="1" x14ac:dyDescent="0.35">
      <c r="A114" s="23" t="s">
        <v>864</v>
      </c>
      <c r="B114" s="24">
        <f>SUMIF('Raw Aug'!G:G,'TB 0825'!A114,'Raw Aug'!C:C)</f>
        <v>0</v>
      </c>
      <c r="C114" s="24">
        <f>SUMIF('Raw Aug'!G:G,'TB 0825'!A114,'Raw Aug'!D:D)</f>
        <v>502000</v>
      </c>
      <c r="D114" s="24">
        <f>SUMIF('Raw Aug'!G:G,'TB 0825'!A114,'Raw Aug'!E:E)</f>
        <v>0</v>
      </c>
      <c r="E114" s="24">
        <f t="shared" si="2"/>
        <v>502000</v>
      </c>
      <c r="F114" s="24">
        <f t="shared" si="3"/>
        <v>502</v>
      </c>
      <c r="G114" s="22" t="s">
        <v>182</v>
      </c>
      <c r="H114" s="23" t="s">
        <v>958</v>
      </c>
    </row>
    <row r="115" spans="1:9" hidden="1" x14ac:dyDescent="0.35">
      <c r="A115" s="23" t="s">
        <v>32</v>
      </c>
      <c r="B115" s="24">
        <f>SUMIF('Raw Aug'!G:G,'TB 0825'!A115,'Raw Aug'!C:C)</f>
        <v>0</v>
      </c>
      <c r="C115" s="24">
        <f>SUMIF('Raw Aug'!G:G,'TB 0825'!A115,'Raw Aug'!D:D)</f>
        <v>3159002.74</v>
      </c>
      <c r="D115" s="24">
        <f>SUMIF('Raw Aug'!G:G,'TB 0825'!A115,'Raw Aug'!E:E)</f>
        <v>0</v>
      </c>
      <c r="E115" s="24">
        <f t="shared" si="2"/>
        <v>3159002.74</v>
      </c>
      <c r="F115" s="24">
        <f t="shared" si="3"/>
        <v>3159.0027400000004</v>
      </c>
      <c r="G115" s="22" t="s">
        <v>182</v>
      </c>
      <c r="H115" s="23" t="s">
        <v>32</v>
      </c>
    </row>
    <row r="116" spans="1:9" hidden="1" x14ac:dyDescent="0.35">
      <c r="A116" s="23" t="s">
        <v>602</v>
      </c>
      <c r="B116" s="24">
        <f>SUMIF('Raw Aug'!G:G,'TB 0825'!A116,'Raw Aug'!C:C)</f>
        <v>0</v>
      </c>
      <c r="C116" s="24">
        <f>SUMIF('Raw Aug'!G:G,'TB 0825'!A116,'Raw Aug'!D:D)</f>
        <v>433870.3</v>
      </c>
      <c r="D116" s="24">
        <f>SUMIF('Raw Aug'!G:G,'TB 0825'!A116,'Raw Aug'!E:E)</f>
        <v>0</v>
      </c>
      <c r="E116" s="24">
        <f t="shared" si="2"/>
        <v>433870.3</v>
      </c>
      <c r="F116" s="24">
        <f t="shared" si="3"/>
        <v>433.87029999999999</v>
      </c>
      <c r="G116" s="22" t="s">
        <v>182</v>
      </c>
      <c r="H116" s="23" t="s">
        <v>42</v>
      </c>
    </row>
    <row r="117" spans="1:9" hidden="1" x14ac:dyDescent="0.35">
      <c r="A117" s="23" t="s">
        <v>603</v>
      </c>
      <c r="B117" s="24">
        <f>SUMIF('Raw Aug'!G:G,'TB 0825'!A117,'Raw Aug'!C:C)</f>
        <v>0</v>
      </c>
      <c r="C117" s="24">
        <f>SUMIF('Raw Aug'!G:G,'TB 0825'!A117,'Raw Aug'!D:D)</f>
        <v>1029500</v>
      </c>
      <c r="D117" s="24">
        <f>SUMIF('Raw Aug'!G:G,'TB 0825'!A117,'Raw Aug'!E:E)</f>
        <v>180000</v>
      </c>
      <c r="E117" s="24">
        <f t="shared" si="2"/>
        <v>849500</v>
      </c>
      <c r="F117" s="24">
        <f t="shared" si="3"/>
        <v>849.5</v>
      </c>
      <c r="G117" s="22" t="s">
        <v>182</v>
      </c>
      <c r="H117" s="23" t="s">
        <v>42</v>
      </c>
    </row>
    <row r="118" spans="1:9" hidden="1" x14ac:dyDescent="0.35">
      <c r="A118" s="23" t="s">
        <v>957</v>
      </c>
      <c r="B118" s="24">
        <f>SUMIF('Raw Aug'!G:G,'TB 0825'!A118,'Raw Aug'!C:C)</f>
        <v>0</v>
      </c>
      <c r="C118" s="24">
        <f>SUMIF('Raw Aug'!G:G,'TB 0825'!A118,'Raw Aug'!D:D)</f>
        <v>2552633</v>
      </c>
      <c r="D118" s="24">
        <f>SUMIF('Raw Aug'!G:G,'TB 0825'!A118,'Raw Aug'!E:E)</f>
        <v>1138845</v>
      </c>
      <c r="E118" s="24">
        <f t="shared" si="2"/>
        <v>1413788</v>
      </c>
      <c r="F118" s="24">
        <f t="shared" si="3"/>
        <v>1413.788</v>
      </c>
      <c r="G118" s="22" t="s">
        <v>182</v>
      </c>
      <c r="H118" s="23" t="s">
        <v>958</v>
      </c>
    </row>
    <row r="119" spans="1:9" hidden="1" x14ac:dyDescent="0.35">
      <c r="A119" s="23" t="s">
        <v>604</v>
      </c>
      <c r="B119" s="24">
        <f>SUMIF('Raw Aug'!G:G,'TB 0825'!A119,'Raw Aug'!C:C)</f>
        <v>0</v>
      </c>
      <c r="C119" s="24">
        <f>SUMIF('Raw Aug'!G:G,'TB 0825'!A119,'Raw Aug'!D:D)</f>
        <v>100923.95</v>
      </c>
      <c r="D119" s="24">
        <f>SUMIF('Raw Aug'!G:G,'TB 0825'!A119,'Raw Aug'!E:E)</f>
        <v>0</v>
      </c>
      <c r="E119" s="24">
        <f t="shared" si="2"/>
        <v>100923.95</v>
      </c>
      <c r="F119" s="24">
        <f t="shared" si="3"/>
        <v>100.92394999999999</v>
      </c>
      <c r="G119" s="22" t="s">
        <v>182</v>
      </c>
      <c r="H119" s="23" t="s">
        <v>43</v>
      </c>
    </row>
    <row r="120" spans="1:9" hidden="1" x14ac:dyDescent="0.35">
      <c r="A120" s="23" t="s">
        <v>605</v>
      </c>
      <c r="B120" s="24">
        <f>SUMIF('Raw Aug'!G:G,'TB 0825'!A120,'Raw Aug'!C:C)</f>
        <v>0</v>
      </c>
      <c r="C120" s="24">
        <f>SUMIF('Raw Aug'!G:G,'TB 0825'!A120,'Raw Aug'!D:D)</f>
        <v>12552.44</v>
      </c>
      <c r="D120" s="24">
        <f>SUMIF('Raw Aug'!G:G,'TB 0825'!A120,'Raw Aug'!E:E)</f>
        <v>3.98</v>
      </c>
      <c r="E120" s="24">
        <f t="shared" si="2"/>
        <v>12548.460000000001</v>
      </c>
      <c r="F120" s="24">
        <f t="shared" si="3"/>
        <v>12.54846</v>
      </c>
      <c r="G120" s="22" t="s">
        <v>182</v>
      </c>
      <c r="H120" s="23" t="s">
        <v>43</v>
      </c>
    </row>
    <row r="121" spans="1:9" hidden="1" x14ac:dyDescent="0.35">
      <c r="A121" s="23" t="s">
        <v>29</v>
      </c>
      <c r="B121" s="24">
        <f>SUMIF('Raw Aug'!G:G,'TB 0825'!A121,'Raw Aug'!C:C)</f>
        <v>0</v>
      </c>
      <c r="C121" s="24">
        <f>SUMIF('Raw Aug'!G:G,'TB 0825'!A121,'Raw Aug'!D:D)</f>
        <v>49718.43</v>
      </c>
      <c r="D121" s="24">
        <f>SUMIF('Raw Aug'!G:G,'TB 0825'!A121,'Raw Aug'!E:E)</f>
        <v>0</v>
      </c>
      <c r="E121" s="24">
        <f t="shared" si="2"/>
        <v>49718.43</v>
      </c>
      <c r="F121" s="24">
        <f t="shared" si="3"/>
        <v>49.718429999999998</v>
      </c>
      <c r="G121" s="22" t="s">
        <v>182</v>
      </c>
      <c r="H121" s="23" t="s">
        <v>29</v>
      </c>
    </row>
    <row r="122" spans="1:9" hidden="1" x14ac:dyDescent="0.35">
      <c r="A122" s="23" t="s">
        <v>41</v>
      </c>
      <c r="B122" s="24">
        <f>SUMIF('Raw Aug'!G:G,'TB 0825'!A122,'Raw Aug'!C:C)</f>
        <v>0</v>
      </c>
      <c r="C122" s="24">
        <f>SUMIF('Raw Aug'!G:G,'TB 0825'!A122,'Raw Aug'!D:D)</f>
        <v>702735</v>
      </c>
      <c r="D122" s="24">
        <f>SUMIF('Raw Aug'!G:G,'TB 0825'!A122,'Raw Aug'!E:E)</f>
        <v>0</v>
      </c>
      <c r="E122" s="24">
        <f t="shared" si="2"/>
        <v>702735</v>
      </c>
      <c r="F122" s="24">
        <f t="shared" si="3"/>
        <v>702.73500000000001</v>
      </c>
      <c r="G122" s="22" t="s">
        <v>182</v>
      </c>
      <c r="H122" s="23" t="s">
        <v>41</v>
      </c>
    </row>
    <row r="123" spans="1:9" hidden="1" x14ac:dyDescent="0.35">
      <c r="A123" s="23" t="s">
        <v>606</v>
      </c>
      <c r="B123" s="24">
        <f>SUMIF('Raw Aug'!G:G,'TB 0825'!A123,'Raw Aug'!C:C)</f>
        <v>0</v>
      </c>
      <c r="C123" s="24">
        <f>SUMIF('Raw Aug'!G:G,'TB 0825'!A123,'Raw Aug'!D:D)</f>
        <v>14499.28</v>
      </c>
      <c r="D123" s="24">
        <f>SUMIF('Raw Aug'!G:G,'TB 0825'!A123,'Raw Aug'!E:E)</f>
        <v>0</v>
      </c>
      <c r="E123" s="24">
        <f t="shared" si="2"/>
        <v>14499.28</v>
      </c>
      <c r="F123" s="24">
        <f t="shared" si="3"/>
        <v>14.499280000000001</v>
      </c>
      <c r="G123" s="22" t="s">
        <v>182</v>
      </c>
      <c r="H123" s="23" t="s">
        <v>43</v>
      </c>
    </row>
    <row r="124" spans="1:9" hidden="1" x14ac:dyDescent="0.35">
      <c r="A124" s="23" t="s">
        <v>239</v>
      </c>
      <c r="B124" s="24">
        <f>SUMIF('Raw Aug'!G:G,'TB 0825'!A124,'Raw Aug'!C:C)</f>
        <v>0</v>
      </c>
      <c r="C124" s="24">
        <f>SUMIF('Raw Aug'!G:G,'TB 0825'!A124,'Raw Aug'!D:D)</f>
        <v>377175</v>
      </c>
      <c r="D124" s="24">
        <f>SUMIF('Raw Aug'!G:G,'TB 0825'!A124,'Raw Aug'!E:E)</f>
        <v>35000</v>
      </c>
      <c r="E124" s="24">
        <f t="shared" si="2"/>
        <v>342175</v>
      </c>
      <c r="F124" s="24">
        <f t="shared" si="3"/>
        <v>342.17500000000001</v>
      </c>
      <c r="G124" s="22" t="s">
        <v>182</v>
      </c>
      <c r="H124" s="23" t="s">
        <v>263</v>
      </c>
    </row>
    <row r="125" spans="1:9" hidden="1" x14ac:dyDescent="0.35">
      <c r="A125" s="23" t="s">
        <v>607</v>
      </c>
      <c r="B125" s="24">
        <f>SUMIF('Raw Aug'!G:G,'TB 0825'!A125,'Raw Aug'!C:C)</f>
        <v>0</v>
      </c>
      <c r="C125" s="24">
        <f>SUMIF('Raw Aug'!G:G,'TB 0825'!A125,'Raw Aug'!D:D)</f>
        <v>22567026.5</v>
      </c>
      <c r="D125" s="24">
        <f>SUMIF('Raw Aug'!G:G,'TB 0825'!A125,'Raw Aug'!E:E)</f>
        <v>37200</v>
      </c>
      <c r="E125" s="24">
        <f t="shared" si="2"/>
        <v>22529826.5</v>
      </c>
      <c r="F125" s="24">
        <f t="shared" si="3"/>
        <v>22529.826499999999</v>
      </c>
      <c r="G125" s="22" t="s">
        <v>182</v>
      </c>
    </row>
    <row r="126" spans="1:9" hidden="1" x14ac:dyDescent="0.35">
      <c r="A126" s="23" t="s">
        <v>608</v>
      </c>
      <c r="B126" s="24">
        <f>SUMIF('Raw Aug'!G:G,'TB 0825'!A126,'Raw Aug'!C:C)</f>
        <v>0</v>
      </c>
      <c r="C126" s="24">
        <f>SUMIF('Raw Aug'!G:G,'TB 0825'!A126,'Raw Aug'!D:D)</f>
        <v>2864772.6</v>
      </c>
      <c r="D126" s="24">
        <f>SUMIF('Raw Aug'!G:G,'TB 0825'!A126,'Raw Aug'!E:E)</f>
        <v>550000</v>
      </c>
      <c r="E126" s="24">
        <f t="shared" si="2"/>
        <v>2314772.6</v>
      </c>
      <c r="F126" s="24">
        <f t="shared" si="3"/>
        <v>2314.7726000000002</v>
      </c>
      <c r="G126" s="22" t="s">
        <v>182</v>
      </c>
      <c r="H126" s="23" t="s">
        <v>39</v>
      </c>
    </row>
    <row r="127" spans="1:9" hidden="1" x14ac:dyDescent="0.35">
      <c r="A127" s="23" t="s">
        <v>609</v>
      </c>
      <c r="B127" s="24">
        <f>SUMIF('Raw Aug'!G:G,'TB 0825'!A127,'Raw Aug'!C:C)</f>
        <v>0</v>
      </c>
      <c r="C127" s="24">
        <f>SUMIF('Raw Aug'!G:G,'TB 0825'!A127,'Raw Aug'!D:D)</f>
        <v>6063784.1799999997</v>
      </c>
      <c r="D127" s="24">
        <f>SUMIF('Raw Aug'!G:G,'TB 0825'!A127,'Raw Aug'!E:E)</f>
        <v>0</v>
      </c>
      <c r="E127" s="24">
        <f t="shared" si="2"/>
        <v>6063784.1799999997</v>
      </c>
      <c r="F127" s="24">
        <f t="shared" si="3"/>
        <v>6063.7841799999997</v>
      </c>
      <c r="G127" s="22" t="s">
        <v>182</v>
      </c>
      <c r="H127" s="23" t="s">
        <v>33</v>
      </c>
    </row>
    <row r="128" spans="1:9" hidden="1" x14ac:dyDescent="0.35">
      <c r="A128" s="23" t="s">
        <v>721</v>
      </c>
      <c r="B128" s="24">
        <f>SUMIF('Raw Aug'!G:G,'TB 0825'!A128,'Raw Aug'!C:C)</f>
        <v>0</v>
      </c>
      <c r="C128" s="24">
        <f>SUMIF('Raw Aug'!G:G,'TB 0825'!A128,'Raw Aug'!D:D)</f>
        <v>0</v>
      </c>
      <c r="D128" s="24">
        <f>SUMIF('Raw Aug'!G:G,'TB 0825'!A128,'Raw Aug'!E:E)</f>
        <v>0</v>
      </c>
      <c r="E128" s="24">
        <f t="shared" si="2"/>
        <v>0</v>
      </c>
      <c r="F128" s="24">
        <f t="shared" si="3"/>
        <v>0</v>
      </c>
      <c r="G128" s="22" t="s">
        <v>181</v>
      </c>
      <c r="H128" s="23" t="s">
        <v>71</v>
      </c>
      <c r="I128" s="23" t="s">
        <v>1397</v>
      </c>
    </row>
    <row r="129" spans="1:8" hidden="1" x14ac:dyDescent="0.35">
      <c r="A129" s="23" t="s">
        <v>610</v>
      </c>
      <c r="B129" s="24">
        <f>SUMIF('Raw Aug'!G:G,'TB 0825'!A129,'Raw Aug'!C:C)</f>
        <v>0</v>
      </c>
      <c r="C129" s="24">
        <f>SUMIF('Raw Aug'!G:G,'TB 0825'!A129,'Raw Aug'!D:D)</f>
        <v>970656.81</v>
      </c>
      <c r="D129" s="24">
        <f>SUMIF('Raw Aug'!G:G,'TB 0825'!A129,'Raw Aug'!E:E)</f>
        <v>1967.62</v>
      </c>
      <c r="E129" s="24">
        <f t="shared" si="2"/>
        <v>968689.19000000006</v>
      </c>
      <c r="F129" s="24">
        <f t="shared" si="3"/>
        <v>968.68919000000005</v>
      </c>
      <c r="G129" s="22" t="s">
        <v>182</v>
      </c>
      <c r="H129" s="23" t="s">
        <v>31</v>
      </c>
    </row>
    <row r="130" spans="1:8" hidden="1" x14ac:dyDescent="0.35">
      <c r="A130" s="23" t="s">
        <v>611</v>
      </c>
      <c r="B130" s="24">
        <f>SUMIF('Raw Aug'!G:G,'TB 0825'!A130,'Raw Aug'!C:C)</f>
        <v>0</v>
      </c>
      <c r="C130" s="24">
        <f>SUMIF('Raw Aug'!G:G,'TB 0825'!A130,'Raw Aug'!D:D)</f>
        <v>866010</v>
      </c>
      <c r="D130" s="24">
        <f>SUMIF('Raw Aug'!G:G,'TB 0825'!A130,'Raw Aug'!E:E)</f>
        <v>0</v>
      </c>
      <c r="E130" s="24">
        <f t="shared" si="2"/>
        <v>866010</v>
      </c>
      <c r="F130" s="24">
        <f t="shared" si="3"/>
        <v>866.01</v>
      </c>
      <c r="G130" s="22" t="s">
        <v>182</v>
      </c>
      <c r="H130" s="23" t="s">
        <v>31</v>
      </c>
    </row>
    <row r="131" spans="1:8" hidden="1" x14ac:dyDescent="0.35">
      <c r="A131" s="23" t="s">
        <v>1364</v>
      </c>
      <c r="B131" s="24">
        <f>SUMIF('Raw Aug'!G:G,'TB 0825'!A131,'Raw Aug'!C:C)</f>
        <v>0</v>
      </c>
      <c r="C131" s="24">
        <f>SUMIF('Raw Aug'!G:G,'TB 0825'!A131,'Raw Aug'!D:D)</f>
        <v>0</v>
      </c>
      <c r="D131" s="24">
        <f>SUMIF('Raw Aug'!G:G,'TB 0825'!A131,'Raw Aug'!E:E)</f>
        <v>12000000</v>
      </c>
      <c r="E131" s="24">
        <f t="shared" si="2"/>
        <v>-12000000</v>
      </c>
      <c r="F131" s="24">
        <f t="shared" si="3"/>
        <v>-12000</v>
      </c>
      <c r="G131" s="22" t="s">
        <v>180</v>
      </c>
      <c r="H131" s="23" t="s">
        <v>69</v>
      </c>
    </row>
    <row r="132" spans="1:8" hidden="1" x14ac:dyDescent="0.35">
      <c r="A132" s="23" t="s">
        <v>960</v>
      </c>
      <c r="B132" s="24">
        <f>SUMIF('Raw Aug'!G:G,'TB 0825'!A132,'Raw Aug'!C:C)</f>
        <v>0</v>
      </c>
      <c r="C132" s="24">
        <f>SUMIF('Raw Aug'!G:G,'TB 0825'!A132,'Raw Aug'!D:D)</f>
        <v>0</v>
      </c>
      <c r="D132" s="24">
        <f>SUMIF('Raw Aug'!G:G,'TB 0825'!A132,'Raw Aug'!E:E)</f>
        <v>567000</v>
      </c>
      <c r="E132" s="24">
        <f t="shared" ref="E132:E152" si="4">B132+C132-D132</f>
        <v>-567000</v>
      </c>
      <c r="F132" s="24">
        <f t="shared" ref="F132:F152" si="5">E132/10^3</f>
        <v>-567</v>
      </c>
      <c r="G132" s="22" t="s">
        <v>180</v>
      </c>
      <c r="H132" s="23" t="s">
        <v>69</v>
      </c>
    </row>
    <row r="133" spans="1:8" hidden="1" x14ac:dyDescent="0.35">
      <c r="A133" s="23" t="s">
        <v>623</v>
      </c>
      <c r="B133" s="24">
        <f>SUMIF('Raw Aug'!G:G,'TB 0825'!A133,'Raw Aug'!C:C)</f>
        <v>0</v>
      </c>
      <c r="C133" s="24">
        <f>SUMIF('Raw Aug'!G:G,'TB 0825'!A133,'Raw Aug'!D:D)</f>
        <v>0</v>
      </c>
      <c r="D133" s="24">
        <f>SUMIF('Raw Aug'!G:G,'TB 0825'!A133,'Raw Aug'!E:E)</f>
        <v>4300000</v>
      </c>
      <c r="E133" s="24">
        <f t="shared" si="4"/>
        <v>-4300000</v>
      </c>
      <c r="F133" s="24">
        <f t="shared" si="5"/>
        <v>-4300</v>
      </c>
      <c r="G133" s="22" t="s">
        <v>180</v>
      </c>
      <c r="H133" s="23" t="s">
        <v>69</v>
      </c>
    </row>
    <row r="134" spans="1:8" x14ac:dyDescent="0.35">
      <c r="A134" s="23" t="s">
        <v>417</v>
      </c>
      <c r="B134" s="24">
        <f>SUMIF('Raw Aug'!G:G,'TB 0825'!A134,'Raw Aug'!C:C)</f>
        <v>0</v>
      </c>
      <c r="C134" s="24">
        <f>SUMIF('Raw Aug'!G:G,'TB 0825'!A134,'Raw Aug'!D:D)</f>
        <v>1901840</v>
      </c>
      <c r="D134" s="24">
        <f>SUMIF('Raw Aug'!G:G,'TB 0825'!A134,'Raw Aug'!E:E)</f>
        <v>0</v>
      </c>
      <c r="E134" s="24">
        <f t="shared" si="4"/>
        <v>1901840</v>
      </c>
      <c r="F134" s="24">
        <f t="shared" si="5"/>
        <v>1901.84</v>
      </c>
      <c r="G134" s="22" t="s">
        <v>182</v>
      </c>
      <c r="H134" s="23" t="s">
        <v>417</v>
      </c>
    </row>
    <row r="135" spans="1:8" hidden="1" x14ac:dyDescent="0.35">
      <c r="A135" s="23" t="s">
        <v>26</v>
      </c>
      <c r="B135" s="24">
        <f>SUMIF('Raw Aug'!G:G,'TB 0825'!A135,'Raw Aug'!C:C)</f>
        <v>0</v>
      </c>
      <c r="C135" s="24">
        <f>SUMIF('Raw Aug'!G:G,'TB 0825'!A135,'Raw Aug'!D:D)</f>
        <v>34308704.240000002</v>
      </c>
      <c r="D135" s="24">
        <f>SUMIF('Raw Aug'!G:G,'TB 0825'!A135,'Raw Aug'!E:E)</f>
        <v>0</v>
      </c>
      <c r="E135" s="24">
        <f t="shared" si="4"/>
        <v>34308704.240000002</v>
      </c>
      <c r="F135" s="24">
        <f t="shared" si="5"/>
        <v>34308.704239999999</v>
      </c>
      <c r="G135" s="22" t="s">
        <v>182</v>
      </c>
      <c r="H135" s="23" t="s">
        <v>26</v>
      </c>
    </row>
    <row r="136" spans="1:8" hidden="1" x14ac:dyDescent="0.35">
      <c r="A136" s="23" t="s">
        <v>295</v>
      </c>
      <c r="B136" s="24">
        <f>SUMIF('Raw Aug'!G:G,'TB 0825'!A136,'Raw Aug'!C:C)</f>
        <v>0</v>
      </c>
      <c r="C136" s="24">
        <f>SUMIF('Raw Aug'!G:G,'TB 0825'!A136,'Raw Aug'!D:D)</f>
        <v>63205</v>
      </c>
      <c r="D136" s="24">
        <f>SUMIF('Raw Aug'!G:G,'TB 0825'!A136,'Raw Aug'!E:E)</f>
        <v>4768421</v>
      </c>
      <c r="E136" s="24">
        <f t="shared" si="4"/>
        <v>-4705216</v>
      </c>
      <c r="F136" s="24">
        <f t="shared" si="5"/>
        <v>-4705.2160000000003</v>
      </c>
      <c r="G136" s="22" t="s">
        <v>184</v>
      </c>
      <c r="H136" s="23" t="s">
        <v>25</v>
      </c>
    </row>
    <row r="137" spans="1:8" hidden="1" x14ac:dyDescent="0.35">
      <c r="A137" s="23" t="s">
        <v>316</v>
      </c>
      <c r="B137" s="24">
        <f>SUMIF('Raw Aug'!G:G,'TB 0825'!A137,'Raw Aug'!C:C)</f>
        <v>0</v>
      </c>
      <c r="C137" s="24">
        <f>SUMIF('Raw Aug'!G:G,'TB 0825'!A137,'Raw Aug'!D:D)</f>
        <v>11949909.439999999</v>
      </c>
      <c r="D137" s="24">
        <f>SUMIF('Raw Aug'!G:G,'TB 0825'!A137,'Raw Aug'!E:E)</f>
        <v>0</v>
      </c>
      <c r="E137" s="24">
        <f t="shared" si="4"/>
        <v>11949909.439999999</v>
      </c>
      <c r="F137" s="24">
        <f t="shared" si="5"/>
        <v>11949.909439999999</v>
      </c>
      <c r="G137" s="22" t="s">
        <v>184</v>
      </c>
    </row>
    <row r="138" spans="1:8" hidden="1" x14ac:dyDescent="0.35">
      <c r="A138" s="23" t="s">
        <v>1405</v>
      </c>
      <c r="B138" s="24">
        <f>SUMIF('Raw Aug'!G:G,'TB 0825'!A138,'Raw Aug'!C:C)</f>
        <v>0</v>
      </c>
      <c r="C138" s="24">
        <f>SUMIF('Raw Aug'!G:G,'TB 0825'!A138,'Raw Aug'!D:D)</f>
        <v>0</v>
      </c>
      <c r="D138" s="24">
        <f>SUMIF('Raw Aug'!G:G,'TB 0825'!A138,'Raw Aug'!E:E)</f>
        <v>970746.57</v>
      </c>
      <c r="E138" s="24">
        <f t="shared" si="4"/>
        <v>-970746.57</v>
      </c>
      <c r="F138" s="24">
        <f t="shared" si="5"/>
        <v>-970.74656999999991</v>
      </c>
      <c r="G138" s="22" t="s">
        <v>184</v>
      </c>
      <c r="H138" s="23" t="s">
        <v>25</v>
      </c>
    </row>
    <row r="139" spans="1:8" hidden="1" x14ac:dyDescent="0.35">
      <c r="A139" s="23" t="s">
        <v>1406</v>
      </c>
      <c r="B139" s="24">
        <f>SUMIF('Raw Aug'!G:G,'TB 0825'!A139,'Raw Aug'!C:C)</f>
        <v>0</v>
      </c>
      <c r="C139" s="24">
        <f>SUMIF('Raw Aug'!G:G,'TB 0825'!A139,'Raw Aug'!D:D)</f>
        <v>179362</v>
      </c>
      <c r="D139" s="24">
        <f>SUMIF('Raw Aug'!G:G,'TB 0825'!A139,'Raw Aug'!E:E)</f>
        <v>793210.34</v>
      </c>
      <c r="E139" s="24">
        <f t="shared" si="4"/>
        <v>-613848.34</v>
      </c>
      <c r="F139" s="24">
        <f t="shared" si="5"/>
        <v>-613.84834000000001</v>
      </c>
      <c r="G139" s="22" t="s">
        <v>184</v>
      </c>
      <c r="H139" s="23" t="s">
        <v>25</v>
      </c>
    </row>
    <row r="140" spans="1:8" hidden="1" x14ac:dyDescent="0.35">
      <c r="A140" s="23" t="s">
        <v>1407</v>
      </c>
      <c r="B140" s="24">
        <f>SUMIF('Raw Aug'!G:G,'TB 0825'!A140,'Raw Aug'!C:C)</f>
        <v>0</v>
      </c>
      <c r="C140" s="24">
        <f>SUMIF('Raw Aug'!G:G,'TB 0825'!A140,'Raw Aug'!D:D)</f>
        <v>191104</v>
      </c>
      <c r="D140" s="24">
        <f>SUMIF('Raw Aug'!G:G,'TB 0825'!A140,'Raw Aug'!E:E)</f>
        <v>495888.83</v>
      </c>
      <c r="E140" s="24">
        <f t="shared" si="4"/>
        <v>-304784.83</v>
      </c>
      <c r="F140" s="24">
        <f t="shared" si="5"/>
        <v>-304.78483</v>
      </c>
      <c r="G140" s="22" t="s">
        <v>184</v>
      </c>
      <c r="H140" s="23" t="s">
        <v>25</v>
      </c>
    </row>
    <row r="141" spans="1:8" hidden="1" x14ac:dyDescent="0.35">
      <c r="A141" s="23" t="s">
        <v>1408</v>
      </c>
      <c r="B141" s="24">
        <f>SUMIF('Raw Aug'!G:G,'TB 0825'!A141,'Raw Aug'!C:C)</f>
        <v>0</v>
      </c>
      <c r="C141" s="24">
        <f>SUMIF('Raw Aug'!G:G,'TB 0825'!A141,'Raw Aug'!D:D)</f>
        <v>1199</v>
      </c>
      <c r="D141" s="24">
        <f>SUMIF('Raw Aug'!G:G,'TB 0825'!A141,'Raw Aug'!E:E)</f>
        <v>20858.57</v>
      </c>
      <c r="E141" s="24">
        <f t="shared" si="4"/>
        <v>-19659.57</v>
      </c>
      <c r="F141" s="24">
        <f t="shared" si="5"/>
        <v>-19.659569999999999</v>
      </c>
      <c r="G141" s="22" t="s">
        <v>184</v>
      </c>
      <c r="H141" s="23" t="s">
        <v>25</v>
      </c>
    </row>
    <row r="142" spans="1:8" hidden="1" x14ac:dyDescent="0.35">
      <c r="A142" s="23" t="s">
        <v>1409</v>
      </c>
      <c r="B142" s="24">
        <f>SUMIF('Raw Aug'!G:G,'TB 0825'!A142,'Raw Aug'!C:C)</f>
        <v>0</v>
      </c>
      <c r="C142" s="24">
        <f>SUMIF('Raw Aug'!G:G,'TB 0825'!A142,'Raw Aug'!D:D)</f>
        <v>27263</v>
      </c>
      <c r="D142" s="24">
        <f>SUMIF('Raw Aug'!G:G,'TB 0825'!A142,'Raw Aug'!E:E)</f>
        <v>68346.2</v>
      </c>
      <c r="E142" s="24">
        <f t="shared" si="4"/>
        <v>-41083.199999999997</v>
      </c>
      <c r="F142" s="24">
        <f t="shared" si="5"/>
        <v>-41.083199999999998</v>
      </c>
      <c r="G142" s="22" t="s">
        <v>184</v>
      </c>
      <c r="H142" s="23" t="s">
        <v>25</v>
      </c>
    </row>
    <row r="143" spans="1:8" hidden="1" x14ac:dyDescent="0.35">
      <c r="A143" s="23" t="s">
        <v>303</v>
      </c>
      <c r="B143" s="24">
        <f>SUMIF('Raw Aug'!G:G,'TB 0825'!A143,'Raw Aug'!C:C)</f>
        <v>0</v>
      </c>
      <c r="C143" s="24">
        <f>SUMIF('Raw Aug'!G:G,'TB 0825'!A143,'Raw Aug'!D:D)</f>
        <v>0</v>
      </c>
      <c r="D143" s="24">
        <f>SUMIF('Raw Aug'!G:G,'TB 0825'!A143,'Raw Aug'!E:E)</f>
        <v>19073684</v>
      </c>
      <c r="E143" s="24">
        <f t="shared" si="4"/>
        <v>-19073684</v>
      </c>
      <c r="F143" s="24">
        <f t="shared" si="5"/>
        <v>-19073.684000000001</v>
      </c>
      <c r="G143" s="22" t="s">
        <v>184</v>
      </c>
      <c r="H143" s="23" t="s">
        <v>25</v>
      </c>
    </row>
    <row r="144" spans="1:8" hidden="1" x14ac:dyDescent="0.35">
      <c r="A144" s="23" t="s">
        <v>1332</v>
      </c>
      <c r="B144" s="24">
        <f>SUMIF('Raw Aug'!G:G,'TB 0825'!A144,'Raw Aug'!C:C)</f>
        <v>0</v>
      </c>
      <c r="C144" s="24">
        <f>SUMIF('Raw Aug'!G:G,'TB 0825'!A144,'Raw Aug'!D:D)</f>
        <v>2098706</v>
      </c>
      <c r="D144" s="24">
        <f>SUMIF('Raw Aug'!G:G,'TB 0825'!A144,'Raw Aug'!E:E)</f>
        <v>2098706</v>
      </c>
      <c r="E144" s="24">
        <f t="shared" si="4"/>
        <v>0</v>
      </c>
      <c r="F144" s="24">
        <f t="shared" si="5"/>
        <v>0</v>
      </c>
      <c r="G144" s="22" t="s">
        <v>184</v>
      </c>
      <c r="H144" s="23" t="s">
        <v>25</v>
      </c>
    </row>
    <row r="145" spans="1:8" hidden="1" x14ac:dyDescent="0.35">
      <c r="A145" s="23" t="s">
        <v>619</v>
      </c>
      <c r="B145" s="24">
        <f>SUMIF('Raw Aug'!G:G,'TB 0825'!A145,'Raw Aug'!C:C)</f>
        <v>0</v>
      </c>
      <c r="C145" s="24">
        <f>SUMIF('Raw Aug'!G:G,'TB 0825'!A145,'Raw Aug'!D:D)</f>
        <v>469857</v>
      </c>
      <c r="D145" s="24">
        <f>SUMIF('Raw Aug'!G:G,'TB 0825'!A145,'Raw Aug'!E:E)</f>
        <v>2781703</v>
      </c>
      <c r="E145" s="24">
        <f t="shared" si="4"/>
        <v>-2311846</v>
      </c>
      <c r="F145" s="24">
        <f t="shared" si="5"/>
        <v>-2311.846</v>
      </c>
      <c r="G145" s="22" t="s">
        <v>182</v>
      </c>
      <c r="H145" s="23" t="s">
        <v>61</v>
      </c>
    </row>
    <row r="146" spans="1:8" hidden="1" x14ac:dyDescent="0.35">
      <c r="A146" s="23" t="s">
        <v>1433</v>
      </c>
      <c r="B146" s="24">
        <f>SUMIF('Raw Aug'!G:G,'TB 0825'!A146,'Raw Aug'!C:C)</f>
        <v>-482023.22</v>
      </c>
      <c r="C146" s="24">
        <f>SUMIF('Raw Aug'!G:G,'TB 0825'!A146,'Raw Aug'!D:D)</f>
        <v>0</v>
      </c>
      <c r="D146" s="24">
        <f>SUMIF('Raw Aug'!G:G,'TB 0825'!A146,'Raw Aug'!E:E)</f>
        <v>103599.27</v>
      </c>
      <c r="E146" s="24">
        <f t="shared" si="4"/>
        <v>-585622.49</v>
      </c>
      <c r="F146" s="24">
        <f t="shared" si="5"/>
        <v>-585.62248999999997</v>
      </c>
      <c r="G146" s="22" t="s">
        <v>181</v>
      </c>
      <c r="H146" s="23" t="s">
        <v>71</v>
      </c>
    </row>
    <row r="147" spans="1:8" hidden="1" x14ac:dyDescent="0.35">
      <c r="A147" s="23" t="s">
        <v>1428</v>
      </c>
      <c r="B147" s="24">
        <f>SUMIF('Raw Aug'!G:G,'TB 0825'!A147,'Raw Aug'!C:C)</f>
        <v>81296.960000000006</v>
      </c>
      <c r="C147" s="24">
        <f>SUMIF('Raw Aug'!G:G,'TB 0825'!A147,'Raw Aug'!D:D)</f>
        <v>0</v>
      </c>
      <c r="D147" s="24">
        <f>SUMIF('Raw Aug'!G:G,'TB 0825'!A147,'Raw Aug'!E:E)</f>
        <v>0</v>
      </c>
      <c r="E147" s="24">
        <f t="shared" si="4"/>
        <v>81296.960000000006</v>
      </c>
      <c r="F147" s="24">
        <f t="shared" si="5"/>
        <v>81.296960000000013</v>
      </c>
      <c r="G147" s="22" t="s">
        <v>181</v>
      </c>
      <c r="H147" s="23" t="s">
        <v>79</v>
      </c>
    </row>
    <row r="148" spans="1:8" hidden="1" x14ac:dyDescent="0.35">
      <c r="A148" s="23" t="s">
        <v>426</v>
      </c>
      <c r="B148" s="24">
        <f>SUMIF('Raw Aug'!G:G,'TB 0825'!A148,'Raw Aug'!C:C)</f>
        <v>0</v>
      </c>
      <c r="C148" s="24">
        <f>SUMIF('Raw Aug'!G:G,'TB 0825'!A148,'Raw Aug'!D:D)</f>
        <v>0</v>
      </c>
      <c r="D148" s="24">
        <f>SUMIF('Raw Aug'!G:G,'TB 0825'!A148,'Raw Aug'!E:E)</f>
        <v>0</v>
      </c>
      <c r="E148" s="24">
        <f t="shared" si="4"/>
        <v>0</v>
      </c>
      <c r="F148" s="24">
        <f t="shared" si="5"/>
        <v>0</v>
      </c>
      <c r="G148" s="22" t="s">
        <v>180</v>
      </c>
      <c r="H148" s="23" t="s">
        <v>68</v>
      </c>
    </row>
    <row r="149" spans="1:8" hidden="1" x14ac:dyDescent="0.35">
      <c r="A149" s="23" t="s">
        <v>1429</v>
      </c>
      <c r="B149" s="24">
        <f>SUMIF('Raw Aug'!G:G,'TB 0825'!A149,'Raw Aug'!C:C)</f>
        <v>-548984</v>
      </c>
      <c r="C149" s="24">
        <f>SUMIF('Raw Aug'!G:G,'TB 0825'!A149,'Raw Aug'!D:D)</f>
        <v>0</v>
      </c>
      <c r="D149" s="24">
        <f>SUMIF('Raw Aug'!G:G,'TB 0825'!A149,'Raw Aug'!E:E)</f>
        <v>0</v>
      </c>
      <c r="E149" s="24">
        <f t="shared" si="4"/>
        <v>-548984</v>
      </c>
      <c r="F149" s="24">
        <f t="shared" si="5"/>
        <v>-548.98400000000004</v>
      </c>
      <c r="G149" s="22" t="s">
        <v>180</v>
      </c>
      <c r="H149" s="23" t="s">
        <v>1371</v>
      </c>
    </row>
    <row r="150" spans="1:8" hidden="1" x14ac:dyDescent="0.35">
      <c r="A150" s="23" t="s">
        <v>1430</v>
      </c>
      <c r="B150" s="24">
        <f>SUMIF('Raw Aug'!G:G,'TB 0825'!A150,'Raw Aug'!C:C)</f>
        <v>-1269</v>
      </c>
      <c r="C150" s="24">
        <f>SUMIF('Raw Aug'!G:G,'TB 0825'!A150,'Raw Aug'!D:D)</f>
        <v>0</v>
      </c>
      <c r="D150" s="24">
        <f>SUMIF('Raw Aug'!G:G,'TB 0825'!A150,'Raw Aug'!E:E)</f>
        <v>0</v>
      </c>
      <c r="E150" s="24">
        <f t="shared" si="4"/>
        <v>-1269</v>
      </c>
      <c r="F150" s="24">
        <f t="shared" si="5"/>
        <v>-1.2689999999999999</v>
      </c>
      <c r="G150" s="22" t="s">
        <v>180</v>
      </c>
      <c r="H150" s="23" t="s">
        <v>69</v>
      </c>
    </row>
    <row r="151" spans="1:8" hidden="1" x14ac:dyDescent="0.35">
      <c r="A151" s="23" t="s">
        <v>1431</v>
      </c>
      <c r="B151" s="24">
        <f>SUMIF('Raw Aug'!G:G,'TB 0825'!A151,'Raw Aug'!C:C)</f>
        <v>-1245691</v>
      </c>
      <c r="C151" s="24">
        <f>SUMIF('Raw Aug'!G:G,'TB 0825'!A151,'Raw Aug'!D:D)</f>
        <v>0</v>
      </c>
      <c r="D151" s="24">
        <f>SUMIF('Raw Aug'!G:G,'TB 0825'!A151,'Raw Aug'!E:E)</f>
        <v>0</v>
      </c>
      <c r="E151" s="24">
        <f t="shared" si="4"/>
        <v>-1245691</v>
      </c>
      <c r="F151" s="24">
        <f t="shared" si="5"/>
        <v>-1245.691</v>
      </c>
      <c r="G151" s="22" t="s">
        <v>180</v>
      </c>
      <c r="H151" s="23" t="s">
        <v>64</v>
      </c>
    </row>
    <row r="152" spans="1:8" hidden="1" x14ac:dyDescent="0.35">
      <c r="A152" s="23" t="s">
        <v>1427</v>
      </c>
      <c r="B152" s="24">
        <f>SUMIF('Raw Aug'!G:G,'TB 0825'!A152,'Raw Aug'!C:C)</f>
        <v>-48822</v>
      </c>
      <c r="C152" s="24">
        <f>SUMIF('Raw Aug'!G:G,'TB 0825'!A152,'Raw Aug'!D:D)</f>
        <v>48822</v>
      </c>
      <c r="D152" s="24">
        <f>SUMIF('Raw Aug'!G:G,'TB 0825'!A152,'Raw Aug'!E:E)</f>
        <v>0</v>
      </c>
      <c r="E152" s="24">
        <f t="shared" si="4"/>
        <v>0</v>
      </c>
      <c r="F152" s="24">
        <f t="shared" si="5"/>
        <v>0</v>
      </c>
      <c r="G152" s="22" t="s">
        <v>180</v>
      </c>
      <c r="H152" s="23" t="s">
        <v>68</v>
      </c>
    </row>
    <row r="153" spans="1:8" x14ac:dyDescent="0.35">
      <c r="A153" s="23" t="s">
        <v>599</v>
      </c>
      <c r="B153" s="24">
        <f>SUMIF('Raw Aug'!G:G,'TB 0825'!A153,'Raw Aug'!C:C)</f>
        <v>0</v>
      </c>
      <c r="C153" s="24">
        <f>SUMIF('Raw Aug'!G:G,'TB 0825'!A153,'Raw Aug'!D:D)</f>
        <v>407707</v>
      </c>
      <c r="D153" s="24">
        <f>SUMIF('Raw Aug'!G:G,'TB 0825'!A153,'Raw Aug'!E:E)</f>
        <v>0</v>
      </c>
      <c r="E153" s="24">
        <f>B153+C153-D153</f>
        <v>407707</v>
      </c>
      <c r="F153" s="24">
        <f>E153/10^3</f>
        <v>407.70699999999999</v>
      </c>
      <c r="G153" s="22" t="s">
        <v>182</v>
      </c>
      <c r="H153" s="23" t="s">
        <v>417</v>
      </c>
    </row>
    <row r="158" spans="1:8" x14ac:dyDescent="0.35">
      <c r="H158" s="396"/>
    </row>
    <row r="160" spans="1:8" x14ac:dyDescent="0.35">
      <c r="H160" s="396"/>
    </row>
    <row r="163" spans="3:4" x14ac:dyDescent="0.35">
      <c r="C163" s="23" t="s">
        <v>1417</v>
      </c>
      <c r="D163" s="23" t="s">
        <v>1416</v>
      </c>
    </row>
    <row r="164" spans="3:4" x14ac:dyDescent="0.35">
      <c r="C164" s="23" t="s">
        <v>268</v>
      </c>
      <c r="D164" s="23" t="s">
        <v>1418</v>
      </c>
    </row>
    <row r="165" spans="3:4" x14ac:dyDescent="0.35">
      <c r="C165" s="23" t="s">
        <v>192</v>
      </c>
      <c r="D165" s="23" t="s">
        <v>1416</v>
      </c>
    </row>
    <row r="166" spans="3:4" x14ac:dyDescent="0.35">
      <c r="C166" s="23" t="s">
        <v>280</v>
      </c>
      <c r="D166" s="23" t="s">
        <v>1419</v>
      </c>
    </row>
    <row r="167" spans="3:4" x14ac:dyDescent="0.35">
      <c r="C167" s="23" t="s">
        <v>279</v>
      </c>
      <c r="D167" s="23" t="s">
        <v>1416</v>
      </c>
    </row>
  </sheetData>
  <autoFilter ref="A2:L153" xr:uid="{E11866F0-363B-425E-9306-88A131A4AD1D}">
    <filterColumn colId="7">
      <filters>
        <filter val="Employee Cost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49B7-3573-4B4D-8032-DD3C954C6C12}">
  <dimension ref="A1:G170"/>
  <sheetViews>
    <sheetView topLeftCell="A53" workbookViewId="0">
      <selection activeCell="F58" sqref="F58"/>
    </sheetView>
  </sheetViews>
  <sheetFormatPr defaultColWidth="8.90625" defaultRowHeight="14.5" x14ac:dyDescent="0.35"/>
  <cols>
    <col min="1" max="2" width="39.08984375" style="191" customWidth="1"/>
    <col min="3" max="6" width="20.81640625" style="191" customWidth="1"/>
    <col min="7" max="7" width="44.81640625" style="191" bestFit="1" customWidth="1"/>
    <col min="8" max="16384" width="8.90625" style="191"/>
  </cols>
  <sheetData>
    <row r="1" spans="1:7" s="290" customFormat="1" x14ac:dyDescent="0.35">
      <c r="A1" s="355" t="s">
        <v>464</v>
      </c>
      <c r="B1" s="355" t="str">
        <f>TRIM(A1)</f>
        <v>Account</v>
      </c>
      <c r="C1" s="356" t="s">
        <v>498</v>
      </c>
      <c r="D1" s="356" t="s">
        <v>465</v>
      </c>
      <c r="E1" s="356" t="s">
        <v>466</v>
      </c>
      <c r="F1" s="356" t="s">
        <v>499</v>
      </c>
      <c r="G1" s="290" t="s">
        <v>433</v>
      </c>
    </row>
    <row r="2" spans="1:7" x14ac:dyDescent="0.35">
      <c r="B2" s="191" t="str">
        <f t="shared" ref="B2:B65" si="0">TRIM(A2)</f>
        <v/>
      </c>
    </row>
    <row r="3" spans="1:7" x14ac:dyDescent="0.35">
      <c r="A3" s="192" t="s">
        <v>70</v>
      </c>
      <c r="B3" s="195" t="str">
        <f t="shared" si="0"/>
        <v>Assets</v>
      </c>
      <c r="C3" s="191" t="s">
        <v>85</v>
      </c>
      <c r="D3" s="191" t="s">
        <v>85</v>
      </c>
      <c r="E3" s="191" t="s">
        <v>85</v>
      </c>
      <c r="F3" s="191" t="s">
        <v>85</v>
      </c>
    </row>
    <row r="4" spans="1:7" x14ac:dyDescent="0.35">
      <c r="A4" s="192" t="s">
        <v>500</v>
      </c>
      <c r="B4" s="192" t="str">
        <f t="shared" si="0"/>
        <v>Accounts Receivable</v>
      </c>
      <c r="C4" s="286">
        <v>1084210.26</v>
      </c>
      <c r="D4" s="286">
        <v>23861850.09</v>
      </c>
      <c r="E4" s="286">
        <v>23590248.219999999</v>
      </c>
      <c r="F4" s="286">
        <v>1355812.13</v>
      </c>
      <c r="G4" s="191" t="str">
        <f>VLOOKUP(B4,'TB 0925'!A:A,1,0)</f>
        <v>Accounts Receivable</v>
      </c>
    </row>
    <row r="5" spans="1:7" x14ac:dyDescent="0.35">
      <c r="A5" s="192" t="s">
        <v>501</v>
      </c>
      <c r="B5" s="192" t="str">
        <f t="shared" si="0"/>
        <v>Accrued Interest</v>
      </c>
      <c r="C5" s="286">
        <v>26233497</v>
      </c>
      <c r="D5" s="286">
        <v>35241207</v>
      </c>
      <c r="E5" s="286">
        <v>26233497</v>
      </c>
      <c r="F5" s="286">
        <v>35241207</v>
      </c>
      <c r="G5" s="191" t="str">
        <f>VLOOKUP(B5,'TB 0925'!A:A,1,0)</f>
        <v>Accrued Interest</v>
      </c>
    </row>
    <row r="6" spans="1:7" x14ac:dyDescent="0.35">
      <c r="A6" s="192" t="s">
        <v>1432</v>
      </c>
      <c r="B6" s="192" t="str">
        <f t="shared" si="0"/>
        <v>Accumulated Amortization on Leasehold Improvement</v>
      </c>
      <c r="C6" s="286">
        <v>-585622.49</v>
      </c>
      <c r="D6" s="286">
        <v>0</v>
      </c>
      <c r="E6" s="286">
        <v>262872.19</v>
      </c>
      <c r="F6" s="286">
        <v>-848494.68</v>
      </c>
      <c r="G6" s="191" t="str">
        <f>VLOOKUP(B6,'TB 0925'!A:A,1,0)</f>
        <v>Accumulated Amortization on Leasehold Improvement</v>
      </c>
    </row>
    <row r="7" spans="1:7" x14ac:dyDescent="0.35">
      <c r="A7" s="192" t="s">
        <v>503</v>
      </c>
      <c r="B7" s="192" t="str">
        <f t="shared" si="0"/>
        <v>Accumulated Depreciation on Computer and Laptops</v>
      </c>
      <c r="C7" s="286">
        <v>-1159221.67</v>
      </c>
      <c r="D7" s="286">
        <v>0</v>
      </c>
      <c r="E7" s="286">
        <v>365726.21</v>
      </c>
      <c r="F7" s="286">
        <v>-1524947.88</v>
      </c>
      <c r="G7" s="191" t="str">
        <f>VLOOKUP(B7,'TB 0925'!A:A,1,0)</f>
        <v>Accumulated Depreciation on Computer and Laptops</v>
      </c>
    </row>
    <row r="8" spans="1:7" x14ac:dyDescent="0.35">
      <c r="A8" s="192" t="s">
        <v>760</v>
      </c>
      <c r="B8" s="192" t="str">
        <f t="shared" si="0"/>
        <v>Accumulated Depreciation on Furniture &amp; Equipment</v>
      </c>
      <c r="C8" s="286">
        <v>-64652.37</v>
      </c>
      <c r="D8" s="286">
        <v>0</v>
      </c>
      <c r="E8" s="286">
        <v>11003.51</v>
      </c>
      <c r="F8" s="286">
        <v>-75655.88</v>
      </c>
      <c r="G8" s="191" t="str">
        <f>VLOOKUP(B8,'TB 0925'!A:A,1,0)</f>
        <v>Accumulated Depreciation on Furniture &amp; Equipment</v>
      </c>
    </row>
    <row r="9" spans="1:7" x14ac:dyDescent="0.35">
      <c r="A9" s="192" t="s">
        <v>504</v>
      </c>
      <c r="B9" s="192" t="str">
        <f t="shared" si="0"/>
        <v>Accumulated Depreciation on Office Equipment</v>
      </c>
      <c r="C9" s="286">
        <v>-71454.14</v>
      </c>
      <c r="D9" s="286">
        <v>0</v>
      </c>
      <c r="E9" s="286">
        <v>13556.11</v>
      </c>
      <c r="F9" s="286">
        <v>-85010.25</v>
      </c>
      <c r="G9" s="191" t="str">
        <f>VLOOKUP(B9,'TB 0925'!A:A,1,0)</f>
        <v>Accumulated Depreciation on Office Equipment</v>
      </c>
    </row>
    <row r="10" spans="1:7" x14ac:dyDescent="0.35">
      <c r="A10" s="192" t="s">
        <v>961</v>
      </c>
      <c r="B10" s="192" t="str">
        <f t="shared" si="0"/>
        <v>Advance to Vendors</v>
      </c>
      <c r="C10" s="286">
        <v>41291.82</v>
      </c>
      <c r="D10" s="286">
        <v>0</v>
      </c>
      <c r="E10" s="286">
        <v>0</v>
      </c>
      <c r="F10" s="286">
        <v>41291.82</v>
      </c>
      <c r="G10" s="191" t="str">
        <f>VLOOKUP(B10,'TB 0925'!A:A,1,0)</f>
        <v>Advance to Vendors</v>
      </c>
    </row>
    <row r="11" spans="1:7" x14ac:dyDescent="0.35">
      <c r="A11" s="192" t="s">
        <v>505</v>
      </c>
      <c r="B11" s="192" t="str">
        <f t="shared" si="0"/>
        <v>Amazon Wallet</v>
      </c>
      <c r="C11" s="286">
        <v>305.98</v>
      </c>
      <c r="D11" s="286">
        <v>0</v>
      </c>
      <c r="E11" s="286">
        <v>0</v>
      </c>
      <c r="F11" s="286">
        <v>305.98</v>
      </c>
      <c r="G11" s="191" t="str">
        <f>VLOOKUP(B11,'TB 0925'!A:A,1,0)</f>
        <v>Amazon Wallet</v>
      </c>
    </row>
    <row r="12" spans="1:7" x14ac:dyDescent="0.35">
      <c r="A12" s="192" t="s">
        <v>506</v>
      </c>
      <c r="B12" s="192" t="str">
        <f t="shared" si="0"/>
        <v>Axis Bank 1655</v>
      </c>
      <c r="C12" s="286">
        <v>12046.34</v>
      </c>
      <c r="D12" s="286">
        <v>0</v>
      </c>
      <c r="E12" s="286">
        <v>118</v>
      </c>
      <c r="F12" s="286">
        <v>11928.34</v>
      </c>
      <c r="G12" s="191" t="str">
        <f>VLOOKUP(B12,'TB 0925'!A:A,1,0)</f>
        <v>Axis Bank 1655</v>
      </c>
    </row>
    <row r="13" spans="1:7" x14ac:dyDescent="0.35">
      <c r="A13" s="192" t="s">
        <v>507</v>
      </c>
      <c r="B13" s="192" t="str">
        <f t="shared" si="0"/>
        <v>Computer and Laptops</v>
      </c>
      <c r="C13" s="286">
        <v>11602036.029999999</v>
      </c>
      <c r="D13" s="286">
        <v>5420751</v>
      </c>
      <c r="E13" s="286">
        <v>0</v>
      </c>
      <c r="F13" s="286">
        <v>17022787.030000001</v>
      </c>
      <c r="G13" s="191" t="str">
        <f>VLOOKUP(B13,'TB 0925'!A:A,1,0)</f>
        <v>Computer and Laptops</v>
      </c>
    </row>
    <row r="14" spans="1:7" x14ac:dyDescent="0.35">
      <c r="A14" s="192" t="s">
        <v>1420</v>
      </c>
      <c r="B14" s="192" t="str">
        <f t="shared" si="0"/>
        <v>Expert Inventory</v>
      </c>
      <c r="C14" s="286">
        <v>0</v>
      </c>
      <c r="D14" s="286">
        <v>2753925</v>
      </c>
      <c r="E14" s="286">
        <v>2097747</v>
      </c>
      <c r="F14" s="286">
        <v>656178</v>
      </c>
      <c r="G14" s="191" t="str">
        <f>VLOOKUP(B14,'TB 0925'!A:A,1,0)</f>
        <v>Expert Inventory</v>
      </c>
    </row>
    <row r="15" spans="1:7" x14ac:dyDescent="0.35">
      <c r="A15" s="192" t="s">
        <v>678</v>
      </c>
      <c r="B15" s="192" t="str">
        <f t="shared" si="0"/>
        <v>Furniture and Equipment</v>
      </c>
      <c r="C15" s="286">
        <v>704611.34</v>
      </c>
      <c r="D15" s="286">
        <v>0</v>
      </c>
      <c r="E15" s="286">
        <v>0</v>
      </c>
      <c r="F15" s="286">
        <v>704611.34</v>
      </c>
      <c r="G15" s="191" t="str">
        <f>VLOOKUP(B15,'TB 0925'!A:A,1,0)</f>
        <v>Furniture and Equipment</v>
      </c>
    </row>
    <row r="16" spans="1:7" x14ac:dyDescent="0.35">
      <c r="A16" s="192" t="s">
        <v>712</v>
      </c>
      <c r="B16" s="192" t="str">
        <f t="shared" si="0"/>
        <v>HDFC Bank 6899</v>
      </c>
      <c r="C16" s="286">
        <v>72359.7</v>
      </c>
      <c r="D16" s="286">
        <v>0</v>
      </c>
      <c r="E16" s="286">
        <v>0</v>
      </c>
      <c r="F16" s="286">
        <v>72359.7</v>
      </c>
      <c r="G16" s="191" t="str">
        <f>VLOOKUP(B16,'TB 0925'!A:A,1,0)</f>
        <v>HDFC Bank 6899</v>
      </c>
    </row>
    <row r="17" spans="1:7" x14ac:dyDescent="0.35">
      <c r="A17" s="192" t="s">
        <v>713</v>
      </c>
      <c r="B17" s="192" t="str">
        <f t="shared" si="0"/>
        <v>HDFC Bank 9531</v>
      </c>
      <c r="C17" s="286">
        <v>381351.88</v>
      </c>
      <c r="D17" s="286">
        <v>1613314.33</v>
      </c>
      <c r="E17" s="286">
        <v>1839812.72</v>
      </c>
      <c r="F17" s="286">
        <v>154853.49</v>
      </c>
      <c r="G17" s="191" t="str">
        <f>VLOOKUP(B17,'TB 0925'!A:A,1,0)</f>
        <v>HDFC Bank 9531</v>
      </c>
    </row>
    <row r="18" spans="1:7" x14ac:dyDescent="0.35">
      <c r="A18" s="192" t="s">
        <v>508</v>
      </c>
      <c r="B18" s="192" t="str">
        <f t="shared" si="0"/>
        <v>Input Tax Credits</v>
      </c>
      <c r="C18" s="286">
        <v>0</v>
      </c>
      <c r="D18" s="286">
        <v>0</v>
      </c>
      <c r="E18" s="286">
        <v>0</v>
      </c>
      <c r="F18" s="286">
        <v>0</v>
      </c>
    </row>
    <row r="19" spans="1:7" x14ac:dyDescent="0.35">
      <c r="A19" s="192" t="s">
        <v>509</v>
      </c>
      <c r="B19" s="192" t="str">
        <f t="shared" si="0"/>
        <v>Input CGST</v>
      </c>
      <c r="C19" s="286">
        <v>6532426.4299999997</v>
      </c>
      <c r="D19" s="286">
        <v>1830899.29</v>
      </c>
      <c r="E19" s="286">
        <v>4529.25</v>
      </c>
      <c r="F19" s="286">
        <v>8358796.4699999997</v>
      </c>
      <c r="G19" s="191" t="str">
        <f>VLOOKUP(B19,'TB 0925'!A:A,1,0)</f>
        <v>Input CGST</v>
      </c>
    </row>
    <row r="20" spans="1:7" x14ac:dyDescent="0.35">
      <c r="A20" s="192" t="s">
        <v>510</v>
      </c>
      <c r="B20" s="192" t="str">
        <f t="shared" si="0"/>
        <v>Input IGST</v>
      </c>
      <c r="C20" s="286">
        <v>3732254.7</v>
      </c>
      <c r="D20" s="286">
        <v>3456871.23</v>
      </c>
      <c r="E20" s="286">
        <v>2230349.7599999998</v>
      </c>
      <c r="F20" s="286">
        <v>4958776.17</v>
      </c>
      <c r="G20" s="191" t="str">
        <f>VLOOKUP(B20,'TB 0925'!A:A,1,0)</f>
        <v>Input IGST</v>
      </c>
    </row>
    <row r="21" spans="1:7" x14ac:dyDescent="0.35">
      <c r="A21" s="192" t="s">
        <v>511</v>
      </c>
      <c r="B21" s="192" t="str">
        <f t="shared" si="0"/>
        <v>Input SGST</v>
      </c>
      <c r="C21" s="286">
        <v>6464068.4800000004</v>
      </c>
      <c r="D21" s="286">
        <v>1830899.29</v>
      </c>
      <c r="E21" s="286">
        <v>4529.25</v>
      </c>
      <c r="F21" s="286">
        <v>8290438.5199999996</v>
      </c>
      <c r="G21" s="191" t="str">
        <f>VLOOKUP(B21,'TB 0925'!A:A,1,0)</f>
        <v>Input SGST</v>
      </c>
    </row>
    <row r="22" spans="1:7" ht="15.5" x14ac:dyDescent="0.35">
      <c r="A22" s="193" t="s">
        <v>512</v>
      </c>
      <c r="B22" s="193" t="str">
        <f t="shared" si="0"/>
        <v>Total for Input Tax Credits</v>
      </c>
      <c r="C22" s="287">
        <v>16728749.609999999</v>
      </c>
      <c r="D22" s="287">
        <v>7118669.8099999996</v>
      </c>
      <c r="E22" s="287">
        <v>2239408.2599999998</v>
      </c>
      <c r="F22" s="287">
        <v>21608011.16</v>
      </c>
    </row>
    <row r="23" spans="1:7" x14ac:dyDescent="0.35">
      <c r="B23" s="191" t="str">
        <f t="shared" si="0"/>
        <v/>
      </c>
    </row>
    <row r="24" spans="1:7" x14ac:dyDescent="0.35">
      <c r="A24" s="192" t="s">
        <v>514</v>
      </c>
      <c r="B24" s="192" t="str">
        <f t="shared" si="0"/>
        <v>Investments</v>
      </c>
      <c r="C24" s="286">
        <v>0</v>
      </c>
      <c r="D24" s="286">
        <v>0</v>
      </c>
      <c r="E24" s="286">
        <v>0</v>
      </c>
      <c r="F24" s="286">
        <v>0</v>
      </c>
    </row>
    <row r="25" spans="1:7" x14ac:dyDescent="0.35">
      <c r="A25" s="192" t="s">
        <v>1339</v>
      </c>
      <c r="B25" s="192" t="str">
        <f t="shared" si="0"/>
        <v>Aditya Birla Sun Life Money Manager Fund</v>
      </c>
      <c r="C25" s="286">
        <v>39998000.100000001</v>
      </c>
      <c r="D25" s="286">
        <v>0</v>
      </c>
      <c r="E25" s="286">
        <v>0</v>
      </c>
      <c r="F25" s="286">
        <v>39998000.100000001</v>
      </c>
      <c r="G25" s="191" t="str">
        <f>VLOOKUP(B25,'TB 0925'!A:A,1,0)</f>
        <v>Aditya Birla Sun Life Money Manager Fund</v>
      </c>
    </row>
    <row r="26" spans="1:7" x14ac:dyDescent="0.35">
      <c r="A26" s="192" t="s">
        <v>1209</v>
      </c>
      <c r="B26" s="192" t="str">
        <f t="shared" si="0"/>
        <v>Fixed Deposit 50301170464152</v>
      </c>
      <c r="C26" s="286">
        <v>50000000</v>
      </c>
      <c r="D26" s="286">
        <v>0</v>
      </c>
      <c r="E26" s="286">
        <v>0</v>
      </c>
      <c r="F26" s="286">
        <v>50000000</v>
      </c>
      <c r="G26" s="191" t="str">
        <f>VLOOKUP(B26,'TB 0925'!A:A,1,0)</f>
        <v>Fixed Deposit 50301170464152</v>
      </c>
    </row>
    <row r="27" spans="1:7" x14ac:dyDescent="0.35">
      <c r="A27" s="192" t="s">
        <v>1210</v>
      </c>
      <c r="B27" s="192" t="str">
        <f t="shared" si="0"/>
        <v>Fixed Deposit 50301170464596</v>
      </c>
      <c r="C27" s="286">
        <v>100000000</v>
      </c>
      <c r="D27" s="286">
        <v>0</v>
      </c>
      <c r="E27" s="286">
        <v>0</v>
      </c>
      <c r="F27" s="286">
        <v>100000000</v>
      </c>
      <c r="G27" s="191" t="str">
        <f>VLOOKUP(B27,'TB 0925'!A:A,1,0)</f>
        <v>Fixed Deposit 50301170464596</v>
      </c>
    </row>
    <row r="28" spans="1:7" x14ac:dyDescent="0.35">
      <c r="A28" s="192" t="s">
        <v>1211</v>
      </c>
      <c r="B28" s="192" t="str">
        <f t="shared" si="0"/>
        <v>Fixed Deposit 50301170464942</v>
      </c>
      <c r="C28" s="286">
        <v>150000000</v>
      </c>
      <c r="D28" s="286">
        <v>0</v>
      </c>
      <c r="E28" s="286">
        <v>0</v>
      </c>
      <c r="F28" s="286">
        <v>150000000</v>
      </c>
      <c r="G28" s="191" t="str">
        <f>VLOOKUP(B28,'TB 0925'!A:A,1,0)</f>
        <v>Fixed Deposit 50301170464942</v>
      </c>
    </row>
    <row r="29" spans="1:7" x14ac:dyDescent="0.35">
      <c r="A29" s="192" t="s">
        <v>1212</v>
      </c>
      <c r="B29" s="192" t="str">
        <f t="shared" si="0"/>
        <v>Fixed Deposit 50301170465320</v>
      </c>
      <c r="C29" s="286">
        <v>300000000</v>
      </c>
      <c r="D29" s="286">
        <v>0</v>
      </c>
      <c r="E29" s="286">
        <v>0</v>
      </c>
      <c r="F29" s="286">
        <v>300000000</v>
      </c>
      <c r="G29" s="191" t="str">
        <f>VLOOKUP(B29,'TB 0925'!A:A,1,0)</f>
        <v>Fixed Deposit 50301170465320</v>
      </c>
    </row>
    <row r="30" spans="1:7" x14ac:dyDescent="0.35">
      <c r="A30" s="192" t="s">
        <v>1213</v>
      </c>
      <c r="B30" s="192" t="str">
        <f t="shared" si="0"/>
        <v>Fixed Deposit 9349969993</v>
      </c>
      <c r="C30" s="286">
        <v>100000000</v>
      </c>
      <c r="D30" s="286">
        <v>0</v>
      </c>
      <c r="E30" s="286">
        <v>0</v>
      </c>
      <c r="F30" s="286">
        <v>100000000</v>
      </c>
      <c r="G30" s="191" t="str">
        <f>VLOOKUP(B30,'TB 0925'!A:A,1,0)</f>
        <v>Fixed Deposit 9349969993</v>
      </c>
    </row>
    <row r="31" spans="1:7" x14ac:dyDescent="0.35">
      <c r="A31" s="192" t="s">
        <v>1214</v>
      </c>
      <c r="B31" s="192" t="str">
        <f t="shared" si="0"/>
        <v>Fixed Deposit 9349970005</v>
      </c>
      <c r="C31" s="286">
        <v>150000000</v>
      </c>
      <c r="D31" s="286">
        <v>0</v>
      </c>
      <c r="E31" s="286">
        <v>0</v>
      </c>
      <c r="F31" s="286">
        <v>150000000</v>
      </c>
      <c r="G31" s="191" t="str">
        <f>VLOOKUP(B31,'TB 0925'!A:A,1,0)</f>
        <v>Fixed Deposit 9349970005</v>
      </c>
    </row>
    <row r="32" spans="1:7" x14ac:dyDescent="0.35">
      <c r="A32" s="192" t="s">
        <v>1215</v>
      </c>
      <c r="B32" s="192" t="str">
        <f t="shared" si="0"/>
        <v>Fixed Deposit 9349970036</v>
      </c>
      <c r="C32" s="286">
        <v>150000000</v>
      </c>
      <c r="D32" s="286">
        <v>0</v>
      </c>
      <c r="E32" s="286">
        <v>0</v>
      </c>
      <c r="F32" s="286">
        <v>150000000</v>
      </c>
      <c r="G32" s="191" t="str">
        <f>VLOOKUP(B32,'TB 0925'!A:A,1,0)</f>
        <v>Fixed Deposit 9349970036</v>
      </c>
    </row>
    <row r="33" spans="1:7" x14ac:dyDescent="0.35">
      <c r="A33" s="192" t="s">
        <v>1216</v>
      </c>
      <c r="B33" s="192" t="str">
        <f t="shared" si="0"/>
        <v>Fixed Deposit 9349970081</v>
      </c>
      <c r="C33" s="286">
        <v>180000000</v>
      </c>
      <c r="D33" s="286">
        <v>0</v>
      </c>
      <c r="E33" s="286">
        <v>0</v>
      </c>
      <c r="F33" s="286">
        <v>180000000</v>
      </c>
      <c r="G33" s="191" t="str">
        <f>VLOOKUP(B33,'TB 0925'!A:A,1,0)</f>
        <v>Fixed Deposit 9349970081</v>
      </c>
    </row>
    <row r="34" spans="1:7" x14ac:dyDescent="0.35">
      <c r="A34" s="192" t="s">
        <v>1217</v>
      </c>
      <c r="B34" s="192" t="str">
        <f t="shared" si="0"/>
        <v>Fixed Deposit 9349970098</v>
      </c>
      <c r="C34" s="286">
        <v>170000000</v>
      </c>
      <c r="D34" s="286">
        <v>0</v>
      </c>
      <c r="E34" s="286">
        <v>0</v>
      </c>
      <c r="F34" s="286">
        <v>170000000</v>
      </c>
      <c r="G34" s="191" t="str">
        <f>VLOOKUP(B34,'TB 0925'!A:A,1,0)</f>
        <v>Fixed Deposit 9349970098</v>
      </c>
    </row>
    <row r="35" spans="1:7" x14ac:dyDescent="0.35">
      <c r="A35" s="192" t="s">
        <v>1218</v>
      </c>
      <c r="B35" s="192" t="str">
        <f t="shared" si="0"/>
        <v>Fixed Deposit 9349970463</v>
      </c>
      <c r="C35" s="286">
        <v>17000000</v>
      </c>
      <c r="D35" s="286">
        <v>0</v>
      </c>
      <c r="E35" s="286">
        <v>0</v>
      </c>
      <c r="F35" s="286">
        <v>17000000</v>
      </c>
      <c r="G35" s="191" t="str">
        <f>VLOOKUP(B35,'TB 0925'!A:A,1,0)</f>
        <v>Fixed Deposit 9349970463</v>
      </c>
    </row>
    <row r="36" spans="1:7" x14ac:dyDescent="0.35">
      <c r="A36" s="192" t="s">
        <v>1219</v>
      </c>
      <c r="B36" s="192" t="str">
        <f t="shared" si="0"/>
        <v>Fixed Deposit 9349970623</v>
      </c>
      <c r="C36" s="286">
        <v>250000000</v>
      </c>
      <c r="D36" s="286">
        <v>0</v>
      </c>
      <c r="E36" s="286">
        <v>0</v>
      </c>
      <c r="F36" s="286">
        <v>250000000</v>
      </c>
      <c r="G36" s="191" t="str">
        <f>VLOOKUP(B36,'TB 0925'!A:A,1,0)</f>
        <v>Fixed Deposit 9349970623</v>
      </c>
    </row>
    <row r="37" spans="1:7" x14ac:dyDescent="0.35">
      <c r="A37" s="192" t="s">
        <v>1344</v>
      </c>
      <c r="B37" s="192" t="str">
        <f t="shared" si="0"/>
        <v>HDFC Money Market Fund</v>
      </c>
      <c r="C37" s="286">
        <v>39998000.100000001</v>
      </c>
      <c r="D37" s="286">
        <v>0</v>
      </c>
      <c r="E37" s="286">
        <v>0</v>
      </c>
      <c r="F37" s="286">
        <v>39998000.100000001</v>
      </c>
      <c r="G37" s="191" t="str">
        <f>VLOOKUP(B37,'TB 0925'!A:A,1,0)</f>
        <v>HDFC Money Market Fund</v>
      </c>
    </row>
    <row r="38" spans="1:7" x14ac:dyDescent="0.35">
      <c r="A38" s="192" t="s">
        <v>1345</v>
      </c>
      <c r="B38" s="192" t="str">
        <f t="shared" si="0"/>
        <v>ICICI Prudential Money Market Fund</v>
      </c>
      <c r="C38" s="286">
        <v>39998000.100000001</v>
      </c>
      <c r="D38" s="286">
        <v>0</v>
      </c>
      <c r="E38" s="286">
        <v>19791750.649999999</v>
      </c>
      <c r="F38" s="286">
        <v>20206249.449999999</v>
      </c>
      <c r="G38" s="191" t="str">
        <f>VLOOKUP(B38,'TB 0925'!A:A,1,0)</f>
        <v>ICICI Prudential Money Market Fund</v>
      </c>
    </row>
    <row r="39" spans="1:7" x14ac:dyDescent="0.35">
      <c r="A39" s="192" t="s">
        <v>1346</v>
      </c>
      <c r="B39" s="192" t="str">
        <f t="shared" si="0"/>
        <v>Kotak Liquid Fund</v>
      </c>
      <c r="C39" s="286">
        <v>15024892.039999999</v>
      </c>
      <c r="D39" s="286">
        <v>0</v>
      </c>
      <c r="E39" s="286">
        <v>15024892.039999999</v>
      </c>
      <c r="F39" s="286">
        <v>0</v>
      </c>
      <c r="G39" s="191" t="str">
        <f>VLOOKUP(B39,'TB 0925'!A:A,1,0)</f>
        <v>Kotak Liquid Fund</v>
      </c>
    </row>
    <row r="40" spans="1:7" x14ac:dyDescent="0.35">
      <c r="A40" s="192" t="s">
        <v>1347</v>
      </c>
      <c r="B40" s="192" t="str">
        <f t="shared" si="0"/>
        <v>Nippon India Money Market Fund</v>
      </c>
      <c r="C40" s="286">
        <v>39998000.100000001</v>
      </c>
      <c r="D40" s="286">
        <v>0</v>
      </c>
      <c r="E40" s="286">
        <v>0</v>
      </c>
      <c r="F40" s="286">
        <v>39998000.100000001</v>
      </c>
      <c r="G40" s="191" t="str">
        <f>VLOOKUP(B40,'TB 0925'!A:A,1,0)</f>
        <v>Nippon India Money Market Fund</v>
      </c>
    </row>
    <row r="41" spans="1:7" x14ac:dyDescent="0.35">
      <c r="A41" s="192" t="s">
        <v>1348</v>
      </c>
      <c r="B41" s="192" t="str">
        <f t="shared" si="0"/>
        <v>SBI Magnum Ultra Short Duration Fund</v>
      </c>
      <c r="C41" s="286">
        <v>39998000.100000001</v>
      </c>
      <c r="D41" s="286">
        <v>0</v>
      </c>
      <c r="E41" s="286">
        <v>39998000.100000001</v>
      </c>
      <c r="F41" s="286">
        <v>0</v>
      </c>
      <c r="G41" s="191" t="str">
        <f>VLOOKUP(B41,'TB 0925'!A:A,1,0)</f>
        <v>SBI Magnum Ultra Short Duration Fund</v>
      </c>
    </row>
    <row r="42" spans="1:7" x14ac:dyDescent="0.35">
      <c r="A42" s="192" t="s">
        <v>1349</v>
      </c>
      <c r="B42" s="192" t="str">
        <f t="shared" si="0"/>
        <v>Tata Money Market Fund</v>
      </c>
      <c r="C42" s="286">
        <v>39998000.100000001</v>
      </c>
      <c r="D42" s="286">
        <v>0</v>
      </c>
      <c r="E42" s="286">
        <v>0</v>
      </c>
      <c r="F42" s="286">
        <v>39998000.100000001</v>
      </c>
      <c r="G42" s="191" t="str">
        <f>VLOOKUP(B42,'TB 0925'!A:A,1,0)</f>
        <v>Tata Money Market Fund</v>
      </c>
    </row>
    <row r="43" spans="1:7" ht="15.5" x14ac:dyDescent="0.35">
      <c r="A43" s="193" t="s">
        <v>521</v>
      </c>
      <c r="B43" s="193" t="str">
        <f t="shared" si="0"/>
        <v>Total for Investments</v>
      </c>
      <c r="C43" s="287">
        <v>1872012892.6400001</v>
      </c>
      <c r="D43" s="287">
        <v>0</v>
      </c>
      <c r="E43" s="287">
        <v>74814642.790000007</v>
      </c>
      <c r="F43" s="287">
        <v>1797198249.8499999</v>
      </c>
    </row>
    <row r="44" spans="1:7" x14ac:dyDescent="0.35">
      <c r="B44" s="191" t="str">
        <f t="shared" si="0"/>
        <v/>
      </c>
    </row>
    <row r="45" spans="1:7" x14ac:dyDescent="0.35">
      <c r="A45" s="192" t="s">
        <v>522</v>
      </c>
      <c r="B45" s="192" t="str">
        <f t="shared" si="0"/>
        <v>Kotak Mahindra Bank 9942</v>
      </c>
      <c r="C45" s="286">
        <v>12714328.449999999</v>
      </c>
      <c r="D45" s="286">
        <v>75099834.569999993</v>
      </c>
      <c r="E45" s="286">
        <v>87298895.060000002</v>
      </c>
      <c r="F45" s="286">
        <v>515267.96</v>
      </c>
      <c r="G45" s="191" t="str">
        <f>VLOOKUP(B45,'TB 0925'!A:A,1,0)</f>
        <v>Kotak Mahindra Bank 9942</v>
      </c>
    </row>
    <row r="46" spans="1:7" x14ac:dyDescent="0.35">
      <c r="A46" s="192" t="s">
        <v>523</v>
      </c>
      <c r="B46" s="192" t="str">
        <f t="shared" si="0"/>
        <v>Kotak Mahindra Bank 9966</v>
      </c>
      <c r="C46" s="286">
        <v>2298288.27</v>
      </c>
      <c r="D46" s="286">
        <v>110722109.52</v>
      </c>
      <c r="E46" s="286">
        <v>109969567.79000001</v>
      </c>
      <c r="F46" s="286">
        <v>3050830</v>
      </c>
      <c r="G46" s="191" t="str">
        <f>VLOOKUP(B46,'TB 0925'!A:A,1,0)</f>
        <v>Kotak Mahindra Bank 9966</v>
      </c>
    </row>
    <row r="47" spans="1:7" x14ac:dyDescent="0.35">
      <c r="A47" s="192" t="s">
        <v>722</v>
      </c>
      <c r="B47" s="192" t="str">
        <f t="shared" si="0"/>
        <v>Leasehold Improvement</v>
      </c>
      <c r="C47" s="286">
        <v>9795844</v>
      </c>
      <c r="D47" s="286">
        <v>0</v>
      </c>
      <c r="E47" s="286">
        <v>0</v>
      </c>
      <c r="F47" s="286">
        <v>9795844</v>
      </c>
      <c r="G47" s="191" t="str">
        <f>VLOOKUP(B47,'TB 0925'!A:A,1,0)</f>
        <v>Leasehold Improvement</v>
      </c>
    </row>
    <row r="48" spans="1:7" x14ac:dyDescent="0.35">
      <c r="A48" s="192" t="s">
        <v>524</v>
      </c>
      <c r="B48" s="192" t="str">
        <f t="shared" si="0"/>
        <v>Office Equipment</v>
      </c>
      <c r="C48" s="286">
        <v>520841.58</v>
      </c>
      <c r="D48" s="286">
        <v>0</v>
      </c>
      <c r="E48" s="286">
        <v>0</v>
      </c>
      <c r="F48" s="286">
        <v>520841.58</v>
      </c>
      <c r="G48" s="191" t="str">
        <f>VLOOKUP(B48,'TB 0925'!A:A,1,0)</f>
        <v>Office Equipment</v>
      </c>
    </row>
    <row r="49" spans="1:7" x14ac:dyDescent="0.35">
      <c r="A49" s="192" t="s">
        <v>1422</v>
      </c>
      <c r="B49" s="192" t="str">
        <f t="shared" si="0"/>
        <v>Other Receivable</v>
      </c>
      <c r="C49" s="286">
        <v>81296.960000000006</v>
      </c>
      <c r="D49" s="286">
        <v>0</v>
      </c>
      <c r="E49" s="286">
        <v>81296.960000000006</v>
      </c>
      <c r="F49" s="286">
        <v>0</v>
      </c>
      <c r="G49" s="191" t="str">
        <f>VLOOKUP(B49,'TB 0925'!A:A,1,0)</f>
        <v>Other Receivable</v>
      </c>
    </row>
    <row r="50" spans="1:7" x14ac:dyDescent="0.35">
      <c r="A50" s="192" t="s">
        <v>1298</v>
      </c>
      <c r="B50" s="192" t="str">
        <f t="shared" si="0"/>
        <v>Prepaid - Consumption</v>
      </c>
      <c r="C50" s="286">
        <v>1222814</v>
      </c>
      <c r="D50" s="286">
        <v>0</v>
      </c>
      <c r="E50" s="286">
        <v>0</v>
      </c>
      <c r="F50" s="286">
        <v>1222814</v>
      </c>
      <c r="G50" s="191" t="str">
        <f>VLOOKUP(B50,'TB 0925'!A:A,1,0)</f>
        <v>Prepaid - Consumption</v>
      </c>
    </row>
    <row r="51" spans="1:7" x14ac:dyDescent="0.35">
      <c r="A51" s="192" t="s">
        <v>526</v>
      </c>
      <c r="B51" s="192" t="str">
        <f t="shared" si="0"/>
        <v>Prepaid Expense - Asset</v>
      </c>
      <c r="C51" s="286">
        <v>678433.69</v>
      </c>
      <c r="D51" s="286">
        <v>0</v>
      </c>
      <c r="E51" s="286">
        <v>178433.67</v>
      </c>
      <c r="F51" s="286">
        <v>500000.02</v>
      </c>
      <c r="G51" s="191" t="str">
        <f>VLOOKUP(B51,'TB 0925'!A:A,1,0)</f>
        <v>Prepaid Expense - Asset</v>
      </c>
    </row>
    <row r="52" spans="1:7" x14ac:dyDescent="0.35">
      <c r="A52" s="192" t="s">
        <v>527</v>
      </c>
      <c r="B52" s="192" t="str">
        <f t="shared" si="0"/>
        <v>Prepaid Expenses</v>
      </c>
      <c r="C52" s="286">
        <v>19596195.559999999</v>
      </c>
      <c r="D52" s="286">
        <v>20303128.289999999</v>
      </c>
      <c r="E52" s="286">
        <v>4932714.3499999996</v>
      </c>
      <c r="F52" s="286">
        <v>34966609.5</v>
      </c>
      <c r="G52" s="191" t="str">
        <f>VLOOKUP(B52,'TB 0925'!A:A,1,0)</f>
        <v>Prepaid Expenses</v>
      </c>
    </row>
    <row r="53" spans="1:7" x14ac:dyDescent="0.35">
      <c r="A53" s="192" t="s">
        <v>528</v>
      </c>
      <c r="B53" s="192" t="str">
        <f t="shared" si="0"/>
        <v>Receipt from Customers</v>
      </c>
      <c r="C53" s="286">
        <v>0</v>
      </c>
      <c r="D53" s="286">
        <v>23494933.719999999</v>
      </c>
      <c r="E53" s="286">
        <v>23494933.719999999</v>
      </c>
      <c r="F53" s="286">
        <v>0</v>
      </c>
      <c r="G53" s="191" t="str">
        <f>VLOOKUP(B53,'TB 0925'!A:A,1,0)</f>
        <v>Receipt from Customers</v>
      </c>
    </row>
    <row r="54" spans="1:7" x14ac:dyDescent="0.35">
      <c r="A54" s="192" t="s">
        <v>529</v>
      </c>
      <c r="B54" s="192" t="str">
        <f t="shared" si="0"/>
        <v>Reverse Charge Tax Input but not due</v>
      </c>
      <c r="C54" s="286">
        <v>1804501.01</v>
      </c>
      <c r="D54" s="286">
        <v>119999.61</v>
      </c>
      <c r="E54" s="286">
        <v>0</v>
      </c>
      <c r="F54" s="286">
        <v>1924500.62</v>
      </c>
      <c r="G54" s="191" t="str">
        <f>VLOOKUP(B54,'TB 0925'!A:A,1,0)</f>
        <v>Reverse Charge Tax Input but not due</v>
      </c>
    </row>
    <row r="55" spans="1:7" x14ac:dyDescent="0.35">
      <c r="A55" s="192" t="s">
        <v>530</v>
      </c>
      <c r="B55" s="192" t="str">
        <f t="shared" si="0"/>
        <v>Security Deposit</v>
      </c>
      <c r="C55" s="286">
        <v>8841400</v>
      </c>
      <c r="D55" s="286">
        <v>2186000</v>
      </c>
      <c r="E55" s="286">
        <v>35000</v>
      </c>
      <c r="F55" s="286">
        <v>10992400</v>
      </c>
      <c r="G55" s="191" t="str">
        <f>VLOOKUP(B55,'TB 0925'!A:A,1,0)</f>
        <v>Security Deposit</v>
      </c>
    </row>
    <row r="56" spans="1:7" x14ac:dyDescent="0.35">
      <c r="A56" s="192" t="s">
        <v>531</v>
      </c>
      <c r="B56" s="192" t="str">
        <f t="shared" si="0"/>
        <v>TDS Receivable</v>
      </c>
      <c r="C56" s="286">
        <v>345859.7</v>
      </c>
      <c r="D56" s="286">
        <v>925973</v>
      </c>
      <c r="E56" s="286">
        <v>0</v>
      </c>
      <c r="F56" s="286">
        <v>1271832.7</v>
      </c>
      <c r="G56" s="191" t="str">
        <f>VLOOKUP(B56,'TB 0925'!A:A,1,0)</f>
        <v>TDS Receivable</v>
      </c>
    </row>
    <row r="57" spans="1:7" x14ac:dyDescent="0.35">
      <c r="A57" s="192" t="s">
        <v>532</v>
      </c>
      <c r="B57" s="195" t="str">
        <f t="shared" si="0"/>
        <v>Liabilities</v>
      </c>
      <c r="C57" s="191" t="s">
        <v>85</v>
      </c>
      <c r="D57" s="191" t="s">
        <v>85</v>
      </c>
      <c r="F57" s="191" t="s">
        <v>85</v>
      </c>
    </row>
    <row r="58" spans="1:7" x14ac:dyDescent="0.35">
      <c r="A58" s="192" t="s">
        <v>533</v>
      </c>
      <c r="B58" s="192" t="str">
        <f t="shared" si="0"/>
        <v>Accounts Payable</v>
      </c>
      <c r="C58" s="286">
        <v>-22640371.57</v>
      </c>
      <c r="D58" s="286">
        <v>35651660.890000001</v>
      </c>
      <c r="E58" s="286">
        <v>54879205.359999999</v>
      </c>
      <c r="F58" s="286">
        <v>-41867916.039999999</v>
      </c>
      <c r="G58" s="191" t="str">
        <f>VLOOKUP(B58,'TB 0925'!A:A,1,0)</f>
        <v>Accounts Payable</v>
      </c>
    </row>
    <row r="59" spans="1:7" x14ac:dyDescent="0.35">
      <c r="A59" s="192" t="s">
        <v>1329</v>
      </c>
      <c r="B59" s="192" t="str">
        <f t="shared" si="0"/>
        <v>Advance from B2C Customer</v>
      </c>
      <c r="C59" s="286">
        <v>-1834316.5</v>
      </c>
      <c r="D59" s="286">
        <v>1832664.53</v>
      </c>
      <c r="E59" s="286">
        <v>2665257.5</v>
      </c>
      <c r="F59" s="286">
        <v>-2666909.4700000002</v>
      </c>
      <c r="G59" s="191" t="str">
        <f>VLOOKUP(B59,'TB 0925'!A:A,1,0)</f>
        <v>Advance from B2C Customer</v>
      </c>
    </row>
    <row r="60" spans="1:7" x14ac:dyDescent="0.35">
      <c r="A60" s="192" t="s">
        <v>534</v>
      </c>
      <c r="B60" s="192" t="str">
        <f t="shared" si="0"/>
        <v>App Wallet</v>
      </c>
      <c r="C60" s="286">
        <v>-887979.27</v>
      </c>
      <c r="D60" s="286">
        <v>0</v>
      </c>
      <c r="E60" s="286">
        <v>857760</v>
      </c>
      <c r="F60" s="286">
        <v>-1745739.27</v>
      </c>
      <c r="G60" s="191" t="str">
        <f>VLOOKUP(B60,'TB 0925'!A:A,1,0)</f>
        <v>App Wallet</v>
      </c>
    </row>
    <row r="61" spans="1:7" x14ac:dyDescent="0.35">
      <c r="A61" s="192" t="s">
        <v>535</v>
      </c>
      <c r="B61" s="192" t="str">
        <f t="shared" si="0"/>
        <v>Employee Reimbursements</v>
      </c>
      <c r="C61" s="286">
        <v>-500000</v>
      </c>
      <c r="D61" s="286">
        <v>518777</v>
      </c>
      <c r="E61" s="286">
        <v>624479.41</v>
      </c>
      <c r="F61" s="286">
        <v>-605702.41</v>
      </c>
      <c r="G61" s="191" t="str">
        <f>VLOOKUP(B61,'TB 0925'!A:A,1,0)</f>
        <v>Employee Reimbursements</v>
      </c>
    </row>
    <row r="62" spans="1:7" x14ac:dyDescent="0.35">
      <c r="A62" s="192" t="s">
        <v>621</v>
      </c>
      <c r="B62" s="192" t="str">
        <f t="shared" si="0"/>
        <v>Employee Salaries Payable</v>
      </c>
      <c r="C62" s="286">
        <v>-721251</v>
      </c>
      <c r="D62" s="286">
        <v>21652841</v>
      </c>
      <c r="E62" s="286">
        <v>22073085</v>
      </c>
      <c r="F62" s="286">
        <v>-1141495</v>
      </c>
      <c r="G62" s="191" t="str">
        <f>VLOOKUP(B62,'TB 0925'!A:A,1,0)</f>
        <v>Employee Salaries Payable</v>
      </c>
    </row>
    <row r="63" spans="1:7" x14ac:dyDescent="0.35">
      <c r="A63" s="192" t="s">
        <v>763</v>
      </c>
      <c r="B63" s="192" t="str">
        <f t="shared" si="0"/>
        <v>Employees State Insurance</v>
      </c>
      <c r="C63" s="286">
        <v>0</v>
      </c>
      <c r="D63" s="286">
        <v>0</v>
      </c>
      <c r="E63" s="286">
        <v>0</v>
      </c>
      <c r="F63" s="286">
        <v>0</v>
      </c>
    </row>
    <row r="64" spans="1:7" x14ac:dyDescent="0.35">
      <c r="A64" s="192" t="s">
        <v>764</v>
      </c>
      <c r="B64" s="192" t="str">
        <f t="shared" si="0"/>
        <v>ESI - Employee</v>
      </c>
      <c r="C64" s="286">
        <v>-144</v>
      </c>
      <c r="D64" s="286">
        <v>144</v>
      </c>
      <c r="E64" s="286">
        <v>149</v>
      </c>
      <c r="F64" s="286">
        <v>-149</v>
      </c>
      <c r="G64" s="191" t="str">
        <f>VLOOKUP(B64,'TB 0925'!A:A,1,0)</f>
        <v>ESI - Employee</v>
      </c>
    </row>
    <row r="65" spans="1:7" x14ac:dyDescent="0.35">
      <c r="A65" s="192" t="s">
        <v>765</v>
      </c>
      <c r="B65" s="192" t="str">
        <f t="shared" si="0"/>
        <v>ESI - Employer</v>
      </c>
      <c r="C65" s="286">
        <v>-620</v>
      </c>
      <c r="D65" s="286">
        <v>620</v>
      </c>
      <c r="E65" s="286">
        <v>642</v>
      </c>
      <c r="F65" s="286">
        <v>-642</v>
      </c>
      <c r="G65" s="191" t="str">
        <f>VLOOKUP(B65,'TB 0925'!A:A,1,0)</f>
        <v>ESI - Employer</v>
      </c>
    </row>
    <row r="66" spans="1:7" ht="15.5" x14ac:dyDescent="0.35">
      <c r="A66" s="193" t="s">
        <v>766</v>
      </c>
      <c r="B66" s="193" t="str">
        <f t="shared" ref="B66:B140" si="1">TRIM(A66)</f>
        <v>Total for Employees State Insurance</v>
      </c>
      <c r="C66" s="287">
        <v>-764</v>
      </c>
      <c r="D66" s="287">
        <v>764</v>
      </c>
      <c r="E66" s="287">
        <v>791</v>
      </c>
      <c r="F66" s="287">
        <v>-791</v>
      </c>
    </row>
    <row r="67" spans="1:7" x14ac:dyDescent="0.35">
      <c r="B67" s="191" t="str">
        <f t="shared" si="1"/>
        <v/>
      </c>
    </row>
    <row r="68" spans="1:7" x14ac:dyDescent="0.35">
      <c r="A68" s="192" t="s">
        <v>1198</v>
      </c>
      <c r="B68" s="192" t="str">
        <f t="shared" si="1"/>
        <v>Expert Joining Bonus Payable</v>
      </c>
      <c r="C68" s="286">
        <v>-491210</v>
      </c>
      <c r="D68" s="286">
        <v>433414</v>
      </c>
      <c r="E68" s="286">
        <v>778710</v>
      </c>
      <c r="F68" s="286">
        <v>-836506</v>
      </c>
      <c r="G68" s="191" t="str">
        <f>VLOOKUP(B68,'TB 0925'!A:A,1,0)</f>
        <v>Expert Joining Bonus Payable</v>
      </c>
    </row>
    <row r="69" spans="1:7" x14ac:dyDescent="0.35">
      <c r="A69" s="192" t="s">
        <v>1222</v>
      </c>
      <c r="B69" s="192" t="str">
        <f t="shared" si="1"/>
        <v>Expert Referral Bonus Payable</v>
      </c>
      <c r="C69" s="286">
        <v>0</v>
      </c>
      <c r="D69" s="286">
        <v>562540</v>
      </c>
      <c r="E69" s="286">
        <v>562540</v>
      </c>
      <c r="F69" s="286">
        <v>0</v>
      </c>
      <c r="G69" s="191" t="str">
        <f>VLOOKUP(B69,'TB 0925'!A:A,1,0)</f>
        <v>Expert Referral Bonus Payable</v>
      </c>
    </row>
    <row r="70" spans="1:7" x14ac:dyDescent="0.35">
      <c r="A70" s="192" t="s">
        <v>1285</v>
      </c>
      <c r="B70" s="192" t="str">
        <f t="shared" si="1"/>
        <v>Expert Retention Bonus Payable</v>
      </c>
      <c r="C70" s="286">
        <v>0</v>
      </c>
      <c r="D70" s="286">
        <v>2643794</v>
      </c>
      <c r="E70" s="286">
        <v>2643794</v>
      </c>
      <c r="F70" s="286">
        <v>0</v>
      </c>
      <c r="G70" s="191" t="str">
        <f>VLOOKUP(B70,'TB 0925'!A:A,1,0)</f>
        <v>Expert Retention Bonus Payable</v>
      </c>
    </row>
    <row r="71" spans="1:7" x14ac:dyDescent="0.35">
      <c r="A71" s="192" t="s">
        <v>963</v>
      </c>
      <c r="B71" s="192" t="str">
        <f t="shared" si="1"/>
        <v>Expert Service Cost Payable</v>
      </c>
      <c r="C71" s="286">
        <v>-29556427.579999998</v>
      </c>
      <c r="D71" s="286">
        <v>28950690.07</v>
      </c>
      <c r="E71" s="286">
        <v>42806905.100000001</v>
      </c>
      <c r="F71" s="286">
        <v>-43412642.609999999</v>
      </c>
      <c r="G71" s="191" t="str">
        <f>VLOOKUP(B71,'TB 0925'!A:A,1,0)</f>
        <v>Expert Service Cost Payable</v>
      </c>
    </row>
    <row r="72" spans="1:7" x14ac:dyDescent="0.35">
      <c r="A72" s="192" t="s">
        <v>1223</v>
      </c>
      <c r="B72" s="192" t="str">
        <f t="shared" si="1"/>
        <v>Expert Yulu Bonus Payable</v>
      </c>
      <c r="C72" s="286">
        <v>0</v>
      </c>
      <c r="D72" s="286">
        <v>59746.5</v>
      </c>
      <c r="E72" s="286">
        <v>59746.5</v>
      </c>
      <c r="F72" s="286">
        <v>0</v>
      </c>
      <c r="G72" s="191" t="str">
        <f>VLOOKUP(B72,'TB 0925'!A:A,1,0)</f>
        <v>Expert Yulu Bonus Payable</v>
      </c>
    </row>
    <row r="73" spans="1:7" x14ac:dyDescent="0.35">
      <c r="A73" s="192" t="s">
        <v>536</v>
      </c>
      <c r="B73" s="192" t="str">
        <f t="shared" si="1"/>
        <v>GST Payable</v>
      </c>
      <c r="C73" s="286">
        <v>0</v>
      </c>
      <c r="D73" s="286">
        <v>0</v>
      </c>
      <c r="E73" s="286">
        <v>0</v>
      </c>
      <c r="F73" s="286">
        <v>0</v>
      </c>
      <c r="G73" s="191" t="str">
        <f>VLOOKUP(B73,'TB 0925'!A:A,1,0)</f>
        <v>GST Payable</v>
      </c>
    </row>
    <row r="74" spans="1:7" x14ac:dyDescent="0.35">
      <c r="A74" s="192" t="s">
        <v>537</v>
      </c>
      <c r="B74" s="192" t="str">
        <f t="shared" si="1"/>
        <v>Output CGST</v>
      </c>
      <c r="C74" s="286">
        <v>-1000170.06</v>
      </c>
      <c r="D74" s="286">
        <v>1053199</v>
      </c>
      <c r="E74" s="286">
        <v>1141574.21</v>
      </c>
      <c r="F74" s="286">
        <v>-1088545.27</v>
      </c>
      <c r="G74" s="191" t="str">
        <f>VLOOKUP(B74,'TB 0925'!A:A,1,0)</f>
        <v>Output CGST</v>
      </c>
    </row>
    <row r="75" spans="1:7" x14ac:dyDescent="0.35">
      <c r="A75" s="192" t="s">
        <v>538</v>
      </c>
      <c r="B75" s="192" t="str">
        <f t="shared" si="1"/>
        <v>Output IGST</v>
      </c>
      <c r="C75" s="286">
        <v>-648419.87</v>
      </c>
      <c r="D75" s="286">
        <v>604181</v>
      </c>
      <c r="E75" s="286">
        <v>29141.73</v>
      </c>
      <c r="F75" s="286">
        <v>-73380.600000000006</v>
      </c>
      <c r="G75" s="191" t="str">
        <f>VLOOKUP(B75,'TB 0925'!A:A,1,0)</f>
        <v>Output IGST</v>
      </c>
    </row>
    <row r="76" spans="1:7" x14ac:dyDescent="0.35">
      <c r="A76" s="192" t="s">
        <v>539</v>
      </c>
      <c r="B76" s="192" t="str">
        <f t="shared" si="1"/>
        <v>Output SGST</v>
      </c>
      <c r="C76" s="286">
        <v>-1000168.06</v>
      </c>
      <c r="D76" s="286">
        <v>1053199</v>
      </c>
      <c r="E76" s="286">
        <v>1141574.21</v>
      </c>
      <c r="F76" s="286">
        <v>-1088543.27</v>
      </c>
      <c r="G76" s="191" t="str">
        <f>VLOOKUP(B76,'TB 0925'!A:A,1,0)</f>
        <v>Output SGST</v>
      </c>
    </row>
    <row r="77" spans="1:7" ht="15.5" x14ac:dyDescent="0.35">
      <c r="A77" s="193" t="s">
        <v>540</v>
      </c>
      <c r="B77" s="193" t="str">
        <f t="shared" si="1"/>
        <v>Total for GST Payable</v>
      </c>
      <c r="C77" s="287">
        <v>-2648757.9900000002</v>
      </c>
      <c r="D77" s="287">
        <v>2710579</v>
      </c>
      <c r="E77" s="287">
        <v>2312290.15</v>
      </c>
      <c r="F77" s="287">
        <v>-2250469.14</v>
      </c>
    </row>
    <row r="78" spans="1:7" x14ac:dyDescent="0.35">
      <c r="B78" s="191" t="str">
        <f t="shared" si="1"/>
        <v/>
      </c>
    </row>
    <row r="79" spans="1:7" x14ac:dyDescent="0.35">
      <c r="A79" s="192" t="s">
        <v>541</v>
      </c>
      <c r="B79" s="192" t="str">
        <f t="shared" si="1"/>
        <v>Professional Tax</v>
      </c>
      <c r="C79" s="286">
        <v>-31200</v>
      </c>
      <c r="D79" s="286">
        <v>31400</v>
      </c>
      <c r="E79" s="286">
        <v>34400</v>
      </c>
      <c r="F79" s="286">
        <v>-34200</v>
      </c>
      <c r="G79" s="191" t="str">
        <f>VLOOKUP(B79,'TB 0925'!A:A,1,0)</f>
        <v>Professional Tax</v>
      </c>
    </row>
    <row r="80" spans="1:7" x14ac:dyDescent="0.35">
      <c r="A80" s="192" t="s">
        <v>542</v>
      </c>
      <c r="B80" s="192" t="str">
        <f t="shared" si="1"/>
        <v>Provident Fund</v>
      </c>
      <c r="C80" s="286">
        <v>0</v>
      </c>
      <c r="D80" s="286">
        <v>0</v>
      </c>
      <c r="E80" s="286">
        <v>0</v>
      </c>
      <c r="F80" s="286">
        <v>0</v>
      </c>
    </row>
    <row r="81" spans="1:7" x14ac:dyDescent="0.35">
      <c r="A81" s="192" t="s">
        <v>543</v>
      </c>
      <c r="B81" s="192" t="str">
        <f t="shared" si="1"/>
        <v>Provident Fund - Employee</v>
      </c>
      <c r="C81" s="286">
        <v>-327631</v>
      </c>
      <c r="D81" s="286">
        <v>327631</v>
      </c>
      <c r="E81" s="286">
        <v>369952</v>
      </c>
      <c r="F81" s="286">
        <v>-369952</v>
      </c>
      <c r="G81" s="191" t="str">
        <f>VLOOKUP(B81,'TB 0925'!A:A,1,0)</f>
        <v>Provident Fund - Employee</v>
      </c>
    </row>
    <row r="82" spans="1:7" x14ac:dyDescent="0.35">
      <c r="A82" s="192" t="s">
        <v>544</v>
      </c>
      <c r="B82" s="192" t="str">
        <f t="shared" si="1"/>
        <v>Provident Fund - Employer</v>
      </c>
      <c r="C82" s="286">
        <v>-327631</v>
      </c>
      <c r="D82" s="286">
        <v>327631</v>
      </c>
      <c r="E82" s="286">
        <v>369952</v>
      </c>
      <c r="F82" s="286">
        <v>-369952</v>
      </c>
      <c r="G82" s="191" t="str">
        <f>VLOOKUP(B82,'TB 0925'!A:A,1,0)</f>
        <v>Provident Fund - Employer</v>
      </c>
    </row>
    <row r="83" spans="1:7" ht="15.5" x14ac:dyDescent="0.35">
      <c r="A83" s="193" t="s">
        <v>545</v>
      </c>
      <c r="B83" s="193" t="str">
        <f t="shared" si="1"/>
        <v>Total for Provident Fund</v>
      </c>
      <c r="C83" s="287">
        <v>-655262</v>
      </c>
      <c r="D83" s="287">
        <v>655262</v>
      </c>
      <c r="E83" s="287">
        <v>739904</v>
      </c>
      <c r="F83" s="287">
        <v>-739904</v>
      </c>
    </row>
    <row r="84" spans="1:7" x14ac:dyDescent="0.35">
      <c r="B84" s="191" t="str">
        <f t="shared" si="1"/>
        <v/>
      </c>
    </row>
    <row r="85" spans="1:7" x14ac:dyDescent="0.35">
      <c r="A85" s="192" t="s">
        <v>546</v>
      </c>
      <c r="B85" s="192" t="str">
        <f t="shared" si="1"/>
        <v>Provision for Audit Fees</v>
      </c>
      <c r="C85" s="286">
        <v>-100000</v>
      </c>
      <c r="D85" s="286">
        <v>0</v>
      </c>
      <c r="E85" s="286">
        <v>0</v>
      </c>
      <c r="F85" s="286">
        <v>-100000</v>
      </c>
      <c r="G85" s="191" t="str">
        <f>VLOOKUP(B85,'TB 0925'!A:A,1,0)</f>
        <v>Provision for Audit Fees</v>
      </c>
    </row>
    <row r="86" spans="1:7" x14ac:dyDescent="0.35">
      <c r="A86" s="192" t="s">
        <v>617</v>
      </c>
      <c r="B86" s="192" t="str">
        <f t="shared" si="1"/>
        <v>Provision for Customer Acquisition Cost</v>
      </c>
      <c r="C86" s="286">
        <v>-877789</v>
      </c>
      <c r="D86" s="286">
        <v>5000</v>
      </c>
      <c r="E86" s="286">
        <v>12000000</v>
      </c>
      <c r="F86" s="286">
        <v>-12872789</v>
      </c>
      <c r="G86" s="191" t="str">
        <f>VLOOKUP(B86,'TB 0925'!A:A,1,0)</f>
        <v>Provision for Customer Acquisition Cost</v>
      </c>
    </row>
    <row r="87" spans="1:7" x14ac:dyDescent="0.35">
      <c r="A87" s="192" t="s">
        <v>1295</v>
      </c>
      <c r="B87" s="192" t="str">
        <f t="shared" si="1"/>
        <v>Provision for Employee Cost</v>
      </c>
      <c r="C87" s="286">
        <v>-1792293</v>
      </c>
      <c r="D87" s="286">
        <v>1792293</v>
      </c>
      <c r="E87" s="286">
        <v>0</v>
      </c>
      <c r="F87" s="286">
        <v>0</v>
      </c>
      <c r="G87" s="191" t="str">
        <f>VLOOKUP(B87,'TB 0925'!A:A,1,0)</f>
        <v>Provision for Employee Cost</v>
      </c>
    </row>
    <row r="88" spans="1:7" x14ac:dyDescent="0.35">
      <c r="A88" s="192" t="s">
        <v>1423</v>
      </c>
      <c r="B88" s="192" t="str">
        <f t="shared" si="1"/>
        <v>Provision for Gratuity - LT</v>
      </c>
      <c r="C88" s="286">
        <v>-548984</v>
      </c>
      <c r="D88" s="286">
        <v>0</v>
      </c>
      <c r="E88" s="286">
        <v>0</v>
      </c>
      <c r="F88" s="286">
        <v>-548984</v>
      </c>
      <c r="G88" s="191" t="str">
        <f>VLOOKUP(B88,'TB 0925'!A:A,1,0)</f>
        <v>Provision for Gratuity - LT</v>
      </c>
    </row>
    <row r="89" spans="1:7" x14ac:dyDescent="0.35">
      <c r="A89" s="192" t="s">
        <v>1424</v>
      </c>
      <c r="B89" s="192" t="str">
        <f t="shared" si="1"/>
        <v>Provision for Gratuity - ST</v>
      </c>
      <c r="C89" s="286">
        <v>-1269</v>
      </c>
      <c r="D89" s="286">
        <v>0</v>
      </c>
      <c r="E89" s="286">
        <v>0</v>
      </c>
      <c r="F89" s="286">
        <v>-1269</v>
      </c>
      <c r="G89" s="191" t="str">
        <f>VLOOKUP(B89,'TB 0925'!A:A,1,0)</f>
        <v>Provision for Gratuity - ST</v>
      </c>
    </row>
    <row r="90" spans="1:7" x14ac:dyDescent="0.35">
      <c r="A90" s="192" t="s">
        <v>1350</v>
      </c>
      <c r="B90" s="192" t="str">
        <f t="shared" si="1"/>
        <v>Provision for Marketing Expense</v>
      </c>
      <c r="C90" s="286">
        <v>-12000000</v>
      </c>
      <c r="D90" s="286">
        <v>12000000</v>
      </c>
      <c r="E90" s="286">
        <v>8000000</v>
      </c>
      <c r="F90" s="286">
        <v>-8000000</v>
      </c>
      <c r="G90" s="191" t="str">
        <f>VLOOKUP(B90,'TB 0925'!A:A,1,0)</f>
        <v>Provision for Marketing Expense</v>
      </c>
    </row>
    <row r="91" spans="1:7" x14ac:dyDescent="0.35">
      <c r="A91" s="192" t="s">
        <v>547</v>
      </c>
      <c r="B91" s="192" t="str">
        <f t="shared" si="1"/>
        <v>Provision for Other Cost</v>
      </c>
      <c r="C91" s="286">
        <v>-10558590.359999999</v>
      </c>
      <c r="D91" s="286">
        <v>10552048.439999999</v>
      </c>
      <c r="E91" s="286">
        <v>16323172.800000001</v>
      </c>
      <c r="F91" s="286">
        <v>-16329714.720000001</v>
      </c>
      <c r="G91" s="191" t="str">
        <f>VLOOKUP(B91,'TB 0925'!A:A,1,0)</f>
        <v>Provision for Other Cost</v>
      </c>
    </row>
    <row r="92" spans="1:7" x14ac:dyDescent="0.35">
      <c r="A92" s="192" t="s">
        <v>959</v>
      </c>
      <c r="B92" s="192" t="str">
        <f t="shared" si="1"/>
        <v>Provision for Professional Fees</v>
      </c>
      <c r="C92" s="286">
        <v>-567000</v>
      </c>
      <c r="D92" s="286">
        <v>567000</v>
      </c>
      <c r="E92" s="286">
        <v>0</v>
      </c>
      <c r="F92" s="286">
        <v>0</v>
      </c>
      <c r="G92" s="191" t="str">
        <f>VLOOKUP(B92,'TB 0925'!A:A,1,0)</f>
        <v>Provision for Professional Fees</v>
      </c>
    </row>
    <row r="93" spans="1:7" x14ac:dyDescent="0.35">
      <c r="A93" s="192" t="s">
        <v>1226</v>
      </c>
      <c r="B93" s="192" t="str">
        <f t="shared" si="1"/>
        <v>Provision for Rent Expense</v>
      </c>
      <c r="C93" s="286">
        <v>-688100</v>
      </c>
      <c r="D93" s="286">
        <v>500000</v>
      </c>
      <c r="E93" s="286">
        <v>90000</v>
      </c>
      <c r="F93" s="286">
        <v>-278100</v>
      </c>
      <c r="G93" s="191" t="str">
        <f>VLOOKUP(B93,'TB 0925'!A:A,1,0)</f>
        <v>Provision for Rent Expense</v>
      </c>
    </row>
    <row r="94" spans="1:7" x14ac:dyDescent="0.35">
      <c r="A94" s="192" t="s">
        <v>634</v>
      </c>
      <c r="B94" s="192" t="str">
        <f t="shared" si="1"/>
        <v>Provision for Service Cost</v>
      </c>
      <c r="C94" s="286">
        <v>-4300000</v>
      </c>
      <c r="D94" s="286">
        <v>4300000</v>
      </c>
      <c r="E94" s="286">
        <v>0</v>
      </c>
      <c r="F94" s="286">
        <v>0</v>
      </c>
      <c r="G94" s="191" t="str">
        <f>VLOOKUP(B94,'TB 0925'!A:A,1,0)</f>
        <v>Provision for Service Cost</v>
      </c>
    </row>
    <row r="95" spans="1:7" x14ac:dyDescent="0.35">
      <c r="A95" s="192" t="s">
        <v>549</v>
      </c>
      <c r="B95" s="192" t="str">
        <f t="shared" si="1"/>
        <v>Provision for Software Expense</v>
      </c>
      <c r="C95" s="286">
        <v>-110975.03</v>
      </c>
      <c r="D95" s="286">
        <v>95530.03</v>
      </c>
      <c r="E95" s="286">
        <v>0</v>
      </c>
      <c r="F95" s="286">
        <v>-15445</v>
      </c>
      <c r="G95" s="191" t="str">
        <f>VLOOKUP(B95,'TB 0925'!A:A,1,0)</f>
        <v>Provision for Software Expense</v>
      </c>
    </row>
    <row r="96" spans="1:7" x14ac:dyDescent="0.35">
      <c r="A96" s="192" t="s">
        <v>1227</v>
      </c>
      <c r="B96" s="192" t="str">
        <f t="shared" si="1"/>
        <v>Provision for Staff Welfare Expense</v>
      </c>
      <c r="C96" s="286">
        <v>-238328.77</v>
      </c>
      <c r="D96" s="286">
        <v>0</v>
      </c>
      <c r="E96" s="286">
        <v>906070.4</v>
      </c>
      <c r="F96" s="286">
        <v>-1144399.17</v>
      </c>
      <c r="G96" s="191" t="str">
        <f>VLOOKUP(B96,'TB 0925'!A:A,1,0)</f>
        <v>Provision for Staff Welfare Expense</v>
      </c>
    </row>
    <row r="97" spans="1:7" x14ac:dyDescent="0.35">
      <c r="A97" s="192" t="s">
        <v>1228</v>
      </c>
      <c r="B97" s="192" t="str">
        <f t="shared" si="1"/>
        <v>Provision for TC Expense</v>
      </c>
      <c r="C97" s="286">
        <v>-140408.63</v>
      </c>
      <c r="D97" s="286">
        <v>0</v>
      </c>
      <c r="E97" s="286">
        <v>9370.3799999999992</v>
      </c>
      <c r="F97" s="286">
        <v>-149779.01</v>
      </c>
      <c r="G97" s="191" t="str">
        <f>VLOOKUP(B97,'TB 0925'!A:A,1,0)</f>
        <v>Provision for TC Expense</v>
      </c>
    </row>
    <row r="98" spans="1:7" x14ac:dyDescent="0.35">
      <c r="A98" s="192" t="s">
        <v>550</v>
      </c>
      <c r="B98" s="192" t="str">
        <f t="shared" si="1"/>
        <v>TDS Payable</v>
      </c>
      <c r="C98" s="286">
        <v>-3818745.47</v>
      </c>
      <c r="D98" s="286">
        <v>3955234.92</v>
      </c>
      <c r="E98" s="286">
        <v>4647592.28</v>
      </c>
      <c r="F98" s="286">
        <v>-4511102.83</v>
      </c>
      <c r="G98" s="191" t="str">
        <f>VLOOKUP(B98,'TB 0925'!A:A,1,0)</f>
        <v>TDS Payable</v>
      </c>
    </row>
    <row r="99" spans="1:7" x14ac:dyDescent="0.35">
      <c r="A99" s="192" t="s">
        <v>551</v>
      </c>
      <c r="B99" s="192" t="str">
        <f t="shared" si="1"/>
        <v>Variable Salary Payable</v>
      </c>
      <c r="C99" s="286">
        <v>-1796945</v>
      </c>
      <c r="D99" s="286">
        <v>0</v>
      </c>
      <c r="E99" s="286">
        <v>433749</v>
      </c>
      <c r="F99" s="286">
        <v>-2230694</v>
      </c>
      <c r="G99" s="191" t="str">
        <f>VLOOKUP(B99,'TB 0925'!A:A,1,0)</f>
        <v>Variable Salary Payable</v>
      </c>
    </row>
    <row r="100" spans="1:7" x14ac:dyDescent="0.35">
      <c r="A100" s="192" t="s">
        <v>552</v>
      </c>
      <c r="B100" s="195" t="str">
        <f t="shared" si="1"/>
        <v>Equities</v>
      </c>
      <c r="C100" s="191" t="s">
        <v>85</v>
      </c>
      <c r="D100" s="191" t="s">
        <v>85</v>
      </c>
      <c r="E100" s="191" t="s">
        <v>85</v>
      </c>
      <c r="F100" s="191" t="s">
        <v>85</v>
      </c>
    </row>
    <row r="101" spans="1:7" x14ac:dyDescent="0.35">
      <c r="A101" s="192" t="s">
        <v>553</v>
      </c>
      <c r="B101" s="192" t="str">
        <f t="shared" si="1"/>
        <v>Current Year Earnings</v>
      </c>
      <c r="C101" s="286">
        <v>233617290.69999999</v>
      </c>
      <c r="D101" s="286">
        <v>0</v>
      </c>
      <c r="E101" s="286">
        <v>0</v>
      </c>
      <c r="F101" s="286">
        <v>233617290.69999999</v>
      </c>
      <c r="G101" s="191" t="str">
        <f>VLOOKUP(B101,'TB 0925'!A:A,1,0)</f>
        <v>Current Year Earnings</v>
      </c>
    </row>
    <row r="102" spans="1:7" x14ac:dyDescent="0.35">
      <c r="A102" s="192" t="s">
        <v>1426</v>
      </c>
      <c r="B102" s="192" t="str">
        <f t="shared" si="1"/>
        <v>ESOP Outstanding Reserve</v>
      </c>
      <c r="C102" s="286">
        <v>-1245691</v>
      </c>
      <c r="D102" s="286">
        <v>0</v>
      </c>
      <c r="E102" s="286">
        <v>0</v>
      </c>
      <c r="F102" s="286">
        <v>-1245691</v>
      </c>
      <c r="G102" s="191" t="str">
        <f>VLOOKUP(B102,'TB 0925'!A:A,1,0)</f>
        <v>ESOP Outstanding Reserve</v>
      </c>
    </row>
    <row r="103" spans="1:7" x14ac:dyDescent="0.35">
      <c r="A103" s="192" t="s">
        <v>554</v>
      </c>
      <c r="B103" s="192" t="str">
        <f t="shared" si="1"/>
        <v>Owner's Equity</v>
      </c>
      <c r="C103" s="286">
        <v>-100000</v>
      </c>
      <c r="D103" s="286">
        <v>0</v>
      </c>
      <c r="E103" s="286">
        <v>0</v>
      </c>
      <c r="F103" s="286">
        <v>-100000</v>
      </c>
      <c r="G103" s="191" t="str">
        <f>VLOOKUP(B103,'TB 0925'!A:A,1,0)</f>
        <v>Owner's Equity</v>
      </c>
    </row>
    <row r="104" spans="1:7" x14ac:dyDescent="0.35">
      <c r="A104" s="192" t="s">
        <v>683</v>
      </c>
      <c r="B104" s="192" t="str">
        <f t="shared" si="1"/>
        <v>Elevation Capital III Limited ESC</v>
      </c>
      <c r="C104" s="286">
        <v>-10</v>
      </c>
      <c r="D104" s="286">
        <v>0</v>
      </c>
      <c r="E104" s="286">
        <v>0</v>
      </c>
      <c r="F104" s="286">
        <v>-10</v>
      </c>
      <c r="G104" s="191" t="str">
        <f>VLOOKUP(B104,'TB 0925'!A:A,1,0)</f>
        <v>Elevation Capital III Limited ESC</v>
      </c>
    </row>
    <row r="105" spans="1:7" x14ac:dyDescent="0.35">
      <c r="A105" s="192" t="s">
        <v>684</v>
      </c>
      <c r="B105" s="192" t="str">
        <f t="shared" si="1"/>
        <v>Elevation Capital III Limited PSC</v>
      </c>
      <c r="C105" s="286">
        <v>-5463300</v>
      </c>
      <c r="D105" s="286">
        <v>0</v>
      </c>
      <c r="E105" s="286">
        <v>0</v>
      </c>
      <c r="F105" s="286">
        <v>-5463300</v>
      </c>
      <c r="G105" s="191" t="str">
        <f>VLOOKUP(B105,'TB 0925'!A:A,1,0)</f>
        <v>Elevation Capital III Limited PSC</v>
      </c>
    </row>
    <row r="106" spans="1:7" x14ac:dyDescent="0.35">
      <c r="A106" s="192" t="s">
        <v>685</v>
      </c>
      <c r="B106" s="192" t="str">
        <f t="shared" si="1"/>
        <v>Gaurav Munjal</v>
      </c>
      <c r="C106" s="286">
        <v>-10800</v>
      </c>
      <c r="D106" s="286">
        <v>0</v>
      </c>
      <c r="E106" s="286">
        <v>0</v>
      </c>
      <c r="F106" s="286">
        <v>-10800</v>
      </c>
      <c r="G106" s="191" t="str">
        <f>VLOOKUP(B106,'TB 0925'!A:A,1,0)</f>
        <v>Gaurav Munjal</v>
      </c>
    </row>
    <row r="107" spans="1:7" x14ac:dyDescent="0.35">
      <c r="A107" s="192" t="s">
        <v>1229</v>
      </c>
      <c r="B107" s="192" t="str">
        <f t="shared" si="1"/>
        <v>Lightspeed India Partners IV LLC</v>
      </c>
      <c r="C107" s="286">
        <v>-3772700</v>
      </c>
      <c r="D107" s="286">
        <v>0</v>
      </c>
      <c r="E107" s="286">
        <v>0</v>
      </c>
      <c r="F107" s="286">
        <v>-3772700</v>
      </c>
      <c r="G107" s="191" t="str">
        <f>VLOOKUP(B107,'TB 0925'!A:A,1,0)</f>
        <v>Lightspeed India Partners IV LLC</v>
      </c>
    </row>
    <row r="108" spans="1:7" x14ac:dyDescent="0.35">
      <c r="A108" s="192" t="s">
        <v>555</v>
      </c>
      <c r="B108" s="192" t="str">
        <f t="shared" si="1"/>
        <v>Nexus Ventures VII Holdings LLC ESC</v>
      </c>
      <c r="C108" s="286">
        <v>-10</v>
      </c>
      <c r="D108" s="286">
        <v>0</v>
      </c>
      <c r="E108" s="286">
        <v>0</v>
      </c>
      <c r="F108" s="286">
        <v>-10</v>
      </c>
      <c r="G108" s="191" t="str">
        <f>VLOOKUP(B108,'TB 0925'!A:A,1,0)</f>
        <v>Nexus Ventures VII Holdings LLC ESC</v>
      </c>
    </row>
    <row r="109" spans="1:7" x14ac:dyDescent="0.35">
      <c r="A109" s="192" t="s">
        <v>556</v>
      </c>
      <c r="B109" s="192" t="str">
        <f t="shared" si="1"/>
        <v>Nexus Ventures VII Holdings LLC PSC</v>
      </c>
      <c r="C109" s="286">
        <v>-6497900</v>
      </c>
      <c r="D109" s="286">
        <v>0</v>
      </c>
      <c r="E109" s="286">
        <v>0</v>
      </c>
      <c r="F109" s="286">
        <v>-6497900</v>
      </c>
      <c r="G109" s="191" t="str">
        <f>VLOOKUP(B109,'TB 0925'!A:A,1,0)</f>
        <v>Nexus Ventures VII Holdings LLC PSC</v>
      </c>
    </row>
    <row r="110" spans="1:7" x14ac:dyDescent="0.35">
      <c r="A110" s="192" t="s">
        <v>686</v>
      </c>
      <c r="B110" s="192" t="str">
        <f t="shared" si="1"/>
        <v>Niraj Singh</v>
      </c>
      <c r="C110" s="286">
        <v>-16200</v>
      </c>
      <c r="D110" s="286">
        <v>0</v>
      </c>
      <c r="E110" s="286">
        <v>0</v>
      </c>
      <c r="F110" s="286">
        <v>-16200</v>
      </c>
      <c r="G110" s="191" t="str">
        <f>VLOOKUP(B110,'TB 0925'!A:A,1,0)</f>
        <v>Niraj Singh</v>
      </c>
    </row>
    <row r="111" spans="1:7" x14ac:dyDescent="0.35">
      <c r="A111" s="192" t="s">
        <v>687</v>
      </c>
      <c r="B111" s="192" t="str">
        <f t="shared" si="1"/>
        <v>Pranav Goenka</v>
      </c>
      <c r="C111" s="286">
        <v>-5400</v>
      </c>
      <c r="D111" s="286">
        <v>0</v>
      </c>
      <c r="E111" s="286">
        <v>0</v>
      </c>
      <c r="F111" s="286">
        <v>-5400</v>
      </c>
      <c r="G111" s="191" t="str">
        <f>VLOOKUP(B111,'TB 0925'!A:A,1,0)</f>
        <v>Pranav Goenka</v>
      </c>
    </row>
    <row r="112" spans="1:7" x14ac:dyDescent="0.35">
      <c r="A112" s="192" t="s">
        <v>688</v>
      </c>
      <c r="B112" s="192" t="str">
        <f t="shared" si="1"/>
        <v>Sanjeev Kumar</v>
      </c>
      <c r="C112" s="286">
        <v>-37800</v>
      </c>
      <c r="D112" s="286">
        <v>0</v>
      </c>
      <c r="E112" s="286">
        <v>0</v>
      </c>
      <c r="F112" s="286">
        <v>-37800</v>
      </c>
      <c r="G112" s="191" t="str">
        <f>VLOOKUP(B112,'TB 0925'!A:A,1,0)</f>
        <v>Sanjeev Kumar</v>
      </c>
    </row>
    <row r="113" spans="1:7" x14ac:dyDescent="0.35">
      <c r="A113" s="192" t="s">
        <v>557</v>
      </c>
      <c r="B113" s="192" t="str">
        <f t="shared" si="1"/>
        <v>Securities Premium</v>
      </c>
      <c r="C113" s="286">
        <v>-2162702583.21</v>
      </c>
      <c r="D113" s="286">
        <v>0</v>
      </c>
      <c r="E113" s="286">
        <v>0</v>
      </c>
      <c r="F113" s="286">
        <v>-2162702583.21</v>
      </c>
      <c r="G113" s="191" t="str">
        <f>VLOOKUP(B113,'TB 0925'!A:A,1,0)</f>
        <v>Securities Premium</v>
      </c>
    </row>
    <row r="114" spans="1:7" x14ac:dyDescent="0.35">
      <c r="A114" s="192" t="s">
        <v>689</v>
      </c>
      <c r="B114" s="192" t="str">
        <f t="shared" si="1"/>
        <v>Shantam Jain</v>
      </c>
      <c r="C114" s="286">
        <v>-5400</v>
      </c>
      <c r="D114" s="286">
        <v>0</v>
      </c>
      <c r="E114" s="286">
        <v>0</v>
      </c>
      <c r="F114" s="286">
        <v>-5400</v>
      </c>
      <c r="G114" s="191" t="str">
        <f>VLOOKUP(B114,'TB 0925'!A:A,1,0)</f>
        <v>Shantam Jain</v>
      </c>
    </row>
    <row r="115" spans="1:7" x14ac:dyDescent="0.35">
      <c r="A115" s="192" t="s">
        <v>690</v>
      </c>
      <c r="B115" s="192" t="str">
        <f t="shared" si="1"/>
        <v>Siddhartha Kochar</v>
      </c>
      <c r="C115" s="286">
        <v>-5400</v>
      </c>
      <c r="D115" s="286">
        <v>0</v>
      </c>
      <c r="E115" s="286">
        <v>0</v>
      </c>
      <c r="F115" s="286">
        <v>-5400</v>
      </c>
      <c r="G115" s="191" t="str">
        <f>VLOOKUP(B115,'TB 0925'!A:A,1,0)</f>
        <v>Siddhartha Kochar</v>
      </c>
    </row>
    <row r="116" spans="1:7" x14ac:dyDescent="0.35">
      <c r="A116" s="192" t="s">
        <v>691</v>
      </c>
      <c r="B116" s="192" t="str">
        <f t="shared" si="1"/>
        <v>Unnat SK Bajoria</v>
      </c>
      <c r="C116" s="286">
        <v>-5400</v>
      </c>
      <c r="D116" s="286">
        <v>0</v>
      </c>
      <c r="E116" s="286">
        <v>0</v>
      </c>
      <c r="F116" s="286">
        <v>-5400</v>
      </c>
      <c r="G116" s="191" t="str">
        <f>VLOOKUP(B116,'TB 0925'!A:A,1,0)</f>
        <v>Unnat SK Bajoria</v>
      </c>
    </row>
    <row r="117" spans="1:7" x14ac:dyDescent="0.35">
      <c r="A117" s="192" t="s">
        <v>692</v>
      </c>
      <c r="B117" s="192" t="str">
        <f t="shared" si="1"/>
        <v>Vidit Aatrey</v>
      </c>
      <c r="C117" s="286">
        <v>-37800</v>
      </c>
      <c r="D117" s="286">
        <v>0</v>
      </c>
      <c r="E117" s="286">
        <v>0</v>
      </c>
      <c r="F117" s="286">
        <v>-37800</v>
      </c>
      <c r="G117" s="191" t="str">
        <f>VLOOKUP(B117,'TB 0925'!A:A,1,0)</f>
        <v>Vidit Aatrey</v>
      </c>
    </row>
    <row r="118" spans="1:7" ht="15.5" x14ac:dyDescent="0.35">
      <c r="A118" s="193" t="s">
        <v>558</v>
      </c>
      <c r="B118" s="193" t="str">
        <f t="shared" si="1"/>
        <v>Total for Owner's Equity</v>
      </c>
      <c r="C118" s="287">
        <v>-2178660703.21</v>
      </c>
      <c r="D118" s="287">
        <v>0</v>
      </c>
      <c r="E118" s="287">
        <v>0</v>
      </c>
      <c r="F118" s="287">
        <v>-2178660703.21</v>
      </c>
    </row>
    <row r="119" spans="1:7" x14ac:dyDescent="0.35">
      <c r="B119" s="191" t="str">
        <f t="shared" si="1"/>
        <v/>
      </c>
    </row>
    <row r="120" spans="1:7" x14ac:dyDescent="0.35">
      <c r="A120" s="192" t="s">
        <v>559</v>
      </c>
      <c r="B120" s="192" t="str">
        <f t="shared" si="1"/>
        <v>Retained Earnings</v>
      </c>
      <c r="C120" s="286">
        <v>58903866.530000001</v>
      </c>
      <c r="D120" s="286">
        <v>0</v>
      </c>
      <c r="E120" s="286">
        <v>0</v>
      </c>
      <c r="F120" s="286">
        <v>58903866.530000001</v>
      </c>
      <c r="G120" s="191" t="str">
        <f>VLOOKUP(B120,'TB 0925'!A:A,1,0)</f>
        <v>Retained Earnings</v>
      </c>
    </row>
    <row r="121" spans="1:7" x14ac:dyDescent="0.35">
      <c r="A121" s="192" t="s">
        <v>467</v>
      </c>
      <c r="B121" s="195" t="str">
        <f t="shared" si="1"/>
        <v>Income</v>
      </c>
      <c r="C121" s="191" t="s">
        <v>85</v>
      </c>
      <c r="D121" s="191" t="s">
        <v>85</v>
      </c>
      <c r="E121" s="191" t="s">
        <v>85</v>
      </c>
      <c r="F121" s="191" t="s">
        <v>85</v>
      </c>
    </row>
    <row r="122" spans="1:7" x14ac:dyDescent="0.35">
      <c r="A122" s="192" t="s">
        <v>1436</v>
      </c>
      <c r="B122" s="192" t="str">
        <f t="shared" si="1"/>
        <v>Additional Charges</v>
      </c>
      <c r="C122" s="191">
        <v>0</v>
      </c>
      <c r="D122" s="191">
        <v>0</v>
      </c>
      <c r="E122" s="191">
        <v>9333</v>
      </c>
      <c r="F122" s="191">
        <v>-9333</v>
      </c>
      <c r="G122" s="191" t="str">
        <f>VLOOKUP(B122,'TB 0925'!A:A,1,0)</f>
        <v>Additional Charges</v>
      </c>
    </row>
    <row r="123" spans="1:7" x14ac:dyDescent="0.35">
      <c r="A123" s="192" t="s">
        <v>468</v>
      </c>
      <c r="B123" s="192" t="str">
        <f t="shared" si="1"/>
        <v>Convenience and Platform Fee</v>
      </c>
      <c r="C123" s="191">
        <v>0</v>
      </c>
      <c r="D123" s="191">
        <v>0</v>
      </c>
      <c r="E123" s="191">
        <v>6831632</v>
      </c>
      <c r="F123" s="191">
        <v>-6831632</v>
      </c>
      <c r="G123" s="191" t="str">
        <f>VLOOKUP(B123,'TB 0925'!A:A,1,0)</f>
        <v>Convenience and Platform Fee</v>
      </c>
    </row>
    <row r="124" spans="1:7" x14ac:dyDescent="0.35">
      <c r="A124" s="192" t="s">
        <v>469</v>
      </c>
      <c r="B124" s="192" t="str">
        <f t="shared" si="1"/>
        <v>Discount</v>
      </c>
      <c r="C124" s="191">
        <v>0</v>
      </c>
      <c r="D124" s="191">
        <v>18033349</v>
      </c>
      <c r="E124" s="191">
        <v>0</v>
      </c>
      <c r="F124" s="191">
        <v>18033349</v>
      </c>
      <c r="G124" s="191" t="str">
        <f>VLOOKUP(B124,'TB 0925'!A:A,1,0)</f>
        <v>Discount</v>
      </c>
    </row>
    <row r="125" spans="1:7" x14ac:dyDescent="0.35">
      <c r="A125" s="192" t="s">
        <v>470</v>
      </c>
      <c r="B125" s="192" t="str">
        <f t="shared" si="1"/>
        <v>FD Interest Income</v>
      </c>
      <c r="C125" s="286">
        <v>0</v>
      </c>
      <c r="D125" s="286">
        <v>26233497</v>
      </c>
      <c r="E125" s="286">
        <v>36167180</v>
      </c>
      <c r="F125" s="286">
        <v>-9933683</v>
      </c>
      <c r="G125" s="191" t="str">
        <f>VLOOKUP(B125,'TB 0925'!A:A,1,0)</f>
        <v>FD Interest Income</v>
      </c>
    </row>
    <row r="126" spans="1:7" x14ac:dyDescent="0.35">
      <c r="A126" s="192" t="s">
        <v>1412</v>
      </c>
      <c r="B126" s="192" t="str">
        <f t="shared" si="1"/>
        <v>Forfeiture Income</v>
      </c>
      <c r="C126" s="286">
        <v>0</v>
      </c>
      <c r="D126" s="286">
        <v>0</v>
      </c>
      <c r="E126" s="286">
        <v>929733.07</v>
      </c>
      <c r="F126" s="286">
        <v>-929733.07</v>
      </c>
      <c r="G126" s="191" t="str">
        <f>VLOOKUP(B126,'TB 0925'!A:A,1,0)</f>
        <v>Forfeiture Income</v>
      </c>
    </row>
    <row r="127" spans="1:7" x14ac:dyDescent="0.35">
      <c r="A127" s="192" t="s">
        <v>1351</v>
      </c>
      <c r="B127" s="192" t="str">
        <f t="shared" si="1"/>
        <v>Gain or Loss on Mutual Fund Investment</v>
      </c>
      <c r="C127" s="286">
        <v>0</v>
      </c>
      <c r="D127" s="286">
        <v>3.49</v>
      </c>
      <c r="E127" s="286">
        <v>285195.27</v>
      </c>
      <c r="F127" s="286">
        <v>-285191.78000000003</v>
      </c>
      <c r="G127" s="191" t="str">
        <f>VLOOKUP(B127,'TB 0925'!A:A,1,0)</f>
        <v>Gain or Loss on Mutual Fund Investment</v>
      </c>
    </row>
    <row r="128" spans="1:7" x14ac:dyDescent="0.35">
      <c r="A128" s="192" t="s">
        <v>471</v>
      </c>
      <c r="B128" s="192" t="str">
        <f t="shared" si="1"/>
        <v>Maestro Revenue</v>
      </c>
      <c r="C128" s="296">
        <v>0</v>
      </c>
      <c r="D128" s="296">
        <v>0</v>
      </c>
      <c r="E128" s="296">
        <v>27326529.52</v>
      </c>
      <c r="F128" s="296">
        <v>-27326529.52</v>
      </c>
      <c r="G128" s="191" t="str">
        <f>VLOOKUP(B128,'TB 0925'!A:A,1,0)</f>
        <v>Maestro Revenue</v>
      </c>
    </row>
    <row r="129" spans="1:7" x14ac:dyDescent="0.35">
      <c r="A129" s="192" t="s">
        <v>1330</v>
      </c>
      <c r="B129" s="192" t="str">
        <f t="shared" si="1"/>
        <v>Offer Pack Income</v>
      </c>
      <c r="C129" s="296">
        <v>0</v>
      </c>
      <c r="D129" s="296">
        <v>2467560</v>
      </c>
      <c r="E129" s="296">
        <v>2467560</v>
      </c>
      <c r="F129" s="296">
        <v>0</v>
      </c>
      <c r="G129" s="191" t="str">
        <f>VLOOKUP(B129,'TB 0925'!A:A,1,0)</f>
        <v>Offer Pack Income</v>
      </c>
    </row>
    <row r="130" spans="1:7" x14ac:dyDescent="0.35">
      <c r="A130" s="192" t="s">
        <v>1413</v>
      </c>
      <c r="B130" s="192" t="str">
        <f t="shared" si="1"/>
        <v>Platform Fees</v>
      </c>
      <c r="C130" s="296">
        <v>0</v>
      </c>
      <c r="D130" s="296">
        <v>0</v>
      </c>
      <c r="E130" s="296">
        <v>220910</v>
      </c>
      <c r="F130" s="296">
        <v>-220910</v>
      </c>
      <c r="G130" s="191" t="str">
        <f>VLOOKUP(B130,'TB 0925'!A:A,1,0)</f>
        <v>Platform Fees</v>
      </c>
    </row>
    <row r="131" spans="1:7" x14ac:dyDescent="0.35">
      <c r="A131" s="192" t="s">
        <v>1415</v>
      </c>
      <c r="B131" s="192" t="str">
        <f t="shared" si="1"/>
        <v>Surge Fees</v>
      </c>
      <c r="C131" s="296">
        <v>0</v>
      </c>
      <c r="D131" s="296">
        <v>0</v>
      </c>
      <c r="E131" s="296">
        <v>96230</v>
      </c>
      <c r="F131" s="296">
        <v>-96230</v>
      </c>
      <c r="G131" s="191" t="str">
        <f>VLOOKUP(B131,'TB 0925'!A:A,1,0)</f>
        <v>Surge Fees</v>
      </c>
    </row>
    <row r="132" spans="1:7" x14ac:dyDescent="0.35">
      <c r="A132" s="192" t="s">
        <v>472</v>
      </c>
      <c r="B132" s="195" t="str">
        <f t="shared" si="1"/>
        <v>Expense</v>
      </c>
      <c r="C132" s="191" t="s">
        <v>85</v>
      </c>
      <c r="D132" s="191" t="s">
        <v>85</v>
      </c>
      <c r="E132" s="191" t="s">
        <v>85</v>
      </c>
      <c r="F132" s="191" t="s">
        <v>85</v>
      </c>
    </row>
    <row r="133" spans="1:7" x14ac:dyDescent="0.35">
      <c r="A133" s="192" t="s">
        <v>473</v>
      </c>
      <c r="B133" s="192" t="str">
        <f t="shared" si="1"/>
        <v>Accounting Services</v>
      </c>
      <c r="C133" s="286">
        <v>0</v>
      </c>
      <c r="D133" s="286">
        <v>70000</v>
      </c>
      <c r="E133" s="286">
        <v>0</v>
      </c>
      <c r="F133" s="286">
        <v>70000</v>
      </c>
      <c r="G133" s="191" t="str">
        <f>VLOOKUP(B133,'TB 0925'!A:A,1,0)</f>
        <v>Accounting Services</v>
      </c>
    </row>
    <row r="134" spans="1:7" x14ac:dyDescent="0.35">
      <c r="A134" s="192" t="s">
        <v>474</v>
      </c>
      <c r="B134" s="192" t="str">
        <f t="shared" si="1"/>
        <v>Bank Fees and Charges</v>
      </c>
      <c r="C134" s="286">
        <v>0</v>
      </c>
      <c r="D134" s="286">
        <v>9277.73</v>
      </c>
      <c r="E134" s="286">
        <v>0</v>
      </c>
      <c r="F134" s="286">
        <v>9277.73</v>
      </c>
      <c r="G134" s="191" t="str">
        <f>VLOOKUP(B134,'TB 0925'!A:A,1,0)</f>
        <v>Bank Fees and Charges</v>
      </c>
    </row>
    <row r="135" spans="1:7" x14ac:dyDescent="0.35">
      <c r="A135" s="192" t="s">
        <v>475</v>
      </c>
      <c r="B135" s="192" t="str">
        <f t="shared" si="1"/>
        <v>Branding Expense</v>
      </c>
      <c r="C135" s="286">
        <v>0</v>
      </c>
      <c r="D135" s="286">
        <v>13644993</v>
      </c>
      <c r="E135" s="286">
        <v>7600000</v>
      </c>
      <c r="F135" s="286">
        <v>6044993</v>
      </c>
      <c r="G135" s="191" t="str">
        <f>VLOOKUP(B135,'TB 0925'!A:A,1,0)</f>
        <v>Branding Expense</v>
      </c>
    </row>
    <row r="136" spans="1:7" x14ac:dyDescent="0.35">
      <c r="A136" s="192" t="s">
        <v>726</v>
      </c>
      <c r="B136" s="192" t="str">
        <f t="shared" si="1"/>
        <v>Brokerage Charges</v>
      </c>
      <c r="C136" s="286">
        <v>0</v>
      </c>
      <c r="D136" s="286">
        <v>117000</v>
      </c>
      <c r="E136" s="286">
        <v>0</v>
      </c>
      <c r="F136" s="286">
        <v>117000</v>
      </c>
      <c r="G136" s="191" t="str">
        <f>VLOOKUP(B136,'TB 0925'!A:A,1,0)</f>
        <v>Brokerage Charges</v>
      </c>
    </row>
    <row r="137" spans="1:7" x14ac:dyDescent="0.35">
      <c r="A137" s="192" t="s">
        <v>476</v>
      </c>
      <c r="B137" s="192" t="str">
        <f t="shared" si="1"/>
        <v>Customer Acquisition Cost</v>
      </c>
      <c r="C137" s="286">
        <v>0</v>
      </c>
      <c r="D137" s="286">
        <v>30046399.16</v>
      </c>
      <c r="E137" s="286">
        <v>6571464.5700000003</v>
      </c>
      <c r="F137" s="286">
        <v>23474934.59</v>
      </c>
      <c r="G137" s="191" t="str">
        <f>VLOOKUP(B137,'TB 0925'!A:A,1,0)</f>
        <v>Customer Acquisition Cost</v>
      </c>
    </row>
    <row r="138" spans="1:7" x14ac:dyDescent="0.35">
      <c r="A138" s="192" t="s">
        <v>636</v>
      </c>
      <c r="B138" s="192" t="str">
        <f t="shared" si="1"/>
        <v>Customer Success Cost</v>
      </c>
      <c r="C138" s="286">
        <v>0</v>
      </c>
      <c r="D138" s="286">
        <v>1421208.08</v>
      </c>
      <c r="E138" s="286">
        <v>640784</v>
      </c>
      <c r="F138" s="286">
        <v>780424.08</v>
      </c>
      <c r="G138" s="191" t="str">
        <f>VLOOKUP(B138,'TB 0925'!A:A,1,0)</f>
        <v>Customer Success Cost</v>
      </c>
    </row>
    <row r="139" spans="1:7" x14ac:dyDescent="0.35">
      <c r="A139" s="192" t="s">
        <v>477</v>
      </c>
      <c r="B139" s="192" t="str">
        <f t="shared" si="1"/>
        <v>Depreciation and Amortization</v>
      </c>
      <c r="C139" s="286">
        <v>0</v>
      </c>
      <c r="D139" s="286">
        <v>653158.02</v>
      </c>
      <c r="E139" s="286">
        <v>0</v>
      </c>
      <c r="F139" s="286">
        <v>653158.02</v>
      </c>
      <c r="G139" s="191" t="str">
        <f>VLOOKUP(B139,'TB 0925'!A:A,1,0)</f>
        <v>Depreciation and Amortization</v>
      </c>
    </row>
    <row r="140" spans="1:7" x14ac:dyDescent="0.35">
      <c r="A140" s="192" t="s">
        <v>478</v>
      </c>
      <c r="B140" s="192" t="str">
        <f t="shared" si="1"/>
        <v>Employee Benefit Expense</v>
      </c>
      <c r="C140" s="286">
        <v>0</v>
      </c>
      <c r="D140" s="286">
        <v>0</v>
      </c>
      <c r="E140" s="286">
        <v>0</v>
      </c>
      <c r="F140" s="286">
        <v>0</v>
      </c>
    </row>
    <row r="141" spans="1:7" x14ac:dyDescent="0.35">
      <c r="A141" s="192" t="s">
        <v>767</v>
      </c>
      <c r="B141" s="192" t="str">
        <f t="shared" ref="B141:B169" si="2">TRIM(A141)</f>
        <v>Employer ESI Expense</v>
      </c>
      <c r="C141" s="286">
        <v>0</v>
      </c>
      <c r="D141" s="286">
        <v>642</v>
      </c>
      <c r="E141" s="286">
        <v>0</v>
      </c>
      <c r="F141" s="286">
        <v>642</v>
      </c>
      <c r="G141" s="191" t="str">
        <f>VLOOKUP(B141,'TB 0925'!A:A,1,0)</f>
        <v>Employer ESI Expense</v>
      </c>
    </row>
    <row r="142" spans="1:7" x14ac:dyDescent="0.35">
      <c r="A142" s="192" t="s">
        <v>479</v>
      </c>
      <c r="B142" s="192" t="str">
        <f t="shared" si="2"/>
        <v>Employer PF Expense</v>
      </c>
      <c r="C142" s="286">
        <v>0</v>
      </c>
      <c r="D142" s="286">
        <v>369952</v>
      </c>
      <c r="E142" s="286">
        <v>0</v>
      </c>
      <c r="F142" s="286">
        <v>369952</v>
      </c>
      <c r="G142" s="191" t="str">
        <f>VLOOKUP(B142,'TB 0925'!A:A,1,0)</f>
        <v>Employer PF Expense</v>
      </c>
    </row>
    <row r="143" spans="1:7" x14ac:dyDescent="0.35">
      <c r="A143" s="192" t="s">
        <v>480</v>
      </c>
      <c r="B143" s="192" t="str">
        <f t="shared" si="2"/>
        <v>PF Admin Expense</v>
      </c>
      <c r="C143" s="286">
        <v>0</v>
      </c>
      <c r="D143" s="286">
        <v>25894.799999999999</v>
      </c>
      <c r="E143" s="286">
        <v>0</v>
      </c>
      <c r="F143" s="286">
        <v>25894.799999999999</v>
      </c>
      <c r="G143" s="191" t="str">
        <f>VLOOKUP(B143,'TB 0925'!A:A,1,0)</f>
        <v>PF Admin Expense</v>
      </c>
    </row>
    <row r="144" spans="1:7" x14ac:dyDescent="0.35">
      <c r="A144" s="192" t="s">
        <v>481</v>
      </c>
      <c r="B144" s="192" t="str">
        <f t="shared" si="2"/>
        <v>Staff Welfare Expense</v>
      </c>
      <c r="C144" s="286">
        <v>0</v>
      </c>
      <c r="D144" s="286">
        <v>3256868.41</v>
      </c>
      <c r="E144" s="286">
        <v>531013.25</v>
      </c>
      <c r="F144" s="286">
        <v>2725855.16</v>
      </c>
      <c r="G144" s="191" t="str">
        <f>VLOOKUP(B144,'TB 0925'!A:A,1,0)</f>
        <v>Staff Welfare Expense</v>
      </c>
    </row>
    <row r="145" spans="1:7" x14ac:dyDescent="0.35">
      <c r="A145" s="192" t="s">
        <v>482</v>
      </c>
      <c r="B145" s="192" t="str">
        <f t="shared" si="2"/>
        <v>Variable Salary</v>
      </c>
      <c r="C145" s="286">
        <v>0</v>
      </c>
      <c r="D145" s="286">
        <v>433749</v>
      </c>
      <c r="E145" s="286">
        <v>0</v>
      </c>
      <c r="F145" s="286">
        <v>433749</v>
      </c>
      <c r="G145" s="191" t="str">
        <f>VLOOKUP(B145,'TB 0925'!A:A,1,0)</f>
        <v>Variable Salary</v>
      </c>
    </row>
    <row r="146" spans="1:7" ht="15.5" x14ac:dyDescent="0.35">
      <c r="A146" s="193" t="s">
        <v>483</v>
      </c>
      <c r="B146" s="193" t="str">
        <f t="shared" si="2"/>
        <v>Total for Employee Benefit Expense</v>
      </c>
      <c r="C146" s="287">
        <v>0</v>
      </c>
      <c r="D146" s="287">
        <v>4087106.21</v>
      </c>
      <c r="E146" s="287">
        <v>531013.25</v>
      </c>
      <c r="F146" s="287">
        <v>3556092.96</v>
      </c>
    </row>
    <row r="147" spans="1:7" x14ac:dyDescent="0.35">
      <c r="B147" s="191" t="str">
        <f t="shared" si="2"/>
        <v/>
      </c>
    </row>
    <row r="148" spans="1:7" x14ac:dyDescent="0.35">
      <c r="A148" s="192" t="s">
        <v>965</v>
      </c>
      <c r="B148" s="192" t="str">
        <f t="shared" si="2"/>
        <v>Employee Cost</v>
      </c>
      <c r="C148" s="286">
        <v>0</v>
      </c>
      <c r="D148" s="286">
        <v>109547</v>
      </c>
      <c r="E148" s="286">
        <v>1901840</v>
      </c>
      <c r="F148" s="286">
        <v>-1792293</v>
      </c>
      <c r="G148" s="191" t="str">
        <f>VLOOKUP(B148,'TB 0925'!A:A,1,0)</f>
        <v>Employee Cost</v>
      </c>
    </row>
    <row r="149" spans="1:7" x14ac:dyDescent="0.35">
      <c r="A149" s="192" t="s">
        <v>758</v>
      </c>
      <c r="B149" s="192" t="str">
        <f t="shared" si="2"/>
        <v>Expert Retention Bonus</v>
      </c>
      <c r="C149" s="286">
        <v>0</v>
      </c>
      <c r="D149" s="286">
        <v>2691850</v>
      </c>
      <c r="E149" s="286">
        <v>0</v>
      </c>
      <c r="F149" s="286">
        <v>2691850</v>
      </c>
      <c r="G149" s="191" t="str">
        <f>VLOOKUP(B149,'TB 0925'!A:A,1,0)</f>
        <v>Expert Retention Bonus</v>
      </c>
    </row>
    <row r="150" spans="1:7" x14ac:dyDescent="0.35">
      <c r="A150" s="192" t="s">
        <v>768</v>
      </c>
      <c r="B150" s="192" t="str">
        <f t="shared" si="2"/>
        <v>Expert Welfare Cost</v>
      </c>
      <c r="C150" s="286">
        <v>0</v>
      </c>
      <c r="D150" s="286">
        <v>283949.75</v>
      </c>
      <c r="E150" s="286">
        <v>6048.24</v>
      </c>
      <c r="F150" s="286">
        <v>277901.51</v>
      </c>
      <c r="G150" s="191" t="str">
        <f>VLOOKUP(B150,'TB 0925'!A:A,1,0)</f>
        <v>Expert Welfare Cost</v>
      </c>
    </row>
    <row r="151" spans="1:7" x14ac:dyDescent="0.35">
      <c r="A151" s="192" t="s">
        <v>855</v>
      </c>
      <c r="B151" s="192" t="str">
        <f t="shared" si="2"/>
        <v>Hood Rent Expense</v>
      </c>
      <c r="C151" s="286">
        <v>0</v>
      </c>
      <c r="D151" s="286">
        <v>602500</v>
      </c>
      <c r="E151" s="286">
        <v>0</v>
      </c>
      <c r="F151" s="286">
        <v>602500</v>
      </c>
      <c r="G151" s="191" t="str">
        <f>VLOOKUP(B151,'TB 0925'!A:A,1,0)</f>
        <v>Hood Rent Expense</v>
      </c>
    </row>
    <row r="152" spans="1:7" x14ac:dyDescent="0.35">
      <c r="A152" s="192" t="s">
        <v>771</v>
      </c>
      <c r="B152" s="192" t="str">
        <f t="shared" si="2"/>
        <v>Legal Fees</v>
      </c>
      <c r="C152" s="286">
        <v>0</v>
      </c>
      <c r="D152" s="286">
        <v>15000</v>
      </c>
      <c r="E152" s="286">
        <v>0</v>
      </c>
      <c r="F152" s="286">
        <v>15000</v>
      </c>
      <c r="G152" s="191" t="str">
        <f>VLOOKUP(B152,'TB 0925'!A:A,1,0)</f>
        <v>Legal Fees</v>
      </c>
    </row>
    <row r="153" spans="1:7" x14ac:dyDescent="0.35">
      <c r="A153" s="192" t="s">
        <v>637</v>
      </c>
      <c r="B153" s="192" t="str">
        <f t="shared" si="2"/>
        <v>Managerial Cost</v>
      </c>
      <c r="C153" s="286">
        <v>0</v>
      </c>
      <c r="D153" s="286">
        <v>7353774.5899999999</v>
      </c>
      <c r="E153" s="286">
        <v>3144235</v>
      </c>
      <c r="F153" s="286">
        <v>4209539.59</v>
      </c>
      <c r="G153" s="191" t="str">
        <f>VLOOKUP(B153,'TB 0925'!A:A,1,0)</f>
        <v>Managerial Cost</v>
      </c>
    </row>
    <row r="154" spans="1:7" x14ac:dyDescent="0.35">
      <c r="A154" s="192" t="s">
        <v>618</v>
      </c>
      <c r="B154" s="192" t="str">
        <f t="shared" si="2"/>
        <v>New User Discount</v>
      </c>
      <c r="C154" s="286">
        <v>0</v>
      </c>
      <c r="D154" s="286">
        <v>1122802</v>
      </c>
      <c r="E154" s="286">
        <v>3544378.53</v>
      </c>
      <c r="F154" s="286">
        <v>-2421576.5299999998</v>
      </c>
      <c r="G154" s="191" t="str">
        <f>VLOOKUP(B154,'TB 0925'!A:A,1,0)</f>
        <v>New User Discount</v>
      </c>
    </row>
    <row r="155" spans="1:7" x14ac:dyDescent="0.35">
      <c r="A155" s="192" t="s">
        <v>486</v>
      </c>
      <c r="B155" s="192" t="str">
        <f t="shared" si="2"/>
        <v>Office and Admin Expense</v>
      </c>
      <c r="C155" s="286">
        <v>0</v>
      </c>
      <c r="D155" s="286">
        <v>184262.84</v>
      </c>
      <c r="E155" s="286">
        <v>379717.8</v>
      </c>
      <c r="F155" s="286">
        <v>-195454.96</v>
      </c>
      <c r="G155" s="191" t="str">
        <f>VLOOKUP(B155,'TB 0925'!A:A,1,0)</f>
        <v>Office and Admin Expense</v>
      </c>
    </row>
    <row r="156" spans="1:7" x14ac:dyDescent="0.35">
      <c r="A156" s="192" t="s">
        <v>487</v>
      </c>
      <c r="B156" s="192" t="str">
        <f t="shared" si="2"/>
        <v>Office Rent Expense</v>
      </c>
      <c r="C156" s="286">
        <v>0</v>
      </c>
      <c r="D156" s="286">
        <v>1024480</v>
      </c>
      <c r="E156" s="286">
        <v>0</v>
      </c>
      <c r="F156" s="286">
        <v>1024480</v>
      </c>
      <c r="G156" s="191" t="str">
        <f>VLOOKUP(B156,'TB 0925'!A:A,1,0)</f>
        <v>Office Rent Expense</v>
      </c>
    </row>
    <row r="157" spans="1:7" x14ac:dyDescent="0.35">
      <c r="A157" s="192" t="s">
        <v>956</v>
      </c>
      <c r="B157" s="192" t="str">
        <f t="shared" si="2"/>
        <v>Operational Expense</v>
      </c>
      <c r="C157" s="286">
        <v>0</v>
      </c>
      <c r="D157" s="286">
        <v>1479367.88</v>
      </c>
      <c r="E157" s="286">
        <v>1473546</v>
      </c>
      <c r="F157" s="286">
        <v>5821.88</v>
      </c>
      <c r="G157" s="191" t="str">
        <f>VLOOKUP(B157,'TB 0925'!A:A,1,0)</f>
        <v>Operational Expense</v>
      </c>
    </row>
    <row r="158" spans="1:7" x14ac:dyDescent="0.35">
      <c r="A158" s="192" t="s">
        <v>488</v>
      </c>
      <c r="B158" s="192" t="str">
        <f t="shared" si="2"/>
        <v>Other Cost</v>
      </c>
      <c r="C158" s="286">
        <v>0</v>
      </c>
      <c r="D158" s="286">
        <v>270278</v>
      </c>
      <c r="E158" s="286">
        <v>2.0099999999999998</v>
      </c>
      <c r="F158" s="286">
        <v>270275.99</v>
      </c>
      <c r="G158" s="191" t="str">
        <f>VLOOKUP(B158,'TB 0925'!A:A,1,0)</f>
        <v>Other Cost</v>
      </c>
    </row>
    <row r="159" spans="1:7" x14ac:dyDescent="0.35">
      <c r="A159" s="192" t="s">
        <v>489</v>
      </c>
      <c r="B159" s="192" t="str">
        <f t="shared" si="2"/>
        <v>Other Expenses</v>
      </c>
      <c r="C159" s="286">
        <v>0</v>
      </c>
      <c r="D159" s="286">
        <v>3108.55</v>
      </c>
      <c r="E159" s="286">
        <v>8.58</v>
      </c>
      <c r="F159" s="286">
        <v>3099.97</v>
      </c>
      <c r="G159" s="191" t="str">
        <f>VLOOKUP(B159,'TB 0925'!A:A,1,0)</f>
        <v>Other Expenses</v>
      </c>
    </row>
    <row r="160" spans="1:7" x14ac:dyDescent="0.35">
      <c r="A160" s="192" t="s">
        <v>560</v>
      </c>
      <c r="B160" s="192" t="str">
        <f t="shared" si="2"/>
        <v>Payment Gateway Cost</v>
      </c>
      <c r="C160" s="286">
        <v>0</v>
      </c>
      <c r="D160" s="286">
        <v>59903.93</v>
      </c>
      <c r="E160" s="286">
        <v>0</v>
      </c>
      <c r="F160" s="286">
        <v>59903.93</v>
      </c>
      <c r="G160" s="191" t="str">
        <f>VLOOKUP(B160,'TB 0925'!A:A,1,0)</f>
        <v>Payment Gateway Cost</v>
      </c>
    </row>
    <row r="161" spans="1:7" x14ac:dyDescent="0.35">
      <c r="A161" s="192" t="s">
        <v>490</v>
      </c>
      <c r="B161" s="192" t="str">
        <f t="shared" si="2"/>
        <v>Professional Fees</v>
      </c>
      <c r="C161" s="286">
        <v>0</v>
      </c>
      <c r="D161" s="286">
        <v>1276139.6599999999</v>
      </c>
      <c r="E161" s="286">
        <v>567000</v>
      </c>
      <c r="F161" s="286">
        <v>709139.66</v>
      </c>
      <c r="G161" s="191" t="str">
        <f>VLOOKUP(B161,'TB 0925'!A:A,1,0)</f>
        <v>Professional Fees</v>
      </c>
    </row>
    <row r="162" spans="1:7" x14ac:dyDescent="0.35">
      <c r="A162" s="192" t="s">
        <v>638</v>
      </c>
      <c r="B162" s="192" t="str">
        <f t="shared" si="2"/>
        <v>Recruitment Charges</v>
      </c>
      <c r="C162" s="286">
        <v>0</v>
      </c>
      <c r="D162" s="286">
        <v>2000</v>
      </c>
      <c r="E162" s="286">
        <v>0</v>
      </c>
      <c r="F162" s="286">
        <v>2000</v>
      </c>
      <c r="G162" s="191" t="str">
        <f>VLOOKUP(B162,'TB 0925'!A:A,1,0)</f>
        <v>Recruitment Charges</v>
      </c>
    </row>
    <row r="163" spans="1:7" x14ac:dyDescent="0.35">
      <c r="A163" s="192" t="s">
        <v>492</v>
      </c>
      <c r="B163" s="192" t="str">
        <f t="shared" si="2"/>
        <v>Salaries and Employee Wages</v>
      </c>
      <c r="C163" s="286">
        <v>0</v>
      </c>
      <c r="D163" s="286">
        <v>27077613.510000002</v>
      </c>
      <c r="E163" s="286">
        <v>0</v>
      </c>
      <c r="F163" s="286">
        <v>27077613.510000002</v>
      </c>
      <c r="G163" s="191" t="str">
        <f>VLOOKUP(B163,'TB 0925'!A:A,1,0)</f>
        <v>Salaries and Employee Wages</v>
      </c>
    </row>
    <row r="164" spans="1:7" x14ac:dyDescent="0.35">
      <c r="A164" s="192" t="s">
        <v>615</v>
      </c>
      <c r="B164" s="192" t="str">
        <f t="shared" si="2"/>
        <v>Service Cost</v>
      </c>
      <c r="C164" s="286">
        <v>0</v>
      </c>
      <c r="D164" s="286">
        <v>44012803.07</v>
      </c>
      <c r="E164" s="286">
        <v>4300000</v>
      </c>
      <c r="F164" s="286">
        <v>39712803.07</v>
      </c>
      <c r="G164" s="191" t="str">
        <f>VLOOKUP(B164,'TB 0925'!A:A,1,0)</f>
        <v>Service Cost</v>
      </c>
    </row>
    <row r="165" spans="1:7" x14ac:dyDescent="0.35">
      <c r="A165" s="192" t="s">
        <v>493</v>
      </c>
      <c r="B165" s="192" t="str">
        <f t="shared" si="2"/>
        <v>Software Expense</v>
      </c>
      <c r="C165" s="286">
        <v>0</v>
      </c>
      <c r="D165" s="286">
        <v>2889851.7</v>
      </c>
      <c r="E165" s="286">
        <v>124554.84</v>
      </c>
      <c r="F165" s="286">
        <v>2765296.86</v>
      </c>
      <c r="G165" s="191" t="str">
        <f>VLOOKUP(B165,'TB 0925'!A:A,1,0)</f>
        <v>Software Expense</v>
      </c>
    </row>
    <row r="166" spans="1:7" x14ac:dyDescent="0.35">
      <c r="A166" s="192" t="s">
        <v>494</v>
      </c>
      <c r="B166" s="192" t="str">
        <f t="shared" si="2"/>
        <v>Sourcing and Onboarding Expense</v>
      </c>
      <c r="C166" s="286">
        <v>0</v>
      </c>
      <c r="D166" s="286">
        <v>12732574.119999999</v>
      </c>
      <c r="E166" s="286">
        <v>3961119.87</v>
      </c>
      <c r="F166" s="286">
        <v>8771454.25</v>
      </c>
      <c r="G166" s="191" t="str">
        <f>VLOOKUP(B166,'TB 0925'!A:A,1,0)</f>
        <v>Sourcing and Onboarding Expense</v>
      </c>
    </row>
    <row r="167" spans="1:7" x14ac:dyDescent="0.35">
      <c r="A167" s="192" t="s">
        <v>495</v>
      </c>
      <c r="B167" s="192" t="str">
        <f t="shared" si="2"/>
        <v>Training Centre Expense</v>
      </c>
      <c r="C167" s="286">
        <v>0</v>
      </c>
      <c r="D167" s="286">
        <v>1533956.38</v>
      </c>
      <c r="E167" s="286">
        <v>472598</v>
      </c>
      <c r="F167" s="286">
        <v>1061358.3799999999</v>
      </c>
      <c r="G167" s="191" t="str">
        <f>VLOOKUP(B167,'TB 0925'!A:A,1,0)</f>
        <v>Training Centre Expense</v>
      </c>
    </row>
    <row r="168" spans="1:7" x14ac:dyDescent="0.35">
      <c r="A168" s="192" t="s">
        <v>496</v>
      </c>
      <c r="B168" s="192" t="str">
        <f t="shared" si="2"/>
        <v>Training Centre Rent Expense</v>
      </c>
      <c r="C168" s="286">
        <v>0</v>
      </c>
      <c r="D168" s="286">
        <v>618660</v>
      </c>
      <c r="E168" s="286">
        <v>0</v>
      </c>
      <c r="F168" s="286">
        <v>618660</v>
      </c>
      <c r="G168" s="191" t="str">
        <f>VLOOKUP(B168,'TB 0925'!A:A,1,0)</f>
        <v>Training Centre Rent Expense</v>
      </c>
    </row>
    <row r="169" spans="1:7" ht="15.5" x14ac:dyDescent="0.35">
      <c r="A169" s="193" t="s">
        <v>639</v>
      </c>
      <c r="B169" s="193" t="str">
        <f t="shared" si="2"/>
        <v>Total for Trial Balance</v>
      </c>
      <c r="C169" s="287"/>
      <c r="D169" s="287">
        <v>640463909.99000001</v>
      </c>
      <c r="E169" s="287">
        <v>640463909.99000001</v>
      </c>
      <c r="F169" s="287"/>
    </row>
    <row r="170" spans="1:7" x14ac:dyDescent="0.35">
      <c r="A170" s="194" t="s">
        <v>85</v>
      </c>
      <c r="B170" s="19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6006-DE17-4612-A205-1147A6834994}">
  <sheetPr filterMode="1"/>
  <dimension ref="A1:M145"/>
  <sheetViews>
    <sheetView workbookViewId="0">
      <pane ySplit="2" topLeftCell="A50" activePane="bottomLeft" state="frozen"/>
      <selection activeCell="E153" sqref="E153"/>
      <selection pane="bottomLeft" activeCell="C146" sqref="C146"/>
    </sheetView>
  </sheetViews>
  <sheetFormatPr defaultColWidth="8.90625" defaultRowHeight="14.5" x14ac:dyDescent="0.35"/>
  <cols>
    <col min="1" max="1" width="44.81640625" style="23" bestFit="1" customWidth="1"/>
    <col min="2" max="6" width="16.81640625" style="23" customWidth="1"/>
    <col min="7" max="7" width="8.90625" style="23"/>
    <col min="8" max="8" width="43.81640625" style="23" bestFit="1" customWidth="1"/>
    <col min="9" max="10" width="8.90625" style="23"/>
    <col min="11" max="11" width="21.453125" style="23" bestFit="1" customWidth="1"/>
    <col min="12" max="12" width="13.90625" style="23" bestFit="1" customWidth="1"/>
    <col min="13" max="13" width="9.90625" style="23" bestFit="1" customWidth="1"/>
    <col min="14" max="16384" width="8.90625" style="23"/>
  </cols>
  <sheetData>
    <row r="1" spans="1:13" s="24" customFormat="1" x14ac:dyDescent="0.35">
      <c r="B1" s="24">
        <f>SUBTOTAL(9,B3:B145)</f>
        <v>0</v>
      </c>
      <c r="C1" s="24">
        <f>SUBTOTAL(9,C3:C145)</f>
        <v>30046399.16</v>
      </c>
      <c r="D1" s="24">
        <f>SUBTOTAL(9,D3:D145)</f>
        <v>6571464.5700000003</v>
      </c>
      <c r="E1" s="24">
        <f>SUBTOTAL(9,E3:E145)</f>
        <v>23474934.59</v>
      </c>
      <c r="F1" s="24">
        <f>SUBTOTAL(9,F3:F145)</f>
        <v>23474.934590000001</v>
      </c>
    </row>
    <row r="2" spans="1:13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358" t="s">
        <v>159</v>
      </c>
      <c r="H2" s="109" t="s">
        <v>612</v>
      </c>
      <c r="K2" s="109" t="s">
        <v>159</v>
      </c>
      <c r="L2" s="109" t="s">
        <v>186</v>
      </c>
      <c r="M2" s="109" t="s">
        <v>648</v>
      </c>
    </row>
    <row r="3" spans="1:13" hidden="1" x14ac:dyDescent="0.35">
      <c r="A3" s="23" t="s">
        <v>561</v>
      </c>
      <c r="B3" s="24">
        <f>SUMIF('Raw Sep'!B:B,'TB 0925'!A3,'Raw Sep'!C:C)</f>
        <v>1084210.26</v>
      </c>
      <c r="C3" s="24">
        <f>SUMIF('Raw Sep'!B:B,'TB 0925'!A3,'Raw Sep'!D:D)</f>
        <v>23861850.09</v>
      </c>
      <c r="D3" s="24">
        <f>SUMIF('Raw Sep'!B:B,'TB 0925'!A3,'Raw Sep'!E:E)</f>
        <v>23590248.219999999</v>
      </c>
      <c r="E3" s="24">
        <f>B3+C3-D3</f>
        <v>1355812.1300000027</v>
      </c>
      <c r="F3" s="24">
        <f>E3/10^3</f>
        <v>1355.8121300000028</v>
      </c>
      <c r="G3" s="22" t="s">
        <v>181</v>
      </c>
      <c r="H3" s="23" t="s">
        <v>77</v>
      </c>
      <c r="K3" s="23" t="s">
        <v>34</v>
      </c>
      <c r="L3" s="24">
        <v>91833</v>
      </c>
      <c r="M3" s="24">
        <f>L3/10^3</f>
        <v>91.832999999999998</v>
      </c>
    </row>
    <row r="4" spans="1:13" hidden="1" x14ac:dyDescent="0.35">
      <c r="A4" s="23" t="s">
        <v>288</v>
      </c>
      <c r="B4" s="24">
        <f>SUMIF('Raw Sep'!B:B,'TB 0925'!A4,'Raw Sep'!C:C)</f>
        <v>26233497</v>
      </c>
      <c r="C4" s="24">
        <f>SUMIF('Raw Sep'!B:B,'TB 0925'!A4,'Raw Sep'!D:D)</f>
        <v>35241207</v>
      </c>
      <c r="D4" s="24">
        <f>SUMIF('Raw Sep'!B:B,'TB 0925'!A4,'Raw Sep'!E:E)</f>
        <v>26233497</v>
      </c>
      <c r="E4" s="24">
        <f t="shared" ref="E4:E67" si="0">B4+C4-D4</f>
        <v>35241207</v>
      </c>
      <c r="F4" s="24">
        <f t="shared" ref="F4:F67" si="1">E4/10^3</f>
        <v>35241.207000000002</v>
      </c>
      <c r="G4" s="22" t="s">
        <v>181</v>
      </c>
      <c r="H4" s="23" t="s">
        <v>79</v>
      </c>
      <c r="K4" s="23" t="s">
        <v>1235</v>
      </c>
      <c r="L4" s="24">
        <v>1224092</v>
      </c>
      <c r="M4" s="24">
        <f t="shared" ref="M4:M9" si="2">L4/10^3</f>
        <v>1224.0920000000001</v>
      </c>
    </row>
    <row r="5" spans="1:13" hidden="1" x14ac:dyDescent="0.35">
      <c r="A5" s="23" t="s">
        <v>1433</v>
      </c>
      <c r="B5" s="24">
        <f>SUMIF('Raw Sep'!B:B,'TB 0925'!A5,'Raw Sep'!C:C)</f>
        <v>-585622.49</v>
      </c>
      <c r="C5" s="24">
        <f>SUMIF('Raw Sep'!B:B,'TB 0925'!A5,'Raw Sep'!D:D)</f>
        <v>0</v>
      </c>
      <c r="D5" s="24">
        <f>SUMIF('Raw Sep'!B:B,'TB 0925'!A5,'Raw Sep'!E:E)</f>
        <v>262872.19</v>
      </c>
      <c r="E5" s="24">
        <f t="shared" si="0"/>
        <v>-848494.67999999993</v>
      </c>
      <c r="F5" s="24">
        <f t="shared" si="1"/>
        <v>-848.4946799999999</v>
      </c>
      <c r="G5" s="22" t="s">
        <v>181</v>
      </c>
      <c r="H5" s="23" t="s">
        <v>72</v>
      </c>
      <c r="K5" s="23" t="s">
        <v>1290</v>
      </c>
      <c r="L5" s="24">
        <v>838046</v>
      </c>
      <c r="M5" s="24">
        <f t="shared" si="2"/>
        <v>838.04600000000005</v>
      </c>
    </row>
    <row r="6" spans="1:13" hidden="1" x14ac:dyDescent="0.35">
      <c r="A6" s="23" t="s">
        <v>562</v>
      </c>
      <c r="B6" s="24">
        <f>SUMIF('Raw Sep'!B:B,'TB 0925'!A6,'Raw Sep'!C:C)</f>
        <v>-1159221.67</v>
      </c>
      <c r="C6" s="24">
        <f>SUMIF('Raw Sep'!B:B,'TB 0925'!A6,'Raw Sep'!D:D)</f>
        <v>0</v>
      </c>
      <c r="D6" s="24">
        <f>SUMIF('Raw Sep'!B:B,'TB 0925'!A6,'Raw Sep'!E:E)</f>
        <v>365726.21</v>
      </c>
      <c r="E6" s="24">
        <f t="shared" si="0"/>
        <v>-1524947.88</v>
      </c>
      <c r="F6" s="24">
        <f t="shared" si="1"/>
        <v>-1524.9478799999999</v>
      </c>
      <c r="G6" s="22" t="s">
        <v>181</v>
      </c>
      <c r="H6" s="23" t="s">
        <v>71</v>
      </c>
      <c r="K6" s="23" t="s">
        <v>31</v>
      </c>
      <c r="L6" s="24">
        <v>647483</v>
      </c>
      <c r="M6" s="24">
        <f t="shared" si="2"/>
        <v>647.48299999999995</v>
      </c>
    </row>
    <row r="7" spans="1:13" hidden="1" x14ac:dyDescent="0.35">
      <c r="A7" s="23" t="s">
        <v>772</v>
      </c>
      <c r="B7" s="24">
        <f>SUMIF('Raw Sep'!B:B,'TB 0925'!A7,'Raw Sep'!C:C)</f>
        <v>-64652.37</v>
      </c>
      <c r="C7" s="24">
        <f>SUMIF('Raw Sep'!B:B,'TB 0925'!A7,'Raw Sep'!D:D)</f>
        <v>0</v>
      </c>
      <c r="D7" s="24">
        <f>SUMIF('Raw Sep'!B:B,'TB 0925'!A7,'Raw Sep'!E:E)</f>
        <v>11003.51</v>
      </c>
      <c r="E7" s="24">
        <f t="shared" si="0"/>
        <v>-75655.88</v>
      </c>
      <c r="F7" s="24">
        <f t="shared" si="1"/>
        <v>-75.65588000000001</v>
      </c>
      <c r="G7" s="22" t="s">
        <v>181</v>
      </c>
      <c r="H7" s="23" t="s">
        <v>71</v>
      </c>
      <c r="K7" s="23" t="s">
        <v>417</v>
      </c>
      <c r="L7" s="24">
        <f>22762855+122937.51+6050</f>
        <v>22891842.510000002</v>
      </c>
      <c r="M7" s="24">
        <f t="shared" si="2"/>
        <v>22891.842510000002</v>
      </c>
    </row>
    <row r="8" spans="1:13" hidden="1" x14ac:dyDescent="0.35">
      <c r="A8" s="23" t="s">
        <v>198</v>
      </c>
      <c r="B8" s="24">
        <f>SUMIF('Raw Sep'!B:B,'TB 0925'!A8,'Raw Sep'!C:C)</f>
        <v>-71454.14</v>
      </c>
      <c r="C8" s="24">
        <f>SUMIF('Raw Sep'!B:B,'TB 0925'!A8,'Raw Sep'!D:D)</f>
        <v>0</v>
      </c>
      <c r="D8" s="24">
        <f>SUMIF('Raw Sep'!B:B,'TB 0925'!A8,'Raw Sep'!E:E)</f>
        <v>13556.11</v>
      </c>
      <c r="E8" s="24">
        <f t="shared" si="0"/>
        <v>-85010.25</v>
      </c>
      <c r="F8" s="24">
        <f t="shared" si="1"/>
        <v>-85.010249999999999</v>
      </c>
      <c r="G8" s="22" t="s">
        <v>181</v>
      </c>
      <c r="H8" s="23" t="s">
        <v>71</v>
      </c>
      <c r="K8" s="23" t="s">
        <v>1291</v>
      </c>
      <c r="L8" s="24">
        <v>1517097</v>
      </c>
      <c r="M8" s="24">
        <f t="shared" si="2"/>
        <v>1517.097</v>
      </c>
    </row>
    <row r="9" spans="1:13" hidden="1" x14ac:dyDescent="0.35">
      <c r="A9" s="23" t="s">
        <v>967</v>
      </c>
      <c r="B9" s="24">
        <f>SUMIF('Raw Sep'!B:B,'TB 0925'!A9,'Raw Sep'!C:C)</f>
        <v>41291.82</v>
      </c>
      <c r="C9" s="24">
        <f>SUMIF('Raw Sep'!B:B,'TB 0925'!A9,'Raw Sep'!D:D)</f>
        <v>0</v>
      </c>
      <c r="D9" s="24">
        <f>SUMIF('Raw Sep'!B:B,'TB 0925'!A9,'Raw Sep'!E:E)</f>
        <v>0</v>
      </c>
      <c r="E9" s="24">
        <f t="shared" si="0"/>
        <v>41291.82</v>
      </c>
      <c r="F9" s="24">
        <f t="shared" si="1"/>
        <v>41.291820000000001</v>
      </c>
      <c r="G9" s="22" t="s">
        <v>181</v>
      </c>
      <c r="H9" s="23" t="s">
        <v>79</v>
      </c>
      <c r="K9" s="23" t="s">
        <v>1292</v>
      </c>
      <c r="L9" s="24">
        <v>237172</v>
      </c>
      <c r="M9" s="24">
        <f t="shared" si="2"/>
        <v>237.172</v>
      </c>
    </row>
    <row r="10" spans="1:13" hidden="1" x14ac:dyDescent="0.35">
      <c r="A10" s="23" t="s">
        <v>365</v>
      </c>
      <c r="B10" s="24">
        <f>SUMIF('Raw Sep'!B:B,'TB 0925'!A10,'Raw Sep'!C:C)</f>
        <v>305.98</v>
      </c>
      <c r="C10" s="24">
        <f>SUMIF('Raw Sep'!B:B,'TB 0925'!A10,'Raw Sep'!D:D)</f>
        <v>0</v>
      </c>
      <c r="D10" s="24">
        <f>SUMIF('Raw Sep'!B:B,'TB 0925'!A10,'Raw Sep'!E:E)</f>
        <v>0</v>
      </c>
      <c r="E10" s="24">
        <f t="shared" si="0"/>
        <v>305.98</v>
      </c>
      <c r="F10" s="24">
        <f t="shared" si="1"/>
        <v>0.30598000000000003</v>
      </c>
      <c r="G10" s="22" t="s">
        <v>181</v>
      </c>
      <c r="H10" s="23" t="s">
        <v>79</v>
      </c>
      <c r="L10" s="198">
        <f>SUM(L3:L9)</f>
        <v>27447565.510000002</v>
      </c>
      <c r="M10" s="198">
        <f>SUM(M3:M9)</f>
        <v>27447.565510000004</v>
      </c>
    </row>
    <row r="11" spans="1:13" hidden="1" x14ac:dyDescent="0.35">
      <c r="A11" s="23" t="s">
        <v>563</v>
      </c>
      <c r="B11" s="24">
        <f>SUMIF('Raw Sep'!B:B,'TB 0925'!A11,'Raw Sep'!C:C)</f>
        <v>12046.34</v>
      </c>
      <c r="C11" s="24">
        <f>SUMIF('Raw Sep'!B:B,'TB 0925'!A11,'Raw Sep'!D:D)</f>
        <v>0</v>
      </c>
      <c r="D11" s="24">
        <f>SUMIF('Raw Sep'!B:B,'TB 0925'!A11,'Raw Sep'!E:E)</f>
        <v>118</v>
      </c>
      <c r="E11" s="24">
        <f t="shared" si="0"/>
        <v>11928.34</v>
      </c>
      <c r="F11" s="24">
        <f t="shared" si="1"/>
        <v>11.92834</v>
      </c>
      <c r="G11" s="22" t="s">
        <v>181</v>
      </c>
      <c r="H11" s="23" t="s">
        <v>78</v>
      </c>
      <c r="L11" s="206">
        <f>L10-E108-E125</f>
        <v>0</v>
      </c>
    </row>
    <row r="12" spans="1:13" hidden="1" x14ac:dyDescent="0.35">
      <c r="A12" s="23" t="s">
        <v>564</v>
      </c>
      <c r="B12" s="24">
        <f>SUMIF('Raw Sep'!B:B,'TB 0925'!A12,'Raw Sep'!C:C)</f>
        <v>11602036.029999999</v>
      </c>
      <c r="C12" s="24">
        <f>SUMIF('Raw Sep'!B:B,'TB 0925'!A12,'Raw Sep'!D:D)</f>
        <v>5420751</v>
      </c>
      <c r="D12" s="24">
        <f>SUMIF('Raw Sep'!B:B,'TB 0925'!A12,'Raw Sep'!E:E)</f>
        <v>0</v>
      </c>
      <c r="E12" s="24">
        <f t="shared" si="0"/>
        <v>17022787.030000001</v>
      </c>
      <c r="F12" s="24">
        <f t="shared" si="1"/>
        <v>17022.78703</v>
      </c>
      <c r="G12" s="22" t="s">
        <v>181</v>
      </c>
      <c r="H12" s="23" t="s">
        <v>71</v>
      </c>
      <c r="I12" s="23" t="s">
        <v>1397</v>
      </c>
    </row>
    <row r="13" spans="1:13" hidden="1" x14ac:dyDescent="0.35">
      <c r="A13" s="23" t="s">
        <v>1293</v>
      </c>
      <c r="B13" s="24">
        <f>SUMIF('Raw Sep'!B:B,'TB 0925'!A13,'Raw Sep'!C:C)</f>
        <v>0</v>
      </c>
      <c r="C13" s="24">
        <f>SUMIF('Raw Sep'!B:B,'TB 0925'!A13,'Raw Sep'!D:D)</f>
        <v>2753925</v>
      </c>
      <c r="D13" s="24">
        <f>SUMIF('Raw Sep'!B:B,'TB 0925'!A13,'Raw Sep'!E:E)</f>
        <v>2097747</v>
      </c>
      <c r="E13" s="24">
        <f t="shared" si="0"/>
        <v>656178</v>
      </c>
      <c r="F13" s="24">
        <f t="shared" si="1"/>
        <v>656.178</v>
      </c>
      <c r="G13" s="22" t="s">
        <v>181</v>
      </c>
      <c r="H13" s="23" t="s">
        <v>79</v>
      </c>
    </row>
    <row r="14" spans="1:13" hidden="1" x14ac:dyDescent="0.35">
      <c r="A14" s="23" t="s">
        <v>693</v>
      </c>
      <c r="B14" s="24">
        <f>SUMIF('Raw Sep'!B:B,'TB 0925'!A14,'Raw Sep'!C:C)</f>
        <v>704611.34</v>
      </c>
      <c r="C14" s="24">
        <f>SUMIF('Raw Sep'!B:B,'TB 0925'!A14,'Raw Sep'!D:D)</f>
        <v>0</v>
      </c>
      <c r="D14" s="24">
        <f>SUMIF('Raw Sep'!B:B,'TB 0925'!A14,'Raw Sep'!E:E)</f>
        <v>0</v>
      </c>
      <c r="E14" s="24">
        <f t="shared" si="0"/>
        <v>704611.34</v>
      </c>
      <c r="F14" s="24">
        <f t="shared" si="1"/>
        <v>704.61133999999993</v>
      </c>
      <c r="G14" s="22" t="s">
        <v>181</v>
      </c>
      <c r="H14" s="23" t="s">
        <v>71</v>
      </c>
      <c r="I14" s="23" t="s">
        <v>1397</v>
      </c>
    </row>
    <row r="15" spans="1:13" hidden="1" x14ac:dyDescent="0.35">
      <c r="A15" s="23" t="s">
        <v>714</v>
      </c>
      <c r="B15" s="24">
        <f>SUMIF('Raw Sep'!B:B,'TB 0925'!A15,'Raw Sep'!C:C)</f>
        <v>72359.7</v>
      </c>
      <c r="C15" s="24">
        <f>SUMIF('Raw Sep'!B:B,'TB 0925'!A15,'Raw Sep'!D:D)</f>
        <v>0</v>
      </c>
      <c r="D15" s="24">
        <f>SUMIF('Raw Sep'!B:B,'TB 0925'!A15,'Raw Sep'!E:E)</f>
        <v>0</v>
      </c>
      <c r="E15" s="24">
        <f t="shared" si="0"/>
        <v>72359.7</v>
      </c>
      <c r="F15" s="24">
        <f t="shared" si="1"/>
        <v>72.359700000000004</v>
      </c>
      <c r="G15" s="22" t="s">
        <v>181</v>
      </c>
      <c r="H15" s="23" t="s">
        <v>78</v>
      </c>
    </row>
    <row r="16" spans="1:13" hidden="1" x14ac:dyDescent="0.35">
      <c r="A16" s="23" t="s">
        <v>715</v>
      </c>
      <c r="B16" s="24">
        <f>SUMIF('Raw Sep'!B:B,'TB 0925'!A16,'Raw Sep'!C:C)</f>
        <v>381351.88</v>
      </c>
      <c r="C16" s="24">
        <f>SUMIF('Raw Sep'!B:B,'TB 0925'!A16,'Raw Sep'!D:D)</f>
        <v>1613314.33</v>
      </c>
      <c r="D16" s="24">
        <f>SUMIF('Raw Sep'!B:B,'TB 0925'!A16,'Raw Sep'!E:E)</f>
        <v>1839812.72</v>
      </c>
      <c r="E16" s="24">
        <f t="shared" si="0"/>
        <v>154853.49</v>
      </c>
      <c r="F16" s="24">
        <f t="shared" si="1"/>
        <v>154.85348999999999</v>
      </c>
      <c r="G16" s="22" t="s">
        <v>181</v>
      </c>
      <c r="H16" s="23" t="s">
        <v>78</v>
      </c>
    </row>
    <row r="17" spans="1:8" hidden="1" x14ac:dyDescent="0.35">
      <c r="A17" s="23" t="s">
        <v>565</v>
      </c>
      <c r="B17" s="24">
        <f>SUMIF('Raw Sep'!B:B,'TB 0925'!A17,'Raw Sep'!C:C)</f>
        <v>6532426.4299999997</v>
      </c>
      <c r="C17" s="24">
        <f>SUMIF('Raw Sep'!B:B,'TB 0925'!A17,'Raw Sep'!D:D)</f>
        <v>1830899.29</v>
      </c>
      <c r="D17" s="24">
        <f>SUMIF('Raw Sep'!B:B,'TB 0925'!A17,'Raw Sep'!E:E)</f>
        <v>4529.25</v>
      </c>
      <c r="E17" s="24">
        <f t="shared" si="0"/>
        <v>8358796.4699999997</v>
      </c>
      <c r="F17" s="24">
        <f t="shared" si="1"/>
        <v>8358.7964699999993</v>
      </c>
      <c r="G17" s="22" t="s">
        <v>181</v>
      </c>
      <c r="H17" s="23" t="s">
        <v>79</v>
      </c>
    </row>
    <row r="18" spans="1:8" hidden="1" x14ac:dyDescent="0.35">
      <c r="A18" s="23" t="s">
        <v>566</v>
      </c>
      <c r="B18" s="24">
        <f>SUMIF('Raw Sep'!B:B,'TB 0925'!A18,'Raw Sep'!C:C)</f>
        <v>3732254.7</v>
      </c>
      <c r="C18" s="24">
        <f>SUMIF('Raw Sep'!B:B,'TB 0925'!A18,'Raw Sep'!D:D)</f>
        <v>3456871.23</v>
      </c>
      <c r="D18" s="24">
        <f>SUMIF('Raw Sep'!B:B,'TB 0925'!A18,'Raw Sep'!E:E)</f>
        <v>2230349.7599999998</v>
      </c>
      <c r="E18" s="24">
        <f t="shared" si="0"/>
        <v>4958776.17</v>
      </c>
      <c r="F18" s="24">
        <f t="shared" si="1"/>
        <v>4958.7761700000001</v>
      </c>
      <c r="G18" s="22" t="s">
        <v>181</v>
      </c>
      <c r="H18" s="23" t="s">
        <v>79</v>
      </c>
    </row>
    <row r="19" spans="1:8" hidden="1" x14ac:dyDescent="0.35">
      <c r="A19" s="23" t="s">
        <v>567</v>
      </c>
      <c r="B19" s="24">
        <f>SUMIF('Raw Sep'!B:B,'TB 0925'!A19,'Raw Sep'!C:C)</f>
        <v>6464068.4800000004</v>
      </c>
      <c r="C19" s="24">
        <f>SUMIF('Raw Sep'!B:B,'TB 0925'!A19,'Raw Sep'!D:D)</f>
        <v>1830899.29</v>
      </c>
      <c r="D19" s="24">
        <f>SUMIF('Raw Sep'!B:B,'TB 0925'!A19,'Raw Sep'!E:E)</f>
        <v>4529.25</v>
      </c>
      <c r="E19" s="24">
        <f t="shared" si="0"/>
        <v>8290438.5200000005</v>
      </c>
      <c r="F19" s="24">
        <f t="shared" si="1"/>
        <v>8290.4385199999997</v>
      </c>
      <c r="G19" s="22" t="s">
        <v>181</v>
      </c>
      <c r="H19" s="23" t="s">
        <v>79</v>
      </c>
    </row>
    <row r="20" spans="1:8" hidden="1" x14ac:dyDescent="0.35">
      <c r="A20" s="23" t="s">
        <v>300</v>
      </c>
      <c r="B20" s="24">
        <f>SUMIF('Raw Sep'!B:B,'TB 0925'!A20,'Raw Sep'!C:C)</f>
        <v>0</v>
      </c>
      <c r="C20" s="24">
        <f>SUMIF('Raw Sep'!B:B,'TB 0925'!A20,'Raw Sep'!D:D)</f>
        <v>0</v>
      </c>
      <c r="D20" s="24">
        <f>SUMIF('Raw Sep'!B:B,'TB 0925'!A20,'Raw Sep'!E:E)</f>
        <v>0</v>
      </c>
      <c r="E20" s="24">
        <f t="shared" si="0"/>
        <v>0</v>
      </c>
      <c r="F20" s="24">
        <f t="shared" si="1"/>
        <v>0</v>
      </c>
      <c r="G20" s="22" t="s">
        <v>181</v>
      </c>
      <c r="H20" s="23" t="s">
        <v>72</v>
      </c>
    </row>
    <row r="21" spans="1:8" hidden="1" x14ac:dyDescent="0.35">
      <c r="A21" s="23" t="s">
        <v>1352</v>
      </c>
      <c r="B21" s="24">
        <f>SUMIF('Raw Sep'!B:B,'TB 0925'!A21,'Raw Sep'!C:C)</f>
        <v>39998000.100000001</v>
      </c>
      <c r="C21" s="24">
        <f>SUMIF('Raw Sep'!B:B,'TB 0925'!A21,'Raw Sep'!D:D)</f>
        <v>0</v>
      </c>
      <c r="D21" s="24">
        <f>SUMIF('Raw Sep'!B:B,'TB 0925'!A21,'Raw Sep'!E:E)</f>
        <v>0</v>
      </c>
      <c r="E21" s="24">
        <f t="shared" si="0"/>
        <v>39998000.100000001</v>
      </c>
      <c r="F21" s="24">
        <f t="shared" si="1"/>
        <v>39998.000100000005</v>
      </c>
      <c r="G21" s="22" t="s">
        <v>181</v>
      </c>
      <c r="H21" s="23" t="s">
        <v>76</v>
      </c>
    </row>
    <row r="22" spans="1:8" hidden="1" x14ac:dyDescent="0.35">
      <c r="A22" s="23" t="s">
        <v>1239</v>
      </c>
      <c r="B22" s="24">
        <f>SUMIF('Raw Sep'!B:B,'TB 0925'!A22,'Raw Sep'!C:C)</f>
        <v>50000000</v>
      </c>
      <c r="C22" s="24">
        <f>SUMIF('Raw Sep'!B:B,'TB 0925'!A22,'Raw Sep'!D:D)</f>
        <v>0</v>
      </c>
      <c r="D22" s="24">
        <f>SUMIF('Raw Sep'!B:B,'TB 0925'!A22,'Raw Sep'!E:E)</f>
        <v>0</v>
      </c>
      <c r="E22" s="24">
        <f t="shared" si="0"/>
        <v>50000000</v>
      </c>
      <c r="F22" s="24">
        <f t="shared" si="1"/>
        <v>50000</v>
      </c>
      <c r="G22" s="22" t="s">
        <v>181</v>
      </c>
      <c r="H22" s="23" t="s">
        <v>76</v>
      </c>
    </row>
    <row r="23" spans="1:8" hidden="1" x14ac:dyDescent="0.35">
      <c r="A23" s="23" t="s">
        <v>1240</v>
      </c>
      <c r="B23" s="24">
        <f>SUMIF('Raw Sep'!B:B,'TB 0925'!A23,'Raw Sep'!C:C)</f>
        <v>100000000</v>
      </c>
      <c r="C23" s="24">
        <f>SUMIF('Raw Sep'!B:B,'TB 0925'!A23,'Raw Sep'!D:D)</f>
        <v>0</v>
      </c>
      <c r="D23" s="24">
        <f>SUMIF('Raw Sep'!B:B,'TB 0925'!A23,'Raw Sep'!E:E)</f>
        <v>0</v>
      </c>
      <c r="E23" s="24">
        <f t="shared" si="0"/>
        <v>100000000</v>
      </c>
      <c r="F23" s="24">
        <f t="shared" si="1"/>
        <v>100000</v>
      </c>
      <c r="G23" s="22" t="s">
        <v>181</v>
      </c>
      <c r="H23" s="23" t="s">
        <v>76</v>
      </c>
    </row>
    <row r="24" spans="1:8" hidden="1" x14ac:dyDescent="0.35">
      <c r="A24" s="23" t="s">
        <v>1241</v>
      </c>
      <c r="B24" s="24">
        <f>SUMIF('Raw Sep'!B:B,'TB 0925'!A24,'Raw Sep'!C:C)</f>
        <v>150000000</v>
      </c>
      <c r="C24" s="24">
        <f>SUMIF('Raw Sep'!B:B,'TB 0925'!A24,'Raw Sep'!D:D)</f>
        <v>0</v>
      </c>
      <c r="D24" s="24">
        <f>SUMIF('Raw Sep'!B:B,'TB 0925'!A24,'Raw Sep'!E:E)</f>
        <v>0</v>
      </c>
      <c r="E24" s="24">
        <f t="shared" si="0"/>
        <v>150000000</v>
      </c>
      <c r="F24" s="24">
        <f t="shared" si="1"/>
        <v>150000</v>
      </c>
      <c r="G24" s="22" t="s">
        <v>181</v>
      </c>
      <c r="H24" s="23" t="s">
        <v>76</v>
      </c>
    </row>
    <row r="25" spans="1:8" hidden="1" x14ac:dyDescent="0.35">
      <c r="A25" s="23" t="s">
        <v>1242</v>
      </c>
      <c r="B25" s="24">
        <f>SUMIF('Raw Sep'!B:B,'TB 0925'!A25,'Raw Sep'!C:C)</f>
        <v>300000000</v>
      </c>
      <c r="C25" s="24">
        <f>SUMIF('Raw Sep'!B:B,'TB 0925'!A25,'Raw Sep'!D:D)</f>
        <v>0</v>
      </c>
      <c r="D25" s="24">
        <f>SUMIF('Raw Sep'!B:B,'TB 0925'!A25,'Raw Sep'!E:E)</f>
        <v>0</v>
      </c>
      <c r="E25" s="24">
        <f t="shared" si="0"/>
        <v>300000000</v>
      </c>
      <c r="F25" s="24">
        <f t="shared" si="1"/>
        <v>300000</v>
      </c>
      <c r="G25" s="22" t="s">
        <v>181</v>
      </c>
      <c r="H25" s="23" t="s">
        <v>76</v>
      </c>
    </row>
    <row r="26" spans="1:8" hidden="1" x14ac:dyDescent="0.35">
      <c r="A26" s="23" t="s">
        <v>1243</v>
      </c>
      <c r="B26" s="24">
        <f>SUMIF('Raw Sep'!B:B,'TB 0925'!A26,'Raw Sep'!C:C)</f>
        <v>100000000</v>
      </c>
      <c r="C26" s="24">
        <f>SUMIF('Raw Sep'!B:B,'TB 0925'!A26,'Raw Sep'!D:D)</f>
        <v>0</v>
      </c>
      <c r="D26" s="24">
        <f>SUMIF('Raw Sep'!B:B,'TB 0925'!A26,'Raw Sep'!E:E)</f>
        <v>0</v>
      </c>
      <c r="E26" s="24">
        <f t="shared" si="0"/>
        <v>100000000</v>
      </c>
      <c r="F26" s="24">
        <f t="shared" si="1"/>
        <v>100000</v>
      </c>
      <c r="G26" s="22" t="s">
        <v>181</v>
      </c>
      <c r="H26" s="23" t="s">
        <v>76</v>
      </c>
    </row>
    <row r="27" spans="1:8" hidden="1" x14ac:dyDescent="0.35">
      <c r="A27" s="23" t="s">
        <v>1244</v>
      </c>
      <c r="B27" s="24">
        <f>SUMIF('Raw Sep'!B:B,'TB 0925'!A27,'Raw Sep'!C:C)</f>
        <v>150000000</v>
      </c>
      <c r="C27" s="24">
        <f>SUMIF('Raw Sep'!B:B,'TB 0925'!A27,'Raw Sep'!D:D)</f>
        <v>0</v>
      </c>
      <c r="D27" s="24">
        <f>SUMIF('Raw Sep'!B:B,'TB 0925'!A27,'Raw Sep'!E:E)</f>
        <v>0</v>
      </c>
      <c r="E27" s="24">
        <f t="shared" si="0"/>
        <v>150000000</v>
      </c>
      <c r="F27" s="24">
        <f t="shared" si="1"/>
        <v>150000</v>
      </c>
      <c r="G27" s="22" t="s">
        <v>181</v>
      </c>
      <c r="H27" s="23" t="s">
        <v>76</v>
      </c>
    </row>
    <row r="28" spans="1:8" hidden="1" x14ac:dyDescent="0.35">
      <c r="A28" s="23" t="s">
        <v>1245</v>
      </c>
      <c r="B28" s="24">
        <f>SUMIF('Raw Sep'!B:B,'TB 0925'!A28,'Raw Sep'!C:C)</f>
        <v>150000000</v>
      </c>
      <c r="C28" s="24">
        <f>SUMIF('Raw Sep'!B:B,'TB 0925'!A28,'Raw Sep'!D:D)</f>
        <v>0</v>
      </c>
      <c r="D28" s="24">
        <f>SUMIF('Raw Sep'!B:B,'TB 0925'!A28,'Raw Sep'!E:E)</f>
        <v>0</v>
      </c>
      <c r="E28" s="24">
        <f t="shared" si="0"/>
        <v>150000000</v>
      </c>
      <c r="F28" s="24">
        <f t="shared" si="1"/>
        <v>150000</v>
      </c>
      <c r="G28" s="22" t="s">
        <v>181</v>
      </c>
      <c r="H28" s="23" t="s">
        <v>76</v>
      </c>
    </row>
    <row r="29" spans="1:8" hidden="1" x14ac:dyDescent="0.35">
      <c r="A29" s="23" t="s">
        <v>1246</v>
      </c>
      <c r="B29" s="24">
        <f>SUMIF('Raw Sep'!B:B,'TB 0925'!A29,'Raw Sep'!C:C)</f>
        <v>180000000</v>
      </c>
      <c r="C29" s="24">
        <f>SUMIF('Raw Sep'!B:B,'TB 0925'!A29,'Raw Sep'!D:D)</f>
        <v>0</v>
      </c>
      <c r="D29" s="24">
        <f>SUMIF('Raw Sep'!B:B,'TB 0925'!A29,'Raw Sep'!E:E)</f>
        <v>0</v>
      </c>
      <c r="E29" s="24">
        <f t="shared" si="0"/>
        <v>180000000</v>
      </c>
      <c r="F29" s="24">
        <f t="shared" si="1"/>
        <v>180000</v>
      </c>
      <c r="G29" s="22" t="s">
        <v>181</v>
      </c>
      <c r="H29" s="23" t="s">
        <v>76</v>
      </c>
    </row>
    <row r="30" spans="1:8" hidden="1" x14ac:dyDescent="0.35">
      <c r="A30" s="23" t="s">
        <v>1247</v>
      </c>
      <c r="B30" s="24">
        <f>SUMIF('Raw Sep'!B:B,'TB 0925'!A30,'Raw Sep'!C:C)</f>
        <v>170000000</v>
      </c>
      <c r="C30" s="24">
        <f>SUMIF('Raw Sep'!B:B,'TB 0925'!A30,'Raw Sep'!D:D)</f>
        <v>0</v>
      </c>
      <c r="D30" s="24">
        <f>SUMIF('Raw Sep'!B:B,'TB 0925'!A30,'Raw Sep'!E:E)</f>
        <v>0</v>
      </c>
      <c r="E30" s="24">
        <f t="shared" si="0"/>
        <v>170000000</v>
      </c>
      <c r="F30" s="24">
        <f t="shared" si="1"/>
        <v>170000</v>
      </c>
      <c r="G30" s="22" t="s">
        <v>181</v>
      </c>
      <c r="H30" s="23" t="s">
        <v>76</v>
      </c>
    </row>
    <row r="31" spans="1:8" hidden="1" x14ac:dyDescent="0.35">
      <c r="A31" s="23" t="s">
        <v>1248</v>
      </c>
      <c r="B31" s="24">
        <f>SUMIF('Raw Sep'!B:B,'TB 0925'!A31,'Raw Sep'!C:C)</f>
        <v>17000000</v>
      </c>
      <c r="C31" s="24">
        <f>SUMIF('Raw Sep'!B:B,'TB 0925'!A31,'Raw Sep'!D:D)</f>
        <v>0</v>
      </c>
      <c r="D31" s="24">
        <f>SUMIF('Raw Sep'!B:B,'TB 0925'!A31,'Raw Sep'!E:E)</f>
        <v>0</v>
      </c>
      <c r="E31" s="24">
        <f t="shared" si="0"/>
        <v>17000000</v>
      </c>
      <c r="F31" s="24">
        <f t="shared" si="1"/>
        <v>17000</v>
      </c>
      <c r="G31" s="22" t="s">
        <v>181</v>
      </c>
      <c r="H31" s="23" t="s">
        <v>76</v>
      </c>
    </row>
    <row r="32" spans="1:8" hidden="1" x14ac:dyDescent="0.35">
      <c r="A32" s="23" t="s">
        <v>1249</v>
      </c>
      <c r="B32" s="24">
        <f>SUMIF('Raw Sep'!B:B,'TB 0925'!A32,'Raw Sep'!C:C)</f>
        <v>250000000</v>
      </c>
      <c r="C32" s="24">
        <f>SUMIF('Raw Sep'!B:B,'TB 0925'!A32,'Raw Sep'!D:D)</f>
        <v>0</v>
      </c>
      <c r="D32" s="24">
        <f>SUMIF('Raw Sep'!B:B,'TB 0925'!A32,'Raw Sep'!E:E)</f>
        <v>0</v>
      </c>
      <c r="E32" s="24">
        <f t="shared" si="0"/>
        <v>250000000</v>
      </c>
      <c r="F32" s="24">
        <f t="shared" si="1"/>
        <v>250000</v>
      </c>
      <c r="G32" s="22" t="s">
        <v>181</v>
      </c>
      <c r="H32" s="23" t="s">
        <v>76</v>
      </c>
    </row>
    <row r="33" spans="1:9" hidden="1" x14ac:dyDescent="0.35">
      <c r="A33" s="23" t="s">
        <v>1357</v>
      </c>
      <c r="B33" s="24">
        <f>SUMIF('Raw Sep'!B:B,'TB 0925'!A33,'Raw Sep'!C:C)</f>
        <v>39998000.100000001</v>
      </c>
      <c r="C33" s="24">
        <f>SUMIF('Raw Sep'!B:B,'TB 0925'!A33,'Raw Sep'!D:D)</f>
        <v>0</v>
      </c>
      <c r="D33" s="24">
        <f>SUMIF('Raw Sep'!B:B,'TB 0925'!A33,'Raw Sep'!E:E)</f>
        <v>0</v>
      </c>
      <c r="E33" s="24">
        <f t="shared" si="0"/>
        <v>39998000.100000001</v>
      </c>
      <c r="F33" s="24">
        <f t="shared" si="1"/>
        <v>39998.000100000005</v>
      </c>
      <c r="G33" s="22" t="s">
        <v>181</v>
      </c>
      <c r="H33" s="23" t="s">
        <v>76</v>
      </c>
    </row>
    <row r="34" spans="1:9" hidden="1" x14ac:dyDescent="0.35">
      <c r="A34" s="23" t="s">
        <v>1358</v>
      </c>
      <c r="B34" s="24">
        <f>SUMIF('Raw Sep'!B:B,'TB 0925'!A34,'Raw Sep'!C:C)</f>
        <v>39998000.100000001</v>
      </c>
      <c r="C34" s="24">
        <f>SUMIF('Raw Sep'!B:B,'TB 0925'!A34,'Raw Sep'!D:D)</f>
        <v>0</v>
      </c>
      <c r="D34" s="24">
        <f>SUMIF('Raw Sep'!B:B,'TB 0925'!A34,'Raw Sep'!E:E)</f>
        <v>19791750.649999999</v>
      </c>
      <c r="E34" s="24">
        <f t="shared" si="0"/>
        <v>20206249.450000003</v>
      </c>
      <c r="F34" s="24">
        <f t="shared" si="1"/>
        <v>20206.249450000003</v>
      </c>
      <c r="G34" s="22" t="s">
        <v>181</v>
      </c>
      <c r="H34" s="23" t="s">
        <v>76</v>
      </c>
    </row>
    <row r="35" spans="1:9" hidden="1" x14ac:dyDescent="0.35">
      <c r="A35" s="23" t="s">
        <v>1359</v>
      </c>
      <c r="B35" s="24">
        <f>SUMIF('Raw Sep'!B:B,'TB 0925'!A35,'Raw Sep'!C:C)</f>
        <v>15024892.039999999</v>
      </c>
      <c r="C35" s="24">
        <f>SUMIF('Raw Sep'!B:B,'TB 0925'!A35,'Raw Sep'!D:D)</f>
        <v>0</v>
      </c>
      <c r="D35" s="24">
        <f>SUMIF('Raw Sep'!B:B,'TB 0925'!A35,'Raw Sep'!E:E)</f>
        <v>15024892.039999999</v>
      </c>
      <c r="E35" s="24">
        <f t="shared" si="0"/>
        <v>0</v>
      </c>
      <c r="F35" s="24">
        <f t="shared" si="1"/>
        <v>0</v>
      </c>
      <c r="G35" s="22" t="s">
        <v>181</v>
      </c>
      <c r="H35" s="23" t="s">
        <v>76</v>
      </c>
    </row>
    <row r="36" spans="1:9" hidden="1" x14ac:dyDescent="0.35">
      <c r="A36" s="23" t="s">
        <v>1360</v>
      </c>
      <c r="B36" s="24">
        <f>SUMIF('Raw Sep'!B:B,'TB 0925'!A36,'Raw Sep'!C:C)</f>
        <v>39998000.100000001</v>
      </c>
      <c r="C36" s="24">
        <f>SUMIF('Raw Sep'!B:B,'TB 0925'!A36,'Raw Sep'!D:D)</f>
        <v>0</v>
      </c>
      <c r="D36" s="24">
        <f>SUMIF('Raw Sep'!B:B,'TB 0925'!A36,'Raw Sep'!E:E)</f>
        <v>0</v>
      </c>
      <c r="E36" s="24">
        <f t="shared" si="0"/>
        <v>39998000.100000001</v>
      </c>
      <c r="F36" s="24">
        <f t="shared" si="1"/>
        <v>39998.000100000005</v>
      </c>
      <c r="G36" s="22" t="s">
        <v>181</v>
      </c>
      <c r="H36" s="23" t="s">
        <v>76</v>
      </c>
    </row>
    <row r="37" spans="1:9" hidden="1" x14ac:dyDescent="0.35">
      <c r="A37" s="23" t="s">
        <v>1361</v>
      </c>
      <c r="B37" s="24">
        <f>SUMIF('Raw Sep'!B:B,'TB 0925'!A37,'Raw Sep'!C:C)</f>
        <v>39998000.100000001</v>
      </c>
      <c r="C37" s="24">
        <f>SUMIF('Raw Sep'!B:B,'TB 0925'!A37,'Raw Sep'!D:D)</f>
        <v>0</v>
      </c>
      <c r="D37" s="24">
        <f>SUMIF('Raw Sep'!B:B,'TB 0925'!A37,'Raw Sep'!E:E)</f>
        <v>39998000.100000001</v>
      </c>
      <c r="E37" s="24">
        <f t="shared" si="0"/>
        <v>0</v>
      </c>
      <c r="F37" s="24">
        <f t="shared" si="1"/>
        <v>0</v>
      </c>
      <c r="G37" s="22" t="s">
        <v>181</v>
      </c>
      <c r="H37" s="23" t="s">
        <v>76</v>
      </c>
    </row>
    <row r="38" spans="1:9" hidden="1" x14ac:dyDescent="0.35">
      <c r="A38" s="23" t="s">
        <v>1362</v>
      </c>
      <c r="B38" s="24">
        <f>SUMIF('Raw Sep'!B:B,'TB 0925'!A38,'Raw Sep'!C:C)</f>
        <v>39998000.100000001</v>
      </c>
      <c r="C38" s="24">
        <f>SUMIF('Raw Sep'!B:B,'TB 0925'!A38,'Raw Sep'!D:D)</f>
        <v>0</v>
      </c>
      <c r="D38" s="24">
        <f>SUMIF('Raw Sep'!B:B,'TB 0925'!A38,'Raw Sep'!E:E)</f>
        <v>0</v>
      </c>
      <c r="E38" s="24">
        <f t="shared" si="0"/>
        <v>39998000.100000001</v>
      </c>
      <c r="F38" s="24">
        <f t="shared" si="1"/>
        <v>39998.000100000005</v>
      </c>
      <c r="G38" s="22" t="s">
        <v>181</v>
      </c>
      <c r="H38" s="23" t="s">
        <v>76</v>
      </c>
    </row>
    <row r="39" spans="1:9" hidden="1" x14ac:dyDescent="0.35">
      <c r="A39" s="23" t="s">
        <v>572</v>
      </c>
      <c r="B39" s="24">
        <f>SUMIF('Raw Sep'!B:B,'TB 0925'!A39,'Raw Sep'!C:C)</f>
        <v>12714328.449999999</v>
      </c>
      <c r="C39" s="24">
        <f>SUMIF('Raw Sep'!B:B,'TB 0925'!A39,'Raw Sep'!D:D)</f>
        <v>75099834.569999993</v>
      </c>
      <c r="D39" s="24">
        <f>SUMIF('Raw Sep'!B:B,'TB 0925'!A39,'Raw Sep'!E:E)</f>
        <v>87298895.060000002</v>
      </c>
      <c r="E39" s="24">
        <f t="shared" si="0"/>
        <v>515267.95999999344</v>
      </c>
      <c r="F39" s="24">
        <f t="shared" si="1"/>
        <v>515.26795999999342</v>
      </c>
      <c r="G39" s="22" t="s">
        <v>181</v>
      </c>
      <c r="H39" s="23" t="s">
        <v>78</v>
      </c>
    </row>
    <row r="40" spans="1:9" hidden="1" x14ac:dyDescent="0.35">
      <c r="A40" s="23" t="s">
        <v>573</v>
      </c>
      <c r="B40" s="24">
        <f>SUMIF('Raw Sep'!B:B,'TB 0925'!A40,'Raw Sep'!C:C)</f>
        <v>2298288.27</v>
      </c>
      <c r="C40" s="24">
        <f>SUMIF('Raw Sep'!B:B,'TB 0925'!A40,'Raw Sep'!D:D)</f>
        <v>110722109.52</v>
      </c>
      <c r="D40" s="24">
        <f>SUMIF('Raw Sep'!B:B,'TB 0925'!A40,'Raw Sep'!E:E)</f>
        <v>109969567.79000001</v>
      </c>
      <c r="E40" s="24">
        <f t="shared" si="0"/>
        <v>3050829.9999999851</v>
      </c>
      <c r="F40" s="24">
        <f t="shared" si="1"/>
        <v>3050.8299999999849</v>
      </c>
      <c r="G40" s="22" t="s">
        <v>181</v>
      </c>
      <c r="H40" s="23" t="s">
        <v>78</v>
      </c>
    </row>
    <row r="41" spans="1:9" hidden="1" x14ac:dyDescent="0.35">
      <c r="A41" s="23" t="s">
        <v>723</v>
      </c>
      <c r="B41" s="24">
        <f>SUMIF('Raw Sep'!B:B,'TB 0925'!A41,'Raw Sep'!C:C)</f>
        <v>9795844</v>
      </c>
      <c r="C41" s="24">
        <f>SUMIF('Raw Sep'!B:B,'TB 0925'!A41,'Raw Sep'!D:D)</f>
        <v>0</v>
      </c>
      <c r="D41" s="24">
        <f>SUMIF('Raw Sep'!B:B,'TB 0925'!A41,'Raw Sep'!E:E)</f>
        <v>0</v>
      </c>
      <c r="E41" s="24">
        <f t="shared" si="0"/>
        <v>9795844</v>
      </c>
      <c r="F41" s="24">
        <f t="shared" si="1"/>
        <v>9795.8439999999991</v>
      </c>
      <c r="G41" s="22" t="s">
        <v>181</v>
      </c>
      <c r="H41" s="23" t="s">
        <v>71</v>
      </c>
      <c r="I41" s="23" t="s">
        <v>1397</v>
      </c>
    </row>
    <row r="42" spans="1:9" hidden="1" x14ac:dyDescent="0.35">
      <c r="A42" s="23" t="s">
        <v>231</v>
      </c>
      <c r="B42" s="24">
        <f>SUMIF('Raw Sep'!B:B,'TB 0925'!A42,'Raw Sep'!C:C)</f>
        <v>520841.58</v>
      </c>
      <c r="C42" s="24">
        <f>SUMIF('Raw Sep'!B:B,'TB 0925'!A42,'Raw Sep'!D:D)</f>
        <v>0</v>
      </c>
      <c r="D42" s="24">
        <f>SUMIF('Raw Sep'!B:B,'TB 0925'!A42,'Raw Sep'!E:E)</f>
        <v>0</v>
      </c>
      <c r="E42" s="24">
        <f t="shared" si="0"/>
        <v>520841.58</v>
      </c>
      <c r="F42" s="24">
        <f t="shared" si="1"/>
        <v>520.84158000000002</v>
      </c>
      <c r="G42" s="22" t="s">
        <v>181</v>
      </c>
      <c r="H42" s="23" t="s">
        <v>71</v>
      </c>
      <c r="I42" s="23" t="s">
        <v>1397</v>
      </c>
    </row>
    <row r="43" spans="1:9" hidden="1" x14ac:dyDescent="0.35">
      <c r="A43" s="23" t="s">
        <v>1297</v>
      </c>
      <c r="B43" s="24">
        <f>SUMIF('Raw Sep'!B:B,'TB 0925'!A43,'Raw Sep'!C:C)</f>
        <v>1222814</v>
      </c>
      <c r="C43" s="24">
        <f>SUMIF('Raw Sep'!B:B,'TB 0925'!A43,'Raw Sep'!D:D)</f>
        <v>0</v>
      </c>
      <c r="D43" s="24">
        <f>SUMIF('Raw Sep'!B:B,'TB 0925'!A43,'Raw Sep'!E:E)</f>
        <v>0</v>
      </c>
      <c r="E43" s="24">
        <f t="shared" si="0"/>
        <v>1222814</v>
      </c>
      <c r="F43" s="24">
        <f t="shared" si="1"/>
        <v>1222.8140000000001</v>
      </c>
      <c r="G43" s="22" t="s">
        <v>181</v>
      </c>
      <c r="H43" s="23" t="s">
        <v>79</v>
      </c>
    </row>
    <row r="44" spans="1:9" hidden="1" x14ac:dyDescent="0.35">
      <c r="A44" s="23" t="s">
        <v>575</v>
      </c>
      <c r="B44" s="24">
        <f>SUMIF('Raw Sep'!B:B,'TB 0925'!A44,'Raw Sep'!C:C)</f>
        <v>678433.69</v>
      </c>
      <c r="C44" s="24">
        <f>SUMIF('Raw Sep'!B:B,'TB 0925'!A44,'Raw Sep'!D:D)</f>
        <v>0</v>
      </c>
      <c r="D44" s="24">
        <f>SUMIF('Raw Sep'!B:B,'TB 0925'!A44,'Raw Sep'!E:E)</f>
        <v>178433.67</v>
      </c>
      <c r="E44" s="24">
        <f t="shared" si="0"/>
        <v>500000.0199999999</v>
      </c>
      <c r="F44" s="24">
        <f t="shared" si="1"/>
        <v>500.00001999999989</v>
      </c>
      <c r="G44" s="22" t="s">
        <v>181</v>
      </c>
      <c r="H44" s="23" t="s">
        <v>79</v>
      </c>
    </row>
    <row r="45" spans="1:9" hidden="1" x14ac:dyDescent="0.35">
      <c r="A45" s="23" t="s">
        <v>376</v>
      </c>
      <c r="B45" s="24">
        <f>SUMIF('Raw Sep'!B:B,'TB 0925'!A45,'Raw Sep'!C:C)</f>
        <v>19596195.559999999</v>
      </c>
      <c r="C45" s="24">
        <f>SUMIF('Raw Sep'!B:B,'TB 0925'!A45,'Raw Sep'!D:D)</f>
        <v>20303128.289999999</v>
      </c>
      <c r="D45" s="24">
        <f>SUMIF('Raw Sep'!B:B,'TB 0925'!A45,'Raw Sep'!E:E)</f>
        <v>4932714.3499999996</v>
      </c>
      <c r="E45" s="24">
        <f t="shared" si="0"/>
        <v>34966609.499999993</v>
      </c>
      <c r="F45" s="24">
        <f t="shared" si="1"/>
        <v>34966.609499999991</v>
      </c>
      <c r="G45" s="22" t="s">
        <v>181</v>
      </c>
      <c r="H45" s="23" t="s">
        <v>67</v>
      </c>
    </row>
    <row r="46" spans="1:9" hidden="1" x14ac:dyDescent="0.35">
      <c r="A46" s="23" t="s">
        <v>576</v>
      </c>
      <c r="B46" s="24">
        <f>SUMIF('Raw Sep'!B:B,'TB 0925'!A46,'Raw Sep'!C:C)</f>
        <v>0</v>
      </c>
      <c r="C46" s="24">
        <f>SUMIF('Raw Sep'!B:B,'TB 0925'!A46,'Raw Sep'!D:D)</f>
        <v>23494933.719999999</v>
      </c>
      <c r="D46" s="24">
        <f>SUMIF('Raw Sep'!B:B,'TB 0925'!A46,'Raw Sep'!E:E)</f>
        <v>23494933.719999999</v>
      </c>
      <c r="E46" s="24">
        <f t="shared" si="0"/>
        <v>0</v>
      </c>
      <c r="F46" s="24">
        <f t="shared" si="1"/>
        <v>0</v>
      </c>
      <c r="G46" s="22" t="s">
        <v>181</v>
      </c>
      <c r="H46" s="23" t="s">
        <v>77</v>
      </c>
    </row>
    <row r="47" spans="1:9" hidden="1" x14ac:dyDescent="0.35">
      <c r="A47" s="23" t="s">
        <v>577</v>
      </c>
      <c r="B47" s="24">
        <f>SUMIF('Raw Sep'!B:B,'TB 0925'!A47,'Raw Sep'!C:C)</f>
        <v>1804501.01</v>
      </c>
      <c r="C47" s="24">
        <f>SUMIF('Raw Sep'!B:B,'TB 0925'!A47,'Raw Sep'!D:D)</f>
        <v>119999.61</v>
      </c>
      <c r="D47" s="24">
        <f>SUMIF('Raw Sep'!B:B,'TB 0925'!A47,'Raw Sep'!E:E)</f>
        <v>0</v>
      </c>
      <c r="E47" s="24">
        <f t="shared" si="0"/>
        <v>1924500.62</v>
      </c>
      <c r="F47" s="24">
        <f t="shared" si="1"/>
        <v>1924.50062</v>
      </c>
      <c r="G47" s="22" t="s">
        <v>181</v>
      </c>
      <c r="H47" s="23" t="s">
        <v>79</v>
      </c>
    </row>
    <row r="48" spans="1:9" hidden="1" x14ac:dyDescent="0.35">
      <c r="A48" s="23" t="s">
        <v>146</v>
      </c>
      <c r="B48" s="24">
        <f>SUMIF('Raw Sep'!B:B,'TB 0925'!A48,'Raw Sep'!C:C)</f>
        <v>8841400</v>
      </c>
      <c r="C48" s="24">
        <f>SUMIF('Raw Sep'!B:B,'TB 0925'!A48,'Raw Sep'!D:D)</f>
        <v>2186000</v>
      </c>
      <c r="D48" s="24">
        <f>SUMIF('Raw Sep'!B:B,'TB 0925'!A48,'Raw Sep'!E:E)</f>
        <v>35000</v>
      </c>
      <c r="E48" s="24">
        <f t="shared" si="0"/>
        <v>10992400</v>
      </c>
      <c r="F48" s="24">
        <f t="shared" si="1"/>
        <v>10992.4</v>
      </c>
      <c r="G48" s="22" t="s">
        <v>181</v>
      </c>
      <c r="H48" s="23" t="s">
        <v>74</v>
      </c>
    </row>
    <row r="49" spans="1:8" hidden="1" x14ac:dyDescent="0.35">
      <c r="A49" s="23" t="s">
        <v>345</v>
      </c>
      <c r="B49" s="24">
        <f>SUMIF('Raw Sep'!B:B,'TB 0925'!A49,'Raw Sep'!C:C)</f>
        <v>345859.7</v>
      </c>
      <c r="C49" s="24">
        <f>SUMIF('Raw Sep'!B:B,'TB 0925'!A49,'Raw Sep'!D:D)</f>
        <v>925973</v>
      </c>
      <c r="D49" s="24">
        <f>SUMIF('Raw Sep'!B:B,'TB 0925'!A49,'Raw Sep'!E:E)</f>
        <v>0</v>
      </c>
      <c r="E49" s="24">
        <f t="shared" si="0"/>
        <v>1271832.7</v>
      </c>
      <c r="F49" s="24">
        <f t="shared" si="1"/>
        <v>1271.8326999999999</v>
      </c>
      <c r="G49" s="22" t="s">
        <v>181</v>
      </c>
      <c r="H49" s="23" t="s">
        <v>79</v>
      </c>
    </row>
    <row r="50" spans="1:8" hidden="1" x14ac:dyDescent="0.35">
      <c r="A50" s="23" t="s">
        <v>427</v>
      </c>
      <c r="B50" s="24">
        <f>SUMIF('Raw Sep'!B:B,'TB 0925'!A50,'Raw Sep'!C:C)</f>
        <v>-22640371.57</v>
      </c>
      <c r="C50" s="24">
        <f>SUMIF('Raw Sep'!B:B,'TB 0925'!A50,'Raw Sep'!D:D)</f>
        <v>35651660.890000001</v>
      </c>
      <c r="D50" s="24">
        <f>SUMIF('Raw Sep'!B:B,'TB 0925'!A50,'Raw Sep'!E:E)</f>
        <v>54879205.359999999</v>
      </c>
      <c r="E50" s="24">
        <f t="shared" si="0"/>
        <v>-41867916.039999999</v>
      </c>
      <c r="F50" s="24">
        <f t="shared" si="1"/>
        <v>-41867.916039999996</v>
      </c>
      <c r="G50" s="22" t="s">
        <v>180</v>
      </c>
      <c r="H50" s="23" t="s">
        <v>67</v>
      </c>
    </row>
    <row r="51" spans="1:8" hidden="1" x14ac:dyDescent="0.35">
      <c r="A51" s="23" t="s">
        <v>1331</v>
      </c>
      <c r="B51" s="24">
        <f>SUMIF('Raw Sep'!B:B,'TB 0925'!A51,'Raw Sep'!C:C)</f>
        <v>-1834316.5</v>
      </c>
      <c r="C51" s="24">
        <f>SUMIF('Raw Sep'!B:B,'TB 0925'!A51,'Raw Sep'!D:D)</f>
        <v>1832664.53</v>
      </c>
      <c r="D51" s="24">
        <f>SUMIF('Raw Sep'!B:B,'TB 0925'!A51,'Raw Sep'!E:E)</f>
        <v>2665257.5</v>
      </c>
      <c r="E51" s="24">
        <f t="shared" si="0"/>
        <v>-2666909.4699999997</v>
      </c>
      <c r="F51" s="24">
        <f t="shared" si="1"/>
        <v>-2666.9094699999996</v>
      </c>
      <c r="G51" s="22" t="s">
        <v>180</v>
      </c>
      <c r="H51" s="23" t="s">
        <v>68</v>
      </c>
    </row>
    <row r="52" spans="1:8" hidden="1" x14ac:dyDescent="0.35">
      <c r="A52" s="23" t="s">
        <v>423</v>
      </c>
      <c r="B52" s="24">
        <f>SUMIF('Raw Sep'!B:B,'TB 0925'!A52,'Raw Sep'!C:C)</f>
        <v>-887979.27</v>
      </c>
      <c r="C52" s="24">
        <f>SUMIF('Raw Sep'!B:B,'TB 0925'!A52,'Raw Sep'!D:D)</f>
        <v>0</v>
      </c>
      <c r="D52" s="24">
        <f>SUMIF('Raw Sep'!B:B,'TB 0925'!A52,'Raw Sep'!E:E)</f>
        <v>857760</v>
      </c>
      <c r="E52" s="24">
        <f t="shared" si="0"/>
        <v>-1745739.27</v>
      </c>
      <c r="F52" s="24">
        <f t="shared" si="1"/>
        <v>-1745.73927</v>
      </c>
      <c r="G52" s="22" t="s">
        <v>180</v>
      </c>
      <c r="H52" s="23" t="s">
        <v>68</v>
      </c>
    </row>
    <row r="53" spans="1:8" hidden="1" x14ac:dyDescent="0.35">
      <c r="A53" s="23" t="s">
        <v>578</v>
      </c>
      <c r="B53" s="24">
        <f>SUMIF('Raw Sep'!B:B,'TB 0925'!A53,'Raw Sep'!C:C)</f>
        <v>-500000</v>
      </c>
      <c r="C53" s="24">
        <f>SUMIF('Raw Sep'!B:B,'TB 0925'!A53,'Raw Sep'!D:D)</f>
        <v>518777</v>
      </c>
      <c r="D53" s="24">
        <f>SUMIF('Raw Sep'!B:B,'TB 0925'!A53,'Raw Sep'!E:E)</f>
        <v>624479.41</v>
      </c>
      <c r="E53" s="24">
        <f t="shared" si="0"/>
        <v>-605702.41</v>
      </c>
      <c r="F53" s="24">
        <f t="shared" si="1"/>
        <v>-605.70240999999999</v>
      </c>
      <c r="G53" s="22" t="s">
        <v>180</v>
      </c>
      <c r="H53" s="23" t="s">
        <v>68</v>
      </c>
    </row>
    <row r="54" spans="1:8" hidden="1" x14ac:dyDescent="0.35">
      <c r="A54" s="23" t="s">
        <v>622</v>
      </c>
      <c r="B54" s="24">
        <f>SUMIF('Raw Sep'!B:B,'TB 0925'!A54,'Raw Sep'!C:C)</f>
        <v>-721251</v>
      </c>
      <c r="C54" s="24">
        <f>SUMIF('Raw Sep'!B:B,'TB 0925'!A54,'Raw Sep'!D:D)</f>
        <v>21652841</v>
      </c>
      <c r="D54" s="24">
        <f>SUMIF('Raw Sep'!B:B,'TB 0925'!A54,'Raw Sep'!E:E)</f>
        <v>22073085</v>
      </c>
      <c r="E54" s="24">
        <f t="shared" si="0"/>
        <v>-1141495</v>
      </c>
      <c r="F54" s="24">
        <f t="shared" si="1"/>
        <v>-1141.4949999999999</v>
      </c>
      <c r="G54" s="22" t="s">
        <v>180</v>
      </c>
      <c r="H54" s="23" t="s">
        <v>68</v>
      </c>
    </row>
    <row r="55" spans="1:8" hidden="1" x14ac:dyDescent="0.35">
      <c r="A55" s="23" t="s">
        <v>775</v>
      </c>
      <c r="B55" s="24">
        <f>SUMIF('Raw Sep'!B:B,'TB 0925'!A55,'Raw Sep'!C:C)</f>
        <v>-144</v>
      </c>
      <c r="C55" s="24">
        <f>SUMIF('Raw Sep'!B:B,'TB 0925'!A55,'Raw Sep'!D:D)</f>
        <v>144</v>
      </c>
      <c r="D55" s="24">
        <f>SUMIF('Raw Sep'!B:B,'TB 0925'!A55,'Raw Sep'!E:E)</f>
        <v>149</v>
      </c>
      <c r="E55" s="24">
        <f t="shared" si="0"/>
        <v>-149</v>
      </c>
      <c r="F55" s="24">
        <f t="shared" si="1"/>
        <v>-0.14899999999999999</v>
      </c>
      <c r="G55" s="22" t="s">
        <v>180</v>
      </c>
      <c r="H55" s="23" t="s">
        <v>68</v>
      </c>
    </row>
    <row r="56" spans="1:8" hidden="1" x14ac:dyDescent="0.35">
      <c r="A56" s="23" t="s">
        <v>776</v>
      </c>
      <c r="B56" s="24">
        <f>SUMIF('Raw Sep'!B:B,'TB 0925'!A56,'Raw Sep'!C:C)</f>
        <v>-620</v>
      </c>
      <c r="C56" s="24">
        <f>SUMIF('Raw Sep'!B:B,'TB 0925'!A56,'Raw Sep'!D:D)</f>
        <v>620</v>
      </c>
      <c r="D56" s="24">
        <f>SUMIF('Raw Sep'!B:B,'TB 0925'!A56,'Raw Sep'!E:E)</f>
        <v>642</v>
      </c>
      <c r="E56" s="24">
        <f t="shared" si="0"/>
        <v>-642</v>
      </c>
      <c r="F56" s="24">
        <f t="shared" si="1"/>
        <v>-0.64200000000000002</v>
      </c>
      <c r="G56" s="22" t="s">
        <v>180</v>
      </c>
      <c r="H56" s="23" t="s">
        <v>68</v>
      </c>
    </row>
    <row r="57" spans="1:8" hidden="1" x14ac:dyDescent="0.35">
      <c r="A57" s="23" t="s">
        <v>1199</v>
      </c>
      <c r="B57" s="24">
        <f>SUMIF('Raw Sep'!B:B,'TB 0925'!A57,'Raw Sep'!C:C)</f>
        <v>-491210</v>
      </c>
      <c r="C57" s="24">
        <f>SUMIF('Raw Sep'!B:B,'TB 0925'!A57,'Raw Sep'!D:D)</f>
        <v>433414</v>
      </c>
      <c r="D57" s="24">
        <f>SUMIF('Raw Sep'!B:B,'TB 0925'!A57,'Raw Sep'!E:E)</f>
        <v>778710</v>
      </c>
      <c r="E57" s="24">
        <f t="shared" si="0"/>
        <v>-836506</v>
      </c>
      <c r="F57" s="24">
        <f t="shared" si="1"/>
        <v>-836.50599999999997</v>
      </c>
      <c r="G57" s="22" t="s">
        <v>180</v>
      </c>
      <c r="H57" s="23" t="s">
        <v>67</v>
      </c>
    </row>
    <row r="58" spans="1:8" hidden="1" x14ac:dyDescent="0.35">
      <c r="A58" s="23" t="s">
        <v>1252</v>
      </c>
      <c r="B58" s="24">
        <f>SUMIF('Raw Sep'!B:B,'TB 0925'!A58,'Raw Sep'!C:C)</f>
        <v>0</v>
      </c>
      <c r="C58" s="24">
        <f>SUMIF('Raw Sep'!B:B,'TB 0925'!A58,'Raw Sep'!D:D)</f>
        <v>562540</v>
      </c>
      <c r="D58" s="24">
        <f>SUMIF('Raw Sep'!B:B,'TB 0925'!A58,'Raw Sep'!E:E)</f>
        <v>562540</v>
      </c>
      <c r="E58" s="24">
        <f t="shared" si="0"/>
        <v>0</v>
      </c>
      <c r="F58" s="24">
        <f t="shared" si="1"/>
        <v>0</v>
      </c>
      <c r="G58" s="22" t="s">
        <v>180</v>
      </c>
      <c r="H58" s="23" t="s">
        <v>67</v>
      </c>
    </row>
    <row r="59" spans="1:8" hidden="1" x14ac:dyDescent="0.35">
      <c r="A59" s="23" t="s">
        <v>1288</v>
      </c>
      <c r="B59" s="24">
        <f>SUMIF('Raw Sep'!B:B,'TB 0925'!A59,'Raw Sep'!C:C)</f>
        <v>0</v>
      </c>
      <c r="C59" s="24">
        <f>SUMIF('Raw Sep'!B:B,'TB 0925'!A59,'Raw Sep'!D:D)</f>
        <v>2643794</v>
      </c>
      <c r="D59" s="24">
        <f>SUMIF('Raw Sep'!B:B,'TB 0925'!A59,'Raw Sep'!E:E)</f>
        <v>2643794</v>
      </c>
      <c r="E59" s="24">
        <f t="shared" si="0"/>
        <v>0</v>
      </c>
      <c r="F59" s="24">
        <f t="shared" si="1"/>
        <v>0</v>
      </c>
      <c r="G59" s="22" t="s">
        <v>180</v>
      </c>
      <c r="H59" s="23" t="s">
        <v>68</v>
      </c>
    </row>
    <row r="60" spans="1:8" hidden="1" x14ac:dyDescent="0.35">
      <c r="A60" s="23" t="s">
        <v>969</v>
      </c>
      <c r="B60" s="24">
        <f>SUMIF('Raw Sep'!B:B,'TB 0925'!A60,'Raw Sep'!C:C)</f>
        <v>-29556427.579999998</v>
      </c>
      <c r="C60" s="24">
        <f>SUMIF('Raw Sep'!B:B,'TB 0925'!A60,'Raw Sep'!D:D)</f>
        <v>28950690.07</v>
      </c>
      <c r="D60" s="24">
        <f>SUMIF('Raw Sep'!B:B,'TB 0925'!A60,'Raw Sep'!E:E)</f>
        <v>42806905.100000001</v>
      </c>
      <c r="E60" s="24">
        <f t="shared" si="0"/>
        <v>-43412642.609999999</v>
      </c>
      <c r="F60" s="24">
        <f t="shared" si="1"/>
        <v>-43412.642610000003</v>
      </c>
      <c r="G60" s="22" t="s">
        <v>180</v>
      </c>
      <c r="H60" s="23" t="s">
        <v>67</v>
      </c>
    </row>
    <row r="61" spans="1:8" hidden="1" x14ac:dyDescent="0.35">
      <c r="A61" s="23" t="s">
        <v>1253</v>
      </c>
      <c r="B61" s="24">
        <f>SUMIF('Raw Sep'!B:B,'TB 0925'!A61,'Raw Sep'!C:C)</f>
        <v>0</v>
      </c>
      <c r="C61" s="24">
        <f>SUMIF('Raw Sep'!B:B,'TB 0925'!A61,'Raw Sep'!D:D)</f>
        <v>59746.5</v>
      </c>
      <c r="D61" s="24">
        <f>SUMIF('Raw Sep'!B:B,'TB 0925'!A61,'Raw Sep'!E:E)</f>
        <v>59746.5</v>
      </c>
      <c r="E61" s="24">
        <f t="shared" si="0"/>
        <v>0</v>
      </c>
      <c r="F61" s="24">
        <f t="shared" si="1"/>
        <v>0</v>
      </c>
      <c r="G61" s="22" t="s">
        <v>180</v>
      </c>
      <c r="H61" s="23" t="s">
        <v>67</v>
      </c>
    </row>
    <row r="62" spans="1:8" hidden="1" x14ac:dyDescent="0.35">
      <c r="A62" s="23" t="s">
        <v>579</v>
      </c>
      <c r="B62" s="24">
        <f>SUMIF('Raw Sep'!B:B,'TB 0925'!A62,'Raw Sep'!C:C)</f>
        <v>-1000170.06</v>
      </c>
      <c r="C62" s="24">
        <f>SUMIF('Raw Sep'!B:B,'TB 0925'!A62,'Raw Sep'!D:D)</f>
        <v>1053199</v>
      </c>
      <c r="D62" s="24">
        <f>SUMIF('Raw Sep'!B:B,'TB 0925'!A62,'Raw Sep'!E:E)</f>
        <v>1141574.21</v>
      </c>
      <c r="E62" s="24">
        <f t="shared" si="0"/>
        <v>-1088545.27</v>
      </c>
      <c r="F62" s="24">
        <f t="shared" si="1"/>
        <v>-1088.5452700000001</v>
      </c>
      <c r="G62" s="22" t="s">
        <v>180</v>
      </c>
      <c r="H62" s="23" t="s">
        <v>79</v>
      </c>
    </row>
    <row r="63" spans="1:8" hidden="1" x14ac:dyDescent="0.35">
      <c r="A63" s="23" t="s">
        <v>580</v>
      </c>
      <c r="B63" s="24">
        <f>SUMIF('Raw Sep'!B:B,'TB 0925'!A63,'Raw Sep'!C:C)</f>
        <v>-648419.87</v>
      </c>
      <c r="C63" s="24">
        <f>SUMIF('Raw Sep'!B:B,'TB 0925'!A63,'Raw Sep'!D:D)</f>
        <v>604181</v>
      </c>
      <c r="D63" s="24">
        <f>SUMIF('Raw Sep'!B:B,'TB 0925'!A63,'Raw Sep'!E:E)</f>
        <v>29141.73</v>
      </c>
      <c r="E63" s="24">
        <f t="shared" si="0"/>
        <v>-73380.599999999991</v>
      </c>
      <c r="F63" s="24">
        <f t="shared" si="1"/>
        <v>-73.380599999999987</v>
      </c>
      <c r="G63" s="22" t="s">
        <v>180</v>
      </c>
      <c r="H63" s="23" t="s">
        <v>79</v>
      </c>
    </row>
    <row r="64" spans="1:8" hidden="1" x14ac:dyDescent="0.35">
      <c r="A64" s="23" t="s">
        <v>581</v>
      </c>
      <c r="B64" s="24">
        <f>SUMIF('Raw Sep'!B:B,'TB 0925'!A64,'Raw Sep'!C:C)</f>
        <v>-1000168.06</v>
      </c>
      <c r="C64" s="24">
        <f>SUMIF('Raw Sep'!B:B,'TB 0925'!A64,'Raw Sep'!D:D)</f>
        <v>1053199</v>
      </c>
      <c r="D64" s="24">
        <f>SUMIF('Raw Sep'!B:B,'TB 0925'!A64,'Raw Sep'!E:E)</f>
        <v>1141574.21</v>
      </c>
      <c r="E64" s="24">
        <f t="shared" si="0"/>
        <v>-1088543.27</v>
      </c>
      <c r="F64" s="24">
        <f t="shared" si="1"/>
        <v>-1088.5432700000001</v>
      </c>
      <c r="G64" s="22" t="s">
        <v>180</v>
      </c>
      <c r="H64" s="23" t="s">
        <v>79</v>
      </c>
    </row>
    <row r="65" spans="1:8" hidden="1" x14ac:dyDescent="0.35">
      <c r="A65" s="23" t="s">
        <v>582</v>
      </c>
      <c r="B65" s="24">
        <f>SUMIF('Raw Sep'!B:B,'TB 0925'!A65,'Raw Sep'!C:C)</f>
        <v>-31200</v>
      </c>
      <c r="C65" s="24">
        <f>SUMIF('Raw Sep'!B:B,'TB 0925'!A65,'Raw Sep'!D:D)</f>
        <v>31400</v>
      </c>
      <c r="D65" s="24">
        <f>SUMIF('Raw Sep'!B:B,'TB 0925'!A65,'Raw Sep'!E:E)</f>
        <v>34400</v>
      </c>
      <c r="E65" s="24">
        <f t="shared" si="0"/>
        <v>-34200</v>
      </c>
      <c r="F65" s="24">
        <f t="shared" si="1"/>
        <v>-34.200000000000003</v>
      </c>
      <c r="G65" s="22" t="s">
        <v>180</v>
      </c>
      <c r="H65" s="23" t="s">
        <v>68</v>
      </c>
    </row>
    <row r="66" spans="1:8" hidden="1" x14ac:dyDescent="0.35">
      <c r="A66" s="23" t="s">
        <v>583</v>
      </c>
      <c r="B66" s="24">
        <f>SUMIF('Raw Sep'!B:B,'TB 0925'!A66,'Raw Sep'!C:C)</f>
        <v>-327631</v>
      </c>
      <c r="C66" s="24">
        <f>SUMIF('Raw Sep'!B:B,'TB 0925'!A66,'Raw Sep'!D:D)</f>
        <v>327631</v>
      </c>
      <c r="D66" s="24">
        <f>SUMIF('Raw Sep'!B:B,'TB 0925'!A66,'Raw Sep'!E:E)</f>
        <v>369952</v>
      </c>
      <c r="E66" s="24">
        <f t="shared" si="0"/>
        <v>-369952</v>
      </c>
      <c r="F66" s="24">
        <f t="shared" si="1"/>
        <v>-369.952</v>
      </c>
      <c r="G66" s="22" t="s">
        <v>180</v>
      </c>
      <c r="H66" s="23" t="s">
        <v>68</v>
      </c>
    </row>
    <row r="67" spans="1:8" hidden="1" x14ac:dyDescent="0.35">
      <c r="A67" s="23" t="s">
        <v>584</v>
      </c>
      <c r="B67" s="24">
        <f>SUMIF('Raw Sep'!B:B,'TB 0925'!A67,'Raw Sep'!C:C)</f>
        <v>-327631</v>
      </c>
      <c r="C67" s="24">
        <f>SUMIF('Raw Sep'!B:B,'TB 0925'!A67,'Raw Sep'!D:D)</f>
        <v>327631</v>
      </c>
      <c r="D67" s="24">
        <f>SUMIF('Raw Sep'!B:B,'TB 0925'!A67,'Raw Sep'!E:E)</f>
        <v>369952</v>
      </c>
      <c r="E67" s="24">
        <f t="shared" si="0"/>
        <v>-369952</v>
      </c>
      <c r="F67" s="24">
        <f t="shared" si="1"/>
        <v>-369.952</v>
      </c>
      <c r="G67" s="22" t="s">
        <v>180</v>
      </c>
      <c r="H67" s="23" t="s">
        <v>68</v>
      </c>
    </row>
    <row r="68" spans="1:8" hidden="1" x14ac:dyDescent="0.35">
      <c r="A68" s="23" t="s">
        <v>138</v>
      </c>
      <c r="B68" s="24">
        <f>SUMIF('Raw Sep'!B:B,'TB 0925'!A68,'Raw Sep'!C:C)</f>
        <v>-100000</v>
      </c>
      <c r="C68" s="24">
        <f>SUMIF('Raw Sep'!B:B,'TB 0925'!A68,'Raw Sep'!D:D)</f>
        <v>0</v>
      </c>
      <c r="D68" s="24">
        <f>SUMIF('Raw Sep'!B:B,'TB 0925'!A68,'Raw Sep'!E:E)</f>
        <v>0</v>
      </c>
      <c r="E68" s="24">
        <f t="shared" ref="E68:E131" si="3">B68+C68-D68</f>
        <v>-100000</v>
      </c>
      <c r="F68" s="24">
        <f t="shared" ref="F68:F131" si="4">E68/10^3</f>
        <v>-100</v>
      </c>
      <c r="G68" s="22" t="s">
        <v>180</v>
      </c>
      <c r="H68" s="23" t="s">
        <v>69</v>
      </c>
    </row>
    <row r="69" spans="1:8" hidden="1" x14ac:dyDescent="0.35">
      <c r="A69" s="23" t="s">
        <v>620</v>
      </c>
      <c r="B69" s="24">
        <f>SUMIF('Raw Sep'!B:B,'TB 0925'!A69,'Raw Sep'!C:C)</f>
        <v>-877789</v>
      </c>
      <c r="C69" s="24">
        <f>SUMIF('Raw Sep'!B:B,'TB 0925'!A69,'Raw Sep'!D:D)</f>
        <v>5000</v>
      </c>
      <c r="D69" s="24">
        <f>SUMIF('Raw Sep'!B:B,'TB 0925'!A69,'Raw Sep'!E:E)</f>
        <v>12000000</v>
      </c>
      <c r="E69" s="24">
        <f t="shared" si="3"/>
        <v>-12872789</v>
      </c>
      <c r="F69" s="24">
        <f t="shared" si="4"/>
        <v>-12872.789000000001</v>
      </c>
      <c r="G69" s="22" t="s">
        <v>180</v>
      </c>
      <c r="H69" s="23" t="s">
        <v>69</v>
      </c>
    </row>
    <row r="70" spans="1:8" hidden="1" x14ac:dyDescent="0.35">
      <c r="A70" s="23" t="s">
        <v>1296</v>
      </c>
      <c r="B70" s="24">
        <f>SUMIF('Raw Sep'!B:B,'TB 0925'!A70,'Raw Sep'!C:C)</f>
        <v>-1792293</v>
      </c>
      <c r="C70" s="24">
        <f>SUMIF('Raw Sep'!B:B,'TB 0925'!A70,'Raw Sep'!D:D)</f>
        <v>1792293</v>
      </c>
      <c r="D70" s="24">
        <f>SUMIF('Raw Sep'!B:B,'TB 0925'!A70,'Raw Sep'!E:E)</f>
        <v>0</v>
      </c>
      <c r="E70" s="24">
        <f t="shared" si="3"/>
        <v>0</v>
      </c>
      <c r="F70" s="24">
        <f t="shared" si="4"/>
        <v>0</v>
      </c>
      <c r="G70" s="22" t="s">
        <v>180</v>
      </c>
      <c r="H70" s="23" t="s">
        <v>69</v>
      </c>
    </row>
    <row r="71" spans="1:8" hidden="1" x14ac:dyDescent="0.35">
      <c r="A71" s="23" t="s">
        <v>1364</v>
      </c>
      <c r="B71" s="24">
        <f>SUMIF('Raw Sep'!B:B,'TB 0925'!A71,'Raw Sep'!C:C)</f>
        <v>-12000000</v>
      </c>
      <c r="C71" s="24">
        <f>SUMIF('Raw Sep'!B:B,'TB 0925'!A71,'Raw Sep'!D:D)</f>
        <v>12000000</v>
      </c>
      <c r="D71" s="24">
        <f>SUMIF('Raw Sep'!B:B,'TB 0925'!A71,'Raw Sep'!E:E)</f>
        <v>8000000</v>
      </c>
      <c r="E71" s="24">
        <f t="shared" si="3"/>
        <v>-8000000</v>
      </c>
      <c r="F71" s="24">
        <f t="shared" si="4"/>
        <v>-8000</v>
      </c>
      <c r="G71" s="22" t="s">
        <v>180</v>
      </c>
      <c r="H71" s="23" t="s">
        <v>69</v>
      </c>
    </row>
    <row r="72" spans="1:8" hidden="1" x14ac:dyDescent="0.35">
      <c r="A72" s="23" t="s">
        <v>585</v>
      </c>
      <c r="B72" s="24">
        <f>SUMIF('Raw Sep'!B:B,'TB 0925'!A72,'Raw Sep'!C:C)</f>
        <v>-10558590.359999999</v>
      </c>
      <c r="C72" s="24">
        <f>SUMIF('Raw Sep'!B:B,'TB 0925'!A72,'Raw Sep'!D:D)</f>
        <v>10552048.439999999</v>
      </c>
      <c r="D72" s="24">
        <f>SUMIF('Raw Sep'!B:B,'TB 0925'!A72,'Raw Sep'!E:E)</f>
        <v>16323172.800000001</v>
      </c>
      <c r="E72" s="24">
        <f t="shared" si="3"/>
        <v>-16329714.720000001</v>
      </c>
      <c r="F72" s="24">
        <f t="shared" si="4"/>
        <v>-16329.71472</v>
      </c>
      <c r="G72" s="22" t="s">
        <v>180</v>
      </c>
      <c r="H72" s="23" t="s">
        <v>69</v>
      </c>
    </row>
    <row r="73" spans="1:8" hidden="1" x14ac:dyDescent="0.35">
      <c r="A73" s="23" t="s">
        <v>960</v>
      </c>
      <c r="B73" s="24">
        <f>SUMIF('Raw Sep'!B:B,'TB 0925'!A73,'Raw Sep'!C:C)</f>
        <v>-567000</v>
      </c>
      <c r="C73" s="24">
        <f>SUMIF('Raw Sep'!B:B,'TB 0925'!A73,'Raw Sep'!D:D)</f>
        <v>567000</v>
      </c>
      <c r="D73" s="24">
        <f>SUMIF('Raw Sep'!B:B,'TB 0925'!A73,'Raw Sep'!E:E)</f>
        <v>0</v>
      </c>
      <c r="E73" s="24">
        <f t="shared" si="3"/>
        <v>0</v>
      </c>
      <c r="F73" s="24">
        <f t="shared" si="4"/>
        <v>0</v>
      </c>
      <c r="G73" s="22" t="s">
        <v>180</v>
      </c>
      <c r="H73" s="23" t="s">
        <v>69</v>
      </c>
    </row>
    <row r="74" spans="1:8" hidden="1" x14ac:dyDescent="0.35">
      <c r="A74" s="23" t="s">
        <v>1256</v>
      </c>
      <c r="B74" s="24">
        <f>SUMIF('Raw Sep'!B:B,'TB 0925'!A74,'Raw Sep'!C:C)</f>
        <v>-688100</v>
      </c>
      <c r="C74" s="24">
        <f>SUMIF('Raw Sep'!B:B,'TB 0925'!A74,'Raw Sep'!D:D)</f>
        <v>500000</v>
      </c>
      <c r="D74" s="24">
        <f>SUMIF('Raw Sep'!B:B,'TB 0925'!A74,'Raw Sep'!E:E)</f>
        <v>90000</v>
      </c>
      <c r="E74" s="24">
        <f t="shared" si="3"/>
        <v>-278100</v>
      </c>
      <c r="F74" s="24">
        <f t="shared" si="4"/>
        <v>-278.10000000000002</v>
      </c>
      <c r="G74" s="22" t="s">
        <v>180</v>
      </c>
      <c r="H74" s="23" t="s">
        <v>69</v>
      </c>
    </row>
    <row r="75" spans="1:8" hidden="1" x14ac:dyDescent="0.35">
      <c r="A75" s="23" t="s">
        <v>623</v>
      </c>
      <c r="B75" s="24">
        <f>SUMIF('Raw Sep'!B:B,'TB 0925'!A75,'Raw Sep'!C:C)</f>
        <v>-4300000</v>
      </c>
      <c r="C75" s="24">
        <f>SUMIF('Raw Sep'!B:B,'TB 0925'!A75,'Raw Sep'!D:D)</f>
        <v>4300000</v>
      </c>
      <c r="D75" s="24">
        <f>SUMIF('Raw Sep'!B:B,'TB 0925'!A75,'Raw Sep'!E:E)</f>
        <v>0</v>
      </c>
      <c r="E75" s="24">
        <f t="shared" si="3"/>
        <v>0</v>
      </c>
      <c r="F75" s="24">
        <f t="shared" si="4"/>
        <v>0</v>
      </c>
      <c r="G75" s="22" t="s">
        <v>180</v>
      </c>
      <c r="H75" s="23" t="s">
        <v>69</v>
      </c>
    </row>
    <row r="76" spans="1:8" hidden="1" x14ac:dyDescent="0.35">
      <c r="A76" s="23" t="s">
        <v>586</v>
      </c>
      <c r="B76" s="24">
        <f>SUMIF('Raw Sep'!B:B,'TB 0925'!A76,'Raw Sep'!C:C)</f>
        <v>-110975.03</v>
      </c>
      <c r="C76" s="24">
        <f>SUMIF('Raw Sep'!B:B,'TB 0925'!A76,'Raw Sep'!D:D)</f>
        <v>95530.03</v>
      </c>
      <c r="D76" s="24">
        <f>SUMIF('Raw Sep'!B:B,'TB 0925'!A76,'Raw Sep'!E:E)</f>
        <v>0</v>
      </c>
      <c r="E76" s="24">
        <f t="shared" si="3"/>
        <v>-15445</v>
      </c>
      <c r="F76" s="24">
        <f t="shared" si="4"/>
        <v>-15.445</v>
      </c>
      <c r="G76" s="22" t="s">
        <v>180</v>
      </c>
      <c r="H76" s="23" t="s">
        <v>69</v>
      </c>
    </row>
    <row r="77" spans="1:8" hidden="1" x14ac:dyDescent="0.35">
      <c r="A77" s="23" t="s">
        <v>1257</v>
      </c>
      <c r="B77" s="24">
        <f>SUMIF('Raw Sep'!B:B,'TB 0925'!A77,'Raw Sep'!C:C)</f>
        <v>-238328.77</v>
      </c>
      <c r="C77" s="24">
        <f>SUMIF('Raw Sep'!B:B,'TB 0925'!A77,'Raw Sep'!D:D)</f>
        <v>0</v>
      </c>
      <c r="D77" s="24">
        <f>SUMIF('Raw Sep'!B:B,'TB 0925'!A77,'Raw Sep'!E:E)</f>
        <v>906070.4</v>
      </c>
      <c r="E77" s="24">
        <f t="shared" si="3"/>
        <v>-1144399.17</v>
      </c>
      <c r="F77" s="24">
        <f t="shared" si="4"/>
        <v>-1144.3991699999999</v>
      </c>
      <c r="G77" s="22" t="s">
        <v>180</v>
      </c>
      <c r="H77" s="23" t="s">
        <v>69</v>
      </c>
    </row>
    <row r="78" spans="1:8" hidden="1" x14ac:dyDescent="0.35">
      <c r="A78" s="23" t="s">
        <v>1258</v>
      </c>
      <c r="B78" s="24">
        <f>SUMIF('Raw Sep'!B:B,'TB 0925'!A78,'Raw Sep'!C:C)</f>
        <v>-140408.63</v>
      </c>
      <c r="C78" s="24">
        <f>SUMIF('Raw Sep'!B:B,'TB 0925'!A78,'Raw Sep'!D:D)</f>
        <v>0</v>
      </c>
      <c r="D78" s="24">
        <f>SUMIF('Raw Sep'!B:B,'TB 0925'!A78,'Raw Sep'!E:E)</f>
        <v>9370.3799999999992</v>
      </c>
      <c r="E78" s="24">
        <f t="shared" si="3"/>
        <v>-149779.01</v>
      </c>
      <c r="F78" s="24">
        <f t="shared" si="4"/>
        <v>-149.77901</v>
      </c>
      <c r="G78" s="22" t="s">
        <v>180</v>
      </c>
      <c r="H78" s="23" t="s">
        <v>69</v>
      </c>
    </row>
    <row r="79" spans="1:8" hidden="1" x14ac:dyDescent="0.35">
      <c r="A79" s="23" t="s">
        <v>425</v>
      </c>
      <c r="B79" s="24">
        <f>SUMIF('Raw Sep'!B:B,'TB 0925'!A79,'Raw Sep'!C:C)</f>
        <v>-3818745.47</v>
      </c>
      <c r="C79" s="24">
        <f>SUMIF('Raw Sep'!B:B,'TB 0925'!A79,'Raw Sep'!D:D)</f>
        <v>3955234.92</v>
      </c>
      <c r="D79" s="24">
        <f>SUMIF('Raw Sep'!B:B,'TB 0925'!A79,'Raw Sep'!E:E)</f>
        <v>4647592.28</v>
      </c>
      <c r="E79" s="24">
        <f t="shared" si="3"/>
        <v>-4511102.83</v>
      </c>
      <c r="F79" s="24">
        <f t="shared" si="4"/>
        <v>-4511.1028299999998</v>
      </c>
      <c r="G79" s="22" t="s">
        <v>180</v>
      </c>
      <c r="H79" s="23" t="s">
        <v>68</v>
      </c>
    </row>
    <row r="80" spans="1:8" hidden="1" x14ac:dyDescent="0.35">
      <c r="A80" s="23" t="s">
        <v>587</v>
      </c>
      <c r="B80" s="24">
        <f>SUMIF('Raw Sep'!B:B,'TB 0925'!A80,'Raw Sep'!C:C)</f>
        <v>-1796945</v>
      </c>
      <c r="C80" s="24">
        <f>SUMIF('Raw Sep'!B:B,'TB 0925'!A80,'Raw Sep'!D:D)</f>
        <v>0</v>
      </c>
      <c r="D80" s="24">
        <f>SUMIF('Raw Sep'!B:B,'TB 0925'!A80,'Raw Sep'!E:E)</f>
        <v>433749</v>
      </c>
      <c r="E80" s="24">
        <f t="shared" si="3"/>
        <v>-2230694</v>
      </c>
      <c r="F80" s="24">
        <f t="shared" si="4"/>
        <v>-2230.694</v>
      </c>
      <c r="G80" s="22" t="s">
        <v>180</v>
      </c>
      <c r="H80" s="23" t="s">
        <v>68</v>
      </c>
    </row>
    <row r="81" spans="1:8" hidden="1" x14ac:dyDescent="0.35">
      <c r="A81" s="23" t="s">
        <v>588</v>
      </c>
      <c r="B81" s="24">
        <f>SUMIF('Raw Sep'!B:B,'TB 0925'!A81,'Raw Sep'!C:C)</f>
        <v>233617290.69999999</v>
      </c>
      <c r="C81" s="24">
        <f>SUMIF('Raw Sep'!B:B,'TB 0925'!A81,'Raw Sep'!D:D)</f>
        <v>0</v>
      </c>
      <c r="D81" s="24">
        <f>SUMIF('Raw Sep'!B:B,'TB 0925'!A81,'Raw Sep'!E:E)</f>
        <v>0</v>
      </c>
      <c r="E81" s="24">
        <f t="shared" si="3"/>
        <v>233617290.69999999</v>
      </c>
      <c r="F81" s="24">
        <f t="shared" si="4"/>
        <v>233617.29069999998</v>
      </c>
      <c r="G81" s="22" t="s">
        <v>180</v>
      </c>
      <c r="H81" s="23" t="s">
        <v>64</v>
      </c>
    </row>
    <row r="82" spans="1:8" hidden="1" x14ac:dyDescent="0.35">
      <c r="A82" s="23" t="s">
        <v>589</v>
      </c>
      <c r="B82" s="24">
        <f>SUMIF('Raw Sep'!B:B,'TB 0925'!A82,'Raw Sep'!C:C)</f>
        <v>-100000</v>
      </c>
      <c r="C82" s="24">
        <f>SUMIF('Raw Sep'!B:B,'TB 0925'!A82,'Raw Sep'!D:D)</f>
        <v>0</v>
      </c>
      <c r="D82" s="24">
        <f>SUMIF('Raw Sep'!B:B,'TB 0925'!A82,'Raw Sep'!E:E)</f>
        <v>0</v>
      </c>
      <c r="E82" s="24">
        <f t="shared" si="3"/>
        <v>-100000</v>
      </c>
      <c r="F82" s="24">
        <f t="shared" si="4"/>
        <v>-100</v>
      </c>
      <c r="G82" s="22" t="s">
        <v>180</v>
      </c>
      <c r="H82" s="23" t="s">
        <v>63</v>
      </c>
    </row>
    <row r="83" spans="1:8" hidden="1" x14ac:dyDescent="0.35">
      <c r="A83" s="23" t="s">
        <v>698</v>
      </c>
      <c r="B83" s="24">
        <f>SUMIF('Raw Sep'!B:B,'TB 0925'!A83,'Raw Sep'!C:C)</f>
        <v>-10</v>
      </c>
      <c r="C83" s="24">
        <f>SUMIF('Raw Sep'!B:B,'TB 0925'!A83,'Raw Sep'!D:D)</f>
        <v>0</v>
      </c>
      <c r="D83" s="24">
        <f>SUMIF('Raw Sep'!B:B,'TB 0925'!A83,'Raw Sep'!E:E)</f>
        <v>0</v>
      </c>
      <c r="E83" s="24">
        <f t="shared" si="3"/>
        <v>-10</v>
      </c>
      <c r="F83" s="24">
        <f t="shared" si="4"/>
        <v>-0.01</v>
      </c>
      <c r="G83" s="22" t="s">
        <v>180</v>
      </c>
      <c r="H83" s="23" t="s">
        <v>63</v>
      </c>
    </row>
    <row r="84" spans="1:8" hidden="1" x14ac:dyDescent="0.35">
      <c r="A84" s="23" t="s">
        <v>699</v>
      </c>
      <c r="B84" s="24">
        <f>SUMIF('Raw Sep'!B:B,'TB 0925'!A84,'Raw Sep'!C:C)</f>
        <v>-5463300</v>
      </c>
      <c r="C84" s="24">
        <f>SUMIF('Raw Sep'!B:B,'TB 0925'!A84,'Raw Sep'!D:D)</f>
        <v>0</v>
      </c>
      <c r="D84" s="24">
        <f>SUMIF('Raw Sep'!B:B,'TB 0925'!A84,'Raw Sep'!E:E)</f>
        <v>0</v>
      </c>
      <c r="E84" s="24">
        <f t="shared" si="3"/>
        <v>-5463300</v>
      </c>
      <c r="F84" s="24">
        <f t="shared" si="4"/>
        <v>-5463.3</v>
      </c>
      <c r="G84" s="22" t="s">
        <v>180</v>
      </c>
      <c r="H84" s="23" t="s">
        <v>63</v>
      </c>
    </row>
    <row r="85" spans="1:8" hidden="1" x14ac:dyDescent="0.35">
      <c r="A85" s="23" t="s">
        <v>700</v>
      </c>
      <c r="B85" s="24">
        <f>SUMIF('Raw Sep'!B:B,'TB 0925'!A85,'Raw Sep'!C:C)</f>
        <v>-10800</v>
      </c>
      <c r="C85" s="24">
        <f>SUMIF('Raw Sep'!B:B,'TB 0925'!A85,'Raw Sep'!D:D)</f>
        <v>0</v>
      </c>
      <c r="D85" s="24">
        <f>SUMIF('Raw Sep'!B:B,'TB 0925'!A85,'Raw Sep'!E:E)</f>
        <v>0</v>
      </c>
      <c r="E85" s="24">
        <f t="shared" si="3"/>
        <v>-10800</v>
      </c>
      <c r="F85" s="24">
        <f t="shared" si="4"/>
        <v>-10.8</v>
      </c>
      <c r="G85" s="22" t="s">
        <v>180</v>
      </c>
      <c r="H85" s="23" t="s">
        <v>63</v>
      </c>
    </row>
    <row r="86" spans="1:8" hidden="1" x14ac:dyDescent="0.35">
      <c r="A86" s="23" t="s">
        <v>1259</v>
      </c>
      <c r="B86" s="24">
        <f>SUMIF('Raw Sep'!B:B,'TB 0925'!A86,'Raw Sep'!C:C)</f>
        <v>-3772700</v>
      </c>
      <c r="C86" s="24">
        <f>SUMIF('Raw Sep'!B:B,'TB 0925'!A86,'Raw Sep'!D:D)</f>
        <v>0</v>
      </c>
      <c r="D86" s="24">
        <f>SUMIF('Raw Sep'!B:B,'TB 0925'!A86,'Raw Sep'!E:E)</f>
        <v>0</v>
      </c>
      <c r="E86" s="24">
        <f t="shared" si="3"/>
        <v>-3772700</v>
      </c>
      <c r="F86" s="24">
        <f t="shared" si="4"/>
        <v>-3772.7</v>
      </c>
      <c r="G86" s="22" t="s">
        <v>180</v>
      </c>
      <c r="H86" s="23" t="s">
        <v>63</v>
      </c>
    </row>
    <row r="87" spans="1:8" hidden="1" x14ac:dyDescent="0.35">
      <c r="A87" s="23" t="s">
        <v>590</v>
      </c>
      <c r="B87" s="24">
        <f>SUMIF('Raw Sep'!B:B,'TB 0925'!A87,'Raw Sep'!C:C)</f>
        <v>-10</v>
      </c>
      <c r="C87" s="24">
        <f>SUMIF('Raw Sep'!B:B,'TB 0925'!A87,'Raw Sep'!D:D)</f>
        <v>0</v>
      </c>
      <c r="D87" s="24">
        <f>SUMIF('Raw Sep'!B:B,'TB 0925'!A87,'Raw Sep'!E:E)</f>
        <v>0</v>
      </c>
      <c r="E87" s="24">
        <f t="shared" si="3"/>
        <v>-10</v>
      </c>
      <c r="F87" s="24">
        <f t="shared" si="4"/>
        <v>-0.01</v>
      </c>
      <c r="G87" s="22" t="s">
        <v>180</v>
      </c>
      <c r="H87" s="23" t="s">
        <v>63</v>
      </c>
    </row>
    <row r="88" spans="1:8" hidden="1" x14ac:dyDescent="0.35">
      <c r="A88" s="23" t="s">
        <v>591</v>
      </c>
      <c r="B88" s="24">
        <f>SUMIF('Raw Sep'!B:B,'TB 0925'!A88,'Raw Sep'!C:C)</f>
        <v>-6497900</v>
      </c>
      <c r="C88" s="24">
        <f>SUMIF('Raw Sep'!B:B,'TB 0925'!A88,'Raw Sep'!D:D)</f>
        <v>0</v>
      </c>
      <c r="D88" s="24">
        <f>SUMIF('Raw Sep'!B:B,'TB 0925'!A88,'Raw Sep'!E:E)</f>
        <v>0</v>
      </c>
      <c r="E88" s="24">
        <f t="shared" si="3"/>
        <v>-6497900</v>
      </c>
      <c r="F88" s="24">
        <f t="shared" si="4"/>
        <v>-6497.9</v>
      </c>
      <c r="G88" s="22" t="s">
        <v>180</v>
      </c>
      <c r="H88" s="23" t="s">
        <v>63</v>
      </c>
    </row>
    <row r="89" spans="1:8" hidden="1" x14ac:dyDescent="0.35">
      <c r="A89" s="23" t="s">
        <v>701</v>
      </c>
      <c r="B89" s="24">
        <f>SUMIF('Raw Sep'!B:B,'TB 0925'!A89,'Raw Sep'!C:C)</f>
        <v>-16200</v>
      </c>
      <c r="C89" s="24">
        <f>SUMIF('Raw Sep'!B:B,'TB 0925'!A89,'Raw Sep'!D:D)</f>
        <v>0</v>
      </c>
      <c r="D89" s="24">
        <f>SUMIF('Raw Sep'!B:B,'TB 0925'!A89,'Raw Sep'!E:E)</f>
        <v>0</v>
      </c>
      <c r="E89" s="24">
        <f t="shared" si="3"/>
        <v>-16200</v>
      </c>
      <c r="F89" s="24">
        <f t="shared" si="4"/>
        <v>-16.2</v>
      </c>
      <c r="G89" s="22" t="s">
        <v>180</v>
      </c>
      <c r="H89" s="23" t="s">
        <v>63</v>
      </c>
    </row>
    <row r="90" spans="1:8" hidden="1" x14ac:dyDescent="0.35">
      <c r="A90" s="23" t="s">
        <v>702</v>
      </c>
      <c r="B90" s="24">
        <f>SUMIF('Raw Sep'!B:B,'TB 0925'!A90,'Raw Sep'!C:C)</f>
        <v>-5400</v>
      </c>
      <c r="C90" s="24">
        <f>SUMIF('Raw Sep'!B:B,'TB 0925'!A90,'Raw Sep'!D:D)</f>
        <v>0</v>
      </c>
      <c r="D90" s="24">
        <f>SUMIF('Raw Sep'!B:B,'TB 0925'!A90,'Raw Sep'!E:E)</f>
        <v>0</v>
      </c>
      <c r="E90" s="24">
        <f t="shared" si="3"/>
        <v>-5400</v>
      </c>
      <c r="F90" s="24">
        <f t="shared" si="4"/>
        <v>-5.4</v>
      </c>
      <c r="G90" s="22" t="s">
        <v>180</v>
      </c>
      <c r="H90" s="23" t="s">
        <v>63</v>
      </c>
    </row>
    <row r="91" spans="1:8" hidden="1" x14ac:dyDescent="0.35">
      <c r="A91" s="23" t="s">
        <v>703</v>
      </c>
      <c r="B91" s="24">
        <f>SUMIF('Raw Sep'!B:B,'TB 0925'!A91,'Raw Sep'!C:C)</f>
        <v>-37800</v>
      </c>
      <c r="C91" s="24">
        <f>SUMIF('Raw Sep'!B:B,'TB 0925'!A91,'Raw Sep'!D:D)</f>
        <v>0</v>
      </c>
      <c r="D91" s="24">
        <f>SUMIF('Raw Sep'!B:B,'TB 0925'!A91,'Raw Sep'!E:E)</f>
        <v>0</v>
      </c>
      <c r="E91" s="24">
        <f t="shared" si="3"/>
        <v>-37800</v>
      </c>
      <c r="F91" s="24">
        <f t="shared" si="4"/>
        <v>-37.799999999999997</v>
      </c>
      <c r="G91" s="22" t="s">
        <v>180</v>
      </c>
      <c r="H91" s="23" t="s">
        <v>63</v>
      </c>
    </row>
    <row r="92" spans="1:8" hidden="1" x14ac:dyDescent="0.35">
      <c r="A92" s="23" t="s">
        <v>592</v>
      </c>
      <c r="B92" s="24">
        <f>SUMIF('Raw Sep'!B:B,'TB 0925'!A92,'Raw Sep'!C:C)</f>
        <v>-2162702583.21</v>
      </c>
      <c r="C92" s="24">
        <f>SUMIF('Raw Sep'!B:B,'TB 0925'!A92,'Raw Sep'!D:D)</f>
        <v>0</v>
      </c>
      <c r="D92" s="24">
        <f>SUMIF('Raw Sep'!B:B,'TB 0925'!A92,'Raw Sep'!E:E)</f>
        <v>0</v>
      </c>
      <c r="E92" s="24">
        <f t="shared" si="3"/>
        <v>-2162702583.21</v>
      </c>
      <c r="F92" s="24">
        <f t="shared" si="4"/>
        <v>-2162702.5832099998</v>
      </c>
      <c r="G92" s="22" t="s">
        <v>180</v>
      </c>
      <c r="H92" s="23" t="s">
        <v>64</v>
      </c>
    </row>
    <row r="93" spans="1:8" hidden="1" x14ac:dyDescent="0.35">
      <c r="A93" s="23" t="s">
        <v>704</v>
      </c>
      <c r="B93" s="24">
        <f>SUMIF('Raw Sep'!B:B,'TB 0925'!A93,'Raw Sep'!C:C)</f>
        <v>-5400</v>
      </c>
      <c r="C93" s="24">
        <f>SUMIF('Raw Sep'!B:B,'TB 0925'!A93,'Raw Sep'!D:D)</f>
        <v>0</v>
      </c>
      <c r="D93" s="24">
        <f>SUMIF('Raw Sep'!B:B,'TB 0925'!A93,'Raw Sep'!E:E)</f>
        <v>0</v>
      </c>
      <c r="E93" s="24">
        <f t="shared" si="3"/>
        <v>-5400</v>
      </c>
      <c r="F93" s="24">
        <f t="shared" si="4"/>
        <v>-5.4</v>
      </c>
      <c r="G93" s="22" t="s">
        <v>180</v>
      </c>
      <c r="H93" s="23" t="s">
        <v>63</v>
      </c>
    </row>
    <row r="94" spans="1:8" hidden="1" x14ac:dyDescent="0.35">
      <c r="A94" s="23" t="s">
        <v>705</v>
      </c>
      <c r="B94" s="24">
        <f>SUMIF('Raw Sep'!B:B,'TB 0925'!A94,'Raw Sep'!C:C)</f>
        <v>-5400</v>
      </c>
      <c r="C94" s="24">
        <f>SUMIF('Raw Sep'!B:B,'TB 0925'!A94,'Raw Sep'!D:D)</f>
        <v>0</v>
      </c>
      <c r="D94" s="24">
        <f>SUMIF('Raw Sep'!B:B,'TB 0925'!A94,'Raw Sep'!E:E)</f>
        <v>0</v>
      </c>
      <c r="E94" s="24">
        <f t="shared" si="3"/>
        <v>-5400</v>
      </c>
      <c r="F94" s="24">
        <f t="shared" si="4"/>
        <v>-5.4</v>
      </c>
      <c r="G94" s="22" t="s">
        <v>180</v>
      </c>
      <c r="H94" s="23" t="s">
        <v>63</v>
      </c>
    </row>
    <row r="95" spans="1:8" hidden="1" x14ac:dyDescent="0.35">
      <c r="A95" s="23" t="s">
        <v>706</v>
      </c>
      <c r="B95" s="24">
        <f>SUMIF('Raw Sep'!B:B,'TB 0925'!A95,'Raw Sep'!C:C)</f>
        <v>-5400</v>
      </c>
      <c r="C95" s="24">
        <f>SUMIF('Raw Sep'!B:B,'TB 0925'!A95,'Raw Sep'!D:D)</f>
        <v>0</v>
      </c>
      <c r="D95" s="24">
        <f>SUMIF('Raw Sep'!B:B,'TB 0925'!A95,'Raw Sep'!E:E)</f>
        <v>0</v>
      </c>
      <c r="E95" s="24">
        <f t="shared" si="3"/>
        <v>-5400</v>
      </c>
      <c r="F95" s="24">
        <f t="shared" si="4"/>
        <v>-5.4</v>
      </c>
      <c r="G95" s="22" t="s">
        <v>180</v>
      </c>
      <c r="H95" s="23" t="s">
        <v>63</v>
      </c>
    </row>
    <row r="96" spans="1:8" hidden="1" x14ac:dyDescent="0.35">
      <c r="A96" s="23" t="s">
        <v>707</v>
      </c>
      <c r="B96" s="24">
        <f>SUMIF('Raw Sep'!B:B,'TB 0925'!A96,'Raw Sep'!C:C)</f>
        <v>-37800</v>
      </c>
      <c r="C96" s="24">
        <f>SUMIF('Raw Sep'!B:B,'TB 0925'!A96,'Raw Sep'!D:D)</f>
        <v>0</v>
      </c>
      <c r="D96" s="24">
        <f>SUMIF('Raw Sep'!B:B,'TB 0925'!A96,'Raw Sep'!E:E)</f>
        <v>0</v>
      </c>
      <c r="E96" s="24">
        <f t="shared" si="3"/>
        <v>-37800</v>
      </c>
      <c r="F96" s="24">
        <f t="shared" si="4"/>
        <v>-37.799999999999997</v>
      </c>
      <c r="G96" s="22" t="s">
        <v>180</v>
      </c>
      <c r="H96" s="23" t="s">
        <v>63</v>
      </c>
    </row>
    <row r="97" spans="1:8" hidden="1" x14ac:dyDescent="0.35">
      <c r="A97" s="23" t="s">
        <v>593</v>
      </c>
      <c r="B97" s="24">
        <f>SUMIF('Raw Sep'!B:B,'TB 0925'!A97,'Raw Sep'!C:C)</f>
        <v>58903866.530000001</v>
      </c>
      <c r="C97" s="24">
        <f>SUMIF('Raw Sep'!B:B,'TB 0925'!A97,'Raw Sep'!D:D)</f>
        <v>0</v>
      </c>
      <c r="D97" s="24">
        <f>SUMIF('Raw Sep'!B:B,'TB 0925'!A97,'Raw Sep'!E:E)</f>
        <v>0</v>
      </c>
      <c r="E97" s="24">
        <f t="shared" si="3"/>
        <v>58903866.530000001</v>
      </c>
      <c r="F97" s="24">
        <f t="shared" si="4"/>
        <v>58903.866529999999</v>
      </c>
      <c r="G97" s="22" t="s">
        <v>180</v>
      </c>
      <c r="H97" s="23" t="s">
        <v>64</v>
      </c>
    </row>
    <row r="98" spans="1:8" hidden="1" x14ac:dyDescent="0.35">
      <c r="A98" s="23" t="s">
        <v>594</v>
      </c>
      <c r="B98" s="24">
        <f>SUMIF('Raw Sep'!B:B,'TB 0925'!A98,'Raw Sep'!C:C)</f>
        <v>0</v>
      </c>
      <c r="C98" s="24">
        <f>SUMIF('Raw Sep'!B:B,'TB 0925'!A98,'Raw Sep'!D:D)</f>
        <v>26233497</v>
      </c>
      <c r="D98" s="24">
        <f>SUMIF('Raw Sep'!B:B,'TB 0925'!A98,'Raw Sep'!E:E)</f>
        <v>36167180</v>
      </c>
      <c r="E98" s="24">
        <f t="shared" si="3"/>
        <v>-9933683</v>
      </c>
      <c r="F98" s="24">
        <f t="shared" si="4"/>
        <v>-9933.6830000000009</v>
      </c>
      <c r="G98" s="22" t="s">
        <v>184</v>
      </c>
      <c r="H98" s="23" t="s">
        <v>49</v>
      </c>
    </row>
    <row r="99" spans="1:8" hidden="1" x14ac:dyDescent="0.35">
      <c r="A99" s="23" t="s">
        <v>1363</v>
      </c>
      <c r="B99" s="24">
        <f>SUMIF('Raw Sep'!B:B,'TB 0925'!A99,'Raw Sep'!C:C)</f>
        <v>0</v>
      </c>
      <c r="C99" s="24">
        <f>SUMIF('Raw Sep'!B:B,'TB 0925'!A99,'Raw Sep'!D:D)</f>
        <v>3.49</v>
      </c>
      <c r="D99" s="24">
        <f>SUMIF('Raw Sep'!B:B,'TB 0925'!A99,'Raw Sep'!E:E)</f>
        <v>285195.27</v>
      </c>
      <c r="E99" s="24">
        <f t="shared" si="3"/>
        <v>-285191.78000000003</v>
      </c>
      <c r="F99" s="24">
        <f t="shared" si="4"/>
        <v>-285.19178000000005</v>
      </c>
      <c r="G99" s="22" t="s">
        <v>184</v>
      </c>
      <c r="H99" s="23" t="s">
        <v>49</v>
      </c>
    </row>
    <row r="100" spans="1:8" hidden="1" x14ac:dyDescent="0.35">
      <c r="A100" s="23" t="s">
        <v>287</v>
      </c>
      <c r="B100" s="24">
        <f>SUMIF('Raw Sep'!B:B,'TB 0925'!A100,'Raw Sep'!C:C)</f>
        <v>0</v>
      </c>
      <c r="C100" s="24">
        <f>SUMIF('Raw Sep'!B:B,'TB 0925'!A100,'Raw Sep'!D:D)</f>
        <v>70000</v>
      </c>
      <c r="D100" s="24">
        <f>SUMIF('Raw Sep'!B:B,'TB 0925'!A100,'Raw Sep'!E:E)</f>
        <v>0</v>
      </c>
      <c r="E100" s="24">
        <f t="shared" si="3"/>
        <v>70000</v>
      </c>
      <c r="F100" s="24">
        <f t="shared" si="4"/>
        <v>70</v>
      </c>
      <c r="G100" s="22" t="s">
        <v>182</v>
      </c>
      <c r="H100" s="23" t="s">
        <v>41</v>
      </c>
    </row>
    <row r="101" spans="1:8" hidden="1" x14ac:dyDescent="0.35">
      <c r="A101" s="23" t="s">
        <v>595</v>
      </c>
      <c r="B101" s="24">
        <f>SUMIF('Raw Sep'!B:B,'TB 0925'!A101,'Raw Sep'!C:C)</f>
        <v>0</v>
      </c>
      <c r="C101" s="24">
        <f>SUMIF('Raw Sep'!B:B,'TB 0925'!A101,'Raw Sep'!D:D)</f>
        <v>9277.73</v>
      </c>
      <c r="D101" s="24">
        <f>SUMIF('Raw Sep'!B:B,'TB 0925'!A101,'Raw Sep'!E:E)</f>
        <v>0</v>
      </c>
      <c r="E101" s="24">
        <f t="shared" si="3"/>
        <v>9277.73</v>
      </c>
      <c r="F101" s="24">
        <f t="shared" si="4"/>
        <v>9.27773</v>
      </c>
      <c r="G101" s="22" t="s">
        <v>182</v>
      </c>
      <c r="H101" s="23" t="s">
        <v>43</v>
      </c>
    </row>
    <row r="102" spans="1:8" hidden="1" x14ac:dyDescent="0.35">
      <c r="A102" s="23" t="s">
        <v>38</v>
      </c>
      <c r="B102" s="24">
        <f>SUMIF('Raw Sep'!B:B,'TB 0925'!A102,'Raw Sep'!C:C)</f>
        <v>0</v>
      </c>
      <c r="C102" s="24">
        <f>SUMIF('Raw Sep'!B:B,'TB 0925'!A102,'Raw Sep'!D:D)</f>
        <v>13644993</v>
      </c>
      <c r="D102" s="24">
        <f>SUMIF('Raw Sep'!B:B,'TB 0925'!A102,'Raw Sep'!E:E)</f>
        <v>7600000</v>
      </c>
      <c r="E102" s="24">
        <f t="shared" si="3"/>
        <v>6044993</v>
      </c>
      <c r="F102" s="24">
        <f t="shared" si="4"/>
        <v>6044.9930000000004</v>
      </c>
      <c r="G102" s="22" t="s">
        <v>182</v>
      </c>
      <c r="H102" s="23" t="s">
        <v>38</v>
      </c>
    </row>
    <row r="103" spans="1:8" hidden="1" x14ac:dyDescent="0.35">
      <c r="A103" s="23" t="s">
        <v>409</v>
      </c>
      <c r="B103" s="24">
        <f>SUMIF('Raw Sep'!B:B,'TB 0925'!A103,'Raw Sep'!C:C)</f>
        <v>0</v>
      </c>
      <c r="C103" s="24">
        <f>SUMIF('Raw Sep'!B:B,'TB 0925'!A103,'Raw Sep'!D:D)</f>
        <v>117000</v>
      </c>
      <c r="D103" s="24">
        <f>SUMIF('Raw Sep'!B:B,'TB 0925'!A103,'Raw Sep'!E:E)</f>
        <v>0</v>
      </c>
      <c r="E103" s="24">
        <f t="shared" si="3"/>
        <v>117000</v>
      </c>
      <c r="F103" s="24">
        <f t="shared" si="4"/>
        <v>117</v>
      </c>
      <c r="G103" s="22" t="s">
        <v>182</v>
      </c>
      <c r="H103" s="23" t="s">
        <v>958</v>
      </c>
    </row>
    <row r="104" spans="1:8" x14ac:dyDescent="0.35">
      <c r="A104" s="23" t="s">
        <v>296</v>
      </c>
      <c r="B104" s="24">
        <f>SUMIF('Raw Sep'!B:B,'TB 0925'!A104,'Raw Sep'!C:C)</f>
        <v>0</v>
      </c>
      <c r="C104" s="24">
        <f>SUMIF('Raw Sep'!B:B,'TB 0925'!A104,'Raw Sep'!D:D)</f>
        <v>30046399.16</v>
      </c>
      <c r="D104" s="24">
        <f>SUMIF('Raw Sep'!B:B,'TB 0925'!A104,'Raw Sep'!E:E)</f>
        <v>6571464.5700000003</v>
      </c>
      <c r="E104" s="24">
        <f t="shared" si="3"/>
        <v>23474934.59</v>
      </c>
      <c r="F104" s="24">
        <f t="shared" si="4"/>
        <v>23474.934590000001</v>
      </c>
      <c r="G104" s="22" t="s">
        <v>182</v>
      </c>
      <c r="H104" s="23" t="s">
        <v>37</v>
      </c>
    </row>
    <row r="105" spans="1:8" hidden="1" x14ac:dyDescent="0.35">
      <c r="A105" s="23" t="s">
        <v>34</v>
      </c>
      <c r="B105" s="24">
        <f>SUMIF('Raw Sep'!B:B,'TB 0925'!A105,'Raw Sep'!C:C)</f>
        <v>0</v>
      </c>
      <c r="C105" s="24">
        <f>SUMIF('Raw Sep'!B:B,'TB 0925'!A105,'Raw Sep'!D:D)</f>
        <v>1421208.08</v>
      </c>
      <c r="D105" s="24">
        <f>SUMIF('Raw Sep'!B:B,'TB 0925'!A105,'Raw Sep'!E:E)</f>
        <v>640784</v>
      </c>
      <c r="E105" s="24">
        <f t="shared" si="3"/>
        <v>780424.08000000007</v>
      </c>
      <c r="F105" s="24">
        <f t="shared" si="4"/>
        <v>780.42408000000012</v>
      </c>
      <c r="G105" s="22" t="s">
        <v>182</v>
      </c>
      <c r="H105" s="23" t="s">
        <v>34</v>
      </c>
    </row>
    <row r="106" spans="1:8" hidden="1" x14ac:dyDescent="0.35">
      <c r="A106" s="23" t="s">
        <v>596</v>
      </c>
      <c r="B106" s="24">
        <f>SUMIF('Raw Sep'!B:B,'TB 0925'!A106,'Raw Sep'!C:C)</f>
        <v>0</v>
      </c>
      <c r="C106" s="24">
        <f>SUMIF('Raw Sep'!B:B,'TB 0925'!A106,'Raw Sep'!D:D)</f>
        <v>653158.02</v>
      </c>
      <c r="D106" s="24">
        <f>SUMIF('Raw Sep'!B:B,'TB 0925'!A106,'Raw Sep'!E:E)</f>
        <v>0</v>
      </c>
      <c r="E106" s="24">
        <f t="shared" si="3"/>
        <v>653158.02</v>
      </c>
      <c r="F106" s="24">
        <f t="shared" si="4"/>
        <v>653.15801999999996</v>
      </c>
      <c r="G106" s="22" t="s">
        <v>182</v>
      </c>
      <c r="H106" s="23" t="s">
        <v>48</v>
      </c>
    </row>
    <row r="107" spans="1:8" hidden="1" x14ac:dyDescent="0.35">
      <c r="A107" s="23" t="s">
        <v>777</v>
      </c>
      <c r="B107" s="24">
        <f>SUMIF('Raw Sep'!B:B,'TB 0925'!A107,'Raw Sep'!C:C)</f>
        <v>0</v>
      </c>
      <c r="C107" s="24">
        <f>SUMIF('Raw Sep'!B:B,'TB 0925'!A107,'Raw Sep'!D:D)</f>
        <v>642</v>
      </c>
      <c r="D107" s="24">
        <f>SUMIF('Raw Sep'!B:B,'TB 0925'!A107,'Raw Sep'!E:E)</f>
        <v>0</v>
      </c>
      <c r="E107" s="24">
        <f t="shared" si="3"/>
        <v>642</v>
      </c>
      <c r="F107" s="24">
        <f t="shared" si="4"/>
        <v>0.64200000000000002</v>
      </c>
      <c r="G107" s="22" t="s">
        <v>182</v>
      </c>
      <c r="H107" s="23" t="s">
        <v>417</v>
      </c>
    </row>
    <row r="108" spans="1:8" hidden="1" x14ac:dyDescent="0.35">
      <c r="A108" s="23" t="s">
        <v>109</v>
      </c>
      <c r="B108" s="24">
        <f>SUMIF('Raw Sep'!B:B,'TB 0925'!A108,'Raw Sep'!C:C)</f>
        <v>0</v>
      </c>
      <c r="C108" s="24">
        <f>SUMIF('Raw Sep'!B:B,'TB 0925'!A108,'Raw Sep'!D:D)</f>
        <v>369952</v>
      </c>
      <c r="D108" s="24">
        <f>SUMIF('Raw Sep'!B:B,'TB 0925'!A108,'Raw Sep'!E:E)</f>
        <v>0</v>
      </c>
      <c r="E108" s="24">
        <f t="shared" si="3"/>
        <v>369952</v>
      </c>
      <c r="F108" s="24">
        <f t="shared" si="4"/>
        <v>369.952</v>
      </c>
      <c r="G108" s="22" t="s">
        <v>182</v>
      </c>
    </row>
    <row r="109" spans="1:8" hidden="1" x14ac:dyDescent="0.35">
      <c r="A109" s="23" t="s">
        <v>597</v>
      </c>
      <c r="B109" s="24">
        <f>SUMIF('Raw Sep'!B:B,'TB 0925'!A109,'Raw Sep'!C:C)</f>
        <v>0</v>
      </c>
      <c r="C109" s="24">
        <f>SUMIF('Raw Sep'!B:B,'TB 0925'!A109,'Raw Sep'!D:D)</f>
        <v>25894.799999999999</v>
      </c>
      <c r="D109" s="24">
        <f>SUMIF('Raw Sep'!B:B,'TB 0925'!A109,'Raw Sep'!E:E)</f>
        <v>0</v>
      </c>
      <c r="E109" s="24">
        <f t="shared" si="3"/>
        <v>25894.799999999999</v>
      </c>
      <c r="F109" s="24">
        <f t="shared" si="4"/>
        <v>25.8948</v>
      </c>
      <c r="G109" s="22" t="s">
        <v>182</v>
      </c>
      <c r="H109" s="23" t="s">
        <v>417</v>
      </c>
    </row>
    <row r="110" spans="1:8" hidden="1" x14ac:dyDescent="0.35">
      <c r="A110" s="23" t="s">
        <v>598</v>
      </c>
      <c r="B110" s="24">
        <f>SUMIF('Raw Sep'!B:B,'TB 0925'!A110,'Raw Sep'!C:C)</f>
        <v>0</v>
      </c>
      <c r="C110" s="24">
        <f>SUMIF('Raw Sep'!B:B,'TB 0925'!A110,'Raw Sep'!D:D)</f>
        <v>3256868.41</v>
      </c>
      <c r="D110" s="24">
        <f>SUMIF('Raw Sep'!B:B,'TB 0925'!A110,'Raw Sep'!E:E)</f>
        <v>531013.25</v>
      </c>
      <c r="E110" s="24">
        <f t="shared" si="3"/>
        <v>2725855.16</v>
      </c>
      <c r="F110" s="24">
        <f t="shared" si="4"/>
        <v>2725.8551600000001</v>
      </c>
      <c r="G110" s="22" t="s">
        <v>182</v>
      </c>
      <c r="H110" s="23" t="s">
        <v>417</v>
      </c>
    </row>
    <row r="111" spans="1:8" hidden="1" x14ac:dyDescent="0.35">
      <c r="A111" s="23" t="s">
        <v>599</v>
      </c>
      <c r="B111" s="24">
        <f>SUMIF('Raw Sep'!B:B,'TB 0925'!A111,'Raw Sep'!C:C)</f>
        <v>0</v>
      </c>
      <c r="C111" s="24">
        <f>SUMIF('Raw Sep'!B:B,'TB 0925'!A111,'Raw Sep'!D:D)</f>
        <v>433749</v>
      </c>
      <c r="D111" s="24">
        <f>SUMIF('Raw Sep'!B:B,'TB 0925'!A111,'Raw Sep'!E:E)</f>
        <v>0</v>
      </c>
      <c r="E111" s="24">
        <f t="shared" si="3"/>
        <v>433749</v>
      </c>
      <c r="F111" s="24">
        <f t="shared" si="4"/>
        <v>433.74900000000002</v>
      </c>
      <c r="G111" s="22" t="s">
        <v>182</v>
      </c>
      <c r="H111" s="23" t="s">
        <v>417</v>
      </c>
    </row>
    <row r="112" spans="1:8" hidden="1" x14ac:dyDescent="0.35">
      <c r="A112" s="23" t="s">
        <v>417</v>
      </c>
      <c r="B112" s="24">
        <f>SUMIF('Raw Sep'!B:B,'TB 0925'!A112,'Raw Sep'!C:C)</f>
        <v>0</v>
      </c>
      <c r="C112" s="24">
        <f>SUMIF('Raw Sep'!B:B,'TB 0925'!A112,'Raw Sep'!D:D)</f>
        <v>109547</v>
      </c>
      <c r="D112" s="24">
        <f>SUMIF('Raw Sep'!B:B,'TB 0925'!A112,'Raw Sep'!E:E)</f>
        <v>1901840</v>
      </c>
      <c r="E112" s="24">
        <f t="shared" si="3"/>
        <v>-1792293</v>
      </c>
      <c r="F112" s="24">
        <f t="shared" si="4"/>
        <v>-1792.2929999999999</v>
      </c>
      <c r="G112" s="22" t="s">
        <v>182</v>
      </c>
      <c r="H112" s="23" t="s">
        <v>417</v>
      </c>
    </row>
    <row r="113" spans="1:8" hidden="1" x14ac:dyDescent="0.35">
      <c r="A113" s="23" t="s">
        <v>759</v>
      </c>
      <c r="B113" s="24">
        <f>SUMIF('Raw Sep'!B:B,'TB 0925'!A113,'Raw Sep'!C:C)</f>
        <v>0</v>
      </c>
      <c r="C113" s="24">
        <f>SUMIF('Raw Sep'!B:B,'TB 0925'!A113,'Raw Sep'!D:D)</f>
        <v>2691850</v>
      </c>
      <c r="D113" s="24">
        <f>SUMIF('Raw Sep'!B:B,'TB 0925'!A113,'Raw Sep'!E:E)</f>
        <v>0</v>
      </c>
      <c r="E113" s="24">
        <f t="shared" si="3"/>
        <v>2691850</v>
      </c>
      <c r="F113" s="24">
        <f t="shared" si="4"/>
        <v>2691.85</v>
      </c>
      <c r="G113" s="22" t="s">
        <v>182</v>
      </c>
      <c r="H113" s="23" t="s">
        <v>26</v>
      </c>
    </row>
    <row r="114" spans="1:8" hidden="1" x14ac:dyDescent="0.35">
      <c r="A114" s="23" t="s">
        <v>778</v>
      </c>
      <c r="B114" s="24">
        <f>SUMIF('Raw Sep'!B:B,'TB 0925'!A114,'Raw Sep'!C:C)</f>
        <v>0</v>
      </c>
      <c r="C114" s="24">
        <f>SUMIF('Raw Sep'!B:B,'TB 0925'!A114,'Raw Sep'!D:D)</f>
        <v>283949.75</v>
      </c>
      <c r="D114" s="24">
        <f>SUMIF('Raw Sep'!B:B,'TB 0925'!A114,'Raw Sep'!E:E)</f>
        <v>6048.24</v>
      </c>
      <c r="E114" s="24">
        <f t="shared" si="3"/>
        <v>277901.51</v>
      </c>
      <c r="F114" s="24">
        <f t="shared" si="4"/>
        <v>277.90151000000003</v>
      </c>
      <c r="G114" s="22" t="s">
        <v>182</v>
      </c>
      <c r="H114" s="23" t="s">
        <v>26</v>
      </c>
    </row>
    <row r="115" spans="1:8" hidden="1" x14ac:dyDescent="0.35">
      <c r="A115" s="23" t="s">
        <v>864</v>
      </c>
      <c r="B115" s="24">
        <f>SUMIF('Raw Sep'!B:B,'TB 0925'!A115,'Raw Sep'!C:C)</f>
        <v>0</v>
      </c>
      <c r="C115" s="24">
        <f>SUMIF('Raw Sep'!B:B,'TB 0925'!A115,'Raw Sep'!D:D)</f>
        <v>602500</v>
      </c>
      <c r="D115" s="24">
        <f>SUMIF('Raw Sep'!B:B,'TB 0925'!A115,'Raw Sep'!E:E)</f>
        <v>0</v>
      </c>
      <c r="E115" s="24">
        <f t="shared" si="3"/>
        <v>602500</v>
      </c>
      <c r="F115" s="24">
        <f t="shared" si="4"/>
        <v>602.5</v>
      </c>
      <c r="G115" s="22" t="s">
        <v>182</v>
      </c>
      <c r="H115" s="23" t="s">
        <v>958</v>
      </c>
    </row>
    <row r="116" spans="1:8" hidden="1" x14ac:dyDescent="0.35">
      <c r="A116" s="23" t="s">
        <v>220</v>
      </c>
      <c r="B116" s="24">
        <f>SUMIF('Raw Sep'!B:B,'TB 0925'!A116,'Raw Sep'!C:C)</f>
        <v>0</v>
      </c>
      <c r="C116" s="24">
        <f>SUMIF('Raw Sep'!B:B,'TB 0925'!A116,'Raw Sep'!D:D)</f>
        <v>15000</v>
      </c>
      <c r="D116" s="24">
        <f>SUMIF('Raw Sep'!B:B,'TB 0925'!A116,'Raw Sep'!E:E)</f>
        <v>0</v>
      </c>
      <c r="E116" s="24">
        <f t="shared" si="3"/>
        <v>15000</v>
      </c>
      <c r="F116" s="24">
        <f t="shared" si="4"/>
        <v>15</v>
      </c>
      <c r="G116" s="22" t="s">
        <v>182</v>
      </c>
      <c r="H116" s="23" t="s">
        <v>41</v>
      </c>
    </row>
    <row r="117" spans="1:8" hidden="1" x14ac:dyDescent="0.35">
      <c r="A117" s="23" t="s">
        <v>32</v>
      </c>
      <c r="B117" s="24">
        <f>SUMIF('Raw Sep'!B:B,'TB 0925'!A117,'Raw Sep'!C:C)</f>
        <v>0</v>
      </c>
      <c r="C117" s="24">
        <f>SUMIF('Raw Sep'!B:B,'TB 0925'!A117,'Raw Sep'!D:D)</f>
        <v>7353774.5899999999</v>
      </c>
      <c r="D117" s="24">
        <f>SUMIF('Raw Sep'!B:B,'TB 0925'!A117,'Raw Sep'!E:E)</f>
        <v>3144235</v>
      </c>
      <c r="E117" s="24">
        <f t="shared" si="3"/>
        <v>4209539.59</v>
      </c>
      <c r="F117" s="24">
        <f t="shared" si="4"/>
        <v>4209.5395899999994</v>
      </c>
      <c r="G117" s="22" t="s">
        <v>182</v>
      </c>
      <c r="H117" s="23" t="s">
        <v>32</v>
      </c>
    </row>
    <row r="118" spans="1:8" hidden="1" x14ac:dyDescent="0.35">
      <c r="A118" s="23" t="s">
        <v>602</v>
      </c>
      <c r="B118" s="24">
        <f>SUMIF('Raw Sep'!B:B,'TB 0925'!A118,'Raw Sep'!C:C)</f>
        <v>0</v>
      </c>
      <c r="C118" s="24">
        <f>SUMIF('Raw Sep'!B:B,'TB 0925'!A118,'Raw Sep'!D:D)</f>
        <v>184262.84</v>
      </c>
      <c r="D118" s="24">
        <f>SUMIF('Raw Sep'!B:B,'TB 0925'!A118,'Raw Sep'!E:E)</f>
        <v>379717.8</v>
      </c>
      <c r="E118" s="24">
        <f t="shared" si="3"/>
        <v>-195454.96</v>
      </c>
      <c r="F118" s="24">
        <f t="shared" si="4"/>
        <v>-195.45496</v>
      </c>
      <c r="G118" s="22" t="s">
        <v>182</v>
      </c>
      <c r="H118" s="23" t="s">
        <v>42</v>
      </c>
    </row>
    <row r="119" spans="1:8" hidden="1" x14ac:dyDescent="0.35">
      <c r="A119" s="23" t="s">
        <v>603</v>
      </c>
      <c r="B119" s="24">
        <f>SUMIF('Raw Sep'!B:B,'TB 0925'!A119,'Raw Sep'!C:C)</f>
        <v>0</v>
      </c>
      <c r="C119" s="24">
        <f>SUMIF('Raw Sep'!B:B,'TB 0925'!A119,'Raw Sep'!D:D)</f>
        <v>1024480</v>
      </c>
      <c r="D119" s="24">
        <f>SUMIF('Raw Sep'!B:B,'TB 0925'!A119,'Raw Sep'!E:E)</f>
        <v>0</v>
      </c>
      <c r="E119" s="24">
        <f t="shared" si="3"/>
        <v>1024480</v>
      </c>
      <c r="F119" s="24">
        <f t="shared" si="4"/>
        <v>1024.48</v>
      </c>
      <c r="G119" s="22" t="s">
        <v>182</v>
      </c>
      <c r="H119" s="23" t="s">
        <v>42</v>
      </c>
    </row>
    <row r="120" spans="1:8" hidden="1" x14ac:dyDescent="0.35">
      <c r="A120" s="23" t="s">
        <v>957</v>
      </c>
      <c r="B120" s="24">
        <f>SUMIF('Raw Sep'!B:B,'TB 0925'!A120,'Raw Sep'!C:C)</f>
        <v>0</v>
      </c>
      <c r="C120" s="24">
        <f>SUMIF('Raw Sep'!B:B,'TB 0925'!A120,'Raw Sep'!D:D)</f>
        <v>1479367.88</v>
      </c>
      <c r="D120" s="24">
        <f>SUMIF('Raw Sep'!B:B,'TB 0925'!A120,'Raw Sep'!E:E)</f>
        <v>1473546</v>
      </c>
      <c r="E120" s="24">
        <f t="shared" si="3"/>
        <v>5821.8799999998882</v>
      </c>
      <c r="F120" s="24">
        <f t="shared" si="4"/>
        <v>5.8218799999998883</v>
      </c>
      <c r="G120" s="22" t="s">
        <v>182</v>
      </c>
      <c r="H120" s="23" t="s">
        <v>958</v>
      </c>
    </row>
    <row r="121" spans="1:8" hidden="1" x14ac:dyDescent="0.35">
      <c r="A121" s="23" t="s">
        <v>604</v>
      </c>
      <c r="B121" s="24">
        <f>SUMIF('Raw Sep'!B:B,'TB 0925'!A121,'Raw Sep'!C:C)</f>
        <v>0</v>
      </c>
      <c r="C121" s="24">
        <f>SUMIF('Raw Sep'!B:B,'TB 0925'!A121,'Raw Sep'!D:D)</f>
        <v>270278</v>
      </c>
      <c r="D121" s="24">
        <f>SUMIF('Raw Sep'!B:B,'TB 0925'!A121,'Raw Sep'!E:E)</f>
        <v>2.0099999999999998</v>
      </c>
      <c r="E121" s="24">
        <f t="shared" si="3"/>
        <v>270275.99</v>
      </c>
      <c r="F121" s="24">
        <f t="shared" si="4"/>
        <v>270.27598999999998</v>
      </c>
      <c r="G121" s="22" t="s">
        <v>182</v>
      </c>
      <c r="H121" s="23" t="s">
        <v>43</v>
      </c>
    </row>
    <row r="122" spans="1:8" hidden="1" x14ac:dyDescent="0.35">
      <c r="A122" s="23" t="s">
        <v>605</v>
      </c>
      <c r="B122" s="24">
        <f>SUMIF('Raw Sep'!B:B,'TB 0925'!A122,'Raw Sep'!C:C)</f>
        <v>0</v>
      </c>
      <c r="C122" s="24">
        <f>SUMIF('Raw Sep'!B:B,'TB 0925'!A122,'Raw Sep'!D:D)</f>
        <v>3108.55</v>
      </c>
      <c r="D122" s="24">
        <f>SUMIF('Raw Sep'!B:B,'TB 0925'!A122,'Raw Sep'!E:E)</f>
        <v>8.58</v>
      </c>
      <c r="E122" s="24">
        <f t="shared" si="3"/>
        <v>3099.9700000000003</v>
      </c>
      <c r="F122" s="24">
        <f t="shared" si="4"/>
        <v>3.0999700000000003</v>
      </c>
      <c r="G122" s="22" t="s">
        <v>182</v>
      </c>
      <c r="H122" s="23" t="s">
        <v>43</v>
      </c>
    </row>
    <row r="123" spans="1:8" hidden="1" x14ac:dyDescent="0.35">
      <c r="A123" s="23" t="s">
        <v>41</v>
      </c>
      <c r="B123" s="24">
        <f>SUMIF('Raw Sep'!B:B,'TB 0925'!A123,'Raw Sep'!C:C)</f>
        <v>0</v>
      </c>
      <c r="C123" s="24">
        <f>SUMIF('Raw Sep'!B:B,'TB 0925'!A123,'Raw Sep'!D:D)</f>
        <v>1276139.6599999999</v>
      </c>
      <c r="D123" s="24">
        <f>SUMIF('Raw Sep'!B:B,'TB 0925'!A123,'Raw Sep'!E:E)</f>
        <v>567000</v>
      </c>
      <c r="E123" s="24">
        <f t="shared" si="3"/>
        <v>709139.65999999992</v>
      </c>
      <c r="F123" s="24">
        <f t="shared" si="4"/>
        <v>709.13965999999994</v>
      </c>
      <c r="G123" s="22" t="s">
        <v>182</v>
      </c>
      <c r="H123" s="23" t="s">
        <v>41</v>
      </c>
    </row>
    <row r="124" spans="1:8" hidden="1" x14ac:dyDescent="0.35">
      <c r="A124" s="23" t="s">
        <v>239</v>
      </c>
      <c r="B124" s="24">
        <f>SUMIF('Raw Sep'!B:B,'TB 0925'!A124,'Raw Sep'!C:C)</f>
        <v>0</v>
      </c>
      <c r="C124" s="24">
        <f>SUMIF('Raw Sep'!B:B,'TB 0925'!A124,'Raw Sep'!D:D)</f>
        <v>2000</v>
      </c>
      <c r="D124" s="24">
        <f>SUMIF('Raw Sep'!B:B,'TB 0925'!A124,'Raw Sep'!E:E)</f>
        <v>0</v>
      </c>
      <c r="E124" s="24">
        <f t="shared" si="3"/>
        <v>2000</v>
      </c>
      <c r="F124" s="24">
        <f t="shared" si="4"/>
        <v>2</v>
      </c>
      <c r="G124" s="22" t="s">
        <v>182</v>
      </c>
      <c r="H124" s="23" t="s">
        <v>263</v>
      </c>
    </row>
    <row r="125" spans="1:8" hidden="1" x14ac:dyDescent="0.35">
      <c r="A125" s="23" t="s">
        <v>607</v>
      </c>
      <c r="B125" s="24">
        <f>SUMIF('Raw Sep'!B:B,'TB 0925'!A125,'Raw Sep'!C:C)</f>
        <v>0</v>
      </c>
      <c r="C125" s="24">
        <f>SUMIF('Raw Sep'!B:B,'TB 0925'!A125,'Raw Sep'!D:D)</f>
        <v>27077613.510000002</v>
      </c>
      <c r="D125" s="24">
        <f>SUMIF('Raw Sep'!B:B,'TB 0925'!A125,'Raw Sep'!E:E)</f>
        <v>0</v>
      </c>
      <c r="E125" s="24">
        <f t="shared" si="3"/>
        <v>27077613.510000002</v>
      </c>
      <c r="F125" s="24">
        <f t="shared" si="4"/>
        <v>27077.613510000003</v>
      </c>
      <c r="G125" s="22" t="s">
        <v>182</v>
      </c>
    </row>
    <row r="126" spans="1:8" hidden="1" x14ac:dyDescent="0.35">
      <c r="A126" s="23" t="s">
        <v>26</v>
      </c>
      <c r="B126" s="24">
        <f>SUMIF('Raw Sep'!B:B,'TB 0925'!A126,'Raw Sep'!C:C)</f>
        <v>0</v>
      </c>
      <c r="C126" s="24">
        <f>SUMIF('Raw Sep'!B:B,'TB 0925'!A126,'Raw Sep'!D:D)</f>
        <v>44012803.07</v>
      </c>
      <c r="D126" s="24">
        <f>SUMIF('Raw Sep'!B:B,'TB 0925'!A126,'Raw Sep'!E:E)</f>
        <v>4300000</v>
      </c>
      <c r="E126" s="24">
        <f t="shared" si="3"/>
        <v>39712803.07</v>
      </c>
      <c r="F126" s="24">
        <f t="shared" si="4"/>
        <v>39712.803070000002</v>
      </c>
      <c r="G126" s="22" t="s">
        <v>182</v>
      </c>
      <c r="H126" s="23" t="s">
        <v>26</v>
      </c>
    </row>
    <row r="127" spans="1:8" hidden="1" x14ac:dyDescent="0.35">
      <c r="A127" s="23" t="s">
        <v>608</v>
      </c>
      <c r="B127" s="24">
        <f>SUMIF('Raw Sep'!B:B,'TB 0925'!A127,'Raw Sep'!C:C)</f>
        <v>0</v>
      </c>
      <c r="C127" s="24">
        <f>SUMIF('Raw Sep'!B:B,'TB 0925'!A127,'Raw Sep'!D:D)</f>
        <v>2889851.7</v>
      </c>
      <c r="D127" s="24">
        <f>SUMIF('Raw Sep'!B:B,'TB 0925'!A127,'Raw Sep'!E:E)</f>
        <v>124554.84</v>
      </c>
      <c r="E127" s="24">
        <f t="shared" si="3"/>
        <v>2765296.8600000003</v>
      </c>
      <c r="F127" s="24">
        <f t="shared" si="4"/>
        <v>2765.2968600000004</v>
      </c>
      <c r="G127" s="22" t="s">
        <v>182</v>
      </c>
      <c r="H127" s="23" t="s">
        <v>39</v>
      </c>
    </row>
    <row r="128" spans="1:8" hidden="1" x14ac:dyDescent="0.35">
      <c r="A128" s="23" t="s">
        <v>609</v>
      </c>
      <c r="B128" s="24">
        <f>SUMIF('Raw Sep'!B:B,'TB 0925'!A128,'Raw Sep'!C:C)</f>
        <v>0</v>
      </c>
      <c r="C128" s="24">
        <f>SUMIF('Raw Sep'!B:B,'TB 0925'!A128,'Raw Sep'!D:D)</f>
        <v>12732574.119999999</v>
      </c>
      <c r="D128" s="24">
        <f>SUMIF('Raw Sep'!B:B,'TB 0925'!A128,'Raw Sep'!E:E)</f>
        <v>3961119.87</v>
      </c>
      <c r="E128" s="24">
        <f t="shared" si="3"/>
        <v>8771454.25</v>
      </c>
      <c r="F128" s="24">
        <f t="shared" si="4"/>
        <v>8771.4542500000007</v>
      </c>
      <c r="G128" s="22" t="s">
        <v>182</v>
      </c>
      <c r="H128" s="23" t="s">
        <v>33</v>
      </c>
    </row>
    <row r="129" spans="1:8" hidden="1" x14ac:dyDescent="0.35">
      <c r="A129" s="23" t="s">
        <v>610</v>
      </c>
      <c r="B129" s="24">
        <f>SUMIF('Raw Sep'!B:B,'TB 0925'!A129,'Raw Sep'!C:C)</f>
        <v>0</v>
      </c>
      <c r="C129" s="24">
        <f>SUMIF('Raw Sep'!B:B,'TB 0925'!A129,'Raw Sep'!D:D)</f>
        <v>1533956.38</v>
      </c>
      <c r="D129" s="24">
        <f>SUMIF('Raw Sep'!B:B,'TB 0925'!A129,'Raw Sep'!E:E)</f>
        <v>472598</v>
      </c>
      <c r="E129" s="24">
        <f t="shared" si="3"/>
        <v>1061358.3799999999</v>
      </c>
      <c r="F129" s="24">
        <f t="shared" si="4"/>
        <v>1061.3583799999999</v>
      </c>
      <c r="G129" s="22" t="s">
        <v>182</v>
      </c>
      <c r="H129" s="23" t="s">
        <v>31</v>
      </c>
    </row>
    <row r="130" spans="1:8" hidden="1" x14ac:dyDescent="0.35">
      <c r="A130" s="23" t="s">
        <v>611</v>
      </c>
      <c r="B130" s="24">
        <f>SUMIF('Raw Sep'!B:B,'TB 0925'!A130,'Raw Sep'!C:C)</f>
        <v>0</v>
      </c>
      <c r="C130" s="24">
        <f>SUMIF('Raw Sep'!B:B,'TB 0925'!A130,'Raw Sep'!D:D)</f>
        <v>618660</v>
      </c>
      <c r="D130" s="24">
        <f>SUMIF('Raw Sep'!B:B,'TB 0925'!A130,'Raw Sep'!E:E)</f>
        <v>0</v>
      </c>
      <c r="E130" s="24">
        <f t="shared" si="3"/>
        <v>618660</v>
      </c>
      <c r="F130" s="24">
        <f t="shared" si="4"/>
        <v>618.66</v>
      </c>
      <c r="G130" s="22" t="s">
        <v>182</v>
      </c>
      <c r="H130" s="23" t="s">
        <v>31</v>
      </c>
    </row>
    <row r="131" spans="1:8" hidden="1" x14ac:dyDescent="0.35">
      <c r="A131" s="23" t="s">
        <v>29</v>
      </c>
      <c r="B131" s="24">
        <f>SUMIF('Raw Sep'!B:B,'TB 0925'!A131,'Raw Sep'!C:C)</f>
        <v>0</v>
      </c>
      <c r="C131" s="24">
        <f>SUMIF('Raw Sep'!B:B,'TB 0925'!A131,'Raw Sep'!D:D)</f>
        <v>59903.93</v>
      </c>
      <c r="D131" s="24">
        <f>SUMIF('Raw Sep'!B:B,'TB 0925'!A131,'Raw Sep'!E:E)</f>
        <v>0</v>
      </c>
      <c r="E131" s="24">
        <f t="shared" si="3"/>
        <v>59903.93</v>
      </c>
      <c r="F131" s="24">
        <f t="shared" si="4"/>
        <v>59.903930000000003</v>
      </c>
      <c r="G131" s="22" t="s">
        <v>182</v>
      </c>
      <c r="H131" s="23" t="s">
        <v>29</v>
      </c>
    </row>
    <row r="132" spans="1:8" hidden="1" x14ac:dyDescent="0.35">
      <c r="A132" s="23" t="s">
        <v>1428</v>
      </c>
      <c r="B132" s="24">
        <f>SUMIF('Raw Sep'!B:B,'TB 0925'!A132,'Raw Sep'!C:C)</f>
        <v>81296.960000000006</v>
      </c>
      <c r="C132" s="24">
        <f>SUMIF('Raw Sep'!B:B,'TB 0925'!A132,'Raw Sep'!D:D)</f>
        <v>0</v>
      </c>
      <c r="D132" s="24">
        <f>SUMIF('Raw Sep'!B:B,'TB 0925'!A132,'Raw Sep'!E:E)</f>
        <v>81296.960000000006</v>
      </c>
      <c r="E132" s="24">
        <f t="shared" ref="E132:E144" si="5">B132+C132-D132</f>
        <v>0</v>
      </c>
      <c r="F132" s="24">
        <f t="shared" ref="F132:F145" si="6">E132/10^3</f>
        <v>0</v>
      </c>
      <c r="G132" s="22" t="s">
        <v>181</v>
      </c>
      <c r="H132" s="23" t="s">
        <v>79</v>
      </c>
    </row>
    <row r="133" spans="1:8" hidden="1" x14ac:dyDescent="0.35">
      <c r="A133" s="23" t="s">
        <v>426</v>
      </c>
      <c r="B133" s="24">
        <f>SUMIF('Raw Sep'!B:B,'TB 0925'!A133,'Raw Sep'!C:C)</f>
        <v>0</v>
      </c>
      <c r="C133" s="24">
        <f>SUMIF('Raw Sep'!B:B,'TB 0925'!A133,'Raw Sep'!D:D)</f>
        <v>0</v>
      </c>
      <c r="D133" s="24">
        <f>SUMIF('Raw Sep'!B:B,'TB 0925'!A133,'Raw Sep'!E:E)</f>
        <v>0</v>
      </c>
      <c r="E133" s="24">
        <f t="shared" si="5"/>
        <v>0</v>
      </c>
      <c r="F133" s="24">
        <f t="shared" si="6"/>
        <v>0</v>
      </c>
      <c r="G133" s="22" t="s">
        <v>180</v>
      </c>
      <c r="H133" s="23" t="s">
        <v>68</v>
      </c>
    </row>
    <row r="134" spans="1:8" hidden="1" x14ac:dyDescent="0.35">
      <c r="A134" s="23" t="s">
        <v>1429</v>
      </c>
      <c r="B134" s="24">
        <f>SUMIF('Raw Sep'!B:B,'TB 0925'!A134,'Raw Sep'!C:C)</f>
        <v>-548984</v>
      </c>
      <c r="C134" s="24">
        <f>SUMIF('Raw Sep'!B:B,'TB 0925'!A134,'Raw Sep'!D:D)</f>
        <v>0</v>
      </c>
      <c r="D134" s="24">
        <f>SUMIF('Raw Sep'!B:B,'TB 0925'!A134,'Raw Sep'!E:E)</f>
        <v>0</v>
      </c>
      <c r="E134" s="24">
        <f t="shared" si="5"/>
        <v>-548984</v>
      </c>
      <c r="F134" s="24">
        <f t="shared" si="6"/>
        <v>-548.98400000000004</v>
      </c>
      <c r="G134" s="22" t="s">
        <v>180</v>
      </c>
      <c r="H134" s="23" t="s">
        <v>1371</v>
      </c>
    </row>
    <row r="135" spans="1:8" hidden="1" x14ac:dyDescent="0.35">
      <c r="A135" s="23" t="s">
        <v>1430</v>
      </c>
      <c r="B135" s="24">
        <f>SUMIF('Raw Sep'!B:B,'TB 0925'!A135,'Raw Sep'!C:C)</f>
        <v>-1269</v>
      </c>
      <c r="C135" s="24">
        <f>SUMIF('Raw Sep'!B:B,'TB 0925'!A135,'Raw Sep'!D:D)</f>
        <v>0</v>
      </c>
      <c r="D135" s="24">
        <f>SUMIF('Raw Sep'!B:B,'TB 0925'!A135,'Raw Sep'!E:E)</f>
        <v>0</v>
      </c>
      <c r="E135" s="24">
        <f t="shared" si="5"/>
        <v>-1269</v>
      </c>
      <c r="F135" s="24">
        <f t="shared" si="6"/>
        <v>-1.2689999999999999</v>
      </c>
      <c r="G135" s="22" t="s">
        <v>180</v>
      </c>
      <c r="H135" s="23" t="s">
        <v>69</v>
      </c>
    </row>
    <row r="136" spans="1:8" hidden="1" x14ac:dyDescent="0.35">
      <c r="A136" s="23" t="s">
        <v>1431</v>
      </c>
      <c r="B136" s="24">
        <f>SUMIF('Raw Sep'!B:B,'TB 0925'!A136,'Raw Sep'!C:C)</f>
        <v>-1245691</v>
      </c>
      <c r="C136" s="24">
        <f>SUMIF('Raw Sep'!B:B,'TB 0925'!A136,'Raw Sep'!D:D)</f>
        <v>0</v>
      </c>
      <c r="D136" s="24">
        <f>SUMIF('Raw Sep'!B:B,'TB 0925'!A136,'Raw Sep'!E:E)</f>
        <v>0</v>
      </c>
      <c r="E136" s="24">
        <f t="shared" si="5"/>
        <v>-1245691</v>
      </c>
      <c r="F136" s="24">
        <f t="shared" si="6"/>
        <v>-1245.691</v>
      </c>
      <c r="G136" s="22" t="s">
        <v>180</v>
      </c>
      <c r="H136" s="23" t="s">
        <v>64</v>
      </c>
    </row>
    <row r="137" spans="1:8" hidden="1" x14ac:dyDescent="0.35">
      <c r="A137" s="23" t="s">
        <v>1437</v>
      </c>
      <c r="B137" s="24">
        <f>SUMIF('Raw Sep'!B:B,'TB 0925'!A137,'Raw Sep'!C:C)</f>
        <v>0</v>
      </c>
      <c r="C137" s="24">
        <f>SUMIF('Raw Sep'!B:B,'TB 0925'!A137,'Raw Sep'!D:D)</f>
        <v>0</v>
      </c>
      <c r="D137" s="24">
        <f>SUMIF('Raw Sep'!B:B,'TB 0925'!A137,'Raw Sep'!E:E)</f>
        <v>9333</v>
      </c>
      <c r="E137" s="24">
        <f t="shared" si="5"/>
        <v>-9333</v>
      </c>
      <c r="F137" s="24">
        <f t="shared" si="6"/>
        <v>-9.3330000000000002</v>
      </c>
      <c r="G137" s="22" t="s">
        <v>184</v>
      </c>
      <c r="H137" s="23" t="s">
        <v>25</v>
      </c>
    </row>
    <row r="138" spans="1:8" hidden="1" x14ac:dyDescent="0.35">
      <c r="A138" s="23" t="s">
        <v>295</v>
      </c>
      <c r="B138" s="24">
        <f>SUMIF('Raw Sep'!B:B,'TB 0925'!A138,'Raw Sep'!C:C)</f>
        <v>0</v>
      </c>
      <c r="C138" s="24">
        <f>SUMIF('Raw Sep'!B:B,'TB 0925'!A138,'Raw Sep'!D:D)</f>
        <v>0</v>
      </c>
      <c r="D138" s="24">
        <f>SUMIF('Raw Sep'!B:B,'TB 0925'!A138,'Raw Sep'!E:E)</f>
        <v>6831632</v>
      </c>
      <c r="E138" s="24">
        <f t="shared" si="5"/>
        <v>-6831632</v>
      </c>
      <c r="F138" s="24">
        <f t="shared" si="6"/>
        <v>-6831.6319999999996</v>
      </c>
      <c r="G138" s="22" t="s">
        <v>184</v>
      </c>
      <c r="H138" s="23" t="s">
        <v>25</v>
      </c>
    </row>
    <row r="139" spans="1:8" hidden="1" x14ac:dyDescent="0.35">
      <c r="A139" s="23" t="s">
        <v>316</v>
      </c>
      <c r="B139" s="24">
        <f>SUMIF('Raw Sep'!B:B,'TB 0925'!A139,'Raw Sep'!C:C)</f>
        <v>0</v>
      </c>
      <c r="C139" s="24">
        <f>SUMIF('Raw Sep'!B:B,'TB 0925'!A139,'Raw Sep'!D:D)</f>
        <v>18033349</v>
      </c>
      <c r="D139" s="24">
        <f>SUMIF('Raw Sep'!B:B,'TB 0925'!A139,'Raw Sep'!E:E)</f>
        <v>0</v>
      </c>
      <c r="E139" s="24">
        <f t="shared" si="5"/>
        <v>18033349</v>
      </c>
      <c r="F139" s="24">
        <f t="shared" si="6"/>
        <v>18033.348999999998</v>
      </c>
      <c r="G139" s="22" t="s">
        <v>184</v>
      </c>
    </row>
    <row r="140" spans="1:8" hidden="1" x14ac:dyDescent="0.35">
      <c r="A140" s="23" t="s">
        <v>303</v>
      </c>
      <c r="B140" s="24">
        <f>SUMIF('Raw Sep'!B:B,'TB 0925'!A140,'Raw Sep'!C:C)</f>
        <v>0</v>
      </c>
      <c r="C140" s="24">
        <f>SUMIF('Raw Sep'!B:B,'TB 0925'!A140,'Raw Sep'!D:D)</f>
        <v>0</v>
      </c>
      <c r="D140" s="24">
        <f>SUMIF('Raw Sep'!B:B,'TB 0925'!A140,'Raw Sep'!E:E)</f>
        <v>27326529.52</v>
      </c>
      <c r="E140" s="24">
        <f t="shared" si="5"/>
        <v>-27326529.52</v>
      </c>
      <c r="F140" s="24">
        <f t="shared" si="6"/>
        <v>-27326.52952</v>
      </c>
      <c r="G140" s="22" t="s">
        <v>184</v>
      </c>
      <c r="H140" s="23" t="s">
        <v>25</v>
      </c>
    </row>
    <row r="141" spans="1:8" hidden="1" x14ac:dyDescent="0.35">
      <c r="A141" s="23" t="s">
        <v>1332</v>
      </c>
      <c r="B141" s="24">
        <f>SUMIF('Raw Sep'!B:B,'TB 0925'!A141,'Raw Sep'!C:C)</f>
        <v>0</v>
      </c>
      <c r="C141" s="24">
        <f>SUMIF('Raw Sep'!B:B,'TB 0925'!A141,'Raw Sep'!D:D)</f>
        <v>2467560</v>
      </c>
      <c r="D141" s="24">
        <f>SUMIF('Raw Sep'!B:B,'TB 0925'!A141,'Raw Sep'!E:E)</f>
        <v>2467560</v>
      </c>
      <c r="E141" s="24">
        <f t="shared" si="5"/>
        <v>0</v>
      </c>
      <c r="F141" s="24">
        <f t="shared" si="6"/>
        <v>0</v>
      </c>
      <c r="G141" s="22" t="s">
        <v>184</v>
      </c>
      <c r="H141" s="23" t="s">
        <v>25</v>
      </c>
    </row>
    <row r="142" spans="1:8" hidden="1" x14ac:dyDescent="0.35">
      <c r="A142" s="23" t="s">
        <v>1407</v>
      </c>
      <c r="B142" s="24">
        <f>SUMIF('Raw Sep'!B:B,'TB 0925'!A142,'Raw Sep'!C:C)</f>
        <v>0</v>
      </c>
      <c r="C142" s="24">
        <f>SUMIF('Raw Sep'!B:B,'TB 0925'!A142,'Raw Sep'!D:D)</f>
        <v>0</v>
      </c>
      <c r="D142" s="24">
        <f>SUMIF('Raw Sep'!B:B,'TB 0925'!A142,'Raw Sep'!E:E)</f>
        <v>220910</v>
      </c>
      <c r="E142" s="24">
        <f t="shared" si="5"/>
        <v>-220910</v>
      </c>
      <c r="F142" s="24">
        <f t="shared" si="6"/>
        <v>-220.91</v>
      </c>
      <c r="G142" s="22" t="s">
        <v>184</v>
      </c>
      <c r="H142" s="23" t="s">
        <v>25</v>
      </c>
    </row>
    <row r="143" spans="1:8" hidden="1" x14ac:dyDescent="0.35">
      <c r="A143" s="23" t="s">
        <v>1409</v>
      </c>
      <c r="B143" s="24">
        <f>SUMIF('Raw Sep'!B:B,'TB 0925'!A143,'Raw Sep'!C:C)</f>
        <v>0</v>
      </c>
      <c r="C143" s="24">
        <f>SUMIF('Raw Sep'!B:B,'TB 0925'!A143,'Raw Sep'!D:D)</f>
        <v>0</v>
      </c>
      <c r="D143" s="24">
        <f>SUMIF('Raw Sep'!B:B,'TB 0925'!A143,'Raw Sep'!E:E)</f>
        <v>96230</v>
      </c>
      <c r="E143" s="24">
        <f t="shared" si="5"/>
        <v>-96230</v>
      </c>
      <c r="F143" s="24">
        <f t="shared" si="6"/>
        <v>-96.23</v>
      </c>
      <c r="G143" s="22" t="s">
        <v>184</v>
      </c>
      <c r="H143" s="23" t="s">
        <v>25</v>
      </c>
    </row>
    <row r="144" spans="1:8" hidden="1" x14ac:dyDescent="0.35">
      <c r="A144" s="23" t="s">
        <v>619</v>
      </c>
      <c r="B144" s="24">
        <f>SUMIF('Raw Sep'!B:B,'TB 0925'!A144,'Raw Sep'!C:C)</f>
        <v>0</v>
      </c>
      <c r="C144" s="24">
        <f>SUMIF('Raw Sep'!B:B,'TB 0925'!A144,'Raw Sep'!D:D)</f>
        <v>1122802</v>
      </c>
      <c r="D144" s="24">
        <f>SUMIF('Raw Sep'!B:B,'TB 0925'!A144,'Raw Sep'!E:E)</f>
        <v>3544378.53</v>
      </c>
      <c r="E144" s="24">
        <f t="shared" si="5"/>
        <v>-2421576.5299999998</v>
      </c>
      <c r="F144" s="24">
        <f t="shared" si="6"/>
        <v>-2421.5765299999998</v>
      </c>
      <c r="G144" s="22" t="s">
        <v>182</v>
      </c>
      <c r="H144" s="23" t="s">
        <v>61</v>
      </c>
    </row>
    <row r="145" spans="1:8" hidden="1" x14ac:dyDescent="0.35">
      <c r="A145" s="23" t="s">
        <v>1406</v>
      </c>
      <c r="B145" s="24">
        <f>SUMIF('Raw Sep'!B:B,'TB 0925'!A145,'Raw Sep'!C:C)</f>
        <v>0</v>
      </c>
      <c r="C145" s="24">
        <f>SUMIF('Raw Sep'!B:B,'TB 0925'!A145,'Raw Sep'!D:D)</f>
        <v>0</v>
      </c>
      <c r="D145" s="24">
        <f>SUMIF('Raw Sep'!B:B,'TB 0925'!A145,'Raw Sep'!E:E)</f>
        <v>929733.07</v>
      </c>
      <c r="E145" s="24">
        <f>B145+C145-D145</f>
        <v>-929733.07</v>
      </c>
      <c r="F145" s="24">
        <f t="shared" si="6"/>
        <v>-929.73307</v>
      </c>
      <c r="G145" s="22" t="s">
        <v>184</v>
      </c>
      <c r="H145" s="23" t="s">
        <v>25</v>
      </c>
    </row>
  </sheetData>
  <autoFilter ref="A2:M145" xr:uid="{A1ED6006-DE17-4612-A205-1147A6834994}">
    <filterColumn colId="0">
      <filters>
        <filter val="Customer Acquisition Cost"/>
      </filters>
    </filterColumn>
  </autoFilter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3F54-781E-4B5D-BB7D-4069FDB3AC20}">
  <dimension ref="A1:D50"/>
  <sheetViews>
    <sheetView showGridLines="0" topLeftCell="A23" zoomScale="90" zoomScaleNormal="90" workbookViewId="0"/>
  </sheetViews>
  <sheetFormatPr defaultColWidth="8.81640625" defaultRowHeight="13" x14ac:dyDescent="0.3"/>
  <cols>
    <col min="1" max="1" width="3.81640625" style="2" customWidth="1"/>
    <col min="2" max="2" width="25.81640625" style="2" customWidth="1"/>
    <col min="3" max="3" width="15.81640625" style="2" customWidth="1"/>
    <col min="4" max="4" width="12.81640625" style="102" customWidth="1"/>
    <col min="5" max="16384" width="8.81640625" style="2"/>
  </cols>
  <sheetData>
    <row r="1" spans="1:4" x14ac:dyDescent="0.3">
      <c r="D1" s="2"/>
    </row>
    <row r="2" spans="1:4" x14ac:dyDescent="0.3">
      <c r="A2" s="7"/>
      <c r="B2" s="31" t="s">
        <v>944</v>
      </c>
      <c r="C2" s="212"/>
      <c r="D2" s="214"/>
    </row>
    <row r="3" spans="1:4" x14ac:dyDescent="0.3">
      <c r="B3" s="33" t="s">
        <v>24</v>
      </c>
      <c r="C3" s="213"/>
      <c r="D3" s="93">
        <v>45748</v>
      </c>
    </row>
    <row r="4" spans="1:4" x14ac:dyDescent="0.3">
      <c r="B4" s="35"/>
      <c r="D4" s="21"/>
    </row>
    <row r="5" spans="1:4" x14ac:dyDescent="0.3">
      <c r="B5" s="54" t="s">
        <v>63</v>
      </c>
      <c r="D5" s="21"/>
    </row>
    <row r="6" spans="1:4" x14ac:dyDescent="0.3">
      <c r="B6" s="64" t="s">
        <v>63</v>
      </c>
      <c r="C6" s="215"/>
      <c r="D6" s="216">
        <f>-SUMIF('TB 0425'!I:I,NTA!B6,'TB 0425'!F:F)</f>
        <v>555079.28976000007</v>
      </c>
    </row>
    <row r="7" spans="1:4" x14ac:dyDescent="0.3">
      <c r="B7" s="35"/>
      <c r="D7" s="21"/>
    </row>
    <row r="8" spans="1:4" x14ac:dyDescent="0.3">
      <c r="B8" s="54" t="s">
        <v>64</v>
      </c>
      <c r="D8" s="21"/>
    </row>
    <row r="9" spans="1:4" x14ac:dyDescent="0.3">
      <c r="B9" s="64" t="s">
        <v>64</v>
      </c>
      <c r="C9" s="215"/>
      <c r="D9" s="216">
        <f>-SUMIF('TB 0425'!I:I,NTA!B9,'TB 0425'!F:F)+'MIS P&amp;L'!F55</f>
        <v>-79728.932960000006</v>
      </c>
    </row>
    <row r="10" spans="1:4" x14ac:dyDescent="0.3">
      <c r="B10" s="35"/>
      <c r="D10" s="21"/>
    </row>
    <row r="11" spans="1:4" x14ac:dyDescent="0.3">
      <c r="B11" s="54" t="s">
        <v>68</v>
      </c>
      <c r="D11" s="56">
        <f>SUM(D12:D17)</f>
        <v>3350.4746299999997</v>
      </c>
    </row>
    <row r="12" spans="1:4" x14ac:dyDescent="0.3">
      <c r="B12" s="64" t="s">
        <v>946</v>
      </c>
      <c r="C12" s="215"/>
      <c r="D12" s="216">
        <f>-SUMIF('TB 0425'!I:I,NTA!B12,'TB 0425'!F:F)</f>
        <v>267.13427000000001</v>
      </c>
    </row>
    <row r="13" spans="1:4" x14ac:dyDescent="0.3">
      <c r="B13" s="64" t="s">
        <v>947</v>
      </c>
      <c r="C13" s="215"/>
      <c r="D13" s="216">
        <f>-SUMIF('TB 0425'!I:I,NTA!B13,'TB 0425'!F:F)</f>
        <v>547.60831999999994</v>
      </c>
    </row>
    <row r="14" spans="1:4" x14ac:dyDescent="0.3">
      <c r="B14" s="64" t="s">
        <v>948</v>
      </c>
      <c r="C14" s="215"/>
      <c r="D14" s="216">
        <f>-SUMIF('TB 0425'!I:I,NTA!B14,'TB 0425'!F:F)</f>
        <v>1.635</v>
      </c>
    </row>
    <row r="15" spans="1:4" x14ac:dyDescent="0.3">
      <c r="A15" s="7"/>
      <c r="B15" s="64" t="s">
        <v>582</v>
      </c>
      <c r="C15" s="215"/>
      <c r="D15" s="216">
        <f>-SUMIF('TB 0425'!I:I,NTA!B15,'TB 0425'!F:F)</f>
        <v>28</v>
      </c>
    </row>
    <row r="16" spans="1:4" x14ac:dyDescent="0.3">
      <c r="A16" s="7"/>
      <c r="B16" s="64" t="s">
        <v>177</v>
      </c>
      <c r="C16" s="215"/>
      <c r="D16" s="216">
        <f>-SUMIF('TB 0425'!I:I,NTA!B16,'TB 0425'!F:F)</f>
        <v>581.43399999999997</v>
      </c>
    </row>
    <row r="17" spans="2:4" x14ac:dyDescent="0.3">
      <c r="B17" s="64" t="s">
        <v>425</v>
      </c>
      <c r="C17" s="215"/>
      <c r="D17" s="216">
        <f>-SUMIF('TB 0425'!I:I,NTA!B17,'TB 0425'!F:F)</f>
        <v>1924.6630400000001</v>
      </c>
    </row>
    <row r="18" spans="2:4" x14ac:dyDescent="0.3">
      <c r="B18" s="35"/>
      <c r="D18" s="21"/>
    </row>
    <row r="19" spans="2:4" x14ac:dyDescent="0.3">
      <c r="B19" s="54" t="s">
        <v>69</v>
      </c>
      <c r="D19" s="56">
        <f>SUM(D20)</f>
        <v>100</v>
      </c>
    </row>
    <row r="20" spans="2:4" x14ac:dyDescent="0.3">
      <c r="B20" s="64" t="s">
        <v>138</v>
      </c>
      <c r="C20" s="215"/>
      <c r="D20" s="216">
        <f>-SUMIF('TB 0425'!I:I,NTA!B20,'TB 0425'!F:F)</f>
        <v>100</v>
      </c>
    </row>
    <row r="21" spans="2:4" x14ac:dyDescent="0.3">
      <c r="B21" s="35"/>
      <c r="D21" s="21"/>
    </row>
    <row r="22" spans="2:4" x14ac:dyDescent="0.3">
      <c r="B22" s="54" t="s">
        <v>71</v>
      </c>
      <c r="D22" s="56">
        <f>SUM(D23:D27)</f>
        <v>8457.6181500000002</v>
      </c>
    </row>
    <row r="23" spans="2:4" x14ac:dyDescent="0.3">
      <c r="B23" s="64" t="s">
        <v>564</v>
      </c>
      <c r="D23" s="216">
        <f>SUMIF('TB 0425'!I:I,NTA!B23,'TB 0425'!F:F)</f>
        <v>4384.0590299999994</v>
      </c>
    </row>
    <row r="24" spans="2:4" x14ac:dyDescent="0.3">
      <c r="B24" s="64" t="s">
        <v>693</v>
      </c>
      <c r="D24" s="216">
        <f>SUMIF('TB 0425'!I:I,NTA!B24,'TB 0425'!F:F)</f>
        <v>678.11134000000004</v>
      </c>
    </row>
    <row r="25" spans="2:4" x14ac:dyDescent="0.3">
      <c r="B25" s="64" t="s">
        <v>723</v>
      </c>
      <c r="D25" s="216">
        <f>SUMIF('TB 0425'!I:I,NTA!B25,'TB 0425'!F:F)</f>
        <v>3633.598</v>
      </c>
    </row>
    <row r="26" spans="2:4" x14ac:dyDescent="0.3">
      <c r="B26" s="64" t="s">
        <v>231</v>
      </c>
      <c r="D26" s="216">
        <f>SUMIF('TB 0425'!I:I,NTA!B26,'TB 0425'!F:F)</f>
        <v>174.20404000000002</v>
      </c>
    </row>
    <row r="27" spans="2:4" x14ac:dyDescent="0.3">
      <c r="B27" s="64" t="s">
        <v>949</v>
      </c>
      <c r="D27" s="216">
        <f>SUMIF('TB 0425'!I:I,NTA!B27,'TB 0425'!F:F)</f>
        <v>-412.35426000000001</v>
      </c>
    </row>
    <row r="28" spans="2:4" x14ac:dyDescent="0.3">
      <c r="B28" s="35"/>
      <c r="D28" s="21"/>
    </row>
    <row r="29" spans="2:4" x14ac:dyDescent="0.3">
      <c r="B29" s="54" t="s">
        <v>72</v>
      </c>
      <c r="D29" s="56">
        <f>SUM(D30:D31)</f>
        <v>-174.56732</v>
      </c>
    </row>
    <row r="30" spans="2:4" x14ac:dyDescent="0.3">
      <c r="B30" s="64" t="s">
        <v>300</v>
      </c>
      <c r="D30" s="216">
        <f>SUMIF('TB 0425'!I:I,NTA!B30,'TB 0425'!F:F)</f>
        <v>0</v>
      </c>
    </row>
    <row r="31" spans="2:4" x14ac:dyDescent="0.3">
      <c r="B31" s="64" t="s">
        <v>950</v>
      </c>
      <c r="D31" s="216">
        <f>SUMIF('TB 0425'!I:I,NTA!B31,'TB 0425'!F:F)</f>
        <v>-174.56732</v>
      </c>
    </row>
    <row r="32" spans="2:4" x14ac:dyDescent="0.3">
      <c r="B32" s="35"/>
      <c r="D32" s="21"/>
    </row>
    <row r="33" spans="2:4" x14ac:dyDescent="0.3">
      <c r="B33" s="54" t="s">
        <v>951</v>
      </c>
      <c r="D33" s="56">
        <f>SUM(D34)</f>
        <v>4989</v>
      </c>
    </row>
    <row r="34" spans="2:4" x14ac:dyDescent="0.3">
      <c r="B34" s="64" t="s">
        <v>146</v>
      </c>
      <c r="D34" s="216">
        <f>SUMIF('TB 0425'!I:I,NTA!B34,'TB 0425'!F:F)</f>
        <v>4989</v>
      </c>
    </row>
    <row r="35" spans="2:4" x14ac:dyDescent="0.3">
      <c r="B35" s="35"/>
      <c r="D35" s="21"/>
    </row>
    <row r="36" spans="2:4" x14ac:dyDescent="0.3">
      <c r="B36" s="54" t="s">
        <v>76</v>
      </c>
      <c r="D36" s="56">
        <f>SUM(D37)</f>
        <v>452000</v>
      </c>
    </row>
    <row r="37" spans="2:4" x14ac:dyDescent="0.3">
      <c r="B37" s="64" t="s">
        <v>952</v>
      </c>
      <c r="D37" s="216">
        <f>SUMIF('TB 0425'!I:I,NTA!B37,'TB 0425'!F:F)</f>
        <v>452000</v>
      </c>
    </row>
    <row r="38" spans="2:4" x14ac:dyDescent="0.3">
      <c r="B38" s="35"/>
      <c r="D38" s="21"/>
    </row>
    <row r="39" spans="2:4" x14ac:dyDescent="0.3">
      <c r="B39" s="54" t="s">
        <v>77</v>
      </c>
      <c r="D39" s="56">
        <f>SUM(D40)</f>
        <v>79.574189999999945</v>
      </c>
    </row>
    <row r="40" spans="2:4" x14ac:dyDescent="0.3">
      <c r="B40" s="64" t="s">
        <v>202</v>
      </c>
      <c r="D40" s="216">
        <f>SUMIF('TB 0425'!I:I,NTA!B40,'TB 0425'!F:F)</f>
        <v>79.574189999999945</v>
      </c>
    </row>
    <row r="41" spans="2:4" x14ac:dyDescent="0.3">
      <c r="B41" s="35"/>
      <c r="D41" s="21"/>
    </row>
    <row r="42" spans="2:4" x14ac:dyDescent="0.3">
      <c r="B42" s="54" t="s">
        <v>78</v>
      </c>
      <c r="D42" s="56">
        <f>SUM(D43)</f>
        <v>11312.843499999995</v>
      </c>
    </row>
    <row r="43" spans="2:4" x14ac:dyDescent="0.3">
      <c r="B43" s="64" t="s">
        <v>953</v>
      </c>
      <c r="D43" s="216">
        <f>SUMIF('TB 0425'!I:I,NTA!B43,'TB 0425'!F:F)</f>
        <v>11312.843499999995</v>
      </c>
    </row>
    <row r="44" spans="2:4" x14ac:dyDescent="0.3">
      <c r="B44" s="35"/>
      <c r="D44" s="21"/>
    </row>
    <row r="45" spans="2:4" x14ac:dyDescent="0.3">
      <c r="B45" s="54" t="s">
        <v>79</v>
      </c>
      <c r="D45" s="56">
        <f>SUM(D46:D49)</f>
        <v>12169.67174</v>
      </c>
    </row>
    <row r="46" spans="2:4" x14ac:dyDescent="0.3">
      <c r="B46" s="64" t="s">
        <v>288</v>
      </c>
      <c r="D46" s="216">
        <f>SUMIF('TB 0425'!I:I,NTA!B46,'TB 0425'!F:F)</f>
        <v>6849.1699799999997</v>
      </c>
    </row>
    <row r="47" spans="2:4" x14ac:dyDescent="0.3">
      <c r="B47" s="64" t="s">
        <v>172</v>
      </c>
      <c r="D47" s="216">
        <f>SUMIF('TB 0425'!I:I,NTA!B47,'TB 0425'!F:F)</f>
        <v>4975.8293999999996</v>
      </c>
    </row>
    <row r="48" spans="2:4" x14ac:dyDescent="0.3">
      <c r="B48" s="64" t="s">
        <v>954</v>
      </c>
      <c r="D48" s="216">
        <f>SUMIF('TB 0425'!I:I,NTA!B48,'TB 0425'!F:F)</f>
        <v>48.233359999999998</v>
      </c>
    </row>
    <row r="49" spans="2:4" x14ac:dyDescent="0.3">
      <c r="B49" s="64" t="s">
        <v>345</v>
      </c>
      <c r="D49" s="216">
        <f>SUMIF('TB 0425'!I:I,NTA!B49,'TB 0425'!F:F)</f>
        <v>296.43900000000002</v>
      </c>
    </row>
    <row r="50" spans="2:4" x14ac:dyDescent="0.3">
      <c r="B50" s="27"/>
      <c r="C50" s="217"/>
      <c r="D50" s="21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1AFD-E43D-4194-BB10-8EAF797703F9}">
  <dimension ref="B2:T27"/>
  <sheetViews>
    <sheetView showGridLines="0" zoomScale="80" zoomScaleNormal="80" workbookViewId="0">
      <pane xSplit="2" ySplit="8" topLeftCell="C9" activePane="bottomRight" state="frozen"/>
      <selection pane="topRight"/>
      <selection pane="bottomLeft"/>
      <selection pane="bottomRight" activeCell="C1" sqref="C1"/>
    </sheetView>
  </sheetViews>
  <sheetFormatPr defaultRowHeight="14.5" x14ac:dyDescent="0.35"/>
  <cols>
    <col min="1" max="1" width="3.81640625" customWidth="1"/>
    <col min="2" max="2" width="28.453125" style="2" bestFit="1" customWidth="1"/>
    <col min="3" max="18" width="10.36328125" style="2" customWidth="1"/>
  </cols>
  <sheetData>
    <row r="2" spans="2:20" x14ac:dyDescent="0.35">
      <c r="B2" s="294" t="s">
        <v>4</v>
      </c>
      <c r="C2" s="227">
        <v>1324</v>
      </c>
      <c r="D2" s="227">
        <v>1620</v>
      </c>
      <c r="E2" s="227">
        <v>2286</v>
      </c>
      <c r="F2" s="227">
        <v>2427</v>
      </c>
      <c r="G2" s="227">
        <v>2829</v>
      </c>
      <c r="H2" s="227">
        <v>3338</v>
      </c>
      <c r="I2" s="227">
        <v>4293</v>
      </c>
      <c r="J2" s="227">
        <v>4670</v>
      </c>
      <c r="K2" s="227">
        <v>6367</v>
      </c>
      <c r="L2" s="227">
        <v>6863</v>
      </c>
      <c r="M2" s="227">
        <v>6625</v>
      </c>
      <c r="N2" s="227">
        <v>8206</v>
      </c>
      <c r="O2" s="227">
        <v>8954</v>
      </c>
      <c r="P2" s="227">
        <v>13571</v>
      </c>
      <c r="Q2" s="227">
        <v>14166</v>
      </c>
      <c r="R2" s="227">
        <v>14551</v>
      </c>
      <c r="S2" s="76"/>
      <c r="T2" s="76"/>
    </row>
    <row r="3" spans="2:20" x14ac:dyDescent="0.35">
      <c r="B3" s="8" t="s">
        <v>1301</v>
      </c>
      <c r="C3" s="21" t="e">
        <v>#VALUE!</v>
      </c>
      <c r="D3" s="21" t="e">
        <v>#VALUE!</v>
      </c>
      <c r="E3" s="21" t="e">
        <v>#VALUE!</v>
      </c>
      <c r="F3" s="21" t="e">
        <v>#VALUE!</v>
      </c>
      <c r="G3" s="21" t="e">
        <v>#VALUE!</v>
      </c>
      <c r="H3" s="21" t="e">
        <v>#VALUE!</v>
      </c>
      <c r="I3" s="21" t="e">
        <v>#VALUE!</v>
      </c>
      <c r="J3" s="21" t="e">
        <v>#VALUE!</v>
      </c>
      <c r="K3" s="21" t="e">
        <v>#VALUE!</v>
      </c>
      <c r="L3" s="21" t="e">
        <v>#VALUE!</v>
      </c>
      <c r="M3" s="21" t="e">
        <v>#VALUE!</v>
      </c>
      <c r="N3" s="21" t="e">
        <v>#VALUE!</v>
      </c>
      <c r="O3" s="21" t="e">
        <v>#VALUE!</v>
      </c>
      <c r="P3" s="21" t="e">
        <v>#VALUE!</v>
      </c>
      <c r="Q3" s="21" t="e">
        <v>#VALUE!</v>
      </c>
      <c r="R3" s="21" t="e">
        <v>#VALUE!</v>
      </c>
      <c r="S3" s="295"/>
      <c r="T3" s="76"/>
    </row>
    <row r="4" spans="2:20" x14ac:dyDescent="0.35">
      <c r="B4" s="8" t="s">
        <v>1300</v>
      </c>
      <c r="C4" s="21"/>
      <c r="D4" s="21"/>
      <c r="E4" s="21"/>
      <c r="F4" s="21"/>
      <c r="G4" s="21"/>
      <c r="H4" s="21"/>
      <c r="I4" s="21">
        <v>977</v>
      </c>
      <c r="J4" s="21">
        <v>763</v>
      </c>
      <c r="K4" s="21">
        <v>1361</v>
      </c>
      <c r="L4" s="21">
        <v>996</v>
      </c>
      <c r="M4" s="21">
        <v>954</v>
      </c>
      <c r="N4" s="21">
        <v>1344</v>
      </c>
      <c r="O4" s="21">
        <v>1269</v>
      </c>
      <c r="P4" s="21">
        <v>1948</v>
      </c>
      <c r="Q4" s="21">
        <v>1753</v>
      </c>
      <c r="R4" s="21">
        <v>1539</v>
      </c>
      <c r="S4" s="76"/>
      <c r="T4" s="76"/>
    </row>
    <row r="5" spans="2:20" x14ac:dyDescent="0.35">
      <c r="B5" s="20" t="s">
        <v>6</v>
      </c>
      <c r="C5" s="218">
        <v>1779</v>
      </c>
      <c r="D5" s="218">
        <v>2329</v>
      </c>
      <c r="E5" s="218">
        <v>3181.25</v>
      </c>
      <c r="F5" s="218">
        <v>3414.25</v>
      </c>
      <c r="G5" s="218">
        <v>3793.5</v>
      </c>
      <c r="H5" s="218">
        <v>4365.5</v>
      </c>
      <c r="I5" s="218">
        <v>6088.8</v>
      </c>
      <c r="J5" s="218">
        <v>6123.5</v>
      </c>
      <c r="K5" s="218">
        <v>8260.75</v>
      </c>
      <c r="L5" s="218">
        <v>9144.75</v>
      </c>
      <c r="M5" s="218">
        <v>8461</v>
      </c>
      <c r="N5" s="218">
        <v>10376</v>
      </c>
      <c r="O5" s="218">
        <v>11400</v>
      </c>
      <c r="P5" s="218">
        <v>16912</v>
      </c>
      <c r="Q5" s="218">
        <v>17237</v>
      </c>
      <c r="R5" s="218">
        <v>17893.25</v>
      </c>
      <c r="S5" s="76"/>
      <c r="T5" s="76"/>
    </row>
    <row r="6" spans="2:20" x14ac:dyDescent="0.35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76"/>
      <c r="T6" s="76"/>
    </row>
    <row r="7" spans="2:20" x14ac:dyDescent="0.35">
      <c r="B7" s="31" t="s">
        <v>22</v>
      </c>
      <c r="C7" s="92" t="s">
        <v>23</v>
      </c>
      <c r="D7" s="92" t="s">
        <v>23</v>
      </c>
      <c r="E7" s="92" t="s">
        <v>23</v>
      </c>
      <c r="F7" s="92" t="s">
        <v>23</v>
      </c>
      <c r="G7" s="92" t="s">
        <v>23</v>
      </c>
      <c r="H7" s="92" t="s">
        <v>23</v>
      </c>
      <c r="I7" s="92" t="s">
        <v>23</v>
      </c>
      <c r="J7" s="92" t="s">
        <v>23</v>
      </c>
      <c r="K7" s="92" t="s">
        <v>23</v>
      </c>
      <c r="L7" s="92" t="s">
        <v>23</v>
      </c>
      <c r="M7" s="92" t="s">
        <v>23</v>
      </c>
      <c r="N7" s="92" t="s">
        <v>23</v>
      </c>
      <c r="O7" s="92" t="s">
        <v>23</v>
      </c>
      <c r="P7" s="92" t="s">
        <v>23</v>
      </c>
      <c r="Q7" s="92" t="s">
        <v>23</v>
      </c>
      <c r="R7" s="92" t="s">
        <v>23</v>
      </c>
      <c r="S7" s="76"/>
      <c r="T7" s="76"/>
    </row>
    <row r="8" spans="2:20" x14ac:dyDescent="0.35">
      <c r="B8" s="33" t="s">
        <v>24</v>
      </c>
      <c r="C8" s="93">
        <v>45383</v>
      </c>
      <c r="D8" s="93">
        <v>45413</v>
      </c>
      <c r="E8" s="93">
        <v>45444</v>
      </c>
      <c r="F8" s="93">
        <v>45474</v>
      </c>
      <c r="G8" s="93">
        <v>45505</v>
      </c>
      <c r="H8" s="93">
        <v>45536</v>
      </c>
      <c r="I8" s="93">
        <v>45566</v>
      </c>
      <c r="J8" s="93">
        <v>45597</v>
      </c>
      <c r="K8" s="93">
        <v>45627</v>
      </c>
      <c r="L8" s="93">
        <v>45658</v>
      </c>
      <c r="M8" s="93">
        <v>45689</v>
      </c>
      <c r="N8" s="93">
        <v>45717</v>
      </c>
      <c r="O8" s="93">
        <v>45748</v>
      </c>
      <c r="P8" s="93">
        <v>45778</v>
      </c>
      <c r="Q8" s="93">
        <v>45809</v>
      </c>
      <c r="R8" s="93">
        <v>45839</v>
      </c>
      <c r="S8" s="76"/>
      <c r="T8" s="76"/>
    </row>
    <row r="9" spans="2:20" x14ac:dyDescent="0.35">
      <c r="B9" s="35" t="s">
        <v>25</v>
      </c>
      <c r="C9" s="21">
        <v>298.47782000000001</v>
      </c>
      <c r="D9" s="21">
        <v>398.18000423728819</v>
      </c>
      <c r="E9" s="21">
        <v>554.91614000000004</v>
      </c>
      <c r="F9" s="21">
        <v>633.58600000000001</v>
      </c>
      <c r="G9" s="21">
        <v>710.60900000000004</v>
      </c>
      <c r="H9" s="21">
        <v>810.94919040148591</v>
      </c>
      <c r="I9" s="21">
        <v>1123.41842</v>
      </c>
      <c r="J9" s="21">
        <v>1142.0403999999999</v>
      </c>
      <c r="K9" s="21">
        <v>1512.3148340754597</v>
      </c>
      <c r="L9" s="21">
        <v>1685.4178326291549</v>
      </c>
      <c r="M9" s="21">
        <v>1576.128383</v>
      </c>
      <c r="N9" s="21">
        <v>1958.4423232322999</v>
      </c>
      <c r="O9" s="21">
        <v>2113.7851075069802</v>
      </c>
      <c r="P9" s="21">
        <v>3121.0576804121501</v>
      </c>
      <c r="Q9" s="21">
        <f>3197.07141+80.54255</f>
        <v>3277.6139600000001</v>
      </c>
      <c r="R9" s="21">
        <v>3371.1770000000001</v>
      </c>
      <c r="S9" s="76"/>
      <c r="T9" s="76"/>
    </row>
    <row r="10" spans="2:20" x14ac:dyDescent="0.35">
      <c r="B10" s="35" t="s">
        <v>26</v>
      </c>
      <c r="C10" s="97">
        <v>284.13099999999997</v>
      </c>
      <c r="D10" s="97">
        <v>329.68677000000002</v>
      </c>
      <c r="E10" s="97">
        <v>475.8125</v>
      </c>
      <c r="F10" s="97">
        <v>499.93374999999997</v>
      </c>
      <c r="G10" s="97">
        <v>562.63300000000004</v>
      </c>
      <c r="H10" s="97">
        <v>635.56981999999994</v>
      </c>
      <c r="I10" s="97">
        <v>847.37650333333295</v>
      </c>
      <c r="J10" s="97">
        <v>814.67432999999994</v>
      </c>
      <c r="K10" s="97">
        <v>1160.76</v>
      </c>
      <c r="L10" s="97">
        <v>1316.76675</v>
      </c>
      <c r="M10" s="97">
        <v>1180.1221212</v>
      </c>
      <c r="N10" s="97">
        <v>1661.93987373</v>
      </c>
      <c r="O10" s="97">
        <v>1711.6394107000001</v>
      </c>
      <c r="P10" s="97">
        <v>2775.0837746000002</v>
      </c>
      <c r="Q10" s="97">
        <v>3189.94894216178</v>
      </c>
      <c r="R10" s="97">
        <v>3646.1477138140381</v>
      </c>
      <c r="S10" s="76"/>
      <c r="T10" s="76"/>
    </row>
    <row r="11" spans="2:20" x14ac:dyDescent="0.35">
      <c r="B11" s="35" t="s">
        <v>757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410</v>
      </c>
      <c r="N11" s="97">
        <v>0</v>
      </c>
      <c r="O11" s="97">
        <v>0</v>
      </c>
      <c r="P11" s="97">
        <v>480</v>
      </c>
      <c r="Q11" s="97">
        <v>0</v>
      </c>
      <c r="R11" s="97">
        <v>77</v>
      </c>
      <c r="S11" s="76"/>
      <c r="T11" s="76"/>
    </row>
    <row r="12" spans="2:20" x14ac:dyDescent="0.35">
      <c r="B12" s="35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76"/>
      <c r="T12" s="76"/>
    </row>
    <row r="13" spans="2:20" x14ac:dyDescent="0.35">
      <c r="B13" s="35" t="s">
        <v>27</v>
      </c>
      <c r="C13" s="21">
        <v>40.32882</v>
      </c>
      <c r="D13" s="21">
        <v>50.001254237288201</v>
      </c>
      <c r="E13" s="21">
        <v>29.065140000000056</v>
      </c>
      <c r="F13" s="21">
        <v>35.631999999999998</v>
      </c>
      <c r="G13" s="21">
        <v>38.552</v>
      </c>
      <c r="H13" s="21">
        <v>53.680620401485804</v>
      </c>
      <c r="I13" s="21">
        <v>72.858260000000001</v>
      </c>
      <c r="J13" s="21">
        <v>78.258589999999998</v>
      </c>
      <c r="K13" s="21">
        <v>97.050854075459597</v>
      </c>
      <c r="L13" s="21">
        <v>111.458172629155</v>
      </c>
      <c r="M13" s="21">
        <v>93.929282000000001</v>
      </c>
      <c r="N13" s="21">
        <v>112.02372373</v>
      </c>
      <c r="O13" s="21">
        <v>157.136</v>
      </c>
      <c r="P13" s="21">
        <v>251.07</v>
      </c>
      <c r="Q13" s="21">
        <v>218.69072</v>
      </c>
      <c r="R13" s="21">
        <v>214.8717022607795</v>
      </c>
      <c r="S13" s="76"/>
      <c r="T13" s="76"/>
    </row>
    <row r="14" spans="2:20" x14ac:dyDescent="0.35">
      <c r="B14" s="35" t="s">
        <v>62</v>
      </c>
      <c r="C14" s="97">
        <v>2.149</v>
      </c>
      <c r="D14" s="97">
        <v>20.044</v>
      </c>
      <c r="E14" s="97">
        <v>8.794190715771915</v>
      </c>
      <c r="F14" s="97">
        <v>6.6879999999999997</v>
      </c>
      <c r="G14" s="97">
        <v>16.452999999999999</v>
      </c>
      <c r="H14" s="97">
        <v>9.3697400000000002</v>
      </c>
      <c r="I14" s="97">
        <v>17.257999999999999</v>
      </c>
      <c r="J14" s="97">
        <v>30.865740000000002</v>
      </c>
      <c r="K14" s="97">
        <v>37.457999999999998</v>
      </c>
      <c r="L14" s="97">
        <v>47.692999999999998</v>
      </c>
      <c r="M14" s="97">
        <v>59.595959499999999</v>
      </c>
      <c r="N14" s="97">
        <v>17.121212119999999</v>
      </c>
      <c r="O14" s="97">
        <v>17.902000000000001</v>
      </c>
      <c r="P14" s="97">
        <v>9.4949999999999992</v>
      </c>
      <c r="Q14" s="97">
        <v>21.431000000000001</v>
      </c>
      <c r="R14" s="97">
        <v>276.22555000008686</v>
      </c>
      <c r="S14" s="76"/>
      <c r="T14" s="76"/>
    </row>
    <row r="15" spans="2:20" x14ac:dyDescent="0.35">
      <c r="B15" s="35" t="s">
        <v>29</v>
      </c>
      <c r="C15" s="97">
        <v>3.05261</v>
      </c>
      <c r="D15" s="97">
        <v>3.8194499999999998</v>
      </c>
      <c r="E15" s="97">
        <v>4.3365</v>
      </c>
      <c r="F15" s="97">
        <v>8.9</v>
      </c>
      <c r="G15" s="97">
        <v>6.7789999999999999</v>
      </c>
      <c r="H15" s="97">
        <v>0</v>
      </c>
      <c r="I15" s="97">
        <v>14.75</v>
      </c>
      <c r="J15" s="97">
        <v>13.75723</v>
      </c>
      <c r="K15" s="97">
        <v>20.11223</v>
      </c>
      <c r="L15" s="97">
        <v>18.290680000000002</v>
      </c>
      <c r="M15" s="97">
        <v>14.788384000000001</v>
      </c>
      <c r="N15" s="97">
        <v>15.982636236199999</v>
      </c>
      <c r="O15" s="97">
        <v>20.274000000000001</v>
      </c>
      <c r="P15" s="97">
        <v>9.1421700000000001</v>
      </c>
      <c r="Q15" s="97">
        <v>10.13086</v>
      </c>
      <c r="R15" s="97">
        <v>10.454503885858408</v>
      </c>
      <c r="S15" s="76"/>
      <c r="T15" s="76"/>
    </row>
    <row r="16" spans="2:20" x14ac:dyDescent="0.35">
      <c r="B16" s="3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6"/>
      <c r="T16" s="76"/>
    </row>
    <row r="17" spans="2:20" x14ac:dyDescent="0.35">
      <c r="B17" s="38" t="s">
        <v>30</v>
      </c>
      <c r="C17" s="94">
        <f t="shared" ref="C17:Q17" si="0">C9-C10-C11-C13-C14-C15</f>
        <v>-31.183609999999966</v>
      </c>
      <c r="D17" s="94">
        <f t="shared" si="0"/>
        <v>-5.3714700000000377</v>
      </c>
      <c r="E17" s="94">
        <f t="shared" si="0"/>
        <v>36.907809284228065</v>
      </c>
      <c r="F17" s="94">
        <f t="shared" si="0"/>
        <v>82.432250000000025</v>
      </c>
      <c r="G17" s="94">
        <f t="shared" si="0"/>
        <v>86.192000000000007</v>
      </c>
      <c r="H17" s="94">
        <f t="shared" si="0"/>
        <v>112.32901000000015</v>
      </c>
      <c r="I17" s="94">
        <f t="shared" si="0"/>
        <v>171.17565666666701</v>
      </c>
      <c r="J17" s="94">
        <f t="shared" si="0"/>
        <v>204.48450999999994</v>
      </c>
      <c r="K17" s="94">
        <f t="shared" si="0"/>
        <v>196.93375000000006</v>
      </c>
      <c r="L17" s="94">
        <f t="shared" si="0"/>
        <v>191.20922999999988</v>
      </c>
      <c r="M17" s="94">
        <f t="shared" si="0"/>
        <v>-182.30736370000005</v>
      </c>
      <c r="N17" s="94">
        <f t="shared" si="0"/>
        <v>151.37487741609991</v>
      </c>
      <c r="O17" s="94">
        <f t="shared" si="0"/>
        <v>206.83369680698013</v>
      </c>
      <c r="P17" s="94">
        <f t="shared" si="0"/>
        <v>-403.73326418785007</v>
      </c>
      <c r="Q17" s="94">
        <f t="shared" si="0"/>
        <v>-162.58756216177989</v>
      </c>
      <c r="R17" s="94">
        <f>R9-R10-R11-R13-R14-R15</f>
        <v>-853.52246996076281</v>
      </c>
      <c r="S17" s="76"/>
      <c r="T17" s="76"/>
    </row>
    <row r="18" spans="2:20" x14ac:dyDescent="0.35">
      <c r="B18" s="40" t="s">
        <v>18</v>
      </c>
      <c r="C18" s="47">
        <f t="shared" ref="C18:Q18" si="1">C17/C9</f>
        <v>-0.10447546822742126</v>
      </c>
      <c r="D18" s="47">
        <f t="shared" si="1"/>
        <v>-1.3490054605552235E-2</v>
      </c>
      <c r="E18" s="47">
        <f t="shared" si="1"/>
        <v>6.6510606961671839E-2</v>
      </c>
      <c r="F18" s="47">
        <f t="shared" si="1"/>
        <v>0.1301042794506192</v>
      </c>
      <c r="G18" s="47">
        <f t="shared" si="1"/>
        <v>0.12129314433113006</v>
      </c>
      <c r="H18" s="47">
        <f t="shared" si="1"/>
        <v>0.13851547215231591</v>
      </c>
      <c r="I18" s="47">
        <f t="shared" si="1"/>
        <v>0.15237034894502355</v>
      </c>
      <c r="J18" s="47">
        <f t="shared" si="1"/>
        <v>0.17905190569440449</v>
      </c>
      <c r="K18" s="47">
        <f t="shared" si="1"/>
        <v>0.13022007426145085</v>
      </c>
      <c r="L18" s="47">
        <f t="shared" si="1"/>
        <v>0.11344915563265667</v>
      </c>
      <c r="M18" s="47">
        <f t="shared" si="1"/>
        <v>-0.11566783877909523</v>
      </c>
      <c r="N18" s="47">
        <f t="shared" si="1"/>
        <v>7.7293508019303889E-2</v>
      </c>
      <c r="O18" s="47">
        <f t="shared" si="1"/>
        <v>9.7849916754746136E-2</v>
      </c>
      <c r="P18" s="47">
        <f t="shared" si="1"/>
        <v>-0.12935783491657071</v>
      </c>
      <c r="Q18" s="47">
        <f t="shared" si="1"/>
        <v>-4.9605464263332552E-2</v>
      </c>
      <c r="R18" s="47">
        <f>R17/R9</f>
        <v>-0.25318233660254646</v>
      </c>
      <c r="S18" s="76"/>
      <c r="T18" s="76"/>
    </row>
    <row r="19" spans="2:20" x14ac:dyDescent="0.35">
      <c r="B19" s="3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76"/>
      <c r="T19" s="76"/>
    </row>
    <row r="20" spans="2:20" x14ac:dyDescent="0.35">
      <c r="B20" s="35" t="s">
        <v>31</v>
      </c>
      <c r="C20" s="21">
        <v>51.006790000000002</v>
      </c>
      <c r="D20" s="21">
        <v>68.333330000000004</v>
      </c>
      <c r="E20" s="21">
        <v>64.380210000000005</v>
      </c>
      <c r="F20" s="21">
        <v>84.714770000000016</v>
      </c>
      <c r="G20" s="21">
        <v>128.89078000000001</v>
      </c>
      <c r="H20" s="21">
        <v>75.809390000000008</v>
      </c>
      <c r="I20" s="21">
        <v>105.92092</v>
      </c>
      <c r="J20" s="21">
        <v>116.24125000000001</v>
      </c>
      <c r="K20" s="21">
        <v>95.353370000000012</v>
      </c>
      <c r="L20" s="21">
        <v>154.4280599999999</v>
      </c>
      <c r="M20" s="21">
        <v>416.74449749999997</v>
      </c>
      <c r="N20" s="21">
        <v>152.82771889908258</v>
      </c>
      <c r="O20" s="21">
        <v>195.84</v>
      </c>
      <c r="P20" s="21">
        <v>562.48599999999999</v>
      </c>
      <c r="Q20" s="21">
        <v>178.42319000000001</v>
      </c>
      <c r="R20" s="21">
        <v>220.58040369822487</v>
      </c>
      <c r="S20" s="76"/>
      <c r="T20" s="76"/>
    </row>
    <row r="21" spans="2:20" x14ac:dyDescent="0.35">
      <c r="B21" s="35" t="s">
        <v>32</v>
      </c>
      <c r="C21" s="21">
        <v>40.1</v>
      </c>
      <c r="D21" s="21">
        <v>58.2</v>
      </c>
      <c r="E21" s="21">
        <v>58.2</v>
      </c>
      <c r="F21" s="21">
        <v>77.22</v>
      </c>
      <c r="G21" s="21">
        <v>85.864999999999995</v>
      </c>
      <c r="H21" s="21">
        <v>85</v>
      </c>
      <c r="I21" s="21">
        <v>117.49600000000001</v>
      </c>
      <c r="J21" s="21">
        <v>110</v>
      </c>
      <c r="K21" s="21">
        <v>110</v>
      </c>
      <c r="L21" s="21">
        <v>135.548</v>
      </c>
      <c r="M21" s="21">
        <f>125+48</f>
        <v>173</v>
      </c>
      <c r="N21" s="21">
        <f>109+10.75</f>
        <v>119.75</v>
      </c>
      <c r="O21" s="21">
        <v>386.48</v>
      </c>
      <c r="P21" s="21">
        <v>360.51</v>
      </c>
      <c r="Q21" s="21">
        <v>396.20485000000002</v>
      </c>
      <c r="R21" s="21">
        <v>284.73579699999999</v>
      </c>
      <c r="S21" s="76"/>
      <c r="T21" s="76"/>
    </row>
    <row r="22" spans="2:20" x14ac:dyDescent="0.35">
      <c r="B22" s="35" t="s">
        <v>33</v>
      </c>
      <c r="C22" s="21">
        <v>17.3</v>
      </c>
      <c r="D22" s="21">
        <v>134.76680999999999</v>
      </c>
      <c r="E22" s="21">
        <v>79.236099999999993</v>
      </c>
      <c r="F22" s="21">
        <v>46.578200000000002</v>
      </c>
      <c r="G22" s="21">
        <v>124.44848000000002</v>
      </c>
      <c r="H22" s="21">
        <v>165.01900000000001</v>
      </c>
      <c r="I22" s="21">
        <v>188.00530000000001</v>
      </c>
      <c r="J22" s="21">
        <v>150.4572</v>
      </c>
      <c r="K22" s="21">
        <v>156.9545</v>
      </c>
      <c r="L22" s="21">
        <v>265.24941999999999</v>
      </c>
      <c r="M22" s="21">
        <v>367.09301249999999</v>
      </c>
      <c r="N22" s="21">
        <v>390.99481431192663</v>
      </c>
      <c r="O22" s="21">
        <v>275.8122449</v>
      </c>
      <c r="P22" s="21">
        <v>470.28828829000003</v>
      </c>
      <c r="Q22" s="21">
        <v>466.78883999999999</v>
      </c>
      <c r="R22" s="21">
        <v>487.41645221893492</v>
      </c>
      <c r="S22" s="76"/>
      <c r="T22" s="76"/>
    </row>
    <row r="23" spans="2:20" x14ac:dyDescent="0.35">
      <c r="B23" s="35" t="s">
        <v>34</v>
      </c>
      <c r="C23" s="21">
        <v>42.009979999999999</v>
      </c>
      <c r="D23" s="21">
        <v>185.29833000000002</v>
      </c>
      <c r="E23" s="21">
        <v>179.875</v>
      </c>
      <c r="F23" s="21">
        <v>161.982</v>
      </c>
      <c r="G23" s="21">
        <v>108.75435999999999</v>
      </c>
      <c r="H23" s="21">
        <v>81.724000000000004</v>
      </c>
      <c r="I23" s="21">
        <v>49.701000000000001</v>
      </c>
      <c r="J23" s="21">
        <v>51</v>
      </c>
      <c r="K23" s="21">
        <v>80.373000000000005</v>
      </c>
      <c r="L23" s="21">
        <v>77.611999999999995</v>
      </c>
      <c r="M23" s="21">
        <v>47.579465354435428</v>
      </c>
      <c r="N23" s="21">
        <v>165.34064442773916</v>
      </c>
      <c r="O23" s="21">
        <v>209.80333777999999</v>
      </c>
      <c r="P23" s="21">
        <v>239.86984199</v>
      </c>
      <c r="Q23" s="21">
        <v>206.77733000000001</v>
      </c>
      <c r="R23" s="21">
        <v>139.33096082277555</v>
      </c>
      <c r="S23" s="76"/>
      <c r="T23" s="76"/>
    </row>
    <row r="24" spans="2:20" x14ac:dyDescent="0.35">
      <c r="B24" s="35" t="s">
        <v>958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f>8.7251736+28.933</f>
        <v>37.658173599999998</v>
      </c>
      <c r="P24" s="21">
        <f>22.7332765+30.161+28+2.56</f>
        <v>83.454276500000006</v>
      </c>
      <c r="Q24" s="21">
        <f>93.22655+26.525+30.161+36-55+2.5</f>
        <v>133.41255000000001</v>
      </c>
      <c r="R24" s="21">
        <v>76.864399999999989</v>
      </c>
      <c r="S24" s="76"/>
      <c r="T24" s="76"/>
    </row>
    <row r="25" spans="2:20" x14ac:dyDescent="0.35">
      <c r="B25" s="35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76"/>
      <c r="T25" s="76"/>
    </row>
    <row r="26" spans="2:20" x14ac:dyDescent="0.35">
      <c r="B26" s="38" t="s">
        <v>35</v>
      </c>
      <c r="C26" s="94">
        <f>C17-SUM(C20:C24)</f>
        <v>-181.60037999999994</v>
      </c>
      <c r="D26" s="94">
        <f t="shared" ref="D26:P26" si="2">D17-SUM(D20:D24)</f>
        <v>-451.96994000000007</v>
      </c>
      <c r="E26" s="94">
        <f t="shared" si="2"/>
        <v>-344.78350071577194</v>
      </c>
      <c r="F26" s="94">
        <f t="shared" si="2"/>
        <v>-288.06272000000001</v>
      </c>
      <c r="G26" s="94">
        <f t="shared" si="2"/>
        <v>-361.76661999999999</v>
      </c>
      <c r="H26" s="94">
        <f t="shared" si="2"/>
        <v>-295.22337999999985</v>
      </c>
      <c r="I26" s="94">
        <f t="shared" si="2"/>
        <v>-289.94756333333305</v>
      </c>
      <c r="J26" s="94">
        <f t="shared" si="2"/>
        <v>-223.21394000000004</v>
      </c>
      <c r="K26" s="94">
        <f t="shared" si="2"/>
        <v>-245.74711999999991</v>
      </c>
      <c r="L26" s="94">
        <f t="shared" si="2"/>
        <v>-441.62824999999992</v>
      </c>
      <c r="M26" s="94">
        <f t="shared" si="2"/>
        <v>-1186.7243390544354</v>
      </c>
      <c r="N26" s="94">
        <f t="shared" si="2"/>
        <v>-677.53830022264833</v>
      </c>
      <c r="O26" s="94">
        <f t="shared" si="2"/>
        <v>-898.76005947302008</v>
      </c>
      <c r="P26" s="94">
        <f t="shared" si="2"/>
        <v>-2120.34167096785</v>
      </c>
      <c r="Q26" s="94">
        <f>Q17-SUM(Q20:Q24)</f>
        <v>-1544.1943221617801</v>
      </c>
      <c r="R26" s="94">
        <f>R17-SUM(R20:R24)</f>
        <v>-2062.450483700698</v>
      </c>
      <c r="S26" s="76"/>
      <c r="T26" s="76"/>
    </row>
    <row r="27" spans="2:20" x14ac:dyDescent="0.35">
      <c r="B27" s="48" t="s">
        <v>19</v>
      </c>
      <c r="C27" s="99">
        <f t="shared" ref="C27:Q27" si="3">C26/C9</f>
        <v>-0.60842169109919098</v>
      </c>
      <c r="D27" s="99">
        <f t="shared" si="3"/>
        <v>-1.1350894951788104</v>
      </c>
      <c r="E27" s="99">
        <f t="shared" si="3"/>
        <v>-0.62132541453159373</v>
      </c>
      <c r="F27" s="99">
        <f t="shared" si="3"/>
        <v>-0.45465449047169604</v>
      </c>
      <c r="G27" s="99">
        <f t="shared" si="3"/>
        <v>-0.50909377730932193</v>
      </c>
      <c r="H27" s="99">
        <f t="shared" si="3"/>
        <v>-0.36404670415151441</v>
      </c>
      <c r="I27" s="99">
        <f t="shared" si="3"/>
        <v>-0.2580940085826019</v>
      </c>
      <c r="J27" s="99">
        <f t="shared" si="3"/>
        <v>-0.19545187718402962</v>
      </c>
      <c r="K27" s="99">
        <f t="shared" si="3"/>
        <v>-0.16249732824331861</v>
      </c>
      <c r="L27" s="99">
        <f t="shared" si="3"/>
        <v>-0.26202894110304104</v>
      </c>
      <c r="M27" s="99">
        <f t="shared" si="3"/>
        <v>-0.75293634189597325</v>
      </c>
      <c r="N27" s="99">
        <f t="shared" si="3"/>
        <v>-0.34595775029228798</v>
      </c>
      <c r="O27" s="99">
        <f t="shared" si="3"/>
        <v>-0.4251898910069562</v>
      </c>
      <c r="P27" s="99">
        <f t="shared" si="3"/>
        <v>-0.67936638411881223</v>
      </c>
      <c r="Q27" s="99">
        <f t="shared" si="3"/>
        <v>-0.47113367864767697</v>
      </c>
      <c r="R27" s="99">
        <f>R26/R9</f>
        <v>-0.61178943843669376</v>
      </c>
      <c r="S27" s="76"/>
      <c r="T27" s="7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BC59-C112-4AF0-8062-FC555C21E928}">
  <dimension ref="B1:K27"/>
  <sheetViews>
    <sheetView showGridLines="0" zoomScale="80" zoomScaleNormal="8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.81640625" customWidth="1"/>
    <col min="2" max="2" width="28.453125" style="2" bestFit="1" customWidth="1"/>
    <col min="3" max="6" width="10.36328125" style="2" customWidth="1"/>
  </cols>
  <sheetData>
    <row r="1" spans="2:11" x14ac:dyDescent="0.35">
      <c r="C1" s="293"/>
      <c r="D1" s="293"/>
      <c r="E1" s="293"/>
      <c r="G1" s="2"/>
    </row>
    <row r="2" spans="2:11" x14ac:dyDescent="0.35">
      <c r="B2" s="25" t="s">
        <v>4</v>
      </c>
      <c r="C2" s="227">
        <v>1900</v>
      </c>
      <c r="D2" s="227">
        <v>6424</v>
      </c>
      <c r="E2" s="227">
        <v>10137</v>
      </c>
      <c r="F2" s="227">
        <v>10451</v>
      </c>
      <c r="G2" s="76"/>
      <c r="H2" s="76"/>
      <c r="I2" s="76"/>
      <c r="J2" s="76"/>
      <c r="K2" s="76"/>
    </row>
    <row r="3" spans="2:11" x14ac:dyDescent="0.35">
      <c r="B3" s="35" t="s">
        <v>1301</v>
      </c>
      <c r="C3" s="21">
        <v>1040</v>
      </c>
      <c r="D3" s="21">
        <v>2532</v>
      </c>
      <c r="E3" s="21">
        <v>3138</v>
      </c>
      <c r="F3" s="21">
        <v>2799</v>
      </c>
      <c r="G3" s="76"/>
      <c r="H3" s="76"/>
      <c r="I3" s="76"/>
      <c r="J3" s="76"/>
      <c r="K3" s="76"/>
    </row>
    <row r="4" spans="2:11" x14ac:dyDescent="0.35">
      <c r="B4" s="35" t="s">
        <v>1300</v>
      </c>
      <c r="C4" s="21">
        <v>989</v>
      </c>
      <c r="D4" s="21">
        <v>2403</v>
      </c>
      <c r="E4" s="21">
        <v>2875</v>
      </c>
      <c r="F4" s="21">
        <v>2516</v>
      </c>
      <c r="G4" s="76"/>
      <c r="H4" s="76"/>
      <c r="I4" s="76"/>
      <c r="J4" s="76"/>
      <c r="K4" s="76"/>
    </row>
    <row r="5" spans="2:11" x14ac:dyDescent="0.35">
      <c r="B5" s="27" t="s">
        <v>6</v>
      </c>
      <c r="C5" s="218">
        <v>2283</v>
      </c>
      <c r="D5" s="218">
        <v>7407</v>
      </c>
      <c r="E5" s="218">
        <v>11876</v>
      </c>
      <c r="F5" s="218">
        <v>11839.25</v>
      </c>
      <c r="G5" s="76"/>
      <c r="H5" s="76"/>
      <c r="I5" s="76"/>
    </row>
    <row r="6" spans="2:11" x14ac:dyDescent="0.35">
      <c r="B6" s="29"/>
      <c r="C6" s="29"/>
      <c r="D6" s="29"/>
      <c r="E6" s="29"/>
      <c r="F6" s="29"/>
      <c r="G6" s="76"/>
      <c r="H6" s="76"/>
      <c r="I6" s="76"/>
    </row>
    <row r="7" spans="2:11" x14ac:dyDescent="0.35">
      <c r="B7" s="31" t="s">
        <v>22</v>
      </c>
      <c r="C7" s="92" t="s">
        <v>23</v>
      </c>
      <c r="D7" s="92" t="s">
        <v>23</v>
      </c>
      <c r="E7" s="92" t="s">
        <v>23</v>
      </c>
      <c r="F7" s="92" t="s">
        <v>23</v>
      </c>
      <c r="G7" s="76"/>
      <c r="H7" s="76"/>
      <c r="I7" s="76"/>
    </row>
    <row r="8" spans="2:11" x14ac:dyDescent="0.35">
      <c r="B8" s="33" t="s">
        <v>24</v>
      </c>
      <c r="C8" s="93">
        <v>45748</v>
      </c>
      <c r="D8" s="93">
        <v>45778</v>
      </c>
      <c r="E8" s="93">
        <v>45809</v>
      </c>
      <c r="F8" s="93">
        <v>45839</v>
      </c>
      <c r="G8" s="76"/>
      <c r="H8" s="76"/>
      <c r="I8" s="76"/>
    </row>
    <row r="9" spans="2:11" x14ac:dyDescent="0.35">
      <c r="B9" s="35" t="s">
        <v>25</v>
      </c>
      <c r="C9" s="21">
        <v>405.90064000000001</v>
      </c>
      <c r="D9" s="21">
        <v>1338.7997105663301</v>
      </c>
      <c r="E9" s="21">
        <v>2149.8602316337301</v>
      </c>
      <c r="F9" s="21">
        <v>2258.7078862069043</v>
      </c>
      <c r="G9" s="76"/>
      <c r="H9" s="76"/>
      <c r="I9" s="76"/>
    </row>
    <row r="10" spans="2:11" x14ac:dyDescent="0.35">
      <c r="B10" s="35" t="s">
        <v>26</v>
      </c>
      <c r="C10" s="97">
        <v>1431.4996688471899</v>
      </c>
      <c r="D10" s="97">
        <v>2832.3079445222902</v>
      </c>
      <c r="E10" s="97">
        <v>3001.4729163000002</v>
      </c>
      <c r="F10" s="97">
        <v>2374.3170286077298</v>
      </c>
      <c r="G10" s="76"/>
      <c r="H10" s="76"/>
      <c r="I10" s="76"/>
    </row>
    <row r="11" spans="2:11" x14ac:dyDescent="0.35">
      <c r="B11" s="35" t="s">
        <v>757</v>
      </c>
      <c r="C11" s="97"/>
      <c r="D11" s="97"/>
      <c r="E11" s="97"/>
      <c r="F11" s="97">
        <v>476</v>
      </c>
      <c r="G11" s="76"/>
      <c r="H11" s="76"/>
      <c r="I11" s="76"/>
    </row>
    <row r="12" spans="2:11" x14ac:dyDescent="0.35">
      <c r="B12" s="35"/>
      <c r="C12" s="21"/>
      <c r="D12" s="21"/>
      <c r="E12" s="21"/>
      <c r="F12" s="21"/>
      <c r="G12" s="76"/>
      <c r="H12" s="76"/>
      <c r="I12" s="76"/>
    </row>
    <row r="13" spans="2:11" x14ac:dyDescent="0.35">
      <c r="B13" s="35" t="s">
        <v>27</v>
      </c>
      <c r="C13" s="21">
        <v>18.169</v>
      </c>
      <c r="D13" s="21">
        <v>73.064959999999999</v>
      </c>
      <c r="E13" s="21">
        <v>139.00614181</v>
      </c>
      <c r="F13" s="21">
        <v>158.53540777354218</v>
      </c>
      <c r="G13" s="76"/>
      <c r="H13" s="76"/>
      <c r="I13" s="76"/>
    </row>
    <row r="14" spans="2:11" x14ac:dyDescent="0.35">
      <c r="B14" s="35" t="s">
        <v>62</v>
      </c>
      <c r="C14" s="97">
        <v>3.7639999999999998</v>
      </c>
      <c r="D14" s="97">
        <v>1.827</v>
      </c>
      <c r="E14" s="97">
        <v>4.2640000000000002</v>
      </c>
      <c r="F14" s="97">
        <v>14.792419047597123</v>
      </c>
      <c r="G14" s="76"/>
      <c r="H14" s="76"/>
      <c r="I14" s="76"/>
    </row>
    <row r="15" spans="2:11" x14ac:dyDescent="0.35">
      <c r="B15" s="35" t="s">
        <v>29</v>
      </c>
      <c r="C15" s="97">
        <v>3.9020700000000001</v>
      </c>
      <c r="D15" s="97">
        <v>4.3275600000000001</v>
      </c>
      <c r="E15" s="97">
        <v>7.24950847684</v>
      </c>
      <c r="F15" s="97">
        <v>7.5087636664907027</v>
      </c>
      <c r="G15" s="76"/>
      <c r="H15" s="76"/>
      <c r="I15" s="76"/>
    </row>
    <row r="16" spans="2:11" x14ac:dyDescent="0.35">
      <c r="B16" s="35"/>
      <c r="C16" s="8"/>
      <c r="D16" s="8"/>
      <c r="E16" s="8"/>
      <c r="F16" s="8"/>
      <c r="G16" s="76"/>
      <c r="H16" s="76"/>
      <c r="I16" s="76"/>
    </row>
    <row r="17" spans="2:9" x14ac:dyDescent="0.35">
      <c r="B17" s="38" t="s">
        <v>30</v>
      </c>
      <c r="C17" s="94">
        <f>C9-C10-C11-C13-C14-C15</f>
        <v>-1051.4340988471899</v>
      </c>
      <c r="D17" s="94">
        <f>D9-D10-D11-D13-D14-D15</f>
        <v>-1572.72775395596</v>
      </c>
      <c r="E17" s="94">
        <f>E9-E10-E11-E13-E14-E15</f>
        <v>-1002.1323349531101</v>
      </c>
      <c r="F17" s="94">
        <f>F9-F10-F11-F13-F14-F15</f>
        <v>-772.4457328884555</v>
      </c>
      <c r="G17" s="76"/>
      <c r="H17" s="76"/>
      <c r="I17" s="76"/>
    </row>
    <row r="18" spans="2:9" x14ac:dyDescent="0.35">
      <c r="B18" s="40" t="s">
        <v>18</v>
      </c>
      <c r="C18" s="47">
        <f>C17/C9</f>
        <v>-2.5903730993062486</v>
      </c>
      <c r="D18" s="47">
        <f>D17/D9</f>
        <v>-1.1747296787886781</v>
      </c>
      <c r="E18" s="47">
        <f>E17/E9</f>
        <v>-0.46613836574462603</v>
      </c>
      <c r="F18" s="47">
        <f>F17/F9</f>
        <v>-0.34198567136790753</v>
      </c>
      <c r="G18" s="76"/>
      <c r="H18" s="76"/>
      <c r="I18" s="76"/>
    </row>
    <row r="19" spans="2:9" x14ac:dyDescent="0.35">
      <c r="B19" s="35"/>
      <c r="C19" s="8"/>
      <c r="D19" s="8"/>
      <c r="E19" s="8"/>
      <c r="F19" s="8"/>
      <c r="G19" s="76"/>
      <c r="H19" s="76"/>
      <c r="I19" s="76"/>
    </row>
    <row r="20" spans="2:9" x14ac:dyDescent="0.35">
      <c r="B20" s="35" t="s">
        <v>31</v>
      </c>
      <c r="C20" s="21">
        <v>353.36555509999999</v>
      </c>
      <c r="D20" s="21">
        <v>294.3243243</v>
      </c>
      <c r="E20" s="21">
        <v>150.97346490000001</v>
      </c>
      <c r="F20" s="21">
        <v>179.61547158284026</v>
      </c>
      <c r="G20" s="76"/>
      <c r="H20" s="76"/>
      <c r="I20" s="76"/>
    </row>
    <row r="21" spans="2:9" x14ac:dyDescent="0.35">
      <c r="B21" s="35" t="s">
        <v>32</v>
      </c>
      <c r="C21" s="21">
        <v>156.71</v>
      </c>
      <c r="D21" s="21">
        <v>241.77</v>
      </c>
      <c r="E21" s="21">
        <v>284.15325999999999</v>
      </c>
      <c r="F21" s="21">
        <v>183.24179700000002</v>
      </c>
      <c r="G21" s="76"/>
      <c r="H21" s="76"/>
      <c r="I21" s="76"/>
    </row>
    <row r="22" spans="2:9" x14ac:dyDescent="0.35">
      <c r="B22" s="35" t="s">
        <v>33</v>
      </c>
      <c r="C22" s="21">
        <v>497.6612245</v>
      </c>
      <c r="D22" s="21">
        <v>246.08108110000001</v>
      </c>
      <c r="E22" s="21">
        <v>379.97516940000003</v>
      </c>
      <c r="F22" s="21">
        <v>396.89625394970409</v>
      </c>
      <c r="G22" s="76"/>
      <c r="H22" s="76"/>
      <c r="I22" s="76"/>
    </row>
    <row r="23" spans="2:9" x14ac:dyDescent="0.35">
      <c r="B23" s="35" t="s">
        <v>34</v>
      </c>
      <c r="C23" s="21">
        <v>44.519359100000003</v>
      </c>
      <c r="D23" s="21">
        <v>113.55371150000001</v>
      </c>
      <c r="E23" s="21">
        <v>147.9670907</v>
      </c>
      <c r="F23" s="21">
        <v>100.07201371444073</v>
      </c>
      <c r="G23" s="76"/>
      <c r="H23" s="76"/>
      <c r="I23" s="76"/>
    </row>
    <row r="24" spans="2:9" x14ac:dyDescent="0.35">
      <c r="B24" s="35" t="s">
        <v>958</v>
      </c>
      <c r="C24" s="21">
        <v>26.175520800000001</v>
      </c>
      <c r="D24" s="21">
        <v>114.8998295</v>
      </c>
      <c r="E24" s="21">
        <v>197.81486999999998</v>
      </c>
      <c r="F24" s="21">
        <v>255.82550000000001</v>
      </c>
      <c r="G24" s="76"/>
      <c r="H24" s="76"/>
      <c r="I24" s="76"/>
    </row>
    <row r="25" spans="2:9" x14ac:dyDescent="0.35">
      <c r="B25" s="35"/>
      <c r="C25" s="21"/>
      <c r="D25" s="21"/>
      <c r="E25" s="21"/>
      <c r="F25" s="21"/>
      <c r="G25" s="76"/>
      <c r="H25" s="76"/>
      <c r="I25" s="76"/>
    </row>
    <row r="26" spans="2:9" x14ac:dyDescent="0.35">
      <c r="B26" s="38" t="s">
        <v>35</v>
      </c>
      <c r="C26" s="94">
        <f>C17-SUM(C20:C24)</f>
        <v>-2129.86575834719</v>
      </c>
      <c r="D26" s="94">
        <f>D17-SUM(D20:D24)</f>
        <v>-2583.3567003559601</v>
      </c>
      <c r="E26" s="94">
        <f>E17-SUM(E20:E24)</f>
        <v>-2163.0161899531104</v>
      </c>
      <c r="F26" s="94">
        <f>F17-SUM(F20:F24)</f>
        <v>-1888.0967691354406</v>
      </c>
      <c r="G26" s="76"/>
      <c r="H26" s="76"/>
      <c r="I26" s="76"/>
    </row>
    <row r="27" spans="2:9" x14ac:dyDescent="0.35">
      <c r="B27" s="48" t="s">
        <v>19</v>
      </c>
      <c r="C27" s="99">
        <f>C26/C9</f>
        <v>-5.2472589310211237</v>
      </c>
      <c r="D27" s="99">
        <f>D26/D9</f>
        <v>-1.9296065572520671</v>
      </c>
      <c r="E27" s="99">
        <f>E26/E9</f>
        <v>-1.0061194481975151</v>
      </c>
      <c r="F27" s="99">
        <f>F26/F9</f>
        <v>-0.83591896971952462</v>
      </c>
      <c r="G27" s="76"/>
      <c r="H27" s="76"/>
      <c r="I27" s="7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6B01-CBD6-4FBE-AC3F-908E9DF71E93}">
  <dimension ref="B2:AJ41"/>
  <sheetViews>
    <sheetView showGridLines="0" zoomScale="80" zoomScaleNormal="80" workbookViewId="0">
      <selection activeCell="F117" sqref="F117"/>
    </sheetView>
  </sheetViews>
  <sheetFormatPr defaultColWidth="8.90625" defaultRowHeight="13" x14ac:dyDescent="0.3"/>
  <cols>
    <col min="1" max="1" width="5.81640625" style="2" customWidth="1"/>
    <col min="2" max="2" width="23.81640625" style="2" customWidth="1"/>
    <col min="3" max="5" width="14.81640625" style="170" customWidth="1"/>
    <col min="6" max="6" width="45.36328125" style="2" bestFit="1" customWidth="1"/>
    <col min="7" max="8" width="8.90625" style="2"/>
    <col min="9" max="9" width="23.81640625" style="2" customWidth="1"/>
    <col min="10" max="12" width="14.81640625" style="170" customWidth="1"/>
    <col min="13" max="14" width="8.90625" style="2"/>
    <col min="15" max="15" width="23.81640625" style="2" customWidth="1"/>
    <col min="16" max="18" width="14.81640625" style="170" customWidth="1"/>
    <col min="19" max="20" width="8.90625" style="2"/>
    <col min="21" max="21" width="23.81640625" style="2" customWidth="1"/>
    <col min="22" max="24" width="14.81640625" style="170" customWidth="1"/>
    <col min="25" max="26" width="8.90625" style="2"/>
    <col min="27" max="27" width="23.81640625" style="2" customWidth="1"/>
    <col min="28" max="30" width="14.81640625" style="170" customWidth="1"/>
    <col min="31" max="31" width="9.453125" style="2" bestFit="1" customWidth="1"/>
    <col min="32" max="32" width="8.90625" style="2"/>
    <col min="33" max="33" width="23.81640625" style="2" customWidth="1"/>
    <col min="34" max="36" width="14.81640625" style="170" customWidth="1"/>
    <col min="37" max="16384" width="8.90625" style="2"/>
  </cols>
  <sheetData>
    <row r="2" spans="2:36" x14ac:dyDescent="0.3">
      <c r="B2" s="297" t="s">
        <v>1302</v>
      </c>
      <c r="C2" s="184" t="s">
        <v>1303</v>
      </c>
      <c r="D2" s="184" t="s">
        <v>1304</v>
      </c>
      <c r="E2" s="184" t="s">
        <v>59</v>
      </c>
      <c r="F2" s="184" t="s">
        <v>1305</v>
      </c>
      <c r="I2" s="297" t="s">
        <v>1306</v>
      </c>
      <c r="J2" s="184" t="s">
        <v>1303</v>
      </c>
      <c r="K2" s="184" t="s">
        <v>1304</v>
      </c>
      <c r="L2" s="184" t="s">
        <v>59</v>
      </c>
      <c r="O2" s="297" t="s">
        <v>1307</v>
      </c>
      <c r="P2" s="184" t="s">
        <v>1303</v>
      </c>
      <c r="Q2" s="184" t="s">
        <v>1304</v>
      </c>
      <c r="R2" s="184" t="s">
        <v>59</v>
      </c>
      <c r="U2" s="297" t="s">
        <v>1308</v>
      </c>
      <c r="V2" s="184" t="s">
        <v>1303</v>
      </c>
      <c r="W2" s="184" t="s">
        <v>1304</v>
      </c>
      <c r="X2" s="184" t="s">
        <v>59</v>
      </c>
      <c r="AA2" s="297" t="s">
        <v>1309</v>
      </c>
      <c r="AB2" s="184" t="s">
        <v>1303</v>
      </c>
      <c r="AC2" s="184" t="s">
        <v>1304</v>
      </c>
      <c r="AD2" s="184" t="s">
        <v>59</v>
      </c>
      <c r="AG2" s="297" t="s">
        <v>1310</v>
      </c>
      <c r="AH2" s="184" t="s">
        <v>1303</v>
      </c>
      <c r="AI2" s="184" t="s">
        <v>1304</v>
      </c>
      <c r="AJ2" s="184" t="s">
        <v>59</v>
      </c>
    </row>
    <row r="3" spans="2:36" x14ac:dyDescent="0.3">
      <c r="B3" s="35" t="s">
        <v>25</v>
      </c>
      <c r="C3" s="60">
        <v>-8135942.8499999996</v>
      </c>
      <c r="D3" s="285">
        <v>-9928115.9000000004</v>
      </c>
      <c r="E3" s="60">
        <f>D3-C3</f>
        <v>-1792173.0500000007</v>
      </c>
      <c r="F3" s="106"/>
      <c r="I3" s="35" t="s">
        <v>25</v>
      </c>
      <c r="J3" s="60">
        <v>-5489115.7599999998</v>
      </c>
      <c r="K3" s="285">
        <v>-5930395.0999999996</v>
      </c>
      <c r="L3" s="60">
        <f>K3-J3</f>
        <v>-441279.33999999985</v>
      </c>
      <c r="O3" s="35" t="s">
        <v>25</v>
      </c>
      <c r="P3" s="60">
        <v>-4213666.92</v>
      </c>
      <c r="Q3" s="59">
        <v>-4649643.2300000004</v>
      </c>
      <c r="R3" s="59">
        <f>Q3-P3</f>
        <v>-435976.31000000052</v>
      </c>
      <c r="U3" s="35" t="s">
        <v>25</v>
      </c>
      <c r="V3" s="60">
        <v>-2225039.67</v>
      </c>
      <c r="W3" s="59">
        <v>-2492194.11</v>
      </c>
      <c r="X3" s="59">
        <f>W3-V3</f>
        <v>-267154.43999999994</v>
      </c>
      <c r="AA3" s="298" t="s">
        <v>25</v>
      </c>
      <c r="AB3" s="299">
        <f>C3+J3+P3+V3</f>
        <v>-20063765.200000003</v>
      </c>
      <c r="AC3" s="300">
        <f>D3+K3+Q3+W3</f>
        <v>-23000348.34</v>
      </c>
      <c r="AD3" s="299">
        <f>AC3-AB3</f>
        <v>-2936583.1399999969</v>
      </c>
      <c r="AE3" s="63"/>
      <c r="AG3" s="35"/>
      <c r="AH3" s="60"/>
      <c r="AI3" s="59"/>
      <c r="AJ3" s="59"/>
    </row>
    <row r="4" spans="2:36" s="57" customFormat="1" x14ac:dyDescent="0.3">
      <c r="B4" s="301" t="s">
        <v>25</v>
      </c>
      <c r="C4" s="302">
        <v>14943132</v>
      </c>
      <c r="E4" s="303"/>
      <c r="F4" s="106"/>
      <c r="I4" s="301" t="s">
        <v>25</v>
      </c>
      <c r="J4" s="302">
        <v>10327972.220000003</v>
      </c>
      <c r="L4" s="303"/>
      <c r="O4" s="301" t="s">
        <v>25</v>
      </c>
      <c r="P4" s="302">
        <v>7564919.8900000006</v>
      </c>
      <c r="Q4" s="304"/>
      <c r="R4" s="304"/>
      <c r="U4" s="301" t="s">
        <v>25</v>
      </c>
      <c r="V4" s="302">
        <v>3379751.6019595428</v>
      </c>
      <c r="W4" s="304"/>
      <c r="X4" s="304"/>
      <c r="AA4" s="305" t="s">
        <v>25</v>
      </c>
      <c r="AB4" s="306">
        <f t="shared" ref="AB4:AC27" si="0">C4+J4+P4+V4</f>
        <v>36215775.711959548</v>
      </c>
      <c r="AC4" s="307"/>
      <c r="AD4" s="306"/>
      <c r="AG4" s="301"/>
      <c r="AH4" s="302"/>
      <c r="AI4" s="304"/>
      <c r="AJ4" s="304"/>
    </row>
    <row r="5" spans="2:36" x14ac:dyDescent="0.3">
      <c r="B5" s="301" t="s">
        <v>27</v>
      </c>
      <c r="C5" s="308">
        <v>-995585.15</v>
      </c>
      <c r="D5" s="309"/>
      <c r="E5" s="58"/>
      <c r="F5" s="106"/>
      <c r="I5" s="301" t="s">
        <v>27</v>
      </c>
      <c r="J5" s="308">
        <v>-674783.32</v>
      </c>
      <c r="K5" s="309"/>
      <c r="L5" s="58"/>
      <c r="O5" s="301" t="s">
        <v>27</v>
      </c>
      <c r="P5" s="308">
        <v>-497429.94</v>
      </c>
      <c r="Q5" s="310"/>
      <c r="R5" s="310"/>
      <c r="U5" s="301" t="s">
        <v>27</v>
      </c>
      <c r="V5" s="308">
        <v>-219011.83195954299</v>
      </c>
      <c r="W5" s="310"/>
      <c r="X5" s="310"/>
      <c r="AA5" s="305" t="s">
        <v>27</v>
      </c>
      <c r="AB5" s="311">
        <f t="shared" si="0"/>
        <v>-2386810.241959543</v>
      </c>
      <c r="AC5" s="312"/>
      <c r="AD5" s="311"/>
      <c r="AG5" s="301"/>
      <c r="AH5" s="308"/>
      <c r="AI5" s="310"/>
      <c r="AJ5" s="310"/>
    </row>
    <row r="6" spans="2:36" x14ac:dyDescent="0.3">
      <c r="B6" s="301" t="s">
        <v>62</v>
      </c>
      <c r="C6" s="308">
        <v>-538395</v>
      </c>
      <c r="D6" s="309"/>
      <c r="E6" s="58"/>
      <c r="F6" s="106"/>
      <c r="I6" s="301" t="s">
        <v>62</v>
      </c>
      <c r="J6" s="308">
        <v>-43827</v>
      </c>
      <c r="K6" s="309"/>
      <c r="L6" s="58"/>
      <c r="O6" s="301" t="s">
        <v>62</v>
      </c>
      <c r="P6" s="308">
        <v>-19700</v>
      </c>
      <c r="Q6" s="310"/>
      <c r="R6" s="310"/>
      <c r="U6" s="301" t="s">
        <v>62</v>
      </c>
      <c r="V6" s="308">
        <v>-33510</v>
      </c>
      <c r="W6" s="310"/>
      <c r="X6" s="310"/>
      <c r="AA6" s="305" t="s">
        <v>62</v>
      </c>
      <c r="AB6" s="311">
        <f t="shared" si="0"/>
        <v>-635432</v>
      </c>
      <c r="AC6" s="312"/>
      <c r="AD6" s="311"/>
      <c r="AG6" s="301"/>
      <c r="AH6" s="308"/>
      <c r="AI6" s="310"/>
      <c r="AJ6" s="310"/>
    </row>
    <row r="7" spans="2:36" x14ac:dyDescent="0.3">
      <c r="B7" s="301" t="s">
        <v>29</v>
      </c>
      <c r="C7" s="308">
        <v>-53804</v>
      </c>
      <c r="D7" s="309"/>
      <c r="E7" s="58"/>
      <c r="F7" s="106"/>
      <c r="I7" s="301" t="s">
        <v>29</v>
      </c>
      <c r="J7" s="308">
        <v>-33763.14</v>
      </c>
      <c r="K7" s="309"/>
      <c r="L7" s="58"/>
      <c r="O7" s="301" t="s">
        <v>29</v>
      </c>
      <c r="P7" s="308">
        <v>-23140.03</v>
      </c>
      <c r="Q7" s="310"/>
      <c r="R7" s="310"/>
      <c r="U7" s="301" t="s">
        <v>29</v>
      </c>
      <c r="V7" s="308">
        <v>-32438.1</v>
      </c>
      <c r="W7" s="310"/>
      <c r="X7" s="310"/>
      <c r="AA7" s="305" t="s">
        <v>29</v>
      </c>
      <c r="AB7" s="311">
        <f t="shared" si="0"/>
        <v>-143145.26999999999</v>
      </c>
      <c r="AC7" s="312"/>
      <c r="AD7" s="311"/>
      <c r="AG7" s="301"/>
      <c r="AH7" s="308"/>
      <c r="AI7" s="310"/>
      <c r="AJ7" s="310"/>
    </row>
    <row r="8" spans="2:36" x14ac:dyDescent="0.3">
      <c r="B8" s="301" t="s">
        <v>1311</v>
      </c>
      <c r="C8" s="308">
        <v>-3233190</v>
      </c>
      <c r="D8" s="309"/>
      <c r="E8" s="58"/>
      <c r="F8" s="106"/>
      <c r="I8" s="301" t="s">
        <v>1311</v>
      </c>
      <c r="J8" s="308">
        <v>-2639795</v>
      </c>
      <c r="K8" s="309"/>
      <c r="L8" s="58"/>
      <c r="O8" s="301" t="s">
        <v>1311</v>
      </c>
      <c r="P8" s="308">
        <v>-2058808</v>
      </c>
      <c r="Q8" s="310"/>
      <c r="R8" s="310"/>
      <c r="U8" s="301" t="s">
        <v>1311</v>
      </c>
      <c r="V8" s="308">
        <v>-783216</v>
      </c>
      <c r="W8" s="310"/>
      <c r="X8" s="310"/>
      <c r="AA8" s="305" t="s">
        <v>1311</v>
      </c>
      <c r="AB8" s="311">
        <f t="shared" si="0"/>
        <v>-8715009</v>
      </c>
      <c r="AC8" s="312"/>
      <c r="AD8" s="311"/>
      <c r="AG8" s="301"/>
      <c r="AH8" s="308"/>
      <c r="AI8" s="310"/>
      <c r="AJ8" s="310"/>
    </row>
    <row r="9" spans="2:36" x14ac:dyDescent="0.3">
      <c r="B9" s="301" t="s">
        <v>1312</v>
      </c>
      <c r="C9" s="308">
        <v>-1986215</v>
      </c>
      <c r="D9" s="309"/>
      <c r="E9" s="58"/>
      <c r="F9" s="8"/>
      <c r="I9" s="301" t="s">
        <v>1312</v>
      </c>
      <c r="J9" s="308">
        <v>-1446688</v>
      </c>
      <c r="K9" s="309"/>
      <c r="L9" s="58"/>
      <c r="O9" s="301" t="s">
        <v>1312</v>
      </c>
      <c r="P9" s="308">
        <v>-752175</v>
      </c>
      <c r="Q9" s="310"/>
      <c r="R9" s="310"/>
      <c r="U9" s="301" t="s">
        <v>1312</v>
      </c>
      <c r="V9" s="308">
        <v>-86536</v>
      </c>
      <c r="W9" s="310"/>
      <c r="X9" s="310"/>
      <c r="AA9" s="305" t="s">
        <v>1312</v>
      </c>
      <c r="AB9" s="311">
        <f t="shared" si="0"/>
        <v>-4271614</v>
      </c>
      <c r="AC9" s="312"/>
      <c r="AD9" s="311"/>
      <c r="AG9" s="301"/>
      <c r="AH9" s="308"/>
      <c r="AI9" s="310"/>
      <c r="AJ9" s="310"/>
    </row>
    <row r="10" spans="2:36" x14ac:dyDescent="0.3">
      <c r="B10" s="35" t="s">
        <v>26</v>
      </c>
      <c r="C10" s="313">
        <v>20930989.420000002</v>
      </c>
      <c r="D10" s="314">
        <v>15789839.789999997</v>
      </c>
      <c r="E10" s="60">
        <f>D10-C10</f>
        <v>-5141149.6300000045</v>
      </c>
      <c r="F10" s="106"/>
      <c r="I10" s="35" t="s">
        <v>26</v>
      </c>
      <c r="J10" s="313">
        <v>16194053.120000001</v>
      </c>
      <c r="K10" s="285">
        <v>8853284</v>
      </c>
      <c r="L10" s="60">
        <f>K10-J10</f>
        <v>-7340769.120000001</v>
      </c>
      <c r="O10" s="35" t="s">
        <v>26</v>
      </c>
      <c r="P10" s="313">
        <v>10125432.26</v>
      </c>
      <c r="Q10" s="315">
        <v>4971678</v>
      </c>
      <c r="R10" s="59">
        <f>Q10-P10</f>
        <v>-5153754.26</v>
      </c>
      <c r="U10" s="35" t="s">
        <v>26</v>
      </c>
      <c r="V10" s="313">
        <v>4666388.07</v>
      </c>
      <c r="W10" s="315">
        <v>1982467</v>
      </c>
      <c r="X10" s="59">
        <f>W10-V10</f>
        <v>-2683921.0700000003</v>
      </c>
      <c r="AA10" s="298" t="s">
        <v>26</v>
      </c>
      <c r="AB10" s="316">
        <f t="shared" si="0"/>
        <v>51916862.870000005</v>
      </c>
      <c r="AC10" s="317">
        <f t="shared" si="0"/>
        <v>31597268.789999999</v>
      </c>
      <c r="AD10" s="299">
        <f>AC10-AB10</f>
        <v>-20319594.080000006</v>
      </c>
      <c r="AG10" s="35"/>
      <c r="AH10" s="313"/>
      <c r="AI10" s="315"/>
      <c r="AJ10" s="59"/>
    </row>
    <row r="11" spans="2:36" x14ac:dyDescent="0.3">
      <c r="B11" s="35" t="s">
        <v>52</v>
      </c>
      <c r="C11" s="97">
        <v>0</v>
      </c>
      <c r="D11" s="225">
        <v>5111811.4400000004</v>
      </c>
      <c r="E11" s="60">
        <f>D11-C11</f>
        <v>5111811.4400000004</v>
      </c>
      <c r="F11" s="106"/>
      <c r="I11" s="35" t="s">
        <v>52</v>
      </c>
      <c r="J11" s="97">
        <v>0</v>
      </c>
      <c r="K11" s="225">
        <v>3759081</v>
      </c>
      <c r="L11" s="60">
        <f>K11-J11</f>
        <v>3759081</v>
      </c>
      <c r="O11" s="35" t="s">
        <v>52</v>
      </c>
      <c r="P11" s="97">
        <v>0</v>
      </c>
      <c r="Q11" s="37">
        <v>2856116.86</v>
      </c>
      <c r="R11" s="59">
        <f>Q11-P11</f>
        <v>2856116.86</v>
      </c>
      <c r="U11" s="35" t="s">
        <v>52</v>
      </c>
      <c r="V11" s="97">
        <v>0</v>
      </c>
      <c r="W11" s="37">
        <v>1567256</v>
      </c>
      <c r="X11" s="59">
        <f>W11-V11</f>
        <v>1567256</v>
      </c>
      <c r="AA11" s="298" t="s">
        <v>52</v>
      </c>
      <c r="AB11" s="318">
        <f t="shared" si="0"/>
        <v>0</v>
      </c>
      <c r="AC11" s="319">
        <f t="shared" si="0"/>
        <v>13294265.300000001</v>
      </c>
      <c r="AD11" s="299">
        <f>AC11-AB11</f>
        <v>13294265.300000001</v>
      </c>
      <c r="AG11" s="35" t="s">
        <v>52</v>
      </c>
      <c r="AH11" s="97">
        <v>0</v>
      </c>
      <c r="AI11" s="37">
        <f>SUM(AI12:AI14)</f>
        <v>974202</v>
      </c>
      <c r="AJ11" s="59">
        <f>AI11-AH11</f>
        <v>974202</v>
      </c>
    </row>
    <row r="12" spans="2:36" x14ac:dyDescent="0.3">
      <c r="B12" s="301" t="s">
        <v>1313</v>
      </c>
      <c r="C12" s="320"/>
      <c r="D12" s="321">
        <v>3313733.44</v>
      </c>
      <c r="E12" s="320"/>
      <c r="F12" s="106"/>
      <c r="I12" s="301" t="s">
        <v>1313</v>
      </c>
      <c r="J12" s="320"/>
      <c r="K12" s="321">
        <v>2702138</v>
      </c>
      <c r="L12" s="320"/>
      <c r="O12" s="301" t="s">
        <v>1313</v>
      </c>
      <c r="P12" s="320"/>
      <c r="Q12" s="304">
        <v>2113350</v>
      </c>
      <c r="R12" s="59"/>
      <c r="U12" s="301" t="s">
        <v>1313</v>
      </c>
      <c r="V12" s="320"/>
      <c r="W12" s="322">
        <v>780942</v>
      </c>
      <c r="X12" s="59"/>
      <c r="AA12" s="305" t="s">
        <v>1313</v>
      </c>
      <c r="AB12" s="323"/>
      <c r="AC12" s="324">
        <f t="shared" si="0"/>
        <v>8910163.4399999995</v>
      </c>
      <c r="AD12" s="299"/>
      <c r="AG12" s="301" t="s">
        <v>1313</v>
      </c>
      <c r="AH12" s="320"/>
      <c r="AI12" s="322">
        <v>569612</v>
      </c>
      <c r="AJ12" s="59"/>
    </row>
    <row r="13" spans="2:36" x14ac:dyDescent="0.3">
      <c r="B13" s="301" t="s">
        <v>1314</v>
      </c>
      <c r="C13" s="320"/>
      <c r="D13" s="321">
        <v>1178018</v>
      </c>
      <c r="E13" s="320"/>
      <c r="F13" s="8"/>
      <c r="I13" s="301" t="s">
        <v>1314</v>
      </c>
      <c r="J13" s="320"/>
      <c r="K13" s="321">
        <v>773752</v>
      </c>
      <c r="L13" s="320"/>
      <c r="O13" s="301" t="s">
        <v>1314</v>
      </c>
      <c r="P13" s="320"/>
      <c r="Q13" s="304">
        <v>461825.85999999987</v>
      </c>
      <c r="R13" s="59"/>
      <c r="U13" s="301" t="s">
        <v>1314</v>
      </c>
      <c r="V13" s="320"/>
      <c r="W13" s="322">
        <v>395669</v>
      </c>
      <c r="X13" s="59"/>
      <c r="AA13" s="305" t="s">
        <v>1314</v>
      </c>
      <c r="AB13" s="323"/>
      <c r="AC13" s="324">
        <f t="shared" si="0"/>
        <v>2809264.86</v>
      </c>
      <c r="AD13" s="299"/>
      <c r="AG13" s="301" t="s">
        <v>1314</v>
      </c>
      <c r="AH13" s="320"/>
      <c r="AI13" s="322">
        <v>306260</v>
      </c>
      <c r="AJ13" s="59"/>
    </row>
    <row r="14" spans="2:36" x14ac:dyDescent="0.3">
      <c r="B14" s="301" t="s">
        <v>27</v>
      </c>
      <c r="C14" s="320"/>
      <c r="D14" s="321">
        <v>620060</v>
      </c>
      <c r="E14" s="320"/>
      <c r="F14" s="8"/>
      <c r="I14" s="301" t="s">
        <v>27</v>
      </c>
      <c r="J14" s="320"/>
      <c r="K14" s="321">
        <v>283191</v>
      </c>
      <c r="L14" s="320"/>
      <c r="O14" s="301" t="s">
        <v>27</v>
      </c>
      <c r="P14" s="320"/>
      <c r="Q14" s="304">
        <v>280941</v>
      </c>
      <c r="R14" s="59"/>
      <c r="U14" s="301" t="s">
        <v>27</v>
      </c>
      <c r="V14" s="320"/>
      <c r="W14" s="322">
        <v>390645</v>
      </c>
      <c r="X14" s="59"/>
      <c r="AA14" s="305" t="s">
        <v>27</v>
      </c>
      <c r="AB14" s="323"/>
      <c r="AC14" s="324">
        <f t="shared" si="0"/>
        <v>1574837</v>
      </c>
      <c r="AD14" s="299"/>
      <c r="AG14" s="301" t="s">
        <v>27</v>
      </c>
      <c r="AH14" s="320"/>
      <c r="AI14" s="322">
        <v>98330</v>
      </c>
      <c r="AJ14" s="59"/>
    </row>
    <row r="15" spans="2:36" x14ac:dyDescent="0.3">
      <c r="B15" s="35" t="s">
        <v>417</v>
      </c>
      <c r="C15" s="21">
        <f>25038487.66+D35+D36</f>
        <v>29837106.599999998</v>
      </c>
      <c r="D15" s="246">
        <v>35561158.320000008</v>
      </c>
      <c r="E15" s="60">
        <f t="shared" ref="E15:E27" si="1">D15-C15</f>
        <v>5724051.72000001</v>
      </c>
      <c r="F15" s="106" t="s">
        <v>1315</v>
      </c>
      <c r="I15" s="35" t="s">
        <v>417</v>
      </c>
      <c r="J15" s="21">
        <f>21681756.54+K35+K36</f>
        <v>22918512.539999999</v>
      </c>
      <c r="K15" s="246">
        <v>13881971</v>
      </c>
      <c r="L15" s="60">
        <f t="shared" ref="L15:L27" si="2">K15-J15</f>
        <v>-9036541.5399999991</v>
      </c>
      <c r="O15" s="35" t="s">
        <v>417</v>
      </c>
      <c r="P15" s="21">
        <f>17646529+R35+R36</f>
        <v>19904361</v>
      </c>
      <c r="Q15" s="9">
        <v>16894554</v>
      </c>
      <c r="R15" s="59">
        <f t="shared" ref="R15:R27" si="3">Q15-P15</f>
        <v>-3009807</v>
      </c>
      <c r="U15" s="35" t="s">
        <v>417</v>
      </c>
      <c r="V15" s="21">
        <f>13979052+W35+W36</f>
        <v>15396016</v>
      </c>
      <c r="W15" s="9">
        <v>13213078</v>
      </c>
      <c r="X15" s="59">
        <f t="shared" ref="X15:X27" si="4">W15-V15</f>
        <v>-2182938</v>
      </c>
      <c r="AA15" s="298" t="s">
        <v>417</v>
      </c>
      <c r="AB15" s="318">
        <f t="shared" si="0"/>
        <v>88055996.140000001</v>
      </c>
      <c r="AC15" s="319">
        <f t="shared" si="0"/>
        <v>79550761.320000008</v>
      </c>
      <c r="AD15" s="299">
        <f t="shared" ref="AD15:AD27" si="5">AC15-AB15</f>
        <v>-8505234.8199999928</v>
      </c>
      <c r="AG15" s="35" t="s">
        <v>417</v>
      </c>
      <c r="AH15" s="21">
        <f xml:space="preserve"> 9616528 +AI35+AI36</f>
        <v>10059280</v>
      </c>
      <c r="AI15" s="9">
        <v>8389665.25</v>
      </c>
      <c r="AJ15" s="59">
        <f>AI15-AH15</f>
        <v>-1669614.75</v>
      </c>
    </row>
    <row r="16" spans="2:36" x14ac:dyDescent="0.3">
      <c r="B16" s="35" t="s">
        <v>1316</v>
      </c>
      <c r="C16" s="21">
        <v>1035200</v>
      </c>
      <c r="D16" s="309">
        <v>0</v>
      </c>
      <c r="E16" s="60">
        <f t="shared" si="1"/>
        <v>-1035200</v>
      </c>
      <c r="F16" s="106" t="s">
        <v>1317</v>
      </c>
      <c r="I16" s="35" t="s">
        <v>1316</v>
      </c>
      <c r="J16" s="21">
        <v>238617.99999999994</v>
      </c>
      <c r="K16" s="246">
        <v>1324429.2</v>
      </c>
      <c r="L16" s="60">
        <f t="shared" si="2"/>
        <v>1085811.2</v>
      </c>
      <c r="O16" s="35" t="s">
        <v>1316</v>
      </c>
      <c r="P16" s="21">
        <v>705326</v>
      </c>
      <c r="Q16" s="9">
        <v>652973.39999999991</v>
      </c>
      <c r="R16" s="59">
        <f t="shared" si="3"/>
        <v>-52352.600000000093</v>
      </c>
      <c r="U16" s="35" t="s">
        <v>1316</v>
      </c>
      <c r="V16" s="21">
        <v>110000</v>
      </c>
      <c r="W16" s="9">
        <v>1071287.6400000001</v>
      </c>
      <c r="X16" s="59">
        <f t="shared" si="4"/>
        <v>961287.64000000013</v>
      </c>
      <c r="AA16" s="298" t="s">
        <v>1316</v>
      </c>
      <c r="AB16" s="318">
        <f t="shared" si="0"/>
        <v>2089144</v>
      </c>
      <c r="AC16" s="319">
        <f t="shared" si="0"/>
        <v>3048690.24</v>
      </c>
      <c r="AD16" s="299">
        <f t="shared" si="5"/>
        <v>959546.24000000022</v>
      </c>
      <c r="AG16" s="35"/>
      <c r="AH16" s="21"/>
      <c r="AI16" s="9"/>
      <c r="AJ16" s="59"/>
    </row>
    <row r="17" spans="2:36" x14ac:dyDescent="0.3">
      <c r="B17" s="35" t="s">
        <v>268</v>
      </c>
      <c r="C17" s="97">
        <f>4707050.31-D36</f>
        <v>1056588.9999999995</v>
      </c>
      <c r="D17" s="225">
        <v>2142818.9099999997</v>
      </c>
      <c r="E17" s="60">
        <f t="shared" si="1"/>
        <v>1086229.9100000001</v>
      </c>
      <c r="F17" s="106"/>
      <c r="I17" s="35" t="s">
        <v>268</v>
      </c>
      <c r="J17" s="97">
        <f>4666515.72-K36</f>
        <v>4026902.7199999997</v>
      </c>
      <c r="K17" s="225">
        <v>1813516.23</v>
      </c>
      <c r="L17" s="60">
        <f t="shared" si="2"/>
        <v>-2213386.4899999998</v>
      </c>
      <c r="O17" s="35" t="s">
        <v>268</v>
      </c>
      <c r="P17" s="97">
        <f>1820524-R36</f>
        <v>361058.99999999977</v>
      </c>
      <c r="Q17" s="37">
        <v>403250.14000000007</v>
      </c>
      <c r="R17" s="59">
        <f t="shared" si="3"/>
        <v>42191.140000000305</v>
      </c>
      <c r="U17" s="35" t="s">
        <v>268</v>
      </c>
      <c r="V17" s="97">
        <f>1469446.75-W36</f>
        <v>601147.75</v>
      </c>
      <c r="W17" s="37">
        <v>537636.60000000009</v>
      </c>
      <c r="X17" s="59">
        <f t="shared" si="4"/>
        <v>-63511.149999999907</v>
      </c>
      <c r="AA17" s="298" t="s">
        <v>268</v>
      </c>
      <c r="AB17" s="318">
        <f t="shared" si="0"/>
        <v>6045698.4699999988</v>
      </c>
      <c r="AC17" s="319">
        <f t="shared" si="0"/>
        <v>4897221.879999999</v>
      </c>
      <c r="AD17" s="299">
        <f t="shared" si="5"/>
        <v>-1148476.5899999999</v>
      </c>
      <c r="AG17" s="35"/>
      <c r="AH17" s="97"/>
      <c r="AI17" s="37"/>
      <c r="AJ17" s="59"/>
    </row>
    <row r="18" spans="2:36" x14ac:dyDescent="0.3">
      <c r="B18" s="35" t="s">
        <v>280</v>
      </c>
      <c r="C18" s="97">
        <v>4461048.99</v>
      </c>
      <c r="D18" s="225">
        <v>3868276.09</v>
      </c>
      <c r="E18" s="60">
        <f t="shared" si="1"/>
        <v>-592772.90000000037</v>
      </c>
      <c r="F18" s="106"/>
      <c r="I18" s="35" t="s">
        <v>280</v>
      </c>
      <c r="J18" s="97">
        <v>576150</v>
      </c>
      <c r="K18" s="225">
        <v>360384</v>
      </c>
      <c r="L18" s="60">
        <f t="shared" si="2"/>
        <v>-215766</v>
      </c>
      <c r="O18" s="35" t="s">
        <v>280</v>
      </c>
      <c r="P18" s="97">
        <v>395000</v>
      </c>
      <c r="Q18" s="37">
        <v>295425</v>
      </c>
      <c r="R18" s="59">
        <f t="shared" si="3"/>
        <v>-99575</v>
      </c>
      <c r="U18" s="35" t="s">
        <v>280</v>
      </c>
      <c r="V18" s="97">
        <v>427385</v>
      </c>
      <c r="W18" s="37">
        <v>481858.6</v>
      </c>
      <c r="X18" s="59">
        <f t="shared" si="4"/>
        <v>54473.599999999977</v>
      </c>
      <c r="AA18" s="298" t="s">
        <v>280</v>
      </c>
      <c r="AB18" s="318">
        <f t="shared" si="0"/>
        <v>5859583.9900000002</v>
      </c>
      <c r="AC18" s="319">
        <f t="shared" si="0"/>
        <v>5005943.6899999995</v>
      </c>
      <c r="AD18" s="299">
        <f t="shared" si="5"/>
        <v>-853640.30000000075</v>
      </c>
      <c r="AG18" s="35"/>
      <c r="AH18" s="97"/>
      <c r="AI18" s="37"/>
      <c r="AJ18" s="59"/>
    </row>
    <row r="19" spans="2:36" x14ac:dyDescent="0.3">
      <c r="B19" s="35" t="s">
        <v>279</v>
      </c>
      <c r="C19" s="21">
        <v>7135877.4100000001</v>
      </c>
      <c r="D19" s="246">
        <v>7787734.6200000001</v>
      </c>
      <c r="E19" s="60">
        <f t="shared" si="1"/>
        <v>651857.21</v>
      </c>
      <c r="F19" s="106"/>
      <c r="I19" s="35" t="s">
        <v>279</v>
      </c>
      <c r="J19" s="21">
        <v>5817528.5700000003</v>
      </c>
      <c r="K19" s="246">
        <v>7200359</v>
      </c>
      <c r="L19" s="60">
        <f t="shared" si="2"/>
        <v>1382830.4299999997</v>
      </c>
      <c r="O19" s="35" t="s">
        <v>279</v>
      </c>
      <c r="P19" s="21">
        <v>3005065.21</v>
      </c>
      <c r="Q19" s="9">
        <v>3425296.92</v>
      </c>
      <c r="R19" s="59">
        <f t="shared" si="3"/>
        <v>420231.70999999996</v>
      </c>
      <c r="U19" s="35" t="s">
        <v>279</v>
      </c>
      <c r="V19" s="21">
        <v>1339339.6100000003</v>
      </c>
      <c r="W19" s="9">
        <v>1920678</v>
      </c>
      <c r="X19" s="59">
        <f t="shared" si="4"/>
        <v>581338.38999999966</v>
      </c>
      <c r="AA19" s="298" t="s">
        <v>279</v>
      </c>
      <c r="AB19" s="318">
        <f t="shared" si="0"/>
        <v>17297810.800000001</v>
      </c>
      <c r="AC19" s="319">
        <f t="shared" si="0"/>
        <v>20334068.539999999</v>
      </c>
      <c r="AD19" s="299">
        <f t="shared" si="5"/>
        <v>3036257.7399999984</v>
      </c>
      <c r="AG19" s="35"/>
      <c r="AH19" s="21"/>
      <c r="AI19" s="9"/>
      <c r="AJ19" s="59"/>
    </row>
    <row r="20" spans="2:36" x14ac:dyDescent="0.3">
      <c r="B20" s="35" t="s">
        <v>1318</v>
      </c>
      <c r="C20" s="97">
        <v>1901582.28</v>
      </c>
      <c r="D20" s="225">
        <v>1900145.03</v>
      </c>
      <c r="E20" s="60">
        <f t="shared" si="1"/>
        <v>-1437.25</v>
      </c>
      <c r="F20" s="8"/>
      <c r="I20" s="35" t="s">
        <v>1318</v>
      </c>
      <c r="J20" s="97">
        <v>1347253.5899999999</v>
      </c>
      <c r="K20" s="225">
        <v>871445.26000000013</v>
      </c>
      <c r="L20" s="60">
        <f t="shared" si="2"/>
        <v>-475808.32999999973</v>
      </c>
      <c r="O20" s="35" t="s">
        <v>1318</v>
      </c>
      <c r="P20" s="97">
        <v>411760.15</v>
      </c>
      <c r="Q20" s="37">
        <v>655368.68000000005</v>
      </c>
      <c r="R20" s="59">
        <f t="shared" si="3"/>
        <v>243608.53000000003</v>
      </c>
      <c r="U20" s="35" t="s">
        <v>1318</v>
      </c>
      <c r="V20" s="97">
        <v>128252.76</v>
      </c>
      <c r="W20" s="37">
        <v>17859</v>
      </c>
      <c r="X20" s="59">
        <f t="shared" si="4"/>
        <v>-110393.76</v>
      </c>
      <c r="AA20" s="298" t="s">
        <v>1318</v>
      </c>
      <c r="AB20" s="318">
        <f t="shared" si="0"/>
        <v>3788848.78</v>
      </c>
      <c r="AC20" s="319">
        <f t="shared" si="0"/>
        <v>3444817.97</v>
      </c>
      <c r="AD20" s="299">
        <f t="shared" si="5"/>
        <v>-344030.80999999959</v>
      </c>
      <c r="AG20" s="35"/>
      <c r="AH20" s="97"/>
      <c r="AI20" s="37"/>
      <c r="AJ20" s="59"/>
    </row>
    <row r="21" spans="2:36" x14ac:dyDescent="0.3">
      <c r="B21" s="35" t="s">
        <v>677</v>
      </c>
      <c r="C21" s="97">
        <f>2130176.47-D35</f>
        <v>982018.84000000032</v>
      </c>
      <c r="D21" s="225">
        <v>901058.85</v>
      </c>
      <c r="E21" s="60">
        <f t="shared" si="1"/>
        <v>-80959.99000000034</v>
      </c>
      <c r="F21" s="8" t="s">
        <v>1319</v>
      </c>
      <c r="I21" s="35" t="s">
        <v>677</v>
      </c>
      <c r="J21" s="97">
        <f>1839131.31-K35</f>
        <v>1241988.31</v>
      </c>
      <c r="K21" s="225">
        <v>988649.8</v>
      </c>
      <c r="L21" s="60">
        <f t="shared" si="2"/>
        <v>-253338.51</v>
      </c>
      <c r="O21" s="35" t="s">
        <v>677</v>
      </c>
      <c r="P21" s="97">
        <f>2178478.7-R35</f>
        <v>1380111.7000000002</v>
      </c>
      <c r="Q21" s="37">
        <v>1126715.5100000002</v>
      </c>
      <c r="R21" s="59">
        <f t="shared" si="3"/>
        <v>-253396.18999999994</v>
      </c>
      <c r="U21" s="35" t="s">
        <v>677</v>
      </c>
      <c r="V21" s="97">
        <f>1042691.31-W35</f>
        <v>494026.31000000006</v>
      </c>
      <c r="W21" s="37">
        <v>397190.87</v>
      </c>
      <c r="X21" s="59">
        <f t="shared" si="4"/>
        <v>-96835.440000000061</v>
      </c>
      <c r="AA21" s="298" t="s">
        <v>677</v>
      </c>
      <c r="AB21" s="318">
        <f t="shared" si="0"/>
        <v>4098145.1600000006</v>
      </c>
      <c r="AC21" s="319">
        <f t="shared" si="0"/>
        <v>3413615.0300000003</v>
      </c>
      <c r="AD21" s="299">
        <f t="shared" si="5"/>
        <v>-684530.13000000035</v>
      </c>
      <c r="AG21" s="35"/>
      <c r="AH21" s="97"/>
      <c r="AI21" s="37"/>
      <c r="AJ21" s="59"/>
    </row>
    <row r="22" spans="2:36" x14ac:dyDescent="0.3">
      <c r="B22" s="35" t="s">
        <v>1320</v>
      </c>
      <c r="C22" s="97">
        <v>0</v>
      </c>
      <c r="D22" s="225">
        <v>2208000</v>
      </c>
      <c r="E22" s="60">
        <f t="shared" si="1"/>
        <v>2208000</v>
      </c>
      <c r="F22" s="106"/>
      <c r="I22" s="35" t="s">
        <v>1320</v>
      </c>
      <c r="J22" s="97">
        <v>0</v>
      </c>
      <c r="K22" s="225">
        <v>3240400</v>
      </c>
      <c r="L22" s="60">
        <f t="shared" si="2"/>
        <v>3240400</v>
      </c>
      <c r="O22" s="35" t="s">
        <v>1320</v>
      </c>
      <c r="P22" s="97">
        <v>0</v>
      </c>
      <c r="Q22" s="37">
        <v>0</v>
      </c>
      <c r="R22" s="59">
        <f t="shared" si="3"/>
        <v>0</v>
      </c>
      <c r="U22" s="35" t="s">
        <v>1320</v>
      </c>
      <c r="V22" s="97">
        <v>0</v>
      </c>
      <c r="W22" s="37">
        <v>0</v>
      </c>
      <c r="X22" s="59">
        <f t="shared" si="4"/>
        <v>0</v>
      </c>
      <c r="AA22" s="298" t="s">
        <v>1320</v>
      </c>
      <c r="AB22" s="318">
        <f t="shared" si="0"/>
        <v>0</v>
      </c>
      <c r="AC22" s="319">
        <f t="shared" si="0"/>
        <v>5448400</v>
      </c>
      <c r="AD22" s="299">
        <f t="shared" si="5"/>
        <v>5448400</v>
      </c>
      <c r="AG22" s="35"/>
      <c r="AH22" s="97"/>
      <c r="AI22" s="37"/>
      <c r="AJ22" s="59"/>
    </row>
    <row r="23" spans="2:36" x14ac:dyDescent="0.3">
      <c r="B23" s="35" t="s">
        <v>1278</v>
      </c>
      <c r="C23" s="97">
        <v>1849191.69</v>
      </c>
      <c r="D23" s="225">
        <v>1761504.7600000002</v>
      </c>
      <c r="E23" s="60">
        <f t="shared" si="1"/>
        <v>-87686.929999999702</v>
      </c>
      <c r="F23" s="325" t="s">
        <v>1321</v>
      </c>
      <c r="I23" s="35" t="s">
        <v>1278</v>
      </c>
      <c r="J23" s="97">
        <v>1711928.22</v>
      </c>
      <c r="K23" s="225">
        <v>2021206.0700000003</v>
      </c>
      <c r="L23" s="60">
        <f t="shared" si="2"/>
        <v>309277.85000000033</v>
      </c>
      <c r="O23" s="35" t="s">
        <v>1278</v>
      </c>
      <c r="P23" s="97">
        <v>1383762.85</v>
      </c>
      <c r="Q23" s="37">
        <v>1672019.5</v>
      </c>
      <c r="R23" s="59">
        <f t="shared" si="3"/>
        <v>288256.64999999991</v>
      </c>
      <c r="U23" s="35" t="s">
        <v>1278</v>
      </c>
      <c r="V23" s="97">
        <v>1044169.6799999999</v>
      </c>
      <c r="W23" s="37">
        <v>1284279.6000000001</v>
      </c>
      <c r="X23" s="59">
        <f t="shared" si="4"/>
        <v>240109.92000000016</v>
      </c>
      <c r="AA23" s="298" t="s">
        <v>1278</v>
      </c>
      <c r="AB23" s="318">
        <f t="shared" si="0"/>
        <v>5989052.4399999995</v>
      </c>
      <c r="AC23" s="319">
        <f t="shared" si="0"/>
        <v>6739009.9299999997</v>
      </c>
      <c r="AD23" s="299">
        <f t="shared" si="5"/>
        <v>749957.49000000022</v>
      </c>
      <c r="AG23" s="35"/>
      <c r="AH23" s="97"/>
      <c r="AI23" s="37"/>
      <c r="AJ23" s="59"/>
    </row>
    <row r="24" spans="2:36" x14ac:dyDescent="0.3">
      <c r="B24" s="35" t="s">
        <v>1322</v>
      </c>
      <c r="C24" s="97">
        <v>430150</v>
      </c>
      <c r="D24" s="225">
        <v>1397925</v>
      </c>
      <c r="E24" s="60">
        <f t="shared" si="1"/>
        <v>967775</v>
      </c>
      <c r="F24" s="325" t="s">
        <v>1323</v>
      </c>
      <c r="I24" s="35" t="s">
        <v>1322</v>
      </c>
      <c r="J24" s="97">
        <v>3184840</v>
      </c>
      <c r="K24" s="225">
        <v>2027540</v>
      </c>
      <c r="L24" s="60">
        <f t="shared" si="2"/>
        <v>-1157300</v>
      </c>
      <c r="O24" s="35" t="s">
        <v>1322</v>
      </c>
      <c r="P24" s="97">
        <v>148500</v>
      </c>
      <c r="Q24" s="37">
        <v>63500</v>
      </c>
      <c r="R24" s="59">
        <f t="shared" si="3"/>
        <v>-85000</v>
      </c>
      <c r="U24" s="35" t="s">
        <v>1322</v>
      </c>
      <c r="V24" s="97">
        <v>601000</v>
      </c>
      <c r="W24" s="37">
        <v>541000</v>
      </c>
      <c r="X24" s="59">
        <f t="shared" si="4"/>
        <v>-60000</v>
      </c>
      <c r="AA24" s="298" t="s">
        <v>1322</v>
      </c>
      <c r="AB24" s="318">
        <f t="shared" si="0"/>
        <v>4364490</v>
      </c>
      <c r="AC24" s="319">
        <f t="shared" si="0"/>
        <v>4029965</v>
      </c>
      <c r="AD24" s="299">
        <f t="shared" si="5"/>
        <v>-334525</v>
      </c>
      <c r="AG24" s="35"/>
      <c r="AH24" s="97"/>
      <c r="AI24" s="37"/>
      <c r="AJ24" s="59"/>
    </row>
    <row r="25" spans="2:36" x14ac:dyDescent="0.3">
      <c r="B25" s="35" t="s">
        <v>283</v>
      </c>
      <c r="C25" s="97">
        <v>750950</v>
      </c>
      <c r="D25" s="225">
        <v>1338727.2</v>
      </c>
      <c r="E25" s="60">
        <f t="shared" si="1"/>
        <v>587777.19999999995</v>
      </c>
      <c r="F25" s="8"/>
      <c r="I25" s="35" t="s">
        <v>283</v>
      </c>
      <c r="J25" s="97">
        <v>377240</v>
      </c>
      <c r="K25" s="225">
        <v>393840</v>
      </c>
      <c r="L25" s="60">
        <f t="shared" si="2"/>
        <v>16600</v>
      </c>
      <c r="O25" s="35" t="s">
        <v>283</v>
      </c>
      <c r="P25" s="97">
        <v>440000</v>
      </c>
      <c r="Q25" s="37">
        <v>207902.4</v>
      </c>
      <c r="R25" s="59">
        <f t="shared" si="3"/>
        <v>-232097.6</v>
      </c>
      <c r="U25" s="35" t="s">
        <v>283</v>
      </c>
      <c r="V25" s="97">
        <v>128229.99999999999</v>
      </c>
      <c r="W25" s="37">
        <v>188450</v>
      </c>
      <c r="X25" s="59">
        <f t="shared" si="4"/>
        <v>60220.000000000015</v>
      </c>
      <c r="AA25" s="298" t="s">
        <v>283</v>
      </c>
      <c r="AB25" s="318">
        <f t="shared" si="0"/>
        <v>1696420</v>
      </c>
      <c r="AC25" s="319">
        <f t="shared" si="0"/>
        <v>2128919.5999999996</v>
      </c>
      <c r="AD25" s="299">
        <f t="shared" si="5"/>
        <v>432499.59999999963</v>
      </c>
      <c r="AG25" s="35"/>
      <c r="AH25" s="97"/>
      <c r="AI25" s="37"/>
      <c r="AJ25" s="59"/>
    </row>
    <row r="26" spans="2:36" x14ac:dyDescent="0.3">
      <c r="B26" s="35" t="s">
        <v>1324</v>
      </c>
      <c r="C26" s="97">
        <v>163806.49</v>
      </c>
      <c r="D26" s="225">
        <v>90674.910000000018</v>
      </c>
      <c r="E26" s="60">
        <f t="shared" si="1"/>
        <v>-73131.579999999973</v>
      </c>
      <c r="F26" s="8"/>
      <c r="I26" s="35" t="s">
        <v>1324</v>
      </c>
      <c r="J26" s="97">
        <v>111004.71</v>
      </c>
      <c r="K26" s="225">
        <v>301628.28000000003</v>
      </c>
      <c r="L26" s="60">
        <f t="shared" si="2"/>
        <v>190623.57</v>
      </c>
      <c r="O26" s="35" t="s">
        <v>1324</v>
      </c>
      <c r="P26" s="97">
        <v>122909.70999999999</v>
      </c>
      <c r="Q26" s="37">
        <v>61753.440000000002</v>
      </c>
      <c r="R26" s="59">
        <f t="shared" si="3"/>
        <v>-61156.26999999999</v>
      </c>
      <c r="U26" s="35" t="s">
        <v>1324</v>
      </c>
      <c r="V26" s="97">
        <v>61969.54</v>
      </c>
      <c r="W26" s="37">
        <v>78825.680000000008</v>
      </c>
      <c r="X26" s="59">
        <f t="shared" si="4"/>
        <v>16856.140000000007</v>
      </c>
      <c r="AA26" s="298" t="s">
        <v>1324</v>
      </c>
      <c r="AB26" s="318">
        <f t="shared" si="0"/>
        <v>459690.45</v>
      </c>
      <c r="AC26" s="319">
        <f t="shared" si="0"/>
        <v>532882.31000000006</v>
      </c>
      <c r="AD26" s="299">
        <f t="shared" si="5"/>
        <v>73191.860000000044</v>
      </c>
      <c r="AG26" s="35"/>
      <c r="AH26" s="97"/>
      <c r="AI26" s="37"/>
      <c r="AJ26" s="59"/>
    </row>
    <row r="27" spans="2:36" x14ac:dyDescent="0.3">
      <c r="B27" s="35" t="s">
        <v>1325</v>
      </c>
      <c r="C27" s="97">
        <v>1169898.3599999999</v>
      </c>
      <c r="D27" s="246">
        <v>1026252.2</v>
      </c>
      <c r="E27" s="60">
        <f t="shared" si="1"/>
        <v>-143646.15999999992</v>
      </c>
      <c r="F27" s="8"/>
      <c r="I27" s="35" t="s">
        <v>1325</v>
      </c>
      <c r="J27" s="97">
        <v>1175455.72</v>
      </c>
      <c r="K27" s="246">
        <v>1153945</v>
      </c>
      <c r="L27" s="60">
        <f t="shared" si="2"/>
        <v>-21510.719999999972</v>
      </c>
      <c r="O27" s="35" t="s">
        <v>1325</v>
      </c>
      <c r="P27" s="97">
        <v>814748.05999999994</v>
      </c>
      <c r="Q27" s="37">
        <v>828074</v>
      </c>
      <c r="R27" s="59">
        <f t="shared" si="3"/>
        <v>13325.940000000061</v>
      </c>
      <c r="U27" s="35" t="s">
        <v>1325</v>
      </c>
      <c r="V27" s="97">
        <v>466897.88</v>
      </c>
      <c r="W27" s="37">
        <v>853268</v>
      </c>
      <c r="X27" s="59">
        <f t="shared" si="4"/>
        <v>386370.12</v>
      </c>
      <c r="AA27" s="298" t="s">
        <v>1325</v>
      </c>
      <c r="AB27" s="318">
        <f t="shared" si="0"/>
        <v>3627000.02</v>
      </c>
      <c r="AC27" s="319">
        <f t="shared" si="0"/>
        <v>3861539.2</v>
      </c>
      <c r="AD27" s="299">
        <f t="shared" si="5"/>
        <v>234539.18000000017</v>
      </c>
      <c r="AG27" s="35"/>
      <c r="AH27" s="97"/>
      <c r="AI27" s="37"/>
      <c r="AJ27" s="59"/>
    </row>
    <row r="28" spans="2:36" x14ac:dyDescent="0.3">
      <c r="B28" s="35"/>
      <c r="C28" s="58"/>
      <c r="D28" s="309"/>
      <c r="E28" s="58"/>
      <c r="F28" s="8"/>
      <c r="I28" s="35"/>
      <c r="J28" s="58"/>
      <c r="K28" s="309"/>
      <c r="L28" s="58"/>
      <c r="O28" s="35"/>
      <c r="P28" s="58"/>
      <c r="Q28" s="46"/>
      <c r="R28" s="46"/>
      <c r="U28" s="35"/>
      <c r="V28" s="58"/>
      <c r="W28" s="46"/>
      <c r="X28" s="46"/>
      <c r="AA28" s="298"/>
      <c r="AB28" s="326"/>
      <c r="AC28" s="327"/>
      <c r="AD28" s="326"/>
      <c r="AG28" s="35"/>
      <c r="AH28" s="58"/>
      <c r="AI28" s="46"/>
      <c r="AJ28" s="46"/>
    </row>
    <row r="29" spans="2:36" x14ac:dyDescent="0.3">
      <c r="B29" s="35"/>
      <c r="C29" s="56">
        <f>C3+SUM(C10:C27)</f>
        <v>63568466.229999997</v>
      </c>
      <c r="D29" s="255">
        <f>D3+D10+D11+SUM(D15:D27)</f>
        <v>70957811.219999999</v>
      </c>
      <c r="E29" s="56">
        <f>SUM(E3:E27)</f>
        <v>7389344.9900000049</v>
      </c>
      <c r="F29" s="8"/>
      <c r="I29" s="35"/>
      <c r="J29" s="56">
        <f>J3+SUM(J10:J27)</f>
        <v>53432359.739999995</v>
      </c>
      <c r="K29" s="255">
        <f>K3+K10+K11+SUM(K15:K27)</f>
        <v>42261283.740000002</v>
      </c>
      <c r="L29" s="328">
        <f>SUM(L3:L27)</f>
        <v>-11171076.000000002</v>
      </c>
      <c r="O29" s="35"/>
      <c r="P29" s="56">
        <f>P3+SUM(P10:P27)</f>
        <v>34984369.020000003</v>
      </c>
      <c r="Q29" s="55">
        <f>Q3+Q10+Q11+SUM(Q15:Q27)</f>
        <v>29464984.620000001</v>
      </c>
      <c r="R29" s="329">
        <f>SUM(R3:R27)</f>
        <v>-5519384.3999999976</v>
      </c>
      <c r="U29" s="35"/>
      <c r="V29" s="56">
        <f>V3+SUM(V10:V27)</f>
        <v>23239782.93</v>
      </c>
      <c r="W29" s="55">
        <f>W3+W10+W11+SUM(W15:W27)</f>
        <v>21642940.880000003</v>
      </c>
      <c r="X29" s="329">
        <f>SUM(X3:X27)</f>
        <v>-1596842.0499999998</v>
      </c>
      <c r="AA29" s="298"/>
      <c r="AB29" s="330">
        <f>AB3+SUM(AB10:AB27)</f>
        <v>175224977.92000002</v>
      </c>
      <c r="AC29" s="331">
        <f>AC3+AC10+AC11+SUM(AC15:AC27)</f>
        <v>164327020.45999998</v>
      </c>
      <c r="AD29" s="332">
        <f>SUM(AD3:AD27)</f>
        <v>-10897957.459999993</v>
      </c>
      <c r="AG29" s="35"/>
      <c r="AH29" s="56"/>
      <c r="AI29" s="55"/>
      <c r="AJ29" s="329"/>
    </row>
    <row r="30" spans="2:36" x14ac:dyDescent="0.3">
      <c r="B30" s="27"/>
      <c r="C30" s="333"/>
      <c r="D30" s="334"/>
      <c r="E30" s="333"/>
      <c r="F30" s="20"/>
      <c r="I30" s="27"/>
      <c r="J30" s="333"/>
      <c r="K30" s="334"/>
      <c r="L30" s="333"/>
      <c r="O30" s="27"/>
      <c r="P30" s="333"/>
      <c r="Q30" s="335"/>
      <c r="R30" s="335"/>
      <c r="U30" s="27"/>
      <c r="V30" s="333"/>
      <c r="W30" s="335"/>
      <c r="X30" s="335"/>
      <c r="AA30" s="336"/>
      <c r="AB30" s="337"/>
      <c r="AC30" s="338"/>
      <c r="AD30" s="337"/>
      <c r="AG30" s="27"/>
      <c r="AH30" s="333"/>
      <c r="AI30" s="335"/>
      <c r="AJ30" s="335"/>
    </row>
    <row r="33" spans="2:36" hidden="1" x14ac:dyDescent="0.3"/>
    <row r="34" spans="2:36" hidden="1" x14ac:dyDescent="0.3">
      <c r="B34" s="339" t="s">
        <v>1326</v>
      </c>
      <c r="C34" s="339" t="s">
        <v>1327</v>
      </c>
      <c r="J34" s="339" t="s">
        <v>1326</v>
      </c>
      <c r="K34" s="339" t="s">
        <v>1327</v>
      </c>
      <c r="P34" s="339" t="s">
        <v>1326</v>
      </c>
      <c r="Q34" s="339" t="s">
        <v>1327</v>
      </c>
      <c r="V34" s="339" t="s">
        <v>1326</v>
      </c>
      <c r="W34" s="339" t="s">
        <v>1327</v>
      </c>
      <c r="AB34" s="339"/>
      <c r="AC34" s="339"/>
      <c r="AH34" s="339" t="s">
        <v>1326</v>
      </c>
      <c r="AI34" s="339" t="s">
        <v>1327</v>
      </c>
    </row>
    <row r="35" spans="2:36" hidden="1" x14ac:dyDescent="0.3">
      <c r="B35" s="170">
        <v>534647.63</v>
      </c>
      <c r="C35" s="170">
        <v>613510</v>
      </c>
      <c r="D35" s="170">
        <f>B35+C35</f>
        <v>1148157.6299999999</v>
      </c>
      <c r="I35" s="2" t="s">
        <v>1328</v>
      </c>
      <c r="J35" s="170">
        <v>0</v>
      </c>
      <c r="K35" s="170">
        <v>597143</v>
      </c>
      <c r="L35" s="170">
        <f>J35+K35</f>
        <v>597143</v>
      </c>
      <c r="O35" s="2" t="s">
        <v>1328</v>
      </c>
      <c r="P35" s="170">
        <v>0</v>
      </c>
      <c r="Q35" s="170">
        <v>798367</v>
      </c>
      <c r="R35" s="170">
        <f>P35+Q35</f>
        <v>798367</v>
      </c>
      <c r="U35" s="2" t="s">
        <v>1328</v>
      </c>
      <c r="V35" s="170">
        <v>0</v>
      </c>
      <c r="W35" s="170">
        <v>548665</v>
      </c>
      <c r="X35" s="170">
        <f>V35+W35</f>
        <v>548665</v>
      </c>
      <c r="AG35" s="2" t="s">
        <v>1328</v>
      </c>
      <c r="AH35" s="170">
        <v>0</v>
      </c>
      <c r="AI35" s="170">
        <v>43196</v>
      </c>
      <c r="AJ35" s="170">
        <f>AH35+AI35</f>
        <v>43196</v>
      </c>
    </row>
    <row r="36" spans="2:36" hidden="1" x14ac:dyDescent="0.3">
      <c r="B36" s="170">
        <v>2915165.31</v>
      </c>
      <c r="C36" s="170">
        <v>735296</v>
      </c>
      <c r="D36" s="170">
        <f>B36+C36</f>
        <v>3650461.31</v>
      </c>
      <c r="I36" s="2" t="s">
        <v>268</v>
      </c>
      <c r="J36" s="170">
        <v>0</v>
      </c>
      <c r="K36" s="170">
        <v>639613</v>
      </c>
      <c r="L36" s="170">
        <f>J36+K36</f>
        <v>639613</v>
      </c>
      <c r="O36" s="2" t="s">
        <v>268</v>
      </c>
      <c r="P36" s="170">
        <v>0</v>
      </c>
      <c r="Q36" s="170">
        <v>1459465.0000000002</v>
      </c>
      <c r="R36" s="170">
        <f>P36+Q36</f>
        <v>1459465.0000000002</v>
      </c>
      <c r="U36" s="2" t="s">
        <v>268</v>
      </c>
      <c r="W36" s="170">
        <v>868299</v>
      </c>
      <c r="X36" s="170">
        <f>V36+W36</f>
        <v>868299</v>
      </c>
      <c r="AG36" s="2" t="s">
        <v>268</v>
      </c>
      <c r="AI36" s="170">
        <v>399555.99999999994</v>
      </c>
      <c r="AJ36" s="170">
        <f>AH36+AI36</f>
        <v>399555.99999999994</v>
      </c>
    </row>
    <row r="37" spans="2:36" hidden="1" x14ac:dyDescent="0.3">
      <c r="B37" s="170">
        <v>1819023.23</v>
      </c>
      <c r="C37" s="170">
        <v>1052912</v>
      </c>
      <c r="D37" s="170">
        <f>B37+C37</f>
        <v>2871935.23</v>
      </c>
    </row>
    <row r="38" spans="2:36" hidden="1" x14ac:dyDescent="0.3">
      <c r="B38" s="170">
        <v>561167.77</v>
      </c>
      <c r="C38" s="170">
        <v>91833</v>
      </c>
      <c r="D38" s="170">
        <f>B38+C38</f>
        <v>653000.77</v>
      </c>
    </row>
    <row r="39" spans="2:36" hidden="1" x14ac:dyDescent="0.3"/>
    <row r="40" spans="2:36" hidden="1" x14ac:dyDescent="0.3"/>
    <row r="41" spans="2:36" hidden="1" x14ac:dyDescent="0.3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8742-AF36-4570-A989-C2EEFFBFE9A1}">
  <dimension ref="A1:G170"/>
  <sheetViews>
    <sheetView topLeftCell="A149" workbookViewId="0">
      <selection activeCell="C141" sqref="C141:F169"/>
    </sheetView>
  </sheetViews>
  <sheetFormatPr defaultColWidth="8.90625" defaultRowHeight="14.5" x14ac:dyDescent="0.35"/>
  <cols>
    <col min="1" max="2" width="39.08984375" style="191" customWidth="1"/>
    <col min="3" max="6" width="20.81640625" style="191" customWidth="1"/>
    <col min="7" max="7" width="44.81640625" style="191" bestFit="1" customWidth="1"/>
    <col min="8" max="16384" width="8.90625" style="191"/>
  </cols>
  <sheetData>
    <row r="1" spans="1:7" s="290" customFormat="1" x14ac:dyDescent="0.35">
      <c r="A1" s="289" t="s">
        <v>464</v>
      </c>
      <c r="B1" s="289" t="str">
        <f>TRIM(A1)</f>
        <v>Account</v>
      </c>
      <c r="C1" s="289" t="s">
        <v>498</v>
      </c>
      <c r="D1" s="289" t="s">
        <v>465</v>
      </c>
      <c r="E1" s="289" t="s">
        <v>466</v>
      </c>
      <c r="F1" s="289" t="s">
        <v>499</v>
      </c>
      <c r="G1" s="289" t="s">
        <v>433</v>
      </c>
    </row>
    <row r="2" spans="1:7" x14ac:dyDescent="0.35">
      <c r="B2" s="288" t="str">
        <f>TRIM(A2)</f>
        <v/>
      </c>
    </row>
    <row r="3" spans="1:7" x14ac:dyDescent="0.35">
      <c r="A3" s="192" t="s">
        <v>70</v>
      </c>
      <c r="B3" s="288" t="str">
        <f>TRIM(A3)</f>
        <v>Assets</v>
      </c>
      <c r="C3" s="191" t="s">
        <v>85</v>
      </c>
      <c r="D3" s="191" t="s">
        <v>85</v>
      </c>
      <c r="E3" s="191" t="s">
        <v>85</v>
      </c>
      <c r="F3" s="191" t="s">
        <v>85</v>
      </c>
    </row>
    <row r="4" spans="1:7" x14ac:dyDescent="0.35">
      <c r="A4" s="192" t="s">
        <v>500</v>
      </c>
      <c r="B4" s="288" t="str">
        <f t="shared" ref="B4:B67" si="0">TRIM(A4)</f>
        <v>Accounts Receivable</v>
      </c>
      <c r="C4" s="286">
        <v>556182.80000000005</v>
      </c>
      <c r="D4" s="286">
        <v>19647383.449999999</v>
      </c>
      <c r="E4" s="286">
        <v>20021696.879999999</v>
      </c>
      <c r="F4" s="286">
        <v>181869.37</v>
      </c>
      <c r="G4" s="191" t="str">
        <f>VLOOKUP(B4,'TB 0725'!A:A,1,0)</f>
        <v>Accounts Receivable</v>
      </c>
    </row>
    <row r="5" spans="1:7" x14ac:dyDescent="0.35">
      <c r="A5" s="192" t="s">
        <v>501</v>
      </c>
      <c r="B5" s="288" t="str">
        <f t="shared" si="0"/>
        <v>Accrued Interest</v>
      </c>
      <c r="C5" s="286">
        <v>18630269</v>
      </c>
      <c r="D5" s="286">
        <v>17067995</v>
      </c>
      <c r="E5" s="286">
        <v>18630269</v>
      </c>
      <c r="F5" s="286">
        <v>17067995</v>
      </c>
      <c r="G5" s="191" t="str">
        <f>VLOOKUP(B5,'TB 0725'!A:A,1,0)</f>
        <v>Accrued Interest</v>
      </c>
    </row>
    <row r="6" spans="1:7" x14ac:dyDescent="0.35">
      <c r="A6" s="192" t="s">
        <v>1432</v>
      </c>
      <c r="B6" s="288" t="str">
        <f t="shared" si="0"/>
        <v>Accumulated Amortization on Leasehold Improvement</v>
      </c>
      <c r="C6" s="286">
        <v>-378423.95</v>
      </c>
      <c r="D6" s="286">
        <v>0</v>
      </c>
      <c r="E6" s="286">
        <v>103599.27</v>
      </c>
      <c r="F6" s="286">
        <v>-482023.22</v>
      </c>
      <c r="G6" s="191" t="str">
        <f>VLOOKUP(B6,'TB 0725'!A:A,1,0)</f>
        <v>Accumulated Amortization on Leasehold Improvement</v>
      </c>
    </row>
    <row r="7" spans="1:7" x14ac:dyDescent="0.35">
      <c r="A7" s="192" t="s">
        <v>503</v>
      </c>
      <c r="B7" s="288" t="str">
        <f t="shared" si="0"/>
        <v>Accumulated Depreciation on Computer and Laptops</v>
      </c>
      <c r="C7" s="286">
        <v>-683962.31</v>
      </c>
      <c r="D7" s="286">
        <v>0</v>
      </c>
      <c r="E7" s="286">
        <v>209124.91</v>
      </c>
      <c r="F7" s="286">
        <v>-893087.22</v>
      </c>
      <c r="G7" s="191" t="str">
        <f>VLOOKUP(B7,'TB 0725'!A:A,1,0)</f>
        <v>Accumulated Depreciation on Computer and Laptops</v>
      </c>
    </row>
    <row r="8" spans="1:7" x14ac:dyDescent="0.35">
      <c r="A8" s="192" t="s">
        <v>760</v>
      </c>
      <c r="B8" s="288" t="str">
        <f t="shared" si="0"/>
        <v>Accumulated Depreciation on Furniture &amp; Equipment</v>
      </c>
      <c r="C8" s="286">
        <v>-41911.769999999997</v>
      </c>
      <c r="D8" s="286">
        <v>0</v>
      </c>
      <c r="E8" s="286">
        <v>11370.3</v>
      </c>
      <c r="F8" s="286">
        <v>-53282.07</v>
      </c>
      <c r="G8" s="191" t="str">
        <f>VLOOKUP(B8,'TB 0725'!A:A,1,0)</f>
        <v>Accumulated Depreciation on Furniture &amp; Equipment</v>
      </c>
    </row>
    <row r="9" spans="1:7" x14ac:dyDescent="0.35">
      <c r="A9" s="192" t="s">
        <v>504</v>
      </c>
      <c r="B9" s="288" t="str">
        <f t="shared" si="0"/>
        <v>Accumulated Depreciation on Office Equipment</v>
      </c>
      <c r="C9" s="286">
        <v>-43438.18</v>
      </c>
      <c r="D9" s="286">
        <v>0</v>
      </c>
      <c r="E9" s="286">
        <v>14007.98</v>
      </c>
      <c r="F9" s="286">
        <v>-57446.16</v>
      </c>
      <c r="G9" s="191" t="str">
        <f>VLOOKUP(B9,'TB 0725'!A:A,1,0)</f>
        <v>Accumulated Depreciation on Office Equipment</v>
      </c>
    </row>
    <row r="10" spans="1:7" x14ac:dyDescent="0.35">
      <c r="A10" s="192" t="s">
        <v>1421</v>
      </c>
      <c r="B10" s="288" t="str">
        <f t="shared" si="0"/>
        <v>Advance from Customer</v>
      </c>
      <c r="C10" s="286">
        <v>-48822</v>
      </c>
      <c r="D10" s="286">
        <v>0</v>
      </c>
      <c r="E10" s="286">
        <v>0</v>
      </c>
      <c r="F10" s="286">
        <v>-48822</v>
      </c>
      <c r="G10" s="191" t="str">
        <f>VLOOKUP(B10,'TB 0725'!A:A,1,0)</f>
        <v>Advance from Customer</v>
      </c>
    </row>
    <row r="11" spans="1:7" x14ac:dyDescent="0.35">
      <c r="A11" s="192" t="s">
        <v>961</v>
      </c>
      <c r="B11" s="288" t="str">
        <f t="shared" si="0"/>
        <v>Advance to Vendors</v>
      </c>
      <c r="C11" s="286">
        <v>3296307.82</v>
      </c>
      <c r="D11" s="286">
        <v>1615828.46</v>
      </c>
      <c r="E11" s="286">
        <v>17444.46</v>
      </c>
      <c r="F11" s="286">
        <v>4894691.82</v>
      </c>
      <c r="G11" s="191" t="str">
        <f>VLOOKUP(B11,'TB 0725'!A:A,1,0)</f>
        <v>Advance to Vendors</v>
      </c>
    </row>
    <row r="12" spans="1:7" x14ac:dyDescent="0.35">
      <c r="A12" s="192" t="s">
        <v>505</v>
      </c>
      <c r="B12" s="288" t="str">
        <f t="shared" si="0"/>
        <v>Amazon Wallet</v>
      </c>
      <c r="C12" s="286">
        <v>305.98</v>
      </c>
      <c r="D12" s="286">
        <v>0</v>
      </c>
      <c r="E12" s="286">
        <v>0</v>
      </c>
      <c r="F12" s="286">
        <v>305.98</v>
      </c>
      <c r="G12" s="191" t="str">
        <f>VLOOKUP(B12,'TB 0725'!A:A,1,0)</f>
        <v>Amazon Wallet</v>
      </c>
    </row>
    <row r="13" spans="1:7" x14ac:dyDescent="0.35">
      <c r="A13" s="192" t="s">
        <v>506</v>
      </c>
      <c r="B13" s="288" t="str">
        <f t="shared" si="0"/>
        <v>Axis Bank 1655</v>
      </c>
      <c r="C13" s="286">
        <v>12282.34</v>
      </c>
      <c r="D13" s="286">
        <v>0</v>
      </c>
      <c r="E13" s="286">
        <v>118</v>
      </c>
      <c r="F13" s="286">
        <v>12164.34</v>
      </c>
      <c r="G13" s="191" t="str">
        <f>VLOOKUP(B13,'TB 0725'!A:A,1,0)</f>
        <v>Axis Bank 1655</v>
      </c>
    </row>
    <row r="14" spans="1:7" x14ac:dyDescent="0.35">
      <c r="A14" s="192" t="s">
        <v>507</v>
      </c>
      <c r="B14" s="288" t="str">
        <f t="shared" si="0"/>
        <v>Computer and Laptops</v>
      </c>
      <c r="C14" s="286">
        <v>7010849.0300000003</v>
      </c>
      <c r="D14" s="286">
        <v>1524588</v>
      </c>
      <c r="E14" s="286">
        <v>0</v>
      </c>
      <c r="F14" s="286">
        <v>8535437.0299999993</v>
      </c>
      <c r="G14" s="191" t="str">
        <f>VLOOKUP(B14,'TB 0725'!A:A,1,0)</f>
        <v>Computer and Laptops</v>
      </c>
    </row>
    <row r="15" spans="1:7" x14ac:dyDescent="0.35">
      <c r="A15" s="192" t="s">
        <v>678</v>
      </c>
      <c r="B15" s="288" t="str">
        <f t="shared" si="0"/>
        <v>Furniture and Equipment</v>
      </c>
      <c r="C15" s="286">
        <v>704611.34</v>
      </c>
      <c r="D15" s="286">
        <v>0</v>
      </c>
      <c r="E15" s="286">
        <v>0</v>
      </c>
      <c r="F15" s="286">
        <v>704611.34</v>
      </c>
      <c r="G15" s="191" t="str">
        <f>VLOOKUP(B15,'TB 0725'!A:A,1,0)</f>
        <v>Furniture and Equipment</v>
      </c>
    </row>
    <row r="16" spans="1:7" x14ac:dyDescent="0.35">
      <c r="A16" s="192" t="s">
        <v>712</v>
      </c>
      <c r="B16" s="288" t="str">
        <f t="shared" si="0"/>
        <v>HDFC Bank 6899</v>
      </c>
      <c r="C16" s="286">
        <v>72359.7</v>
      </c>
      <c r="D16" s="286">
        <v>0</v>
      </c>
      <c r="E16" s="286">
        <v>0</v>
      </c>
      <c r="F16" s="286">
        <v>72359.7</v>
      </c>
      <c r="G16" s="191" t="str">
        <f>VLOOKUP(B16,'TB 0725'!A:A,1,0)</f>
        <v>HDFC Bank 6899</v>
      </c>
    </row>
    <row r="17" spans="1:7" x14ac:dyDescent="0.35">
      <c r="A17" s="192" t="s">
        <v>713</v>
      </c>
      <c r="B17" s="288" t="str">
        <f t="shared" si="0"/>
        <v>HDFC Bank 9531</v>
      </c>
      <c r="C17" s="286">
        <v>91984.3</v>
      </c>
      <c r="D17" s="286">
        <v>3016111.25</v>
      </c>
      <c r="E17" s="286">
        <v>2840781.22</v>
      </c>
      <c r="F17" s="286">
        <v>267314.33</v>
      </c>
      <c r="G17" s="191" t="str">
        <f>VLOOKUP(B17,'TB 0725'!A:A,1,0)</f>
        <v>HDFC Bank 9531</v>
      </c>
    </row>
    <row r="18" spans="1:7" x14ac:dyDescent="0.35">
      <c r="A18" s="192" t="s">
        <v>508</v>
      </c>
      <c r="B18" s="288" t="str">
        <f t="shared" si="0"/>
        <v>Input Tax Credits</v>
      </c>
      <c r="C18" s="286">
        <v>0</v>
      </c>
      <c r="D18" s="286">
        <v>0</v>
      </c>
      <c r="E18" s="286">
        <v>0</v>
      </c>
      <c r="F18" s="286">
        <v>0</v>
      </c>
    </row>
    <row r="19" spans="1:7" x14ac:dyDescent="0.35">
      <c r="A19" s="192" t="s">
        <v>509</v>
      </c>
      <c r="B19" s="288" t="str">
        <f t="shared" si="0"/>
        <v>Input CGST</v>
      </c>
      <c r="C19" s="286">
        <v>2754516.32</v>
      </c>
      <c r="D19" s="286">
        <v>2217579.69</v>
      </c>
      <c r="E19" s="286">
        <v>10375.59</v>
      </c>
      <c r="F19" s="286">
        <v>4961720.42</v>
      </c>
      <c r="G19" s="191" t="str">
        <f>VLOOKUP(B19,'TB 0725'!A:A,1,0)</f>
        <v>Input CGST</v>
      </c>
    </row>
    <row r="20" spans="1:7" x14ac:dyDescent="0.35">
      <c r="A20" s="192" t="s">
        <v>510</v>
      </c>
      <c r="B20" s="288" t="str">
        <f t="shared" si="0"/>
        <v>Input IGST</v>
      </c>
      <c r="C20" s="286">
        <v>1466609.95</v>
      </c>
      <c r="D20" s="286">
        <v>2261746.35</v>
      </c>
      <c r="E20" s="286">
        <v>408143.95</v>
      </c>
      <c r="F20" s="286">
        <v>3320212.35</v>
      </c>
      <c r="G20" s="191" t="str">
        <f>VLOOKUP(B20,'TB 0725'!A:A,1,0)</f>
        <v>Input IGST</v>
      </c>
    </row>
    <row r="21" spans="1:7" x14ac:dyDescent="0.35">
      <c r="A21" s="192" t="s">
        <v>511</v>
      </c>
      <c r="B21" s="288" t="str">
        <f t="shared" si="0"/>
        <v>Input SGST</v>
      </c>
      <c r="C21" s="286">
        <v>2738147.37</v>
      </c>
      <c r="D21" s="286">
        <v>2217579.69</v>
      </c>
      <c r="E21" s="286">
        <v>62364.59</v>
      </c>
      <c r="F21" s="286">
        <v>4893362.47</v>
      </c>
      <c r="G21" s="191" t="str">
        <f>VLOOKUP(B21,'TB 0725'!A:A,1,0)</f>
        <v>Input SGST</v>
      </c>
    </row>
    <row r="22" spans="1:7" ht="15.5" x14ac:dyDescent="0.35">
      <c r="A22" s="193" t="s">
        <v>512</v>
      </c>
      <c r="B22" s="288" t="str">
        <f t="shared" si="0"/>
        <v>Total for Input Tax Credits</v>
      </c>
      <c r="C22" s="287">
        <v>6959273.6399999997</v>
      </c>
      <c r="D22" s="287">
        <v>6696905.7300000004</v>
      </c>
      <c r="E22" s="287">
        <v>480884.13</v>
      </c>
      <c r="F22" s="287">
        <v>13175295.24</v>
      </c>
    </row>
    <row r="23" spans="1:7" x14ac:dyDescent="0.35">
      <c r="B23" s="288" t="str">
        <f t="shared" si="0"/>
        <v/>
      </c>
    </row>
    <row r="24" spans="1:7" x14ac:dyDescent="0.35">
      <c r="A24" s="192" t="s">
        <v>514</v>
      </c>
      <c r="B24" s="288" t="str">
        <f t="shared" si="0"/>
        <v>Investments</v>
      </c>
      <c r="C24" s="286">
        <v>0</v>
      </c>
      <c r="D24" s="286">
        <v>0</v>
      </c>
      <c r="E24" s="286">
        <v>0</v>
      </c>
      <c r="F24" s="286">
        <v>0</v>
      </c>
    </row>
    <row r="25" spans="1:7" x14ac:dyDescent="0.35">
      <c r="A25" s="192" t="s">
        <v>1209</v>
      </c>
      <c r="B25" s="288" t="str">
        <f t="shared" si="0"/>
        <v>Fixed Deposit 50301170464152</v>
      </c>
      <c r="C25" s="286">
        <v>50000000</v>
      </c>
      <c r="D25" s="286">
        <v>0</v>
      </c>
      <c r="E25" s="286">
        <v>0</v>
      </c>
      <c r="F25" s="286">
        <v>50000000</v>
      </c>
      <c r="G25" s="191" t="str">
        <f>VLOOKUP(B25,'TB 0725'!A:A,1,0)</f>
        <v>Fixed Deposit 50301170464152</v>
      </c>
    </row>
    <row r="26" spans="1:7" x14ac:dyDescent="0.35">
      <c r="A26" s="192" t="s">
        <v>1210</v>
      </c>
      <c r="B26" s="288" t="str">
        <f t="shared" si="0"/>
        <v>Fixed Deposit 50301170464596</v>
      </c>
      <c r="C26" s="286">
        <v>100000000</v>
      </c>
      <c r="D26" s="286">
        <v>0</v>
      </c>
      <c r="E26" s="286">
        <v>0</v>
      </c>
      <c r="F26" s="286">
        <v>100000000</v>
      </c>
      <c r="G26" s="191" t="str">
        <f>VLOOKUP(B26,'TB 0725'!A:A,1,0)</f>
        <v>Fixed Deposit 50301170464596</v>
      </c>
    </row>
    <row r="27" spans="1:7" x14ac:dyDescent="0.35">
      <c r="A27" s="192" t="s">
        <v>1211</v>
      </c>
      <c r="B27" s="288" t="str">
        <f t="shared" si="0"/>
        <v>Fixed Deposit 50301170464942</v>
      </c>
      <c r="C27" s="286">
        <v>150000000</v>
      </c>
      <c r="D27" s="286">
        <v>0</v>
      </c>
      <c r="E27" s="286">
        <v>0</v>
      </c>
      <c r="F27" s="286">
        <v>150000000</v>
      </c>
      <c r="G27" s="191" t="str">
        <f>VLOOKUP(B27,'TB 0725'!A:A,1,0)</f>
        <v>Fixed Deposit 50301170464942</v>
      </c>
    </row>
    <row r="28" spans="1:7" x14ac:dyDescent="0.35">
      <c r="A28" s="192" t="s">
        <v>1212</v>
      </c>
      <c r="B28" s="288" t="str">
        <f t="shared" si="0"/>
        <v>Fixed Deposit 50301170465320</v>
      </c>
      <c r="C28" s="286">
        <v>300000000</v>
      </c>
      <c r="D28" s="286">
        <v>0</v>
      </c>
      <c r="E28" s="286">
        <v>0</v>
      </c>
      <c r="F28" s="286">
        <v>300000000</v>
      </c>
      <c r="G28" s="191" t="str">
        <f>VLOOKUP(B28,'TB 0725'!A:A,1,0)</f>
        <v>Fixed Deposit 50301170465320</v>
      </c>
    </row>
    <row r="29" spans="1:7" x14ac:dyDescent="0.35">
      <c r="A29" s="192" t="s">
        <v>680</v>
      </c>
      <c r="B29" s="288" t="str">
        <f t="shared" si="0"/>
        <v>Fixed Deposit 9349809145</v>
      </c>
      <c r="C29" s="286">
        <v>350000000</v>
      </c>
      <c r="D29" s="286">
        <v>0</v>
      </c>
      <c r="E29" s="286">
        <v>350000000</v>
      </c>
      <c r="F29" s="286">
        <v>0</v>
      </c>
      <c r="G29" s="191" t="str">
        <f>VLOOKUP(B29,'TB 0725'!A:A,1,0)</f>
        <v>Fixed Deposit 9349809145</v>
      </c>
    </row>
    <row r="30" spans="1:7" x14ac:dyDescent="0.35">
      <c r="A30" s="192" t="s">
        <v>1213</v>
      </c>
      <c r="B30" s="288" t="str">
        <f t="shared" si="0"/>
        <v>Fixed Deposit 9349969993</v>
      </c>
      <c r="C30" s="286">
        <v>100000000</v>
      </c>
      <c r="D30" s="286">
        <v>0</v>
      </c>
      <c r="E30" s="286">
        <v>0</v>
      </c>
      <c r="F30" s="286">
        <v>100000000</v>
      </c>
      <c r="G30" s="191" t="str">
        <f>VLOOKUP(B30,'TB 0725'!A:A,1,0)</f>
        <v>Fixed Deposit 9349969993</v>
      </c>
    </row>
    <row r="31" spans="1:7" x14ac:dyDescent="0.35">
      <c r="A31" s="192" t="s">
        <v>1214</v>
      </c>
      <c r="B31" s="288" t="str">
        <f t="shared" si="0"/>
        <v>Fixed Deposit 9349970005</v>
      </c>
      <c r="C31" s="286">
        <v>150000000</v>
      </c>
      <c r="D31" s="286">
        <v>0</v>
      </c>
      <c r="E31" s="286">
        <v>0</v>
      </c>
      <c r="F31" s="286">
        <v>150000000</v>
      </c>
      <c r="G31" s="191" t="str">
        <f>VLOOKUP(B31,'TB 0725'!A:A,1,0)</f>
        <v>Fixed Deposit 9349970005</v>
      </c>
    </row>
    <row r="32" spans="1:7" x14ac:dyDescent="0.35">
      <c r="A32" s="192" t="s">
        <v>1215</v>
      </c>
      <c r="B32" s="288" t="str">
        <f t="shared" si="0"/>
        <v>Fixed Deposit 9349970036</v>
      </c>
      <c r="C32" s="286">
        <v>150000000</v>
      </c>
      <c r="D32" s="286">
        <v>0</v>
      </c>
      <c r="E32" s="286">
        <v>0</v>
      </c>
      <c r="F32" s="286">
        <v>150000000</v>
      </c>
      <c r="G32" s="191" t="str">
        <f>VLOOKUP(B32,'TB 0725'!A:A,1,0)</f>
        <v>Fixed Deposit 9349970036</v>
      </c>
    </row>
    <row r="33" spans="1:7" x14ac:dyDescent="0.35">
      <c r="A33" s="192" t="s">
        <v>1216</v>
      </c>
      <c r="B33" s="288" t="str">
        <f t="shared" si="0"/>
        <v>Fixed Deposit 9349970081</v>
      </c>
      <c r="C33" s="286">
        <v>180000000</v>
      </c>
      <c r="D33" s="286">
        <v>0</v>
      </c>
      <c r="E33" s="286">
        <v>0</v>
      </c>
      <c r="F33" s="286">
        <v>180000000</v>
      </c>
      <c r="G33" s="191" t="str">
        <f>VLOOKUP(B33,'TB 0725'!A:A,1,0)</f>
        <v>Fixed Deposit 9349970081</v>
      </c>
    </row>
    <row r="34" spans="1:7" x14ac:dyDescent="0.35">
      <c r="A34" s="192" t="s">
        <v>1217</v>
      </c>
      <c r="B34" s="288" t="str">
        <f t="shared" si="0"/>
        <v>Fixed Deposit 9349970098</v>
      </c>
      <c r="C34" s="286">
        <v>170000000</v>
      </c>
      <c r="D34" s="286">
        <v>0</v>
      </c>
      <c r="E34" s="286">
        <v>0</v>
      </c>
      <c r="F34" s="286">
        <v>170000000</v>
      </c>
      <c r="G34" s="191" t="str">
        <f>VLOOKUP(B34,'TB 0725'!A:A,1,0)</f>
        <v>Fixed Deposit 9349970098</v>
      </c>
    </row>
    <row r="35" spans="1:7" x14ac:dyDescent="0.35">
      <c r="A35" s="192" t="s">
        <v>1218</v>
      </c>
      <c r="B35" s="288" t="str">
        <f t="shared" si="0"/>
        <v>Fixed Deposit 9349970463</v>
      </c>
      <c r="C35" s="286">
        <v>17000000</v>
      </c>
      <c r="D35" s="286">
        <v>0</v>
      </c>
      <c r="E35" s="286">
        <v>0</v>
      </c>
      <c r="F35" s="286">
        <v>17000000</v>
      </c>
      <c r="G35" s="191" t="str">
        <f>VLOOKUP(B35,'TB 0725'!A:A,1,0)</f>
        <v>Fixed Deposit 9349970463</v>
      </c>
    </row>
    <row r="36" spans="1:7" x14ac:dyDescent="0.35">
      <c r="A36" s="192" t="s">
        <v>1219</v>
      </c>
      <c r="B36" s="288" t="str">
        <f t="shared" si="0"/>
        <v>Fixed Deposit 9349970623</v>
      </c>
      <c r="C36" s="286">
        <v>250000000</v>
      </c>
      <c r="D36" s="286">
        <v>0</v>
      </c>
      <c r="E36" s="286">
        <v>0</v>
      </c>
      <c r="F36" s="286">
        <v>250000000</v>
      </c>
      <c r="G36" s="191" t="str">
        <f>VLOOKUP(B36,'TB 0725'!A:A,1,0)</f>
        <v>Fixed Deposit 9349970623</v>
      </c>
    </row>
    <row r="37" spans="1:7" x14ac:dyDescent="0.35">
      <c r="A37" s="192" t="s">
        <v>1221</v>
      </c>
      <c r="B37" s="288" t="str">
        <f t="shared" si="0"/>
        <v>Fixed Deposit 9349994223</v>
      </c>
      <c r="C37" s="286">
        <v>12500000</v>
      </c>
      <c r="D37" s="286">
        <v>0</v>
      </c>
      <c r="E37" s="286">
        <v>12500000</v>
      </c>
      <c r="F37" s="286">
        <v>0</v>
      </c>
      <c r="G37" s="191" t="str">
        <f>VLOOKUP(B37,'TB 0725'!A:A,1,0)</f>
        <v>Fixed Deposit 9349994223</v>
      </c>
    </row>
    <row r="38" spans="1:7" x14ac:dyDescent="0.35">
      <c r="A38" s="192" t="s">
        <v>1284</v>
      </c>
      <c r="B38" s="288" t="str">
        <f t="shared" si="0"/>
        <v>Fixed Deposit 9350026708</v>
      </c>
      <c r="C38" s="286">
        <v>0</v>
      </c>
      <c r="D38" s="286">
        <v>325000000</v>
      </c>
      <c r="E38" s="286">
        <v>0</v>
      </c>
      <c r="F38" s="286">
        <v>325000000</v>
      </c>
      <c r="G38" s="191" t="str">
        <f>VLOOKUP(B38,'TB 0725'!A:A,1,0)</f>
        <v>Fixed Deposit 9350026708</v>
      </c>
    </row>
    <row r="39" spans="1:7" ht="15.5" x14ac:dyDescent="0.35">
      <c r="A39" s="193" t="s">
        <v>521</v>
      </c>
      <c r="B39" s="288" t="str">
        <f t="shared" si="0"/>
        <v>Total for Investments</v>
      </c>
      <c r="C39" s="287">
        <v>1979500000</v>
      </c>
      <c r="D39" s="287">
        <v>325000000</v>
      </c>
      <c r="E39" s="287">
        <v>362500000</v>
      </c>
      <c r="F39" s="287">
        <v>1942000000</v>
      </c>
    </row>
    <row r="40" spans="1:7" x14ac:dyDescent="0.35">
      <c r="B40" s="288" t="str">
        <f t="shared" si="0"/>
        <v/>
      </c>
    </row>
    <row r="41" spans="1:7" x14ac:dyDescent="0.35">
      <c r="A41" s="192" t="s">
        <v>522</v>
      </c>
      <c r="B41" s="288" t="str">
        <f t="shared" si="0"/>
        <v>Kotak Mahindra Bank 9942</v>
      </c>
      <c r="C41" s="286">
        <v>10099290.449999999</v>
      </c>
      <c r="D41" s="286">
        <v>361573092</v>
      </c>
      <c r="E41" s="286">
        <v>370000000</v>
      </c>
      <c r="F41" s="286">
        <v>1672382.45</v>
      </c>
      <c r="G41" s="191" t="str">
        <f>VLOOKUP(B41,'TB 0725'!A:A,1,0)</f>
        <v>Kotak Mahindra Bank 9942</v>
      </c>
    </row>
    <row r="42" spans="1:7" x14ac:dyDescent="0.35">
      <c r="A42" s="192" t="s">
        <v>523</v>
      </c>
      <c r="B42" s="288" t="str">
        <f t="shared" si="0"/>
        <v>Kotak Mahindra Bank 9966</v>
      </c>
      <c r="C42" s="286">
        <v>18899117.140000001</v>
      </c>
      <c r="D42" s="286">
        <v>67682184</v>
      </c>
      <c r="E42" s="286">
        <v>83412036.25</v>
      </c>
      <c r="F42" s="286">
        <v>3169264.89</v>
      </c>
      <c r="G42" s="191" t="str">
        <f>VLOOKUP(B42,'TB 0725'!A:A,1,0)</f>
        <v>Kotak Mahindra Bank 9966</v>
      </c>
    </row>
    <row r="43" spans="1:7" x14ac:dyDescent="0.35">
      <c r="A43" s="192" t="s">
        <v>722</v>
      </c>
      <c r="B43" s="288" t="str">
        <f t="shared" si="0"/>
        <v>Leasehold Improvement</v>
      </c>
      <c r="C43" s="286">
        <v>3633598</v>
      </c>
      <c r="D43" s="286">
        <v>0</v>
      </c>
      <c r="E43" s="286">
        <v>0</v>
      </c>
      <c r="F43" s="286">
        <v>3633598</v>
      </c>
      <c r="G43" s="191" t="str">
        <f>VLOOKUP(B43,'TB 0725'!A:A,1,0)</f>
        <v>Leasehold Improvement</v>
      </c>
    </row>
    <row r="44" spans="1:7" x14ac:dyDescent="0.35">
      <c r="A44" s="192" t="s">
        <v>524</v>
      </c>
      <c r="B44" s="288" t="str">
        <f t="shared" si="0"/>
        <v>Office Equipment</v>
      </c>
      <c r="C44" s="286">
        <v>520840.59</v>
      </c>
      <c r="D44" s="286">
        <v>0</v>
      </c>
      <c r="E44" s="286">
        <v>0</v>
      </c>
      <c r="F44" s="286">
        <v>520840.59</v>
      </c>
      <c r="G44" s="191" t="str">
        <f>VLOOKUP(B44,'TB 0725'!A:A,1,0)</f>
        <v>Office Equipment</v>
      </c>
    </row>
    <row r="45" spans="1:7" x14ac:dyDescent="0.35">
      <c r="A45" s="192" t="s">
        <v>1422</v>
      </c>
      <c r="B45" s="288" t="str">
        <f t="shared" si="0"/>
        <v>Other Receivable</v>
      </c>
      <c r="C45" s="286">
        <v>81296.960000000006</v>
      </c>
      <c r="D45" s="286">
        <v>0</v>
      </c>
      <c r="E45" s="286">
        <v>0</v>
      </c>
      <c r="F45" s="286">
        <v>81296.960000000006</v>
      </c>
      <c r="G45" s="191" t="str">
        <f>VLOOKUP(B45,'TB 0725'!A:A,1,0)</f>
        <v>Other Receivable</v>
      </c>
    </row>
    <row r="46" spans="1:7" x14ac:dyDescent="0.35">
      <c r="A46" s="192" t="s">
        <v>1298</v>
      </c>
      <c r="B46" s="288" t="str">
        <f t="shared" si="0"/>
        <v>Prepaid - Consumption</v>
      </c>
      <c r="C46" s="286">
        <v>0</v>
      </c>
      <c r="D46" s="286">
        <v>1222814</v>
      </c>
      <c r="E46" s="286">
        <v>0</v>
      </c>
      <c r="F46" s="286">
        <v>1222814</v>
      </c>
      <c r="G46" s="191" t="str">
        <f>VLOOKUP(B46,'TB 0725'!A:A,1,0)</f>
        <v>Prepaid - Consumption</v>
      </c>
    </row>
    <row r="47" spans="1:7" x14ac:dyDescent="0.35">
      <c r="A47" s="192" t="s">
        <v>526</v>
      </c>
      <c r="B47" s="288" t="str">
        <f t="shared" si="0"/>
        <v>Prepaid Expense - Asset</v>
      </c>
      <c r="C47" s="286">
        <v>0.03</v>
      </c>
      <c r="D47" s="286">
        <v>256867.33</v>
      </c>
      <c r="E47" s="286">
        <v>0</v>
      </c>
      <c r="F47" s="286">
        <v>256867.36</v>
      </c>
      <c r="G47" s="191" t="str">
        <f>VLOOKUP(B47,'TB 0725'!A:A,1,0)</f>
        <v>Prepaid Expense - Asset</v>
      </c>
    </row>
    <row r="48" spans="1:7" x14ac:dyDescent="0.35">
      <c r="A48" s="192" t="s">
        <v>527</v>
      </c>
      <c r="B48" s="288" t="str">
        <f t="shared" si="0"/>
        <v>Prepaid Expenses</v>
      </c>
      <c r="C48" s="286">
        <v>8077542.04</v>
      </c>
      <c r="D48" s="286">
        <v>6845969.7300000004</v>
      </c>
      <c r="E48" s="286">
        <v>4553006.42</v>
      </c>
      <c r="F48" s="286">
        <v>10370505.35</v>
      </c>
      <c r="G48" s="191" t="str">
        <f>VLOOKUP(B48,'TB 0725'!A:A,1,0)</f>
        <v>Prepaid Expenses</v>
      </c>
    </row>
    <row r="49" spans="1:7" x14ac:dyDescent="0.35">
      <c r="A49" s="192" t="s">
        <v>528</v>
      </c>
      <c r="B49" s="288" t="str">
        <f t="shared" si="0"/>
        <v>Receipt from Customers</v>
      </c>
      <c r="C49" s="286">
        <v>0</v>
      </c>
      <c r="D49" s="286">
        <v>10208722.630000001</v>
      </c>
      <c r="E49" s="286">
        <v>10208722.630000001</v>
      </c>
      <c r="F49" s="286">
        <v>0</v>
      </c>
      <c r="G49" s="191" t="str">
        <f>VLOOKUP(B49,'TB 0725'!A:A,1,0)</f>
        <v>Receipt from Customers</v>
      </c>
    </row>
    <row r="50" spans="1:7" x14ac:dyDescent="0.35">
      <c r="A50" s="192" t="s">
        <v>529</v>
      </c>
      <c r="B50" s="288" t="str">
        <f t="shared" si="0"/>
        <v>Reverse Charge Tax Input but not due</v>
      </c>
      <c r="C50" s="286">
        <v>1422878.81</v>
      </c>
      <c r="D50" s="286">
        <v>277597.59000000003</v>
      </c>
      <c r="E50" s="286">
        <v>0</v>
      </c>
      <c r="F50" s="286">
        <v>1700476.4</v>
      </c>
      <c r="G50" s="191" t="str">
        <f>VLOOKUP(B50,'TB 0725'!A:A,1,0)</f>
        <v>Reverse Charge Tax Input but not due</v>
      </c>
    </row>
    <row r="51" spans="1:7" x14ac:dyDescent="0.35">
      <c r="A51" s="192" t="s">
        <v>530</v>
      </c>
      <c r="B51" s="288" t="str">
        <f t="shared" si="0"/>
        <v>Security Deposit</v>
      </c>
      <c r="C51" s="286">
        <v>7521400</v>
      </c>
      <c r="D51" s="286">
        <v>798000</v>
      </c>
      <c r="E51" s="286">
        <v>115000</v>
      </c>
      <c r="F51" s="286">
        <v>8204400</v>
      </c>
      <c r="G51" s="191" t="str">
        <f>VLOOKUP(B51,'TB 0725'!A:A,1,0)</f>
        <v>Security Deposit</v>
      </c>
    </row>
    <row r="52" spans="1:7" x14ac:dyDescent="0.35">
      <c r="A52" s="192" t="s">
        <v>531</v>
      </c>
      <c r="B52" s="288" t="str">
        <f t="shared" si="0"/>
        <v>TDS Receivable</v>
      </c>
      <c r="C52" s="286">
        <v>345859.7</v>
      </c>
      <c r="D52" s="286">
        <v>0</v>
      </c>
      <c r="E52" s="286">
        <v>0</v>
      </c>
      <c r="F52" s="286">
        <v>345859.7</v>
      </c>
      <c r="G52" s="191" t="str">
        <f>VLOOKUP(B52,'TB 0725'!A:A,1,0)</f>
        <v>TDS Receivable</v>
      </c>
    </row>
    <row r="53" spans="1:7" x14ac:dyDescent="0.35">
      <c r="A53" s="192" t="s">
        <v>532</v>
      </c>
      <c r="B53" s="288" t="str">
        <f t="shared" si="0"/>
        <v>Liabilities</v>
      </c>
      <c r="C53" s="191" t="s">
        <v>85</v>
      </c>
      <c r="D53" s="191" t="s">
        <v>85</v>
      </c>
      <c r="E53" s="191" t="s">
        <v>85</v>
      </c>
      <c r="F53" s="191" t="s">
        <v>85</v>
      </c>
    </row>
    <row r="54" spans="1:7" x14ac:dyDescent="0.35">
      <c r="A54" s="192" t="s">
        <v>533</v>
      </c>
      <c r="B54" s="288" t="str">
        <f t="shared" si="0"/>
        <v>Accounts Payable</v>
      </c>
      <c r="C54" s="286">
        <v>-9193475.9299999997</v>
      </c>
      <c r="D54" s="286">
        <v>46360266.590000004</v>
      </c>
      <c r="E54" s="286">
        <v>49511478.850000001</v>
      </c>
      <c r="F54" s="286">
        <v>-12344688.189999999</v>
      </c>
      <c r="G54" s="191" t="str">
        <f>VLOOKUP(B54,'TB 0725'!A:A,1,0)</f>
        <v>Accounts Payable</v>
      </c>
    </row>
    <row r="55" spans="1:7" x14ac:dyDescent="0.35">
      <c r="A55" s="192" t="s">
        <v>1329</v>
      </c>
      <c r="B55" s="288" t="str">
        <f t="shared" si="0"/>
        <v>Advance from B2C Customer</v>
      </c>
      <c r="C55" s="286">
        <v>-809805</v>
      </c>
      <c r="D55" s="286">
        <v>809805</v>
      </c>
      <c r="E55" s="286">
        <v>1444071.37</v>
      </c>
      <c r="F55" s="286">
        <v>-1444071.37</v>
      </c>
      <c r="G55" s="191" t="str">
        <f>VLOOKUP(B55,'TB 0725'!A:A,1,0)</f>
        <v>Advance from B2C Customer</v>
      </c>
    </row>
    <row r="56" spans="1:7" x14ac:dyDescent="0.35">
      <c r="A56" s="192" t="s">
        <v>534</v>
      </c>
      <c r="B56" s="288" t="str">
        <f t="shared" si="0"/>
        <v>App Wallet</v>
      </c>
      <c r="C56" s="286">
        <v>-300318.27</v>
      </c>
      <c r="D56" s="286">
        <v>41774</v>
      </c>
      <c r="E56" s="286">
        <v>87718</v>
      </c>
      <c r="F56" s="286">
        <v>-346262.27</v>
      </c>
      <c r="G56" s="191" t="str">
        <f>VLOOKUP(B56,'TB 0725'!A:A,1,0)</f>
        <v>App Wallet</v>
      </c>
    </row>
    <row r="57" spans="1:7" x14ac:dyDescent="0.35">
      <c r="A57" s="192" t="s">
        <v>535</v>
      </c>
      <c r="B57" s="288" t="str">
        <f t="shared" si="0"/>
        <v>Employee Reimbursements</v>
      </c>
      <c r="C57" s="286">
        <v>-165000</v>
      </c>
      <c r="D57" s="286">
        <v>267913.92</v>
      </c>
      <c r="E57" s="286">
        <v>102913.92</v>
      </c>
      <c r="F57" s="286">
        <v>0</v>
      </c>
      <c r="G57" s="191" t="str">
        <f>VLOOKUP(B57,'TB 0725'!A:A,1,0)</f>
        <v>Employee Reimbursements</v>
      </c>
    </row>
    <row r="58" spans="1:7" x14ac:dyDescent="0.35">
      <c r="A58" s="192" t="s">
        <v>621</v>
      </c>
      <c r="B58" s="288" t="str">
        <f t="shared" si="0"/>
        <v>Employee Salaries Payable</v>
      </c>
      <c r="C58" s="286">
        <v>-3512617</v>
      </c>
      <c r="D58" s="286">
        <v>20723038</v>
      </c>
      <c r="E58" s="286">
        <v>18087899</v>
      </c>
      <c r="F58" s="286">
        <v>-877478</v>
      </c>
      <c r="G58" s="191" t="str">
        <f>VLOOKUP(B58,'TB 0725'!A:A,1,0)</f>
        <v>Employee Salaries Payable</v>
      </c>
    </row>
    <row r="59" spans="1:7" x14ac:dyDescent="0.35">
      <c r="A59" s="192" t="s">
        <v>763</v>
      </c>
      <c r="B59" s="288" t="str">
        <f t="shared" si="0"/>
        <v>Employees State Insurance</v>
      </c>
      <c r="C59" s="286">
        <v>0</v>
      </c>
      <c r="D59" s="286">
        <v>0</v>
      </c>
      <c r="E59" s="286">
        <v>0</v>
      </c>
      <c r="F59" s="286">
        <v>0</v>
      </c>
    </row>
    <row r="60" spans="1:7" x14ac:dyDescent="0.35">
      <c r="A60" s="192" t="s">
        <v>764</v>
      </c>
      <c r="B60" s="288" t="str">
        <f t="shared" si="0"/>
        <v>ESI - Employee</v>
      </c>
      <c r="C60" s="286">
        <v>-144</v>
      </c>
      <c r="D60" s="286">
        <v>144</v>
      </c>
      <c r="E60" s="286">
        <v>144</v>
      </c>
      <c r="F60" s="286">
        <v>-144</v>
      </c>
      <c r="G60" s="191" t="str">
        <f>VLOOKUP(B60,'TB 0725'!A:A,1,0)</f>
        <v>ESI - Employee</v>
      </c>
    </row>
    <row r="61" spans="1:7" x14ac:dyDescent="0.35">
      <c r="A61" s="192" t="s">
        <v>765</v>
      </c>
      <c r="B61" s="288" t="str">
        <f t="shared" si="0"/>
        <v>ESI - Employer</v>
      </c>
      <c r="C61" s="286">
        <v>-621</v>
      </c>
      <c r="D61" s="286">
        <v>621</v>
      </c>
      <c r="E61" s="286">
        <v>621</v>
      </c>
      <c r="F61" s="286">
        <v>-621</v>
      </c>
      <c r="G61" s="191" t="str">
        <f>VLOOKUP(B61,'TB 0725'!A:A,1,0)</f>
        <v>ESI - Employer</v>
      </c>
    </row>
    <row r="62" spans="1:7" ht="15.5" x14ac:dyDescent="0.35">
      <c r="A62" s="193" t="s">
        <v>766</v>
      </c>
      <c r="B62" s="288" t="str">
        <f t="shared" si="0"/>
        <v>Total for Employees State Insurance</v>
      </c>
      <c r="C62" s="287">
        <v>-765</v>
      </c>
      <c r="D62" s="287">
        <v>765</v>
      </c>
      <c r="E62" s="287">
        <v>765</v>
      </c>
      <c r="F62" s="287">
        <v>-765</v>
      </c>
    </row>
    <row r="63" spans="1:7" x14ac:dyDescent="0.35">
      <c r="B63" s="288" t="str">
        <f t="shared" si="0"/>
        <v/>
      </c>
    </row>
    <row r="64" spans="1:7" x14ac:dyDescent="0.35">
      <c r="A64" s="192" t="s">
        <v>1198</v>
      </c>
      <c r="B64" s="288" t="str">
        <f t="shared" si="0"/>
        <v>Expert Joining Bonus Payable</v>
      </c>
      <c r="C64" s="286">
        <v>-125210</v>
      </c>
      <c r="D64" s="286">
        <v>110850</v>
      </c>
      <c r="E64" s="286">
        <v>339780</v>
      </c>
      <c r="F64" s="286">
        <v>-354140</v>
      </c>
      <c r="G64" s="191" t="str">
        <f>VLOOKUP(B64,'TB 0725'!A:A,1,0)</f>
        <v>Expert Joining Bonus Payable</v>
      </c>
    </row>
    <row r="65" spans="1:7" x14ac:dyDescent="0.35">
      <c r="A65" s="192" t="s">
        <v>1222</v>
      </c>
      <c r="B65" s="288" t="str">
        <f t="shared" si="0"/>
        <v>Expert Referral Bonus Payable</v>
      </c>
      <c r="C65" s="286">
        <v>0</v>
      </c>
      <c r="D65" s="286">
        <v>184200</v>
      </c>
      <c r="E65" s="286">
        <v>184200</v>
      </c>
      <c r="F65" s="286">
        <v>0</v>
      </c>
      <c r="G65" s="191" t="str">
        <f>VLOOKUP(B65,'TB 0725'!A:A,1,0)</f>
        <v>Expert Referral Bonus Payable</v>
      </c>
    </row>
    <row r="66" spans="1:7" x14ac:dyDescent="0.35">
      <c r="A66" s="192" t="s">
        <v>1285</v>
      </c>
      <c r="B66" s="288" t="str">
        <f t="shared" si="0"/>
        <v>Expert Retention Bonus Payable</v>
      </c>
      <c r="C66" s="286">
        <v>0</v>
      </c>
      <c r="D66" s="286">
        <v>775330</v>
      </c>
      <c r="E66" s="286">
        <v>775330</v>
      </c>
      <c r="F66" s="286">
        <v>0</v>
      </c>
      <c r="G66" s="191" t="str">
        <f>VLOOKUP(B66,'TB 0725'!A:A,1,0)</f>
        <v>Expert Retention Bonus Payable</v>
      </c>
    </row>
    <row r="67" spans="1:7" x14ac:dyDescent="0.35">
      <c r="A67" s="192" t="s">
        <v>963</v>
      </c>
      <c r="B67" s="288" t="str">
        <f t="shared" si="0"/>
        <v>Expert Service Cost Payable</v>
      </c>
      <c r="C67" s="286">
        <v>-15301266.92</v>
      </c>
      <c r="D67" s="286">
        <v>14981837.109999999</v>
      </c>
      <c r="E67" s="286">
        <v>19276653.539999999</v>
      </c>
      <c r="F67" s="286">
        <v>-19596083.350000001</v>
      </c>
      <c r="G67" s="191" t="str">
        <f>VLOOKUP(B67,'TB 0725'!A:A,1,0)</f>
        <v>Expert Service Cost Payable</v>
      </c>
    </row>
    <row r="68" spans="1:7" x14ac:dyDescent="0.35">
      <c r="A68" s="192" t="s">
        <v>1223</v>
      </c>
      <c r="B68" s="288" t="str">
        <f t="shared" ref="B68:B135" si="1">TRIM(A68)</f>
        <v>Expert Yulu Bonus Payable</v>
      </c>
      <c r="C68" s="286">
        <v>0</v>
      </c>
      <c r="D68" s="286">
        <v>444985.2</v>
      </c>
      <c r="E68" s="286">
        <v>444985.2</v>
      </c>
      <c r="F68" s="286">
        <v>0</v>
      </c>
      <c r="G68" s="191" t="str">
        <f>VLOOKUP(B68,'TB 0725'!A:A,1,0)</f>
        <v>Expert Yulu Bonus Payable</v>
      </c>
    </row>
    <row r="69" spans="1:7" x14ac:dyDescent="0.35">
      <c r="A69" s="192" t="s">
        <v>536</v>
      </c>
      <c r="B69" s="288" t="str">
        <f t="shared" si="1"/>
        <v>GST Payable</v>
      </c>
      <c r="C69" s="286">
        <v>-390645</v>
      </c>
      <c r="D69" s="286">
        <v>0</v>
      </c>
      <c r="E69" s="286">
        <v>0</v>
      </c>
      <c r="F69" s="286">
        <v>-390645</v>
      </c>
      <c r="G69" s="191" t="str">
        <f>VLOOKUP(B69,'TB 0725'!A:A,1,0)</f>
        <v>GST Payable</v>
      </c>
    </row>
    <row r="70" spans="1:7" x14ac:dyDescent="0.35">
      <c r="A70" s="192" t="s">
        <v>537</v>
      </c>
      <c r="B70" s="288" t="str">
        <f t="shared" si="1"/>
        <v>Output CGST</v>
      </c>
      <c r="C70" s="286">
        <v>-72779.3</v>
      </c>
      <c r="D70" s="286">
        <v>366991</v>
      </c>
      <c r="E70" s="286">
        <v>550988.73</v>
      </c>
      <c r="F70" s="286">
        <v>-256777.03</v>
      </c>
      <c r="G70" s="191" t="str">
        <f>VLOOKUP(B70,'TB 0725'!A:A,1,0)</f>
        <v>Output CGST</v>
      </c>
    </row>
    <row r="71" spans="1:7" x14ac:dyDescent="0.35">
      <c r="A71" s="192" t="s">
        <v>538</v>
      </c>
      <c r="B71" s="288" t="str">
        <f t="shared" si="1"/>
        <v>Output IGST</v>
      </c>
      <c r="C71" s="286">
        <v>-324204.21000000002</v>
      </c>
      <c r="D71" s="286">
        <v>365337</v>
      </c>
      <c r="E71" s="286">
        <v>1639078.71</v>
      </c>
      <c r="F71" s="286">
        <v>-1597945.92</v>
      </c>
      <c r="G71" s="191" t="str">
        <f>VLOOKUP(B71,'TB 0725'!A:A,1,0)</f>
        <v>Output IGST</v>
      </c>
    </row>
    <row r="72" spans="1:7" x14ac:dyDescent="0.35">
      <c r="A72" s="192" t="s">
        <v>539</v>
      </c>
      <c r="B72" s="288" t="str">
        <f t="shared" si="1"/>
        <v>Output SGST</v>
      </c>
      <c r="C72" s="286">
        <v>-335255.3</v>
      </c>
      <c r="D72" s="286">
        <v>366993</v>
      </c>
      <c r="E72" s="286">
        <v>550988.73</v>
      </c>
      <c r="F72" s="286">
        <v>-519251.03</v>
      </c>
      <c r="G72" s="191" t="str">
        <f>VLOOKUP(B72,'TB 0725'!A:A,1,0)</f>
        <v>Output SGST</v>
      </c>
    </row>
    <row r="73" spans="1:7" ht="15.5" x14ac:dyDescent="0.35">
      <c r="A73" s="193" t="s">
        <v>540</v>
      </c>
      <c r="B73" s="288" t="str">
        <f t="shared" si="1"/>
        <v>Total for GST Payable</v>
      </c>
      <c r="C73" s="287">
        <v>-1122883.81</v>
      </c>
      <c r="D73" s="287">
        <v>1099321</v>
      </c>
      <c r="E73" s="287">
        <v>2741056.17</v>
      </c>
      <c r="F73" s="287">
        <v>-2764618.98</v>
      </c>
    </row>
    <row r="74" spans="1:7" x14ac:dyDescent="0.35">
      <c r="B74" s="288" t="str">
        <f t="shared" si="1"/>
        <v/>
      </c>
    </row>
    <row r="75" spans="1:7" x14ac:dyDescent="0.35">
      <c r="A75" s="192" t="s">
        <v>1224</v>
      </c>
      <c r="B75" s="288" t="str">
        <f t="shared" si="1"/>
        <v>LWF - Employee</v>
      </c>
      <c r="C75" s="286">
        <v>-2950</v>
      </c>
      <c r="D75" s="286">
        <v>2950</v>
      </c>
      <c r="E75" s="286">
        <v>0</v>
      </c>
      <c r="F75" s="286">
        <v>0</v>
      </c>
      <c r="G75" s="191" t="str">
        <f>VLOOKUP(B75,'TB 0725'!A:A,1,0)</f>
        <v>LWF - Employee</v>
      </c>
    </row>
    <row r="76" spans="1:7" x14ac:dyDescent="0.35">
      <c r="A76" s="192" t="s">
        <v>1225</v>
      </c>
      <c r="B76" s="288" t="str">
        <f t="shared" si="1"/>
        <v>LWF - Employer</v>
      </c>
      <c r="C76" s="286">
        <v>-8850</v>
      </c>
      <c r="D76" s="286">
        <v>8850</v>
      </c>
      <c r="E76" s="286">
        <v>0</v>
      </c>
      <c r="F76" s="286">
        <v>0</v>
      </c>
      <c r="G76" s="191" t="str">
        <f>VLOOKUP(B76,'TB 0725'!A:A,1,0)</f>
        <v>LWF - Employer</v>
      </c>
    </row>
    <row r="77" spans="1:7" x14ac:dyDescent="0.35">
      <c r="A77" s="192" t="s">
        <v>541</v>
      </c>
      <c r="B77" s="288" t="str">
        <f t="shared" si="1"/>
        <v>Professional Tax</v>
      </c>
      <c r="C77" s="286">
        <v>-25575</v>
      </c>
      <c r="D77" s="286">
        <v>25775</v>
      </c>
      <c r="E77" s="286">
        <v>29200</v>
      </c>
      <c r="F77" s="286">
        <v>-29000</v>
      </c>
      <c r="G77" s="191" t="str">
        <f>VLOOKUP(B77,'TB 0725'!A:A,1,0)</f>
        <v>Professional Tax</v>
      </c>
    </row>
    <row r="78" spans="1:7" x14ac:dyDescent="0.35">
      <c r="A78" s="192" t="s">
        <v>542</v>
      </c>
      <c r="B78" s="288" t="str">
        <f t="shared" si="1"/>
        <v>Provident Fund</v>
      </c>
      <c r="C78" s="286">
        <v>0</v>
      </c>
      <c r="D78" s="286">
        <v>0</v>
      </c>
      <c r="E78" s="286">
        <v>0</v>
      </c>
      <c r="F78" s="286">
        <v>0</v>
      </c>
    </row>
    <row r="79" spans="1:7" x14ac:dyDescent="0.35">
      <c r="A79" s="192" t="s">
        <v>543</v>
      </c>
      <c r="B79" s="288" t="str">
        <f t="shared" si="1"/>
        <v>Provident Fund - Employee</v>
      </c>
      <c r="C79" s="286">
        <v>-270363</v>
      </c>
      <c r="D79" s="286">
        <v>270363</v>
      </c>
      <c r="E79" s="286">
        <v>306782</v>
      </c>
      <c r="F79" s="286">
        <v>-306782</v>
      </c>
      <c r="G79" s="191" t="str">
        <f>VLOOKUP(B79,'TB 0725'!A:A,1,0)</f>
        <v>Provident Fund - Employee</v>
      </c>
    </row>
    <row r="80" spans="1:7" x14ac:dyDescent="0.35">
      <c r="A80" s="192" t="s">
        <v>544</v>
      </c>
      <c r="B80" s="288" t="str">
        <f t="shared" si="1"/>
        <v>Provident Fund - Employer</v>
      </c>
      <c r="C80" s="286">
        <v>-270363</v>
      </c>
      <c r="D80" s="286">
        <v>270363</v>
      </c>
      <c r="E80" s="286">
        <v>306782</v>
      </c>
      <c r="F80" s="286">
        <v>-306782</v>
      </c>
      <c r="G80" s="191" t="str">
        <f>VLOOKUP(B80,'TB 0725'!A:A,1,0)</f>
        <v>Provident Fund - Employer</v>
      </c>
    </row>
    <row r="81" spans="1:7" ht="15.5" x14ac:dyDescent="0.35">
      <c r="A81" s="193" t="s">
        <v>545</v>
      </c>
      <c r="B81" s="288" t="str">
        <f t="shared" si="1"/>
        <v>Total for Provident Fund</v>
      </c>
      <c r="C81" s="287">
        <v>-540726</v>
      </c>
      <c r="D81" s="287">
        <v>540726</v>
      </c>
      <c r="E81" s="287">
        <v>613564</v>
      </c>
      <c r="F81" s="287">
        <v>-613564</v>
      </c>
    </row>
    <row r="82" spans="1:7" x14ac:dyDescent="0.35">
      <c r="B82" s="288" t="str">
        <f t="shared" si="1"/>
        <v/>
      </c>
    </row>
    <row r="83" spans="1:7" x14ac:dyDescent="0.35">
      <c r="A83" s="192" t="s">
        <v>546</v>
      </c>
      <c r="B83" s="288" t="str">
        <f t="shared" si="1"/>
        <v>Provision for Audit Fees</v>
      </c>
      <c r="C83" s="286">
        <v>-100000</v>
      </c>
      <c r="D83" s="286">
        <v>0</v>
      </c>
      <c r="E83" s="286">
        <v>0</v>
      </c>
      <c r="F83" s="286">
        <v>-100000</v>
      </c>
      <c r="G83" s="191" t="str">
        <f>VLOOKUP(B83,'TB 0725'!A:A,1,0)</f>
        <v>Provision for Audit Fees</v>
      </c>
    </row>
    <row r="84" spans="1:7" x14ac:dyDescent="0.35">
      <c r="A84" s="192" t="s">
        <v>617</v>
      </c>
      <c r="B84" s="288" t="str">
        <f t="shared" si="1"/>
        <v>Provision for Customer Acquisition Cost</v>
      </c>
      <c r="C84" s="286">
        <v>-134207</v>
      </c>
      <c r="D84" s="286">
        <v>132207</v>
      </c>
      <c r="E84" s="286">
        <v>822889</v>
      </c>
      <c r="F84" s="286">
        <v>-824889</v>
      </c>
      <c r="G84" s="191" t="str">
        <f>VLOOKUP(B84,'TB 0725'!A:A,1,0)</f>
        <v>Provision for Customer Acquisition Cost</v>
      </c>
    </row>
    <row r="85" spans="1:7" x14ac:dyDescent="0.35">
      <c r="A85" s="192" t="s">
        <v>1295</v>
      </c>
      <c r="B85" s="288" t="str">
        <f t="shared" si="1"/>
        <v>Provision for Employee Cost</v>
      </c>
      <c r="C85" s="286">
        <v>0</v>
      </c>
      <c r="D85" s="286">
        <v>0</v>
      </c>
      <c r="E85" s="286">
        <v>35000</v>
      </c>
      <c r="F85" s="286">
        <v>-35000</v>
      </c>
      <c r="G85" s="191" t="str">
        <f>VLOOKUP(B85,'TB 0725'!A:A,1,0)</f>
        <v>Provision for Employee Cost</v>
      </c>
    </row>
    <row r="86" spans="1:7" x14ac:dyDescent="0.35">
      <c r="A86" s="192" t="s">
        <v>1423</v>
      </c>
      <c r="B86" s="288" t="str">
        <f t="shared" si="1"/>
        <v>Provision for Gratuity - LT</v>
      </c>
      <c r="C86" s="286">
        <v>-548984</v>
      </c>
      <c r="D86" s="286">
        <v>0</v>
      </c>
      <c r="E86" s="286">
        <v>0</v>
      </c>
      <c r="F86" s="286">
        <v>-548984</v>
      </c>
      <c r="G86" s="191" t="str">
        <f>VLOOKUP(B86,'TB 0725'!A:A,1,0)</f>
        <v>Provision for Gratuity - LT</v>
      </c>
    </row>
    <row r="87" spans="1:7" x14ac:dyDescent="0.35">
      <c r="A87" s="192" t="s">
        <v>1424</v>
      </c>
      <c r="B87" s="288" t="str">
        <f t="shared" si="1"/>
        <v>Provision for Gratuity - ST</v>
      </c>
      <c r="C87" s="286">
        <v>-1269</v>
      </c>
      <c r="D87" s="286">
        <v>0</v>
      </c>
      <c r="E87" s="286">
        <v>0</v>
      </c>
      <c r="F87" s="286">
        <v>-1269</v>
      </c>
      <c r="G87" s="191" t="str">
        <f>VLOOKUP(B87,'TB 0725'!A:A,1,0)</f>
        <v>Provision for Gratuity - ST</v>
      </c>
    </row>
    <row r="88" spans="1:7" x14ac:dyDescent="0.35">
      <c r="A88" s="192" t="s">
        <v>547</v>
      </c>
      <c r="B88" s="288" t="str">
        <f t="shared" si="1"/>
        <v>Provision for Other Cost</v>
      </c>
      <c r="C88" s="286">
        <v>-5416233.9199999999</v>
      </c>
      <c r="D88" s="286">
        <v>5416233.9199999999</v>
      </c>
      <c r="E88" s="286">
        <v>1145386.92</v>
      </c>
      <c r="F88" s="286">
        <v>-1145386.92</v>
      </c>
      <c r="G88" s="191" t="str">
        <f>VLOOKUP(B88,'TB 0725'!A:A,1,0)</f>
        <v>Provision for Other Cost</v>
      </c>
    </row>
    <row r="89" spans="1:7" x14ac:dyDescent="0.35">
      <c r="A89" s="192" t="s">
        <v>959</v>
      </c>
      <c r="B89" s="288" t="str">
        <f t="shared" si="1"/>
        <v>Provision for Professional Fees</v>
      </c>
      <c r="C89" s="286">
        <v>-70000</v>
      </c>
      <c r="D89" s="286">
        <v>70000</v>
      </c>
      <c r="E89" s="286">
        <v>0</v>
      </c>
      <c r="F89" s="286">
        <v>0</v>
      </c>
      <c r="G89" s="191" t="str">
        <f>VLOOKUP(B89,'TB 0725'!A:A,1,0)</f>
        <v>Provision for Professional Fees</v>
      </c>
    </row>
    <row r="90" spans="1:7" x14ac:dyDescent="0.35">
      <c r="A90" s="192" t="s">
        <v>1226</v>
      </c>
      <c r="B90" s="288" t="str">
        <f t="shared" si="1"/>
        <v>Provision for Rent Expense</v>
      </c>
      <c r="C90" s="286">
        <v>-249600</v>
      </c>
      <c r="D90" s="286">
        <v>86500</v>
      </c>
      <c r="E90" s="286">
        <v>205000</v>
      </c>
      <c r="F90" s="286">
        <v>-368100</v>
      </c>
      <c r="G90" s="191" t="str">
        <f>VLOOKUP(B90,'TB 0725'!A:A,1,0)</f>
        <v>Provision for Rent Expense</v>
      </c>
    </row>
    <row r="91" spans="1:7" x14ac:dyDescent="0.35">
      <c r="A91" s="192" t="s">
        <v>549</v>
      </c>
      <c r="B91" s="288" t="str">
        <f t="shared" si="1"/>
        <v>Provision for Software Expense</v>
      </c>
      <c r="C91" s="286">
        <v>-68530.03</v>
      </c>
      <c r="D91" s="286">
        <v>42055</v>
      </c>
      <c r="E91" s="286">
        <v>84500</v>
      </c>
      <c r="F91" s="286">
        <v>-110975.03</v>
      </c>
      <c r="G91" s="191" t="str">
        <f>VLOOKUP(B91,'TB 0725'!A:A,1,0)</f>
        <v>Provision for Software Expense</v>
      </c>
    </row>
    <row r="92" spans="1:7" x14ac:dyDescent="0.35">
      <c r="A92" s="192" t="s">
        <v>1227</v>
      </c>
      <c r="B92" s="288" t="str">
        <f t="shared" si="1"/>
        <v>Provision for Staff Welfare Expense</v>
      </c>
      <c r="C92" s="286">
        <v>-97352.74</v>
      </c>
      <c r="D92" s="286">
        <v>85696.1</v>
      </c>
      <c r="E92" s="286">
        <v>230110.28</v>
      </c>
      <c r="F92" s="286">
        <v>-241766.92</v>
      </c>
      <c r="G92" s="191" t="str">
        <f>VLOOKUP(B92,'TB 0725'!A:A,1,0)</f>
        <v>Provision for Staff Welfare Expense</v>
      </c>
    </row>
    <row r="93" spans="1:7" x14ac:dyDescent="0.35">
      <c r="A93" s="192" t="s">
        <v>1228</v>
      </c>
      <c r="B93" s="288" t="str">
        <f t="shared" si="1"/>
        <v>Provision for TC Expense</v>
      </c>
      <c r="C93" s="286">
        <v>-20626.669999999998</v>
      </c>
      <c r="D93" s="286">
        <v>0</v>
      </c>
      <c r="E93" s="286">
        <v>102513.02</v>
      </c>
      <c r="F93" s="286">
        <v>-123139.69</v>
      </c>
      <c r="G93" s="191" t="str">
        <f>VLOOKUP(B93,'TB 0725'!A:A,1,0)</f>
        <v>Provision for TC Expense</v>
      </c>
    </row>
    <row r="94" spans="1:7" x14ac:dyDescent="0.35">
      <c r="A94" s="192" t="s">
        <v>550</v>
      </c>
      <c r="B94" s="288" t="str">
        <f t="shared" si="1"/>
        <v>TDS Payable</v>
      </c>
      <c r="C94" s="286">
        <v>-3760632.35</v>
      </c>
      <c r="D94" s="286">
        <v>3883730</v>
      </c>
      <c r="E94" s="286">
        <v>4238967.93</v>
      </c>
      <c r="F94" s="286">
        <v>-4115870.28</v>
      </c>
      <c r="G94" s="191" t="str">
        <f>VLOOKUP(B94,'TB 0725'!A:A,1,0)</f>
        <v>TDS Payable</v>
      </c>
    </row>
    <row r="95" spans="1:7" x14ac:dyDescent="0.35">
      <c r="A95" s="192" t="s">
        <v>551</v>
      </c>
      <c r="B95" s="288" t="str">
        <f t="shared" si="1"/>
        <v>Variable Salary Payable</v>
      </c>
      <c r="C95" s="286">
        <v>-983613</v>
      </c>
      <c r="D95" s="286">
        <v>0</v>
      </c>
      <c r="E95" s="286">
        <v>405625</v>
      </c>
      <c r="F95" s="286">
        <v>-1389238</v>
      </c>
      <c r="G95" s="191" t="str">
        <f>VLOOKUP(B95,'TB 0725'!A:A,1,0)</f>
        <v>Variable Salary Payable</v>
      </c>
    </row>
    <row r="96" spans="1:7" x14ac:dyDescent="0.35">
      <c r="A96" s="192" t="s">
        <v>552</v>
      </c>
      <c r="B96" s="288" t="str">
        <f t="shared" si="1"/>
        <v>Equities</v>
      </c>
      <c r="C96" s="191" t="s">
        <v>85</v>
      </c>
      <c r="D96" s="191" t="s">
        <v>85</v>
      </c>
      <c r="E96" s="191" t="s">
        <v>85</v>
      </c>
      <c r="F96" s="191" t="s">
        <v>85</v>
      </c>
    </row>
    <row r="97" spans="1:7" x14ac:dyDescent="0.35">
      <c r="A97" s="192" t="s">
        <v>553</v>
      </c>
      <c r="B97" s="288" t="str">
        <f t="shared" si="1"/>
        <v>Current Year Earnings</v>
      </c>
      <c r="C97" s="286">
        <v>97323327.859999999</v>
      </c>
      <c r="D97" s="286">
        <v>0</v>
      </c>
      <c r="E97" s="286">
        <v>0</v>
      </c>
      <c r="F97" s="286">
        <v>97323327.859999999</v>
      </c>
      <c r="G97" s="191" t="str">
        <f>VLOOKUP(B97,'TB 0725'!A:A,1,0)</f>
        <v>Current Year Earnings</v>
      </c>
    </row>
    <row r="98" spans="1:7" x14ac:dyDescent="0.35">
      <c r="A98" s="192" t="s">
        <v>1426</v>
      </c>
      <c r="B98" s="288" t="str">
        <f t="shared" si="1"/>
        <v>ESOP Outstanding Reserve</v>
      </c>
      <c r="C98" s="286">
        <v>-1245691</v>
      </c>
      <c r="D98" s="286">
        <v>0</v>
      </c>
      <c r="E98" s="286">
        <v>0</v>
      </c>
      <c r="F98" s="286">
        <v>-1245691</v>
      </c>
      <c r="G98" s="191" t="str">
        <f>VLOOKUP(B98,'TB 0725'!A:A,1,0)</f>
        <v>ESOP Outstanding Reserve</v>
      </c>
    </row>
    <row r="99" spans="1:7" x14ac:dyDescent="0.35">
      <c r="A99" s="192" t="s">
        <v>554</v>
      </c>
      <c r="B99" s="288" t="str">
        <f t="shared" si="1"/>
        <v>Owner's Equity</v>
      </c>
      <c r="C99" s="286">
        <v>-100000</v>
      </c>
      <c r="D99" s="286">
        <v>0</v>
      </c>
      <c r="E99" s="286">
        <v>0</v>
      </c>
      <c r="F99" s="286">
        <v>-100000</v>
      </c>
      <c r="G99" s="191" t="str">
        <f>VLOOKUP(B99,'TB 0725'!A:A,1,0)</f>
        <v>Owner's Equity</v>
      </c>
    </row>
    <row r="100" spans="1:7" x14ac:dyDescent="0.35">
      <c r="A100" s="192" t="s">
        <v>683</v>
      </c>
      <c r="B100" s="288" t="str">
        <f t="shared" si="1"/>
        <v>Elevation Capital III Limited ESC</v>
      </c>
      <c r="C100" s="286">
        <v>-10</v>
      </c>
      <c r="D100" s="286">
        <v>0</v>
      </c>
      <c r="E100" s="286">
        <v>0</v>
      </c>
      <c r="F100" s="286">
        <v>-10</v>
      </c>
      <c r="G100" s="191" t="str">
        <f>VLOOKUP(B100,'TB 0725'!A:A,1,0)</f>
        <v>Elevation Capital III Limited ESC</v>
      </c>
    </row>
    <row r="101" spans="1:7" x14ac:dyDescent="0.35">
      <c r="A101" s="192" t="s">
        <v>684</v>
      </c>
      <c r="B101" s="288" t="str">
        <f t="shared" si="1"/>
        <v>Elevation Capital III Limited PSC</v>
      </c>
      <c r="C101" s="286">
        <v>-5463300</v>
      </c>
      <c r="D101" s="286">
        <v>0</v>
      </c>
      <c r="E101" s="286">
        <v>0</v>
      </c>
      <c r="F101" s="286">
        <v>-5463300</v>
      </c>
      <c r="G101" s="191" t="str">
        <f>VLOOKUP(B101,'TB 0725'!A:A,1,0)</f>
        <v>Elevation Capital III Limited PSC</v>
      </c>
    </row>
    <row r="102" spans="1:7" x14ac:dyDescent="0.35">
      <c r="A102" s="192" t="s">
        <v>685</v>
      </c>
      <c r="B102" s="288" t="str">
        <f t="shared" si="1"/>
        <v>Gaurav Munjal</v>
      </c>
      <c r="C102" s="286">
        <v>-10800</v>
      </c>
      <c r="D102" s="286">
        <v>0</v>
      </c>
      <c r="E102" s="286">
        <v>0</v>
      </c>
      <c r="F102" s="286">
        <v>-10800</v>
      </c>
      <c r="G102" s="191" t="str">
        <f>VLOOKUP(B102,'TB 0725'!A:A,1,0)</f>
        <v>Gaurav Munjal</v>
      </c>
    </row>
    <row r="103" spans="1:7" x14ac:dyDescent="0.35">
      <c r="A103" s="192" t="s">
        <v>1229</v>
      </c>
      <c r="B103" s="288" t="str">
        <f t="shared" si="1"/>
        <v>Lightspeed India Partners IV LLC</v>
      </c>
      <c r="C103" s="286">
        <v>-3772700</v>
      </c>
      <c r="D103" s="286">
        <v>0</v>
      </c>
      <c r="E103" s="286">
        <v>0</v>
      </c>
      <c r="F103" s="286">
        <v>-3772700</v>
      </c>
      <c r="G103" s="191" t="str">
        <f>VLOOKUP(B103,'TB 0725'!A:A,1,0)</f>
        <v>Lightspeed India Partners IV LLC</v>
      </c>
    </row>
    <row r="104" spans="1:7" x14ac:dyDescent="0.35">
      <c r="A104" s="192" t="s">
        <v>555</v>
      </c>
      <c r="B104" s="288" t="str">
        <f t="shared" si="1"/>
        <v>Nexus Ventures VII Holdings LLC ESC</v>
      </c>
      <c r="C104" s="286">
        <v>-10</v>
      </c>
      <c r="D104" s="286">
        <v>0</v>
      </c>
      <c r="E104" s="286">
        <v>0</v>
      </c>
      <c r="F104" s="286">
        <v>-10</v>
      </c>
      <c r="G104" s="191" t="str">
        <f>VLOOKUP(B104,'TB 0725'!A:A,1,0)</f>
        <v>Nexus Ventures VII Holdings LLC ESC</v>
      </c>
    </row>
    <row r="105" spans="1:7" x14ac:dyDescent="0.35">
      <c r="A105" s="192" t="s">
        <v>556</v>
      </c>
      <c r="B105" s="288" t="str">
        <f t="shared" si="1"/>
        <v>Nexus Ventures VII Holdings LLC PSC</v>
      </c>
      <c r="C105" s="286">
        <v>-6497900</v>
      </c>
      <c r="D105" s="286">
        <v>0</v>
      </c>
      <c r="E105" s="286">
        <v>0</v>
      </c>
      <c r="F105" s="286">
        <v>-6497900</v>
      </c>
      <c r="G105" s="191" t="str">
        <f>VLOOKUP(B105,'TB 0725'!A:A,1,0)</f>
        <v>Nexus Ventures VII Holdings LLC PSC</v>
      </c>
    </row>
    <row r="106" spans="1:7" x14ac:dyDescent="0.35">
      <c r="A106" s="192" t="s">
        <v>686</v>
      </c>
      <c r="B106" s="288" t="str">
        <f t="shared" si="1"/>
        <v>Niraj Singh</v>
      </c>
      <c r="C106" s="286">
        <v>-16200</v>
      </c>
      <c r="D106" s="286">
        <v>0</v>
      </c>
      <c r="E106" s="286">
        <v>0</v>
      </c>
      <c r="F106" s="286">
        <v>-16200</v>
      </c>
      <c r="G106" s="191" t="str">
        <f>VLOOKUP(B106,'TB 0725'!A:A,1,0)</f>
        <v>Niraj Singh</v>
      </c>
    </row>
    <row r="107" spans="1:7" x14ac:dyDescent="0.35">
      <c r="A107" s="192" t="s">
        <v>687</v>
      </c>
      <c r="B107" s="288" t="str">
        <f t="shared" si="1"/>
        <v>Pranav Goenka</v>
      </c>
      <c r="C107" s="286">
        <v>-5400</v>
      </c>
      <c r="D107" s="286">
        <v>0</v>
      </c>
      <c r="E107" s="286">
        <v>0</v>
      </c>
      <c r="F107" s="286">
        <v>-5400</v>
      </c>
      <c r="G107" s="191" t="str">
        <f>VLOOKUP(B107,'TB 0725'!A:A,1,0)</f>
        <v>Pranav Goenka</v>
      </c>
    </row>
    <row r="108" spans="1:7" x14ac:dyDescent="0.35">
      <c r="A108" s="192" t="s">
        <v>688</v>
      </c>
      <c r="B108" s="288" t="str">
        <f t="shared" si="1"/>
        <v>Sanjeev Kumar</v>
      </c>
      <c r="C108" s="286">
        <v>-37800</v>
      </c>
      <c r="D108" s="286">
        <v>0</v>
      </c>
      <c r="E108" s="286">
        <v>0</v>
      </c>
      <c r="F108" s="286">
        <v>-37800</v>
      </c>
      <c r="G108" s="191" t="str">
        <f>VLOOKUP(B108,'TB 0725'!A:A,1,0)</f>
        <v>Sanjeev Kumar</v>
      </c>
    </row>
    <row r="109" spans="1:7" x14ac:dyDescent="0.35">
      <c r="A109" s="192" t="s">
        <v>557</v>
      </c>
      <c r="B109" s="288" t="str">
        <f t="shared" si="1"/>
        <v>Securities Premium</v>
      </c>
      <c r="C109" s="286">
        <v>-2162702583.21</v>
      </c>
      <c r="D109" s="286">
        <v>0</v>
      </c>
      <c r="E109" s="286">
        <v>0</v>
      </c>
      <c r="F109" s="286">
        <v>-2162702583.21</v>
      </c>
      <c r="G109" s="191" t="str">
        <f>VLOOKUP(B109,'TB 0725'!A:A,1,0)</f>
        <v>Securities Premium</v>
      </c>
    </row>
    <row r="110" spans="1:7" x14ac:dyDescent="0.35">
      <c r="A110" s="192" t="s">
        <v>689</v>
      </c>
      <c r="B110" s="288" t="str">
        <f t="shared" si="1"/>
        <v>Shantam Jain</v>
      </c>
      <c r="C110" s="286">
        <v>-5400</v>
      </c>
      <c r="D110" s="286">
        <v>0</v>
      </c>
      <c r="E110" s="286">
        <v>0</v>
      </c>
      <c r="F110" s="286">
        <v>-5400</v>
      </c>
      <c r="G110" s="191" t="str">
        <f>VLOOKUP(B110,'TB 0725'!A:A,1,0)</f>
        <v>Shantam Jain</v>
      </c>
    </row>
    <row r="111" spans="1:7" x14ac:dyDescent="0.35">
      <c r="A111" s="192" t="s">
        <v>690</v>
      </c>
      <c r="B111" s="288" t="str">
        <f t="shared" si="1"/>
        <v>Siddhartha Kochar</v>
      </c>
      <c r="C111" s="286">
        <v>-5400</v>
      </c>
      <c r="D111" s="286">
        <v>0</v>
      </c>
      <c r="E111" s="286">
        <v>0</v>
      </c>
      <c r="F111" s="286">
        <v>-5400</v>
      </c>
      <c r="G111" s="191" t="str">
        <f>VLOOKUP(B111,'TB 0725'!A:A,1,0)</f>
        <v>Siddhartha Kochar</v>
      </c>
    </row>
    <row r="112" spans="1:7" x14ac:dyDescent="0.35">
      <c r="A112" s="192" t="s">
        <v>691</v>
      </c>
      <c r="B112" s="288" t="str">
        <f t="shared" si="1"/>
        <v>Unnat SK Bajoria</v>
      </c>
      <c r="C112" s="286">
        <v>-5400</v>
      </c>
      <c r="D112" s="286">
        <v>0</v>
      </c>
      <c r="E112" s="286">
        <v>0</v>
      </c>
      <c r="F112" s="286">
        <v>-5400</v>
      </c>
      <c r="G112" s="191" t="str">
        <f>VLOOKUP(B112,'TB 0725'!A:A,1,0)</f>
        <v>Unnat SK Bajoria</v>
      </c>
    </row>
    <row r="113" spans="1:7" x14ac:dyDescent="0.35">
      <c r="A113" s="192" t="s">
        <v>692</v>
      </c>
      <c r="B113" s="288" t="str">
        <f t="shared" si="1"/>
        <v>Vidit Aatrey</v>
      </c>
      <c r="C113" s="286">
        <v>-37800</v>
      </c>
      <c r="D113" s="286">
        <v>0</v>
      </c>
      <c r="E113" s="286">
        <v>0</v>
      </c>
      <c r="F113" s="286">
        <v>-37800</v>
      </c>
      <c r="G113" s="191" t="str">
        <f>VLOOKUP(B113,'TB 0725'!A:A,1,0)</f>
        <v>Vidit Aatrey</v>
      </c>
    </row>
    <row r="114" spans="1:7" ht="15.5" x14ac:dyDescent="0.35">
      <c r="A114" s="193" t="s">
        <v>558</v>
      </c>
      <c r="B114" s="288" t="str">
        <f t="shared" si="1"/>
        <v>Total for Owner's Equity</v>
      </c>
      <c r="C114" s="287">
        <v>-2178660703.21</v>
      </c>
      <c r="D114" s="287">
        <v>0</v>
      </c>
      <c r="E114" s="287">
        <v>0</v>
      </c>
      <c r="F114" s="287">
        <v>-2178660703.21</v>
      </c>
    </row>
    <row r="115" spans="1:7" x14ac:dyDescent="0.35">
      <c r="B115" s="288" t="str">
        <f t="shared" si="1"/>
        <v/>
      </c>
    </row>
    <row r="116" spans="1:7" x14ac:dyDescent="0.35">
      <c r="A116" s="192" t="s">
        <v>559</v>
      </c>
      <c r="B116" s="288" t="str">
        <f t="shared" si="1"/>
        <v>Retained Earnings</v>
      </c>
      <c r="C116" s="286">
        <v>58903866.530000001</v>
      </c>
      <c r="D116" s="286">
        <v>0</v>
      </c>
      <c r="E116" s="286">
        <v>0</v>
      </c>
      <c r="F116" s="286">
        <v>58903866.530000001</v>
      </c>
      <c r="G116" s="191" t="str">
        <f>VLOOKUP(B116,'TB 0725'!A:A,1,0)</f>
        <v>Retained Earnings</v>
      </c>
    </row>
    <row r="117" spans="1:7" x14ac:dyDescent="0.35">
      <c r="A117" s="192" t="s">
        <v>467</v>
      </c>
      <c r="B117" s="288" t="str">
        <f t="shared" si="1"/>
        <v>Income</v>
      </c>
      <c r="C117" s="191" t="s">
        <v>85</v>
      </c>
      <c r="D117" s="191" t="s">
        <v>85</v>
      </c>
      <c r="E117" s="191" t="s">
        <v>85</v>
      </c>
      <c r="F117" s="191" t="s">
        <v>85</v>
      </c>
    </row>
    <row r="118" spans="1:7" x14ac:dyDescent="0.35">
      <c r="A118" s="192" t="s">
        <v>468</v>
      </c>
      <c r="B118" s="288" t="str">
        <f t="shared" si="1"/>
        <v>Convenience and Platform Fee</v>
      </c>
      <c r="C118" s="191">
        <v>0</v>
      </c>
      <c r="D118" s="191">
        <v>0</v>
      </c>
      <c r="E118" s="191">
        <v>2745573.62</v>
      </c>
      <c r="F118" s="191">
        <v>-2745573.62</v>
      </c>
      <c r="G118" s="191" t="str">
        <f>VLOOKUP(B118,'TB 0725'!A:A,1,0)</f>
        <v>Convenience and Platform Fee</v>
      </c>
    </row>
    <row r="119" spans="1:7" x14ac:dyDescent="0.35">
      <c r="A119" s="192" t="s">
        <v>469</v>
      </c>
      <c r="B119" s="288" t="str">
        <f t="shared" si="1"/>
        <v>Discount</v>
      </c>
      <c r="C119" s="191">
        <v>0</v>
      </c>
      <c r="D119" s="191">
        <v>7313555.0499999998</v>
      </c>
      <c r="E119" s="191">
        <v>0</v>
      </c>
      <c r="F119" s="191">
        <v>7313555.0499999998</v>
      </c>
      <c r="G119" s="191" t="str">
        <f>VLOOKUP(B119,'TB 0725'!A:A,1,0)</f>
        <v>Discount</v>
      </c>
    </row>
    <row r="120" spans="1:7" x14ac:dyDescent="0.35">
      <c r="A120" s="192" t="s">
        <v>470</v>
      </c>
      <c r="B120" s="288" t="str">
        <f t="shared" si="1"/>
        <v>FD Interest Income</v>
      </c>
      <c r="C120" s="286">
        <v>0</v>
      </c>
      <c r="D120" s="286">
        <v>18630269</v>
      </c>
      <c r="E120" s="286">
        <v>28647020</v>
      </c>
      <c r="F120" s="286">
        <v>-10016751</v>
      </c>
      <c r="G120" s="191" t="str">
        <f>VLOOKUP(B120,'TB 0725'!A:A,1,0)</f>
        <v>FD Interest Income</v>
      </c>
    </row>
    <row r="121" spans="1:7" x14ac:dyDescent="0.35">
      <c r="A121" s="192" t="s">
        <v>1412</v>
      </c>
      <c r="B121" s="288" t="str">
        <f t="shared" si="1"/>
        <v>Forfeiture Income</v>
      </c>
      <c r="C121" s="296">
        <v>0</v>
      </c>
      <c r="D121" s="296">
        <v>0</v>
      </c>
      <c r="E121" s="296">
        <v>436615.67999999999</v>
      </c>
      <c r="F121" s="296">
        <v>-436615.67999999999</v>
      </c>
      <c r="G121" s="191" t="str">
        <f>VLOOKUP(B121,'TB 0725'!A:A,1,0)</f>
        <v>Forfeiture Income</v>
      </c>
    </row>
    <row r="122" spans="1:7" x14ac:dyDescent="0.35">
      <c r="A122" s="192" t="s">
        <v>471</v>
      </c>
      <c r="B122" s="288" t="str">
        <f t="shared" si="1"/>
        <v>Maestro Revenue</v>
      </c>
      <c r="C122" s="296">
        <v>0</v>
      </c>
      <c r="D122" s="296">
        <v>0</v>
      </c>
      <c r="E122" s="296">
        <v>10755023.220000001</v>
      </c>
      <c r="F122" s="296">
        <v>-10755023.220000001</v>
      </c>
      <c r="G122" s="191" t="str">
        <f>VLOOKUP(B122,'TB 0725'!A:A,1,0)</f>
        <v>Maestro Revenue</v>
      </c>
    </row>
    <row r="123" spans="1:7" x14ac:dyDescent="0.35">
      <c r="A123" s="192" t="s">
        <v>1330</v>
      </c>
      <c r="B123" s="288" t="str">
        <f t="shared" si="1"/>
        <v>Offer Pack Income</v>
      </c>
      <c r="C123" s="296">
        <v>0</v>
      </c>
      <c r="D123" s="296">
        <v>1521941.9</v>
      </c>
      <c r="E123" s="296">
        <v>1521941.9</v>
      </c>
      <c r="F123" s="296">
        <v>0</v>
      </c>
      <c r="G123" s="191" t="str">
        <f>VLOOKUP(B123,'TB 0725'!A:A,1,0)</f>
        <v>Offer Pack Income</v>
      </c>
    </row>
    <row r="124" spans="1:7" x14ac:dyDescent="0.35">
      <c r="A124" s="192" t="s">
        <v>472</v>
      </c>
      <c r="B124" s="288" t="str">
        <f t="shared" si="1"/>
        <v>Expense</v>
      </c>
      <c r="C124" s="191" t="s">
        <v>85</v>
      </c>
      <c r="D124" s="191" t="s">
        <v>85</v>
      </c>
      <c r="E124" s="191" t="s">
        <v>85</v>
      </c>
      <c r="F124" s="191" t="s">
        <v>85</v>
      </c>
    </row>
    <row r="125" spans="1:7" x14ac:dyDescent="0.35">
      <c r="A125" s="192" t="s">
        <v>473</v>
      </c>
      <c r="B125" s="288" t="str">
        <f t="shared" si="1"/>
        <v>Accounting Services</v>
      </c>
      <c r="C125" s="286">
        <v>0</v>
      </c>
      <c r="D125" s="286">
        <v>140000</v>
      </c>
      <c r="E125" s="286">
        <v>0</v>
      </c>
      <c r="F125" s="286">
        <v>140000</v>
      </c>
      <c r="G125" s="191" t="str">
        <f>VLOOKUP(B125,'TB 0725'!A:A,1,0)</f>
        <v>Accounting Services</v>
      </c>
    </row>
    <row r="126" spans="1:7" x14ac:dyDescent="0.35">
      <c r="A126" s="192" t="s">
        <v>474</v>
      </c>
      <c r="B126" s="288" t="str">
        <f t="shared" si="1"/>
        <v>Bank Fees and Charges</v>
      </c>
      <c r="C126" s="286">
        <v>0</v>
      </c>
      <c r="D126" s="286">
        <v>5480.15</v>
      </c>
      <c r="E126" s="286">
        <v>0</v>
      </c>
      <c r="F126" s="286">
        <v>5480.15</v>
      </c>
      <c r="G126" s="191" t="str">
        <f>VLOOKUP(B126,'TB 0725'!A:A,1,0)</f>
        <v>Bank Fees and Charges</v>
      </c>
    </row>
    <row r="127" spans="1:7" x14ac:dyDescent="0.35">
      <c r="A127" s="192" t="s">
        <v>475</v>
      </c>
      <c r="B127" s="288" t="str">
        <f t="shared" si="1"/>
        <v>Branding Expense</v>
      </c>
      <c r="C127" s="286">
        <v>0</v>
      </c>
      <c r="D127" s="286">
        <v>4461048.99</v>
      </c>
      <c r="E127" s="286">
        <v>0</v>
      </c>
      <c r="F127" s="286">
        <v>4461048.99</v>
      </c>
      <c r="G127" s="191" t="str">
        <f>VLOOKUP(B127,'TB 0725'!A:A,1,0)</f>
        <v>Branding Expense</v>
      </c>
    </row>
    <row r="128" spans="1:7" x14ac:dyDescent="0.35">
      <c r="A128" s="192" t="s">
        <v>726</v>
      </c>
      <c r="B128" s="288" t="str">
        <f t="shared" si="1"/>
        <v>Brokerage Charges</v>
      </c>
      <c r="C128" s="286">
        <v>0</v>
      </c>
      <c r="D128" s="286">
        <v>85000</v>
      </c>
      <c r="E128" s="286">
        <v>0</v>
      </c>
      <c r="F128" s="286">
        <v>85000</v>
      </c>
      <c r="G128" s="191" t="str">
        <f>VLOOKUP(B128,'TB 0725'!A:A,1,0)</f>
        <v>Brokerage Charges</v>
      </c>
    </row>
    <row r="129" spans="1:7" x14ac:dyDescent="0.35">
      <c r="A129" s="192" t="s">
        <v>476</v>
      </c>
      <c r="B129" s="288" t="str">
        <f t="shared" si="1"/>
        <v>Customer Acquisition Cost</v>
      </c>
      <c r="C129" s="286">
        <v>0</v>
      </c>
      <c r="D129" s="286">
        <v>7557785.9699999997</v>
      </c>
      <c r="E129" s="286">
        <v>422377.1</v>
      </c>
      <c r="F129" s="286">
        <v>7135408.8700000001</v>
      </c>
      <c r="G129" s="191" t="str">
        <f>VLOOKUP(B129,'TB 0725'!A:A,1,0)</f>
        <v>Customer Acquisition Cost</v>
      </c>
    </row>
    <row r="130" spans="1:7" x14ac:dyDescent="0.35">
      <c r="A130" s="192" t="s">
        <v>636</v>
      </c>
      <c r="B130" s="288" t="str">
        <f t="shared" si="1"/>
        <v>Customer Success Cost</v>
      </c>
      <c r="C130" s="286">
        <v>0</v>
      </c>
      <c r="D130" s="286">
        <v>1160261.1399999999</v>
      </c>
      <c r="E130" s="286">
        <v>599093.37</v>
      </c>
      <c r="F130" s="286">
        <v>561167.77</v>
      </c>
      <c r="G130" s="191" t="str">
        <f>VLOOKUP(B130,'TB 0725'!A:A,1,0)</f>
        <v>Customer Success Cost</v>
      </c>
    </row>
    <row r="131" spans="1:7" x14ac:dyDescent="0.35">
      <c r="A131" s="192" t="s">
        <v>477</v>
      </c>
      <c r="B131" s="288" t="str">
        <f t="shared" si="1"/>
        <v>Depreciation and Amortization</v>
      </c>
      <c r="C131" s="286">
        <v>0</v>
      </c>
      <c r="D131" s="286">
        <v>338102.46</v>
      </c>
      <c r="E131" s="286">
        <v>0</v>
      </c>
      <c r="F131" s="286">
        <v>338102.46</v>
      </c>
      <c r="G131" s="191" t="str">
        <f>VLOOKUP(B131,'TB 0725'!A:A,1,0)</f>
        <v>Depreciation and Amortization</v>
      </c>
    </row>
    <row r="132" spans="1:7" x14ac:dyDescent="0.35">
      <c r="A132" s="192" t="s">
        <v>478</v>
      </c>
      <c r="B132" s="288" t="str">
        <f t="shared" si="1"/>
        <v>Employee Benefit Expense</v>
      </c>
      <c r="C132" s="286">
        <v>0</v>
      </c>
      <c r="D132" s="286">
        <v>0</v>
      </c>
      <c r="E132" s="286">
        <v>0</v>
      </c>
      <c r="F132" s="286">
        <v>0</v>
      </c>
    </row>
    <row r="133" spans="1:7" x14ac:dyDescent="0.35">
      <c r="A133" s="192" t="s">
        <v>767</v>
      </c>
      <c r="B133" s="288" t="str">
        <f t="shared" si="1"/>
        <v>Employer ESI Expense</v>
      </c>
      <c r="C133" s="286">
        <v>0</v>
      </c>
      <c r="D133" s="286">
        <v>621</v>
      </c>
      <c r="E133" s="286">
        <v>0</v>
      </c>
      <c r="F133" s="286">
        <v>621</v>
      </c>
      <c r="G133" s="191" t="str">
        <f>VLOOKUP(B133,'TB 0725'!A:A,1,0)</f>
        <v>Employer ESI Expense</v>
      </c>
    </row>
    <row r="134" spans="1:7" x14ac:dyDescent="0.35">
      <c r="A134" s="192" t="s">
        <v>479</v>
      </c>
      <c r="B134" s="288" t="str">
        <f t="shared" si="1"/>
        <v>Employer PF Expense</v>
      </c>
      <c r="C134" s="286">
        <v>0</v>
      </c>
      <c r="D134" s="286">
        <v>306782</v>
      </c>
      <c r="E134" s="286">
        <v>0</v>
      </c>
      <c r="F134" s="286">
        <v>306782</v>
      </c>
      <c r="G134" s="191" t="str">
        <f>VLOOKUP(B134,'TB 0725'!A:A,1,0)</f>
        <v>Employer PF Expense</v>
      </c>
    </row>
    <row r="135" spans="1:7" x14ac:dyDescent="0.35">
      <c r="A135" s="192" t="s">
        <v>1286</v>
      </c>
      <c r="B135" s="288" t="str">
        <f t="shared" si="1"/>
        <v>Learning &amp; Development Cost</v>
      </c>
      <c r="C135" s="286">
        <v>0</v>
      </c>
      <c r="D135" s="286">
        <v>50000</v>
      </c>
      <c r="E135" s="286">
        <v>0</v>
      </c>
      <c r="F135" s="286">
        <v>50000</v>
      </c>
      <c r="G135" s="191" t="str">
        <f>VLOOKUP(B135,'TB 0725'!A:A,1,0)</f>
        <v>Learning &amp; Development Cost</v>
      </c>
    </row>
    <row r="136" spans="1:7" x14ac:dyDescent="0.35">
      <c r="A136" s="192" t="s">
        <v>480</v>
      </c>
      <c r="B136" s="288" t="str">
        <f t="shared" ref="B136:B169" si="2">TRIM(A136)</f>
        <v>PF Admin Expense</v>
      </c>
      <c r="C136" s="286">
        <v>0</v>
      </c>
      <c r="D136" s="286">
        <v>30414.44</v>
      </c>
      <c r="E136" s="286">
        <v>0</v>
      </c>
      <c r="F136" s="286">
        <v>30414.44</v>
      </c>
      <c r="G136" s="191" t="str">
        <f>VLOOKUP(B136,'TB 0725'!A:A,1,0)</f>
        <v>PF Admin Expense</v>
      </c>
    </row>
    <row r="137" spans="1:7" x14ac:dyDescent="0.35">
      <c r="A137" s="192" t="s">
        <v>481</v>
      </c>
      <c r="B137" s="288" t="str">
        <f t="shared" si="2"/>
        <v>Staff Welfare Expense</v>
      </c>
      <c r="C137" s="286">
        <v>0</v>
      </c>
      <c r="D137" s="286">
        <v>1259881.1399999999</v>
      </c>
      <c r="E137" s="286">
        <v>258532.1</v>
      </c>
      <c r="F137" s="286">
        <v>1001349.04</v>
      </c>
      <c r="G137" s="191" t="str">
        <f>VLOOKUP(B137,'TB 0725'!A:A,1,0)</f>
        <v>Staff Welfare Expense</v>
      </c>
    </row>
    <row r="138" spans="1:7" x14ac:dyDescent="0.35">
      <c r="A138" s="192" t="s">
        <v>482</v>
      </c>
      <c r="B138" s="288" t="str">
        <f t="shared" si="2"/>
        <v>Variable Salary</v>
      </c>
      <c r="C138" s="286">
        <v>0</v>
      </c>
      <c r="D138" s="286">
        <v>405625</v>
      </c>
      <c r="E138" s="286">
        <v>0</v>
      </c>
      <c r="F138" s="286">
        <v>405625</v>
      </c>
      <c r="G138" s="191" t="str">
        <f>VLOOKUP(B138,'TB 0725'!A:A,1,0)</f>
        <v>Variable Salary</v>
      </c>
    </row>
    <row r="139" spans="1:7" ht="15.5" x14ac:dyDescent="0.35">
      <c r="A139" s="193" t="s">
        <v>483</v>
      </c>
      <c r="B139" s="288" t="str">
        <f t="shared" si="2"/>
        <v>Total for Employee Benefit Expense</v>
      </c>
      <c r="C139" s="287">
        <v>0</v>
      </c>
      <c r="D139" s="287">
        <v>2053323.58</v>
      </c>
      <c r="E139" s="287">
        <v>258532.1</v>
      </c>
      <c r="F139" s="287">
        <v>1794791.48</v>
      </c>
    </row>
    <row r="140" spans="1:7" x14ac:dyDescent="0.35">
      <c r="B140" s="288" t="str">
        <f t="shared" si="2"/>
        <v/>
      </c>
    </row>
    <row r="141" spans="1:7" x14ac:dyDescent="0.35">
      <c r="A141" s="192" t="s">
        <v>965</v>
      </c>
      <c r="B141" s="288" t="str">
        <f t="shared" si="2"/>
        <v>Employee Cost</v>
      </c>
      <c r="C141" s="286">
        <v>0</v>
      </c>
      <c r="D141" s="286">
        <v>23832.77</v>
      </c>
      <c r="E141" s="286">
        <v>65547.399999999994</v>
      </c>
      <c r="F141" s="286">
        <v>-41714.629999999997</v>
      </c>
      <c r="G141" s="191" t="str">
        <f>VLOOKUP(B141,'TB 0725'!A:A,1,0)</f>
        <v>Employee Cost</v>
      </c>
    </row>
    <row r="142" spans="1:7" x14ac:dyDescent="0.35">
      <c r="A142" s="192" t="s">
        <v>758</v>
      </c>
      <c r="B142" s="288" t="str">
        <f t="shared" si="2"/>
        <v>Expert Retention Bonus</v>
      </c>
      <c r="C142" s="286">
        <v>0</v>
      </c>
      <c r="D142" s="286">
        <v>787000</v>
      </c>
      <c r="E142" s="286">
        <v>0</v>
      </c>
      <c r="F142" s="286">
        <v>787000</v>
      </c>
      <c r="G142" s="191" t="str">
        <f>VLOOKUP(B142,'TB 0725'!A:A,1,0)</f>
        <v>Expert Retention Bonus</v>
      </c>
    </row>
    <row r="143" spans="1:7" x14ac:dyDescent="0.35">
      <c r="A143" s="192" t="s">
        <v>768</v>
      </c>
      <c r="B143" s="288" t="str">
        <f t="shared" si="2"/>
        <v>Expert Welfare Cost</v>
      </c>
      <c r="C143" s="286">
        <v>0</v>
      </c>
      <c r="D143" s="286">
        <v>93989.42</v>
      </c>
      <c r="E143" s="286">
        <v>0</v>
      </c>
      <c r="F143" s="286">
        <v>93989.42</v>
      </c>
      <c r="G143" s="191" t="str">
        <f>VLOOKUP(B143,'TB 0725'!A:A,1,0)</f>
        <v>Expert Welfare Cost</v>
      </c>
    </row>
    <row r="144" spans="1:7" x14ac:dyDescent="0.35">
      <c r="A144" s="192" t="s">
        <v>1232</v>
      </c>
      <c r="B144" s="288" t="str">
        <f t="shared" si="2"/>
        <v>Foreign Exchange Gain or Loss</v>
      </c>
      <c r="C144" s="286">
        <v>0</v>
      </c>
      <c r="D144" s="286">
        <v>2741.19</v>
      </c>
      <c r="E144" s="286">
        <v>0</v>
      </c>
      <c r="F144" s="286">
        <v>2741.19</v>
      </c>
      <c r="G144" s="191" t="str">
        <f>VLOOKUP(B144,'TB 0725'!A:A,1,0)</f>
        <v>Foreign Exchange Gain or Loss</v>
      </c>
    </row>
    <row r="145" spans="1:7" x14ac:dyDescent="0.35">
      <c r="A145" s="192" t="s">
        <v>484</v>
      </c>
      <c r="B145" s="288" t="str">
        <f t="shared" si="2"/>
        <v>Fund Raising Expense</v>
      </c>
      <c r="C145" s="286">
        <v>0</v>
      </c>
      <c r="D145" s="286">
        <v>430150</v>
      </c>
      <c r="E145" s="286">
        <v>0</v>
      </c>
      <c r="F145" s="286">
        <v>430150</v>
      </c>
      <c r="G145" s="191" t="str">
        <f>VLOOKUP(B145,'TB 0725'!A:A,1,0)</f>
        <v>Fund Raising Expense</v>
      </c>
    </row>
    <row r="146" spans="1:7" x14ac:dyDescent="0.35">
      <c r="A146" s="192" t="s">
        <v>855</v>
      </c>
      <c r="B146" s="288" t="str">
        <f t="shared" si="2"/>
        <v>Hood Rent Expense</v>
      </c>
      <c r="C146" s="286">
        <v>0</v>
      </c>
      <c r="D146" s="286">
        <v>776650</v>
      </c>
      <c r="E146" s="286">
        <v>0</v>
      </c>
      <c r="F146" s="286">
        <v>776650</v>
      </c>
      <c r="G146" s="191" t="str">
        <f>VLOOKUP(B146,'TB 0725'!A:A,1,0)</f>
        <v>Hood Rent Expense</v>
      </c>
    </row>
    <row r="147" spans="1:7" x14ac:dyDescent="0.35">
      <c r="A147" s="192" t="s">
        <v>769</v>
      </c>
      <c r="B147" s="288" t="str">
        <f t="shared" si="2"/>
        <v>Hotspot Rent Expense</v>
      </c>
      <c r="C147" s="286">
        <v>0</v>
      </c>
      <c r="D147" s="286">
        <v>15000</v>
      </c>
      <c r="E147" s="286">
        <v>0</v>
      </c>
      <c r="F147" s="286">
        <v>15000</v>
      </c>
      <c r="G147" s="191" t="str">
        <f>VLOOKUP(B147,'TB 0725'!A:A,1,0)</f>
        <v>Hotspot Rent Expense</v>
      </c>
    </row>
    <row r="148" spans="1:7" x14ac:dyDescent="0.35">
      <c r="A148" s="192" t="s">
        <v>1435</v>
      </c>
      <c r="B148" s="288" t="str">
        <f t="shared" si="2"/>
        <v>Inter-Branch Purchase Account</v>
      </c>
      <c r="C148" s="286">
        <v>0</v>
      </c>
      <c r="D148" s="286">
        <v>8130934</v>
      </c>
      <c r="E148" s="286">
        <v>8130934</v>
      </c>
      <c r="F148" s="286">
        <v>0</v>
      </c>
    </row>
    <row r="149" spans="1:7" x14ac:dyDescent="0.35">
      <c r="A149" s="192" t="s">
        <v>637</v>
      </c>
      <c r="B149" s="288" t="str">
        <f t="shared" si="2"/>
        <v>Managerial Cost</v>
      </c>
      <c r="C149" s="286">
        <v>0</v>
      </c>
      <c r="D149" s="286">
        <v>2943799.55</v>
      </c>
      <c r="E149" s="286">
        <v>1124776.32</v>
      </c>
      <c r="F149" s="286">
        <v>1819023.23</v>
      </c>
      <c r="G149" s="191" t="str">
        <f>VLOOKUP(B149,'TB 0725'!A:A,1,0)</f>
        <v>Managerial Cost</v>
      </c>
    </row>
    <row r="150" spans="1:7" x14ac:dyDescent="0.35">
      <c r="A150" s="192" t="s">
        <v>618</v>
      </c>
      <c r="B150" s="288" t="str">
        <f t="shared" si="2"/>
        <v>New User Discount</v>
      </c>
      <c r="C150" s="286">
        <v>0</v>
      </c>
      <c r="D150" s="286">
        <v>434212</v>
      </c>
      <c r="E150" s="286">
        <v>1971553.9</v>
      </c>
      <c r="F150" s="286">
        <v>-1537341.9</v>
      </c>
      <c r="G150" s="191" t="str">
        <f>VLOOKUP(B150,'TB 0725'!A:A,1,0)</f>
        <v>New User Discount</v>
      </c>
    </row>
    <row r="151" spans="1:7" x14ac:dyDescent="0.35">
      <c r="A151" s="192" t="s">
        <v>486</v>
      </c>
      <c r="B151" s="288" t="str">
        <f t="shared" si="2"/>
        <v>Office and Admin Expense</v>
      </c>
      <c r="C151" s="286">
        <v>0</v>
      </c>
      <c r="D151" s="286">
        <v>154151.1</v>
      </c>
      <c r="E151" s="286">
        <v>2121.8000000000002</v>
      </c>
      <c r="F151" s="286">
        <v>152029.29999999999</v>
      </c>
      <c r="G151" s="191" t="str">
        <f>VLOOKUP(B151,'TB 0725'!A:A,1,0)</f>
        <v>Office and Admin Expense</v>
      </c>
    </row>
    <row r="152" spans="1:7" x14ac:dyDescent="0.35">
      <c r="A152" s="192" t="s">
        <v>487</v>
      </c>
      <c r="B152" s="288" t="str">
        <f t="shared" si="2"/>
        <v>Office Rent Expense</v>
      </c>
      <c r="C152" s="286">
        <v>0</v>
      </c>
      <c r="D152" s="286">
        <v>1159682</v>
      </c>
      <c r="E152" s="286">
        <v>0</v>
      </c>
      <c r="F152" s="286">
        <v>1159682</v>
      </c>
      <c r="G152" s="191" t="str">
        <f>VLOOKUP(B152,'TB 0725'!A:A,1,0)</f>
        <v>Office Rent Expense</v>
      </c>
    </row>
    <row r="153" spans="1:7" x14ac:dyDescent="0.35">
      <c r="A153" s="192" t="s">
        <v>966</v>
      </c>
      <c r="B153" s="288" t="str">
        <f t="shared" si="2"/>
        <v>Office Supplies</v>
      </c>
      <c r="C153" s="286">
        <v>0</v>
      </c>
      <c r="D153" s="286">
        <v>8384</v>
      </c>
      <c r="E153" s="286">
        <v>0</v>
      </c>
      <c r="F153" s="286">
        <v>8384</v>
      </c>
      <c r="G153" s="191" t="str">
        <f>VLOOKUP(B153,'TB 0725'!A:A,1,0)</f>
        <v>Office Supplies</v>
      </c>
    </row>
    <row r="154" spans="1:7" x14ac:dyDescent="0.35">
      <c r="A154" s="192" t="s">
        <v>956</v>
      </c>
      <c r="B154" s="288" t="str">
        <f t="shared" si="2"/>
        <v>Operational Expense</v>
      </c>
      <c r="C154" s="286">
        <v>0</v>
      </c>
      <c r="D154" s="286">
        <v>2174221.2799999998</v>
      </c>
      <c r="E154" s="286">
        <v>600444</v>
      </c>
      <c r="F154" s="286">
        <v>1573777.28</v>
      </c>
      <c r="G154" s="191" t="str">
        <f>VLOOKUP(B154,'TB 0725'!A:A,1,0)</f>
        <v>Operational Expense</v>
      </c>
    </row>
    <row r="155" spans="1:7" x14ac:dyDescent="0.35">
      <c r="A155" s="192" t="s">
        <v>488</v>
      </c>
      <c r="B155" s="288" t="str">
        <f t="shared" si="2"/>
        <v>Other Cost</v>
      </c>
      <c r="C155" s="286">
        <v>0</v>
      </c>
      <c r="D155" s="286">
        <v>134183</v>
      </c>
      <c r="E155" s="286">
        <v>0</v>
      </c>
      <c r="F155" s="286">
        <v>134183</v>
      </c>
      <c r="G155" s="191" t="str">
        <f>VLOOKUP(B155,'TB 0725'!A:A,1,0)</f>
        <v>Other Cost</v>
      </c>
    </row>
    <row r="156" spans="1:7" x14ac:dyDescent="0.35">
      <c r="A156" s="192" t="s">
        <v>489</v>
      </c>
      <c r="B156" s="288" t="str">
        <f t="shared" si="2"/>
        <v>Other Expenses</v>
      </c>
      <c r="C156" s="286">
        <v>0</v>
      </c>
      <c r="D156" s="286">
        <v>3003.58</v>
      </c>
      <c r="E156" s="286">
        <v>1.43</v>
      </c>
      <c r="F156" s="286">
        <v>3002.15</v>
      </c>
      <c r="G156" s="191" t="str">
        <f>VLOOKUP(B156,'TB 0725'!A:A,1,0)</f>
        <v>Other Expenses</v>
      </c>
    </row>
    <row r="157" spans="1:7" x14ac:dyDescent="0.35">
      <c r="A157" s="192" t="s">
        <v>560</v>
      </c>
      <c r="B157" s="288" t="str">
        <f t="shared" si="2"/>
        <v>Payment Gateway Cost</v>
      </c>
      <c r="C157" s="286">
        <v>0</v>
      </c>
      <c r="D157" s="286">
        <v>46527.1</v>
      </c>
      <c r="E157" s="286">
        <v>0</v>
      </c>
      <c r="F157" s="286">
        <v>46527.1</v>
      </c>
      <c r="G157" s="191" t="str">
        <f>VLOOKUP(B157,'TB 0725'!A:A,1,0)</f>
        <v>Payment Gateway Cost</v>
      </c>
    </row>
    <row r="158" spans="1:7" x14ac:dyDescent="0.35">
      <c r="A158" s="192" t="s">
        <v>490</v>
      </c>
      <c r="B158" s="288" t="str">
        <f t="shared" si="2"/>
        <v>Professional Fees</v>
      </c>
      <c r="C158" s="286">
        <v>0</v>
      </c>
      <c r="D158" s="286">
        <v>680950</v>
      </c>
      <c r="E158" s="286">
        <v>70000</v>
      </c>
      <c r="F158" s="286">
        <v>610950</v>
      </c>
      <c r="G158" s="191" t="str">
        <f>VLOOKUP(B158,'TB 0725'!A:A,1,0)</f>
        <v>Professional Fees</v>
      </c>
    </row>
    <row r="159" spans="1:7" x14ac:dyDescent="0.35">
      <c r="A159" s="192" t="s">
        <v>491</v>
      </c>
      <c r="B159" s="288" t="str">
        <f t="shared" si="2"/>
        <v>Rates and Taxes</v>
      </c>
      <c r="C159" s="286">
        <v>0</v>
      </c>
      <c r="D159" s="286">
        <v>18400</v>
      </c>
      <c r="E159" s="286">
        <v>0</v>
      </c>
      <c r="F159" s="286">
        <v>18400</v>
      </c>
      <c r="G159" s="191" t="str">
        <f>VLOOKUP(B159,'TB 0725'!A:A,1,0)</f>
        <v>Rates and Taxes</v>
      </c>
    </row>
    <row r="160" spans="1:7" x14ac:dyDescent="0.35">
      <c r="A160" s="192" t="s">
        <v>638</v>
      </c>
      <c r="B160" s="288" t="str">
        <f t="shared" si="2"/>
        <v>Recruitment Charges</v>
      </c>
      <c r="C160" s="286">
        <v>0</v>
      </c>
      <c r="D160" s="286">
        <v>1035200</v>
      </c>
      <c r="E160" s="286">
        <v>0</v>
      </c>
      <c r="F160" s="286">
        <v>1035200</v>
      </c>
      <c r="G160" s="191" t="str">
        <f>VLOOKUP(B160,'TB 0725'!A:A,1,0)</f>
        <v>Recruitment Charges</v>
      </c>
    </row>
    <row r="161" spans="1:7" x14ac:dyDescent="0.35">
      <c r="A161" s="192" t="s">
        <v>492</v>
      </c>
      <c r="B161" s="288" t="str">
        <f t="shared" si="2"/>
        <v>Salaries and Employee Wages</v>
      </c>
      <c r="C161" s="286">
        <v>0</v>
      </c>
      <c r="D161" s="286">
        <v>22222069.940000001</v>
      </c>
      <c r="E161" s="286">
        <v>0</v>
      </c>
      <c r="F161" s="286">
        <v>22222069.940000001</v>
      </c>
      <c r="G161" s="191" t="str">
        <f>VLOOKUP(B161,'TB 0725'!A:A,1,0)</f>
        <v>Salaries and Employee Wages</v>
      </c>
    </row>
    <row r="162" spans="1:7" x14ac:dyDescent="0.35">
      <c r="A162" s="192" t="s">
        <v>615</v>
      </c>
      <c r="B162" s="288" t="str">
        <f t="shared" si="2"/>
        <v>Service Cost</v>
      </c>
      <c r="C162" s="286">
        <v>0</v>
      </c>
      <c r="D162" s="286">
        <v>19916591.91</v>
      </c>
      <c r="E162" s="286">
        <v>0</v>
      </c>
      <c r="F162" s="286">
        <v>19916591.91</v>
      </c>
      <c r="G162" s="191" t="str">
        <f>VLOOKUP(B162,'TB 0725'!A:A,1,0)</f>
        <v>Service Cost</v>
      </c>
    </row>
    <row r="163" spans="1:7" x14ac:dyDescent="0.35">
      <c r="A163" s="192" t="s">
        <v>493</v>
      </c>
      <c r="B163" s="288" t="str">
        <f t="shared" si="2"/>
        <v>Software Expense</v>
      </c>
      <c r="C163" s="286">
        <v>0</v>
      </c>
      <c r="D163" s="286">
        <v>2148114.02</v>
      </c>
      <c r="E163" s="286">
        <v>298922.33</v>
      </c>
      <c r="F163" s="286">
        <v>1849191.69</v>
      </c>
      <c r="G163" s="191" t="str">
        <f>VLOOKUP(B163,'TB 0725'!A:A,1,0)</f>
        <v>Software Expense</v>
      </c>
    </row>
    <row r="164" spans="1:7" x14ac:dyDescent="0.35">
      <c r="A164" s="192" t="s">
        <v>494</v>
      </c>
      <c r="B164" s="288" t="str">
        <f t="shared" si="2"/>
        <v>Sourcing and Onboarding Expense</v>
      </c>
      <c r="C164" s="286">
        <v>0</v>
      </c>
      <c r="D164" s="286">
        <v>7651819.4299999997</v>
      </c>
      <c r="E164" s="286">
        <v>3672065.12</v>
      </c>
      <c r="F164" s="286">
        <v>3979754.31</v>
      </c>
      <c r="G164" s="191" t="str">
        <f>VLOOKUP(B164,'TB 0725'!A:A,1,0)</f>
        <v>Sourcing and Onboarding Expense</v>
      </c>
    </row>
    <row r="165" spans="1:7" x14ac:dyDescent="0.35">
      <c r="A165" s="192" t="s">
        <v>1233</v>
      </c>
      <c r="B165" s="288" t="str">
        <f t="shared" si="2"/>
        <v>Tax Paid Expense</v>
      </c>
      <c r="C165" s="286">
        <v>0</v>
      </c>
      <c r="D165" s="286">
        <v>14803.06</v>
      </c>
      <c r="E165" s="286">
        <v>0</v>
      </c>
      <c r="F165" s="286">
        <v>14803.06</v>
      </c>
      <c r="G165" s="191" t="str">
        <f>VLOOKUP(B165,'TB 0725'!A:A,1,0)</f>
        <v>Tax Paid Expense</v>
      </c>
    </row>
    <row r="166" spans="1:7" x14ac:dyDescent="0.35">
      <c r="A166" s="192" t="s">
        <v>495</v>
      </c>
      <c r="B166" s="288" t="str">
        <f t="shared" si="2"/>
        <v>Training Centre Expense</v>
      </c>
      <c r="C166" s="286">
        <v>0</v>
      </c>
      <c r="D166" s="286">
        <v>1212239.1299999999</v>
      </c>
      <c r="E166" s="286">
        <v>380358.68</v>
      </c>
      <c r="F166" s="286">
        <v>831880.45</v>
      </c>
      <c r="G166" s="191" t="str">
        <f>VLOOKUP(B166,'TB 0725'!A:A,1,0)</f>
        <v>Training Centre Expense</v>
      </c>
    </row>
    <row r="167" spans="1:7" x14ac:dyDescent="0.35">
      <c r="A167" s="192" t="s">
        <v>496</v>
      </c>
      <c r="B167" s="288" t="str">
        <f t="shared" si="2"/>
        <v>Training Centre Rent Expense</v>
      </c>
      <c r="C167" s="286">
        <v>0</v>
      </c>
      <c r="D167" s="286">
        <v>684786.02</v>
      </c>
      <c r="E167" s="286">
        <v>0</v>
      </c>
      <c r="F167" s="286">
        <v>684786.02</v>
      </c>
      <c r="G167" s="191" t="str">
        <f>VLOOKUP(B167,'TB 0725'!A:A,1,0)</f>
        <v>Training Centre Rent Expense</v>
      </c>
    </row>
    <row r="168" spans="1:7" x14ac:dyDescent="0.35">
      <c r="A168" s="192" t="s">
        <v>858</v>
      </c>
      <c r="B168" s="288" t="str">
        <f t="shared" si="2"/>
        <v>Travel Expense</v>
      </c>
      <c r="C168" s="286">
        <v>0</v>
      </c>
      <c r="D168" s="286">
        <v>31499.87</v>
      </c>
      <c r="E168" s="286">
        <v>0</v>
      </c>
      <c r="F168" s="286">
        <v>31499.87</v>
      </c>
      <c r="G168" s="191" t="str">
        <f>VLOOKUP(B168,'TB 0725'!A:A,1,0)</f>
        <v>Travel Expense</v>
      </c>
    </row>
    <row r="169" spans="1:7" ht="15.5" x14ac:dyDescent="0.35">
      <c r="A169" s="193" t="s">
        <v>639</v>
      </c>
      <c r="B169" s="288" t="str">
        <f t="shared" si="2"/>
        <v>Total for Trial Balance</v>
      </c>
      <c r="C169" s="287"/>
      <c r="D169" s="287">
        <v>1035730570.62</v>
      </c>
      <c r="E169" s="287">
        <v>1035730570.62</v>
      </c>
      <c r="F169" s="287"/>
    </row>
    <row r="170" spans="1:7" x14ac:dyDescent="0.35">
      <c r="A170" s="194" t="s">
        <v>85</v>
      </c>
      <c r="B170" s="19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F1B9-4192-4ADC-86CC-C9E099B319FB}">
  <dimension ref="A1:L149"/>
  <sheetViews>
    <sheetView workbookViewId="0">
      <pane ySplit="2" topLeftCell="A3" activePane="bottomLeft" state="frozen"/>
      <selection activeCell="F117" sqref="F117"/>
      <selection pane="bottomLeft"/>
    </sheetView>
  </sheetViews>
  <sheetFormatPr defaultColWidth="8.90625" defaultRowHeight="14.5" x14ac:dyDescent="0.35"/>
  <cols>
    <col min="1" max="1" width="44.81640625" style="23" bestFit="1" customWidth="1"/>
    <col min="2" max="2" width="15.81640625" style="23" customWidth="1"/>
    <col min="3" max="4" width="16.36328125" style="23" bestFit="1" customWidth="1"/>
    <col min="5" max="6" width="15.81640625" style="23" customWidth="1"/>
    <col min="7" max="7" width="8.90625" style="22"/>
    <col min="8" max="8" width="43.81640625" style="23" bestFit="1" customWidth="1"/>
    <col min="9" max="9" width="8.90625" style="23"/>
    <col min="10" max="10" width="21.453125" style="23" bestFit="1" customWidth="1"/>
    <col min="11" max="11" width="13.90625" style="24" bestFit="1" customWidth="1"/>
    <col min="12" max="12" width="11.36328125" style="23" bestFit="1" customWidth="1"/>
    <col min="13" max="16384" width="8.90625" style="23"/>
  </cols>
  <sheetData>
    <row r="1" spans="1:12" s="24" customFormat="1" x14ac:dyDescent="0.35">
      <c r="B1" s="24">
        <f>SUBTOTAL(9,B3:B149)</f>
        <v>-1.993030309677124E-7</v>
      </c>
      <c r="C1" s="24">
        <f>SUBTOTAL(9,C3:C149)</f>
        <v>1027599636.62</v>
      </c>
      <c r="D1" s="24">
        <f>SUBTOTAL(9,D3:D149)</f>
        <v>1027599636.6199998</v>
      </c>
      <c r="E1" s="24">
        <f>SUBTOTAL(9,E3:E149)</f>
        <v>-2.123415470123291E-7</v>
      </c>
      <c r="F1" s="24">
        <f>SUBTOTAL(9,F3:F149)</f>
        <v>2.0918378140777349E-10</v>
      </c>
    </row>
    <row r="2" spans="1:12" s="109" customFormat="1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  <c r="J2" s="109" t="s">
        <v>159</v>
      </c>
      <c r="K2" s="109" t="s">
        <v>186</v>
      </c>
      <c r="L2" s="109" t="s">
        <v>648</v>
      </c>
    </row>
    <row r="3" spans="1:12" x14ac:dyDescent="0.35">
      <c r="A3" s="23" t="s">
        <v>561</v>
      </c>
      <c r="B3" s="24">
        <f>SUMIF('Raw July'!G:G,'TB 0725'!A3,'Raw July'!C:C)</f>
        <v>556182.80000000005</v>
      </c>
      <c r="C3" s="24">
        <f>SUMIF('Raw July'!G:G,'TB 0725'!A3,'Raw July'!D:D)</f>
        <v>19647383.449999999</v>
      </c>
      <c r="D3" s="24">
        <f>SUMIF('Raw July'!G:G,'TB 0725'!A3,'Raw July'!E:E)</f>
        <v>20021696.879999999</v>
      </c>
      <c r="E3" s="24">
        <f>B3+C3-D3</f>
        <v>181869.37000000104</v>
      </c>
      <c r="F3" s="24">
        <f>E3/10^3</f>
        <v>181.86937000000106</v>
      </c>
      <c r="G3" s="22" t="s">
        <v>181</v>
      </c>
      <c r="H3" s="23" t="s">
        <v>77</v>
      </c>
      <c r="J3" s="23" t="s">
        <v>192</v>
      </c>
      <c r="K3" s="24">
        <f>18333575+661480+208295.32+65547.4</f>
        <v>19268897.719999999</v>
      </c>
      <c r="L3" s="206">
        <f>K3/10^3</f>
        <v>19268.897719999997</v>
      </c>
    </row>
    <row r="4" spans="1:12" x14ac:dyDescent="0.35">
      <c r="A4" s="23" t="s">
        <v>288</v>
      </c>
      <c r="B4" s="24">
        <f>SUMIF('Raw July'!G:G,'TB 0725'!A4,'Raw July'!C:C)</f>
        <v>18630269</v>
      </c>
      <c r="C4" s="24">
        <f>SUMIF('Raw July'!G:G,'TB 0725'!A4,'Raw July'!D:D)</f>
        <v>17067995</v>
      </c>
      <c r="D4" s="24">
        <f>SUMIF('Raw July'!G:G,'TB 0725'!A4,'Raw July'!E:E)</f>
        <v>18630269</v>
      </c>
      <c r="E4" s="24">
        <f t="shared" ref="E4:E67" si="0">B4+C4-D4</f>
        <v>17067995</v>
      </c>
      <c r="F4" s="24">
        <f t="shared" ref="F4:F67" si="1">E4/10^3</f>
        <v>17067.994999999999</v>
      </c>
      <c r="G4" s="22" t="s">
        <v>181</v>
      </c>
      <c r="H4" s="23" t="s">
        <v>79</v>
      </c>
      <c r="J4" s="23" t="s">
        <v>1235</v>
      </c>
      <c r="K4" s="24">
        <v>1052912</v>
      </c>
      <c r="L4" s="206">
        <f t="shared" ref="L4:L9" si="2">K4/10^3</f>
        <v>1052.912</v>
      </c>
    </row>
    <row r="5" spans="1:12" x14ac:dyDescent="0.35">
      <c r="A5" s="23" t="s">
        <v>289</v>
      </c>
      <c r="B5" s="24">
        <f>SUMIF('Raw July'!G:G,'TB 0725'!A5,'Raw July'!C:C)</f>
        <v>0</v>
      </c>
      <c r="C5" s="24">
        <f>SUMIF('Raw July'!G:G,'TB 0725'!A5,'Raw July'!D:D)</f>
        <v>0</v>
      </c>
      <c r="D5" s="24">
        <f>SUMIF('Raw July'!G:G,'TB 0725'!A5,'Raw July'!E:E)</f>
        <v>0</v>
      </c>
      <c r="E5" s="24">
        <f t="shared" si="0"/>
        <v>0</v>
      </c>
      <c r="F5" s="24">
        <f t="shared" si="1"/>
        <v>0</v>
      </c>
      <c r="G5" s="22" t="s">
        <v>181</v>
      </c>
      <c r="H5" s="23" t="s">
        <v>72</v>
      </c>
      <c r="J5" s="23" t="s">
        <v>31</v>
      </c>
      <c r="K5" s="24">
        <v>613510</v>
      </c>
      <c r="L5" s="206">
        <f t="shared" si="2"/>
        <v>613.51</v>
      </c>
    </row>
    <row r="6" spans="1:12" x14ac:dyDescent="0.35">
      <c r="A6" s="23" t="s">
        <v>562</v>
      </c>
      <c r="B6" s="24">
        <f>SUMIF('Raw July'!G:G,'TB 0725'!A6,'Raw July'!C:C)</f>
        <v>-683962.31</v>
      </c>
      <c r="C6" s="24">
        <f>SUMIF('Raw July'!G:G,'TB 0725'!A6,'Raw July'!D:D)</f>
        <v>0</v>
      </c>
      <c r="D6" s="24">
        <f>SUMIF('Raw July'!G:G,'TB 0725'!A6,'Raw July'!E:E)</f>
        <v>209124.91</v>
      </c>
      <c r="E6" s="24">
        <f t="shared" si="0"/>
        <v>-893087.22000000009</v>
      </c>
      <c r="F6" s="24">
        <f t="shared" si="1"/>
        <v>-893.08722000000012</v>
      </c>
      <c r="G6" s="22" t="s">
        <v>181</v>
      </c>
      <c r="H6" s="23" t="s">
        <v>71</v>
      </c>
      <c r="J6" s="23" t="s">
        <v>1290</v>
      </c>
      <c r="K6" s="24">
        <v>735296</v>
      </c>
      <c r="L6" s="206">
        <f t="shared" si="2"/>
        <v>735.29600000000005</v>
      </c>
    </row>
    <row r="7" spans="1:12" x14ac:dyDescent="0.35">
      <c r="A7" s="23" t="s">
        <v>772</v>
      </c>
      <c r="B7" s="24">
        <f>SUMIF('Raw July'!G:G,'TB 0725'!A7,'Raw July'!C:C)</f>
        <v>-41911.769999999997</v>
      </c>
      <c r="C7" s="24">
        <f>SUMIF('Raw July'!G:G,'TB 0725'!A7,'Raw July'!D:D)</f>
        <v>0</v>
      </c>
      <c r="D7" s="24">
        <f>SUMIF('Raw July'!G:G,'TB 0725'!A7,'Raw July'!E:E)</f>
        <v>11370.3</v>
      </c>
      <c r="E7" s="24">
        <f t="shared" si="0"/>
        <v>-53282.069999999992</v>
      </c>
      <c r="F7" s="24">
        <f t="shared" si="1"/>
        <v>-53.28206999999999</v>
      </c>
      <c r="G7" s="22" t="s">
        <v>181</v>
      </c>
      <c r="H7" s="23" t="s">
        <v>71</v>
      </c>
      <c r="J7" s="23" t="s">
        <v>34</v>
      </c>
      <c r="K7" s="24">
        <v>91833</v>
      </c>
      <c r="L7" s="206">
        <f t="shared" si="2"/>
        <v>91.832999999999998</v>
      </c>
    </row>
    <row r="8" spans="1:12" x14ac:dyDescent="0.35">
      <c r="A8" s="23" t="s">
        <v>198</v>
      </c>
      <c r="B8" s="24">
        <f>SUMIF('Raw July'!G:G,'TB 0725'!A8,'Raw July'!C:C)</f>
        <v>-43438.18</v>
      </c>
      <c r="C8" s="24">
        <f>SUMIF('Raw July'!G:G,'TB 0725'!A8,'Raw July'!D:D)</f>
        <v>0</v>
      </c>
      <c r="D8" s="24">
        <f>SUMIF('Raw July'!G:G,'TB 0725'!A8,'Raw July'!E:E)</f>
        <v>14007.98</v>
      </c>
      <c r="E8" s="24">
        <f t="shared" si="0"/>
        <v>-57446.16</v>
      </c>
      <c r="F8" s="24">
        <f t="shared" si="1"/>
        <v>-57.446160000000006</v>
      </c>
      <c r="G8" s="22" t="s">
        <v>181</v>
      </c>
      <c r="H8" s="23" t="s">
        <v>71</v>
      </c>
      <c r="J8" s="23" t="s">
        <v>1291</v>
      </c>
      <c r="K8" s="24">
        <v>484677.42</v>
      </c>
      <c r="L8" s="206">
        <f t="shared" si="2"/>
        <v>484.67741999999998</v>
      </c>
    </row>
    <row r="9" spans="1:12" x14ac:dyDescent="0.35">
      <c r="A9" s="23" t="s">
        <v>967</v>
      </c>
      <c r="B9" s="24">
        <f>SUMIF('Raw July'!G:G,'TB 0725'!A9,'Raw July'!C:C)</f>
        <v>3296307.82</v>
      </c>
      <c r="C9" s="24">
        <f>SUMIF('Raw July'!G:G,'TB 0725'!A9,'Raw July'!D:D)</f>
        <v>1615828.46</v>
      </c>
      <c r="D9" s="24">
        <f>SUMIF('Raw July'!G:G,'TB 0725'!A9,'Raw July'!E:E)</f>
        <v>17444.46</v>
      </c>
      <c r="E9" s="24">
        <f t="shared" si="0"/>
        <v>4894691.8199999994</v>
      </c>
      <c r="F9" s="24">
        <f t="shared" si="1"/>
        <v>4894.6918199999991</v>
      </c>
      <c r="G9" s="22" t="s">
        <v>181</v>
      </c>
      <c r="H9" s="23" t="s">
        <v>79</v>
      </c>
      <c r="J9" s="23" t="s">
        <v>1292</v>
      </c>
      <c r="K9" s="24">
        <v>281725.8</v>
      </c>
      <c r="L9" s="206">
        <f t="shared" si="2"/>
        <v>281.72579999999999</v>
      </c>
    </row>
    <row r="10" spans="1:12" x14ac:dyDescent="0.35">
      <c r="A10" s="23" t="s">
        <v>365</v>
      </c>
      <c r="B10" s="24">
        <f>SUMIF('Raw July'!G:G,'TB 0725'!A10,'Raw July'!C:C)</f>
        <v>305.98</v>
      </c>
      <c r="C10" s="24">
        <f>SUMIF('Raw July'!G:G,'TB 0725'!A10,'Raw July'!D:D)</f>
        <v>0</v>
      </c>
      <c r="D10" s="24">
        <f>SUMIF('Raw July'!G:G,'TB 0725'!A10,'Raw July'!E:E)</f>
        <v>0</v>
      </c>
      <c r="E10" s="24">
        <f t="shared" si="0"/>
        <v>305.98</v>
      </c>
      <c r="F10" s="24">
        <f t="shared" si="1"/>
        <v>0.30598000000000003</v>
      </c>
      <c r="G10" s="22" t="s">
        <v>181</v>
      </c>
      <c r="H10" s="23" t="s">
        <v>79</v>
      </c>
      <c r="K10" s="210">
        <f>SUM(K3:K9)</f>
        <v>22528851.940000001</v>
      </c>
      <c r="L10" s="210">
        <f>SUM(L3:L9)</f>
        <v>22528.851939999993</v>
      </c>
    </row>
    <row r="11" spans="1:12" x14ac:dyDescent="0.35">
      <c r="A11" s="23" t="s">
        <v>563</v>
      </c>
      <c r="B11" s="24">
        <f>SUMIF('Raw July'!G:G,'TB 0725'!A11,'Raw July'!C:C)</f>
        <v>12282.34</v>
      </c>
      <c r="C11" s="24">
        <f>SUMIF('Raw July'!G:G,'TB 0725'!A11,'Raw July'!D:D)</f>
        <v>0</v>
      </c>
      <c r="D11" s="24">
        <f>SUMIF('Raw July'!G:G,'TB 0725'!A11,'Raw July'!E:E)</f>
        <v>118</v>
      </c>
      <c r="E11" s="24">
        <f t="shared" si="0"/>
        <v>12164.34</v>
      </c>
      <c r="F11" s="24">
        <f t="shared" si="1"/>
        <v>12.164339999999999</v>
      </c>
      <c r="G11" s="22" t="s">
        <v>181</v>
      </c>
      <c r="H11" s="23" t="s">
        <v>78</v>
      </c>
      <c r="K11" s="24">
        <f>K10-E121-E99</f>
        <v>0</v>
      </c>
    </row>
    <row r="12" spans="1:12" x14ac:dyDescent="0.35">
      <c r="A12" s="23" t="s">
        <v>564</v>
      </c>
      <c r="B12" s="24">
        <f>SUMIF('Raw July'!G:G,'TB 0725'!A12,'Raw July'!C:C)</f>
        <v>7010849.0300000003</v>
      </c>
      <c r="C12" s="24">
        <f>SUMIF('Raw July'!G:G,'TB 0725'!A12,'Raw July'!D:D)</f>
        <v>1524588</v>
      </c>
      <c r="D12" s="24">
        <f>SUMIF('Raw July'!G:G,'TB 0725'!A12,'Raw July'!E:E)</f>
        <v>0</v>
      </c>
      <c r="E12" s="24">
        <f t="shared" si="0"/>
        <v>8535437.0300000012</v>
      </c>
      <c r="F12" s="24">
        <f t="shared" si="1"/>
        <v>8535.437030000001</v>
      </c>
      <c r="G12" s="22" t="s">
        <v>181</v>
      </c>
      <c r="H12" s="23" t="s">
        <v>71</v>
      </c>
      <c r="I12" s="23" t="s">
        <v>1397</v>
      </c>
    </row>
    <row r="13" spans="1:12" x14ac:dyDescent="0.35">
      <c r="A13" s="23" t="s">
        <v>693</v>
      </c>
      <c r="B13" s="24">
        <f>SUMIF('Raw July'!G:G,'TB 0725'!A13,'Raw July'!C:C)</f>
        <v>704611.34</v>
      </c>
      <c r="C13" s="24">
        <f>SUMIF('Raw July'!G:G,'TB 0725'!A13,'Raw July'!D:D)</f>
        <v>0</v>
      </c>
      <c r="D13" s="24">
        <f>SUMIF('Raw July'!G:G,'TB 0725'!A13,'Raw July'!E:E)</f>
        <v>0</v>
      </c>
      <c r="E13" s="24">
        <f t="shared" si="0"/>
        <v>704611.34</v>
      </c>
      <c r="F13" s="24">
        <f t="shared" si="1"/>
        <v>704.61133999999993</v>
      </c>
      <c r="G13" s="22" t="s">
        <v>181</v>
      </c>
      <c r="H13" s="23" t="s">
        <v>71</v>
      </c>
      <c r="I13" s="23" t="s">
        <v>1397</v>
      </c>
    </row>
    <row r="14" spans="1:12" x14ac:dyDescent="0.35">
      <c r="A14" s="23" t="s">
        <v>714</v>
      </c>
      <c r="B14" s="24">
        <f>SUMIF('Raw July'!G:G,'TB 0725'!A14,'Raw July'!C:C)</f>
        <v>72359.7</v>
      </c>
      <c r="C14" s="24">
        <f>SUMIF('Raw July'!G:G,'TB 0725'!A14,'Raw July'!D:D)</f>
        <v>0</v>
      </c>
      <c r="D14" s="24">
        <f>SUMIF('Raw July'!G:G,'TB 0725'!A14,'Raw July'!E:E)</f>
        <v>0</v>
      </c>
      <c r="E14" s="24">
        <f t="shared" si="0"/>
        <v>72359.7</v>
      </c>
      <c r="F14" s="24">
        <f t="shared" si="1"/>
        <v>72.359700000000004</v>
      </c>
      <c r="G14" s="22" t="s">
        <v>181</v>
      </c>
      <c r="H14" s="23" t="s">
        <v>78</v>
      </c>
    </row>
    <row r="15" spans="1:12" x14ac:dyDescent="0.35">
      <c r="A15" s="23" t="s">
        <v>715</v>
      </c>
      <c r="B15" s="24">
        <f>SUMIF('Raw July'!G:G,'TB 0725'!A15,'Raw July'!C:C)</f>
        <v>91984.3</v>
      </c>
      <c r="C15" s="24">
        <f>SUMIF('Raw July'!G:G,'TB 0725'!A15,'Raw July'!D:D)</f>
        <v>3016111.25</v>
      </c>
      <c r="D15" s="24">
        <f>SUMIF('Raw July'!G:G,'TB 0725'!A15,'Raw July'!E:E)</f>
        <v>2840781.22</v>
      </c>
      <c r="E15" s="24">
        <f t="shared" si="0"/>
        <v>267314.32999999961</v>
      </c>
      <c r="F15" s="24">
        <f t="shared" si="1"/>
        <v>267.31432999999959</v>
      </c>
      <c r="G15" s="22" t="s">
        <v>181</v>
      </c>
      <c r="H15" s="23" t="s">
        <v>78</v>
      </c>
    </row>
    <row r="16" spans="1:12" x14ac:dyDescent="0.35">
      <c r="A16" s="23" t="s">
        <v>565</v>
      </c>
      <c r="B16" s="24">
        <f>SUMIF('Raw July'!G:G,'TB 0725'!A16,'Raw July'!C:C)</f>
        <v>2754516.32</v>
      </c>
      <c r="C16" s="24">
        <f>SUMIF('Raw July'!G:G,'TB 0725'!A16,'Raw July'!D:D)</f>
        <v>2217579.69</v>
      </c>
      <c r="D16" s="24">
        <f>SUMIF('Raw July'!G:G,'TB 0725'!A16,'Raw July'!E:E)</f>
        <v>10375.59</v>
      </c>
      <c r="E16" s="24">
        <f t="shared" si="0"/>
        <v>4961720.42</v>
      </c>
      <c r="F16" s="24">
        <f t="shared" si="1"/>
        <v>4961.7204199999996</v>
      </c>
      <c r="G16" s="22" t="s">
        <v>181</v>
      </c>
      <c r="H16" s="23" t="s">
        <v>79</v>
      </c>
    </row>
    <row r="17" spans="1:8" x14ac:dyDescent="0.35">
      <c r="A17" s="23" t="s">
        <v>566</v>
      </c>
      <c r="B17" s="24">
        <f>SUMIF('Raw July'!G:G,'TB 0725'!A17,'Raw July'!C:C)</f>
        <v>1466609.95</v>
      </c>
      <c r="C17" s="24">
        <f>SUMIF('Raw July'!G:G,'TB 0725'!A17,'Raw July'!D:D)</f>
        <v>2261746.35</v>
      </c>
      <c r="D17" s="24">
        <f>SUMIF('Raw July'!G:G,'TB 0725'!A17,'Raw July'!E:E)</f>
        <v>408143.95</v>
      </c>
      <c r="E17" s="24">
        <f t="shared" si="0"/>
        <v>3320212.3499999996</v>
      </c>
      <c r="F17" s="24">
        <f t="shared" si="1"/>
        <v>3320.2123499999998</v>
      </c>
      <c r="G17" s="22" t="s">
        <v>181</v>
      </c>
      <c r="H17" s="23" t="s">
        <v>79</v>
      </c>
    </row>
    <row r="18" spans="1:8" x14ac:dyDescent="0.35">
      <c r="A18" s="23" t="s">
        <v>567</v>
      </c>
      <c r="B18" s="24">
        <f>SUMIF('Raw July'!G:G,'TB 0725'!A18,'Raw July'!C:C)</f>
        <v>2738147.37</v>
      </c>
      <c r="C18" s="24">
        <f>SUMIF('Raw July'!G:G,'TB 0725'!A18,'Raw July'!D:D)</f>
        <v>2217579.69</v>
      </c>
      <c r="D18" s="24">
        <f>SUMIF('Raw July'!G:G,'TB 0725'!A18,'Raw July'!E:E)</f>
        <v>62364.59</v>
      </c>
      <c r="E18" s="24">
        <f t="shared" si="0"/>
        <v>4893362.4700000007</v>
      </c>
      <c r="F18" s="24">
        <f t="shared" si="1"/>
        <v>4893.3624700000009</v>
      </c>
      <c r="G18" s="22" t="s">
        <v>181</v>
      </c>
      <c r="H18" s="23" t="s">
        <v>79</v>
      </c>
    </row>
    <row r="19" spans="1:8" x14ac:dyDescent="0.35">
      <c r="A19" s="23" t="s">
        <v>300</v>
      </c>
      <c r="B19" s="24">
        <f>SUMIF('Raw July'!G:G,'TB 0725'!A19,'Raw July'!C:C)</f>
        <v>0</v>
      </c>
      <c r="C19" s="24">
        <f>SUMIF('Raw July'!G:G,'TB 0725'!A19,'Raw July'!D:D)</f>
        <v>0</v>
      </c>
      <c r="D19" s="24">
        <f>SUMIF('Raw July'!G:G,'TB 0725'!A19,'Raw July'!E:E)</f>
        <v>0</v>
      </c>
      <c r="E19" s="24">
        <f t="shared" si="0"/>
        <v>0</v>
      </c>
      <c r="F19" s="24">
        <f t="shared" si="1"/>
        <v>0</v>
      </c>
      <c r="G19" s="22" t="s">
        <v>181</v>
      </c>
      <c r="H19" s="23" t="s">
        <v>72</v>
      </c>
    </row>
    <row r="20" spans="1:8" x14ac:dyDescent="0.35">
      <c r="A20" s="23" t="s">
        <v>1239</v>
      </c>
      <c r="B20" s="24">
        <f>SUMIF('Raw July'!G:G,'TB 0725'!A20,'Raw July'!C:C)</f>
        <v>50000000</v>
      </c>
      <c r="C20" s="24">
        <f>SUMIF('Raw July'!G:G,'TB 0725'!A20,'Raw July'!D:D)</f>
        <v>0</v>
      </c>
      <c r="D20" s="24">
        <f>SUMIF('Raw July'!G:G,'TB 0725'!A20,'Raw July'!E:E)</f>
        <v>0</v>
      </c>
      <c r="E20" s="24">
        <f t="shared" si="0"/>
        <v>50000000</v>
      </c>
      <c r="F20" s="24">
        <f t="shared" si="1"/>
        <v>50000</v>
      </c>
      <c r="G20" s="22" t="s">
        <v>181</v>
      </c>
      <c r="H20" s="23" t="s">
        <v>76</v>
      </c>
    </row>
    <row r="21" spans="1:8" x14ac:dyDescent="0.35">
      <c r="A21" s="23" t="s">
        <v>1240</v>
      </c>
      <c r="B21" s="24">
        <f>SUMIF('Raw July'!G:G,'TB 0725'!A21,'Raw July'!C:C)</f>
        <v>100000000</v>
      </c>
      <c r="C21" s="24">
        <f>SUMIF('Raw July'!G:G,'TB 0725'!A21,'Raw July'!D:D)</f>
        <v>0</v>
      </c>
      <c r="D21" s="24">
        <f>SUMIF('Raw July'!G:G,'TB 0725'!A21,'Raw July'!E:E)</f>
        <v>0</v>
      </c>
      <c r="E21" s="24">
        <f t="shared" si="0"/>
        <v>100000000</v>
      </c>
      <c r="F21" s="24">
        <f t="shared" si="1"/>
        <v>100000</v>
      </c>
      <c r="G21" s="22" t="s">
        <v>181</v>
      </c>
      <c r="H21" s="23" t="s">
        <v>76</v>
      </c>
    </row>
    <row r="22" spans="1:8" x14ac:dyDescent="0.35">
      <c r="A22" s="23" t="s">
        <v>1241</v>
      </c>
      <c r="B22" s="24">
        <f>SUMIF('Raw July'!G:G,'TB 0725'!A22,'Raw July'!C:C)</f>
        <v>150000000</v>
      </c>
      <c r="C22" s="24">
        <f>SUMIF('Raw July'!G:G,'TB 0725'!A22,'Raw July'!D:D)</f>
        <v>0</v>
      </c>
      <c r="D22" s="24">
        <f>SUMIF('Raw July'!G:G,'TB 0725'!A22,'Raw July'!E:E)</f>
        <v>0</v>
      </c>
      <c r="E22" s="24">
        <f t="shared" si="0"/>
        <v>150000000</v>
      </c>
      <c r="F22" s="24">
        <f t="shared" si="1"/>
        <v>150000</v>
      </c>
      <c r="G22" s="22" t="s">
        <v>181</v>
      </c>
      <c r="H22" s="23" t="s">
        <v>76</v>
      </c>
    </row>
    <row r="23" spans="1:8" x14ac:dyDescent="0.35">
      <c r="A23" s="23" t="s">
        <v>1242</v>
      </c>
      <c r="B23" s="24">
        <f>SUMIF('Raw July'!G:G,'TB 0725'!A23,'Raw July'!C:C)</f>
        <v>300000000</v>
      </c>
      <c r="C23" s="24">
        <f>SUMIF('Raw July'!G:G,'TB 0725'!A23,'Raw July'!D:D)</f>
        <v>0</v>
      </c>
      <c r="D23" s="24">
        <f>SUMIF('Raw July'!G:G,'TB 0725'!A23,'Raw July'!E:E)</f>
        <v>0</v>
      </c>
      <c r="E23" s="24">
        <f t="shared" si="0"/>
        <v>300000000</v>
      </c>
      <c r="F23" s="24">
        <f t="shared" si="1"/>
        <v>300000</v>
      </c>
      <c r="G23" s="22" t="s">
        <v>181</v>
      </c>
      <c r="H23" s="23" t="s">
        <v>76</v>
      </c>
    </row>
    <row r="24" spans="1:8" x14ac:dyDescent="0.35">
      <c r="A24" s="23" t="s">
        <v>695</v>
      </c>
      <c r="B24" s="24">
        <f>SUMIF('Raw July'!G:G,'TB 0725'!A24,'Raw July'!C:C)</f>
        <v>350000000</v>
      </c>
      <c r="C24" s="24">
        <f>SUMIF('Raw July'!G:G,'TB 0725'!A24,'Raw July'!D:D)</f>
        <v>0</v>
      </c>
      <c r="D24" s="24">
        <f>SUMIF('Raw July'!G:G,'TB 0725'!A24,'Raw July'!E:E)</f>
        <v>350000000</v>
      </c>
      <c r="E24" s="24">
        <f t="shared" si="0"/>
        <v>0</v>
      </c>
      <c r="F24" s="24">
        <f t="shared" si="1"/>
        <v>0</v>
      </c>
      <c r="G24" s="22" t="s">
        <v>181</v>
      </c>
      <c r="H24" s="23" t="s">
        <v>76</v>
      </c>
    </row>
    <row r="25" spans="1:8" x14ac:dyDescent="0.35">
      <c r="A25" s="23" t="s">
        <v>1243</v>
      </c>
      <c r="B25" s="24">
        <f>SUMIF('Raw July'!G:G,'TB 0725'!A25,'Raw July'!C:C)</f>
        <v>100000000</v>
      </c>
      <c r="C25" s="24">
        <f>SUMIF('Raw July'!G:G,'TB 0725'!A25,'Raw July'!D:D)</f>
        <v>0</v>
      </c>
      <c r="D25" s="24">
        <f>SUMIF('Raw July'!G:G,'TB 0725'!A25,'Raw July'!E:E)</f>
        <v>0</v>
      </c>
      <c r="E25" s="24">
        <f t="shared" si="0"/>
        <v>100000000</v>
      </c>
      <c r="F25" s="24">
        <f t="shared" si="1"/>
        <v>100000</v>
      </c>
      <c r="G25" s="22" t="s">
        <v>181</v>
      </c>
      <c r="H25" s="23" t="s">
        <v>76</v>
      </c>
    </row>
    <row r="26" spans="1:8" x14ac:dyDescent="0.35">
      <c r="A26" s="23" t="s">
        <v>1244</v>
      </c>
      <c r="B26" s="24">
        <f>SUMIF('Raw July'!G:G,'TB 0725'!A26,'Raw July'!C:C)</f>
        <v>150000000</v>
      </c>
      <c r="C26" s="24">
        <f>SUMIF('Raw July'!G:G,'TB 0725'!A26,'Raw July'!D:D)</f>
        <v>0</v>
      </c>
      <c r="D26" s="24">
        <f>SUMIF('Raw July'!G:G,'TB 0725'!A26,'Raw July'!E:E)</f>
        <v>0</v>
      </c>
      <c r="E26" s="24">
        <f t="shared" si="0"/>
        <v>150000000</v>
      </c>
      <c r="F26" s="24">
        <f t="shared" si="1"/>
        <v>150000</v>
      </c>
      <c r="G26" s="22" t="s">
        <v>181</v>
      </c>
      <c r="H26" s="23" t="s">
        <v>76</v>
      </c>
    </row>
    <row r="27" spans="1:8" x14ac:dyDescent="0.35">
      <c r="A27" s="23" t="s">
        <v>1245</v>
      </c>
      <c r="B27" s="24">
        <f>SUMIF('Raw July'!G:G,'TB 0725'!A27,'Raw July'!C:C)</f>
        <v>150000000</v>
      </c>
      <c r="C27" s="24">
        <f>SUMIF('Raw July'!G:G,'TB 0725'!A27,'Raw July'!D:D)</f>
        <v>0</v>
      </c>
      <c r="D27" s="24">
        <f>SUMIF('Raw July'!G:G,'TB 0725'!A27,'Raw July'!E:E)</f>
        <v>0</v>
      </c>
      <c r="E27" s="24">
        <f t="shared" si="0"/>
        <v>150000000</v>
      </c>
      <c r="F27" s="24">
        <f t="shared" si="1"/>
        <v>150000</v>
      </c>
      <c r="G27" s="22" t="s">
        <v>181</v>
      </c>
      <c r="H27" s="23" t="s">
        <v>76</v>
      </c>
    </row>
    <row r="28" spans="1:8" x14ac:dyDescent="0.35">
      <c r="A28" s="23" t="s">
        <v>1246</v>
      </c>
      <c r="B28" s="24">
        <f>SUMIF('Raw July'!G:G,'TB 0725'!A28,'Raw July'!C:C)</f>
        <v>180000000</v>
      </c>
      <c r="C28" s="24">
        <f>SUMIF('Raw July'!G:G,'TB 0725'!A28,'Raw July'!D:D)</f>
        <v>0</v>
      </c>
      <c r="D28" s="24">
        <f>SUMIF('Raw July'!G:G,'TB 0725'!A28,'Raw July'!E:E)</f>
        <v>0</v>
      </c>
      <c r="E28" s="24">
        <f t="shared" si="0"/>
        <v>180000000</v>
      </c>
      <c r="F28" s="24">
        <f t="shared" si="1"/>
        <v>180000</v>
      </c>
      <c r="G28" s="22" t="s">
        <v>181</v>
      </c>
      <c r="H28" s="23" t="s">
        <v>76</v>
      </c>
    </row>
    <row r="29" spans="1:8" x14ac:dyDescent="0.35">
      <c r="A29" s="23" t="s">
        <v>1247</v>
      </c>
      <c r="B29" s="24">
        <f>SUMIF('Raw July'!G:G,'TB 0725'!A29,'Raw July'!C:C)</f>
        <v>170000000</v>
      </c>
      <c r="C29" s="24">
        <f>SUMIF('Raw July'!G:G,'TB 0725'!A29,'Raw July'!D:D)</f>
        <v>0</v>
      </c>
      <c r="D29" s="24">
        <f>SUMIF('Raw July'!G:G,'TB 0725'!A29,'Raw July'!E:E)</f>
        <v>0</v>
      </c>
      <c r="E29" s="24">
        <f t="shared" si="0"/>
        <v>170000000</v>
      </c>
      <c r="F29" s="24">
        <f t="shared" si="1"/>
        <v>170000</v>
      </c>
      <c r="G29" s="22" t="s">
        <v>181</v>
      </c>
      <c r="H29" s="23" t="s">
        <v>76</v>
      </c>
    </row>
    <row r="30" spans="1:8" x14ac:dyDescent="0.35">
      <c r="A30" s="23" t="s">
        <v>1248</v>
      </c>
      <c r="B30" s="24">
        <f>SUMIF('Raw July'!G:G,'TB 0725'!A30,'Raw July'!C:C)</f>
        <v>17000000</v>
      </c>
      <c r="C30" s="24">
        <f>SUMIF('Raw July'!G:G,'TB 0725'!A30,'Raw July'!D:D)</f>
        <v>0</v>
      </c>
      <c r="D30" s="24">
        <f>SUMIF('Raw July'!G:G,'TB 0725'!A30,'Raw July'!E:E)</f>
        <v>0</v>
      </c>
      <c r="E30" s="24">
        <f t="shared" si="0"/>
        <v>17000000</v>
      </c>
      <c r="F30" s="24">
        <f t="shared" si="1"/>
        <v>17000</v>
      </c>
      <c r="G30" s="22" t="s">
        <v>181</v>
      </c>
      <c r="H30" s="23" t="s">
        <v>76</v>
      </c>
    </row>
    <row r="31" spans="1:8" x14ac:dyDescent="0.35">
      <c r="A31" s="23" t="s">
        <v>1249</v>
      </c>
      <c r="B31" s="24">
        <f>SUMIF('Raw July'!G:G,'TB 0725'!A31,'Raw July'!C:C)</f>
        <v>250000000</v>
      </c>
      <c r="C31" s="24">
        <f>SUMIF('Raw July'!G:G,'TB 0725'!A31,'Raw July'!D:D)</f>
        <v>0</v>
      </c>
      <c r="D31" s="24">
        <f>SUMIF('Raw July'!G:G,'TB 0725'!A31,'Raw July'!E:E)</f>
        <v>0</v>
      </c>
      <c r="E31" s="24">
        <f t="shared" si="0"/>
        <v>250000000</v>
      </c>
      <c r="F31" s="24">
        <f t="shared" si="1"/>
        <v>250000</v>
      </c>
      <c r="G31" s="22" t="s">
        <v>181</v>
      </c>
      <c r="H31" s="23" t="s">
        <v>76</v>
      </c>
    </row>
    <row r="32" spans="1:8" x14ac:dyDescent="0.35">
      <c r="A32" s="23" t="s">
        <v>1251</v>
      </c>
      <c r="B32" s="24">
        <f>SUMIF('Raw July'!G:G,'TB 0725'!A32,'Raw July'!C:C)</f>
        <v>12500000</v>
      </c>
      <c r="C32" s="24">
        <f>SUMIF('Raw July'!G:G,'TB 0725'!A32,'Raw July'!D:D)</f>
        <v>0</v>
      </c>
      <c r="D32" s="24">
        <f>SUMIF('Raw July'!G:G,'TB 0725'!A32,'Raw July'!E:E)</f>
        <v>12500000</v>
      </c>
      <c r="E32" s="24">
        <f t="shared" si="0"/>
        <v>0</v>
      </c>
      <c r="F32" s="24">
        <f t="shared" si="1"/>
        <v>0</v>
      </c>
      <c r="G32" s="22" t="s">
        <v>181</v>
      </c>
      <c r="H32" s="23" t="s">
        <v>76</v>
      </c>
    </row>
    <row r="33" spans="1:9" x14ac:dyDescent="0.35">
      <c r="A33" s="23" t="s">
        <v>1287</v>
      </c>
      <c r="B33" s="24">
        <f>SUMIF('Raw July'!G:G,'TB 0725'!A33,'Raw July'!C:C)</f>
        <v>0</v>
      </c>
      <c r="C33" s="24">
        <f>SUMIF('Raw July'!G:G,'TB 0725'!A33,'Raw July'!D:D)</f>
        <v>325000000</v>
      </c>
      <c r="D33" s="24">
        <f>SUMIF('Raw July'!G:G,'TB 0725'!A33,'Raw July'!E:E)</f>
        <v>0</v>
      </c>
      <c r="E33" s="24">
        <f t="shared" si="0"/>
        <v>325000000</v>
      </c>
      <c r="F33" s="24">
        <f t="shared" si="1"/>
        <v>325000</v>
      </c>
      <c r="G33" s="22" t="s">
        <v>181</v>
      </c>
      <c r="H33" s="23" t="s">
        <v>76</v>
      </c>
    </row>
    <row r="34" spans="1:9" x14ac:dyDescent="0.35">
      <c r="A34" s="23" t="s">
        <v>572</v>
      </c>
      <c r="B34" s="24">
        <f>SUMIF('Raw July'!G:G,'TB 0725'!A34,'Raw July'!C:C)</f>
        <v>10099290.449999999</v>
      </c>
      <c r="C34" s="24">
        <f>SUMIF('Raw July'!G:G,'TB 0725'!A34,'Raw July'!D:D)</f>
        <v>361573092</v>
      </c>
      <c r="D34" s="24">
        <f>SUMIF('Raw July'!G:G,'TB 0725'!A34,'Raw July'!E:E)</f>
        <v>370000000</v>
      </c>
      <c r="E34" s="24">
        <f t="shared" si="0"/>
        <v>1672382.4499999881</v>
      </c>
      <c r="F34" s="24">
        <f t="shared" si="1"/>
        <v>1672.382449999988</v>
      </c>
      <c r="G34" s="22" t="s">
        <v>181</v>
      </c>
      <c r="H34" s="23" t="s">
        <v>78</v>
      </c>
    </row>
    <row r="35" spans="1:9" x14ac:dyDescent="0.35">
      <c r="A35" s="23" t="s">
        <v>573</v>
      </c>
      <c r="B35" s="24">
        <f>SUMIF('Raw July'!G:G,'TB 0725'!A35,'Raw July'!C:C)</f>
        <v>18899117.140000001</v>
      </c>
      <c r="C35" s="24">
        <f>SUMIF('Raw July'!G:G,'TB 0725'!A35,'Raw July'!D:D)</f>
        <v>67682184</v>
      </c>
      <c r="D35" s="24">
        <f>SUMIF('Raw July'!G:G,'TB 0725'!A35,'Raw July'!E:E)</f>
        <v>83412036.25</v>
      </c>
      <c r="E35" s="24">
        <f t="shared" si="0"/>
        <v>3169264.8900000006</v>
      </c>
      <c r="F35" s="24">
        <f t="shared" si="1"/>
        <v>3169.2648900000004</v>
      </c>
      <c r="G35" s="22" t="s">
        <v>181</v>
      </c>
      <c r="H35" s="23" t="s">
        <v>78</v>
      </c>
    </row>
    <row r="36" spans="1:9" x14ac:dyDescent="0.35">
      <c r="A36" s="23" t="s">
        <v>723</v>
      </c>
      <c r="B36" s="24">
        <f>SUMIF('Raw July'!G:G,'TB 0725'!A36,'Raw July'!C:C)</f>
        <v>3633598</v>
      </c>
      <c r="C36" s="24">
        <f>SUMIF('Raw July'!G:G,'TB 0725'!A36,'Raw July'!D:D)</f>
        <v>0</v>
      </c>
      <c r="D36" s="24">
        <f>SUMIF('Raw July'!G:G,'TB 0725'!A36,'Raw July'!E:E)</f>
        <v>0</v>
      </c>
      <c r="E36" s="24">
        <f t="shared" si="0"/>
        <v>3633598</v>
      </c>
      <c r="F36" s="24">
        <f t="shared" si="1"/>
        <v>3633.598</v>
      </c>
      <c r="G36" s="22" t="s">
        <v>181</v>
      </c>
      <c r="H36" s="23" t="s">
        <v>71</v>
      </c>
      <c r="I36" s="23" t="s">
        <v>1397</v>
      </c>
    </row>
    <row r="37" spans="1:9" x14ac:dyDescent="0.35">
      <c r="A37" s="23" t="s">
        <v>231</v>
      </c>
      <c r="B37" s="24">
        <f>SUMIF('Raw July'!G:G,'TB 0725'!A37,'Raw July'!C:C)</f>
        <v>520840.59</v>
      </c>
      <c r="C37" s="24">
        <f>SUMIF('Raw July'!G:G,'TB 0725'!A37,'Raw July'!D:D)</f>
        <v>0</v>
      </c>
      <c r="D37" s="24">
        <f>SUMIF('Raw July'!G:G,'TB 0725'!A37,'Raw July'!E:E)</f>
        <v>0</v>
      </c>
      <c r="E37" s="24">
        <f t="shared" si="0"/>
        <v>520840.59</v>
      </c>
      <c r="F37" s="24">
        <f t="shared" si="1"/>
        <v>520.84059000000002</v>
      </c>
      <c r="G37" s="22" t="s">
        <v>181</v>
      </c>
      <c r="H37" s="23" t="s">
        <v>71</v>
      </c>
      <c r="I37" s="23" t="s">
        <v>1397</v>
      </c>
    </row>
    <row r="38" spans="1:9" x14ac:dyDescent="0.35">
      <c r="A38" s="23" t="s">
        <v>575</v>
      </c>
      <c r="B38" s="24">
        <f>SUMIF('Raw July'!G:G,'TB 0725'!A38,'Raw July'!C:C)</f>
        <v>0.03</v>
      </c>
      <c r="C38" s="24">
        <f>SUMIF('Raw July'!G:G,'TB 0725'!A38,'Raw July'!D:D)</f>
        <v>256867.33</v>
      </c>
      <c r="D38" s="24">
        <f>SUMIF('Raw July'!G:G,'TB 0725'!A38,'Raw July'!E:E)</f>
        <v>0</v>
      </c>
      <c r="E38" s="24">
        <f t="shared" si="0"/>
        <v>256867.36</v>
      </c>
      <c r="F38" s="24">
        <f t="shared" si="1"/>
        <v>256.86735999999996</v>
      </c>
      <c r="G38" s="22" t="s">
        <v>181</v>
      </c>
      <c r="H38" s="23" t="s">
        <v>79</v>
      </c>
    </row>
    <row r="39" spans="1:9" x14ac:dyDescent="0.35">
      <c r="A39" s="23" t="s">
        <v>376</v>
      </c>
      <c r="B39" s="24">
        <f>SUMIF('Raw July'!G:G,'TB 0725'!A39,'Raw July'!C:C)</f>
        <v>8077542.04</v>
      </c>
      <c r="C39" s="24">
        <f>SUMIF('Raw July'!G:G,'TB 0725'!A39,'Raw July'!D:D)</f>
        <v>6845969.7300000004</v>
      </c>
      <c r="D39" s="24">
        <f>SUMIF('Raw July'!G:G,'TB 0725'!A39,'Raw July'!E:E)</f>
        <v>4553006.42</v>
      </c>
      <c r="E39" s="24">
        <f t="shared" si="0"/>
        <v>10370505.35</v>
      </c>
      <c r="F39" s="24">
        <f t="shared" si="1"/>
        <v>10370.505349999999</v>
      </c>
      <c r="G39" s="22" t="s">
        <v>181</v>
      </c>
      <c r="H39" s="23" t="s">
        <v>67</v>
      </c>
    </row>
    <row r="40" spans="1:9" x14ac:dyDescent="0.35">
      <c r="A40" s="23" t="s">
        <v>576</v>
      </c>
      <c r="B40" s="24">
        <f>SUMIF('Raw July'!G:G,'TB 0725'!A40,'Raw July'!C:C)</f>
        <v>0</v>
      </c>
      <c r="C40" s="24">
        <f>SUMIF('Raw July'!G:G,'TB 0725'!A40,'Raw July'!D:D)</f>
        <v>10208722.630000001</v>
      </c>
      <c r="D40" s="24">
        <f>SUMIF('Raw July'!G:G,'TB 0725'!A40,'Raw July'!E:E)</f>
        <v>10208722.630000001</v>
      </c>
      <c r="E40" s="24">
        <f t="shared" si="0"/>
        <v>0</v>
      </c>
      <c r="F40" s="24">
        <f t="shared" si="1"/>
        <v>0</v>
      </c>
      <c r="G40" s="22" t="s">
        <v>181</v>
      </c>
      <c r="H40" s="23" t="s">
        <v>77</v>
      </c>
    </row>
    <row r="41" spans="1:9" x14ac:dyDescent="0.35">
      <c r="A41" s="23" t="s">
        <v>577</v>
      </c>
      <c r="B41" s="24">
        <f>SUMIF('Raw July'!G:G,'TB 0725'!A41,'Raw July'!C:C)</f>
        <v>1422878.81</v>
      </c>
      <c r="C41" s="24">
        <f>SUMIF('Raw July'!G:G,'TB 0725'!A41,'Raw July'!D:D)</f>
        <v>277597.59000000003</v>
      </c>
      <c r="D41" s="24">
        <f>SUMIF('Raw July'!G:G,'TB 0725'!A41,'Raw July'!E:E)</f>
        <v>0</v>
      </c>
      <c r="E41" s="24">
        <f t="shared" si="0"/>
        <v>1700476.4000000001</v>
      </c>
      <c r="F41" s="24">
        <f t="shared" si="1"/>
        <v>1700.4764000000002</v>
      </c>
      <c r="G41" s="22" t="s">
        <v>181</v>
      </c>
      <c r="H41" s="23" t="s">
        <v>79</v>
      </c>
    </row>
    <row r="42" spans="1:9" x14ac:dyDescent="0.35">
      <c r="A42" s="23" t="s">
        <v>146</v>
      </c>
      <c r="B42" s="24">
        <f>SUMIF('Raw July'!G:G,'TB 0725'!A42,'Raw July'!C:C)</f>
        <v>7521400</v>
      </c>
      <c r="C42" s="24">
        <f>SUMIF('Raw July'!G:G,'TB 0725'!A42,'Raw July'!D:D)</f>
        <v>798000</v>
      </c>
      <c r="D42" s="24">
        <f>SUMIF('Raw July'!G:G,'TB 0725'!A42,'Raw July'!E:E)</f>
        <v>115000</v>
      </c>
      <c r="E42" s="24">
        <f t="shared" si="0"/>
        <v>8204400</v>
      </c>
      <c r="F42" s="24">
        <f t="shared" si="1"/>
        <v>8204.4</v>
      </c>
      <c r="G42" s="22" t="s">
        <v>181</v>
      </c>
      <c r="H42" s="23" t="s">
        <v>74</v>
      </c>
    </row>
    <row r="43" spans="1:9" x14ac:dyDescent="0.35">
      <c r="A43" s="23" t="s">
        <v>345</v>
      </c>
      <c r="B43" s="24">
        <f>SUMIF('Raw July'!G:G,'TB 0725'!A43,'Raw July'!C:C)</f>
        <v>345859.7</v>
      </c>
      <c r="C43" s="24">
        <f>SUMIF('Raw July'!G:G,'TB 0725'!A43,'Raw July'!D:D)</f>
        <v>0</v>
      </c>
      <c r="D43" s="24">
        <f>SUMIF('Raw July'!G:G,'TB 0725'!A43,'Raw July'!E:E)</f>
        <v>0</v>
      </c>
      <c r="E43" s="24">
        <f t="shared" si="0"/>
        <v>345859.7</v>
      </c>
      <c r="F43" s="24">
        <f t="shared" si="1"/>
        <v>345.85970000000003</v>
      </c>
      <c r="G43" s="22" t="s">
        <v>181</v>
      </c>
      <c r="H43" s="23" t="s">
        <v>79</v>
      </c>
    </row>
    <row r="44" spans="1:9" x14ac:dyDescent="0.35">
      <c r="A44" s="23" t="s">
        <v>427</v>
      </c>
      <c r="B44" s="24">
        <f>SUMIF('Raw July'!G:G,'TB 0725'!A44,'Raw July'!C:C)</f>
        <v>-9193475.9299999997</v>
      </c>
      <c r="C44" s="24">
        <f>SUMIF('Raw July'!G:G,'TB 0725'!A44,'Raw July'!D:D)</f>
        <v>46360266.590000004</v>
      </c>
      <c r="D44" s="24">
        <f>SUMIF('Raw July'!G:G,'TB 0725'!A44,'Raw July'!E:E)</f>
        <v>49511478.850000001</v>
      </c>
      <c r="E44" s="24">
        <f t="shared" si="0"/>
        <v>-12344688.189999998</v>
      </c>
      <c r="F44" s="24">
        <f t="shared" si="1"/>
        <v>-12344.688189999997</v>
      </c>
      <c r="G44" s="22" t="s">
        <v>180</v>
      </c>
      <c r="H44" s="23" t="s">
        <v>67</v>
      </c>
    </row>
    <row r="45" spans="1:9" x14ac:dyDescent="0.35">
      <c r="A45" s="23" t="s">
        <v>423</v>
      </c>
      <c r="B45" s="24">
        <f>SUMIF('Raw July'!G:G,'TB 0725'!A45,'Raw July'!C:C)</f>
        <v>-300318.27</v>
      </c>
      <c r="C45" s="24">
        <f>SUMIF('Raw July'!G:G,'TB 0725'!A45,'Raw July'!D:D)</f>
        <v>41774</v>
      </c>
      <c r="D45" s="24">
        <f>SUMIF('Raw July'!G:G,'TB 0725'!A45,'Raw July'!E:E)</f>
        <v>87718</v>
      </c>
      <c r="E45" s="24">
        <f t="shared" si="0"/>
        <v>-346262.27</v>
      </c>
      <c r="F45" s="24">
        <f t="shared" si="1"/>
        <v>-346.26227</v>
      </c>
      <c r="G45" s="22" t="s">
        <v>180</v>
      </c>
      <c r="H45" s="23" t="s">
        <v>68</v>
      </c>
    </row>
    <row r="46" spans="1:9" x14ac:dyDescent="0.35">
      <c r="A46" s="23" t="s">
        <v>578</v>
      </c>
      <c r="B46" s="24">
        <f>SUMIF('Raw July'!G:G,'TB 0725'!A46,'Raw July'!C:C)</f>
        <v>-165000</v>
      </c>
      <c r="C46" s="24">
        <f>SUMIF('Raw July'!G:G,'TB 0725'!A46,'Raw July'!D:D)</f>
        <v>267913.92</v>
      </c>
      <c r="D46" s="24">
        <f>SUMIF('Raw July'!G:G,'TB 0725'!A46,'Raw July'!E:E)</f>
        <v>102913.92</v>
      </c>
      <c r="E46" s="24">
        <f t="shared" si="0"/>
        <v>0</v>
      </c>
      <c r="F46" s="24">
        <f t="shared" si="1"/>
        <v>0</v>
      </c>
      <c r="G46" s="22" t="s">
        <v>180</v>
      </c>
      <c r="H46" s="23" t="s">
        <v>68</v>
      </c>
    </row>
    <row r="47" spans="1:9" x14ac:dyDescent="0.35">
      <c r="A47" s="23" t="s">
        <v>622</v>
      </c>
      <c r="B47" s="24">
        <f>SUMIF('Raw July'!G:G,'TB 0725'!A47,'Raw July'!C:C)</f>
        <v>-3512617</v>
      </c>
      <c r="C47" s="24">
        <f>SUMIF('Raw July'!G:G,'TB 0725'!A47,'Raw July'!D:D)</f>
        <v>20723038</v>
      </c>
      <c r="D47" s="24">
        <f>SUMIF('Raw July'!G:G,'TB 0725'!A47,'Raw July'!E:E)</f>
        <v>18087899</v>
      </c>
      <c r="E47" s="24">
        <f t="shared" si="0"/>
        <v>-877478</v>
      </c>
      <c r="F47" s="24">
        <f t="shared" si="1"/>
        <v>-877.47799999999995</v>
      </c>
      <c r="G47" s="22" t="s">
        <v>180</v>
      </c>
      <c r="H47" s="23" t="s">
        <v>68</v>
      </c>
    </row>
    <row r="48" spans="1:9" x14ac:dyDescent="0.35">
      <c r="A48" s="23" t="s">
        <v>775</v>
      </c>
      <c r="B48" s="24">
        <f>SUMIF('Raw July'!G:G,'TB 0725'!A48,'Raw July'!C:C)</f>
        <v>-144</v>
      </c>
      <c r="C48" s="24">
        <f>SUMIF('Raw July'!G:G,'TB 0725'!A48,'Raw July'!D:D)</f>
        <v>144</v>
      </c>
      <c r="D48" s="24">
        <f>SUMIF('Raw July'!G:G,'TB 0725'!A48,'Raw July'!E:E)</f>
        <v>144</v>
      </c>
      <c r="E48" s="24">
        <f t="shared" si="0"/>
        <v>-144</v>
      </c>
      <c r="F48" s="24">
        <f t="shared" si="1"/>
        <v>-0.14399999999999999</v>
      </c>
      <c r="G48" s="22" t="s">
        <v>180</v>
      </c>
      <c r="H48" s="23" t="s">
        <v>68</v>
      </c>
    </row>
    <row r="49" spans="1:8" x14ac:dyDescent="0.35">
      <c r="A49" s="23" t="s">
        <v>776</v>
      </c>
      <c r="B49" s="24">
        <f>SUMIF('Raw July'!G:G,'TB 0725'!A49,'Raw July'!C:C)</f>
        <v>-621</v>
      </c>
      <c r="C49" s="24">
        <f>SUMIF('Raw July'!G:G,'TB 0725'!A49,'Raw July'!D:D)</f>
        <v>621</v>
      </c>
      <c r="D49" s="24">
        <f>SUMIF('Raw July'!G:G,'TB 0725'!A49,'Raw July'!E:E)</f>
        <v>621</v>
      </c>
      <c r="E49" s="24">
        <f t="shared" si="0"/>
        <v>-621</v>
      </c>
      <c r="F49" s="24">
        <f t="shared" si="1"/>
        <v>-0.621</v>
      </c>
      <c r="G49" s="22" t="s">
        <v>180</v>
      </c>
      <c r="H49" s="23" t="s">
        <v>68</v>
      </c>
    </row>
    <row r="50" spans="1:8" x14ac:dyDescent="0.35">
      <c r="A50" s="23" t="s">
        <v>1199</v>
      </c>
      <c r="B50" s="24">
        <f>SUMIF('Raw July'!G:G,'TB 0725'!A50,'Raw July'!C:C)</f>
        <v>-125210</v>
      </c>
      <c r="C50" s="24">
        <f>SUMIF('Raw July'!G:G,'TB 0725'!A50,'Raw July'!D:D)</f>
        <v>110850</v>
      </c>
      <c r="D50" s="24">
        <f>SUMIF('Raw July'!G:G,'TB 0725'!A50,'Raw July'!E:E)</f>
        <v>339780</v>
      </c>
      <c r="E50" s="24">
        <f t="shared" si="0"/>
        <v>-354140</v>
      </c>
      <c r="F50" s="24">
        <f t="shared" si="1"/>
        <v>-354.14</v>
      </c>
      <c r="G50" s="22" t="s">
        <v>180</v>
      </c>
      <c r="H50" s="23" t="s">
        <v>67</v>
      </c>
    </row>
    <row r="51" spans="1:8" x14ac:dyDescent="0.35">
      <c r="A51" s="23" t="s">
        <v>1252</v>
      </c>
      <c r="B51" s="24">
        <f>SUMIF('Raw July'!G:G,'TB 0725'!A51,'Raw July'!C:C)</f>
        <v>0</v>
      </c>
      <c r="C51" s="24">
        <f>SUMIF('Raw July'!G:G,'TB 0725'!A51,'Raw July'!D:D)</f>
        <v>184200</v>
      </c>
      <c r="D51" s="24">
        <f>SUMIF('Raw July'!G:G,'TB 0725'!A51,'Raw July'!E:E)</f>
        <v>184200</v>
      </c>
      <c r="E51" s="24">
        <f t="shared" si="0"/>
        <v>0</v>
      </c>
      <c r="F51" s="24">
        <f t="shared" si="1"/>
        <v>0</v>
      </c>
      <c r="G51" s="22" t="s">
        <v>180</v>
      </c>
      <c r="H51" s="23" t="s">
        <v>67</v>
      </c>
    </row>
    <row r="52" spans="1:8" x14ac:dyDescent="0.35">
      <c r="A52" s="23" t="s">
        <v>1288</v>
      </c>
      <c r="B52" s="24">
        <f>SUMIF('Raw July'!G:G,'TB 0725'!A52,'Raw July'!C:C)</f>
        <v>0</v>
      </c>
      <c r="C52" s="24">
        <f>SUMIF('Raw July'!G:G,'TB 0725'!A52,'Raw July'!D:D)</f>
        <v>775330</v>
      </c>
      <c r="D52" s="24">
        <f>SUMIF('Raw July'!G:G,'TB 0725'!A52,'Raw July'!E:E)</f>
        <v>775330</v>
      </c>
      <c r="E52" s="24">
        <f t="shared" si="0"/>
        <v>0</v>
      </c>
      <c r="F52" s="24">
        <f t="shared" si="1"/>
        <v>0</v>
      </c>
      <c r="G52" s="22" t="s">
        <v>180</v>
      </c>
      <c r="H52" s="23" t="s">
        <v>68</v>
      </c>
    </row>
    <row r="53" spans="1:8" x14ac:dyDescent="0.35">
      <c r="A53" s="23" t="s">
        <v>969</v>
      </c>
      <c r="B53" s="24">
        <f>SUMIF('Raw July'!G:G,'TB 0725'!A53,'Raw July'!C:C)</f>
        <v>-15301266.92</v>
      </c>
      <c r="C53" s="24">
        <f>SUMIF('Raw July'!G:G,'TB 0725'!A53,'Raw July'!D:D)</f>
        <v>14981837.109999999</v>
      </c>
      <c r="D53" s="24">
        <f>SUMIF('Raw July'!G:G,'TB 0725'!A53,'Raw July'!E:E)</f>
        <v>19276653.539999999</v>
      </c>
      <c r="E53" s="24">
        <f t="shared" si="0"/>
        <v>-19596083.350000001</v>
      </c>
      <c r="F53" s="24">
        <f t="shared" si="1"/>
        <v>-19596.083350000001</v>
      </c>
      <c r="G53" s="22" t="s">
        <v>180</v>
      </c>
      <c r="H53" s="23" t="s">
        <v>67</v>
      </c>
    </row>
    <row r="54" spans="1:8" x14ac:dyDescent="0.35">
      <c r="A54" s="23" t="s">
        <v>1253</v>
      </c>
      <c r="B54" s="24">
        <f>SUMIF('Raw July'!G:G,'TB 0725'!A54,'Raw July'!C:C)</f>
        <v>0</v>
      </c>
      <c r="C54" s="24">
        <f>SUMIF('Raw July'!G:G,'TB 0725'!A54,'Raw July'!D:D)</f>
        <v>444985.2</v>
      </c>
      <c r="D54" s="24">
        <f>SUMIF('Raw July'!G:G,'TB 0725'!A54,'Raw July'!E:E)</f>
        <v>444985.2</v>
      </c>
      <c r="E54" s="24">
        <f t="shared" si="0"/>
        <v>0</v>
      </c>
      <c r="F54" s="24">
        <f t="shared" si="1"/>
        <v>0</v>
      </c>
      <c r="G54" s="22" t="s">
        <v>180</v>
      </c>
      <c r="H54" s="23" t="s">
        <v>67</v>
      </c>
    </row>
    <row r="55" spans="1:8" x14ac:dyDescent="0.35">
      <c r="A55" s="23" t="s">
        <v>579</v>
      </c>
      <c r="B55" s="24">
        <f>SUMIF('Raw July'!G:G,'TB 0725'!A55,'Raw July'!C:C)</f>
        <v>-72779.3</v>
      </c>
      <c r="C55" s="24">
        <f>SUMIF('Raw July'!G:G,'TB 0725'!A55,'Raw July'!D:D)</f>
        <v>366991</v>
      </c>
      <c r="D55" s="24">
        <f>SUMIF('Raw July'!G:G,'TB 0725'!A55,'Raw July'!E:E)</f>
        <v>550988.73</v>
      </c>
      <c r="E55" s="24">
        <f t="shared" si="0"/>
        <v>-256777.02999999997</v>
      </c>
      <c r="F55" s="24">
        <f t="shared" si="1"/>
        <v>-256.77702999999997</v>
      </c>
      <c r="G55" s="22" t="s">
        <v>180</v>
      </c>
      <c r="H55" s="23" t="s">
        <v>79</v>
      </c>
    </row>
    <row r="56" spans="1:8" x14ac:dyDescent="0.35">
      <c r="A56" s="23" t="s">
        <v>580</v>
      </c>
      <c r="B56" s="24">
        <f>SUMIF('Raw July'!G:G,'TB 0725'!A56,'Raw July'!C:C)</f>
        <v>-324204.21000000002</v>
      </c>
      <c r="C56" s="24">
        <f>SUMIF('Raw July'!G:G,'TB 0725'!A56,'Raw July'!D:D)</f>
        <v>365337</v>
      </c>
      <c r="D56" s="24">
        <f>SUMIF('Raw July'!G:G,'TB 0725'!A56,'Raw July'!E:E)</f>
        <v>1639078.71</v>
      </c>
      <c r="E56" s="24">
        <f t="shared" si="0"/>
        <v>-1597945.92</v>
      </c>
      <c r="F56" s="24">
        <f t="shared" si="1"/>
        <v>-1597.9459199999999</v>
      </c>
      <c r="G56" s="22" t="s">
        <v>180</v>
      </c>
      <c r="H56" s="23" t="s">
        <v>79</v>
      </c>
    </row>
    <row r="57" spans="1:8" x14ac:dyDescent="0.35">
      <c r="A57" s="23" t="s">
        <v>581</v>
      </c>
      <c r="B57" s="24">
        <f>SUMIF('Raw July'!G:G,'TB 0725'!A57,'Raw July'!C:C)</f>
        <v>-335255.3</v>
      </c>
      <c r="C57" s="24">
        <f>SUMIF('Raw July'!G:G,'TB 0725'!A57,'Raw July'!D:D)</f>
        <v>366993</v>
      </c>
      <c r="D57" s="24">
        <f>SUMIF('Raw July'!G:G,'TB 0725'!A57,'Raw July'!E:E)</f>
        <v>550988.73</v>
      </c>
      <c r="E57" s="24">
        <f t="shared" si="0"/>
        <v>-519251.02999999997</v>
      </c>
      <c r="F57" s="24">
        <f t="shared" si="1"/>
        <v>-519.25103000000001</v>
      </c>
      <c r="G57" s="22" t="s">
        <v>180</v>
      </c>
      <c r="H57" s="23" t="s">
        <v>79</v>
      </c>
    </row>
    <row r="58" spans="1:8" x14ac:dyDescent="0.35">
      <c r="A58" s="23" t="s">
        <v>1254</v>
      </c>
      <c r="B58" s="24">
        <f>SUMIF('Raw July'!G:G,'TB 0725'!A58,'Raw July'!C:C)</f>
        <v>-2950</v>
      </c>
      <c r="C58" s="24">
        <f>SUMIF('Raw July'!G:G,'TB 0725'!A58,'Raw July'!D:D)</f>
        <v>2950</v>
      </c>
      <c r="D58" s="24">
        <f>SUMIF('Raw July'!G:G,'TB 0725'!A58,'Raw July'!E:E)</f>
        <v>0</v>
      </c>
      <c r="E58" s="24">
        <f t="shared" si="0"/>
        <v>0</v>
      </c>
      <c r="F58" s="24">
        <f t="shared" si="1"/>
        <v>0</v>
      </c>
      <c r="G58" s="22" t="s">
        <v>180</v>
      </c>
      <c r="H58" s="23" t="s">
        <v>68</v>
      </c>
    </row>
    <row r="59" spans="1:8" x14ac:dyDescent="0.35">
      <c r="A59" s="23" t="s">
        <v>1255</v>
      </c>
      <c r="B59" s="24">
        <f>SUMIF('Raw July'!G:G,'TB 0725'!A59,'Raw July'!C:C)</f>
        <v>-8850</v>
      </c>
      <c r="C59" s="24">
        <f>SUMIF('Raw July'!G:G,'TB 0725'!A59,'Raw July'!D:D)</f>
        <v>8850</v>
      </c>
      <c r="D59" s="24">
        <f>SUMIF('Raw July'!G:G,'TB 0725'!A59,'Raw July'!E:E)</f>
        <v>0</v>
      </c>
      <c r="E59" s="24">
        <f t="shared" si="0"/>
        <v>0</v>
      </c>
      <c r="F59" s="24">
        <f t="shared" si="1"/>
        <v>0</v>
      </c>
      <c r="G59" s="22" t="s">
        <v>180</v>
      </c>
      <c r="H59" s="23" t="s">
        <v>68</v>
      </c>
    </row>
    <row r="60" spans="1:8" x14ac:dyDescent="0.35">
      <c r="A60" s="23" t="s">
        <v>582</v>
      </c>
      <c r="B60" s="24">
        <f>SUMIF('Raw July'!G:G,'TB 0725'!A60,'Raw July'!C:C)</f>
        <v>-25575</v>
      </c>
      <c r="C60" s="24">
        <f>SUMIF('Raw July'!G:G,'TB 0725'!A60,'Raw July'!D:D)</f>
        <v>25775</v>
      </c>
      <c r="D60" s="24">
        <f>SUMIF('Raw July'!G:G,'TB 0725'!A60,'Raw July'!E:E)</f>
        <v>29200</v>
      </c>
      <c r="E60" s="24">
        <f t="shared" si="0"/>
        <v>-29000</v>
      </c>
      <c r="F60" s="24">
        <f t="shared" si="1"/>
        <v>-29</v>
      </c>
      <c r="G60" s="22" t="s">
        <v>180</v>
      </c>
      <c r="H60" s="23" t="s">
        <v>68</v>
      </c>
    </row>
    <row r="61" spans="1:8" x14ac:dyDescent="0.35">
      <c r="A61" s="23" t="s">
        <v>583</v>
      </c>
      <c r="B61" s="24">
        <f>SUMIF('Raw July'!G:G,'TB 0725'!A61,'Raw July'!C:C)</f>
        <v>-270363</v>
      </c>
      <c r="C61" s="24">
        <f>SUMIF('Raw July'!G:G,'TB 0725'!A61,'Raw July'!D:D)</f>
        <v>270363</v>
      </c>
      <c r="D61" s="24">
        <f>SUMIF('Raw July'!G:G,'TB 0725'!A61,'Raw July'!E:E)</f>
        <v>306782</v>
      </c>
      <c r="E61" s="24">
        <f t="shared" si="0"/>
        <v>-306782</v>
      </c>
      <c r="F61" s="24">
        <f t="shared" si="1"/>
        <v>-306.78199999999998</v>
      </c>
      <c r="G61" s="22" t="s">
        <v>180</v>
      </c>
      <c r="H61" s="23" t="s">
        <v>68</v>
      </c>
    </row>
    <row r="62" spans="1:8" x14ac:dyDescent="0.35">
      <c r="A62" s="23" t="s">
        <v>584</v>
      </c>
      <c r="B62" s="24">
        <f>SUMIF('Raw July'!G:G,'TB 0725'!A62,'Raw July'!C:C)</f>
        <v>-270363</v>
      </c>
      <c r="C62" s="24">
        <f>SUMIF('Raw July'!G:G,'TB 0725'!A62,'Raw July'!D:D)</f>
        <v>270363</v>
      </c>
      <c r="D62" s="24">
        <f>SUMIF('Raw July'!G:G,'TB 0725'!A62,'Raw July'!E:E)</f>
        <v>306782</v>
      </c>
      <c r="E62" s="24">
        <f t="shared" si="0"/>
        <v>-306782</v>
      </c>
      <c r="F62" s="24">
        <f t="shared" si="1"/>
        <v>-306.78199999999998</v>
      </c>
      <c r="G62" s="22" t="s">
        <v>180</v>
      </c>
      <c r="H62" s="23" t="s">
        <v>68</v>
      </c>
    </row>
    <row r="63" spans="1:8" x14ac:dyDescent="0.35">
      <c r="A63" s="23" t="s">
        <v>138</v>
      </c>
      <c r="B63" s="24">
        <f>SUMIF('Raw July'!G:G,'TB 0725'!A63,'Raw July'!C:C)</f>
        <v>-100000</v>
      </c>
      <c r="C63" s="24">
        <f>SUMIF('Raw July'!G:G,'TB 0725'!A63,'Raw July'!D:D)</f>
        <v>0</v>
      </c>
      <c r="D63" s="24">
        <f>SUMIF('Raw July'!G:G,'TB 0725'!A63,'Raw July'!E:E)</f>
        <v>0</v>
      </c>
      <c r="E63" s="24">
        <f t="shared" si="0"/>
        <v>-100000</v>
      </c>
      <c r="F63" s="24">
        <f t="shared" si="1"/>
        <v>-100</v>
      </c>
      <c r="G63" s="22" t="s">
        <v>180</v>
      </c>
      <c r="H63" s="23" t="s">
        <v>69</v>
      </c>
    </row>
    <row r="64" spans="1:8" x14ac:dyDescent="0.35">
      <c r="A64" s="23" t="s">
        <v>620</v>
      </c>
      <c r="B64" s="24">
        <f>SUMIF('Raw July'!G:G,'TB 0725'!A64,'Raw July'!C:C)</f>
        <v>-134207</v>
      </c>
      <c r="C64" s="24">
        <f>SUMIF('Raw July'!G:G,'TB 0725'!A64,'Raw July'!D:D)</f>
        <v>132207</v>
      </c>
      <c r="D64" s="24">
        <f>SUMIF('Raw July'!G:G,'TB 0725'!A64,'Raw July'!E:E)</f>
        <v>822889</v>
      </c>
      <c r="E64" s="24">
        <f t="shared" si="0"/>
        <v>-824889</v>
      </c>
      <c r="F64" s="24">
        <f t="shared" si="1"/>
        <v>-824.88900000000001</v>
      </c>
      <c r="G64" s="22" t="s">
        <v>180</v>
      </c>
      <c r="H64" s="23" t="s">
        <v>69</v>
      </c>
    </row>
    <row r="65" spans="1:8" x14ac:dyDescent="0.35">
      <c r="A65" s="23" t="s">
        <v>585</v>
      </c>
      <c r="B65" s="24">
        <f>SUMIF('Raw July'!G:G,'TB 0725'!A65,'Raw July'!C:C)</f>
        <v>-5416233.9199999999</v>
      </c>
      <c r="C65" s="24">
        <f>SUMIF('Raw July'!G:G,'TB 0725'!A65,'Raw July'!D:D)</f>
        <v>5416233.9199999999</v>
      </c>
      <c r="D65" s="24">
        <f>SUMIF('Raw July'!G:G,'TB 0725'!A65,'Raw July'!E:E)</f>
        <v>1145386.92</v>
      </c>
      <c r="E65" s="292">
        <f t="shared" si="0"/>
        <v>-1145386.92</v>
      </c>
      <c r="F65" s="24">
        <f t="shared" si="1"/>
        <v>-1145.3869199999999</v>
      </c>
      <c r="G65" s="22" t="s">
        <v>180</v>
      </c>
      <c r="H65" s="23" t="s">
        <v>69</v>
      </c>
    </row>
    <row r="66" spans="1:8" x14ac:dyDescent="0.35">
      <c r="A66" s="23" t="s">
        <v>960</v>
      </c>
      <c r="B66" s="24">
        <f>SUMIF('Raw July'!G:G,'TB 0725'!A66,'Raw July'!C:C)</f>
        <v>-70000</v>
      </c>
      <c r="C66" s="24">
        <f>SUMIF('Raw July'!G:G,'TB 0725'!A66,'Raw July'!D:D)</f>
        <v>70000</v>
      </c>
      <c r="D66" s="24">
        <f>SUMIF('Raw July'!G:G,'TB 0725'!A66,'Raw July'!E:E)</f>
        <v>0</v>
      </c>
      <c r="E66" s="24">
        <f t="shared" si="0"/>
        <v>0</v>
      </c>
      <c r="F66" s="24">
        <f t="shared" si="1"/>
        <v>0</v>
      </c>
      <c r="G66" s="22" t="s">
        <v>180</v>
      </c>
      <c r="H66" s="23" t="s">
        <v>69</v>
      </c>
    </row>
    <row r="67" spans="1:8" x14ac:dyDescent="0.35">
      <c r="A67" s="23" t="s">
        <v>1256</v>
      </c>
      <c r="B67" s="24">
        <f>SUMIF('Raw July'!G:G,'TB 0725'!A67,'Raw July'!C:C)</f>
        <v>-249600</v>
      </c>
      <c r="C67" s="24">
        <f>SUMIF('Raw July'!G:G,'TB 0725'!A67,'Raw July'!D:D)</f>
        <v>86500</v>
      </c>
      <c r="D67" s="24">
        <f>SUMIF('Raw July'!G:G,'TB 0725'!A67,'Raw July'!E:E)</f>
        <v>205000</v>
      </c>
      <c r="E67" s="292">
        <f t="shared" si="0"/>
        <v>-368100</v>
      </c>
      <c r="F67" s="24">
        <f t="shared" si="1"/>
        <v>-368.1</v>
      </c>
      <c r="G67" s="22" t="s">
        <v>180</v>
      </c>
      <c r="H67" s="23" t="s">
        <v>69</v>
      </c>
    </row>
    <row r="68" spans="1:8" x14ac:dyDescent="0.35">
      <c r="A68" s="23" t="s">
        <v>586</v>
      </c>
      <c r="B68" s="24">
        <f>SUMIF('Raw July'!G:G,'TB 0725'!A68,'Raw July'!C:C)</f>
        <v>-68530.03</v>
      </c>
      <c r="C68" s="24">
        <f>SUMIF('Raw July'!G:G,'TB 0725'!A68,'Raw July'!D:D)</f>
        <v>42055</v>
      </c>
      <c r="D68" s="24">
        <f>SUMIF('Raw July'!G:G,'TB 0725'!A68,'Raw July'!E:E)</f>
        <v>84500</v>
      </c>
      <c r="E68" s="292">
        <f t="shared" ref="E68:E131" si="3">B68+C68-D68</f>
        <v>-110975.03</v>
      </c>
      <c r="F68" s="24">
        <f t="shared" ref="F68:F131" si="4">E68/10^3</f>
        <v>-110.97503</v>
      </c>
      <c r="G68" s="22" t="s">
        <v>180</v>
      </c>
      <c r="H68" s="23" t="s">
        <v>69</v>
      </c>
    </row>
    <row r="69" spans="1:8" x14ac:dyDescent="0.35">
      <c r="A69" s="23" t="s">
        <v>1257</v>
      </c>
      <c r="B69" s="24">
        <f>SUMIF('Raw July'!G:G,'TB 0725'!A69,'Raw July'!C:C)</f>
        <v>-97352.74</v>
      </c>
      <c r="C69" s="24">
        <f>SUMIF('Raw July'!G:G,'TB 0725'!A69,'Raw July'!D:D)</f>
        <v>85696.1</v>
      </c>
      <c r="D69" s="24">
        <f>SUMIF('Raw July'!G:G,'TB 0725'!A69,'Raw July'!E:E)</f>
        <v>230110.28</v>
      </c>
      <c r="E69" s="292">
        <f t="shared" si="3"/>
        <v>-241766.91999999998</v>
      </c>
      <c r="F69" s="24">
        <f t="shared" si="4"/>
        <v>-241.76691999999997</v>
      </c>
      <c r="G69" s="22" t="s">
        <v>180</v>
      </c>
      <c r="H69" s="23" t="s">
        <v>69</v>
      </c>
    </row>
    <row r="70" spans="1:8" x14ac:dyDescent="0.35">
      <c r="A70" s="23" t="s">
        <v>1258</v>
      </c>
      <c r="B70" s="24">
        <f>SUMIF('Raw July'!G:G,'TB 0725'!A70,'Raw July'!C:C)</f>
        <v>-20626.669999999998</v>
      </c>
      <c r="C70" s="24">
        <f>SUMIF('Raw July'!G:G,'TB 0725'!A70,'Raw July'!D:D)</f>
        <v>0</v>
      </c>
      <c r="D70" s="24">
        <f>SUMIF('Raw July'!G:G,'TB 0725'!A70,'Raw July'!E:E)</f>
        <v>102513.02</v>
      </c>
      <c r="E70" s="24">
        <f t="shared" si="3"/>
        <v>-123139.69</v>
      </c>
      <c r="F70" s="24">
        <f t="shared" si="4"/>
        <v>-123.13969</v>
      </c>
      <c r="G70" s="22" t="s">
        <v>180</v>
      </c>
      <c r="H70" s="23" t="s">
        <v>69</v>
      </c>
    </row>
    <row r="71" spans="1:8" x14ac:dyDescent="0.35">
      <c r="A71" s="23" t="s">
        <v>425</v>
      </c>
      <c r="B71" s="24">
        <f>SUMIF('Raw July'!G:G,'TB 0725'!A71,'Raw July'!C:C)</f>
        <v>-3760632.35</v>
      </c>
      <c r="C71" s="24">
        <f>SUMIF('Raw July'!G:G,'TB 0725'!A71,'Raw July'!D:D)</f>
        <v>3883730</v>
      </c>
      <c r="D71" s="24">
        <f>SUMIF('Raw July'!G:G,'TB 0725'!A71,'Raw July'!E:E)</f>
        <v>4238967.93</v>
      </c>
      <c r="E71" s="24">
        <f t="shared" si="3"/>
        <v>-4115870.28</v>
      </c>
      <c r="F71" s="24">
        <f t="shared" si="4"/>
        <v>-4115.8702800000001</v>
      </c>
      <c r="G71" s="22" t="s">
        <v>180</v>
      </c>
      <c r="H71" s="23" t="s">
        <v>68</v>
      </c>
    </row>
    <row r="72" spans="1:8" x14ac:dyDescent="0.35">
      <c r="A72" s="23" t="s">
        <v>587</v>
      </c>
      <c r="B72" s="24">
        <f>SUMIF('Raw July'!G:G,'TB 0725'!A72,'Raw July'!C:C)</f>
        <v>-983613</v>
      </c>
      <c r="C72" s="24">
        <f>SUMIF('Raw July'!G:G,'TB 0725'!A72,'Raw July'!D:D)</f>
        <v>0</v>
      </c>
      <c r="D72" s="24">
        <f>SUMIF('Raw July'!G:G,'TB 0725'!A72,'Raw July'!E:E)</f>
        <v>405625</v>
      </c>
      <c r="E72" s="24">
        <f t="shared" si="3"/>
        <v>-1389238</v>
      </c>
      <c r="F72" s="24">
        <f t="shared" si="4"/>
        <v>-1389.2380000000001</v>
      </c>
      <c r="G72" s="22" t="s">
        <v>180</v>
      </c>
      <c r="H72" s="23" t="s">
        <v>68</v>
      </c>
    </row>
    <row r="73" spans="1:8" x14ac:dyDescent="0.35">
      <c r="A73" s="23" t="s">
        <v>588</v>
      </c>
      <c r="B73" s="24">
        <f>SUMIF('Raw July'!G:G,'TB 0725'!A73,'Raw July'!C:C)</f>
        <v>97323327.859999999</v>
      </c>
      <c r="C73" s="24">
        <f>SUMIF('Raw July'!G:G,'TB 0725'!A73,'Raw July'!D:D)</f>
        <v>0</v>
      </c>
      <c r="D73" s="24">
        <f>SUMIF('Raw July'!G:G,'TB 0725'!A73,'Raw July'!E:E)</f>
        <v>0</v>
      </c>
      <c r="E73" s="24">
        <f t="shared" si="3"/>
        <v>97323327.859999999</v>
      </c>
      <c r="F73" s="24">
        <f t="shared" si="4"/>
        <v>97323.327860000005</v>
      </c>
      <c r="G73" s="22" t="s">
        <v>180</v>
      </c>
      <c r="H73" s="23" t="s">
        <v>64</v>
      </c>
    </row>
    <row r="74" spans="1:8" x14ac:dyDescent="0.35">
      <c r="A74" s="23" t="s">
        <v>589</v>
      </c>
      <c r="B74" s="24">
        <f>SUMIF('Raw July'!G:G,'TB 0725'!A74,'Raw July'!C:C)</f>
        <v>-100000</v>
      </c>
      <c r="C74" s="24">
        <f>SUMIF('Raw July'!G:G,'TB 0725'!A74,'Raw July'!D:D)</f>
        <v>0</v>
      </c>
      <c r="D74" s="24">
        <f>SUMIF('Raw July'!G:G,'TB 0725'!A74,'Raw July'!E:E)</f>
        <v>0</v>
      </c>
      <c r="E74" s="24">
        <f t="shared" si="3"/>
        <v>-100000</v>
      </c>
      <c r="F74" s="24">
        <f t="shared" si="4"/>
        <v>-100</v>
      </c>
      <c r="G74" s="22" t="s">
        <v>180</v>
      </c>
      <c r="H74" s="23" t="s">
        <v>63</v>
      </c>
    </row>
    <row r="75" spans="1:8" x14ac:dyDescent="0.35">
      <c r="A75" s="23" t="s">
        <v>698</v>
      </c>
      <c r="B75" s="24">
        <f>SUMIF('Raw July'!G:G,'TB 0725'!A75,'Raw July'!C:C)</f>
        <v>-10</v>
      </c>
      <c r="C75" s="24">
        <f>SUMIF('Raw July'!G:G,'TB 0725'!A75,'Raw July'!D:D)</f>
        <v>0</v>
      </c>
      <c r="D75" s="24">
        <f>SUMIF('Raw July'!G:G,'TB 0725'!A75,'Raw July'!E:E)</f>
        <v>0</v>
      </c>
      <c r="E75" s="24">
        <f t="shared" si="3"/>
        <v>-10</v>
      </c>
      <c r="F75" s="24">
        <f t="shared" si="4"/>
        <v>-0.01</v>
      </c>
      <c r="G75" s="22" t="s">
        <v>180</v>
      </c>
      <c r="H75" s="23" t="s">
        <v>63</v>
      </c>
    </row>
    <row r="76" spans="1:8" x14ac:dyDescent="0.35">
      <c r="A76" s="23" t="s">
        <v>699</v>
      </c>
      <c r="B76" s="24">
        <f>SUMIF('Raw July'!G:G,'TB 0725'!A76,'Raw July'!C:C)</f>
        <v>-5463300</v>
      </c>
      <c r="C76" s="24">
        <f>SUMIF('Raw July'!G:G,'TB 0725'!A76,'Raw July'!D:D)</f>
        <v>0</v>
      </c>
      <c r="D76" s="24">
        <f>SUMIF('Raw July'!G:G,'TB 0725'!A76,'Raw July'!E:E)</f>
        <v>0</v>
      </c>
      <c r="E76" s="24">
        <f t="shared" si="3"/>
        <v>-5463300</v>
      </c>
      <c r="F76" s="24">
        <f t="shared" si="4"/>
        <v>-5463.3</v>
      </c>
      <c r="G76" s="22" t="s">
        <v>180</v>
      </c>
      <c r="H76" s="23" t="s">
        <v>63</v>
      </c>
    </row>
    <row r="77" spans="1:8" x14ac:dyDescent="0.35">
      <c r="A77" s="23" t="s">
        <v>700</v>
      </c>
      <c r="B77" s="24">
        <f>SUMIF('Raw July'!G:G,'TB 0725'!A77,'Raw July'!C:C)</f>
        <v>-10800</v>
      </c>
      <c r="C77" s="24">
        <f>SUMIF('Raw July'!G:G,'TB 0725'!A77,'Raw July'!D:D)</f>
        <v>0</v>
      </c>
      <c r="D77" s="24">
        <f>SUMIF('Raw July'!G:G,'TB 0725'!A77,'Raw July'!E:E)</f>
        <v>0</v>
      </c>
      <c r="E77" s="24">
        <f t="shared" si="3"/>
        <v>-10800</v>
      </c>
      <c r="F77" s="24">
        <f t="shared" si="4"/>
        <v>-10.8</v>
      </c>
      <c r="G77" s="22" t="s">
        <v>180</v>
      </c>
      <c r="H77" s="23" t="s">
        <v>63</v>
      </c>
    </row>
    <row r="78" spans="1:8" x14ac:dyDescent="0.35">
      <c r="A78" s="23" t="s">
        <v>1259</v>
      </c>
      <c r="B78" s="24">
        <f>SUMIF('Raw July'!G:G,'TB 0725'!A78,'Raw July'!C:C)</f>
        <v>-3772700</v>
      </c>
      <c r="C78" s="24">
        <f>SUMIF('Raw July'!G:G,'TB 0725'!A78,'Raw July'!D:D)</f>
        <v>0</v>
      </c>
      <c r="D78" s="24">
        <f>SUMIF('Raw July'!G:G,'TB 0725'!A78,'Raw July'!E:E)</f>
        <v>0</v>
      </c>
      <c r="E78" s="24">
        <f t="shared" si="3"/>
        <v>-3772700</v>
      </c>
      <c r="F78" s="24">
        <f t="shared" si="4"/>
        <v>-3772.7</v>
      </c>
      <c r="G78" s="22" t="s">
        <v>180</v>
      </c>
      <c r="H78" s="23" t="s">
        <v>63</v>
      </c>
    </row>
    <row r="79" spans="1:8" x14ac:dyDescent="0.35">
      <c r="A79" s="23" t="s">
        <v>590</v>
      </c>
      <c r="B79" s="24">
        <f>SUMIF('Raw July'!G:G,'TB 0725'!A79,'Raw July'!C:C)</f>
        <v>-10</v>
      </c>
      <c r="C79" s="24">
        <f>SUMIF('Raw July'!G:G,'TB 0725'!A79,'Raw July'!D:D)</f>
        <v>0</v>
      </c>
      <c r="D79" s="24">
        <f>SUMIF('Raw July'!G:G,'TB 0725'!A79,'Raw July'!E:E)</f>
        <v>0</v>
      </c>
      <c r="E79" s="24">
        <f t="shared" si="3"/>
        <v>-10</v>
      </c>
      <c r="F79" s="24">
        <f t="shared" si="4"/>
        <v>-0.01</v>
      </c>
      <c r="G79" s="22" t="s">
        <v>180</v>
      </c>
      <c r="H79" s="23" t="s">
        <v>63</v>
      </c>
    </row>
    <row r="80" spans="1:8" x14ac:dyDescent="0.35">
      <c r="A80" s="23" t="s">
        <v>591</v>
      </c>
      <c r="B80" s="24">
        <f>SUMIF('Raw July'!G:G,'TB 0725'!A80,'Raw July'!C:C)</f>
        <v>-6497900</v>
      </c>
      <c r="C80" s="24">
        <f>SUMIF('Raw July'!G:G,'TB 0725'!A80,'Raw July'!D:D)</f>
        <v>0</v>
      </c>
      <c r="D80" s="24">
        <f>SUMIF('Raw July'!G:G,'TB 0725'!A80,'Raw July'!E:E)</f>
        <v>0</v>
      </c>
      <c r="E80" s="24">
        <f t="shared" si="3"/>
        <v>-6497900</v>
      </c>
      <c r="F80" s="24">
        <f t="shared" si="4"/>
        <v>-6497.9</v>
      </c>
      <c r="G80" s="22" t="s">
        <v>180</v>
      </c>
      <c r="H80" s="23" t="s">
        <v>63</v>
      </c>
    </row>
    <row r="81" spans="1:8" x14ac:dyDescent="0.35">
      <c r="A81" s="23" t="s">
        <v>701</v>
      </c>
      <c r="B81" s="24">
        <f>SUMIF('Raw July'!G:G,'TB 0725'!A81,'Raw July'!C:C)</f>
        <v>-16200</v>
      </c>
      <c r="C81" s="24">
        <f>SUMIF('Raw July'!G:G,'TB 0725'!A81,'Raw July'!D:D)</f>
        <v>0</v>
      </c>
      <c r="D81" s="24">
        <f>SUMIF('Raw July'!G:G,'TB 0725'!A81,'Raw July'!E:E)</f>
        <v>0</v>
      </c>
      <c r="E81" s="24">
        <f t="shared" si="3"/>
        <v>-16200</v>
      </c>
      <c r="F81" s="24">
        <f t="shared" si="4"/>
        <v>-16.2</v>
      </c>
      <c r="G81" s="22" t="s">
        <v>180</v>
      </c>
      <c r="H81" s="23" t="s">
        <v>63</v>
      </c>
    </row>
    <row r="82" spans="1:8" x14ac:dyDescent="0.35">
      <c r="A82" s="23" t="s">
        <v>702</v>
      </c>
      <c r="B82" s="24">
        <f>SUMIF('Raw July'!G:G,'TB 0725'!A82,'Raw July'!C:C)</f>
        <v>-5400</v>
      </c>
      <c r="C82" s="24">
        <f>SUMIF('Raw July'!G:G,'TB 0725'!A82,'Raw July'!D:D)</f>
        <v>0</v>
      </c>
      <c r="D82" s="24">
        <f>SUMIF('Raw July'!G:G,'TB 0725'!A82,'Raw July'!E:E)</f>
        <v>0</v>
      </c>
      <c r="E82" s="24">
        <f t="shared" si="3"/>
        <v>-5400</v>
      </c>
      <c r="F82" s="24">
        <f t="shared" si="4"/>
        <v>-5.4</v>
      </c>
      <c r="G82" s="22" t="s">
        <v>180</v>
      </c>
      <c r="H82" s="23" t="s">
        <v>63</v>
      </c>
    </row>
    <row r="83" spans="1:8" x14ac:dyDescent="0.35">
      <c r="A83" s="23" t="s">
        <v>703</v>
      </c>
      <c r="B83" s="24">
        <f>SUMIF('Raw July'!G:G,'TB 0725'!A83,'Raw July'!C:C)</f>
        <v>-37800</v>
      </c>
      <c r="C83" s="24">
        <f>SUMIF('Raw July'!G:G,'TB 0725'!A83,'Raw July'!D:D)</f>
        <v>0</v>
      </c>
      <c r="D83" s="24">
        <f>SUMIF('Raw July'!G:G,'TB 0725'!A83,'Raw July'!E:E)</f>
        <v>0</v>
      </c>
      <c r="E83" s="24">
        <f t="shared" si="3"/>
        <v>-37800</v>
      </c>
      <c r="F83" s="24">
        <f t="shared" si="4"/>
        <v>-37.799999999999997</v>
      </c>
      <c r="G83" s="22" t="s">
        <v>180</v>
      </c>
      <c r="H83" s="23" t="s">
        <v>63</v>
      </c>
    </row>
    <row r="84" spans="1:8" x14ac:dyDescent="0.35">
      <c r="A84" s="23" t="s">
        <v>592</v>
      </c>
      <c r="B84" s="24">
        <f>SUMIF('Raw July'!G:G,'TB 0725'!A84,'Raw July'!C:C)</f>
        <v>-2162702583.21</v>
      </c>
      <c r="C84" s="24">
        <f>SUMIF('Raw July'!G:G,'TB 0725'!A84,'Raw July'!D:D)</f>
        <v>0</v>
      </c>
      <c r="D84" s="24">
        <f>SUMIF('Raw July'!G:G,'TB 0725'!A84,'Raw July'!E:E)</f>
        <v>0</v>
      </c>
      <c r="E84" s="24">
        <f t="shared" si="3"/>
        <v>-2162702583.21</v>
      </c>
      <c r="F84" s="24">
        <f t="shared" si="4"/>
        <v>-2162702.5832099998</v>
      </c>
      <c r="G84" s="22" t="s">
        <v>180</v>
      </c>
      <c r="H84" s="23" t="s">
        <v>64</v>
      </c>
    </row>
    <row r="85" spans="1:8" x14ac:dyDescent="0.35">
      <c r="A85" s="23" t="s">
        <v>704</v>
      </c>
      <c r="B85" s="24">
        <f>SUMIF('Raw July'!G:G,'TB 0725'!A85,'Raw July'!C:C)</f>
        <v>-5400</v>
      </c>
      <c r="C85" s="24">
        <f>SUMIF('Raw July'!G:G,'TB 0725'!A85,'Raw July'!D:D)</f>
        <v>0</v>
      </c>
      <c r="D85" s="24">
        <f>SUMIF('Raw July'!G:G,'TB 0725'!A85,'Raw July'!E:E)</f>
        <v>0</v>
      </c>
      <c r="E85" s="24">
        <f t="shared" si="3"/>
        <v>-5400</v>
      </c>
      <c r="F85" s="24">
        <f t="shared" si="4"/>
        <v>-5.4</v>
      </c>
      <c r="G85" s="22" t="s">
        <v>180</v>
      </c>
      <c r="H85" s="23" t="s">
        <v>63</v>
      </c>
    </row>
    <row r="86" spans="1:8" x14ac:dyDescent="0.35">
      <c r="A86" s="23" t="s">
        <v>705</v>
      </c>
      <c r="B86" s="24">
        <f>SUMIF('Raw July'!G:G,'TB 0725'!A86,'Raw July'!C:C)</f>
        <v>-5400</v>
      </c>
      <c r="C86" s="24">
        <f>SUMIF('Raw July'!G:G,'TB 0725'!A86,'Raw July'!D:D)</f>
        <v>0</v>
      </c>
      <c r="D86" s="24">
        <f>SUMIF('Raw July'!G:G,'TB 0725'!A86,'Raw July'!E:E)</f>
        <v>0</v>
      </c>
      <c r="E86" s="24">
        <f t="shared" si="3"/>
        <v>-5400</v>
      </c>
      <c r="F86" s="24">
        <f t="shared" si="4"/>
        <v>-5.4</v>
      </c>
      <c r="G86" s="22" t="s">
        <v>180</v>
      </c>
      <c r="H86" s="23" t="s">
        <v>63</v>
      </c>
    </row>
    <row r="87" spans="1:8" x14ac:dyDescent="0.35">
      <c r="A87" s="23" t="s">
        <v>706</v>
      </c>
      <c r="B87" s="24">
        <f>SUMIF('Raw July'!G:G,'TB 0725'!A87,'Raw July'!C:C)</f>
        <v>-5400</v>
      </c>
      <c r="C87" s="24">
        <f>SUMIF('Raw July'!G:G,'TB 0725'!A87,'Raw July'!D:D)</f>
        <v>0</v>
      </c>
      <c r="D87" s="24">
        <f>SUMIF('Raw July'!G:G,'TB 0725'!A87,'Raw July'!E:E)</f>
        <v>0</v>
      </c>
      <c r="E87" s="24">
        <f t="shared" si="3"/>
        <v>-5400</v>
      </c>
      <c r="F87" s="24">
        <f t="shared" si="4"/>
        <v>-5.4</v>
      </c>
      <c r="G87" s="22" t="s">
        <v>180</v>
      </c>
      <c r="H87" s="23" t="s">
        <v>63</v>
      </c>
    </row>
    <row r="88" spans="1:8" x14ac:dyDescent="0.35">
      <c r="A88" s="23" t="s">
        <v>707</v>
      </c>
      <c r="B88" s="24">
        <f>SUMIF('Raw July'!G:G,'TB 0725'!A88,'Raw July'!C:C)</f>
        <v>-37800</v>
      </c>
      <c r="C88" s="24">
        <f>SUMIF('Raw July'!G:G,'TB 0725'!A88,'Raw July'!D:D)</f>
        <v>0</v>
      </c>
      <c r="D88" s="24">
        <f>SUMIF('Raw July'!G:G,'TB 0725'!A88,'Raw July'!E:E)</f>
        <v>0</v>
      </c>
      <c r="E88" s="24">
        <f t="shared" si="3"/>
        <v>-37800</v>
      </c>
      <c r="F88" s="24">
        <f t="shared" si="4"/>
        <v>-37.799999999999997</v>
      </c>
      <c r="G88" s="22" t="s">
        <v>180</v>
      </c>
      <c r="H88" s="23" t="s">
        <v>63</v>
      </c>
    </row>
    <row r="89" spans="1:8" x14ac:dyDescent="0.35">
      <c r="A89" s="23" t="s">
        <v>593</v>
      </c>
      <c r="B89" s="24">
        <f>SUMIF('Raw July'!G:G,'TB 0725'!A89,'Raw July'!C:C)</f>
        <v>58903866.530000001</v>
      </c>
      <c r="C89" s="24">
        <f>SUMIF('Raw July'!G:G,'TB 0725'!A89,'Raw July'!D:D)</f>
        <v>0</v>
      </c>
      <c r="D89" s="24">
        <f>SUMIF('Raw July'!G:G,'TB 0725'!A89,'Raw July'!E:E)</f>
        <v>0</v>
      </c>
      <c r="E89" s="24">
        <f t="shared" si="3"/>
        <v>58903866.530000001</v>
      </c>
      <c r="F89" s="24">
        <f t="shared" si="4"/>
        <v>58903.866529999999</v>
      </c>
      <c r="G89" s="22" t="s">
        <v>180</v>
      </c>
      <c r="H89" s="23" t="s">
        <v>64</v>
      </c>
    </row>
    <row r="90" spans="1:8" x14ac:dyDescent="0.35">
      <c r="A90" s="23" t="s">
        <v>594</v>
      </c>
      <c r="B90" s="24">
        <f>SUMIF('Raw July'!G:G,'TB 0725'!A90,'Raw July'!C:C)</f>
        <v>0</v>
      </c>
      <c r="C90" s="24">
        <f>SUMIF('Raw July'!G:G,'TB 0725'!A90,'Raw July'!D:D)</f>
        <v>18630269</v>
      </c>
      <c r="D90" s="24">
        <f>SUMIF('Raw July'!G:G,'TB 0725'!A90,'Raw July'!E:E)</f>
        <v>28647020</v>
      </c>
      <c r="E90" s="24">
        <f t="shared" si="3"/>
        <v>-10016751</v>
      </c>
      <c r="F90" s="24">
        <f t="shared" si="4"/>
        <v>-10016.751</v>
      </c>
      <c r="G90" s="22" t="s">
        <v>184</v>
      </c>
      <c r="H90" s="23" t="s">
        <v>49</v>
      </c>
    </row>
    <row r="91" spans="1:8" x14ac:dyDescent="0.35">
      <c r="A91" s="23" t="s">
        <v>287</v>
      </c>
      <c r="B91" s="24">
        <f>SUMIF('Raw July'!G:G,'TB 0725'!A91,'Raw July'!C:C)</f>
        <v>0</v>
      </c>
      <c r="C91" s="24">
        <f>SUMIF('Raw July'!G:G,'TB 0725'!A91,'Raw July'!D:D)</f>
        <v>140000</v>
      </c>
      <c r="D91" s="24">
        <f>SUMIF('Raw July'!G:G,'TB 0725'!A91,'Raw July'!E:E)</f>
        <v>0</v>
      </c>
      <c r="E91" s="24">
        <f t="shared" si="3"/>
        <v>140000</v>
      </c>
      <c r="F91" s="24">
        <f t="shared" si="4"/>
        <v>140</v>
      </c>
      <c r="G91" s="22" t="s">
        <v>182</v>
      </c>
      <c r="H91" s="23" t="s">
        <v>41</v>
      </c>
    </row>
    <row r="92" spans="1:8" x14ac:dyDescent="0.35">
      <c r="A92" s="23" t="s">
        <v>595</v>
      </c>
      <c r="B92" s="24">
        <f>SUMIF('Raw July'!G:G,'TB 0725'!A92,'Raw July'!C:C)</f>
        <v>0</v>
      </c>
      <c r="C92" s="24">
        <f>SUMIF('Raw July'!G:G,'TB 0725'!A92,'Raw July'!D:D)</f>
        <v>5480.15</v>
      </c>
      <c r="D92" s="24">
        <f>SUMIF('Raw July'!G:G,'TB 0725'!A92,'Raw July'!E:E)</f>
        <v>0</v>
      </c>
      <c r="E92" s="24">
        <f t="shared" si="3"/>
        <v>5480.15</v>
      </c>
      <c r="F92" s="24">
        <f t="shared" si="4"/>
        <v>5.4801500000000001</v>
      </c>
      <c r="G92" s="22" t="s">
        <v>182</v>
      </c>
      <c r="H92" s="23" t="s">
        <v>43</v>
      </c>
    </row>
    <row r="93" spans="1:8" x14ac:dyDescent="0.35">
      <c r="A93" s="23" t="s">
        <v>38</v>
      </c>
      <c r="B93" s="24">
        <f>SUMIF('Raw July'!G:G,'TB 0725'!A93,'Raw July'!C:C)</f>
        <v>0</v>
      </c>
      <c r="C93" s="24">
        <f>SUMIF('Raw July'!G:G,'TB 0725'!A93,'Raw July'!D:D)</f>
        <v>4461048.99</v>
      </c>
      <c r="D93" s="24">
        <f>SUMIF('Raw July'!G:G,'TB 0725'!A93,'Raw July'!E:E)</f>
        <v>0</v>
      </c>
      <c r="E93" s="24">
        <f t="shared" si="3"/>
        <v>4461048.99</v>
      </c>
      <c r="F93" s="24">
        <f t="shared" si="4"/>
        <v>4461.0489900000002</v>
      </c>
      <c r="G93" s="22" t="s">
        <v>182</v>
      </c>
      <c r="H93" s="23" t="s">
        <v>38</v>
      </c>
    </row>
    <row r="94" spans="1:8" x14ac:dyDescent="0.35">
      <c r="A94" s="23" t="s">
        <v>409</v>
      </c>
      <c r="B94" s="24">
        <f>SUMIF('Raw July'!G:G,'TB 0725'!A94,'Raw July'!C:C)</f>
        <v>0</v>
      </c>
      <c r="C94" s="24">
        <f>SUMIF('Raw July'!G:G,'TB 0725'!A94,'Raw July'!D:D)</f>
        <v>85000</v>
      </c>
      <c r="D94" s="24">
        <f>SUMIF('Raw July'!G:G,'TB 0725'!A94,'Raw July'!E:E)</f>
        <v>0</v>
      </c>
      <c r="E94" s="24">
        <f t="shared" si="3"/>
        <v>85000</v>
      </c>
      <c r="F94" s="24">
        <f t="shared" si="4"/>
        <v>85</v>
      </c>
      <c r="G94" s="22" t="s">
        <v>182</v>
      </c>
      <c r="H94" s="23" t="s">
        <v>958</v>
      </c>
    </row>
    <row r="95" spans="1:8" x14ac:dyDescent="0.35">
      <c r="A95" s="23" t="s">
        <v>296</v>
      </c>
      <c r="B95" s="24">
        <f>SUMIF('Raw July'!G:G,'TB 0725'!A95,'Raw July'!C:C)</f>
        <v>0</v>
      </c>
      <c r="C95" s="24">
        <f>SUMIF('Raw July'!G:G,'TB 0725'!A95,'Raw July'!D:D)</f>
        <v>7557785.9699999997</v>
      </c>
      <c r="D95" s="24">
        <f>SUMIF('Raw July'!G:G,'TB 0725'!A95,'Raw July'!E:E)</f>
        <v>422377.1</v>
      </c>
      <c r="E95" s="24">
        <f t="shared" si="3"/>
        <v>7135408.8700000001</v>
      </c>
      <c r="F95" s="24">
        <f t="shared" si="4"/>
        <v>7135.4088700000002</v>
      </c>
      <c r="G95" s="22" t="s">
        <v>182</v>
      </c>
      <c r="H95" s="23" t="s">
        <v>37</v>
      </c>
    </row>
    <row r="96" spans="1:8" x14ac:dyDescent="0.35">
      <c r="A96" s="23" t="s">
        <v>34</v>
      </c>
      <c r="B96" s="24">
        <f>SUMIF('Raw July'!G:G,'TB 0725'!A96,'Raw July'!C:C)</f>
        <v>0</v>
      </c>
      <c r="C96" s="24">
        <f>SUMIF('Raw July'!G:G,'TB 0725'!A96,'Raw July'!D:D)</f>
        <v>1160261.1399999999</v>
      </c>
      <c r="D96" s="24">
        <f>SUMIF('Raw July'!G:G,'TB 0725'!A96,'Raw July'!E:E)</f>
        <v>599093.37</v>
      </c>
      <c r="E96" s="24">
        <f t="shared" si="3"/>
        <v>561167.7699999999</v>
      </c>
      <c r="F96" s="24">
        <f t="shared" si="4"/>
        <v>561.1677699999999</v>
      </c>
      <c r="G96" s="22" t="s">
        <v>182</v>
      </c>
      <c r="H96" s="23" t="s">
        <v>34</v>
      </c>
    </row>
    <row r="97" spans="1:8" x14ac:dyDescent="0.35">
      <c r="A97" s="23" t="s">
        <v>596</v>
      </c>
      <c r="B97" s="24">
        <f>SUMIF('Raw July'!G:G,'TB 0725'!A97,'Raw July'!C:C)</f>
        <v>0</v>
      </c>
      <c r="C97" s="24">
        <f>SUMIF('Raw July'!G:G,'TB 0725'!A97,'Raw July'!D:D)</f>
        <v>338102.46</v>
      </c>
      <c r="D97" s="24">
        <f>SUMIF('Raw July'!G:G,'TB 0725'!A97,'Raw July'!E:E)</f>
        <v>0</v>
      </c>
      <c r="E97" s="24">
        <f t="shared" si="3"/>
        <v>338102.46</v>
      </c>
      <c r="F97" s="24">
        <f t="shared" si="4"/>
        <v>338.10246000000001</v>
      </c>
      <c r="G97" s="22" t="s">
        <v>182</v>
      </c>
      <c r="H97" s="23" t="s">
        <v>48</v>
      </c>
    </row>
    <row r="98" spans="1:8" x14ac:dyDescent="0.35">
      <c r="A98" s="23" t="s">
        <v>777</v>
      </c>
      <c r="B98" s="24">
        <f>SUMIF('Raw July'!G:G,'TB 0725'!A98,'Raw July'!C:C)</f>
        <v>0</v>
      </c>
      <c r="C98" s="24">
        <f>SUMIF('Raw July'!G:G,'TB 0725'!A98,'Raw July'!D:D)</f>
        <v>621</v>
      </c>
      <c r="D98" s="24">
        <f>SUMIF('Raw July'!G:G,'TB 0725'!A98,'Raw July'!E:E)</f>
        <v>0</v>
      </c>
      <c r="E98" s="24">
        <f t="shared" si="3"/>
        <v>621</v>
      </c>
      <c r="F98" s="24">
        <f t="shared" si="4"/>
        <v>0.621</v>
      </c>
      <c r="G98" s="22" t="s">
        <v>182</v>
      </c>
      <c r="H98" s="23" t="s">
        <v>417</v>
      </c>
    </row>
    <row r="99" spans="1:8" x14ac:dyDescent="0.35">
      <c r="A99" s="23" t="s">
        <v>109</v>
      </c>
      <c r="B99" s="24">
        <f>SUMIF('Raw July'!G:G,'TB 0725'!A99,'Raw July'!C:C)</f>
        <v>0</v>
      </c>
      <c r="C99" s="24">
        <f>SUMIF('Raw July'!G:G,'TB 0725'!A99,'Raw July'!D:D)</f>
        <v>306782</v>
      </c>
      <c r="D99" s="24">
        <f>SUMIF('Raw July'!G:G,'TB 0725'!A99,'Raw July'!E:E)</f>
        <v>0</v>
      </c>
      <c r="E99" s="24">
        <f t="shared" si="3"/>
        <v>306782</v>
      </c>
      <c r="F99" s="24">
        <f t="shared" si="4"/>
        <v>306.78199999999998</v>
      </c>
      <c r="G99" s="22" t="s">
        <v>182</v>
      </c>
    </row>
    <row r="100" spans="1:8" x14ac:dyDescent="0.35">
      <c r="A100" s="23" t="s">
        <v>1289</v>
      </c>
      <c r="B100" s="24">
        <f>SUMIF('Raw July'!G:G,'TB 0725'!A100,'Raw July'!C:C)</f>
        <v>0</v>
      </c>
      <c r="C100" s="24">
        <f>SUMIF('Raw July'!G:G,'TB 0725'!A100,'Raw July'!D:D)</f>
        <v>50000</v>
      </c>
      <c r="D100" s="24">
        <f>SUMIF('Raw July'!G:G,'TB 0725'!A100,'Raw July'!E:E)</f>
        <v>0</v>
      </c>
      <c r="E100" s="24">
        <f t="shared" si="3"/>
        <v>50000</v>
      </c>
      <c r="F100" s="24">
        <f t="shared" si="4"/>
        <v>50</v>
      </c>
      <c r="G100" s="22" t="s">
        <v>182</v>
      </c>
      <c r="H100" s="23" t="s">
        <v>417</v>
      </c>
    </row>
    <row r="101" spans="1:8" x14ac:dyDescent="0.35">
      <c r="A101" s="23" t="s">
        <v>597</v>
      </c>
      <c r="B101" s="24">
        <f>SUMIF('Raw July'!G:G,'TB 0725'!A101,'Raw July'!C:C)</f>
        <v>0</v>
      </c>
      <c r="C101" s="24">
        <f>SUMIF('Raw July'!G:G,'TB 0725'!A101,'Raw July'!D:D)</f>
        <v>30414.44</v>
      </c>
      <c r="D101" s="24">
        <f>SUMIF('Raw July'!G:G,'TB 0725'!A101,'Raw July'!E:E)</f>
        <v>0</v>
      </c>
      <c r="E101" s="24">
        <f t="shared" si="3"/>
        <v>30414.44</v>
      </c>
      <c r="F101" s="24">
        <f t="shared" si="4"/>
        <v>30.414439999999999</v>
      </c>
      <c r="G101" s="22" t="s">
        <v>182</v>
      </c>
      <c r="H101" s="23" t="s">
        <v>417</v>
      </c>
    </row>
    <row r="102" spans="1:8" x14ac:dyDescent="0.35">
      <c r="A102" s="23" t="s">
        <v>598</v>
      </c>
      <c r="B102" s="24">
        <f>SUMIF('Raw July'!G:G,'TB 0725'!A102,'Raw July'!C:C)</f>
        <v>0</v>
      </c>
      <c r="C102" s="24">
        <f>SUMIF('Raw July'!G:G,'TB 0725'!A102,'Raw July'!D:D)</f>
        <v>1259881.1399999999</v>
      </c>
      <c r="D102" s="24">
        <f>SUMIF('Raw July'!G:G,'TB 0725'!A102,'Raw July'!E:E)</f>
        <v>258532.1</v>
      </c>
      <c r="E102" s="24">
        <f t="shared" si="3"/>
        <v>1001349.0399999999</v>
      </c>
      <c r="F102" s="24">
        <f t="shared" si="4"/>
        <v>1001.3490399999999</v>
      </c>
      <c r="G102" s="22" t="s">
        <v>182</v>
      </c>
      <c r="H102" s="23" t="s">
        <v>417</v>
      </c>
    </row>
    <row r="103" spans="1:8" x14ac:dyDescent="0.35">
      <c r="A103" s="23" t="s">
        <v>599</v>
      </c>
      <c r="B103" s="24">
        <f>SUMIF('Raw July'!G:G,'TB 0725'!A103,'Raw July'!C:C)</f>
        <v>0</v>
      </c>
      <c r="C103" s="24">
        <f>SUMIF('Raw July'!G:G,'TB 0725'!A103,'Raw July'!D:D)</f>
        <v>405625</v>
      </c>
      <c r="D103" s="24">
        <f>SUMIF('Raw July'!G:G,'TB 0725'!A103,'Raw July'!E:E)</f>
        <v>0</v>
      </c>
      <c r="E103" s="24">
        <f t="shared" si="3"/>
        <v>405625</v>
      </c>
      <c r="F103" s="24">
        <f t="shared" si="4"/>
        <v>405.625</v>
      </c>
      <c r="G103" s="22" t="s">
        <v>182</v>
      </c>
      <c r="H103" s="23" t="s">
        <v>417</v>
      </c>
    </row>
    <row r="104" spans="1:8" x14ac:dyDescent="0.35">
      <c r="A104" s="23" t="s">
        <v>417</v>
      </c>
      <c r="B104" s="24">
        <f>SUMIF('Raw July'!G:G,'TB 0725'!A104,'Raw July'!C:C)</f>
        <v>0</v>
      </c>
      <c r="C104" s="24">
        <f>SUMIF('Raw July'!G:G,'TB 0725'!A104,'Raw July'!D:D)</f>
        <v>23832.77</v>
      </c>
      <c r="D104" s="24">
        <f>SUMIF('Raw July'!G:G,'TB 0725'!A104,'Raw July'!E:E)</f>
        <v>65547.399999999994</v>
      </c>
      <c r="E104" s="24">
        <f t="shared" si="3"/>
        <v>-41714.62999999999</v>
      </c>
      <c r="F104" s="24">
        <f t="shared" si="4"/>
        <v>-41.714629999999993</v>
      </c>
      <c r="G104" s="22" t="s">
        <v>182</v>
      </c>
      <c r="H104" s="23" t="s">
        <v>417</v>
      </c>
    </row>
    <row r="105" spans="1:8" x14ac:dyDescent="0.35">
      <c r="A105" s="23" t="s">
        <v>759</v>
      </c>
      <c r="B105" s="24">
        <f>SUMIF('Raw July'!G:G,'TB 0725'!A105,'Raw July'!C:C)</f>
        <v>0</v>
      </c>
      <c r="C105" s="24">
        <f>SUMIF('Raw July'!G:G,'TB 0725'!A105,'Raw July'!D:D)</f>
        <v>787000</v>
      </c>
      <c r="D105" s="24">
        <f>SUMIF('Raw July'!G:G,'TB 0725'!A105,'Raw July'!E:E)</f>
        <v>0</v>
      </c>
      <c r="E105" s="24">
        <f t="shared" si="3"/>
        <v>787000</v>
      </c>
      <c r="F105" s="24">
        <f t="shared" si="4"/>
        <v>787</v>
      </c>
      <c r="G105" s="22" t="s">
        <v>182</v>
      </c>
      <c r="H105" s="23" t="s">
        <v>26</v>
      </c>
    </row>
    <row r="106" spans="1:8" x14ac:dyDescent="0.35">
      <c r="A106" s="23" t="s">
        <v>778</v>
      </c>
      <c r="B106" s="24">
        <f>SUMIF('Raw July'!G:G,'TB 0725'!A106,'Raw July'!C:C)</f>
        <v>0</v>
      </c>
      <c r="C106" s="24">
        <f>SUMIF('Raw July'!G:G,'TB 0725'!A106,'Raw July'!D:D)</f>
        <v>93989.42</v>
      </c>
      <c r="D106" s="24">
        <f>SUMIF('Raw July'!G:G,'TB 0725'!A106,'Raw July'!E:E)</f>
        <v>0</v>
      </c>
      <c r="E106" s="24">
        <f t="shared" si="3"/>
        <v>93989.42</v>
      </c>
      <c r="F106" s="24">
        <f t="shared" si="4"/>
        <v>93.989419999999996</v>
      </c>
      <c r="G106" s="22" t="s">
        <v>182</v>
      </c>
      <c r="H106" s="23" t="s">
        <v>26</v>
      </c>
    </row>
    <row r="107" spans="1:8" x14ac:dyDescent="0.35">
      <c r="A107" s="23" t="s">
        <v>1262</v>
      </c>
      <c r="B107" s="24">
        <f>SUMIF('Raw July'!G:G,'TB 0725'!A107,'Raw July'!C:C)</f>
        <v>0</v>
      </c>
      <c r="C107" s="24">
        <f>SUMIF('Raw July'!G:G,'TB 0725'!A107,'Raw July'!D:D)</f>
        <v>2741.19</v>
      </c>
      <c r="D107" s="24">
        <f>SUMIF('Raw July'!G:G,'TB 0725'!A107,'Raw July'!E:E)</f>
        <v>0</v>
      </c>
      <c r="E107" s="24">
        <f t="shared" si="3"/>
        <v>2741.19</v>
      </c>
      <c r="F107" s="24">
        <f t="shared" si="4"/>
        <v>2.74119</v>
      </c>
      <c r="G107" s="22" t="s">
        <v>182</v>
      </c>
      <c r="H107" s="23" t="s">
        <v>43</v>
      </c>
    </row>
    <row r="108" spans="1:8" x14ac:dyDescent="0.35">
      <c r="A108" s="23" t="s">
        <v>600</v>
      </c>
      <c r="B108" s="24">
        <f>SUMIF('Raw July'!G:G,'TB 0725'!A108,'Raw July'!C:C)</f>
        <v>0</v>
      </c>
      <c r="C108" s="24">
        <f>SUMIF('Raw July'!G:G,'TB 0725'!A108,'Raw July'!D:D)</f>
        <v>430150</v>
      </c>
      <c r="D108" s="24">
        <f>SUMIF('Raw July'!G:G,'TB 0725'!A108,'Raw July'!E:E)</f>
        <v>0</v>
      </c>
      <c r="E108" s="24">
        <f t="shared" si="3"/>
        <v>430150</v>
      </c>
      <c r="F108" s="24">
        <f t="shared" si="4"/>
        <v>430.15</v>
      </c>
      <c r="G108" s="22" t="s">
        <v>182</v>
      </c>
      <c r="H108" s="23" t="s">
        <v>46</v>
      </c>
    </row>
    <row r="109" spans="1:8" x14ac:dyDescent="0.35">
      <c r="A109" s="23" t="s">
        <v>864</v>
      </c>
      <c r="B109" s="24">
        <f>SUMIF('Raw July'!G:G,'TB 0725'!A109,'Raw July'!C:C)</f>
        <v>0</v>
      </c>
      <c r="C109" s="24">
        <f>SUMIF('Raw July'!G:G,'TB 0725'!A109,'Raw July'!D:D)</f>
        <v>776650</v>
      </c>
      <c r="D109" s="24">
        <f>SUMIF('Raw July'!G:G,'TB 0725'!A109,'Raw July'!E:E)</f>
        <v>0</v>
      </c>
      <c r="E109" s="24">
        <f t="shared" si="3"/>
        <v>776650</v>
      </c>
      <c r="F109" s="24">
        <f t="shared" si="4"/>
        <v>776.65</v>
      </c>
      <c r="G109" s="22" t="s">
        <v>182</v>
      </c>
      <c r="H109" s="23" t="s">
        <v>958</v>
      </c>
    </row>
    <row r="110" spans="1:8" x14ac:dyDescent="0.35">
      <c r="A110" s="23" t="s">
        <v>779</v>
      </c>
      <c r="B110" s="24">
        <f>SUMIF('Raw July'!G:G,'TB 0725'!A110,'Raw July'!C:C)</f>
        <v>0</v>
      </c>
      <c r="C110" s="24">
        <f>SUMIF('Raw July'!G:G,'TB 0725'!A110,'Raw July'!D:D)</f>
        <v>15000</v>
      </c>
      <c r="D110" s="24">
        <f>SUMIF('Raw July'!G:G,'TB 0725'!A110,'Raw July'!E:E)</f>
        <v>0</v>
      </c>
      <c r="E110" s="24">
        <f t="shared" si="3"/>
        <v>15000</v>
      </c>
      <c r="F110" s="24">
        <f t="shared" si="4"/>
        <v>15</v>
      </c>
      <c r="G110" s="22" t="s">
        <v>182</v>
      </c>
      <c r="H110" s="23" t="s">
        <v>42</v>
      </c>
    </row>
    <row r="111" spans="1:8" x14ac:dyDescent="0.35">
      <c r="A111" s="23" t="s">
        <v>32</v>
      </c>
      <c r="B111" s="24">
        <f>SUMIF('Raw July'!G:G,'TB 0725'!A111,'Raw July'!C:C)</f>
        <v>0</v>
      </c>
      <c r="C111" s="24">
        <f>SUMIF('Raw July'!G:G,'TB 0725'!A111,'Raw July'!D:D)</f>
        <v>2943799.55</v>
      </c>
      <c r="D111" s="24">
        <f>SUMIF('Raw July'!G:G,'TB 0725'!A111,'Raw July'!E:E)</f>
        <v>1124776.32</v>
      </c>
      <c r="E111" s="24">
        <f t="shared" si="3"/>
        <v>1819023.2299999997</v>
      </c>
      <c r="F111" s="24">
        <f t="shared" si="4"/>
        <v>1819.0232299999998</v>
      </c>
      <c r="G111" s="22" t="s">
        <v>182</v>
      </c>
      <c r="H111" s="23" t="s">
        <v>32</v>
      </c>
    </row>
    <row r="112" spans="1:8" x14ac:dyDescent="0.35">
      <c r="A112" s="23" t="s">
        <v>602</v>
      </c>
      <c r="B112" s="24">
        <f>SUMIF('Raw July'!G:G,'TB 0725'!A112,'Raw July'!C:C)</f>
        <v>0</v>
      </c>
      <c r="C112" s="24">
        <f>SUMIF('Raw July'!G:G,'TB 0725'!A112,'Raw July'!D:D)</f>
        <v>154151.1</v>
      </c>
      <c r="D112" s="24">
        <f>SUMIF('Raw July'!G:G,'TB 0725'!A112,'Raw July'!E:E)</f>
        <v>2121.8000000000002</v>
      </c>
      <c r="E112" s="24">
        <f t="shared" si="3"/>
        <v>152029.30000000002</v>
      </c>
      <c r="F112" s="24">
        <f t="shared" si="4"/>
        <v>152.02930000000001</v>
      </c>
      <c r="G112" s="22" t="s">
        <v>182</v>
      </c>
      <c r="H112" s="23" t="s">
        <v>42</v>
      </c>
    </row>
    <row r="113" spans="1:8" x14ac:dyDescent="0.35">
      <c r="A113" s="23" t="s">
        <v>603</v>
      </c>
      <c r="B113" s="24">
        <f>SUMIF('Raw July'!G:G,'TB 0725'!A113,'Raw July'!C:C)</f>
        <v>0</v>
      </c>
      <c r="C113" s="24">
        <f>SUMIF('Raw July'!G:G,'TB 0725'!A113,'Raw July'!D:D)</f>
        <v>1159682</v>
      </c>
      <c r="D113" s="24">
        <f>SUMIF('Raw July'!G:G,'TB 0725'!A113,'Raw July'!E:E)</f>
        <v>0</v>
      </c>
      <c r="E113" s="24">
        <f t="shared" si="3"/>
        <v>1159682</v>
      </c>
      <c r="F113" s="24">
        <f t="shared" si="4"/>
        <v>1159.682</v>
      </c>
      <c r="G113" s="22" t="s">
        <v>182</v>
      </c>
      <c r="H113" s="23" t="s">
        <v>42</v>
      </c>
    </row>
    <row r="114" spans="1:8" x14ac:dyDescent="0.35">
      <c r="A114" s="23" t="s">
        <v>971</v>
      </c>
      <c r="B114" s="24">
        <f>SUMIF('Raw July'!G:G,'TB 0725'!A114,'Raw July'!C:C)</f>
        <v>0</v>
      </c>
      <c r="C114" s="24">
        <f>SUMIF('Raw July'!G:G,'TB 0725'!A114,'Raw July'!D:D)</f>
        <v>8384</v>
      </c>
      <c r="D114" s="24">
        <f>SUMIF('Raw July'!G:G,'TB 0725'!A114,'Raw July'!E:E)</f>
        <v>0</v>
      </c>
      <c r="E114" s="24">
        <f t="shared" si="3"/>
        <v>8384</v>
      </c>
      <c r="F114" s="24">
        <f t="shared" si="4"/>
        <v>8.3840000000000003</v>
      </c>
      <c r="G114" s="22" t="s">
        <v>182</v>
      </c>
      <c r="H114" s="23" t="s">
        <v>42</v>
      </c>
    </row>
    <row r="115" spans="1:8" x14ac:dyDescent="0.35">
      <c r="A115" s="23" t="s">
        <v>957</v>
      </c>
      <c r="B115" s="24">
        <f>SUMIF('Raw July'!G:G,'TB 0725'!A115,'Raw July'!C:C)</f>
        <v>0</v>
      </c>
      <c r="C115" s="24">
        <f>SUMIF('Raw July'!G:G,'TB 0725'!A115,'Raw July'!D:D)</f>
        <v>2174221.2799999998</v>
      </c>
      <c r="D115" s="24">
        <f>SUMIF('Raw July'!G:G,'TB 0725'!A115,'Raw July'!E:E)</f>
        <v>600444</v>
      </c>
      <c r="E115" s="24">
        <f t="shared" si="3"/>
        <v>1573777.2799999998</v>
      </c>
      <c r="F115" s="24">
        <f t="shared" si="4"/>
        <v>1573.7772799999998</v>
      </c>
      <c r="G115" s="22" t="s">
        <v>182</v>
      </c>
      <c r="H115" s="23" t="s">
        <v>958</v>
      </c>
    </row>
    <row r="116" spans="1:8" x14ac:dyDescent="0.35">
      <c r="A116" s="23" t="s">
        <v>604</v>
      </c>
      <c r="B116" s="24">
        <f>SUMIF('Raw July'!G:G,'TB 0725'!A116,'Raw July'!C:C)</f>
        <v>0</v>
      </c>
      <c r="C116" s="24">
        <f>SUMIF('Raw July'!G:G,'TB 0725'!A116,'Raw July'!D:D)</f>
        <v>134183</v>
      </c>
      <c r="D116" s="24">
        <f>SUMIF('Raw July'!G:G,'TB 0725'!A116,'Raw July'!E:E)</f>
        <v>0</v>
      </c>
      <c r="E116" s="24">
        <f t="shared" si="3"/>
        <v>134183</v>
      </c>
      <c r="F116" s="24">
        <f t="shared" si="4"/>
        <v>134.18299999999999</v>
      </c>
      <c r="G116" s="22" t="s">
        <v>182</v>
      </c>
      <c r="H116" s="23" t="s">
        <v>43</v>
      </c>
    </row>
    <row r="117" spans="1:8" x14ac:dyDescent="0.35">
      <c r="A117" s="23" t="s">
        <v>605</v>
      </c>
      <c r="B117" s="24">
        <f>SUMIF('Raw July'!G:G,'TB 0725'!A117,'Raw July'!C:C)</f>
        <v>0</v>
      </c>
      <c r="C117" s="24">
        <f>SUMIF('Raw July'!G:G,'TB 0725'!A117,'Raw July'!D:D)</f>
        <v>3003.58</v>
      </c>
      <c r="D117" s="24">
        <f>SUMIF('Raw July'!G:G,'TB 0725'!A117,'Raw July'!E:E)</f>
        <v>1.43</v>
      </c>
      <c r="E117" s="24">
        <f t="shared" si="3"/>
        <v>3002.15</v>
      </c>
      <c r="F117" s="24">
        <f t="shared" si="4"/>
        <v>3.0021499999999999</v>
      </c>
      <c r="G117" s="22" t="s">
        <v>182</v>
      </c>
      <c r="H117" s="23" t="s">
        <v>43</v>
      </c>
    </row>
    <row r="118" spans="1:8" x14ac:dyDescent="0.35">
      <c r="A118" s="23" t="s">
        <v>41</v>
      </c>
      <c r="B118" s="24">
        <f>SUMIF('Raw July'!G:G,'TB 0725'!A118,'Raw July'!C:C)</f>
        <v>0</v>
      </c>
      <c r="C118" s="24">
        <f>SUMIF('Raw July'!G:G,'TB 0725'!A118,'Raw July'!D:D)</f>
        <v>680950</v>
      </c>
      <c r="D118" s="24">
        <f>SUMIF('Raw July'!G:G,'TB 0725'!A118,'Raw July'!E:E)</f>
        <v>70000</v>
      </c>
      <c r="E118" s="24">
        <f t="shared" si="3"/>
        <v>610950</v>
      </c>
      <c r="F118" s="24">
        <f t="shared" si="4"/>
        <v>610.95000000000005</v>
      </c>
      <c r="G118" s="22" t="s">
        <v>182</v>
      </c>
      <c r="H118" s="23" t="s">
        <v>41</v>
      </c>
    </row>
    <row r="119" spans="1:8" x14ac:dyDescent="0.35">
      <c r="A119" s="23" t="s">
        <v>606</v>
      </c>
      <c r="B119" s="24">
        <f>SUMIF('Raw July'!G:G,'TB 0725'!A119,'Raw July'!C:C)</f>
        <v>0</v>
      </c>
      <c r="C119" s="24">
        <f>SUMIF('Raw July'!G:G,'TB 0725'!A119,'Raw July'!D:D)</f>
        <v>18400</v>
      </c>
      <c r="D119" s="24">
        <f>SUMIF('Raw July'!G:G,'TB 0725'!A119,'Raw July'!E:E)</f>
        <v>0</v>
      </c>
      <c r="E119" s="24">
        <f t="shared" si="3"/>
        <v>18400</v>
      </c>
      <c r="F119" s="24">
        <f t="shared" si="4"/>
        <v>18.399999999999999</v>
      </c>
      <c r="G119" s="22" t="s">
        <v>182</v>
      </c>
      <c r="H119" s="23" t="s">
        <v>43</v>
      </c>
    </row>
    <row r="120" spans="1:8" x14ac:dyDescent="0.35">
      <c r="A120" s="23" t="s">
        <v>239</v>
      </c>
      <c r="B120" s="24">
        <f>SUMIF('Raw July'!G:G,'TB 0725'!A120,'Raw July'!C:C)</f>
        <v>0</v>
      </c>
      <c r="C120" s="24">
        <f>SUMIF('Raw July'!G:G,'TB 0725'!A120,'Raw July'!D:D)</f>
        <v>1035200</v>
      </c>
      <c r="D120" s="24">
        <f>SUMIF('Raw July'!G:G,'TB 0725'!A120,'Raw July'!E:E)</f>
        <v>0</v>
      </c>
      <c r="E120" s="24">
        <f t="shared" si="3"/>
        <v>1035200</v>
      </c>
      <c r="F120" s="24">
        <f t="shared" si="4"/>
        <v>1035.2</v>
      </c>
      <c r="G120" s="22" t="s">
        <v>182</v>
      </c>
      <c r="H120" s="23" t="s">
        <v>263</v>
      </c>
    </row>
    <row r="121" spans="1:8" x14ac:dyDescent="0.35">
      <c r="A121" s="23" t="s">
        <v>607</v>
      </c>
      <c r="B121" s="24">
        <f>SUMIF('Raw July'!G:G,'TB 0725'!A121,'Raw July'!C:C)</f>
        <v>0</v>
      </c>
      <c r="C121" s="24">
        <f>SUMIF('Raw July'!G:G,'TB 0725'!A121,'Raw July'!D:D)</f>
        <v>22222069.940000001</v>
      </c>
      <c r="D121" s="24">
        <f>SUMIF('Raw July'!G:G,'TB 0725'!A121,'Raw July'!E:E)</f>
        <v>0</v>
      </c>
      <c r="E121" s="24">
        <f t="shared" si="3"/>
        <v>22222069.940000001</v>
      </c>
      <c r="F121" s="24">
        <f t="shared" si="4"/>
        <v>22222.069940000001</v>
      </c>
      <c r="G121" s="22" t="s">
        <v>182</v>
      </c>
    </row>
    <row r="122" spans="1:8" x14ac:dyDescent="0.35">
      <c r="A122" s="23" t="s">
        <v>608</v>
      </c>
      <c r="B122" s="24">
        <f>SUMIF('Raw July'!G:G,'TB 0725'!A122,'Raw July'!C:C)</f>
        <v>0</v>
      </c>
      <c r="C122" s="24">
        <f>SUMIF('Raw July'!G:G,'TB 0725'!A122,'Raw July'!D:D)</f>
        <v>2148114.02</v>
      </c>
      <c r="D122" s="24">
        <f>SUMIF('Raw July'!G:G,'TB 0725'!A122,'Raw July'!E:E)</f>
        <v>298922.33</v>
      </c>
      <c r="E122" s="24">
        <f t="shared" si="3"/>
        <v>1849191.69</v>
      </c>
      <c r="F122" s="24">
        <f t="shared" si="4"/>
        <v>1849.1916899999999</v>
      </c>
      <c r="G122" s="22" t="s">
        <v>182</v>
      </c>
      <c r="H122" s="23" t="s">
        <v>39</v>
      </c>
    </row>
    <row r="123" spans="1:8" x14ac:dyDescent="0.35">
      <c r="A123" s="23" t="s">
        <v>609</v>
      </c>
      <c r="B123" s="24">
        <f>SUMIF('Raw July'!G:G,'TB 0725'!A123,'Raw July'!C:C)</f>
        <v>0</v>
      </c>
      <c r="C123" s="24">
        <f>SUMIF('Raw July'!G:G,'TB 0725'!A123,'Raw July'!D:D)</f>
        <v>7651819.4299999997</v>
      </c>
      <c r="D123" s="24">
        <f>SUMIF('Raw July'!G:G,'TB 0725'!A123,'Raw July'!E:E)</f>
        <v>3672065.12</v>
      </c>
      <c r="E123" s="24">
        <f t="shared" si="3"/>
        <v>3979754.3099999996</v>
      </c>
      <c r="F123" s="24">
        <f t="shared" si="4"/>
        <v>3979.7543099999998</v>
      </c>
      <c r="G123" s="22" t="s">
        <v>182</v>
      </c>
      <c r="H123" s="23" t="s">
        <v>33</v>
      </c>
    </row>
    <row r="124" spans="1:8" x14ac:dyDescent="0.35">
      <c r="A124" s="23" t="s">
        <v>972</v>
      </c>
      <c r="B124" s="24">
        <f>SUMIF('Raw July'!G:G,'TB 0725'!A124,'Raw July'!C:C)</f>
        <v>0</v>
      </c>
      <c r="C124" s="24">
        <f>SUMIF('Raw July'!G:G,'TB 0725'!A124,'Raw July'!D:D)</f>
        <v>14803.06</v>
      </c>
      <c r="D124" s="24">
        <f>SUMIF('Raw July'!G:G,'TB 0725'!A124,'Raw July'!E:E)</f>
        <v>0</v>
      </c>
      <c r="E124" s="24">
        <f t="shared" si="3"/>
        <v>14803.06</v>
      </c>
      <c r="F124" s="24">
        <f t="shared" si="4"/>
        <v>14.80306</v>
      </c>
      <c r="G124" s="22" t="s">
        <v>182</v>
      </c>
      <c r="H124" s="23" t="s">
        <v>42</v>
      </c>
    </row>
    <row r="125" spans="1:8" x14ac:dyDescent="0.35">
      <c r="A125" s="23" t="s">
        <v>610</v>
      </c>
      <c r="B125" s="24">
        <f>SUMIF('Raw July'!G:G,'TB 0725'!A125,'Raw July'!C:C)</f>
        <v>0</v>
      </c>
      <c r="C125" s="24">
        <f>SUMIF('Raw July'!G:G,'TB 0725'!A125,'Raw July'!D:D)</f>
        <v>1212239.1299999999</v>
      </c>
      <c r="D125" s="24">
        <f>SUMIF('Raw July'!G:G,'TB 0725'!A125,'Raw July'!E:E)</f>
        <v>380358.68</v>
      </c>
      <c r="E125" s="24">
        <f t="shared" si="3"/>
        <v>831880.45</v>
      </c>
      <c r="F125" s="24">
        <f t="shared" si="4"/>
        <v>831.88045</v>
      </c>
      <c r="G125" s="22" t="s">
        <v>182</v>
      </c>
      <c r="H125" s="23" t="s">
        <v>31</v>
      </c>
    </row>
    <row r="126" spans="1:8" x14ac:dyDescent="0.35">
      <c r="A126" s="23" t="s">
        <v>611</v>
      </c>
      <c r="B126" s="24">
        <f>SUMIF('Raw July'!G:G,'TB 0725'!A126,'Raw July'!C:C)</f>
        <v>0</v>
      </c>
      <c r="C126" s="24">
        <f>SUMIF('Raw July'!G:G,'TB 0725'!A126,'Raw July'!D:D)</f>
        <v>684786.02</v>
      </c>
      <c r="D126" s="24">
        <f>SUMIF('Raw July'!G:G,'TB 0725'!A126,'Raw July'!E:E)</f>
        <v>0</v>
      </c>
      <c r="E126" s="24">
        <f t="shared" si="3"/>
        <v>684786.02</v>
      </c>
      <c r="F126" s="24">
        <f t="shared" si="4"/>
        <v>684.78602000000001</v>
      </c>
      <c r="G126" s="22" t="s">
        <v>182</v>
      </c>
      <c r="H126" s="23" t="s">
        <v>31</v>
      </c>
    </row>
    <row r="127" spans="1:8" x14ac:dyDescent="0.35">
      <c r="A127" s="23" t="s">
        <v>867</v>
      </c>
      <c r="B127" s="24">
        <f>SUMIF('Raw July'!G:G,'TB 0725'!A127,'Raw July'!C:C)</f>
        <v>0</v>
      </c>
      <c r="C127" s="24">
        <f>SUMIF('Raw July'!G:G,'TB 0725'!A127,'Raw July'!D:D)</f>
        <v>31499.87</v>
      </c>
      <c r="D127" s="24">
        <f>SUMIF('Raw July'!G:G,'TB 0725'!A127,'Raw July'!E:E)</f>
        <v>0</v>
      </c>
      <c r="E127" s="24">
        <f t="shared" si="3"/>
        <v>31499.87</v>
      </c>
      <c r="F127" s="24">
        <f t="shared" si="4"/>
        <v>31.499869999999998</v>
      </c>
      <c r="G127" s="22" t="s">
        <v>182</v>
      </c>
      <c r="H127" s="23" t="s">
        <v>417</v>
      </c>
    </row>
    <row r="128" spans="1:8" x14ac:dyDescent="0.35">
      <c r="A128" s="23" t="s">
        <v>1293</v>
      </c>
      <c r="B128" s="24">
        <f>SUMIF('Raw July'!G:G,'TB 0725'!A128,'Raw July'!C:C)</f>
        <v>0</v>
      </c>
      <c r="C128" s="24">
        <f>SUMIF('Raw July'!G:G,'TB 0725'!A128,'Raw July'!D:D)</f>
        <v>0</v>
      </c>
      <c r="D128" s="24">
        <f>SUMIF('Raw July'!G:G,'TB 0725'!A128,'Raw July'!E:E)</f>
        <v>0</v>
      </c>
      <c r="E128" s="24">
        <f t="shared" si="3"/>
        <v>0</v>
      </c>
      <c r="F128" s="24">
        <f t="shared" si="4"/>
        <v>0</v>
      </c>
      <c r="G128" s="22" t="s">
        <v>181</v>
      </c>
      <c r="H128" s="23" t="s">
        <v>79</v>
      </c>
    </row>
    <row r="129" spans="1:8" x14ac:dyDescent="0.35">
      <c r="A129" s="23" t="s">
        <v>1294</v>
      </c>
      <c r="B129" s="24">
        <f>SUMIF('Raw July'!G:G,'TB 0725'!A129,'Raw July'!C:C)</f>
        <v>0</v>
      </c>
      <c r="C129" s="24">
        <f>SUMIF('Raw July'!G:G,'TB 0725'!A129,'Raw July'!D:D)</f>
        <v>0</v>
      </c>
      <c r="D129" s="24">
        <f>SUMIF('Raw July'!G:G,'TB 0725'!A129,'Raw July'!E:E)</f>
        <v>0</v>
      </c>
      <c r="E129" s="24">
        <f t="shared" si="3"/>
        <v>0</v>
      </c>
      <c r="F129" s="24">
        <f t="shared" si="4"/>
        <v>0</v>
      </c>
      <c r="G129" s="22" t="s">
        <v>181</v>
      </c>
      <c r="H129" s="23" t="s">
        <v>79</v>
      </c>
    </row>
    <row r="130" spans="1:8" x14ac:dyDescent="0.35">
      <c r="A130" s="23" t="s">
        <v>26</v>
      </c>
      <c r="B130" s="24">
        <f>SUMIF('Raw July'!G:G,'TB 0725'!A130,'Raw July'!C:C)</f>
        <v>0</v>
      </c>
      <c r="C130" s="24">
        <f>SUMIF('Raw July'!G:G,'TB 0725'!A130,'Raw July'!D:D)</f>
        <v>19916591.91</v>
      </c>
      <c r="D130" s="24">
        <f>SUMIF('Raw July'!G:G,'TB 0725'!A130,'Raw July'!E:E)</f>
        <v>0</v>
      </c>
      <c r="E130" s="24">
        <f t="shared" si="3"/>
        <v>19916591.91</v>
      </c>
      <c r="F130" s="24">
        <f t="shared" si="4"/>
        <v>19916.591909999999</v>
      </c>
      <c r="G130" s="22" t="s">
        <v>182</v>
      </c>
      <c r="H130" s="23" t="s">
        <v>26</v>
      </c>
    </row>
    <row r="131" spans="1:8" x14ac:dyDescent="0.35">
      <c r="A131" s="23" t="s">
        <v>1296</v>
      </c>
      <c r="B131" s="24">
        <f>SUMIF('Raw July'!G:G,'TB 0725'!A131,'Raw July'!C:C)</f>
        <v>0</v>
      </c>
      <c r="C131" s="24">
        <f>SUMIF('Raw July'!G:G,'TB 0725'!A131,'Raw July'!D:D)</f>
        <v>0</v>
      </c>
      <c r="D131" s="24">
        <f>SUMIF('Raw July'!G:G,'TB 0725'!A131,'Raw July'!E:E)</f>
        <v>35000</v>
      </c>
      <c r="E131" s="292">
        <f t="shared" si="3"/>
        <v>-35000</v>
      </c>
      <c r="F131" s="24">
        <f t="shared" si="4"/>
        <v>-35</v>
      </c>
      <c r="G131" s="22" t="s">
        <v>180</v>
      </c>
      <c r="H131" s="23" t="s">
        <v>69</v>
      </c>
    </row>
    <row r="132" spans="1:8" x14ac:dyDescent="0.35">
      <c r="A132" s="23" t="s">
        <v>616</v>
      </c>
      <c r="B132" s="24">
        <f>SUMIF('Raw July'!G:G,'TB 0725'!A132,'Raw July'!C:C)</f>
        <v>0</v>
      </c>
      <c r="C132" s="24">
        <f>SUMIF('Raw July'!G:G,'TB 0725'!A132,'Raw July'!D:D)</f>
        <v>0</v>
      </c>
      <c r="D132" s="24">
        <f>SUMIF('Raw July'!G:G,'TB 0725'!A132,'Raw July'!E:E)</f>
        <v>0</v>
      </c>
      <c r="E132" s="24">
        <f t="shared" ref="E132:E142" si="5">B132+C132-D132</f>
        <v>0</v>
      </c>
      <c r="F132" s="24">
        <f t="shared" ref="F132:F142" si="6">E132/10^3</f>
        <v>0</v>
      </c>
      <c r="G132" s="22" t="s">
        <v>180</v>
      </c>
      <c r="H132" s="23" t="s">
        <v>69</v>
      </c>
    </row>
    <row r="133" spans="1:8" x14ac:dyDescent="0.35">
      <c r="A133" s="23" t="s">
        <v>434</v>
      </c>
      <c r="B133" s="24">
        <f>SUMIF('Raw July'!G:G,'TB 0725'!A133,'Raw July'!C:C)</f>
        <v>0</v>
      </c>
      <c r="C133" s="24">
        <f>SUMIF('Raw July'!G:G,'TB 0725'!A133,'Raw July'!D:D)</f>
        <v>0</v>
      </c>
      <c r="D133" s="24">
        <f>SUMIF('Raw July'!G:G,'TB 0725'!A133,'Raw July'!E:E)</f>
        <v>0</v>
      </c>
      <c r="E133" s="24">
        <f t="shared" si="5"/>
        <v>0</v>
      </c>
      <c r="F133" s="24">
        <f t="shared" si="6"/>
        <v>0</v>
      </c>
      <c r="G133" s="22" t="s">
        <v>180</v>
      </c>
      <c r="H133" s="23" t="s">
        <v>69</v>
      </c>
    </row>
    <row r="134" spans="1:8" x14ac:dyDescent="0.35">
      <c r="A134" s="23" t="s">
        <v>619</v>
      </c>
      <c r="B134" s="24">
        <f>SUMIF('Raw July'!G:G,'TB 0725'!A134,'Raw July'!C:C)</f>
        <v>0</v>
      </c>
      <c r="C134" s="24">
        <f>SUMIF('Raw July'!G:G,'TB 0725'!A134,'Raw July'!D:D)</f>
        <v>434212</v>
      </c>
      <c r="D134" s="24">
        <f>SUMIF('Raw July'!G:G,'TB 0725'!A134,'Raw July'!E:E)</f>
        <v>1971553.9</v>
      </c>
      <c r="E134" s="24">
        <f t="shared" si="5"/>
        <v>-1537341.9</v>
      </c>
      <c r="F134" s="24">
        <f t="shared" si="6"/>
        <v>-1537.3418999999999</v>
      </c>
      <c r="G134" s="22" t="s">
        <v>182</v>
      </c>
      <c r="H134" s="23" t="s">
        <v>61</v>
      </c>
    </row>
    <row r="135" spans="1:8" x14ac:dyDescent="0.35">
      <c r="A135" s="23" t="s">
        <v>29</v>
      </c>
      <c r="B135" s="24">
        <f>SUMIF('Raw July'!G:G,'TB 0725'!A135,'Raw July'!C:C)</f>
        <v>0</v>
      </c>
      <c r="C135" s="24">
        <f>SUMIF('Raw July'!G:G,'TB 0725'!A135,'Raw July'!D:D)</f>
        <v>46527.1</v>
      </c>
      <c r="D135" s="24">
        <f>SUMIF('Raw July'!G:G,'TB 0725'!A135,'Raw July'!E:E)</f>
        <v>0</v>
      </c>
      <c r="E135" s="24">
        <f t="shared" si="5"/>
        <v>46527.1</v>
      </c>
      <c r="F135" s="24">
        <f t="shared" si="6"/>
        <v>46.527099999999997</v>
      </c>
      <c r="G135" s="22" t="s">
        <v>182</v>
      </c>
      <c r="H135" s="23" t="s">
        <v>29</v>
      </c>
    </row>
    <row r="136" spans="1:8" x14ac:dyDescent="0.35">
      <c r="A136" s="23" t="s">
        <v>1297</v>
      </c>
      <c r="B136" s="24">
        <f>SUMIF('Raw July'!G:G,'TB 0725'!A136,'Raw July'!C:C)</f>
        <v>0</v>
      </c>
      <c r="C136" s="24">
        <f>SUMIF('Raw July'!G:G,'TB 0725'!A136,'Raw July'!D:D)</f>
        <v>1222814</v>
      </c>
      <c r="D136" s="24">
        <f>SUMIF('Raw July'!G:G,'TB 0725'!A136,'Raw July'!E:E)</f>
        <v>0</v>
      </c>
      <c r="E136" s="24">
        <f t="shared" si="5"/>
        <v>1222814</v>
      </c>
      <c r="F136" s="24">
        <f t="shared" si="6"/>
        <v>1222.8140000000001</v>
      </c>
      <c r="G136" s="22" t="s">
        <v>181</v>
      </c>
      <c r="H136" s="23" t="s">
        <v>79</v>
      </c>
    </row>
    <row r="137" spans="1:8" x14ac:dyDescent="0.35">
      <c r="A137" s="23" t="s">
        <v>295</v>
      </c>
      <c r="B137" s="24">
        <f>SUMIF('Raw July'!G:G,'TB 0725'!A137,'Raw July'!C:C)</f>
        <v>0</v>
      </c>
      <c r="C137" s="24">
        <f>SUMIF('Raw July'!G:G,'TB 0725'!A137,'Raw July'!D:D)</f>
        <v>0</v>
      </c>
      <c r="D137" s="24">
        <f>SUMIF('Raw July'!G:G,'TB 0725'!A137,'Raw July'!E:E)</f>
        <v>2745573.62</v>
      </c>
      <c r="E137" s="24">
        <f t="shared" si="5"/>
        <v>-2745573.62</v>
      </c>
      <c r="F137" s="24">
        <f t="shared" si="6"/>
        <v>-2745.5736200000001</v>
      </c>
      <c r="G137" s="22" t="s">
        <v>184</v>
      </c>
      <c r="H137" s="23" t="s">
        <v>25</v>
      </c>
    </row>
    <row r="138" spans="1:8" x14ac:dyDescent="0.35">
      <c r="A138" s="23" t="s">
        <v>316</v>
      </c>
      <c r="B138" s="24">
        <f>SUMIF('Raw July'!G:G,'TB 0725'!A138,'Raw July'!C:C)</f>
        <v>0</v>
      </c>
      <c r="C138" s="24">
        <f>SUMIF('Raw July'!G:G,'TB 0725'!A138,'Raw July'!D:D)</f>
        <v>7313555.0499999998</v>
      </c>
      <c r="D138" s="24">
        <f>SUMIF('Raw July'!G:G,'TB 0725'!A138,'Raw July'!E:E)</f>
        <v>0</v>
      </c>
      <c r="E138" s="24">
        <f t="shared" si="5"/>
        <v>7313555.0499999998</v>
      </c>
      <c r="F138" s="24">
        <f t="shared" si="6"/>
        <v>7313.5550499999999</v>
      </c>
      <c r="G138" s="22" t="s">
        <v>184</v>
      </c>
    </row>
    <row r="139" spans="1:8" x14ac:dyDescent="0.35">
      <c r="A139" s="23" t="s">
        <v>303</v>
      </c>
      <c r="B139" s="24">
        <f>SUMIF('Raw July'!G:G,'TB 0725'!A139,'Raw July'!C:C)</f>
        <v>0</v>
      </c>
      <c r="C139" s="24">
        <f>SUMIF('Raw July'!G:G,'TB 0725'!A139,'Raw July'!D:D)</f>
        <v>0</v>
      </c>
      <c r="D139" s="24">
        <f>SUMIF('Raw July'!G:G,'TB 0725'!A139,'Raw July'!E:E)</f>
        <v>10755023.220000001</v>
      </c>
      <c r="E139" s="24">
        <f t="shared" si="5"/>
        <v>-10755023.220000001</v>
      </c>
      <c r="F139" s="24">
        <f t="shared" si="6"/>
        <v>-10755.023220000001</v>
      </c>
      <c r="G139" s="22" t="s">
        <v>184</v>
      </c>
      <c r="H139" s="23" t="s">
        <v>25</v>
      </c>
    </row>
    <row r="140" spans="1:8" x14ac:dyDescent="0.35">
      <c r="A140" s="23" t="s">
        <v>1331</v>
      </c>
      <c r="B140" s="24">
        <f>SUMIF('Raw July'!G:G,'TB 0725'!A140,'Raw July'!C:C)</f>
        <v>-809805</v>
      </c>
      <c r="C140" s="24">
        <f>SUMIF('Raw July'!G:G,'TB 0725'!A140,'Raw July'!D:D)</f>
        <v>809805</v>
      </c>
      <c r="D140" s="24">
        <f>SUMIF('Raw July'!G:G,'TB 0725'!A140,'Raw July'!E:E)</f>
        <v>1444071.37</v>
      </c>
      <c r="E140" s="24">
        <f t="shared" si="5"/>
        <v>-1444071.37</v>
      </c>
      <c r="F140" s="24">
        <f t="shared" si="6"/>
        <v>-1444.0713700000001</v>
      </c>
      <c r="G140" s="22" t="s">
        <v>180</v>
      </c>
      <c r="H140" s="23" t="s">
        <v>68</v>
      </c>
    </row>
    <row r="141" spans="1:8" x14ac:dyDescent="0.35">
      <c r="A141" s="23" t="s">
        <v>1332</v>
      </c>
      <c r="B141" s="24">
        <f>SUMIF('Raw July'!G:G,'TB 0725'!A141,'Raw July'!C:C)</f>
        <v>0</v>
      </c>
      <c r="C141" s="24">
        <f>SUMIF('Raw July'!G:G,'TB 0725'!A141,'Raw July'!D:D)</f>
        <v>1521941.9</v>
      </c>
      <c r="D141" s="24">
        <f>SUMIF('Raw July'!G:G,'TB 0725'!A141,'Raw July'!E:E)</f>
        <v>1521941.9</v>
      </c>
      <c r="E141" s="24">
        <f t="shared" si="5"/>
        <v>0</v>
      </c>
      <c r="F141" s="24">
        <f t="shared" si="6"/>
        <v>0</v>
      </c>
      <c r="G141" s="22" t="s">
        <v>184</v>
      </c>
      <c r="H141" s="23" t="s">
        <v>25</v>
      </c>
    </row>
    <row r="142" spans="1:8" x14ac:dyDescent="0.35">
      <c r="A142" s="23" t="s">
        <v>1406</v>
      </c>
      <c r="B142" s="24">
        <f>SUMIF('Raw July'!G:G,'TB 0725'!A142,'Raw July'!C:C)</f>
        <v>0</v>
      </c>
      <c r="C142" s="24">
        <f>SUMIF('Raw July'!G:G,'TB 0725'!A142,'Raw July'!D:D)</f>
        <v>0</v>
      </c>
      <c r="D142" s="24">
        <f>SUMIF('Raw July'!G:G,'TB 0725'!A142,'Raw July'!E:E)</f>
        <v>436615.67999999999</v>
      </c>
      <c r="E142" s="24">
        <f t="shared" si="5"/>
        <v>-436615.67999999999</v>
      </c>
      <c r="F142" s="24">
        <f t="shared" si="6"/>
        <v>-436.61568</v>
      </c>
      <c r="G142" s="22" t="s">
        <v>184</v>
      </c>
      <c r="H142" s="23" t="s">
        <v>25</v>
      </c>
    </row>
    <row r="143" spans="1:8" x14ac:dyDescent="0.35">
      <c r="A143" s="23" t="s">
        <v>1433</v>
      </c>
      <c r="B143" s="24">
        <f>SUMIF('Raw July'!G:G,'TB 0725'!A143,'Raw July'!C:C)</f>
        <v>-378423.95</v>
      </c>
      <c r="C143" s="24">
        <f>SUMIF('Raw July'!G:G,'TB 0725'!A143,'Raw July'!D:D)</f>
        <v>0</v>
      </c>
      <c r="D143" s="24">
        <f>SUMIF('Raw July'!G:G,'TB 0725'!A143,'Raw July'!E:E)</f>
        <v>103599.27</v>
      </c>
      <c r="E143" s="24">
        <f t="shared" ref="E143:E148" si="7">B143+C143-D143</f>
        <v>-482023.22000000003</v>
      </c>
      <c r="F143" s="24">
        <f t="shared" ref="F143:F148" si="8">E143/10^3</f>
        <v>-482.02322000000004</v>
      </c>
      <c r="G143" s="22" t="s">
        <v>181</v>
      </c>
      <c r="H143" s="23" t="s">
        <v>71</v>
      </c>
    </row>
    <row r="144" spans="1:8" x14ac:dyDescent="0.35">
      <c r="A144" s="23" t="s">
        <v>1427</v>
      </c>
      <c r="B144" s="24">
        <f>SUMIF('Raw July'!G:G,'TB 0725'!A144,'Raw July'!C:C)</f>
        <v>-48822</v>
      </c>
      <c r="C144" s="24">
        <f>SUMIF('Raw July'!G:G,'TB 0725'!A144,'Raw July'!D:D)</f>
        <v>0</v>
      </c>
      <c r="D144" s="24">
        <f>SUMIF('Raw July'!G:G,'TB 0725'!A144,'Raw July'!E:E)</f>
        <v>0</v>
      </c>
      <c r="E144" s="24">
        <f t="shared" si="7"/>
        <v>-48822</v>
      </c>
      <c r="F144" s="24">
        <f t="shared" si="8"/>
        <v>-48.822000000000003</v>
      </c>
      <c r="G144" s="22" t="s">
        <v>180</v>
      </c>
      <c r="H144" s="23" t="s">
        <v>68</v>
      </c>
    </row>
    <row r="145" spans="1:8" x14ac:dyDescent="0.35">
      <c r="A145" s="23" t="s">
        <v>1428</v>
      </c>
      <c r="B145" s="24">
        <f>SUMIF('Raw July'!G:G,'TB 0725'!A145,'Raw July'!C:C)</f>
        <v>81296.960000000006</v>
      </c>
      <c r="C145" s="24">
        <f>SUMIF('Raw July'!G:G,'TB 0725'!A145,'Raw July'!D:D)</f>
        <v>0</v>
      </c>
      <c r="D145" s="24">
        <f>SUMIF('Raw July'!G:G,'TB 0725'!A145,'Raw July'!E:E)</f>
        <v>0</v>
      </c>
      <c r="E145" s="24">
        <f t="shared" si="7"/>
        <v>81296.960000000006</v>
      </c>
      <c r="F145" s="24">
        <f t="shared" si="8"/>
        <v>81.296960000000013</v>
      </c>
      <c r="G145" s="22" t="s">
        <v>181</v>
      </c>
      <c r="H145" s="23" t="s">
        <v>79</v>
      </c>
    </row>
    <row r="146" spans="1:8" x14ac:dyDescent="0.35">
      <c r="A146" s="23" t="s">
        <v>1429</v>
      </c>
      <c r="B146" s="24">
        <f>SUMIF('Raw July'!G:G,'TB 0725'!A146,'Raw July'!C:C)</f>
        <v>-548984</v>
      </c>
      <c r="C146" s="24">
        <f>SUMIF('Raw July'!G:G,'TB 0725'!A146,'Raw July'!D:D)</f>
        <v>0</v>
      </c>
      <c r="D146" s="24">
        <f>SUMIF('Raw July'!G:G,'TB 0725'!A146,'Raw July'!E:E)</f>
        <v>0</v>
      </c>
      <c r="E146" s="24">
        <f t="shared" si="7"/>
        <v>-548984</v>
      </c>
      <c r="F146" s="24">
        <f t="shared" si="8"/>
        <v>-548.98400000000004</v>
      </c>
      <c r="G146" s="22" t="s">
        <v>180</v>
      </c>
      <c r="H146" s="23" t="s">
        <v>1371</v>
      </c>
    </row>
    <row r="147" spans="1:8" x14ac:dyDescent="0.35">
      <c r="A147" s="23" t="s">
        <v>1430</v>
      </c>
      <c r="B147" s="24">
        <f>SUMIF('Raw July'!G:G,'TB 0725'!A147,'Raw July'!C:C)</f>
        <v>-1269</v>
      </c>
      <c r="C147" s="24">
        <f>SUMIF('Raw July'!G:G,'TB 0725'!A147,'Raw July'!D:D)</f>
        <v>0</v>
      </c>
      <c r="D147" s="24">
        <f>SUMIF('Raw July'!G:G,'TB 0725'!A147,'Raw July'!E:E)</f>
        <v>0</v>
      </c>
      <c r="E147" s="24">
        <f t="shared" si="7"/>
        <v>-1269</v>
      </c>
      <c r="F147" s="24">
        <f t="shared" si="8"/>
        <v>-1.2689999999999999</v>
      </c>
      <c r="G147" s="22" t="s">
        <v>180</v>
      </c>
      <c r="H147" s="23" t="s">
        <v>69</v>
      </c>
    </row>
    <row r="148" spans="1:8" x14ac:dyDescent="0.35">
      <c r="A148" s="23" t="s">
        <v>1431</v>
      </c>
      <c r="B148" s="24">
        <f>SUMIF('Raw July'!G:G,'TB 0725'!A148,'Raw July'!C:C)</f>
        <v>-1245691</v>
      </c>
      <c r="C148" s="24">
        <f>SUMIF('Raw July'!G:G,'TB 0725'!A148,'Raw July'!D:D)</f>
        <v>0</v>
      </c>
      <c r="D148" s="24">
        <f>SUMIF('Raw July'!G:G,'TB 0725'!A148,'Raw July'!E:E)</f>
        <v>0</v>
      </c>
      <c r="E148" s="24">
        <f t="shared" si="7"/>
        <v>-1245691</v>
      </c>
      <c r="F148" s="24">
        <f t="shared" si="8"/>
        <v>-1245.691</v>
      </c>
      <c r="G148" s="22" t="s">
        <v>180</v>
      </c>
      <c r="H148" s="23" t="s">
        <v>64</v>
      </c>
    </row>
    <row r="149" spans="1:8" x14ac:dyDescent="0.35">
      <c r="A149" s="23" t="s">
        <v>426</v>
      </c>
      <c r="B149" s="24">
        <f>SUMIF('Raw July'!G:G,'TB 0725'!A149,'Raw July'!C:C)</f>
        <v>-390645</v>
      </c>
      <c r="C149" s="24">
        <f>SUMIF('Raw July'!G:G,'TB 0725'!A149,'Raw July'!D:D)</f>
        <v>0</v>
      </c>
      <c r="D149" s="24">
        <f>SUMIF('Raw July'!G:G,'TB 0725'!A149,'Raw July'!E:E)</f>
        <v>0</v>
      </c>
      <c r="E149" s="24">
        <f>B149+C149-D149</f>
        <v>-390645</v>
      </c>
      <c r="F149" s="24">
        <f>E149/10^3</f>
        <v>-390.64499999999998</v>
      </c>
      <c r="G149" s="22" t="s">
        <v>180</v>
      </c>
      <c r="H149" s="23" t="s">
        <v>68</v>
      </c>
    </row>
  </sheetData>
  <autoFilter ref="A2:L149" xr:uid="{C74DF1B9-4192-4ADC-86CC-C9E099B319FB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B8F3-8AC6-4B3B-9115-8D8F5EA923E7}">
  <dimension ref="A1:G165"/>
  <sheetViews>
    <sheetView topLeftCell="A149" workbookViewId="0">
      <selection activeCell="B98" activeCellId="6" sqref="B6 B10 B48 B70 B86 B87 B98"/>
    </sheetView>
  </sheetViews>
  <sheetFormatPr defaultColWidth="8.90625" defaultRowHeight="14.5" x14ac:dyDescent="0.35"/>
  <cols>
    <col min="1" max="2" width="39.08984375" style="23" customWidth="1"/>
    <col min="3" max="6" width="17.81640625" style="23" customWidth="1"/>
    <col min="7" max="7" width="44.81640625" style="23" bestFit="1" customWidth="1"/>
    <col min="8" max="16384" width="8.90625" style="23"/>
  </cols>
  <sheetData>
    <row r="1" spans="1:7" s="109" customFormat="1" x14ac:dyDescent="0.35">
      <c r="A1" s="207" t="s">
        <v>464</v>
      </c>
      <c r="B1" s="207"/>
      <c r="C1" s="219" t="s">
        <v>498</v>
      </c>
      <c r="D1" s="219" t="s">
        <v>465</v>
      </c>
      <c r="E1" s="219" t="s">
        <v>466</v>
      </c>
      <c r="F1" s="219" t="s">
        <v>499</v>
      </c>
    </row>
    <row r="3" spans="1:7" x14ac:dyDescent="0.35">
      <c r="A3" s="174" t="s">
        <v>70</v>
      </c>
      <c r="B3" s="175" t="str">
        <f>TRIM(A3)</f>
        <v>Assets</v>
      </c>
      <c r="C3" s="23" t="s">
        <v>85</v>
      </c>
      <c r="D3" s="23" t="s">
        <v>85</v>
      </c>
      <c r="E3" s="23" t="s">
        <v>85</v>
      </c>
      <c r="F3" s="23" t="s">
        <v>85</v>
      </c>
    </row>
    <row r="4" spans="1:7" x14ac:dyDescent="0.35">
      <c r="A4" s="174" t="s">
        <v>500</v>
      </c>
      <c r="B4" s="174" t="str">
        <f t="shared" ref="B4:B69" si="0">TRIM(A4)</f>
        <v>Accounts Receivable</v>
      </c>
      <c r="C4" s="231">
        <v>350370.62</v>
      </c>
      <c r="D4" s="231">
        <v>6706878.6799999997</v>
      </c>
      <c r="E4" s="231">
        <v>6501066.5</v>
      </c>
      <c r="F4" s="231">
        <v>556182.80000000005</v>
      </c>
      <c r="G4" s="23" t="str">
        <f>VLOOKUP(B4,'TB 0625'!A:A,1,0)</f>
        <v>Accounts Receivable</v>
      </c>
    </row>
    <row r="5" spans="1:7" x14ac:dyDescent="0.35">
      <c r="A5" s="174" t="s">
        <v>501</v>
      </c>
      <c r="B5" s="174" t="str">
        <f t="shared" si="0"/>
        <v>Accrued Interest</v>
      </c>
      <c r="C5" s="231">
        <v>9248881</v>
      </c>
      <c r="D5" s="231">
        <v>18630269</v>
      </c>
      <c r="E5" s="231">
        <v>9248881</v>
      </c>
      <c r="F5" s="231">
        <v>18630269</v>
      </c>
      <c r="G5" s="23" t="str">
        <f>VLOOKUP(B5,'TB 0625'!A:A,1,0)</f>
        <v>Accrued Interest</v>
      </c>
    </row>
    <row r="6" spans="1:7" x14ac:dyDescent="0.35">
      <c r="A6" s="174" t="s">
        <v>1432</v>
      </c>
      <c r="B6" s="174" t="str">
        <f t="shared" si="0"/>
        <v>Accumulated Amortization on Leasehold Improvement</v>
      </c>
      <c r="C6" s="231">
        <v>-278166.59000000003</v>
      </c>
      <c r="D6" s="231">
        <v>0</v>
      </c>
      <c r="E6" s="231">
        <v>100257.36</v>
      </c>
      <c r="F6" s="231">
        <v>-378423.95</v>
      </c>
      <c r="G6" s="23" t="str">
        <f>VLOOKUP(B6,'TB 0625'!A:A,1,0)</f>
        <v>Accumulated Amortization on Leasehold Improvement</v>
      </c>
    </row>
    <row r="7" spans="1:7" x14ac:dyDescent="0.35">
      <c r="A7" s="174" t="s">
        <v>503</v>
      </c>
      <c r="B7" s="174" t="str">
        <f t="shared" si="0"/>
        <v>Accumulated Depreciation on Computer and Laptops</v>
      </c>
      <c r="C7" s="231">
        <v>-514155.89</v>
      </c>
      <c r="D7" s="231">
        <v>0</v>
      </c>
      <c r="E7" s="231">
        <v>169806.42</v>
      </c>
      <c r="F7" s="231">
        <v>-683962.31</v>
      </c>
      <c r="G7" s="23" t="str">
        <f>VLOOKUP(B7,'TB 0625'!A:A,1,0)</f>
        <v>Accumulated Depreciation on Computer and Laptops</v>
      </c>
    </row>
    <row r="8" spans="1:7" x14ac:dyDescent="0.35">
      <c r="A8" s="174" t="s">
        <v>760</v>
      </c>
      <c r="B8" s="174" t="str">
        <f t="shared" si="0"/>
        <v>Accumulated Depreciation on Furniture &amp; Equipment</v>
      </c>
      <c r="C8" s="231">
        <v>-30908.26</v>
      </c>
      <c r="D8" s="231">
        <v>0</v>
      </c>
      <c r="E8" s="231">
        <v>11003.51</v>
      </c>
      <c r="F8" s="231">
        <v>-41911.769999999997</v>
      </c>
      <c r="G8" s="23" t="str">
        <f>VLOOKUP(B8,'TB 0625'!A:A,1,0)</f>
        <v>Accumulated Depreciation on Furniture &amp; Equipment</v>
      </c>
    </row>
    <row r="9" spans="1:7" x14ac:dyDescent="0.35">
      <c r="A9" s="174" t="s">
        <v>504</v>
      </c>
      <c r="B9" s="174" t="str">
        <f t="shared" si="0"/>
        <v>Accumulated Depreciation on Office Equipment</v>
      </c>
      <c r="C9" s="231">
        <v>-30593.8</v>
      </c>
      <c r="D9" s="231">
        <v>0</v>
      </c>
      <c r="E9" s="231">
        <v>12844.38</v>
      </c>
      <c r="F9" s="231">
        <v>-43438.18</v>
      </c>
      <c r="G9" s="23" t="str">
        <f>VLOOKUP(B9,'TB 0625'!A:A,1,0)</f>
        <v>Accumulated Depreciation on Office Equipment</v>
      </c>
    </row>
    <row r="10" spans="1:7" x14ac:dyDescent="0.35">
      <c r="A10" s="174" t="s">
        <v>1421</v>
      </c>
      <c r="B10" s="174" t="str">
        <f t="shared" si="0"/>
        <v>Advance from Customer</v>
      </c>
      <c r="C10" s="231">
        <v>-48822</v>
      </c>
      <c r="D10" s="231">
        <v>0</v>
      </c>
      <c r="E10" s="231">
        <v>0</v>
      </c>
      <c r="F10" s="231">
        <v>-48822</v>
      </c>
      <c r="G10" s="23" t="str">
        <f>VLOOKUP(B10,'TB 0625'!A:A,1,0)</f>
        <v>Advance from Customer</v>
      </c>
    </row>
    <row r="11" spans="1:7" x14ac:dyDescent="0.35">
      <c r="A11" s="174" t="s">
        <v>961</v>
      </c>
      <c r="B11" s="174" t="str">
        <f t="shared" si="0"/>
        <v>Advance to Vendors</v>
      </c>
      <c r="C11" s="231">
        <v>142840.04</v>
      </c>
      <c r="D11" s="231">
        <v>3255016</v>
      </c>
      <c r="E11" s="231">
        <v>101548.22</v>
      </c>
      <c r="F11" s="231">
        <v>3296307.82</v>
      </c>
      <c r="G11" s="23" t="str">
        <f>VLOOKUP(B11,'TB 0625'!A:A,1,0)</f>
        <v>Advance to Vendors</v>
      </c>
    </row>
    <row r="12" spans="1:7" x14ac:dyDescent="0.35">
      <c r="A12" s="174" t="s">
        <v>505</v>
      </c>
      <c r="B12" s="174" t="str">
        <f t="shared" si="0"/>
        <v>Amazon Wallet</v>
      </c>
      <c r="C12" s="231">
        <v>305.98</v>
      </c>
      <c r="D12" s="231">
        <v>0</v>
      </c>
      <c r="E12" s="231">
        <v>0</v>
      </c>
      <c r="F12" s="231">
        <v>305.98</v>
      </c>
      <c r="G12" s="23" t="str">
        <f>VLOOKUP(B12,'TB 0625'!A:A,1,0)</f>
        <v>Amazon Wallet</v>
      </c>
    </row>
    <row r="13" spans="1:7" x14ac:dyDescent="0.35">
      <c r="A13" s="174" t="s">
        <v>506</v>
      </c>
      <c r="B13" s="174" t="str">
        <f t="shared" si="0"/>
        <v>Axis Bank 1655</v>
      </c>
      <c r="C13" s="231">
        <v>12400.34</v>
      </c>
      <c r="D13" s="231">
        <v>0</v>
      </c>
      <c r="E13" s="231">
        <v>118</v>
      </c>
      <c r="F13" s="231">
        <v>12282.34</v>
      </c>
      <c r="G13" s="23" t="str">
        <f>VLOOKUP(B13,'TB 0625'!A:A,1,0)</f>
        <v>Axis Bank 1655</v>
      </c>
    </row>
    <row r="14" spans="1:7" x14ac:dyDescent="0.35">
      <c r="A14" s="174" t="s">
        <v>507</v>
      </c>
      <c r="B14" s="174" t="str">
        <f t="shared" si="0"/>
        <v>Computer and Laptops</v>
      </c>
      <c r="C14" s="231">
        <v>5828848.0300000003</v>
      </c>
      <c r="D14" s="231">
        <v>1182001</v>
      </c>
      <c r="E14" s="231">
        <v>0</v>
      </c>
      <c r="F14" s="231">
        <v>7010849.0300000003</v>
      </c>
      <c r="G14" s="23" t="str">
        <f>VLOOKUP(B14,'TB 0625'!A:A,1,0)</f>
        <v>Computer and Laptops</v>
      </c>
    </row>
    <row r="15" spans="1:7" x14ac:dyDescent="0.35">
      <c r="A15" s="174" t="s">
        <v>678</v>
      </c>
      <c r="B15" s="174" t="str">
        <f t="shared" si="0"/>
        <v>Furniture and Equipment</v>
      </c>
      <c r="C15" s="231">
        <v>704611.34</v>
      </c>
      <c r="D15" s="231">
        <v>0</v>
      </c>
      <c r="E15" s="231">
        <v>0</v>
      </c>
      <c r="F15" s="231">
        <v>704611.34</v>
      </c>
      <c r="G15" s="23" t="str">
        <f>VLOOKUP(B15,'TB 0625'!A:A,1,0)</f>
        <v>Furniture and Equipment</v>
      </c>
    </row>
    <row r="16" spans="1:7" x14ac:dyDescent="0.35">
      <c r="A16" s="174" t="s">
        <v>712</v>
      </c>
      <c r="B16" s="174" t="str">
        <f t="shared" si="0"/>
        <v>HDFC Bank 6899</v>
      </c>
      <c r="C16" s="231">
        <v>75890.3</v>
      </c>
      <c r="D16" s="231">
        <v>665486802.10000002</v>
      </c>
      <c r="E16" s="231">
        <v>665490332.70000005</v>
      </c>
      <c r="F16" s="231">
        <v>72359.7</v>
      </c>
      <c r="G16" s="23" t="str">
        <f>VLOOKUP(B16,'TB 0625'!A:A,1,0)</f>
        <v>HDFC Bank 6899</v>
      </c>
    </row>
    <row r="17" spans="1:7" x14ac:dyDescent="0.35">
      <c r="A17" s="174" t="s">
        <v>713</v>
      </c>
      <c r="B17" s="174" t="str">
        <f t="shared" si="0"/>
        <v>HDFC Bank 9531</v>
      </c>
      <c r="C17" s="231">
        <v>136140.51999999999</v>
      </c>
      <c r="D17" s="231">
        <v>2255429.4900000002</v>
      </c>
      <c r="E17" s="231">
        <v>2299585.71</v>
      </c>
      <c r="F17" s="231">
        <v>91984.3</v>
      </c>
      <c r="G17" s="23" t="str">
        <f>VLOOKUP(B17,'TB 0625'!A:A,1,0)</f>
        <v>HDFC Bank 9531</v>
      </c>
    </row>
    <row r="18" spans="1:7" x14ac:dyDescent="0.35">
      <c r="A18" s="174" t="s">
        <v>508</v>
      </c>
      <c r="B18" s="174" t="str">
        <f t="shared" si="0"/>
        <v>Input Tax Credits</v>
      </c>
      <c r="C18" s="231">
        <v>0</v>
      </c>
      <c r="D18" s="231">
        <v>0</v>
      </c>
      <c r="E18" s="231">
        <v>0</v>
      </c>
      <c r="F18" s="231">
        <v>0</v>
      </c>
    </row>
    <row r="19" spans="1:7" x14ac:dyDescent="0.35">
      <c r="A19" s="174" t="s">
        <v>509</v>
      </c>
      <c r="B19" s="174" t="str">
        <f t="shared" si="0"/>
        <v>Input CGST</v>
      </c>
      <c r="C19" s="231">
        <v>2141032.64</v>
      </c>
      <c r="D19" s="231">
        <v>717849.19</v>
      </c>
      <c r="E19" s="231">
        <v>104365.51</v>
      </c>
      <c r="F19" s="231">
        <v>2754516.32</v>
      </c>
      <c r="G19" s="23" t="str">
        <f>VLOOKUP(B19,'TB 0625'!A:A,1,0)</f>
        <v>Input CGST</v>
      </c>
    </row>
    <row r="20" spans="1:7" x14ac:dyDescent="0.35">
      <c r="A20" s="174" t="s">
        <v>510</v>
      </c>
      <c r="B20" s="174" t="str">
        <f t="shared" si="0"/>
        <v>Input IGST</v>
      </c>
      <c r="C20" s="231">
        <v>1206813.3799999999</v>
      </c>
      <c r="D20" s="231">
        <v>585371.56999999995</v>
      </c>
      <c r="E20" s="231">
        <v>325575</v>
      </c>
      <c r="F20" s="231">
        <v>1466609.95</v>
      </c>
      <c r="G20" s="23" t="str">
        <f>VLOOKUP(B20,'TB 0625'!A:A,1,0)</f>
        <v>Input IGST</v>
      </c>
    </row>
    <row r="21" spans="1:7" x14ac:dyDescent="0.35">
      <c r="A21" s="174" t="s">
        <v>511</v>
      </c>
      <c r="B21" s="174" t="str">
        <f t="shared" si="0"/>
        <v>Input SGST</v>
      </c>
      <c r="C21" s="231">
        <v>2141032.69</v>
      </c>
      <c r="D21" s="231">
        <v>717849.19</v>
      </c>
      <c r="E21" s="231">
        <v>120734.51</v>
      </c>
      <c r="F21" s="231">
        <v>2738147.37</v>
      </c>
      <c r="G21" s="23" t="str">
        <f>VLOOKUP(B21,'TB 0625'!A:A,1,0)</f>
        <v>Input SGST</v>
      </c>
    </row>
    <row r="22" spans="1:7" ht="15.5" x14ac:dyDescent="0.35">
      <c r="A22" s="177" t="s">
        <v>512</v>
      </c>
      <c r="B22" s="177" t="str">
        <f t="shared" si="0"/>
        <v>Total for Input Tax Credits</v>
      </c>
      <c r="C22" s="232">
        <v>5488878.71</v>
      </c>
      <c r="D22" s="232">
        <v>2021069.95</v>
      </c>
      <c r="E22" s="232">
        <v>550675.02</v>
      </c>
      <c r="F22" s="232">
        <v>6959273.6399999997</v>
      </c>
    </row>
    <row r="23" spans="1:7" x14ac:dyDescent="0.35">
      <c r="B23" s="23" t="str">
        <f t="shared" si="0"/>
        <v/>
      </c>
    </row>
    <row r="24" spans="1:7" x14ac:dyDescent="0.35">
      <c r="A24" s="174" t="s">
        <v>514</v>
      </c>
      <c r="B24" s="174" t="str">
        <f t="shared" si="0"/>
        <v>Investments</v>
      </c>
      <c r="C24" s="231">
        <v>0</v>
      </c>
      <c r="D24" s="231">
        <v>0</v>
      </c>
      <c r="E24" s="231">
        <v>0</v>
      </c>
      <c r="F24" s="231">
        <v>0</v>
      </c>
    </row>
    <row r="25" spans="1:7" x14ac:dyDescent="0.35">
      <c r="A25" s="174" t="s">
        <v>850</v>
      </c>
      <c r="B25" s="174" t="str">
        <f t="shared" si="0"/>
        <v>Fixed Deposit 50301150927502</v>
      </c>
      <c r="C25" s="231">
        <v>20000000</v>
      </c>
      <c r="D25" s="231">
        <v>0</v>
      </c>
      <c r="E25" s="231">
        <v>20000000</v>
      </c>
      <c r="F25" s="231">
        <v>0</v>
      </c>
      <c r="G25" s="23" t="str">
        <f>VLOOKUP(B25,'TB 0625'!A:A,1,0)</f>
        <v>Fixed Deposit 50301150927502</v>
      </c>
    </row>
    <row r="26" spans="1:7" x14ac:dyDescent="0.35">
      <c r="A26" s="174" t="s">
        <v>851</v>
      </c>
      <c r="B26" s="174" t="str">
        <f t="shared" si="0"/>
        <v>Fixed Deposit 50301150928123</v>
      </c>
      <c r="C26" s="231">
        <v>45000000</v>
      </c>
      <c r="D26" s="231">
        <v>0</v>
      </c>
      <c r="E26" s="231">
        <v>45000000</v>
      </c>
      <c r="F26" s="231">
        <v>0</v>
      </c>
      <c r="G26" s="23" t="str">
        <f>VLOOKUP(B26,'TB 0625'!A:A,1,0)</f>
        <v>Fixed Deposit 50301150928123</v>
      </c>
    </row>
    <row r="27" spans="1:7" x14ac:dyDescent="0.35">
      <c r="A27" s="174" t="s">
        <v>1209</v>
      </c>
      <c r="B27" s="174" t="str">
        <f t="shared" si="0"/>
        <v>Fixed Deposit 50301170464152</v>
      </c>
      <c r="C27" s="231">
        <v>0</v>
      </c>
      <c r="D27" s="231">
        <v>50000000</v>
      </c>
      <c r="E27" s="231">
        <v>0</v>
      </c>
      <c r="F27" s="231">
        <v>50000000</v>
      </c>
      <c r="G27" s="23" t="str">
        <f>VLOOKUP(B27,'TB 0625'!A:A,1,0)</f>
        <v>Fixed Deposit 50301170464152</v>
      </c>
    </row>
    <row r="28" spans="1:7" x14ac:dyDescent="0.35">
      <c r="A28" s="174" t="s">
        <v>1210</v>
      </c>
      <c r="B28" s="174" t="str">
        <f t="shared" si="0"/>
        <v>Fixed Deposit 50301170464596</v>
      </c>
      <c r="C28" s="231">
        <v>0</v>
      </c>
      <c r="D28" s="231">
        <v>100000000</v>
      </c>
      <c r="E28" s="231">
        <v>0</v>
      </c>
      <c r="F28" s="231">
        <v>100000000</v>
      </c>
      <c r="G28" s="23" t="str">
        <f>VLOOKUP(B28,'TB 0625'!A:A,1,0)</f>
        <v>Fixed Deposit 50301170464596</v>
      </c>
    </row>
    <row r="29" spans="1:7" x14ac:dyDescent="0.35">
      <c r="A29" s="174" t="s">
        <v>1211</v>
      </c>
      <c r="B29" s="174" t="str">
        <f t="shared" si="0"/>
        <v>Fixed Deposit 50301170464942</v>
      </c>
      <c r="C29" s="231">
        <v>0</v>
      </c>
      <c r="D29" s="231">
        <v>150000000</v>
      </c>
      <c r="E29" s="231">
        <v>0</v>
      </c>
      <c r="F29" s="231">
        <v>150000000</v>
      </c>
      <c r="G29" s="23" t="str">
        <f>VLOOKUP(B29,'TB 0625'!A:A,1,0)</f>
        <v>Fixed Deposit 50301170464942</v>
      </c>
    </row>
    <row r="30" spans="1:7" x14ac:dyDescent="0.35">
      <c r="A30" s="174" t="s">
        <v>1212</v>
      </c>
      <c r="B30" s="174" t="str">
        <f t="shared" si="0"/>
        <v>Fixed Deposit 50301170465320</v>
      </c>
      <c r="C30" s="231">
        <v>0</v>
      </c>
      <c r="D30" s="231">
        <v>300000000</v>
      </c>
      <c r="E30" s="231">
        <v>0</v>
      </c>
      <c r="F30" s="231">
        <v>300000000</v>
      </c>
      <c r="G30" s="23" t="str">
        <f>VLOOKUP(B30,'TB 0625'!A:A,1,0)</f>
        <v>Fixed Deposit 50301170465320</v>
      </c>
    </row>
    <row r="31" spans="1:7" x14ac:dyDescent="0.35">
      <c r="A31" s="174" t="s">
        <v>680</v>
      </c>
      <c r="B31" s="174" t="str">
        <f t="shared" si="0"/>
        <v>Fixed Deposit 9349809145</v>
      </c>
      <c r="C31" s="231">
        <v>350000000</v>
      </c>
      <c r="D31" s="231">
        <v>0</v>
      </c>
      <c r="E31" s="231">
        <v>0</v>
      </c>
      <c r="F31" s="231">
        <v>350000000</v>
      </c>
      <c r="G31" s="23" t="str">
        <f>VLOOKUP(B31,'TB 0625'!A:A,1,0)</f>
        <v>Fixed Deposit 9349809145</v>
      </c>
    </row>
    <row r="32" spans="1:7" x14ac:dyDescent="0.35">
      <c r="A32" s="174" t="s">
        <v>1213</v>
      </c>
      <c r="B32" s="174" t="str">
        <f t="shared" si="0"/>
        <v>Fixed Deposit 9349969993</v>
      </c>
      <c r="C32" s="231">
        <v>0</v>
      </c>
      <c r="D32" s="231">
        <v>100000000</v>
      </c>
      <c r="E32" s="231">
        <v>0</v>
      </c>
      <c r="F32" s="231">
        <v>100000000</v>
      </c>
      <c r="G32" s="23" t="str">
        <f>VLOOKUP(B32,'TB 0625'!A:A,1,0)</f>
        <v>Fixed Deposit 9349969993</v>
      </c>
    </row>
    <row r="33" spans="1:7" x14ac:dyDescent="0.35">
      <c r="A33" s="174" t="s">
        <v>1214</v>
      </c>
      <c r="B33" s="174" t="str">
        <f t="shared" si="0"/>
        <v>Fixed Deposit 9349970005</v>
      </c>
      <c r="C33" s="231">
        <v>0</v>
      </c>
      <c r="D33" s="231">
        <v>150000000</v>
      </c>
      <c r="E33" s="231">
        <v>0</v>
      </c>
      <c r="F33" s="231">
        <v>150000000</v>
      </c>
      <c r="G33" s="23" t="str">
        <f>VLOOKUP(B33,'TB 0625'!A:A,1,0)</f>
        <v>Fixed Deposit 9349970005</v>
      </c>
    </row>
    <row r="34" spans="1:7" x14ac:dyDescent="0.35">
      <c r="A34" s="174" t="s">
        <v>1215</v>
      </c>
      <c r="B34" s="174" t="str">
        <f t="shared" si="0"/>
        <v>Fixed Deposit 9349970036</v>
      </c>
      <c r="C34" s="231">
        <v>0</v>
      </c>
      <c r="D34" s="231">
        <v>150000000</v>
      </c>
      <c r="E34" s="231">
        <v>0</v>
      </c>
      <c r="F34" s="231">
        <v>150000000</v>
      </c>
      <c r="G34" s="23" t="str">
        <f>VLOOKUP(B34,'TB 0625'!A:A,1,0)</f>
        <v>Fixed Deposit 9349970036</v>
      </c>
    </row>
    <row r="35" spans="1:7" x14ac:dyDescent="0.35">
      <c r="A35" s="174" t="s">
        <v>1216</v>
      </c>
      <c r="B35" s="174" t="str">
        <f t="shared" si="0"/>
        <v>Fixed Deposit 9349970081</v>
      </c>
      <c r="C35" s="231">
        <v>0</v>
      </c>
      <c r="D35" s="231">
        <v>180000000</v>
      </c>
      <c r="E35" s="231">
        <v>0</v>
      </c>
      <c r="F35" s="231">
        <v>180000000</v>
      </c>
      <c r="G35" s="23" t="str">
        <f>VLOOKUP(B35,'TB 0625'!A:A,1,0)</f>
        <v>Fixed Deposit 9349970081</v>
      </c>
    </row>
    <row r="36" spans="1:7" x14ac:dyDescent="0.35">
      <c r="A36" s="174" t="s">
        <v>1217</v>
      </c>
      <c r="B36" s="174" t="str">
        <f t="shared" si="0"/>
        <v>Fixed Deposit 9349970098</v>
      </c>
      <c r="C36" s="231">
        <v>0</v>
      </c>
      <c r="D36" s="231">
        <v>170000000</v>
      </c>
      <c r="E36" s="231">
        <v>0</v>
      </c>
      <c r="F36" s="231">
        <v>170000000</v>
      </c>
      <c r="G36" s="23" t="str">
        <f>VLOOKUP(B36,'TB 0625'!A:A,1,0)</f>
        <v>Fixed Deposit 9349970098</v>
      </c>
    </row>
    <row r="37" spans="1:7" x14ac:dyDescent="0.35">
      <c r="A37" s="174" t="s">
        <v>1218</v>
      </c>
      <c r="B37" s="174" t="str">
        <f t="shared" si="0"/>
        <v>Fixed Deposit 9349970463</v>
      </c>
      <c r="C37" s="231">
        <v>0</v>
      </c>
      <c r="D37" s="231">
        <v>17000000</v>
      </c>
      <c r="E37" s="231">
        <v>0</v>
      </c>
      <c r="F37" s="231">
        <v>17000000</v>
      </c>
      <c r="G37" s="23" t="str">
        <f>VLOOKUP(B37,'TB 0625'!A:A,1,0)</f>
        <v>Fixed Deposit 9349970463</v>
      </c>
    </row>
    <row r="38" spans="1:7" x14ac:dyDescent="0.35">
      <c r="A38" s="174" t="s">
        <v>1219</v>
      </c>
      <c r="B38" s="174" t="str">
        <f t="shared" si="0"/>
        <v>Fixed Deposit 9349970623</v>
      </c>
      <c r="C38" s="231">
        <v>0</v>
      </c>
      <c r="D38" s="231">
        <v>250000000</v>
      </c>
      <c r="E38" s="231">
        <v>0</v>
      </c>
      <c r="F38" s="231">
        <v>250000000</v>
      </c>
      <c r="G38" s="23" t="str">
        <f>VLOOKUP(B38,'TB 0625'!A:A,1,0)</f>
        <v>Fixed Deposit 9349970623</v>
      </c>
    </row>
    <row r="39" spans="1:7" x14ac:dyDescent="0.35">
      <c r="A39" s="174" t="s">
        <v>1220</v>
      </c>
      <c r="B39" s="174" t="str">
        <f t="shared" si="0"/>
        <v>Fixed Deposit 9349981445</v>
      </c>
      <c r="C39" s="231">
        <v>0</v>
      </c>
      <c r="D39" s="231">
        <v>10000000</v>
      </c>
      <c r="E39" s="231">
        <v>10000000</v>
      </c>
      <c r="F39" s="231">
        <v>0</v>
      </c>
      <c r="G39" s="23" t="str">
        <f>VLOOKUP(B39,'TB 0625'!A:A,1,0)</f>
        <v>Fixed Deposit 9349981445</v>
      </c>
    </row>
    <row r="40" spans="1:7" x14ac:dyDescent="0.35">
      <c r="A40" s="174" t="s">
        <v>1221</v>
      </c>
      <c r="B40" s="174" t="str">
        <f t="shared" si="0"/>
        <v>Fixed Deposit 9349994223</v>
      </c>
      <c r="C40" s="231">
        <v>0</v>
      </c>
      <c r="D40" s="231">
        <v>12500000</v>
      </c>
      <c r="E40" s="231">
        <v>0</v>
      </c>
      <c r="F40" s="231">
        <v>12500000</v>
      </c>
      <c r="G40" s="23" t="str">
        <f>VLOOKUP(B40,'TB 0625'!A:A,1,0)</f>
        <v>Fixed Deposit 9349994223</v>
      </c>
    </row>
    <row r="41" spans="1:7" ht="15.5" x14ac:dyDescent="0.35">
      <c r="A41" s="177" t="s">
        <v>521</v>
      </c>
      <c r="B41" s="177" t="str">
        <f t="shared" si="0"/>
        <v>Total for Investments</v>
      </c>
      <c r="C41" s="232">
        <v>415000000</v>
      </c>
      <c r="D41" s="232">
        <v>1639500000</v>
      </c>
      <c r="E41" s="232">
        <v>75000000</v>
      </c>
      <c r="F41" s="232">
        <v>1979500000</v>
      </c>
    </row>
    <row r="42" spans="1:7" x14ac:dyDescent="0.35">
      <c r="B42" s="23" t="str">
        <f t="shared" si="0"/>
        <v/>
      </c>
    </row>
    <row r="43" spans="1:7" x14ac:dyDescent="0.35">
      <c r="A43" s="174" t="s">
        <v>682</v>
      </c>
      <c r="B43" s="174" t="str">
        <f t="shared" si="0"/>
        <v>Kotak Mahindra Bank 0429</v>
      </c>
      <c r="C43" s="231">
        <v>0</v>
      </c>
      <c r="D43" s="231">
        <v>1623581413.5</v>
      </c>
      <c r="E43" s="231">
        <v>1623581413.5</v>
      </c>
      <c r="F43" s="231">
        <v>0</v>
      </c>
      <c r="G43" s="23" t="str">
        <f>VLOOKUP(B43,'TB 0625'!A:A,1,0)</f>
        <v>Kotak Mahindra Bank 0429</v>
      </c>
    </row>
    <row r="44" spans="1:7" x14ac:dyDescent="0.35">
      <c r="A44" s="174" t="s">
        <v>522</v>
      </c>
      <c r="B44" s="174" t="str">
        <f t="shared" si="0"/>
        <v>Kotak Mahindra Bank 9942</v>
      </c>
      <c r="C44" s="231">
        <v>10011096</v>
      </c>
      <c r="D44" s="231">
        <v>1643588194.45</v>
      </c>
      <c r="E44" s="231">
        <v>1643500000</v>
      </c>
      <c r="F44" s="231">
        <v>10099290.449999999</v>
      </c>
      <c r="G44" s="23" t="str">
        <f>VLOOKUP(B44,'TB 0625'!A:A,1,0)</f>
        <v>Kotak Mahindra Bank 9942</v>
      </c>
    </row>
    <row r="45" spans="1:7" x14ac:dyDescent="0.35">
      <c r="A45" s="174" t="s">
        <v>523</v>
      </c>
      <c r="B45" s="174" t="str">
        <f t="shared" si="0"/>
        <v>Kotak Mahindra Bank 9966</v>
      </c>
      <c r="C45" s="231">
        <v>5439913.3600000003</v>
      </c>
      <c r="D45" s="231">
        <v>88098538</v>
      </c>
      <c r="E45" s="231">
        <v>74639334.219999999</v>
      </c>
      <c r="F45" s="231">
        <v>18899117.140000001</v>
      </c>
      <c r="G45" s="23" t="str">
        <f>VLOOKUP(B45,'TB 0625'!A:A,1,0)</f>
        <v>Kotak Mahindra Bank 9966</v>
      </c>
    </row>
    <row r="46" spans="1:7" x14ac:dyDescent="0.35">
      <c r="A46" s="174" t="s">
        <v>722</v>
      </c>
      <c r="B46" s="174" t="str">
        <f t="shared" si="0"/>
        <v>Leasehold Improvement</v>
      </c>
      <c r="C46" s="231">
        <v>3633598</v>
      </c>
      <c r="D46" s="231">
        <v>0</v>
      </c>
      <c r="E46" s="231">
        <v>0</v>
      </c>
      <c r="F46" s="231">
        <v>3633598</v>
      </c>
      <c r="G46" s="23" t="str">
        <f>VLOOKUP(B46,'TB 0625'!A:A,1,0)</f>
        <v>Leasehold Improvement</v>
      </c>
    </row>
    <row r="47" spans="1:7" x14ac:dyDescent="0.35">
      <c r="A47" s="174" t="s">
        <v>524</v>
      </c>
      <c r="B47" s="174" t="str">
        <f t="shared" si="0"/>
        <v>Office Equipment</v>
      </c>
      <c r="C47" s="231">
        <v>479822.62</v>
      </c>
      <c r="D47" s="231">
        <v>41017.97</v>
      </c>
      <c r="E47" s="231">
        <v>0</v>
      </c>
      <c r="F47" s="231">
        <v>520840.59</v>
      </c>
      <c r="G47" s="23" t="str">
        <f>VLOOKUP(B47,'TB 0625'!A:A,1,0)</f>
        <v>Office Equipment</v>
      </c>
    </row>
    <row r="48" spans="1:7" x14ac:dyDescent="0.35">
      <c r="A48" s="174" t="s">
        <v>1422</v>
      </c>
      <c r="B48" s="174" t="str">
        <f t="shared" si="0"/>
        <v>Other Receivable</v>
      </c>
      <c r="C48" s="231">
        <v>81296.960000000006</v>
      </c>
      <c r="D48" s="231">
        <v>0</v>
      </c>
      <c r="E48" s="231">
        <v>0</v>
      </c>
      <c r="F48" s="231">
        <v>81296.960000000006</v>
      </c>
      <c r="G48" s="23" t="str">
        <f>VLOOKUP(B48,'TB 0625'!A:A,1,0)</f>
        <v>Other Receivable</v>
      </c>
    </row>
    <row r="49" spans="1:7" x14ac:dyDescent="0.35">
      <c r="A49" s="174" t="s">
        <v>526</v>
      </c>
      <c r="B49" s="174" t="str">
        <f t="shared" si="0"/>
        <v>Prepaid Expense - Asset</v>
      </c>
      <c r="C49" s="231">
        <v>20250.03</v>
      </c>
      <c r="D49" s="231">
        <v>0</v>
      </c>
      <c r="E49" s="231">
        <v>20250</v>
      </c>
      <c r="F49" s="231">
        <v>0.03</v>
      </c>
      <c r="G49" s="23" t="str">
        <f>VLOOKUP(B49,'TB 0625'!A:A,1,0)</f>
        <v>Prepaid Expense - Asset</v>
      </c>
    </row>
    <row r="50" spans="1:7" x14ac:dyDescent="0.35">
      <c r="A50" s="174" t="s">
        <v>527</v>
      </c>
      <c r="B50" s="174" t="str">
        <f t="shared" si="0"/>
        <v>Prepaid Expenses</v>
      </c>
      <c r="C50" s="231">
        <v>3397973.71</v>
      </c>
      <c r="D50" s="231">
        <v>7864490.3099999996</v>
      </c>
      <c r="E50" s="231">
        <v>3184921.98</v>
      </c>
      <c r="F50" s="231">
        <v>8077542.04</v>
      </c>
      <c r="G50" s="23" t="str">
        <f>VLOOKUP(B50,'TB 0625'!A:A,1,0)</f>
        <v>Prepaid Expenses</v>
      </c>
    </row>
    <row r="51" spans="1:7" x14ac:dyDescent="0.35">
      <c r="A51" s="174" t="s">
        <v>528</v>
      </c>
      <c r="B51" s="174" t="str">
        <f t="shared" si="0"/>
        <v>Receipt from Customers</v>
      </c>
      <c r="C51" s="231">
        <v>0</v>
      </c>
      <c r="D51" s="231">
        <v>6315638.5</v>
      </c>
      <c r="E51" s="231">
        <v>6315638.5</v>
      </c>
      <c r="F51" s="231">
        <v>0</v>
      </c>
      <c r="G51" s="23" t="str">
        <f>VLOOKUP(B51,'TB 0625'!A:A,1,0)</f>
        <v>Receipt from Customers</v>
      </c>
    </row>
    <row r="52" spans="1:7" x14ac:dyDescent="0.35">
      <c r="A52" s="174" t="s">
        <v>529</v>
      </c>
      <c r="B52" s="174" t="str">
        <f t="shared" si="0"/>
        <v>Reverse Charge Tax Input but not due</v>
      </c>
      <c r="C52" s="231">
        <v>980178.3</v>
      </c>
      <c r="D52" s="231">
        <v>446786.51</v>
      </c>
      <c r="E52" s="231">
        <v>4086</v>
      </c>
      <c r="F52" s="231">
        <v>1422878.81</v>
      </c>
      <c r="G52" s="23" t="str">
        <f>VLOOKUP(B52,'TB 0625'!A:A,1,0)</f>
        <v>Reverse Charge Tax Input but not due</v>
      </c>
    </row>
    <row r="53" spans="1:7" x14ac:dyDescent="0.35">
      <c r="A53" s="174" t="s">
        <v>530</v>
      </c>
      <c r="B53" s="174" t="str">
        <f t="shared" si="0"/>
        <v>Security Deposit</v>
      </c>
      <c r="C53" s="231">
        <v>6092000</v>
      </c>
      <c r="D53" s="231">
        <v>1429400</v>
      </c>
      <c r="E53" s="231">
        <v>0</v>
      </c>
      <c r="F53" s="231">
        <v>7521400</v>
      </c>
      <c r="G53" s="23" t="str">
        <f>VLOOKUP(B53,'TB 0625'!A:A,1,0)</f>
        <v>Security Deposit</v>
      </c>
    </row>
    <row r="54" spans="1:7" x14ac:dyDescent="0.35">
      <c r="A54" s="174" t="s">
        <v>531</v>
      </c>
      <c r="B54" s="174" t="str">
        <f t="shared" si="0"/>
        <v>TDS Receivable</v>
      </c>
      <c r="C54" s="231">
        <v>299706</v>
      </c>
      <c r="D54" s="231">
        <v>46153.7</v>
      </c>
      <c r="E54" s="231">
        <v>0</v>
      </c>
      <c r="F54" s="231">
        <v>345859.7</v>
      </c>
      <c r="G54" s="23" t="str">
        <f>VLOOKUP(B54,'TB 0625'!A:A,1,0)</f>
        <v>TDS Receivable</v>
      </c>
    </row>
    <row r="55" spans="1:7" x14ac:dyDescent="0.35">
      <c r="A55" s="174" t="s">
        <v>532</v>
      </c>
      <c r="B55" s="175" t="str">
        <f t="shared" si="0"/>
        <v>Liabilities</v>
      </c>
      <c r="C55" s="23" t="s">
        <v>85</v>
      </c>
      <c r="D55" s="23" t="s">
        <v>85</v>
      </c>
      <c r="E55" s="23" t="s">
        <v>85</v>
      </c>
      <c r="F55" s="23" t="s">
        <v>85</v>
      </c>
    </row>
    <row r="56" spans="1:7" x14ac:dyDescent="0.35">
      <c r="A56" s="174" t="s">
        <v>533</v>
      </c>
      <c r="B56" s="174" t="str">
        <f t="shared" si="0"/>
        <v>Accounts Payable</v>
      </c>
      <c r="C56" s="231">
        <v>-7405869.4900000002</v>
      </c>
      <c r="D56" s="231">
        <v>20251943.739999998</v>
      </c>
      <c r="E56" s="231">
        <v>22039550.18</v>
      </c>
      <c r="F56" s="231">
        <v>-9193475.9299999997</v>
      </c>
      <c r="G56" s="23" t="str">
        <f>VLOOKUP(B56,'TB 0625'!A:A,1,0)</f>
        <v>Accounts Payable</v>
      </c>
    </row>
    <row r="57" spans="1:7" x14ac:dyDescent="0.35">
      <c r="A57" s="174" t="s">
        <v>1329</v>
      </c>
      <c r="B57" s="174" t="str">
        <f t="shared" si="0"/>
        <v>Advance from B2C Customer</v>
      </c>
      <c r="C57" s="231">
        <v>-537758</v>
      </c>
      <c r="D57" s="231">
        <v>0</v>
      </c>
      <c r="E57" s="231">
        <v>272047</v>
      </c>
      <c r="F57" s="231">
        <v>-809805</v>
      </c>
      <c r="G57" s="23" t="str">
        <f>VLOOKUP(B57,'TB 0625'!A:A,1,0)</f>
        <v>Advance from B2C Customer</v>
      </c>
    </row>
    <row r="58" spans="1:7" x14ac:dyDescent="0.35">
      <c r="A58" s="174" t="s">
        <v>534</v>
      </c>
      <c r="B58" s="174" t="str">
        <f t="shared" si="0"/>
        <v>App Wallet</v>
      </c>
      <c r="C58" s="231">
        <v>-249572.27</v>
      </c>
      <c r="D58" s="231">
        <v>12079</v>
      </c>
      <c r="E58" s="231">
        <v>62825</v>
      </c>
      <c r="F58" s="231">
        <v>-300318.27</v>
      </c>
      <c r="G58" s="23" t="str">
        <f>VLOOKUP(B58,'TB 0625'!A:A,1,0)</f>
        <v>App Wallet</v>
      </c>
    </row>
    <row r="59" spans="1:7" x14ac:dyDescent="0.35">
      <c r="A59" s="174" t="s">
        <v>535</v>
      </c>
      <c r="B59" s="174" t="str">
        <f t="shared" si="0"/>
        <v>Employee Reimbursements</v>
      </c>
      <c r="C59" s="231">
        <v>-81162.820000000007</v>
      </c>
      <c r="D59" s="231">
        <v>134095.65</v>
      </c>
      <c r="E59" s="231">
        <v>217932.83</v>
      </c>
      <c r="F59" s="231">
        <v>-165000</v>
      </c>
      <c r="G59" s="23" t="str">
        <f>VLOOKUP(B59,'TB 0625'!A:A,1,0)</f>
        <v>Employee Reimbursements</v>
      </c>
    </row>
    <row r="60" spans="1:7" x14ac:dyDescent="0.35">
      <c r="A60" s="174" t="s">
        <v>621</v>
      </c>
      <c r="B60" s="174" t="str">
        <f t="shared" si="0"/>
        <v>Employee Salaries Payable</v>
      </c>
      <c r="C60" s="231">
        <v>-148523</v>
      </c>
      <c r="D60" s="231">
        <v>12921655</v>
      </c>
      <c r="E60" s="231">
        <v>16285749</v>
      </c>
      <c r="F60" s="231">
        <v>-3512617</v>
      </c>
      <c r="G60" s="23" t="str">
        <f>VLOOKUP(B60,'TB 0625'!A:A,1,0)</f>
        <v>Employee Salaries Payable</v>
      </c>
    </row>
    <row r="61" spans="1:7" x14ac:dyDescent="0.35">
      <c r="A61" s="174" t="s">
        <v>763</v>
      </c>
      <c r="B61" s="174" t="str">
        <f t="shared" si="0"/>
        <v>Employees State Insurance</v>
      </c>
      <c r="C61" s="231">
        <v>0</v>
      </c>
      <c r="D61" s="231">
        <v>0</v>
      </c>
      <c r="E61" s="231">
        <v>0</v>
      </c>
      <c r="F61" s="231">
        <v>0</v>
      </c>
    </row>
    <row r="62" spans="1:7" x14ac:dyDescent="0.35">
      <c r="A62" s="174" t="s">
        <v>764</v>
      </c>
      <c r="B62" s="174" t="str">
        <f t="shared" si="0"/>
        <v>ESI - Employee</v>
      </c>
      <c r="C62" s="231">
        <v>-1275</v>
      </c>
      <c r="D62" s="231">
        <v>1275</v>
      </c>
      <c r="E62" s="231">
        <v>144</v>
      </c>
      <c r="F62" s="231">
        <v>-144</v>
      </c>
      <c r="G62" s="23" t="str">
        <f>VLOOKUP(B62,'TB 0625'!A:A,1,0)</f>
        <v>ESI - Employee</v>
      </c>
    </row>
    <row r="63" spans="1:7" x14ac:dyDescent="0.35">
      <c r="A63" s="174" t="s">
        <v>765</v>
      </c>
      <c r="B63" s="174" t="str">
        <f t="shared" si="0"/>
        <v>ESI - Employer</v>
      </c>
      <c r="C63" s="231">
        <v>-5508</v>
      </c>
      <c r="D63" s="231">
        <v>5508</v>
      </c>
      <c r="E63" s="231">
        <v>621</v>
      </c>
      <c r="F63" s="231">
        <v>-621</v>
      </c>
      <c r="G63" s="23" t="str">
        <f>VLOOKUP(B63,'TB 0625'!A:A,1,0)</f>
        <v>ESI - Employer</v>
      </c>
    </row>
    <row r="64" spans="1:7" ht="15.5" x14ac:dyDescent="0.35">
      <c r="A64" s="177" t="s">
        <v>766</v>
      </c>
      <c r="B64" s="177" t="str">
        <f t="shared" si="0"/>
        <v>Total for Employees State Insurance</v>
      </c>
      <c r="C64" s="232">
        <v>-6783</v>
      </c>
      <c r="D64" s="232">
        <v>6783</v>
      </c>
      <c r="E64" s="232">
        <v>765</v>
      </c>
      <c r="F64" s="232">
        <v>-765</v>
      </c>
    </row>
    <row r="65" spans="1:7" x14ac:dyDescent="0.35">
      <c r="B65" s="23" t="str">
        <f t="shared" si="0"/>
        <v/>
      </c>
    </row>
    <row r="66" spans="1:7" x14ac:dyDescent="0.35">
      <c r="A66" s="174" t="s">
        <v>1198</v>
      </c>
      <c r="B66" s="174" t="str">
        <f t="shared" si="0"/>
        <v>Expert Joining Bonus Payable</v>
      </c>
      <c r="C66" s="231">
        <v>-205550</v>
      </c>
      <c r="D66" s="231">
        <v>198770</v>
      </c>
      <c r="E66" s="231">
        <v>118430</v>
      </c>
      <c r="F66" s="231">
        <v>-125210</v>
      </c>
      <c r="G66" s="23" t="str">
        <f>VLOOKUP(B66,'TB 0625'!A:A,1,0)</f>
        <v>Expert Joining Bonus Payable</v>
      </c>
    </row>
    <row r="67" spans="1:7" x14ac:dyDescent="0.35">
      <c r="A67" s="174" t="s">
        <v>1222</v>
      </c>
      <c r="B67" s="174" t="str">
        <f t="shared" si="0"/>
        <v>Expert Referral Bonus Payable</v>
      </c>
      <c r="C67" s="231">
        <v>0</v>
      </c>
      <c r="D67" s="231">
        <v>110425</v>
      </c>
      <c r="E67" s="231">
        <v>110425</v>
      </c>
      <c r="F67" s="231">
        <v>0</v>
      </c>
      <c r="G67" s="23" t="str">
        <f>VLOOKUP(B67,'TB 0625'!A:A,1,0)</f>
        <v>Expert Referral Bonus Payable</v>
      </c>
    </row>
    <row r="68" spans="1:7" x14ac:dyDescent="0.35">
      <c r="A68" s="174" t="s">
        <v>963</v>
      </c>
      <c r="B68" s="174" t="str">
        <f t="shared" si="0"/>
        <v>Expert Service Cost Payable</v>
      </c>
      <c r="C68" s="231">
        <v>-8652482.1099999994</v>
      </c>
      <c r="D68" s="231">
        <v>8863905.5999999996</v>
      </c>
      <c r="E68" s="231">
        <v>15512690.41</v>
      </c>
      <c r="F68" s="231">
        <v>-15301266.92</v>
      </c>
      <c r="G68" s="23" t="str">
        <f>VLOOKUP(B68,'TB 0625'!A:A,1,0)</f>
        <v>Expert Service Cost Payable</v>
      </c>
    </row>
    <row r="69" spans="1:7" x14ac:dyDescent="0.35">
      <c r="A69" s="174" t="s">
        <v>1223</v>
      </c>
      <c r="B69" s="174" t="str">
        <f t="shared" si="0"/>
        <v>Expert Yulu Bonus Payable</v>
      </c>
      <c r="C69" s="231">
        <v>0</v>
      </c>
      <c r="D69" s="231">
        <v>49575</v>
      </c>
      <c r="E69" s="231">
        <v>49575</v>
      </c>
      <c r="F69" s="231">
        <v>0</v>
      </c>
      <c r="G69" s="23" t="str">
        <f>VLOOKUP(B69,'TB 0625'!A:A,1,0)</f>
        <v>Expert Yulu Bonus Payable</v>
      </c>
    </row>
    <row r="70" spans="1:7" x14ac:dyDescent="0.35">
      <c r="A70" s="174" t="s">
        <v>536</v>
      </c>
      <c r="B70" s="174" t="str">
        <f t="shared" ref="B70:B139" si="1">TRIM(A70)</f>
        <v>GST Payable</v>
      </c>
      <c r="C70" s="231">
        <v>-390645</v>
      </c>
      <c r="D70" s="231">
        <v>0</v>
      </c>
      <c r="E70" s="231">
        <v>0</v>
      </c>
      <c r="F70" s="231">
        <v>-390645</v>
      </c>
      <c r="G70" s="23" t="str">
        <f>VLOOKUP(B70,'TB 0625'!A:A,1,0)</f>
        <v>GST Payable</v>
      </c>
    </row>
    <row r="71" spans="1:7" x14ac:dyDescent="0.35">
      <c r="A71" s="174" t="s">
        <v>537</v>
      </c>
      <c r="B71" s="174" t="str">
        <f t="shared" si="1"/>
        <v>Output CGST</v>
      </c>
      <c r="C71" s="231">
        <v>25723.89</v>
      </c>
      <c r="D71" s="231">
        <v>279733</v>
      </c>
      <c r="E71" s="231">
        <v>378236.19</v>
      </c>
      <c r="F71" s="231">
        <v>-72779.3</v>
      </c>
      <c r="G71" s="23" t="str">
        <f>VLOOKUP(B71,'TB 0625'!A:A,1,0)</f>
        <v>Output CGST</v>
      </c>
    </row>
    <row r="72" spans="1:7" x14ac:dyDescent="0.35">
      <c r="A72" s="174" t="s">
        <v>538</v>
      </c>
      <c r="B72" s="174" t="str">
        <f t="shared" si="1"/>
        <v>Output IGST</v>
      </c>
      <c r="C72" s="231">
        <v>-38680.699999999997</v>
      </c>
      <c r="D72" s="231">
        <v>79813</v>
      </c>
      <c r="E72" s="231">
        <v>365336.51</v>
      </c>
      <c r="F72" s="231">
        <v>-324204.21000000002</v>
      </c>
      <c r="G72" s="23" t="str">
        <f>VLOOKUP(B72,'TB 0625'!A:A,1,0)</f>
        <v>Output IGST</v>
      </c>
    </row>
    <row r="73" spans="1:7" x14ac:dyDescent="0.35">
      <c r="A73" s="174" t="s">
        <v>539</v>
      </c>
      <c r="B73" s="174" t="str">
        <f t="shared" si="1"/>
        <v>Output SGST</v>
      </c>
      <c r="C73" s="231">
        <v>-236752.11</v>
      </c>
      <c r="D73" s="231">
        <v>279733</v>
      </c>
      <c r="E73" s="231">
        <v>378236.19</v>
      </c>
      <c r="F73" s="231">
        <v>-335255.3</v>
      </c>
      <c r="G73" s="23" t="str">
        <f>VLOOKUP(B73,'TB 0625'!A:A,1,0)</f>
        <v>Output SGST</v>
      </c>
    </row>
    <row r="74" spans="1:7" ht="15.5" x14ac:dyDescent="0.35">
      <c r="A74" s="177" t="s">
        <v>540</v>
      </c>
      <c r="B74" s="177" t="str">
        <f t="shared" si="1"/>
        <v>Total for GST Payable</v>
      </c>
      <c r="C74" s="232">
        <v>-640353.92000000004</v>
      </c>
      <c r="D74" s="232">
        <v>639279</v>
      </c>
      <c r="E74" s="232">
        <v>1121808.8899999999</v>
      </c>
      <c r="F74" s="232">
        <v>-1122883.81</v>
      </c>
    </row>
    <row r="75" spans="1:7" x14ac:dyDescent="0.35">
      <c r="B75" s="23" t="str">
        <f t="shared" si="1"/>
        <v/>
      </c>
    </row>
    <row r="76" spans="1:7" x14ac:dyDescent="0.35">
      <c r="A76" s="174" t="s">
        <v>1224</v>
      </c>
      <c r="B76" s="174" t="str">
        <f t="shared" si="1"/>
        <v>LWF - Employee</v>
      </c>
      <c r="C76" s="231">
        <v>0</v>
      </c>
      <c r="D76" s="231">
        <v>0</v>
      </c>
      <c r="E76" s="231">
        <v>2950</v>
      </c>
      <c r="F76" s="231">
        <v>-2950</v>
      </c>
      <c r="G76" s="23" t="str">
        <f>VLOOKUP(B76,'TB 0625'!A:A,1,0)</f>
        <v>LWF - Employee</v>
      </c>
    </row>
    <row r="77" spans="1:7" x14ac:dyDescent="0.35">
      <c r="A77" s="174" t="s">
        <v>1225</v>
      </c>
      <c r="B77" s="174" t="str">
        <f t="shared" si="1"/>
        <v>LWF - Employer</v>
      </c>
      <c r="C77" s="231">
        <v>0</v>
      </c>
      <c r="D77" s="231">
        <v>0</v>
      </c>
      <c r="E77" s="231">
        <v>8850</v>
      </c>
      <c r="F77" s="231">
        <v>-8850</v>
      </c>
      <c r="G77" s="23" t="str">
        <f>VLOOKUP(B77,'TB 0625'!A:A,1,0)</f>
        <v>LWF - Employer</v>
      </c>
    </row>
    <row r="78" spans="1:7" x14ac:dyDescent="0.35">
      <c r="A78" s="174" t="s">
        <v>541</v>
      </c>
      <c r="B78" s="174" t="str">
        <f t="shared" si="1"/>
        <v>Professional Tax</v>
      </c>
      <c r="C78" s="231">
        <v>-37175</v>
      </c>
      <c r="D78" s="231">
        <v>37175</v>
      </c>
      <c r="E78" s="231">
        <v>25575</v>
      </c>
      <c r="F78" s="231">
        <v>-25575</v>
      </c>
      <c r="G78" s="23" t="str">
        <f>VLOOKUP(B78,'TB 0625'!A:A,1,0)</f>
        <v>Professional Tax</v>
      </c>
    </row>
    <row r="79" spans="1:7" x14ac:dyDescent="0.35">
      <c r="A79" s="174" t="s">
        <v>542</v>
      </c>
      <c r="B79" s="174" t="str">
        <f t="shared" si="1"/>
        <v>Provident Fund</v>
      </c>
      <c r="C79" s="231">
        <v>0</v>
      </c>
      <c r="D79" s="231">
        <v>0</v>
      </c>
      <c r="E79" s="231">
        <v>0</v>
      </c>
      <c r="F79" s="231">
        <v>0</v>
      </c>
    </row>
    <row r="80" spans="1:7" x14ac:dyDescent="0.35">
      <c r="A80" s="174" t="s">
        <v>543</v>
      </c>
      <c r="B80" s="174" t="str">
        <f t="shared" si="1"/>
        <v>Provident Fund - Employee</v>
      </c>
      <c r="C80" s="231">
        <v>-385113</v>
      </c>
      <c r="D80" s="231">
        <v>385113</v>
      </c>
      <c r="E80" s="231">
        <v>270363</v>
      </c>
      <c r="F80" s="231">
        <v>-270363</v>
      </c>
      <c r="G80" s="23" t="str">
        <f>VLOOKUP(B80,'TB 0625'!A:A,1,0)</f>
        <v>Provident Fund - Employee</v>
      </c>
    </row>
    <row r="81" spans="1:7" x14ac:dyDescent="0.35">
      <c r="A81" s="174" t="s">
        <v>544</v>
      </c>
      <c r="B81" s="174" t="str">
        <f t="shared" si="1"/>
        <v>Provident Fund - Employer</v>
      </c>
      <c r="C81" s="231">
        <v>-385113</v>
      </c>
      <c r="D81" s="231">
        <v>385113</v>
      </c>
      <c r="E81" s="231">
        <v>270363</v>
      </c>
      <c r="F81" s="231">
        <v>-270363</v>
      </c>
      <c r="G81" s="23" t="str">
        <f>VLOOKUP(B81,'TB 0625'!A:A,1,0)</f>
        <v>Provident Fund - Employer</v>
      </c>
    </row>
    <row r="82" spans="1:7" ht="15.5" x14ac:dyDescent="0.35">
      <c r="A82" s="177" t="s">
        <v>545</v>
      </c>
      <c r="B82" s="177" t="str">
        <f t="shared" si="1"/>
        <v>Total for Provident Fund</v>
      </c>
      <c r="C82" s="232">
        <v>-770226</v>
      </c>
      <c r="D82" s="232">
        <v>770226</v>
      </c>
      <c r="E82" s="232">
        <v>540726</v>
      </c>
      <c r="F82" s="232">
        <v>-540726</v>
      </c>
    </row>
    <row r="83" spans="1:7" x14ac:dyDescent="0.35">
      <c r="B83" s="23" t="str">
        <f t="shared" si="1"/>
        <v/>
      </c>
    </row>
    <row r="84" spans="1:7" x14ac:dyDescent="0.35">
      <c r="A84" s="174" t="s">
        <v>546</v>
      </c>
      <c r="B84" s="174" t="str">
        <f t="shared" si="1"/>
        <v>Provision for Audit Fees</v>
      </c>
      <c r="C84" s="231">
        <v>-100000</v>
      </c>
      <c r="D84" s="231">
        <v>0</v>
      </c>
      <c r="E84" s="231">
        <v>0</v>
      </c>
      <c r="F84" s="231">
        <v>-100000</v>
      </c>
      <c r="G84" s="23" t="str">
        <f>VLOOKUP(B84,'TB 0625'!A:A,1,0)</f>
        <v>Provision for Audit Fees</v>
      </c>
    </row>
    <row r="85" spans="1:7" x14ac:dyDescent="0.35">
      <c r="A85" s="174" t="s">
        <v>617</v>
      </c>
      <c r="B85" s="174" t="str">
        <f t="shared" si="1"/>
        <v>Provision for Customer Acquisition Cost</v>
      </c>
      <c r="C85" s="231">
        <v>0</v>
      </c>
      <c r="D85" s="231">
        <v>0</v>
      </c>
      <c r="E85" s="231">
        <v>134207</v>
      </c>
      <c r="F85" s="231">
        <v>-134207</v>
      </c>
      <c r="G85" s="23" t="str">
        <f>VLOOKUP(B85,'TB 0625'!A:A,1,0)</f>
        <v>Provision for Customer Acquisition Cost</v>
      </c>
    </row>
    <row r="86" spans="1:7" x14ac:dyDescent="0.35">
      <c r="A86" s="174" t="s">
        <v>1423</v>
      </c>
      <c r="B86" s="174" t="str">
        <f t="shared" si="1"/>
        <v>Provision for Gratuity - LT</v>
      </c>
      <c r="C86" s="231">
        <v>-548984</v>
      </c>
      <c r="D86" s="231">
        <v>0</v>
      </c>
      <c r="E86" s="231">
        <v>0</v>
      </c>
      <c r="F86" s="231">
        <v>-548984</v>
      </c>
      <c r="G86" s="23" t="str">
        <f>VLOOKUP(B86,'TB 0625'!A:A,1,0)</f>
        <v>Provision for Gratuity - LT</v>
      </c>
    </row>
    <row r="87" spans="1:7" x14ac:dyDescent="0.35">
      <c r="A87" s="174" t="s">
        <v>1424</v>
      </c>
      <c r="B87" s="174" t="str">
        <f t="shared" si="1"/>
        <v>Provision for Gratuity - ST</v>
      </c>
      <c r="C87" s="231">
        <v>-1269</v>
      </c>
      <c r="D87" s="231">
        <v>0</v>
      </c>
      <c r="E87" s="231">
        <v>0</v>
      </c>
      <c r="F87" s="231">
        <v>-1269</v>
      </c>
      <c r="G87" s="23" t="str">
        <f>VLOOKUP(B87,'TB 0625'!A:A,1,0)</f>
        <v>Provision for Gratuity - ST</v>
      </c>
    </row>
    <row r="88" spans="1:7" x14ac:dyDescent="0.35">
      <c r="A88" s="174" t="s">
        <v>547</v>
      </c>
      <c r="B88" s="174" t="str">
        <f t="shared" si="1"/>
        <v>Provision for Other Cost</v>
      </c>
      <c r="C88" s="231">
        <v>0</v>
      </c>
      <c r="D88" s="231">
        <v>0</v>
      </c>
      <c r="E88" s="231">
        <v>5416233.9199999999</v>
      </c>
      <c r="F88" s="231">
        <v>-5416233.9199999999</v>
      </c>
      <c r="G88" s="23" t="str">
        <f>VLOOKUP(B88,'TB 0625'!A:A,1,0)</f>
        <v>Provision for Other Cost</v>
      </c>
    </row>
    <row r="89" spans="1:7" x14ac:dyDescent="0.35">
      <c r="A89" s="174" t="s">
        <v>959</v>
      </c>
      <c r="B89" s="174" t="str">
        <f t="shared" si="1"/>
        <v>Provision for Professional Fees</v>
      </c>
      <c r="C89" s="231">
        <v>-20000</v>
      </c>
      <c r="D89" s="231">
        <v>20000</v>
      </c>
      <c r="E89" s="231">
        <v>70000</v>
      </c>
      <c r="F89" s="231">
        <v>-70000</v>
      </c>
      <c r="G89" s="23" t="str">
        <f>VLOOKUP(B89,'TB 0625'!A:A,1,0)</f>
        <v>Provision for Professional Fees</v>
      </c>
    </row>
    <row r="90" spans="1:7" x14ac:dyDescent="0.35">
      <c r="A90" s="174" t="s">
        <v>1226</v>
      </c>
      <c r="B90" s="174" t="str">
        <f t="shared" si="1"/>
        <v>Provision for Rent Expense</v>
      </c>
      <c r="C90" s="231">
        <v>-63728</v>
      </c>
      <c r="D90" s="231">
        <v>113228</v>
      </c>
      <c r="E90" s="231">
        <v>299100</v>
      </c>
      <c r="F90" s="231">
        <v>-249600</v>
      </c>
      <c r="G90" s="23" t="str">
        <f>VLOOKUP(B90,'TB 0625'!A:A,1,0)</f>
        <v>Provision for Rent Expense</v>
      </c>
    </row>
    <row r="91" spans="1:7" x14ac:dyDescent="0.35">
      <c r="A91" s="174" t="s">
        <v>549</v>
      </c>
      <c r="B91" s="174" t="str">
        <f t="shared" si="1"/>
        <v>Provision for Software Expense</v>
      </c>
      <c r="C91" s="231">
        <v>0</v>
      </c>
      <c r="D91" s="231">
        <v>0</v>
      </c>
      <c r="E91" s="231">
        <v>68530.03</v>
      </c>
      <c r="F91" s="231">
        <v>-68530.03</v>
      </c>
      <c r="G91" s="23" t="str">
        <f>VLOOKUP(B91,'TB 0625'!A:A,1,0)</f>
        <v>Provision for Software Expense</v>
      </c>
    </row>
    <row r="92" spans="1:7" x14ac:dyDescent="0.35">
      <c r="A92" s="174" t="s">
        <v>1227</v>
      </c>
      <c r="B92" s="174" t="str">
        <f t="shared" si="1"/>
        <v>Provision for Staff Welfare Expense</v>
      </c>
      <c r="C92" s="231">
        <v>0</v>
      </c>
      <c r="D92" s="231">
        <v>0</v>
      </c>
      <c r="E92" s="231">
        <v>97352.74</v>
      </c>
      <c r="F92" s="231">
        <v>-97352.74</v>
      </c>
      <c r="G92" s="23" t="str">
        <f>VLOOKUP(B92,'TB 0625'!A:A,1,0)</f>
        <v>Provision for Staff Welfare Expense</v>
      </c>
    </row>
    <row r="93" spans="1:7" x14ac:dyDescent="0.35">
      <c r="A93" s="174" t="s">
        <v>1228</v>
      </c>
      <c r="B93" s="174" t="str">
        <f t="shared" si="1"/>
        <v>Provision for TC Expense</v>
      </c>
      <c r="C93" s="231">
        <v>0</v>
      </c>
      <c r="D93" s="231">
        <v>0</v>
      </c>
      <c r="E93" s="231">
        <v>20626.669999999998</v>
      </c>
      <c r="F93" s="231">
        <v>-20626.669999999998</v>
      </c>
      <c r="G93" s="23" t="str">
        <f>VLOOKUP(B93,'TB 0625'!A:A,1,0)</f>
        <v>Provision for TC Expense</v>
      </c>
    </row>
    <row r="94" spans="1:7" x14ac:dyDescent="0.35">
      <c r="A94" s="174" t="s">
        <v>550</v>
      </c>
      <c r="B94" s="174" t="str">
        <f t="shared" si="1"/>
        <v>TDS Payable</v>
      </c>
      <c r="C94" s="231">
        <v>-2609496.4300000002</v>
      </c>
      <c r="D94" s="231">
        <v>2664588.7799999998</v>
      </c>
      <c r="E94" s="231">
        <v>3815724.7</v>
      </c>
      <c r="F94" s="231">
        <v>-3760632.35</v>
      </c>
      <c r="G94" s="23" t="str">
        <f>VLOOKUP(B94,'TB 0625'!A:A,1,0)</f>
        <v>TDS Payable</v>
      </c>
    </row>
    <row r="95" spans="1:7" x14ac:dyDescent="0.35">
      <c r="A95" s="174" t="s">
        <v>551</v>
      </c>
      <c r="B95" s="174" t="str">
        <f t="shared" si="1"/>
        <v>Variable Salary Payable</v>
      </c>
      <c r="C95" s="231">
        <v>-545585</v>
      </c>
      <c r="D95" s="231">
        <v>0</v>
      </c>
      <c r="E95" s="231">
        <v>438028</v>
      </c>
      <c r="F95" s="231">
        <v>-983613</v>
      </c>
      <c r="G95" s="23" t="str">
        <f>VLOOKUP(B95,'TB 0625'!A:A,1,0)</f>
        <v>Variable Salary Payable</v>
      </c>
    </row>
    <row r="96" spans="1:7" x14ac:dyDescent="0.35">
      <c r="A96" s="174" t="s">
        <v>552</v>
      </c>
      <c r="B96" s="175" t="str">
        <f t="shared" si="1"/>
        <v>Equities</v>
      </c>
      <c r="C96" s="23" t="s">
        <v>85</v>
      </c>
      <c r="D96" s="23" t="s">
        <v>85</v>
      </c>
      <c r="E96" s="23" t="s">
        <v>85</v>
      </c>
      <c r="F96" s="23" t="s">
        <v>85</v>
      </c>
    </row>
    <row r="97" spans="1:7" x14ac:dyDescent="0.35">
      <c r="A97" s="174" t="s">
        <v>553</v>
      </c>
      <c r="B97" s="174" t="str">
        <f t="shared" si="1"/>
        <v>Current Year Earnings</v>
      </c>
      <c r="C97" s="231">
        <v>53523276.950000003</v>
      </c>
      <c r="D97" s="231">
        <v>0</v>
      </c>
      <c r="E97" s="231">
        <v>0</v>
      </c>
      <c r="F97" s="231">
        <v>53523276.950000003</v>
      </c>
      <c r="G97" s="23" t="str">
        <f>VLOOKUP(B97,'TB 0625'!A:A,1,0)</f>
        <v>Current Year Earnings</v>
      </c>
    </row>
    <row r="98" spans="1:7" x14ac:dyDescent="0.35">
      <c r="A98" s="174" t="s">
        <v>1426</v>
      </c>
      <c r="B98" s="174" t="str">
        <f t="shared" si="1"/>
        <v>ESOP Outstanding Reserve</v>
      </c>
      <c r="C98" s="231">
        <v>-1245691</v>
      </c>
      <c r="D98" s="231">
        <v>0</v>
      </c>
      <c r="E98" s="231">
        <v>0</v>
      </c>
      <c r="F98" s="231">
        <v>-1245691</v>
      </c>
      <c r="G98" s="23" t="str">
        <f>VLOOKUP(B98,'TB 0625'!A:A,1,0)</f>
        <v>ESOP Outstanding Reserve</v>
      </c>
    </row>
    <row r="99" spans="1:7" x14ac:dyDescent="0.35">
      <c r="A99" s="174" t="s">
        <v>554</v>
      </c>
      <c r="B99" s="174" t="str">
        <f t="shared" si="1"/>
        <v>Owner's Equity</v>
      </c>
      <c r="C99" s="231">
        <v>-100000</v>
      </c>
      <c r="D99" s="231">
        <v>0</v>
      </c>
      <c r="E99" s="231">
        <v>0</v>
      </c>
      <c r="F99" s="231">
        <v>-100000</v>
      </c>
      <c r="G99" s="23" t="str">
        <f>VLOOKUP(B99,'TB 0625'!A:A,1,0)</f>
        <v>Owner's Equity</v>
      </c>
    </row>
    <row r="100" spans="1:7" x14ac:dyDescent="0.35">
      <c r="A100" s="174" t="s">
        <v>683</v>
      </c>
      <c r="B100" s="174" t="str">
        <f t="shared" si="1"/>
        <v>Elevation Capital III Limited ESC</v>
      </c>
      <c r="C100" s="231">
        <v>-10</v>
      </c>
      <c r="D100" s="231">
        <v>0</v>
      </c>
      <c r="E100" s="231">
        <v>0</v>
      </c>
      <c r="F100" s="231">
        <v>-10</v>
      </c>
      <c r="G100" s="23" t="str">
        <f>VLOOKUP(B100,'TB 0625'!A:A,1,0)</f>
        <v>Elevation Capital III Limited ESC</v>
      </c>
    </row>
    <row r="101" spans="1:7" x14ac:dyDescent="0.35">
      <c r="A101" s="174" t="s">
        <v>684</v>
      </c>
      <c r="B101" s="174" t="str">
        <f t="shared" si="1"/>
        <v>Elevation Capital III Limited PSC</v>
      </c>
      <c r="C101" s="231">
        <v>-4091400</v>
      </c>
      <c r="D101" s="231">
        <v>0</v>
      </c>
      <c r="E101" s="231">
        <v>1371900</v>
      </c>
      <c r="F101" s="231">
        <v>-5463300</v>
      </c>
      <c r="G101" s="23" t="str">
        <f>VLOOKUP(B101,'TB 0625'!A:A,1,0)</f>
        <v>Elevation Capital III Limited PSC</v>
      </c>
    </row>
    <row r="102" spans="1:7" x14ac:dyDescent="0.35">
      <c r="A102" s="174" t="s">
        <v>685</v>
      </c>
      <c r="B102" s="174" t="str">
        <f t="shared" si="1"/>
        <v>Gaurav Munjal</v>
      </c>
      <c r="C102" s="231">
        <v>-10800</v>
      </c>
      <c r="D102" s="231">
        <v>0</v>
      </c>
      <c r="E102" s="231">
        <v>0</v>
      </c>
      <c r="F102" s="231">
        <v>-10800</v>
      </c>
      <c r="G102" s="23" t="str">
        <f>VLOOKUP(B102,'TB 0625'!A:A,1,0)</f>
        <v>Gaurav Munjal</v>
      </c>
    </row>
    <row r="103" spans="1:7" x14ac:dyDescent="0.35">
      <c r="A103" s="174" t="s">
        <v>1229</v>
      </c>
      <c r="B103" s="174" t="str">
        <f t="shared" si="1"/>
        <v>Lightspeed India Partners IV LLC</v>
      </c>
      <c r="C103" s="231">
        <v>0</v>
      </c>
      <c r="D103" s="231">
        <v>0</v>
      </c>
      <c r="E103" s="231">
        <v>3772700</v>
      </c>
      <c r="F103" s="231">
        <v>-3772700</v>
      </c>
      <c r="G103" s="23" t="str">
        <f>VLOOKUP(B103,'TB 0625'!A:A,1,0)</f>
        <v>Lightspeed India Partners IV LLC</v>
      </c>
    </row>
    <row r="104" spans="1:7" x14ac:dyDescent="0.35">
      <c r="A104" s="174" t="s">
        <v>555</v>
      </c>
      <c r="B104" s="174" t="str">
        <f t="shared" si="1"/>
        <v>Nexus Ventures VII Holdings LLC ESC</v>
      </c>
      <c r="C104" s="231">
        <v>-10</v>
      </c>
      <c r="D104" s="231">
        <v>0</v>
      </c>
      <c r="E104" s="231">
        <v>0</v>
      </c>
      <c r="F104" s="231">
        <v>-10</v>
      </c>
      <c r="G104" s="23" t="str">
        <f>VLOOKUP(B104,'TB 0625'!A:A,1,0)</f>
        <v>Nexus Ventures VII Holdings LLC ESC</v>
      </c>
    </row>
    <row r="105" spans="1:7" x14ac:dyDescent="0.35">
      <c r="A105" s="174" t="s">
        <v>556</v>
      </c>
      <c r="B105" s="174" t="str">
        <f t="shared" si="1"/>
        <v>Nexus Ventures VII Holdings LLC PSC</v>
      </c>
      <c r="C105" s="231">
        <v>-5126000</v>
      </c>
      <c r="D105" s="231">
        <v>0</v>
      </c>
      <c r="E105" s="231">
        <v>1371900</v>
      </c>
      <c r="F105" s="231">
        <v>-6497900</v>
      </c>
      <c r="G105" s="23" t="str">
        <f>VLOOKUP(B105,'TB 0625'!A:A,1,0)</f>
        <v>Nexus Ventures VII Holdings LLC PSC</v>
      </c>
    </row>
    <row r="106" spans="1:7" x14ac:dyDescent="0.35">
      <c r="A106" s="174" t="s">
        <v>686</v>
      </c>
      <c r="B106" s="174" t="str">
        <f t="shared" si="1"/>
        <v>Niraj Singh</v>
      </c>
      <c r="C106" s="231">
        <v>-16200</v>
      </c>
      <c r="D106" s="231">
        <v>0</v>
      </c>
      <c r="E106" s="231">
        <v>0</v>
      </c>
      <c r="F106" s="231">
        <v>-16200</v>
      </c>
      <c r="G106" s="23" t="str">
        <f>VLOOKUP(B106,'TB 0625'!A:A,1,0)</f>
        <v>Niraj Singh</v>
      </c>
    </row>
    <row r="107" spans="1:7" x14ac:dyDescent="0.35">
      <c r="A107" s="174" t="s">
        <v>687</v>
      </c>
      <c r="B107" s="174" t="str">
        <f t="shared" si="1"/>
        <v>Pranav Goenka</v>
      </c>
      <c r="C107" s="231">
        <v>-5400</v>
      </c>
      <c r="D107" s="231">
        <v>0</v>
      </c>
      <c r="E107" s="231">
        <v>0</v>
      </c>
      <c r="F107" s="231">
        <v>-5400</v>
      </c>
      <c r="G107" s="23" t="str">
        <f>VLOOKUP(B107,'TB 0625'!A:A,1,0)</f>
        <v>Pranav Goenka</v>
      </c>
    </row>
    <row r="108" spans="1:7" x14ac:dyDescent="0.35">
      <c r="A108" s="174" t="s">
        <v>688</v>
      </c>
      <c r="B108" s="174" t="str">
        <f t="shared" si="1"/>
        <v>Sanjeev Kumar</v>
      </c>
      <c r="C108" s="231">
        <v>-37800</v>
      </c>
      <c r="D108" s="231">
        <v>0</v>
      </c>
      <c r="E108" s="231">
        <v>0</v>
      </c>
      <c r="F108" s="231">
        <v>-37800</v>
      </c>
      <c r="G108" s="23" t="str">
        <f>VLOOKUP(B108,'TB 0625'!A:A,1,0)</f>
        <v>Sanjeev Kumar</v>
      </c>
    </row>
    <row r="109" spans="1:7" x14ac:dyDescent="0.35">
      <c r="A109" s="174" t="s">
        <v>557</v>
      </c>
      <c r="B109" s="174" t="str">
        <f t="shared" si="1"/>
        <v>Securities Premium</v>
      </c>
      <c r="C109" s="231">
        <v>-545637669.75999999</v>
      </c>
      <c r="D109" s="231">
        <v>0</v>
      </c>
      <c r="E109" s="231">
        <v>1617064913.45</v>
      </c>
      <c r="F109" s="231">
        <v>-2162702583.21</v>
      </c>
      <c r="G109" s="23" t="str">
        <f>VLOOKUP(B109,'TB 0625'!A:A,1,0)</f>
        <v>Securities Premium</v>
      </c>
    </row>
    <row r="110" spans="1:7" x14ac:dyDescent="0.35">
      <c r="A110" s="174" t="s">
        <v>689</v>
      </c>
      <c r="B110" s="174" t="str">
        <f t="shared" si="1"/>
        <v>Shantam Jain</v>
      </c>
      <c r="C110" s="231">
        <v>-5400</v>
      </c>
      <c r="D110" s="231">
        <v>0</v>
      </c>
      <c r="E110" s="231">
        <v>0</v>
      </c>
      <c r="F110" s="231">
        <v>-5400</v>
      </c>
      <c r="G110" s="23" t="str">
        <f>VLOOKUP(B110,'TB 0625'!A:A,1,0)</f>
        <v>Shantam Jain</v>
      </c>
    </row>
    <row r="111" spans="1:7" x14ac:dyDescent="0.35">
      <c r="A111" s="174" t="s">
        <v>690</v>
      </c>
      <c r="B111" s="174" t="str">
        <f t="shared" si="1"/>
        <v>Siddhartha Kochar</v>
      </c>
      <c r="C111" s="231">
        <v>-5400</v>
      </c>
      <c r="D111" s="231">
        <v>0</v>
      </c>
      <c r="E111" s="231">
        <v>0</v>
      </c>
      <c r="F111" s="231">
        <v>-5400</v>
      </c>
      <c r="G111" s="23" t="str">
        <f>VLOOKUP(B111,'TB 0625'!A:A,1,0)</f>
        <v>Siddhartha Kochar</v>
      </c>
    </row>
    <row r="112" spans="1:7" x14ac:dyDescent="0.35">
      <c r="A112" s="174" t="s">
        <v>691</v>
      </c>
      <c r="B112" s="174" t="str">
        <f t="shared" si="1"/>
        <v>Unnat SK Bajoria</v>
      </c>
      <c r="C112" s="231">
        <v>-5400</v>
      </c>
      <c r="D112" s="231">
        <v>0</v>
      </c>
      <c r="E112" s="231">
        <v>0</v>
      </c>
      <c r="F112" s="231">
        <v>-5400</v>
      </c>
      <c r="G112" s="23" t="str">
        <f>VLOOKUP(B112,'TB 0625'!A:A,1,0)</f>
        <v>Unnat SK Bajoria</v>
      </c>
    </row>
    <row r="113" spans="1:7" x14ac:dyDescent="0.35">
      <c r="A113" s="174" t="s">
        <v>692</v>
      </c>
      <c r="B113" s="174" t="str">
        <f t="shared" si="1"/>
        <v>Vidit Aatrey</v>
      </c>
      <c r="C113" s="231">
        <v>-37800</v>
      </c>
      <c r="D113" s="231">
        <v>0</v>
      </c>
      <c r="E113" s="231">
        <v>0</v>
      </c>
      <c r="F113" s="231">
        <v>-37800</v>
      </c>
      <c r="G113" s="23" t="str">
        <f>VLOOKUP(B113,'TB 0625'!A:A,1,0)</f>
        <v>Vidit Aatrey</v>
      </c>
    </row>
    <row r="114" spans="1:7" ht="15.5" x14ac:dyDescent="0.35">
      <c r="A114" s="177" t="s">
        <v>558</v>
      </c>
      <c r="B114" s="177" t="str">
        <f t="shared" si="1"/>
        <v>Total for Owner's Equity</v>
      </c>
      <c r="C114" s="232">
        <v>-555079289.75999999</v>
      </c>
      <c r="D114" s="232">
        <v>0</v>
      </c>
      <c r="E114" s="232">
        <v>1623581413.45</v>
      </c>
      <c r="F114" s="232">
        <v>-2178660703.21</v>
      </c>
    </row>
    <row r="115" spans="1:7" x14ac:dyDescent="0.35">
      <c r="B115" s="23" t="str">
        <f t="shared" si="1"/>
        <v/>
      </c>
    </row>
    <row r="116" spans="1:7" x14ac:dyDescent="0.35">
      <c r="A116" s="174" t="s">
        <v>559</v>
      </c>
      <c r="B116" s="174" t="str">
        <f t="shared" si="1"/>
        <v>Retained Earnings</v>
      </c>
      <c r="C116" s="231">
        <v>58903866.530000001</v>
      </c>
      <c r="D116" s="231">
        <v>0</v>
      </c>
      <c r="E116" s="231">
        <v>0</v>
      </c>
      <c r="F116" s="231">
        <v>58903866.530000001</v>
      </c>
      <c r="G116" s="23" t="str">
        <f>VLOOKUP(B116,'TB 0625'!A:A,1,0)</f>
        <v>Retained Earnings</v>
      </c>
    </row>
    <row r="117" spans="1:7" x14ac:dyDescent="0.35">
      <c r="A117" s="174" t="s">
        <v>1230</v>
      </c>
      <c r="B117" s="174" t="str">
        <f t="shared" si="1"/>
        <v>Share Application Money Pending Allotment</v>
      </c>
      <c r="C117" s="231">
        <v>0</v>
      </c>
      <c r="D117" s="231">
        <v>1623581413.5</v>
      </c>
      <c r="E117" s="231">
        <v>1623581413.5</v>
      </c>
      <c r="F117" s="231">
        <v>0</v>
      </c>
      <c r="G117" s="23" t="str">
        <f>VLOOKUP(B117,'TB 0625'!A:A,1,0)</f>
        <v>Share Application Money Pending Allotment</v>
      </c>
    </row>
    <row r="118" spans="1:7" x14ac:dyDescent="0.35">
      <c r="A118" s="174" t="s">
        <v>467</v>
      </c>
      <c r="B118" s="175" t="str">
        <f t="shared" si="1"/>
        <v>Income</v>
      </c>
      <c r="C118" s="23" t="s">
        <v>85</v>
      </c>
      <c r="D118" s="23" t="s">
        <v>85</v>
      </c>
      <c r="E118" s="23" t="s">
        <v>85</v>
      </c>
      <c r="F118" s="23" t="s">
        <v>85</v>
      </c>
    </row>
    <row r="119" spans="1:7" x14ac:dyDescent="0.35">
      <c r="A119" s="174" t="s">
        <v>468</v>
      </c>
      <c r="B119" s="174" t="str">
        <f t="shared" si="1"/>
        <v>Convenience and Platform Fee</v>
      </c>
      <c r="C119" s="23">
        <v>0</v>
      </c>
      <c r="D119" s="23">
        <v>1718735</v>
      </c>
      <c r="E119" s="23">
        <v>3938554.39</v>
      </c>
      <c r="F119" s="23">
        <v>-2219819.39</v>
      </c>
      <c r="G119" s="23" t="str">
        <f>VLOOKUP(B119,'TB 0625'!A:A,1,0)</f>
        <v>Convenience and Platform Fee</v>
      </c>
    </row>
    <row r="120" spans="1:7" x14ac:dyDescent="0.35">
      <c r="A120" s="174" t="s">
        <v>469</v>
      </c>
      <c r="B120" s="174" t="str">
        <f t="shared" si="1"/>
        <v>Discount</v>
      </c>
      <c r="C120" s="23">
        <v>0</v>
      </c>
      <c r="D120" s="23">
        <v>5339789</v>
      </c>
      <c r="E120" s="23">
        <v>0</v>
      </c>
      <c r="F120" s="23">
        <v>5339789</v>
      </c>
      <c r="G120" s="23" t="str">
        <f>VLOOKUP(B120,'TB 0625'!A:A,1,0)</f>
        <v>Discount</v>
      </c>
    </row>
    <row r="121" spans="1:7" x14ac:dyDescent="0.35">
      <c r="A121" s="174" t="s">
        <v>470</v>
      </c>
      <c r="B121" s="174" t="str">
        <f t="shared" si="1"/>
        <v>FD Interest Income</v>
      </c>
      <c r="C121" s="231">
        <v>0</v>
      </c>
      <c r="D121" s="231">
        <v>9248881</v>
      </c>
      <c r="E121" s="231">
        <v>19124605.100000001</v>
      </c>
      <c r="F121" s="231">
        <v>-9875724.0999999996</v>
      </c>
      <c r="G121" s="23" t="str">
        <f>VLOOKUP(B121,'TB 0625'!A:A,1,0)</f>
        <v>FD Interest Income</v>
      </c>
    </row>
    <row r="122" spans="1:7" x14ac:dyDescent="0.35">
      <c r="A122" s="174" t="s">
        <v>471</v>
      </c>
      <c r="B122" s="174" t="str">
        <f t="shared" si="1"/>
        <v>Maestro Revenue</v>
      </c>
      <c r="C122" s="235">
        <v>0</v>
      </c>
      <c r="D122" s="235">
        <v>0</v>
      </c>
      <c r="E122" s="235">
        <v>7433330.9100000001</v>
      </c>
      <c r="F122" s="235">
        <v>-7433330.9100000001</v>
      </c>
      <c r="G122" s="23" t="str">
        <f>VLOOKUP(B122,'TB 0625'!A:A,1,0)</f>
        <v>Maestro Revenue</v>
      </c>
    </row>
    <row r="123" spans="1:7" x14ac:dyDescent="0.35">
      <c r="A123" s="174" t="s">
        <v>472</v>
      </c>
      <c r="B123" s="175" t="str">
        <f t="shared" si="1"/>
        <v>Expense</v>
      </c>
      <c r="C123" s="23" t="s">
        <v>85</v>
      </c>
      <c r="D123" s="23" t="s">
        <v>85</v>
      </c>
      <c r="E123" s="23" t="s">
        <v>85</v>
      </c>
      <c r="F123" s="23" t="s">
        <v>85</v>
      </c>
    </row>
    <row r="124" spans="1:7" x14ac:dyDescent="0.35">
      <c r="A124" s="174" t="s">
        <v>474</v>
      </c>
      <c r="B124" s="174" t="str">
        <f t="shared" si="1"/>
        <v>Bank Fees and Charges</v>
      </c>
      <c r="C124" s="231">
        <v>0</v>
      </c>
      <c r="D124" s="231">
        <v>6370.24</v>
      </c>
      <c r="E124" s="231">
        <v>0</v>
      </c>
      <c r="F124" s="231">
        <v>6370.24</v>
      </c>
      <c r="G124" s="23" t="str">
        <f>VLOOKUP(B124,'TB 0625'!A:A,1,0)</f>
        <v>Bank Fees and Charges</v>
      </c>
    </row>
    <row r="125" spans="1:7" x14ac:dyDescent="0.35">
      <c r="A125" s="174" t="s">
        <v>475</v>
      </c>
      <c r="B125" s="174" t="str">
        <f t="shared" si="1"/>
        <v>Branding Expense</v>
      </c>
      <c r="C125" s="231">
        <v>0</v>
      </c>
      <c r="D125" s="231">
        <v>826150</v>
      </c>
      <c r="E125" s="231">
        <v>250000</v>
      </c>
      <c r="F125" s="231">
        <v>576150</v>
      </c>
      <c r="G125" s="23" t="str">
        <f>VLOOKUP(B125,'TB 0625'!A:A,1,0)</f>
        <v>Branding Expense</v>
      </c>
    </row>
    <row r="126" spans="1:7" x14ac:dyDescent="0.35">
      <c r="A126" s="174" t="s">
        <v>726</v>
      </c>
      <c r="B126" s="174" t="str">
        <f t="shared" si="1"/>
        <v>Brokerage Charges</v>
      </c>
      <c r="C126" s="231">
        <v>0</v>
      </c>
      <c r="D126" s="231">
        <v>96000</v>
      </c>
      <c r="E126" s="231">
        <v>0</v>
      </c>
      <c r="F126" s="231">
        <v>96000</v>
      </c>
      <c r="G126" s="23" t="str">
        <f>VLOOKUP(B126,'TB 0625'!A:A,1,0)</f>
        <v>Brokerage Charges</v>
      </c>
    </row>
    <row r="127" spans="1:7" x14ac:dyDescent="0.35">
      <c r="A127" s="174" t="s">
        <v>476</v>
      </c>
      <c r="B127" s="174" t="str">
        <f t="shared" si="1"/>
        <v>Customer Acquisition Cost</v>
      </c>
      <c r="C127" s="231">
        <v>0</v>
      </c>
      <c r="D127" s="231">
        <v>6551267.5700000003</v>
      </c>
      <c r="E127" s="231">
        <v>733739</v>
      </c>
      <c r="F127" s="231">
        <v>5817528.5700000003</v>
      </c>
      <c r="G127" s="23" t="str">
        <f>VLOOKUP(B127,'TB 0625'!A:A,1,0)</f>
        <v>Customer Acquisition Cost</v>
      </c>
    </row>
    <row r="128" spans="1:7" x14ac:dyDescent="0.35">
      <c r="A128" s="174" t="s">
        <v>636</v>
      </c>
      <c r="B128" s="174" t="str">
        <f t="shared" si="1"/>
        <v>Customer Success Cost</v>
      </c>
      <c r="C128" s="231">
        <v>0</v>
      </c>
      <c r="D128" s="231">
        <v>600893.37</v>
      </c>
      <c r="E128" s="231">
        <v>0</v>
      </c>
      <c r="F128" s="231">
        <v>600893.37</v>
      </c>
      <c r="G128" s="23" t="str">
        <f>VLOOKUP(B128,'TB 0625'!A:A,1,0)</f>
        <v>Customer Success Cost</v>
      </c>
    </row>
    <row r="129" spans="1:7" x14ac:dyDescent="0.35">
      <c r="A129" s="174" t="s">
        <v>477</v>
      </c>
      <c r="B129" s="174" t="str">
        <f t="shared" si="1"/>
        <v>Depreciation and Amortization</v>
      </c>
      <c r="C129" s="231">
        <v>0</v>
      </c>
      <c r="D129" s="231">
        <v>293911.67</v>
      </c>
      <c r="E129" s="231">
        <v>0</v>
      </c>
      <c r="F129" s="231">
        <v>293911.67</v>
      </c>
      <c r="G129" s="23" t="str">
        <f>VLOOKUP(B129,'TB 0625'!A:A,1,0)</f>
        <v>Depreciation and Amortization</v>
      </c>
    </row>
    <row r="130" spans="1:7" x14ac:dyDescent="0.35">
      <c r="A130" s="174" t="s">
        <v>646</v>
      </c>
      <c r="B130" s="174" t="str">
        <f t="shared" si="1"/>
        <v>Electricity Expense</v>
      </c>
      <c r="C130" s="231">
        <v>0</v>
      </c>
      <c r="D130" s="231">
        <v>1631.5</v>
      </c>
      <c r="E130" s="231">
        <v>0</v>
      </c>
      <c r="F130" s="231">
        <v>1631.5</v>
      </c>
      <c r="G130" s="23" t="str">
        <f>VLOOKUP(B130,'TB 0625'!A:A,1,0)</f>
        <v>Electricity Expense</v>
      </c>
    </row>
    <row r="131" spans="1:7" x14ac:dyDescent="0.35">
      <c r="A131" s="174" t="s">
        <v>478</v>
      </c>
      <c r="B131" s="174" t="str">
        <f t="shared" si="1"/>
        <v>Employee Benefit Expense</v>
      </c>
      <c r="C131" s="231">
        <v>0</v>
      </c>
      <c r="D131" s="231">
        <v>0</v>
      </c>
      <c r="E131" s="231">
        <v>0</v>
      </c>
      <c r="F131" s="231">
        <v>0</v>
      </c>
    </row>
    <row r="132" spans="1:7" x14ac:dyDescent="0.35">
      <c r="A132" s="174" t="s">
        <v>767</v>
      </c>
      <c r="B132" s="174" t="str">
        <f t="shared" si="1"/>
        <v>Employer ESI Expense</v>
      </c>
      <c r="C132" s="231">
        <v>0</v>
      </c>
      <c r="D132" s="231">
        <v>621</v>
      </c>
      <c r="E132" s="231">
        <v>0</v>
      </c>
      <c r="F132" s="231">
        <v>621</v>
      </c>
      <c r="G132" s="23" t="str">
        <f>VLOOKUP(B132,'TB 0625'!A:A,1,0)</f>
        <v>Employer ESI Expense</v>
      </c>
    </row>
    <row r="133" spans="1:7" x14ac:dyDescent="0.35">
      <c r="A133" s="174" t="s">
        <v>1231</v>
      </c>
      <c r="B133" s="174" t="str">
        <f t="shared" si="1"/>
        <v>Employer LWF Expense</v>
      </c>
      <c r="C133" s="231">
        <v>0</v>
      </c>
      <c r="D133" s="231">
        <v>8850</v>
      </c>
      <c r="E133" s="231">
        <v>0</v>
      </c>
      <c r="F133" s="231">
        <v>8850</v>
      </c>
      <c r="G133" s="23" t="str">
        <f>VLOOKUP(B133,'TB 0625'!A:A,1,0)</f>
        <v>Employer LWF Expense</v>
      </c>
    </row>
    <row r="134" spans="1:7" x14ac:dyDescent="0.35">
      <c r="A134" s="174" t="s">
        <v>479</v>
      </c>
      <c r="B134" s="174" t="str">
        <f t="shared" si="1"/>
        <v>Employer PF Expense</v>
      </c>
      <c r="C134" s="231">
        <v>0</v>
      </c>
      <c r="D134" s="231">
        <v>270363</v>
      </c>
      <c r="E134" s="231">
        <v>0</v>
      </c>
      <c r="F134" s="231">
        <v>270363</v>
      </c>
      <c r="G134" s="23" t="str">
        <f>VLOOKUP(B134,'TB 0625'!A:A,1,0)</f>
        <v>Employer PF Expense</v>
      </c>
    </row>
    <row r="135" spans="1:7" x14ac:dyDescent="0.35">
      <c r="A135" s="174" t="s">
        <v>480</v>
      </c>
      <c r="B135" s="174" t="str">
        <f t="shared" si="1"/>
        <v>PF Admin Expense</v>
      </c>
      <c r="C135" s="231">
        <v>0</v>
      </c>
      <c r="D135" s="231">
        <v>32092</v>
      </c>
      <c r="E135" s="231">
        <v>0</v>
      </c>
      <c r="F135" s="231">
        <v>32092</v>
      </c>
      <c r="G135" s="23" t="str">
        <f>VLOOKUP(B135,'TB 0625'!A:A,1,0)</f>
        <v>PF Admin Expense</v>
      </c>
    </row>
    <row r="136" spans="1:7" x14ac:dyDescent="0.35">
      <c r="A136" s="174" t="s">
        <v>481</v>
      </c>
      <c r="B136" s="174" t="str">
        <f t="shared" si="1"/>
        <v>Staff Welfare Expense</v>
      </c>
      <c r="C136" s="231">
        <v>0</v>
      </c>
      <c r="D136" s="231">
        <v>1051937.76</v>
      </c>
      <c r="E136" s="231">
        <v>69401.820000000007</v>
      </c>
      <c r="F136" s="231">
        <v>982535.94</v>
      </c>
      <c r="G136" s="23" t="str">
        <f>VLOOKUP(B136,'TB 0625'!A:A,1,0)</f>
        <v>Staff Welfare Expense</v>
      </c>
    </row>
    <row r="137" spans="1:7" x14ac:dyDescent="0.35">
      <c r="A137" s="174" t="s">
        <v>482</v>
      </c>
      <c r="B137" s="174" t="str">
        <f t="shared" si="1"/>
        <v>Variable Salary</v>
      </c>
      <c r="C137" s="231">
        <v>0</v>
      </c>
      <c r="D137" s="231">
        <v>438028</v>
      </c>
      <c r="E137" s="231">
        <v>0</v>
      </c>
      <c r="F137" s="231">
        <v>438028</v>
      </c>
      <c r="G137" s="23" t="str">
        <f>VLOOKUP(B137,'TB 0625'!A:A,1,0)</f>
        <v>Variable Salary</v>
      </c>
    </row>
    <row r="138" spans="1:7" ht="15.5" x14ac:dyDescent="0.35">
      <c r="A138" s="177" t="s">
        <v>483</v>
      </c>
      <c r="B138" s="177" t="str">
        <f t="shared" si="1"/>
        <v>Total for Employee Benefit Expense</v>
      </c>
      <c r="C138" s="232">
        <v>0</v>
      </c>
      <c r="D138" s="232">
        <v>1801891.76</v>
      </c>
      <c r="E138" s="232">
        <v>69401.820000000007</v>
      </c>
      <c r="F138" s="232">
        <v>1732489.94</v>
      </c>
    </row>
    <row r="139" spans="1:7" x14ac:dyDescent="0.35">
      <c r="B139" s="23" t="str">
        <f t="shared" si="1"/>
        <v/>
      </c>
    </row>
    <row r="140" spans="1:7" x14ac:dyDescent="0.35">
      <c r="A140" s="174" t="s">
        <v>965</v>
      </c>
      <c r="B140" s="174" t="str">
        <f t="shared" ref="B140:B165" si="2">TRIM(A140)</f>
        <v>Employee Cost</v>
      </c>
      <c r="C140" s="231">
        <v>0</v>
      </c>
      <c r="D140" s="231">
        <v>95794.01</v>
      </c>
      <c r="E140" s="231">
        <v>0</v>
      </c>
      <c r="F140" s="231">
        <v>95794.01</v>
      </c>
      <c r="G140" s="23" t="str">
        <f>VLOOKUP(B140,'TB 0625'!A:A,1,0)</f>
        <v>Employee Cost</v>
      </c>
    </row>
    <row r="141" spans="1:7" x14ac:dyDescent="0.35">
      <c r="A141" s="174" t="s">
        <v>768</v>
      </c>
      <c r="B141" s="174" t="str">
        <f t="shared" si="2"/>
        <v>Expert Welfare Cost</v>
      </c>
      <c r="C141" s="231">
        <v>0</v>
      </c>
      <c r="D141" s="231">
        <v>129081.2</v>
      </c>
      <c r="E141" s="231">
        <v>0</v>
      </c>
      <c r="F141" s="231">
        <v>129081.2</v>
      </c>
      <c r="G141" s="23" t="str">
        <f>VLOOKUP(B141,'TB 0625'!A:A,1,0)</f>
        <v>Expert Welfare Cost</v>
      </c>
    </row>
    <row r="142" spans="1:7" x14ac:dyDescent="0.35">
      <c r="A142" s="174" t="s">
        <v>1232</v>
      </c>
      <c r="B142" s="174" t="str">
        <f t="shared" si="2"/>
        <v>Foreign Exchange Gain or Loss</v>
      </c>
      <c r="C142" s="231">
        <v>0</v>
      </c>
      <c r="D142" s="231">
        <v>167.82</v>
      </c>
      <c r="E142" s="231">
        <v>0</v>
      </c>
      <c r="F142" s="231">
        <v>167.82</v>
      </c>
      <c r="G142" s="23" t="str">
        <f>VLOOKUP(B142,'TB 0625'!A:A,1,0)</f>
        <v>Foreign Exchange Gain or Loss</v>
      </c>
    </row>
    <row r="143" spans="1:7" x14ac:dyDescent="0.35">
      <c r="A143" s="174" t="s">
        <v>484</v>
      </c>
      <c r="B143" s="174" t="str">
        <f t="shared" si="2"/>
        <v>Fund Raising Expense</v>
      </c>
      <c r="C143" s="231">
        <v>0</v>
      </c>
      <c r="D143" s="231">
        <v>3184840</v>
      </c>
      <c r="E143" s="231">
        <v>0</v>
      </c>
      <c r="F143" s="231">
        <v>3184840</v>
      </c>
      <c r="G143" s="23" t="str">
        <f>VLOOKUP(B143,'TB 0625'!A:A,1,0)</f>
        <v>Fund Raising Expense</v>
      </c>
    </row>
    <row r="144" spans="1:7" x14ac:dyDescent="0.35">
      <c r="A144" s="174" t="s">
        <v>855</v>
      </c>
      <c r="B144" s="174" t="str">
        <f t="shared" si="2"/>
        <v>Hood Rent Expense</v>
      </c>
      <c r="C144" s="231">
        <v>0</v>
      </c>
      <c r="D144" s="231">
        <v>511600</v>
      </c>
      <c r="E144" s="231">
        <v>49700</v>
      </c>
      <c r="F144" s="231">
        <v>461900</v>
      </c>
      <c r="G144" s="23" t="str">
        <f>VLOOKUP(B144,'TB 0625'!A:A,1,0)</f>
        <v>Hood Rent Expense</v>
      </c>
    </row>
    <row r="145" spans="1:7" x14ac:dyDescent="0.35">
      <c r="A145" s="174" t="s">
        <v>769</v>
      </c>
      <c r="B145" s="174" t="str">
        <f t="shared" si="2"/>
        <v>Hotspot Rent Expense</v>
      </c>
      <c r="C145" s="231">
        <v>0</v>
      </c>
      <c r="D145" s="231">
        <v>21000</v>
      </c>
      <c r="E145" s="231">
        <v>0</v>
      </c>
      <c r="F145" s="231">
        <v>21000</v>
      </c>
      <c r="G145" s="23" t="str">
        <f>VLOOKUP(B145,'TB 0625'!A:A,1,0)</f>
        <v>Hotspot Rent Expense</v>
      </c>
    </row>
    <row r="146" spans="1:7" x14ac:dyDescent="0.35">
      <c r="A146" s="174" t="s">
        <v>637</v>
      </c>
      <c r="B146" s="174" t="str">
        <f t="shared" si="2"/>
        <v>Managerial Cost</v>
      </c>
      <c r="C146" s="231">
        <v>0</v>
      </c>
      <c r="D146" s="231">
        <v>1124776.32</v>
      </c>
      <c r="E146" s="231">
        <v>0</v>
      </c>
      <c r="F146" s="231">
        <v>1124776.32</v>
      </c>
      <c r="G146" s="23" t="str">
        <f>VLOOKUP(B146,'TB 0625'!A:A,1,0)</f>
        <v>Managerial Cost</v>
      </c>
    </row>
    <row r="147" spans="1:7" x14ac:dyDescent="0.35">
      <c r="A147" s="174" t="s">
        <v>618</v>
      </c>
      <c r="B147" s="174" t="str">
        <f t="shared" si="2"/>
        <v>New User Discount</v>
      </c>
      <c r="C147" s="231">
        <v>0</v>
      </c>
      <c r="D147" s="231">
        <v>236174</v>
      </c>
      <c r="E147" s="231">
        <v>1446688</v>
      </c>
      <c r="F147" s="231">
        <v>-1210514</v>
      </c>
      <c r="G147" s="23" t="str">
        <f>VLOOKUP(B147,'TB 0625'!A:A,1,0)</f>
        <v>New User Discount</v>
      </c>
    </row>
    <row r="148" spans="1:7" x14ac:dyDescent="0.35">
      <c r="A148" s="174" t="s">
        <v>486</v>
      </c>
      <c r="B148" s="174" t="str">
        <f t="shared" si="2"/>
        <v>Office and Admin Expense</v>
      </c>
      <c r="C148" s="231">
        <v>0</v>
      </c>
      <c r="D148" s="231">
        <v>86628.28</v>
      </c>
      <c r="E148" s="231">
        <v>2299</v>
      </c>
      <c r="F148" s="231">
        <v>84329.279999999999</v>
      </c>
      <c r="G148" s="23" t="str">
        <f>VLOOKUP(B148,'TB 0625'!A:A,1,0)</f>
        <v>Office and Admin Expense</v>
      </c>
    </row>
    <row r="149" spans="1:7" x14ac:dyDescent="0.35">
      <c r="A149" s="174" t="s">
        <v>487</v>
      </c>
      <c r="B149" s="174" t="str">
        <f t="shared" si="2"/>
        <v>Office Rent Expense</v>
      </c>
      <c r="C149" s="231">
        <v>0</v>
      </c>
      <c r="D149" s="231">
        <v>1058000</v>
      </c>
      <c r="E149" s="231">
        <v>0</v>
      </c>
      <c r="F149" s="231">
        <v>1058000</v>
      </c>
      <c r="G149" s="23" t="str">
        <f>VLOOKUP(B149,'TB 0625'!A:A,1,0)</f>
        <v>Office Rent Expense</v>
      </c>
    </row>
    <row r="150" spans="1:7" x14ac:dyDescent="0.35">
      <c r="A150" s="174" t="s">
        <v>956</v>
      </c>
      <c r="B150" s="174" t="str">
        <f t="shared" si="2"/>
        <v>Operational Expense</v>
      </c>
      <c r="C150" s="231">
        <v>0</v>
      </c>
      <c r="D150" s="231">
        <v>858396.59</v>
      </c>
      <c r="E150" s="231">
        <v>118543</v>
      </c>
      <c r="F150" s="231">
        <v>739853.59</v>
      </c>
      <c r="G150" s="23" t="str">
        <f>VLOOKUP(B150,'TB 0625'!A:A,1,0)</f>
        <v>Operational Expense</v>
      </c>
    </row>
    <row r="151" spans="1:7" x14ac:dyDescent="0.35">
      <c r="A151" s="174" t="s">
        <v>488</v>
      </c>
      <c r="B151" s="174" t="str">
        <f t="shared" si="2"/>
        <v>Other Cost</v>
      </c>
      <c r="C151" s="231">
        <v>0</v>
      </c>
      <c r="D151" s="231">
        <v>92059</v>
      </c>
      <c r="E151" s="231">
        <v>4040.76</v>
      </c>
      <c r="F151" s="231">
        <v>88018.240000000005</v>
      </c>
      <c r="G151" s="23" t="str">
        <f>VLOOKUP(B151,'TB 0625'!A:A,1,0)</f>
        <v>Other Cost</v>
      </c>
    </row>
    <row r="152" spans="1:7" x14ac:dyDescent="0.35">
      <c r="A152" s="174" t="s">
        <v>489</v>
      </c>
      <c r="B152" s="174" t="str">
        <f t="shared" si="2"/>
        <v>Other Expenses</v>
      </c>
      <c r="C152" s="231">
        <v>0</v>
      </c>
      <c r="D152" s="231">
        <v>8950.7999999999993</v>
      </c>
      <c r="E152" s="231">
        <v>2.39</v>
      </c>
      <c r="F152" s="231">
        <v>8948.41</v>
      </c>
      <c r="G152" s="23" t="str">
        <f>VLOOKUP(B152,'TB 0625'!A:A,1,0)</f>
        <v>Other Expenses</v>
      </c>
    </row>
    <row r="153" spans="1:7" x14ac:dyDescent="0.35">
      <c r="A153" s="174" t="s">
        <v>560</v>
      </c>
      <c r="B153" s="174" t="str">
        <f t="shared" si="2"/>
        <v>Payment Gateway Cost</v>
      </c>
      <c r="C153" s="231">
        <v>0</v>
      </c>
      <c r="D153" s="231">
        <v>33763.14</v>
      </c>
      <c r="E153" s="231">
        <v>0</v>
      </c>
      <c r="F153" s="231">
        <v>33763.14</v>
      </c>
      <c r="G153" s="23" t="str">
        <f>VLOOKUP(B153,'TB 0625'!A:A,1,0)</f>
        <v>Payment Gateway Cost</v>
      </c>
    </row>
    <row r="154" spans="1:7" x14ac:dyDescent="0.35">
      <c r="A154" s="174" t="s">
        <v>490</v>
      </c>
      <c r="B154" s="174" t="str">
        <f t="shared" si="2"/>
        <v>Professional Fees</v>
      </c>
      <c r="C154" s="231">
        <v>0</v>
      </c>
      <c r="D154" s="231">
        <v>397240</v>
      </c>
      <c r="E154" s="231">
        <v>20000</v>
      </c>
      <c r="F154" s="231">
        <v>377240</v>
      </c>
      <c r="G154" s="23" t="str">
        <f>VLOOKUP(B154,'TB 0625'!A:A,1,0)</f>
        <v>Professional Fees</v>
      </c>
    </row>
    <row r="155" spans="1:7" x14ac:dyDescent="0.35">
      <c r="A155" s="174" t="s">
        <v>491</v>
      </c>
      <c r="B155" s="174" t="str">
        <f t="shared" si="2"/>
        <v>Rates and Taxes</v>
      </c>
      <c r="C155" s="231">
        <v>0</v>
      </c>
      <c r="D155" s="231">
        <v>7500</v>
      </c>
      <c r="E155" s="231">
        <v>0</v>
      </c>
      <c r="F155" s="231">
        <v>7500</v>
      </c>
      <c r="G155" s="23" t="str">
        <f>VLOOKUP(B155,'TB 0625'!A:A,1,0)</f>
        <v>Rates and Taxes</v>
      </c>
    </row>
    <row r="156" spans="1:7" x14ac:dyDescent="0.35">
      <c r="A156" s="174" t="s">
        <v>638</v>
      </c>
      <c r="B156" s="174" t="str">
        <f t="shared" si="2"/>
        <v>Recruitment Charges</v>
      </c>
      <c r="C156" s="231">
        <v>0</v>
      </c>
      <c r="D156" s="231">
        <v>238618</v>
      </c>
      <c r="E156" s="231">
        <v>0</v>
      </c>
      <c r="F156" s="231">
        <v>238618</v>
      </c>
      <c r="G156" s="23" t="str">
        <f>VLOOKUP(B156,'TB 0625'!A:A,1,0)</f>
        <v>Recruitment Charges</v>
      </c>
    </row>
    <row r="157" spans="1:7" x14ac:dyDescent="0.35">
      <c r="A157" s="174" t="s">
        <v>492</v>
      </c>
      <c r="B157" s="174" t="str">
        <f t="shared" si="2"/>
        <v>Salaries and Employee Wages</v>
      </c>
      <c r="C157" s="231">
        <v>0</v>
      </c>
      <c r="D157" s="231">
        <v>20021710.899999999</v>
      </c>
      <c r="E157" s="231">
        <v>667530</v>
      </c>
      <c r="F157" s="231">
        <v>19354180.899999999</v>
      </c>
      <c r="G157" s="23" t="str">
        <f>VLOOKUP(B157,'TB 0625'!A:A,1,0)</f>
        <v>Salaries and Employee Wages</v>
      </c>
    </row>
    <row r="158" spans="1:7" x14ac:dyDescent="0.35">
      <c r="A158" s="174" t="s">
        <v>615</v>
      </c>
      <c r="B158" s="174" t="str">
        <f t="shared" si="2"/>
        <v>Service Cost</v>
      </c>
      <c r="C158" s="231">
        <v>0</v>
      </c>
      <c r="D158" s="231">
        <v>16064971.92</v>
      </c>
      <c r="E158" s="231">
        <v>0</v>
      </c>
      <c r="F158" s="231">
        <v>16064971.92</v>
      </c>
      <c r="G158" s="23" t="s">
        <v>26</v>
      </c>
    </row>
    <row r="159" spans="1:7" x14ac:dyDescent="0.35">
      <c r="A159" s="174" t="s">
        <v>493</v>
      </c>
      <c r="B159" s="174" t="str">
        <f t="shared" si="2"/>
        <v>Software Expense</v>
      </c>
      <c r="C159" s="231">
        <v>0</v>
      </c>
      <c r="D159" s="231">
        <v>1711928.22</v>
      </c>
      <c r="E159" s="231">
        <v>0</v>
      </c>
      <c r="F159" s="231">
        <v>1711928.22</v>
      </c>
      <c r="G159" s="23" t="str">
        <f>VLOOKUP(B159,'TB 0625'!A:A,1,0)</f>
        <v>Software Expense</v>
      </c>
    </row>
    <row r="160" spans="1:7" x14ac:dyDescent="0.35">
      <c r="A160" s="174" t="s">
        <v>494</v>
      </c>
      <c r="B160" s="174" t="str">
        <f t="shared" si="2"/>
        <v>Sourcing and Onboarding Expense</v>
      </c>
      <c r="C160" s="231">
        <v>0</v>
      </c>
      <c r="D160" s="231">
        <v>4026902.72</v>
      </c>
      <c r="E160" s="231">
        <v>0</v>
      </c>
      <c r="F160" s="231">
        <v>4026902.72</v>
      </c>
      <c r="G160" s="23" t="str">
        <f>VLOOKUP(B160,'TB 0625'!A:A,1,0)</f>
        <v>Sourcing and Onboarding Expense</v>
      </c>
    </row>
    <row r="161" spans="1:7" x14ac:dyDescent="0.35">
      <c r="A161" s="174" t="s">
        <v>1233</v>
      </c>
      <c r="B161" s="174" t="str">
        <f t="shared" si="2"/>
        <v>Tax Paid Expense</v>
      </c>
      <c r="C161" s="231">
        <v>0</v>
      </c>
      <c r="D161" s="231">
        <v>10494.94</v>
      </c>
      <c r="E161" s="231">
        <v>0</v>
      </c>
      <c r="F161" s="231">
        <v>10494.94</v>
      </c>
      <c r="G161" s="23" t="str">
        <f>VLOOKUP(B161,'TB 0625'!A:A,1,0)</f>
        <v>Tax Paid Expense</v>
      </c>
    </row>
    <row r="162" spans="1:7" x14ac:dyDescent="0.35">
      <c r="A162" s="174" t="s">
        <v>495</v>
      </c>
      <c r="B162" s="174" t="str">
        <f t="shared" si="2"/>
        <v>Training Centre Expense</v>
      </c>
      <c r="C162" s="231">
        <v>0</v>
      </c>
      <c r="D162" s="231">
        <v>694776.31</v>
      </c>
      <c r="E162" s="231">
        <v>5988</v>
      </c>
      <c r="F162" s="231">
        <v>688788.31</v>
      </c>
      <c r="G162" s="23" t="str">
        <f>VLOOKUP(B162,'TB 0625'!A:A,1,0)</f>
        <v>Training Centre Expense</v>
      </c>
    </row>
    <row r="163" spans="1:7" x14ac:dyDescent="0.35">
      <c r="A163" s="174" t="s">
        <v>496</v>
      </c>
      <c r="B163" s="174" t="str">
        <f t="shared" si="2"/>
        <v>Training Centre Rent Expense</v>
      </c>
      <c r="C163" s="231">
        <v>0</v>
      </c>
      <c r="D163" s="231">
        <v>673200</v>
      </c>
      <c r="E163" s="231">
        <v>120000</v>
      </c>
      <c r="F163" s="231">
        <v>553200</v>
      </c>
      <c r="G163" s="23" t="str">
        <f>VLOOKUP(B163,'TB 0625'!A:A,1,0)</f>
        <v>Training Centre Rent Expense</v>
      </c>
    </row>
    <row r="164" spans="1:7" x14ac:dyDescent="0.35">
      <c r="A164" s="174" t="s">
        <v>858</v>
      </c>
      <c r="B164" s="174" t="str">
        <f t="shared" si="2"/>
        <v>Travel Expense</v>
      </c>
      <c r="C164" s="231">
        <v>0</v>
      </c>
      <c r="D164" s="231">
        <v>10378</v>
      </c>
      <c r="E164" s="231">
        <v>0</v>
      </c>
      <c r="F164" s="231">
        <v>10378</v>
      </c>
      <c r="G164" s="23" t="str">
        <f>VLOOKUP(B164,'TB 0625'!A:A,1,0)</f>
        <v>Travel Expense</v>
      </c>
    </row>
    <row r="165" spans="1:7" ht="15.5" x14ac:dyDescent="0.35">
      <c r="A165" s="177" t="s">
        <v>639</v>
      </c>
      <c r="B165" s="177" t="str">
        <f t="shared" si="2"/>
        <v>Total for Trial Balance</v>
      </c>
      <c r="C165" s="232"/>
      <c r="D165" s="232">
        <v>7458608714.71</v>
      </c>
      <c r="E165" s="232">
        <v>7458608714.71</v>
      </c>
      <c r="F165" s="23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9EFF-6DA0-43D0-A085-9EF429946044}">
  <dimension ref="A1:M143"/>
  <sheetViews>
    <sheetView workbookViewId="0">
      <pane ySplit="2" topLeftCell="A3" activePane="bottomLeft" state="frozen"/>
      <selection pane="bottomLeft"/>
    </sheetView>
  </sheetViews>
  <sheetFormatPr defaultColWidth="8.90625" defaultRowHeight="14.5" x14ac:dyDescent="0.35"/>
  <cols>
    <col min="1" max="1" width="44.81640625" style="23" bestFit="1" customWidth="1"/>
    <col min="2" max="6" width="16.81640625" style="23" customWidth="1"/>
    <col min="7" max="7" width="7.81640625" style="22" customWidth="1"/>
    <col min="8" max="8" width="58.453125" style="23" bestFit="1" customWidth="1"/>
    <col min="9" max="10" width="8.90625" style="23"/>
    <col min="11" max="11" width="24" style="23" bestFit="1" customWidth="1"/>
    <col min="12" max="13" width="13.90625" style="24" bestFit="1" customWidth="1"/>
    <col min="14" max="16384" width="8.90625" style="23"/>
  </cols>
  <sheetData>
    <row r="1" spans="1:13" s="24" customFormat="1" x14ac:dyDescent="0.35">
      <c r="B1" s="24">
        <f>SUBTOTAL(9,B3:B143)</f>
        <v>-3.4458935260772705E-8</v>
      </c>
      <c r="C1" s="24">
        <f>SUBTOTAL(9,C3:C143)</f>
        <v>7458608714.71</v>
      </c>
      <c r="D1" s="24">
        <f>SUBTOTAL(9,D3:D143)</f>
        <v>7458608714.71</v>
      </c>
      <c r="E1" s="24">
        <f>SUBTOTAL(9,E3:E143)</f>
        <v>-4.4703483581542969E-8</v>
      </c>
      <c r="F1" s="24">
        <f>SUBTOTAL(9,F3:F143)</f>
        <v>-1.9508661353029311E-10</v>
      </c>
    </row>
    <row r="2" spans="1:13" s="109" customFormat="1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  <c r="K2" s="109" t="s">
        <v>848</v>
      </c>
      <c r="L2" s="210" t="s">
        <v>186</v>
      </c>
      <c r="M2" s="210" t="s">
        <v>613</v>
      </c>
    </row>
    <row r="3" spans="1:13" x14ac:dyDescent="0.35">
      <c r="A3" s="23" t="s">
        <v>561</v>
      </c>
      <c r="B3" s="24">
        <f>SUMIF('Raw June'!B:B,'TB 0625'!A3,'Raw June'!C:C)</f>
        <v>350370.62</v>
      </c>
      <c r="C3" s="24">
        <f>SUMIF('Raw June'!B:B,'TB 0625'!A3,'Raw June'!D:D)</f>
        <v>6706878.6799999997</v>
      </c>
      <c r="D3" s="24">
        <f>SUMIF('Raw June'!B:B,'TB 0625'!A3,'Raw June'!E:E)</f>
        <v>6501066.5</v>
      </c>
      <c r="E3" s="24">
        <f>B3+C3-D3</f>
        <v>556182.79999999981</v>
      </c>
      <c r="F3" s="24">
        <f>E3/10^3</f>
        <v>556.18279999999982</v>
      </c>
      <c r="G3" s="22" t="s">
        <v>181</v>
      </c>
      <c r="H3" s="23" t="s">
        <v>77</v>
      </c>
      <c r="K3" s="23" t="s">
        <v>192</v>
      </c>
      <c r="L3" s="24">
        <f>17114269-667530</f>
        <v>16446739</v>
      </c>
      <c r="M3" s="24">
        <f>L3/10^3</f>
        <v>16446.739000000001</v>
      </c>
    </row>
    <row r="4" spans="1:13" x14ac:dyDescent="0.35">
      <c r="A4" s="23" t="s">
        <v>288</v>
      </c>
      <c r="B4" s="24">
        <f>SUMIF('Raw June'!B:B,'TB 0625'!A4,'Raw June'!C:C)</f>
        <v>9248881</v>
      </c>
      <c r="C4" s="24">
        <f>SUMIF('Raw June'!B:B,'TB 0625'!A4,'Raw June'!D:D)</f>
        <v>18630269</v>
      </c>
      <c r="D4" s="24">
        <f>SUMIF('Raw June'!B:B,'TB 0625'!A4,'Raw June'!E:E)</f>
        <v>9248881</v>
      </c>
      <c r="E4" s="24">
        <f t="shared" ref="E4:E67" si="0">B4+C4-D4</f>
        <v>18630269</v>
      </c>
      <c r="F4" s="24">
        <f t="shared" ref="F4:F67" si="1">E4/10^3</f>
        <v>18630.269</v>
      </c>
      <c r="G4" s="22" t="s">
        <v>181</v>
      </c>
      <c r="H4" s="23" t="s">
        <v>79</v>
      </c>
      <c r="K4" s="23" t="s">
        <v>33</v>
      </c>
      <c r="L4" s="24">
        <v>639613</v>
      </c>
      <c r="M4" s="24">
        <f t="shared" ref="M4:M9" si="2">L4/10^3</f>
        <v>639.61300000000006</v>
      </c>
    </row>
    <row r="5" spans="1:13" x14ac:dyDescent="0.35">
      <c r="A5" s="23" t="s">
        <v>289</v>
      </c>
      <c r="B5" s="24">
        <f>SUMIF('Raw June'!B:B,'TB 0625'!A5,'Raw June'!C:C)</f>
        <v>0</v>
      </c>
      <c r="C5" s="24">
        <f>SUMIF('Raw June'!B:B,'TB 0625'!A5,'Raw June'!D:D)</f>
        <v>0</v>
      </c>
      <c r="D5" s="24">
        <f>SUMIF('Raw June'!B:B,'TB 0625'!A5,'Raw June'!E:E)</f>
        <v>0</v>
      </c>
      <c r="E5" s="24">
        <f t="shared" si="0"/>
        <v>0</v>
      </c>
      <c r="F5" s="24">
        <f t="shared" si="1"/>
        <v>0</v>
      </c>
      <c r="G5" s="22" t="s">
        <v>181</v>
      </c>
      <c r="H5" s="23" t="s">
        <v>72</v>
      </c>
      <c r="K5" s="23" t="s">
        <v>1234</v>
      </c>
      <c r="L5" s="24">
        <v>597143</v>
      </c>
      <c r="M5" s="24">
        <f t="shared" si="2"/>
        <v>597.14300000000003</v>
      </c>
    </row>
    <row r="6" spans="1:13" x14ac:dyDescent="0.35">
      <c r="A6" s="23" t="s">
        <v>562</v>
      </c>
      <c r="B6" s="24">
        <f>SUMIF('Raw June'!B:B,'TB 0625'!A6,'Raw June'!C:C)</f>
        <v>-514155.89</v>
      </c>
      <c r="C6" s="24">
        <f>SUMIF('Raw June'!B:B,'TB 0625'!A6,'Raw June'!D:D)</f>
        <v>0</v>
      </c>
      <c r="D6" s="24">
        <f>SUMIF('Raw June'!B:B,'TB 0625'!A6,'Raw June'!E:E)</f>
        <v>169806.42</v>
      </c>
      <c r="E6" s="24">
        <f t="shared" si="0"/>
        <v>-683962.31</v>
      </c>
      <c r="F6" s="24">
        <f t="shared" si="1"/>
        <v>-683.96231</v>
      </c>
      <c r="G6" s="22" t="s">
        <v>181</v>
      </c>
      <c r="H6" s="23" t="s">
        <v>71</v>
      </c>
      <c r="K6" s="23" t="s">
        <v>1235</v>
      </c>
      <c r="L6" s="24">
        <v>849775</v>
      </c>
      <c r="M6" s="24">
        <f t="shared" si="2"/>
        <v>849.77499999999998</v>
      </c>
    </row>
    <row r="7" spans="1:13" x14ac:dyDescent="0.35">
      <c r="A7" s="23" t="s">
        <v>772</v>
      </c>
      <c r="B7" s="24">
        <f>SUMIF('Raw June'!B:B,'TB 0625'!A7,'Raw June'!C:C)</f>
        <v>-30908.26</v>
      </c>
      <c r="C7" s="24">
        <f>SUMIF('Raw June'!B:B,'TB 0625'!A7,'Raw June'!D:D)</f>
        <v>0</v>
      </c>
      <c r="D7" s="24">
        <f>SUMIF('Raw June'!B:B,'TB 0625'!A7,'Raw June'!E:E)</f>
        <v>11003.51</v>
      </c>
      <c r="E7" s="24">
        <f t="shared" si="0"/>
        <v>-41911.769999999997</v>
      </c>
      <c r="F7" s="24">
        <f t="shared" si="1"/>
        <v>-41.911769999999997</v>
      </c>
      <c r="G7" s="22" t="s">
        <v>181</v>
      </c>
      <c r="H7" s="23" t="s">
        <v>71</v>
      </c>
      <c r="K7" s="23" t="s">
        <v>1236</v>
      </c>
      <c r="L7" s="24">
        <v>88233</v>
      </c>
      <c r="M7" s="24">
        <f t="shared" si="2"/>
        <v>88.233000000000004</v>
      </c>
    </row>
    <row r="8" spans="1:13" x14ac:dyDescent="0.35">
      <c r="A8" s="23" t="s">
        <v>198</v>
      </c>
      <c r="B8" s="24">
        <f>SUMIF('Raw June'!B:B,'TB 0625'!A8,'Raw June'!C:C)</f>
        <v>-30593.8</v>
      </c>
      <c r="C8" s="24">
        <f>SUMIF('Raw June'!B:B,'TB 0625'!A8,'Raw June'!D:D)</f>
        <v>0</v>
      </c>
      <c r="D8" s="24">
        <f>SUMIF('Raw June'!B:B,'TB 0625'!A8,'Raw June'!E:E)</f>
        <v>12844.38</v>
      </c>
      <c r="E8" s="24">
        <f t="shared" si="0"/>
        <v>-43438.18</v>
      </c>
      <c r="F8" s="24">
        <f t="shared" si="1"/>
        <v>-43.438180000000003</v>
      </c>
      <c r="G8" s="22" t="s">
        <v>181</v>
      </c>
      <c r="H8" s="23" t="s">
        <v>71</v>
      </c>
      <c r="K8" s="23" t="s">
        <v>1237</v>
      </c>
      <c r="L8" s="24">
        <v>525782.24</v>
      </c>
      <c r="M8" s="24">
        <f t="shared" si="2"/>
        <v>525.78224</v>
      </c>
    </row>
    <row r="9" spans="1:13" x14ac:dyDescent="0.35">
      <c r="A9" s="23" t="s">
        <v>967</v>
      </c>
      <c r="B9" s="24">
        <f>SUMIF('Raw June'!B:B,'TB 0625'!A9,'Raw June'!C:C)</f>
        <v>142840.04</v>
      </c>
      <c r="C9" s="24">
        <f>SUMIF('Raw June'!B:B,'TB 0625'!A9,'Raw June'!D:D)</f>
        <v>3255016</v>
      </c>
      <c r="D9" s="24">
        <f>SUMIF('Raw June'!B:B,'TB 0625'!A9,'Raw June'!E:E)</f>
        <v>101548.22</v>
      </c>
      <c r="E9" s="24">
        <f t="shared" si="0"/>
        <v>3296307.82</v>
      </c>
      <c r="F9" s="24">
        <f t="shared" si="1"/>
        <v>3296.30782</v>
      </c>
      <c r="G9" s="22" t="s">
        <v>181</v>
      </c>
      <c r="H9" s="23" t="s">
        <v>79</v>
      </c>
      <c r="K9" s="23" t="s">
        <v>1238</v>
      </c>
      <c r="L9" s="24">
        <v>206895.66</v>
      </c>
      <c r="M9" s="24">
        <f t="shared" si="2"/>
        <v>206.89565999999999</v>
      </c>
    </row>
    <row r="10" spans="1:13" x14ac:dyDescent="0.35">
      <c r="A10" s="23" t="s">
        <v>365</v>
      </c>
      <c r="B10" s="24">
        <f>SUMIF('Raw June'!B:B,'TB 0625'!A10,'Raw June'!C:C)</f>
        <v>305.98</v>
      </c>
      <c r="C10" s="24">
        <f>SUMIF('Raw June'!B:B,'TB 0625'!A10,'Raw June'!D:D)</f>
        <v>0</v>
      </c>
      <c r="D10" s="24">
        <f>SUMIF('Raw June'!B:B,'TB 0625'!A10,'Raw June'!E:E)</f>
        <v>0</v>
      </c>
      <c r="E10" s="24">
        <f t="shared" si="0"/>
        <v>305.98</v>
      </c>
      <c r="F10" s="24">
        <f t="shared" si="1"/>
        <v>0.30598000000000003</v>
      </c>
      <c r="G10" s="22" t="s">
        <v>181</v>
      </c>
      <c r="H10" s="23" t="s">
        <v>79</v>
      </c>
      <c r="L10" s="24">
        <f>SUM(L3:L9)</f>
        <v>19354180.899999999</v>
      </c>
      <c r="M10" s="24">
        <f>SUM(M3:M9)</f>
        <v>19354.180900000003</v>
      </c>
    </row>
    <row r="11" spans="1:13" x14ac:dyDescent="0.35">
      <c r="A11" s="23" t="s">
        <v>563</v>
      </c>
      <c r="B11" s="24">
        <f>SUMIF('Raw June'!B:B,'TB 0625'!A11,'Raw June'!C:C)</f>
        <v>12400.34</v>
      </c>
      <c r="C11" s="24">
        <f>SUMIF('Raw June'!B:B,'TB 0625'!A11,'Raw June'!D:D)</f>
        <v>0</v>
      </c>
      <c r="D11" s="24">
        <f>SUMIF('Raw June'!B:B,'TB 0625'!A11,'Raw June'!E:E)</f>
        <v>118</v>
      </c>
      <c r="E11" s="24">
        <f t="shared" si="0"/>
        <v>12282.34</v>
      </c>
      <c r="F11" s="24">
        <f t="shared" si="1"/>
        <v>12.28234</v>
      </c>
      <c r="G11" s="22" t="s">
        <v>181</v>
      </c>
      <c r="H11" s="23" t="s">
        <v>78</v>
      </c>
    </row>
    <row r="12" spans="1:13" x14ac:dyDescent="0.35">
      <c r="A12" s="23" t="s">
        <v>564</v>
      </c>
      <c r="B12" s="24">
        <f>SUMIF('Raw June'!B:B,'TB 0625'!A12,'Raw June'!C:C)</f>
        <v>5828848.0300000003</v>
      </c>
      <c r="C12" s="24">
        <f>SUMIF('Raw June'!B:B,'TB 0625'!A12,'Raw June'!D:D)</f>
        <v>1182001</v>
      </c>
      <c r="D12" s="24">
        <f>SUMIF('Raw June'!B:B,'TB 0625'!A12,'Raw June'!E:E)</f>
        <v>0</v>
      </c>
      <c r="E12" s="24">
        <f t="shared" si="0"/>
        <v>7010849.0300000003</v>
      </c>
      <c r="F12" s="24">
        <f t="shared" si="1"/>
        <v>7010.8490300000003</v>
      </c>
      <c r="G12" s="22" t="s">
        <v>181</v>
      </c>
      <c r="H12" s="23" t="s">
        <v>71</v>
      </c>
      <c r="I12" s="23" t="s">
        <v>1397</v>
      </c>
    </row>
    <row r="13" spans="1:13" x14ac:dyDescent="0.35">
      <c r="A13" s="23" t="s">
        <v>693</v>
      </c>
      <c r="B13" s="24">
        <f>SUMIF('Raw June'!B:B,'TB 0625'!A13,'Raw June'!C:C)</f>
        <v>704611.34</v>
      </c>
      <c r="C13" s="24">
        <f>SUMIF('Raw June'!B:B,'TB 0625'!A13,'Raw June'!D:D)</f>
        <v>0</v>
      </c>
      <c r="D13" s="24">
        <f>SUMIF('Raw June'!B:B,'TB 0625'!A13,'Raw June'!E:E)</f>
        <v>0</v>
      </c>
      <c r="E13" s="24">
        <f t="shared" si="0"/>
        <v>704611.34</v>
      </c>
      <c r="F13" s="24">
        <f t="shared" si="1"/>
        <v>704.61133999999993</v>
      </c>
      <c r="G13" s="22" t="s">
        <v>181</v>
      </c>
      <c r="H13" s="23" t="s">
        <v>71</v>
      </c>
      <c r="I13" s="23" t="s">
        <v>1397</v>
      </c>
    </row>
    <row r="14" spans="1:13" x14ac:dyDescent="0.35">
      <c r="A14" s="23" t="s">
        <v>714</v>
      </c>
      <c r="B14" s="24">
        <f>SUMIF('Raw June'!B:B,'TB 0625'!A14,'Raw June'!C:C)</f>
        <v>75890.3</v>
      </c>
      <c r="C14" s="24">
        <f>SUMIF('Raw June'!B:B,'TB 0625'!A14,'Raw June'!D:D)</f>
        <v>665486802.10000002</v>
      </c>
      <c r="D14" s="24">
        <f>SUMIF('Raw June'!B:B,'TB 0625'!A14,'Raw June'!E:E)</f>
        <v>665490332.70000005</v>
      </c>
      <c r="E14" s="24">
        <f t="shared" si="0"/>
        <v>72359.699999928474</v>
      </c>
      <c r="F14" s="24">
        <f t="shared" si="1"/>
        <v>72.35969999992848</v>
      </c>
      <c r="G14" s="22" t="s">
        <v>181</v>
      </c>
      <c r="H14" s="23" t="s">
        <v>78</v>
      </c>
    </row>
    <row r="15" spans="1:13" x14ac:dyDescent="0.35">
      <c r="A15" s="23" t="s">
        <v>715</v>
      </c>
      <c r="B15" s="24">
        <f>SUMIF('Raw June'!B:B,'TB 0625'!A15,'Raw June'!C:C)</f>
        <v>136140.51999999999</v>
      </c>
      <c r="C15" s="24">
        <f>SUMIF('Raw June'!B:B,'TB 0625'!A15,'Raw June'!D:D)</f>
        <v>2255429.4900000002</v>
      </c>
      <c r="D15" s="24">
        <f>SUMIF('Raw June'!B:B,'TB 0625'!A15,'Raw June'!E:E)</f>
        <v>2299585.71</v>
      </c>
      <c r="E15" s="24">
        <f t="shared" si="0"/>
        <v>91984.300000000279</v>
      </c>
      <c r="F15" s="24">
        <f t="shared" si="1"/>
        <v>91.984300000000275</v>
      </c>
      <c r="G15" s="22" t="s">
        <v>181</v>
      </c>
      <c r="H15" s="23" t="s">
        <v>78</v>
      </c>
    </row>
    <row r="16" spans="1:13" x14ac:dyDescent="0.35">
      <c r="A16" s="23" t="s">
        <v>565</v>
      </c>
      <c r="B16" s="24">
        <f>SUMIF('Raw June'!B:B,'TB 0625'!A16,'Raw June'!C:C)</f>
        <v>2141032.64</v>
      </c>
      <c r="C16" s="24">
        <f>SUMIF('Raw June'!B:B,'TB 0625'!A16,'Raw June'!D:D)</f>
        <v>717849.19</v>
      </c>
      <c r="D16" s="24">
        <f>SUMIF('Raw June'!B:B,'TB 0625'!A16,'Raw June'!E:E)</f>
        <v>104365.51</v>
      </c>
      <c r="E16" s="24">
        <f t="shared" si="0"/>
        <v>2754516.3200000003</v>
      </c>
      <c r="F16" s="24">
        <f t="shared" si="1"/>
        <v>2754.5163200000002</v>
      </c>
      <c r="G16" s="22" t="s">
        <v>181</v>
      </c>
      <c r="H16" s="23" t="s">
        <v>79</v>
      </c>
    </row>
    <row r="17" spans="1:8" x14ac:dyDescent="0.35">
      <c r="A17" s="23" t="s">
        <v>566</v>
      </c>
      <c r="B17" s="24">
        <f>SUMIF('Raw June'!B:B,'TB 0625'!A17,'Raw June'!C:C)</f>
        <v>1206813.3799999999</v>
      </c>
      <c r="C17" s="24">
        <f>SUMIF('Raw June'!B:B,'TB 0625'!A17,'Raw June'!D:D)</f>
        <v>585371.56999999995</v>
      </c>
      <c r="D17" s="24">
        <f>SUMIF('Raw June'!B:B,'TB 0625'!A17,'Raw June'!E:E)</f>
        <v>325575</v>
      </c>
      <c r="E17" s="24">
        <f t="shared" si="0"/>
        <v>1466609.9499999997</v>
      </c>
      <c r="F17" s="24">
        <f t="shared" si="1"/>
        <v>1466.6099499999998</v>
      </c>
      <c r="G17" s="22" t="s">
        <v>181</v>
      </c>
      <c r="H17" s="23" t="s">
        <v>79</v>
      </c>
    </row>
    <row r="18" spans="1:8" x14ac:dyDescent="0.35">
      <c r="A18" s="23" t="s">
        <v>567</v>
      </c>
      <c r="B18" s="24">
        <f>SUMIF('Raw June'!B:B,'TB 0625'!A18,'Raw June'!C:C)</f>
        <v>2141032.69</v>
      </c>
      <c r="C18" s="24">
        <f>SUMIF('Raw June'!B:B,'TB 0625'!A18,'Raw June'!D:D)</f>
        <v>717849.19</v>
      </c>
      <c r="D18" s="24">
        <f>SUMIF('Raw June'!B:B,'TB 0625'!A18,'Raw June'!E:E)</f>
        <v>120734.51</v>
      </c>
      <c r="E18" s="24">
        <f t="shared" si="0"/>
        <v>2738147.37</v>
      </c>
      <c r="F18" s="24">
        <f t="shared" si="1"/>
        <v>2738.1473700000001</v>
      </c>
      <c r="G18" s="22" t="s">
        <v>181</v>
      </c>
      <c r="H18" s="23" t="s">
        <v>79</v>
      </c>
    </row>
    <row r="19" spans="1:8" x14ac:dyDescent="0.35">
      <c r="A19" s="23" t="s">
        <v>300</v>
      </c>
      <c r="B19" s="24">
        <f>SUMIF('Raw June'!B:B,'TB 0625'!A19,'Raw June'!C:C)</f>
        <v>0</v>
      </c>
      <c r="C19" s="24">
        <f>SUMIF('Raw June'!B:B,'TB 0625'!A19,'Raw June'!D:D)</f>
        <v>0</v>
      </c>
      <c r="D19" s="24">
        <f>SUMIF('Raw June'!B:B,'TB 0625'!A19,'Raw June'!E:E)</f>
        <v>0</v>
      </c>
      <c r="E19" s="24">
        <f t="shared" si="0"/>
        <v>0</v>
      </c>
      <c r="F19" s="24">
        <f t="shared" si="1"/>
        <v>0</v>
      </c>
      <c r="G19" s="22" t="s">
        <v>181</v>
      </c>
      <c r="H19" s="23" t="s">
        <v>72</v>
      </c>
    </row>
    <row r="20" spans="1:8" x14ac:dyDescent="0.35">
      <c r="A20" s="23" t="s">
        <v>859</v>
      </c>
      <c r="B20" s="24">
        <f>SUMIF('Raw June'!B:B,'TB 0625'!A20,'Raw June'!C:C)</f>
        <v>20000000</v>
      </c>
      <c r="C20" s="24">
        <f>SUMIF('Raw June'!B:B,'TB 0625'!A20,'Raw June'!D:D)</f>
        <v>0</v>
      </c>
      <c r="D20" s="24">
        <f>SUMIF('Raw June'!B:B,'TB 0625'!A20,'Raw June'!E:E)</f>
        <v>20000000</v>
      </c>
      <c r="E20" s="24">
        <f t="shared" si="0"/>
        <v>0</v>
      </c>
      <c r="F20" s="24">
        <f t="shared" si="1"/>
        <v>0</v>
      </c>
      <c r="G20" s="22" t="s">
        <v>181</v>
      </c>
      <c r="H20" s="23" t="s">
        <v>76</v>
      </c>
    </row>
    <row r="21" spans="1:8" x14ac:dyDescent="0.35">
      <c r="A21" s="23" t="s">
        <v>860</v>
      </c>
      <c r="B21" s="24">
        <f>SUMIF('Raw June'!B:B,'TB 0625'!A21,'Raw June'!C:C)</f>
        <v>45000000</v>
      </c>
      <c r="C21" s="24">
        <f>SUMIF('Raw June'!B:B,'TB 0625'!A21,'Raw June'!D:D)</f>
        <v>0</v>
      </c>
      <c r="D21" s="24">
        <f>SUMIF('Raw June'!B:B,'TB 0625'!A21,'Raw June'!E:E)</f>
        <v>45000000</v>
      </c>
      <c r="E21" s="24">
        <f t="shared" si="0"/>
        <v>0</v>
      </c>
      <c r="F21" s="24">
        <f t="shared" si="1"/>
        <v>0</v>
      </c>
      <c r="G21" s="22" t="s">
        <v>181</v>
      </c>
      <c r="H21" s="23" t="s">
        <v>76</v>
      </c>
    </row>
    <row r="22" spans="1:8" x14ac:dyDescent="0.35">
      <c r="A22" s="23" t="s">
        <v>1239</v>
      </c>
      <c r="B22" s="24">
        <f>SUMIF('Raw June'!B:B,'TB 0625'!A22,'Raw June'!C:C)</f>
        <v>0</v>
      </c>
      <c r="C22" s="24">
        <f>SUMIF('Raw June'!B:B,'TB 0625'!A22,'Raw June'!D:D)</f>
        <v>50000000</v>
      </c>
      <c r="D22" s="24">
        <f>SUMIF('Raw June'!B:B,'TB 0625'!A22,'Raw June'!E:E)</f>
        <v>0</v>
      </c>
      <c r="E22" s="24">
        <f t="shared" si="0"/>
        <v>50000000</v>
      </c>
      <c r="F22" s="24">
        <f t="shared" si="1"/>
        <v>50000</v>
      </c>
      <c r="G22" s="22" t="s">
        <v>181</v>
      </c>
      <c r="H22" s="23" t="s">
        <v>76</v>
      </c>
    </row>
    <row r="23" spans="1:8" x14ac:dyDescent="0.35">
      <c r="A23" s="23" t="s">
        <v>1240</v>
      </c>
      <c r="B23" s="24">
        <f>SUMIF('Raw June'!B:B,'TB 0625'!A23,'Raw June'!C:C)</f>
        <v>0</v>
      </c>
      <c r="C23" s="24">
        <f>SUMIF('Raw June'!B:B,'TB 0625'!A23,'Raw June'!D:D)</f>
        <v>100000000</v>
      </c>
      <c r="D23" s="24">
        <f>SUMIF('Raw June'!B:B,'TB 0625'!A23,'Raw June'!E:E)</f>
        <v>0</v>
      </c>
      <c r="E23" s="24">
        <f t="shared" si="0"/>
        <v>100000000</v>
      </c>
      <c r="F23" s="24">
        <f t="shared" si="1"/>
        <v>100000</v>
      </c>
      <c r="G23" s="22" t="s">
        <v>181</v>
      </c>
      <c r="H23" s="23" t="s">
        <v>76</v>
      </c>
    </row>
    <row r="24" spans="1:8" x14ac:dyDescent="0.35">
      <c r="A24" s="23" t="s">
        <v>1241</v>
      </c>
      <c r="B24" s="24">
        <f>SUMIF('Raw June'!B:B,'TB 0625'!A24,'Raw June'!C:C)</f>
        <v>0</v>
      </c>
      <c r="C24" s="24">
        <f>SUMIF('Raw June'!B:B,'TB 0625'!A24,'Raw June'!D:D)</f>
        <v>150000000</v>
      </c>
      <c r="D24" s="24">
        <f>SUMIF('Raw June'!B:B,'TB 0625'!A24,'Raw June'!E:E)</f>
        <v>0</v>
      </c>
      <c r="E24" s="24">
        <f t="shared" si="0"/>
        <v>150000000</v>
      </c>
      <c r="F24" s="24">
        <f t="shared" si="1"/>
        <v>150000</v>
      </c>
      <c r="G24" s="22" t="s">
        <v>181</v>
      </c>
      <c r="H24" s="23" t="s">
        <v>76</v>
      </c>
    </row>
    <row r="25" spans="1:8" x14ac:dyDescent="0.35">
      <c r="A25" s="23" t="s">
        <v>1242</v>
      </c>
      <c r="B25" s="24">
        <f>SUMIF('Raw June'!B:B,'TB 0625'!A25,'Raw June'!C:C)</f>
        <v>0</v>
      </c>
      <c r="C25" s="24">
        <f>SUMIF('Raw June'!B:B,'TB 0625'!A25,'Raw June'!D:D)</f>
        <v>300000000</v>
      </c>
      <c r="D25" s="24">
        <f>SUMIF('Raw June'!B:B,'TB 0625'!A25,'Raw June'!E:E)</f>
        <v>0</v>
      </c>
      <c r="E25" s="24">
        <f t="shared" si="0"/>
        <v>300000000</v>
      </c>
      <c r="F25" s="24">
        <f t="shared" si="1"/>
        <v>300000</v>
      </c>
      <c r="G25" s="22" t="s">
        <v>181</v>
      </c>
      <c r="H25" s="23" t="s">
        <v>76</v>
      </c>
    </row>
    <row r="26" spans="1:8" x14ac:dyDescent="0.35">
      <c r="A26" s="23" t="s">
        <v>695</v>
      </c>
      <c r="B26" s="24">
        <f>SUMIF('Raw June'!B:B,'TB 0625'!A26,'Raw June'!C:C)</f>
        <v>350000000</v>
      </c>
      <c r="C26" s="24">
        <f>SUMIF('Raw June'!B:B,'TB 0625'!A26,'Raw June'!D:D)</f>
        <v>0</v>
      </c>
      <c r="D26" s="24">
        <f>SUMIF('Raw June'!B:B,'TB 0625'!A26,'Raw June'!E:E)</f>
        <v>0</v>
      </c>
      <c r="E26" s="24">
        <f t="shared" si="0"/>
        <v>350000000</v>
      </c>
      <c r="F26" s="24">
        <f t="shared" si="1"/>
        <v>350000</v>
      </c>
      <c r="G26" s="22" t="s">
        <v>181</v>
      </c>
      <c r="H26" s="23" t="s">
        <v>76</v>
      </c>
    </row>
    <row r="27" spans="1:8" x14ac:dyDescent="0.35">
      <c r="A27" s="23" t="s">
        <v>1243</v>
      </c>
      <c r="B27" s="24">
        <f>SUMIF('Raw June'!B:B,'TB 0625'!A27,'Raw June'!C:C)</f>
        <v>0</v>
      </c>
      <c r="C27" s="24">
        <f>SUMIF('Raw June'!B:B,'TB 0625'!A27,'Raw June'!D:D)</f>
        <v>100000000</v>
      </c>
      <c r="D27" s="24">
        <f>SUMIF('Raw June'!B:B,'TB 0625'!A27,'Raw June'!E:E)</f>
        <v>0</v>
      </c>
      <c r="E27" s="24">
        <f t="shared" si="0"/>
        <v>100000000</v>
      </c>
      <c r="F27" s="24">
        <f t="shared" si="1"/>
        <v>100000</v>
      </c>
      <c r="G27" s="22" t="s">
        <v>181</v>
      </c>
      <c r="H27" s="23" t="s">
        <v>76</v>
      </c>
    </row>
    <row r="28" spans="1:8" x14ac:dyDescent="0.35">
      <c r="A28" s="23" t="s">
        <v>1244</v>
      </c>
      <c r="B28" s="24">
        <f>SUMIF('Raw June'!B:B,'TB 0625'!A28,'Raw June'!C:C)</f>
        <v>0</v>
      </c>
      <c r="C28" s="24">
        <f>SUMIF('Raw June'!B:B,'TB 0625'!A28,'Raw June'!D:D)</f>
        <v>150000000</v>
      </c>
      <c r="D28" s="24">
        <f>SUMIF('Raw June'!B:B,'TB 0625'!A28,'Raw June'!E:E)</f>
        <v>0</v>
      </c>
      <c r="E28" s="24">
        <f t="shared" si="0"/>
        <v>150000000</v>
      </c>
      <c r="F28" s="24">
        <f t="shared" si="1"/>
        <v>150000</v>
      </c>
      <c r="G28" s="22" t="s">
        <v>181</v>
      </c>
      <c r="H28" s="23" t="s">
        <v>76</v>
      </c>
    </row>
    <row r="29" spans="1:8" x14ac:dyDescent="0.35">
      <c r="A29" s="23" t="s">
        <v>1245</v>
      </c>
      <c r="B29" s="24">
        <f>SUMIF('Raw June'!B:B,'TB 0625'!A29,'Raw June'!C:C)</f>
        <v>0</v>
      </c>
      <c r="C29" s="24">
        <f>SUMIF('Raw June'!B:B,'TB 0625'!A29,'Raw June'!D:D)</f>
        <v>150000000</v>
      </c>
      <c r="D29" s="24">
        <f>SUMIF('Raw June'!B:B,'TB 0625'!A29,'Raw June'!E:E)</f>
        <v>0</v>
      </c>
      <c r="E29" s="24">
        <f t="shared" si="0"/>
        <v>150000000</v>
      </c>
      <c r="F29" s="24">
        <f t="shared" si="1"/>
        <v>150000</v>
      </c>
      <c r="G29" s="22" t="s">
        <v>181</v>
      </c>
      <c r="H29" s="23" t="s">
        <v>76</v>
      </c>
    </row>
    <row r="30" spans="1:8" x14ac:dyDescent="0.35">
      <c r="A30" s="23" t="s">
        <v>1246</v>
      </c>
      <c r="B30" s="24">
        <f>SUMIF('Raw June'!B:B,'TB 0625'!A30,'Raw June'!C:C)</f>
        <v>0</v>
      </c>
      <c r="C30" s="24">
        <f>SUMIF('Raw June'!B:B,'TB 0625'!A30,'Raw June'!D:D)</f>
        <v>180000000</v>
      </c>
      <c r="D30" s="24">
        <f>SUMIF('Raw June'!B:B,'TB 0625'!A30,'Raw June'!E:E)</f>
        <v>0</v>
      </c>
      <c r="E30" s="24">
        <f t="shared" si="0"/>
        <v>180000000</v>
      </c>
      <c r="F30" s="24">
        <f t="shared" si="1"/>
        <v>180000</v>
      </c>
      <c r="G30" s="22" t="s">
        <v>181</v>
      </c>
      <c r="H30" s="23" t="s">
        <v>76</v>
      </c>
    </row>
    <row r="31" spans="1:8" x14ac:dyDescent="0.35">
      <c r="A31" s="23" t="s">
        <v>1247</v>
      </c>
      <c r="B31" s="24">
        <f>SUMIF('Raw June'!B:B,'TB 0625'!A31,'Raw June'!C:C)</f>
        <v>0</v>
      </c>
      <c r="C31" s="24">
        <f>SUMIF('Raw June'!B:B,'TB 0625'!A31,'Raw June'!D:D)</f>
        <v>170000000</v>
      </c>
      <c r="D31" s="24">
        <f>SUMIF('Raw June'!B:B,'TB 0625'!A31,'Raw June'!E:E)</f>
        <v>0</v>
      </c>
      <c r="E31" s="24">
        <f t="shared" si="0"/>
        <v>170000000</v>
      </c>
      <c r="F31" s="24">
        <f t="shared" si="1"/>
        <v>170000</v>
      </c>
      <c r="G31" s="22" t="s">
        <v>181</v>
      </c>
      <c r="H31" s="23" t="s">
        <v>76</v>
      </c>
    </row>
    <row r="32" spans="1:8" x14ac:dyDescent="0.35">
      <c r="A32" s="23" t="s">
        <v>1248</v>
      </c>
      <c r="B32" s="24">
        <f>SUMIF('Raw June'!B:B,'TB 0625'!A32,'Raw June'!C:C)</f>
        <v>0</v>
      </c>
      <c r="C32" s="24">
        <f>SUMIF('Raw June'!B:B,'TB 0625'!A32,'Raw June'!D:D)</f>
        <v>17000000</v>
      </c>
      <c r="D32" s="24">
        <f>SUMIF('Raw June'!B:B,'TB 0625'!A32,'Raw June'!E:E)</f>
        <v>0</v>
      </c>
      <c r="E32" s="24">
        <f t="shared" si="0"/>
        <v>17000000</v>
      </c>
      <c r="F32" s="24">
        <f t="shared" si="1"/>
        <v>17000</v>
      </c>
      <c r="G32" s="22" t="s">
        <v>181</v>
      </c>
      <c r="H32" s="23" t="s">
        <v>76</v>
      </c>
    </row>
    <row r="33" spans="1:9" x14ac:dyDescent="0.35">
      <c r="A33" s="23" t="s">
        <v>1249</v>
      </c>
      <c r="B33" s="24">
        <f>SUMIF('Raw June'!B:B,'TB 0625'!A33,'Raw June'!C:C)</f>
        <v>0</v>
      </c>
      <c r="C33" s="24">
        <f>SUMIF('Raw June'!B:B,'TB 0625'!A33,'Raw June'!D:D)</f>
        <v>250000000</v>
      </c>
      <c r="D33" s="24">
        <f>SUMIF('Raw June'!B:B,'TB 0625'!A33,'Raw June'!E:E)</f>
        <v>0</v>
      </c>
      <c r="E33" s="24">
        <f t="shared" si="0"/>
        <v>250000000</v>
      </c>
      <c r="F33" s="24">
        <f t="shared" si="1"/>
        <v>250000</v>
      </c>
      <c r="G33" s="22" t="s">
        <v>181</v>
      </c>
      <c r="H33" s="23" t="s">
        <v>76</v>
      </c>
    </row>
    <row r="34" spans="1:9" x14ac:dyDescent="0.35">
      <c r="A34" s="23" t="s">
        <v>1250</v>
      </c>
      <c r="B34" s="24">
        <f>SUMIF('Raw June'!B:B,'TB 0625'!A34,'Raw June'!C:C)</f>
        <v>0</v>
      </c>
      <c r="C34" s="24">
        <f>SUMIF('Raw June'!B:B,'TB 0625'!A34,'Raw June'!D:D)</f>
        <v>10000000</v>
      </c>
      <c r="D34" s="24">
        <f>SUMIF('Raw June'!B:B,'TB 0625'!A34,'Raw June'!E:E)</f>
        <v>10000000</v>
      </c>
      <c r="E34" s="24">
        <f t="shared" si="0"/>
        <v>0</v>
      </c>
      <c r="F34" s="24">
        <f t="shared" si="1"/>
        <v>0</v>
      </c>
      <c r="G34" s="22" t="s">
        <v>181</v>
      </c>
      <c r="H34" s="23" t="s">
        <v>76</v>
      </c>
    </row>
    <row r="35" spans="1:9" x14ac:dyDescent="0.35">
      <c r="A35" s="23" t="s">
        <v>1251</v>
      </c>
      <c r="B35" s="24">
        <f>SUMIF('Raw June'!B:B,'TB 0625'!A35,'Raw June'!C:C)</f>
        <v>0</v>
      </c>
      <c r="C35" s="24">
        <f>SUMIF('Raw June'!B:B,'TB 0625'!A35,'Raw June'!D:D)</f>
        <v>12500000</v>
      </c>
      <c r="D35" s="24">
        <f>SUMIF('Raw June'!B:B,'TB 0625'!A35,'Raw June'!E:E)</f>
        <v>0</v>
      </c>
      <c r="E35" s="24">
        <f t="shared" si="0"/>
        <v>12500000</v>
      </c>
      <c r="F35" s="24">
        <f t="shared" si="1"/>
        <v>12500</v>
      </c>
      <c r="G35" s="22" t="s">
        <v>181</v>
      </c>
      <c r="H35" s="23" t="s">
        <v>76</v>
      </c>
    </row>
    <row r="36" spans="1:9" x14ac:dyDescent="0.35">
      <c r="A36" s="23" t="s">
        <v>697</v>
      </c>
      <c r="B36" s="24">
        <f>SUMIF('Raw June'!B:B,'TB 0625'!A36,'Raw June'!C:C)</f>
        <v>0</v>
      </c>
      <c r="C36" s="24">
        <f>SUMIF('Raw June'!B:B,'TB 0625'!A36,'Raw June'!D:D)</f>
        <v>1623581413.5</v>
      </c>
      <c r="D36" s="24">
        <f>SUMIF('Raw June'!B:B,'TB 0625'!A36,'Raw June'!E:E)</f>
        <v>1623581413.5</v>
      </c>
      <c r="E36" s="24">
        <f t="shared" si="0"/>
        <v>0</v>
      </c>
      <c r="F36" s="24">
        <f t="shared" si="1"/>
        <v>0</v>
      </c>
      <c r="G36" s="22" t="s">
        <v>181</v>
      </c>
      <c r="H36" s="23" t="s">
        <v>78</v>
      </c>
    </row>
    <row r="37" spans="1:9" x14ac:dyDescent="0.35">
      <c r="A37" s="23" t="s">
        <v>572</v>
      </c>
      <c r="B37" s="24">
        <f>SUMIF('Raw June'!B:B,'TB 0625'!A37,'Raw June'!C:C)</f>
        <v>10011096</v>
      </c>
      <c r="C37" s="24">
        <f>SUMIF('Raw June'!B:B,'TB 0625'!A37,'Raw June'!D:D)</f>
        <v>1643588194.45</v>
      </c>
      <c r="D37" s="24">
        <f>SUMIF('Raw June'!B:B,'TB 0625'!A37,'Raw June'!E:E)</f>
        <v>1643500000</v>
      </c>
      <c r="E37" s="24">
        <f t="shared" si="0"/>
        <v>10099290.450000048</v>
      </c>
      <c r="F37" s="24">
        <f t="shared" si="1"/>
        <v>10099.290450000048</v>
      </c>
      <c r="G37" s="22" t="s">
        <v>181</v>
      </c>
      <c r="H37" s="23" t="s">
        <v>78</v>
      </c>
    </row>
    <row r="38" spans="1:9" x14ac:dyDescent="0.35">
      <c r="A38" s="23" t="s">
        <v>573</v>
      </c>
      <c r="B38" s="24">
        <f>SUMIF('Raw June'!B:B,'TB 0625'!A38,'Raw June'!C:C)</f>
        <v>5439913.3600000003</v>
      </c>
      <c r="C38" s="24">
        <f>SUMIF('Raw June'!B:B,'TB 0625'!A38,'Raw June'!D:D)</f>
        <v>88098538</v>
      </c>
      <c r="D38" s="24">
        <f>SUMIF('Raw June'!B:B,'TB 0625'!A38,'Raw June'!E:E)</f>
        <v>74639334.219999999</v>
      </c>
      <c r="E38" s="24">
        <f t="shared" si="0"/>
        <v>18899117.140000001</v>
      </c>
      <c r="F38" s="24">
        <f t="shared" si="1"/>
        <v>18899.117140000002</v>
      </c>
      <c r="G38" s="22" t="s">
        <v>181</v>
      </c>
      <c r="H38" s="23" t="s">
        <v>78</v>
      </c>
    </row>
    <row r="39" spans="1:9" x14ac:dyDescent="0.35">
      <c r="A39" s="23" t="s">
        <v>723</v>
      </c>
      <c r="B39" s="24">
        <f>SUMIF('Raw June'!B:B,'TB 0625'!A39,'Raw June'!C:C)</f>
        <v>3633598</v>
      </c>
      <c r="C39" s="24">
        <f>SUMIF('Raw June'!B:B,'TB 0625'!A39,'Raw June'!D:D)</f>
        <v>0</v>
      </c>
      <c r="D39" s="24">
        <f>SUMIF('Raw June'!B:B,'TB 0625'!A39,'Raw June'!E:E)</f>
        <v>0</v>
      </c>
      <c r="E39" s="24">
        <f t="shared" si="0"/>
        <v>3633598</v>
      </c>
      <c r="F39" s="24">
        <f t="shared" si="1"/>
        <v>3633.598</v>
      </c>
      <c r="G39" s="22" t="s">
        <v>181</v>
      </c>
      <c r="H39" s="23" t="s">
        <v>71</v>
      </c>
      <c r="I39" s="23" t="s">
        <v>1397</v>
      </c>
    </row>
    <row r="40" spans="1:9" x14ac:dyDescent="0.35">
      <c r="A40" s="23" t="s">
        <v>231</v>
      </c>
      <c r="B40" s="24">
        <f>SUMIF('Raw June'!B:B,'TB 0625'!A40,'Raw June'!C:C)</f>
        <v>479822.62</v>
      </c>
      <c r="C40" s="24">
        <f>SUMIF('Raw June'!B:B,'TB 0625'!A40,'Raw June'!D:D)</f>
        <v>41017.97</v>
      </c>
      <c r="D40" s="24">
        <f>SUMIF('Raw June'!B:B,'TB 0625'!A40,'Raw June'!E:E)</f>
        <v>0</v>
      </c>
      <c r="E40" s="24">
        <f t="shared" si="0"/>
        <v>520840.58999999997</v>
      </c>
      <c r="F40" s="24">
        <f t="shared" si="1"/>
        <v>520.84059000000002</v>
      </c>
      <c r="G40" s="22" t="s">
        <v>181</v>
      </c>
      <c r="H40" s="23" t="s">
        <v>71</v>
      </c>
      <c r="I40" s="23" t="s">
        <v>1397</v>
      </c>
    </row>
    <row r="41" spans="1:9" x14ac:dyDescent="0.35">
      <c r="A41" s="23" t="s">
        <v>575</v>
      </c>
      <c r="B41" s="24">
        <f>SUMIF('Raw June'!B:B,'TB 0625'!A41,'Raw June'!C:C)</f>
        <v>20250.03</v>
      </c>
      <c r="C41" s="24">
        <f>SUMIF('Raw June'!B:B,'TB 0625'!A41,'Raw June'!D:D)</f>
        <v>0</v>
      </c>
      <c r="D41" s="24">
        <f>SUMIF('Raw June'!B:B,'TB 0625'!A41,'Raw June'!E:E)</f>
        <v>20250</v>
      </c>
      <c r="E41" s="24">
        <f t="shared" si="0"/>
        <v>2.9999999998835847E-2</v>
      </c>
      <c r="F41" s="24">
        <f t="shared" si="1"/>
        <v>2.9999999998835845E-5</v>
      </c>
      <c r="G41" s="22" t="s">
        <v>181</v>
      </c>
      <c r="H41" s="23" t="s">
        <v>79</v>
      </c>
    </row>
    <row r="42" spans="1:9" x14ac:dyDescent="0.35">
      <c r="A42" s="23" t="s">
        <v>376</v>
      </c>
      <c r="B42" s="24">
        <f>SUMIF('Raw June'!B:B,'TB 0625'!A42,'Raw June'!C:C)</f>
        <v>3397973.71</v>
      </c>
      <c r="C42" s="24">
        <f>SUMIF('Raw June'!B:B,'TB 0625'!A42,'Raw June'!D:D)</f>
        <v>7864490.3099999996</v>
      </c>
      <c r="D42" s="24">
        <f>SUMIF('Raw June'!B:B,'TB 0625'!A42,'Raw June'!E:E)</f>
        <v>3184921.98</v>
      </c>
      <c r="E42" s="24">
        <f t="shared" si="0"/>
        <v>8077542.0399999991</v>
      </c>
      <c r="F42" s="24">
        <f t="shared" si="1"/>
        <v>8077.5420399999994</v>
      </c>
      <c r="G42" s="22" t="s">
        <v>181</v>
      </c>
      <c r="H42" s="23" t="s">
        <v>67</v>
      </c>
    </row>
    <row r="43" spans="1:9" x14ac:dyDescent="0.35">
      <c r="A43" s="23" t="s">
        <v>576</v>
      </c>
      <c r="B43" s="24">
        <f>SUMIF('Raw June'!B:B,'TB 0625'!A43,'Raw June'!C:C)</f>
        <v>0</v>
      </c>
      <c r="C43" s="24">
        <f>SUMIF('Raw June'!B:B,'TB 0625'!A43,'Raw June'!D:D)</f>
        <v>6315638.5</v>
      </c>
      <c r="D43" s="24">
        <f>SUMIF('Raw June'!B:B,'TB 0625'!A43,'Raw June'!E:E)</f>
        <v>6315638.5</v>
      </c>
      <c r="E43" s="24">
        <f t="shared" si="0"/>
        <v>0</v>
      </c>
      <c r="F43" s="24">
        <f t="shared" si="1"/>
        <v>0</v>
      </c>
      <c r="G43" s="22" t="s">
        <v>181</v>
      </c>
      <c r="H43" s="23" t="s">
        <v>77</v>
      </c>
    </row>
    <row r="44" spans="1:9" x14ac:dyDescent="0.35">
      <c r="A44" s="23" t="s">
        <v>577</v>
      </c>
      <c r="B44" s="24">
        <f>SUMIF('Raw June'!B:B,'TB 0625'!A44,'Raw June'!C:C)</f>
        <v>980178.3</v>
      </c>
      <c r="C44" s="24">
        <f>SUMIF('Raw June'!B:B,'TB 0625'!A44,'Raw June'!D:D)</f>
        <v>446786.51</v>
      </c>
      <c r="D44" s="24">
        <f>SUMIF('Raw June'!B:B,'TB 0625'!A44,'Raw June'!E:E)</f>
        <v>4086</v>
      </c>
      <c r="E44" s="24">
        <f t="shared" si="0"/>
        <v>1422878.81</v>
      </c>
      <c r="F44" s="24">
        <f t="shared" si="1"/>
        <v>1422.8788100000002</v>
      </c>
      <c r="G44" s="22" t="s">
        <v>181</v>
      </c>
      <c r="H44" s="23" t="s">
        <v>79</v>
      </c>
    </row>
    <row r="45" spans="1:9" x14ac:dyDescent="0.35">
      <c r="A45" s="23" t="s">
        <v>146</v>
      </c>
      <c r="B45" s="24">
        <f>SUMIF('Raw June'!B:B,'TB 0625'!A45,'Raw June'!C:C)</f>
        <v>6092000</v>
      </c>
      <c r="C45" s="24">
        <f>SUMIF('Raw June'!B:B,'TB 0625'!A45,'Raw June'!D:D)</f>
        <v>1429400</v>
      </c>
      <c r="D45" s="24">
        <f>SUMIF('Raw June'!B:B,'TB 0625'!A45,'Raw June'!E:E)</f>
        <v>0</v>
      </c>
      <c r="E45" s="24">
        <f t="shared" si="0"/>
        <v>7521400</v>
      </c>
      <c r="F45" s="24">
        <f t="shared" si="1"/>
        <v>7521.4</v>
      </c>
      <c r="G45" s="22" t="s">
        <v>181</v>
      </c>
      <c r="H45" s="23" t="s">
        <v>74</v>
      </c>
    </row>
    <row r="46" spans="1:9" x14ac:dyDescent="0.35">
      <c r="A46" s="23" t="s">
        <v>345</v>
      </c>
      <c r="B46" s="24">
        <f>SUMIF('Raw June'!B:B,'TB 0625'!A46,'Raw June'!C:C)</f>
        <v>299706</v>
      </c>
      <c r="C46" s="24">
        <f>SUMIF('Raw June'!B:B,'TB 0625'!A46,'Raw June'!D:D)</f>
        <v>46153.7</v>
      </c>
      <c r="D46" s="24">
        <f>SUMIF('Raw June'!B:B,'TB 0625'!A46,'Raw June'!E:E)</f>
        <v>0</v>
      </c>
      <c r="E46" s="24">
        <f t="shared" si="0"/>
        <v>345859.7</v>
      </c>
      <c r="F46" s="24">
        <f t="shared" si="1"/>
        <v>345.85970000000003</v>
      </c>
      <c r="G46" s="22" t="s">
        <v>181</v>
      </c>
      <c r="H46" s="23" t="s">
        <v>79</v>
      </c>
    </row>
    <row r="47" spans="1:9" x14ac:dyDescent="0.35">
      <c r="A47" s="23" t="s">
        <v>427</v>
      </c>
      <c r="B47" s="24">
        <f>SUMIF('Raw June'!B:B,'TB 0625'!A47,'Raw June'!C:C)</f>
        <v>-7405869.4900000002</v>
      </c>
      <c r="C47" s="24">
        <f>SUMIF('Raw June'!B:B,'TB 0625'!A47,'Raw June'!D:D)</f>
        <v>20251943.739999998</v>
      </c>
      <c r="D47" s="24">
        <f>SUMIF('Raw June'!B:B,'TB 0625'!A47,'Raw June'!E:E)</f>
        <v>22039550.18</v>
      </c>
      <c r="E47" s="24">
        <f t="shared" si="0"/>
        <v>-9193475.9300000016</v>
      </c>
      <c r="F47" s="24">
        <f t="shared" si="1"/>
        <v>-9193.4759300000023</v>
      </c>
      <c r="G47" s="22" t="s">
        <v>180</v>
      </c>
      <c r="H47" s="23" t="s">
        <v>67</v>
      </c>
    </row>
    <row r="48" spans="1:9" x14ac:dyDescent="0.35">
      <c r="A48" s="23" t="s">
        <v>423</v>
      </c>
      <c r="B48" s="24">
        <f>SUMIF('Raw June'!B:B,'TB 0625'!A48,'Raw June'!C:C)</f>
        <v>-249572.27</v>
      </c>
      <c r="C48" s="24">
        <f>SUMIF('Raw June'!B:B,'TB 0625'!A48,'Raw June'!D:D)</f>
        <v>12079</v>
      </c>
      <c r="D48" s="24">
        <f>SUMIF('Raw June'!B:B,'TB 0625'!A48,'Raw June'!E:E)</f>
        <v>62825</v>
      </c>
      <c r="E48" s="24">
        <f t="shared" si="0"/>
        <v>-300318.27</v>
      </c>
      <c r="F48" s="24">
        <f t="shared" si="1"/>
        <v>-300.31827000000004</v>
      </c>
      <c r="G48" s="22" t="s">
        <v>180</v>
      </c>
      <c r="H48" s="23" t="s">
        <v>68</v>
      </c>
    </row>
    <row r="49" spans="1:8" x14ac:dyDescent="0.35">
      <c r="A49" s="23" t="s">
        <v>578</v>
      </c>
      <c r="B49" s="24">
        <f>SUMIF('Raw June'!B:B,'TB 0625'!A49,'Raw June'!C:C)</f>
        <v>-81162.820000000007</v>
      </c>
      <c r="C49" s="24">
        <f>SUMIF('Raw June'!B:B,'TB 0625'!A49,'Raw June'!D:D)</f>
        <v>134095.65</v>
      </c>
      <c r="D49" s="24">
        <f>SUMIF('Raw June'!B:B,'TB 0625'!A49,'Raw June'!E:E)</f>
        <v>217932.83</v>
      </c>
      <c r="E49" s="24">
        <f t="shared" si="0"/>
        <v>-165000</v>
      </c>
      <c r="F49" s="24">
        <f t="shared" si="1"/>
        <v>-165</v>
      </c>
      <c r="G49" s="22" t="s">
        <v>180</v>
      </c>
      <c r="H49" s="23" t="s">
        <v>68</v>
      </c>
    </row>
    <row r="50" spans="1:8" x14ac:dyDescent="0.35">
      <c r="A50" s="23" t="s">
        <v>622</v>
      </c>
      <c r="B50" s="24">
        <f>SUMIF('Raw June'!B:B,'TB 0625'!A50,'Raw June'!C:C)</f>
        <v>-148523</v>
      </c>
      <c r="C50" s="24">
        <f>SUMIF('Raw June'!B:B,'TB 0625'!A50,'Raw June'!D:D)</f>
        <v>12921655</v>
      </c>
      <c r="D50" s="24">
        <f>SUMIF('Raw June'!B:B,'TB 0625'!A50,'Raw June'!E:E)</f>
        <v>16285749</v>
      </c>
      <c r="E50" s="24">
        <f t="shared" si="0"/>
        <v>-3512617</v>
      </c>
      <c r="F50" s="24">
        <f t="shared" si="1"/>
        <v>-3512.6170000000002</v>
      </c>
      <c r="G50" s="22" t="s">
        <v>180</v>
      </c>
      <c r="H50" s="23" t="s">
        <v>68</v>
      </c>
    </row>
    <row r="51" spans="1:8" x14ac:dyDescent="0.35">
      <c r="A51" s="23" t="s">
        <v>775</v>
      </c>
      <c r="B51" s="24">
        <f>SUMIF('Raw June'!B:B,'TB 0625'!A51,'Raw June'!C:C)</f>
        <v>-1275</v>
      </c>
      <c r="C51" s="24">
        <f>SUMIF('Raw June'!B:B,'TB 0625'!A51,'Raw June'!D:D)</f>
        <v>1275</v>
      </c>
      <c r="D51" s="24">
        <f>SUMIF('Raw June'!B:B,'TB 0625'!A51,'Raw June'!E:E)</f>
        <v>144</v>
      </c>
      <c r="E51" s="24">
        <f t="shared" si="0"/>
        <v>-144</v>
      </c>
      <c r="F51" s="24">
        <f t="shared" si="1"/>
        <v>-0.14399999999999999</v>
      </c>
      <c r="G51" s="22" t="s">
        <v>180</v>
      </c>
      <c r="H51" s="23" t="s">
        <v>68</v>
      </c>
    </row>
    <row r="52" spans="1:8" x14ac:dyDescent="0.35">
      <c r="A52" s="23" t="s">
        <v>776</v>
      </c>
      <c r="B52" s="24">
        <f>SUMIF('Raw June'!B:B,'TB 0625'!A52,'Raw June'!C:C)</f>
        <v>-5508</v>
      </c>
      <c r="C52" s="24">
        <f>SUMIF('Raw June'!B:B,'TB 0625'!A52,'Raw June'!D:D)</f>
        <v>5508</v>
      </c>
      <c r="D52" s="24">
        <f>SUMIF('Raw June'!B:B,'TB 0625'!A52,'Raw June'!E:E)</f>
        <v>621</v>
      </c>
      <c r="E52" s="24">
        <f t="shared" si="0"/>
        <v>-621</v>
      </c>
      <c r="F52" s="24">
        <f t="shared" si="1"/>
        <v>-0.621</v>
      </c>
      <c r="G52" s="22" t="s">
        <v>180</v>
      </c>
      <c r="H52" s="23" t="s">
        <v>68</v>
      </c>
    </row>
    <row r="53" spans="1:8" x14ac:dyDescent="0.35">
      <c r="A53" s="23" t="s">
        <v>1199</v>
      </c>
      <c r="B53" s="24">
        <f>SUMIF('Raw June'!B:B,'TB 0625'!A53,'Raw June'!C:C)</f>
        <v>-205550</v>
      </c>
      <c r="C53" s="24">
        <f>SUMIF('Raw June'!B:B,'TB 0625'!A53,'Raw June'!D:D)</f>
        <v>198770</v>
      </c>
      <c r="D53" s="24">
        <f>SUMIF('Raw June'!B:B,'TB 0625'!A53,'Raw June'!E:E)</f>
        <v>118430</v>
      </c>
      <c r="E53" s="24">
        <f t="shared" si="0"/>
        <v>-125210</v>
      </c>
      <c r="F53" s="24">
        <f t="shared" si="1"/>
        <v>-125.21</v>
      </c>
      <c r="G53" s="22" t="s">
        <v>180</v>
      </c>
      <c r="H53" s="23" t="s">
        <v>67</v>
      </c>
    </row>
    <row r="54" spans="1:8" x14ac:dyDescent="0.35">
      <c r="A54" s="23" t="s">
        <v>1252</v>
      </c>
      <c r="B54" s="24">
        <f>SUMIF('Raw June'!B:B,'TB 0625'!A54,'Raw June'!C:C)</f>
        <v>0</v>
      </c>
      <c r="C54" s="24">
        <f>SUMIF('Raw June'!B:B,'TB 0625'!A54,'Raw June'!D:D)</f>
        <v>110425</v>
      </c>
      <c r="D54" s="24">
        <f>SUMIF('Raw June'!B:B,'TB 0625'!A54,'Raw June'!E:E)</f>
        <v>110425</v>
      </c>
      <c r="E54" s="24">
        <f t="shared" si="0"/>
        <v>0</v>
      </c>
      <c r="F54" s="24">
        <f t="shared" si="1"/>
        <v>0</v>
      </c>
      <c r="G54" s="22" t="s">
        <v>180</v>
      </c>
      <c r="H54" s="23" t="s">
        <v>67</v>
      </c>
    </row>
    <row r="55" spans="1:8" x14ac:dyDescent="0.35">
      <c r="A55" s="23" t="s">
        <v>969</v>
      </c>
      <c r="B55" s="24">
        <f>SUMIF('Raw June'!B:B,'TB 0625'!A55,'Raw June'!C:C)</f>
        <v>-8652482.1099999994</v>
      </c>
      <c r="C55" s="24">
        <f>SUMIF('Raw June'!B:B,'TB 0625'!A55,'Raw June'!D:D)</f>
        <v>8863905.5999999996</v>
      </c>
      <c r="D55" s="24">
        <f>SUMIF('Raw June'!B:B,'TB 0625'!A55,'Raw June'!E:E)</f>
        <v>15512690.41</v>
      </c>
      <c r="E55" s="24">
        <f t="shared" si="0"/>
        <v>-15301266.92</v>
      </c>
      <c r="F55" s="24">
        <f t="shared" si="1"/>
        <v>-15301.26692</v>
      </c>
      <c r="G55" s="22" t="s">
        <v>180</v>
      </c>
      <c r="H55" s="23" t="s">
        <v>67</v>
      </c>
    </row>
    <row r="56" spans="1:8" x14ac:dyDescent="0.35">
      <c r="A56" s="23" t="s">
        <v>1253</v>
      </c>
      <c r="B56" s="24">
        <f>SUMIF('Raw June'!B:B,'TB 0625'!A56,'Raw June'!C:C)</f>
        <v>0</v>
      </c>
      <c r="C56" s="24">
        <f>SUMIF('Raw June'!B:B,'TB 0625'!A56,'Raw June'!D:D)</f>
        <v>49575</v>
      </c>
      <c r="D56" s="24">
        <f>SUMIF('Raw June'!B:B,'TB 0625'!A56,'Raw June'!E:E)</f>
        <v>49575</v>
      </c>
      <c r="E56" s="24">
        <f t="shared" si="0"/>
        <v>0</v>
      </c>
      <c r="F56" s="24">
        <f t="shared" si="1"/>
        <v>0</v>
      </c>
      <c r="G56" s="22" t="s">
        <v>180</v>
      </c>
      <c r="H56" s="23" t="s">
        <v>67</v>
      </c>
    </row>
    <row r="57" spans="1:8" x14ac:dyDescent="0.35">
      <c r="A57" s="23" t="s">
        <v>579</v>
      </c>
      <c r="B57" s="24">
        <f>SUMIF('Raw June'!B:B,'TB 0625'!A57,'Raw June'!C:C)</f>
        <v>25723.89</v>
      </c>
      <c r="C57" s="24">
        <f>SUMIF('Raw June'!B:B,'TB 0625'!A57,'Raw June'!D:D)</f>
        <v>279733</v>
      </c>
      <c r="D57" s="24">
        <f>SUMIF('Raw June'!B:B,'TB 0625'!A57,'Raw June'!E:E)</f>
        <v>378236.19</v>
      </c>
      <c r="E57" s="24">
        <f t="shared" si="0"/>
        <v>-72779.299999999988</v>
      </c>
      <c r="F57" s="24">
        <f t="shared" si="1"/>
        <v>-72.779299999999992</v>
      </c>
      <c r="G57" s="22" t="s">
        <v>180</v>
      </c>
      <c r="H57" s="23" t="s">
        <v>79</v>
      </c>
    </row>
    <row r="58" spans="1:8" x14ac:dyDescent="0.35">
      <c r="A58" s="23" t="s">
        <v>580</v>
      </c>
      <c r="B58" s="24">
        <f>SUMIF('Raw June'!B:B,'TB 0625'!A58,'Raw June'!C:C)</f>
        <v>-38680.699999999997</v>
      </c>
      <c r="C58" s="24">
        <f>SUMIF('Raw June'!B:B,'TB 0625'!A58,'Raw June'!D:D)</f>
        <v>79813</v>
      </c>
      <c r="D58" s="24">
        <f>SUMIF('Raw June'!B:B,'TB 0625'!A58,'Raw June'!E:E)</f>
        <v>365336.51</v>
      </c>
      <c r="E58" s="24">
        <f t="shared" si="0"/>
        <v>-324204.21000000002</v>
      </c>
      <c r="F58" s="24">
        <f t="shared" si="1"/>
        <v>-324.20421000000005</v>
      </c>
      <c r="G58" s="22" t="s">
        <v>180</v>
      </c>
      <c r="H58" s="23" t="s">
        <v>79</v>
      </c>
    </row>
    <row r="59" spans="1:8" x14ac:dyDescent="0.35">
      <c r="A59" s="23" t="s">
        <v>581</v>
      </c>
      <c r="B59" s="24">
        <f>SUMIF('Raw June'!B:B,'TB 0625'!A59,'Raw June'!C:C)</f>
        <v>-236752.11</v>
      </c>
      <c r="C59" s="24">
        <f>SUMIF('Raw June'!B:B,'TB 0625'!A59,'Raw June'!D:D)</f>
        <v>279733</v>
      </c>
      <c r="D59" s="24">
        <f>SUMIF('Raw June'!B:B,'TB 0625'!A59,'Raw June'!E:E)</f>
        <v>378236.19</v>
      </c>
      <c r="E59" s="24">
        <f t="shared" si="0"/>
        <v>-335255.3</v>
      </c>
      <c r="F59" s="24">
        <f t="shared" si="1"/>
        <v>-335.25529999999998</v>
      </c>
      <c r="G59" s="22" t="s">
        <v>180</v>
      </c>
      <c r="H59" s="23" t="s">
        <v>79</v>
      </c>
    </row>
    <row r="60" spans="1:8" x14ac:dyDescent="0.35">
      <c r="A60" s="23" t="s">
        <v>1254</v>
      </c>
      <c r="B60" s="24">
        <f>SUMIF('Raw June'!B:B,'TB 0625'!A60,'Raw June'!C:C)</f>
        <v>0</v>
      </c>
      <c r="C60" s="24">
        <f>SUMIF('Raw June'!B:B,'TB 0625'!A60,'Raw June'!D:D)</f>
        <v>0</v>
      </c>
      <c r="D60" s="24">
        <f>SUMIF('Raw June'!B:B,'TB 0625'!A60,'Raw June'!E:E)</f>
        <v>2950</v>
      </c>
      <c r="E60" s="24">
        <f t="shared" si="0"/>
        <v>-2950</v>
      </c>
      <c r="F60" s="24">
        <f t="shared" si="1"/>
        <v>-2.95</v>
      </c>
      <c r="G60" s="22" t="s">
        <v>180</v>
      </c>
      <c r="H60" s="23" t="s">
        <v>68</v>
      </c>
    </row>
    <row r="61" spans="1:8" x14ac:dyDescent="0.35">
      <c r="A61" s="23" t="s">
        <v>1255</v>
      </c>
      <c r="B61" s="24">
        <f>SUMIF('Raw June'!B:B,'TB 0625'!A61,'Raw June'!C:C)</f>
        <v>0</v>
      </c>
      <c r="C61" s="24">
        <f>SUMIF('Raw June'!B:B,'TB 0625'!A61,'Raw June'!D:D)</f>
        <v>0</v>
      </c>
      <c r="D61" s="24">
        <f>SUMIF('Raw June'!B:B,'TB 0625'!A61,'Raw June'!E:E)</f>
        <v>8850</v>
      </c>
      <c r="E61" s="24">
        <f t="shared" si="0"/>
        <v>-8850</v>
      </c>
      <c r="F61" s="24">
        <f t="shared" si="1"/>
        <v>-8.85</v>
      </c>
      <c r="G61" s="22" t="s">
        <v>180</v>
      </c>
      <c r="H61" s="23" t="s">
        <v>68</v>
      </c>
    </row>
    <row r="62" spans="1:8" x14ac:dyDescent="0.35">
      <c r="A62" s="23" t="s">
        <v>582</v>
      </c>
      <c r="B62" s="24">
        <f>SUMIF('Raw June'!B:B,'TB 0625'!A62,'Raw June'!C:C)</f>
        <v>-37175</v>
      </c>
      <c r="C62" s="24">
        <f>SUMIF('Raw June'!B:B,'TB 0625'!A62,'Raw June'!D:D)</f>
        <v>37175</v>
      </c>
      <c r="D62" s="24">
        <f>SUMIF('Raw June'!B:B,'TB 0625'!A62,'Raw June'!E:E)</f>
        <v>25575</v>
      </c>
      <c r="E62" s="24">
        <f t="shared" si="0"/>
        <v>-25575</v>
      </c>
      <c r="F62" s="24">
        <f t="shared" si="1"/>
        <v>-25.574999999999999</v>
      </c>
      <c r="G62" s="22" t="s">
        <v>180</v>
      </c>
      <c r="H62" s="23" t="s">
        <v>68</v>
      </c>
    </row>
    <row r="63" spans="1:8" x14ac:dyDescent="0.35">
      <c r="A63" s="23" t="s">
        <v>583</v>
      </c>
      <c r="B63" s="24">
        <f>SUMIF('Raw June'!B:B,'TB 0625'!A63,'Raw June'!C:C)</f>
        <v>-385113</v>
      </c>
      <c r="C63" s="24">
        <f>SUMIF('Raw June'!B:B,'TB 0625'!A63,'Raw June'!D:D)</f>
        <v>385113</v>
      </c>
      <c r="D63" s="24">
        <f>SUMIF('Raw June'!B:B,'TB 0625'!A63,'Raw June'!E:E)</f>
        <v>270363</v>
      </c>
      <c r="E63" s="24">
        <f t="shared" si="0"/>
        <v>-270363</v>
      </c>
      <c r="F63" s="24">
        <f t="shared" si="1"/>
        <v>-270.363</v>
      </c>
      <c r="G63" s="22" t="s">
        <v>180</v>
      </c>
      <c r="H63" s="23" t="s">
        <v>68</v>
      </c>
    </row>
    <row r="64" spans="1:8" x14ac:dyDescent="0.35">
      <c r="A64" s="23" t="s">
        <v>584</v>
      </c>
      <c r="B64" s="24">
        <f>SUMIF('Raw June'!B:B,'TB 0625'!A64,'Raw June'!C:C)</f>
        <v>-385113</v>
      </c>
      <c r="C64" s="24">
        <f>SUMIF('Raw June'!B:B,'TB 0625'!A64,'Raw June'!D:D)</f>
        <v>385113</v>
      </c>
      <c r="D64" s="24">
        <f>SUMIF('Raw June'!B:B,'TB 0625'!A64,'Raw June'!E:E)</f>
        <v>270363</v>
      </c>
      <c r="E64" s="24">
        <f t="shared" si="0"/>
        <v>-270363</v>
      </c>
      <c r="F64" s="24">
        <f t="shared" si="1"/>
        <v>-270.363</v>
      </c>
      <c r="G64" s="22" t="s">
        <v>180</v>
      </c>
      <c r="H64" s="23" t="s">
        <v>68</v>
      </c>
    </row>
    <row r="65" spans="1:8" x14ac:dyDescent="0.35">
      <c r="A65" s="23" t="s">
        <v>138</v>
      </c>
      <c r="B65" s="24">
        <f>SUMIF('Raw June'!B:B,'TB 0625'!A65,'Raw June'!C:C)</f>
        <v>-100000</v>
      </c>
      <c r="C65" s="24">
        <f>SUMIF('Raw June'!B:B,'TB 0625'!A65,'Raw June'!D:D)</f>
        <v>0</v>
      </c>
      <c r="D65" s="24">
        <f>SUMIF('Raw June'!B:B,'TB 0625'!A65,'Raw June'!E:E)</f>
        <v>0</v>
      </c>
      <c r="E65" s="24">
        <f t="shared" si="0"/>
        <v>-100000</v>
      </c>
      <c r="F65" s="24">
        <f t="shared" si="1"/>
        <v>-100</v>
      </c>
      <c r="G65" s="22" t="s">
        <v>180</v>
      </c>
      <c r="H65" s="23" t="s">
        <v>69</v>
      </c>
    </row>
    <row r="66" spans="1:8" x14ac:dyDescent="0.35">
      <c r="A66" s="23" t="s">
        <v>620</v>
      </c>
      <c r="B66" s="24">
        <f>SUMIF('Raw June'!B:B,'TB 0625'!A66,'Raw June'!C:C)</f>
        <v>0</v>
      </c>
      <c r="C66" s="24">
        <f>SUMIF('Raw June'!B:B,'TB 0625'!A66,'Raw June'!D:D)</f>
        <v>0</v>
      </c>
      <c r="D66" s="24">
        <f>SUMIF('Raw June'!B:B,'TB 0625'!A66,'Raw June'!E:E)</f>
        <v>134207</v>
      </c>
      <c r="E66" s="24">
        <f t="shared" si="0"/>
        <v>-134207</v>
      </c>
      <c r="F66" s="24">
        <f t="shared" si="1"/>
        <v>-134.20699999999999</v>
      </c>
      <c r="G66" s="22" t="s">
        <v>180</v>
      </c>
      <c r="H66" s="23" t="s">
        <v>69</v>
      </c>
    </row>
    <row r="67" spans="1:8" x14ac:dyDescent="0.35">
      <c r="A67" s="23" t="s">
        <v>585</v>
      </c>
      <c r="B67" s="24">
        <f>SUMIF('Raw June'!B:B,'TB 0625'!A67,'Raw June'!C:C)</f>
        <v>0</v>
      </c>
      <c r="C67" s="24">
        <f>SUMIF('Raw June'!B:B,'TB 0625'!A67,'Raw June'!D:D)</f>
        <v>0</v>
      </c>
      <c r="D67" s="24">
        <f>SUMIF('Raw June'!B:B,'TB 0625'!A67,'Raw June'!E:E)</f>
        <v>5416233.9199999999</v>
      </c>
      <c r="E67" s="24">
        <f t="shared" si="0"/>
        <v>-5416233.9199999999</v>
      </c>
      <c r="F67" s="24">
        <f t="shared" si="1"/>
        <v>-5416.2339199999997</v>
      </c>
      <c r="G67" s="22" t="s">
        <v>180</v>
      </c>
      <c r="H67" s="23" t="s">
        <v>69</v>
      </c>
    </row>
    <row r="68" spans="1:8" x14ac:dyDescent="0.35">
      <c r="A68" s="23" t="s">
        <v>960</v>
      </c>
      <c r="B68" s="24">
        <f>SUMIF('Raw June'!B:B,'TB 0625'!A68,'Raw June'!C:C)</f>
        <v>-20000</v>
      </c>
      <c r="C68" s="24">
        <f>SUMIF('Raw June'!B:B,'TB 0625'!A68,'Raw June'!D:D)</f>
        <v>20000</v>
      </c>
      <c r="D68" s="24">
        <f>SUMIF('Raw June'!B:B,'TB 0625'!A68,'Raw June'!E:E)</f>
        <v>70000</v>
      </c>
      <c r="E68" s="24">
        <f t="shared" ref="E68:E128" si="3">B68+C68-D68</f>
        <v>-70000</v>
      </c>
      <c r="F68" s="24">
        <f t="shared" ref="F68:F129" si="4">E68/10^3</f>
        <v>-70</v>
      </c>
      <c r="G68" s="22" t="s">
        <v>180</v>
      </c>
      <c r="H68" s="23" t="s">
        <v>69</v>
      </c>
    </row>
    <row r="69" spans="1:8" x14ac:dyDescent="0.35">
      <c r="A69" s="23" t="s">
        <v>1256</v>
      </c>
      <c r="B69" s="24">
        <f>SUMIF('Raw June'!B:B,'TB 0625'!A69,'Raw June'!C:C)</f>
        <v>-63728</v>
      </c>
      <c r="C69" s="24">
        <f>SUMIF('Raw June'!B:B,'TB 0625'!A69,'Raw June'!D:D)</f>
        <v>113228</v>
      </c>
      <c r="D69" s="24">
        <f>SUMIF('Raw June'!B:B,'TB 0625'!A69,'Raw June'!E:E)</f>
        <v>299100</v>
      </c>
      <c r="E69" s="24">
        <f t="shared" si="3"/>
        <v>-249600</v>
      </c>
      <c r="F69" s="24">
        <f t="shared" si="4"/>
        <v>-249.6</v>
      </c>
      <c r="G69" s="22" t="s">
        <v>180</v>
      </c>
      <c r="H69" s="23" t="s">
        <v>69</v>
      </c>
    </row>
    <row r="70" spans="1:8" x14ac:dyDescent="0.35">
      <c r="A70" s="23" t="s">
        <v>586</v>
      </c>
      <c r="B70" s="24">
        <f>SUMIF('Raw June'!B:B,'TB 0625'!A70,'Raw June'!C:C)</f>
        <v>0</v>
      </c>
      <c r="C70" s="24">
        <f>SUMIF('Raw June'!B:B,'TB 0625'!A70,'Raw June'!D:D)</f>
        <v>0</v>
      </c>
      <c r="D70" s="24">
        <f>SUMIF('Raw June'!B:B,'TB 0625'!A70,'Raw June'!E:E)</f>
        <v>68530.03</v>
      </c>
      <c r="E70" s="24">
        <f t="shared" si="3"/>
        <v>-68530.03</v>
      </c>
      <c r="F70" s="24">
        <f t="shared" si="4"/>
        <v>-68.530029999999996</v>
      </c>
      <c r="G70" s="22" t="s">
        <v>180</v>
      </c>
      <c r="H70" s="23" t="s">
        <v>69</v>
      </c>
    </row>
    <row r="71" spans="1:8" x14ac:dyDescent="0.35">
      <c r="A71" s="23" t="s">
        <v>1257</v>
      </c>
      <c r="B71" s="24">
        <f>SUMIF('Raw June'!B:B,'TB 0625'!A71,'Raw June'!C:C)</f>
        <v>0</v>
      </c>
      <c r="C71" s="24">
        <f>SUMIF('Raw June'!B:B,'TB 0625'!A71,'Raw June'!D:D)</f>
        <v>0</v>
      </c>
      <c r="D71" s="24">
        <f>SUMIF('Raw June'!B:B,'TB 0625'!A71,'Raw June'!E:E)</f>
        <v>97352.74</v>
      </c>
      <c r="E71" s="24">
        <f t="shared" si="3"/>
        <v>-97352.74</v>
      </c>
      <c r="F71" s="24">
        <f t="shared" si="4"/>
        <v>-97.352740000000011</v>
      </c>
      <c r="G71" s="22" t="s">
        <v>180</v>
      </c>
      <c r="H71" s="23" t="s">
        <v>69</v>
      </c>
    </row>
    <row r="72" spans="1:8" x14ac:dyDescent="0.35">
      <c r="A72" s="23" t="s">
        <v>1258</v>
      </c>
      <c r="B72" s="24">
        <f>SUMIF('Raw June'!B:B,'TB 0625'!A72,'Raw June'!C:C)</f>
        <v>0</v>
      </c>
      <c r="C72" s="24">
        <f>SUMIF('Raw June'!B:B,'TB 0625'!A72,'Raw June'!D:D)</f>
        <v>0</v>
      </c>
      <c r="D72" s="24">
        <f>SUMIF('Raw June'!B:B,'TB 0625'!A72,'Raw June'!E:E)</f>
        <v>20626.669999999998</v>
      </c>
      <c r="E72" s="24">
        <f t="shared" si="3"/>
        <v>-20626.669999999998</v>
      </c>
      <c r="F72" s="24">
        <f t="shared" si="4"/>
        <v>-20.626669999999997</v>
      </c>
      <c r="G72" s="22" t="s">
        <v>180</v>
      </c>
      <c r="H72" s="23" t="s">
        <v>69</v>
      </c>
    </row>
    <row r="73" spans="1:8" x14ac:dyDescent="0.35">
      <c r="A73" s="23" t="s">
        <v>425</v>
      </c>
      <c r="B73" s="24">
        <f>SUMIF('Raw June'!B:B,'TB 0625'!A73,'Raw June'!C:C)</f>
        <v>-2609496.4300000002</v>
      </c>
      <c r="C73" s="24">
        <f>SUMIF('Raw June'!B:B,'TB 0625'!A73,'Raw June'!D:D)</f>
        <v>2664588.7799999998</v>
      </c>
      <c r="D73" s="24">
        <f>SUMIF('Raw June'!B:B,'TB 0625'!A73,'Raw June'!E:E)</f>
        <v>3815724.7</v>
      </c>
      <c r="E73" s="24">
        <f t="shared" si="3"/>
        <v>-3760632.3500000006</v>
      </c>
      <c r="F73" s="24">
        <f t="shared" si="4"/>
        <v>-3760.6323500000008</v>
      </c>
      <c r="G73" s="22" t="s">
        <v>180</v>
      </c>
      <c r="H73" s="23" t="s">
        <v>68</v>
      </c>
    </row>
    <row r="74" spans="1:8" x14ac:dyDescent="0.35">
      <c r="A74" s="23" t="s">
        <v>587</v>
      </c>
      <c r="B74" s="24">
        <f>SUMIF('Raw June'!B:B,'TB 0625'!A74,'Raw June'!C:C)</f>
        <v>-545585</v>
      </c>
      <c r="C74" s="24">
        <f>SUMIF('Raw June'!B:B,'TB 0625'!A74,'Raw June'!D:D)</f>
        <v>0</v>
      </c>
      <c r="D74" s="24">
        <f>SUMIF('Raw June'!B:B,'TB 0625'!A74,'Raw June'!E:E)</f>
        <v>438028</v>
      </c>
      <c r="E74" s="24">
        <f t="shared" si="3"/>
        <v>-983613</v>
      </c>
      <c r="F74" s="24">
        <f t="shared" si="4"/>
        <v>-983.61300000000006</v>
      </c>
      <c r="G74" s="22" t="s">
        <v>180</v>
      </c>
      <c r="H74" s="23" t="s">
        <v>68</v>
      </c>
    </row>
    <row r="75" spans="1:8" x14ac:dyDescent="0.35">
      <c r="A75" s="23" t="s">
        <v>588</v>
      </c>
      <c r="B75" s="24">
        <f>SUMIF('Raw June'!B:B,'TB 0625'!A75,'Raw June'!C:C)</f>
        <v>53523276.950000003</v>
      </c>
      <c r="C75" s="24">
        <f>SUMIF('Raw June'!B:B,'TB 0625'!A75,'Raw June'!D:D)</f>
        <v>0</v>
      </c>
      <c r="D75" s="24">
        <f>SUMIF('Raw June'!B:B,'TB 0625'!A75,'Raw June'!E:E)</f>
        <v>0</v>
      </c>
      <c r="E75" s="24">
        <f t="shared" si="3"/>
        <v>53523276.950000003</v>
      </c>
      <c r="F75" s="24">
        <f t="shared" si="4"/>
        <v>53523.276949999999</v>
      </c>
      <c r="G75" s="22" t="s">
        <v>180</v>
      </c>
      <c r="H75" s="23" t="s">
        <v>64</v>
      </c>
    </row>
    <row r="76" spans="1:8" x14ac:dyDescent="0.35">
      <c r="A76" s="23" t="s">
        <v>589</v>
      </c>
      <c r="B76" s="24">
        <f>SUMIF('Raw June'!B:B,'TB 0625'!A76,'Raw June'!C:C)</f>
        <v>-100000</v>
      </c>
      <c r="C76" s="24">
        <f>SUMIF('Raw June'!B:B,'TB 0625'!A76,'Raw June'!D:D)</f>
        <v>0</v>
      </c>
      <c r="D76" s="24">
        <f>SUMIF('Raw June'!B:B,'TB 0625'!A76,'Raw June'!E:E)</f>
        <v>0</v>
      </c>
      <c r="E76" s="24">
        <f t="shared" si="3"/>
        <v>-100000</v>
      </c>
      <c r="F76" s="24">
        <f t="shared" si="4"/>
        <v>-100</v>
      </c>
      <c r="G76" s="22" t="s">
        <v>180</v>
      </c>
      <c r="H76" s="23" t="s">
        <v>63</v>
      </c>
    </row>
    <row r="77" spans="1:8" x14ac:dyDescent="0.35">
      <c r="A77" s="23" t="s">
        <v>698</v>
      </c>
      <c r="B77" s="24">
        <f>SUMIF('Raw June'!B:B,'TB 0625'!A77,'Raw June'!C:C)</f>
        <v>-10</v>
      </c>
      <c r="C77" s="24">
        <f>SUMIF('Raw June'!B:B,'TB 0625'!A77,'Raw June'!D:D)</f>
        <v>0</v>
      </c>
      <c r="D77" s="24">
        <f>SUMIF('Raw June'!B:B,'TB 0625'!A77,'Raw June'!E:E)</f>
        <v>0</v>
      </c>
      <c r="E77" s="24">
        <f t="shared" si="3"/>
        <v>-10</v>
      </c>
      <c r="F77" s="24">
        <f t="shared" si="4"/>
        <v>-0.01</v>
      </c>
      <c r="G77" s="22" t="s">
        <v>180</v>
      </c>
      <c r="H77" s="23" t="s">
        <v>63</v>
      </c>
    </row>
    <row r="78" spans="1:8" x14ac:dyDescent="0.35">
      <c r="A78" s="23" t="s">
        <v>699</v>
      </c>
      <c r="B78" s="24">
        <f>SUMIF('Raw June'!B:B,'TB 0625'!A78,'Raw June'!C:C)</f>
        <v>-4091400</v>
      </c>
      <c r="C78" s="24">
        <f>SUMIF('Raw June'!B:B,'TB 0625'!A78,'Raw June'!D:D)</f>
        <v>0</v>
      </c>
      <c r="D78" s="24">
        <f>SUMIF('Raw June'!B:B,'TB 0625'!A78,'Raw June'!E:E)</f>
        <v>1371900</v>
      </c>
      <c r="E78" s="24">
        <f t="shared" si="3"/>
        <v>-5463300</v>
      </c>
      <c r="F78" s="24">
        <f t="shared" si="4"/>
        <v>-5463.3</v>
      </c>
      <c r="G78" s="22" t="s">
        <v>180</v>
      </c>
      <c r="H78" s="23" t="s">
        <v>63</v>
      </c>
    </row>
    <row r="79" spans="1:8" x14ac:dyDescent="0.35">
      <c r="A79" s="23" t="s">
        <v>700</v>
      </c>
      <c r="B79" s="24">
        <f>SUMIF('Raw June'!B:B,'TB 0625'!A79,'Raw June'!C:C)</f>
        <v>-10800</v>
      </c>
      <c r="C79" s="24">
        <f>SUMIF('Raw June'!B:B,'TB 0625'!A79,'Raw June'!D:D)</f>
        <v>0</v>
      </c>
      <c r="D79" s="24">
        <f>SUMIF('Raw June'!B:B,'TB 0625'!A79,'Raw June'!E:E)</f>
        <v>0</v>
      </c>
      <c r="E79" s="24">
        <f t="shared" si="3"/>
        <v>-10800</v>
      </c>
      <c r="F79" s="24">
        <f t="shared" si="4"/>
        <v>-10.8</v>
      </c>
      <c r="G79" s="22" t="s">
        <v>180</v>
      </c>
      <c r="H79" s="23" t="s">
        <v>63</v>
      </c>
    </row>
    <row r="80" spans="1:8" x14ac:dyDescent="0.35">
      <c r="A80" s="23" t="s">
        <v>1259</v>
      </c>
      <c r="B80" s="24">
        <f>SUMIF('Raw June'!B:B,'TB 0625'!A80,'Raw June'!C:C)</f>
        <v>0</v>
      </c>
      <c r="C80" s="24">
        <f>SUMIF('Raw June'!B:B,'TB 0625'!A80,'Raw June'!D:D)</f>
        <v>0</v>
      </c>
      <c r="D80" s="24">
        <f>SUMIF('Raw June'!B:B,'TB 0625'!A80,'Raw June'!E:E)</f>
        <v>3772700</v>
      </c>
      <c r="E80" s="24">
        <f t="shared" si="3"/>
        <v>-3772700</v>
      </c>
      <c r="F80" s="24">
        <f t="shared" si="4"/>
        <v>-3772.7</v>
      </c>
      <c r="G80" s="22" t="s">
        <v>180</v>
      </c>
      <c r="H80" s="23" t="s">
        <v>63</v>
      </c>
    </row>
    <row r="81" spans="1:8" x14ac:dyDescent="0.35">
      <c r="A81" s="23" t="s">
        <v>590</v>
      </c>
      <c r="B81" s="24">
        <f>SUMIF('Raw June'!B:B,'TB 0625'!A81,'Raw June'!C:C)</f>
        <v>-10</v>
      </c>
      <c r="C81" s="24">
        <f>SUMIF('Raw June'!B:B,'TB 0625'!A81,'Raw June'!D:D)</f>
        <v>0</v>
      </c>
      <c r="D81" s="24">
        <f>SUMIF('Raw June'!B:B,'TB 0625'!A81,'Raw June'!E:E)</f>
        <v>0</v>
      </c>
      <c r="E81" s="24">
        <f t="shared" si="3"/>
        <v>-10</v>
      </c>
      <c r="F81" s="24">
        <f t="shared" si="4"/>
        <v>-0.01</v>
      </c>
      <c r="G81" s="22" t="s">
        <v>180</v>
      </c>
      <c r="H81" s="23" t="s">
        <v>63</v>
      </c>
    </row>
    <row r="82" spans="1:8" x14ac:dyDescent="0.35">
      <c r="A82" s="23" t="s">
        <v>591</v>
      </c>
      <c r="B82" s="24">
        <f>SUMIF('Raw June'!B:B,'TB 0625'!A82,'Raw June'!C:C)</f>
        <v>-5126000</v>
      </c>
      <c r="C82" s="24">
        <f>SUMIF('Raw June'!B:B,'TB 0625'!A82,'Raw June'!D:D)</f>
        <v>0</v>
      </c>
      <c r="D82" s="24">
        <f>SUMIF('Raw June'!B:B,'TB 0625'!A82,'Raw June'!E:E)</f>
        <v>1371900</v>
      </c>
      <c r="E82" s="24">
        <f t="shared" si="3"/>
        <v>-6497900</v>
      </c>
      <c r="F82" s="24">
        <f t="shared" si="4"/>
        <v>-6497.9</v>
      </c>
      <c r="G82" s="22" t="s">
        <v>180</v>
      </c>
      <c r="H82" s="23" t="s">
        <v>63</v>
      </c>
    </row>
    <row r="83" spans="1:8" x14ac:dyDescent="0.35">
      <c r="A83" s="23" t="s">
        <v>701</v>
      </c>
      <c r="B83" s="24">
        <f>SUMIF('Raw June'!B:B,'TB 0625'!A83,'Raw June'!C:C)</f>
        <v>-16200</v>
      </c>
      <c r="C83" s="24">
        <f>SUMIF('Raw June'!B:B,'TB 0625'!A83,'Raw June'!D:D)</f>
        <v>0</v>
      </c>
      <c r="D83" s="24">
        <f>SUMIF('Raw June'!B:B,'TB 0625'!A83,'Raw June'!E:E)</f>
        <v>0</v>
      </c>
      <c r="E83" s="24">
        <f t="shared" si="3"/>
        <v>-16200</v>
      </c>
      <c r="F83" s="24">
        <f t="shared" si="4"/>
        <v>-16.2</v>
      </c>
      <c r="G83" s="22" t="s">
        <v>180</v>
      </c>
      <c r="H83" s="23" t="s">
        <v>63</v>
      </c>
    </row>
    <row r="84" spans="1:8" x14ac:dyDescent="0.35">
      <c r="A84" s="23" t="s">
        <v>702</v>
      </c>
      <c r="B84" s="24">
        <f>SUMIF('Raw June'!B:B,'TB 0625'!A84,'Raw June'!C:C)</f>
        <v>-5400</v>
      </c>
      <c r="C84" s="24">
        <f>SUMIF('Raw June'!B:B,'TB 0625'!A84,'Raw June'!D:D)</f>
        <v>0</v>
      </c>
      <c r="D84" s="24">
        <f>SUMIF('Raw June'!B:B,'TB 0625'!A84,'Raw June'!E:E)</f>
        <v>0</v>
      </c>
      <c r="E84" s="24">
        <f t="shared" si="3"/>
        <v>-5400</v>
      </c>
      <c r="F84" s="24">
        <f t="shared" si="4"/>
        <v>-5.4</v>
      </c>
      <c r="G84" s="22" t="s">
        <v>180</v>
      </c>
      <c r="H84" s="23" t="s">
        <v>63</v>
      </c>
    </row>
    <row r="85" spans="1:8" x14ac:dyDescent="0.35">
      <c r="A85" s="23" t="s">
        <v>703</v>
      </c>
      <c r="B85" s="24">
        <f>SUMIF('Raw June'!B:B,'TB 0625'!A85,'Raw June'!C:C)</f>
        <v>-37800</v>
      </c>
      <c r="C85" s="24">
        <f>SUMIF('Raw June'!B:B,'TB 0625'!A85,'Raw June'!D:D)</f>
        <v>0</v>
      </c>
      <c r="D85" s="24">
        <f>SUMIF('Raw June'!B:B,'TB 0625'!A85,'Raw June'!E:E)</f>
        <v>0</v>
      </c>
      <c r="E85" s="24">
        <f t="shared" si="3"/>
        <v>-37800</v>
      </c>
      <c r="F85" s="24">
        <f t="shared" si="4"/>
        <v>-37.799999999999997</v>
      </c>
      <c r="G85" s="22" t="s">
        <v>180</v>
      </c>
      <c r="H85" s="23" t="s">
        <v>63</v>
      </c>
    </row>
    <row r="86" spans="1:8" x14ac:dyDescent="0.35">
      <c r="A86" s="23" t="s">
        <v>592</v>
      </c>
      <c r="B86" s="24">
        <f>SUMIF('Raw June'!B:B,'TB 0625'!A86,'Raw June'!C:C)</f>
        <v>-545637669.75999999</v>
      </c>
      <c r="C86" s="24">
        <f>SUMIF('Raw June'!B:B,'TB 0625'!A86,'Raw June'!D:D)</f>
        <v>0</v>
      </c>
      <c r="D86" s="24">
        <f>SUMIF('Raw June'!B:B,'TB 0625'!A86,'Raw June'!E:E)</f>
        <v>1617064913.45</v>
      </c>
      <c r="E86" s="24">
        <f t="shared" si="3"/>
        <v>-2162702583.21</v>
      </c>
      <c r="F86" s="24">
        <f t="shared" si="4"/>
        <v>-2162702.5832099998</v>
      </c>
      <c r="G86" s="22" t="s">
        <v>180</v>
      </c>
      <c r="H86" s="23" t="s">
        <v>64</v>
      </c>
    </row>
    <row r="87" spans="1:8" x14ac:dyDescent="0.35">
      <c r="A87" s="23" t="s">
        <v>704</v>
      </c>
      <c r="B87" s="24">
        <f>SUMIF('Raw June'!B:B,'TB 0625'!A87,'Raw June'!C:C)</f>
        <v>-5400</v>
      </c>
      <c r="C87" s="24">
        <f>SUMIF('Raw June'!B:B,'TB 0625'!A87,'Raw June'!D:D)</f>
        <v>0</v>
      </c>
      <c r="D87" s="24">
        <f>SUMIF('Raw June'!B:B,'TB 0625'!A87,'Raw June'!E:E)</f>
        <v>0</v>
      </c>
      <c r="E87" s="24">
        <f t="shared" si="3"/>
        <v>-5400</v>
      </c>
      <c r="F87" s="24">
        <f t="shared" si="4"/>
        <v>-5.4</v>
      </c>
      <c r="G87" s="22" t="s">
        <v>180</v>
      </c>
      <c r="H87" s="23" t="s">
        <v>63</v>
      </c>
    </row>
    <row r="88" spans="1:8" x14ac:dyDescent="0.35">
      <c r="A88" s="23" t="s">
        <v>705</v>
      </c>
      <c r="B88" s="24">
        <f>SUMIF('Raw June'!B:B,'TB 0625'!A88,'Raw June'!C:C)</f>
        <v>-5400</v>
      </c>
      <c r="C88" s="24">
        <f>SUMIF('Raw June'!B:B,'TB 0625'!A88,'Raw June'!D:D)</f>
        <v>0</v>
      </c>
      <c r="D88" s="24">
        <f>SUMIF('Raw June'!B:B,'TB 0625'!A88,'Raw June'!E:E)</f>
        <v>0</v>
      </c>
      <c r="E88" s="24">
        <f t="shared" si="3"/>
        <v>-5400</v>
      </c>
      <c r="F88" s="24">
        <f t="shared" si="4"/>
        <v>-5.4</v>
      </c>
      <c r="G88" s="22" t="s">
        <v>180</v>
      </c>
      <c r="H88" s="23" t="s">
        <v>63</v>
      </c>
    </row>
    <row r="89" spans="1:8" x14ac:dyDescent="0.35">
      <c r="A89" s="23" t="s">
        <v>706</v>
      </c>
      <c r="B89" s="24">
        <f>SUMIF('Raw June'!B:B,'TB 0625'!A89,'Raw June'!C:C)</f>
        <v>-5400</v>
      </c>
      <c r="C89" s="24">
        <f>SUMIF('Raw June'!B:B,'TB 0625'!A89,'Raw June'!D:D)</f>
        <v>0</v>
      </c>
      <c r="D89" s="24">
        <f>SUMIF('Raw June'!B:B,'TB 0625'!A89,'Raw June'!E:E)</f>
        <v>0</v>
      </c>
      <c r="E89" s="24">
        <f t="shared" si="3"/>
        <v>-5400</v>
      </c>
      <c r="F89" s="24">
        <f t="shared" si="4"/>
        <v>-5.4</v>
      </c>
      <c r="G89" s="22" t="s">
        <v>180</v>
      </c>
      <c r="H89" s="23" t="s">
        <v>63</v>
      </c>
    </row>
    <row r="90" spans="1:8" x14ac:dyDescent="0.35">
      <c r="A90" s="23" t="s">
        <v>707</v>
      </c>
      <c r="B90" s="24">
        <f>SUMIF('Raw June'!B:B,'TB 0625'!A90,'Raw June'!C:C)</f>
        <v>-37800</v>
      </c>
      <c r="C90" s="24">
        <f>SUMIF('Raw June'!B:B,'TB 0625'!A90,'Raw June'!D:D)</f>
        <v>0</v>
      </c>
      <c r="D90" s="24">
        <f>SUMIF('Raw June'!B:B,'TB 0625'!A90,'Raw June'!E:E)</f>
        <v>0</v>
      </c>
      <c r="E90" s="24">
        <f t="shared" si="3"/>
        <v>-37800</v>
      </c>
      <c r="F90" s="24">
        <f t="shared" si="4"/>
        <v>-37.799999999999997</v>
      </c>
      <c r="G90" s="22" t="s">
        <v>180</v>
      </c>
      <c r="H90" s="23" t="s">
        <v>63</v>
      </c>
    </row>
    <row r="91" spans="1:8" x14ac:dyDescent="0.35">
      <c r="A91" s="23" t="s">
        <v>593</v>
      </c>
      <c r="B91" s="24">
        <f>SUMIF('Raw June'!B:B,'TB 0625'!A91,'Raw June'!C:C)</f>
        <v>58903866.530000001</v>
      </c>
      <c r="C91" s="24">
        <f>SUMIF('Raw June'!B:B,'TB 0625'!A91,'Raw June'!D:D)</f>
        <v>0</v>
      </c>
      <c r="D91" s="24">
        <f>SUMIF('Raw June'!B:B,'TB 0625'!A91,'Raw June'!E:E)</f>
        <v>0</v>
      </c>
      <c r="E91" s="24">
        <f t="shared" si="3"/>
        <v>58903866.530000001</v>
      </c>
      <c r="F91" s="24">
        <f t="shared" si="4"/>
        <v>58903.866529999999</v>
      </c>
      <c r="G91" s="22" t="s">
        <v>180</v>
      </c>
      <c r="H91" s="23" t="s">
        <v>64</v>
      </c>
    </row>
    <row r="92" spans="1:8" x14ac:dyDescent="0.35">
      <c r="A92" s="23" t="s">
        <v>1260</v>
      </c>
      <c r="B92" s="24">
        <f>SUMIF('Raw June'!B:B,'TB 0625'!A92,'Raw June'!C:C)</f>
        <v>0</v>
      </c>
      <c r="C92" s="24">
        <f>SUMIF('Raw June'!B:B,'TB 0625'!A92,'Raw June'!D:D)</f>
        <v>1623581413.5</v>
      </c>
      <c r="D92" s="24">
        <f>SUMIF('Raw June'!B:B,'TB 0625'!A92,'Raw June'!E:E)</f>
        <v>1623581413.5</v>
      </c>
      <c r="E92" s="24">
        <f t="shared" si="3"/>
        <v>0</v>
      </c>
      <c r="F92" s="24">
        <f t="shared" si="4"/>
        <v>0</v>
      </c>
      <c r="G92" s="22" t="s">
        <v>180</v>
      </c>
      <c r="H92" s="23" t="s">
        <v>63</v>
      </c>
    </row>
    <row r="93" spans="1:8" x14ac:dyDescent="0.35">
      <c r="A93" s="23" t="s">
        <v>594</v>
      </c>
      <c r="B93" s="24">
        <f>SUMIF('Raw June'!B:B,'TB 0625'!A93,'Raw June'!C:C)</f>
        <v>0</v>
      </c>
      <c r="C93" s="24">
        <f>SUMIF('Raw June'!B:B,'TB 0625'!A93,'Raw June'!D:D)</f>
        <v>9248881</v>
      </c>
      <c r="D93" s="24">
        <f>SUMIF('Raw June'!B:B,'TB 0625'!A93,'Raw June'!E:E)</f>
        <v>19124605.100000001</v>
      </c>
      <c r="E93" s="24">
        <f t="shared" si="3"/>
        <v>-9875724.1000000015</v>
      </c>
      <c r="F93" s="24">
        <f t="shared" si="4"/>
        <v>-9875.7241000000013</v>
      </c>
      <c r="G93" s="22" t="s">
        <v>184</v>
      </c>
      <c r="H93" s="23" t="s">
        <v>49</v>
      </c>
    </row>
    <row r="94" spans="1:8" x14ac:dyDescent="0.35">
      <c r="A94" s="23" t="s">
        <v>595</v>
      </c>
      <c r="B94" s="24">
        <f>SUMIF('Raw June'!B:B,'TB 0625'!A94,'Raw June'!C:C)</f>
        <v>0</v>
      </c>
      <c r="C94" s="24">
        <f>SUMIF('Raw June'!B:B,'TB 0625'!A94,'Raw June'!D:D)</f>
        <v>6370.24</v>
      </c>
      <c r="D94" s="24">
        <f>SUMIF('Raw June'!B:B,'TB 0625'!A94,'Raw June'!E:E)</f>
        <v>0</v>
      </c>
      <c r="E94" s="24">
        <f t="shared" si="3"/>
        <v>6370.24</v>
      </c>
      <c r="F94" s="24">
        <f t="shared" si="4"/>
        <v>6.3702399999999999</v>
      </c>
      <c r="G94" s="22" t="s">
        <v>182</v>
      </c>
      <c r="H94" s="23" t="s">
        <v>43</v>
      </c>
    </row>
    <row r="95" spans="1:8" x14ac:dyDescent="0.35">
      <c r="A95" s="23" t="s">
        <v>38</v>
      </c>
      <c r="B95" s="24">
        <f>SUMIF('Raw June'!B:B,'TB 0625'!A95,'Raw June'!C:C)</f>
        <v>0</v>
      </c>
      <c r="C95" s="24">
        <f>SUMIF('Raw June'!B:B,'TB 0625'!A95,'Raw June'!D:D)</f>
        <v>826150</v>
      </c>
      <c r="D95" s="24">
        <f>SUMIF('Raw June'!B:B,'TB 0625'!A95,'Raw June'!E:E)</f>
        <v>250000</v>
      </c>
      <c r="E95" s="24">
        <f t="shared" si="3"/>
        <v>576150</v>
      </c>
      <c r="F95" s="24">
        <f t="shared" si="4"/>
        <v>576.15</v>
      </c>
      <c r="G95" s="22" t="s">
        <v>182</v>
      </c>
      <c r="H95" s="23" t="s">
        <v>38</v>
      </c>
    </row>
    <row r="96" spans="1:8" x14ac:dyDescent="0.35">
      <c r="A96" s="23" t="s">
        <v>409</v>
      </c>
      <c r="B96" s="24">
        <f>SUMIF('Raw June'!B:B,'TB 0625'!A96,'Raw June'!C:C)</f>
        <v>0</v>
      </c>
      <c r="C96" s="24">
        <f>SUMIF('Raw June'!B:B,'TB 0625'!A96,'Raw June'!D:D)</f>
        <v>96000</v>
      </c>
      <c r="D96" s="24">
        <f>SUMIF('Raw June'!B:B,'TB 0625'!A96,'Raw June'!E:E)</f>
        <v>0</v>
      </c>
      <c r="E96" s="24">
        <f t="shared" si="3"/>
        <v>96000</v>
      </c>
      <c r="F96" s="24">
        <f t="shared" si="4"/>
        <v>96</v>
      </c>
      <c r="G96" s="22" t="s">
        <v>182</v>
      </c>
      <c r="H96" s="23" t="s">
        <v>958</v>
      </c>
    </row>
    <row r="97" spans="1:8" x14ac:dyDescent="0.35">
      <c r="A97" s="23" t="s">
        <v>296</v>
      </c>
      <c r="B97" s="24">
        <f>SUMIF('Raw June'!B:B,'TB 0625'!A97,'Raw June'!C:C)</f>
        <v>0</v>
      </c>
      <c r="C97" s="24">
        <f>SUMIF('Raw June'!B:B,'TB 0625'!A97,'Raw June'!D:D)</f>
        <v>6551267.5700000003</v>
      </c>
      <c r="D97" s="24">
        <f>SUMIF('Raw June'!B:B,'TB 0625'!A97,'Raw June'!E:E)</f>
        <v>733739</v>
      </c>
      <c r="E97" s="24">
        <f t="shared" si="3"/>
        <v>5817528.5700000003</v>
      </c>
      <c r="F97" s="24">
        <f t="shared" si="4"/>
        <v>5817.5285700000004</v>
      </c>
      <c r="G97" s="22" t="s">
        <v>182</v>
      </c>
      <c r="H97" s="23" t="s">
        <v>37</v>
      </c>
    </row>
    <row r="98" spans="1:8" x14ac:dyDescent="0.35">
      <c r="A98" s="23" t="s">
        <v>34</v>
      </c>
      <c r="B98" s="24">
        <f>SUMIF('Raw June'!B:B,'TB 0625'!A98,'Raw June'!C:C)</f>
        <v>0</v>
      </c>
      <c r="C98" s="24">
        <f>SUMIF('Raw June'!B:B,'TB 0625'!A98,'Raw June'!D:D)</f>
        <v>600893.37</v>
      </c>
      <c r="D98" s="24">
        <f>SUMIF('Raw June'!B:B,'TB 0625'!A98,'Raw June'!E:E)</f>
        <v>0</v>
      </c>
      <c r="E98" s="24">
        <f t="shared" si="3"/>
        <v>600893.37</v>
      </c>
      <c r="F98" s="24">
        <f t="shared" si="4"/>
        <v>600.89337</v>
      </c>
      <c r="G98" s="22" t="s">
        <v>182</v>
      </c>
      <c r="H98" s="23" t="s">
        <v>34</v>
      </c>
    </row>
    <row r="99" spans="1:8" x14ac:dyDescent="0.35">
      <c r="A99" s="23" t="s">
        <v>596</v>
      </c>
      <c r="B99" s="24">
        <f>SUMIF('Raw June'!B:B,'TB 0625'!A99,'Raw June'!C:C)</f>
        <v>0</v>
      </c>
      <c r="C99" s="24">
        <f>SUMIF('Raw June'!B:B,'TB 0625'!A99,'Raw June'!D:D)</f>
        <v>293911.67</v>
      </c>
      <c r="D99" s="24">
        <f>SUMIF('Raw June'!B:B,'TB 0625'!A99,'Raw June'!E:E)</f>
        <v>0</v>
      </c>
      <c r="E99" s="24">
        <f t="shared" si="3"/>
        <v>293911.67</v>
      </c>
      <c r="F99" s="24">
        <f t="shared" si="4"/>
        <v>293.91166999999996</v>
      </c>
      <c r="G99" s="22" t="s">
        <v>182</v>
      </c>
      <c r="H99" s="23" t="s">
        <v>48</v>
      </c>
    </row>
    <row r="100" spans="1:8" x14ac:dyDescent="0.35">
      <c r="A100" s="23" t="s">
        <v>708</v>
      </c>
      <c r="B100" s="24">
        <f>SUMIF('Raw June'!B:B,'TB 0625'!A100,'Raw June'!C:C)</f>
        <v>0</v>
      </c>
      <c r="C100" s="24">
        <f>SUMIF('Raw June'!B:B,'TB 0625'!A100,'Raw June'!D:D)</f>
        <v>1631.5</v>
      </c>
      <c r="D100" s="24">
        <f>SUMIF('Raw June'!B:B,'TB 0625'!A100,'Raw June'!E:E)</f>
        <v>0</v>
      </c>
      <c r="E100" s="24">
        <f t="shared" si="3"/>
        <v>1631.5</v>
      </c>
      <c r="F100" s="24">
        <f t="shared" si="4"/>
        <v>1.6315</v>
      </c>
      <c r="G100" s="22" t="s">
        <v>182</v>
      </c>
      <c r="H100" s="23" t="s">
        <v>42</v>
      </c>
    </row>
    <row r="101" spans="1:8" x14ac:dyDescent="0.35">
      <c r="A101" s="23" t="s">
        <v>777</v>
      </c>
      <c r="B101" s="24">
        <f>SUMIF('Raw June'!B:B,'TB 0625'!A101,'Raw June'!C:C)</f>
        <v>0</v>
      </c>
      <c r="C101" s="24">
        <f>SUMIF('Raw June'!B:B,'TB 0625'!A101,'Raw June'!D:D)</f>
        <v>621</v>
      </c>
      <c r="D101" s="24">
        <f>SUMIF('Raw June'!B:B,'TB 0625'!A101,'Raw June'!E:E)</f>
        <v>0</v>
      </c>
      <c r="E101" s="24">
        <f t="shared" si="3"/>
        <v>621</v>
      </c>
      <c r="F101" s="24">
        <f t="shared" si="4"/>
        <v>0.621</v>
      </c>
      <c r="G101" s="22" t="s">
        <v>182</v>
      </c>
      <c r="H101" s="23" t="s">
        <v>417</v>
      </c>
    </row>
    <row r="102" spans="1:8" x14ac:dyDescent="0.35">
      <c r="A102" s="23" t="s">
        <v>1261</v>
      </c>
      <c r="B102" s="24">
        <f>SUMIF('Raw June'!B:B,'TB 0625'!A102,'Raw June'!C:C)</f>
        <v>0</v>
      </c>
      <c r="C102" s="24">
        <f>SUMIF('Raw June'!B:B,'TB 0625'!A102,'Raw June'!D:D)</f>
        <v>8850</v>
      </c>
      <c r="D102" s="24">
        <f>SUMIF('Raw June'!B:B,'TB 0625'!A102,'Raw June'!E:E)</f>
        <v>0</v>
      </c>
      <c r="E102" s="24">
        <f t="shared" si="3"/>
        <v>8850</v>
      </c>
      <c r="F102" s="24">
        <f t="shared" si="4"/>
        <v>8.85</v>
      </c>
      <c r="G102" s="22" t="s">
        <v>182</v>
      </c>
      <c r="H102" s="23" t="s">
        <v>417</v>
      </c>
    </row>
    <row r="103" spans="1:8" x14ac:dyDescent="0.35">
      <c r="A103" s="23" t="s">
        <v>109</v>
      </c>
      <c r="B103" s="24">
        <f>SUMIF('Raw June'!B:B,'TB 0625'!A103,'Raw June'!C:C)</f>
        <v>0</v>
      </c>
      <c r="C103" s="24">
        <f>SUMIF('Raw June'!B:B,'TB 0625'!A103,'Raw June'!D:D)</f>
        <v>270363</v>
      </c>
      <c r="D103" s="24">
        <f>SUMIF('Raw June'!B:B,'TB 0625'!A103,'Raw June'!E:E)</f>
        <v>0</v>
      </c>
      <c r="E103" s="24">
        <f t="shared" si="3"/>
        <v>270363</v>
      </c>
      <c r="F103" s="24">
        <f t="shared" si="4"/>
        <v>270.363</v>
      </c>
      <c r="G103" s="22" t="s">
        <v>182</v>
      </c>
      <c r="H103" s="23" t="s">
        <v>417</v>
      </c>
    </row>
    <row r="104" spans="1:8" x14ac:dyDescent="0.35">
      <c r="A104" s="23" t="s">
        <v>597</v>
      </c>
      <c r="B104" s="24">
        <f>SUMIF('Raw June'!B:B,'TB 0625'!A104,'Raw June'!C:C)</f>
        <v>0</v>
      </c>
      <c r="C104" s="24">
        <f>SUMIF('Raw June'!B:B,'TB 0625'!A104,'Raw June'!D:D)</f>
        <v>32092</v>
      </c>
      <c r="D104" s="24">
        <f>SUMIF('Raw June'!B:B,'TB 0625'!A104,'Raw June'!E:E)</f>
        <v>0</v>
      </c>
      <c r="E104" s="24">
        <f t="shared" si="3"/>
        <v>32092</v>
      </c>
      <c r="F104" s="24">
        <f t="shared" si="4"/>
        <v>32.091999999999999</v>
      </c>
      <c r="G104" s="22" t="s">
        <v>182</v>
      </c>
      <c r="H104" s="23" t="s">
        <v>417</v>
      </c>
    </row>
    <row r="105" spans="1:8" x14ac:dyDescent="0.35">
      <c r="A105" s="23" t="s">
        <v>598</v>
      </c>
      <c r="B105" s="24">
        <f>SUMIF('Raw June'!B:B,'TB 0625'!A105,'Raw June'!C:C)</f>
        <v>0</v>
      </c>
      <c r="C105" s="24">
        <f>SUMIF('Raw June'!B:B,'TB 0625'!A105,'Raw June'!D:D)</f>
        <v>1051937.76</v>
      </c>
      <c r="D105" s="24">
        <f>SUMIF('Raw June'!B:B,'TB 0625'!A105,'Raw June'!E:E)</f>
        <v>69401.820000000007</v>
      </c>
      <c r="E105" s="24">
        <f t="shared" si="3"/>
        <v>982535.94</v>
      </c>
      <c r="F105" s="24">
        <f t="shared" si="4"/>
        <v>982.53593999999998</v>
      </c>
      <c r="G105" s="22" t="s">
        <v>182</v>
      </c>
      <c r="H105" s="23" t="s">
        <v>417</v>
      </c>
    </row>
    <row r="106" spans="1:8" x14ac:dyDescent="0.35">
      <c r="A106" s="23" t="s">
        <v>599</v>
      </c>
      <c r="B106" s="24">
        <f>SUMIF('Raw June'!B:B,'TB 0625'!A106,'Raw June'!C:C)</f>
        <v>0</v>
      </c>
      <c r="C106" s="24">
        <f>SUMIF('Raw June'!B:B,'TB 0625'!A106,'Raw June'!D:D)</f>
        <v>438028</v>
      </c>
      <c r="D106" s="24">
        <f>SUMIF('Raw June'!B:B,'TB 0625'!A106,'Raw June'!E:E)</f>
        <v>0</v>
      </c>
      <c r="E106" s="24">
        <f t="shared" si="3"/>
        <v>438028</v>
      </c>
      <c r="F106" s="24">
        <f t="shared" si="4"/>
        <v>438.02800000000002</v>
      </c>
      <c r="G106" s="22" t="s">
        <v>182</v>
      </c>
      <c r="H106" s="23" t="s">
        <v>417</v>
      </c>
    </row>
    <row r="107" spans="1:8" x14ac:dyDescent="0.35">
      <c r="A107" s="23" t="s">
        <v>417</v>
      </c>
      <c r="B107" s="24">
        <f>SUMIF('Raw June'!B:B,'TB 0625'!A107,'Raw June'!C:C)</f>
        <v>0</v>
      </c>
      <c r="C107" s="24">
        <f>SUMIF('Raw June'!B:B,'TB 0625'!A107,'Raw June'!D:D)</f>
        <v>95794.01</v>
      </c>
      <c r="D107" s="24">
        <f>SUMIF('Raw June'!B:B,'TB 0625'!A107,'Raw June'!E:E)</f>
        <v>0</v>
      </c>
      <c r="E107" s="24">
        <f t="shared" si="3"/>
        <v>95794.01</v>
      </c>
      <c r="F107" s="24">
        <f t="shared" si="4"/>
        <v>95.79401</v>
      </c>
      <c r="G107" s="22" t="s">
        <v>182</v>
      </c>
      <c r="H107" s="23" t="s">
        <v>417</v>
      </c>
    </row>
    <row r="108" spans="1:8" x14ac:dyDescent="0.35">
      <c r="A108" s="23" t="s">
        <v>778</v>
      </c>
      <c r="B108" s="24">
        <f>SUMIF('Raw June'!B:B,'TB 0625'!A108,'Raw June'!C:C)</f>
        <v>0</v>
      </c>
      <c r="C108" s="24">
        <f>SUMIF('Raw June'!B:B,'TB 0625'!A108,'Raw June'!D:D)</f>
        <v>129081.2</v>
      </c>
      <c r="D108" s="24">
        <f>SUMIF('Raw June'!B:B,'TB 0625'!A108,'Raw June'!E:E)</f>
        <v>0</v>
      </c>
      <c r="E108" s="24">
        <f t="shared" si="3"/>
        <v>129081.2</v>
      </c>
      <c r="F108" s="24">
        <f t="shared" si="4"/>
        <v>129.0812</v>
      </c>
      <c r="G108" s="22" t="s">
        <v>182</v>
      </c>
      <c r="H108" s="23" t="s">
        <v>26</v>
      </c>
    </row>
    <row r="109" spans="1:8" x14ac:dyDescent="0.35">
      <c r="A109" s="23" t="s">
        <v>1262</v>
      </c>
      <c r="B109" s="24">
        <f>SUMIF('Raw June'!B:B,'TB 0625'!A109,'Raw June'!C:C)</f>
        <v>0</v>
      </c>
      <c r="C109" s="24">
        <f>SUMIF('Raw June'!B:B,'TB 0625'!A109,'Raw June'!D:D)</f>
        <v>167.82</v>
      </c>
      <c r="D109" s="24">
        <f>SUMIF('Raw June'!B:B,'TB 0625'!A109,'Raw June'!E:E)</f>
        <v>0</v>
      </c>
      <c r="E109" s="24">
        <f t="shared" si="3"/>
        <v>167.82</v>
      </c>
      <c r="F109" s="24">
        <f t="shared" si="4"/>
        <v>0.16782</v>
      </c>
      <c r="G109" s="22" t="s">
        <v>182</v>
      </c>
      <c r="H109" s="23" t="s">
        <v>43</v>
      </c>
    </row>
    <row r="110" spans="1:8" x14ac:dyDescent="0.35">
      <c r="A110" s="23" t="s">
        <v>600</v>
      </c>
      <c r="B110" s="24">
        <f>SUMIF('Raw June'!B:B,'TB 0625'!A110,'Raw June'!C:C)</f>
        <v>0</v>
      </c>
      <c r="C110" s="24">
        <f>SUMIF('Raw June'!B:B,'TB 0625'!A110,'Raw June'!D:D)</f>
        <v>3184840</v>
      </c>
      <c r="D110" s="24">
        <f>SUMIF('Raw June'!B:B,'TB 0625'!A110,'Raw June'!E:E)</f>
        <v>0</v>
      </c>
      <c r="E110" s="24">
        <f t="shared" si="3"/>
        <v>3184840</v>
      </c>
      <c r="F110" s="24">
        <f t="shared" si="4"/>
        <v>3184.84</v>
      </c>
      <c r="G110" s="22" t="s">
        <v>182</v>
      </c>
      <c r="H110" s="23" t="s">
        <v>46</v>
      </c>
    </row>
    <row r="111" spans="1:8" x14ac:dyDescent="0.35">
      <c r="A111" s="23" t="s">
        <v>864</v>
      </c>
      <c r="B111" s="24">
        <f>SUMIF('Raw June'!B:B,'TB 0625'!A111,'Raw June'!C:C)</f>
        <v>0</v>
      </c>
      <c r="C111" s="24">
        <f>SUMIF('Raw June'!B:B,'TB 0625'!A111,'Raw June'!D:D)</f>
        <v>511600</v>
      </c>
      <c r="D111" s="24">
        <f>SUMIF('Raw June'!B:B,'TB 0625'!A111,'Raw June'!E:E)</f>
        <v>49700</v>
      </c>
      <c r="E111" s="24">
        <f t="shared" si="3"/>
        <v>461900</v>
      </c>
      <c r="F111" s="24">
        <f t="shared" si="4"/>
        <v>461.9</v>
      </c>
      <c r="G111" s="22" t="s">
        <v>182</v>
      </c>
      <c r="H111" s="23" t="s">
        <v>958</v>
      </c>
    </row>
    <row r="112" spans="1:8" x14ac:dyDescent="0.35">
      <c r="A112" s="23" t="s">
        <v>779</v>
      </c>
      <c r="B112" s="24">
        <f>SUMIF('Raw June'!B:B,'TB 0625'!A112,'Raw June'!C:C)</f>
        <v>0</v>
      </c>
      <c r="C112" s="24">
        <f>SUMIF('Raw June'!B:B,'TB 0625'!A112,'Raw June'!D:D)</f>
        <v>21000</v>
      </c>
      <c r="D112" s="24">
        <f>SUMIF('Raw June'!B:B,'TB 0625'!A112,'Raw June'!E:E)</f>
        <v>0</v>
      </c>
      <c r="E112" s="24">
        <f t="shared" si="3"/>
        <v>21000</v>
      </c>
      <c r="F112" s="24">
        <f t="shared" si="4"/>
        <v>21</v>
      </c>
      <c r="G112" s="22" t="s">
        <v>182</v>
      </c>
      <c r="H112" s="23" t="s">
        <v>42</v>
      </c>
    </row>
    <row r="113" spans="1:8" x14ac:dyDescent="0.35">
      <c r="A113" s="23" t="s">
        <v>32</v>
      </c>
      <c r="B113" s="24">
        <f>SUMIF('Raw June'!B:B,'TB 0625'!A113,'Raw June'!C:C)</f>
        <v>0</v>
      </c>
      <c r="C113" s="24">
        <f>SUMIF('Raw June'!B:B,'TB 0625'!A113,'Raw June'!D:D)</f>
        <v>1124776.32</v>
      </c>
      <c r="D113" s="24">
        <f>SUMIF('Raw June'!B:B,'TB 0625'!A113,'Raw June'!E:E)</f>
        <v>0</v>
      </c>
      <c r="E113" s="24">
        <f t="shared" si="3"/>
        <v>1124776.32</v>
      </c>
      <c r="F113" s="24">
        <f t="shared" si="4"/>
        <v>1124.7763200000002</v>
      </c>
      <c r="G113" s="22" t="s">
        <v>182</v>
      </c>
      <c r="H113" s="23" t="s">
        <v>32</v>
      </c>
    </row>
    <row r="114" spans="1:8" x14ac:dyDescent="0.35">
      <c r="A114" s="23" t="s">
        <v>602</v>
      </c>
      <c r="B114" s="24">
        <f>SUMIF('Raw June'!B:B,'TB 0625'!A114,'Raw June'!C:C)</f>
        <v>0</v>
      </c>
      <c r="C114" s="24">
        <f>SUMIF('Raw June'!B:B,'TB 0625'!A114,'Raw June'!D:D)</f>
        <v>86628.28</v>
      </c>
      <c r="D114" s="24">
        <f>SUMIF('Raw June'!B:B,'TB 0625'!A114,'Raw June'!E:E)</f>
        <v>2299</v>
      </c>
      <c r="E114" s="24">
        <f t="shared" si="3"/>
        <v>84329.279999999999</v>
      </c>
      <c r="F114" s="24">
        <f t="shared" si="4"/>
        <v>84.329279999999997</v>
      </c>
      <c r="G114" s="22" t="s">
        <v>182</v>
      </c>
      <c r="H114" s="23" t="s">
        <v>42</v>
      </c>
    </row>
    <row r="115" spans="1:8" x14ac:dyDescent="0.35">
      <c r="A115" s="23" t="s">
        <v>603</v>
      </c>
      <c r="B115" s="24">
        <f>SUMIF('Raw June'!B:B,'TB 0625'!A115,'Raw June'!C:C)</f>
        <v>0</v>
      </c>
      <c r="C115" s="24">
        <f>SUMIF('Raw June'!B:B,'TB 0625'!A115,'Raw June'!D:D)</f>
        <v>1058000</v>
      </c>
      <c r="D115" s="24">
        <f>SUMIF('Raw June'!B:B,'TB 0625'!A115,'Raw June'!E:E)</f>
        <v>0</v>
      </c>
      <c r="E115" s="24">
        <f t="shared" si="3"/>
        <v>1058000</v>
      </c>
      <c r="F115" s="24">
        <f t="shared" si="4"/>
        <v>1058</v>
      </c>
      <c r="G115" s="22" t="s">
        <v>182</v>
      </c>
      <c r="H115" s="23" t="s">
        <v>42</v>
      </c>
    </row>
    <row r="116" spans="1:8" x14ac:dyDescent="0.35">
      <c r="A116" s="23" t="s">
        <v>957</v>
      </c>
      <c r="B116" s="24">
        <f>SUMIF('Raw June'!B:B,'TB 0625'!A116,'Raw June'!C:C)</f>
        <v>0</v>
      </c>
      <c r="C116" s="24">
        <f>SUMIF('Raw June'!B:B,'TB 0625'!A116,'Raw June'!D:D)</f>
        <v>858396.59</v>
      </c>
      <c r="D116" s="24">
        <f>SUMIF('Raw June'!B:B,'TB 0625'!A116,'Raw June'!E:E)</f>
        <v>118543</v>
      </c>
      <c r="E116" s="24">
        <f t="shared" si="3"/>
        <v>739853.59</v>
      </c>
      <c r="F116" s="24">
        <f t="shared" si="4"/>
        <v>739.85358999999994</v>
      </c>
      <c r="G116" s="22" t="s">
        <v>182</v>
      </c>
      <c r="H116" s="23" t="s">
        <v>958</v>
      </c>
    </row>
    <row r="117" spans="1:8" x14ac:dyDescent="0.35">
      <c r="A117" s="23" t="s">
        <v>604</v>
      </c>
      <c r="B117" s="24">
        <f>SUMIF('Raw June'!B:B,'TB 0625'!A117,'Raw June'!C:C)</f>
        <v>0</v>
      </c>
      <c r="C117" s="24">
        <f>SUMIF('Raw June'!B:B,'TB 0625'!A117,'Raw June'!D:D)</f>
        <v>92059</v>
      </c>
      <c r="D117" s="24">
        <f>SUMIF('Raw June'!B:B,'TB 0625'!A117,'Raw June'!E:E)</f>
        <v>4040.76</v>
      </c>
      <c r="E117" s="24">
        <f t="shared" si="3"/>
        <v>88018.240000000005</v>
      </c>
      <c r="F117" s="24">
        <f t="shared" si="4"/>
        <v>88.018240000000006</v>
      </c>
      <c r="G117" s="22" t="s">
        <v>182</v>
      </c>
      <c r="H117" s="23" t="s">
        <v>43</v>
      </c>
    </row>
    <row r="118" spans="1:8" x14ac:dyDescent="0.35">
      <c r="A118" s="23" t="s">
        <v>605</v>
      </c>
      <c r="B118" s="24">
        <f>SUMIF('Raw June'!B:B,'TB 0625'!A118,'Raw June'!C:C)</f>
        <v>0</v>
      </c>
      <c r="C118" s="24">
        <f>SUMIF('Raw June'!B:B,'TB 0625'!A118,'Raw June'!D:D)</f>
        <v>8950.7999999999993</v>
      </c>
      <c r="D118" s="24">
        <f>SUMIF('Raw June'!B:B,'TB 0625'!A118,'Raw June'!E:E)</f>
        <v>2.39</v>
      </c>
      <c r="E118" s="24">
        <f t="shared" si="3"/>
        <v>8948.41</v>
      </c>
      <c r="F118" s="24">
        <f t="shared" si="4"/>
        <v>8.9484099999999991</v>
      </c>
      <c r="G118" s="22" t="s">
        <v>182</v>
      </c>
      <c r="H118" s="23" t="s">
        <v>43</v>
      </c>
    </row>
    <row r="119" spans="1:8" x14ac:dyDescent="0.35">
      <c r="A119" s="23" t="s">
        <v>41</v>
      </c>
      <c r="B119" s="24">
        <f>SUMIF('Raw June'!B:B,'TB 0625'!A119,'Raw June'!C:C)</f>
        <v>0</v>
      </c>
      <c r="C119" s="24">
        <f>SUMIF('Raw June'!B:B,'TB 0625'!A119,'Raw June'!D:D)</f>
        <v>397240</v>
      </c>
      <c r="D119" s="24">
        <f>SUMIF('Raw June'!B:B,'TB 0625'!A119,'Raw June'!E:E)</f>
        <v>20000</v>
      </c>
      <c r="E119" s="24">
        <f t="shared" si="3"/>
        <v>377240</v>
      </c>
      <c r="F119" s="24">
        <f t="shared" si="4"/>
        <v>377.24</v>
      </c>
      <c r="G119" s="22" t="s">
        <v>182</v>
      </c>
      <c r="H119" s="23" t="s">
        <v>41</v>
      </c>
    </row>
    <row r="120" spans="1:8" x14ac:dyDescent="0.35">
      <c r="A120" s="23" t="s">
        <v>606</v>
      </c>
      <c r="B120" s="24">
        <f>SUMIF('Raw June'!B:B,'TB 0625'!A120,'Raw June'!C:C)</f>
        <v>0</v>
      </c>
      <c r="C120" s="24">
        <f>SUMIF('Raw June'!B:B,'TB 0625'!A120,'Raw June'!D:D)</f>
        <v>7500</v>
      </c>
      <c r="D120" s="24">
        <f>SUMIF('Raw June'!B:B,'TB 0625'!A120,'Raw June'!E:E)</f>
        <v>0</v>
      </c>
      <c r="E120" s="24">
        <f t="shared" si="3"/>
        <v>7500</v>
      </c>
      <c r="F120" s="24">
        <f t="shared" si="4"/>
        <v>7.5</v>
      </c>
      <c r="G120" s="22" t="s">
        <v>182</v>
      </c>
      <c r="H120" s="23" t="s">
        <v>43</v>
      </c>
    </row>
    <row r="121" spans="1:8" x14ac:dyDescent="0.35">
      <c r="A121" s="23" t="s">
        <v>239</v>
      </c>
      <c r="B121" s="24">
        <f>SUMIF('Raw June'!B:B,'TB 0625'!A121,'Raw June'!C:C)</f>
        <v>0</v>
      </c>
      <c r="C121" s="24">
        <f>SUMIF('Raw June'!B:B,'TB 0625'!A121,'Raw June'!D:D)</f>
        <v>238618</v>
      </c>
      <c r="D121" s="24">
        <f>SUMIF('Raw June'!B:B,'TB 0625'!A121,'Raw June'!E:E)</f>
        <v>0</v>
      </c>
      <c r="E121" s="24">
        <f t="shared" si="3"/>
        <v>238618</v>
      </c>
      <c r="F121" s="24">
        <f t="shared" si="4"/>
        <v>238.61799999999999</v>
      </c>
      <c r="G121" s="22" t="s">
        <v>182</v>
      </c>
      <c r="H121" s="23" t="s">
        <v>263</v>
      </c>
    </row>
    <row r="122" spans="1:8" x14ac:dyDescent="0.35">
      <c r="A122" s="23" t="s">
        <v>607</v>
      </c>
      <c r="B122" s="24">
        <f>SUMIF('Raw June'!B:B,'TB 0625'!A122,'Raw June'!C:C)</f>
        <v>0</v>
      </c>
      <c r="C122" s="24">
        <f>SUMIF('Raw June'!B:B,'TB 0625'!A122,'Raw June'!D:D)</f>
        <v>20021710.899999999</v>
      </c>
      <c r="D122" s="24">
        <f>SUMIF('Raw June'!B:B,'TB 0625'!A122,'Raw June'!E:E)</f>
        <v>667530</v>
      </c>
      <c r="E122" s="24">
        <f t="shared" si="3"/>
        <v>19354180.899999999</v>
      </c>
      <c r="F122" s="24">
        <f t="shared" si="4"/>
        <v>19354.180899999999</v>
      </c>
      <c r="G122" s="22" t="s">
        <v>182</v>
      </c>
    </row>
    <row r="123" spans="1:8" x14ac:dyDescent="0.35">
      <c r="A123" s="23" t="s">
        <v>608</v>
      </c>
      <c r="B123" s="24">
        <f>SUMIF('Raw June'!B:B,'TB 0625'!A123,'Raw June'!C:C)</f>
        <v>0</v>
      </c>
      <c r="C123" s="24">
        <f>SUMIF('Raw June'!B:B,'TB 0625'!A123,'Raw June'!D:D)</f>
        <v>1711928.22</v>
      </c>
      <c r="D123" s="24">
        <f>SUMIF('Raw June'!B:B,'TB 0625'!A123,'Raw June'!E:E)</f>
        <v>0</v>
      </c>
      <c r="E123" s="24">
        <f t="shared" si="3"/>
        <v>1711928.22</v>
      </c>
      <c r="F123" s="24">
        <f t="shared" si="4"/>
        <v>1711.92822</v>
      </c>
      <c r="G123" s="22" t="s">
        <v>182</v>
      </c>
      <c r="H123" s="23" t="s">
        <v>39</v>
      </c>
    </row>
    <row r="124" spans="1:8" x14ac:dyDescent="0.35">
      <c r="A124" s="23" t="s">
        <v>609</v>
      </c>
      <c r="B124" s="24">
        <f>SUMIF('Raw June'!B:B,'TB 0625'!A124,'Raw June'!C:C)</f>
        <v>0</v>
      </c>
      <c r="C124" s="24">
        <f>SUMIF('Raw June'!B:B,'TB 0625'!A124,'Raw June'!D:D)</f>
        <v>4026902.72</v>
      </c>
      <c r="D124" s="24">
        <f>SUMIF('Raw June'!B:B,'TB 0625'!A124,'Raw June'!E:E)</f>
        <v>0</v>
      </c>
      <c r="E124" s="24">
        <f t="shared" si="3"/>
        <v>4026902.72</v>
      </c>
      <c r="F124" s="24">
        <f t="shared" si="4"/>
        <v>4026.90272</v>
      </c>
      <c r="G124" s="22" t="s">
        <v>182</v>
      </c>
      <c r="H124" s="23" t="s">
        <v>33</v>
      </c>
    </row>
    <row r="125" spans="1:8" x14ac:dyDescent="0.35">
      <c r="A125" s="23" t="s">
        <v>972</v>
      </c>
      <c r="B125" s="24">
        <f>SUMIF('Raw June'!B:B,'TB 0625'!A125,'Raw June'!C:C)</f>
        <v>0</v>
      </c>
      <c r="C125" s="24">
        <f>SUMIF('Raw June'!B:B,'TB 0625'!A125,'Raw June'!D:D)</f>
        <v>10494.94</v>
      </c>
      <c r="D125" s="24">
        <f>SUMIF('Raw June'!B:B,'TB 0625'!A125,'Raw June'!E:E)</f>
        <v>0</v>
      </c>
      <c r="E125" s="24">
        <f t="shared" si="3"/>
        <v>10494.94</v>
      </c>
      <c r="F125" s="24">
        <f t="shared" si="4"/>
        <v>10.49494</v>
      </c>
      <c r="G125" s="22" t="s">
        <v>182</v>
      </c>
      <c r="H125" s="23" t="s">
        <v>42</v>
      </c>
    </row>
    <row r="126" spans="1:8" x14ac:dyDescent="0.35">
      <c r="A126" s="23" t="s">
        <v>610</v>
      </c>
      <c r="B126" s="24">
        <f>SUMIF('Raw June'!B:B,'TB 0625'!A126,'Raw June'!C:C)</f>
        <v>0</v>
      </c>
      <c r="C126" s="24">
        <f>SUMIF('Raw June'!B:B,'TB 0625'!A126,'Raw June'!D:D)</f>
        <v>694776.31</v>
      </c>
      <c r="D126" s="24">
        <f>SUMIF('Raw June'!B:B,'TB 0625'!A126,'Raw June'!E:E)</f>
        <v>5988</v>
      </c>
      <c r="E126" s="24">
        <f t="shared" si="3"/>
        <v>688788.31</v>
      </c>
      <c r="F126" s="24">
        <f t="shared" si="4"/>
        <v>688.78831000000002</v>
      </c>
      <c r="G126" s="22" t="s">
        <v>182</v>
      </c>
      <c r="H126" s="23" t="s">
        <v>31</v>
      </c>
    </row>
    <row r="127" spans="1:8" x14ac:dyDescent="0.35">
      <c r="A127" s="23" t="s">
        <v>611</v>
      </c>
      <c r="B127" s="24">
        <f>SUMIF('Raw June'!B:B,'TB 0625'!A127,'Raw June'!C:C)</f>
        <v>0</v>
      </c>
      <c r="C127" s="24">
        <f>SUMIF('Raw June'!B:B,'TB 0625'!A127,'Raw June'!D:D)</f>
        <v>673200</v>
      </c>
      <c r="D127" s="24">
        <f>SUMIF('Raw June'!B:B,'TB 0625'!A127,'Raw June'!E:E)</f>
        <v>120000</v>
      </c>
      <c r="E127" s="24">
        <f t="shared" si="3"/>
        <v>553200</v>
      </c>
      <c r="F127" s="24">
        <f t="shared" si="4"/>
        <v>553.20000000000005</v>
      </c>
      <c r="G127" s="22" t="s">
        <v>182</v>
      </c>
      <c r="H127" s="23" t="s">
        <v>31</v>
      </c>
    </row>
    <row r="128" spans="1:8" x14ac:dyDescent="0.35">
      <c r="A128" s="23" t="s">
        <v>867</v>
      </c>
      <c r="B128" s="24">
        <f>SUMIF('Raw June'!B:B,'TB 0625'!A128,'Raw June'!C:C)</f>
        <v>0</v>
      </c>
      <c r="C128" s="24">
        <f>SUMIF('Raw June'!B:B,'TB 0625'!A128,'Raw June'!D:D)</f>
        <v>10378</v>
      </c>
      <c r="D128" s="24">
        <f>SUMIF('Raw June'!B:B,'TB 0625'!A128,'Raw June'!E:E)</f>
        <v>0</v>
      </c>
      <c r="E128" s="24">
        <f t="shared" si="3"/>
        <v>10378</v>
      </c>
      <c r="F128" s="24">
        <f t="shared" si="4"/>
        <v>10.378</v>
      </c>
      <c r="G128" s="22" t="s">
        <v>182</v>
      </c>
      <c r="H128" s="23" t="s">
        <v>417</v>
      </c>
    </row>
    <row r="129" spans="1:8" x14ac:dyDescent="0.35">
      <c r="A129" s="23" t="s">
        <v>616</v>
      </c>
      <c r="B129" s="24">
        <f>SUMIF('Raw June'!B:B,'TB 0625'!A129,'Raw June'!C:C)</f>
        <v>0</v>
      </c>
      <c r="C129" s="24">
        <f>SUMIF('Raw June'!B:B,'TB 0625'!A129,'Raw June'!D:D)</f>
        <v>0</v>
      </c>
      <c r="D129" s="24">
        <f>SUMIF('Raw June'!B:B,'TB 0625'!A129,'Raw June'!E:E)</f>
        <v>0</v>
      </c>
      <c r="E129" s="24">
        <f>B129+C129-D129</f>
        <v>0</v>
      </c>
      <c r="F129" s="24">
        <f t="shared" si="4"/>
        <v>0</v>
      </c>
      <c r="G129" s="22" t="s">
        <v>180</v>
      </c>
      <c r="H129" s="23" t="s">
        <v>69</v>
      </c>
    </row>
    <row r="130" spans="1:8" x14ac:dyDescent="0.35">
      <c r="A130" s="23" t="s">
        <v>295</v>
      </c>
      <c r="B130" s="24">
        <f>SUMIF('Raw June'!B:B,'TB 0625'!A130,'Raw June'!C:C)</f>
        <v>0</v>
      </c>
      <c r="C130" s="24">
        <f>SUMIF('Raw June'!B:B,'TB 0625'!A130,'Raw June'!D:D)</f>
        <v>1718735</v>
      </c>
      <c r="D130" s="24">
        <f>SUMIF('Raw June'!B:B,'TB 0625'!A130,'Raw June'!E:E)</f>
        <v>3938554.39</v>
      </c>
      <c r="E130" s="24">
        <f t="shared" ref="E130:E135" si="5">B130+C130-D130</f>
        <v>-2219819.39</v>
      </c>
      <c r="F130" s="24">
        <f t="shared" ref="F130:F135" si="6">E130/10^3</f>
        <v>-2219.8193900000001</v>
      </c>
      <c r="G130" s="22" t="s">
        <v>184</v>
      </c>
      <c r="H130" s="23" t="s">
        <v>25</v>
      </c>
    </row>
    <row r="131" spans="1:8" x14ac:dyDescent="0.35">
      <c r="A131" s="23" t="s">
        <v>316</v>
      </c>
      <c r="B131" s="24">
        <f>SUMIF('Raw June'!B:B,'TB 0625'!A131,'Raw June'!C:C)</f>
        <v>0</v>
      </c>
      <c r="C131" s="24">
        <f>SUMIF('Raw June'!B:B,'TB 0625'!A131,'Raw June'!D:D)</f>
        <v>5339789</v>
      </c>
      <c r="D131" s="24">
        <f>SUMIF('Raw June'!B:B,'TB 0625'!A131,'Raw June'!E:E)</f>
        <v>0</v>
      </c>
      <c r="E131" s="24">
        <f t="shared" si="5"/>
        <v>5339789</v>
      </c>
      <c r="F131" s="24">
        <f t="shared" si="6"/>
        <v>5339.7889999999998</v>
      </c>
      <c r="G131" s="22" t="s">
        <v>184</v>
      </c>
    </row>
    <row r="132" spans="1:8" x14ac:dyDescent="0.35">
      <c r="A132" s="23" t="s">
        <v>303</v>
      </c>
      <c r="B132" s="24">
        <f>SUMIF('Raw June'!B:B,'TB 0625'!A132,'Raw June'!C:C)</f>
        <v>0</v>
      </c>
      <c r="C132" s="24">
        <f>SUMIF('Raw June'!B:B,'TB 0625'!A132,'Raw June'!D:D)</f>
        <v>0</v>
      </c>
      <c r="D132" s="24">
        <f>SUMIF('Raw June'!B:B,'TB 0625'!A132,'Raw June'!E:E)</f>
        <v>7433330.9100000001</v>
      </c>
      <c r="E132" s="24">
        <f t="shared" si="5"/>
        <v>-7433330.9100000001</v>
      </c>
      <c r="F132" s="24">
        <f t="shared" si="6"/>
        <v>-7433.3309100000006</v>
      </c>
      <c r="G132" s="22" t="s">
        <v>184</v>
      </c>
      <c r="H132" s="23" t="s">
        <v>25</v>
      </c>
    </row>
    <row r="133" spans="1:8" x14ac:dyDescent="0.35">
      <c r="A133" s="23" t="s">
        <v>619</v>
      </c>
      <c r="B133" s="24">
        <f>SUMIF('Raw June'!B:B,'TB 0625'!A133,'Raw June'!C:C)</f>
        <v>0</v>
      </c>
      <c r="C133" s="24">
        <f>SUMIF('Raw June'!B:B,'TB 0625'!A133,'Raw June'!D:D)</f>
        <v>236174</v>
      </c>
      <c r="D133" s="24">
        <f>SUMIF('Raw June'!B:B,'TB 0625'!A133,'Raw June'!E:E)</f>
        <v>1446688</v>
      </c>
      <c r="E133" s="24">
        <f t="shared" si="5"/>
        <v>-1210514</v>
      </c>
      <c r="F133" s="24">
        <f t="shared" si="6"/>
        <v>-1210.5139999999999</v>
      </c>
      <c r="G133" s="22" t="s">
        <v>182</v>
      </c>
      <c r="H133" s="23" t="s">
        <v>61</v>
      </c>
    </row>
    <row r="134" spans="1:8" x14ac:dyDescent="0.35">
      <c r="A134" s="23" t="s">
        <v>29</v>
      </c>
      <c r="B134" s="24">
        <f>SUMIF('Raw June'!B:B,'TB 0625'!A134,'Raw June'!C:C)</f>
        <v>0</v>
      </c>
      <c r="C134" s="24">
        <f>SUMIF('Raw June'!B:B,'TB 0625'!A134,'Raw June'!D:D)</f>
        <v>33763.14</v>
      </c>
      <c r="D134" s="24">
        <f>SUMIF('Raw June'!B:B,'TB 0625'!A134,'Raw June'!E:E)</f>
        <v>0</v>
      </c>
      <c r="E134" s="24">
        <f t="shared" si="5"/>
        <v>33763.14</v>
      </c>
      <c r="F134" s="24">
        <f t="shared" si="6"/>
        <v>33.76314</v>
      </c>
      <c r="G134" s="22" t="s">
        <v>182</v>
      </c>
      <c r="H134" s="23" t="s">
        <v>29</v>
      </c>
    </row>
    <row r="135" spans="1:8" x14ac:dyDescent="0.35">
      <c r="A135" s="23" t="s">
        <v>26</v>
      </c>
      <c r="B135" s="24">
        <f>SUMIF('Raw June'!B:B,'TB 0625'!A135,'Raw June'!C:C)</f>
        <v>0</v>
      </c>
      <c r="C135" s="24">
        <f>SUMIF('Raw June'!B:B,'TB 0625'!A135,'Raw June'!D:D)</f>
        <v>16064971.92</v>
      </c>
      <c r="D135" s="24">
        <f>SUMIF('Raw June'!B:B,'TB 0625'!A135,'Raw June'!E:E)</f>
        <v>0</v>
      </c>
      <c r="E135" s="24">
        <f t="shared" si="5"/>
        <v>16064971.92</v>
      </c>
      <c r="F135" s="24">
        <f t="shared" si="6"/>
        <v>16064.97192</v>
      </c>
      <c r="G135" s="22" t="s">
        <v>182</v>
      </c>
      <c r="H135" s="23" t="s">
        <v>26</v>
      </c>
    </row>
    <row r="136" spans="1:8" x14ac:dyDescent="0.35">
      <c r="A136" s="23" t="s">
        <v>1331</v>
      </c>
      <c r="B136" s="24">
        <f>SUMIF('Raw June'!B:B,'TB 0625'!A136,'Raw June'!C:C)</f>
        <v>-537758</v>
      </c>
      <c r="C136" s="24">
        <f>SUMIF('Raw June'!B:B,'TB 0625'!A136,'Raw June'!D:D)</f>
        <v>0</v>
      </c>
      <c r="D136" s="24">
        <f>SUMIF('Raw June'!B:B,'TB 0625'!A136,'Raw June'!E:E)</f>
        <v>272047</v>
      </c>
      <c r="E136" s="24">
        <f>B136+C136-D136</f>
        <v>-809805</v>
      </c>
      <c r="F136" s="24">
        <f>E136/10^3</f>
        <v>-809.80499999999995</v>
      </c>
      <c r="G136" s="22" t="s">
        <v>180</v>
      </c>
      <c r="H136" s="23" t="s">
        <v>68</v>
      </c>
    </row>
    <row r="137" spans="1:8" x14ac:dyDescent="0.35">
      <c r="A137" s="23" t="s">
        <v>1433</v>
      </c>
      <c r="B137" s="24">
        <f>SUMIF('Raw June'!B:B,'TB 0625'!A137,'Raw June'!C:C)</f>
        <v>-278166.59000000003</v>
      </c>
      <c r="C137" s="24">
        <f>SUMIF('Raw June'!B:B,'TB 0625'!A137,'Raw June'!D:D)</f>
        <v>0</v>
      </c>
      <c r="D137" s="24">
        <f>SUMIF('Raw June'!B:B,'TB 0625'!A137,'Raw June'!E:E)</f>
        <v>100257.36</v>
      </c>
      <c r="E137" s="24">
        <f t="shared" ref="E137:E143" si="7">B137+C137-D137</f>
        <v>-378423.95</v>
      </c>
      <c r="F137" s="24">
        <f t="shared" ref="F137:F143" si="8">E137/10^3</f>
        <v>-378.42394999999999</v>
      </c>
      <c r="G137" s="22" t="s">
        <v>181</v>
      </c>
      <c r="H137" s="23" t="s">
        <v>71</v>
      </c>
    </row>
    <row r="138" spans="1:8" x14ac:dyDescent="0.35">
      <c r="A138" s="23" t="s">
        <v>1427</v>
      </c>
      <c r="B138" s="24">
        <f>SUMIF('Raw June'!B:B,'TB 0625'!A138,'Raw June'!C:C)</f>
        <v>-48822</v>
      </c>
      <c r="C138" s="24">
        <f>SUMIF('Raw June'!B:B,'TB 0625'!A138,'Raw June'!D:D)</f>
        <v>0</v>
      </c>
      <c r="D138" s="24">
        <f>SUMIF('Raw June'!B:B,'TB 0625'!A138,'Raw June'!E:E)</f>
        <v>0</v>
      </c>
      <c r="E138" s="24">
        <f t="shared" si="7"/>
        <v>-48822</v>
      </c>
      <c r="F138" s="24">
        <f t="shared" si="8"/>
        <v>-48.822000000000003</v>
      </c>
      <c r="G138" s="22" t="s">
        <v>180</v>
      </c>
      <c r="H138" s="23" t="s">
        <v>68</v>
      </c>
    </row>
    <row r="139" spans="1:8" x14ac:dyDescent="0.35">
      <c r="A139" s="23" t="s">
        <v>1428</v>
      </c>
      <c r="B139" s="24">
        <f>SUMIF('Raw June'!B:B,'TB 0625'!A139,'Raw June'!C:C)</f>
        <v>81296.960000000006</v>
      </c>
      <c r="C139" s="24">
        <f>SUMIF('Raw June'!B:B,'TB 0625'!A139,'Raw June'!D:D)</f>
        <v>0</v>
      </c>
      <c r="D139" s="24">
        <f>SUMIF('Raw June'!B:B,'TB 0625'!A139,'Raw June'!E:E)</f>
        <v>0</v>
      </c>
      <c r="E139" s="24">
        <f t="shared" si="7"/>
        <v>81296.960000000006</v>
      </c>
      <c r="F139" s="24">
        <f t="shared" si="8"/>
        <v>81.296960000000013</v>
      </c>
      <c r="G139" s="22" t="s">
        <v>181</v>
      </c>
      <c r="H139" s="23" t="s">
        <v>79</v>
      </c>
    </row>
    <row r="140" spans="1:8" x14ac:dyDescent="0.35">
      <c r="A140" s="23" t="s">
        <v>426</v>
      </c>
      <c r="B140" s="24">
        <f>SUMIF('Raw June'!B:B,'TB 0625'!A140,'Raw June'!C:C)</f>
        <v>-390645</v>
      </c>
      <c r="C140" s="24">
        <f>SUMIF('Raw June'!B:B,'TB 0625'!A140,'Raw June'!D:D)</f>
        <v>0</v>
      </c>
      <c r="D140" s="24">
        <f>SUMIF('Raw June'!B:B,'TB 0625'!A140,'Raw June'!E:E)</f>
        <v>0</v>
      </c>
      <c r="E140" s="24">
        <f t="shared" si="7"/>
        <v>-390645</v>
      </c>
      <c r="F140" s="24">
        <f t="shared" si="8"/>
        <v>-390.64499999999998</v>
      </c>
      <c r="G140" s="22" t="s">
        <v>180</v>
      </c>
      <c r="H140" s="23" t="s">
        <v>68</v>
      </c>
    </row>
    <row r="141" spans="1:8" x14ac:dyDescent="0.35">
      <c r="A141" s="23" t="s">
        <v>1429</v>
      </c>
      <c r="B141" s="24">
        <f>SUMIF('Raw June'!B:B,'TB 0625'!A141,'Raw June'!C:C)</f>
        <v>-548984</v>
      </c>
      <c r="C141" s="24">
        <f>SUMIF('Raw June'!B:B,'TB 0625'!A141,'Raw June'!D:D)</f>
        <v>0</v>
      </c>
      <c r="D141" s="24">
        <f>SUMIF('Raw June'!B:B,'TB 0625'!A141,'Raw June'!E:E)</f>
        <v>0</v>
      </c>
      <c r="E141" s="24">
        <f t="shared" si="7"/>
        <v>-548984</v>
      </c>
      <c r="F141" s="24">
        <f t="shared" si="8"/>
        <v>-548.98400000000004</v>
      </c>
      <c r="G141" s="22" t="s">
        <v>180</v>
      </c>
      <c r="H141" s="23" t="s">
        <v>1371</v>
      </c>
    </row>
    <row r="142" spans="1:8" x14ac:dyDescent="0.35">
      <c r="A142" s="23" t="s">
        <v>1430</v>
      </c>
      <c r="B142" s="24">
        <f>SUMIF('Raw June'!B:B,'TB 0625'!A142,'Raw June'!C:C)</f>
        <v>-1269</v>
      </c>
      <c r="C142" s="24">
        <f>SUMIF('Raw June'!B:B,'TB 0625'!A142,'Raw June'!D:D)</f>
        <v>0</v>
      </c>
      <c r="D142" s="24">
        <f>SUMIF('Raw June'!B:B,'TB 0625'!A142,'Raw June'!E:E)</f>
        <v>0</v>
      </c>
      <c r="E142" s="24">
        <f t="shared" si="7"/>
        <v>-1269</v>
      </c>
      <c r="F142" s="24">
        <f t="shared" si="8"/>
        <v>-1.2689999999999999</v>
      </c>
      <c r="G142" s="22" t="s">
        <v>180</v>
      </c>
      <c r="H142" s="23" t="s">
        <v>69</v>
      </c>
    </row>
    <row r="143" spans="1:8" x14ac:dyDescent="0.35">
      <c r="A143" s="23" t="s">
        <v>1431</v>
      </c>
      <c r="B143" s="24">
        <f>SUMIF('Raw June'!B:B,'TB 0625'!A143,'Raw June'!C:C)</f>
        <v>-1245691</v>
      </c>
      <c r="C143" s="24">
        <f>SUMIF('Raw June'!B:B,'TB 0625'!A143,'Raw June'!D:D)</f>
        <v>0</v>
      </c>
      <c r="D143" s="24">
        <f>SUMIF('Raw June'!B:B,'TB 0625'!A143,'Raw June'!E:E)</f>
        <v>0</v>
      </c>
      <c r="E143" s="24">
        <f t="shared" si="7"/>
        <v>-1245691</v>
      </c>
      <c r="F143" s="24">
        <f t="shared" si="8"/>
        <v>-1245.691</v>
      </c>
      <c r="G143" s="22" t="s">
        <v>180</v>
      </c>
      <c r="H143" s="23" t="s">
        <v>64</v>
      </c>
    </row>
  </sheetData>
  <autoFilter ref="A2:M2" xr:uid="{18E99EFF-6DA0-43D0-A085-9EF429946044}"/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9349-E69E-4130-82B8-18F493AC189F}">
  <dimension ref="B2:N42"/>
  <sheetViews>
    <sheetView showGridLines="0" topLeftCell="A15" zoomScale="80" zoomScaleNormal="80" workbookViewId="0">
      <selection activeCell="I2" sqref="I2"/>
    </sheetView>
  </sheetViews>
  <sheetFormatPr defaultColWidth="9.1796875" defaultRowHeight="13" x14ac:dyDescent="0.3"/>
  <cols>
    <col min="1" max="1" width="3" style="2" customWidth="1"/>
    <col min="2" max="2" width="23.81640625" style="2" bestFit="1" customWidth="1"/>
    <col min="3" max="3" width="9.1796875" style="2" customWidth="1"/>
    <col min="4" max="4" width="15.453125" style="2" customWidth="1"/>
    <col min="5" max="5" width="9.1796875" style="2" bestFit="1" customWidth="1"/>
    <col min="6" max="6" width="15.453125" style="2" bestFit="1" customWidth="1"/>
    <col min="7" max="7" width="9.1796875" style="2" bestFit="1" customWidth="1"/>
    <col min="8" max="8" width="15.453125" style="2" bestFit="1" customWidth="1"/>
    <col min="9" max="9" width="9.1796875" style="2" bestFit="1" customWidth="1"/>
    <col min="10" max="10" width="15.453125" style="2" bestFit="1" customWidth="1"/>
    <col min="11" max="11" width="9.1796875" style="2" bestFit="1" customWidth="1"/>
    <col min="12" max="12" width="15.453125" style="2" bestFit="1" customWidth="1"/>
    <col min="13" max="16384" width="9.1796875" style="2"/>
  </cols>
  <sheetData>
    <row r="2" spans="2:13" x14ac:dyDescent="0.3">
      <c r="B2" s="256" t="s">
        <v>1267</v>
      </c>
      <c r="C2" s="257" t="s">
        <v>1269</v>
      </c>
      <c r="D2" s="52">
        <v>45778</v>
      </c>
      <c r="E2" s="258" t="s">
        <v>1269</v>
      </c>
      <c r="F2" s="220">
        <v>45809</v>
      </c>
      <c r="G2" s="258" t="s">
        <v>1269</v>
      </c>
      <c r="H2" s="220">
        <v>45839</v>
      </c>
      <c r="I2" s="258" t="s">
        <v>1269</v>
      </c>
      <c r="J2" s="220">
        <v>45870</v>
      </c>
      <c r="K2" s="258" t="s">
        <v>1269</v>
      </c>
      <c r="L2" s="220">
        <v>45901</v>
      </c>
      <c r="M2" s="242"/>
    </row>
    <row r="3" spans="2:13" s="7" customFormat="1" x14ac:dyDescent="0.3">
      <c r="B3" s="259"/>
      <c r="C3" s="260"/>
      <c r="D3" s="261"/>
      <c r="E3" s="262"/>
      <c r="F3" s="263"/>
      <c r="G3" s="262"/>
      <c r="H3" s="263"/>
      <c r="I3" s="262"/>
      <c r="J3" s="263"/>
      <c r="K3" s="262"/>
      <c r="L3" s="263"/>
      <c r="M3" s="264"/>
    </row>
    <row r="4" spans="2:13" x14ac:dyDescent="0.3">
      <c r="B4" s="265" t="s">
        <v>1273</v>
      </c>
      <c r="C4" s="266"/>
      <c r="D4" s="267"/>
      <c r="E4" s="243"/>
      <c r="F4" s="267"/>
      <c r="G4" s="243"/>
      <c r="H4" s="267"/>
      <c r="I4" s="243"/>
      <c r="J4" s="267"/>
      <c r="K4" s="243"/>
      <c r="L4" s="267"/>
      <c r="M4" s="242"/>
    </row>
    <row r="5" spans="2:13" x14ac:dyDescent="0.3">
      <c r="B5" s="8" t="s">
        <v>1274</v>
      </c>
      <c r="C5" s="268">
        <v>7</v>
      </c>
      <c r="D5" s="9">
        <f>4441700.33333333/1000</f>
        <v>4441.7003333333305</v>
      </c>
      <c r="E5" s="269">
        <f>C5</f>
        <v>7</v>
      </c>
      <c r="F5" s="9">
        <f>D5</f>
        <v>4441.7003333333305</v>
      </c>
      <c r="G5" s="269">
        <f>7-1</f>
        <v>6</v>
      </c>
      <c r="H5" s="9">
        <f>F5-(808333)/10^3</f>
        <v>3633.3673333333304</v>
      </c>
      <c r="I5" s="269">
        <f>G5-1</f>
        <v>5</v>
      </c>
      <c r="J5" s="9">
        <f>H5-(666667)/10^3</f>
        <v>2966.7003333333305</v>
      </c>
      <c r="K5" s="269">
        <f>I5-1</f>
        <v>4</v>
      </c>
      <c r="L5" s="9">
        <f>J5-(750000)/10^3</f>
        <v>2216.7003333333305</v>
      </c>
    </row>
    <row r="6" spans="2:13" x14ac:dyDescent="0.3">
      <c r="B6" s="8" t="s">
        <v>1275</v>
      </c>
      <c r="C6" s="104">
        <v>34</v>
      </c>
      <c r="D6" s="9">
        <f>3707352/1000</f>
        <v>3707.3519999999999</v>
      </c>
      <c r="E6" s="246">
        <f t="shared" ref="E6:L13" si="0">C6</f>
        <v>34</v>
      </c>
      <c r="F6" s="9">
        <f t="shared" si="0"/>
        <v>3707.3519999999999</v>
      </c>
      <c r="G6" s="246">
        <f t="shared" si="0"/>
        <v>34</v>
      </c>
      <c r="H6" s="9">
        <f t="shared" si="0"/>
        <v>3707.3519999999999</v>
      </c>
      <c r="I6" s="246">
        <f t="shared" si="0"/>
        <v>34</v>
      </c>
      <c r="J6" s="9">
        <f t="shared" si="0"/>
        <v>3707.3519999999999</v>
      </c>
      <c r="K6" s="246">
        <f t="shared" si="0"/>
        <v>34</v>
      </c>
      <c r="L6" s="9">
        <f t="shared" si="0"/>
        <v>3707.3519999999999</v>
      </c>
    </row>
    <row r="7" spans="2:13" x14ac:dyDescent="0.3">
      <c r="B7" s="8" t="s">
        <v>1276</v>
      </c>
      <c r="C7" s="104">
        <v>17</v>
      </c>
      <c r="D7" s="9">
        <f>1894219/1000</f>
        <v>1894.2190000000001</v>
      </c>
      <c r="E7" s="246">
        <f t="shared" si="0"/>
        <v>17</v>
      </c>
      <c r="F7" s="9">
        <f t="shared" si="0"/>
        <v>1894.2190000000001</v>
      </c>
      <c r="G7" s="246">
        <f t="shared" si="0"/>
        <v>17</v>
      </c>
      <c r="H7" s="9">
        <f t="shared" si="0"/>
        <v>1894.2190000000001</v>
      </c>
      <c r="I7" s="246">
        <f t="shared" si="0"/>
        <v>17</v>
      </c>
      <c r="J7" s="9">
        <f t="shared" si="0"/>
        <v>1894.2190000000001</v>
      </c>
      <c r="K7" s="246">
        <f t="shared" si="0"/>
        <v>17</v>
      </c>
      <c r="L7" s="9">
        <f t="shared" si="0"/>
        <v>1894.2190000000001</v>
      </c>
      <c r="M7" s="62"/>
    </row>
    <row r="8" spans="2:13" x14ac:dyDescent="0.3">
      <c r="B8" s="8" t="s">
        <v>1277</v>
      </c>
      <c r="C8" s="104">
        <v>3</v>
      </c>
      <c r="D8" s="9">
        <f>466667/1000</f>
        <v>466.66699999999997</v>
      </c>
      <c r="E8" s="246">
        <f t="shared" si="0"/>
        <v>3</v>
      </c>
      <c r="F8" s="9">
        <f t="shared" si="0"/>
        <v>466.66699999999997</v>
      </c>
      <c r="G8" s="246">
        <f t="shared" si="0"/>
        <v>3</v>
      </c>
      <c r="H8" s="9">
        <f t="shared" si="0"/>
        <v>466.66699999999997</v>
      </c>
      <c r="I8" s="246">
        <f>G8</f>
        <v>3</v>
      </c>
      <c r="J8" s="9">
        <f>H8</f>
        <v>466.66699999999997</v>
      </c>
      <c r="K8" s="246">
        <f t="shared" si="0"/>
        <v>3</v>
      </c>
      <c r="L8" s="9">
        <f t="shared" si="0"/>
        <v>466.66699999999997</v>
      </c>
    </row>
    <row r="9" spans="2:13" x14ac:dyDescent="0.3">
      <c r="B9" s="8" t="s">
        <v>1278</v>
      </c>
      <c r="C9" s="104">
        <v>6</v>
      </c>
      <c r="D9" s="9">
        <f>1329167/1000</f>
        <v>1329.1669999999999</v>
      </c>
      <c r="E9" s="246">
        <f t="shared" si="0"/>
        <v>6</v>
      </c>
      <c r="F9" s="9">
        <f t="shared" si="0"/>
        <v>1329.1669999999999</v>
      </c>
      <c r="G9" s="246">
        <f t="shared" si="0"/>
        <v>6</v>
      </c>
      <c r="H9" s="9">
        <f t="shared" si="0"/>
        <v>1329.1669999999999</v>
      </c>
      <c r="I9" s="246">
        <f t="shared" si="0"/>
        <v>6</v>
      </c>
      <c r="J9" s="9">
        <f t="shared" si="0"/>
        <v>1329.1669999999999</v>
      </c>
      <c r="K9" s="246">
        <f t="shared" si="0"/>
        <v>6</v>
      </c>
      <c r="L9" s="9">
        <f t="shared" si="0"/>
        <v>1329.1669999999999</v>
      </c>
      <c r="M9" s="62"/>
    </row>
    <row r="10" spans="2:13" x14ac:dyDescent="0.3">
      <c r="B10" s="8" t="s">
        <v>1279</v>
      </c>
      <c r="C10" s="104">
        <v>2</v>
      </c>
      <c r="D10" s="9">
        <f>403667/1000</f>
        <v>403.66699999999997</v>
      </c>
      <c r="E10" s="246">
        <f t="shared" si="0"/>
        <v>2</v>
      </c>
      <c r="F10" s="9">
        <f t="shared" si="0"/>
        <v>403.66699999999997</v>
      </c>
      <c r="G10" s="246">
        <f t="shared" si="0"/>
        <v>2</v>
      </c>
      <c r="H10" s="9">
        <f t="shared" si="0"/>
        <v>403.66699999999997</v>
      </c>
      <c r="I10" s="246">
        <f t="shared" si="0"/>
        <v>2</v>
      </c>
      <c r="J10" s="9">
        <f t="shared" si="0"/>
        <v>403.66699999999997</v>
      </c>
      <c r="K10" s="246">
        <f t="shared" si="0"/>
        <v>2</v>
      </c>
      <c r="L10" s="9">
        <f t="shared" si="0"/>
        <v>403.66699999999997</v>
      </c>
    </row>
    <row r="11" spans="2:13" x14ac:dyDescent="0.3">
      <c r="B11" s="8" t="s">
        <v>1280</v>
      </c>
      <c r="C11" s="104">
        <v>5</v>
      </c>
      <c r="D11" s="9">
        <f>682401/1000</f>
        <v>682.40099999999995</v>
      </c>
      <c r="E11" s="246">
        <f t="shared" si="0"/>
        <v>5</v>
      </c>
      <c r="F11" s="9">
        <f t="shared" si="0"/>
        <v>682.40099999999995</v>
      </c>
      <c r="G11" s="246">
        <f t="shared" si="0"/>
        <v>5</v>
      </c>
      <c r="H11" s="9">
        <f t="shared" si="0"/>
        <v>682.40099999999995</v>
      </c>
      <c r="I11" s="246">
        <f t="shared" si="0"/>
        <v>5</v>
      </c>
      <c r="J11" s="9">
        <f t="shared" si="0"/>
        <v>682.40099999999995</v>
      </c>
      <c r="K11" s="246">
        <f t="shared" si="0"/>
        <v>5</v>
      </c>
      <c r="L11" s="9">
        <f t="shared" si="0"/>
        <v>682.40099999999995</v>
      </c>
    </row>
    <row r="12" spans="2:13" x14ac:dyDescent="0.3">
      <c r="B12" s="8" t="s">
        <v>1281</v>
      </c>
      <c r="C12" s="104">
        <v>2</v>
      </c>
      <c r="D12" s="9">
        <f>578800/1000</f>
        <v>578.79999999999995</v>
      </c>
      <c r="E12" s="246">
        <f t="shared" si="0"/>
        <v>2</v>
      </c>
      <c r="F12" s="9">
        <f t="shared" si="0"/>
        <v>578.79999999999995</v>
      </c>
      <c r="G12" s="246">
        <f t="shared" si="0"/>
        <v>2</v>
      </c>
      <c r="H12" s="9">
        <f t="shared" si="0"/>
        <v>578.79999999999995</v>
      </c>
      <c r="I12" s="246">
        <f t="shared" si="0"/>
        <v>2</v>
      </c>
      <c r="J12" s="9">
        <f t="shared" si="0"/>
        <v>578.79999999999995</v>
      </c>
      <c r="K12" s="246">
        <f t="shared" si="0"/>
        <v>2</v>
      </c>
      <c r="L12" s="9">
        <f t="shared" si="0"/>
        <v>578.79999999999995</v>
      </c>
    </row>
    <row r="13" spans="2:13" x14ac:dyDescent="0.3">
      <c r="B13" s="8" t="s">
        <v>1282</v>
      </c>
      <c r="C13" s="270">
        <v>1</v>
      </c>
      <c r="D13" s="9">
        <f>291667/1000</f>
        <v>291.66699999999997</v>
      </c>
      <c r="E13" s="271">
        <f t="shared" si="0"/>
        <v>1</v>
      </c>
      <c r="F13" s="28">
        <f t="shared" si="0"/>
        <v>291.66699999999997</v>
      </c>
      <c r="G13" s="271">
        <f t="shared" si="0"/>
        <v>1</v>
      </c>
      <c r="H13" s="28">
        <f t="shared" si="0"/>
        <v>291.66699999999997</v>
      </c>
      <c r="I13" s="271">
        <f t="shared" si="0"/>
        <v>1</v>
      </c>
      <c r="J13" s="28">
        <f t="shared" si="0"/>
        <v>291.66699999999997</v>
      </c>
      <c r="K13" s="271">
        <f t="shared" si="0"/>
        <v>1</v>
      </c>
      <c r="L13" s="28">
        <f t="shared" si="0"/>
        <v>291.66699999999997</v>
      </c>
    </row>
    <row r="14" spans="2:13" x14ac:dyDescent="0.3">
      <c r="B14" s="247" t="s">
        <v>277</v>
      </c>
      <c r="C14" s="249">
        <f t="shared" ref="C14:L14" si="1">SUM(C5:C13)</f>
        <v>77</v>
      </c>
      <c r="D14" s="250">
        <f t="shared" si="1"/>
        <v>13795.640333333327</v>
      </c>
      <c r="E14" s="272">
        <f t="shared" si="1"/>
        <v>77</v>
      </c>
      <c r="F14" s="250">
        <f t="shared" si="1"/>
        <v>13795.640333333327</v>
      </c>
      <c r="G14" s="272">
        <f t="shared" si="1"/>
        <v>76</v>
      </c>
      <c r="H14" s="250">
        <f t="shared" si="1"/>
        <v>12987.307333333329</v>
      </c>
      <c r="I14" s="272">
        <f t="shared" si="1"/>
        <v>75</v>
      </c>
      <c r="J14" s="250">
        <f t="shared" si="1"/>
        <v>12320.640333333327</v>
      </c>
      <c r="K14" s="272">
        <f t="shared" si="1"/>
        <v>74</v>
      </c>
      <c r="L14" s="250">
        <f t="shared" si="1"/>
        <v>11570.640333333327</v>
      </c>
    </row>
    <row r="15" spans="2:13" x14ac:dyDescent="0.3">
      <c r="B15" s="8"/>
      <c r="C15" s="35"/>
      <c r="D15" s="36"/>
      <c r="F15" s="36"/>
      <c r="H15" s="36"/>
      <c r="J15" s="36"/>
      <c r="L15" s="36"/>
    </row>
    <row r="16" spans="2:13" x14ac:dyDescent="0.3">
      <c r="B16" s="273" t="s">
        <v>1283</v>
      </c>
      <c r="C16" s="266"/>
      <c r="D16" s="274"/>
      <c r="E16" s="244"/>
      <c r="F16" s="274"/>
      <c r="G16" s="244"/>
      <c r="H16" s="274"/>
      <c r="I16" s="244"/>
      <c r="J16" s="274"/>
      <c r="K16" s="244"/>
      <c r="L16" s="274"/>
    </row>
    <row r="17" spans="2:14" x14ac:dyDescent="0.3">
      <c r="B17" s="8" t="s">
        <v>1274</v>
      </c>
      <c r="C17" s="275">
        <v>0</v>
      </c>
      <c r="D17" s="276">
        <v>0</v>
      </c>
      <c r="E17" s="277">
        <v>0</v>
      </c>
      <c r="F17" s="276">
        <v>0</v>
      </c>
      <c r="G17" s="277">
        <v>1</v>
      </c>
      <c r="H17" s="276">
        <f>G17*625</f>
        <v>625</v>
      </c>
      <c r="I17" s="277">
        <v>4</v>
      </c>
      <c r="J17" s="276">
        <f>I17*750</f>
        <v>3000</v>
      </c>
      <c r="K17" s="277">
        <v>4</v>
      </c>
      <c r="L17" s="276">
        <f>K17*750</f>
        <v>3000</v>
      </c>
    </row>
    <row r="18" spans="2:14" x14ac:dyDescent="0.3">
      <c r="B18" s="8" t="s">
        <v>1275</v>
      </c>
      <c r="C18" s="275">
        <v>0</v>
      </c>
      <c r="D18" s="252">
        <v>0</v>
      </c>
      <c r="E18" s="251">
        <v>5</v>
      </c>
      <c r="F18" s="252">
        <f>E18*120</f>
        <v>600</v>
      </c>
      <c r="G18" s="251">
        <v>10</v>
      </c>
      <c r="H18" s="252">
        <f>G18*150</f>
        <v>1500</v>
      </c>
      <c r="I18" s="251">
        <v>18</v>
      </c>
      <c r="J18" s="252">
        <f>I18*150</f>
        <v>2700</v>
      </c>
      <c r="K18" s="251">
        <v>24</v>
      </c>
      <c r="L18" s="252">
        <f>K18*160</f>
        <v>3840</v>
      </c>
    </row>
    <row r="19" spans="2:14" x14ac:dyDescent="0.3">
      <c r="B19" s="8" t="s">
        <v>1276</v>
      </c>
      <c r="C19" s="275">
        <v>0</v>
      </c>
      <c r="D19" s="252">
        <v>0</v>
      </c>
      <c r="E19" s="251">
        <v>6</v>
      </c>
      <c r="F19" s="252">
        <f>E19*150</f>
        <v>900</v>
      </c>
      <c r="G19" s="251">
        <v>6</v>
      </c>
      <c r="H19" s="252">
        <f>G19*120</f>
        <v>720</v>
      </c>
      <c r="I19" s="251">
        <v>7</v>
      </c>
      <c r="J19" s="252">
        <f>I19*120</f>
        <v>840</v>
      </c>
      <c r="K19" s="251">
        <v>8</v>
      </c>
      <c r="L19" s="252">
        <f>K19*120</f>
        <v>960</v>
      </c>
      <c r="M19" s="62"/>
    </row>
    <row r="20" spans="2:14" x14ac:dyDescent="0.3">
      <c r="B20" s="8" t="s">
        <v>1277</v>
      </c>
      <c r="C20" s="275">
        <v>0</v>
      </c>
      <c r="D20" s="252">
        <v>0</v>
      </c>
      <c r="E20" s="251">
        <v>0</v>
      </c>
      <c r="F20" s="252">
        <v>0</v>
      </c>
      <c r="G20" s="251">
        <v>0</v>
      </c>
      <c r="H20" s="252">
        <f>G20*225</f>
        <v>0</v>
      </c>
      <c r="I20" s="251">
        <v>2</v>
      </c>
      <c r="J20" s="252">
        <f>I20*280</f>
        <v>560</v>
      </c>
      <c r="K20" s="251">
        <v>2</v>
      </c>
      <c r="L20" s="252">
        <f>K20*280</f>
        <v>560</v>
      </c>
    </row>
    <row r="21" spans="2:14" x14ac:dyDescent="0.3">
      <c r="B21" s="8" t="s">
        <v>1278</v>
      </c>
      <c r="C21" s="275">
        <v>0</v>
      </c>
      <c r="D21" s="252">
        <v>0</v>
      </c>
      <c r="E21" s="251">
        <v>1</v>
      </c>
      <c r="F21" s="252">
        <f>E21*300</f>
        <v>300</v>
      </c>
      <c r="G21" s="251">
        <v>7</v>
      </c>
      <c r="H21" s="252">
        <f>G21*300</f>
        <v>2100</v>
      </c>
      <c r="I21" s="251">
        <v>12</v>
      </c>
      <c r="J21" s="252">
        <f>I21*300</f>
        <v>3600</v>
      </c>
      <c r="K21" s="251">
        <v>18</v>
      </c>
      <c r="L21" s="252">
        <f>K21*300</f>
        <v>5400</v>
      </c>
      <c r="N21" s="61"/>
    </row>
    <row r="22" spans="2:14" x14ac:dyDescent="0.3">
      <c r="B22" s="8" t="s">
        <v>1279</v>
      </c>
      <c r="C22" s="275">
        <v>0</v>
      </c>
      <c r="D22" s="252">
        <v>0</v>
      </c>
      <c r="E22" s="251">
        <v>0</v>
      </c>
      <c r="F22" s="252">
        <f>0/1000</f>
        <v>0</v>
      </c>
      <c r="G22" s="251">
        <v>1</v>
      </c>
      <c r="H22" s="252">
        <f>G22*150</f>
        <v>150</v>
      </c>
      <c r="I22" s="251">
        <v>3</v>
      </c>
      <c r="J22" s="252">
        <f>I22*150</f>
        <v>450</v>
      </c>
      <c r="K22" s="251">
        <v>3</v>
      </c>
      <c r="L22" s="252">
        <f>K22*150</f>
        <v>450</v>
      </c>
    </row>
    <row r="23" spans="2:14" x14ac:dyDescent="0.3">
      <c r="B23" s="8" t="s">
        <v>1280</v>
      </c>
      <c r="C23" s="275">
        <v>0</v>
      </c>
      <c r="D23" s="252">
        <v>0</v>
      </c>
      <c r="E23" s="251">
        <v>2</v>
      </c>
      <c r="F23" s="252">
        <f>E23*100</f>
        <v>200</v>
      </c>
      <c r="G23" s="251">
        <v>2</v>
      </c>
      <c r="H23" s="252">
        <f>G23*125</f>
        <v>250</v>
      </c>
      <c r="I23" s="251">
        <v>5</v>
      </c>
      <c r="J23" s="252">
        <f>I23*125</f>
        <v>625</v>
      </c>
      <c r="K23" s="251">
        <v>6</v>
      </c>
      <c r="L23" s="252">
        <f>K23*175</f>
        <v>1050</v>
      </c>
    </row>
    <row r="24" spans="2:14" x14ac:dyDescent="0.3">
      <c r="B24" s="8" t="s">
        <v>1281</v>
      </c>
      <c r="C24" s="275">
        <v>0</v>
      </c>
      <c r="D24" s="252">
        <v>0</v>
      </c>
      <c r="E24" s="251">
        <v>0</v>
      </c>
      <c r="F24" s="252">
        <v>0</v>
      </c>
      <c r="G24" s="251">
        <v>4</v>
      </c>
      <c r="H24" s="252">
        <f>G24*300</f>
        <v>1200</v>
      </c>
      <c r="I24" s="251">
        <v>8</v>
      </c>
      <c r="J24" s="252">
        <f>I24*300</f>
        <v>2400</v>
      </c>
      <c r="K24" s="251">
        <v>10</v>
      </c>
      <c r="L24" s="252">
        <f>K24*300</f>
        <v>3000</v>
      </c>
    </row>
    <row r="25" spans="2:14" x14ac:dyDescent="0.3">
      <c r="B25" s="8" t="s">
        <v>1282</v>
      </c>
      <c r="C25" s="275">
        <v>0</v>
      </c>
      <c r="D25" s="252">
        <v>0</v>
      </c>
      <c r="E25" s="251">
        <v>0</v>
      </c>
      <c r="F25" s="252">
        <v>0</v>
      </c>
      <c r="G25" s="251">
        <v>0</v>
      </c>
      <c r="H25" s="252">
        <v>0</v>
      </c>
      <c r="I25" s="251">
        <v>1</v>
      </c>
      <c r="J25" s="252">
        <f>I25*100</f>
        <v>100</v>
      </c>
      <c r="K25" s="251">
        <v>1</v>
      </c>
      <c r="L25" s="252">
        <f>K25*100</f>
        <v>100</v>
      </c>
    </row>
    <row r="26" spans="2:14" x14ac:dyDescent="0.3">
      <c r="B26" s="247" t="s">
        <v>277</v>
      </c>
      <c r="C26" s="249">
        <f t="shared" ref="C26:L26" si="2">SUM(C17:C25)</f>
        <v>0</v>
      </c>
      <c r="D26" s="250">
        <f t="shared" si="2"/>
        <v>0</v>
      </c>
      <c r="E26" s="272">
        <f t="shared" si="2"/>
        <v>14</v>
      </c>
      <c r="F26" s="250">
        <f t="shared" si="2"/>
        <v>2000</v>
      </c>
      <c r="G26" s="272">
        <f t="shared" si="2"/>
        <v>31</v>
      </c>
      <c r="H26" s="250">
        <f t="shared" si="2"/>
        <v>6545</v>
      </c>
      <c r="I26" s="272">
        <f t="shared" si="2"/>
        <v>60</v>
      </c>
      <c r="J26" s="250">
        <f t="shared" si="2"/>
        <v>14275</v>
      </c>
      <c r="K26" s="272">
        <f t="shared" si="2"/>
        <v>76</v>
      </c>
      <c r="L26" s="250">
        <f t="shared" si="2"/>
        <v>18360</v>
      </c>
    </row>
    <row r="27" spans="2:14" x14ac:dyDescent="0.3">
      <c r="B27" s="278"/>
      <c r="C27" s="279"/>
      <c r="D27" s="55"/>
      <c r="E27" s="255"/>
      <c r="F27" s="55"/>
      <c r="G27" s="255"/>
      <c r="H27" s="55"/>
      <c r="I27" s="255"/>
      <c r="J27" s="55"/>
      <c r="K27" s="255"/>
      <c r="L27" s="55"/>
    </row>
    <row r="28" spans="2:14" x14ac:dyDescent="0.3">
      <c r="B28" s="273" t="s">
        <v>277</v>
      </c>
      <c r="C28" s="266"/>
      <c r="D28" s="274"/>
      <c r="E28" s="244"/>
      <c r="F28" s="274"/>
      <c r="G28" s="244"/>
      <c r="H28" s="274"/>
      <c r="I28" s="244"/>
      <c r="J28" s="274"/>
      <c r="K28" s="244"/>
      <c r="L28" s="274"/>
    </row>
    <row r="29" spans="2:14" x14ac:dyDescent="0.3">
      <c r="B29" s="8" t="s">
        <v>1274</v>
      </c>
      <c r="C29" s="268">
        <f t="shared" ref="C29:L37" si="3">C17+C5</f>
        <v>7</v>
      </c>
      <c r="D29" s="26">
        <f t="shared" si="3"/>
        <v>4441.7003333333305</v>
      </c>
      <c r="E29" s="269">
        <f t="shared" si="3"/>
        <v>7</v>
      </c>
      <c r="F29" s="26">
        <f t="shared" si="3"/>
        <v>4441.7003333333305</v>
      </c>
      <c r="G29" s="269">
        <f t="shared" si="3"/>
        <v>7</v>
      </c>
      <c r="H29" s="26">
        <f t="shared" si="3"/>
        <v>4258.36733333333</v>
      </c>
      <c r="I29" s="269">
        <f t="shared" si="3"/>
        <v>9</v>
      </c>
      <c r="J29" s="26">
        <f t="shared" si="3"/>
        <v>5966.7003333333305</v>
      </c>
      <c r="K29" s="269">
        <f t="shared" si="3"/>
        <v>8</v>
      </c>
      <c r="L29" s="26">
        <f t="shared" si="3"/>
        <v>5216.7003333333305</v>
      </c>
    </row>
    <row r="30" spans="2:14" x14ac:dyDescent="0.3">
      <c r="B30" s="8" t="s">
        <v>1275</v>
      </c>
      <c r="C30" s="104">
        <f t="shared" si="3"/>
        <v>34</v>
      </c>
      <c r="D30" s="9">
        <f t="shared" si="3"/>
        <v>3707.3519999999999</v>
      </c>
      <c r="E30" s="246">
        <f t="shared" si="3"/>
        <v>39</v>
      </c>
      <c r="F30" s="9">
        <f t="shared" si="3"/>
        <v>4307.3519999999999</v>
      </c>
      <c r="G30" s="246">
        <f t="shared" si="3"/>
        <v>44</v>
      </c>
      <c r="H30" s="9">
        <f t="shared" si="3"/>
        <v>5207.3519999999999</v>
      </c>
      <c r="I30" s="246">
        <f t="shared" si="3"/>
        <v>52</v>
      </c>
      <c r="J30" s="9">
        <f t="shared" si="3"/>
        <v>6407.3519999999999</v>
      </c>
      <c r="K30" s="246">
        <f t="shared" si="3"/>
        <v>58</v>
      </c>
      <c r="L30" s="9">
        <f t="shared" si="3"/>
        <v>7547.3519999999999</v>
      </c>
    </row>
    <row r="31" spans="2:14" x14ac:dyDescent="0.3">
      <c r="B31" s="8" t="s">
        <v>1276</v>
      </c>
      <c r="C31" s="104">
        <f t="shared" si="3"/>
        <v>17</v>
      </c>
      <c r="D31" s="9">
        <f t="shared" si="3"/>
        <v>1894.2190000000001</v>
      </c>
      <c r="E31" s="246">
        <f t="shared" si="3"/>
        <v>23</v>
      </c>
      <c r="F31" s="9">
        <f t="shared" si="3"/>
        <v>2794.2190000000001</v>
      </c>
      <c r="G31" s="246">
        <f t="shared" si="3"/>
        <v>23</v>
      </c>
      <c r="H31" s="9">
        <f t="shared" si="3"/>
        <v>2614.2190000000001</v>
      </c>
      <c r="I31" s="246">
        <f t="shared" si="3"/>
        <v>24</v>
      </c>
      <c r="J31" s="9">
        <f t="shared" si="3"/>
        <v>2734.2190000000001</v>
      </c>
      <c r="K31" s="246">
        <f t="shared" si="3"/>
        <v>25</v>
      </c>
      <c r="L31" s="9">
        <f t="shared" si="3"/>
        <v>2854.2190000000001</v>
      </c>
      <c r="M31" s="62"/>
    </row>
    <row r="32" spans="2:14" x14ac:dyDescent="0.3">
      <c r="B32" s="8" t="s">
        <v>1277</v>
      </c>
      <c r="C32" s="104">
        <f t="shared" si="3"/>
        <v>3</v>
      </c>
      <c r="D32" s="9">
        <f t="shared" si="3"/>
        <v>466.66699999999997</v>
      </c>
      <c r="E32" s="246">
        <f t="shared" si="3"/>
        <v>3</v>
      </c>
      <c r="F32" s="9">
        <f t="shared" si="3"/>
        <v>466.66699999999997</v>
      </c>
      <c r="G32" s="246">
        <f t="shared" si="3"/>
        <v>3</v>
      </c>
      <c r="H32" s="9">
        <f t="shared" si="3"/>
        <v>466.66699999999997</v>
      </c>
      <c r="I32" s="246">
        <f t="shared" si="3"/>
        <v>5</v>
      </c>
      <c r="J32" s="9">
        <f t="shared" si="3"/>
        <v>1026.6669999999999</v>
      </c>
      <c r="K32" s="246">
        <f t="shared" si="3"/>
        <v>5</v>
      </c>
      <c r="L32" s="9">
        <f t="shared" si="3"/>
        <v>1026.6669999999999</v>
      </c>
      <c r="M32" s="62"/>
    </row>
    <row r="33" spans="2:13" x14ac:dyDescent="0.3">
      <c r="B33" s="8" t="s">
        <v>1278</v>
      </c>
      <c r="C33" s="104">
        <f t="shared" si="3"/>
        <v>6</v>
      </c>
      <c r="D33" s="9">
        <f t="shared" si="3"/>
        <v>1329.1669999999999</v>
      </c>
      <c r="E33" s="246">
        <f t="shared" si="3"/>
        <v>7</v>
      </c>
      <c r="F33" s="9">
        <f t="shared" si="3"/>
        <v>1629.1669999999999</v>
      </c>
      <c r="G33" s="246">
        <f t="shared" si="3"/>
        <v>13</v>
      </c>
      <c r="H33" s="9">
        <f t="shared" si="3"/>
        <v>3429.1669999999999</v>
      </c>
      <c r="I33" s="246">
        <f t="shared" si="3"/>
        <v>18</v>
      </c>
      <c r="J33" s="9">
        <f t="shared" si="3"/>
        <v>4929.1669999999995</v>
      </c>
      <c r="K33" s="246">
        <f t="shared" si="3"/>
        <v>24</v>
      </c>
      <c r="L33" s="9">
        <f t="shared" si="3"/>
        <v>6729.1669999999995</v>
      </c>
      <c r="M33" s="62"/>
    </row>
    <row r="34" spans="2:13" x14ac:dyDescent="0.3">
      <c r="B34" s="8" t="s">
        <v>1279</v>
      </c>
      <c r="C34" s="104">
        <f t="shared" si="3"/>
        <v>2</v>
      </c>
      <c r="D34" s="9">
        <f t="shared" si="3"/>
        <v>403.66699999999997</v>
      </c>
      <c r="E34" s="246">
        <f t="shared" si="3"/>
        <v>2</v>
      </c>
      <c r="F34" s="9">
        <f t="shared" si="3"/>
        <v>403.66699999999997</v>
      </c>
      <c r="G34" s="246">
        <f t="shared" si="3"/>
        <v>3</v>
      </c>
      <c r="H34" s="9">
        <f t="shared" si="3"/>
        <v>553.66699999999992</v>
      </c>
      <c r="I34" s="246">
        <f t="shared" si="3"/>
        <v>5</v>
      </c>
      <c r="J34" s="9">
        <f t="shared" si="3"/>
        <v>853.66699999999992</v>
      </c>
      <c r="K34" s="246">
        <f t="shared" si="3"/>
        <v>5</v>
      </c>
      <c r="L34" s="9">
        <f t="shared" si="3"/>
        <v>853.66699999999992</v>
      </c>
    </row>
    <row r="35" spans="2:13" x14ac:dyDescent="0.3">
      <c r="B35" s="8" t="s">
        <v>1280</v>
      </c>
      <c r="C35" s="104">
        <f t="shared" si="3"/>
        <v>5</v>
      </c>
      <c r="D35" s="9">
        <f t="shared" si="3"/>
        <v>682.40099999999995</v>
      </c>
      <c r="E35" s="246">
        <f t="shared" si="3"/>
        <v>7</v>
      </c>
      <c r="F35" s="9">
        <f t="shared" si="3"/>
        <v>882.40099999999995</v>
      </c>
      <c r="G35" s="246">
        <f t="shared" si="3"/>
        <v>7</v>
      </c>
      <c r="H35" s="9">
        <f t="shared" si="3"/>
        <v>932.40099999999995</v>
      </c>
      <c r="I35" s="246">
        <f t="shared" si="3"/>
        <v>10</v>
      </c>
      <c r="J35" s="9">
        <f t="shared" si="3"/>
        <v>1307.4009999999998</v>
      </c>
      <c r="K35" s="246">
        <f t="shared" si="3"/>
        <v>11</v>
      </c>
      <c r="L35" s="9">
        <f t="shared" si="3"/>
        <v>1732.4009999999998</v>
      </c>
      <c r="M35" s="62"/>
    </row>
    <row r="36" spans="2:13" x14ac:dyDescent="0.3">
      <c r="B36" s="8" t="s">
        <v>1281</v>
      </c>
      <c r="C36" s="104">
        <f t="shared" si="3"/>
        <v>2</v>
      </c>
      <c r="D36" s="9">
        <f t="shared" si="3"/>
        <v>578.79999999999995</v>
      </c>
      <c r="E36" s="246">
        <f t="shared" si="3"/>
        <v>2</v>
      </c>
      <c r="F36" s="9">
        <f t="shared" si="3"/>
        <v>578.79999999999995</v>
      </c>
      <c r="G36" s="246">
        <f t="shared" si="3"/>
        <v>6</v>
      </c>
      <c r="H36" s="9">
        <f t="shared" si="3"/>
        <v>1778.8</v>
      </c>
      <c r="I36" s="246">
        <f t="shared" si="3"/>
        <v>10</v>
      </c>
      <c r="J36" s="9">
        <f t="shared" si="3"/>
        <v>2978.8</v>
      </c>
      <c r="K36" s="246">
        <f t="shared" si="3"/>
        <v>12</v>
      </c>
      <c r="L36" s="9">
        <f t="shared" si="3"/>
        <v>3578.8</v>
      </c>
      <c r="M36" s="62"/>
    </row>
    <row r="37" spans="2:13" x14ac:dyDescent="0.3">
      <c r="B37" s="20" t="s">
        <v>1282</v>
      </c>
      <c r="C37" s="270">
        <f t="shared" si="3"/>
        <v>1</v>
      </c>
      <c r="D37" s="28">
        <f t="shared" si="3"/>
        <v>291.66699999999997</v>
      </c>
      <c r="E37" s="271">
        <f t="shared" si="3"/>
        <v>1</v>
      </c>
      <c r="F37" s="28">
        <f t="shared" si="3"/>
        <v>291.66699999999997</v>
      </c>
      <c r="G37" s="271">
        <f t="shared" si="3"/>
        <v>1</v>
      </c>
      <c r="H37" s="28">
        <f t="shared" si="3"/>
        <v>291.66699999999997</v>
      </c>
      <c r="I37" s="271">
        <f t="shared" si="3"/>
        <v>2</v>
      </c>
      <c r="J37" s="28">
        <f t="shared" si="3"/>
        <v>391.66699999999997</v>
      </c>
      <c r="K37" s="271">
        <f t="shared" si="3"/>
        <v>2</v>
      </c>
      <c r="L37" s="28">
        <f t="shared" si="3"/>
        <v>391.66699999999997</v>
      </c>
      <c r="M37" s="62"/>
    </row>
    <row r="38" spans="2:13" x14ac:dyDescent="0.3">
      <c r="B38" s="247" t="s">
        <v>277</v>
      </c>
      <c r="C38" s="249">
        <f t="shared" ref="C38:L38" si="4">SUM(C29:C37)</f>
        <v>77</v>
      </c>
      <c r="D38" s="250">
        <f t="shared" si="4"/>
        <v>13795.640333333327</v>
      </c>
      <c r="E38" s="272">
        <f t="shared" si="4"/>
        <v>91</v>
      </c>
      <c r="F38" s="250">
        <f t="shared" si="4"/>
        <v>15795.640333333327</v>
      </c>
      <c r="G38" s="272">
        <f t="shared" si="4"/>
        <v>107</v>
      </c>
      <c r="H38" s="250">
        <f t="shared" si="4"/>
        <v>19532.307333333334</v>
      </c>
      <c r="I38" s="272">
        <f t="shared" si="4"/>
        <v>135</v>
      </c>
      <c r="J38" s="250">
        <f t="shared" si="4"/>
        <v>26595.640333333333</v>
      </c>
      <c r="K38" s="272">
        <f t="shared" si="4"/>
        <v>150</v>
      </c>
      <c r="L38" s="250">
        <f t="shared" si="4"/>
        <v>29930.640333333333</v>
      </c>
    </row>
    <row r="39" spans="2:13" x14ac:dyDescent="0.3">
      <c r="B39" s="8"/>
      <c r="C39" s="35"/>
      <c r="D39" s="36"/>
      <c r="F39" s="36"/>
      <c r="H39" s="36"/>
      <c r="J39" s="36"/>
      <c r="L39" s="36"/>
    </row>
    <row r="40" spans="2:13" x14ac:dyDescent="0.3">
      <c r="B40" s="273" t="s">
        <v>263</v>
      </c>
      <c r="C40" s="266"/>
      <c r="D40" s="274"/>
      <c r="E40" s="244"/>
      <c r="F40" s="274"/>
      <c r="G40" s="244"/>
      <c r="H40" s="274"/>
      <c r="I40" s="244"/>
      <c r="J40" s="274"/>
      <c r="K40" s="244"/>
      <c r="L40" s="274"/>
    </row>
    <row r="41" spans="2:13" x14ac:dyDescent="0.3">
      <c r="B41" s="280" t="s">
        <v>263</v>
      </c>
      <c r="C41" s="104"/>
      <c r="D41" s="9"/>
      <c r="E41" s="246"/>
      <c r="F41" s="9">
        <f>E26*45%*8.33%*(F26/E26)*12</f>
        <v>899.64</v>
      </c>
      <c r="G41" s="246">
        <v>0</v>
      </c>
      <c r="H41" s="9">
        <f>G26*10%*8.33%*(H26/G26)*12</f>
        <v>654.23820000000001</v>
      </c>
      <c r="I41" s="246">
        <v>0</v>
      </c>
      <c r="J41" s="9">
        <f>I26*10%*8.33%*(J26/I26)*12</f>
        <v>1426.9290000000001</v>
      </c>
      <c r="K41" s="246">
        <v>0</v>
      </c>
      <c r="L41" s="9">
        <f>K26*10%*8.33%*(L26/K26)*12</f>
        <v>1835.2656000000002</v>
      </c>
    </row>
    <row r="42" spans="2:13" x14ac:dyDescent="0.3">
      <c r="B42" s="247" t="s">
        <v>277</v>
      </c>
      <c r="C42" s="249"/>
      <c r="D42" s="250"/>
      <c r="E42" s="272">
        <f t="shared" ref="E42:L42" si="5">E41</f>
        <v>0</v>
      </c>
      <c r="F42" s="250">
        <f t="shared" si="5"/>
        <v>899.64</v>
      </c>
      <c r="G42" s="272">
        <f t="shared" si="5"/>
        <v>0</v>
      </c>
      <c r="H42" s="250">
        <f t="shared" si="5"/>
        <v>654.23820000000001</v>
      </c>
      <c r="I42" s="272">
        <f t="shared" si="5"/>
        <v>0</v>
      </c>
      <c r="J42" s="250">
        <f t="shared" si="5"/>
        <v>1426.9290000000001</v>
      </c>
      <c r="K42" s="272">
        <f t="shared" si="5"/>
        <v>0</v>
      </c>
      <c r="L42" s="250">
        <f t="shared" si="5"/>
        <v>1835.2656000000002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C762-6AED-4982-8769-5C30C5B025D6}">
  <dimension ref="A1:R21"/>
  <sheetViews>
    <sheetView showGridLines="0" zoomScale="80" zoomScaleNormal="80" workbookViewId="0">
      <selection activeCell="O22" sqref="O22"/>
    </sheetView>
  </sheetViews>
  <sheetFormatPr defaultColWidth="9.1796875" defaultRowHeight="13" x14ac:dyDescent="0.3"/>
  <cols>
    <col min="1" max="1" width="23.81640625" style="2" bestFit="1" customWidth="1"/>
    <col min="2" max="2" width="8.81640625" style="2" hidden="1" customWidth="1"/>
    <col min="3" max="3" width="9.1796875" style="2" customWidth="1"/>
    <col min="4" max="4" width="15.453125" style="2" customWidth="1"/>
    <col min="5" max="5" width="9.1796875" style="2" bestFit="1" customWidth="1"/>
    <col min="6" max="6" width="15.453125" style="2" bestFit="1" customWidth="1"/>
    <col min="7" max="7" width="9.1796875" style="2" bestFit="1" customWidth="1"/>
    <col min="8" max="8" width="15.453125" style="2" bestFit="1" customWidth="1"/>
    <col min="9" max="9" width="9.1796875" style="2" bestFit="1" customWidth="1"/>
    <col min="10" max="10" width="15.453125" style="2" bestFit="1" customWidth="1"/>
    <col min="11" max="11" width="9.1796875" style="2" bestFit="1" customWidth="1"/>
    <col min="12" max="12" width="15.453125" style="2" bestFit="1" customWidth="1"/>
    <col min="13" max="16384" width="9.1796875" style="2"/>
  </cols>
  <sheetData>
    <row r="1" spans="1:18" x14ac:dyDescent="0.3">
      <c r="A1" s="237" t="s">
        <v>1267</v>
      </c>
      <c r="B1" s="238" t="s">
        <v>1268</v>
      </c>
      <c r="C1" s="239" t="s">
        <v>1269</v>
      </c>
      <c r="D1" s="34">
        <v>45778</v>
      </c>
      <c r="E1" s="421" t="s">
        <v>1269</v>
      </c>
      <c r="F1" s="420">
        <v>45809</v>
      </c>
      <c r="G1" s="182" t="s">
        <v>1269</v>
      </c>
      <c r="H1" s="420">
        <v>45839</v>
      </c>
      <c r="I1" s="182" t="s">
        <v>1269</v>
      </c>
      <c r="J1" s="420">
        <v>45870</v>
      </c>
      <c r="K1" s="258" t="s">
        <v>1269</v>
      </c>
      <c r="L1" s="258">
        <v>45901</v>
      </c>
      <c r="M1" s="258" t="s">
        <v>1269</v>
      </c>
      <c r="N1" s="258">
        <v>45931</v>
      </c>
      <c r="O1" s="258" t="s">
        <v>1269</v>
      </c>
      <c r="P1" s="258">
        <v>45962</v>
      </c>
      <c r="Q1" s="258" t="s">
        <v>1269</v>
      </c>
      <c r="R1" s="258">
        <v>45992</v>
      </c>
    </row>
    <row r="2" spans="1:18" x14ac:dyDescent="0.3">
      <c r="A2" s="243" t="s">
        <v>1270</v>
      </c>
      <c r="C2" s="244"/>
      <c r="D2" s="245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</row>
    <row r="3" spans="1:18" x14ac:dyDescent="0.3">
      <c r="A3" s="8" t="s">
        <v>31</v>
      </c>
      <c r="B3" s="2" t="s">
        <v>1197</v>
      </c>
      <c r="C3" s="246">
        <v>19</v>
      </c>
      <c r="D3" s="9">
        <f>1077868/1000</f>
        <v>1077.8679999999999</v>
      </c>
      <c r="E3" s="246">
        <v>15</v>
      </c>
      <c r="F3" s="9">
        <v>597.14300000000003</v>
      </c>
      <c r="G3" s="246">
        <f>E17</f>
        <v>21</v>
      </c>
      <c r="H3" s="246">
        <f t="shared" ref="H3:I6" si="0">F17</f>
        <v>903.79399000000001</v>
      </c>
      <c r="I3" s="268">
        <f>G17</f>
        <v>27</v>
      </c>
      <c r="J3" s="9">
        <f t="shared" ref="J3:K6" si="1">H17</f>
        <v>1090.4651000000001</v>
      </c>
      <c r="K3" s="268">
        <f>I17</f>
        <v>27</v>
      </c>
      <c r="L3" s="9">
        <f t="shared" ref="L3:M6" si="2">J17</f>
        <v>1034.7429999999999</v>
      </c>
      <c r="M3" s="268">
        <f>K17</f>
        <v>35</v>
      </c>
      <c r="N3" s="9">
        <f t="shared" ref="N3:O6" si="3">L17</f>
        <v>1311.463</v>
      </c>
      <c r="O3" s="268">
        <f>M17</f>
        <v>45</v>
      </c>
      <c r="P3" s="9">
        <f t="shared" ref="P3:Q6" si="4">N17</f>
        <v>1611.463</v>
      </c>
      <c r="Q3" s="268">
        <f>O17</f>
        <v>53</v>
      </c>
      <c r="R3" s="9">
        <f>P17</f>
        <v>1851.463</v>
      </c>
    </row>
    <row r="4" spans="1:18" x14ac:dyDescent="0.3">
      <c r="A4" s="8" t="s">
        <v>34</v>
      </c>
      <c r="B4" s="2" t="s">
        <v>1197</v>
      </c>
      <c r="C4" s="246">
        <v>21</v>
      </c>
      <c r="D4" s="9">
        <f>640735/1000</f>
        <v>640.73500000000001</v>
      </c>
      <c r="E4" s="246">
        <v>20</v>
      </c>
      <c r="F4" s="9">
        <v>618.36200000000008</v>
      </c>
      <c r="G4" s="246">
        <f>E18</f>
        <v>20</v>
      </c>
      <c r="H4" s="246">
        <f t="shared" si="0"/>
        <v>579.48963000000015</v>
      </c>
      <c r="I4" s="104">
        <f t="shared" si="0"/>
        <v>23</v>
      </c>
      <c r="J4" s="9">
        <f t="shared" si="1"/>
        <v>634.91076999999996</v>
      </c>
      <c r="K4" s="104">
        <f t="shared" si="1"/>
        <v>24</v>
      </c>
      <c r="L4" s="9">
        <f t="shared" si="2"/>
        <v>732.91700000000003</v>
      </c>
      <c r="M4" s="104">
        <f t="shared" si="2"/>
        <v>32</v>
      </c>
      <c r="N4" s="9">
        <f t="shared" si="3"/>
        <v>964.34400000000005</v>
      </c>
      <c r="O4" s="104">
        <f t="shared" si="3"/>
        <v>52</v>
      </c>
      <c r="P4" s="9">
        <f t="shared" si="4"/>
        <v>1567.0590000000002</v>
      </c>
      <c r="Q4" s="104">
        <f t="shared" si="4"/>
        <v>52</v>
      </c>
      <c r="R4" s="9">
        <f>P18</f>
        <v>1567.0590000000002</v>
      </c>
    </row>
    <row r="5" spans="1:18" x14ac:dyDescent="0.3">
      <c r="A5" s="8" t="s">
        <v>33</v>
      </c>
      <c r="B5" s="2" t="s">
        <v>1197</v>
      </c>
      <c r="C5" s="246">
        <v>54</v>
      </c>
      <c r="D5" s="9">
        <f>1741146/1000</f>
        <v>1741.146</v>
      </c>
      <c r="E5" s="246">
        <v>61</v>
      </c>
      <c r="F5" s="9">
        <v>1459.4650000000001</v>
      </c>
      <c r="G5" s="246">
        <f>E19</f>
        <v>100</v>
      </c>
      <c r="H5" s="246">
        <f t="shared" si="0"/>
        <v>2647.9989399999986</v>
      </c>
      <c r="I5" s="104">
        <f t="shared" si="0"/>
        <v>113</v>
      </c>
      <c r="J5" s="9">
        <f t="shared" si="1"/>
        <v>3321.6445399999993</v>
      </c>
      <c r="K5" s="104">
        <f t="shared" si="1"/>
        <v>127</v>
      </c>
      <c r="L5" s="9">
        <f t="shared" si="2"/>
        <v>3759.9679999999998</v>
      </c>
      <c r="M5" s="104">
        <f t="shared" si="2"/>
        <v>193</v>
      </c>
      <c r="N5" s="9">
        <f t="shared" si="3"/>
        <v>6113.4539999999997</v>
      </c>
      <c r="O5" s="104">
        <f t="shared" si="3"/>
        <v>193</v>
      </c>
      <c r="P5" s="9">
        <f t="shared" si="4"/>
        <v>6113.4539999999997</v>
      </c>
      <c r="Q5" s="104">
        <f t="shared" si="4"/>
        <v>193</v>
      </c>
      <c r="R5" s="9">
        <f>P19</f>
        <v>6113.4539999999997</v>
      </c>
    </row>
    <row r="6" spans="1:18" x14ac:dyDescent="0.3">
      <c r="A6" s="8" t="s">
        <v>32</v>
      </c>
      <c r="B6" s="2" t="s">
        <v>1197</v>
      </c>
      <c r="C6" s="246">
        <v>46</v>
      </c>
      <c r="D6" s="9">
        <f>1614675/1000</f>
        <v>1614.675</v>
      </c>
      <c r="E6" s="246">
        <v>49</v>
      </c>
      <c r="F6" s="9">
        <v>1372.664</v>
      </c>
      <c r="G6" s="246">
        <f>E20</f>
        <v>60</v>
      </c>
      <c r="H6" s="246">
        <f t="shared" si="0"/>
        <v>1772.0916199999997</v>
      </c>
      <c r="I6" s="104">
        <f t="shared" si="0"/>
        <v>76</v>
      </c>
      <c r="J6" s="9">
        <f t="shared" si="1"/>
        <v>2814.7199399999995</v>
      </c>
      <c r="K6" s="104">
        <f t="shared" si="1"/>
        <v>128</v>
      </c>
      <c r="L6" s="9">
        <f t="shared" si="2"/>
        <v>4347.5069999999996</v>
      </c>
      <c r="M6" s="104">
        <f t="shared" si="2"/>
        <v>162</v>
      </c>
      <c r="N6" s="9">
        <f t="shared" si="3"/>
        <v>5405.6269999999995</v>
      </c>
      <c r="O6" s="104">
        <f t="shared" si="3"/>
        <v>177</v>
      </c>
      <c r="P6" s="9">
        <f t="shared" si="4"/>
        <v>5780.6269999999995</v>
      </c>
      <c r="Q6" s="104">
        <f t="shared" si="4"/>
        <v>182</v>
      </c>
      <c r="R6" s="9">
        <f>P20</f>
        <v>5905.6269999999995</v>
      </c>
    </row>
    <row r="7" spans="1:18" x14ac:dyDescent="0.3">
      <c r="A7" s="247" t="s">
        <v>277</v>
      </c>
      <c r="B7" s="248"/>
      <c r="C7" s="249">
        <f>SUM(C3:C6)</f>
        <v>140</v>
      </c>
      <c r="D7" s="250">
        <f>SUM(D3:D6)</f>
        <v>5074.424</v>
      </c>
      <c r="E7" s="249">
        <v>145</v>
      </c>
      <c r="F7" s="250">
        <v>4047.634</v>
      </c>
      <c r="G7" s="249">
        <v>201</v>
      </c>
      <c r="H7" s="272">
        <v>5903.3741799999989</v>
      </c>
      <c r="I7" s="249">
        <v>239</v>
      </c>
      <c r="J7" s="250">
        <v>7861.7403499999982</v>
      </c>
      <c r="K7" s="249">
        <f t="shared" ref="K7:R7" si="5">SUM(K3:K6)</f>
        <v>306</v>
      </c>
      <c r="L7" s="250">
        <f t="shared" si="5"/>
        <v>9875.1349999999984</v>
      </c>
      <c r="M7" s="249">
        <f t="shared" si="5"/>
        <v>422</v>
      </c>
      <c r="N7" s="250">
        <f t="shared" si="5"/>
        <v>13794.887999999999</v>
      </c>
      <c r="O7" s="249">
        <f t="shared" si="5"/>
        <v>467</v>
      </c>
      <c r="P7" s="250">
        <f t="shared" si="5"/>
        <v>15072.602999999999</v>
      </c>
      <c r="Q7" s="249">
        <f t="shared" si="5"/>
        <v>480</v>
      </c>
      <c r="R7" s="250">
        <f t="shared" si="5"/>
        <v>15437.602999999999</v>
      </c>
    </row>
    <row r="9" spans="1:18" x14ac:dyDescent="0.3">
      <c r="A9" s="243" t="s">
        <v>1271</v>
      </c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5"/>
      <c r="O9" s="243"/>
      <c r="P9" s="243"/>
      <c r="Q9" s="243"/>
      <c r="R9" s="243"/>
    </row>
    <row r="10" spans="1:18" x14ac:dyDescent="0.3">
      <c r="A10" s="8" t="s">
        <v>31</v>
      </c>
      <c r="C10" s="251">
        <v>0</v>
      </c>
      <c r="D10" s="252">
        <v>0</v>
      </c>
      <c r="E10" s="246">
        <v>6</v>
      </c>
      <c r="F10" s="9">
        <v>306.65098999999998</v>
      </c>
      <c r="G10" s="246">
        <v>6</v>
      </c>
      <c r="H10" s="9">
        <v>186.67111000000011</v>
      </c>
      <c r="I10" s="246"/>
      <c r="J10" s="9">
        <v>-55.722100000000182</v>
      </c>
      <c r="K10" s="418">
        <v>8</v>
      </c>
      <c r="L10" s="419">
        <v>276.72000000000003</v>
      </c>
      <c r="M10" s="418">
        <v>10</v>
      </c>
      <c r="N10" s="419">
        <f>M10*30</f>
        <v>300</v>
      </c>
      <c r="O10" s="418">
        <v>8</v>
      </c>
      <c r="P10" s="419">
        <f>O10*30</f>
        <v>240</v>
      </c>
      <c r="Q10" s="418">
        <v>5</v>
      </c>
      <c r="R10" s="419">
        <f>Q10*30</f>
        <v>150</v>
      </c>
    </row>
    <row r="11" spans="1:18" x14ac:dyDescent="0.3">
      <c r="A11" s="8" t="s">
        <v>34</v>
      </c>
      <c r="C11" s="251">
        <v>0</v>
      </c>
      <c r="D11" s="252">
        <v>0</v>
      </c>
      <c r="E11" s="246">
        <v>0</v>
      </c>
      <c r="F11" s="9">
        <v>-38.872369999999933</v>
      </c>
      <c r="G11" s="246">
        <v>3</v>
      </c>
      <c r="H11" s="9">
        <v>55.421139999999809</v>
      </c>
      <c r="I11" s="246">
        <v>1</v>
      </c>
      <c r="J11" s="9">
        <v>98.006230000000073</v>
      </c>
      <c r="K11" s="418">
        <v>8</v>
      </c>
      <c r="L11" s="419">
        <v>231.42699999999999</v>
      </c>
      <c r="M11" s="418">
        <v>20</v>
      </c>
      <c r="N11" s="419">
        <f>N4/M4*M11</f>
        <v>602.71500000000003</v>
      </c>
      <c r="O11" s="418">
        <v>0</v>
      </c>
      <c r="P11" s="419">
        <f>P4/O4*O11</f>
        <v>0</v>
      </c>
      <c r="Q11" s="418">
        <v>0</v>
      </c>
      <c r="R11" s="419">
        <f>R4/Q4*Q11</f>
        <v>0</v>
      </c>
    </row>
    <row r="12" spans="1:18" x14ac:dyDescent="0.3">
      <c r="A12" s="8" t="s">
        <v>33</v>
      </c>
      <c r="C12" s="251">
        <v>0</v>
      </c>
      <c r="D12" s="252">
        <v>0</v>
      </c>
      <c r="E12" s="246">
        <v>39</v>
      </c>
      <c r="F12" s="9">
        <v>1188.5339399999984</v>
      </c>
      <c r="G12" s="246">
        <v>13</v>
      </c>
      <c r="H12" s="9">
        <v>673.64560000000097</v>
      </c>
      <c r="I12" s="246">
        <v>14</v>
      </c>
      <c r="J12" s="9">
        <v>438.32346000000052</v>
      </c>
      <c r="K12" s="418">
        <v>66</v>
      </c>
      <c r="L12" s="419">
        <v>2353.4859999999999</v>
      </c>
      <c r="M12" s="418"/>
      <c r="N12" s="419"/>
      <c r="O12" s="418"/>
      <c r="P12" s="419"/>
      <c r="Q12" s="418"/>
      <c r="R12" s="419"/>
    </row>
    <row r="13" spans="1:18" x14ac:dyDescent="0.3">
      <c r="A13" s="8" t="s">
        <v>32</v>
      </c>
      <c r="C13" s="251">
        <v>0</v>
      </c>
      <c r="D13" s="252">
        <v>0</v>
      </c>
      <c r="E13" s="246">
        <v>11</v>
      </c>
      <c r="F13" s="9">
        <v>399.42761999999971</v>
      </c>
      <c r="G13" s="246">
        <v>16</v>
      </c>
      <c r="H13" s="9">
        <v>1042.6283199999998</v>
      </c>
      <c r="I13" s="246">
        <v>52</v>
      </c>
      <c r="J13" s="9">
        <v>1532.7870600000001</v>
      </c>
      <c r="K13" s="418">
        <v>34</v>
      </c>
      <c r="L13" s="419">
        <v>1058.1199999999999</v>
      </c>
      <c r="M13" s="418">
        <f>('[1]Key Metrics'!U8-'[1]Key Metrics'!T8)*1</f>
        <v>15</v>
      </c>
      <c r="N13" s="419">
        <f>M13*25</f>
        <v>375</v>
      </c>
      <c r="O13" s="418">
        <v>5</v>
      </c>
      <c r="P13" s="419">
        <f>O13*25</f>
        <v>125</v>
      </c>
      <c r="Q13" s="418">
        <v>5</v>
      </c>
      <c r="R13" s="419">
        <f>Q13*25</f>
        <v>125</v>
      </c>
    </row>
    <row r="14" spans="1:18" x14ac:dyDescent="0.3">
      <c r="A14" s="247" t="s">
        <v>277</v>
      </c>
      <c r="B14" s="248"/>
      <c r="C14" s="249">
        <f>SUM(C10:C13)</f>
        <v>0</v>
      </c>
      <c r="D14" s="250">
        <f>SUM(D10:D13)</f>
        <v>0</v>
      </c>
      <c r="E14" s="249">
        <v>56</v>
      </c>
      <c r="F14" s="250">
        <v>1855.7401799999982</v>
      </c>
      <c r="G14" s="249">
        <v>38</v>
      </c>
      <c r="H14" s="250">
        <v>1958.3661700000007</v>
      </c>
      <c r="I14" s="249">
        <v>67</v>
      </c>
      <c r="J14" s="250">
        <v>2013.3946500000006</v>
      </c>
      <c r="K14" s="249">
        <f t="shared" ref="K14:R14" si="6">SUM(K10:K13)</f>
        <v>116</v>
      </c>
      <c r="L14" s="250">
        <f t="shared" si="6"/>
        <v>3919.7529999999997</v>
      </c>
      <c r="M14" s="249">
        <f t="shared" si="6"/>
        <v>45</v>
      </c>
      <c r="N14" s="250">
        <f t="shared" si="6"/>
        <v>1277.7150000000001</v>
      </c>
      <c r="O14" s="249">
        <f t="shared" si="6"/>
        <v>13</v>
      </c>
      <c r="P14" s="250">
        <f t="shared" si="6"/>
        <v>365</v>
      </c>
      <c r="Q14" s="249">
        <f t="shared" si="6"/>
        <v>10</v>
      </c>
      <c r="R14" s="250">
        <f t="shared" si="6"/>
        <v>275</v>
      </c>
    </row>
    <row r="15" spans="1:18" x14ac:dyDescent="0.3">
      <c r="A15" s="253"/>
      <c r="C15" s="254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18" x14ac:dyDescent="0.3">
      <c r="A16" s="243" t="s">
        <v>1272</v>
      </c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</row>
    <row r="17" spans="1:18" x14ac:dyDescent="0.3">
      <c r="A17" s="8" t="s">
        <v>31</v>
      </c>
      <c r="C17" s="246">
        <f t="shared" ref="C17:R20" si="7">C10+C3</f>
        <v>19</v>
      </c>
      <c r="D17" s="9">
        <f t="shared" si="7"/>
        <v>1077.8679999999999</v>
      </c>
      <c r="E17" s="268">
        <f>E10+E3</f>
        <v>21</v>
      </c>
      <c r="F17" s="26">
        <f t="shared" ref="F17:R17" si="8">F10+F3</f>
        <v>903.79399000000001</v>
      </c>
      <c r="G17" s="268">
        <f t="shared" si="8"/>
        <v>27</v>
      </c>
      <c r="H17" s="26">
        <f t="shared" si="8"/>
        <v>1090.4651000000001</v>
      </c>
      <c r="I17" s="268">
        <f t="shared" si="8"/>
        <v>27</v>
      </c>
      <c r="J17" s="26">
        <f t="shared" si="8"/>
        <v>1034.7429999999999</v>
      </c>
      <c r="K17" s="268">
        <f t="shared" si="8"/>
        <v>35</v>
      </c>
      <c r="L17" s="26">
        <f t="shared" si="8"/>
        <v>1311.463</v>
      </c>
      <c r="M17" s="268">
        <f t="shared" si="8"/>
        <v>45</v>
      </c>
      <c r="N17" s="26">
        <f t="shared" si="8"/>
        <v>1611.463</v>
      </c>
      <c r="O17" s="268">
        <f t="shared" si="8"/>
        <v>53</v>
      </c>
      <c r="P17" s="26">
        <f t="shared" si="8"/>
        <v>1851.463</v>
      </c>
      <c r="Q17" s="268">
        <f t="shared" si="8"/>
        <v>58</v>
      </c>
      <c r="R17" s="26">
        <f t="shared" si="8"/>
        <v>2001.463</v>
      </c>
    </row>
    <row r="18" spans="1:18" x14ac:dyDescent="0.3">
      <c r="A18" s="8" t="s">
        <v>34</v>
      </c>
      <c r="C18" s="246">
        <f t="shared" si="7"/>
        <v>21</v>
      </c>
      <c r="D18" s="9">
        <f t="shared" si="7"/>
        <v>640.73500000000001</v>
      </c>
      <c r="E18" s="104">
        <f t="shared" si="7"/>
        <v>20</v>
      </c>
      <c r="F18" s="9">
        <f t="shared" si="7"/>
        <v>579.48963000000015</v>
      </c>
      <c r="G18" s="104">
        <f t="shared" si="7"/>
        <v>23</v>
      </c>
      <c r="H18" s="9">
        <f t="shared" si="7"/>
        <v>634.91076999999996</v>
      </c>
      <c r="I18" s="104">
        <f t="shared" si="7"/>
        <v>24</v>
      </c>
      <c r="J18" s="9">
        <f t="shared" si="7"/>
        <v>732.91700000000003</v>
      </c>
      <c r="K18" s="104">
        <f t="shared" si="7"/>
        <v>32</v>
      </c>
      <c r="L18" s="9">
        <f t="shared" si="7"/>
        <v>964.34400000000005</v>
      </c>
      <c r="M18" s="104">
        <f t="shared" si="7"/>
        <v>52</v>
      </c>
      <c r="N18" s="9">
        <f t="shared" si="7"/>
        <v>1567.0590000000002</v>
      </c>
      <c r="O18" s="104">
        <f t="shared" si="7"/>
        <v>52</v>
      </c>
      <c r="P18" s="9">
        <f t="shared" si="7"/>
        <v>1567.0590000000002</v>
      </c>
      <c r="Q18" s="104">
        <f t="shared" si="7"/>
        <v>52</v>
      </c>
      <c r="R18" s="9">
        <f t="shared" si="7"/>
        <v>1567.0590000000002</v>
      </c>
    </row>
    <row r="19" spans="1:18" x14ac:dyDescent="0.3">
      <c r="A19" s="8" t="s">
        <v>33</v>
      </c>
      <c r="C19" s="246">
        <f t="shared" si="7"/>
        <v>54</v>
      </c>
      <c r="D19" s="9">
        <f t="shared" si="7"/>
        <v>1741.146</v>
      </c>
      <c r="E19" s="104">
        <f t="shared" si="7"/>
        <v>100</v>
      </c>
      <c r="F19" s="9">
        <f t="shared" si="7"/>
        <v>2647.9989399999986</v>
      </c>
      <c r="G19" s="104">
        <f t="shared" si="7"/>
        <v>113</v>
      </c>
      <c r="H19" s="9">
        <f t="shared" si="7"/>
        <v>3321.6445399999993</v>
      </c>
      <c r="I19" s="104">
        <f t="shared" si="7"/>
        <v>127</v>
      </c>
      <c r="J19" s="9">
        <f t="shared" si="7"/>
        <v>3759.9679999999998</v>
      </c>
      <c r="K19" s="104">
        <f t="shared" si="7"/>
        <v>193</v>
      </c>
      <c r="L19" s="9">
        <f t="shared" si="7"/>
        <v>6113.4539999999997</v>
      </c>
      <c r="M19" s="104">
        <f t="shared" si="7"/>
        <v>193</v>
      </c>
      <c r="N19" s="9">
        <f t="shared" si="7"/>
        <v>6113.4539999999997</v>
      </c>
      <c r="O19" s="104">
        <f t="shared" si="7"/>
        <v>193</v>
      </c>
      <c r="P19" s="9">
        <f t="shared" si="7"/>
        <v>6113.4539999999997</v>
      </c>
      <c r="Q19" s="104">
        <f t="shared" si="7"/>
        <v>193</v>
      </c>
      <c r="R19" s="9">
        <f t="shared" si="7"/>
        <v>6113.4539999999997</v>
      </c>
    </row>
    <row r="20" spans="1:18" x14ac:dyDescent="0.3">
      <c r="A20" s="8" t="s">
        <v>32</v>
      </c>
      <c r="C20" s="246">
        <f t="shared" si="7"/>
        <v>46</v>
      </c>
      <c r="D20" s="9">
        <f t="shared" si="7"/>
        <v>1614.675</v>
      </c>
      <c r="E20" s="270">
        <f t="shared" si="7"/>
        <v>60</v>
      </c>
      <c r="F20" s="28">
        <f t="shared" si="7"/>
        <v>1772.0916199999997</v>
      </c>
      <c r="G20" s="270">
        <f t="shared" si="7"/>
        <v>76</v>
      </c>
      <c r="H20" s="28">
        <f t="shared" si="7"/>
        <v>2814.7199399999995</v>
      </c>
      <c r="I20" s="270">
        <f t="shared" si="7"/>
        <v>128</v>
      </c>
      <c r="J20" s="28">
        <f t="shared" si="7"/>
        <v>4347.5069999999996</v>
      </c>
      <c r="K20" s="270">
        <f t="shared" si="7"/>
        <v>162</v>
      </c>
      <c r="L20" s="28">
        <f t="shared" si="7"/>
        <v>5405.6269999999995</v>
      </c>
      <c r="M20" s="270">
        <f t="shared" si="7"/>
        <v>177</v>
      </c>
      <c r="N20" s="28">
        <f t="shared" si="7"/>
        <v>5780.6269999999995</v>
      </c>
      <c r="O20" s="270">
        <f t="shared" si="7"/>
        <v>182</v>
      </c>
      <c r="P20" s="28">
        <f t="shared" si="7"/>
        <v>5905.6269999999995</v>
      </c>
      <c r="Q20" s="270">
        <f t="shared" si="7"/>
        <v>187</v>
      </c>
      <c r="R20" s="28">
        <f t="shared" si="7"/>
        <v>6030.6269999999995</v>
      </c>
    </row>
    <row r="21" spans="1:18" x14ac:dyDescent="0.3">
      <c r="A21" s="247" t="s">
        <v>277</v>
      </c>
      <c r="B21" s="248"/>
      <c r="C21" s="249">
        <f>SUM(C17:C20)</f>
        <v>140</v>
      </c>
      <c r="D21" s="250">
        <f>SUM(D17:D20)</f>
        <v>5074.424</v>
      </c>
      <c r="E21" s="249">
        <v>201</v>
      </c>
      <c r="F21" s="250">
        <v>5903.3741799999989</v>
      </c>
      <c r="G21" s="249">
        <v>239</v>
      </c>
      <c r="H21" s="250">
        <v>7861.7403499999982</v>
      </c>
      <c r="I21" s="249">
        <v>306</v>
      </c>
      <c r="J21" s="250">
        <v>9875.1349999999984</v>
      </c>
      <c r="K21" s="249">
        <f t="shared" ref="K21:R21" si="9">SUM(K17:K20)</f>
        <v>422</v>
      </c>
      <c r="L21" s="250">
        <f t="shared" si="9"/>
        <v>13794.887999999999</v>
      </c>
      <c r="M21" s="249">
        <f t="shared" si="9"/>
        <v>467</v>
      </c>
      <c r="N21" s="250">
        <f t="shared" si="9"/>
        <v>15072.602999999999</v>
      </c>
      <c r="O21" s="249">
        <f t="shared" si="9"/>
        <v>480</v>
      </c>
      <c r="P21" s="250">
        <f t="shared" si="9"/>
        <v>15437.602999999999</v>
      </c>
      <c r="Q21" s="249">
        <f t="shared" si="9"/>
        <v>490</v>
      </c>
      <c r="R21" s="250">
        <f t="shared" si="9"/>
        <v>15712.602999999999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A02B-07B4-47C9-8C48-390605B020E2}">
  <sheetPr>
    <tabColor rgb="FFFF33CC"/>
  </sheetPr>
  <dimension ref="A1"/>
  <sheetViews>
    <sheetView showGridLines="0" workbookViewId="0">
      <selection activeCell="B25" sqref="B25"/>
    </sheetView>
  </sheetViews>
  <sheetFormatPr defaultRowHeight="14.5" x14ac:dyDescent="0.3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AA51-8DED-46B7-A2C7-674E4499375B}">
  <dimension ref="B2:Q55"/>
  <sheetViews>
    <sheetView showGridLines="0" zoomScale="70" zoomScaleNormal="70" workbookViewId="0">
      <selection activeCell="B2" sqref="B2"/>
    </sheetView>
  </sheetViews>
  <sheetFormatPr defaultRowHeight="14.5" x14ac:dyDescent="0.35"/>
  <cols>
    <col min="1" max="1" width="3.81640625" customWidth="1"/>
    <col min="2" max="2" width="28.81640625" customWidth="1"/>
    <col min="3" max="11" width="12.81640625" hidden="1" customWidth="1"/>
    <col min="12" max="17" width="12.81640625" customWidth="1"/>
  </cols>
  <sheetData>
    <row r="2" spans="2:17" x14ac:dyDescent="0.35">
      <c r="B2" s="25" t="s">
        <v>4</v>
      </c>
      <c r="C2" s="26">
        <v>1324</v>
      </c>
      <c r="D2" s="26">
        <v>1620</v>
      </c>
      <c r="E2" s="26">
        <v>2286</v>
      </c>
      <c r="F2" s="26">
        <v>2427</v>
      </c>
      <c r="G2" s="26">
        <v>2829</v>
      </c>
      <c r="H2" s="26">
        <v>3338</v>
      </c>
      <c r="I2" s="26">
        <v>4293</v>
      </c>
      <c r="J2" s="26">
        <v>4670</v>
      </c>
      <c r="K2" s="26">
        <v>6367</v>
      </c>
      <c r="L2" s="227">
        <v>6863</v>
      </c>
      <c r="M2" s="26">
        <v>7519</v>
      </c>
      <c r="N2" s="26">
        <v>10642</v>
      </c>
      <c r="O2" s="26">
        <v>15664.670825006751</v>
      </c>
      <c r="P2" s="26">
        <v>24288.426790026184</v>
      </c>
      <c r="Q2" s="26">
        <v>37578.964315327867</v>
      </c>
    </row>
    <row r="3" spans="2:17" x14ac:dyDescent="0.35">
      <c r="B3" s="27" t="s">
        <v>6</v>
      </c>
      <c r="C3" s="28">
        <v>1779</v>
      </c>
      <c r="D3" s="28">
        <v>2329</v>
      </c>
      <c r="E3" s="28">
        <v>3181.25</v>
      </c>
      <c r="F3" s="28">
        <v>3414.25</v>
      </c>
      <c r="G3" s="28">
        <v>3793.5</v>
      </c>
      <c r="H3" s="28">
        <v>4365.5</v>
      </c>
      <c r="I3" s="28">
        <v>6088.8</v>
      </c>
      <c r="J3" s="28">
        <v>6123.5</v>
      </c>
      <c r="K3" s="28">
        <v>8260.75</v>
      </c>
      <c r="L3" s="218">
        <v>9144.75</v>
      </c>
      <c r="M3" s="28">
        <v>9603</v>
      </c>
      <c r="N3" s="28">
        <v>13457.25</v>
      </c>
      <c r="O3" s="28">
        <v>19808.625395585612</v>
      </c>
      <c r="P3" s="28">
        <v>30713.722178169501</v>
      </c>
      <c r="Q3" s="28">
        <v>47520.157633193565</v>
      </c>
    </row>
    <row r="4" spans="2:17" x14ac:dyDescent="0.35">
      <c r="B4" s="29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2:17" x14ac:dyDescent="0.35">
      <c r="B5" s="31" t="s">
        <v>22</v>
      </c>
      <c r="C5" s="32" t="s">
        <v>23</v>
      </c>
      <c r="D5" s="32" t="s">
        <v>23</v>
      </c>
      <c r="E5" s="32" t="s">
        <v>23</v>
      </c>
      <c r="F5" s="32" t="s">
        <v>23</v>
      </c>
      <c r="G5" s="32" t="s">
        <v>23</v>
      </c>
      <c r="H5" s="32" t="s">
        <v>23</v>
      </c>
      <c r="I5" s="32" t="s">
        <v>23</v>
      </c>
      <c r="J5" s="32" t="s">
        <v>23</v>
      </c>
      <c r="K5" s="32" t="s">
        <v>23</v>
      </c>
      <c r="L5" s="214" t="s">
        <v>23</v>
      </c>
      <c r="M5" s="32" t="s">
        <v>23</v>
      </c>
      <c r="N5" s="32" t="s">
        <v>23</v>
      </c>
      <c r="O5" s="32" t="s">
        <v>1202</v>
      </c>
      <c r="P5" s="32" t="s">
        <v>1202</v>
      </c>
      <c r="Q5" s="32" t="s">
        <v>1202</v>
      </c>
    </row>
    <row r="6" spans="2:17" x14ac:dyDescent="0.35">
      <c r="B6" s="33" t="s">
        <v>24</v>
      </c>
      <c r="C6" s="34">
        <v>45383</v>
      </c>
      <c r="D6" s="34">
        <v>45413</v>
      </c>
      <c r="E6" s="34">
        <v>45444</v>
      </c>
      <c r="F6" s="34">
        <v>45474</v>
      </c>
      <c r="G6" s="93">
        <v>45505</v>
      </c>
      <c r="H6" s="93">
        <v>45536</v>
      </c>
      <c r="I6" s="93">
        <v>45566</v>
      </c>
      <c r="J6" s="93">
        <v>45597</v>
      </c>
      <c r="K6" s="93">
        <v>45627</v>
      </c>
      <c r="L6" s="53">
        <v>45658</v>
      </c>
      <c r="M6" s="93">
        <v>45689</v>
      </c>
      <c r="N6" s="93">
        <v>45717</v>
      </c>
      <c r="O6" s="220">
        <v>45748</v>
      </c>
      <c r="P6" s="220">
        <v>45778</v>
      </c>
      <c r="Q6" s="220">
        <v>45809</v>
      </c>
    </row>
    <row r="7" spans="2:17" x14ac:dyDescent="0.35">
      <c r="B7" s="35" t="s">
        <v>25</v>
      </c>
      <c r="C7" s="9">
        <v>298.47782000000001</v>
      </c>
      <c r="D7" s="9">
        <v>398.18000423728819</v>
      </c>
      <c r="E7" s="9">
        <v>554.91614000000004</v>
      </c>
      <c r="F7" s="9">
        <v>633.58600000000001</v>
      </c>
      <c r="G7" s="21">
        <v>710.60900000000004</v>
      </c>
      <c r="H7" s="105">
        <v>810.94919040148591</v>
      </c>
      <c r="I7" s="105">
        <v>1123.41842</v>
      </c>
      <c r="J7" s="106">
        <v>1142.0403999999999</v>
      </c>
      <c r="K7" s="106">
        <v>1512.3148340754597</v>
      </c>
      <c r="L7" s="167">
        <v>1685.4178326291549</v>
      </c>
      <c r="M7" s="167">
        <v>1752.6994186440679</v>
      </c>
      <c r="N7" s="167">
        <v>2454.9928127470248</v>
      </c>
      <c r="O7" s="167">
        <v>3695.2990675464962</v>
      </c>
      <c r="P7" s="167">
        <v>5937.4232028728366</v>
      </c>
      <c r="Q7" s="167">
        <v>9467.1922669360392</v>
      </c>
    </row>
    <row r="8" spans="2:17" x14ac:dyDescent="0.35">
      <c r="B8" s="35" t="s">
        <v>26</v>
      </c>
      <c r="C8" s="37">
        <v>284.13099999999997</v>
      </c>
      <c r="D8" s="37">
        <v>329.68677000000002</v>
      </c>
      <c r="E8" s="37">
        <v>475.8125</v>
      </c>
      <c r="F8" s="9">
        <v>499.93374999999997</v>
      </c>
      <c r="G8" s="21">
        <v>562.63300000000004</v>
      </c>
      <c r="H8" s="104">
        <v>635.56981999999994</v>
      </c>
      <c r="I8" s="104">
        <v>847.37650333333295</v>
      </c>
      <c r="J8" s="106">
        <v>814.67432999999994</v>
      </c>
      <c r="K8" s="106">
        <v>1160.76</v>
      </c>
      <c r="L8" s="167">
        <v>1316.76675</v>
      </c>
      <c r="M8" s="167">
        <v>1398.5562500000001</v>
      </c>
      <c r="N8" s="167">
        <v>2288.4735299999998</v>
      </c>
      <c r="O8" s="167">
        <v>3513.3662790697672</v>
      </c>
      <c r="P8" s="167">
        <v>6774.4795513203653</v>
      </c>
      <c r="Q8" s="167">
        <v>11347.284939259889</v>
      </c>
    </row>
    <row r="9" spans="2:17" x14ac:dyDescent="0.35">
      <c r="B9" s="35" t="s">
        <v>757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97">
        <v>0</v>
      </c>
      <c r="M9" s="37">
        <v>410</v>
      </c>
      <c r="N9" s="37">
        <v>0</v>
      </c>
      <c r="O9" s="221">
        <v>200</v>
      </c>
      <c r="P9" s="221">
        <v>250</v>
      </c>
      <c r="Q9" s="221">
        <v>300</v>
      </c>
    </row>
    <row r="10" spans="2:17" x14ac:dyDescent="0.35">
      <c r="B10" s="35"/>
      <c r="C10" s="9"/>
      <c r="D10" s="9"/>
      <c r="E10" s="9"/>
      <c r="F10" s="9"/>
      <c r="G10" s="21"/>
      <c r="H10" s="104"/>
      <c r="I10" s="104"/>
      <c r="J10" s="97"/>
      <c r="K10" s="97"/>
      <c r="L10" s="97"/>
      <c r="M10" s="97"/>
      <c r="N10" s="97"/>
      <c r="O10" s="97"/>
      <c r="P10" s="97"/>
      <c r="Q10" s="97"/>
    </row>
    <row r="11" spans="2:17" x14ac:dyDescent="0.35">
      <c r="B11" s="35" t="s">
        <v>27</v>
      </c>
      <c r="C11" s="9">
        <v>40.32882</v>
      </c>
      <c r="D11" s="9">
        <v>50.001254237288201</v>
      </c>
      <c r="E11" s="9">
        <v>29.065140000000056</v>
      </c>
      <c r="F11" s="37">
        <v>35.631999999999998</v>
      </c>
      <c r="G11" s="21">
        <v>38.552</v>
      </c>
      <c r="H11" s="21">
        <v>53.680620401485804</v>
      </c>
      <c r="I11" s="21">
        <v>72.858260000000001</v>
      </c>
      <c r="J11" s="106">
        <v>78.258589999999998</v>
      </c>
      <c r="K11" s="106">
        <v>97.050854075459597</v>
      </c>
      <c r="L11" s="97">
        <v>111.458172629155</v>
      </c>
      <c r="M11" s="97">
        <v>107.088778644068</v>
      </c>
      <c r="N11" s="97">
        <v>145.71933274702502</v>
      </c>
      <c r="O11" s="97">
        <v>219.33934455027938</v>
      </c>
      <c r="P11" s="97">
        <v>293.0493444750324</v>
      </c>
      <c r="Q11" s="97">
        <v>561.93766961869767</v>
      </c>
    </row>
    <row r="12" spans="2:17" x14ac:dyDescent="0.35">
      <c r="B12" s="35" t="s">
        <v>62</v>
      </c>
      <c r="C12" s="37">
        <v>2.149</v>
      </c>
      <c r="D12" s="9">
        <v>20.044</v>
      </c>
      <c r="E12" s="9">
        <v>8.794190715771915</v>
      </c>
      <c r="F12" s="9">
        <v>6.6879999999999997</v>
      </c>
      <c r="G12" s="21">
        <v>16.452999999999999</v>
      </c>
      <c r="H12" s="21">
        <v>9.3697400000000002</v>
      </c>
      <c r="I12" s="21">
        <v>17.257999999999999</v>
      </c>
      <c r="J12" s="106">
        <v>30.865740000000002</v>
      </c>
      <c r="K12" s="106">
        <v>37.457999999999998</v>
      </c>
      <c r="L12" s="97">
        <v>47.692999999999998</v>
      </c>
      <c r="M12" s="97">
        <v>68.322999999999993</v>
      </c>
      <c r="N12" s="97">
        <v>21.936</v>
      </c>
      <c r="O12" s="97">
        <v>33.018459331046849</v>
      </c>
      <c r="P12" s="97">
        <v>53.052422272667357</v>
      </c>
      <c r="Q12" s="97">
        <v>84.591827922760032</v>
      </c>
    </row>
    <row r="13" spans="2:17" x14ac:dyDescent="0.35">
      <c r="B13" s="35" t="s">
        <v>29</v>
      </c>
      <c r="C13" s="37">
        <v>3.05261</v>
      </c>
      <c r="D13" s="37">
        <v>3.8194499999999998</v>
      </c>
      <c r="E13" s="37">
        <v>4.3365</v>
      </c>
      <c r="F13" s="9">
        <v>8.9</v>
      </c>
      <c r="G13" s="21">
        <v>6.7789999999999999</v>
      </c>
      <c r="H13" s="21">
        <v>0</v>
      </c>
      <c r="I13" s="21">
        <v>14.75</v>
      </c>
      <c r="J13" s="106">
        <v>13.75723</v>
      </c>
      <c r="K13" s="106">
        <v>20.11223</v>
      </c>
      <c r="L13" s="167">
        <v>18.290680000000002</v>
      </c>
      <c r="M13" s="167">
        <v>17.08784</v>
      </c>
      <c r="N13" s="167">
        <v>21.41301</v>
      </c>
      <c r="O13" s="97">
        <v>32.231245434003441</v>
      </c>
      <c r="P13" s="97">
        <v>51.787566039790704</v>
      </c>
      <c r="Q13" s="97">
        <v>82.575020843742692</v>
      </c>
    </row>
    <row r="14" spans="2:17" x14ac:dyDescent="0.35">
      <c r="B14" s="35"/>
      <c r="C14" s="36"/>
      <c r="D14" s="9"/>
      <c r="E14" s="9"/>
      <c r="F14" s="9"/>
      <c r="G14" s="21"/>
      <c r="H14" s="21"/>
      <c r="I14" s="21"/>
      <c r="J14" s="21"/>
      <c r="K14" s="97"/>
      <c r="L14" s="97"/>
      <c r="M14" s="97"/>
      <c r="N14" s="97"/>
      <c r="O14" s="97"/>
      <c r="P14" s="97"/>
      <c r="Q14" s="97"/>
    </row>
    <row r="15" spans="2:17" x14ac:dyDescent="0.35">
      <c r="B15" s="38" t="s">
        <v>30</v>
      </c>
      <c r="C15" s="39">
        <f>C7-C8-C9-C11-C12-C13</f>
        <v>-31.183609999999966</v>
      </c>
      <c r="D15" s="39">
        <f t="shared" ref="D15:Q15" si="0">D7-D8-D9-D11-D12-D13</f>
        <v>-5.3714700000000377</v>
      </c>
      <c r="E15" s="39">
        <f t="shared" si="0"/>
        <v>36.907809284228065</v>
      </c>
      <c r="F15" s="39">
        <f t="shared" si="0"/>
        <v>82.432250000000025</v>
      </c>
      <c r="G15" s="39">
        <f t="shared" si="0"/>
        <v>86.192000000000007</v>
      </c>
      <c r="H15" s="39">
        <f t="shared" si="0"/>
        <v>112.32901000000015</v>
      </c>
      <c r="I15" s="39">
        <f t="shared" si="0"/>
        <v>171.17565666666701</v>
      </c>
      <c r="J15" s="39">
        <f t="shared" si="0"/>
        <v>204.48450999999994</v>
      </c>
      <c r="K15" s="39">
        <f t="shared" si="0"/>
        <v>196.93375000000006</v>
      </c>
      <c r="L15" s="94">
        <f t="shared" si="0"/>
        <v>191.20922999999988</v>
      </c>
      <c r="M15" s="39">
        <f t="shared" si="0"/>
        <v>-248.35645000000014</v>
      </c>
      <c r="N15" s="39">
        <f t="shared" si="0"/>
        <v>-22.549059999999976</v>
      </c>
      <c r="O15" s="39">
        <f t="shared" si="0"/>
        <v>-302.65626083860064</v>
      </c>
      <c r="P15" s="39">
        <f t="shared" si="0"/>
        <v>-1484.945681235019</v>
      </c>
      <c r="Q15" s="39">
        <f t="shared" si="0"/>
        <v>-2909.1971907090501</v>
      </c>
    </row>
    <row r="16" spans="2:17" x14ac:dyDescent="0.35">
      <c r="B16" s="40" t="s">
        <v>18</v>
      </c>
      <c r="C16" s="41">
        <v>-0.10447546822742126</v>
      </c>
      <c r="D16" s="41">
        <v>-1.3490054605552235E-2</v>
      </c>
      <c r="E16" s="41">
        <v>6.6510606961671839E-2</v>
      </c>
      <c r="F16" s="41">
        <v>0.1301042794506192</v>
      </c>
      <c r="G16" s="47">
        <v>0.12129314433113006</v>
      </c>
      <c r="H16" s="47">
        <v>0.13851547215231591</v>
      </c>
      <c r="I16" s="47">
        <v>0.15237034894502355</v>
      </c>
      <c r="J16" s="47">
        <v>0.17905190569440449</v>
      </c>
      <c r="K16" s="47">
        <v>0.13022007426145085</v>
      </c>
      <c r="L16" s="47">
        <v>0.11344915563265667</v>
      </c>
      <c r="M16" s="47">
        <v>-0.14169939657544639</v>
      </c>
      <c r="N16" s="47">
        <v>-9.1849800467515858E-3</v>
      </c>
      <c r="O16" s="47">
        <v>-8.1903049064862316E-2</v>
      </c>
      <c r="P16" s="47">
        <v>-0.25009934958258062</v>
      </c>
      <c r="Q16" s="47">
        <v>-0.30729250116418966</v>
      </c>
    </row>
    <row r="17" spans="2:17" x14ac:dyDescent="0.35">
      <c r="B17" s="35"/>
      <c r="C17" s="36"/>
      <c r="D17" s="36"/>
      <c r="E17" s="36"/>
      <c r="F17" s="3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2:17" x14ac:dyDescent="0.35">
      <c r="B18" s="35" t="s">
        <v>31</v>
      </c>
      <c r="C18" s="9">
        <v>51.006790000000002</v>
      </c>
      <c r="D18" s="42">
        <v>68.333330000000004</v>
      </c>
      <c r="E18" s="42">
        <v>64.380210000000005</v>
      </c>
      <c r="F18" s="9">
        <v>84.714770000000016</v>
      </c>
      <c r="G18" s="21">
        <v>128.89078000000001</v>
      </c>
      <c r="H18" s="21">
        <v>75.809390000000008</v>
      </c>
      <c r="I18" s="21">
        <v>105.92092</v>
      </c>
      <c r="J18" s="106">
        <v>116.24125000000001</v>
      </c>
      <c r="K18" s="106">
        <v>95.353370000000012</v>
      </c>
      <c r="L18" s="106">
        <v>154.4280599999999</v>
      </c>
      <c r="M18" s="167">
        <v>555.65932999999995</v>
      </c>
      <c r="N18" s="167">
        <v>378.59594000000004</v>
      </c>
      <c r="O18" s="106">
        <v>757.19188000000008</v>
      </c>
      <c r="P18" s="167">
        <v>1135.78782</v>
      </c>
      <c r="Q18" s="167">
        <v>1135.78782</v>
      </c>
    </row>
    <row r="19" spans="2:17" x14ac:dyDescent="0.35">
      <c r="B19" s="35" t="s">
        <v>32</v>
      </c>
      <c r="C19" s="9">
        <v>40.1</v>
      </c>
      <c r="D19" s="42">
        <v>58.2</v>
      </c>
      <c r="E19" s="42">
        <v>58.2</v>
      </c>
      <c r="F19" s="42">
        <v>77.22</v>
      </c>
      <c r="G19" s="95">
        <v>85.864999999999995</v>
      </c>
      <c r="H19" s="21">
        <v>85</v>
      </c>
      <c r="I19" s="21">
        <v>117.49600000000001</v>
      </c>
      <c r="J19" s="106">
        <v>110</v>
      </c>
      <c r="K19" s="106">
        <v>110</v>
      </c>
      <c r="L19" s="106">
        <v>135.548</v>
      </c>
      <c r="M19" s="167">
        <v>249.68100000000001</v>
      </c>
      <c r="N19" s="167">
        <v>436.97700000000003</v>
      </c>
      <c r="O19" s="106">
        <v>873.95400000000006</v>
      </c>
      <c r="P19" s="106">
        <v>1638.6637500000002</v>
      </c>
      <c r="Q19" s="106">
        <v>2731.1062500000003</v>
      </c>
    </row>
    <row r="20" spans="2:17" x14ac:dyDescent="0.35">
      <c r="B20" s="35" t="s">
        <v>33</v>
      </c>
      <c r="C20" s="9">
        <v>17.3</v>
      </c>
      <c r="D20" s="42">
        <v>134.76680999999999</v>
      </c>
      <c r="E20" s="42">
        <v>79.236099999999993</v>
      </c>
      <c r="F20" s="9">
        <v>46.578200000000002</v>
      </c>
      <c r="G20" s="21">
        <v>124.44848000000002</v>
      </c>
      <c r="H20" s="21">
        <v>165.01900000000001</v>
      </c>
      <c r="I20" s="21">
        <v>188.00530000000001</v>
      </c>
      <c r="J20" s="106">
        <v>150.4572</v>
      </c>
      <c r="K20" s="106">
        <v>156.9545</v>
      </c>
      <c r="L20" s="106">
        <v>265.24941999999999</v>
      </c>
      <c r="M20" s="167">
        <v>489.45735000000002</v>
      </c>
      <c r="N20" s="167">
        <v>968.60078999999996</v>
      </c>
      <c r="O20" s="106">
        <v>1500</v>
      </c>
      <c r="P20" s="106">
        <v>2450</v>
      </c>
      <c r="Q20" s="106">
        <v>3250</v>
      </c>
    </row>
    <row r="21" spans="2:17" x14ac:dyDescent="0.35">
      <c r="B21" s="35" t="s">
        <v>34</v>
      </c>
      <c r="C21" s="9">
        <v>42.009979999999999</v>
      </c>
      <c r="D21" s="42">
        <v>185.29833000000002</v>
      </c>
      <c r="E21" s="42">
        <v>179.875</v>
      </c>
      <c r="F21" s="9">
        <v>161.982</v>
      </c>
      <c r="G21" s="21">
        <v>108.75435999999999</v>
      </c>
      <c r="H21" s="21">
        <v>81.724000000000004</v>
      </c>
      <c r="I21" s="21">
        <v>49.701000000000001</v>
      </c>
      <c r="J21" s="106">
        <v>51</v>
      </c>
      <c r="K21" s="106">
        <v>80.373000000000005</v>
      </c>
      <c r="L21" s="106">
        <v>77.611999999999995</v>
      </c>
      <c r="M21" s="167">
        <v>54</v>
      </c>
      <c r="N21" s="167">
        <v>214.423</v>
      </c>
      <c r="O21" s="106">
        <v>402.04312500000003</v>
      </c>
      <c r="P21" s="106">
        <v>536.0575</v>
      </c>
      <c r="Q21" s="106">
        <v>536.0575</v>
      </c>
    </row>
    <row r="22" spans="2:17" x14ac:dyDescent="0.35">
      <c r="B22" s="35"/>
      <c r="C22" s="9"/>
      <c r="D22" s="9"/>
      <c r="E22" s="9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2:17" x14ac:dyDescent="0.35">
      <c r="B23" s="38" t="s">
        <v>35</v>
      </c>
      <c r="C23" s="39">
        <f>C15-SUM(C18:C22)</f>
        <v>-181.60037999999994</v>
      </c>
      <c r="D23" s="39">
        <f t="shared" ref="D23:Q23" si="1">D15-SUM(D18:D22)</f>
        <v>-451.96994000000007</v>
      </c>
      <c r="E23" s="39">
        <f t="shared" si="1"/>
        <v>-344.78350071577194</v>
      </c>
      <c r="F23" s="39">
        <f t="shared" si="1"/>
        <v>-288.06272000000001</v>
      </c>
      <c r="G23" s="39">
        <f t="shared" si="1"/>
        <v>-361.76661999999999</v>
      </c>
      <c r="H23" s="39">
        <f t="shared" si="1"/>
        <v>-295.22337999999985</v>
      </c>
      <c r="I23" s="39">
        <f t="shared" si="1"/>
        <v>-289.94756333333305</v>
      </c>
      <c r="J23" s="39">
        <f t="shared" si="1"/>
        <v>-223.21394000000004</v>
      </c>
      <c r="K23" s="39">
        <f t="shared" si="1"/>
        <v>-245.74711999999991</v>
      </c>
      <c r="L23" s="94">
        <f t="shared" si="1"/>
        <v>-441.62824999999992</v>
      </c>
      <c r="M23" s="39">
        <f t="shared" si="1"/>
        <v>-1597.1541300000004</v>
      </c>
      <c r="N23" s="39">
        <f t="shared" si="1"/>
        <v>-2021.14579</v>
      </c>
      <c r="O23" s="39">
        <f t="shared" si="1"/>
        <v>-3835.8452658386009</v>
      </c>
      <c r="P23" s="39">
        <f t="shared" si="1"/>
        <v>-7245.4547512350191</v>
      </c>
      <c r="Q23" s="39">
        <f t="shared" si="1"/>
        <v>-10562.148760709049</v>
      </c>
    </row>
    <row r="24" spans="2:17" x14ac:dyDescent="0.35">
      <c r="B24" s="40" t="s">
        <v>19</v>
      </c>
      <c r="C24" s="41">
        <v>-0.60842169109919098</v>
      </c>
      <c r="D24" s="41">
        <v>-1.1350894951788104</v>
      </c>
      <c r="E24" s="41">
        <v>-0.62132541453159373</v>
      </c>
      <c r="F24" s="41">
        <v>-0.45465449047169604</v>
      </c>
      <c r="G24" s="47">
        <v>-0.50909377730932193</v>
      </c>
      <c r="H24" s="47">
        <v>-0.36404670415151441</v>
      </c>
      <c r="I24" s="47">
        <v>-0.2580940085826019</v>
      </c>
      <c r="J24" s="47">
        <v>-0.19545187718402962</v>
      </c>
      <c r="K24" s="47">
        <v>-0.16249732824331861</v>
      </c>
      <c r="L24" s="47">
        <v>-0.26202894110304104</v>
      </c>
      <c r="M24" s="47">
        <v>-0.91125387103488553</v>
      </c>
      <c r="N24" s="47">
        <v>-0.82327971776765829</v>
      </c>
      <c r="O24" s="47">
        <v>-1.0380337817651715</v>
      </c>
      <c r="P24" s="47">
        <v>-1.2203028997039134</v>
      </c>
      <c r="Q24" s="47">
        <v>-1.1156579968907065</v>
      </c>
    </row>
    <row r="25" spans="2:17" x14ac:dyDescent="0.35">
      <c r="B25" s="35"/>
      <c r="C25" s="36"/>
      <c r="D25" s="9"/>
      <c r="E25" s="9"/>
      <c r="F25" s="9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2:17" x14ac:dyDescent="0.35">
      <c r="B26" s="35" t="s">
        <v>36</v>
      </c>
      <c r="C26" s="9">
        <v>240.85099999999997</v>
      </c>
      <c r="D26" s="9">
        <v>434.76700000000005</v>
      </c>
      <c r="E26" s="9">
        <v>703.99702708169855</v>
      </c>
      <c r="F26" s="9">
        <v>587.52659000000006</v>
      </c>
      <c r="G26" s="21">
        <v>626.94193999999993</v>
      </c>
      <c r="H26" s="21">
        <v>881.71753000000012</v>
      </c>
      <c r="I26" s="21">
        <v>729.01219000000003</v>
      </c>
      <c r="J26" s="21">
        <v>671.03414999999995</v>
      </c>
      <c r="K26" s="21">
        <v>669.18902000000003</v>
      </c>
      <c r="L26" s="21">
        <v>876.16472999999996</v>
      </c>
      <c r="M26" s="21">
        <v>1322.9</v>
      </c>
      <c r="N26" s="21">
        <v>1621.5153599999999</v>
      </c>
      <c r="O26" s="21">
        <v>2800</v>
      </c>
      <c r="P26" s="21">
        <v>4687.5</v>
      </c>
      <c r="Q26" s="21">
        <v>6000</v>
      </c>
    </row>
    <row r="27" spans="2:17" x14ac:dyDescent="0.35">
      <c r="B27" s="43" t="s">
        <v>37</v>
      </c>
      <c r="C27" s="44">
        <v>70.8</v>
      </c>
      <c r="D27" s="11">
        <v>231.11699999999999</v>
      </c>
      <c r="E27" s="11">
        <v>353.18037000000004</v>
      </c>
      <c r="F27" s="11">
        <v>254.54539</v>
      </c>
      <c r="G27" s="11">
        <v>283.89193999999998</v>
      </c>
      <c r="H27" s="96">
        <v>463.35953000000001</v>
      </c>
      <c r="I27" s="96">
        <v>223.52699999999999</v>
      </c>
      <c r="J27" s="96">
        <v>319.44333000000006</v>
      </c>
      <c r="K27" s="96">
        <v>304.00509999999997</v>
      </c>
      <c r="L27" s="96">
        <v>611.77972999999997</v>
      </c>
      <c r="M27" s="96">
        <v>669.82500000000005</v>
      </c>
      <c r="N27" s="96">
        <v>863.64100000000008</v>
      </c>
      <c r="O27" s="96"/>
      <c r="P27" s="96"/>
      <c r="Q27" s="96"/>
    </row>
    <row r="28" spans="2:17" x14ac:dyDescent="0.35">
      <c r="B28" s="43" t="s">
        <v>38</v>
      </c>
      <c r="C28" s="44">
        <v>138.1</v>
      </c>
      <c r="D28" s="11">
        <v>153.30000000000001</v>
      </c>
      <c r="E28" s="11">
        <v>228.363</v>
      </c>
      <c r="F28" s="11">
        <v>225.47820000000002</v>
      </c>
      <c r="G28" s="11">
        <v>209.10300000000001</v>
      </c>
      <c r="H28" s="96">
        <v>322.36</v>
      </c>
      <c r="I28" s="96">
        <v>354.25972999999999</v>
      </c>
      <c r="J28" s="96">
        <v>234.74947999999998</v>
      </c>
      <c r="K28" s="96">
        <v>105.66992</v>
      </c>
      <c r="L28" s="96">
        <v>81.59</v>
      </c>
      <c r="M28" s="96">
        <v>351.67</v>
      </c>
      <c r="N28" s="96">
        <v>68.026359999999997</v>
      </c>
      <c r="O28" s="96"/>
      <c r="P28" s="96"/>
      <c r="Q28" s="96"/>
    </row>
    <row r="29" spans="2:17" x14ac:dyDescent="0.35">
      <c r="B29" s="43" t="s">
        <v>61</v>
      </c>
      <c r="C29" s="11">
        <v>31.951000000000001</v>
      </c>
      <c r="D29" s="11">
        <v>50.35</v>
      </c>
      <c r="E29" s="11">
        <v>122.45365708169844</v>
      </c>
      <c r="F29" s="11">
        <v>107.503</v>
      </c>
      <c r="G29" s="96">
        <v>133.947</v>
      </c>
      <c r="H29" s="96">
        <v>95.998000000000005</v>
      </c>
      <c r="I29" s="96">
        <v>151.22546</v>
      </c>
      <c r="J29" s="96">
        <v>116.84134</v>
      </c>
      <c r="K29" s="96">
        <v>259.51400000000001</v>
      </c>
      <c r="L29" s="96">
        <v>182.79500000000002</v>
      </c>
      <c r="M29" s="96">
        <v>301.40499999999997</v>
      </c>
      <c r="N29" s="96">
        <v>689.84799999999996</v>
      </c>
      <c r="O29" s="96"/>
      <c r="P29" s="96"/>
      <c r="Q29" s="96"/>
    </row>
    <row r="30" spans="2:17" x14ac:dyDescent="0.35">
      <c r="B30" s="35" t="s">
        <v>417</v>
      </c>
      <c r="C30" s="9">
        <v>508.10399999999993</v>
      </c>
      <c r="D30" s="37">
        <v>1093.3789400000001</v>
      </c>
      <c r="E30" s="16">
        <v>1445.15031</v>
      </c>
      <c r="F30" s="16">
        <v>1691.1043299999999</v>
      </c>
      <c r="G30" s="21">
        <v>2020.6737000000003</v>
      </c>
      <c r="H30" s="21">
        <v>1970.9622100000001</v>
      </c>
      <c r="I30" s="21">
        <v>1970.2011741935482</v>
      </c>
      <c r="J30" s="106">
        <v>1742.42409</v>
      </c>
      <c r="K30" s="106">
        <v>1830.45553</v>
      </c>
      <c r="L30" s="106">
        <v>3092.8645999999999</v>
      </c>
      <c r="M30" s="106">
        <v>4532.2400999999991</v>
      </c>
      <c r="N30" s="106">
        <v>8967.2278399999977</v>
      </c>
      <c r="O30" s="21">
        <v>11983.947549999997</v>
      </c>
      <c r="P30" s="21">
        <v>13163.684399999998</v>
      </c>
      <c r="Q30" s="21">
        <v>13493.421249999999</v>
      </c>
    </row>
    <row r="31" spans="2:17" x14ac:dyDescent="0.35">
      <c r="B31" s="35" t="s">
        <v>263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21">
        <v>0</v>
      </c>
      <c r="M31" s="106">
        <v>2074</v>
      </c>
      <c r="N31" s="106">
        <v>196.93299999999999</v>
      </c>
      <c r="O31" s="222">
        <v>1500</v>
      </c>
      <c r="P31" s="222">
        <v>1200</v>
      </c>
      <c r="Q31" s="222">
        <v>1000</v>
      </c>
    </row>
    <row r="32" spans="2:17" x14ac:dyDescent="0.35">
      <c r="B32" s="35" t="s">
        <v>39</v>
      </c>
      <c r="C32" s="15">
        <v>81.475170000000006</v>
      </c>
      <c r="D32" s="37">
        <v>144.98920000000001</v>
      </c>
      <c r="E32" s="16">
        <v>89.852080000000001</v>
      </c>
      <c r="F32" s="16">
        <v>44.019499999999994</v>
      </c>
      <c r="G32" s="97">
        <v>61.844970000000004</v>
      </c>
      <c r="H32" s="21">
        <v>106.26191</v>
      </c>
      <c r="I32" s="21">
        <v>89.410799999999995</v>
      </c>
      <c r="J32" s="106">
        <v>177.65362999999999</v>
      </c>
      <c r="K32" s="106">
        <v>118.71079999999999</v>
      </c>
      <c r="L32" s="106">
        <v>373.25871999999998</v>
      </c>
      <c r="M32" s="106">
        <v>518.67665</v>
      </c>
      <c r="N32" s="106">
        <v>549.93001000000004</v>
      </c>
      <c r="O32" s="222">
        <v>687.41251250000005</v>
      </c>
      <c r="P32" s="222">
        <v>790.52438937499994</v>
      </c>
      <c r="Q32" s="222">
        <v>909.10304778124987</v>
      </c>
    </row>
    <row r="33" spans="2:17" x14ac:dyDescent="0.35">
      <c r="B33" s="35" t="s">
        <v>40</v>
      </c>
      <c r="C33" s="15">
        <v>122.85300000000001</v>
      </c>
      <c r="D33" s="37">
        <v>218.73899</v>
      </c>
      <c r="E33" s="37">
        <v>411.05734000000001</v>
      </c>
      <c r="F33" s="37">
        <v>303.28688</v>
      </c>
      <c r="G33" s="97">
        <v>295.34728999999999</v>
      </c>
      <c r="H33" s="97">
        <v>388.35019999999997</v>
      </c>
      <c r="I33" s="97">
        <v>397.05725000000001</v>
      </c>
      <c r="J33" s="97">
        <v>408.74452000000002</v>
      </c>
      <c r="K33" s="97">
        <v>415.55354999999997</v>
      </c>
      <c r="L33" s="97">
        <v>487.48961000000003</v>
      </c>
      <c r="M33" s="97">
        <v>711.64439999999991</v>
      </c>
      <c r="N33" s="97">
        <v>860.45326</v>
      </c>
      <c r="O33" s="97">
        <v>1279.63744</v>
      </c>
      <c r="P33" s="97">
        <v>1622.8499199999999</v>
      </c>
      <c r="Q33" s="97">
        <v>1672.8499199999999</v>
      </c>
    </row>
    <row r="34" spans="2:17" x14ac:dyDescent="0.35">
      <c r="B34" s="43" t="s">
        <v>41</v>
      </c>
      <c r="C34" s="45">
        <v>0</v>
      </c>
      <c r="D34" s="65">
        <v>38</v>
      </c>
      <c r="E34" s="11">
        <v>205</v>
      </c>
      <c r="F34" s="11">
        <v>122.65900000000001</v>
      </c>
      <c r="G34" s="11">
        <v>110.333</v>
      </c>
      <c r="H34" s="11">
        <v>77.6798</v>
      </c>
      <c r="I34" s="11">
        <v>73.099999999999994</v>
      </c>
      <c r="J34" s="11">
        <v>113.45</v>
      </c>
      <c r="K34" s="11">
        <v>110</v>
      </c>
      <c r="L34" s="96">
        <v>109</v>
      </c>
      <c r="M34" s="11">
        <v>109</v>
      </c>
      <c r="N34" s="11">
        <v>237.57999999999998</v>
      </c>
      <c r="O34" s="223">
        <v>200</v>
      </c>
      <c r="P34" s="223">
        <v>200</v>
      </c>
      <c r="Q34" s="223">
        <v>200</v>
      </c>
    </row>
    <row r="35" spans="2:17" x14ac:dyDescent="0.35">
      <c r="B35" s="43" t="s">
        <v>42</v>
      </c>
      <c r="C35" s="44">
        <v>106.021</v>
      </c>
      <c r="D35" s="65">
        <v>149.9991</v>
      </c>
      <c r="E35" s="11">
        <v>145.32316</v>
      </c>
      <c r="F35" s="11">
        <v>150.98754</v>
      </c>
      <c r="G35" s="11">
        <v>153.02529000000001</v>
      </c>
      <c r="H35" s="11">
        <v>280.67039999999997</v>
      </c>
      <c r="I35" s="11">
        <v>280.57542000000001</v>
      </c>
      <c r="J35" s="11">
        <v>251.97632999999999</v>
      </c>
      <c r="K35" s="11">
        <v>280.00801999999999</v>
      </c>
      <c r="L35" s="96">
        <v>295.99400000000003</v>
      </c>
      <c r="M35" s="11">
        <v>301.25099999999998</v>
      </c>
      <c r="N35" s="11">
        <v>586.42495999999994</v>
      </c>
      <c r="O35" s="96">
        <v>879.63743999999997</v>
      </c>
      <c r="P35" s="96">
        <v>1172.8499199999999</v>
      </c>
      <c r="Q35" s="96">
        <v>1172.8499199999999</v>
      </c>
    </row>
    <row r="36" spans="2:17" x14ac:dyDescent="0.35">
      <c r="B36" s="43" t="s">
        <v>43</v>
      </c>
      <c r="C36" s="44">
        <v>16.832000000000001</v>
      </c>
      <c r="D36" s="65">
        <v>30.739890000000017</v>
      </c>
      <c r="E36" s="11">
        <v>60.734180000000002</v>
      </c>
      <c r="F36" s="11">
        <v>29.640340000000002</v>
      </c>
      <c r="G36" s="11">
        <v>31.989000000000001</v>
      </c>
      <c r="H36" s="11">
        <v>30</v>
      </c>
      <c r="I36" s="11">
        <v>43.381830000000001</v>
      </c>
      <c r="J36" s="11">
        <v>43.318190000000001</v>
      </c>
      <c r="K36" s="11">
        <v>25.545529999999999</v>
      </c>
      <c r="L36" s="96">
        <v>82.495609999999999</v>
      </c>
      <c r="M36" s="11">
        <v>301.39339999999999</v>
      </c>
      <c r="N36" s="11">
        <v>36.448299999999996</v>
      </c>
      <c r="O36" s="223">
        <v>200</v>
      </c>
      <c r="P36" s="223">
        <v>250</v>
      </c>
      <c r="Q36" s="223">
        <v>300</v>
      </c>
    </row>
    <row r="37" spans="2:17" x14ac:dyDescent="0.35">
      <c r="B37" s="35"/>
      <c r="C37" s="36"/>
      <c r="D37" s="9"/>
      <c r="E37" s="9"/>
      <c r="F37" s="9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2:17" x14ac:dyDescent="0.35">
      <c r="B38" s="38" t="s">
        <v>44</v>
      </c>
      <c r="C38" s="39">
        <f>C23-C26-C30-C31-C32-C33</f>
        <v>-1134.8835499999998</v>
      </c>
      <c r="D38" s="39">
        <f t="shared" ref="D38:Q38" si="2">D23-D26-D30-D31-D32-D33</f>
        <v>-2343.8440700000001</v>
      </c>
      <c r="E38" s="39">
        <f t="shared" si="2"/>
        <v>-2994.8402577974703</v>
      </c>
      <c r="F38" s="39">
        <f t="shared" si="2"/>
        <v>-2914.0000199999999</v>
      </c>
      <c r="G38" s="39">
        <f t="shared" si="2"/>
        <v>-3366.5745200000006</v>
      </c>
      <c r="H38" s="39">
        <f t="shared" si="2"/>
        <v>-3642.51523</v>
      </c>
      <c r="I38" s="39">
        <f t="shared" si="2"/>
        <v>-3475.628977526881</v>
      </c>
      <c r="J38" s="39">
        <f t="shared" si="2"/>
        <v>-3223.07033</v>
      </c>
      <c r="K38" s="39">
        <f t="shared" si="2"/>
        <v>-3279.6560199999999</v>
      </c>
      <c r="L38" s="94">
        <f t="shared" si="2"/>
        <v>-5271.4059099999995</v>
      </c>
      <c r="M38" s="39">
        <f t="shared" si="2"/>
        <v>-10756.615279999998</v>
      </c>
      <c r="N38" s="39">
        <f t="shared" si="2"/>
        <v>-14217.205259999997</v>
      </c>
      <c r="O38" s="39">
        <f t="shared" si="2"/>
        <v>-22086.842768338596</v>
      </c>
      <c r="P38" s="39">
        <f t="shared" si="2"/>
        <v>-28710.013460610018</v>
      </c>
      <c r="Q38" s="39">
        <f t="shared" si="2"/>
        <v>-33637.522978490299</v>
      </c>
    </row>
    <row r="39" spans="2:17" x14ac:dyDescent="0.35">
      <c r="B39" s="40" t="s">
        <v>45</v>
      </c>
      <c r="C39" s="41">
        <v>-3.8022374660870941</v>
      </c>
      <c r="D39" s="41">
        <v>-5.8863932017119289</v>
      </c>
      <c r="E39" s="41">
        <v>-5.3969240429688528</v>
      </c>
      <c r="F39" s="41">
        <v>-4.5992178173128826</v>
      </c>
      <c r="G39" s="47">
        <v>-4.737590601864035</v>
      </c>
      <c r="H39" s="47">
        <v>-4.4916688654645043</v>
      </c>
      <c r="I39" s="47">
        <v>-3.0937973916493924</v>
      </c>
      <c r="J39" s="47">
        <v>-2.8222034264286977</v>
      </c>
      <c r="K39" s="47">
        <v>-2.1686331087302921</v>
      </c>
      <c r="L39" s="47">
        <v>-3.1276552365515853</v>
      </c>
      <c r="M39" s="47">
        <v>-6.1371705642040917</v>
      </c>
      <c r="N39" s="47">
        <v>-5.7911392596264246</v>
      </c>
      <c r="O39" s="47">
        <v>-5.9770108899475938</v>
      </c>
      <c r="P39" s="47">
        <v>-4.8354332308194925</v>
      </c>
      <c r="Q39" s="47">
        <v>-3.5530621994409692</v>
      </c>
    </row>
    <row r="40" spans="2:17" x14ac:dyDescent="0.35">
      <c r="B40" s="35"/>
      <c r="C40" s="36"/>
      <c r="D40" s="36"/>
      <c r="E40" s="36"/>
      <c r="F40" s="3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2:17" x14ac:dyDescent="0.35">
      <c r="B41" s="35" t="s">
        <v>46</v>
      </c>
      <c r="C41" s="9">
        <v>160.6</v>
      </c>
      <c r="D41" s="9">
        <v>1406.02</v>
      </c>
      <c r="E41" s="37">
        <v>161.5</v>
      </c>
      <c r="F41" s="37">
        <v>0</v>
      </c>
      <c r="G41" s="97">
        <v>0</v>
      </c>
      <c r="H41" s="21">
        <v>0</v>
      </c>
      <c r="I41" s="21">
        <v>0</v>
      </c>
      <c r="J41" s="106">
        <v>63.506999999999998</v>
      </c>
      <c r="K41" s="106">
        <v>0</v>
      </c>
      <c r="L41" s="106">
        <v>1200.5</v>
      </c>
      <c r="M41" s="106">
        <v>502.26</v>
      </c>
      <c r="N41" s="106">
        <v>1515</v>
      </c>
      <c r="O41" s="224">
        <v>600</v>
      </c>
      <c r="P41" s="224">
        <v>150</v>
      </c>
      <c r="Q41" s="224">
        <v>0</v>
      </c>
    </row>
    <row r="42" spans="2:17" x14ac:dyDescent="0.35">
      <c r="B42" s="35"/>
      <c r="C42" s="36"/>
      <c r="D42" s="36"/>
      <c r="E42" s="36"/>
      <c r="F42" s="3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2:17" x14ac:dyDescent="0.35">
      <c r="B43" s="38" t="s">
        <v>47</v>
      </c>
      <c r="C43" s="39">
        <f>C38-C41</f>
        <v>-1295.4835499999997</v>
      </c>
      <c r="D43" s="39">
        <f t="shared" ref="D43:Q43" si="3">D38-D41</f>
        <v>-3749.8640700000001</v>
      </c>
      <c r="E43" s="39">
        <f t="shared" si="3"/>
        <v>-3156.3402577974703</v>
      </c>
      <c r="F43" s="39">
        <f t="shared" si="3"/>
        <v>-2914.0000199999999</v>
      </c>
      <c r="G43" s="39">
        <f t="shared" si="3"/>
        <v>-3366.5745200000006</v>
      </c>
      <c r="H43" s="39">
        <f t="shared" si="3"/>
        <v>-3642.51523</v>
      </c>
      <c r="I43" s="39">
        <f t="shared" si="3"/>
        <v>-3475.628977526881</v>
      </c>
      <c r="J43" s="39">
        <f t="shared" si="3"/>
        <v>-3286.5773300000001</v>
      </c>
      <c r="K43" s="39">
        <f t="shared" si="3"/>
        <v>-3279.6560199999999</v>
      </c>
      <c r="L43" s="94">
        <f t="shared" si="3"/>
        <v>-6471.9059099999995</v>
      </c>
      <c r="M43" s="39">
        <f t="shared" si="3"/>
        <v>-11258.875279999998</v>
      </c>
      <c r="N43" s="39">
        <f t="shared" si="3"/>
        <v>-15732.205259999997</v>
      </c>
      <c r="O43" s="39">
        <f t="shared" si="3"/>
        <v>-22686.842768338596</v>
      </c>
      <c r="P43" s="39">
        <f t="shared" si="3"/>
        <v>-28860.013460610018</v>
      </c>
      <c r="Q43" s="39">
        <f t="shared" si="3"/>
        <v>-33637.522978490299</v>
      </c>
    </row>
    <row r="44" spans="2:17" x14ac:dyDescent="0.35">
      <c r="B44" s="40" t="s">
        <v>45</v>
      </c>
      <c r="C44" s="41">
        <v>-4.340300897400013</v>
      </c>
      <c r="D44" s="41">
        <v>-9.4175097445760638</v>
      </c>
      <c r="E44" s="41">
        <v>-5.6879590090810295</v>
      </c>
      <c r="F44" s="41">
        <v>-4.5992178173128826</v>
      </c>
      <c r="G44" s="47">
        <v>-4.737590601864035</v>
      </c>
      <c r="H44" s="47">
        <v>-4.4916688654645043</v>
      </c>
      <c r="I44" s="47">
        <v>-3.0937973916493924</v>
      </c>
      <c r="J44" s="47">
        <v>-2.8778117919471153</v>
      </c>
      <c r="K44" s="47">
        <v>-2.1686331087302921</v>
      </c>
      <c r="L44" s="47">
        <v>-3.8399415175904474</v>
      </c>
      <c r="M44" s="47">
        <v>-6.4237342468625602</v>
      </c>
      <c r="N44" s="47">
        <v>-6.4082490092491877</v>
      </c>
      <c r="O44" s="47">
        <v>-6.1393793448500471</v>
      </c>
      <c r="P44" s="47">
        <v>-4.8606967154785314</v>
      </c>
      <c r="Q44" s="47">
        <v>-3.5530621994409692</v>
      </c>
    </row>
    <row r="45" spans="2:17" x14ac:dyDescent="0.35">
      <c r="B45" s="35"/>
      <c r="C45" s="19"/>
      <c r="D45" s="19"/>
      <c r="E45" s="19"/>
      <c r="F45" s="19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</row>
    <row r="46" spans="2:17" x14ac:dyDescent="0.35">
      <c r="B46" s="35" t="s">
        <v>48</v>
      </c>
      <c r="C46" s="9">
        <v>0</v>
      </c>
      <c r="D46" s="9">
        <v>1.643</v>
      </c>
      <c r="E46" s="9">
        <v>4.5149999999999997</v>
      </c>
      <c r="F46" s="9">
        <v>59.926000000000002</v>
      </c>
      <c r="G46" s="97">
        <v>60.381</v>
      </c>
      <c r="H46" s="21">
        <v>60.381</v>
      </c>
      <c r="I46" s="21">
        <v>61.707999999999998</v>
      </c>
      <c r="J46" s="106">
        <v>61.707999999999998</v>
      </c>
      <c r="K46" s="106">
        <v>66.561999999999998</v>
      </c>
      <c r="L46" s="106">
        <v>68.039000000000001</v>
      </c>
      <c r="M46" s="106">
        <v>77.932000000000002</v>
      </c>
      <c r="N46" s="106">
        <v>165.11099999999999</v>
      </c>
      <c r="O46" s="106">
        <v>181.62210000000002</v>
      </c>
      <c r="P46" s="106">
        <v>199.78431000000003</v>
      </c>
      <c r="Q46" s="106">
        <v>219.76274100000006</v>
      </c>
    </row>
    <row r="47" spans="2:17" x14ac:dyDescent="0.35">
      <c r="B47" s="35" t="s">
        <v>49</v>
      </c>
      <c r="C47" s="9">
        <v>0</v>
      </c>
      <c r="D47" s="9">
        <v>0</v>
      </c>
      <c r="E47" s="9">
        <v>324.66233</v>
      </c>
      <c r="F47" s="9">
        <v>375.16503</v>
      </c>
      <c r="G47" s="97">
        <v>350.48933</v>
      </c>
      <c r="H47" s="21">
        <v>305.51731000000001</v>
      </c>
      <c r="I47" s="21">
        <v>277.464</v>
      </c>
      <c r="J47" s="106">
        <v>253.25800000000001</v>
      </c>
      <c r="K47" s="106">
        <v>242.48240999999999</v>
      </c>
      <c r="L47" s="106">
        <v>530.43759</v>
      </c>
      <c r="M47" s="106">
        <v>2475.7890000000002</v>
      </c>
      <c r="N47" s="106">
        <v>3298.3429999999998</v>
      </c>
      <c r="O47" s="21">
        <v>3177.4424989807812</v>
      </c>
      <c r="P47" s="21">
        <v>3048.5271658083643</v>
      </c>
      <c r="Q47" s="21">
        <v>2878.2337420664835</v>
      </c>
    </row>
    <row r="48" spans="2:17" x14ac:dyDescent="0.35">
      <c r="B48" s="35"/>
      <c r="C48" s="19"/>
      <c r="D48" s="19"/>
      <c r="E48" s="19"/>
      <c r="F48" s="19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</row>
    <row r="49" spans="2:17" x14ac:dyDescent="0.35">
      <c r="B49" s="38" t="s">
        <v>50</v>
      </c>
      <c r="C49" s="39">
        <f>C43-C46+C47</f>
        <v>-1295.4835499999997</v>
      </c>
      <c r="D49" s="39">
        <f t="shared" ref="D49:Q49" si="4">D43-D46+D47</f>
        <v>-3751.5070700000001</v>
      </c>
      <c r="E49" s="39">
        <f t="shared" si="4"/>
        <v>-2836.19292779747</v>
      </c>
      <c r="F49" s="39">
        <f t="shared" si="4"/>
        <v>-2598.7609899999998</v>
      </c>
      <c r="G49" s="39">
        <f t="shared" si="4"/>
        <v>-3076.4661900000006</v>
      </c>
      <c r="H49" s="39">
        <f t="shared" si="4"/>
        <v>-3397.3789199999997</v>
      </c>
      <c r="I49" s="39">
        <f t="shared" si="4"/>
        <v>-3259.8729775268812</v>
      </c>
      <c r="J49" s="39">
        <f t="shared" si="4"/>
        <v>-3095.0273300000003</v>
      </c>
      <c r="K49" s="39">
        <f t="shared" si="4"/>
        <v>-3103.7356099999997</v>
      </c>
      <c r="L49" s="94">
        <f t="shared" si="4"/>
        <v>-6009.5073199999988</v>
      </c>
      <c r="M49" s="39">
        <f t="shared" si="4"/>
        <v>-8861.0182799999984</v>
      </c>
      <c r="N49" s="39">
        <f t="shared" si="4"/>
        <v>-12598.973259999999</v>
      </c>
      <c r="O49" s="39">
        <f t="shared" si="4"/>
        <v>-19691.022369357815</v>
      </c>
      <c r="P49" s="39">
        <f t="shared" si="4"/>
        <v>-26011.270604801652</v>
      </c>
      <c r="Q49" s="39">
        <f t="shared" si="4"/>
        <v>-30979.051977423813</v>
      </c>
    </row>
    <row r="50" spans="2:17" x14ac:dyDescent="0.35">
      <c r="B50" s="40" t="s">
        <v>51</v>
      </c>
      <c r="C50" s="47">
        <v>-4.340300897400013</v>
      </c>
      <c r="D50" s="47">
        <v>-9.4216360190813528</v>
      </c>
      <c r="E50" s="47">
        <v>-5.1110297995611909</v>
      </c>
      <c r="F50" s="47">
        <v>-4.101670475673389</v>
      </c>
      <c r="G50" s="47">
        <v>-4.329337497836363</v>
      </c>
      <c r="H50" s="47">
        <v>-4.1893856732479389</v>
      </c>
      <c r="I50" s="47">
        <v>-2.9017442828887225</v>
      </c>
      <c r="J50" s="47">
        <v>-2.710085676478696</v>
      </c>
      <c r="K50" s="47">
        <v>-2.0523078528800132</v>
      </c>
      <c r="L50" s="47">
        <v>-3.5655890211067205</v>
      </c>
      <c r="M50" s="47">
        <v>-5.0556405654856116</v>
      </c>
      <c r="N50" s="47">
        <v>-5.1319796923976826</v>
      </c>
      <c r="O50" s="47">
        <v>-5.3286681292704472</v>
      </c>
      <c r="P50" s="47">
        <v>-4.3809022392434542</v>
      </c>
      <c r="Q50" s="47">
        <v>-3.2722533887494256</v>
      </c>
    </row>
    <row r="51" spans="2:17" x14ac:dyDescent="0.35">
      <c r="B51" s="40"/>
      <c r="C51" s="19"/>
      <c r="D51" s="19"/>
      <c r="E51" s="19"/>
      <c r="F51" s="19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</row>
    <row r="52" spans="2:17" x14ac:dyDescent="0.35">
      <c r="B52" s="35" t="s">
        <v>52</v>
      </c>
      <c r="C52" s="46">
        <v>0</v>
      </c>
      <c r="D52" s="46">
        <v>0</v>
      </c>
      <c r="E52" s="46">
        <v>0</v>
      </c>
      <c r="F52" s="46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</row>
    <row r="53" spans="2:17" x14ac:dyDescent="0.35">
      <c r="B53" s="35"/>
      <c r="C53" s="19"/>
      <c r="D53" s="19"/>
      <c r="E53" s="19"/>
      <c r="F53" s="19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</row>
    <row r="54" spans="2:17" x14ac:dyDescent="0.35">
      <c r="B54" s="38" t="s">
        <v>53</v>
      </c>
      <c r="C54" s="39">
        <f>C49-C52</f>
        <v>-1295.4835499999997</v>
      </c>
      <c r="D54" s="39">
        <f t="shared" ref="D54:Q54" si="5">D49-D52</f>
        <v>-3751.5070700000001</v>
      </c>
      <c r="E54" s="39">
        <f t="shared" si="5"/>
        <v>-2836.19292779747</v>
      </c>
      <c r="F54" s="39">
        <f t="shared" si="5"/>
        <v>-2598.7609899999998</v>
      </c>
      <c r="G54" s="39">
        <f t="shared" si="5"/>
        <v>-3076.4661900000006</v>
      </c>
      <c r="H54" s="39">
        <f t="shared" si="5"/>
        <v>-3397.3789199999997</v>
      </c>
      <c r="I54" s="39">
        <f t="shared" si="5"/>
        <v>-3259.8729775268812</v>
      </c>
      <c r="J54" s="39">
        <f t="shared" si="5"/>
        <v>-3095.0273300000003</v>
      </c>
      <c r="K54" s="39">
        <f t="shared" si="5"/>
        <v>-3103.7356099999997</v>
      </c>
      <c r="L54" s="94">
        <f t="shared" si="5"/>
        <v>-6009.5073199999988</v>
      </c>
      <c r="M54" s="39">
        <f t="shared" si="5"/>
        <v>-8861.0182799999984</v>
      </c>
      <c r="N54" s="39">
        <f t="shared" si="5"/>
        <v>-12598.973259999999</v>
      </c>
      <c r="O54" s="39">
        <f t="shared" si="5"/>
        <v>-19691.022369357815</v>
      </c>
      <c r="P54" s="39">
        <f t="shared" si="5"/>
        <v>-26011.270604801652</v>
      </c>
      <c r="Q54" s="39">
        <f t="shared" si="5"/>
        <v>-30979.051977423813</v>
      </c>
    </row>
    <row r="55" spans="2:17" x14ac:dyDescent="0.35">
      <c r="B55" s="48" t="s">
        <v>54</v>
      </c>
      <c r="C55" s="49">
        <v>-4.340300897400013</v>
      </c>
      <c r="D55" s="49">
        <v>-9.4216360190813528</v>
      </c>
      <c r="E55" s="49">
        <v>-5.1110297995611909</v>
      </c>
      <c r="F55" s="49">
        <v>-4.101670475673389</v>
      </c>
      <c r="G55" s="99">
        <v>-4.329337497836363</v>
      </c>
      <c r="H55" s="99">
        <v>-4.1893856732479389</v>
      </c>
      <c r="I55" s="99">
        <v>-2.9017442828887225</v>
      </c>
      <c r="J55" s="99">
        <v>-2.710085676478696</v>
      </c>
      <c r="K55" s="99">
        <v>-2.0523078528800132</v>
      </c>
      <c r="L55" s="99">
        <v>-3.5655890211067205</v>
      </c>
      <c r="M55" s="99">
        <v>-5.0556405654856116</v>
      </c>
      <c r="N55" s="99">
        <v>-5.1319796923976826</v>
      </c>
      <c r="O55" s="99">
        <v>-5.3286681292704472</v>
      </c>
      <c r="P55" s="99">
        <v>-4.3809022392434542</v>
      </c>
      <c r="Q55" s="99">
        <v>-3.2722533887494256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7"/>
  <sheetViews>
    <sheetView topLeftCell="B7" zoomScaleNormal="100" workbookViewId="0">
      <selection activeCell="J21" sqref="J21"/>
    </sheetView>
  </sheetViews>
  <sheetFormatPr defaultColWidth="8.81640625" defaultRowHeight="14.5" x14ac:dyDescent="0.35"/>
  <cols>
    <col min="1" max="1" width="35.08984375" style="23" bestFit="1" customWidth="1"/>
    <col min="2" max="2" width="11.453125" style="23" bestFit="1" customWidth="1"/>
    <col min="3" max="3" width="8.81640625" style="23"/>
    <col min="4" max="4" width="21.36328125" style="23" bestFit="1" customWidth="1"/>
    <col min="5" max="8" width="8.81640625" style="23"/>
    <col min="9" max="9" width="18.36328125" style="23" bestFit="1" customWidth="1"/>
    <col min="10" max="10" width="9.81640625" style="23" bestFit="1" customWidth="1"/>
    <col min="11" max="11" width="8.81640625" style="23" bestFit="1" customWidth="1"/>
    <col min="12" max="12" width="14" style="23" bestFit="1" customWidth="1"/>
    <col min="13" max="13" width="8.81640625" style="23"/>
    <col min="14" max="14" width="14" style="23" bestFit="1" customWidth="1"/>
    <col min="15" max="16384" width="8.81640625" style="23"/>
  </cols>
  <sheetData>
    <row r="2" spans="1:15" x14ac:dyDescent="0.35">
      <c r="A2" s="23" t="s">
        <v>464</v>
      </c>
      <c r="B2" s="23" t="s">
        <v>186</v>
      </c>
      <c r="C2" s="23" t="s">
        <v>648</v>
      </c>
    </row>
    <row r="4" spans="1:15" x14ac:dyDescent="0.35">
      <c r="A4" s="23" t="s">
        <v>469</v>
      </c>
      <c r="B4" s="24">
        <v>-20084</v>
      </c>
      <c r="C4" s="125">
        <f>B4/1000</f>
        <v>-20.084</v>
      </c>
    </row>
    <row r="5" spans="1:15" x14ac:dyDescent="0.35">
      <c r="A5" s="23" t="s">
        <v>468</v>
      </c>
      <c r="B5" s="24">
        <v>91179.66</v>
      </c>
      <c r="C5" s="125">
        <f>B5/1000</f>
        <v>91.179659999999998</v>
      </c>
    </row>
    <row r="6" spans="1:15" x14ac:dyDescent="0.35">
      <c r="A6" s="23" t="s">
        <v>471</v>
      </c>
      <c r="B6" s="24">
        <v>357158.66</v>
      </c>
      <c r="C6" s="125">
        <f>B6/1000</f>
        <v>357.15866</v>
      </c>
    </row>
    <row r="7" spans="1:15" x14ac:dyDescent="0.35">
      <c r="A7" s="23" t="s">
        <v>85</v>
      </c>
      <c r="B7" s="24" t="s">
        <v>85</v>
      </c>
      <c r="I7" s="23" t="s">
        <v>676</v>
      </c>
    </row>
    <row r="8" spans="1:15" x14ac:dyDescent="0.35">
      <c r="A8" s="23" t="s">
        <v>30</v>
      </c>
      <c r="B8" s="24">
        <v>71095.659999999974</v>
      </c>
      <c r="C8" s="125">
        <f>B8/1000</f>
        <v>71.095659999999981</v>
      </c>
      <c r="I8" s="23" t="s">
        <v>649</v>
      </c>
      <c r="J8" s="123">
        <v>2903.22</v>
      </c>
      <c r="K8" s="123">
        <f>J8/1000</f>
        <v>2.9032199999999997</v>
      </c>
      <c r="L8" s="23" t="s">
        <v>268</v>
      </c>
      <c r="N8" s="23" t="s">
        <v>192</v>
      </c>
      <c r="O8" s="24">
        <f t="shared" ref="O8:O13" si="0">SUMIF(L:L,N8,K:K)</f>
        <v>2641.3768999999998</v>
      </c>
    </row>
    <row r="9" spans="1:15" x14ac:dyDescent="0.35">
      <c r="B9" s="24"/>
      <c r="I9" s="23" t="s">
        <v>650</v>
      </c>
      <c r="J9" s="123">
        <v>110000</v>
      </c>
      <c r="K9" s="123">
        <f t="shared" ref="K9:K46" si="1">J9/1000</f>
        <v>110</v>
      </c>
      <c r="L9" s="23" t="s">
        <v>192</v>
      </c>
      <c r="N9" s="23" t="s">
        <v>188</v>
      </c>
      <c r="O9" s="24">
        <f t="shared" si="0"/>
        <v>135.548</v>
      </c>
    </row>
    <row r="10" spans="1:15" x14ac:dyDescent="0.35">
      <c r="A10" s="23" t="s">
        <v>495</v>
      </c>
      <c r="B10" s="24">
        <v>905566.5</v>
      </c>
      <c r="C10" s="125">
        <f>B10/1000</f>
        <v>905.56650000000002</v>
      </c>
      <c r="D10" s="23" t="s">
        <v>31</v>
      </c>
      <c r="I10" s="23" t="s">
        <v>651</v>
      </c>
      <c r="J10" s="123">
        <v>75000</v>
      </c>
      <c r="K10" s="123">
        <f t="shared" si="1"/>
        <v>75</v>
      </c>
      <c r="L10" s="23" t="s">
        <v>192</v>
      </c>
      <c r="N10" s="23" t="s">
        <v>352</v>
      </c>
      <c r="O10" s="24">
        <f t="shared" si="0"/>
        <v>30.2</v>
      </c>
    </row>
    <row r="11" spans="1:15" x14ac:dyDescent="0.35">
      <c r="A11" s="23" t="s">
        <v>494</v>
      </c>
      <c r="B11" s="24">
        <v>99259.91</v>
      </c>
      <c r="C11" s="125">
        <f>B11/1000</f>
        <v>99.259910000000005</v>
      </c>
      <c r="D11" s="23" t="s">
        <v>33</v>
      </c>
      <c r="I11" s="23" t="s">
        <v>652</v>
      </c>
      <c r="J11" s="123">
        <v>73200</v>
      </c>
      <c r="K11" s="123">
        <f t="shared" si="1"/>
        <v>73.2</v>
      </c>
      <c r="L11" s="23" t="s">
        <v>192</v>
      </c>
      <c r="N11" s="23" t="s">
        <v>190</v>
      </c>
      <c r="O11" s="24">
        <f t="shared" si="0"/>
        <v>77.611999999999995</v>
      </c>
    </row>
    <row r="12" spans="1:15" x14ac:dyDescent="0.35">
      <c r="A12" s="23" t="s">
        <v>646</v>
      </c>
      <c r="B12" s="24">
        <v>4035.6</v>
      </c>
      <c r="C12" s="125">
        <f>B12/1000</f>
        <v>4.0355999999999996</v>
      </c>
      <c r="D12" s="23" t="s">
        <v>31</v>
      </c>
      <c r="I12" s="23" t="s">
        <v>442</v>
      </c>
      <c r="J12" s="123">
        <v>30929</v>
      </c>
      <c r="K12" s="123">
        <f t="shared" si="1"/>
        <v>30.928999999999998</v>
      </c>
      <c r="L12" s="23" t="s">
        <v>192</v>
      </c>
      <c r="N12" s="23" t="s">
        <v>268</v>
      </c>
      <c r="O12" s="24">
        <f t="shared" si="0"/>
        <v>108.86551</v>
      </c>
    </row>
    <row r="13" spans="1:15" x14ac:dyDescent="0.35">
      <c r="A13" s="23" t="s">
        <v>496</v>
      </c>
      <c r="B13" s="24">
        <v>43333.33</v>
      </c>
      <c r="C13" s="125">
        <f>B13/1000</f>
        <v>43.333330000000004</v>
      </c>
      <c r="D13" s="23" t="s">
        <v>31</v>
      </c>
      <c r="I13" s="23" t="s">
        <v>653</v>
      </c>
      <c r="J13" s="123">
        <v>21800</v>
      </c>
      <c r="K13" s="123">
        <f t="shared" si="1"/>
        <v>21.8</v>
      </c>
      <c r="L13" s="23" t="s">
        <v>190</v>
      </c>
      <c r="N13" s="23" t="s">
        <v>677</v>
      </c>
      <c r="O13" s="24">
        <f t="shared" si="0"/>
        <v>21.001000000000001</v>
      </c>
    </row>
    <row r="14" spans="1:15" x14ac:dyDescent="0.35">
      <c r="A14" s="23" t="s">
        <v>85</v>
      </c>
      <c r="B14" s="24" t="s">
        <v>85</v>
      </c>
      <c r="I14" s="23" t="s">
        <v>654</v>
      </c>
      <c r="J14" s="123">
        <v>25335</v>
      </c>
      <c r="K14" s="123">
        <f t="shared" si="1"/>
        <v>25.335000000000001</v>
      </c>
      <c r="L14" s="23" t="s">
        <v>192</v>
      </c>
    </row>
    <row r="15" spans="1:15" x14ac:dyDescent="0.35">
      <c r="A15" s="23" t="s">
        <v>35</v>
      </c>
      <c r="B15" s="24">
        <v>-981099.68000000017</v>
      </c>
      <c r="C15" s="125">
        <f>B15/1000</f>
        <v>-981.09968000000015</v>
      </c>
      <c r="I15" s="23" t="s">
        <v>439</v>
      </c>
      <c r="J15" s="123">
        <v>123200</v>
      </c>
      <c r="K15" s="123">
        <f t="shared" si="1"/>
        <v>123.2</v>
      </c>
      <c r="L15" s="23" t="s">
        <v>192</v>
      </c>
    </row>
    <row r="16" spans="1:15" x14ac:dyDescent="0.35">
      <c r="B16" s="24"/>
      <c r="I16" s="23" t="s">
        <v>443</v>
      </c>
      <c r="J16" s="123">
        <v>30200</v>
      </c>
      <c r="K16" s="123">
        <f t="shared" si="1"/>
        <v>30.2</v>
      </c>
      <c r="L16" s="23" t="s">
        <v>352</v>
      </c>
    </row>
    <row r="17" spans="1:12" x14ac:dyDescent="0.35">
      <c r="A17" s="23" t="s">
        <v>487</v>
      </c>
      <c r="B17" s="24">
        <v>289000</v>
      </c>
      <c r="C17" s="125">
        <f t="shared" ref="C17:C26" si="2">B17/1000</f>
        <v>289</v>
      </c>
      <c r="D17" s="23" t="s">
        <v>42</v>
      </c>
      <c r="I17" s="23" t="s">
        <v>655</v>
      </c>
      <c r="J17" s="123">
        <v>264900</v>
      </c>
      <c r="K17" s="123">
        <f t="shared" si="1"/>
        <v>264.89999999999998</v>
      </c>
      <c r="L17" s="23" t="s">
        <v>192</v>
      </c>
    </row>
    <row r="18" spans="1:12" x14ac:dyDescent="0.35">
      <c r="A18" s="23" t="s">
        <v>492</v>
      </c>
      <c r="B18" s="24">
        <v>3014603.41</v>
      </c>
      <c r="C18" s="125">
        <f t="shared" si="2"/>
        <v>3014.6034100000002</v>
      </c>
      <c r="I18" s="23" t="s">
        <v>656</v>
      </c>
      <c r="J18" s="123">
        <v>123200</v>
      </c>
      <c r="K18" s="123">
        <f t="shared" si="1"/>
        <v>123.2</v>
      </c>
      <c r="L18" s="23" t="s">
        <v>192</v>
      </c>
    </row>
    <row r="19" spans="1:12" x14ac:dyDescent="0.35">
      <c r="A19" s="23" t="s">
        <v>489</v>
      </c>
      <c r="B19" s="24">
        <v>-0.14000000000000001</v>
      </c>
      <c r="C19" s="125">
        <f t="shared" si="2"/>
        <v>-1.4000000000000001E-4</v>
      </c>
      <c r="D19" s="23" t="s">
        <v>42</v>
      </c>
      <c r="I19" s="23" t="s">
        <v>657</v>
      </c>
      <c r="J19" s="123">
        <v>28406</v>
      </c>
      <c r="K19" s="123">
        <f t="shared" si="1"/>
        <v>28.405999999999999</v>
      </c>
      <c r="L19" s="23" t="s">
        <v>190</v>
      </c>
    </row>
    <row r="20" spans="1:12" x14ac:dyDescent="0.35">
      <c r="A20" s="23" t="s">
        <v>475</v>
      </c>
      <c r="B20" s="24">
        <v>71840</v>
      </c>
      <c r="C20" s="125">
        <f t="shared" si="2"/>
        <v>71.84</v>
      </c>
      <c r="D20" s="23" t="s">
        <v>38</v>
      </c>
      <c r="I20" s="23" t="s">
        <v>450</v>
      </c>
      <c r="J20" s="123">
        <v>58200</v>
      </c>
      <c r="K20" s="123">
        <f t="shared" si="1"/>
        <v>58.2</v>
      </c>
      <c r="L20" s="23" t="s">
        <v>188</v>
      </c>
    </row>
    <row r="21" spans="1:12" x14ac:dyDescent="0.35">
      <c r="A21" s="23" t="s">
        <v>493</v>
      </c>
      <c r="B21" s="24">
        <v>826845.73</v>
      </c>
      <c r="C21" s="125">
        <f t="shared" si="2"/>
        <v>826.84573</v>
      </c>
      <c r="D21" s="23" t="s">
        <v>39</v>
      </c>
      <c r="I21" s="23" t="s">
        <v>451</v>
      </c>
      <c r="J21" s="123">
        <v>223200</v>
      </c>
      <c r="K21" s="123">
        <f t="shared" si="1"/>
        <v>223.2</v>
      </c>
      <c r="L21" s="23" t="s">
        <v>192</v>
      </c>
    </row>
    <row r="22" spans="1:12" x14ac:dyDescent="0.35">
      <c r="A22" s="23" t="s">
        <v>476</v>
      </c>
      <c r="B22" s="24">
        <v>94443.55</v>
      </c>
      <c r="C22" s="125">
        <f t="shared" si="2"/>
        <v>94.443550000000002</v>
      </c>
      <c r="D22" s="23" t="s">
        <v>37</v>
      </c>
      <c r="I22" s="23" t="s">
        <v>446</v>
      </c>
      <c r="J22" s="123">
        <v>26800</v>
      </c>
      <c r="K22" s="123">
        <f t="shared" si="1"/>
        <v>26.8</v>
      </c>
      <c r="L22" s="23" t="s">
        <v>188</v>
      </c>
    </row>
    <row r="23" spans="1:12" x14ac:dyDescent="0.35">
      <c r="A23" s="23" t="s">
        <v>490</v>
      </c>
      <c r="B23" s="24">
        <v>20000</v>
      </c>
      <c r="C23" s="125">
        <f t="shared" si="2"/>
        <v>20</v>
      </c>
      <c r="D23" s="23" t="s">
        <v>41</v>
      </c>
      <c r="I23" s="23" t="s">
        <v>658</v>
      </c>
      <c r="J23" s="123">
        <v>248200</v>
      </c>
      <c r="K23" s="123">
        <f t="shared" si="1"/>
        <v>248.2</v>
      </c>
      <c r="L23" s="23" t="s">
        <v>192</v>
      </c>
    </row>
    <row r="24" spans="1:12" x14ac:dyDescent="0.35">
      <c r="A24" s="23" t="s">
        <v>638</v>
      </c>
      <c r="B24" s="24">
        <v>15000</v>
      </c>
      <c r="C24" s="125">
        <f t="shared" si="2"/>
        <v>15</v>
      </c>
      <c r="D24" s="23" t="s">
        <v>417</v>
      </c>
      <c r="I24" s="23" t="s">
        <v>454</v>
      </c>
      <c r="J24" s="123">
        <v>27406</v>
      </c>
      <c r="K24" s="123">
        <f t="shared" si="1"/>
        <v>27.405999999999999</v>
      </c>
      <c r="L24" s="23" t="s">
        <v>190</v>
      </c>
    </row>
    <row r="25" spans="1:12" x14ac:dyDescent="0.35">
      <c r="A25" s="23" t="s">
        <v>486</v>
      </c>
      <c r="B25" s="24">
        <v>6994</v>
      </c>
      <c r="C25" s="125">
        <f t="shared" si="2"/>
        <v>6.9939999999999998</v>
      </c>
      <c r="D25" s="23" t="s">
        <v>42</v>
      </c>
      <c r="I25" s="23" t="s">
        <v>659</v>
      </c>
      <c r="J25" s="123">
        <v>21001</v>
      </c>
      <c r="K25" s="123">
        <f t="shared" si="1"/>
        <v>21.001000000000001</v>
      </c>
      <c r="L25" s="23" t="s">
        <v>268</v>
      </c>
    </row>
    <row r="26" spans="1:12" x14ac:dyDescent="0.35">
      <c r="A26" s="23" t="s">
        <v>488</v>
      </c>
      <c r="B26" s="24">
        <v>35150.5</v>
      </c>
      <c r="C26" s="125">
        <f t="shared" si="2"/>
        <v>35.150500000000001</v>
      </c>
      <c r="D26" s="23" t="s">
        <v>43</v>
      </c>
      <c r="I26" s="23" t="s">
        <v>660</v>
      </c>
      <c r="J26" s="123">
        <v>32000</v>
      </c>
      <c r="K26" s="123">
        <f t="shared" si="1"/>
        <v>32</v>
      </c>
      <c r="L26" s="23" t="s">
        <v>268</v>
      </c>
    </row>
    <row r="27" spans="1:12" x14ac:dyDescent="0.35">
      <c r="A27" s="23" t="s">
        <v>478</v>
      </c>
      <c r="B27" s="24">
        <v>0</v>
      </c>
      <c r="I27" s="23" t="s">
        <v>661</v>
      </c>
      <c r="J27" s="123">
        <v>73381</v>
      </c>
      <c r="K27" s="123">
        <f t="shared" si="1"/>
        <v>73.381</v>
      </c>
      <c r="L27" s="23" t="s">
        <v>192</v>
      </c>
    </row>
    <row r="28" spans="1:12" x14ac:dyDescent="0.35">
      <c r="A28" s="23" t="s">
        <v>479</v>
      </c>
      <c r="B28" s="24">
        <v>49099</v>
      </c>
      <c r="C28" s="125">
        <f>B28/1000</f>
        <v>49.098999999999997</v>
      </c>
      <c r="D28" s="23" t="s">
        <v>417</v>
      </c>
      <c r="I28" s="23" t="s">
        <v>444</v>
      </c>
      <c r="J28" s="123">
        <v>69050</v>
      </c>
      <c r="K28" s="123">
        <f t="shared" si="1"/>
        <v>69.05</v>
      </c>
      <c r="L28" s="23" t="s">
        <v>192</v>
      </c>
    </row>
    <row r="29" spans="1:12" x14ac:dyDescent="0.35">
      <c r="A29" s="23" t="s">
        <v>481</v>
      </c>
      <c r="B29" s="24">
        <v>267167.37</v>
      </c>
      <c r="C29" s="125">
        <f>B29/1000</f>
        <v>267.16737000000001</v>
      </c>
      <c r="D29" s="23" t="s">
        <v>417</v>
      </c>
      <c r="I29" s="23" t="s">
        <v>447</v>
      </c>
      <c r="J29" s="123">
        <v>76000</v>
      </c>
      <c r="K29" s="123">
        <f t="shared" si="1"/>
        <v>76</v>
      </c>
      <c r="L29" s="23" t="s">
        <v>192</v>
      </c>
    </row>
    <row r="30" spans="1:12" x14ac:dyDescent="0.35">
      <c r="A30" s="23" t="s">
        <v>480</v>
      </c>
      <c r="B30" s="24">
        <v>3450</v>
      </c>
      <c r="C30" s="125">
        <f>B30/1000</f>
        <v>3.45</v>
      </c>
      <c r="D30" s="23" t="s">
        <v>417</v>
      </c>
      <c r="I30" s="23" t="s">
        <v>662</v>
      </c>
      <c r="J30" s="123">
        <v>52800</v>
      </c>
      <c r="K30" s="123">
        <f t="shared" si="1"/>
        <v>52.8</v>
      </c>
      <c r="L30" s="23" t="s">
        <v>192</v>
      </c>
    </row>
    <row r="31" spans="1:12" x14ac:dyDescent="0.35">
      <c r="A31" s="23" t="s">
        <v>483</v>
      </c>
      <c r="B31" s="24">
        <v>319716.37</v>
      </c>
      <c r="I31" s="23" t="s">
        <v>445</v>
      </c>
      <c r="J31" s="123">
        <v>25000</v>
      </c>
      <c r="K31" s="123">
        <f t="shared" si="1"/>
        <v>25</v>
      </c>
      <c r="L31" s="23" t="s">
        <v>188</v>
      </c>
    </row>
    <row r="32" spans="1:12" x14ac:dyDescent="0.35">
      <c r="B32" s="24"/>
      <c r="I32" s="23" t="s">
        <v>663</v>
      </c>
      <c r="J32" s="123">
        <v>29600</v>
      </c>
      <c r="K32" s="123">
        <f t="shared" si="1"/>
        <v>29.6</v>
      </c>
      <c r="L32" s="23" t="s">
        <v>192</v>
      </c>
    </row>
    <row r="33" spans="1:12" x14ac:dyDescent="0.35">
      <c r="A33" s="23" t="s">
        <v>85</v>
      </c>
      <c r="B33" s="24" t="s">
        <v>85</v>
      </c>
      <c r="I33" s="23" t="s">
        <v>664</v>
      </c>
      <c r="J33" s="123">
        <v>29800</v>
      </c>
      <c r="K33" s="123">
        <f t="shared" si="1"/>
        <v>29.8</v>
      </c>
      <c r="L33" s="23" t="s">
        <v>268</v>
      </c>
    </row>
    <row r="34" spans="1:12" x14ac:dyDescent="0.35">
      <c r="A34" s="23" t="s">
        <v>44</v>
      </c>
      <c r="B34" s="24">
        <v>-5674693.0999999996</v>
      </c>
      <c r="C34" s="125">
        <f>B34/1000</f>
        <v>-5674.6930999999995</v>
      </c>
      <c r="I34" s="23" t="s">
        <v>665</v>
      </c>
      <c r="J34" s="123">
        <v>21001</v>
      </c>
      <c r="K34" s="123">
        <f t="shared" si="1"/>
        <v>21.001000000000001</v>
      </c>
      <c r="L34" s="23" t="s">
        <v>677</v>
      </c>
    </row>
    <row r="35" spans="1:12" x14ac:dyDescent="0.35">
      <c r="B35" s="24"/>
      <c r="I35" s="23" t="s">
        <v>650</v>
      </c>
      <c r="J35" s="123">
        <v>270790</v>
      </c>
      <c r="K35" s="123">
        <f t="shared" si="1"/>
        <v>270.79000000000002</v>
      </c>
      <c r="L35" s="23" t="s">
        <v>192</v>
      </c>
    </row>
    <row r="36" spans="1:12" x14ac:dyDescent="0.35">
      <c r="A36" s="23" t="s">
        <v>484</v>
      </c>
      <c r="B36" s="24">
        <v>1120500</v>
      </c>
      <c r="C36" s="125">
        <f>B36/1000</f>
        <v>1120.5</v>
      </c>
      <c r="D36" s="23" t="s">
        <v>46</v>
      </c>
      <c r="I36" s="23" t="s">
        <v>666</v>
      </c>
      <c r="J36" s="123">
        <v>468979</v>
      </c>
      <c r="K36" s="123">
        <f t="shared" si="1"/>
        <v>468.97899999999998</v>
      </c>
      <c r="L36" s="23" t="s">
        <v>192</v>
      </c>
    </row>
    <row r="37" spans="1:12" x14ac:dyDescent="0.35">
      <c r="A37" s="23" t="s">
        <v>85</v>
      </c>
      <c r="B37" s="24" t="s">
        <v>85</v>
      </c>
      <c r="I37" s="23" t="s">
        <v>667</v>
      </c>
      <c r="J37" s="123">
        <v>14709</v>
      </c>
      <c r="K37" s="123">
        <f t="shared" si="1"/>
        <v>14.709</v>
      </c>
      <c r="L37" s="23" t="s">
        <v>188</v>
      </c>
    </row>
    <row r="38" spans="1:12" x14ac:dyDescent="0.35">
      <c r="A38" s="23" t="s">
        <v>47</v>
      </c>
      <c r="B38" s="24">
        <v>-6795193.0999999996</v>
      </c>
      <c r="C38" s="125">
        <f>B38/1000</f>
        <v>-6795.1930999999995</v>
      </c>
      <c r="I38" s="23" t="s">
        <v>668</v>
      </c>
      <c r="J38" s="123">
        <v>10839</v>
      </c>
      <c r="K38" s="123">
        <f t="shared" si="1"/>
        <v>10.839</v>
      </c>
      <c r="L38" s="23" t="s">
        <v>188</v>
      </c>
    </row>
    <row r="39" spans="1:12" x14ac:dyDescent="0.35">
      <c r="B39" s="24"/>
      <c r="I39" s="23" t="s">
        <v>669</v>
      </c>
      <c r="J39" s="123">
        <v>50000</v>
      </c>
      <c r="K39" s="123">
        <f t="shared" si="1"/>
        <v>50</v>
      </c>
      <c r="L39" s="23" t="s">
        <v>192</v>
      </c>
    </row>
    <row r="40" spans="1:12" x14ac:dyDescent="0.35">
      <c r="A40" s="23" t="s">
        <v>85</v>
      </c>
      <c r="B40" s="24" t="s">
        <v>85</v>
      </c>
      <c r="I40" s="23" t="s">
        <v>670</v>
      </c>
      <c r="J40" s="123">
        <v>100000</v>
      </c>
      <c r="K40" s="123">
        <f t="shared" si="1"/>
        <v>100</v>
      </c>
      <c r="L40" s="23" t="s">
        <v>192</v>
      </c>
    </row>
    <row r="41" spans="1:12" x14ac:dyDescent="0.35">
      <c r="A41" s="23" t="s">
        <v>647</v>
      </c>
      <c r="B41" s="24">
        <v>-6795193.0999999996</v>
      </c>
      <c r="C41" s="125">
        <f>B41/1000</f>
        <v>-6795.1930999999995</v>
      </c>
      <c r="I41" s="23" t="s">
        <v>671</v>
      </c>
      <c r="J41" s="123">
        <v>21000</v>
      </c>
      <c r="K41" s="123">
        <f t="shared" si="1"/>
        <v>21</v>
      </c>
      <c r="L41" s="23" t="s">
        <v>192</v>
      </c>
    </row>
    <row r="42" spans="1:12" x14ac:dyDescent="0.35">
      <c r="A42" s="23" t="s">
        <v>85</v>
      </c>
      <c r="I42" s="23" t="s">
        <v>649</v>
      </c>
      <c r="J42" s="123">
        <v>18000</v>
      </c>
      <c r="K42" s="123">
        <f t="shared" si="1"/>
        <v>18</v>
      </c>
      <c r="L42" s="23" t="s">
        <v>268</v>
      </c>
    </row>
    <row r="43" spans="1:12" x14ac:dyDescent="0.35">
      <c r="I43" s="23" t="s">
        <v>672</v>
      </c>
      <c r="J43" s="123">
        <v>20000</v>
      </c>
      <c r="K43" s="123">
        <f t="shared" si="1"/>
        <v>20</v>
      </c>
      <c r="L43" s="23" t="s">
        <v>192</v>
      </c>
    </row>
    <row r="44" spans="1:12" x14ac:dyDescent="0.35">
      <c r="I44" s="23" t="s">
        <v>673</v>
      </c>
      <c r="J44" s="123">
        <v>12612.9</v>
      </c>
      <c r="K44" s="123">
        <f t="shared" si="1"/>
        <v>12.6129</v>
      </c>
      <c r="L44" s="23" t="s">
        <v>192</v>
      </c>
    </row>
    <row r="45" spans="1:12" x14ac:dyDescent="0.35">
      <c r="I45" s="23" t="s">
        <v>674</v>
      </c>
      <c r="J45" s="123">
        <v>5161.29</v>
      </c>
      <c r="K45" s="123">
        <f t="shared" si="1"/>
        <v>5.1612900000000002</v>
      </c>
      <c r="L45" s="23" t="s">
        <v>268</v>
      </c>
    </row>
    <row r="46" spans="1:12" x14ac:dyDescent="0.35">
      <c r="I46" s="23" t="s">
        <v>675</v>
      </c>
      <c r="J46" s="123">
        <v>100000</v>
      </c>
      <c r="K46" s="123">
        <f t="shared" si="1"/>
        <v>100</v>
      </c>
      <c r="L46" s="23" t="s">
        <v>192</v>
      </c>
    </row>
    <row r="47" spans="1:12" x14ac:dyDescent="0.35">
      <c r="J47" s="161">
        <f>SUM(J8:J46)</f>
        <v>3014603.4099999997</v>
      </c>
      <c r="K47" s="161">
        <f>SUM(K8:K46)</f>
        <v>3014.6034099999997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8"/>
  <sheetViews>
    <sheetView zoomScaleNormal="100" workbookViewId="0">
      <selection activeCell="C1" sqref="C1"/>
    </sheetView>
  </sheetViews>
  <sheetFormatPr defaultColWidth="8.81640625" defaultRowHeight="14.5" x14ac:dyDescent="0.35"/>
  <cols>
    <col min="1" max="1" width="49.81640625" style="113" bestFit="1" customWidth="1"/>
    <col min="2" max="2" width="49.81640625" style="113" customWidth="1"/>
    <col min="3" max="6" width="20.453125" style="113" customWidth="1"/>
    <col min="7" max="7" width="44.453125" style="113" bestFit="1" customWidth="1"/>
    <col min="8" max="16384" width="8.81640625" style="113"/>
  </cols>
  <sheetData>
    <row r="1" spans="1:7" x14ac:dyDescent="0.35">
      <c r="A1" s="111" t="s">
        <v>464</v>
      </c>
      <c r="B1" s="111"/>
      <c r="C1" s="112" t="s">
        <v>498</v>
      </c>
      <c r="D1" s="112" t="s">
        <v>465</v>
      </c>
      <c r="E1" s="112" t="s">
        <v>466</v>
      </c>
      <c r="F1" s="112" t="s">
        <v>499</v>
      </c>
      <c r="G1" s="113" t="s">
        <v>433</v>
      </c>
    </row>
    <row r="3" spans="1:7" x14ac:dyDescent="0.35">
      <c r="A3" s="114" t="s">
        <v>70</v>
      </c>
      <c r="B3" s="121"/>
      <c r="C3" s="115" t="s">
        <v>85</v>
      </c>
      <c r="D3" s="115" t="s">
        <v>85</v>
      </c>
      <c r="E3" s="115" t="s">
        <v>85</v>
      </c>
      <c r="F3" s="115" t="s">
        <v>85</v>
      </c>
    </row>
    <row r="4" spans="1:7" x14ac:dyDescent="0.35">
      <c r="A4" s="110" t="s">
        <v>500</v>
      </c>
      <c r="B4" s="110" t="str">
        <f>TRIM(A4)</f>
        <v>Accounts Receivable</v>
      </c>
      <c r="C4" s="116">
        <v>46586.66</v>
      </c>
      <c r="D4" s="116">
        <v>1065481.6200000001</v>
      </c>
      <c r="E4" s="116">
        <v>117038.48</v>
      </c>
      <c r="F4" s="116">
        <v>995029.8</v>
      </c>
      <c r="G4" s="113" t="str">
        <f>VLOOKUP(B4,'TB 1124'!A:A,1,0)</f>
        <v>Accounts Receivable</v>
      </c>
    </row>
    <row r="5" spans="1:7" x14ac:dyDescent="0.35">
      <c r="A5" s="114" t="s">
        <v>501</v>
      </c>
      <c r="B5" s="114" t="str">
        <f t="shared" ref="B5:B73" si="0">TRIM(A5)</f>
        <v>Accrued Interest</v>
      </c>
      <c r="C5" s="116">
        <v>42165</v>
      </c>
      <c r="D5" s="116">
        <v>52068</v>
      </c>
      <c r="E5" s="116">
        <v>42165</v>
      </c>
      <c r="F5" s="116">
        <v>52068</v>
      </c>
      <c r="G5" s="113" t="str">
        <f>VLOOKUP(B5,'TB 1124'!A:A,1,0)</f>
        <v>Accrued Interest</v>
      </c>
    </row>
    <row r="6" spans="1:7" x14ac:dyDescent="0.35">
      <c r="A6" s="114" t="s">
        <v>502</v>
      </c>
      <c r="B6" s="114" t="str">
        <f t="shared" si="0"/>
        <v>Accumulated Amortization on Intangible Asset</v>
      </c>
      <c r="C6" s="116">
        <v>-54112</v>
      </c>
      <c r="D6" s="116">
        <v>0</v>
      </c>
      <c r="E6" s="116">
        <v>12810</v>
      </c>
      <c r="F6" s="116">
        <v>-66922</v>
      </c>
      <c r="G6" s="113" t="str">
        <f>VLOOKUP(B6,'TB 1124'!A:A,1,0)</f>
        <v>Accumulated Amortization on Intangible Asset</v>
      </c>
    </row>
    <row r="7" spans="1:7" x14ac:dyDescent="0.35">
      <c r="A7" s="114" t="s">
        <v>503</v>
      </c>
      <c r="B7" s="114" t="str">
        <f t="shared" si="0"/>
        <v>Accumulated Depreciation on Computer and Laptops</v>
      </c>
      <c r="C7" s="116">
        <v>-183219</v>
      </c>
      <c r="D7" s="116">
        <v>0</v>
      </c>
      <c r="E7" s="116">
        <v>46800</v>
      </c>
      <c r="F7" s="116">
        <v>-230019</v>
      </c>
      <c r="G7" s="113" t="str">
        <f>VLOOKUP(B7,'TB 1124'!A:A,1,0)</f>
        <v>Accumulated Depreciation on Computer and Laptops</v>
      </c>
    </row>
    <row r="8" spans="1:7" x14ac:dyDescent="0.35">
      <c r="A8" s="114" t="s">
        <v>504</v>
      </c>
      <c r="B8" s="114" t="str">
        <f t="shared" si="0"/>
        <v>Accumulated Depreciation on Office Equipment</v>
      </c>
      <c r="C8" s="116">
        <v>-11223</v>
      </c>
      <c r="D8" s="116">
        <v>0</v>
      </c>
      <c r="E8" s="116">
        <v>2098</v>
      </c>
      <c r="F8" s="116">
        <v>-13321</v>
      </c>
      <c r="G8" s="113" t="str">
        <f>VLOOKUP(B8,'TB 1124'!A:A,1,0)</f>
        <v>Accumulated Depreciation on Office Equipment</v>
      </c>
    </row>
    <row r="9" spans="1:7" x14ac:dyDescent="0.35">
      <c r="A9" s="114" t="s">
        <v>505</v>
      </c>
      <c r="B9" s="114" t="str">
        <f t="shared" si="0"/>
        <v>Amazon Wallet</v>
      </c>
      <c r="C9" s="116">
        <v>305.98</v>
      </c>
      <c r="D9" s="116">
        <v>0</v>
      </c>
      <c r="E9" s="116">
        <v>0</v>
      </c>
      <c r="F9" s="116">
        <v>305.98</v>
      </c>
      <c r="G9" s="113" t="str">
        <f>VLOOKUP(B9,'TB 1124'!A:A,1,0)</f>
        <v>Amazon Wallet</v>
      </c>
    </row>
    <row r="10" spans="1:7" x14ac:dyDescent="0.35">
      <c r="A10" s="114" t="s">
        <v>506</v>
      </c>
      <c r="B10" s="114" t="str">
        <f t="shared" si="0"/>
        <v>Axis Bank 1655</v>
      </c>
      <c r="C10" s="116">
        <v>7518.65</v>
      </c>
      <c r="D10" s="116">
        <v>5707.69</v>
      </c>
      <c r="E10" s="116">
        <v>118</v>
      </c>
      <c r="F10" s="116">
        <v>13108.34</v>
      </c>
      <c r="G10" s="113" t="str">
        <f>VLOOKUP(B10,'TB 1124'!A:A,1,0)</f>
        <v>Axis Bank 1655</v>
      </c>
    </row>
    <row r="11" spans="1:7" x14ac:dyDescent="0.35">
      <c r="A11" s="114" t="s">
        <v>507</v>
      </c>
      <c r="B11" s="114" t="str">
        <f t="shared" si="0"/>
        <v>Computer and Laptops</v>
      </c>
      <c r="C11" s="116">
        <v>889161.02</v>
      </c>
      <c r="D11" s="116">
        <v>52500</v>
      </c>
      <c r="E11" s="116">
        <v>0</v>
      </c>
      <c r="F11" s="116">
        <v>941661.02</v>
      </c>
      <c r="G11" s="113" t="str">
        <f>VLOOKUP(B11,'TB 1124'!A:A,1,0)</f>
        <v>Computer and Laptops</v>
      </c>
    </row>
    <row r="12" spans="1:7" x14ac:dyDescent="0.35">
      <c r="A12" s="114" t="s">
        <v>508</v>
      </c>
      <c r="B12" s="114" t="str">
        <f t="shared" si="0"/>
        <v>Input Tax Credits</v>
      </c>
      <c r="C12" s="116">
        <v>0</v>
      </c>
      <c r="D12" s="116">
        <v>0</v>
      </c>
      <c r="E12" s="116">
        <v>0</v>
      </c>
      <c r="F12" s="116">
        <v>0</v>
      </c>
    </row>
    <row r="13" spans="1:7" x14ac:dyDescent="0.35">
      <c r="A13" s="114" t="s">
        <v>509</v>
      </c>
      <c r="B13" s="114" t="str">
        <f t="shared" si="0"/>
        <v>Input CGST</v>
      </c>
      <c r="C13" s="116">
        <v>452694.54</v>
      </c>
      <c r="D13" s="116">
        <v>93888.38</v>
      </c>
      <c r="E13" s="116">
        <v>33030</v>
      </c>
      <c r="F13" s="116">
        <v>513552.92</v>
      </c>
      <c r="G13" s="113" t="str">
        <f>VLOOKUP(B13,'TB 1124'!A:A,1,0)</f>
        <v>Input CGST</v>
      </c>
    </row>
    <row r="14" spans="1:7" x14ac:dyDescent="0.35">
      <c r="A14" s="114" t="s">
        <v>510</v>
      </c>
      <c r="B14" s="114" t="str">
        <f t="shared" si="0"/>
        <v>Input IGST</v>
      </c>
      <c r="C14" s="116">
        <v>58514.46</v>
      </c>
      <c r="D14" s="116">
        <v>34363.949999999997</v>
      </c>
      <c r="E14" s="116">
        <v>33.5</v>
      </c>
      <c r="F14" s="116">
        <v>92844.91</v>
      </c>
      <c r="G14" s="113" t="str">
        <f>VLOOKUP(B14,'TB 1124'!A:A,1,0)</f>
        <v>Input IGST</v>
      </c>
    </row>
    <row r="15" spans="1:7" x14ac:dyDescent="0.35">
      <c r="A15" s="114" t="s">
        <v>511</v>
      </c>
      <c r="B15" s="114" t="str">
        <f t="shared" si="0"/>
        <v>Input SGST</v>
      </c>
      <c r="C15" s="116">
        <v>452694.56</v>
      </c>
      <c r="D15" s="116">
        <v>93888.38</v>
      </c>
      <c r="E15" s="116">
        <v>33030</v>
      </c>
      <c r="F15" s="116">
        <v>513552.94</v>
      </c>
      <c r="G15" s="113" t="str">
        <f>VLOOKUP(B15,'TB 1124'!A:A,1,0)</f>
        <v>Input SGST</v>
      </c>
    </row>
    <row r="16" spans="1:7" ht="15.5" x14ac:dyDescent="0.35">
      <c r="A16" s="117" t="s">
        <v>512</v>
      </c>
      <c r="B16" s="117" t="str">
        <f t="shared" si="0"/>
        <v>Total for Input Tax Credits</v>
      </c>
      <c r="C16" s="118">
        <v>963903.56</v>
      </c>
      <c r="D16" s="118">
        <v>222140.71</v>
      </c>
      <c r="E16" s="118">
        <v>66093.5</v>
      </c>
      <c r="F16" s="118">
        <v>1119950.77</v>
      </c>
    </row>
    <row r="17" spans="1:7" x14ac:dyDescent="0.35">
      <c r="A17" s="120"/>
      <c r="B17" s="120" t="str">
        <f t="shared" si="0"/>
        <v/>
      </c>
    </row>
    <row r="18" spans="1:7" x14ac:dyDescent="0.35">
      <c r="A18" s="114" t="s">
        <v>513</v>
      </c>
      <c r="B18" s="114" t="str">
        <f t="shared" si="0"/>
        <v>Intangible Asset</v>
      </c>
      <c r="C18" s="116">
        <v>1537167.67</v>
      </c>
      <c r="D18" s="116">
        <v>0</v>
      </c>
      <c r="E18" s="116">
        <v>0</v>
      </c>
      <c r="F18" s="116">
        <v>1537167.67</v>
      </c>
      <c r="G18" s="113" t="str">
        <f>VLOOKUP(B18,'TB 1124'!A:A,1,0)</f>
        <v>Intangible Asset</v>
      </c>
    </row>
    <row r="19" spans="1:7" x14ac:dyDescent="0.35">
      <c r="A19" s="114" t="s">
        <v>514</v>
      </c>
      <c r="B19" s="114" t="str">
        <f t="shared" si="0"/>
        <v>Investments</v>
      </c>
      <c r="C19" s="116">
        <v>0</v>
      </c>
      <c r="D19" s="116">
        <v>0</v>
      </c>
      <c r="E19" s="116">
        <v>0</v>
      </c>
      <c r="F19" s="116">
        <v>0</v>
      </c>
    </row>
    <row r="20" spans="1:7" x14ac:dyDescent="0.35">
      <c r="A20" s="114" t="s">
        <v>515</v>
      </c>
      <c r="B20" s="114" t="str">
        <f t="shared" si="0"/>
        <v>Fixed Deposit 9349705911</v>
      </c>
      <c r="C20" s="116">
        <v>3500000</v>
      </c>
      <c r="D20" s="116">
        <v>0</v>
      </c>
      <c r="E20" s="116">
        <v>3500000</v>
      </c>
      <c r="F20" s="116">
        <v>0</v>
      </c>
      <c r="G20" s="113" t="str">
        <f>VLOOKUP(B20,'TB 1124'!A:A,1,0)</f>
        <v>Fixed Deposit 9349705911</v>
      </c>
    </row>
    <row r="21" spans="1:7" x14ac:dyDescent="0.35">
      <c r="A21" s="114" t="s">
        <v>516</v>
      </c>
      <c r="B21" s="114" t="str">
        <f t="shared" si="0"/>
        <v>Fixed Deposit 9349728040</v>
      </c>
      <c r="C21" s="116">
        <v>0</v>
      </c>
      <c r="D21" s="116">
        <v>3500000</v>
      </c>
      <c r="E21" s="116">
        <v>3500000</v>
      </c>
      <c r="F21" s="116">
        <v>0</v>
      </c>
      <c r="G21" s="113" t="str">
        <f>VLOOKUP(B21,'TB 1124'!A:A,1,0)</f>
        <v>Fixed Deposit 9349728040</v>
      </c>
    </row>
    <row r="22" spans="1:7" x14ac:dyDescent="0.35">
      <c r="A22" s="114" t="s">
        <v>517</v>
      </c>
      <c r="B22" s="114" t="str">
        <f t="shared" si="0"/>
        <v>Fixed Deposit 9349736649</v>
      </c>
      <c r="C22" s="116">
        <v>0</v>
      </c>
      <c r="D22" s="116">
        <v>38000000</v>
      </c>
      <c r="E22" s="116">
        <v>0</v>
      </c>
      <c r="F22" s="116">
        <v>38000000</v>
      </c>
      <c r="G22" s="113" t="str">
        <f>VLOOKUP(B22,'TB 1124'!A:A,1,0)</f>
        <v>Fixed Deposit 9349736649</v>
      </c>
    </row>
    <row r="23" spans="1:7" x14ac:dyDescent="0.35">
      <c r="A23" s="114" t="s">
        <v>518</v>
      </c>
      <c r="B23" s="114" t="str">
        <f t="shared" si="0"/>
        <v>Fixed Deposit 9349736656</v>
      </c>
      <c r="C23" s="116">
        <v>0</v>
      </c>
      <c r="D23" s="116">
        <v>2000000</v>
      </c>
      <c r="E23" s="116">
        <v>0</v>
      </c>
      <c r="F23" s="116">
        <v>2000000</v>
      </c>
      <c r="G23" s="113" t="str">
        <f>VLOOKUP(B23,'TB 1124'!A:A,1,0)</f>
        <v>Fixed Deposit 9349736656</v>
      </c>
    </row>
    <row r="24" spans="1:7" x14ac:dyDescent="0.35">
      <c r="A24" s="114" t="s">
        <v>519</v>
      </c>
      <c r="B24" s="114" t="str">
        <f t="shared" si="0"/>
        <v>Fixed Deposits 9349517019</v>
      </c>
      <c r="C24" s="116">
        <v>40000000</v>
      </c>
      <c r="D24" s="116">
        <v>0</v>
      </c>
      <c r="E24" s="116">
        <v>40000000</v>
      </c>
      <c r="F24" s="116">
        <v>0</v>
      </c>
      <c r="G24" s="113" t="str">
        <f>VLOOKUP(B24,'TB 1124'!A:A,1,0)</f>
        <v>Fixed Deposits 9349517019</v>
      </c>
    </row>
    <row r="25" spans="1:7" x14ac:dyDescent="0.35">
      <c r="A25" s="114" t="s">
        <v>520</v>
      </c>
      <c r="B25" s="114" t="str">
        <f t="shared" si="0"/>
        <v>Fixed deposits 9349669329</v>
      </c>
      <c r="C25" s="116">
        <v>10000000</v>
      </c>
      <c r="D25" s="116">
        <v>0</v>
      </c>
      <c r="E25" s="116">
        <v>0</v>
      </c>
      <c r="F25" s="116">
        <v>10000000</v>
      </c>
      <c r="G25" s="113" t="str">
        <f>VLOOKUP(B25,'TB 1124'!A:A,1,0)</f>
        <v>Fixed deposits 9349669329</v>
      </c>
    </row>
    <row r="26" spans="1:7" ht="15.5" x14ac:dyDescent="0.35">
      <c r="A26" s="117" t="s">
        <v>521</v>
      </c>
      <c r="B26" s="117" t="str">
        <f t="shared" si="0"/>
        <v>Total for Investments</v>
      </c>
      <c r="C26" s="118">
        <v>53500000</v>
      </c>
      <c r="D26" s="118">
        <v>43500000</v>
      </c>
      <c r="E26" s="118">
        <v>47000000</v>
      </c>
      <c r="F26" s="118">
        <v>50000000</v>
      </c>
    </row>
    <row r="27" spans="1:7" x14ac:dyDescent="0.35">
      <c r="A27" s="120"/>
      <c r="B27" s="120" t="str">
        <f t="shared" si="0"/>
        <v/>
      </c>
    </row>
    <row r="28" spans="1:7" x14ac:dyDescent="0.35">
      <c r="A28" s="114" t="s">
        <v>522</v>
      </c>
      <c r="B28" s="114" t="str">
        <f t="shared" si="0"/>
        <v>Kotak Mahindra Bank 9942</v>
      </c>
      <c r="C28" s="116">
        <v>723051.2</v>
      </c>
      <c r="D28" s="116">
        <v>47244929.799999997</v>
      </c>
      <c r="E28" s="116">
        <v>47125154.799999997</v>
      </c>
      <c r="F28" s="116">
        <v>842826.2</v>
      </c>
      <c r="G28" s="113" t="str">
        <f>VLOOKUP(B28,'TB 1124'!A:A,1,0)</f>
        <v>Kotak Mahindra Bank 9942</v>
      </c>
    </row>
    <row r="29" spans="1:7" x14ac:dyDescent="0.35">
      <c r="A29" s="114" t="s">
        <v>523</v>
      </c>
      <c r="B29" s="114" t="str">
        <f t="shared" si="0"/>
        <v>Kotak Mahindra Bank 9966</v>
      </c>
      <c r="C29" s="116">
        <v>836815.91</v>
      </c>
      <c r="D29" s="116">
        <v>4528141.62</v>
      </c>
      <c r="E29" s="116">
        <v>4280895.7699999996</v>
      </c>
      <c r="F29" s="116">
        <v>1084061.76</v>
      </c>
      <c r="G29" s="113" t="str">
        <f>VLOOKUP(B29,'TB 1124'!A:A,1,0)</f>
        <v>Kotak Mahindra Bank 9966</v>
      </c>
    </row>
    <row r="30" spans="1:7" x14ac:dyDescent="0.35">
      <c r="A30" s="114" t="s">
        <v>524</v>
      </c>
      <c r="B30" s="114" t="str">
        <f t="shared" si="0"/>
        <v>Office Equipment</v>
      </c>
      <c r="C30" s="116">
        <v>55864.5</v>
      </c>
      <c r="D30" s="116">
        <v>0</v>
      </c>
      <c r="E30" s="116">
        <v>0</v>
      </c>
      <c r="F30" s="116">
        <v>55864.5</v>
      </c>
      <c r="G30" s="113" t="str">
        <f>VLOOKUP(B30,'TB 1124'!A:A,1,0)</f>
        <v>Office Equipment</v>
      </c>
    </row>
    <row r="31" spans="1:7" x14ac:dyDescent="0.35">
      <c r="A31" s="114" t="s">
        <v>525</v>
      </c>
      <c r="B31" s="114" t="str">
        <f t="shared" si="0"/>
        <v>Petty Cash</v>
      </c>
      <c r="C31" s="116">
        <v>0</v>
      </c>
      <c r="D31" s="116">
        <v>30000</v>
      </c>
      <c r="E31" s="116">
        <v>30000</v>
      </c>
      <c r="F31" s="116">
        <v>0</v>
      </c>
      <c r="G31" s="113" t="str">
        <f>VLOOKUP(B31,'TB 1124'!A:A,1,0)</f>
        <v>Petty Cash</v>
      </c>
    </row>
    <row r="32" spans="1:7" x14ac:dyDescent="0.35">
      <c r="A32" s="114" t="s">
        <v>526</v>
      </c>
      <c r="B32" s="114" t="str">
        <f t="shared" si="0"/>
        <v>Prepaid Expense - Asset</v>
      </c>
      <c r="C32" s="116">
        <v>62500</v>
      </c>
      <c r="D32" s="116">
        <v>48919.85</v>
      </c>
      <c r="E32" s="116">
        <v>62500</v>
      </c>
      <c r="F32" s="116">
        <v>48919.85</v>
      </c>
      <c r="G32" s="113" t="str">
        <f>VLOOKUP(B32,'TB 1124'!A:A,1,0)</f>
        <v>Prepaid Expense - Asset</v>
      </c>
    </row>
    <row r="33" spans="1:7" x14ac:dyDescent="0.35">
      <c r="A33" s="114" t="s">
        <v>527</v>
      </c>
      <c r="B33" s="114" t="str">
        <f t="shared" si="0"/>
        <v>Prepaid Expenses</v>
      </c>
      <c r="C33" s="116">
        <v>118361.97</v>
      </c>
      <c r="D33" s="116">
        <v>177115.61</v>
      </c>
      <c r="E33" s="116">
        <v>278115.40000000002</v>
      </c>
      <c r="F33" s="116">
        <v>17362.18</v>
      </c>
      <c r="G33" s="113" t="str">
        <f>VLOOKUP(B33,'TB 1124'!A:A,1,0)</f>
        <v>Prepaid Expenses</v>
      </c>
    </row>
    <row r="34" spans="1:7" x14ac:dyDescent="0.35">
      <c r="A34" s="114" t="s">
        <v>528</v>
      </c>
      <c r="B34" s="114" t="str">
        <f t="shared" si="0"/>
        <v>Receipt from Customers</v>
      </c>
      <c r="C34" s="116">
        <v>0</v>
      </c>
      <c r="D34" s="116">
        <v>78630</v>
      </c>
      <c r="E34" s="116">
        <v>1031232.65</v>
      </c>
      <c r="F34" s="116">
        <v>-952602.65</v>
      </c>
      <c r="G34" s="113" t="str">
        <f>VLOOKUP(B34,'TB 1124'!A:A,1,0)</f>
        <v>Receipt from Customers</v>
      </c>
    </row>
    <row r="35" spans="1:7" x14ac:dyDescent="0.35">
      <c r="A35" s="114" t="s">
        <v>529</v>
      </c>
      <c r="B35" s="114" t="str">
        <f t="shared" si="0"/>
        <v>Reverse Charge Tax Input but not due</v>
      </c>
      <c r="C35" s="116">
        <v>246672.96</v>
      </c>
      <c r="D35" s="116">
        <v>16402.2</v>
      </c>
      <c r="E35" s="116">
        <v>0</v>
      </c>
      <c r="F35" s="116">
        <v>263075.15999999997</v>
      </c>
      <c r="G35" s="113" t="str">
        <f>VLOOKUP(B35,'TB 1124'!A:A,1,0)</f>
        <v>Reverse Charge Tax Input but not due</v>
      </c>
    </row>
    <row r="36" spans="1:7" x14ac:dyDescent="0.35">
      <c r="A36" s="114" t="s">
        <v>530</v>
      </c>
      <c r="B36" s="114" t="str">
        <f t="shared" si="0"/>
        <v>Security Deposit</v>
      </c>
      <c r="C36" s="116">
        <v>960000</v>
      </c>
      <c r="D36" s="116">
        <v>0</v>
      </c>
      <c r="E36" s="116">
        <v>0</v>
      </c>
      <c r="F36" s="116">
        <v>960000</v>
      </c>
      <c r="G36" s="113" t="str">
        <f>VLOOKUP(B36,'TB 1124'!A:A,1,0)</f>
        <v>Security Deposit</v>
      </c>
    </row>
    <row r="37" spans="1:7" x14ac:dyDescent="0.35">
      <c r="A37" s="114" t="s">
        <v>531</v>
      </c>
      <c r="B37" s="114" t="str">
        <f t="shared" si="0"/>
        <v>TDS Receivable</v>
      </c>
      <c r="C37" s="116">
        <v>93053</v>
      </c>
      <c r="D37" s="116">
        <v>23580</v>
      </c>
      <c r="E37" s="116">
        <v>0</v>
      </c>
      <c r="F37" s="116">
        <v>116633</v>
      </c>
      <c r="G37" s="113" t="str">
        <f>VLOOKUP(B37,'TB 1124'!A:A,1,0)</f>
        <v>TDS Receivable</v>
      </c>
    </row>
    <row r="38" spans="1:7" x14ac:dyDescent="0.35">
      <c r="A38" s="114" t="s">
        <v>532</v>
      </c>
      <c r="B38" s="121" t="str">
        <f t="shared" si="0"/>
        <v>Liabilities</v>
      </c>
      <c r="C38" s="115" t="s">
        <v>85</v>
      </c>
      <c r="D38" s="115" t="s">
        <v>85</v>
      </c>
      <c r="E38" s="115" t="s">
        <v>85</v>
      </c>
      <c r="F38" s="115" t="s">
        <v>85</v>
      </c>
    </row>
    <row r="39" spans="1:7" x14ac:dyDescent="0.35">
      <c r="A39" s="114" t="s">
        <v>533</v>
      </c>
      <c r="B39" s="114" t="str">
        <f t="shared" si="0"/>
        <v>Accounts Payable</v>
      </c>
      <c r="C39" s="116">
        <v>-1303886.48</v>
      </c>
      <c r="D39" s="116">
        <v>4683654.3</v>
      </c>
      <c r="E39" s="116">
        <v>4362316.71</v>
      </c>
      <c r="F39" s="116">
        <v>-982548.89000000013</v>
      </c>
      <c r="G39" s="113" t="str">
        <f>VLOOKUP(B39,'TB 1124'!A:A,1,0)</f>
        <v>Accounts Payable</v>
      </c>
    </row>
    <row r="40" spans="1:7" x14ac:dyDescent="0.35">
      <c r="A40" s="114" t="s">
        <v>534</v>
      </c>
      <c r="B40" s="114" t="str">
        <f t="shared" si="0"/>
        <v>App Wallet</v>
      </c>
      <c r="C40" s="116">
        <v>-21196.27</v>
      </c>
      <c r="D40" s="116">
        <v>12274</v>
      </c>
      <c r="E40" s="116">
        <v>78630</v>
      </c>
      <c r="F40" s="116">
        <v>-87552.27</v>
      </c>
      <c r="G40" s="113" t="str">
        <f>VLOOKUP(B40,'TB 1124'!A:A,1,0)</f>
        <v>App Wallet</v>
      </c>
    </row>
    <row r="41" spans="1:7" x14ac:dyDescent="0.35">
      <c r="A41" s="114" t="s">
        <v>535</v>
      </c>
      <c r="B41" s="114" t="str">
        <f t="shared" si="0"/>
        <v>Employee Reimbursements</v>
      </c>
      <c r="C41" s="116">
        <v>-31103</v>
      </c>
      <c r="D41" s="116">
        <v>31103</v>
      </c>
      <c r="E41" s="116">
        <v>0</v>
      </c>
      <c r="F41" s="116">
        <v>0</v>
      </c>
      <c r="G41" s="113" t="str">
        <f>VLOOKUP(B41,'TB 1124'!A:A,1,0)</f>
        <v>Employee Reimbursements</v>
      </c>
    </row>
    <row r="42" spans="1:7" x14ac:dyDescent="0.35">
      <c r="A42" s="114" t="s">
        <v>621</v>
      </c>
      <c r="B42" s="114" t="str">
        <f t="shared" si="0"/>
        <v>Employee Salaries Payable</v>
      </c>
      <c r="C42" s="116">
        <v>0</v>
      </c>
      <c r="D42" s="116">
        <v>0</v>
      </c>
      <c r="E42" s="116">
        <v>176200</v>
      </c>
      <c r="F42" s="116">
        <v>-176200</v>
      </c>
      <c r="G42" s="113" t="str">
        <f>VLOOKUP(B42,'TB 1124'!A:A,1,0)</f>
        <v>Employee Salaries Payable</v>
      </c>
    </row>
    <row r="43" spans="1:7" x14ac:dyDescent="0.35">
      <c r="A43" s="114" t="s">
        <v>536</v>
      </c>
      <c r="B43" s="114" t="str">
        <f t="shared" si="0"/>
        <v>GST Payable</v>
      </c>
      <c r="C43" s="116">
        <v>0</v>
      </c>
      <c r="D43" s="116">
        <v>0</v>
      </c>
      <c r="E43" s="116">
        <v>0</v>
      </c>
      <c r="F43" s="116">
        <v>0</v>
      </c>
    </row>
    <row r="44" spans="1:7" x14ac:dyDescent="0.35">
      <c r="A44" s="114" t="s">
        <v>537</v>
      </c>
      <c r="B44" s="114" t="str">
        <f t="shared" si="0"/>
        <v>Output CGST</v>
      </c>
      <c r="C44" s="116">
        <v>-27079.61</v>
      </c>
      <c r="D44" s="116">
        <v>22406</v>
      </c>
      <c r="E44" s="116">
        <v>43038.97</v>
      </c>
      <c r="F44" s="116">
        <v>-47712.58</v>
      </c>
      <c r="G44" s="113" t="str">
        <f>VLOOKUP(B44,'TB 1124'!A:A,1,0)</f>
        <v>Output CGST</v>
      </c>
    </row>
    <row r="45" spans="1:7" x14ac:dyDescent="0.35">
      <c r="A45" s="114" t="s">
        <v>538</v>
      </c>
      <c r="B45" s="114" t="str">
        <f t="shared" si="0"/>
        <v>Output IGST</v>
      </c>
      <c r="C45" s="116">
        <v>-7392.96</v>
      </c>
      <c r="D45" s="116">
        <v>7393</v>
      </c>
      <c r="E45" s="116">
        <v>8602.2000000000007</v>
      </c>
      <c r="F45" s="116">
        <v>-8602.16</v>
      </c>
      <c r="G45" s="113" t="str">
        <f>VLOOKUP(B45,'TB 1124'!A:A,1,0)</f>
        <v>Output IGST</v>
      </c>
    </row>
    <row r="46" spans="1:7" x14ac:dyDescent="0.35">
      <c r="A46" s="114" t="s">
        <v>539</v>
      </c>
      <c r="B46" s="114" t="str">
        <f t="shared" si="0"/>
        <v>Output SGST</v>
      </c>
      <c r="C46" s="116">
        <v>-27079.61</v>
      </c>
      <c r="D46" s="116">
        <v>22406</v>
      </c>
      <c r="E46" s="116">
        <v>43038.97</v>
      </c>
      <c r="F46" s="116">
        <v>-47712.58</v>
      </c>
      <c r="G46" s="113" t="str">
        <f>VLOOKUP(B46,'TB 1124'!A:A,1,0)</f>
        <v>Output SGST</v>
      </c>
    </row>
    <row r="47" spans="1:7" ht="15.5" x14ac:dyDescent="0.35">
      <c r="A47" s="117" t="s">
        <v>540</v>
      </c>
      <c r="B47" s="117" t="str">
        <f t="shared" si="0"/>
        <v>Total for GST Payable</v>
      </c>
      <c r="C47" s="118">
        <v>-61552.18</v>
      </c>
      <c r="D47" s="118">
        <v>52205</v>
      </c>
      <c r="E47" s="118">
        <v>94680.14</v>
      </c>
      <c r="F47" s="118">
        <v>-104027.32</v>
      </c>
    </row>
    <row r="48" spans="1:7" x14ac:dyDescent="0.35">
      <c r="A48" s="120"/>
      <c r="B48" s="120" t="str">
        <f t="shared" si="0"/>
        <v/>
      </c>
    </row>
    <row r="49" spans="1:7" x14ac:dyDescent="0.35">
      <c r="A49" s="114" t="s">
        <v>541</v>
      </c>
      <c r="B49" s="114" t="str">
        <f t="shared" si="0"/>
        <v>Professional Tax</v>
      </c>
      <c r="C49" s="116">
        <v>-3800</v>
      </c>
      <c r="D49" s="116">
        <v>3800</v>
      </c>
      <c r="E49" s="116">
        <v>4175</v>
      </c>
      <c r="F49" s="116">
        <v>-4175</v>
      </c>
      <c r="G49" s="113" t="str">
        <f>VLOOKUP(B49,'TB 1124'!A:A,1,0)</f>
        <v>Professional Tax</v>
      </c>
    </row>
    <row r="50" spans="1:7" x14ac:dyDescent="0.35">
      <c r="A50" s="114" t="s">
        <v>542</v>
      </c>
      <c r="B50" s="114" t="str">
        <f t="shared" si="0"/>
        <v>Provident Fund</v>
      </c>
      <c r="C50" s="116">
        <v>0</v>
      </c>
      <c r="D50" s="116">
        <v>0</v>
      </c>
      <c r="E50" s="116">
        <v>0</v>
      </c>
      <c r="F50" s="116">
        <v>0</v>
      </c>
    </row>
    <row r="51" spans="1:7" x14ac:dyDescent="0.35">
      <c r="A51" s="114" t="s">
        <v>543</v>
      </c>
      <c r="B51" s="114" t="str">
        <f t="shared" si="0"/>
        <v>Provident Fund - Employee</v>
      </c>
      <c r="C51" s="116">
        <v>-40386</v>
      </c>
      <c r="D51" s="116">
        <v>40386</v>
      </c>
      <c r="E51" s="116">
        <v>37204</v>
      </c>
      <c r="F51" s="116">
        <v>-37204</v>
      </c>
      <c r="G51" s="113" t="str">
        <f>VLOOKUP(B51,'TB 1124'!A:A,1,0)</f>
        <v>Provident Fund - Employee</v>
      </c>
    </row>
    <row r="52" spans="1:7" x14ac:dyDescent="0.35">
      <c r="A52" s="114" t="s">
        <v>544</v>
      </c>
      <c r="B52" s="114" t="str">
        <f t="shared" si="0"/>
        <v>Provident Fund - Employer</v>
      </c>
      <c r="C52" s="116">
        <v>-40386</v>
      </c>
      <c r="D52" s="116">
        <v>40386</v>
      </c>
      <c r="E52" s="116">
        <v>37204</v>
      </c>
      <c r="F52" s="116">
        <v>-37204</v>
      </c>
      <c r="G52" s="113" t="str">
        <f>VLOOKUP(B52,'TB 1124'!A:A,1,0)</f>
        <v>Provident Fund - Employer</v>
      </c>
    </row>
    <row r="53" spans="1:7" ht="15.5" x14ac:dyDescent="0.35">
      <c r="A53" s="117" t="s">
        <v>545</v>
      </c>
      <c r="B53" s="117" t="str">
        <f t="shared" si="0"/>
        <v>Total for Provident Fund</v>
      </c>
      <c r="C53" s="118">
        <v>-80772</v>
      </c>
      <c r="D53" s="118">
        <v>80772</v>
      </c>
      <c r="E53" s="118">
        <v>74408</v>
      </c>
      <c r="F53" s="118">
        <v>-74408</v>
      </c>
    </row>
    <row r="54" spans="1:7" x14ac:dyDescent="0.35">
      <c r="A54" s="120"/>
      <c r="B54" s="120" t="str">
        <f t="shared" si="0"/>
        <v/>
      </c>
    </row>
    <row r="55" spans="1:7" x14ac:dyDescent="0.35">
      <c r="A55" s="114" t="s">
        <v>546</v>
      </c>
      <c r="B55" s="114" t="str">
        <f t="shared" si="0"/>
        <v>Provision for Audit Fees</v>
      </c>
      <c r="C55" s="116">
        <v>-25000</v>
      </c>
      <c r="D55" s="116">
        <v>0</v>
      </c>
      <c r="E55" s="116">
        <v>0</v>
      </c>
      <c r="F55" s="116">
        <v>-25000</v>
      </c>
      <c r="G55" s="113" t="str">
        <f>VLOOKUP(B55,'TB 1124'!A:A,1,0)</f>
        <v>Provision for Audit Fees</v>
      </c>
    </row>
    <row r="56" spans="1:7" x14ac:dyDescent="0.35">
      <c r="A56" s="114" t="s">
        <v>617</v>
      </c>
      <c r="B56" s="114" t="str">
        <f t="shared" si="0"/>
        <v>Provision for Customer Acquisition Cost</v>
      </c>
      <c r="C56" s="116">
        <v>0</v>
      </c>
      <c r="D56" s="116">
        <v>0</v>
      </c>
      <c r="E56" s="116">
        <v>120000</v>
      </c>
      <c r="F56" s="116">
        <v>-120000</v>
      </c>
      <c r="G56" s="113" t="str">
        <f>VLOOKUP(B56,'TB 1124'!A:A,1,0)</f>
        <v>Provision for Customer Acquisition Cost</v>
      </c>
    </row>
    <row r="57" spans="1:7" x14ac:dyDescent="0.35">
      <c r="A57" s="114" t="s">
        <v>614</v>
      </c>
      <c r="B57" s="114" t="str">
        <f t="shared" si="0"/>
        <v>Provision for Joining &amp; Referral Bonus</v>
      </c>
      <c r="C57" s="116">
        <v>0</v>
      </c>
      <c r="D57" s="116">
        <v>0</v>
      </c>
      <c r="E57" s="116">
        <v>7500</v>
      </c>
      <c r="F57" s="116">
        <v>-7500</v>
      </c>
      <c r="G57" s="113" t="str">
        <f>VLOOKUP(B57,'TB 1124'!A:A,1,0)</f>
        <v>Provision for Joining &amp; Referral Bonus</v>
      </c>
    </row>
    <row r="58" spans="1:7" x14ac:dyDescent="0.35">
      <c r="A58" s="114" t="s">
        <v>547</v>
      </c>
      <c r="B58" s="114" t="str">
        <f t="shared" si="0"/>
        <v>Provision for Other Cost</v>
      </c>
      <c r="C58" s="116">
        <v>-13100</v>
      </c>
      <c r="D58" s="116">
        <v>13100</v>
      </c>
      <c r="E58" s="116">
        <v>13200</v>
      </c>
      <c r="F58" s="116">
        <v>-13200</v>
      </c>
      <c r="G58" s="113" t="str">
        <f>VLOOKUP(B58,'TB 1124'!A:A,1,0)</f>
        <v>Provision for Other Cost</v>
      </c>
    </row>
    <row r="59" spans="1:7" x14ac:dyDescent="0.35">
      <c r="A59" s="114" t="s">
        <v>548</v>
      </c>
      <c r="B59" s="114" t="str">
        <f t="shared" si="0"/>
        <v>Provision for PG Cost</v>
      </c>
      <c r="C59" s="116">
        <v>-17402</v>
      </c>
      <c r="D59" s="116">
        <v>0</v>
      </c>
      <c r="E59" s="116">
        <v>16233.53</v>
      </c>
      <c r="F59" s="116">
        <v>-33635.53</v>
      </c>
      <c r="G59" s="113" t="str">
        <f>VLOOKUP(B59,'TB 1124'!A:A,1,0)</f>
        <v>Provision for PG Cost</v>
      </c>
    </row>
    <row r="60" spans="1:7" x14ac:dyDescent="0.35">
      <c r="A60" s="114" t="s">
        <v>623</v>
      </c>
      <c r="B60" s="114" t="str">
        <f t="shared" si="0"/>
        <v>Provision for Service Cost</v>
      </c>
      <c r="C60" s="116">
        <v>0</v>
      </c>
      <c r="D60" s="116">
        <v>0</v>
      </c>
      <c r="E60" s="116">
        <v>8786.25</v>
      </c>
      <c r="F60" s="116">
        <v>8786.25</v>
      </c>
      <c r="G60" s="113" t="str">
        <f>VLOOKUP(B60,'TB 1124'!A:A,1,0)</f>
        <v>Provision for Service Cost</v>
      </c>
    </row>
    <row r="61" spans="1:7" x14ac:dyDescent="0.35">
      <c r="A61" s="114" t="s">
        <v>549</v>
      </c>
      <c r="B61" s="114" t="str">
        <f t="shared" si="0"/>
        <v>Provision for Software Expense</v>
      </c>
      <c r="C61" s="116">
        <v>0</v>
      </c>
      <c r="D61" s="116">
        <v>0</v>
      </c>
      <c r="E61" s="116">
        <v>27767.74</v>
      </c>
      <c r="F61" s="116">
        <v>-27767.74</v>
      </c>
      <c r="G61" s="113" t="str">
        <f>VLOOKUP(B61,'TB 1124'!A:A,1,0)</f>
        <v>Provision for Software Expense</v>
      </c>
    </row>
    <row r="62" spans="1:7" x14ac:dyDescent="0.35">
      <c r="A62" s="114" t="s">
        <v>624</v>
      </c>
      <c r="B62" s="114" t="str">
        <f t="shared" si="0"/>
        <v>Provision for TDS</v>
      </c>
      <c r="C62" s="116">
        <v>0</v>
      </c>
      <c r="D62" s="116">
        <v>0</v>
      </c>
      <c r="E62" s="116">
        <v>88.75</v>
      </c>
      <c r="F62" s="116">
        <v>88.75</v>
      </c>
      <c r="G62" s="113" t="str">
        <f>VLOOKUP(B62,'TB 1124'!A:A,1,0)</f>
        <v>Provision for TDS</v>
      </c>
    </row>
    <row r="63" spans="1:7" x14ac:dyDescent="0.35">
      <c r="A63" s="114" t="s">
        <v>550</v>
      </c>
      <c r="B63" s="114" t="str">
        <f t="shared" si="0"/>
        <v>TDS Payable</v>
      </c>
      <c r="C63" s="116">
        <v>-213199.6</v>
      </c>
      <c r="D63" s="116">
        <v>252184</v>
      </c>
      <c r="E63" s="116">
        <v>238229.01</v>
      </c>
      <c r="F63" s="116">
        <v>-199244.61</v>
      </c>
      <c r="G63" s="113" t="str">
        <f>VLOOKUP(B63,'TB 1124'!A:A,1,0)</f>
        <v>TDS Payable</v>
      </c>
    </row>
    <row r="64" spans="1:7" x14ac:dyDescent="0.35">
      <c r="A64" s="114" t="s">
        <v>551</v>
      </c>
      <c r="B64" s="114" t="str">
        <f t="shared" si="0"/>
        <v>Variable Salary Payable</v>
      </c>
      <c r="C64" s="116">
        <v>-85000</v>
      </c>
      <c r="D64" s="116">
        <v>60000</v>
      </c>
      <c r="E64" s="116">
        <v>12500</v>
      </c>
      <c r="F64" s="116">
        <v>-37500</v>
      </c>
      <c r="G64" s="113" t="str">
        <f>VLOOKUP(B64,'TB 1124'!A:A,1,0)</f>
        <v>Variable Salary Payable</v>
      </c>
    </row>
    <row r="65" spans="1:7" x14ac:dyDescent="0.35">
      <c r="A65" s="110" t="s">
        <v>552</v>
      </c>
      <c r="B65" s="122" t="str">
        <f t="shared" si="0"/>
        <v>Equities</v>
      </c>
      <c r="C65" s="115" t="s">
        <v>85</v>
      </c>
      <c r="D65" s="115" t="s">
        <v>85</v>
      </c>
      <c r="E65" s="115" t="s">
        <v>85</v>
      </c>
      <c r="F65" s="115" t="s">
        <v>85</v>
      </c>
    </row>
    <row r="66" spans="1:7" x14ac:dyDescent="0.35">
      <c r="A66" s="114" t="s">
        <v>553</v>
      </c>
      <c r="B66" s="114" t="str">
        <f t="shared" si="0"/>
        <v>Current Year Earnings</v>
      </c>
      <c r="C66" s="116">
        <v>20215664.75</v>
      </c>
      <c r="D66" s="116">
        <v>0</v>
      </c>
      <c r="E66" s="116">
        <v>0</v>
      </c>
      <c r="F66" s="116">
        <v>20215664.75</v>
      </c>
      <c r="G66" s="113" t="str">
        <f>VLOOKUP(B66,'TB 1124'!A:A,1,0)</f>
        <v>Current Year Earnings</v>
      </c>
    </row>
    <row r="67" spans="1:7" x14ac:dyDescent="0.35">
      <c r="A67" s="114" t="s">
        <v>554</v>
      </c>
      <c r="B67" s="114" t="str">
        <f t="shared" si="0"/>
        <v>Owner's Equity</v>
      </c>
      <c r="C67" s="116">
        <v>-100000</v>
      </c>
      <c r="D67" s="116">
        <v>0</v>
      </c>
      <c r="E67" s="116">
        <v>0</v>
      </c>
      <c r="F67" s="116">
        <v>-100000</v>
      </c>
      <c r="G67" s="113" t="str">
        <f>VLOOKUP(B67,'TB 1124'!A:A,1,0)</f>
        <v>Owner's Equity</v>
      </c>
    </row>
    <row r="68" spans="1:7" x14ac:dyDescent="0.35">
      <c r="A68" s="114" t="s">
        <v>555</v>
      </c>
      <c r="B68" s="114" t="str">
        <f t="shared" si="0"/>
        <v>Nexus Ventures VII Holdings LLC ESC</v>
      </c>
      <c r="C68" s="116">
        <v>-10</v>
      </c>
      <c r="D68" s="116">
        <v>0</v>
      </c>
      <c r="E68" s="116">
        <v>0</v>
      </c>
      <c r="F68" s="116">
        <v>-10</v>
      </c>
      <c r="G68" s="113" t="str">
        <f>VLOOKUP(B68,'TB 1124'!A:A,1,0)</f>
        <v>Nexus Ventures VII Holdings LLC ESC</v>
      </c>
    </row>
    <row r="69" spans="1:7" x14ac:dyDescent="0.35">
      <c r="A69" s="114" t="s">
        <v>556</v>
      </c>
      <c r="B69" s="114" t="str">
        <f t="shared" si="0"/>
        <v>Nexus Ventures VII Holdings LLC PSC</v>
      </c>
      <c r="C69" s="116">
        <v>-4207000</v>
      </c>
      <c r="D69" s="116">
        <v>0</v>
      </c>
      <c r="E69" s="116">
        <v>0</v>
      </c>
      <c r="F69" s="116">
        <v>-4207000</v>
      </c>
      <c r="G69" s="113" t="str">
        <f>VLOOKUP(B69,'TB 1124'!A:A,1,0)</f>
        <v>Nexus Ventures VII Holdings LLC PSC</v>
      </c>
    </row>
    <row r="70" spans="1:7" x14ac:dyDescent="0.35">
      <c r="A70" s="114" t="s">
        <v>557</v>
      </c>
      <c r="B70" s="114" t="str">
        <f t="shared" si="0"/>
        <v>Securities Premium</v>
      </c>
      <c r="C70" s="116">
        <v>-75792961.200000003</v>
      </c>
      <c r="D70" s="116">
        <v>0</v>
      </c>
      <c r="E70" s="116">
        <v>0</v>
      </c>
      <c r="F70" s="116">
        <v>-75792961.200000003</v>
      </c>
      <c r="G70" s="113" t="str">
        <f>VLOOKUP(B70,'TB 1124'!A:A,1,0)</f>
        <v>Securities Premium</v>
      </c>
    </row>
    <row r="71" spans="1:7" ht="15.5" x14ac:dyDescent="0.35">
      <c r="A71" s="117" t="s">
        <v>558</v>
      </c>
      <c r="B71" s="117" t="str">
        <f t="shared" si="0"/>
        <v>Total for Owner's Equity</v>
      </c>
      <c r="C71" s="118">
        <v>-80099971.200000003</v>
      </c>
      <c r="D71" s="118">
        <v>0</v>
      </c>
      <c r="E71" s="118">
        <v>0</v>
      </c>
      <c r="F71" s="118">
        <v>-80099971.200000003</v>
      </c>
    </row>
    <row r="72" spans="1:7" x14ac:dyDescent="0.35">
      <c r="A72" s="120"/>
      <c r="B72" s="120" t="str">
        <f t="shared" si="0"/>
        <v/>
      </c>
    </row>
    <row r="73" spans="1:7" x14ac:dyDescent="0.35">
      <c r="A73" s="114" t="s">
        <v>559</v>
      </c>
      <c r="B73" s="114" t="str">
        <f t="shared" si="0"/>
        <v>Retained Earnings</v>
      </c>
      <c r="C73" s="116">
        <v>1905743.9</v>
      </c>
      <c r="D73" s="116">
        <v>0</v>
      </c>
      <c r="E73" s="116">
        <v>0</v>
      </c>
      <c r="F73" s="116">
        <v>1905743.9</v>
      </c>
      <c r="G73" s="113" t="str">
        <f>VLOOKUP(B73,'TB 1124'!A:A,1,0)</f>
        <v>Retained Earnings</v>
      </c>
    </row>
    <row r="74" spans="1:7" x14ac:dyDescent="0.35">
      <c r="A74" s="114" t="s">
        <v>467</v>
      </c>
      <c r="B74" s="121" t="str">
        <f t="shared" ref="B74:B103" si="1">TRIM(A74)</f>
        <v>Income</v>
      </c>
      <c r="C74" s="115" t="s">
        <v>85</v>
      </c>
      <c r="D74" s="115" t="s">
        <v>85</v>
      </c>
      <c r="E74" s="115" t="s">
        <v>85</v>
      </c>
      <c r="F74" s="115" t="s">
        <v>85</v>
      </c>
    </row>
    <row r="75" spans="1:7" x14ac:dyDescent="0.35">
      <c r="A75" s="114" t="s">
        <v>468</v>
      </c>
      <c r="B75" s="114" t="str">
        <f t="shared" si="1"/>
        <v>Convenience and Platform Fee</v>
      </c>
      <c r="C75" s="116">
        <v>0</v>
      </c>
      <c r="D75" s="116">
        <v>0</v>
      </c>
      <c r="E75" s="116">
        <v>238699.96</v>
      </c>
      <c r="F75" s="116">
        <v>-238699.96</v>
      </c>
      <c r="G75" s="113" t="str">
        <f>VLOOKUP(B75,'TB 1124'!A:A,1,0)</f>
        <v>Convenience and Platform Fee</v>
      </c>
    </row>
    <row r="76" spans="1:7" x14ac:dyDescent="0.35">
      <c r="A76" s="114" t="s">
        <v>469</v>
      </c>
      <c r="B76" s="114" t="str">
        <f t="shared" si="1"/>
        <v>Discount</v>
      </c>
      <c r="C76" s="116">
        <v>0</v>
      </c>
      <c r="D76" s="116">
        <v>76578.13</v>
      </c>
      <c r="E76" s="116">
        <v>0</v>
      </c>
      <c r="F76" s="116">
        <v>76578.13</v>
      </c>
      <c r="G76" s="113" t="str">
        <f>VLOOKUP(B76,'TB 1124'!A:A,1,0)</f>
        <v>Discount</v>
      </c>
    </row>
    <row r="77" spans="1:7" x14ac:dyDescent="0.35">
      <c r="A77" s="114" t="s">
        <v>470</v>
      </c>
      <c r="B77" s="114" t="str">
        <f t="shared" si="1"/>
        <v>FD Interest Income</v>
      </c>
      <c r="C77" s="116">
        <v>0</v>
      </c>
      <c r="D77" s="116">
        <v>42165</v>
      </c>
      <c r="E77" s="116">
        <v>295423</v>
      </c>
      <c r="F77" s="116">
        <v>-253258</v>
      </c>
      <c r="G77" s="113" t="str">
        <f>VLOOKUP(B77,'TB 1124'!A:A,1,0)</f>
        <v>FD Interest Income</v>
      </c>
    </row>
    <row r="78" spans="1:7" x14ac:dyDescent="0.35">
      <c r="A78" s="114" t="s">
        <v>471</v>
      </c>
      <c r="B78" s="114" t="str">
        <f t="shared" si="1"/>
        <v>Maestro Revenue</v>
      </c>
      <c r="C78" s="116">
        <v>0</v>
      </c>
      <c r="D78" s="116">
        <v>0</v>
      </c>
      <c r="E78" s="116">
        <v>825081.85</v>
      </c>
      <c r="F78" s="116">
        <v>-825081.85</v>
      </c>
      <c r="G78" s="113" t="str">
        <f>VLOOKUP(B78,'TB 1124'!A:A,1,0)</f>
        <v>Maestro Revenue</v>
      </c>
    </row>
    <row r="79" spans="1:7" x14ac:dyDescent="0.35">
      <c r="A79" s="114" t="s">
        <v>472</v>
      </c>
      <c r="B79" s="121" t="str">
        <f t="shared" si="1"/>
        <v>Expense</v>
      </c>
      <c r="C79" s="115" t="s">
        <v>85</v>
      </c>
      <c r="D79" s="115" t="s">
        <v>85</v>
      </c>
      <c r="E79" s="115" t="s">
        <v>85</v>
      </c>
      <c r="F79" s="115" t="s">
        <v>85</v>
      </c>
    </row>
    <row r="80" spans="1:7" x14ac:dyDescent="0.35">
      <c r="A80" s="114" t="s">
        <v>473</v>
      </c>
      <c r="B80" s="114" t="str">
        <f t="shared" si="1"/>
        <v>Accounting Services</v>
      </c>
      <c r="C80" s="116">
        <v>0</v>
      </c>
      <c r="D80" s="116">
        <v>70000</v>
      </c>
      <c r="E80" s="116">
        <v>0</v>
      </c>
      <c r="F80" s="116">
        <v>70000</v>
      </c>
      <c r="G80" s="113" t="str">
        <f>VLOOKUP(B80,'TB 1124'!A:A,1,0)</f>
        <v>Accounting Services</v>
      </c>
    </row>
    <row r="81" spans="1:7" x14ac:dyDescent="0.35">
      <c r="A81" s="114" t="s">
        <v>474</v>
      </c>
      <c r="B81" s="114" t="str">
        <f t="shared" si="1"/>
        <v>Bank Fees and Charges</v>
      </c>
      <c r="C81" s="116">
        <v>0</v>
      </c>
      <c r="D81" s="116">
        <v>118</v>
      </c>
      <c r="E81" s="116">
        <v>0</v>
      </c>
      <c r="F81" s="116">
        <v>118</v>
      </c>
      <c r="G81" s="113" t="str">
        <f>VLOOKUP(B81,'TB 1124'!A:A,1,0)</f>
        <v>Bank Fees and Charges</v>
      </c>
    </row>
    <row r="82" spans="1:7" x14ac:dyDescent="0.35">
      <c r="A82" s="114" t="s">
        <v>475</v>
      </c>
      <c r="B82" s="114" t="str">
        <f t="shared" si="1"/>
        <v>Branding Expense</v>
      </c>
      <c r="C82" s="116">
        <v>0</v>
      </c>
      <c r="D82" s="116">
        <v>321749.48</v>
      </c>
      <c r="E82" s="116">
        <v>87000</v>
      </c>
      <c r="F82" s="116">
        <v>224891.48</v>
      </c>
      <c r="G82" s="113" t="str">
        <f>VLOOKUP(B82,'TB 1124'!A:A,1,0)</f>
        <v>Branding Expense</v>
      </c>
    </row>
    <row r="83" spans="1:7" x14ac:dyDescent="0.35">
      <c r="A83" s="114" t="s">
        <v>476</v>
      </c>
      <c r="B83" s="114" t="str">
        <f t="shared" si="1"/>
        <v>Customer Acquisition Cost</v>
      </c>
      <c r="C83" s="116">
        <v>0</v>
      </c>
      <c r="D83" s="116">
        <v>304343.33</v>
      </c>
      <c r="E83" s="116">
        <v>0</v>
      </c>
      <c r="F83" s="116">
        <v>314201.33</v>
      </c>
      <c r="G83" s="113" t="str">
        <f>VLOOKUP(B83,'TB 1124'!A:A,1,0)</f>
        <v>Customer Acquisition Cost</v>
      </c>
    </row>
    <row r="84" spans="1:7" x14ac:dyDescent="0.35">
      <c r="A84" s="114" t="s">
        <v>477</v>
      </c>
      <c r="B84" s="114" t="str">
        <f t="shared" si="1"/>
        <v>Depreciation and Amortization</v>
      </c>
      <c r="C84" s="116">
        <v>0</v>
      </c>
      <c r="D84" s="116">
        <v>61708</v>
      </c>
      <c r="E84" s="116">
        <v>0</v>
      </c>
      <c r="F84" s="116">
        <v>61708</v>
      </c>
      <c r="G84" s="113" t="str">
        <f>VLOOKUP(B84,'TB 1124'!A:A,1,0)</f>
        <v>Depreciation and Amortization</v>
      </c>
    </row>
    <row r="85" spans="1:7" x14ac:dyDescent="0.35">
      <c r="A85" s="114" t="s">
        <v>478</v>
      </c>
      <c r="B85" s="114" t="str">
        <f t="shared" si="1"/>
        <v>Employee Benefit Expense</v>
      </c>
      <c r="C85" s="116">
        <v>0</v>
      </c>
      <c r="D85" s="116">
        <v>0</v>
      </c>
      <c r="E85" s="116">
        <v>0</v>
      </c>
      <c r="F85" s="116">
        <v>0</v>
      </c>
    </row>
    <row r="86" spans="1:7" x14ac:dyDescent="0.35">
      <c r="A86" s="114" t="s">
        <v>479</v>
      </c>
      <c r="B86" s="114" t="str">
        <f t="shared" si="1"/>
        <v>Employer PF Expense</v>
      </c>
      <c r="C86" s="116">
        <v>0</v>
      </c>
      <c r="D86" s="116">
        <v>37204</v>
      </c>
      <c r="E86" s="116">
        <v>0</v>
      </c>
      <c r="F86" s="116">
        <v>37204</v>
      </c>
      <c r="G86" s="113" t="str">
        <f>VLOOKUP(B86,'TB 1124'!A:A,1,0)</f>
        <v>Employer PF Expense</v>
      </c>
    </row>
    <row r="87" spans="1:7" x14ac:dyDescent="0.35">
      <c r="A87" s="114" t="s">
        <v>480</v>
      </c>
      <c r="B87" s="114" t="str">
        <f t="shared" si="1"/>
        <v>PF Admin Expense</v>
      </c>
      <c r="C87" s="116">
        <v>0</v>
      </c>
      <c r="D87" s="116">
        <v>3377.8</v>
      </c>
      <c r="E87" s="116">
        <v>0</v>
      </c>
      <c r="F87" s="116">
        <v>3377.8</v>
      </c>
      <c r="G87" s="113" t="str">
        <f>VLOOKUP(B87,'TB 1124'!A:A,1,0)</f>
        <v>PF Admin Expense</v>
      </c>
    </row>
    <row r="88" spans="1:7" x14ac:dyDescent="0.35">
      <c r="A88" s="114" t="s">
        <v>481</v>
      </c>
      <c r="B88" s="114" t="str">
        <f t="shared" si="1"/>
        <v>Staff Welfare Expense</v>
      </c>
      <c r="C88" s="116">
        <v>0</v>
      </c>
      <c r="D88" s="116">
        <v>76649.289999999994</v>
      </c>
      <c r="E88" s="116">
        <v>31103</v>
      </c>
      <c r="F88" s="116">
        <v>45546.29</v>
      </c>
      <c r="G88" s="113" t="str">
        <f>VLOOKUP(B88,'TB 1124'!A:A,1,0)</f>
        <v>Staff Welfare Expense</v>
      </c>
    </row>
    <row r="89" spans="1:7" x14ac:dyDescent="0.35">
      <c r="A89" s="114" t="s">
        <v>482</v>
      </c>
      <c r="B89" s="114" t="str">
        <f t="shared" si="1"/>
        <v>Variable Salary</v>
      </c>
      <c r="C89" s="116">
        <v>0</v>
      </c>
      <c r="D89" s="116">
        <v>12500</v>
      </c>
      <c r="E89" s="116">
        <v>60000</v>
      </c>
      <c r="F89" s="116">
        <v>-47500</v>
      </c>
      <c r="G89" s="113" t="str">
        <f>VLOOKUP(B89,'TB 1124'!A:A,1,0)</f>
        <v>Variable Salary</v>
      </c>
    </row>
    <row r="90" spans="1:7" ht="15.5" x14ac:dyDescent="0.35">
      <c r="A90" s="117" t="s">
        <v>483</v>
      </c>
      <c r="B90" s="117" t="str">
        <f t="shared" si="1"/>
        <v>Total for Employee Benefit Expense</v>
      </c>
      <c r="C90" s="118">
        <v>0</v>
      </c>
      <c r="D90" s="118">
        <v>129731.09</v>
      </c>
      <c r="E90" s="118">
        <v>91103</v>
      </c>
      <c r="F90" s="118">
        <v>38628.089999999997</v>
      </c>
    </row>
    <row r="91" spans="1:7" x14ac:dyDescent="0.35">
      <c r="A91" s="120"/>
      <c r="B91" s="120" t="str">
        <f t="shared" si="1"/>
        <v/>
      </c>
    </row>
    <row r="92" spans="1:7" x14ac:dyDescent="0.35">
      <c r="A92" s="114" t="s">
        <v>484</v>
      </c>
      <c r="B92" s="114" t="str">
        <f t="shared" si="1"/>
        <v>Fund Raising Expense</v>
      </c>
      <c r="C92" s="116">
        <v>0</v>
      </c>
      <c r="D92" s="116">
        <v>63507</v>
      </c>
      <c r="E92" s="116">
        <v>0</v>
      </c>
      <c r="F92" s="116">
        <v>63507</v>
      </c>
      <c r="G92" s="113" t="str">
        <f>VLOOKUP(B92,'TB 1124'!A:A,1,0)</f>
        <v>Fund Raising Expense</v>
      </c>
    </row>
    <row r="93" spans="1:7" x14ac:dyDescent="0.35">
      <c r="A93" s="114" t="s">
        <v>485</v>
      </c>
      <c r="B93" s="114" t="str">
        <f t="shared" si="1"/>
        <v>Miscellaneous Expense</v>
      </c>
      <c r="C93" s="116">
        <v>0</v>
      </c>
      <c r="D93" s="116">
        <v>30000</v>
      </c>
      <c r="E93" s="116">
        <v>0</v>
      </c>
      <c r="F93" s="116">
        <v>30000</v>
      </c>
      <c r="G93" s="113" t="str">
        <f>VLOOKUP(B93,'TB 1124'!A:A,1,0)</f>
        <v>Miscellaneous Expense</v>
      </c>
    </row>
    <row r="94" spans="1:7" x14ac:dyDescent="0.35">
      <c r="A94" s="114" t="s">
        <v>618</v>
      </c>
      <c r="B94" s="114" t="str">
        <f t="shared" si="1"/>
        <v>New User Discount</v>
      </c>
      <c r="C94" s="116">
        <v>0</v>
      </c>
      <c r="D94" s="116">
        <v>71128.95</v>
      </c>
      <c r="E94" s="116">
        <v>0</v>
      </c>
      <c r="F94" s="116">
        <v>71128.95</v>
      </c>
      <c r="G94" s="113" t="str">
        <f>VLOOKUP(B94,'TB 1124'!A:A,1,0)</f>
        <v>New User Discount</v>
      </c>
    </row>
    <row r="95" spans="1:7" x14ac:dyDescent="0.35">
      <c r="A95" s="114" t="s">
        <v>486</v>
      </c>
      <c r="B95" s="114" t="str">
        <f t="shared" si="1"/>
        <v>Office and Admin Expense</v>
      </c>
      <c r="C95" s="116">
        <v>0</v>
      </c>
      <c r="D95" s="116">
        <v>1381.8</v>
      </c>
      <c r="E95" s="116">
        <v>1405.47</v>
      </c>
      <c r="F95" s="116">
        <v>-23.67</v>
      </c>
      <c r="G95" s="113" t="str">
        <f>VLOOKUP(B95,'TB 1124'!A:A,1,0)</f>
        <v>Office and Admin Expense</v>
      </c>
    </row>
    <row r="96" spans="1:7" x14ac:dyDescent="0.35">
      <c r="A96" s="114" t="s">
        <v>487</v>
      </c>
      <c r="B96" s="114" t="str">
        <f t="shared" si="1"/>
        <v>Office Rent Expense</v>
      </c>
      <c r="C96" s="116">
        <v>0</v>
      </c>
      <c r="D96" s="116">
        <v>532000</v>
      </c>
      <c r="E96" s="116">
        <v>280000</v>
      </c>
      <c r="F96" s="116">
        <v>252000</v>
      </c>
      <c r="G96" s="113" t="str">
        <f>VLOOKUP(B96,'TB 1124'!A:A,1,0)</f>
        <v>Office Rent Expense</v>
      </c>
    </row>
    <row r="97" spans="1:7" x14ac:dyDescent="0.35">
      <c r="A97" s="114" t="s">
        <v>488</v>
      </c>
      <c r="B97" s="114" t="str">
        <f t="shared" si="1"/>
        <v>Other Cost</v>
      </c>
      <c r="C97" s="116">
        <v>0</v>
      </c>
      <c r="D97" s="116">
        <v>13200</v>
      </c>
      <c r="E97" s="116">
        <v>0</v>
      </c>
      <c r="F97" s="116">
        <v>13200</v>
      </c>
      <c r="G97" s="113" t="str">
        <f>VLOOKUP(B97,'TB 1124'!A:A,1,0)</f>
        <v>Other Cost</v>
      </c>
    </row>
    <row r="98" spans="1:7" x14ac:dyDescent="0.35">
      <c r="A98" s="114" t="s">
        <v>489</v>
      </c>
      <c r="B98" s="114" t="str">
        <f t="shared" si="1"/>
        <v>Other Expenses</v>
      </c>
      <c r="C98" s="116">
        <v>0</v>
      </c>
      <c r="D98" s="116">
        <v>1.08</v>
      </c>
      <c r="E98" s="116">
        <v>0.89</v>
      </c>
      <c r="F98" s="116">
        <v>0.19</v>
      </c>
      <c r="G98" s="113" t="str">
        <f>VLOOKUP(B98,'TB 1124'!A:A,1,0)</f>
        <v>Other Expenses</v>
      </c>
    </row>
    <row r="99" spans="1:7" x14ac:dyDescent="0.35">
      <c r="A99" s="114" t="s">
        <v>560</v>
      </c>
      <c r="B99" s="114" t="str">
        <f t="shared" si="1"/>
        <v>Payment Gateway Cost</v>
      </c>
      <c r="C99" s="116">
        <v>0</v>
      </c>
      <c r="D99" s="116">
        <v>13757.23</v>
      </c>
      <c r="E99" s="116">
        <v>0</v>
      </c>
      <c r="F99" s="116">
        <v>13757.23</v>
      </c>
      <c r="G99" s="113" t="str">
        <f>VLOOKUP(B99,'TB 1124'!A:A,1,0)</f>
        <v>Payment Gateway Cost</v>
      </c>
    </row>
    <row r="100" spans="1:7" x14ac:dyDescent="0.35">
      <c r="A100" s="114" t="s">
        <v>490</v>
      </c>
      <c r="B100" s="114" t="str">
        <f t="shared" si="1"/>
        <v>Professional Fees</v>
      </c>
      <c r="C100" s="116">
        <v>0</v>
      </c>
      <c r="D100" s="116">
        <v>39000</v>
      </c>
      <c r="E100" s="116">
        <v>0</v>
      </c>
      <c r="F100" s="116">
        <v>39000</v>
      </c>
      <c r="G100" s="113" t="str">
        <f>VLOOKUP(B100,'TB 1124'!A:A,1,0)</f>
        <v>Professional Fees</v>
      </c>
    </row>
    <row r="101" spans="1:7" x14ac:dyDescent="0.35">
      <c r="A101" s="114" t="s">
        <v>491</v>
      </c>
      <c r="B101" s="114" t="str">
        <f t="shared" si="1"/>
        <v>Rates and Taxes</v>
      </c>
      <c r="C101" s="116">
        <v>0</v>
      </c>
      <c r="D101" s="116">
        <v>4450</v>
      </c>
      <c r="E101" s="116">
        <v>0</v>
      </c>
      <c r="F101" s="116">
        <v>4450</v>
      </c>
      <c r="G101" s="113" t="str">
        <f>VLOOKUP(B101,'TB 1124'!A:A,1,0)</f>
        <v>Rates and Taxes</v>
      </c>
    </row>
    <row r="102" spans="1:7" x14ac:dyDescent="0.35">
      <c r="A102" s="114" t="s">
        <v>492</v>
      </c>
      <c r="B102" s="114" t="str">
        <f t="shared" si="1"/>
        <v>Salaries and Employee Wages</v>
      </c>
      <c r="C102" s="116">
        <v>0</v>
      </c>
      <c r="D102" s="116">
        <v>1949397</v>
      </c>
      <c r="E102" s="116">
        <v>0</v>
      </c>
      <c r="F102" s="116">
        <v>1934963.56</v>
      </c>
      <c r="G102" s="113" t="str">
        <f>VLOOKUP(B102,'TB 1124'!A:A,1,0)</f>
        <v>Salaries and Employee Wages</v>
      </c>
    </row>
    <row r="103" spans="1:7" x14ac:dyDescent="0.35">
      <c r="A103" s="113" t="s">
        <v>615</v>
      </c>
      <c r="B103" s="114" t="str">
        <f t="shared" si="1"/>
        <v>Service Cost</v>
      </c>
      <c r="C103" s="113">
        <v>0</v>
      </c>
      <c r="D103" s="113">
        <v>814674.33</v>
      </c>
      <c r="E103" s="113">
        <v>0</v>
      </c>
      <c r="F103" s="113">
        <v>814674.33</v>
      </c>
      <c r="G103" s="113" t="str">
        <f>VLOOKUP(B103,'TB 1124'!A:A,1,0)</f>
        <v>Service Cost</v>
      </c>
    </row>
    <row r="104" spans="1:7" x14ac:dyDescent="0.35">
      <c r="A104" s="114" t="s">
        <v>493</v>
      </c>
      <c r="B104" s="114" t="str">
        <f>TRIM(A104)</f>
        <v>Software Expense</v>
      </c>
      <c r="C104" s="116">
        <v>0</v>
      </c>
      <c r="D104" s="116">
        <v>210904.48</v>
      </c>
      <c r="E104" s="116">
        <v>33250.85</v>
      </c>
      <c r="F104" s="116">
        <v>177653.63</v>
      </c>
      <c r="G104" s="113" t="str">
        <f>VLOOKUP(B104,'TB 1124'!A:A,1,0)</f>
        <v>Software Expense</v>
      </c>
    </row>
    <row r="105" spans="1:7" x14ac:dyDescent="0.35">
      <c r="A105" s="114" t="s">
        <v>494</v>
      </c>
      <c r="B105" s="114" t="str">
        <f>TRIM(A105)</f>
        <v>Sourcing and Onboarding Expense</v>
      </c>
      <c r="C105" s="116">
        <v>0</v>
      </c>
      <c r="D105" s="116">
        <v>80956.2</v>
      </c>
      <c r="E105" s="116">
        <v>0</v>
      </c>
      <c r="F105" s="116">
        <v>80956.2</v>
      </c>
      <c r="G105" s="113" t="str">
        <f>VLOOKUP(B105,'TB 1124'!A:A,1,0)</f>
        <v>Sourcing and Onboarding Expense</v>
      </c>
    </row>
    <row r="106" spans="1:7" x14ac:dyDescent="0.35">
      <c r="A106" s="114" t="s">
        <v>495</v>
      </c>
      <c r="B106" s="114" t="str">
        <f>TRIM(A106)</f>
        <v>Training Centre Expense</v>
      </c>
      <c r="C106" s="116">
        <v>0</v>
      </c>
      <c r="D106" s="116">
        <v>86566.02</v>
      </c>
      <c r="E106" s="116">
        <v>13658.1</v>
      </c>
      <c r="F106" s="116">
        <v>72907.92</v>
      </c>
      <c r="G106" s="113" t="str">
        <f>VLOOKUP(B106,'TB 1124'!A:A,1,0)</f>
        <v>Training Centre Expense</v>
      </c>
    </row>
    <row r="107" spans="1:7" x14ac:dyDescent="0.35">
      <c r="A107" s="114" t="s">
        <v>496</v>
      </c>
      <c r="B107" s="114" t="str">
        <f>TRIM(A107)</f>
        <v>Training Centre Rent Expense</v>
      </c>
      <c r="C107" s="116">
        <v>0</v>
      </c>
      <c r="D107" s="116">
        <v>43333.33</v>
      </c>
      <c r="E107" s="116">
        <v>0</v>
      </c>
      <c r="F107" s="116">
        <v>43333.33</v>
      </c>
      <c r="G107" s="113" t="str">
        <f>VLOOKUP(B107,'TB 1124'!A:A,1,0)</f>
        <v>Training Centre Rent Expense</v>
      </c>
    </row>
    <row r="108" spans="1:7" x14ac:dyDescent="0.35">
      <c r="D108" s="113">
        <v>106982118.29000001</v>
      </c>
      <c r="E108" s="113">
        <v>106982118.29000001</v>
      </c>
    </row>
  </sheetData>
  <autoFilter ref="A1:G1" xr:uid="{00000000-0009-0000-0000-000007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161"/>
  <sheetViews>
    <sheetView zoomScaleNormal="100" workbookViewId="0">
      <selection activeCell="E160" sqref="E160"/>
    </sheetView>
  </sheetViews>
  <sheetFormatPr defaultColWidth="8.81640625" defaultRowHeight="14.5" x14ac:dyDescent="0.35"/>
  <cols>
    <col min="1" max="1" width="35.36328125" bestFit="1" customWidth="1"/>
    <col min="2" max="5" width="14.81640625" customWidth="1"/>
    <col min="6" max="6" width="44.08984375" bestFit="1" customWidth="1"/>
    <col min="7" max="7" width="10.08984375" bestFit="1" customWidth="1"/>
    <col min="8" max="8" width="11.81640625" bestFit="1" customWidth="1"/>
    <col min="9" max="9" width="10.81640625" bestFit="1" customWidth="1"/>
    <col min="10" max="10" width="10.08984375" bestFit="1" customWidth="1"/>
  </cols>
  <sheetData>
    <row r="1" spans="1:10" ht="15.5" x14ac:dyDescent="0.35">
      <c r="A1" s="130" t="s">
        <v>80</v>
      </c>
      <c r="B1" s="130"/>
      <c r="C1" s="130"/>
    </row>
    <row r="2" spans="1:10" x14ac:dyDescent="0.35">
      <c r="A2" s="131" t="s">
        <v>81</v>
      </c>
      <c r="B2" s="131"/>
      <c r="C2" s="131"/>
      <c r="I2" s="128"/>
      <c r="J2" s="90"/>
    </row>
    <row r="3" spans="1:10" x14ac:dyDescent="0.35">
      <c r="A3" s="132" t="s">
        <v>82</v>
      </c>
      <c r="B3" s="132"/>
      <c r="C3" s="132"/>
    </row>
    <row r="4" spans="1:10" ht="15.5" x14ac:dyDescent="0.35">
      <c r="A4" s="133" t="s">
        <v>83</v>
      </c>
      <c r="B4" s="133"/>
      <c r="C4" s="133"/>
    </row>
    <row r="5" spans="1:10" x14ac:dyDescent="0.35">
      <c r="A5" s="131" t="s">
        <v>386</v>
      </c>
      <c r="B5" s="131"/>
      <c r="C5" s="131"/>
    </row>
    <row r="6" spans="1:10" ht="14.25" customHeight="1" x14ac:dyDescent="0.35">
      <c r="A6" s="66" t="s">
        <v>85</v>
      </c>
      <c r="B6" s="134"/>
      <c r="C6" s="135"/>
    </row>
    <row r="7" spans="1:10" ht="14.25" customHeight="1" x14ac:dyDescent="0.35">
      <c r="A7" s="67" t="s">
        <v>86</v>
      </c>
      <c r="B7" s="136"/>
      <c r="C7" s="137"/>
      <c r="D7" s="90"/>
    </row>
    <row r="8" spans="1:10" x14ac:dyDescent="0.35">
      <c r="A8" s="67" t="s">
        <v>85</v>
      </c>
      <c r="B8" s="128">
        <f>SUBTOTAL(9,B10:B1048576)</f>
        <v>81205093.063000008</v>
      </c>
      <c r="C8" s="128">
        <f>SUBTOTAL(9,C10:C1048576)</f>
        <v>83661462.989999995</v>
      </c>
      <c r="D8" s="128">
        <f>SUBTOTAL(9,D10:D1048576)</f>
        <v>15655096.303333335</v>
      </c>
      <c r="E8" s="128">
        <f>SUBTOTAL(9,E10:E1048576)</f>
        <v>12273757.694801612</v>
      </c>
      <c r="F8" s="90"/>
      <c r="H8" s="90"/>
    </row>
    <row r="9" spans="1:10" x14ac:dyDescent="0.35">
      <c r="A9" s="68" t="s">
        <v>85</v>
      </c>
      <c r="B9" s="138" t="s">
        <v>88</v>
      </c>
      <c r="C9" s="138" t="s">
        <v>89</v>
      </c>
      <c r="D9" s="138" t="s">
        <v>88</v>
      </c>
      <c r="E9" s="138" t="s">
        <v>89</v>
      </c>
      <c r="F9" s="138" t="s">
        <v>433</v>
      </c>
    </row>
    <row r="10" spans="1:10" x14ac:dyDescent="0.35">
      <c r="A10" s="69" t="s">
        <v>197</v>
      </c>
      <c r="B10" s="70"/>
      <c r="C10" s="71">
        <v>6442.09</v>
      </c>
      <c r="D10" s="71"/>
      <c r="E10" s="71"/>
      <c r="F10" t="str">
        <f>VLOOKUP(A10,'TB 1024'!A:A,1,0)</f>
        <v>3butterflies</v>
      </c>
    </row>
    <row r="11" spans="1:10" x14ac:dyDescent="0.35">
      <c r="A11" s="69" t="s">
        <v>92</v>
      </c>
      <c r="B11" s="70"/>
      <c r="C11" s="71">
        <v>99000</v>
      </c>
      <c r="D11" s="71"/>
      <c r="E11" s="71"/>
      <c r="F11" t="str">
        <f>VLOOKUP(A11,'TB 1024'!A:A,1,0)</f>
        <v>Aayush Agarwal Share Capital</v>
      </c>
    </row>
    <row r="12" spans="1:10" x14ac:dyDescent="0.35">
      <c r="A12" s="69" t="s">
        <v>287</v>
      </c>
      <c r="B12" s="71"/>
      <c r="C12" s="70"/>
      <c r="D12" s="71">
        <v>35000</v>
      </c>
      <c r="E12" s="71"/>
      <c r="F12" t="str">
        <f>VLOOKUP(A12,'TB 1024'!A:A,1,0)</f>
        <v>Accounting Services</v>
      </c>
    </row>
    <row r="13" spans="1:10" x14ac:dyDescent="0.35">
      <c r="A13" s="69" t="s">
        <v>288</v>
      </c>
      <c r="B13" s="71">
        <v>8425</v>
      </c>
      <c r="C13" s="70"/>
      <c r="D13" s="71">
        <v>33740</v>
      </c>
      <c r="E13" s="71"/>
      <c r="F13" t="str">
        <f>VLOOKUP(A13,'TB 1024'!A:A,1,0)</f>
        <v>Accrued Interest</v>
      </c>
    </row>
    <row r="14" spans="1:10" x14ac:dyDescent="0.35">
      <c r="A14" s="69" t="s">
        <v>289</v>
      </c>
      <c r="B14" s="70"/>
      <c r="C14" s="71">
        <v>41302</v>
      </c>
      <c r="D14" s="71"/>
      <c r="E14" s="71">
        <v>12810</v>
      </c>
      <c r="F14" t="str">
        <f>VLOOKUP(A14,'TB 1024'!A:A,1,0)</f>
        <v>Accumulated Amortization on Intangible Asset</v>
      </c>
    </row>
    <row r="15" spans="1:10" x14ac:dyDescent="0.35">
      <c r="A15" s="69" t="s">
        <v>327</v>
      </c>
      <c r="B15" s="70"/>
      <c r="C15" s="71">
        <v>136419</v>
      </c>
      <c r="D15" s="71"/>
      <c r="E15" s="71">
        <v>46800</v>
      </c>
      <c r="F15" t="str">
        <f>VLOOKUP(A15,'TB 1024'!A:A,1,0)</f>
        <v>Accumulated Depreciation on Computer &amp; Laptops</v>
      </c>
    </row>
    <row r="16" spans="1:10" x14ac:dyDescent="0.35">
      <c r="A16" s="69" t="s">
        <v>198</v>
      </c>
      <c r="B16" s="70"/>
      <c r="C16" s="71">
        <v>9125</v>
      </c>
      <c r="D16" s="71"/>
      <c r="E16" s="71">
        <v>2098</v>
      </c>
      <c r="F16" t="str">
        <f>VLOOKUP(A16,'TB 1024'!A:A,1,0)</f>
        <v>Accumulated Depreciation on Office Equipment</v>
      </c>
    </row>
    <row r="17" spans="1:7" x14ac:dyDescent="0.35">
      <c r="A17" s="69" t="s">
        <v>399</v>
      </c>
      <c r="B17" s="70"/>
      <c r="C17" s="71">
        <v>24199.8</v>
      </c>
      <c r="D17" s="71">
        <v>24199.200000000001</v>
      </c>
      <c r="E17" s="71"/>
      <c r="F17" t="str">
        <f>VLOOKUP(A17,'TB 1024'!A:A,1,0)</f>
        <v>Accunity HR Services Private Limited</v>
      </c>
    </row>
    <row r="18" spans="1:7" x14ac:dyDescent="0.35">
      <c r="A18" s="69" t="s">
        <v>365</v>
      </c>
      <c r="B18" s="71">
        <v>305.98</v>
      </c>
      <c r="C18" s="70"/>
      <c r="D18" s="71"/>
      <c r="E18" s="71"/>
      <c r="F18" t="str">
        <f>VLOOKUP(A18,'TB 1024'!A:A,1,0)</f>
        <v>Amazon Wallet</v>
      </c>
    </row>
    <row r="19" spans="1:7" x14ac:dyDescent="0.35">
      <c r="A19" s="69" t="s">
        <v>200</v>
      </c>
      <c r="B19" s="70"/>
      <c r="C19" s="71">
        <v>32054.84</v>
      </c>
      <c r="D19" s="71"/>
      <c r="E19" s="71"/>
      <c r="F19" t="str">
        <f>VLOOKUP(A19,'TB 1024'!A:A,1,0)</f>
        <v>Amazon Web Services</v>
      </c>
    </row>
    <row r="20" spans="1:7" x14ac:dyDescent="0.35">
      <c r="A20" s="69" t="s">
        <v>96</v>
      </c>
      <c r="B20" s="71">
        <v>1521.65</v>
      </c>
      <c r="C20" s="70"/>
      <c r="D20" s="71"/>
      <c r="E20" s="71"/>
      <c r="F20" t="str">
        <f>VLOOKUP(A20,'TB 1024'!A:A,1,0)</f>
        <v>Anjana Lodh</v>
      </c>
    </row>
    <row r="21" spans="1:7" x14ac:dyDescent="0.35">
      <c r="A21" s="69" t="s">
        <v>423</v>
      </c>
      <c r="B21" s="71">
        <v>28276.81</v>
      </c>
      <c r="C21" s="71">
        <v>28276.81</v>
      </c>
      <c r="D21" s="71"/>
      <c r="E21" s="71">
        <v>21196.27</v>
      </c>
      <c r="F21" t="str">
        <f>VLOOKUP(A21,'TB 1024'!A:A,1,0)</f>
        <v>App Wallet</v>
      </c>
    </row>
    <row r="22" spans="1:7" x14ac:dyDescent="0.35">
      <c r="A22" s="69" t="s">
        <v>328</v>
      </c>
      <c r="B22" s="70"/>
      <c r="C22" s="71">
        <v>24000</v>
      </c>
      <c r="D22" s="71"/>
      <c r="E22" s="71"/>
      <c r="F22" t="str">
        <f>VLOOKUP(A22,'TB 1024'!A:A,1,0)</f>
        <v>Ashwathh Legal</v>
      </c>
    </row>
    <row r="23" spans="1:7" x14ac:dyDescent="0.35">
      <c r="A23" s="69" t="s">
        <v>367</v>
      </c>
      <c r="B23" s="70"/>
      <c r="C23" s="71">
        <v>5900</v>
      </c>
      <c r="D23" s="71"/>
      <c r="E23" s="71"/>
      <c r="F23" t="str">
        <f>VLOOKUP(A23,'TB 1024'!A:A,1,0)</f>
        <v>Awfis Space Solutions Limited</v>
      </c>
    </row>
    <row r="24" spans="1:7" x14ac:dyDescent="0.35">
      <c r="A24" s="69" t="s">
        <v>98</v>
      </c>
      <c r="B24" s="71">
        <v>6280.31</v>
      </c>
      <c r="C24" s="70"/>
      <c r="D24" s="71">
        <v>1238.3399999999999</v>
      </c>
      <c r="E24" s="71"/>
      <c r="F24" t="str">
        <f>VLOOKUP(A24,'TB 1024'!A:A,1,0)</f>
        <v>Axis Bank</v>
      </c>
    </row>
    <row r="25" spans="1:7" x14ac:dyDescent="0.35">
      <c r="A25" s="69" t="s">
        <v>202</v>
      </c>
      <c r="B25" s="71">
        <v>181496.73</v>
      </c>
      <c r="C25" s="70">
        <v>141900.09</v>
      </c>
      <c r="D25" s="71"/>
      <c r="E25" s="71"/>
      <c r="F25" t="str">
        <f>VLOOKUP(A25,'TB 1024'!A:A,1,0)</f>
        <v>B2C Customer</v>
      </c>
    </row>
    <row r="26" spans="1:7" x14ac:dyDescent="0.35">
      <c r="A26" s="69" t="s">
        <v>368</v>
      </c>
      <c r="B26" s="70"/>
      <c r="C26" s="71">
        <v>804</v>
      </c>
      <c r="D26" s="71"/>
      <c r="E26" s="71"/>
      <c r="F26" t="str">
        <f>VLOOKUP(A26,'TB 1024'!A:A,1,0)</f>
        <v>BHUMIKA HIGHSTREET INDIA PRIVATE LIMITED</v>
      </c>
    </row>
    <row r="27" spans="1:7" x14ac:dyDescent="0.35">
      <c r="A27" s="69" t="s">
        <v>205</v>
      </c>
      <c r="B27" s="70"/>
      <c r="C27" s="71">
        <v>21600</v>
      </c>
      <c r="D27" s="71">
        <v>21600</v>
      </c>
      <c r="E27" s="71"/>
      <c r="F27" t="str">
        <f>VLOOKUP(A27,'TB 1024'!A:A,1,0)</f>
        <v>BMP &amp; Co. LLP</v>
      </c>
    </row>
    <row r="28" spans="1:7" x14ac:dyDescent="0.35">
      <c r="A28" s="69" t="s">
        <v>292</v>
      </c>
      <c r="B28" s="71"/>
      <c r="C28" s="70"/>
      <c r="D28" s="71">
        <v>354259.73</v>
      </c>
      <c r="E28" s="71"/>
      <c r="F28" t="str">
        <f>VLOOKUP(A28,'TB 1024'!A:A,1,0)</f>
        <v>Branding Expenses</v>
      </c>
    </row>
    <row r="29" spans="1:7" x14ac:dyDescent="0.35">
      <c r="A29" s="69" t="s">
        <v>293</v>
      </c>
      <c r="B29" s="70"/>
      <c r="C29" s="71">
        <v>13221.41</v>
      </c>
      <c r="D29" s="71"/>
      <c r="E29" s="71"/>
      <c r="F29" t="str">
        <f>VLOOKUP(A29,'TB 1024'!A:A,1,0)</f>
        <v>CGST (RCM) on Maestro Revenue</v>
      </c>
    </row>
    <row r="30" spans="1:7" x14ac:dyDescent="0.35">
      <c r="A30" s="69" t="s">
        <v>370</v>
      </c>
      <c r="B30" s="71">
        <v>400</v>
      </c>
      <c r="C30" s="70"/>
      <c r="D30" s="71"/>
      <c r="E30" s="71"/>
      <c r="F30" t="str">
        <f>VLOOKUP(A30,'TB 1024'!A:A,1,0)</f>
        <v>Clickwise Media Solutions LLP</v>
      </c>
    </row>
    <row r="31" spans="1:7" x14ac:dyDescent="0.35">
      <c r="A31" s="69" t="s">
        <v>294</v>
      </c>
      <c r="B31" s="71">
        <v>567044.52</v>
      </c>
      <c r="C31" s="71">
        <v>567600.37</v>
      </c>
      <c r="D31" s="71"/>
      <c r="E31" s="71"/>
      <c r="F31" t="str">
        <f>VLOOKUP(A31,'TB 1024'!A:A,1,0)</f>
        <v>Collections on Behalf of Maestros</v>
      </c>
    </row>
    <row r="32" spans="1:7" x14ac:dyDescent="0.35">
      <c r="A32" s="69" t="s">
        <v>329</v>
      </c>
      <c r="B32" s="71">
        <v>863949.16</v>
      </c>
      <c r="C32" s="70"/>
      <c r="D32" s="71">
        <v>25211.86</v>
      </c>
      <c r="E32" s="71"/>
      <c r="F32" t="str">
        <f>VLOOKUP(A32,'TB 1024'!A:A,1,0)</f>
        <v>Computer &amp; Laptops</v>
      </c>
    </row>
    <row r="33" spans="1:6" x14ac:dyDescent="0.35">
      <c r="A33" s="69" t="s">
        <v>295</v>
      </c>
      <c r="B33" s="70"/>
      <c r="C33" s="71"/>
      <c r="D33" s="71"/>
      <c r="E33" s="71"/>
      <c r="F33" t="str">
        <f>VLOOKUP(A33,'TB 1024'!A:A,1,0)</f>
        <v>Convenience and Platform Fee</v>
      </c>
    </row>
    <row r="34" spans="1:6" x14ac:dyDescent="0.35">
      <c r="A34" s="69" t="s">
        <v>103</v>
      </c>
      <c r="B34" s="71"/>
      <c r="C34" s="70"/>
      <c r="D34" s="71">
        <f>280000+3000</f>
        <v>283000</v>
      </c>
      <c r="E34" s="71"/>
      <c r="F34" t="str">
        <f>VLOOKUP(A34,'TB 1024'!A:A,1,0)</f>
        <v>Co-Working Expenses- Rent</v>
      </c>
    </row>
    <row r="35" spans="1:6" x14ac:dyDescent="0.35">
      <c r="A35" s="69" t="s">
        <v>104</v>
      </c>
      <c r="B35" s="71">
        <v>800</v>
      </c>
      <c r="C35" s="70"/>
      <c r="D35" s="71"/>
      <c r="E35" s="71"/>
      <c r="F35" t="str">
        <f>VLOOKUP(A35,'TB 1024'!A:A,1,0)</f>
        <v>Createza Marketing Pvt Ltd</v>
      </c>
    </row>
    <row r="36" spans="1:6" x14ac:dyDescent="0.35">
      <c r="A36" s="69" t="s">
        <v>105</v>
      </c>
      <c r="B36" s="70">
        <v>568412.41</v>
      </c>
      <c r="C36" s="71">
        <v>597950.86</v>
      </c>
      <c r="D36" s="71">
        <f>10600+193102.58+321766.25</f>
        <v>525468.82999999996</v>
      </c>
      <c r="E36" s="71">
        <f>835975.283333333+18800-6199.25+19100</f>
        <v>867676.03333333298</v>
      </c>
      <c r="F36" t="str">
        <f>VLOOKUP(A36,'TB 1024'!A:A,1,0)</f>
        <v>Creditor for Maestro Payout</v>
      </c>
    </row>
    <row r="37" spans="1:6" x14ac:dyDescent="0.35">
      <c r="A37" s="69" t="s">
        <v>330</v>
      </c>
      <c r="B37" s="70"/>
      <c r="C37" s="71">
        <v>380</v>
      </c>
      <c r="D37" s="71"/>
      <c r="E37" s="71"/>
      <c r="F37" t="str">
        <f>VLOOKUP(A37,'TB 1024'!A:A,1,0)</f>
        <v>CRYSTAL TOYS</v>
      </c>
    </row>
    <row r="38" spans="1:6" x14ac:dyDescent="0.35">
      <c r="A38" s="69" t="s">
        <v>296</v>
      </c>
      <c r="B38" s="71"/>
      <c r="C38" s="70"/>
      <c r="D38" s="71">
        <v>201587</v>
      </c>
      <c r="E38" s="71">
        <v>8260</v>
      </c>
      <c r="F38" t="str">
        <f>VLOOKUP(A38,'TB 1024'!A:A,1,0)</f>
        <v>Customer Acquisition Cost</v>
      </c>
    </row>
    <row r="39" spans="1:6" x14ac:dyDescent="0.35">
      <c r="A39" s="69" t="s">
        <v>34</v>
      </c>
      <c r="B39" s="71"/>
      <c r="C39" s="70"/>
      <c r="D39" s="71"/>
      <c r="E39" s="71"/>
      <c r="F39" t="str">
        <f>VLOOKUP(A39,'TB 1024'!A:A,1,0)</f>
        <v>Customer Success Cost</v>
      </c>
    </row>
    <row r="40" spans="1:6" x14ac:dyDescent="0.35">
      <c r="A40" s="69" t="s">
        <v>387</v>
      </c>
      <c r="B40" s="70"/>
      <c r="C40" s="71">
        <v>16701</v>
      </c>
      <c r="D40" s="71"/>
      <c r="E40" s="71"/>
      <c r="F40" t="str">
        <f>VLOOKUP(A40,'TB 1024'!A:A,1,0)</f>
        <v>Deepak Kumar</v>
      </c>
    </row>
    <row r="41" spans="1:6" x14ac:dyDescent="0.35">
      <c r="A41" s="69" t="s">
        <v>206</v>
      </c>
      <c r="B41" s="71"/>
      <c r="C41" s="70"/>
      <c r="D41" s="71">
        <v>61708</v>
      </c>
      <c r="E41" s="71"/>
      <c r="F41" t="str">
        <f>VLOOKUP(A41,'TB 1024'!A:A,1,0)</f>
        <v>Depreciation &amp; Amortization</v>
      </c>
    </row>
    <row r="42" spans="1:6" x14ac:dyDescent="0.35">
      <c r="A42" s="69" t="s">
        <v>388</v>
      </c>
      <c r="B42" s="71">
        <v>82.5</v>
      </c>
      <c r="C42" s="70"/>
      <c r="D42" s="71"/>
      <c r="E42" s="71"/>
      <c r="F42" t="str">
        <f>VLOOKUP(A42,'TB 1024'!A:A,1,0)</f>
        <v>Dhyanashweri Enterprises</v>
      </c>
    </row>
    <row r="43" spans="1:6" x14ac:dyDescent="0.35">
      <c r="A43" s="69" t="s">
        <v>297</v>
      </c>
      <c r="B43" s="71"/>
      <c r="C43" s="70"/>
      <c r="D43" s="71"/>
      <c r="E43" s="71"/>
      <c r="F43" t="str">
        <f>VLOOKUP(A43,'TB 1024'!A:A,1,0)</f>
        <v>Discount on Convenience and Platform Fee</v>
      </c>
    </row>
    <row r="44" spans="1:6" x14ac:dyDescent="0.35">
      <c r="A44" s="69" t="s">
        <v>298</v>
      </c>
      <c r="B44" s="71"/>
      <c r="C44" s="70"/>
      <c r="D44" s="71"/>
      <c r="E44" s="71"/>
      <c r="F44" t="str">
        <f>VLOOKUP(A44,'TB 1024'!A:A,1,0)</f>
        <v>Discount on Maestro Service</v>
      </c>
    </row>
    <row r="45" spans="1:6" x14ac:dyDescent="0.35">
      <c r="A45" s="69" t="s">
        <v>108</v>
      </c>
      <c r="B45" s="71"/>
      <c r="C45" s="70"/>
      <c r="D45" s="71">
        <v>10520</v>
      </c>
      <c r="E45" s="71"/>
      <c r="F45" t="str">
        <f>VLOOKUP(A45,'TB 1024'!A:A,1,0)</f>
        <v>Electricity Expenses</v>
      </c>
    </row>
    <row r="46" spans="1:6" x14ac:dyDescent="0.35">
      <c r="A46" s="69" t="s">
        <v>402</v>
      </c>
      <c r="B46" s="70"/>
      <c r="C46" s="71">
        <v>31103</v>
      </c>
      <c r="D46" s="71"/>
      <c r="E46" s="71"/>
      <c r="F46" t="str">
        <f>VLOOKUP(A46,'TB 1024'!A:A,1,0)</f>
        <v>Employee Reimbursements Payable</v>
      </c>
    </row>
    <row r="47" spans="1:6" x14ac:dyDescent="0.35">
      <c r="A47" s="69" t="s">
        <v>109</v>
      </c>
      <c r="B47" s="71"/>
      <c r="C47" s="70"/>
      <c r="D47" s="71">
        <v>40386</v>
      </c>
      <c r="E47" s="71"/>
      <c r="F47" t="str">
        <f>VLOOKUP(A47,'TB 1024'!A:A,1,0)</f>
        <v>Employer PF Expense</v>
      </c>
    </row>
    <row r="48" spans="1:6" x14ac:dyDescent="0.35">
      <c r="A48" s="69" t="s">
        <v>331</v>
      </c>
      <c r="B48" s="70"/>
      <c r="C48" s="71">
        <v>14433.44</v>
      </c>
      <c r="D48" s="71"/>
      <c r="E48" s="71"/>
      <c r="F48" t="str">
        <f>VLOOKUP(A48,'TB 1024'!A:A,1,0)</f>
        <v>EXQUISITE HOSPITALITY MANAGEMENT</v>
      </c>
    </row>
    <row r="49" spans="1:6" x14ac:dyDescent="0.35">
      <c r="A49" s="69" t="s">
        <v>332</v>
      </c>
      <c r="B49" s="70"/>
      <c r="C49" s="71">
        <v>6.14</v>
      </c>
      <c r="D49" s="71"/>
      <c r="E49" s="71"/>
      <c r="F49" t="str">
        <f>VLOOKUP(A49,'TB 1024'!A:A,1,0)</f>
        <v>Figma</v>
      </c>
    </row>
    <row r="50" spans="1:6" x14ac:dyDescent="0.35">
      <c r="A50" s="69" t="s">
        <v>208</v>
      </c>
      <c r="B50" s="71">
        <v>40000000</v>
      </c>
      <c r="C50" s="70"/>
      <c r="D50" s="71"/>
      <c r="E50" s="71"/>
      <c r="F50" t="str">
        <f>VLOOKUP(A50,'TB 1024'!A:A,1,0)</f>
        <v>Fixed Deposits 9349517019</v>
      </c>
    </row>
    <row r="51" spans="1:6" x14ac:dyDescent="0.35">
      <c r="A51" s="69" t="s">
        <v>389</v>
      </c>
      <c r="B51" s="71">
        <v>2500000</v>
      </c>
      <c r="C51" s="70"/>
      <c r="D51" s="71"/>
      <c r="E51" s="71">
        <v>2500000</v>
      </c>
      <c r="F51" t="str">
        <f>VLOOKUP(A51,'TB 1024'!A:A,1,0)</f>
        <v>Fixed Deposits 9349669299</v>
      </c>
    </row>
    <row r="52" spans="1:6" x14ac:dyDescent="0.35">
      <c r="A52" s="69" t="s">
        <v>390</v>
      </c>
      <c r="B52" s="71">
        <v>2000000</v>
      </c>
      <c r="C52" s="70"/>
      <c r="D52" s="71"/>
      <c r="E52" s="71">
        <v>2000000</v>
      </c>
      <c r="F52" t="str">
        <f>VLOOKUP(A52,'TB 1024'!A:A,1,0)</f>
        <v>Fixed deposits 9349669305</v>
      </c>
    </row>
    <row r="53" spans="1:6" x14ac:dyDescent="0.35">
      <c r="A53" s="69" t="s">
        <v>391</v>
      </c>
      <c r="B53" s="71">
        <v>2500000</v>
      </c>
      <c r="C53" s="70"/>
      <c r="D53" s="71"/>
      <c r="E53" s="71">
        <v>2500000</v>
      </c>
      <c r="F53" t="str">
        <f>VLOOKUP(A53,'TB 1024'!A:A,1,0)</f>
        <v>Fixed deposits 9349669312</v>
      </c>
    </row>
    <row r="54" spans="1:6" x14ac:dyDescent="0.35">
      <c r="A54" s="69" t="s">
        <v>392</v>
      </c>
      <c r="B54" s="71">
        <v>10000000</v>
      </c>
      <c r="C54" s="70"/>
      <c r="D54" s="71"/>
      <c r="E54" s="71"/>
      <c r="F54" t="str">
        <f>VLOOKUP(A54,'TB 1024'!A:A,1,0)</f>
        <v>Fixed deposits 9349669329</v>
      </c>
    </row>
    <row r="55" spans="1:6" x14ac:dyDescent="0.35">
      <c r="A55" s="69" t="s">
        <v>424</v>
      </c>
      <c r="B55" s="71"/>
      <c r="C55" s="70"/>
      <c r="D55" s="71">
        <v>3500000</v>
      </c>
      <c r="E55" s="71"/>
      <c r="F55" t="str">
        <f>VLOOKUP(A55,'TB 1024'!A:A,1,0)</f>
        <v>Fixed deposits 9349705911</v>
      </c>
    </row>
    <row r="56" spans="1:6" x14ac:dyDescent="0.35">
      <c r="A56" s="69" t="s">
        <v>335</v>
      </c>
      <c r="B56" s="70"/>
      <c r="C56" s="71">
        <v>78593.070000000007</v>
      </c>
      <c r="D56" s="71"/>
      <c r="E56" s="71"/>
      <c r="F56" t="str">
        <f>VLOOKUP(A56,'TB 1024'!A:A,1,0)</f>
        <v>GUPSHUP TECHNOLOGY INDIA PRIVATE LIMITED</v>
      </c>
    </row>
    <row r="57" spans="1:6" x14ac:dyDescent="0.35">
      <c r="A57" s="69" t="s">
        <v>336</v>
      </c>
      <c r="B57" s="70"/>
      <c r="C57" s="71">
        <v>1531</v>
      </c>
      <c r="D57" s="71"/>
      <c r="E57" s="71"/>
      <c r="F57" t="str">
        <f>VLOOKUP(A57,'TB 1024'!A:A,1,0)</f>
        <v>GUPTA SCIENTIFIC &amp; GLASS WORKS</v>
      </c>
    </row>
    <row r="58" spans="1:6" x14ac:dyDescent="0.35">
      <c r="A58" s="69" t="s">
        <v>111</v>
      </c>
      <c r="B58" s="70"/>
      <c r="C58" s="71">
        <v>184010</v>
      </c>
      <c r="D58" s="71"/>
      <c r="E58" s="71"/>
      <c r="F58" t="str">
        <f>VLOOKUP(A58,'TB 1024'!A:A,1,0)</f>
        <v>Haiko Supermarket (Div of Lakewood Malls P Ltd)</v>
      </c>
    </row>
    <row r="59" spans="1:6" x14ac:dyDescent="0.35">
      <c r="A59" s="69" t="s">
        <v>112</v>
      </c>
      <c r="B59" s="71">
        <v>27000</v>
      </c>
      <c r="C59" s="71">
        <v>27000</v>
      </c>
      <c r="D59" s="71"/>
      <c r="E59" s="71"/>
      <c r="F59" t="str">
        <f>VLOOKUP(A59,'TB 1024'!A:A,1,0)</f>
        <v>Hijynx Coworking Pvt Ltd</v>
      </c>
    </row>
    <row r="60" spans="1:6" x14ac:dyDescent="0.35">
      <c r="A60" s="69" t="s">
        <v>213</v>
      </c>
      <c r="B60" s="71">
        <v>7109.2</v>
      </c>
      <c r="C60" s="70"/>
      <c r="D60" s="71"/>
      <c r="E60" s="71"/>
      <c r="F60" t="str">
        <f>VLOOKUP(A60,'TB 1024'!A:A,1,0)</f>
        <v>Input CGST @ 14%</v>
      </c>
    </row>
    <row r="61" spans="1:6" x14ac:dyDescent="0.35">
      <c r="A61" s="69" t="s">
        <v>114</v>
      </c>
      <c r="B61" s="71">
        <v>2116.39</v>
      </c>
      <c r="C61" s="70"/>
      <c r="D61" s="71"/>
      <c r="E61" s="71"/>
      <c r="F61" t="str">
        <f>VLOOKUP(A61,'TB 1024'!A:A,1,0)</f>
        <v>Input CGST @2.50%</v>
      </c>
    </row>
    <row r="62" spans="1:6" x14ac:dyDescent="0.35">
      <c r="A62" s="69" t="s">
        <v>338</v>
      </c>
      <c r="B62" s="71">
        <v>4984.24</v>
      </c>
      <c r="C62" s="70"/>
      <c r="D62" s="71"/>
      <c r="E62" s="71"/>
      <c r="F62" t="str">
        <f>VLOOKUP(A62,'TB 1024'!A:A,1,0)</f>
        <v>Input CGST @ 6%</v>
      </c>
    </row>
    <row r="63" spans="1:6" x14ac:dyDescent="0.35">
      <c r="A63" s="69" t="s">
        <v>115</v>
      </c>
      <c r="B63" s="71">
        <v>369742.44</v>
      </c>
      <c r="C63" s="70"/>
      <c r="D63" s="71"/>
      <c r="E63" s="71"/>
      <c r="F63" t="str">
        <f>VLOOKUP(A63,'TB 1024'!A:A,1,0)</f>
        <v>Input CGST @ 9%</v>
      </c>
    </row>
    <row r="64" spans="1:6" x14ac:dyDescent="0.35">
      <c r="A64" s="69" t="s">
        <v>116</v>
      </c>
      <c r="B64" s="71">
        <v>93229.49</v>
      </c>
      <c r="C64" s="70"/>
      <c r="D64" s="71">
        <f>169978.56-3348</f>
        <v>166630.56</v>
      </c>
      <c r="E64" s="71"/>
      <c r="F64" t="str">
        <f>VLOOKUP(A64,'TB 1024'!A:A,1,0)</f>
        <v>Input IGST @ 18%</v>
      </c>
    </row>
    <row r="65" spans="1:6" x14ac:dyDescent="0.35">
      <c r="A65" s="69" t="s">
        <v>214</v>
      </c>
      <c r="B65" s="71">
        <v>1535.35</v>
      </c>
      <c r="C65" s="70"/>
      <c r="D65" s="71"/>
      <c r="E65" s="71"/>
      <c r="F65" t="str">
        <f>VLOOKUP(A65,'TB 1024'!A:A,1,0)</f>
        <v>Input IGST @ 5%</v>
      </c>
    </row>
    <row r="66" spans="1:6" x14ac:dyDescent="0.35">
      <c r="A66" s="69" t="s">
        <v>215</v>
      </c>
      <c r="B66" s="71">
        <v>231480</v>
      </c>
      <c r="C66" s="70"/>
      <c r="D66" s="71">
        <v>15192.96</v>
      </c>
      <c r="E66" s="71"/>
      <c r="F66" t="str">
        <f>VLOOKUP(A66,'TB 1024'!A:A,1,0)</f>
        <v>Input IGST (RCM)</v>
      </c>
    </row>
    <row r="67" spans="1:6" x14ac:dyDescent="0.35">
      <c r="A67" s="69" t="s">
        <v>216</v>
      </c>
      <c r="B67" s="71">
        <v>7109.2</v>
      </c>
      <c r="C67" s="70"/>
      <c r="D67" s="71"/>
      <c r="E67" s="71"/>
      <c r="F67" t="str">
        <f>VLOOKUP(A67,'TB 1024'!A:A,1,0)</f>
        <v>Input SGST @ 14%</v>
      </c>
    </row>
    <row r="68" spans="1:6" x14ac:dyDescent="0.35">
      <c r="A68" s="69" t="s">
        <v>117</v>
      </c>
      <c r="B68" s="71">
        <v>2116.39</v>
      </c>
      <c r="C68" s="70"/>
      <c r="D68" s="71"/>
      <c r="E68" s="71"/>
      <c r="F68" t="str">
        <f>VLOOKUP(A68,'TB 1024'!A:A,1,0)</f>
        <v>Input SGST @2.50%</v>
      </c>
    </row>
    <row r="69" spans="1:6" x14ac:dyDescent="0.35">
      <c r="A69" s="69" t="s">
        <v>339</v>
      </c>
      <c r="B69" s="71">
        <v>4984.24</v>
      </c>
      <c r="C69" s="70"/>
      <c r="D69" s="71"/>
      <c r="E69" s="71"/>
      <c r="F69" t="str">
        <f>VLOOKUP(A69,'TB 1024'!A:A,1,0)</f>
        <v>Input SGST @ 6%</v>
      </c>
    </row>
    <row r="70" spans="1:6" x14ac:dyDescent="0.35">
      <c r="A70" s="69" t="s">
        <v>118</v>
      </c>
      <c r="B70" s="71">
        <v>358027.88</v>
      </c>
      <c r="C70" s="70"/>
      <c r="D70" s="71"/>
      <c r="E70" s="71"/>
      <c r="F70" t="str">
        <f>VLOOKUP(A70,'TB 1024'!A:A,1,0)</f>
        <v>Input SGST @ 9%</v>
      </c>
    </row>
    <row r="71" spans="1:6" x14ac:dyDescent="0.35">
      <c r="A71" s="69" t="s">
        <v>300</v>
      </c>
      <c r="B71" s="71">
        <v>1537167.67</v>
      </c>
      <c r="C71" s="70"/>
      <c r="D71" s="71"/>
      <c r="E71" s="71"/>
      <c r="F71" t="str">
        <f>VLOOKUP(A71,'TB 1024'!A:A,1,0)</f>
        <v>Intangible Asset</v>
      </c>
    </row>
    <row r="72" spans="1:6" x14ac:dyDescent="0.35">
      <c r="A72" s="69" t="s">
        <v>301</v>
      </c>
      <c r="B72" s="70"/>
      <c r="C72" s="71"/>
      <c r="D72" s="71"/>
      <c r="E72" s="71">
        <v>277464</v>
      </c>
      <c r="F72" t="str">
        <f>VLOOKUP(A72,'TB 1024'!A:A,1,0)</f>
        <v>Interest on Fixed Deposits</v>
      </c>
    </row>
    <row r="73" spans="1:6" x14ac:dyDescent="0.35">
      <c r="A73" s="69" t="s">
        <v>217</v>
      </c>
      <c r="B73" s="71">
        <v>602147.19999999995</v>
      </c>
      <c r="C73" s="70"/>
      <c r="D73" s="71">
        <v>120904</v>
      </c>
      <c r="E73" s="71"/>
      <c r="F73" t="str">
        <f>VLOOKUP(A73,'TB 1024'!A:A,1,0)</f>
        <v>Kotak Bank 9942</v>
      </c>
    </row>
    <row r="74" spans="1:6" x14ac:dyDescent="0.35">
      <c r="A74" s="69" t="s">
        <v>218</v>
      </c>
      <c r="B74" s="71">
        <v>920742.86</v>
      </c>
      <c r="C74" s="70"/>
      <c r="D74" s="71">
        <v>1114109.71</v>
      </c>
      <c r="E74" s="71">
        <v>1198036.6599999999</v>
      </c>
      <c r="F74" t="str">
        <f>VLOOKUP(A74,'TB 1024'!A:A,1,0)</f>
        <v>Kotak Bank 9966</v>
      </c>
    </row>
    <row r="75" spans="1:6" x14ac:dyDescent="0.35">
      <c r="A75" s="69" t="s">
        <v>124</v>
      </c>
      <c r="B75" s="71"/>
      <c r="C75" s="70"/>
      <c r="D75" s="71">
        <v>835975.28333333298</v>
      </c>
      <c r="E75" s="71"/>
      <c r="F75" t="str">
        <f>VLOOKUP(A75,'TB 1024'!A:A,1,0)</f>
        <v>Maestro Payout Expenses</v>
      </c>
    </row>
    <row r="76" spans="1:6" x14ac:dyDescent="0.35">
      <c r="A76" s="69" t="s">
        <v>26</v>
      </c>
      <c r="B76" s="71"/>
      <c r="C76" s="70"/>
      <c r="D76" s="71">
        <v>11401.22</v>
      </c>
      <c r="E76" s="71"/>
      <c r="F76" t="str">
        <f>VLOOKUP(A76,'TB 1024'!A:A,1,0)</f>
        <v>Service Cost</v>
      </c>
    </row>
    <row r="77" spans="1:6" x14ac:dyDescent="0.35">
      <c r="A77" s="69" t="s">
        <v>303</v>
      </c>
      <c r="B77" s="70"/>
      <c r="C77" s="71"/>
      <c r="D77" s="71"/>
      <c r="E77" s="71"/>
      <c r="F77" t="str">
        <f>VLOOKUP(A77,'TB 1024'!A:A,1,0)</f>
        <v>Maestro Revenue</v>
      </c>
    </row>
    <row r="78" spans="1:6" x14ac:dyDescent="0.35">
      <c r="A78" s="69" t="s">
        <v>340</v>
      </c>
      <c r="B78" s="70"/>
      <c r="C78" s="71">
        <v>8260</v>
      </c>
      <c r="D78" s="71">
        <v>8260</v>
      </c>
      <c r="E78" s="71"/>
      <c r="F78" t="str">
        <f>VLOOKUP(A78,'TB 1024'!A:A,1,0)</f>
        <v>Magnolia CHS</v>
      </c>
    </row>
    <row r="79" spans="1:6" x14ac:dyDescent="0.35">
      <c r="A79" s="69" t="s">
        <v>221</v>
      </c>
      <c r="B79" s="71">
        <v>8896.7099999999991</v>
      </c>
      <c r="C79" s="71">
        <v>8896.7099999999991</v>
      </c>
      <c r="D79" s="71"/>
      <c r="E79" s="71"/>
      <c r="F79" t="str">
        <f>VLOOKUP(A79,'TB 1024'!A:A,1,0)</f>
        <v>MakeMyTrip (India) Private Limited</v>
      </c>
    </row>
    <row r="80" spans="1:6" x14ac:dyDescent="0.35">
      <c r="A80" s="69" t="s">
        <v>374</v>
      </c>
      <c r="B80" s="71">
        <v>27.3</v>
      </c>
      <c r="C80" s="70"/>
      <c r="D80" s="71"/>
      <c r="E80" s="71"/>
      <c r="F80" t="str">
        <f>VLOOKUP(A80,'TB 1024'!A:A,1,0)</f>
        <v>Messystrokes</v>
      </c>
    </row>
    <row r="81" spans="1:6" x14ac:dyDescent="0.35">
      <c r="A81" s="69" t="s">
        <v>227</v>
      </c>
      <c r="B81" s="70"/>
      <c r="C81" s="71">
        <v>79999971.200000003</v>
      </c>
      <c r="D81" s="71"/>
      <c r="E81" s="71"/>
      <c r="F81" t="str">
        <f>VLOOKUP(A81,'TB 1024'!A:A,1,0)</f>
        <v>Nexus Ventures VII Holdings LLC</v>
      </c>
    </row>
    <row r="82" spans="1:6" x14ac:dyDescent="0.35">
      <c r="A82" s="69" t="s">
        <v>42</v>
      </c>
      <c r="B82" s="71"/>
      <c r="C82" s="70"/>
      <c r="D82" s="71">
        <v>575.41999999999996</v>
      </c>
      <c r="E82" s="71"/>
      <c r="F82" t="str">
        <f>VLOOKUP(A82,'TB 1024'!A:A,1,0)</f>
        <v>Office and Admin Expenses</v>
      </c>
    </row>
    <row r="83" spans="1:6" x14ac:dyDescent="0.35">
      <c r="A83" s="69" t="s">
        <v>231</v>
      </c>
      <c r="B83" s="71">
        <v>55864.5</v>
      </c>
      <c r="C83" s="70"/>
      <c r="D83" s="71"/>
      <c r="E83" s="71"/>
      <c r="F83" t="str">
        <f>VLOOKUP(A83,'TB 1024'!A:A,1,0)</f>
        <v>Office Equipment</v>
      </c>
    </row>
    <row r="84" spans="1:6" x14ac:dyDescent="0.35">
      <c r="A84" s="69" t="s">
        <v>40</v>
      </c>
      <c r="B84" s="71"/>
      <c r="C84" s="70"/>
      <c r="D84" s="71">
        <f>30281.83+13100</f>
        <v>43381.83</v>
      </c>
      <c r="E84" s="71"/>
      <c r="F84" t="str">
        <f>VLOOKUP(A84,'TB 1024'!A:A,1,0)</f>
        <v>Other Costs</v>
      </c>
    </row>
    <row r="85" spans="1:6" x14ac:dyDescent="0.35">
      <c r="A85" s="69" t="s">
        <v>129</v>
      </c>
      <c r="B85" s="70">
        <v>13221</v>
      </c>
      <c r="C85" s="71">
        <v>13618.9</v>
      </c>
      <c r="D85" s="71"/>
      <c r="E85" s="71"/>
      <c r="F85" t="str">
        <f>VLOOKUP(A85,'TB 1024'!A:A,1,0)</f>
        <v>Output CGST @9%</v>
      </c>
    </row>
    <row r="86" spans="1:6" x14ac:dyDescent="0.35">
      <c r="A86" s="69" t="s">
        <v>130</v>
      </c>
      <c r="B86" s="70">
        <v>13221</v>
      </c>
      <c r="C86" s="71">
        <v>13618.9</v>
      </c>
      <c r="D86" s="71"/>
      <c r="E86" s="71"/>
      <c r="F86" t="str">
        <f>VLOOKUP(A86,'TB 1024'!A:A,1,0)</f>
        <v>Output SGST @9%</v>
      </c>
    </row>
    <row r="87" spans="1:6" x14ac:dyDescent="0.35">
      <c r="A87" s="69" t="s">
        <v>342</v>
      </c>
      <c r="B87" s="70"/>
      <c r="C87" s="71">
        <v>6000</v>
      </c>
      <c r="D87" s="71"/>
      <c r="E87" s="71"/>
      <c r="F87" t="str">
        <f>VLOOKUP(A87,'TB 1024'!A:A,1,0)</f>
        <v>Payment Due to Maestro for June</v>
      </c>
    </row>
    <row r="88" spans="1:6" x14ac:dyDescent="0.35">
      <c r="A88" s="69" t="s">
        <v>233</v>
      </c>
      <c r="B88" s="71"/>
      <c r="C88" s="70"/>
      <c r="D88" s="71">
        <v>3121</v>
      </c>
      <c r="E88" s="71"/>
      <c r="F88" t="str">
        <f>VLOOKUP(A88,'TB 1024'!A:A,1,0)</f>
        <v>PF Admin Expenses</v>
      </c>
    </row>
    <row r="89" spans="1:6" x14ac:dyDescent="0.35">
      <c r="A89" s="69" t="s">
        <v>376</v>
      </c>
      <c r="B89" s="71">
        <v>42500</v>
      </c>
      <c r="C89" s="70"/>
      <c r="D89" s="71">
        <v>20000</v>
      </c>
      <c r="E89" s="71"/>
      <c r="F89" t="str">
        <f>VLOOKUP(A89,'TB 1024'!A:A,1,0)</f>
        <v>Prepaid Expenses</v>
      </c>
    </row>
    <row r="90" spans="1:6" x14ac:dyDescent="0.35">
      <c r="A90" s="69" t="s">
        <v>41</v>
      </c>
      <c r="B90" s="71"/>
      <c r="C90" s="70"/>
      <c r="D90" s="71">
        <v>38100</v>
      </c>
      <c r="E90" s="71"/>
      <c r="F90" t="str">
        <f>VLOOKUP(A90,'TB 1024'!A:A,1,0)</f>
        <v>Professional Fees</v>
      </c>
    </row>
    <row r="91" spans="1:6" x14ac:dyDescent="0.35">
      <c r="A91" s="69" t="s">
        <v>134</v>
      </c>
      <c r="B91" s="70"/>
      <c r="C91" s="71">
        <v>5400</v>
      </c>
      <c r="D91" s="71">
        <v>1600</v>
      </c>
      <c r="E91" s="71"/>
      <c r="F91" t="str">
        <f>VLOOKUP(A91,'TB 1024'!A:A,1,0)</f>
        <v>Professional Tax- Employee</v>
      </c>
    </row>
    <row r="92" spans="1:6" x14ac:dyDescent="0.35">
      <c r="A92" s="69" t="s">
        <v>135</v>
      </c>
      <c r="B92" s="71">
        <f>15469854.5-8896.71</f>
        <v>15460957.789999999</v>
      </c>
      <c r="C92" s="70"/>
      <c r="D92" s="71">
        <f>3384103.8+10474.15</f>
        <v>3394577.9499999997</v>
      </c>
      <c r="E92" s="71"/>
      <c r="F92" t="str">
        <f>VLOOKUP(A92,'TB 1024'!A:A,1,0)</f>
        <v>Profit &amp; Loss A/c</v>
      </c>
    </row>
    <row r="93" spans="1:6" x14ac:dyDescent="0.35">
      <c r="A93" s="69" t="s">
        <v>307</v>
      </c>
      <c r="B93" s="71">
        <v>14400</v>
      </c>
      <c r="C93" s="70"/>
      <c r="D93" s="71"/>
      <c r="E93" s="71"/>
      <c r="F93" t="str">
        <f>VLOOKUP(A93,'TB 1024'!A:A,1,0)</f>
        <v>Promotor Gautam</v>
      </c>
    </row>
    <row r="94" spans="1:6" x14ac:dyDescent="0.35">
      <c r="A94" s="69" t="s">
        <v>343</v>
      </c>
      <c r="B94" s="70"/>
      <c r="C94" s="71">
        <v>59</v>
      </c>
      <c r="D94" s="71"/>
      <c r="E94" s="71"/>
      <c r="F94" t="str">
        <f>VLOOKUP(A94,'TB 1024'!A:A,1,0)</f>
        <v>Protean eGov Technologies Limited</v>
      </c>
    </row>
    <row r="95" spans="1:6" x14ac:dyDescent="0.35">
      <c r="A95" s="69" t="s">
        <v>136</v>
      </c>
      <c r="B95" s="70"/>
      <c r="C95" s="71">
        <v>37449</v>
      </c>
      <c r="D95" s="71"/>
      <c r="E95" s="71">
        <v>2937</v>
      </c>
      <c r="F95" t="str">
        <f>VLOOKUP(A95,'TB 1024'!A:A,1,0)</f>
        <v>Provident Fund- Employee</v>
      </c>
    </row>
    <row r="96" spans="1:6" x14ac:dyDescent="0.35">
      <c r="A96" s="69" t="s">
        <v>137</v>
      </c>
      <c r="B96" s="70"/>
      <c r="C96" s="71">
        <v>37449</v>
      </c>
      <c r="D96" s="71"/>
      <c r="E96" s="71">
        <v>2937</v>
      </c>
      <c r="F96" t="str">
        <f>VLOOKUP(A96,'TB 1024'!A:A,1,0)</f>
        <v>Provident Fund- Employer</v>
      </c>
    </row>
    <row r="97" spans="1:6" x14ac:dyDescent="0.35">
      <c r="A97" s="69" t="s">
        <v>138</v>
      </c>
      <c r="B97" s="70"/>
      <c r="C97" s="71">
        <v>25000</v>
      </c>
      <c r="D97" s="71"/>
      <c r="E97" s="71"/>
      <c r="F97" t="str">
        <f>VLOOKUP(A97,'TB 1024'!A:A,1,0)</f>
        <v>Provision for Audit Fees</v>
      </c>
    </row>
    <row r="98" spans="1:6" x14ac:dyDescent="0.35">
      <c r="A98" s="69" t="s">
        <v>377</v>
      </c>
      <c r="B98" s="70"/>
      <c r="C98" s="71">
        <v>80</v>
      </c>
      <c r="D98" s="71"/>
      <c r="E98" s="71"/>
      <c r="F98" t="str">
        <f>VLOOKUP(A98,'TB 1024'!A:A,1,0)</f>
        <v>RAHEJA VISTAS CO-OP HOUSING SOCIETY LTD</v>
      </c>
    </row>
    <row r="99" spans="1:6" x14ac:dyDescent="0.35">
      <c r="A99" s="69" t="s">
        <v>308</v>
      </c>
      <c r="B99" s="71">
        <v>709500.46</v>
      </c>
      <c r="C99" s="71">
        <f>709500.46+28276.81</f>
        <v>737777.27</v>
      </c>
      <c r="D99" s="71">
        <f>745588.22+193102.58</f>
        <v>938690.79999999993</v>
      </c>
      <c r="E99" s="71">
        <f>745588.22+193102.58</f>
        <v>938690.79999999993</v>
      </c>
      <c r="F99" t="str">
        <f>VLOOKUP(A99,'TB 1024'!A:A,1,0)</f>
        <v>Receipts From Customers</v>
      </c>
    </row>
    <row r="100" spans="1:6" x14ac:dyDescent="0.35">
      <c r="A100" s="69" t="s">
        <v>142</v>
      </c>
      <c r="B100" s="71"/>
      <c r="C100" s="70"/>
      <c r="D100" s="71">
        <v>43333.33</v>
      </c>
      <c r="E100" s="71"/>
      <c r="F100" t="str">
        <f>VLOOKUP(A100,'TB 1024'!A:A,1,0)</f>
        <v>Rent Expenses</v>
      </c>
    </row>
    <row r="101" spans="1:6" x14ac:dyDescent="0.35">
      <c r="A101" s="69" t="s">
        <v>382</v>
      </c>
      <c r="B101" s="71">
        <v>70200</v>
      </c>
      <c r="C101" s="71">
        <v>70200</v>
      </c>
      <c r="D101" s="71"/>
      <c r="E101" s="71"/>
      <c r="F101" t="str">
        <f>VLOOKUP(A101,'TB 1024'!A:A,1,0)</f>
        <v>Riddhi Sharma</v>
      </c>
    </row>
    <row r="102" spans="1:6" x14ac:dyDescent="0.35">
      <c r="A102" s="69" t="s">
        <v>309</v>
      </c>
      <c r="B102" s="70"/>
      <c r="C102" s="71">
        <v>37800</v>
      </c>
      <c r="D102" s="71"/>
      <c r="E102" s="71"/>
      <c r="F102" t="str">
        <f>VLOOKUP(A102,'TB 1024'!A:A,1,0)</f>
        <v>Ruthala and Co.</v>
      </c>
    </row>
    <row r="103" spans="1:6" x14ac:dyDescent="0.35">
      <c r="A103" s="69" t="s">
        <v>143</v>
      </c>
      <c r="B103" s="71"/>
      <c r="C103" s="70"/>
      <c r="D103" s="71">
        <v>2054796.77</v>
      </c>
      <c r="E103" s="71"/>
      <c r="F103" t="str">
        <f>VLOOKUP(A103,'TB 1024'!A:A,1,0)</f>
        <v>Salary A/c</v>
      </c>
    </row>
    <row r="104" spans="1:6" x14ac:dyDescent="0.35">
      <c r="A104" s="69" t="s">
        <v>145</v>
      </c>
      <c r="B104" s="70"/>
      <c r="C104" s="71">
        <v>7516</v>
      </c>
      <c r="D104" s="71"/>
      <c r="E104" s="71"/>
      <c r="F104" t="str">
        <f>VLOOKUP(A104,'TB 1024'!A:A,1,0)</f>
        <v>Samron Infotech</v>
      </c>
    </row>
    <row r="105" spans="1:6" x14ac:dyDescent="0.35">
      <c r="A105" s="69" t="s">
        <v>310</v>
      </c>
      <c r="B105" s="70"/>
      <c r="C105" s="71">
        <v>6805</v>
      </c>
      <c r="D105" s="71"/>
      <c r="E105" s="71"/>
      <c r="F105" t="str">
        <f>VLOOKUP(A105,'TB 1024'!A:A,1,0)</f>
        <v>Samvad Partners Advocates</v>
      </c>
    </row>
    <row r="106" spans="1:6" x14ac:dyDescent="0.35">
      <c r="A106" s="69" t="s">
        <v>146</v>
      </c>
      <c r="B106" s="71">
        <v>990000</v>
      </c>
      <c r="C106" s="71">
        <v>30000</v>
      </c>
      <c r="D106" s="71"/>
      <c r="E106" s="71"/>
      <c r="F106" t="str">
        <f>VLOOKUP(A106,'TB 1024'!A:A,1,0)</f>
        <v>Security Deposit</v>
      </c>
    </row>
    <row r="107" spans="1:6" x14ac:dyDescent="0.35">
      <c r="A107" s="69" t="s">
        <v>311</v>
      </c>
      <c r="B107" s="70"/>
      <c r="C107" s="71">
        <v>13221.41</v>
      </c>
      <c r="D107" s="71"/>
      <c r="E107" s="71"/>
      <c r="F107" t="str">
        <f>VLOOKUP(A107,'TB 1024'!A:A,1,0)</f>
        <v>SGST (RCM) on Maestro Revenue</v>
      </c>
    </row>
    <row r="108" spans="1:6" x14ac:dyDescent="0.35">
      <c r="A108" s="69" t="s">
        <v>148</v>
      </c>
      <c r="B108" s="70"/>
      <c r="C108" s="71">
        <v>102660</v>
      </c>
      <c r="D108" s="71"/>
      <c r="E108" s="71"/>
      <c r="F108" t="str">
        <f>VLOOKUP(A108,'TB 1024'!A:A,1,0)</f>
        <v>Signpost India Limited</v>
      </c>
    </row>
    <row r="109" spans="1:6" x14ac:dyDescent="0.35">
      <c r="A109" s="69" t="s">
        <v>149</v>
      </c>
      <c r="B109" s="71"/>
      <c r="C109" s="70"/>
      <c r="D109" s="71">
        <f>131890.8</f>
        <v>131890.79999999999</v>
      </c>
      <c r="E109" s="71">
        <v>42480</v>
      </c>
      <c r="F109" t="str">
        <f>VLOOKUP(A109,'TB 1024'!A:A,1,0)</f>
        <v>Software Services</v>
      </c>
    </row>
    <row r="110" spans="1:6" x14ac:dyDescent="0.35">
      <c r="A110" s="69" t="s">
        <v>33</v>
      </c>
      <c r="B110" s="71"/>
      <c r="C110" s="70"/>
      <c r="D110" s="71">
        <f>71177.32+18800+6000+22526.98</f>
        <v>118504.3</v>
      </c>
      <c r="E110" s="71"/>
      <c r="F110" t="str">
        <f>VLOOKUP(A110,'TB 1024'!A:A,1,0)</f>
        <v>Sourcing &amp; Onboarding Cost</v>
      </c>
    </row>
    <row r="111" spans="1:6" x14ac:dyDescent="0.35">
      <c r="A111" s="69" t="s">
        <v>150</v>
      </c>
      <c r="B111" s="71"/>
      <c r="C111" s="70"/>
      <c r="D111" s="71">
        <f>107595.4-1300</f>
        <v>106295.4</v>
      </c>
      <c r="E111" s="71"/>
      <c r="F111" t="str">
        <f>VLOOKUP(A111,'TB 1024'!A:A,1,0)</f>
        <v>Staff Welfare Expenses</v>
      </c>
    </row>
    <row r="112" spans="1:6" x14ac:dyDescent="0.35">
      <c r="A112" s="69" t="s">
        <v>400</v>
      </c>
      <c r="B112" s="71">
        <v>26538.84</v>
      </c>
      <c r="C112" s="71">
        <v>26538.84</v>
      </c>
      <c r="D112" s="71"/>
      <c r="E112" s="71"/>
      <c r="F112" t="str">
        <f>VLOOKUP(A112,'TB 1024'!A:A,1,0)</f>
        <v>Star Lead Services</v>
      </c>
    </row>
    <row r="113" spans="1:6" x14ac:dyDescent="0.35">
      <c r="A113" s="69" t="s">
        <v>271</v>
      </c>
      <c r="B113" s="70"/>
      <c r="C113" s="71">
        <v>1980</v>
      </c>
      <c r="D113" s="71"/>
      <c r="E113" s="71"/>
      <c r="F113" t="str">
        <f>VLOOKUP(A113,'TB 1024'!A:A,1,0)</f>
        <v>Sumitkumar Triloknath Jha</v>
      </c>
    </row>
    <row r="114" spans="1:6" x14ac:dyDescent="0.35">
      <c r="A114" s="69" t="s">
        <v>345</v>
      </c>
      <c r="B114" s="71">
        <v>70233</v>
      </c>
      <c r="C114" s="70"/>
      <c r="D114" s="71">
        <v>22820</v>
      </c>
      <c r="E114" s="71"/>
      <c r="F114" t="str">
        <f>VLOOKUP(A114,'TB 1024'!A:A,1,0)</f>
        <v>TDS Receivable</v>
      </c>
    </row>
    <row r="115" spans="1:6" x14ac:dyDescent="0.35">
      <c r="A115" s="69" t="s">
        <v>151</v>
      </c>
      <c r="B115" s="70">
        <v>151929</v>
      </c>
      <c r="C115" s="71">
        <v>151929</v>
      </c>
      <c r="D115" s="71"/>
      <c r="E115" s="71"/>
      <c r="F115" t="str">
        <f>VLOOKUP(A115,'TB 1024'!A:A,1,0)</f>
        <v>TDS U/S 192</v>
      </c>
    </row>
    <row r="116" spans="1:6" x14ac:dyDescent="0.35">
      <c r="A116" s="69" t="s">
        <v>152</v>
      </c>
      <c r="B116" s="71">
        <f>14632.22+10982</f>
        <v>25614.22</v>
      </c>
      <c r="C116" s="70"/>
      <c r="D116" s="71"/>
      <c r="E116" s="71"/>
      <c r="F116" t="str">
        <f>VLOOKUP(A116,'TB 1024'!A:A,1,0)</f>
        <v>TDS U/S 194C</v>
      </c>
    </row>
    <row r="117" spans="1:6" x14ac:dyDescent="0.35">
      <c r="A117" s="69" t="s">
        <v>153</v>
      </c>
      <c r="B117" s="70">
        <v>32333.99</v>
      </c>
      <c r="C117" s="71">
        <v>32333.99</v>
      </c>
      <c r="D117" s="71"/>
      <c r="E117" s="71"/>
      <c r="F117" t="str">
        <f>VLOOKUP(A117,'TB 1024'!A:A,1,0)</f>
        <v>TDS U/S 194I</v>
      </c>
    </row>
    <row r="118" spans="1:6" x14ac:dyDescent="0.35">
      <c r="A118" s="69" t="s">
        <v>253</v>
      </c>
      <c r="B118" s="70">
        <v>46895.633000000002</v>
      </c>
      <c r="C118" s="71">
        <v>61894.85</v>
      </c>
      <c r="D118" s="71"/>
      <c r="E118" s="71"/>
      <c r="F118" t="str">
        <f>VLOOKUP(A118,'TB 1024'!A:A,1,0)</f>
        <v>TDS U/S 194J</v>
      </c>
    </row>
    <row r="119" spans="1:6" x14ac:dyDescent="0.35">
      <c r="A119" s="69" t="s">
        <v>403</v>
      </c>
      <c r="B119" s="71">
        <v>75000</v>
      </c>
      <c r="C119" s="70"/>
      <c r="D119" s="71"/>
      <c r="E119" s="71"/>
      <c r="F119" t="str">
        <f>VLOOKUP(A119,'TB 1024'!A:A,1,0)</f>
        <v>Tejaswini Dandiya Event</v>
      </c>
    </row>
    <row r="120" spans="1:6" x14ac:dyDescent="0.35">
      <c r="A120" s="69" t="s">
        <v>346</v>
      </c>
      <c r="B120" s="70"/>
      <c r="C120" s="71">
        <v>1300</v>
      </c>
      <c r="D120" s="71">
        <v>1300</v>
      </c>
      <c r="E120" s="71"/>
      <c r="F120" t="str">
        <f>VLOOKUP(A120,'TB 1024'!A:A,1,0)</f>
        <v>THE PRINT COMPANY</v>
      </c>
    </row>
    <row r="121" spans="1:6" x14ac:dyDescent="0.35">
      <c r="A121" s="69" t="s">
        <v>393</v>
      </c>
      <c r="B121" s="71">
        <v>1272</v>
      </c>
      <c r="C121" s="70"/>
      <c r="D121" s="71"/>
      <c r="E121" s="71"/>
      <c r="F121" t="str">
        <f>VLOOKUP(A121,'TB 1024'!A:A,1,0)</f>
        <v>Think Big Creator</v>
      </c>
    </row>
    <row r="122" spans="1:6" x14ac:dyDescent="0.35">
      <c r="A122" s="69" t="s">
        <v>31</v>
      </c>
      <c r="B122" s="71"/>
      <c r="C122" s="70"/>
      <c r="D122" s="71">
        <v>62667.59</v>
      </c>
      <c r="E122" s="71">
        <v>10600</v>
      </c>
      <c r="F122" t="str">
        <f>VLOOKUP(A122,'TB 1024'!A:A,1,0)</f>
        <v>Training Centre Expenses</v>
      </c>
    </row>
    <row r="123" spans="1:6" x14ac:dyDescent="0.35">
      <c r="A123" s="69" t="s">
        <v>384</v>
      </c>
      <c r="B123" s="71"/>
      <c r="C123" s="70"/>
      <c r="D123" s="71">
        <v>32500</v>
      </c>
      <c r="E123" s="71"/>
      <c r="F123" t="str">
        <f>VLOOKUP(A123,'TB 1024'!A:A,1,0)</f>
        <v>Variable Pay</v>
      </c>
    </row>
    <row r="124" spans="1:6" x14ac:dyDescent="0.35">
      <c r="A124" s="69" t="s">
        <v>394</v>
      </c>
      <c r="B124" s="70"/>
      <c r="C124" s="71">
        <v>52500</v>
      </c>
      <c r="D124" s="71"/>
      <c r="E124" s="71">
        <v>32500</v>
      </c>
      <c r="F124" t="str">
        <f>VLOOKUP(A124,'TB 1024'!A:A,1,0)</f>
        <v>Varibale Pay Payable</v>
      </c>
    </row>
    <row r="125" spans="1:6" x14ac:dyDescent="0.35">
      <c r="A125" s="69" t="s">
        <v>154</v>
      </c>
      <c r="B125" s="70"/>
      <c r="C125" s="71">
        <v>21576</v>
      </c>
      <c r="D125" s="71">
        <v>21576</v>
      </c>
      <c r="E125" s="71"/>
      <c r="F125" t="str">
        <f>VLOOKUP(A125,'TB 1024'!A:A,1,0)</f>
        <v>Vivish Technologies Pvt Ltd</v>
      </c>
    </row>
    <row r="126" spans="1:6" x14ac:dyDescent="0.35">
      <c r="A126" s="69" t="s">
        <v>313</v>
      </c>
      <c r="B126" s="70"/>
      <c r="C126" s="71">
        <v>42480</v>
      </c>
      <c r="D126" s="71">
        <v>42480</v>
      </c>
      <c r="E126" s="71"/>
      <c r="F126" t="str">
        <f>VLOOKUP(A126,'TB 1024'!A:A,1,0)</f>
        <v>VoiceTree Technologies Pvt Ltd</v>
      </c>
    </row>
    <row r="127" spans="1:6" x14ac:dyDescent="0.35">
      <c r="A127" s="69" t="s">
        <v>348</v>
      </c>
      <c r="B127" s="70"/>
      <c r="C127" s="71">
        <v>2594</v>
      </c>
      <c r="D127" s="71"/>
      <c r="E127" s="71"/>
      <c r="F127" t="str">
        <f>VLOOKUP(A127,'TB 1024'!A:A,1,0)</f>
        <v>WORKINDIA</v>
      </c>
    </row>
    <row r="128" spans="1:6" x14ac:dyDescent="0.35">
      <c r="A128" s="69" t="s">
        <v>155</v>
      </c>
      <c r="B128" s="70"/>
      <c r="C128" s="71">
        <v>1000</v>
      </c>
      <c r="D128" s="71"/>
      <c r="E128" s="71"/>
      <c r="F128" t="str">
        <f>VLOOKUP(A128,'TB 1024'!A:A,1,0)</f>
        <v>Yash Agarwal Share Capital</v>
      </c>
    </row>
    <row r="129" spans="1:6" x14ac:dyDescent="0.35">
      <c r="A129" s="69" t="s">
        <v>425</v>
      </c>
      <c r="B129" s="70"/>
      <c r="C129" s="71"/>
      <c r="D129" s="71"/>
      <c r="E129" s="71">
        <f>224184.051468278-371.54</f>
        <v>223812.51146827798</v>
      </c>
      <c r="F129" t="str">
        <f>VLOOKUP(A129,'TB 1024'!A:A,1,0)</f>
        <v>TDS Payable</v>
      </c>
    </row>
    <row r="130" spans="1:6" x14ac:dyDescent="0.35">
      <c r="A130" s="69" t="s">
        <v>426</v>
      </c>
      <c r="B130" s="70"/>
      <c r="C130" s="71"/>
      <c r="D130" s="71"/>
      <c r="E130" s="71">
        <v>15192.96</v>
      </c>
      <c r="F130" t="str">
        <f>VLOOKUP(A130,'TB 1024'!A:A,1,0)</f>
        <v>GST Payable</v>
      </c>
    </row>
    <row r="131" spans="1:6" x14ac:dyDescent="0.35">
      <c r="A131" s="69" t="s">
        <v>439</v>
      </c>
      <c r="B131" s="70"/>
      <c r="C131" s="71"/>
      <c r="E131" s="71">
        <v>5905</v>
      </c>
      <c r="F131" t="str">
        <f>VLOOKUP(A131,'TB 1024'!A:A,1,0)</f>
        <v>Aayush Agarwal - Salary</v>
      </c>
    </row>
    <row r="132" spans="1:6" x14ac:dyDescent="0.35">
      <c r="A132" s="69" t="s">
        <v>440</v>
      </c>
      <c r="B132" s="70"/>
      <c r="C132" s="71"/>
      <c r="E132" s="71">
        <v>10520</v>
      </c>
      <c r="F132" t="str">
        <f>VLOOKUP(A132,'TB 1024'!A:A,1,0)</f>
        <v>Adani Electricity</v>
      </c>
    </row>
    <row r="133" spans="1:6" x14ac:dyDescent="0.35">
      <c r="A133" s="69" t="s">
        <v>200</v>
      </c>
      <c r="B133" s="70"/>
      <c r="C133" s="71"/>
      <c r="E133" s="71">
        <v>36121.040000000001</v>
      </c>
      <c r="F133" t="str">
        <f>VLOOKUP(A133,'TB 1024'!A:A,1,0)</f>
        <v>Amazon Web Services</v>
      </c>
    </row>
    <row r="134" spans="1:6" x14ac:dyDescent="0.35">
      <c r="A134" s="69" t="s">
        <v>367</v>
      </c>
      <c r="B134" s="70"/>
      <c r="C134" s="71"/>
      <c r="E134" s="71">
        <v>302400</v>
      </c>
      <c r="F134" t="str">
        <f>VLOOKUP(A134,'TB 1024'!A:A,1,0)</f>
        <v>Awfis Space Solutions Limited</v>
      </c>
    </row>
    <row r="135" spans="1:6" x14ac:dyDescent="0.35">
      <c r="A135" s="69" t="s">
        <v>441</v>
      </c>
      <c r="B135" s="70"/>
      <c r="C135" s="71"/>
      <c r="E135" s="71">
        <v>25960</v>
      </c>
      <c r="F135" t="str">
        <f>VLOOKUP(A135,'TB 1024'!A:A,1,0)</f>
        <v>Clevertap Private Limited</v>
      </c>
    </row>
    <row r="136" spans="1:6" x14ac:dyDescent="0.35">
      <c r="A136" s="69" t="s">
        <v>442</v>
      </c>
      <c r="B136" s="70"/>
      <c r="C136" s="71"/>
      <c r="E136" s="71">
        <v>4000</v>
      </c>
      <c r="F136" t="str">
        <f>VLOOKUP(A136,'TB 1024'!A:A,1,0)</f>
        <v>Mr. Aditya Amare</v>
      </c>
    </row>
    <row r="137" spans="1:6" x14ac:dyDescent="0.35">
      <c r="A137" s="69" t="s">
        <v>443</v>
      </c>
      <c r="B137" s="70"/>
      <c r="C137" s="71"/>
      <c r="E137" s="71">
        <v>6500</v>
      </c>
      <c r="F137" t="str">
        <f>VLOOKUP(A137,'TB 1024'!A:A,1,0)</f>
        <v>Mr. Ajay Salve</v>
      </c>
    </row>
    <row r="138" spans="1:6" x14ac:dyDescent="0.35">
      <c r="A138" s="69" t="s">
        <v>444</v>
      </c>
      <c r="B138" s="70"/>
      <c r="C138" s="71"/>
      <c r="E138" s="71">
        <v>1590</v>
      </c>
      <c r="F138" t="str">
        <f>VLOOKUP(A138,'TB 1024'!A:A,1,0)</f>
        <v>Mr. Divyanshu Tiwari</v>
      </c>
    </row>
    <row r="139" spans="1:6" x14ac:dyDescent="0.35">
      <c r="A139" s="69" t="s">
        <v>445</v>
      </c>
      <c r="B139" s="70"/>
      <c r="C139" s="71"/>
      <c r="E139" s="71">
        <v>2500</v>
      </c>
      <c r="F139" t="str">
        <f>VLOOKUP(A139,'TB 1024'!A:A,1,0)</f>
        <v>Mr. Narendra Modoh</v>
      </c>
    </row>
    <row r="140" spans="1:6" x14ac:dyDescent="0.35">
      <c r="A140" s="69" t="s">
        <v>446</v>
      </c>
      <c r="B140" s="70"/>
      <c r="C140" s="71"/>
      <c r="E140" s="71">
        <v>2500</v>
      </c>
      <c r="F140" t="str">
        <f>VLOOKUP(A140,'TB 1024'!A:A,1,0)</f>
        <v>Mr. Rahul Lashkare</v>
      </c>
    </row>
    <row r="141" spans="1:6" x14ac:dyDescent="0.35">
      <c r="A141" s="69" t="s">
        <v>447</v>
      </c>
      <c r="B141" s="70"/>
      <c r="C141" s="71"/>
      <c r="E141" s="71">
        <v>399</v>
      </c>
      <c r="F141" t="str">
        <f>VLOOKUP(A141,'TB 1024'!A:A,1,0)</f>
        <v>Mr. Ronak Vasoya</v>
      </c>
    </row>
    <row r="142" spans="1:6" x14ac:dyDescent="0.35">
      <c r="A142" s="69" t="s">
        <v>448</v>
      </c>
      <c r="B142" s="70"/>
      <c r="C142" s="71"/>
      <c r="E142" s="71">
        <v>1000</v>
      </c>
      <c r="F142" t="str">
        <f>VLOOKUP(A142,'TB 1024'!A:A,1,0)</f>
        <v>Mr. Satish Kumar</v>
      </c>
    </row>
    <row r="143" spans="1:6" x14ac:dyDescent="0.35">
      <c r="A143" s="69" t="s">
        <v>449</v>
      </c>
      <c r="B143" s="70"/>
      <c r="C143" s="71"/>
      <c r="E143" s="71">
        <v>200</v>
      </c>
      <c r="F143" t="str">
        <f>VLOOKUP(A143,'TB 1024'!A:A,1,0)</f>
        <v>Mr. Sumeet Bhalerao</v>
      </c>
    </row>
    <row r="144" spans="1:6" x14ac:dyDescent="0.35">
      <c r="A144" s="69" t="s">
        <v>450</v>
      </c>
      <c r="B144" s="70"/>
      <c r="C144" s="71"/>
      <c r="E144" s="71">
        <v>6589</v>
      </c>
      <c r="F144" t="str">
        <f>VLOOKUP(A144,'TB 1024'!A:A,1,0)</f>
        <v>Mr. Vivek Rao</v>
      </c>
    </row>
    <row r="145" spans="1:7" x14ac:dyDescent="0.35">
      <c r="A145" s="69" t="s">
        <v>451</v>
      </c>
      <c r="B145" s="70"/>
      <c r="C145" s="71"/>
      <c r="E145" s="71">
        <v>2376</v>
      </c>
      <c r="F145" t="str">
        <f>VLOOKUP(A145,'TB 1024'!A:A,1,0)</f>
        <v>Ms. Maansi Bhardwaj</v>
      </c>
    </row>
    <row r="146" spans="1:7" x14ac:dyDescent="0.35">
      <c r="A146" s="69" t="s">
        <v>452</v>
      </c>
      <c r="B146" s="70"/>
      <c r="C146" s="71"/>
      <c r="E146" s="71">
        <v>3492</v>
      </c>
      <c r="F146" t="str">
        <f>VLOOKUP(A146,'TB 1024'!A:A,1,0)</f>
        <v>Ms. Nidhi Shah</v>
      </c>
    </row>
    <row r="147" spans="1:7" x14ac:dyDescent="0.35">
      <c r="A147" s="69" t="s">
        <v>453</v>
      </c>
      <c r="B147" s="70"/>
      <c r="C147" s="71"/>
      <c r="E147" s="71">
        <v>13950</v>
      </c>
      <c r="F147" t="str">
        <f>VLOOKUP(A147,'TB 1024'!A:A,1,0)</f>
        <v>Ms. Parul Khandelwal</v>
      </c>
    </row>
    <row r="148" spans="1:7" x14ac:dyDescent="0.35">
      <c r="A148" s="69" t="s">
        <v>454</v>
      </c>
      <c r="B148" s="70"/>
      <c r="C148" s="71"/>
      <c r="E148" s="71">
        <v>3444</v>
      </c>
      <c r="F148" t="str">
        <f>VLOOKUP(A148,'TB 1024'!A:A,1,0)</f>
        <v>Ms. Swati Sahani</v>
      </c>
    </row>
    <row r="149" spans="1:7" x14ac:dyDescent="0.35">
      <c r="A149" s="69" t="s">
        <v>145</v>
      </c>
      <c r="B149" s="70"/>
      <c r="D149" s="71">
        <v>9048</v>
      </c>
      <c r="E149" s="71"/>
      <c r="F149" t="str">
        <f>VLOOKUP(A149,'TB 1024'!A:A,1,0)</f>
        <v>Samron Infotech</v>
      </c>
    </row>
    <row r="150" spans="1:7" x14ac:dyDescent="0.35">
      <c r="A150" s="69" t="s">
        <v>428</v>
      </c>
      <c r="D150" s="71">
        <f>1198036.66-568412.41-321766.25-151929-32333-46896-10982-26442</f>
        <v>39275.999999999884</v>
      </c>
      <c r="E150" s="71"/>
      <c r="F150" t="str">
        <f>VLOOKUP(A150,'TB 1024'!A:A,1,0)</f>
        <v>Bank adjustments pending in zoho</v>
      </c>
    </row>
    <row r="151" spans="1:7" x14ac:dyDescent="0.35">
      <c r="A151" s="69" t="s">
        <v>29</v>
      </c>
      <c r="D151" s="71">
        <v>14750</v>
      </c>
      <c r="F151" t="str">
        <f>VLOOKUP(A151,'TB 1024'!A:A,1,0)</f>
        <v>Payment Gateway Cost</v>
      </c>
    </row>
    <row r="152" spans="1:7" x14ac:dyDescent="0.35">
      <c r="A152" s="69" t="s">
        <v>434</v>
      </c>
      <c r="E152" s="71">
        <v>17402</v>
      </c>
      <c r="F152" t="str">
        <f>VLOOKUP(A152,'TB 1024'!A:A,1,0)</f>
        <v>Provision for PG Cost</v>
      </c>
    </row>
    <row r="153" spans="1:7" x14ac:dyDescent="0.35">
      <c r="A153" s="69" t="s">
        <v>435</v>
      </c>
      <c r="F153" t="str">
        <f>VLOOKUP(A153,'TB 1024'!A:A,1,0)</f>
        <v>Forfieture revenue</v>
      </c>
    </row>
    <row r="154" spans="1:7" x14ac:dyDescent="0.35">
      <c r="A154" s="69" t="s">
        <v>436</v>
      </c>
      <c r="F154" t="str">
        <f>VLOOKUP(A154,'TB 1024'!A:A,1,0)</f>
        <v>Forfieture Discount</v>
      </c>
    </row>
    <row r="155" spans="1:7" x14ac:dyDescent="0.35">
      <c r="A155" s="69" t="s">
        <v>437</v>
      </c>
      <c r="F155" t="str">
        <f>VLOOKUP(A155,'TB 1024'!A:A,1,0)</f>
        <v>Forfieture Tax</v>
      </c>
    </row>
    <row r="156" spans="1:7" x14ac:dyDescent="0.35">
      <c r="A156" s="69" t="s">
        <v>438</v>
      </c>
      <c r="F156" t="str">
        <f>VLOOKUP(A156,'TB 1024'!A:A,1,0)</f>
        <v>Forfieture B2c</v>
      </c>
    </row>
    <row r="157" spans="1:7" x14ac:dyDescent="0.35">
      <c r="A157" s="69" t="s">
        <v>456</v>
      </c>
      <c r="E157" s="139">
        <v>1050560.1599999999</v>
      </c>
    </row>
    <row r="158" spans="1:7" x14ac:dyDescent="0.35">
      <c r="A158" s="69" t="s">
        <v>457</v>
      </c>
      <c r="D158">
        <v>110625</v>
      </c>
      <c r="F158" s="90"/>
      <c r="G158" s="90"/>
    </row>
    <row r="159" spans="1:7" x14ac:dyDescent="0.35">
      <c r="A159" s="69" t="s">
        <v>458</v>
      </c>
      <c r="D159">
        <v>1012793.4199999999</v>
      </c>
    </row>
    <row r="160" spans="1:7" x14ac:dyDescent="0.35">
      <c r="A160" s="69" t="s">
        <v>459</v>
      </c>
      <c r="E160">
        <v>72858.259999999995</v>
      </c>
    </row>
    <row r="161" spans="1:1" x14ac:dyDescent="0.35">
      <c r="A161" s="69" t="s">
        <v>462</v>
      </c>
    </row>
  </sheetData>
  <autoFilter ref="A9:F161" xr:uid="{00000000-0009-0000-0000-000008000000}"/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G59"/>
  <sheetViews>
    <sheetView topLeftCell="A48" workbookViewId="0">
      <selection activeCell="F60" sqref="F60"/>
    </sheetView>
  </sheetViews>
  <sheetFormatPr defaultRowHeight="14.5" x14ac:dyDescent="0.35"/>
  <cols>
    <col min="1" max="1" width="33.08984375" bestFit="1" customWidth="1"/>
    <col min="2" max="3" width="8.08984375" bestFit="1" customWidth="1"/>
    <col min="4" max="4" width="12.81640625" bestFit="1" customWidth="1"/>
    <col min="5" max="5" width="23.36328125" bestFit="1" customWidth="1"/>
    <col min="6" max="6" width="10.08984375" customWidth="1"/>
    <col min="7" max="7" width="43.36328125" bestFit="1" customWidth="1"/>
  </cols>
  <sheetData>
    <row r="1" spans="1:7" ht="15.5" x14ac:dyDescent="0.35">
      <c r="A1" s="573" t="s">
        <v>80</v>
      </c>
      <c r="B1" s="573"/>
      <c r="C1" s="573"/>
    </row>
    <row r="2" spans="1:7" x14ac:dyDescent="0.35">
      <c r="A2" s="574" t="s">
        <v>81</v>
      </c>
      <c r="B2" s="574"/>
      <c r="C2" s="574"/>
    </row>
    <row r="3" spans="1:7" x14ac:dyDescent="0.35">
      <c r="A3" s="575" t="s">
        <v>82</v>
      </c>
      <c r="B3" s="575"/>
      <c r="C3" s="575"/>
    </row>
    <row r="4" spans="1:7" ht="15.5" x14ac:dyDescent="0.35">
      <c r="A4" s="576" t="s">
        <v>83</v>
      </c>
      <c r="B4" s="576"/>
      <c r="C4" s="576"/>
    </row>
    <row r="5" spans="1:7" x14ac:dyDescent="0.35">
      <c r="A5" s="574" t="s">
        <v>407</v>
      </c>
      <c r="B5" s="574"/>
      <c r="C5" s="574"/>
    </row>
    <row r="6" spans="1:7" x14ac:dyDescent="0.35">
      <c r="A6" s="66" t="s">
        <v>85</v>
      </c>
      <c r="B6" s="577" t="s">
        <v>80</v>
      </c>
      <c r="C6" s="578"/>
    </row>
    <row r="7" spans="1:7" x14ac:dyDescent="0.35">
      <c r="A7" s="67" t="s">
        <v>86</v>
      </c>
      <c r="B7" s="569" t="s">
        <v>407</v>
      </c>
      <c r="C7" s="570"/>
    </row>
    <row r="8" spans="1:7" x14ac:dyDescent="0.35">
      <c r="A8" s="67" t="s">
        <v>85</v>
      </c>
      <c r="B8" s="571" t="s">
        <v>87</v>
      </c>
      <c r="C8" s="572"/>
    </row>
    <row r="9" spans="1:7" s="78" customFormat="1" x14ac:dyDescent="0.35">
      <c r="A9" s="68" t="s">
        <v>85</v>
      </c>
      <c r="B9" s="77" t="s">
        <v>88</v>
      </c>
      <c r="C9" s="77" t="s">
        <v>89</v>
      </c>
      <c r="D9" s="100" t="s">
        <v>157</v>
      </c>
      <c r="E9" s="78" t="s">
        <v>158</v>
      </c>
      <c r="F9" s="78" t="s">
        <v>159</v>
      </c>
      <c r="G9" s="78" t="s">
        <v>160</v>
      </c>
    </row>
    <row r="10" spans="1:7" x14ac:dyDescent="0.35">
      <c r="A10" s="69" t="s">
        <v>90</v>
      </c>
      <c r="B10" s="70"/>
      <c r="C10" s="71">
        <v>1509234</v>
      </c>
      <c r="D10" s="74">
        <f>(B10-C10)/1000</f>
        <v>-1509.2339999999999</v>
      </c>
      <c r="E10" t="s">
        <v>161</v>
      </c>
      <c r="F10" t="s">
        <v>180</v>
      </c>
      <c r="G10" t="s">
        <v>65</v>
      </c>
    </row>
    <row r="11" spans="1:7" x14ac:dyDescent="0.35">
      <c r="A11" s="69" t="s">
        <v>92</v>
      </c>
      <c r="B11" s="70"/>
      <c r="C11" s="71">
        <v>99000</v>
      </c>
      <c r="D11" s="74">
        <f t="shared" ref="D11:D58" si="0">(B11-C11)/1000</f>
        <v>-99</v>
      </c>
      <c r="E11" t="s">
        <v>162</v>
      </c>
      <c r="F11" t="s">
        <v>180</v>
      </c>
      <c r="G11" t="s">
        <v>63</v>
      </c>
    </row>
    <row r="12" spans="1:7" x14ac:dyDescent="0.35">
      <c r="A12" s="69" t="s">
        <v>408</v>
      </c>
      <c r="B12" s="71">
        <v>25000</v>
      </c>
      <c r="C12" s="70"/>
      <c r="D12" s="74">
        <f t="shared" si="0"/>
        <v>25</v>
      </c>
      <c r="E12" t="s">
        <v>169</v>
      </c>
      <c r="F12" t="s">
        <v>182</v>
      </c>
      <c r="G12" t="e">
        <v>#N/A</v>
      </c>
    </row>
    <row r="13" spans="1:7" x14ac:dyDescent="0.35">
      <c r="A13" s="69" t="s">
        <v>98</v>
      </c>
      <c r="B13" s="71">
        <v>468085.82</v>
      </c>
      <c r="C13" s="70"/>
      <c r="D13" s="74">
        <f t="shared" si="0"/>
        <v>468.08582000000001</v>
      </c>
      <c r="E13" t="s">
        <v>166</v>
      </c>
      <c r="F13" t="s">
        <v>181</v>
      </c>
      <c r="G13" t="s">
        <v>78</v>
      </c>
    </row>
    <row r="14" spans="1:7" x14ac:dyDescent="0.35">
      <c r="A14" s="69" t="s">
        <v>203</v>
      </c>
      <c r="B14" s="70"/>
      <c r="C14" s="71">
        <v>590</v>
      </c>
      <c r="D14" s="74">
        <f t="shared" si="0"/>
        <v>-0.59</v>
      </c>
      <c r="E14" t="s">
        <v>169</v>
      </c>
      <c r="F14" t="s">
        <v>182</v>
      </c>
      <c r="G14" t="e">
        <v>#N/A</v>
      </c>
    </row>
    <row r="15" spans="1:7" x14ac:dyDescent="0.35">
      <c r="A15" s="69" t="s">
        <v>99</v>
      </c>
      <c r="B15" s="71">
        <v>17400</v>
      </c>
      <c r="C15" s="70"/>
      <c r="D15" s="74">
        <f t="shared" si="0"/>
        <v>17.399999999999999</v>
      </c>
      <c r="E15" t="s">
        <v>167</v>
      </c>
      <c r="F15" t="s">
        <v>180</v>
      </c>
      <c r="G15" t="s">
        <v>67</v>
      </c>
    </row>
    <row r="16" spans="1:7" x14ac:dyDescent="0.35">
      <c r="A16" s="69" t="s">
        <v>409</v>
      </c>
      <c r="B16" s="71">
        <v>1228</v>
      </c>
      <c r="C16" s="70"/>
      <c r="D16" s="74">
        <f t="shared" si="0"/>
        <v>1.228</v>
      </c>
      <c r="E16" t="s">
        <v>169</v>
      </c>
      <c r="F16" t="s">
        <v>182</v>
      </c>
      <c r="G16" t="e">
        <v>#N/A</v>
      </c>
    </row>
    <row r="17" spans="1:7" x14ac:dyDescent="0.35">
      <c r="A17" s="69" t="s">
        <v>102</v>
      </c>
      <c r="B17" s="71">
        <v>141666</v>
      </c>
      <c r="C17" s="70"/>
      <c r="D17" s="74">
        <f t="shared" si="0"/>
        <v>141.666</v>
      </c>
      <c r="E17" t="s">
        <v>169</v>
      </c>
      <c r="F17" t="s">
        <v>182</v>
      </c>
      <c r="G17" t="s">
        <v>39</v>
      </c>
    </row>
    <row r="18" spans="1:7" x14ac:dyDescent="0.35">
      <c r="A18" s="69" t="s">
        <v>103</v>
      </c>
      <c r="B18" s="71">
        <v>47800</v>
      </c>
      <c r="C18" s="70"/>
      <c r="D18" s="74">
        <f t="shared" si="0"/>
        <v>47.8</v>
      </c>
      <c r="E18" t="s">
        <v>169</v>
      </c>
      <c r="F18" t="s">
        <v>182</v>
      </c>
      <c r="G18" t="s">
        <v>42</v>
      </c>
    </row>
    <row r="19" spans="1:7" x14ac:dyDescent="0.35">
      <c r="A19" s="69" t="s">
        <v>104</v>
      </c>
      <c r="B19" s="70"/>
      <c r="C19" s="71">
        <v>21576</v>
      </c>
      <c r="D19" s="74">
        <f t="shared" si="0"/>
        <v>-21.576000000000001</v>
      </c>
      <c r="E19" t="s">
        <v>167</v>
      </c>
      <c r="F19" t="s">
        <v>180</v>
      </c>
      <c r="G19" t="s">
        <v>67</v>
      </c>
    </row>
    <row r="20" spans="1:7" x14ac:dyDescent="0.35">
      <c r="A20" s="69" t="s">
        <v>105</v>
      </c>
      <c r="B20" s="70"/>
      <c r="C20" s="71">
        <v>340332</v>
      </c>
      <c r="D20" s="74">
        <f t="shared" si="0"/>
        <v>-340.33199999999999</v>
      </c>
      <c r="E20" t="s">
        <v>163</v>
      </c>
      <c r="F20" t="s">
        <v>180</v>
      </c>
      <c r="G20" t="s">
        <v>68</v>
      </c>
    </row>
    <row r="21" spans="1:7" x14ac:dyDescent="0.35">
      <c r="A21" s="69" t="s">
        <v>111</v>
      </c>
      <c r="B21" s="70"/>
      <c r="C21" s="71">
        <v>185000</v>
      </c>
      <c r="D21" s="74">
        <f t="shared" si="0"/>
        <v>-185</v>
      </c>
      <c r="E21" t="s">
        <v>167</v>
      </c>
      <c r="F21" t="s">
        <v>180</v>
      </c>
      <c r="G21" t="s">
        <v>67</v>
      </c>
    </row>
    <row r="22" spans="1:7" x14ac:dyDescent="0.35">
      <c r="A22" s="69" t="s">
        <v>212</v>
      </c>
      <c r="B22" s="70"/>
      <c r="C22" s="71">
        <v>58500</v>
      </c>
      <c r="D22" s="74">
        <f t="shared" si="0"/>
        <v>-58.5</v>
      </c>
      <c r="E22" t="s">
        <v>165</v>
      </c>
      <c r="F22" t="s">
        <v>180</v>
      </c>
      <c r="G22" t="s">
        <v>68</v>
      </c>
    </row>
    <row r="23" spans="1:7" x14ac:dyDescent="0.35">
      <c r="A23" s="69" t="s">
        <v>112</v>
      </c>
      <c r="B23" s="71">
        <v>3000</v>
      </c>
      <c r="C23" s="70"/>
      <c r="D23" s="74">
        <f t="shared" si="0"/>
        <v>3</v>
      </c>
      <c r="E23" t="s">
        <v>171</v>
      </c>
      <c r="F23" t="s">
        <v>180</v>
      </c>
      <c r="G23" t="s">
        <v>67</v>
      </c>
    </row>
    <row r="24" spans="1:7" x14ac:dyDescent="0.35">
      <c r="A24" s="69" t="s">
        <v>114</v>
      </c>
      <c r="B24" s="71">
        <v>475</v>
      </c>
      <c r="C24" s="70"/>
      <c r="D24" s="74">
        <f t="shared" si="0"/>
        <v>0.47499999999999998</v>
      </c>
      <c r="E24" t="s">
        <v>172</v>
      </c>
      <c r="F24" t="s">
        <v>180</v>
      </c>
      <c r="G24" t="s">
        <v>79</v>
      </c>
    </row>
    <row r="25" spans="1:7" x14ac:dyDescent="0.35">
      <c r="A25" s="69" t="s">
        <v>115</v>
      </c>
      <c r="B25" s="71">
        <v>46362.42</v>
      </c>
      <c r="C25" s="70"/>
      <c r="D25" s="74">
        <f t="shared" si="0"/>
        <v>46.36242</v>
      </c>
      <c r="E25" t="s">
        <v>172</v>
      </c>
      <c r="F25" t="s">
        <v>180</v>
      </c>
      <c r="G25" t="s">
        <v>79</v>
      </c>
    </row>
    <row r="26" spans="1:7" x14ac:dyDescent="0.35">
      <c r="A26" s="69" t="s">
        <v>116</v>
      </c>
      <c r="B26" s="71">
        <v>3754.44</v>
      </c>
      <c r="C26" s="70"/>
      <c r="D26" s="74">
        <f t="shared" si="0"/>
        <v>3.7544400000000002</v>
      </c>
      <c r="E26" t="s">
        <v>172</v>
      </c>
      <c r="F26" t="s">
        <v>180</v>
      </c>
      <c r="G26" t="s">
        <v>79</v>
      </c>
    </row>
    <row r="27" spans="1:7" x14ac:dyDescent="0.35">
      <c r="A27" s="69" t="s">
        <v>117</v>
      </c>
      <c r="B27" s="71">
        <v>475</v>
      </c>
      <c r="C27" s="70"/>
      <c r="D27" s="74">
        <f t="shared" si="0"/>
        <v>0.47499999999999998</v>
      </c>
      <c r="E27" t="s">
        <v>172</v>
      </c>
      <c r="F27" t="s">
        <v>180</v>
      </c>
      <c r="G27" t="s">
        <v>79</v>
      </c>
    </row>
    <row r="28" spans="1:7" x14ac:dyDescent="0.35">
      <c r="A28" s="69" t="s">
        <v>118</v>
      </c>
      <c r="B28" s="71">
        <v>46362.42</v>
      </c>
      <c r="C28" s="70"/>
      <c r="D28" s="74">
        <f t="shared" si="0"/>
        <v>46.36242</v>
      </c>
      <c r="E28" t="s">
        <v>172</v>
      </c>
      <c r="F28" t="s">
        <v>180</v>
      </c>
      <c r="G28" t="s">
        <v>79</v>
      </c>
    </row>
    <row r="29" spans="1:7" x14ac:dyDescent="0.35">
      <c r="A29" s="69" t="s">
        <v>124</v>
      </c>
      <c r="B29" s="71">
        <v>355171</v>
      </c>
      <c r="C29" s="70"/>
      <c r="D29" s="74">
        <f t="shared" si="0"/>
        <v>355.17099999999999</v>
      </c>
      <c r="E29" t="s">
        <v>173</v>
      </c>
      <c r="F29" t="s">
        <v>182</v>
      </c>
      <c r="G29" t="s">
        <v>26</v>
      </c>
    </row>
    <row r="30" spans="1:7" x14ac:dyDescent="0.35">
      <c r="A30" s="69" t="s">
        <v>410</v>
      </c>
      <c r="B30" s="71">
        <v>5500</v>
      </c>
      <c r="C30" s="70"/>
      <c r="D30" s="74">
        <f t="shared" si="0"/>
        <v>5.5</v>
      </c>
      <c r="E30" t="s">
        <v>169</v>
      </c>
      <c r="F30" t="s">
        <v>182</v>
      </c>
      <c r="G30" t="e">
        <v>#N/A</v>
      </c>
    </row>
    <row r="31" spans="1:7" x14ac:dyDescent="0.35">
      <c r="A31" s="69" t="s">
        <v>126</v>
      </c>
      <c r="B31" s="71">
        <v>333800</v>
      </c>
      <c r="C31" s="70"/>
      <c r="D31" s="74">
        <f t="shared" si="0"/>
        <v>333.8</v>
      </c>
      <c r="E31" t="s">
        <v>173</v>
      </c>
      <c r="F31" t="s">
        <v>182</v>
      </c>
      <c r="G31" t="s">
        <v>37</v>
      </c>
    </row>
    <row r="32" spans="1:7" x14ac:dyDescent="0.35">
      <c r="A32" s="69" t="s">
        <v>42</v>
      </c>
      <c r="B32" s="71">
        <v>94983</v>
      </c>
      <c r="C32" s="70"/>
      <c r="D32" s="74">
        <f t="shared" si="0"/>
        <v>94.983000000000004</v>
      </c>
      <c r="E32" t="s">
        <v>40</v>
      </c>
      <c r="F32" t="s">
        <v>182</v>
      </c>
      <c r="G32" t="e">
        <v>#N/A</v>
      </c>
    </row>
    <row r="33" spans="1:7" x14ac:dyDescent="0.35">
      <c r="A33" s="69" t="s">
        <v>411</v>
      </c>
      <c r="B33" s="70"/>
      <c r="C33" s="71">
        <v>17500</v>
      </c>
      <c r="D33" s="74">
        <f t="shared" si="0"/>
        <v>-17.5</v>
      </c>
      <c r="E33" t="s">
        <v>164</v>
      </c>
      <c r="F33" t="s">
        <v>180</v>
      </c>
      <c r="G33" t="s">
        <v>67</v>
      </c>
    </row>
    <row r="34" spans="1:7" x14ac:dyDescent="0.35">
      <c r="A34" s="69" t="s">
        <v>29</v>
      </c>
      <c r="B34" s="71">
        <v>976</v>
      </c>
      <c r="C34" s="70"/>
      <c r="D34" s="74">
        <f t="shared" si="0"/>
        <v>0.97599999999999998</v>
      </c>
      <c r="E34" t="s">
        <v>173</v>
      </c>
      <c r="F34" t="s">
        <v>182</v>
      </c>
      <c r="G34" t="s">
        <v>29</v>
      </c>
    </row>
    <row r="35" spans="1:7" x14ac:dyDescent="0.35">
      <c r="A35" s="69" t="s">
        <v>134</v>
      </c>
      <c r="B35" s="70"/>
      <c r="C35" s="71">
        <v>1400</v>
      </c>
      <c r="D35" s="74">
        <f t="shared" si="0"/>
        <v>-1.4</v>
      </c>
      <c r="E35" t="s">
        <v>175</v>
      </c>
      <c r="F35" t="s">
        <v>180</v>
      </c>
      <c r="G35" t="s">
        <v>68</v>
      </c>
    </row>
    <row r="36" spans="1:7" x14ac:dyDescent="0.35">
      <c r="A36" s="69" t="s">
        <v>135</v>
      </c>
      <c r="B36" s="71">
        <v>790831.89</v>
      </c>
      <c r="C36" s="70"/>
      <c r="D36" s="74">
        <f t="shared" si="0"/>
        <v>790.83189000000004</v>
      </c>
      <c r="E36" t="s">
        <v>176</v>
      </c>
      <c r="F36" t="s">
        <v>183</v>
      </c>
      <c r="G36" t="s">
        <v>64</v>
      </c>
    </row>
    <row r="37" spans="1:7" x14ac:dyDescent="0.35">
      <c r="A37" s="69" t="s">
        <v>138</v>
      </c>
      <c r="B37" s="70"/>
      <c r="C37" s="71">
        <v>25000</v>
      </c>
      <c r="D37" s="74">
        <f t="shared" si="0"/>
        <v>-25</v>
      </c>
      <c r="E37" t="s">
        <v>178</v>
      </c>
      <c r="F37" t="s">
        <v>180</v>
      </c>
      <c r="G37" t="s">
        <v>69</v>
      </c>
    </row>
    <row r="38" spans="1:7" x14ac:dyDescent="0.35">
      <c r="A38" s="69" t="s">
        <v>240</v>
      </c>
      <c r="B38" s="71">
        <v>19200</v>
      </c>
      <c r="C38" s="70"/>
      <c r="D38" s="74">
        <f t="shared" si="0"/>
        <v>19.2</v>
      </c>
      <c r="E38" t="s">
        <v>169</v>
      </c>
      <c r="F38" t="s">
        <v>182</v>
      </c>
      <c r="G38" t="e">
        <v>#N/A</v>
      </c>
    </row>
    <row r="39" spans="1:7" x14ac:dyDescent="0.35">
      <c r="A39" s="69" t="s">
        <v>142</v>
      </c>
      <c r="B39" s="71">
        <v>50304</v>
      </c>
      <c r="C39" s="70"/>
      <c r="D39" s="74">
        <f t="shared" si="0"/>
        <v>50.304000000000002</v>
      </c>
      <c r="E39" t="s">
        <v>169</v>
      </c>
      <c r="F39" t="s">
        <v>182</v>
      </c>
      <c r="G39" t="s">
        <v>31</v>
      </c>
    </row>
    <row r="40" spans="1:7" x14ac:dyDescent="0.35">
      <c r="A40" s="69" t="s">
        <v>143</v>
      </c>
      <c r="B40" s="71">
        <v>132400</v>
      </c>
      <c r="C40" s="70"/>
      <c r="D40" s="74">
        <f t="shared" si="0"/>
        <v>132.4</v>
      </c>
      <c r="E40" t="s">
        <v>170</v>
      </c>
      <c r="F40" t="s">
        <v>182</v>
      </c>
      <c r="G40" t="s">
        <v>185</v>
      </c>
    </row>
    <row r="41" spans="1:7" x14ac:dyDescent="0.35">
      <c r="A41" s="69" t="s">
        <v>144</v>
      </c>
      <c r="B41" s="70"/>
      <c r="C41" s="71">
        <v>191818.81</v>
      </c>
      <c r="D41" s="74">
        <f t="shared" si="0"/>
        <v>-191.81880999999998</v>
      </c>
      <c r="E41" t="s">
        <v>144</v>
      </c>
      <c r="F41" t="s">
        <v>184</v>
      </c>
      <c r="G41" t="s">
        <v>25</v>
      </c>
    </row>
    <row r="42" spans="1:7" x14ac:dyDescent="0.35">
      <c r="A42" s="69" t="s">
        <v>145</v>
      </c>
      <c r="B42" s="70"/>
      <c r="C42" s="71">
        <v>25752</v>
      </c>
      <c r="D42" s="74">
        <f t="shared" si="0"/>
        <v>-25.751999999999999</v>
      </c>
      <c r="E42" t="s">
        <v>171</v>
      </c>
      <c r="F42" t="s">
        <v>180</v>
      </c>
      <c r="G42" t="s">
        <v>67</v>
      </c>
    </row>
    <row r="43" spans="1:7" x14ac:dyDescent="0.35">
      <c r="A43" s="69" t="s">
        <v>146</v>
      </c>
      <c r="B43" s="71">
        <v>150000</v>
      </c>
      <c r="C43" s="70"/>
      <c r="D43" s="74">
        <f t="shared" si="0"/>
        <v>150</v>
      </c>
      <c r="E43" t="s">
        <v>75</v>
      </c>
      <c r="F43" t="s">
        <v>181</v>
      </c>
      <c r="G43" t="s">
        <v>73</v>
      </c>
    </row>
    <row r="44" spans="1:7" x14ac:dyDescent="0.35">
      <c r="A44" s="69" t="s">
        <v>148</v>
      </c>
      <c r="B44" s="70"/>
      <c r="C44" s="71">
        <v>232000</v>
      </c>
      <c r="D44" s="74">
        <f t="shared" si="0"/>
        <v>-232</v>
      </c>
      <c r="E44" t="s">
        <v>164</v>
      </c>
      <c r="F44" t="s">
        <v>180</v>
      </c>
      <c r="G44" t="s">
        <v>67</v>
      </c>
    </row>
    <row r="45" spans="1:7" x14ac:dyDescent="0.35">
      <c r="A45" s="69" t="s">
        <v>149</v>
      </c>
      <c r="B45" s="71">
        <v>20263.66</v>
      </c>
      <c r="C45" s="70"/>
      <c r="D45" s="74">
        <f t="shared" si="0"/>
        <v>20.263660000000002</v>
      </c>
      <c r="E45" t="s">
        <v>169</v>
      </c>
      <c r="F45" t="s">
        <v>182</v>
      </c>
      <c r="G45" t="s">
        <v>39</v>
      </c>
    </row>
    <row r="46" spans="1:7" x14ac:dyDescent="0.35">
      <c r="A46" s="69" t="s">
        <v>33</v>
      </c>
      <c r="B46" s="71">
        <v>21640</v>
      </c>
      <c r="C46" s="70"/>
      <c r="D46" s="74">
        <f t="shared" si="0"/>
        <v>21.64</v>
      </c>
      <c r="E46" t="s">
        <v>173</v>
      </c>
      <c r="F46" t="s">
        <v>182</v>
      </c>
      <c r="G46" t="s">
        <v>33</v>
      </c>
    </row>
    <row r="47" spans="1:7" x14ac:dyDescent="0.35">
      <c r="A47" s="69" t="s">
        <v>249</v>
      </c>
      <c r="B47" s="71">
        <v>3938.16</v>
      </c>
      <c r="C47" s="70"/>
      <c r="D47" s="74">
        <f t="shared" si="0"/>
        <v>3.9381599999999999</v>
      </c>
      <c r="E47" t="s">
        <v>169</v>
      </c>
      <c r="F47" t="s">
        <v>182</v>
      </c>
      <c r="G47" t="e">
        <v>#N/A</v>
      </c>
    </row>
    <row r="48" spans="1:7" x14ac:dyDescent="0.35">
      <c r="A48" s="69" t="s">
        <v>412</v>
      </c>
      <c r="B48" s="70"/>
      <c r="C48" s="71">
        <v>4647</v>
      </c>
      <c r="D48" s="74">
        <f t="shared" si="0"/>
        <v>-4.6470000000000002</v>
      </c>
      <c r="E48" t="s">
        <v>164</v>
      </c>
      <c r="F48" t="s">
        <v>180</v>
      </c>
      <c r="G48" t="s">
        <v>67</v>
      </c>
    </row>
    <row r="49" spans="1:7" x14ac:dyDescent="0.35">
      <c r="A49" s="69" t="s">
        <v>413</v>
      </c>
      <c r="B49" s="70"/>
      <c r="C49" s="71">
        <v>39000</v>
      </c>
      <c r="D49" s="74">
        <f t="shared" si="0"/>
        <v>-39</v>
      </c>
      <c r="E49" t="s">
        <v>164</v>
      </c>
      <c r="F49" t="s">
        <v>180</v>
      </c>
      <c r="G49" t="s">
        <v>67</v>
      </c>
    </row>
    <row r="50" spans="1:7" x14ac:dyDescent="0.35">
      <c r="A50" s="69" t="s">
        <v>152</v>
      </c>
      <c r="B50" s="70"/>
      <c r="C50" s="71">
        <v>13828</v>
      </c>
      <c r="D50" s="74">
        <f t="shared" si="0"/>
        <v>-13.827999999999999</v>
      </c>
      <c r="E50" t="s">
        <v>179</v>
      </c>
      <c r="F50" t="s">
        <v>180</v>
      </c>
      <c r="G50" t="s">
        <v>68</v>
      </c>
    </row>
    <row r="51" spans="1:7" x14ac:dyDescent="0.35">
      <c r="A51" s="69" t="s">
        <v>414</v>
      </c>
      <c r="B51" s="70"/>
      <c r="C51" s="71">
        <v>1228</v>
      </c>
      <c r="D51" s="74">
        <f t="shared" si="0"/>
        <v>-1.228</v>
      </c>
      <c r="E51" t="s">
        <v>179</v>
      </c>
      <c r="F51" t="s">
        <v>180</v>
      </c>
      <c r="G51" t="s">
        <v>68</v>
      </c>
    </row>
    <row r="52" spans="1:7" x14ac:dyDescent="0.35">
      <c r="A52" s="69" t="s">
        <v>153</v>
      </c>
      <c r="B52" s="70"/>
      <c r="C52" s="71">
        <v>6280</v>
      </c>
      <c r="D52" s="74">
        <f t="shared" si="0"/>
        <v>-6.28</v>
      </c>
      <c r="E52" t="s">
        <v>179</v>
      </c>
      <c r="F52" t="s">
        <v>180</v>
      </c>
      <c r="G52" t="s">
        <v>68</v>
      </c>
    </row>
    <row r="53" spans="1:7" x14ac:dyDescent="0.35">
      <c r="A53" s="69" t="s">
        <v>253</v>
      </c>
      <c r="B53" s="70"/>
      <c r="C53" s="71">
        <v>14166</v>
      </c>
      <c r="D53" s="74">
        <f t="shared" si="0"/>
        <v>-14.166</v>
      </c>
      <c r="E53" t="s">
        <v>179</v>
      </c>
      <c r="F53" t="s">
        <v>180</v>
      </c>
      <c r="G53" t="s">
        <v>68</v>
      </c>
    </row>
    <row r="54" spans="1:7" x14ac:dyDescent="0.35">
      <c r="A54" s="69" t="s">
        <v>31</v>
      </c>
      <c r="B54" s="71">
        <v>45451</v>
      </c>
      <c r="C54" s="70"/>
      <c r="D54" s="74">
        <f t="shared" si="0"/>
        <v>45.451000000000001</v>
      </c>
      <c r="E54" t="s">
        <v>173</v>
      </c>
      <c r="F54" t="s">
        <v>182</v>
      </c>
      <c r="G54" t="s">
        <v>31</v>
      </c>
    </row>
    <row r="55" spans="1:7" x14ac:dyDescent="0.35">
      <c r="A55" s="69" t="s">
        <v>415</v>
      </c>
      <c r="B55" s="71">
        <v>8000</v>
      </c>
      <c r="C55" s="70"/>
      <c r="D55" s="74">
        <f t="shared" si="0"/>
        <v>8</v>
      </c>
      <c r="E55" t="s">
        <v>169</v>
      </c>
      <c r="F55" t="s">
        <v>182</v>
      </c>
      <c r="G55" t="e">
        <v>#N/A</v>
      </c>
    </row>
    <row r="56" spans="1:7" x14ac:dyDescent="0.35">
      <c r="A56" s="69" t="s">
        <v>154</v>
      </c>
      <c r="B56" s="70"/>
      <c r="C56" s="71">
        <v>21576</v>
      </c>
      <c r="D56" s="74">
        <f t="shared" si="0"/>
        <v>-21.576000000000001</v>
      </c>
      <c r="E56" t="s">
        <v>171</v>
      </c>
      <c r="F56" t="s">
        <v>180</v>
      </c>
      <c r="G56" t="s">
        <v>67</v>
      </c>
    </row>
    <row r="57" spans="1:7" x14ac:dyDescent="0.35">
      <c r="A57" s="69" t="s">
        <v>155</v>
      </c>
      <c r="B57" s="70"/>
      <c r="C57" s="71">
        <v>1000</v>
      </c>
      <c r="D57" s="74">
        <f t="shared" si="0"/>
        <v>-1</v>
      </c>
      <c r="E57" t="s">
        <v>162</v>
      </c>
      <c r="F57" t="s">
        <v>180</v>
      </c>
      <c r="G57" t="s">
        <v>63</v>
      </c>
    </row>
    <row r="58" spans="1:7" x14ac:dyDescent="0.35">
      <c r="A58" s="69" t="s">
        <v>416</v>
      </c>
      <c r="B58" s="70"/>
      <c r="C58" s="71">
        <v>24640</v>
      </c>
      <c r="D58" s="74">
        <f t="shared" si="0"/>
        <v>-24.64</v>
      </c>
      <c r="E58" t="s">
        <v>164</v>
      </c>
      <c r="F58" t="s">
        <v>180</v>
      </c>
      <c r="G58" t="s">
        <v>67</v>
      </c>
    </row>
    <row r="59" spans="1:7" x14ac:dyDescent="0.35">
      <c r="A59" s="72" t="s">
        <v>156</v>
      </c>
      <c r="B59" s="73">
        <v>2834067.81</v>
      </c>
      <c r="C59" s="73">
        <v>2834067.81</v>
      </c>
      <c r="D59" s="74">
        <f>SUM(D10:D58)</f>
        <v>-6.3948846218409017E-14</v>
      </c>
    </row>
  </sheetData>
  <autoFilter ref="A9:G59" xr:uid="{00000000-0009-0000-0000-000009000000}"/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P130"/>
  <sheetViews>
    <sheetView workbookViewId="0">
      <selection activeCell="A13" sqref="A13"/>
    </sheetView>
  </sheetViews>
  <sheetFormatPr defaultRowHeight="14.5" x14ac:dyDescent="0.35"/>
  <cols>
    <col min="1" max="1" width="35.36328125" bestFit="1" customWidth="1"/>
    <col min="2" max="3" width="9.08984375" bestFit="1" customWidth="1"/>
    <col min="4" max="4" width="11.81640625" style="74" bestFit="1" customWidth="1"/>
    <col min="5" max="5" width="23.36328125" bestFit="1" customWidth="1"/>
    <col min="7" max="7" width="43.36328125" bestFit="1" customWidth="1"/>
    <col min="10" max="10" width="23.36328125" bestFit="1" customWidth="1"/>
    <col min="11" max="11" width="10.81640625" style="75" bestFit="1" customWidth="1"/>
    <col min="12" max="12" width="15.81640625" bestFit="1" customWidth="1"/>
    <col min="15" max="15" width="15.81640625" bestFit="1" customWidth="1"/>
    <col min="16" max="16" width="8.81640625" style="74"/>
  </cols>
  <sheetData>
    <row r="1" spans="1:16" ht="15.5" x14ac:dyDescent="0.35">
      <c r="A1" s="573" t="s">
        <v>80</v>
      </c>
      <c r="B1" s="573"/>
      <c r="C1" s="573"/>
    </row>
    <row r="2" spans="1:16" x14ac:dyDescent="0.35">
      <c r="A2" s="574" t="s">
        <v>81</v>
      </c>
      <c r="B2" s="574"/>
      <c r="C2" s="574"/>
      <c r="F2" s="90"/>
    </row>
    <row r="3" spans="1:16" x14ac:dyDescent="0.35">
      <c r="A3" s="575" t="s">
        <v>82</v>
      </c>
      <c r="B3" s="575"/>
      <c r="C3" s="575"/>
    </row>
    <row r="4" spans="1:16" ht="15.5" x14ac:dyDescent="0.35">
      <c r="A4" s="576" t="s">
        <v>83</v>
      </c>
      <c r="B4" s="576"/>
      <c r="C4" s="576"/>
    </row>
    <row r="5" spans="1:16" x14ac:dyDescent="0.35">
      <c r="A5" s="574" t="s">
        <v>386</v>
      </c>
      <c r="B5" s="574"/>
      <c r="C5" s="574"/>
    </row>
    <row r="6" spans="1:16" x14ac:dyDescent="0.35">
      <c r="A6" s="66" t="s">
        <v>85</v>
      </c>
      <c r="B6" s="577" t="s">
        <v>80</v>
      </c>
      <c r="C6" s="578"/>
    </row>
    <row r="7" spans="1:16" x14ac:dyDescent="0.35">
      <c r="A7" s="67" t="s">
        <v>86</v>
      </c>
      <c r="B7" s="569" t="s">
        <v>386</v>
      </c>
      <c r="C7" s="570"/>
    </row>
    <row r="8" spans="1:16" x14ac:dyDescent="0.35">
      <c r="A8" s="67" t="s">
        <v>85</v>
      </c>
      <c r="B8" s="571" t="s">
        <v>87</v>
      </c>
      <c r="C8" s="572"/>
      <c r="D8" s="74">
        <f>SUBTOTAL(9,D10:D127)</f>
        <v>81.626959999992209</v>
      </c>
    </row>
    <row r="9" spans="1:16" s="78" customFormat="1" x14ac:dyDescent="0.35">
      <c r="A9" s="68" t="s">
        <v>86</v>
      </c>
      <c r="B9" s="77" t="s">
        <v>88</v>
      </c>
      <c r="C9" s="77" t="s">
        <v>89</v>
      </c>
      <c r="D9" s="100" t="s">
        <v>157</v>
      </c>
      <c r="E9" s="78" t="s">
        <v>158</v>
      </c>
      <c r="F9" s="78" t="s">
        <v>159</v>
      </c>
      <c r="G9" s="78" t="s">
        <v>160</v>
      </c>
      <c r="K9" s="79"/>
      <c r="P9" s="100"/>
    </row>
    <row r="10" spans="1:16" x14ac:dyDescent="0.35">
      <c r="A10" s="69" t="s">
        <v>197</v>
      </c>
      <c r="B10" s="70"/>
      <c r="C10" s="71">
        <v>6442.09</v>
      </c>
      <c r="D10" s="74">
        <f>(B10-C10)/1000</f>
        <v>-6.4420900000000003</v>
      </c>
      <c r="E10" t="s">
        <v>171</v>
      </c>
      <c r="F10" t="s">
        <v>180</v>
      </c>
      <c r="G10" t="s">
        <v>67</v>
      </c>
      <c r="H10">
        <f>VLOOKUP(A10,'TB 0924'!$A$10:$D$129,4,0)</f>
        <v>-6.4420900000000003</v>
      </c>
      <c r="J10" t="s">
        <v>350</v>
      </c>
      <c r="K10" s="75">
        <v>123200</v>
      </c>
      <c r="L10" t="s">
        <v>192</v>
      </c>
      <c r="O10" t="s">
        <v>192</v>
      </c>
      <c r="P10" s="74">
        <f>(SUMIF(L:L,O10,K:K))/1000</f>
        <v>1871.7893300000001</v>
      </c>
    </row>
    <row r="11" spans="1:16" x14ac:dyDescent="0.35">
      <c r="A11" s="69" t="s">
        <v>92</v>
      </c>
      <c r="B11" s="70"/>
      <c r="C11" s="71">
        <v>99000</v>
      </c>
      <c r="D11" s="74">
        <f t="shared" ref="D11:D78" si="0">(B11-C11)/1000</f>
        <v>-99</v>
      </c>
      <c r="E11" t="s">
        <v>162</v>
      </c>
      <c r="F11" t="s">
        <v>180</v>
      </c>
      <c r="G11" t="s">
        <v>63</v>
      </c>
      <c r="H11">
        <f>VLOOKUP(A11,'TB 0924'!$A$10:$D$129,4,0)</f>
        <v>-99</v>
      </c>
      <c r="J11" t="s">
        <v>351</v>
      </c>
      <c r="K11" s="75">
        <v>73200</v>
      </c>
      <c r="L11" t="s">
        <v>192</v>
      </c>
      <c r="O11" t="s">
        <v>188</v>
      </c>
      <c r="P11" s="74">
        <f>(SUMIF(L:L,O11,K:K))/1000</f>
        <v>85</v>
      </c>
    </row>
    <row r="12" spans="1:16" x14ac:dyDescent="0.35">
      <c r="A12" s="69" t="s">
        <v>287</v>
      </c>
      <c r="B12" s="71">
        <v>35000</v>
      </c>
      <c r="C12" s="70"/>
      <c r="D12" s="74">
        <f t="shared" si="0"/>
        <v>35</v>
      </c>
      <c r="E12" t="s">
        <v>169</v>
      </c>
      <c r="F12" t="s">
        <v>182</v>
      </c>
      <c r="G12" t="s">
        <v>41</v>
      </c>
      <c r="H12">
        <f>VLOOKUP(A12,'TB 0924'!$A$10:$D$129,4,0)</f>
        <v>35</v>
      </c>
      <c r="J12" t="s">
        <v>187</v>
      </c>
      <c r="K12" s="75">
        <v>58200</v>
      </c>
      <c r="L12" t="s">
        <v>188</v>
      </c>
      <c r="O12" t="s">
        <v>352</v>
      </c>
      <c r="P12" s="74">
        <f>(SUMIF(L:L,O12,K:K))/1000</f>
        <v>30.2</v>
      </c>
    </row>
    <row r="13" spans="1:16" x14ac:dyDescent="0.35">
      <c r="A13" s="69" t="s">
        <v>288</v>
      </c>
      <c r="B13" s="71">
        <v>8425</v>
      </c>
      <c r="C13" s="70"/>
      <c r="D13" s="74">
        <f t="shared" si="0"/>
        <v>8.4250000000000007</v>
      </c>
      <c r="E13" t="s">
        <v>75</v>
      </c>
      <c r="F13" t="s">
        <v>181</v>
      </c>
      <c r="G13" t="s">
        <v>79</v>
      </c>
      <c r="H13">
        <f>VLOOKUP(A13,'TB 0924'!$A$10:$D$129,4,0)</f>
        <v>8.4250000000000007</v>
      </c>
      <c r="J13" t="s">
        <v>219</v>
      </c>
      <c r="K13" s="75">
        <v>17013</v>
      </c>
      <c r="L13" t="s">
        <v>192</v>
      </c>
      <c r="O13" t="s">
        <v>190</v>
      </c>
      <c r="P13" s="74">
        <f>(SUMIF(L:L,O13,K:K))/1000</f>
        <v>57.151000000000003</v>
      </c>
    </row>
    <row r="14" spans="1:16" x14ac:dyDescent="0.35">
      <c r="A14" s="69" t="s">
        <v>289</v>
      </c>
      <c r="B14" s="70"/>
      <c r="C14" s="71">
        <v>41302</v>
      </c>
      <c r="D14" s="74">
        <f t="shared" si="0"/>
        <v>-41.302</v>
      </c>
      <c r="E14" t="s">
        <v>259</v>
      </c>
      <c r="F14" t="s">
        <v>180</v>
      </c>
      <c r="G14" t="s">
        <v>72</v>
      </c>
      <c r="H14">
        <f>VLOOKUP(A14,'TB 0924'!$A$10:$D$129,4,0)</f>
        <v>-41.302</v>
      </c>
      <c r="J14" t="s">
        <v>199</v>
      </c>
      <c r="K14" s="75">
        <v>28200</v>
      </c>
      <c r="L14" t="s">
        <v>192</v>
      </c>
      <c r="O14" t="s">
        <v>268</v>
      </c>
      <c r="P14" s="74">
        <f>(SUMIF(L:L,O14,K:K))/1000</f>
        <v>54.655999999999999</v>
      </c>
    </row>
    <row r="15" spans="1:16" x14ac:dyDescent="0.35">
      <c r="A15" s="69" t="s">
        <v>327</v>
      </c>
      <c r="B15" s="70"/>
      <c r="C15" s="71">
        <v>136419</v>
      </c>
      <c r="D15" s="74">
        <f t="shared" si="0"/>
        <v>-136.41900000000001</v>
      </c>
      <c r="E15" t="s">
        <v>259</v>
      </c>
      <c r="F15" t="s">
        <v>181</v>
      </c>
      <c r="G15" t="s">
        <v>71</v>
      </c>
      <c r="H15">
        <f>VLOOKUP(A15,'TB 0924'!$A$10:$D$129,4,0)</f>
        <v>-136.41900000000001</v>
      </c>
      <c r="J15" t="s">
        <v>269</v>
      </c>
      <c r="K15" s="75">
        <v>30200</v>
      </c>
      <c r="L15" t="s">
        <v>352</v>
      </c>
      <c r="P15" s="74">
        <f>SUM(P10:P14)</f>
        <v>2098.7963300000001</v>
      </c>
    </row>
    <row r="16" spans="1:16" x14ac:dyDescent="0.35">
      <c r="A16" s="69" t="s">
        <v>198</v>
      </c>
      <c r="B16" s="70"/>
      <c r="C16" s="71">
        <v>9125</v>
      </c>
      <c r="D16" s="74">
        <f t="shared" si="0"/>
        <v>-9.125</v>
      </c>
      <c r="E16" t="s">
        <v>259</v>
      </c>
      <c r="F16" t="s">
        <v>181</v>
      </c>
      <c r="G16" t="s">
        <v>71</v>
      </c>
      <c r="H16">
        <f>VLOOKUP(A16,'TB 0924'!$A$10:$D$129,4,0)</f>
        <v>-9.125</v>
      </c>
      <c r="J16" t="s">
        <v>273</v>
      </c>
      <c r="K16" s="75">
        <v>98200</v>
      </c>
      <c r="L16" t="s">
        <v>192</v>
      </c>
    </row>
    <row r="17" spans="1:12" x14ac:dyDescent="0.35">
      <c r="A17" s="69" t="s">
        <v>399</v>
      </c>
      <c r="B17" s="70"/>
      <c r="C17" s="71">
        <v>24199.8</v>
      </c>
      <c r="D17" s="74">
        <f t="shared" si="0"/>
        <v>-24.1998</v>
      </c>
      <c r="E17" t="s">
        <v>171</v>
      </c>
      <c r="F17" t="s">
        <v>180</v>
      </c>
      <c r="G17" t="s">
        <v>67</v>
      </c>
      <c r="H17">
        <f>VLOOKUP(A17,'TB 0924'!$A$10:$D$129,4,0)</f>
        <v>-24.1998</v>
      </c>
      <c r="J17" t="s">
        <v>317</v>
      </c>
      <c r="K17" s="75">
        <v>264900</v>
      </c>
      <c r="L17" t="s">
        <v>192</v>
      </c>
    </row>
    <row r="18" spans="1:12" x14ac:dyDescent="0.35">
      <c r="A18" s="69" t="s">
        <v>365</v>
      </c>
      <c r="B18" s="71">
        <v>305.98</v>
      </c>
      <c r="C18" s="70"/>
      <c r="D18" s="74">
        <f t="shared" si="0"/>
        <v>0.30598000000000003</v>
      </c>
      <c r="E18" t="s">
        <v>75</v>
      </c>
      <c r="F18" t="s">
        <v>181</v>
      </c>
      <c r="G18" t="s">
        <v>79</v>
      </c>
      <c r="H18">
        <f>VLOOKUP(A18,'TB 0924'!$A$10:$D$129,4,0)</f>
        <v>0.30598000000000003</v>
      </c>
      <c r="J18" t="s">
        <v>354</v>
      </c>
      <c r="K18" s="75">
        <v>31950</v>
      </c>
      <c r="L18" t="s">
        <v>190</v>
      </c>
    </row>
    <row r="19" spans="1:12" x14ac:dyDescent="0.35">
      <c r="A19" s="69" t="s">
        <v>200</v>
      </c>
      <c r="B19" s="70"/>
      <c r="C19" s="71">
        <v>589.5</v>
      </c>
      <c r="D19" s="74">
        <f t="shared" si="0"/>
        <v>-0.58950000000000002</v>
      </c>
      <c r="E19" t="s">
        <v>171</v>
      </c>
      <c r="F19" t="s">
        <v>180</v>
      </c>
      <c r="G19" t="s">
        <v>67</v>
      </c>
      <c r="H19">
        <f>VLOOKUP(A19,'TB 0924'!$A$10:$D$129,4,0)</f>
        <v>-32.054839999999999</v>
      </c>
      <c r="J19" t="s">
        <v>312</v>
      </c>
      <c r="K19" s="75">
        <v>58200</v>
      </c>
      <c r="L19" t="s">
        <v>192</v>
      </c>
    </row>
    <row r="20" spans="1:12" x14ac:dyDescent="0.35">
      <c r="A20" s="69" t="s">
        <v>96</v>
      </c>
      <c r="B20" s="71">
        <v>1521.65</v>
      </c>
      <c r="C20" s="70"/>
      <c r="D20" s="74">
        <f t="shared" si="0"/>
        <v>1.5216500000000002</v>
      </c>
      <c r="E20" t="s">
        <v>163</v>
      </c>
      <c r="F20" t="s">
        <v>180</v>
      </c>
      <c r="G20" t="s">
        <v>68</v>
      </c>
      <c r="H20">
        <f>VLOOKUP(A20,'TB 0924'!$A$10:$D$129,4,0)</f>
        <v>1.5216500000000002</v>
      </c>
      <c r="J20" t="s">
        <v>355</v>
      </c>
      <c r="K20" s="75">
        <v>223200</v>
      </c>
      <c r="L20" t="s">
        <v>192</v>
      </c>
    </row>
    <row r="21" spans="1:12" x14ac:dyDescent="0.35">
      <c r="A21" s="69" t="s">
        <v>328</v>
      </c>
      <c r="B21" s="70"/>
      <c r="C21" s="71">
        <v>24000</v>
      </c>
      <c r="D21" s="74">
        <f t="shared" si="0"/>
        <v>-24</v>
      </c>
      <c r="E21" t="s">
        <v>171</v>
      </c>
      <c r="F21" t="s">
        <v>180</v>
      </c>
      <c r="G21" t="s">
        <v>67</v>
      </c>
      <c r="H21">
        <f>VLOOKUP(A21,'TB 0924'!$A$10:$D$129,4,0)</f>
        <v>-24</v>
      </c>
      <c r="J21" t="s">
        <v>357</v>
      </c>
      <c r="K21" s="75">
        <v>26800</v>
      </c>
      <c r="L21" t="s">
        <v>188</v>
      </c>
    </row>
    <row r="22" spans="1:12" x14ac:dyDescent="0.35">
      <c r="A22" s="69" t="s">
        <v>367</v>
      </c>
      <c r="B22" s="70"/>
      <c r="C22" s="71">
        <v>5900</v>
      </c>
      <c r="D22" s="74">
        <f t="shared" si="0"/>
        <v>-5.9</v>
      </c>
      <c r="E22" t="s">
        <v>171</v>
      </c>
      <c r="F22" t="s">
        <v>180</v>
      </c>
      <c r="G22" t="s">
        <v>67</v>
      </c>
      <c r="H22">
        <f>VLOOKUP(A22,'TB 0924'!$A$10:$D$129,4,0)</f>
        <v>-5.9</v>
      </c>
      <c r="J22" t="s">
        <v>212</v>
      </c>
      <c r="K22" s="75">
        <v>248200</v>
      </c>
      <c r="L22" t="s">
        <v>192</v>
      </c>
    </row>
    <row r="23" spans="1:12" x14ac:dyDescent="0.35">
      <c r="A23" s="69" t="s">
        <v>98</v>
      </c>
      <c r="B23" s="71">
        <v>6280.31</v>
      </c>
      <c r="C23" s="70"/>
      <c r="D23" s="74">
        <f t="shared" si="0"/>
        <v>6.2803100000000001</v>
      </c>
      <c r="E23" t="s">
        <v>166</v>
      </c>
      <c r="F23" t="s">
        <v>181</v>
      </c>
      <c r="G23" t="s">
        <v>78</v>
      </c>
      <c r="H23">
        <f>VLOOKUP(A23,'TB 0924'!$A$10:$D$129,4,0)</f>
        <v>6.2803100000000001</v>
      </c>
      <c r="J23" t="s">
        <v>358</v>
      </c>
      <c r="K23" s="75">
        <v>25201</v>
      </c>
      <c r="L23" t="s">
        <v>190</v>
      </c>
    </row>
    <row r="24" spans="1:12" x14ac:dyDescent="0.35">
      <c r="A24" s="69" t="s">
        <v>202</v>
      </c>
      <c r="B24" s="71">
        <v>2937.82</v>
      </c>
      <c r="C24" s="70"/>
      <c r="D24" s="74">
        <f t="shared" si="0"/>
        <v>2.9378200000000003</v>
      </c>
      <c r="E24" t="s">
        <v>260</v>
      </c>
      <c r="F24" t="s">
        <v>181</v>
      </c>
      <c r="G24" t="s">
        <v>77</v>
      </c>
      <c r="H24">
        <f>VLOOKUP(A24,'TB 0924'!$A$10:$D$129,4,0)</f>
        <v>39.596640000000001</v>
      </c>
      <c r="J24" t="s">
        <v>379</v>
      </c>
      <c r="K24" s="75">
        <v>21001</v>
      </c>
      <c r="L24" t="s">
        <v>268</v>
      </c>
    </row>
    <row r="25" spans="1:12" x14ac:dyDescent="0.35">
      <c r="A25" s="69" t="s">
        <v>368</v>
      </c>
      <c r="B25" s="70"/>
      <c r="C25" s="71">
        <v>804</v>
      </c>
      <c r="D25" s="74">
        <f t="shared" si="0"/>
        <v>-0.80400000000000005</v>
      </c>
      <c r="E25" t="s">
        <v>171</v>
      </c>
      <c r="F25" t="s">
        <v>180</v>
      </c>
      <c r="G25" t="s">
        <v>67</v>
      </c>
      <c r="H25">
        <f>VLOOKUP(A25,'TB 0924'!$A$10:$D$129,4,0)</f>
        <v>-0.80400000000000005</v>
      </c>
      <c r="J25" t="s">
        <v>378</v>
      </c>
      <c r="K25" s="75">
        <v>32000</v>
      </c>
      <c r="L25" t="s">
        <v>192</v>
      </c>
    </row>
    <row r="26" spans="1:12" x14ac:dyDescent="0.35">
      <c r="A26" s="69" t="s">
        <v>205</v>
      </c>
      <c r="B26" s="70"/>
      <c r="C26" s="71">
        <v>21600</v>
      </c>
      <c r="D26" s="74">
        <f t="shared" si="0"/>
        <v>-21.6</v>
      </c>
      <c r="E26" t="s">
        <v>171</v>
      </c>
      <c r="F26" t="s">
        <v>180</v>
      </c>
      <c r="G26" t="s">
        <v>67</v>
      </c>
      <c r="H26">
        <f>VLOOKUP(A26,'TB 0924'!$A$10:$D$129,4,0)</f>
        <v>-21.6</v>
      </c>
      <c r="J26" t="s">
        <v>380</v>
      </c>
      <c r="K26" s="75">
        <v>173200</v>
      </c>
      <c r="L26" t="s">
        <v>192</v>
      </c>
    </row>
    <row r="27" spans="1:12" x14ac:dyDescent="0.35">
      <c r="A27" s="69" t="s">
        <v>292</v>
      </c>
      <c r="B27" s="71">
        <v>201850</v>
      </c>
      <c r="C27" s="70"/>
      <c r="D27" s="74">
        <f t="shared" si="0"/>
        <v>201.85</v>
      </c>
      <c r="E27" t="s">
        <v>314</v>
      </c>
      <c r="F27" t="s">
        <v>182</v>
      </c>
      <c r="G27" t="s">
        <v>38</v>
      </c>
      <c r="H27">
        <f>VLOOKUP(A27,'TB 0924'!$A$10:$D$129,4,0)</f>
        <v>322.36</v>
      </c>
      <c r="J27" t="s">
        <v>375</v>
      </c>
      <c r="K27" s="75">
        <v>178200</v>
      </c>
      <c r="L27" t="s">
        <v>192</v>
      </c>
    </row>
    <row r="28" spans="1:12" x14ac:dyDescent="0.35">
      <c r="A28" s="69" t="s">
        <v>293</v>
      </c>
      <c r="B28" s="70"/>
      <c r="C28" s="71">
        <v>10643</v>
      </c>
      <c r="D28" s="74">
        <f t="shared" si="0"/>
        <v>-10.643000000000001</v>
      </c>
      <c r="E28" t="s">
        <v>174</v>
      </c>
      <c r="F28" t="s">
        <v>180</v>
      </c>
      <c r="G28" t="s">
        <v>68</v>
      </c>
      <c r="H28">
        <f>VLOOKUP(A28,'TB 0924'!$A$10:$D$129,4,0)</f>
        <v>-10.643000000000001</v>
      </c>
      <c r="J28" t="s">
        <v>395</v>
      </c>
      <c r="K28" s="75">
        <v>50637</v>
      </c>
      <c r="L28" t="s">
        <v>192</v>
      </c>
    </row>
    <row r="29" spans="1:12" x14ac:dyDescent="0.35">
      <c r="A29" s="69" t="s">
        <v>370</v>
      </c>
      <c r="B29" s="71">
        <v>400</v>
      </c>
      <c r="C29" s="70"/>
      <c r="D29" s="74">
        <f t="shared" si="0"/>
        <v>0.4</v>
      </c>
      <c r="E29" t="s">
        <v>171</v>
      </c>
      <c r="F29" t="s">
        <v>180</v>
      </c>
      <c r="G29" t="s">
        <v>67</v>
      </c>
      <c r="H29">
        <f>VLOOKUP(A29,'TB 0924'!$A$10:$D$129,4,0)</f>
        <v>0.4</v>
      </c>
      <c r="J29" t="s">
        <v>396</v>
      </c>
      <c r="K29" s="75">
        <v>55733</v>
      </c>
      <c r="L29" t="s">
        <v>192</v>
      </c>
    </row>
    <row r="30" spans="1:12" x14ac:dyDescent="0.35">
      <c r="A30" s="69" t="s">
        <v>294</v>
      </c>
      <c r="B30" s="71">
        <v>11745.27</v>
      </c>
      <c r="C30" s="70"/>
      <c r="D30" s="74">
        <f t="shared" si="0"/>
        <v>11.74527</v>
      </c>
      <c r="E30" t="s">
        <v>260</v>
      </c>
      <c r="F30" t="s">
        <v>181</v>
      </c>
      <c r="G30" t="s">
        <v>77</v>
      </c>
      <c r="H30">
        <f>VLOOKUP(A30,'TB 0924'!$A$10:$D$129,4,0)</f>
        <v>-0.55585000000000007</v>
      </c>
      <c r="J30" t="s">
        <v>387</v>
      </c>
      <c r="K30" s="75">
        <v>18573</v>
      </c>
      <c r="L30" t="s">
        <v>192</v>
      </c>
    </row>
    <row r="31" spans="1:12" x14ac:dyDescent="0.35">
      <c r="A31" s="69" t="s">
        <v>329</v>
      </c>
      <c r="B31" s="71">
        <v>863949.16</v>
      </c>
      <c r="C31" s="70"/>
      <c r="D31" s="74">
        <f t="shared" si="0"/>
        <v>863.94916000000001</v>
      </c>
      <c r="E31" t="s">
        <v>259</v>
      </c>
      <c r="F31" t="s">
        <v>181</v>
      </c>
      <c r="G31" t="s">
        <v>71</v>
      </c>
      <c r="H31">
        <f>VLOOKUP(A31,'TB 0924'!$A$10:$D$129,4,0)</f>
        <v>863.94916000000001</v>
      </c>
      <c r="J31" t="s">
        <v>320</v>
      </c>
      <c r="K31" s="75">
        <v>50000</v>
      </c>
      <c r="L31" t="s">
        <v>192</v>
      </c>
    </row>
    <row r="32" spans="1:12" x14ac:dyDescent="0.35">
      <c r="A32" s="69"/>
      <c r="B32" s="71"/>
      <c r="C32" s="70"/>
      <c r="H32" t="e">
        <f>VLOOKUP(A32,'TB 0924'!$A$10:$D$129,4,0)</f>
        <v>#N/A</v>
      </c>
    </row>
    <row r="33" spans="1:12" x14ac:dyDescent="0.35">
      <c r="A33" s="69" t="s">
        <v>103</v>
      </c>
      <c r="B33" s="71">
        <v>280000</v>
      </c>
      <c r="C33" s="70"/>
      <c r="D33" s="74">
        <f t="shared" si="0"/>
        <v>280</v>
      </c>
      <c r="E33" t="s">
        <v>169</v>
      </c>
      <c r="F33" t="s">
        <v>182</v>
      </c>
      <c r="G33" t="s">
        <v>42</v>
      </c>
      <c r="H33">
        <f>VLOOKUP(A33,'TB 0924'!$A$10:$D$129,4,0)</f>
        <v>280</v>
      </c>
      <c r="J33" t="s">
        <v>321</v>
      </c>
      <c r="K33" s="75">
        <v>65000</v>
      </c>
      <c r="L33" t="s">
        <v>192</v>
      </c>
    </row>
    <row r="34" spans="1:12" x14ac:dyDescent="0.35">
      <c r="A34" s="69" t="s">
        <v>104</v>
      </c>
      <c r="B34" s="71">
        <v>800</v>
      </c>
      <c r="C34" s="70"/>
      <c r="D34" s="74">
        <f t="shared" si="0"/>
        <v>0.8</v>
      </c>
      <c r="E34" t="s">
        <v>167</v>
      </c>
      <c r="F34" t="s">
        <v>180</v>
      </c>
      <c r="G34" t="s">
        <v>67</v>
      </c>
      <c r="H34">
        <f>VLOOKUP(A34,'TB 0924'!$A$10:$D$129,4,0)</f>
        <v>0.8</v>
      </c>
      <c r="J34" t="s">
        <v>325</v>
      </c>
      <c r="K34" s="75">
        <v>21000</v>
      </c>
      <c r="L34" t="s">
        <v>192</v>
      </c>
    </row>
    <row r="35" spans="1:12" x14ac:dyDescent="0.35">
      <c r="A35" s="69" t="s">
        <v>105</v>
      </c>
      <c r="B35" s="70"/>
      <c r="C35" s="71">
        <v>658939.86</v>
      </c>
      <c r="D35" s="74">
        <f t="shared" si="0"/>
        <v>-658.93985999999995</v>
      </c>
      <c r="E35" t="s">
        <v>163</v>
      </c>
      <c r="F35" t="s">
        <v>180</v>
      </c>
      <c r="G35" t="s">
        <v>68</v>
      </c>
      <c r="H35">
        <f>VLOOKUP(A35,'TB 0924'!$A$10:$D$129,4,0)</f>
        <v>-615.05998</v>
      </c>
      <c r="J35" t="s">
        <v>397</v>
      </c>
      <c r="K35" s="75">
        <v>16000</v>
      </c>
      <c r="L35" t="s">
        <v>268</v>
      </c>
    </row>
    <row r="36" spans="1:12" x14ac:dyDescent="0.35">
      <c r="A36" s="69" t="s">
        <v>330</v>
      </c>
      <c r="B36" s="70"/>
      <c r="C36" s="71">
        <v>380</v>
      </c>
      <c r="D36" s="74">
        <f t="shared" si="0"/>
        <v>-0.38</v>
      </c>
      <c r="E36" t="s">
        <v>171</v>
      </c>
      <c r="F36" t="s">
        <v>180</v>
      </c>
      <c r="G36" t="s">
        <v>67</v>
      </c>
      <c r="H36">
        <f>VLOOKUP(A36,'TB 0924'!$A$10:$D$129,4,0)</f>
        <v>-0.38</v>
      </c>
      <c r="J36" t="s">
        <v>382</v>
      </c>
      <c r="K36" s="75">
        <v>65000</v>
      </c>
      <c r="L36" t="s">
        <v>192</v>
      </c>
    </row>
    <row r="37" spans="1:12" x14ac:dyDescent="0.35">
      <c r="A37" s="69" t="s">
        <v>296</v>
      </c>
      <c r="B37" s="71">
        <v>565121</v>
      </c>
      <c r="C37" s="70"/>
      <c r="D37" s="74">
        <f t="shared" si="0"/>
        <v>565.12099999999998</v>
      </c>
      <c r="E37" t="s">
        <v>314</v>
      </c>
      <c r="F37" t="s">
        <v>182</v>
      </c>
      <c r="G37" t="s">
        <v>37</v>
      </c>
      <c r="H37">
        <f>VLOOKUP(A37,'TB 0924'!$A$10:$D$129,4,0)</f>
        <v>461.43624</v>
      </c>
      <c r="J37" t="s">
        <v>383</v>
      </c>
      <c r="K37" s="75">
        <v>12500</v>
      </c>
      <c r="L37" t="s">
        <v>192</v>
      </c>
    </row>
    <row r="38" spans="1:12" x14ac:dyDescent="0.35">
      <c r="A38" s="69"/>
      <c r="B38" s="71"/>
      <c r="C38" s="70"/>
      <c r="H38" t="e">
        <f>VLOOKUP(A38,'TB 0924'!$A$10:$D$129,4,0)</f>
        <v>#N/A</v>
      </c>
    </row>
    <row r="39" spans="1:12" x14ac:dyDescent="0.35">
      <c r="A39" s="69" t="s">
        <v>387</v>
      </c>
      <c r="B39" s="70"/>
      <c r="C39" s="71">
        <v>16701</v>
      </c>
      <c r="D39" s="74">
        <f t="shared" si="0"/>
        <v>-16.701000000000001</v>
      </c>
      <c r="E39" t="s">
        <v>165</v>
      </c>
      <c r="F39" t="s">
        <v>180</v>
      </c>
      <c r="G39" t="s">
        <v>68</v>
      </c>
      <c r="H39">
        <f>VLOOKUP(A39,'TB 0924'!$A$10:$D$129,4,0)</f>
        <v>-16.701000000000001</v>
      </c>
      <c r="J39" t="s">
        <v>398</v>
      </c>
      <c r="K39" s="75">
        <f>28050-10395</f>
        <v>17655</v>
      </c>
      <c r="L39" t="s">
        <v>268</v>
      </c>
    </row>
    <row r="40" spans="1:12" x14ac:dyDescent="0.35">
      <c r="A40" s="69" t="s">
        <v>206</v>
      </c>
      <c r="B40" s="71">
        <v>60381</v>
      </c>
      <c r="C40" s="70"/>
      <c r="D40" s="74">
        <f t="shared" si="0"/>
        <v>60.381</v>
      </c>
      <c r="E40" t="s">
        <v>169</v>
      </c>
      <c r="F40" t="s">
        <v>182</v>
      </c>
      <c r="G40" t="s">
        <v>48</v>
      </c>
      <c r="H40">
        <f>VLOOKUP(A40,'TB 0924'!$A$10:$D$129,4,0)</f>
        <v>60.381</v>
      </c>
      <c r="J40" t="s">
        <v>395</v>
      </c>
      <c r="K40" s="75">
        <f>30333.33-14700</f>
        <v>15633.330000000002</v>
      </c>
      <c r="L40" t="s">
        <v>192</v>
      </c>
    </row>
    <row r="41" spans="1:12" x14ac:dyDescent="0.35">
      <c r="A41" s="69" t="s">
        <v>388</v>
      </c>
      <c r="B41" s="71">
        <v>82.5</v>
      </c>
      <c r="C41" s="70"/>
      <c r="D41" s="74">
        <f t="shared" si="0"/>
        <v>8.2500000000000004E-2</v>
      </c>
      <c r="E41" t="s">
        <v>167</v>
      </c>
      <c r="F41" t="s">
        <v>180</v>
      </c>
      <c r="G41" t="s">
        <v>67</v>
      </c>
      <c r="H41">
        <f>VLOOKUP(A41,'TB 0924'!$A$10:$D$129,4,0)</f>
        <v>8.2500000000000004E-2</v>
      </c>
      <c r="K41" s="75">
        <f>SUM(K10:K40)</f>
        <v>2098796.33</v>
      </c>
    </row>
    <row r="42" spans="1:12" x14ac:dyDescent="0.35">
      <c r="A42" s="69"/>
      <c r="B42" s="71"/>
      <c r="C42" s="70"/>
      <c r="H42" t="e">
        <f>VLOOKUP(A42,'TB 0924'!$A$10:$D$129,4,0)</f>
        <v>#N/A</v>
      </c>
    </row>
    <row r="43" spans="1:12" x14ac:dyDescent="0.35">
      <c r="A43" s="69"/>
      <c r="B43" s="71"/>
      <c r="C43" s="70"/>
      <c r="H43" t="e">
        <f>VLOOKUP(A43,'TB 0924'!$A$10:$D$129,4,0)</f>
        <v>#N/A</v>
      </c>
    </row>
    <row r="44" spans="1:12" x14ac:dyDescent="0.35">
      <c r="A44" s="69" t="s">
        <v>402</v>
      </c>
      <c r="B44" s="71"/>
      <c r="C44" s="70">
        <v>31103</v>
      </c>
      <c r="D44" s="74">
        <f t="shared" si="0"/>
        <v>-31.103000000000002</v>
      </c>
      <c r="E44" t="s">
        <v>165</v>
      </c>
      <c r="F44" t="s">
        <v>180</v>
      </c>
      <c r="G44" t="s">
        <v>68</v>
      </c>
      <c r="H44">
        <f>VLOOKUP(A44,'TB 0924'!$A$10:$D$129,4,0)</f>
        <v>-31.103000000000002</v>
      </c>
    </row>
    <row r="45" spans="1:12" x14ac:dyDescent="0.35">
      <c r="A45" s="69" t="s">
        <v>109</v>
      </c>
      <c r="B45" s="71">
        <v>37449</v>
      </c>
      <c r="C45" s="70"/>
      <c r="D45" s="74">
        <f t="shared" si="0"/>
        <v>37.448999999999998</v>
      </c>
      <c r="E45" t="s">
        <v>170</v>
      </c>
      <c r="F45" t="s">
        <v>182</v>
      </c>
      <c r="G45" t="s">
        <v>60</v>
      </c>
      <c r="H45">
        <f>VLOOKUP(A45,'TB 0924'!$A$10:$D$129,4,0)</f>
        <v>37.448999999999998</v>
      </c>
    </row>
    <row r="46" spans="1:12" x14ac:dyDescent="0.35">
      <c r="A46" s="69" t="s">
        <v>331</v>
      </c>
      <c r="B46" s="70"/>
      <c r="C46" s="71">
        <v>14433.44</v>
      </c>
      <c r="D46" s="74">
        <f t="shared" si="0"/>
        <v>-14.433440000000001</v>
      </c>
      <c r="E46" t="s">
        <v>171</v>
      </c>
      <c r="F46" t="s">
        <v>180</v>
      </c>
      <c r="G46" t="s">
        <v>67</v>
      </c>
      <c r="H46">
        <f>VLOOKUP(A46,'TB 0924'!$A$10:$D$129,4,0)</f>
        <v>-14.433440000000001</v>
      </c>
    </row>
    <row r="47" spans="1:12" x14ac:dyDescent="0.35">
      <c r="A47" s="69" t="s">
        <v>332</v>
      </c>
      <c r="B47" s="70"/>
      <c r="C47" s="71">
        <v>6.14</v>
      </c>
      <c r="D47" s="74">
        <f t="shared" si="0"/>
        <v>-6.1399999999999996E-3</v>
      </c>
      <c r="E47" t="s">
        <v>171</v>
      </c>
      <c r="F47" t="s">
        <v>180</v>
      </c>
      <c r="G47" t="s">
        <v>67</v>
      </c>
      <c r="H47">
        <f>VLOOKUP(A47,'TB 0924'!$A$10:$D$129,4,0)</f>
        <v>-6.1399999999999996E-3</v>
      </c>
    </row>
    <row r="48" spans="1:12" x14ac:dyDescent="0.35">
      <c r="A48" s="69" t="s">
        <v>208</v>
      </c>
      <c r="B48" s="71">
        <v>40000000</v>
      </c>
      <c r="C48" s="70"/>
      <c r="D48" s="74">
        <f t="shared" si="0"/>
        <v>40000</v>
      </c>
      <c r="E48" t="s">
        <v>261</v>
      </c>
      <c r="F48" t="s">
        <v>181</v>
      </c>
      <c r="G48" t="s">
        <v>76</v>
      </c>
      <c r="H48">
        <f>VLOOKUP(A48,'TB 0924'!$A$10:$D$129,4,0)</f>
        <v>40000</v>
      </c>
    </row>
    <row r="49" spans="1:8" x14ac:dyDescent="0.35">
      <c r="A49" s="69" t="s">
        <v>389</v>
      </c>
      <c r="B49" s="71">
        <v>2500000</v>
      </c>
      <c r="C49" s="70"/>
      <c r="D49" s="74">
        <f t="shared" si="0"/>
        <v>2500</v>
      </c>
      <c r="E49" t="s">
        <v>261</v>
      </c>
      <c r="F49" t="s">
        <v>181</v>
      </c>
      <c r="G49" t="s">
        <v>76</v>
      </c>
      <c r="H49">
        <f>VLOOKUP(A49,'TB 0924'!$A$10:$D$129,4,0)</f>
        <v>2500</v>
      </c>
    </row>
    <row r="50" spans="1:8" x14ac:dyDescent="0.35">
      <c r="A50" s="69" t="s">
        <v>390</v>
      </c>
      <c r="B50" s="71">
        <v>2000000</v>
      </c>
      <c r="C50" s="70"/>
      <c r="D50" s="74">
        <f t="shared" si="0"/>
        <v>2000</v>
      </c>
      <c r="E50" t="s">
        <v>261</v>
      </c>
      <c r="F50" t="s">
        <v>181</v>
      </c>
      <c r="G50" t="s">
        <v>76</v>
      </c>
      <c r="H50">
        <f>VLOOKUP(A50,'TB 0924'!$A$10:$D$129,4,0)</f>
        <v>2000</v>
      </c>
    </row>
    <row r="51" spans="1:8" x14ac:dyDescent="0.35">
      <c r="A51" s="69" t="s">
        <v>391</v>
      </c>
      <c r="B51" s="71">
        <v>2500000</v>
      </c>
      <c r="C51" s="70"/>
      <c r="D51" s="74">
        <f t="shared" si="0"/>
        <v>2500</v>
      </c>
      <c r="E51" t="s">
        <v>261</v>
      </c>
      <c r="F51" t="s">
        <v>181</v>
      </c>
      <c r="G51" t="s">
        <v>76</v>
      </c>
      <c r="H51">
        <f>VLOOKUP(A51,'TB 0924'!$A$10:$D$129,4,0)</f>
        <v>2500</v>
      </c>
    </row>
    <row r="52" spans="1:8" x14ac:dyDescent="0.35">
      <c r="A52" s="69" t="s">
        <v>392</v>
      </c>
      <c r="B52" s="71">
        <v>10000000</v>
      </c>
      <c r="C52" s="70"/>
      <c r="D52" s="74">
        <f t="shared" si="0"/>
        <v>10000</v>
      </c>
      <c r="E52" t="s">
        <v>261</v>
      </c>
      <c r="F52" t="s">
        <v>181</v>
      </c>
      <c r="G52" t="s">
        <v>76</v>
      </c>
      <c r="H52">
        <f>VLOOKUP(A52,'TB 0924'!$A$10:$D$129,4,0)</f>
        <v>10000</v>
      </c>
    </row>
    <row r="53" spans="1:8" x14ac:dyDescent="0.35">
      <c r="A53" s="69" t="s">
        <v>335</v>
      </c>
      <c r="B53" s="70"/>
      <c r="C53" s="71">
        <v>78593.070000000007</v>
      </c>
      <c r="D53" s="74">
        <f t="shared" si="0"/>
        <v>-78.593070000000012</v>
      </c>
      <c r="E53" t="s">
        <v>171</v>
      </c>
      <c r="F53" t="s">
        <v>180</v>
      </c>
      <c r="G53" t="s">
        <v>67</v>
      </c>
      <c r="H53">
        <f>VLOOKUP(A53,'TB 0924'!$A$10:$D$129,4,0)</f>
        <v>-78.593070000000012</v>
      </c>
    </row>
    <row r="54" spans="1:8" x14ac:dyDescent="0.35">
      <c r="A54" s="69" t="s">
        <v>336</v>
      </c>
      <c r="B54" s="70"/>
      <c r="C54" s="71">
        <v>1531</v>
      </c>
      <c r="D54" s="74">
        <f t="shared" si="0"/>
        <v>-1.5309999999999999</v>
      </c>
      <c r="E54" t="s">
        <v>171</v>
      </c>
      <c r="F54" t="s">
        <v>180</v>
      </c>
      <c r="G54" t="s">
        <v>67</v>
      </c>
      <c r="H54">
        <f>VLOOKUP(A54,'TB 0924'!$A$10:$D$129,4,0)</f>
        <v>-1.5309999999999999</v>
      </c>
    </row>
    <row r="55" spans="1:8" x14ac:dyDescent="0.35">
      <c r="A55" s="69" t="s">
        <v>111</v>
      </c>
      <c r="B55" s="70"/>
      <c r="C55" s="71">
        <v>184010</v>
      </c>
      <c r="D55" s="74">
        <f t="shared" si="0"/>
        <v>-184.01</v>
      </c>
      <c r="E55" t="s">
        <v>167</v>
      </c>
      <c r="F55" t="s">
        <v>180</v>
      </c>
      <c r="G55" t="s">
        <v>67</v>
      </c>
      <c r="H55">
        <f>VLOOKUP(A55,'TB 0924'!$A$10:$D$129,4,0)</f>
        <v>-184.01</v>
      </c>
    </row>
    <row r="56" spans="1:8" x14ac:dyDescent="0.35">
      <c r="A56" s="69" t="s">
        <v>112</v>
      </c>
      <c r="B56" s="70"/>
      <c r="C56" s="71">
        <v>27000</v>
      </c>
      <c r="D56" s="74">
        <f t="shared" si="0"/>
        <v>-27</v>
      </c>
      <c r="E56" t="s">
        <v>171</v>
      </c>
      <c r="F56" t="s">
        <v>180</v>
      </c>
      <c r="G56" t="s">
        <v>67</v>
      </c>
      <c r="H56">
        <f>VLOOKUP(A56,'TB 0924'!$A$10:$D$129,4,0)</f>
        <v>0</v>
      </c>
    </row>
    <row r="57" spans="1:8" x14ac:dyDescent="0.35">
      <c r="A57" s="69" t="s">
        <v>213</v>
      </c>
      <c r="B57" s="71">
        <v>7109.2</v>
      </c>
      <c r="C57" s="70"/>
      <c r="D57" s="74">
        <f t="shared" si="0"/>
        <v>7.1091999999999995</v>
      </c>
      <c r="E57" t="s">
        <v>172</v>
      </c>
      <c r="F57" t="s">
        <v>181</v>
      </c>
      <c r="G57" t="s">
        <v>79</v>
      </c>
      <c r="H57">
        <f>VLOOKUP(A57,'TB 0924'!$A$10:$D$129,4,0)</f>
        <v>7.1091999999999995</v>
      </c>
    </row>
    <row r="58" spans="1:8" x14ac:dyDescent="0.35">
      <c r="A58" s="69" t="s">
        <v>114</v>
      </c>
      <c r="B58" s="71">
        <v>2116.39</v>
      </c>
      <c r="C58" s="70"/>
      <c r="D58" s="74">
        <f t="shared" si="0"/>
        <v>2.11639</v>
      </c>
      <c r="E58" t="s">
        <v>172</v>
      </c>
      <c r="F58" t="s">
        <v>180</v>
      </c>
      <c r="G58" t="s">
        <v>79</v>
      </c>
      <c r="H58">
        <f>VLOOKUP(A58,'TB 0924'!$A$10:$D$129,4,0)</f>
        <v>2.11639</v>
      </c>
    </row>
    <row r="59" spans="1:8" x14ac:dyDescent="0.35">
      <c r="A59" s="69" t="s">
        <v>338</v>
      </c>
      <c r="B59" s="71">
        <v>4984.24</v>
      </c>
      <c r="C59" s="70"/>
      <c r="D59" s="74">
        <f t="shared" si="0"/>
        <v>4.9842399999999998</v>
      </c>
      <c r="E59" t="s">
        <v>172</v>
      </c>
      <c r="F59" t="s">
        <v>181</v>
      </c>
      <c r="G59" t="s">
        <v>79</v>
      </c>
      <c r="H59">
        <f>VLOOKUP(A59,'TB 0924'!$A$10:$D$129,4,0)</f>
        <v>4.9842399999999998</v>
      </c>
    </row>
    <row r="60" spans="1:8" x14ac:dyDescent="0.35">
      <c r="A60" s="69" t="s">
        <v>115</v>
      </c>
      <c r="B60" s="71">
        <v>369742.44</v>
      </c>
      <c r="C60" s="70"/>
      <c r="D60" s="74">
        <f t="shared" si="0"/>
        <v>369.74243999999999</v>
      </c>
      <c r="E60" t="s">
        <v>172</v>
      </c>
      <c r="F60" t="s">
        <v>180</v>
      </c>
      <c r="G60" t="s">
        <v>79</v>
      </c>
      <c r="H60">
        <f>VLOOKUP(A60,'TB 0924'!$A$10:$D$129,4,0)</f>
        <v>369.74243999999999</v>
      </c>
    </row>
    <row r="61" spans="1:8" x14ac:dyDescent="0.35">
      <c r="A61" s="69" t="s">
        <v>116</v>
      </c>
      <c r="B61" s="71">
        <v>126981.69</v>
      </c>
      <c r="C61" s="70"/>
      <c r="D61" s="74">
        <f t="shared" si="0"/>
        <v>126.98169</v>
      </c>
      <c r="E61" t="s">
        <v>172</v>
      </c>
      <c r="F61" t="s">
        <v>180</v>
      </c>
      <c r="G61" t="s">
        <v>79</v>
      </c>
      <c r="H61">
        <f>VLOOKUP(A61,'TB 0924'!$A$10:$D$129,4,0)</f>
        <v>131.78148999999999</v>
      </c>
    </row>
    <row r="62" spans="1:8" x14ac:dyDescent="0.35">
      <c r="A62" s="69" t="s">
        <v>214</v>
      </c>
      <c r="B62" s="71">
        <v>1535.35</v>
      </c>
      <c r="C62" s="70"/>
      <c r="D62" s="74">
        <f t="shared" si="0"/>
        <v>1.53535</v>
      </c>
      <c r="E62" t="s">
        <v>172</v>
      </c>
      <c r="F62" t="s">
        <v>181</v>
      </c>
      <c r="G62" t="s">
        <v>79</v>
      </c>
      <c r="H62">
        <f>VLOOKUP(A62,'TB 0924'!$A$10:$D$129,4,0)</f>
        <v>1.53535</v>
      </c>
    </row>
    <row r="63" spans="1:8" x14ac:dyDescent="0.35">
      <c r="A63" s="69" t="s">
        <v>215</v>
      </c>
      <c r="B63" s="71">
        <v>231480</v>
      </c>
      <c r="C63" s="70"/>
      <c r="D63" s="74">
        <f t="shared" si="0"/>
        <v>231.48</v>
      </c>
      <c r="E63" t="s">
        <v>172</v>
      </c>
      <c r="F63" t="s">
        <v>181</v>
      </c>
      <c r="G63" t="s">
        <v>79</v>
      </c>
      <c r="H63">
        <f>VLOOKUP(A63,'TB 0924'!$A$10:$D$129,4,0)</f>
        <v>231.48</v>
      </c>
    </row>
    <row r="64" spans="1:8" x14ac:dyDescent="0.35">
      <c r="A64" s="69" t="s">
        <v>216</v>
      </c>
      <c r="B64" s="71">
        <v>7109.2</v>
      </c>
      <c r="C64" s="70"/>
      <c r="D64" s="74">
        <f t="shared" si="0"/>
        <v>7.1091999999999995</v>
      </c>
      <c r="E64" t="s">
        <v>172</v>
      </c>
      <c r="F64" t="s">
        <v>181</v>
      </c>
      <c r="G64" t="s">
        <v>79</v>
      </c>
      <c r="H64">
        <f>VLOOKUP(A64,'TB 0924'!$A$10:$D$129,4,0)</f>
        <v>7.1091999999999995</v>
      </c>
    </row>
    <row r="65" spans="1:8" x14ac:dyDescent="0.35">
      <c r="A65" s="69" t="s">
        <v>117</v>
      </c>
      <c r="B65" s="71">
        <v>2116.39</v>
      </c>
      <c r="C65" s="70"/>
      <c r="D65" s="74">
        <f t="shared" si="0"/>
        <v>2.11639</v>
      </c>
      <c r="E65" t="s">
        <v>172</v>
      </c>
      <c r="F65" t="s">
        <v>180</v>
      </c>
      <c r="G65" t="s">
        <v>79</v>
      </c>
      <c r="H65">
        <f>VLOOKUP(A65,'TB 0924'!$A$10:$D$129,4,0)</f>
        <v>2.11639</v>
      </c>
    </row>
    <row r="66" spans="1:8" x14ac:dyDescent="0.35">
      <c r="A66" s="69" t="s">
        <v>339</v>
      </c>
      <c r="B66" s="71">
        <v>4984.24</v>
      </c>
      <c r="C66" s="70"/>
      <c r="D66" s="74">
        <f t="shared" si="0"/>
        <v>4.9842399999999998</v>
      </c>
      <c r="E66" t="s">
        <v>172</v>
      </c>
      <c r="F66" t="s">
        <v>181</v>
      </c>
      <c r="G66" t="s">
        <v>79</v>
      </c>
      <c r="H66">
        <f>VLOOKUP(A66,'TB 0924'!$A$10:$D$129,4,0)</f>
        <v>4.9842399999999998</v>
      </c>
    </row>
    <row r="67" spans="1:8" x14ac:dyDescent="0.35">
      <c r="A67" s="69" t="s">
        <v>118</v>
      </c>
      <c r="B67" s="71">
        <v>358027.88</v>
      </c>
      <c r="C67" s="70"/>
      <c r="D67" s="74">
        <f t="shared" si="0"/>
        <v>358.02787999999998</v>
      </c>
      <c r="E67" t="s">
        <v>172</v>
      </c>
      <c r="F67" t="s">
        <v>181</v>
      </c>
      <c r="G67" t="s">
        <v>79</v>
      </c>
      <c r="H67">
        <f>VLOOKUP(A67,'TB 0924'!$A$10:$D$129,4,0)</f>
        <v>358.02787999999998</v>
      </c>
    </row>
    <row r="68" spans="1:8" x14ac:dyDescent="0.35">
      <c r="A68" s="69" t="s">
        <v>300</v>
      </c>
      <c r="B68" s="71">
        <v>1537167.67</v>
      </c>
      <c r="C68" s="70"/>
      <c r="D68" s="74">
        <f t="shared" si="0"/>
        <v>1537.1676699999998</v>
      </c>
      <c r="E68" t="s">
        <v>259</v>
      </c>
      <c r="F68" t="s">
        <v>181</v>
      </c>
      <c r="G68" t="s">
        <v>72</v>
      </c>
      <c r="H68">
        <f>VLOOKUP(A68,'TB 0924'!$A$10:$D$129,4,0)</f>
        <v>1537.1676699999998</v>
      </c>
    </row>
    <row r="69" spans="1:8" x14ac:dyDescent="0.35">
      <c r="A69" s="69" t="s">
        <v>301</v>
      </c>
      <c r="B69" s="70"/>
      <c r="C69" s="71">
        <v>305517.31</v>
      </c>
      <c r="D69" s="74">
        <f t="shared" si="0"/>
        <v>-305.51731000000001</v>
      </c>
      <c r="E69" t="s">
        <v>315</v>
      </c>
      <c r="F69" t="s">
        <v>184</v>
      </c>
      <c r="G69" t="s">
        <v>49</v>
      </c>
      <c r="H69">
        <f>VLOOKUP(A69,'TB 0924'!$A$10:$D$129,4,0)</f>
        <v>-305.51731000000001</v>
      </c>
    </row>
    <row r="70" spans="1:8" x14ac:dyDescent="0.35">
      <c r="A70" s="69" t="s">
        <v>217</v>
      </c>
      <c r="B70" s="71">
        <v>602147.19999999995</v>
      </c>
      <c r="C70" s="70"/>
      <c r="D70" s="74">
        <f t="shared" si="0"/>
        <v>602.1472</v>
      </c>
      <c r="E70" t="s">
        <v>166</v>
      </c>
      <c r="F70" t="s">
        <v>181</v>
      </c>
      <c r="G70" t="s">
        <v>78</v>
      </c>
      <c r="H70">
        <f>VLOOKUP(A70,'TB 0924'!$A$10:$D$129,4,0)</f>
        <v>602.1472</v>
      </c>
    </row>
    <row r="71" spans="1:8" x14ac:dyDescent="0.35">
      <c r="A71" s="69" t="s">
        <v>218</v>
      </c>
      <c r="B71" s="71">
        <v>920742.86</v>
      </c>
      <c r="C71" s="70"/>
      <c r="D71" s="74">
        <f t="shared" si="0"/>
        <v>920.74285999999995</v>
      </c>
      <c r="E71" t="s">
        <v>166</v>
      </c>
      <c r="F71" t="s">
        <v>181</v>
      </c>
      <c r="G71" t="s">
        <v>78</v>
      </c>
      <c r="H71">
        <f>VLOOKUP(A71,'TB 0924'!$A$10:$D$129,4,0)</f>
        <v>920.74285999999995</v>
      </c>
    </row>
    <row r="72" spans="1:8" x14ac:dyDescent="0.35">
      <c r="A72" s="69" t="s">
        <v>124</v>
      </c>
      <c r="B72" s="71">
        <v>625294.69999999995</v>
      </c>
      <c r="C72" s="70"/>
      <c r="D72" s="74">
        <f t="shared" si="0"/>
        <v>625.29469999999992</v>
      </c>
      <c r="E72" t="s">
        <v>173</v>
      </c>
      <c r="F72" t="s">
        <v>182</v>
      </c>
      <c r="G72" t="s">
        <v>401</v>
      </c>
      <c r="H72">
        <f>VLOOKUP(A72,'TB 0924'!$A$10:$D$129,4,0)</f>
        <v>635.56981999999994</v>
      </c>
    </row>
    <row r="73" spans="1:8" x14ac:dyDescent="0.35">
      <c r="A73" s="69"/>
      <c r="B73" s="71"/>
      <c r="C73" s="70"/>
      <c r="H73" t="e">
        <f>VLOOKUP(A73,'TB 0924'!$A$10:$D$129,4,0)</f>
        <v>#N/A</v>
      </c>
    </row>
    <row r="74" spans="1:8" x14ac:dyDescent="0.35">
      <c r="A74" s="69" t="s">
        <v>340</v>
      </c>
      <c r="B74" s="70"/>
      <c r="C74" s="71">
        <v>8260</v>
      </c>
      <c r="D74" s="74">
        <f t="shared" si="0"/>
        <v>-8.26</v>
      </c>
      <c r="E74" t="s">
        <v>167</v>
      </c>
      <c r="F74" t="s">
        <v>180</v>
      </c>
      <c r="G74" t="s">
        <v>67</v>
      </c>
      <c r="H74">
        <f>VLOOKUP(A74,'TB 0924'!$A$10:$D$129,4,0)</f>
        <v>-8.26</v>
      </c>
    </row>
    <row r="75" spans="1:8" x14ac:dyDescent="0.35">
      <c r="A75" s="69" t="s">
        <v>221</v>
      </c>
      <c r="B75" s="70"/>
      <c r="C75" s="71">
        <v>8896.7099999999991</v>
      </c>
      <c r="D75" s="74">
        <f t="shared" si="0"/>
        <v>-8.8967099999999988</v>
      </c>
      <c r="E75" t="s">
        <v>171</v>
      </c>
      <c r="F75" t="s">
        <v>180</v>
      </c>
      <c r="G75" t="s">
        <v>67</v>
      </c>
      <c r="H75">
        <f>VLOOKUP(A75,'TB 0924'!$A$10:$D$129,4,0)</f>
        <v>-8.8967099999999988</v>
      </c>
    </row>
    <row r="76" spans="1:8" x14ac:dyDescent="0.35">
      <c r="A76" s="69" t="s">
        <v>374</v>
      </c>
      <c r="B76" s="71">
        <v>27.3</v>
      </c>
      <c r="C76" s="70"/>
      <c r="D76" s="74">
        <f t="shared" si="0"/>
        <v>2.7300000000000001E-2</v>
      </c>
      <c r="E76" t="s">
        <v>167</v>
      </c>
      <c r="F76" t="s">
        <v>180</v>
      </c>
      <c r="G76" t="s">
        <v>67</v>
      </c>
      <c r="H76">
        <f>VLOOKUP(A76,'TB 0924'!$A$10:$D$129,4,0)</f>
        <v>2.7300000000000001E-2</v>
      </c>
    </row>
    <row r="77" spans="1:8" x14ac:dyDescent="0.35">
      <c r="A77" s="69" t="s">
        <v>227</v>
      </c>
      <c r="B77" s="70"/>
      <c r="C77" s="71">
        <v>79999971.200000003</v>
      </c>
      <c r="D77" s="74">
        <f t="shared" si="0"/>
        <v>-79999.9712</v>
      </c>
      <c r="E77" t="s">
        <v>262</v>
      </c>
      <c r="F77" t="s">
        <v>180</v>
      </c>
      <c r="G77" t="s">
        <v>63</v>
      </c>
      <c r="H77">
        <f>VLOOKUP(A77,'TB 0924'!$A$10:$D$129,4,0)</f>
        <v>-79999.9712</v>
      </c>
    </row>
    <row r="78" spans="1:8" x14ac:dyDescent="0.35">
      <c r="A78" s="69" t="s">
        <v>42</v>
      </c>
      <c r="B78" s="71">
        <v>670.4</v>
      </c>
      <c r="C78" s="70"/>
      <c r="D78" s="74">
        <f t="shared" si="0"/>
        <v>0.6704</v>
      </c>
      <c r="E78" t="s">
        <v>40</v>
      </c>
      <c r="F78" t="s">
        <v>182</v>
      </c>
      <c r="G78" t="s">
        <v>42</v>
      </c>
      <c r="H78">
        <f>VLOOKUP(A78,'TB 0924'!$A$10:$D$129,4,0)</f>
        <v>0.6704</v>
      </c>
    </row>
    <row r="79" spans="1:8" x14ac:dyDescent="0.35">
      <c r="A79" s="69" t="s">
        <v>231</v>
      </c>
      <c r="B79" s="71">
        <v>55864.5</v>
      </c>
      <c r="C79" s="70"/>
      <c r="D79" s="74">
        <f t="shared" ref="D79:D127" si="1">(B79-C79)/1000</f>
        <v>55.8645</v>
      </c>
      <c r="E79" t="s">
        <v>259</v>
      </c>
      <c r="F79" t="s">
        <v>181</v>
      </c>
      <c r="G79" t="s">
        <v>71</v>
      </c>
      <c r="H79">
        <f>VLOOKUP(A79,'TB 0924'!$A$10:$D$129,4,0)</f>
        <v>55.8645</v>
      </c>
    </row>
    <row r="80" spans="1:8" x14ac:dyDescent="0.35">
      <c r="A80" s="69" t="s">
        <v>40</v>
      </c>
      <c r="B80" s="71">
        <v>10000</v>
      </c>
      <c r="C80" s="70"/>
      <c r="D80" s="74">
        <f t="shared" si="1"/>
        <v>10</v>
      </c>
      <c r="E80" t="s">
        <v>169</v>
      </c>
      <c r="F80" t="s">
        <v>182</v>
      </c>
      <c r="G80" t="s">
        <v>43</v>
      </c>
      <c r="H80">
        <f>VLOOKUP(A80,'TB 0924'!$A$10:$D$129,4,0)</f>
        <v>30</v>
      </c>
    </row>
    <row r="81" spans="1:8" x14ac:dyDescent="0.35">
      <c r="A81" s="69" t="s">
        <v>129</v>
      </c>
      <c r="B81" s="70"/>
      <c r="C81" s="71">
        <v>8633</v>
      </c>
      <c r="D81" s="74">
        <f t="shared" si="1"/>
        <v>-8.6329999999999991</v>
      </c>
      <c r="E81" t="s">
        <v>174</v>
      </c>
      <c r="F81" t="s">
        <v>180</v>
      </c>
      <c r="G81" t="s">
        <v>68</v>
      </c>
      <c r="H81">
        <f>VLOOKUP(A81,'TB 0924'!$A$10:$D$129,4,0)</f>
        <v>-22.251900000000003</v>
      </c>
    </row>
    <row r="82" spans="1:8" x14ac:dyDescent="0.35">
      <c r="A82" s="69"/>
      <c r="B82" s="70"/>
      <c r="C82" s="71"/>
      <c r="H82" t="e">
        <f>VLOOKUP(A82,'TB 0924'!$A$10:$D$129,4,0)</f>
        <v>#N/A</v>
      </c>
    </row>
    <row r="83" spans="1:8" x14ac:dyDescent="0.35">
      <c r="A83" s="69" t="s">
        <v>130</v>
      </c>
      <c r="B83" s="70"/>
      <c r="C83" s="71">
        <v>8633</v>
      </c>
      <c r="D83" s="74">
        <f t="shared" si="1"/>
        <v>-8.6329999999999991</v>
      </c>
      <c r="E83" t="s">
        <v>174</v>
      </c>
      <c r="F83" t="s">
        <v>180</v>
      </c>
      <c r="G83" t="s">
        <v>68</v>
      </c>
      <c r="H83">
        <f>VLOOKUP(A83,'TB 0924'!$A$10:$D$129,4,0)</f>
        <v>-22.251900000000003</v>
      </c>
    </row>
    <row r="84" spans="1:8" x14ac:dyDescent="0.35">
      <c r="A84" s="69"/>
      <c r="B84" s="70"/>
      <c r="C84" s="71"/>
      <c r="H84" t="e">
        <f>VLOOKUP(A84,'TB 0924'!$A$10:$D$129,4,0)</f>
        <v>#N/A</v>
      </c>
    </row>
    <row r="85" spans="1:8" x14ac:dyDescent="0.35">
      <c r="A85" s="69" t="s">
        <v>342</v>
      </c>
      <c r="B85" s="70"/>
      <c r="C85" s="71">
        <v>6000</v>
      </c>
      <c r="D85" s="74">
        <f t="shared" si="1"/>
        <v>-6</v>
      </c>
      <c r="E85" t="s">
        <v>66</v>
      </c>
      <c r="F85" t="s">
        <v>180</v>
      </c>
      <c r="G85" t="s">
        <v>68</v>
      </c>
      <c r="H85">
        <f>VLOOKUP(A85,'TB 0924'!$A$10:$D$129,4,0)</f>
        <v>-6</v>
      </c>
    </row>
    <row r="86" spans="1:8" x14ac:dyDescent="0.35">
      <c r="A86" s="69" t="s">
        <v>233</v>
      </c>
      <c r="B86" s="71">
        <v>2927.8</v>
      </c>
      <c r="C86" s="70"/>
      <c r="D86" s="74">
        <f t="shared" si="1"/>
        <v>2.9278000000000004</v>
      </c>
      <c r="E86" t="s">
        <v>170</v>
      </c>
      <c r="F86" t="s">
        <v>182</v>
      </c>
      <c r="G86" t="s">
        <v>60</v>
      </c>
      <c r="H86">
        <f>VLOOKUP(A86,'TB 0924'!$A$10:$D$129,4,0)</f>
        <v>2.9278000000000004</v>
      </c>
    </row>
    <row r="87" spans="1:8" x14ac:dyDescent="0.35">
      <c r="A87" s="69" t="s">
        <v>376</v>
      </c>
      <c r="B87" s="71">
        <v>42500</v>
      </c>
      <c r="C87" s="70"/>
      <c r="D87" s="74">
        <f t="shared" si="1"/>
        <v>42.5</v>
      </c>
      <c r="E87" t="s">
        <v>75</v>
      </c>
      <c r="F87" t="s">
        <v>181</v>
      </c>
      <c r="G87" t="s">
        <v>79</v>
      </c>
      <c r="H87">
        <f>VLOOKUP(A87,'TB 0924'!$A$10:$D$129,4,0)</f>
        <v>42.5</v>
      </c>
    </row>
    <row r="88" spans="1:8" x14ac:dyDescent="0.35">
      <c r="A88" s="69" t="s">
        <v>41</v>
      </c>
      <c r="B88" s="71">
        <v>42679.8</v>
      </c>
      <c r="C88" s="70"/>
      <c r="D88" s="74">
        <f t="shared" si="1"/>
        <v>42.6798</v>
      </c>
      <c r="E88" t="s">
        <v>40</v>
      </c>
      <c r="F88" t="s">
        <v>182</v>
      </c>
      <c r="G88" t="s">
        <v>41</v>
      </c>
      <c r="H88">
        <f>VLOOKUP(A88,'TB 0924'!$A$10:$D$129,4,0)</f>
        <v>42.6798</v>
      </c>
    </row>
    <row r="89" spans="1:8" x14ac:dyDescent="0.35">
      <c r="A89" s="69" t="s">
        <v>134</v>
      </c>
      <c r="B89" s="70"/>
      <c r="C89" s="71">
        <v>5400</v>
      </c>
      <c r="D89" s="74">
        <f t="shared" si="1"/>
        <v>-5.4</v>
      </c>
      <c r="E89" t="s">
        <v>175</v>
      </c>
      <c r="F89" t="s">
        <v>180</v>
      </c>
      <c r="G89" t="s">
        <v>68</v>
      </c>
      <c r="H89">
        <f>VLOOKUP(A89,'TB 0924'!$A$10:$D$129,4,0)</f>
        <v>-5.4</v>
      </c>
    </row>
    <row r="90" spans="1:8" x14ac:dyDescent="0.35">
      <c r="A90" s="69" t="s">
        <v>135</v>
      </c>
      <c r="B90" s="71">
        <v>15469854.5</v>
      </c>
      <c r="C90" s="70"/>
      <c r="D90" s="74">
        <f t="shared" si="1"/>
        <v>15469.854499999999</v>
      </c>
      <c r="E90" t="s">
        <v>176</v>
      </c>
      <c r="F90" t="s">
        <v>180</v>
      </c>
      <c r="G90" t="s">
        <v>64</v>
      </c>
      <c r="H90">
        <f>VLOOKUP(A90,'TB 0924'!$A$10:$D$129,4,0)</f>
        <v>15472.854499999999</v>
      </c>
    </row>
    <row r="91" spans="1:8" x14ac:dyDescent="0.35">
      <c r="A91" s="69" t="s">
        <v>307</v>
      </c>
      <c r="B91" s="71">
        <v>14400</v>
      </c>
      <c r="C91" s="70"/>
      <c r="D91" s="74">
        <f t="shared" si="1"/>
        <v>14.4</v>
      </c>
      <c r="E91" t="s">
        <v>167</v>
      </c>
      <c r="F91" t="s">
        <v>180</v>
      </c>
      <c r="G91" t="s">
        <v>67</v>
      </c>
      <c r="H91">
        <f>VLOOKUP(A91,'TB 0924'!$A$10:$D$129,4,0)</f>
        <v>14.4</v>
      </c>
    </row>
    <row r="92" spans="1:8" x14ac:dyDescent="0.35">
      <c r="A92" s="69" t="s">
        <v>343</v>
      </c>
      <c r="B92" s="70"/>
      <c r="C92" s="71">
        <v>59</v>
      </c>
      <c r="D92" s="74">
        <f t="shared" si="1"/>
        <v>-5.8999999999999997E-2</v>
      </c>
      <c r="E92" t="s">
        <v>171</v>
      </c>
      <c r="F92" t="s">
        <v>180</v>
      </c>
      <c r="G92" t="s">
        <v>67</v>
      </c>
      <c r="H92">
        <f>VLOOKUP(A92,'TB 0924'!$A$10:$D$129,4,0)</f>
        <v>-5.8999999999999997E-2</v>
      </c>
    </row>
    <row r="93" spans="1:8" x14ac:dyDescent="0.35">
      <c r="A93" s="69" t="s">
        <v>136</v>
      </c>
      <c r="B93" s="70"/>
      <c r="C93" s="71">
        <v>37449</v>
      </c>
      <c r="D93" s="74">
        <f t="shared" si="1"/>
        <v>-37.448999999999998</v>
      </c>
      <c r="E93" t="s">
        <v>177</v>
      </c>
      <c r="F93" t="s">
        <v>180</v>
      </c>
      <c r="G93" t="s">
        <v>68</v>
      </c>
      <c r="H93">
        <f>VLOOKUP(A93,'TB 0924'!$A$10:$D$129,4,0)</f>
        <v>-37.448999999999998</v>
      </c>
    </row>
    <row r="94" spans="1:8" x14ac:dyDescent="0.35">
      <c r="A94" s="69" t="s">
        <v>137</v>
      </c>
      <c r="B94" s="70"/>
      <c r="C94" s="71">
        <v>37449</v>
      </c>
      <c r="D94" s="74">
        <f t="shared" si="1"/>
        <v>-37.448999999999998</v>
      </c>
      <c r="E94" t="s">
        <v>177</v>
      </c>
      <c r="F94" t="s">
        <v>180</v>
      </c>
      <c r="G94" t="s">
        <v>68</v>
      </c>
      <c r="H94">
        <f>VLOOKUP(A94,'TB 0924'!$A$10:$D$129,4,0)</f>
        <v>-37.448999999999998</v>
      </c>
    </row>
    <row r="95" spans="1:8" x14ac:dyDescent="0.35">
      <c r="A95" s="69" t="s">
        <v>138</v>
      </c>
      <c r="B95" s="70"/>
      <c r="C95" s="71">
        <v>25000</v>
      </c>
      <c r="D95" s="74">
        <f t="shared" si="1"/>
        <v>-25</v>
      </c>
      <c r="E95" t="s">
        <v>178</v>
      </c>
      <c r="F95" t="s">
        <v>180</v>
      </c>
      <c r="G95" t="s">
        <v>69</v>
      </c>
      <c r="H95">
        <f>VLOOKUP(A95,'TB 0924'!$A$10:$D$129,4,0)</f>
        <v>-25</v>
      </c>
    </row>
    <row r="96" spans="1:8" x14ac:dyDescent="0.35">
      <c r="A96" s="69" t="s">
        <v>377</v>
      </c>
      <c r="B96" s="70"/>
      <c r="C96" s="71">
        <v>80</v>
      </c>
      <c r="D96" s="74">
        <f t="shared" si="1"/>
        <v>-0.08</v>
      </c>
      <c r="E96" t="s">
        <v>167</v>
      </c>
      <c r="F96" t="s">
        <v>180</v>
      </c>
      <c r="G96" t="s">
        <v>67</v>
      </c>
      <c r="H96">
        <f>VLOOKUP(A96,'TB 0924'!$A$10:$D$129,4,0)</f>
        <v>-0.08</v>
      </c>
    </row>
    <row r="97" spans="1:8" x14ac:dyDescent="0.35">
      <c r="A97" s="69" t="s">
        <v>308</v>
      </c>
      <c r="B97" s="70"/>
      <c r="C97" s="71">
        <v>655345.46</v>
      </c>
      <c r="D97" s="74">
        <f t="shared" si="1"/>
        <v>-655.34546</v>
      </c>
      <c r="E97" t="s">
        <v>66</v>
      </c>
      <c r="F97" t="s">
        <v>180</v>
      </c>
      <c r="G97" t="s">
        <v>68</v>
      </c>
      <c r="H97">
        <f>VLOOKUP(A97,'TB 0924'!$A$10:$D$129,4,0)</f>
        <v>0</v>
      </c>
    </row>
    <row r="98" spans="1:8" x14ac:dyDescent="0.35">
      <c r="A98" s="69" t="s">
        <v>239</v>
      </c>
      <c r="B98" s="71">
        <v>24573</v>
      </c>
      <c r="C98" s="70"/>
      <c r="D98" s="74">
        <f t="shared" si="1"/>
        <v>24.573</v>
      </c>
      <c r="E98" t="s">
        <v>169</v>
      </c>
      <c r="F98" t="s">
        <v>182</v>
      </c>
      <c r="G98" t="s">
        <v>263</v>
      </c>
      <c r="H98" t="e">
        <f>VLOOKUP(A98,'TB 0924'!$A$10:$D$129,4,0)</f>
        <v>#N/A</v>
      </c>
    </row>
    <row r="99" spans="1:8" x14ac:dyDescent="0.35">
      <c r="A99" s="69" t="s">
        <v>142</v>
      </c>
      <c r="B99" s="71">
        <v>43333.33</v>
      </c>
      <c r="C99" s="70"/>
      <c r="D99" s="74">
        <f t="shared" si="1"/>
        <v>43.333330000000004</v>
      </c>
      <c r="E99" t="s">
        <v>169</v>
      </c>
      <c r="F99" t="s">
        <v>182</v>
      </c>
      <c r="G99" t="s">
        <v>31</v>
      </c>
      <c r="H99">
        <f>VLOOKUP(A99,'TB 0924'!$A$10:$D$129,4,0)</f>
        <v>43.333330000000004</v>
      </c>
    </row>
    <row r="100" spans="1:8" x14ac:dyDescent="0.35">
      <c r="A100" s="69" t="s">
        <v>382</v>
      </c>
      <c r="B100" s="70"/>
      <c r="C100" s="71">
        <v>70200</v>
      </c>
      <c r="D100" s="74">
        <f t="shared" si="1"/>
        <v>-70.2</v>
      </c>
      <c r="E100" t="s">
        <v>165</v>
      </c>
      <c r="F100" t="s">
        <v>180</v>
      </c>
      <c r="G100" t="s">
        <v>68</v>
      </c>
      <c r="H100">
        <f>VLOOKUP(A100,'TB 0924'!$A$10:$D$129,4,0)</f>
        <v>-70.2</v>
      </c>
    </row>
    <row r="101" spans="1:8" x14ac:dyDescent="0.35">
      <c r="A101" s="69" t="s">
        <v>309</v>
      </c>
      <c r="B101" s="70"/>
      <c r="C101" s="71">
        <v>37800</v>
      </c>
      <c r="D101" s="74">
        <f t="shared" si="1"/>
        <v>-37.799999999999997</v>
      </c>
      <c r="E101" t="s">
        <v>171</v>
      </c>
      <c r="F101" t="s">
        <v>180</v>
      </c>
      <c r="G101" t="s">
        <v>67</v>
      </c>
      <c r="H101">
        <f>VLOOKUP(A101,'TB 0924'!$A$10:$D$129,4,0)</f>
        <v>-37.799999999999997</v>
      </c>
    </row>
    <row r="102" spans="1:8" x14ac:dyDescent="0.35">
      <c r="A102" s="69" t="s">
        <v>143</v>
      </c>
      <c r="B102" s="71">
        <v>2098796.33</v>
      </c>
      <c r="C102" s="70"/>
      <c r="D102" s="74">
        <f t="shared" si="1"/>
        <v>2098.7963300000001</v>
      </c>
      <c r="E102" t="s">
        <v>170</v>
      </c>
      <c r="F102" t="s">
        <v>182</v>
      </c>
      <c r="G102" t="s">
        <v>185</v>
      </c>
      <c r="H102">
        <f>VLOOKUP(A102,'TB 0924'!$A$10:$D$129,4,0)</f>
        <v>2098.7963300000001</v>
      </c>
    </row>
    <row r="103" spans="1:8" x14ac:dyDescent="0.35">
      <c r="A103" s="69" t="s">
        <v>145</v>
      </c>
      <c r="B103" s="70"/>
      <c r="C103" s="71">
        <v>7516</v>
      </c>
      <c r="D103" s="74">
        <f t="shared" si="1"/>
        <v>-7.516</v>
      </c>
      <c r="E103" t="s">
        <v>171</v>
      </c>
      <c r="F103" t="s">
        <v>180</v>
      </c>
      <c r="G103" t="s">
        <v>67</v>
      </c>
      <c r="H103">
        <f>VLOOKUP(A103,'TB 0924'!$A$10:$D$129,4,0)</f>
        <v>-7.516</v>
      </c>
    </row>
    <row r="104" spans="1:8" x14ac:dyDescent="0.35">
      <c r="A104" s="69" t="s">
        <v>310</v>
      </c>
      <c r="B104" s="70"/>
      <c r="C104" s="71">
        <v>6805</v>
      </c>
      <c r="D104" s="74">
        <f t="shared" si="1"/>
        <v>-6.8049999999999997</v>
      </c>
      <c r="E104" t="s">
        <v>171</v>
      </c>
      <c r="F104" t="s">
        <v>180</v>
      </c>
      <c r="G104" t="s">
        <v>67</v>
      </c>
      <c r="H104">
        <f>VLOOKUP(A104,'TB 0924'!$A$10:$D$129,4,0)</f>
        <v>-6.8049999999999997</v>
      </c>
    </row>
    <row r="105" spans="1:8" x14ac:dyDescent="0.35">
      <c r="A105" s="69" t="s">
        <v>146</v>
      </c>
      <c r="B105" s="71">
        <v>990000</v>
      </c>
      <c r="C105" s="70"/>
      <c r="D105" s="74">
        <f t="shared" si="1"/>
        <v>990</v>
      </c>
      <c r="E105" t="s">
        <v>75</v>
      </c>
      <c r="F105" t="s">
        <v>181</v>
      </c>
      <c r="G105" t="s">
        <v>73</v>
      </c>
      <c r="H105">
        <f>VLOOKUP(A105,'TB 0924'!$A$10:$D$129,4,0)</f>
        <v>960</v>
      </c>
    </row>
    <row r="106" spans="1:8" x14ac:dyDescent="0.35">
      <c r="A106" s="69" t="s">
        <v>311</v>
      </c>
      <c r="B106" s="70"/>
      <c r="C106" s="71">
        <v>10643</v>
      </c>
      <c r="D106" s="74">
        <f t="shared" si="1"/>
        <v>-10.643000000000001</v>
      </c>
      <c r="E106" t="s">
        <v>174</v>
      </c>
      <c r="F106" t="s">
        <v>180</v>
      </c>
      <c r="G106" t="s">
        <v>68</v>
      </c>
      <c r="H106">
        <f>VLOOKUP(A106,'TB 0924'!$A$10:$D$129,4,0)</f>
        <v>-10.643000000000001</v>
      </c>
    </row>
    <row r="107" spans="1:8" x14ac:dyDescent="0.35">
      <c r="A107" s="69" t="s">
        <v>148</v>
      </c>
      <c r="B107" s="70"/>
      <c r="C107" s="71">
        <v>102660</v>
      </c>
      <c r="D107" s="74">
        <f t="shared" si="1"/>
        <v>-102.66</v>
      </c>
      <c r="E107" t="s">
        <v>171</v>
      </c>
      <c r="F107" t="s">
        <v>180</v>
      </c>
      <c r="G107" t="s">
        <v>67</v>
      </c>
      <c r="H107">
        <f>VLOOKUP(A107,'TB 0924'!$A$10:$D$129,4,0)</f>
        <v>-102.66</v>
      </c>
    </row>
    <row r="108" spans="1:8" x14ac:dyDescent="0.35">
      <c r="A108" s="69" t="s">
        <v>149</v>
      </c>
      <c r="B108" s="71">
        <v>148771.76</v>
      </c>
      <c r="C108" s="70"/>
      <c r="D108" s="74">
        <f t="shared" si="1"/>
        <v>148.77176</v>
      </c>
      <c r="E108" t="s">
        <v>169</v>
      </c>
      <c r="F108" t="s">
        <v>182</v>
      </c>
      <c r="G108" t="s">
        <v>39</v>
      </c>
      <c r="H108">
        <f>VLOOKUP(A108,'TB 0924'!$A$10:$D$129,4,0)</f>
        <v>106.26191</v>
      </c>
    </row>
    <row r="109" spans="1:8" x14ac:dyDescent="0.35">
      <c r="A109" s="69" t="s">
        <v>33</v>
      </c>
      <c r="B109" s="71">
        <v>99363</v>
      </c>
      <c r="C109" s="70"/>
      <c r="D109" s="74">
        <f t="shared" si="1"/>
        <v>99.363</v>
      </c>
      <c r="E109" t="s">
        <v>173</v>
      </c>
      <c r="F109" t="s">
        <v>182</v>
      </c>
      <c r="G109" t="s">
        <v>33</v>
      </c>
      <c r="H109">
        <f>VLOOKUP(A109,'TB 0924'!$A$10:$D$129,4,0)</f>
        <v>78.363</v>
      </c>
    </row>
    <row r="110" spans="1:8" x14ac:dyDescent="0.35">
      <c r="A110" s="69" t="s">
        <v>150</v>
      </c>
      <c r="B110" s="71">
        <v>58296.08</v>
      </c>
      <c r="C110" s="70"/>
      <c r="D110" s="74">
        <f t="shared" si="1"/>
        <v>58.296080000000003</v>
      </c>
      <c r="E110" t="s">
        <v>170</v>
      </c>
      <c r="F110" t="s">
        <v>182</v>
      </c>
      <c r="G110" t="s">
        <v>60</v>
      </c>
      <c r="H110">
        <f>VLOOKUP(A110,'TB 0924'!$A$10:$D$129,4,0)</f>
        <v>58.296080000000003</v>
      </c>
    </row>
    <row r="111" spans="1:8" x14ac:dyDescent="0.35">
      <c r="A111" s="69" t="s">
        <v>400</v>
      </c>
      <c r="B111" s="70"/>
      <c r="C111" s="71">
        <v>26538.84</v>
      </c>
      <c r="D111" s="74">
        <f t="shared" si="1"/>
        <v>-26.53884</v>
      </c>
      <c r="E111" t="s">
        <v>171</v>
      </c>
      <c r="F111" t="s">
        <v>180</v>
      </c>
      <c r="G111" t="s">
        <v>67</v>
      </c>
      <c r="H111">
        <f>VLOOKUP(A111,'TB 0924'!$A$10:$D$129,4,0)</f>
        <v>-26.53884</v>
      </c>
    </row>
    <row r="112" spans="1:8" x14ac:dyDescent="0.35">
      <c r="A112" s="69" t="s">
        <v>271</v>
      </c>
      <c r="B112" s="70"/>
      <c r="C112" s="71">
        <v>1980</v>
      </c>
      <c r="D112" s="74">
        <f t="shared" si="1"/>
        <v>-1.98</v>
      </c>
      <c r="E112" t="s">
        <v>165</v>
      </c>
      <c r="F112" t="s">
        <v>180</v>
      </c>
      <c r="G112" t="s">
        <v>68</v>
      </c>
      <c r="H112">
        <f>VLOOKUP(A112,'TB 0924'!$A$10:$D$129,4,0)</f>
        <v>-1.98</v>
      </c>
    </row>
    <row r="113" spans="1:8" x14ac:dyDescent="0.35">
      <c r="A113" s="69" t="s">
        <v>345</v>
      </c>
      <c r="B113" s="71">
        <v>70233</v>
      </c>
      <c r="C113" s="70"/>
      <c r="D113" s="74">
        <f t="shared" si="1"/>
        <v>70.233000000000004</v>
      </c>
      <c r="E113" t="s">
        <v>175</v>
      </c>
      <c r="F113" t="s">
        <v>181</v>
      </c>
      <c r="G113" t="s">
        <v>79</v>
      </c>
      <c r="H113">
        <f>VLOOKUP(A113,'TB 0924'!$A$10:$D$129,4,0)</f>
        <v>70.233000000000004</v>
      </c>
    </row>
    <row r="114" spans="1:8" x14ac:dyDescent="0.35">
      <c r="A114" s="69" t="s">
        <v>151</v>
      </c>
      <c r="B114" s="70"/>
      <c r="C114" s="71">
        <v>151929</v>
      </c>
      <c r="D114" s="74">
        <f t="shared" si="1"/>
        <v>-151.929</v>
      </c>
      <c r="E114" t="s">
        <v>179</v>
      </c>
      <c r="F114" t="s">
        <v>180</v>
      </c>
      <c r="G114" t="s">
        <v>68</v>
      </c>
      <c r="H114">
        <f>VLOOKUP(A114,'TB 0924'!$A$10:$D$129,4,0)</f>
        <v>-151.929</v>
      </c>
    </row>
    <row r="115" spans="1:8" x14ac:dyDescent="0.35">
      <c r="A115" s="69" t="s">
        <v>152</v>
      </c>
      <c r="B115" s="71">
        <v>6466.22</v>
      </c>
      <c r="C115" s="70"/>
      <c r="D115" s="74">
        <f t="shared" si="1"/>
        <v>6.4662199999999999</v>
      </c>
      <c r="E115" t="s">
        <v>179</v>
      </c>
      <c r="F115" t="s">
        <v>180</v>
      </c>
      <c r="G115" t="s">
        <v>68</v>
      </c>
      <c r="H115">
        <f>VLOOKUP(A115,'TB 0924'!$A$10:$D$129,4,0)</f>
        <v>6.4662199999999999</v>
      </c>
    </row>
    <row r="116" spans="1:8" x14ac:dyDescent="0.35">
      <c r="A116" s="69" t="s">
        <v>153</v>
      </c>
      <c r="B116" s="70"/>
      <c r="C116" s="71">
        <v>32333.99</v>
      </c>
      <c r="D116" s="74">
        <f t="shared" si="1"/>
        <v>-32.33399</v>
      </c>
      <c r="E116" t="s">
        <v>179</v>
      </c>
      <c r="F116" t="s">
        <v>180</v>
      </c>
      <c r="G116" t="s">
        <v>68</v>
      </c>
      <c r="H116">
        <f>VLOOKUP(A116,'TB 0924'!$A$10:$D$129,4,0)</f>
        <v>-32.33399</v>
      </c>
    </row>
    <row r="117" spans="1:8" x14ac:dyDescent="0.35">
      <c r="A117" s="69" t="s">
        <v>253</v>
      </c>
      <c r="B117" s="70"/>
      <c r="C117" s="71">
        <v>46894.85</v>
      </c>
      <c r="D117" s="74">
        <f t="shared" si="1"/>
        <v>-46.894849999999998</v>
      </c>
      <c r="E117" t="s">
        <v>179</v>
      </c>
      <c r="F117" t="s">
        <v>180</v>
      </c>
      <c r="G117" t="s">
        <v>68</v>
      </c>
      <c r="H117">
        <f>VLOOKUP(A117,'TB 0924'!$A$10:$D$129,4,0)</f>
        <v>-46.894849999999998</v>
      </c>
    </row>
    <row r="118" spans="1:8" x14ac:dyDescent="0.35">
      <c r="A118" s="69" t="s">
        <v>403</v>
      </c>
      <c r="B118" s="70">
        <v>75000</v>
      </c>
      <c r="C118" s="71"/>
      <c r="D118" s="74">
        <f t="shared" si="1"/>
        <v>75</v>
      </c>
      <c r="E118" t="s">
        <v>167</v>
      </c>
      <c r="F118" t="s">
        <v>180</v>
      </c>
      <c r="G118" t="s">
        <v>79</v>
      </c>
      <c r="H118">
        <f>VLOOKUP(A118,'TB 0924'!$A$10:$D$129,4,0)</f>
        <v>75</v>
      </c>
    </row>
    <row r="119" spans="1:8" x14ac:dyDescent="0.35">
      <c r="A119" s="69" t="s">
        <v>346</v>
      </c>
      <c r="B119" s="70"/>
      <c r="C119" s="71">
        <v>1300</v>
      </c>
      <c r="D119" s="74">
        <f t="shared" si="1"/>
        <v>-1.3</v>
      </c>
      <c r="E119" t="s">
        <v>171</v>
      </c>
      <c r="F119" t="s">
        <v>180</v>
      </c>
      <c r="G119" t="s">
        <v>67</v>
      </c>
      <c r="H119">
        <f>VLOOKUP(A119,'TB 0924'!$A$10:$D$129,4,0)</f>
        <v>-1.3</v>
      </c>
    </row>
    <row r="120" spans="1:8" x14ac:dyDescent="0.35">
      <c r="A120" s="69" t="s">
        <v>393</v>
      </c>
      <c r="B120" s="71">
        <v>1272</v>
      </c>
      <c r="C120" s="70"/>
      <c r="D120" s="74">
        <f t="shared" si="1"/>
        <v>1.272</v>
      </c>
      <c r="E120" t="s">
        <v>167</v>
      </c>
      <c r="F120" t="s">
        <v>180</v>
      </c>
      <c r="G120" t="s">
        <v>67</v>
      </c>
      <c r="H120">
        <f>VLOOKUP(A120,'TB 0924'!$A$10:$D$129,4,0)</f>
        <v>1.272</v>
      </c>
    </row>
    <row r="121" spans="1:8" x14ac:dyDescent="0.35">
      <c r="A121" s="69" t="s">
        <v>31</v>
      </c>
      <c r="B121" s="71">
        <v>32476.06</v>
      </c>
      <c r="C121" s="70"/>
      <c r="D121" s="74">
        <f t="shared" si="1"/>
        <v>32.476060000000004</v>
      </c>
      <c r="E121" t="s">
        <v>173</v>
      </c>
      <c r="F121" t="s">
        <v>182</v>
      </c>
      <c r="G121" t="s">
        <v>31</v>
      </c>
      <c r="H121">
        <f>VLOOKUP(A121,'TB 0924'!$A$10:$D$129,4,0)</f>
        <v>32.476060000000004</v>
      </c>
    </row>
    <row r="122" spans="1:8" x14ac:dyDescent="0.35">
      <c r="A122" s="69" t="s">
        <v>384</v>
      </c>
      <c r="B122" s="71">
        <v>32500</v>
      </c>
      <c r="C122" s="70"/>
      <c r="D122" s="74">
        <f t="shared" si="1"/>
        <v>32.5</v>
      </c>
      <c r="E122" t="s">
        <v>170</v>
      </c>
      <c r="F122" t="s">
        <v>182</v>
      </c>
      <c r="G122" t="s">
        <v>60</v>
      </c>
      <c r="H122">
        <f>VLOOKUP(A122,'TB 0924'!$A$10:$D$129,4,0)</f>
        <v>32.5</v>
      </c>
    </row>
    <row r="123" spans="1:8" x14ac:dyDescent="0.35">
      <c r="A123" s="69" t="s">
        <v>394</v>
      </c>
      <c r="B123" s="70"/>
      <c r="C123" s="71">
        <v>52500</v>
      </c>
      <c r="D123" s="74">
        <f t="shared" si="1"/>
        <v>-52.5</v>
      </c>
      <c r="E123" t="s">
        <v>165</v>
      </c>
      <c r="F123" t="s">
        <v>180</v>
      </c>
      <c r="G123" t="s">
        <v>68</v>
      </c>
      <c r="H123">
        <f>VLOOKUP(A123,'TB 0924'!$A$10:$D$129,4,0)</f>
        <v>-52.5</v>
      </c>
    </row>
    <row r="124" spans="1:8" x14ac:dyDescent="0.35">
      <c r="A124" s="69" t="s">
        <v>154</v>
      </c>
      <c r="B124" s="70"/>
      <c r="C124" s="71">
        <v>21576</v>
      </c>
      <c r="D124" s="74">
        <f t="shared" si="1"/>
        <v>-21.576000000000001</v>
      </c>
      <c r="E124" t="s">
        <v>171</v>
      </c>
      <c r="F124" t="s">
        <v>180</v>
      </c>
      <c r="G124" t="s">
        <v>67</v>
      </c>
      <c r="H124">
        <f>VLOOKUP(A124,'TB 0924'!$A$10:$D$129,4,0)</f>
        <v>-21.576000000000001</v>
      </c>
    </row>
    <row r="125" spans="1:8" x14ac:dyDescent="0.35">
      <c r="A125" s="69" t="s">
        <v>313</v>
      </c>
      <c r="B125" s="70"/>
      <c r="C125" s="71">
        <v>42480</v>
      </c>
      <c r="D125" s="74">
        <f t="shared" si="1"/>
        <v>-42.48</v>
      </c>
      <c r="E125" t="s">
        <v>171</v>
      </c>
      <c r="F125" t="s">
        <v>180</v>
      </c>
      <c r="G125" t="s">
        <v>67</v>
      </c>
      <c r="H125">
        <f>VLOOKUP(A125,'TB 0924'!$A$10:$D$129,4,0)</f>
        <v>-42.48</v>
      </c>
    </row>
    <row r="126" spans="1:8" x14ac:dyDescent="0.35">
      <c r="A126" s="69" t="s">
        <v>348</v>
      </c>
      <c r="B126" s="70"/>
      <c r="C126" s="71">
        <v>2594</v>
      </c>
      <c r="D126" s="74">
        <f t="shared" si="1"/>
        <v>-2.5939999999999999</v>
      </c>
      <c r="E126" t="s">
        <v>171</v>
      </c>
      <c r="F126" t="s">
        <v>180</v>
      </c>
      <c r="G126" t="s">
        <v>67</v>
      </c>
      <c r="H126">
        <f>VLOOKUP(A126,'TB 0924'!$A$10:$D$129,4,0)</f>
        <v>-2.5939999999999999</v>
      </c>
    </row>
    <row r="127" spans="1:8" x14ac:dyDescent="0.35">
      <c r="A127" s="69" t="s">
        <v>155</v>
      </c>
      <c r="B127" s="70"/>
      <c r="C127" s="71">
        <v>1000</v>
      </c>
      <c r="D127" s="74">
        <f t="shared" si="1"/>
        <v>-1</v>
      </c>
      <c r="E127" t="s">
        <v>162</v>
      </c>
      <c r="F127" t="s">
        <v>180</v>
      </c>
      <c r="G127" t="s">
        <v>63</v>
      </c>
      <c r="H127">
        <f>VLOOKUP(A127,'TB 0924'!$A$10:$D$129,4,0)</f>
        <v>-1</v>
      </c>
    </row>
    <row r="128" spans="1:8" x14ac:dyDescent="0.35">
      <c r="A128" s="72" t="s">
        <v>156</v>
      </c>
      <c r="B128" s="73">
        <f>SUM(B10:B127)</f>
        <v>83197793.219999999</v>
      </c>
      <c r="C128" s="73">
        <f>SUM(C10:C127)</f>
        <v>83116166.25999999</v>
      </c>
      <c r="D128" s="74">
        <f>SUM(D10:D127)</f>
        <v>81.626959999992209</v>
      </c>
    </row>
    <row r="130" spans="2:3" x14ac:dyDescent="0.35">
      <c r="B130" s="101"/>
      <c r="C130" s="101"/>
    </row>
  </sheetData>
  <autoFilter ref="A9:G128" xr:uid="{00000000-0009-0000-0000-00000A000000}"/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>
    <tabColor rgb="FF92D050"/>
  </sheetPr>
  <dimension ref="A1:O83"/>
  <sheetViews>
    <sheetView topLeftCell="A62" workbookViewId="0">
      <selection activeCell="C78" sqref="C78"/>
    </sheetView>
  </sheetViews>
  <sheetFormatPr defaultRowHeight="14.5" x14ac:dyDescent="0.35"/>
  <cols>
    <col min="1" max="1" width="33.08984375" bestFit="1" customWidth="1"/>
    <col min="2" max="2" width="8.08984375" bestFit="1" customWidth="1"/>
    <col min="3" max="3" width="10.08984375" bestFit="1" customWidth="1"/>
    <col min="4" max="4" width="9.36328125" bestFit="1" customWidth="1"/>
    <col min="5" max="5" width="23.36328125" bestFit="1" customWidth="1"/>
    <col min="7" max="7" width="43.36328125" bestFit="1" customWidth="1"/>
    <col min="10" max="10" width="14.81640625" bestFit="1" customWidth="1"/>
    <col min="11" max="11" width="11.81640625" customWidth="1"/>
    <col min="12" max="12" width="15.81640625" bestFit="1" customWidth="1"/>
    <col min="14" max="14" width="15.81640625" bestFit="1" customWidth="1"/>
    <col min="15" max="15" width="8.81640625" style="75"/>
  </cols>
  <sheetData>
    <row r="1" spans="1:15" ht="15.5" x14ac:dyDescent="0.35">
      <c r="A1" s="573" t="s">
        <v>80</v>
      </c>
      <c r="B1" s="573"/>
      <c r="C1" s="573"/>
    </row>
    <row r="2" spans="1:15" x14ac:dyDescent="0.35">
      <c r="A2" s="574" t="s">
        <v>81</v>
      </c>
      <c r="B2" s="574"/>
      <c r="C2" s="574"/>
      <c r="N2" t="s">
        <v>188</v>
      </c>
      <c r="O2" s="75">
        <f>SUMIF(L:L,N2,K:K)</f>
        <v>40.1</v>
      </c>
    </row>
    <row r="3" spans="1:15" x14ac:dyDescent="0.35">
      <c r="A3" s="575" t="s">
        <v>82</v>
      </c>
      <c r="B3" s="575"/>
      <c r="C3" s="575"/>
      <c r="N3" t="s">
        <v>190</v>
      </c>
      <c r="O3" s="75">
        <f>SUMIF(L:L,N3,K:K)</f>
        <v>31.649000000000001</v>
      </c>
    </row>
    <row r="4" spans="1:15" ht="15.5" x14ac:dyDescent="0.35">
      <c r="A4" s="576" t="s">
        <v>83</v>
      </c>
      <c r="B4" s="576"/>
      <c r="C4" s="576"/>
      <c r="N4" t="s">
        <v>192</v>
      </c>
      <c r="O4" s="75">
        <f>SUMIF(L:L,N4,K:K)</f>
        <v>489.16099999999994</v>
      </c>
    </row>
    <row r="5" spans="1:15" x14ac:dyDescent="0.35">
      <c r="A5" s="574" t="s">
        <v>84</v>
      </c>
      <c r="B5" s="574"/>
      <c r="C5" s="574"/>
      <c r="O5" s="75">
        <f>SUM(O2:O4)</f>
        <v>560.91</v>
      </c>
    </row>
    <row r="6" spans="1:15" x14ac:dyDescent="0.35">
      <c r="A6" s="66" t="s">
        <v>85</v>
      </c>
      <c r="B6" s="577" t="s">
        <v>80</v>
      </c>
      <c r="C6" s="578"/>
    </row>
    <row r="7" spans="1:15" x14ac:dyDescent="0.35">
      <c r="A7" s="67" t="s">
        <v>86</v>
      </c>
      <c r="B7" s="569" t="s">
        <v>84</v>
      </c>
      <c r="C7" s="570"/>
    </row>
    <row r="8" spans="1:15" x14ac:dyDescent="0.35">
      <c r="A8" s="67" t="s">
        <v>85</v>
      </c>
      <c r="B8" s="571" t="s">
        <v>87</v>
      </c>
      <c r="C8" s="572"/>
      <c r="D8" s="74">
        <f>SUBTOTAL(9,D10:D82)</f>
        <v>-1.0764722446765518E-12</v>
      </c>
      <c r="J8" s="126" t="s">
        <v>626</v>
      </c>
    </row>
    <row r="9" spans="1:15" s="78" customFormat="1" x14ac:dyDescent="0.35">
      <c r="A9" s="68" t="s">
        <v>85</v>
      </c>
      <c r="B9" s="77" t="s">
        <v>88</v>
      </c>
      <c r="C9" s="77" t="s">
        <v>89</v>
      </c>
      <c r="D9" s="78" t="s">
        <v>157</v>
      </c>
      <c r="E9" s="78" t="s">
        <v>158</v>
      </c>
      <c r="F9" s="78" t="s">
        <v>159</v>
      </c>
      <c r="G9" s="78" t="s">
        <v>160</v>
      </c>
      <c r="J9" s="80" t="s">
        <v>86</v>
      </c>
      <c r="K9" s="80" t="s">
        <v>186</v>
      </c>
      <c r="L9" s="80"/>
      <c r="O9" s="79"/>
    </row>
    <row r="10" spans="1:15" x14ac:dyDescent="0.35">
      <c r="A10" s="69" t="s">
        <v>90</v>
      </c>
      <c r="B10" s="70"/>
      <c r="C10" s="71">
        <v>3059234</v>
      </c>
      <c r="D10" s="75">
        <f>(B10-C10)/1000</f>
        <v>-3059.2339999999999</v>
      </c>
      <c r="E10" t="s">
        <v>161</v>
      </c>
      <c r="F10" t="s">
        <v>180</v>
      </c>
      <c r="G10" t="s">
        <v>65</v>
      </c>
      <c r="J10" s="81" t="s">
        <v>187</v>
      </c>
      <c r="K10" s="82">
        <v>40.1</v>
      </c>
      <c r="L10" s="81" t="s">
        <v>188</v>
      </c>
      <c r="N10" s="76"/>
    </row>
    <row r="11" spans="1:15" x14ac:dyDescent="0.35">
      <c r="A11" s="69" t="s">
        <v>91</v>
      </c>
      <c r="B11" s="70"/>
      <c r="C11" s="71">
        <v>6174.46</v>
      </c>
      <c r="D11" s="75">
        <f t="shared" ref="D11:D75" si="0">(B11-C11)/1000</f>
        <v>-6.1744599999999998</v>
      </c>
      <c r="E11" t="s">
        <v>161</v>
      </c>
      <c r="F11" t="s">
        <v>180</v>
      </c>
      <c r="G11" t="s">
        <v>65</v>
      </c>
      <c r="J11" s="81" t="s">
        <v>189</v>
      </c>
      <c r="K11" s="82">
        <v>15.473000000000001</v>
      </c>
      <c r="L11" s="81" t="s">
        <v>190</v>
      </c>
      <c r="M11" s="76">
        <f>K11*1000</f>
        <v>15473</v>
      </c>
    </row>
    <row r="12" spans="1:15" x14ac:dyDescent="0.35">
      <c r="A12" s="69" t="s">
        <v>92</v>
      </c>
      <c r="B12" s="70"/>
      <c r="C12" s="71">
        <v>99000</v>
      </c>
      <c r="D12" s="75">
        <f t="shared" si="0"/>
        <v>-99</v>
      </c>
      <c r="E12" t="s">
        <v>162</v>
      </c>
      <c r="F12" t="s">
        <v>180</v>
      </c>
      <c r="G12" t="s">
        <v>63</v>
      </c>
      <c r="J12" s="81" t="s">
        <v>191</v>
      </c>
      <c r="K12" s="82">
        <v>16.175999999999998</v>
      </c>
      <c r="L12" s="81" t="s">
        <v>190</v>
      </c>
      <c r="M12" s="76">
        <f>K12*1000</f>
        <v>16175.999999999998</v>
      </c>
    </row>
    <row r="13" spans="1:15" x14ac:dyDescent="0.35">
      <c r="A13" s="69" t="s">
        <v>93</v>
      </c>
      <c r="B13" s="70"/>
      <c r="C13" s="71">
        <v>2863</v>
      </c>
      <c r="D13" s="75">
        <f t="shared" si="0"/>
        <v>-2.863</v>
      </c>
      <c r="E13" t="s">
        <v>163</v>
      </c>
      <c r="F13" t="s">
        <v>180</v>
      </c>
      <c r="G13" t="s">
        <v>68</v>
      </c>
      <c r="J13" s="81" t="s">
        <v>97</v>
      </c>
      <c r="K13" s="82">
        <v>164.86699999999999</v>
      </c>
      <c r="L13" s="81" t="s">
        <v>192</v>
      </c>
    </row>
    <row r="14" spans="1:15" x14ac:dyDescent="0.35">
      <c r="A14" s="69" t="s">
        <v>94</v>
      </c>
      <c r="B14" s="70"/>
      <c r="C14" s="71">
        <v>22358</v>
      </c>
      <c r="D14" s="75">
        <f t="shared" si="0"/>
        <v>-22.358000000000001</v>
      </c>
      <c r="E14" t="s">
        <v>163</v>
      </c>
      <c r="F14" t="s">
        <v>180</v>
      </c>
      <c r="G14" t="s">
        <v>68</v>
      </c>
      <c r="J14" s="81" t="s">
        <v>193</v>
      </c>
      <c r="K14" s="82">
        <v>118.387</v>
      </c>
      <c r="L14" s="81" t="s">
        <v>192</v>
      </c>
    </row>
    <row r="15" spans="1:15" x14ac:dyDescent="0.35">
      <c r="A15" s="69" t="s">
        <v>95</v>
      </c>
      <c r="B15" s="70"/>
      <c r="C15" s="71">
        <v>7495</v>
      </c>
      <c r="D15" s="75">
        <f t="shared" si="0"/>
        <v>-7.4950000000000001</v>
      </c>
      <c r="E15" t="s">
        <v>164</v>
      </c>
      <c r="F15" t="s">
        <v>180</v>
      </c>
      <c r="G15" t="s">
        <v>67</v>
      </c>
      <c r="J15" s="81" t="s">
        <v>194</v>
      </c>
      <c r="K15" s="82">
        <v>139.04</v>
      </c>
      <c r="L15" s="81" t="s">
        <v>192</v>
      </c>
    </row>
    <row r="16" spans="1:15" x14ac:dyDescent="0.35">
      <c r="A16" s="69" t="s">
        <v>96</v>
      </c>
      <c r="B16" s="70"/>
      <c r="C16" s="71">
        <v>17342</v>
      </c>
      <c r="D16" s="75">
        <f t="shared" si="0"/>
        <v>-17.341999999999999</v>
      </c>
      <c r="E16" t="s">
        <v>163</v>
      </c>
      <c r="F16" t="s">
        <v>180</v>
      </c>
      <c r="G16" t="s">
        <v>68</v>
      </c>
      <c r="J16" s="81" t="s">
        <v>195</v>
      </c>
      <c r="K16" s="82">
        <v>50.2</v>
      </c>
      <c r="L16" s="81" t="s">
        <v>192</v>
      </c>
    </row>
    <row r="17" spans="1:12" x14ac:dyDescent="0.35">
      <c r="A17" s="69" t="s">
        <v>97</v>
      </c>
      <c r="B17" s="70"/>
      <c r="C17" s="71">
        <v>16667</v>
      </c>
      <c r="D17" s="75">
        <f t="shared" si="0"/>
        <v>-16.667000000000002</v>
      </c>
      <c r="E17" t="s">
        <v>165</v>
      </c>
      <c r="F17" t="s">
        <v>180</v>
      </c>
      <c r="G17" t="s">
        <v>68</v>
      </c>
      <c r="J17" s="81" t="s">
        <v>97</v>
      </c>
      <c r="K17" s="82">
        <v>16.667000000000002</v>
      </c>
      <c r="L17" s="81" t="s">
        <v>192</v>
      </c>
    </row>
    <row r="18" spans="1:12" x14ac:dyDescent="0.35">
      <c r="A18" s="69" t="s">
        <v>98</v>
      </c>
      <c r="B18" s="71">
        <v>351186.06</v>
      </c>
      <c r="C18" s="70"/>
      <c r="D18" s="75">
        <f t="shared" si="0"/>
        <v>351.18606</v>
      </c>
      <c r="E18" t="s">
        <v>166</v>
      </c>
      <c r="F18" t="s">
        <v>181</v>
      </c>
      <c r="G18" t="s">
        <v>78</v>
      </c>
      <c r="J18" s="81"/>
      <c r="K18" s="82">
        <v>560.91000000000008</v>
      </c>
      <c r="L18" s="81"/>
    </row>
    <row r="19" spans="1:12" x14ac:dyDescent="0.35">
      <c r="A19" s="69" t="s">
        <v>292</v>
      </c>
      <c r="B19" s="71">
        <v>138100</v>
      </c>
      <c r="C19" s="70"/>
      <c r="D19" s="75">
        <f t="shared" si="0"/>
        <v>138.1</v>
      </c>
      <c r="E19" t="s">
        <v>173</v>
      </c>
      <c r="F19" t="s">
        <v>182</v>
      </c>
      <c r="G19" t="s">
        <v>38</v>
      </c>
      <c r="K19" s="75"/>
    </row>
    <row r="20" spans="1:12" x14ac:dyDescent="0.35">
      <c r="A20" s="69" t="s">
        <v>99</v>
      </c>
      <c r="B20" s="71">
        <v>17400</v>
      </c>
      <c r="C20" s="70"/>
      <c r="D20" s="75">
        <f t="shared" si="0"/>
        <v>17.399999999999999</v>
      </c>
      <c r="E20" t="s">
        <v>167</v>
      </c>
      <c r="F20" t="s">
        <v>180</v>
      </c>
      <c r="G20" t="s">
        <v>67</v>
      </c>
    </row>
    <row r="21" spans="1:12" x14ac:dyDescent="0.35">
      <c r="A21" s="69" t="s">
        <v>100</v>
      </c>
      <c r="B21" s="71">
        <v>3168</v>
      </c>
      <c r="C21" s="70"/>
      <c r="D21" s="75">
        <f t="shared" si="0"/>
        <v>3.1680000000000001</v>
      </c>
      <c r="E21" t="s">
        <v>168</v>
      </c>
      <c r="F21" t="s">
        <v>181</v>
      </c>
      <c r="G21" t="s">
        <v>78</v>
      </c>
    </row>
    <row r="22" spans="1:12" x14ac:dyDescent="0.35">
      <c r="A22" s="69" t="s">
        <v>101</v>
      </c>
      <c r="B22" s="70"/>
      <c r="C22" s="71">
        <v>3012</v>
      </c>
      <c r="D22" s="75">
        <f t="shared" si="0"/>
        <v>-3.012</v>
      </c>
      <c r="E22" t="s">
        <v>164</v>
      </c>
      <c r="F22" t="s">
        <v>180</v>
      </c>
      <c r="G22" t="s">
        <v>67</v>
      </c>
    </row>
    <row r="23" spans="1:12" x14ac:dyDescent="0.35">
      <c r="A23" s="69" t="s">
        <v>102</v>
      </c>
      <c r="B23" s="71">
        <v>78839.02</v>
      </c>
      <c r="C23" s="70"/>
      <c r="D23" s="75">
        <f t="shared" si="0"/>
        <v>78.839020000000005</v>
      </c>
      <c r="E23" t="s">
        <v>169</v>
      </c>
      <c r="F23" t="s">
        <v>182</v>
      </c>
      <c r="G23" t="s">
        <v>39</v>
      </c>
    </row>
    <row r="24" spans="1:12" x14ac:dyDescent="0.35">
      <c r="A24" s="69" t="s">
        <v>103</v>
      </c>
      <c r="B24" s="71">
        <v>105600</v>
      </c>
      <c r="C24" s="70"/>
      <c r="D24" s="75">
        <f t="shared" si="0"/>
        <v>105.6</v>
      </c>
      <c r="E24" t="s">
        <v>169</v>
      </c>
      <c r="F24" t="s">
        <v>182</v>
      </c>
      <c r="G24" t="s">
        <v>42</v>
      </c>
    </row>
    <row r="25" spans="1:12" x14ac:dyDescent="0.35">
      <c r="A25" s="69" t="s">
        <v>104</v>
      </c>
      <c r="B25" s="70"/>
      <c r="C25" s="71">
        <v>63116</v>
      </c>
      <c r="D25" s="75">
        <f t="shared" si="0"/>
        <v>-63.116</v>
      </c>
      <c r="E25" t="s">
        <v>167</v>
      </c>
      <c r="F25" t="s">
        <v>180</v>
      </c>
      <c r="G25" t="s">
        <v>67</v>
      </c>
    </row>
    <row r="26" spans="1:12" x14ac:dyDescent="0.35">
      <c r="A26" s="69" t="s">
        <v>105</v>
      </c>
      <c r="B26" s="70"/>
      <c r="C26" s="71">
        <v>16625</v>
      </c>
      <c r="D26" s="75">
        <f t="shared" si="0"/>
        <v>-16.625</v>
      </c>
      <c r="E26" t="s">
        <v>163</v>
      </c>
      <c r="F26" t="s">
        <v>180</v>
      </c>
      <c r="G26" t="s">
        <v>68</v>
      </c>
    </row>
    <row r="27" spans="1:12" x14ac:dyDescent="0.35">
      <c r="A27" s="69" t="s">
        <v>34</v>
      </c>
      <c r="B27" s="71">
        <v>10360.98</v>
      </c>
      <c r="C27" s="70"/>
      <c r="D27" s="75">
        <f t="shared" si="0"/>
        <v>10.36098</v>
      </c>
      <c r="E27" t="s">
        <v>169</v>
      </c>
      <c r="F27" t="s">
        <v>182</v>
      </c>
      <c r="G27" t="s">
        <v>34</v>
      </c>
    </row>
    <row r="28" spans="1:12" x14ac:dyDescent="0.35">
      <c r="A28" s="69" t="s">
        <v>106</v>
      </c>
      <c r="B28" s="70"/>
      <c r="C28" s="71">
        <v>17970</v>
      </c>
      <c r="D28" s="75">
        <f t="shared" si="0"/>
        <v>-17.97</v>
      </c>
      <c r="E28" t="s">
        <v>163</v>
      </c>
      <c r="F28" t="s">
        <v>180</v>
      </c>
      <c r="G28" t="s">
        <v>68</v>
      </c>
    </row>
    <row r="29" spans="1:12" x14ac:dyDescent="0.35">
      <c r="A29" s="69" t="s">
        <v>107</v>
      </c>
      <c r="B29" s="70"/>
      <c r="C29" s="71">
        <v>16983</v>
      </c>
      <c r="D29" s="75">
        <f t="shared" si="0"/>
        <v>-16.983000000000001</v>
      </c>
      <c r="E29" t="s">
        <v>163</v>
      </c>
      <c r="F29" t="s">
        <v>180</v>
      </c>
      <c r="G29" t="s">
        <v>68</v>
      </c>
    </row>
    <row r="30" spans="1:12" x14ac:dyDescent="0.35">
      <c r="A30" s="69" t="s">
        <v>108</v>
      </c>
      <c r="B30" s="71">
        <v>6174.46</v>
      </c>
      <c r="C30" s="70"/>
      <c r="D30" s="75">
        <f t="shared" si="0"/>
        <v>6.1744599999999998</v>
      </c>
      <c r="E30" t="s">
        <v>169</v>
      </c>
      <c r="F30" t="s">
        <v>182</v>
      </c>
      <c r="G30" t="s">
        <v>31</v>
      </c>
    </row>
    <row r="31" spans="1:12" x14ac:dyDescent="0.35">
      <c r="A31" s="69" t="s">
        <v>109</v>
      </c>
      <c r="B31" s="71">
        <v>11849</v>
      </c>
      <c r="C31" s="70"/>
      <c r="D31" s="75">
        <f t="shared" si="0"/>
        <v>11.849</v>
      </c>
      <c r="E31" t="s">
        <v>170</v>
      </c>
      <c r="F31" t="s">
        <v>182</v>
      </c>
      <c r="G31" t="s">
        <v>417</v>
      </c>
    </row>
    <row r="32" spans="1:12" x14ac:dyDescent="0.35">
      <c r="A32" s="69" t="s">
        <v>46</v>
      </c>
      <c r="B32" s="71">
        <v>160600</v>
      </c>
      <c r="C32" s="70"/>
      <c r="D32" s="75">
        <f t="shared" si="0"/>
        <v>160.6</v>
      </c>
      <c r="E32" t="s">
        <v>169</v>
      </c>
      <c r="F32" t="s">
        <v>182</v>
      </c>
      <c r="G32" t="s">
        <v>46</v>
      </c>
    </row>
    <row r="33" spans="1:7" x14ac:dyDescent="0.35">
      <c r="A33" s="69" t="s">
        <v>110</v>
      </c>
      <c r="B33" s="70"/>
      <c r="C33" s="71">
        <v>18184</v>
      </c>
      <c r="D33" s="75">
        <f t="shared" si="0"/>
        <v>-18.184000000000001</v>
      </c>
      <c r="E33" t="s">
        <v>164</v>
      </c>
      <c r="F33" t="s">
        <v>180</v>
      </c>
      <c r="G33" t="s">
        <v>67</v>
      </c>
    </row>
    <row r="34" spans="1:7" x14ac:dyDescent="0.35">
      <c r="A34" s="69" t="s">
        <v>111</v>
      </c>
      <c r="B34" s="70"/>
      <c r="C34" s="71">
        <v>185000</v>
      </c>
      <c r="D34" s="75">
        <f t="shared" si="0"/>
        <v>-185</v>
      </c>
      <c r="E34" t="s">
        <v>167</v>
      </c>
      <c r="F34" t="s">
        <v>180</v>
      </c>
      <c r="G34" t="s">
        <v>67</v>
      </c>
    </row>
    <row r="35" spans="1:7" x14ac:dyDescent="0.35">
      <c r="A35" s="69" t="s">
        <v>112</v>
      </c>
      <c r="B35" s="70"/>
      <c r="C35" s="71">
        <v>0</v>
      </c>
      <c r="D35" s="75">
        <f t="shared" si="0"/>
        <v>0</v>
      </c>
      <c r="E35" t="s">
        <v>171</v>
      </c>
      <c r="F35" t="s">
        <v>180</v>
      </c>
      <c r="G35" t="s">
        <v>67</v>
      </c>
    </row>
    <row r="36" spans="1:7" x14ac:dyDescent="0.35">
      <c r="A36" s="69" t="s">
        <v>113</v>
      </c>
      <c r="B36" s="71">
        <v>34800</v>
      </c>
      <c r="C36" s="70"/>
      <c r="D36" s="75">
        <f t="shared" si="0"/>
        <v>34.799999999999997</v>
      </c>
      <c r="E36" t="s">
        <v>167</v>
      </c>
      <c r="F36" t="s">
        <v>180</v>
      </c>
      <c r="G36" t="s">
        <v>67</v>
      </c>
    </row>
    <row r="37" spans="1:7" x14ac:dyDescent="0.35">
      <c r="A37" s="69" t="s">
        <v>114</v>
      </c>
      <c r="B37" s="71">
        <v>907.5</v>
      </c>
      <c r="C37" s="70"/>
      <c r="D37" s="75">
        <f t="shared" si="0"/>
        <v>0.90749999999999997</v>
      </c>
      <c r="E37" t="s">
        <v>172</v>
      </c>
      <c r="F37" t="s">
        <v>180</v>
      </c>
      <c r="G37" t="s">
        <v>79</v>
      </c>
    </row>
    <row r="38" spans="1:7" x14ac:dyDescent="0.35">
      <c r="A38" s="69" t="s">
        <v>115</v>
      </c>
      <c r="B38" s="71">
        <v>60996.42</v>
      </c>
      <c r="C38" s="70"/>
      <c r="D38" s="75">
        <f t="shared" si="0"/>
        <v>60.996420000000001</v>
      </c>
      <c r="E38" t="s">
        <v>172</v>
      </c>
      <c r="F38" t="s">
        <v>180</v>
      </c>
      <c r="G38" t="s">
        <v>79</v>
      </c>
    </row>
    <row r="39" spans="1:7" x14ac:dyDescent="0.35">
      <c r="A39" s="69" t="s">
        <v>116</v>
      </c>
      <c r="B39" s="71">
        <v>43498</v>
      </c>
      <c r="C39" s="70"/>
      <c r="D39" s="75">
        <f t="shared" si="0"/>
        <v>43.497999999999998</v>
      </c>
      <c r="E39" t="s">
        <v>172</v>
      </c>
      <c r="F39" t="s">
        <v>180</v>
      </c>
      <c r="G39" t="s">
        <v>79</v>
      </c>
    </row>
    <row r="40" spans="1:7" x14ac:dyDescent="0.35">
      <c r="A40" s="69" t="s">
        <v>117</v>
      </c>
      <c r="B40" s="71">
        <v>907.5</v>
      </c>
      <c r="C40" s="70"/>
      <c r="D40" s="75">
        <f t="shared" si="0"/>
        <v>0.90749999999999997</v>
      </c>
      <c r="E40" t="s">
        <v>172</v>
      </c>
      <c r="F40" t="s">
        <v>180</v>
      </c>
      <c r="G40" t="s">
        <v>79</v>
      </c>
    </row>
    <row r="41" spans="1:7" x14ac:dyDescent="0.35">
      <c r="A41" s="69" t="s">
        <v>118</v>
      </c>
      <c r="B41" s="71">
        <v>60996.42</v>
      </c>
      <c r="C41" s="70"/>
      <c r="D41" s="75">
        <f t="shared" si="0"/>
        <v>60.996420000000001</v>
      </c>
      <c r="E41" t="s">
        <v>172</v>
      </c>
      <c r="F41" t="s">
        <v>180</v>
      </c>
      <c r="G41" t="s">
        <v>79</v>
      </c>
    </row>
    <row r="42" spans="1:7" x14ac:dyDescent="0.35">
      <c r="A42" s="69" t="s">
        <v>119</v>
      </c>
      <c r="B42" s="71">
        <v>421</v>
      </c>
      <c r="C42" s="70"/>
      <c r="D42" s="75">
        <f t="shared" si="0"/>
        <v>0.42099999999999999</v>
      </c>
      <c r="E42" t="s">
        <v>169</v>
      </c>
      <c r="F42" t="s">
        <v>182</v>
      </c>
      <c r="G42" t="s">
        <v>42</v>
      </c>
    </row>
    <row r="43" spans="1:7" x14ac:dyDescent="0.35">
      <c r="A43" s="69" t="s">
        <v>120</v>
      </c>
      <c r="B43" s="70"/>
      <c r="C43" s="71">
        <v>12016</v>
      </c>
      <c r="D43" s="75">
        <f t="shared" si="0"/>
        <v>-12.016</v>
      </c>
      <c r="E43" t="s">
        <v>163</v>
      </c>
      <c r="F43" t="s">
        <v>180</v>
      </c>
      <c r="G43" t="s">
        <v>68</v>
      </c>
    </row>
    <row r="44" spans="1:7" x14ac:dyDescent="0.35">
      <c r="A44" s="69" t="s">
        <v>121</v>
      </c>
      <c r="B44" s="70"/>
      <c r="C44" s="71">
        <v>17170</v>
      </c>
      <c r="D44" s="75">
        <f t="shared" si="0"/>
        <v>-17.170000000000002</v>
      </c>
      <c r="E44" t="s">
        <v>163</v>
      </c>
      <c r="F44" t="s">
        <v>180</v>
      </c>
      <c r="G44" t="s">
        <v>68</v>
      </c>
    </row>
    <row r="45" spans="1:7" x14ac:dyDescent="0.35">
      <c r="A45" s="69" t="s">
        <v>122</v>
      </c>
      <c r="B45" s="70"/>
      <c r="C45" s="71">
        <v>8885</v>
      </c>
      <c r="D45" s="75">
        <f t="shared" si="0"/>
        <v>-8.8849999999999998</v>
      </c>
      <c r="E45" t="s">
        <v>163</v>
      </c>
      <c r="F45" t="s">
        <v>180</v>
      </c>
      <c r="G45" t="s">
        <v>68</v>
      </c>
    </row>
    <row r="46" spans="1:7" x14ac:dyDescent="0.35">
      <c r="A46" s="69" t="s">
        <v>123</v>
      </c>
      <c r="B46" s="70"/>
      <c r="C46" s="71">
        <v>18384</v>
      </c>
      <c r="D46" s="75">
        <f t="shared" si="0"/>
        <v>-18.384</v>
      </c>
      <c r="E46" t="s">
        <v>163</v>
      </c>
      <c r="F46" t="s">
        <v>180</v>
      </c>
      <c r="G46" t="s">
        <v>68</v>
      </c>
    </row>
    <row r="47" spans="1:7" x14ac:dyDescent="0.35">
      <c r="A47" s="69" t="s">
        <v>124</v>
      </c>
      <c r="B47" s="71">
        <v>284131</v>
      </c>
      <c r="C47" s="70"/>
      <c r="D47" s="75">
        <f t="shared" si="0"/>
        <v>284.13099999999997</v>
      </c>
      <c r="E47" t="s">
        <v>173</v>
      </c>
      <c r="F47" t="s">
        <v>182</v>
      </c>
      <c r="G47" t="s">
        <v>26</v>
      </c>
    </row>
    <row r="48" spans="1:7" x14ac:dyDescent="0.35">
      <c r="A48" s="69" t="s">
        <v>125</v>
      </c>
      <c r="B48" s="70"/>
      <c r="C48" s="71">
        <v>4696</v>
      </c>
      <c r="D48" s="75">
        <f t="shared" si="0"/>
        <v>-4.6959999999999997</v>
      </c>
      <c r="E48" t="s">
        <v>163</v>
      </c>
      <c r="F48" t="s">
        <v>180</v>
      </c>
      <c r="G48" t="s">
        <v>68</v>
      </c>
    </row>
    <row r="49" spans="1:7" x14ac:dyDescent="0.35">
      <c r="A49" s="69" t="s">
        <v>126</v>
      </c>
      <c r="B49" s="71">
        <v>70800</v>
      </c>
      <c r="C49" s="70"/>
      <c r="D49" s="75">
        <f t="shared" si="0"/>
        <v>70.8</v>
      </c>
      <c r="E49" t="s">
        <v>173</v>
      </c>
      <c r="F49" t="s">
        <v>182</v>
      </c>
      <c r="G49" t="s">
        <v>37</v>
      </c>
    </row>
    <row r="50" spans="1:7" x14ac:dyDescent="0.35">
      <c r="A50" s="69" t="s">
        <v>127</v>
      </c>
      <c r="B50" s="70"/>
      <c r="C50" s="71">
        <v>9355</v>
      </c>
      <c r="D50" s="75">
        <f t="shared" si="0"/>
        <v>-9.3550000000000004</v>
      </c>
      <c r="E50" t="s">
        <v>163</v>
      </c>
      <c r="F50" t="s">
        <v>180</v>
      </c>
      <c r="G50" t="s">
        <v>68</v>
      </c>
    </row>
    <row r="51" spans="1:7" x14ac:dyDescent="0.35">
      <c r="A51" s="69" t="s">
        <v>43</v>
      </c>
      <c r="B51" s="71">
        <v>16832</v>
      </c>
      <c r="C51" s="70"/>
      <c r="D51" s="75">
        <f t="shared" si="0"/>
        <v>16.832000000000001</v>
      </c>
      <c r="E51" t="s">
        <v>169</v>
      </c>
      <c r="F51" t="s">
        <v>182</v>
      </c>
      <c r="G51" t="s">
        <v>43</v>
      </c>
    </row>
    <row r="52" spans="1:7" x14ac:dyDescent="0.35">
      <c r="A52" s="69" t="s">
        <v>128</v>
      </c>
      <c r="B52" s="70"/>
      <c r="C52" s="71">
        <v>14399</v>
      </c>
      <c r="D52" s="75">
        <f t="shared" si="0"/>
        <v>-14.398999999999999</v>
      </c>
      <c r="E52" t="s">
        <v>164</v>
      </c>
      <c r="F52" t="s">
        <v>180</v>
      </c>
      <c r="G52" t="s">
        <v>67</v>
      </c>
    </row>
    <row r="53" spans="1:7" x14ac:dyDescent="0.35">
      <c r="A53" s="69" t="s">
        <v>129</v>
      </c>
      <c r="B53" s="70"/>
      <c r="C53" s="71">
        <v>27606.28</v>
      </c>
      <c r="D53" s="75">
        <f t="shared" si="0"/>
        <v>-27.606279999999998</v>
      </c>
      <c r="E53" t="s">
        <v>174</v>
      </c>
      <c r="F53" t="s">
        <v>180</v>
      </c>
      <c r="G53" t="s">
        <v>68</v>
      </c>
    </row>
    <row r="54" spans="1:7" x14ac:dyDescent="0.35">
      <c r="A54" s="69" t="s">
        <v>130</v>
      </c>
      <c r="B54" s="70"/>
      <c r="C54" s="71">
        <v>27606.28</v>
      </c>
      <c r="D54" s="75">
        <f t="shared" si="0"/>
        <v>-27.606279999999998</v>
      </c>
      <c r="E54" t="s">
        <v>174</v>
      </c>
      <c r="F54" t="s">
        <v>180</v>
      </c>
      <c r="G54" t="s">
        <v>68</v>
      </c>
    </row>
    <row r="55" spans="1:7" x14ac:dyDescent="0.35">
      <c r="A55" s="69" t="s">
        <v>131</v>
      </c>
      <c r="B55" s="70"/>
      <c r="C55" s="71">
        <v>10587</v>
      </c>
      <c r="D55" s="75">
        <f t="shared" si="0"/>
        <v>-10.587</v>
      </c>
      <c r="E55" t="s">
        <v>163</v>
      </c>
      <c r="F55" t="s">
        <v>180</v>
      </c>
      <c r="G55" t="s">
        <v>68</v>
      </c>
    </row>
    <row r="56" spans="1:7" x14ac:dyDescent="0.35">
      <c r="A56" s="69" t="s">
        <v>132</v>
      </c>
      <c r="B56" s="70"/>
      <c r="C56" s="71">
        <v>15658</v>
      </c>
      <c r="D56" s="75">
        <f t="shared" si="0"/>
        <v>-15.657999999999999</v>
      </c>
      <c r="E56" t="s">
        <v>163</v>
      </c>
      <c r="F56" t="s">
        <v>180</v>
      </c>
      <c r="G56" t="s">
        <v>68</v>
      </c>
    </row>
    <row r="57" spans="1:7" x14ac:dyDescent="0.35">
      <c r="A57" s="69" t="s">
        <v>29</v>
      </c>
      <c r="B57" s="71">
        <v>3052.61</v>
      </c>
      <c r="C57" s="70"/>
      <c r="D57" s="75">
        <f t="shared" si="0"/>
        <v>3.05261</v>
      </c>
      <c r="E57" t="s">
        <v>173</v>
      </c>
      <c r="F57" t="s">
        <v>182</v>
      </c>
      <c r="G57" t="s">
        <v>29</v>
      </c>
    </row>
    <row r="58" spans="1:7" x14ac:dyDescent="0.35">
      <c r="A58" s="69" t="s">
        <v>133</v>
      </c>
      <c r="B58" s="70"/>
      <c r="C58" s="71">
        <v>18184</v>
      </c>
      <c r="D58" s="75">
        <f t="shared" si="0"/>
        <v>-18.184000000000001</v>
      </c>
      <c r="E58" t="s">
        <v>163</v>
      </c>
      <c r="F58" t="s">
        <v>180</v>
      </c>
      <c r="G58" t="s">
        <v>68</v>
      </c>
    </row>
    <row r="59" spans="1:7" x14ac:dyDescent="0.35">
      <c r="A59" s="69" t="s">
        <v>134</v>
      </c>
      <c r="B59" s="70"/>
      <c r="C59" s="71">
        <v>2800</v>
      </c>
      <c r="D59" s="75">
        <f t="shared" si="0"/>
        <v>-2.8</v>
      </c>
      <c r="E59" t="s">
        <v>175</v>
      </c>
      <c r="F59" t="s">
        <v>180</v>
      </c>
      <c r="G59" t="s">
        <v>68</v>
      </c>
    </row>
    <row r="60" spans="1:7" x14ac:dyDescent="0.35">
      <c r="A60" s="69" t="s">
        <v>135</v>
      </c>
      <c r="B60" s="71">
        <v>1905743.9</v>
      </c>
      <c r="C60" s="70"/>
      <c r="D60" s="75">
        <f t="shared" si="0"/>
        <v>1905.7438999999999</v>
      </c>
      <c r="E60" t="s">
        <v>176</v>
      </c>
      <c r="F60" t="s">
        <v>183</v>
      </c>
      <c r="G60" t="s">
        <v>64</v>
      </c>
    </row>
    <row r="61" spans="1:7" x14ac:dyDescent="0.35">
      <c r="A61" s="69" t="s">
        <v>136</v>
      </c>
      <c r="B61" s="70"/>
      <c r="C61" s="71">
        <v>11849</v>
      </c>
      <c r="D61" s="75">
        <f t="shared" si="0"/>
        <v>-11.849</v>
      </c>
      <c r="E61" t="s">
        <v>177</v>
      </c>
      <c r="F61" t="s">
        <v>180</v>
      </c>
      <c r="G61" t="s">
        <v>68</v>
      </c>
    </row>
    <row r="62" spans="1:7" x14ac:dyDescent="0.35">
      <c r="A62" s="69" t="s">
        <v>137</v>
      </c>
      <c r="B62" s="70"/>
      <c r="C62" s="71">
        <v>11849</v>
      </c>
      <c r="D62" s="75">
        <f t="shared" si="0"/>
        <v>-11.849</v>
      </c>
      <c r="E62" t="s">
        <v>177</v>
      </c>
      <c r="F62" t="s">
        <v>180</v>
      </c>
      <c r="G62" t="s">
        <v>68</v>
      </c>
    </row>
    <row r="63" spans="1:7" x14ac:dyDescent="0.35">
      <c r="A63" s="69" t="s">
        <v>138</v>
      </c>
      <c r="B63" s="70"/>
      <c r="C63" s="71">
        <v>25000</v>
      </c>
      <c r="D63" s="75">
        <f t="shared" si="0"/>
        <v>-25</v>
      </c>
      <c r="E63" t="s">
        <v>178</v>
      </c>
      <c r="F63" t="s">
        <v>180</v>
      </c>
      <c r="G63" t="s">
        <v>69</v>
      </c>
    </row>
    <row r="64" spans="1:7" x14ac:dyDescent="0.35">
      <c r="A64" s="69" t="s">
        <v>139</v>
      </c>
      <c r="B64" s="70"/>
      <c r="C64" s="71">
        <v>89639.02</v>
      </c>
      <c r="D64" s="75">
        <f t="shared" si="0"/>
        <v>-89.639020000000002</v>
      </c>
      <c r="E64" t="s">
        <v>178</v>
      </c>
      <c r="F64" t="s">
        <v>180</v>
      </c>
      <c r="G64" t="s">
        <v>69</v>
      </c>
    </row>
    <row r="65" spans="1:7" x14ac:dyDescent="0.35">
      <c r="A65" s="69" t="s">
        <v>140</v>
      </c>
      <c r="B65" s="70"/>
      <c r="C65" s="71">
        <v>10360.98</v>
      </c>
      <c r="D65" s="75">
        <f t="shared" si="0"/>
        <v>-10.36098</v>
      </c>
      <c r="E65" t="s">
        <v>178</v>
      </c>
      <c r="F65" t="s">
        <v>180</v>
      </c>
      <c r="G65" t="s">
        <v>69</v>
      </c>
    </row>
    <row r="66" spans="1:7" x14ac:dyDescent="0.35">
      <c r="A66" s="69" t="s">
        <v>141</v>
      </c>
      <c r="B66" s="70"/>
      <c r="C66" s="71">
        <v>14698</v>
      </c>
      <c r="D66" s="75">
        <f t="shared" si="0"/>
        <v>-14.698</v>
      </c>
      <c r="E66" t="s">
        <v>163</v>
      </c>
      <c r="F66" t="s">
        <v>180</v>
      </c>
      <c r="G66" t="s">
        <v>68</v>
      </c>
    </row>
    <row r="67" spans="1:7" x14ac:dyDescent="0.35">
      <c r="A67" s="69" t="s">
        <v>142</v>
      </c>
      <c r="B67" s="71">
        <v>43333.33</v>
      </c>
      <c r="C67" s="70"/>
      <c r="D67" s="75">
        <f t="shared" si="0"/>
        <v>43.333330000000004</v>
      </c>
      <c r="E67" t="s">
        <v>169</v>
      </c>
      <c r="F67" t="s">
        <v>182</v>
      </c>
      <c r="G67" t="s">
        <v>31</v>
      </c>
    </row>
    <row r="68" spans="1:7" x14ac:dyDescent="0.35">
      <c r="A68" s="69" t="s">
        <v>143</v>
      </c>
      <c r="B68" s="71">
        <v>560910</v>
      </c>
      <c r="C68" s="70"/>
      <c r="D68" s="75">
        <f t="shared" si="0"/>
        <v>560.91</v>
      </c>
      <c r="E68" t="s">
        <v>170</v>
      </c>
      <c r="F68" t="s">
        <v>182</v>
      </c>
      <c r="G68" t="s">
        <v>185</v>
      </c>
    </row>
    <row r="69" spans="1:7" x14ac:dyDescent="0.35">
      <c r="A69" s="69" t="s">
        <v>144</v>
      </c>
      <c r="B69" s="70"/>
      <c r="C69" s="71">
        <v>224049</v>
      </c>
      <c r="D69" s="75">
        <f t="shared" si="0"/>
        <v>-224.04900000000001</v>
      </c>
      <c r="E69" t="s">
        <v>144</v>
      </c>
      <c r="F69" t="s">
        <v>184</v>
      </c>
      <c r="G69" t="s">
        <v>25</v>
      </c>
    </row>
    <row r="70" spans="1:7" x14ac:dyDescent="0.35">
      <c r="A70" s="69" t="s">
        <v>145</v>
      </c>
      <c r="B70" s="70"/>
      <c r="C70" s="71">
        <v>3480</v>
      </c>
      <c r="D70" s="75">
        <f t="shared" si="0"/>
        <v>-3.48</v>
      </c>
      <c r="E70" t="s">
        <v>171</v>
      </c>
      <c r="F70" t="s">
        <v>180</v>
      </c>
      <c r="G70" t="s">
        <v>67</v>
      </c>
    </row>
    <row r="71" spans="1:7" x14ac:dyDescent="0.35">
      <c r="A71" s="69" t="s">
        <v>146</v>
      </c>
      <c r="B71" s="71">
        <v>461000</v>
      </c>
      <c r="C71" s="70"/>
      <c r="D71" s="75">
        <f t="shared" si="0"/>
        <v>461</v>
      </c>
      <c r="E71" t="s">
        <v>75</v>
      </c>
      <c r="F71" t="s">
        <v>181</v>
      </c>
      <c r="G71" t="s">
        <v>73</v>
      </c>
    </row>
    <row r="72" spans="1:7" x14ac:dyDescent="0.35">
      <c r="A72" s="69" t="s">
        <v>147</v>
      </c>
      <c r="B72" s="70"/>
      <c r="C72" s="71">
        <v>22173</v>
      </c>
      <c r="D72" s="75">
        <f t="shared" si="0"/>
        <v>-22.172999999999998</v>
      </c>
      <c r="E72" t="s">
        <v>163</v>
      </c>
      <c r="F72" t="s">
        <v>180</v>
      </c>
      <c r="G72" t="s">
        <v>68</v>
      </c>
    </row>
    <row r="73" spans="1:7" x14ac:dyDescent="0.35">
      <c r="A73" s="69" t="s">
        <v>148</v>
      </c>
      <c r="B73" s="70"/>
      <c r="C73" s="71">
        <v>232000</v>
      </c>
      <c r="D73" s="75">
        <f t="shared" si="0"/>
        <v>-232</v>
      </c>
      <c r="E73" t="s">
        <v>164</v>
      </c>
      <c r="F73" t="s">
        <v>180</v>
      </c>
      <c r="G73" t="s">
        <v>67</v>
      </c>
    </row>
    <row r="74" spans="1:7" x14ac:dyDescent="0.35">
      <c r="A74" s="69" t="s">
        <v>149</v>
      </c>
      <c r="B74" s="71">
        <v>2636.15</v>
      </c>
      <c r="C74" s="70"/>
      <c r="D74" s="75">
        <f t="shared" si="0"/>
        <v>2.6361500000000002</v>
      </c>
      <c r="E74" t="s">
        <v>169</v>
      </c>
      <c r="F74" t="s">
        <v>182</v>
      </c>
      <c r="G74" t="s">
        <v>39</v>
      </c>
    </row>
    <row r="75" spans="1:7" x14ac:dyDescent="0.35">
      <c r="A75" s="69" t="s">
        <v>33</v>
      </c>
      <c r="B75" s="71">
        <v>17300</v>
      </c>
      <c r="C75" s="70"/>
      <c r="D75" s="75">
        <f t="shared" si="0"/>
        <v>17.3</v>
      </c>
      <c r="E75" t="s">
        <v>173</v>
      </c>
      <c r="F75" t="s">
        <v>182</v>
      </c>
      <c r="G75" t="s">
        <v>33</v>
      </c>
    </row>
    <row r="76" spans="1:7" x14ac:dyDescent="0.35">
      <c r="A76" s="69" t="s">
        <v>150</v>
      </c>
      <c r="B76" s="71">
        <v>7094</v>
      </c>
      <c r="C76" s="70"/>
      <c r="D76" s="75">
        <f t="shared" ref="D76:D82" si="1">(B76-C76)/1000</f>
        <v>7.0940000000000003</v>
      </c>
      <c r="E76" t="s">
        <v>170</v>
      </c>
      <c r="F76" t="s">
        <v>182</v>
      </c>
      <c r="G76" t="s">
        <v>417</v>
      </c>
    </row>
    <row r="77" spans="1:7" x14ac:dyDescent="0.35">
      <c r="A77" s="69" t="s">
        <v>151</v>
      </c>
      <c r="B77" s="70"/>
      <c r="C77" s="71">
        <v>42230</v>
      </c>
      <c r="D77" s="75">
        <f t="shared" si="1"/>
        <v>-42.23</v>
      </c>
      <c r="E77" t="s">
        <v>179</v>
      </c>
      <c r="F77" t="s">
        <v>180</v>
      </c>
      <c r="G77" t="s">
        <v>68</v>
      </c>
    </row>
    <row r="78" spans="1:7" x14ac:dyDescent="0.35">
      <c r="A78" s="69" t="s">
        <v>152</v>
      </c>
      <c r="B78" s="71">
        <v>3731</v>
      </c>
      <c r="C78" s="70"/>
      <c r="D78" s="75">
        <f t="shared" si="1"/>
        <v>3.7309999999999999</v>
      </c>
      <c r="E78" t="s">
        <v>179</v>
      </c>
      <c r="F78" t="s">
        <v>180</v>
      </c>
      <c r="G78" t="s">
        <v>68</v>
      </c>
    </row>
    <row r="79" spans="1:7" x14ac:dyDescent="0.35">
      <c r="A79" s="69" t="s">
        <v>153</v>
      </c>
      <c r="B79" s="70"/>
      <c r="C79" s="71">
        <v>14593.33</v>
      </c>
      <c r="D79" s="75">
        <f t="shared" si="1"/>
        <v>-14.59333</v>
      </c>
      <c r="E79" t="s">
        <v>179</v>
      </c>
      <c r="F79" t="s">
        <v>180</v>
      </c>
      <c r="G79" t="s">
        <v>68</v>
      </c>
    </row>
    <row r="80" spans="1:7" x14ac:dyDescent="0.35">
      <c r="A80" s="69" t="s">
        <v>31</v>
      </c>
      <c r="B80" s="71">
        <v>1499</v>
      </c>
      <c r="C80" s="70"/>
      <c r="D80" s="75">
        <f t="shared" si="1"/>
        <v>1.4990000000000001</v>
      </c>
      <c r="E80" t="s">
        <v>173</v>
      </c>
      <c r="F80" t="s">
        <v>182</v>
      </c>
      <c r="G80" t="s">
        <v>31</v>
      </c>
    </row>
    <row r="81" spans="1:7" x14ac:dyDescent="0.35">
      <c r="A81" s="69" t="s">
        <v>154</v>
      </c>
      <c r="B81" s="70"/>
      <c r="C81" s="71">
        <v>21576</v>
      </c>
      <c r="D81" s="75">
        <f t="shared" si="1"/>
        <v>-21.576000000000001</v>
      </c>
      <c r="E81" t="s">
        <v>171</v>
      </c>
      <c r="F81" t="s">
        <v>180</v>
      </c>
      <c r="G81" t="s">
        <v>67</v>
      </c>
    </row>
    <row r="82" spans="1:7" x14ac:dyDescent="0.35">
      <c r="A82" s="69" t="s">
        <v>155</v>
      </c>
      <c r="B82" s="70"/>
      <c r="C82" s="71">
        <v>1000</v>
      </c>
      <c r="D82" s="75">
        <f t="shared" si="1"/>
        <v>-1</v>
      </c>
      <c r="E82" t="s">
        <v>162</v>
      </c>
      <c r="F82" t="s">
        <v>180</v>
      </c>
      <c r="G82" t="s">
        <v>63</v>
      </c>
    </row>
    <row r="83" spans="1:7" x14ac:dyDescent="0.35">
      <c r="A83" s="72" t="s">
        <v>156</v>
      </c>
      <c r="B83" s="73">
        <v>4463867.3500000006</v>
      </c>
      <c r="C83" s="73">
        <v>4463867.3499999996</v>
      </c>
      <c r="D83" s="76">
        <f>SUM(D10:D82)</f>
        <v>-1.0764722446765518E-12</v>
      </c>
    </row>
  </sheetData>
  <autoFilter ref="A9:G83" xr:uid="{00000000-0009-0000-0000-00000B000000}"/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>
    <tabColor rgb="FF92D050"/>
  </sheetPr>
  <dimension ref="A1:P143"/>
  <sheetViews>
    <sheetView topLeftCell="A68" workbookViewId="0">
      <selection activeCell="C78" sqref="C78"/>
    </sheetView>
  </sheetViews>
  <sheetFormatPr defaultRowHeight="14.5" x14ac:dyDescent="0.35"/>
  <cols>
    <col min="1" max="1" width="33.08984375" bestFit="1" customWidth="1"/>
    <col min="2" max="3" width="9.08984375" bestFit="1" customWidth="1"/>
    <col min="4" max="4" width="10.36328125" bestFit="1" customWidth="1"/>
    <col min="5" max="5" width="23.36328125" bestFit="1" customWidth="1"/>
    <col min="7" max="7" width="43.36328125" bestFit="1" customWidth="1"/>
    <col min="10" max="10" width="22.36328125" bestFit="1" customWidth="1"/>
    <col min="11" max="11" width="12.36328125" style="75" bestFit="1" customWidth="1"/>
    <col min="12" max="12" width="8.81640625" bestFit="1" customWidth="1"/>
    <col min="13" max="13" width="15.81640625" bestFit="1" customWidth="1"/>
    <col min="15" max="15" width="15.81640625" bestFit="1" customWidth="1"/>
    <col min="16" max="16" width="8.81640625" style="75"/>
  </cols>
  <sheetData>
    <row r="1" spans="1:16" ht="15.5" x14ac:dyDescent="0.35">
      <c r="A1" s="573" t="s">
        <v>80</v>
      </c>
      <c r="B1" s="573"/>
      <c r="C1" s="573"/>
      <c r="K1"/>
    </row>
    <row r="2" spans="1:16" x14ac:dyDescent="0.35">
      <c r="A2" s="574" t="s">
        <v>81</v>
      </c>
      <c r="B2" s="574"/>
      <c r="C2" s="574"/>
      <c r="K2"/>
    </row>
    <row r="3" spans="1:16" x14ac:dyDescent="0.35">
      <c r="A3" s="575" t="s">
        <v>82</v>
      </c>
      <c r="B3" s="575"/>
      <c r="C3" s="575"/>
      <c r="K3"/>
      <c r="O3" t="s">
        <v>192</v>
      </c>
      <c r="P3" s="75">
        <f>SUMIF(M:M,O3,L:L)</f>
        <v>930.40700000000004</v>
      </c>
    </row>
    <row r="4" spans="1:16" ht="15.5" x14ac:dyDescent="0.35">
      <c r="A4" s="576" t="s">
        <v>83</v>
      </c>
      <c r="B4" s="576"/>
      <c r="C4" s="576"/>
      <c r="K4"/>
      <c r="O4" t="s">
        <v>190</v>
      </c>
      <c r="P4" s="75">
        <f>SUMIF(M:M,O4,L:L)</f>
        <v>55.884</v>
      </c>
    </row>
    <row r="5" spans="1:16" x14ac:dyDescent="0.35">
      <c r="A5" s="574" t="s">
        <v>196</v>
      </c>
      <c r="B5" s="574"/>
      <c r="C5" s="574"/>
      <c r="K5"/>
      <c r="O5" t="s">
        <v>188</v>
      </c>
      <c r="P5" s="75">
        <f>SUMIF(M:M,O5,L:L)</f>
        <v>58.2</v>
      </c>
    </row>
    <row r="6" spans="1:16" x14ac:dyDescent="0.35">
      <c r="A6" s="66" t="s">
        <v>85</v>
      </c>
      <c r="B6" s="577" t="s">
        <v>80</v>
      </c>
      <c r="C6" s="578"/>
      <c r="K6"/>
      <c r="O6" t="s">
        <v>268</v>
      </c>
      <c r="P6" s="75">
        <f>SUMIF(M:M,O6,L:L)</f>
        <v>37.247</v>
      </c>
    </row>
    <row r="7" spans="1:16" x14ac:dyDescent="0.35">
      <c r="A7" s="67" t="s">
        <v>86</v>
      </c>
      <c r="B7" s="569" t="s">
        <v>196</v>
      </c>
      <c r="C7" s="570"/>
      <c r="K7"/>
      <c r="O7" t="s">
        <v>270</v>
      </c>
      <c r="P7" s="75">
        <f>SUMIF(M:M,O7,L:L)</f>
        <v>44.516000000000005</v>
      </c>
    </row>
    <row r="8" spans="1:16" x14ac:dyDescent="0.35">
      <c r="A8" s="67" t="s">
        <v>85</v>
      </c>
      <c r="B8" s="571" t="s">
        <v>87</v>
      </c>
      <c r="C8" s="572"/>
      <c r="D8" s="74">
        <f>SUBTOTAL(9,D10:D140)</f>
        <v>-79999.9712</v>
      </c>
      <c r="J8" s="126" t="s">
        <v>626</v>
      </c>
      <c r="K8"/>
      <c r="P8" s="75">
        <f>SUM(P3:P7)</f>
        <v>1126.2540000000001</v>
      </c>
    </row>
    <row r="9" spans="1:16" s="78" customFormat="1" x14ac:dyDescent="0.35">
      <c r="A9" s="68" t="s">
        <v>85</v>
      </c>
      <c r="B9" s="77" t="s">
        <v>88</v>
      </c>
      <c r="C9" s="77" t="s">
        <v>89</v>
      </c>
      <c r="D9" s="78" t="s">
        <v>157</v>
      </c>
      <c r="E9" s="78" t="s">
        <v>158</v>
      </c>
      <c r="F9" s="78" t="s">
        <v>159</v>
      </c>
      <c r="G9" s="78" t="s">
        <v>160</v>
      </c>
      <c r="J9" s="80" t="s">
        <v>86</v>
      </c>
      <c r="K9" s="80" t="s">
        <v>186</v>
      </c>
      <c r="L9" s="80"/>
      <c r="M9" s="80"/>
      <c r="P9" s="79"/>
    </row>
    <row r="10" spans="1:16" x14ac:dyDescent="0.35">
      <c r="A10" s="69" t="s">
        <v>197</v>
      </c>
      <c r="B10" s="70"/>
      <c r="C10" s="71">
        <v>6442.09</v>
      </c>
      <c r="D10" s="75">
        <f>(B10-C10)/1000</f>
        <v>-6.4420900000000003</v>
      </c>
      <c r="E10" t="s">
        <v>171</v>
      </c>
      <c r="F10" t="s">
        <v>180</v>
      </c>
      <c r="G10" t="s">
        <v>67</v>
      </c>
      <c r="J10" s="81" t="s">
        <v>195</v>
      </c>
      <c r="K10" s="82">
        <v>50200</v>
      </c>
      <c r="L10" s="82">
        <v>50.2</v>
      </c>
      <c r="M10" s="81" t="s">
        <v>192</v>
      </c>
    </row>
    <row r="11" spans="1:16" x14ac:dyDescent="0.35">
      <c r="A11" s="69" t="s">
        <v>90</v>
      </c>
      <c r="B11" s="70"/>
      <c r="C11" s="71">
        <v>261767.86</v>
      </c>
      <c r="D11" s="75">
        <f t="shared" ref="D11:D75" si="0">(B11-C11)/1000</f>
        <v>-261.76785999999998</v>
      </c>
      <c r="E11" t="s">
        <v>161</v>
      </c>
      <c r="F11" t="s">
        <v>180</v>
      </c>
      <c r="G11" t="s">
        <v>65</v>
      </c>
      <c r="J11" s="81" t="s">
        <v>199</v>
      </c>
      <c r="K11" s="82">
        <v>23200</v>
      </c>
      <c r="L11" s="82">
        <v>23.2</v>
      </c>
      <c r="M11" s="81" t="s">
        <v>190</v>
      </c>
    </row>
    <row r="12" spans="1:16" x14ac:dyDescent="0.35">
      <c r="A12" s="69" t="s">
        <v>92</v>
      </c>
      <c r="B12" s="70"/>
      <c r="C12" s="71">
        <v>99000</v>
      </c>
      <c r="D12" s="75">
        <f t="shared" si="0"/>
        <v>-99</v>
      </c>
      <c r="E12" t="s">
        <v>162</v>
      </c>
      <c r="F12" t="s">
        <v>180</v>
      </c>
      <c r="G12" t="s">
        <v>63</v>
      </c>
      <c r="J12" s="81" t="s">
        <v>219</v>
      </c>
      <c r="K12" s="82">
        <v>23200</v>
      </c>
      <c r="L12" s="82">
        <v>23.2</v>
      </c>
      <c r="M12" s="81" t="s">
        <v>190</v>
      </c>
    </row>
    <row r="13" spans="1:16" x14ac:dyDescent="0.35">
      <c r="A13" s="69" t="s">
        <v>198</v>
      </c>
      <c r="B13" s="70"/>
      <c r="C13" s="71">
        <v>1643</v>
      </c>
      <c r="D13" s="75">
        <f t="shared" si="0"/>
        <v>-1.643</v>
      </c>
      <c r="E13" t="s">
        <v>259</v>
      </c>
      <c r="F13" t="s">
        <v>181</v>
      </c>
      <c r="G13" t="s">
        <v>71</v>
      </c>
      <c r="J13" s="81" t="s">
        <v>97</v>
      </c>
      <c r="K13" s="82">
        <v>164867</v>
      </c>
      <c r="L13" s="82">
        <v>164.86699999999999</v>
      </c>
      <c r="M13" s="81" t="s">
        <v>192</v>
      </c>
    </row>
    <row r="14" spans="1:16" x14ac:dyDescent="0.35">
      <c r="A14" s="69" t="s">
        <v>199</v>
      </c>
      <c r="B14" s="70"/>
      <c r="C14" s="71">
        <v>2100</v>
      </c>
      <c r="D14" s="75">
        <f t="shared" si="0"/>
        <v>-2.1</v>
      </c>
      <c r="E14" t="s">
        <v>165</v>
      </c>
      <c r="F14" t="s">
        <v>180</v>
      </c>
      <c r="G14" t="s">
        <v>68</v>
      </c>
      <c r="J14" s="81" t="s">
        <v>193</v>
      </c>
      <c r="K14" s="82">
        <v>273200</v>
      </c>
      <c r="L14" s="82">
        <v>273.2</v>
      </c>
      <c r="M14" s="81" t="s">
        <v>192</v>
      </c>
    </row>
    <row r="15" spans="1:16" x14ac:dyDescent="0.35">
      <c r="A15" s="69" t="s">
        <v>93</v>
      </c>
      <c r="B15" s="70"/>
      <c r="C15" s="71">
        <v>14223.08</v>
      </c>
      <c r="D15" s="75">
        <f t="shared" si="0"/>
        <v>-14.22308</v>
      </c>
      <c r="E15" t="s">
        <v>163</v>
      </c>
      <c r="F15" t="s">
        <v>180</v>
      </c>
      <c r="G15" t="s">
        <v>68</v>
      </c>
      <c r="J15" s="81" t="s">
        <v>265</v>
      </c>
      <c r="K15" s="82">
        <v>58200</v>
      </c>
      <c r="L15" s="82">
        <v>58.2</v>
      </c>
      <c r="M15" s="81" t="s">
        <v>188</v>
      </c>
    </row>
    <row r="16" spans="1:16" x14ac:dyDescent="0.35">
      <c r="A16" s="69" t="s">
        <v>200</v>
      </c>
      <c r="B16" s="70"/>
      <c r="C16" s="71">
        <v>590</v>
      </c>
      <c r="D16" s="75">
        <f t="shared" si="0"/>
        <v>-0.59</v>
      </c>
      <c r="E16" t="s">
        <v>171</v>
      </c>
      <c r="F16" t="s">
        <v>180</v>
      </c>
      <c r="G16" t="s">
        <v>67</v>
      </c>
      <c r="J16" s="81" t="s">
        <v>248</v>
      </c>
      <c r="K16" s="82">
        <v>176145</v>
      </c>
      <c r="L16" s="82">
        <v>176.14500000000001</v>
      </c>
      <c r="M16" s="81" t="s">
        <v>192</v>
      </c>
    </row>
    <row r="17" spans="1:13" x14ac:dyDescent="0.35">
      <c r="A17" s="69" t="s">
        <v>201</v>
      </c>
      <c r="B17" s="70"/>
      <c r="C17" s="71">
        <v>3168</v>
      </c>
      <c r="D17" s="75">
        <f t="shared" si="0"/>
        <v>-3.1680000000000001</v>
      </c>
      <c r="E17" t="s">
        <v>163</v>
      </c>
      <c r="F17" t="s">
        <v>180</v>
      </c>
      <c r="G17" t="s">
        <v>68</v>
      </c>
      <c r="J17" s="81" t="s">
        <v>266</v>
      </c>
      <c r="K17" s="82">
        <v>229973</v>
      </c>
      <c r="L17" s="82">
        <v>229.97300000000001</v>
      </c>
      <c r="M17" s="81" t="s">
        <v>192</v>
      </c>
    </row>
    <row r="18" spans="1:13" x14ac:dyDescent="0.35">
      <c r="A18" s="69" t="s">
        <v>94</v>
      </c>
      <c r="B18" s="70"/>
      <c r="C18" s="71">
        <v>18552.86</v>
      </c>
      <c r="D18" s="75">
        <f t="shared" si="0"/>
        <v>-18.552859999999999</v>
      </c>
      <c r="E18" t="s">
        <v>163</v>
      </c>
      <c r="F18" t="s">
        <v>180</v>
      </c>
      <c r="G18" t="s">
        <v>68</v>
      </c>
      <c r="J18" s="81" t="s">
        <v>267</v>
      </c>
      <c r="K18" s="82">
        <v>37247</v>
      </c>
      <c r="L18" s="82">
        <v>37.247</v>
      </c>
      <c r="M18" s="81" t="s">
        <v>268</v>
      </c>
    </row>
    <row r="19" spans="1:13" x14ac:dyDescent="0.35">
      <c r="A19" s="69" t="s">
        <v>96</v>
      </c>
      <c r="B19" s="71">
        <v>2521.65</v>
      </c>
      <c r="C19" s="70"/>
      <c r="D19" s="75">
        <f t="shared" si="0"/>
        <v>2.5216500000000002</v>
      </c>
      <c r="E19" t="s">
        <v>163</v>
      </c>
      <c r="F19" t="s">
        <v>180</v>
      </c>
      <c r="G19" t="s">
        <v>68</v>
      </c>
      <c r="J19" s="81" t="s">
        <v>269</v>
      </c>
      <c r="K19" s="82">
        <v>30277</v>
      </c>
      <c r="L19" s="82">
        <v>30.277000000000001</v>
      </c>
      <c r="M19" s="81" t="s">
        <v>270</v>
      </c>
    </row>
    <row r="20" spans="1:13" x14ac:dyDescent="0.35">
      <c r="A20" s="69" t="s">
        <v>97</v>
      </c>
      <c r="B20" s="70"/>
      <c r="C20" s="71">
        <v>33334</v>
      </c>
      <c r="D20" s="75">
        <f t="shared" si="0"/>
        <v>-33.334000000000003</v>
      </c>
      <c r="E20" t="s">
        <v>165</v>
      </c>
      <c r="F20" t="s">
        <v>180</v>
      </c>
      <c r="G20" t="s">
        <v>68</v>
      </c>
      <c r="J20" s="81" t="s">
        <v>271</v>
      </c>
      <c r="K20" s="82">
        <v>14239</v>
      </c>
      <c r="L20" s="82">
        <v>14.239000000000001</v>
      </c>
      <c r="M20" s="81" t="s">
        <v>270</v>
      </c>
    </row>
    <row r="21" spans="1:13" x14ac:dyDescent="0.35">
      <c r="A21" s="69" t="s">
        <v>98</v>
      </c>
      <c r="B21" s="71">
        <v>9982.67</v>
      </c>
      <c r="C21" s="70"/>
      <c r="D21" s="75">
        <f t="shared" si="0"/>
        <v>9.9826700000000006</v>
      </c>
      <c r="E21" t="s">
        <v>166</v>
      </c>
      <c r="F21" t="s">
        <v>181</v>
      </c>
      <c r="G21" t="s">
        <v>78</v>
      </c>
      <c r="J21" s="81" t="s">
        <v>272</v>
      </c>
      <c r="K21" s="82">
        <v>9484</v>
      </c>
      <c r="L21" s="82">
        <v>9.484</v>
      </c>
      <c r="M21" s="81" t="s">
        <v>190</v>
      </c>
    </row>
    <row r="22" spans="1:13" x14ac:dyDescent="0.35">
      <c r="A22" s="69" t="s">
        <v>202</v>
      </c>
      <c r="B22" s="71">
        <v>16979.03</v>
      </c>
      <c r="C22" s="70"/>
      <c r="D22" s="75">
        <f t="shared" si="0"/>
        <v>16.979029999999998</v>
      </c>
      <c r="E22" t="s">
        <v>260</v>
      </c>
      <c r="F22" t="s">
        <v>181</v>
      </c>
      <c r="G22" t="s">
        <v>77</v>
      </c>
      <c r="J22" s="81" t="s">
        <v>273</v>
      </c>
      <c r="K22" s="82">
        <v>19355</v>
      </c>
      <c r="L22" s="82">
        <v>19.355</v>
      </c>
      <c r="M22" s="81" t="s">
        <v>192</v>
      </c>
    </row>
    <row r="23" spans="1:13" x14ac:dyDescent="0.35">
      <c r="A23" s="69" t="s">
        <v>203</v>
      </c>
      <c r="B23" s="71">
        <v>12.3</v>
      </c>
      <c r="C23" s="70"/>
      <c r="D23" s="75">
        <f t="shared" si="0"/>
        <v>1.23E-2</v>
      </c>
      <c r="E23" t="s">
        <v>169</v>
      </c>
      <c r="F23" t="s">
        <v>182</v>
      </c>
      <c r="G23" t="s">
        <v>43</v>
      </c>
      <c r="J23" s="81" t="s">
        <v>97</v>
      </c>
      <c r="K23" s="82">
        <v>16667</v>
      </c>
      <c r="L23" s="82">
        <v>16.667000000000002</v>
      </c>
      <c r="M23" s="81" t="s">
        <v>192</v>
      </c>
    </row>
    <row r="24" spans="1:13" x14ac:dyDescent="0.35">
      <c r="A24" s="69" t="s">
        <v>204</v>
      </c>
      <c r="B24" s="70"/>
      <c r="C24" s="71">
        <v>1800</v>
      </c>
      <c r="D24" s="75">
        <f t="shared" si="0"/>
        <v>-1.8</v>
      </c>
      <c r="E24" t="s">
        <v>164</v>
      </c>
      <c r="F24" t="s">
        <v>180</v>
      </c>
      <c r="G24" t="s">
        <v>67</v>
      </c>
      <c r="J24" s="81"/>
      <c r="K24" s="82">
        <v>1126254</v>
      </c>
      <c r="L24" s="82">
        <v>1126.2539999999999</v>
      </c>
      <c r="M24" s="81"/>
    </row>
    <row r="25" spans="1:13" x14ac:dyDescent="0.35">
      <c r="A25" s="69" t="s">
        <v>205</v>
      </c>
      <c r="B25" s="71">
        <v>161500</v>
      </c>
      <c r="C25" s="70"/>
      <c r="D25" s="75">
        <f t="shared" si="0"/>
        <v>161.5</v>
      </c>
      <c r="E25" t="s">
        <v>171</v>
      </c>
      <c r="F25" t="s">
        <v>180</v>
      </c>
      <c r="G25" t="s">
        <v>67</v>
      </c>
      <c r="K25"/>
    </row>
    <row r="26" spans="1:13" x14ac:dyDescent="0.35">
      <c r="A26" s="69" t="s">
        <v>292</v>
      </c>
      <c r="B26" s="71">
        <v>75000</v>
      </c>
      <c r="C26" s="70"/>
      <c r="D26" s="75">
        <f t="shared" si="0"/>
        <v>75</v>
      </c>
      <c r="E26" t="s">
        <v>173</v>
      </c>
      <c r="F26" t="s">
        <v>182</v>
      </c>
      <c r="G26" t="s">
        <v>38</v>
      </c>
      <c r="K26"/>
    </row>
    <row r="27" spans="1:13" x14ac:dyDescent="0.35">
      <c r="A27" s="69" t="s">
        <v>100</v>
      </c>
      <c r="B27" s="71">
        <v>4234</v>
      </c>
      <c r="C27" s="70"/>
      <c r="D27" s="75">
        <f t="shared" si="0"/>
        <v>4.234</v>
      </c>
      <c r="E27" t="s">
        <v>168</v>
      </c>
      <c r="F27" t="s">
        <v>181</v>
      </c>
      <c r="G27" t="s">
        <v>78</v>
      </c>
      <c r="K27"/>
    </row>
    <row r="28" spans="1:13" x14ac:dyDescent="0.35">
      <c r="A28" s="69" t="s">
        <v>101</v>
      </c>
      <c r="B28" s="70"/>
      <c r="C28" s="71">
        <v>4237.2</v>
      </c>
      <c r="D28" s="75">
        <f t="shared" si="0"/>
        <v>-4.2371999999999996</v>
      </c>
      <c r="E28" t="s">
        <v>164</v>
      </c>
      <c r="F28" t="s">
        <v>180</v>
      </c>
      <c r="G28" t="s">
        <v>67</v>
      </c>
      <c r="K28"/>
    </row>
    <row r="29" spans="1:13" x14ac:dyDescent="0.35">
      <c r="A29" s="69" t="s">
        <v>102</v>
      </c>
      <c r="B29" s="71">
        <v>99999.98</v>
      </c>
      <c r="C29" s="70"/>
      <c r="D29" s="75">
        <f t="shared" si="0"/>
        <v>99.999979999999994</v>
      </c>
      <c r="E29" t="s">
        <v>169</v>
      </c>
      <c r="F29" t="s">
        <v>182</v>
      </c>
      <c r="G29" t="s">
        <v>39</v>
      </c>
      <c r="J29" s="83" t="s">
        <v>178</v>
      </c>
      <c r="K29" s="83" t="s">
        <v>186</v>
      </c>
    </row>
    <row r="30" spans="1:13" x14ac:dyDescent="0.35">
      <c r="A30" s="69" t="s">
        <v>103</v>
      </c>
      <c r="B30" s="71">
        <v>143000</v>
      </c>
      <c r="C30" s="70"/>
      <c r="D30" s="75">
        <f t="shared" si="0"/>
        <v>143</v>
      </c>
      <c r="E30" t="s">
        <v>169</v>
      </c>
      <c r="F30" t="s">
        <v>182</v>
      </c>
      <c r="G30" t="s">
        <v>42</v>
      </c>
      <c r="J30" s="81" t="s">
        <v>274</v>
      </c>
      <c r="K30" s="82">
        <v>50000</v>
      </c>
      <c r="L30" s="76">
        <f>K30/1000</f>
        <v>50</v>
      </c>
    </row>
    <row r="31" spans="1:13" x14ac:dyDescent="0.35">
      <c r="A31" s="69" t="s">
        <v>104</v>
      </c>
      <c r="B31" s="71">
        <v>800</v>
      </c>
      <c r="C31" s="70"/>
      <c r="D31" s="75">
        <f t="shared" si="0"/>
        <v>0.8</v>
      </c>
      <c r="E31" t="s">
        <v>167</v>
      </c>
      <c r="F31" t="s">
        <v>180</v>
      </c>
      <c r="G31" t="s">
        <v>67</v>
      </c>
      <c r="J31" s="81" t="s">
        <v>275</v>
      </c>
      <c r="K31" s="82">
        <v>100000</v>
      </c>
      <c r="L31" s="76">
        <f>K31/1000</f>
        <v>100</v>
      </c>
    </row>
    <row r="32" spans="1:13" x14ac:dyDescent="0.35">
      <c r="A32" s="69" t="s">
        <v>105</v>
      </c>
      <c r="B32" s="70"/>
      <c r="C32" s="71">
        <v>16625</v>
      </c>
      <c r="D32" s="75">
        <f t="shared" si="0"/>
        <v>-16.625</v>
      </c>
      <c r="E32" t="s">
        <v>163</v>
      </c>
      <c r="F32" t="s">
        <v>180</v>
      </c>
      <c r="G32" t="s">
        <v>68</v>
      </c>
      <c r="J32" s="81" t="s">
        <v>276</v>
      </c>
      <c r="K32" s="82">
        <v>95550</v>
      </c>
      <c r="L32" s="76">
        <f>K32/1000</f>
        <v>95.55</v>
      </c>
    </row>
    <row r="33" spans="1:12" x14ac:dyDescent="0.35">
      <c r="A33" s="69" t="s">
        <v>34</v>
      </c>
      <c r="B33" s="71">
        <v>90167.02</v>
      </c>
      <c r="C33" s="70"/>
      <c r="D33" s="75">
        <f t="shared" si="0"/>
        <v>90.167020000000008</v>
      </c>
      <c r="E33" t="s">
        <v>169</v>
      </c>
      <c r="F33" t="s">
        <v>182</v>
      </c>
      <c r="G33" t="s">
        <v>34</v>
      </c>
      <c r="J33" s="83" t="s">
        <v>277</v>
      </c>
      <c r="K33" s="84">
        <f>SUM(K30:K32)</f>
        <v>245550</v>
      </c>
      <c r="L33" s="76">
        <f>K33/1000</f>
        <v>245.55</v>
      </c>
    </row>
    <row r="34" spans="1:12" x14ac:dyDescent="0.35">
      <c r="A34" s="69" t="s">
        <v>206</v>
      </c>
      <c r="B34" s="71">
        <v>1643</v>
      </c>
      <c r="C34" s="70"/>
      <c r="D34" s="75">
        <f t="shared" si="0"/>
        <v>1.643</v>
      </c>
      <c r="E34" t="s">
        <v>169</v>
      </c>
      <c r="F34" t="s">
        <v>182</v>
      </c>
      <c r="G34" t="s">
        <v>48</v>
      </c>
      <c r="J34" s="81"/>
      <c r="K34" s="82"/>
    </row>
    <row r="35" spans="1:12" x14ac:dyDescent="0.35">
      <c r="A35" s="69" t="s">
        <v>106</v>
      </c>
      <c r="B35" s="70"/>
      <c r="C35" s="71">
        <v>11104.8</v>
      </c>
      <c r="D35" s="75">
        <f t="shared" si="0"/>
        <v>-11.104799999999999</v>
      </c>
      <c r="E35" t="s">
        <v>163</v>
      </c>
      <c r="F35" t="s">
        <v>180</v>
      </c>
      <c r="G35" t="s">
        <v>68</v>
      </c>
      <c r="J35" s="83" t="s">
        <v>278</v>
      </c>
      <c r="K35" s="83" t="s">
        <v>186</v>
      </c>
    </row>
    <row r="36" spans="1:12" x14ac:dyDescent="0.35">
      <c r="A36" s="69" t="s">
        <v>207</v>
      </c>
      <c r="B36" s="70"/>
      <c r="C36" s="71">
        <v>7659.9</v>
      </c>
      <c r="D36" s="75">
        <f t="shared" si="0"/>
        <v>-7.6598999999999995</v>
      </c>
      <c r="E36" t="s">
        <v>163</v>
      </c>
      <c r="F36" t="s">
        <v>180</v>
      </c>
      <c r="G36" t="s">
        <v>68</v>
      </c>
      <c r="J36" s="81" t="s">
        <v>279</v>
      </c>
      <c r="K36" s="82">
        <v>10400</v>
      </c>
      <c r="L36" s="76">
        <f t="shared" ref="L36:L47" si="1">K36/1000</f>
        <v>10.4</v>
      </c>
    </row>
    <row r="37" spans="1:12" x14ac:dyDescent="0.35">
      <c r="A37" s="69" t="s">
        <v>107</v>
      </c>
      <c r="B37" s="70"/>
      <c r="C37" s="71">
        <v>15557.6</v>
      </c>
      <c r="D37" s="75">
        <f t="shared" si="0"/>
        <v>-15.557600000000001</v>
      </c>
      <c r="E37" t="s">
        <v>163</v>
      </c>
      <c r="F37" t="s">
        <v>180</v>
      </c>
      <c r="G37" t="s">
        <v>68</v>
      </c>
      <c r="J37" s="85" t="s">
        <v>280</v>
      </c>
      <c r="K37" s="82">
        <v>78300</v>
      </c>
      <c r="L37" s="76">
        <f t="shared" si="1"/>
        <v>78.3</v>
      </c>
    </row>
    <row r="38" spans="1:12" x14ac:dyDescent="0.35">
      <c r="A38" s="69" t="s">
        <v>109</v>
      </c>
      <c r="B38" s="71">
        <v>24221</v>
      </c>
      <c r="C38" s="70"/>
      <c r="D38" s="75">
        <f t="shared" si="0"/>
        <v>24.221</v>
      </c>
      <c r="E38" t="s">
        <v>170</v>
      </c>
      <c r="F38" t="s">
        <v>182</v>
      </c>
      <c r="G38" t="s">
        <v>417</v>
      </c>
      <c r="J38" s="85" t="s">
        <v>281</v>
      </c>
      <c r="K38" s="82">
        <v>9496.52</v>
      </c>
      <c r="L38" s="76">
        <f t="shared" si="1"/>
        <v>9.4965200000000003</v>
      </c>
    </row>
    <row r="39" spans="1:12" x14ac:dyDescent="0.35">
      <c r="A39" s="69" t="s">
        <v>208</v>
      </c>
      <c r="B39" s="71">
        <v>40000000</v>
      </c>
      <c r="C39" s="70"/>
      <c r="D39" s="75">
        <f t="shared" si="0"/>
        <v>40000</v>
      </c>
      <c r="E39" t="s">
        <v>261</v>
      </c>
      <c r="F39" t="s">
        <v>181</v>
      </c>
      <c r="G39" t="s">
        <v>76</v>
      </c>
      <c r="J39" s="85" t="s">
        <v>281</v>
      </c>
      <c r="K39" s="82">
        <v>65000</v>
      </c>
      <c r="L39" s="76">
        <f t="shared" si="1"/>
        <v>65</v>
      </c>
    </row>
    <row r="40" spans="1:12" x14ac:dyDescent="0.35">
      <c r="A40" s="69" t="s">
        <v>209</v>
      </c>
      <c r="B40" s="71">
        <v>2000000</v>
      </c>
      <c r="C40" s="70"/>
      <c r="D40" s="75">
        <f t="shared" si="0"/>
        <v>2000</v>
      </c>
      <c r="E40" t="s">
        <v>261</v>
      </c>
      <c r="F40" t="s">
        <v>181</v>
      </c>
      <c r="G40" t="s">
        <v>76</v>
      </c>
      <c r="J40" s="85" t="s">
        <v>282</v>
      </c>
      <c r="K40" s="82">
        <v>32405.1</v>
      </c>
      <c r="L40" s="76">
        <f t="shared" si="1"/>
        <v>32.405099999999997</v>
      </c>
    </row>
    <row r="41" spans="1:12" x14ac:dyDescent="0.35">
      <c r="A41" s="69" t="s">
        <v>210</v>
      </c>
      <c r="B41" s="71">
        <v>20000000</v>
      </c>
      <c r="C41" s="70"/>
      <c r="D41" s="75">
        <f t="shared" si="0"/>
        <v>20000</v>
      </c>
      <c r="E41" t="s">
        <v>261</v>
      </c>
      <c r="F41" t="s">
        <v>181</v>
      </c>
      <c r="G41" t="s">
        <v>76</v>
      </c>
      <c r="J41" s="85" t="s">
        <v>282</v>
      </c>
      <c r="K41" s="82">
        <v>4754.79</v>
      </c>
      <c r="L41" s="76">
        <f t="shared" si="1"/>
        <v>4.7547899999999998</v>
      </c>
    </row>
    <row r="42" spans="1:12" x14ac:dyDescent="0.35">
      <c r="A42" s="69" t="s">
        <v>211</v>
      </c>
      <c r="B42" s="71">
        <v>10000000</v>
      </c>
      <c r="C42" s="70"/>
      <c r="D42" s="75">
        <f t="shared" si="0"/>
        <v>10000</v>
      </c>
      <c r="E42" t="s">
        <v>261</v>
      </c>
      <c r="F42" t="s">
        <v>181</v>
      </c>
      <c r="G42" t="s">
        <v>76</v>
      </c>
      <c r="J42" s="85" t="s">
        <v>283</v>
      </c>
      <c r="K42" s="82">
        <v>19000</v>
      </c>
      <c r="L42" s="76">
        <f t="shared" si="1"/>
        <v>19</v>
      </c>
    </row>
    <row r="43" spans="1:12" x14ac:dyDescent="0.35">
      <c r="A43" s="69" t="s">
        <v>46</v>
      </c>
      <c r="B43" s="71">
        <v>84020</v>
      </c>
      <c r="C43" s="70"/>
      <c r="D43" s="75">
        <f t="shared" si="0"/>
        <v>84.02</v>
      </c>
      <c r="E43" t="s">
        <v>169</v>
      </c>
      <c r="F43" t="s">
        <v>182</v>
      </c>
      <c r="G43" t="s">
        <v>46</v>
      </c>
      <c r="J43" s="85" t="s">
        <v>283</v>
      </c>
      <c r="K43" s="82">
        <v>19000</v>
      </c>
      <c r="L43" s="76">
        <f t="shared" si="1"/>
        <v>19</v>
      </c>
    </row>
    <row r="44" spans="1:12" x14ac:dyDescent="0.35">
      <c r="A44" s="69" t="s">
        <v>110</v>
      </c>
      <c r="B44" s="70"/>
      <c r="C44" s="71">
        <v>6197</v>
      </c>
      <c r="D44" s="75">
        <f t="shared" si="0"/>
        <v>-6.1970000000000001</v>
      </c>
      <c r="E44" t="s">
        <v>164</v>
      </c>
      <c r="F44" t="s">
        <v>180</v>
      </c>
      <c r="G44" t="s">
        <v>67</v>
      </c>
      <c r="J44" s="85" t="s">
        <v>284</v>
      </c>
      <c r="K44" s="82">
        <v>4450</v>
      </c>
      <c r="L44" s="76">
        <f t="shared" si="1"/>
        <v>4.45</v>
      </c>
    </row>
    <row r="45" spans="1:12" x14ac:dyDescent="0.35">
      <c r="A45" s="69" t="s">
        <v>111</v>
      </c>
      <c r="B45" s="70"/>
      <c r="C45" s="71">
        <v>185000</v>
      </c>
      <c r="D45" s="75">
        <f t="shared" si="0"/>
        <v>-185</v>
      </c>
      <c r="E45" t="s">
        <v>167</v>
      </c>
      <c r="F45" t="s">
        <v>180</v>
      </c>
      <c r="G45" t="s">
        <v>67</v>
      </c>
      <c r="J45" s="85" t="s">
        <v>282</v>
      </c>
      <c r="K45" s="82">
        <v>5600</v>
      </c>
      <c r="L45" s="76">
        <f t="shared" si="1"/>
        <v>5.6</v>
      </c>
    </row>
    <row r="46" spans="1:12" x14ac:dyDescent="0.35">
      <c r="A46" s="69" t="s">
        <v>212</v>
      </c>
      <c r="B46" s="70"/>
      <c r="C46" s="71">
        <v>59883.88</v>
      </c>
      <c r="D46" s="75">
        <f t="shared" si="0"/>
        <v>-59.883879999999998</v>
      </c>
      <c r="E46" t="s">
        <v>165</v>
      </c>
      <c r="F46" t="s">
        <v>180</v>
      </c>
      <c r="G46" t="s">
        <v>68</v>
      </c>
      <c r="J46" s="85" t="s">
        <v>285</v>
      </c>
      <c r="K46" s="82">
        <v>1593.5900000000001</v>
      </c>
      <c r="L46" s="76">
        <f t="shared" si="1"/>
        <v>1.5935900000000001</v>
      </c>
    </row>
    <row r="47" spans="1:12" x14ac:dyDescent="0.35">
      <c r="A47" s="69" t="s">
        <v>112</v>
      </c>
      <c r="B47" s="70"/>
      <c r="C47" s="71">
        <v>0</v>
      </c>
      <c r="D47" s="75">
        <f t="shared" si="0"/>
        <v>0</v>
      </c>
      <c r="E47" t="s">
        <v>171</v>
      </c>
      <c r="F47" t="s">
        <v>180</v>
      </c>
      <c r="G47" t="s">
        <v>67</v>
      </c>
      <c r="J47" s="83" t="s">
        <v>277</v>
      </c>
      <c r="K47" s="84">
        <f>SUM(K36:K46)</f>
        <v>250000.00000000003</v>
      </c>
      <c r="L47" s="76">
        <f t="shared" si="1"/>
        <v>250.00000000000003</v>
      </c>
    </row>
    <row r="48" spans="1:12" x14ac:dyDescent="0.35">
      <c r="A48" s="69" t="s">
        <v>213</v>
      </c>
      <c r="B48" s="71">
        <v>5414</v>
      </c>
      <c r="C48" s="70"/>
      <c r="D48" s="75">
        <f t="shared" si="0"/>
        <v>5.4139999999999997</v>
      </c>
      <c r="E48" t="s">
        <v>172</v>
      </c>
      <c r="F48" t="s">
        <v>181</v>
      </c>
      <c r="G48" t="s">
        <v>79</v>
      </c>
    </row>
    <row r="49" spans="1:7" x14ac:dyDescent="0.35">
      <c r="A49" s="69" t="s">
        <v>114</v>
      </c>
      <c r="B49" s="71">
        <v>1213.75</v>
      </c>
      <c r="C49" s="70"/>
      <c r="D49" s="75">
        <f t="shared" si="0"/>
        <v>1.2137500000000001</v>
      </c>
      <c r="E49" t="s">
        <v>172</v>
      </c>
      <c r="F49" t="s">
        <v>180</v>
      </c>
      <c r="G49" t="s">
        <v>79</v>
      </c>
    </row>
    <row r="50" spans="1:7" x14ac:dyDescent="0.35">
      <c r="A50" s="69" t="s">
        <v>115</v>
      </c>
      <c r="B50" s="71">
        <v>100087.92</v>
      </c>
      <c r="C50" s="70"/>
      <c r="D50" s="75">
        <f t="shared" si="0"/>
        <v>100.08792</v>
      </c>
      <c r="E50" t="s">
        <v>172</v>
      </c>
      <c r="F50" t="s">
        <v>180</v>
      </c>
      <c r="G50" t="s">
        <v>79</v>
      </c>
    </row>
    <row r="51" spans="1:7" x14ac:dyDescent="0.35">
      <c r="A51" s="69" t="s">
        <v>116</v>
      </c>
      <c r="B51" s="71">
        <v>40023.56</v>
      </c>
      <c r="C51" s="70"/>
      <c r="D51" s="75">
        <f t="shared" si="0"/>
        <v>40.023559999999996</v>
      </c>
      <c r="E51" t="s">
        <v>172</v>
      </c>
      <c r="F51" t="s">
        <v>180</v>
      </c>
      <c r="G51" t="s">
        <v>79</v>
      </c>
    </row>
    <row r="52" spans="1:7" x14ac:dyDescent="0.35">
      <c r="A52" s="69" t="s">
        <v>214</v>
      </c>
      <c r="B52" s="71">
        <v>1050.96</v>
      </c>
      <c r="C52" s="70"/>
      <c r="D52" s="75">
        <f t="shared" si="0"/>
        <v>1.0509600000000001</v>
      </c>
      <c r="E52" t="s">
        <v>172</v>
      </c>
      <c r="F52" t="s">
        <v>181</v>
      </c>
      <c r="G52" t="s">
        <v>79</v>
      </c>
    </row>
    <row r="53" spans="1:7" x14ac:dyDescent="0.35">
      <c r="A53" s="69" t="s">
        <v>215</v>
      </c>
      <c r="B53" s="71">
        <v>227160</v>
      </c>
      <c r="C53" s="70"/>
      <c r="D53" s="75">
        <f t="shared" si="0"/>
        <v>227.16</v>
      </c>
      <c r="E53" t="s">
        <v>172</v>
      </c>
      <c r="F53" t="s">
        <v>181</v>
      </c>
      <c r="G53" t="s">
        <v>79</v>
      </c>
    </row>
    <row r="54" spans="1:7" x14ac:dyDescent="0.35">
      <c r="A54" s="69" t="s">
        <v>216</v>
      </c>
      <c r="B54" s="71">
        <v>5414</v>
      </c>
      <c r="C54" s="70"/>
      <c r="D54" s="75">
        <f t="shared" si="0"/>
        <v>5.4139999999999997</v>
      </c>
      <c r="E54" t="s">
        <v>172</v>
      </c>
      <c r="F54" t="s">
        <v>181</v>
      </c>
      <c r="G54" t="s">
        <v>79</v>
      </c>
    </row>
    <row r="55" spans="1:7" x14ac:dyDescent="0.35">
      <c r="A55" s="69" t="s">
        <v>117</v>
      </c>
      <c r="B55" s="71">
        <v>1213.75</v>
      </c>
      <c r="C55" s="70"/>
      <c r="D55" s="75">
        <f t="shared" si="0"/>
        <v>1.2137500000000001</v>
      </c>
      <c r="E55" t="s">
        <v>172</v>
      </c>
      <c r="F55" t="s">
        <v>180</v>
      </c>
      <c r="G55" t="s">
        <v>79</v>
      </c>
    </row>
    <row r="56" spans="1:7" x14ac:dyDescent="0.35">
      <c r="A56" s="69" t="s">
        <v>118</v>
      </c>
      <c r="B56" s="71">
        <v>88373.36</v>
      </c>
      <c r="C56" s="70"/>
      <c r="D56" s="75">
        <f t="shared" si="0"/>
        <v>88.373360000000005</v>
      </c>
      <c r="E56" t="s">
        <v>172</v>
      </c>
      <c r="F56" t="s">
        <v>181</v>
      </c>
      <c r="G56" t="s">
        <v>79</v>
      </c>
    </row>
    <row r="57" spans="1:7" x14ac:dyDescent="0.35">
      <c r="A57" s="69" t="s">
        <v>120</v>
      </c>
      <c r="B57" s="70"/>
      <c r="C57" s="71">
        <v>4217.3999999999996</v>
      </c>
      <c r="D57" s="75">
        <f t="shared" si="0"/>
        <v>-4.2173999999999996</v>
      </c>
      <c r="E57" t="s">
        <v>163</v>
      </c>
      <c r="F57" t="s">
        <v>180</v>
      </c>
      <c r="G57" t="s">
        <v>68</v>
      </c>
    </row>
    <row r="58" spans="1:7" x14ac:dyDescent="0.35">
      <c r="A58" s="69" t="s">
        <v>121</v>
      </c>
      <c r="B58" s="70"/>
      <c r="C58" s="71">
        <v>3494.7</v>
      </c>
      <c r="D58" s="75">
        <f t="shared" si="0"/>
        <v>-3.4946999999999999</v>
      </c>
      <c r="E58" t="s">
        <v>163</v>
      </c>
      <c r="F58" t="s">
        <v>180</v>
      </c>
      <c r="G58" t="s">
        <v>68</v>
      </c>
    </row>
    <row r="59" spans="1:7" x14ac:dyDescent="0.35">
      <c r="A59" s="69" t="s">
        <v>217</v>
      </c>
      <c r="B59" s="71">
        <v>999971.2</v>
      </c>
      <c r="C59" s="70"/>
      <c r="D59" s="75">
        <f t="shared" si="0"/>
        <v>999.97119999999995</v>
      </c>
      <c r="E59" t="s">
        <v>166</v>
      </c>
      <c r="F59" t="s">
        <v>181</v>
      </c>
      <c r="G59" t="s">
        <v>78</v>
      </c>
    </row>
    <row r="60" spans="1:7" x14ac:dyDescent="0.35">
      <c r="A60" s="69" t="s">
        <v>218</v>
      </c>
      <c r="B60" s="71">
        <v>1010000</v>
      </c>
      <c r="C60" s="70"/>
      <c r="D60" s="75">
        <f t="shared" si="0"/>
        <v>1010</v>
      </c>
      <c r="E60" t="s">
        <v>166</v>
      </c>
      <c r="F60" t="s">
        <v>181</v>
      </c>
      <c r="G60" t="s">
        <v>78</v>
      </c>
    </row>
    <row r="61" spans="1:7" x14ac:dyDescent="0.35">
      <c r="A61" s="69" t="s">
        <v>219</v>
      </c>
      <c r="B61" s="70"/>
      <c r="C61" s="71">
        <v>2100</v>
      </c>
      <c r="D61" s="75">
        <f t="shared" si="0"/>
        <v>-2.1</v>
      </c>
      <c r="E61" t="s">
        <v>165</v>
      </c>
      <c r="F61" t="s">
        <v>180</v>
      </c>
      <c r="G61" t="s">
        <v>68</v>
      </c>
    </row>
    <row r="62" spans="1:7" x14ac:dyDescent="0.35">
      <c r="A62" s="69" t="s">
        <v>122</v>
      </c>
      <c r="B62" s="70"/>
      <c r="C62" s="71">
        <v>7387.05</v>
      </c>
      <c r="D62" s="75">
        <f t="shared" si="0"/>
        <v>-7.3870500000000003</v>
      </c>
      <c r="E62" t="s">
        <v>163</v>
      </c>
      <c r="F62" t="s">
        <v>180</v>
      </c>
      <c r="G62" t="s">
        <v>68</v>
      </c>
    </row>
    <row r="63" spans="1:7" x14ac:dyDescent="0.35">
      <c r="A63" s="69" t="s">
        <v>123</v>
      </c>
      <c r="B63" s="70"/>
      <c r="C63" s="71">
        <v>14225.95</v>
      </c>
      <c r="D63" s="75">
        <f t="shared" si="0"/>
        <v>-14.225950000000001</v>
      </c>
      <c r="E63" t="s">
        <v>163</v>
      </c>
      <c r="F63" t="s">
        <v>180</v>
      </c>
      <c r="G63" t="s">
        <v>68</v>
      </c>
    </row>
    <row r="64" spans="1:7" x14ac:dyDescent="0.35">
      <c r="A64" s="69" t="s">
        <v>220</v>
      </c>
      <c r="B64" s="71">
        <v>1262000</v>
      </c>
      <c r="C64" s="70"/>
      <c r="D64" s="75">
        <f t="shared" si="0"/>
        <v>1262</v>
      </c>
      <c r="E64" t="s">
        <v>169</v>
      </c>
      <c r="F64" t="s">
        <v>182</v>
      </c>
      <c r="G64" t="s">
        <v>46</v>
      </c>
    </row>
    <row r="65" spans="1:7" x14ac:dyDescent="0.35">
      <c r="A65" s="69" t="s">
        <v>124</v>
      </c>
      <c r="B65" s="71">
        <v>329686.77</v>
      </c>
      <c r="C65" s="70"/>
      <c r="D65" s="75">
        <f t="shared" si="0"/>
        <v>329.68677000000002</v>
      </c>
      <c r="E65" t="s">
        <v>173</v>
      </c>
      <c r="F65" t="s">
        <v>182</v>
      </c>
      <c r="G65" t="s">
        <v>26</v>
      </c>
    </row>
    <row r="66" spans="1:7" x14ac:dyDescent="0.35">
      <c r="A66" s="69" t="s">
        <v>221</v>
      </c>
      <c r="B66" s="71">
        <v>8896.7099999999991</v>
      </c>
      <c r="C66" s="71">
        <v>8896.7099999999991</v>
      </c>
      <c r="D66" s="75">
        <f t="shared" si="0"/>
        <v>0</v>
      </c>
      <c r="E66" t="s">
        <v>171</v>
      </c>
      <c r="F66" t="s">
        <v>180</v>
      </c>
      <c r="G66" t="s">
        <v>67</v>
      </c>
    </row>
    <row r="67" spans="1:7" x14ac:dyDescent="0.35">
      <c r="A67" s="69" t="s">
        <v>222</v>
      </c>
      <c r="B67" s="70"/>
      <c r="C67" s="71">
        <v>2772</v>
      </c>
      <c r="D67" s="75">
        <f t="shared" si="0"/>
        <v>-2.7719999999999998</v>
      </c>
      <c r="E67" t="s">
        <v>163</v>
      </c>
      <c r="F67" t="s">
        <v>180</v>
      </c>
      <c r="G67" t="s">
        <v>68</v>
      </c>
    </row>
    <row r="68" spans="1:7" x14ac:dyDescent="0.35">
      <c r="A68" s="69" t="s">
        <v>223</v>
      </c>
      <c r="B68" s="70"/>
      <c r="C68" s="71">
        <v>4323</v>
      </c>
      <c r="D68" s="75">
        <f t="shared" si="0"/>
        <v>-4.3230000000000004</v>
      </c>
      <c r="E68" t="s">
        <v>163</v>
      </c>
      <c r="F68" t="s">
        <v>180</v>
      </c>
      <c r="G68" t="s">
        <v>68</v>
      </c>
    </row>
    <row r="69" spans="1:7" x14ac:dyDescent="0.35">
      <c r="A69" s="69" t="s">
        <v>125</v>
      </c>
      <c r="B69" s="70"/>
      <c r="C69" s="71">
        <v>14791.65</v>
      </c>
      <c r="D69" s="75">
        <f t="shared" si="0"/>
        <v>-14.791649999999999</v>
      </c>
      <c r="E69" t="s">
        <v>163</v>
      </c>
      <c r="F69" t="s">
        <v>180</v>
      </c>
      <c r="G69" t="s">
        <v>68</v>
      </c>
    </row>
    <row r="70" spans="1:7" x14ac:dyDescent="0.35">
      <c r="A70" s="69" t="s">
        <v>126</v>
      </c>
      <c r="B70" s="71">
        <v>271751</v>
      </c>
      <c r="C70" s="70"/>
      <c r="D70" s="75">
        <f t="shared" si="0"/>
        <v>271.75099999999998</v>
      </c>
      <c r="E70" t="s">
        <v>173</v>
      </c>
      <c r="F70" t="s">
        <v>182</v>
      </c>
      <c r="G70" t="s">
        <v>37</v>
      </c>
    </row>
    <row r="71" spans="1:7" x14ac:dyDescent="0.35">
      <c r="A71" s="69" t="s">
        <v>224</v>
      </c>
      <c r="B71" s="70"/>
      <c r="C71" s="71">
        <v>13500</v>
      </c>
      <c r="D71" s="75">
        <f t="shared" si="0"/>
        <v>-13.5</v>
      </c>
      <c r="E71" t="s">
        <v>167</v>
      </c>
      <c r="F71" t="s">
        <v>180</v>
      </c>
      <c r="G71" t="s">
        <v>67</v>
      </c>
    </row>
    <row r="72" spans="1:7" x14ac:dyDescent="0.35">
      <c r="A72" s="69" t="s">
        <v>127</v>
      </c>
      <c r="B72" s="70"/>
      <c r="C72" s="71">
        <v>1226.5999999999999</v>
      </c>
      <c r="D72" s="75">
        <f t="shared" si="0"/>
        <v>-1.2265999999999999</v>
      </c>
      <c r="E72" t="s">
        <v>163</v>
      </c>
      <c r="F72" t="s">
        <v>180</v>
      </c>
      <c r="G72" t="s">
        <v>68</v>
      </c>
    </row>
    <row r="73" spans="1:7" x14ac:dyDescent="0.35">
      <c r="A73" s="69" t="s">
        <v>225</v>
      </c>
      <c r="B73" s="70"/>
      <c r="C73" s="71">
        <v>7260.62</v>
      </c>
      <c r="D73" s="75">
        <f t="shared" si="0"/>
        <v>-7.2606200000000003</v>
      </c>
      <c r="E73" t="s">
        <v>163</v>
      </c>
      <c r="F73" t="s">
        <v>180</v>
      </c>
      <c r="G73" t="s">
        <v>68</v>
      </c>
    </row>
    <row r="74" spans="1:7" x14ac:dyDescent="0.35">
      <c r="A74" s="69" t="s">
        <v>226</v>
      </c>
      <c r="B74" s="71">
        <v>10000</v>
      </c>
      <c r="C74" s="70"/>
      <c r="D74" s="75">
        <f t="shared" si="0"/>
        <v>10</v>
      </c>
      <c r="E74" t="s">
        <v>167</v>
      </c>
      <c r="F74" t="s">
        <v>180</v>
      </c>
      <c r="G74" t="s">
        <v>67</v>
      </c>
    </row>
    <row r="75" spans="1:7" x14ac:dyDescent="0.35">
      <c r="A75" s="69" t="s">
        <v>43</v>
      </c>
      <c r="B75" s="71">
        <v>18934</v>
      </c>
      <c r="C75" s="70"/>
      <c r="D75" s="75">
        <f t="shared" si="0"/>
        <v>18.934000000000001</v>
      </c>
      <c r="E75" t="s">
        <v>169</v>
      </c>
      <c r="F75" t="s">
        <v>182</v>
      </c>
      <c r="G75" t="s">
        <v>43</v>
      </c>
    </row>
    <row r="76" spans="1:7" x14ac:dyDescent="0.35">
      <c r="A76" s="69" t="s">
        <v>227</v>
      </c>
      <c r="B76" s="70"/>
      <c r="C76" s="71">
        <v>79999971.200000003</v>
      </c>
      <c r="D76" s="75">
        <f t="shared" ref="D76:D140" si="2">(B76-C76)/1000</f>
        <v>-79999.9712</v>
      </c>
      <c r="E76" t="s">
        <v>262</v>
      </c>
      <c r="F76" t="s">
        <v>180</v>
      </c>
    </row>
    <row r="77" spans="1:7" x14ac:dyDescent="0.35">
      <c r="A77" s="69" t="s">
        <v>1263</v>
      </c>
      <c r="B77" s="70"/>
      <c r="C77" s="107">
        <v>4207010</v>
      </c>
      <c r="D77" s="107">
        <f t="shared" si="2"/>
        <v>-4207.01</v>
      </c>
      <c r="G77" t="s">
        <v>63</v>
      </c>
    </row>
    <row r="78" spans="1:7" x14ac:dyDescent="0.35">
      <c r="A78" s="69" t="s">
        <v>1264</v>
      </c>
      <c r="B78" s="70"/>
      <c r="C78" s="107">
        <f>C76-C77</f>
        <v>75792961.200000003</v>
      </c>
      <c r="D78" s="107">
        <f t="shared" si="2"/>
        <v>-75792.961200000005</v>
      </c>
      <c r="G78" t="s">
        <v>64</v>
      </c>
    </row>
    <row r="79" spans="1:7" x14ac:dyDescent="0.35">
      <c r="A79" s="69" t="s">
        <v>228</v>
      </c>
      <c r="B79" s="70"/>
      <c r="C79" s="71">
        <v>4083.75</v>
      </c>
      <c r="D79" s="75">
        <f t="shared" si="2"/>
        <v>-4.0837500000000002</v>
      </c>
      <c r="E79" t="s">
        <v>163</v>
      </c>
      <c r="F79" t="s">
        <v>180</v>
      </c>
      <c r="G79" t="s">
        <v>68</v>
      </c>
    </row>
    <row r="80" spans="1:7" x14ac:dyDescent="0.35">
      <c r="A80" s="69" t="s">
        <v>229</v>
      </c>
      <c r="B80" s="70"/>
      <c r="C80" s="71">
        <v>9360</v>
      </c>
      <c r="D80" s="75">
        <f t="shared" si="2"/>
        <v>-9.36</v>
      </c>
      <c r="E80" t="s">
        <v>164</v>
      </c>
      <c r="F80" t="s">
        <v>180</v>
      </c>
      <c r="G80" t="s">
        <v>67</v>
      </c>
    </row>
    <row r="81" spans="1:7" x14ac:dyDescent="0.35">
      <c r="A81" s="69" t="s">
        <v>230</v>
      </c>
      <c r="B81" s="70"/>
      <c r="C81" s="71">
        <v>4518.3500000000004</v>
      </c>
      <c r="D81" s="75">
        <f t="shared" si="2"/>
        <v>-4.5183500000000008</v>
      </c>
      <c r="E81" t="s">
        <v>163</v>
      </c>
      <c r="F81" t="s">
        <v>180</v>
      </c>
      <c r="G81" t="s">
        <v>68</v>
      </c>
    </row>
    <row r="82" spans="1:7" x14ac:dyDescent="0.35">
      <c r="A82" s="69" t="s">
        <v>42</v>
      </c>
      <c r="B82" s="71">
        <v>6999.1</v>
      </c>
      <c r="C82" s="70"/>
      <c r="D82" s="75">
        <f t="shared" si="2"/>
        <v>6.9991000000000003</v>
      </c>
      <c r="E82" t="s">
        <v>40</v>
      </c>
      <c r="F82" t="s">
        <v>182</v>
      </c>
      <c r="G82" t="s">
        <v>42</v>
      </c>
    </row>
    <row r="83" spans="1:7" x14ac:dyDescent="0.35">
      <c r="A83" s="69" t="s">
        <v>231</v>
      </c>
      <c r="B83" s="71">
        <v>43755.9</v>
      </c>
      <c r="C83" s="70"/>
      <c r="D83" s="75">
        <f t="shared" si="2"/>
        <v>43.755900000000004</v>
      </c>
      <c r="E83" t="s">
        <v>259</v>
      </c>
      <c r="F83" t="s">
        <v>181</v>
      </c>
      <c r="G83" t="s">
        <v>71</v>
      </c>
    </row>
    <row r="84" spans="1:7" x14ac:dyDescent="0.35">
      <c r="A84" s="69" t="s">
        <v>40</v>
      </c>
      <c r="B84" s="71">
        <v>50000</v>
      </c>
      <c r="C84" s="70"/>
      <c r="D84" s="75">
        <f t="shared" si="2"/>
        <v>50</v>
      </c>
      <c r="E84" t="s">
        <v>169</v>
      </c>
      <c r="F84" t="s">
        <v>182</v>
      </c>
      <c r="G84" t="s">
        <v>43</v>
      </c>
    </row>
    <row r="85" spans="1:7" x14ac:dyDescent="0.35">
      <c r="A85" s="69" t="s">
        <v>129</v>
      </c>
      <c r="B85" s="70"/>
      <c r="C85" s="71">
        <v>25000.639999999999</v>
      </c>
      <c r="D85" s="75">
        <f t="shared" si="2"/>
        <v>-25.000640000000001</v>
      </c>
      <c r="E85" t="s">
        <v>174</v>
      </c>
      <c r="F85" t="s">
        <v>180</v>
      </c>
      <c r="G85" t="s">
        <v>68</v>
      </c>
    </row>
    <row r="86" spans="1:7" x14ac:dyDescent="0.35">
      <c r="A86" s="69" t="s">
        <v>232</v>
      </c>
      <c r="B86" s="70"/>
      <c r="C86" s="71">
        <v>227160</v>
      </c>
      <c r="D86" s="75">
        <f t="shared" si="2"/>
        <v>-227.16</v>
      </c>
      <c r="E86" t="s">
        <v>174</v>
      </c>
      <c r="F86" t="s">
        <v>180</v>
      </c>
      <c r="G86" t="s">
        <v>68</v>
      </c>
    </row>
    <row r="87" spans="1:7" x14ac:dyDescent="0.35">
      <c r="A87" s="69" t="s">
        <v>130</v>
      </c>
      <c r="B87" s="70"/>
      <c r="C87" s="71">
        <v>25000.639999999999</v>
      </c>
      <c r="D87" s="75">
        <f t="shared" si="2"/>
        <v>-25.000640000000001</v>
      </c>
      <c r="E87" t="s">
        <v>174</v>
      </c>
      <c r="F87" t="s">
        <v>180</v>
      </c>
      <c r="G87" t="s">
        <v>68</v>
      </c>
    </row>
    <row r="88" spans="1:7" x14ac:dyDescent="0.35">
      <c r="A88" s="69" t="s">
        <v>131</v>
      </c>
      <c r="B88" s="70"/>
      <c r="C88" s="71">
        <v>19985.71</v>
      </c>
      <c r="D88" s="75">
        <f t="shared" si="2"/>
        <v>-19.985709999999997</v>
      </c>
      <c r="E88" t="s">
        <v>163</v>
      </c>
      <c r="F88" t="s">
        <v>180</v>
      </c>
      <c r="G88" t="s">
        <v>68</v>
      </c>
    </row>
    <row r="89" spans="1:7" x14ac:dyDescent="0.35">
      <c r="A89" s="69" t="s">
        <v>132</v>
      </c>
      <c r="B89" s="70"/>
      <c r="C89" s="71">
        <v>14190.55</v>
      </c>
      <c r="D89" s="75">
        <f t="shared" si="2"/>
        <v>-14.19055</v>
      </c>
      <c r="E89" t="s">
        <v>163</v>
      </c>
      <c r="F89" t="s">
        <v>180</v>
      </c>
      <c r="G89" t="s">
        <v>68</v>
      </c>
    </row>
    <row r="90" spans="1:7" x14ac:dyDescent="0.35">
      <c r="A90" s="69" t="s">
        <v>29</v>
      </c>
      <c r="B90" s="71">
        <v>3819.45</v>
      </c>
      <c r="C90" s="70"/>
      <c r="D90" s="75">
        <f t="shared" si="2"/>
        <v>3.8194499999999998</v>
      </c>
      <c r="E90" t="s">
        <v>173</v>
      </c>
      <c r="F90" t="s">
        <v>182</v>
      </c>
      <c r="G90" t="s">
        <v>29</v>
      </c>
    </row>
    <row r="91" spans="1:7" x14ac:dyDescent="0.35">
      <c r="A91" s="69" t="s">
        <v>233</v>
      </c>
      <c r="B91" s="71">
        <v>994</v>
      </c>
      <c r="C91" s="70"/>
      <c r="D91" s="75">
        <f t="shared" si="2"/>
        <v>0.99399999999999999</v>
      </c>
      <c r="E91" t="s">
        <v>170</v>
      </c>
      <c r="F91" t="s">
        <v>182</v>
      </c>
      <c r="G91" t="s">
        <v>417</v>
      </c>
    </row>
    <row r="92" spans="1:7" x14ac:dyDescent="0.35">
      <c r="A92" s="69" t="s">
        <v>133</v>
      </c>
      <c r="B92" s="70"/>
      <c r="C92" s="71">
        <v>13283.9</v>
      </c>
      <c r="D92" s="75">
        <f t="shared" si="2"/>
        <v>-13.283899999999999</v>
      </c>
      <c r="E92" t="s">
        <v>163</v>
      </c>
      <c r="F92" t="s">
        <v>180</v>
      </c>
      <c r="G92" t="s">
        <v>68</v>
      </c>
    </row>
    <row r="93" spans="1:7" x14ac:dyDescent="0.35">
      <c r="A93" s="69" t="s">
        <v>41</v>
      </c>
      <c r="B93" s="71">
        <v>60000</v>
      </c>
      <c r="C93" s="70"/>
      <c r="D93" s="75">
        <f t="shared" si="2"/>
        <v>60</v>
      </c>
      <c r="E93" t="s">
        <v>40</v>
      </c>
      <c r="F93" t="s">
        <v>182</v>
      </c>
      <c r="G93" t="s">
        <v>46</v>
      </c>
    </row>
    <row r="94" spans="1:7" x14ac:dyDescent="0.35">
      <c r="A94" s="69" t="s">
        <v>134</v>
      </c>
      <c r="B94" s="70"/>
      <c r="C94" s="71">
        <v>3975</v>
      </c>
      <c r="D94" s="75">
        <f t="shared" si="2"/>
        <v>-3.9750000000000001</v>
      </c>
      <c r="E94" t="s">
        <v>175</v>
      </c>
      <c r="F94" t="s">
        <v>180</v>
      </c>
      <c r="G94" t="s">
        <v>68</v>
      </c>
    </row>
    <row r="95" spans="1:7" x14ac:dyDescent="0.35">
      <c r="A95" s="69" t="s">
        <v>135</v>
      </c>
      <c r="B95" s="71">
        <v>3201227.45</v>
      </c>
      <c r="C95" s="70"/>
      <c r="D95" s="75">
        <f t="shared" si="2"/>
        <v>3201.2274500000003</v>
      </c>
      <c r="E95" t="s">
        <v>176</v>
      </c>
      <c r="F95" t="s">
        <v>183</v>
      </c>
      <c r="G95" t="s">
        <v>64</v>
      </c>
    </row>
    <row r="96" spans="1:7" x14ac:dyDescent="0.35">
      <c r="A96" s="69" t="s">
        <v>136</v>
      </c>
      <c r="B96" s="70"/>
      <c r="C96" s="71">
        <v>24221</v>
      </c>
      <c r="D96" s="75">
        <f t="shared" si="2"/>
        <v>-24.221</v>
      </c>
      <c r="E96" t="s">
        <v>177</v>
      </c>
      <c r="F96" t="s">
        <v>180</v>
      </c>
      <c r="G96" t="s">
        <v>68</v>
      </c>
    </row>
    <row r="97" spans="1:7" x14ac:dyDescent="0.35">
      <c r="A97" s="69" t="s">
        <v>137</v>
      </c>
      <c r="B97" s="70"/>
      <c r="C97" s="71">
        <v>24221</v>
      </c>
      <c r="D97" s="75">
        <f t="shared" si="2"/>
        <v>-24.221</v>
      </c>
      <c r="E97" t="s">
        <v>177</v>
      </c>
      <c r="F97" t="s">
        <v>180</v>
      </c>
      <c r="G97" t="s">
        <v>68</v>
      </c>
    </row>
    <row r="98" spans="1:7" x14ac:dyDescent="0.35">
      <c r="A98" s="69" t="s">
        <v>138</v>
      </c>
      <c r="B98" s="70"/>
      <c r="C98" s="71">
        <v>25000</v>
      </c>
      <c r="D98" s="75">
        <f t="shared" si="2"/>
        <v>-25</v>
      </c>
      <c r="E98" t="s">
        <v>178</v>
      </c>
      <c r="F98" t="s">
        <v>180</v>
      </c>
      <c r="G98" t="s">
        <v>69</v>
      </c>
    </row>
    <row r="99" spans="1:7" x14ac:dyDescent="0.35">
      <c r="A99" s="69" t="s">
        <v>139</v>
      </c>
      <c r="B99" s="70"/>
      <c r="C99" s="71">
        <v>24600</v>
      </c>
      <c r="D99" s="75">
        <f t="shared" si="2"/>
        <v>-24.6</v>
      </c>
      <c r="E99" t="s">
        <v>178</v>
      </c>
      <c r="F99" t="s">
        <v>180</v>
      </c>
      <c r="G99" t="s">
        <v>69</v>
      </c>
    </row>
    <row r="100" spans="1:7" x14ac:dyDescent="0.35">
      <c r="A100" s="69" t="s">
        <v>234</v>
      </c>
      <c r="B100" s="70"/>
      <c r="C100" s="71">
        <v>95550</v>
      </c>
      <c r="D100" s="75">
        <f t="shared" si="2"/>
        <v>-95.55</v>
      </c>
      <c r="E100" t="s">
        <v>178</v>
      </c>
      <c r="F100" t="s">
        <v>180</v>
      </c>
      <c r="G100" t="s">
        <v>69</v>
      </c>
    </row>
    <row r="101" spans="1:7" x14ac:dyDescent="0.35">
      <c r="A101" s="69" t="s">
        <v>235</v>
      </c>
      <c r="B101" s="70"/>
      <c r="C101" s="71">
        <v>50000</v>
      </c>
      <c r="D101" s="75">
        <f t="shared" si="2"/>
        <v>-50</v>
      </c>
      <c r="E101" t="s">
        <v>178</v>
      </c>
      <c r="F101" t="s">
        <v>180</v>
      </c>
      <c r="G101" t="s">
        <v>69</v>
      </c>
    </row>
    <row r="102" spans="1:7" x14ac:dyDescent="0.35">
      <c r="A102" s="69" t="s">
        <v>236</v>
      </c>
      <c r="B102" s="70"/>
      <c r="C102" s="71">
        <v>950.4</v>
      </c>
      <c r="D102" s="75">
        <f t="shared" si="2"/>
        <v>-0.95040000000000002</v>
      </c>
      <c r="E102" t="s">
        <v>164</v>
      </c>
      <c r="F102" t="s">
        <v>180</v>
      </c>
      <c r="G102" t="s">
        <v>67</v>
      </c>
    </row>
    <row r="103" spans="1:7" x14ac:dyDescent="0.35">
      <c r="A103" s="69" t="s">
        <v>237</v>
      </c>
      <c r="B103" s="70"/>
      <c r="C103" s="71">
        <v>13569.56</v>
      </c>
      <c r="D103" s="75">
        <f t="shared" si="2"/>
        <v>-13.569559999999999</v>
      </c>
      <c r="E103" t="s">
        <v>163</v>
      </c>
      <c r="F103" t="s">
        <v>180</v>
      </c>
      <c r="G103" t="s">
        <v>68</v>
      </c>
    </row>
    <row r="104" spans="1:7" x14ac:dyDescent="0.35">
      <c r="A104" s="69" t="s">
        <v>238</v>
      </c>
      <c r="B104" s="70"/>
      <c r="C104" s="71">
        <v>2453.4</v>
      </c>
      <c r="D104" s="75">
        <f t="shared" si="2"/>
        <v>-2.4534000000000002</v>
      </c>
      <c r="E104" t="s">
        <v>163</v>
      </c>
      <c r="F104" t="s">
        <v>180</v>
      </c>
      <c r="G104" t="s">
        <v>68</v>
      </c>
    </row>
    <row r="105" spans="1:7" x14ac:dyDescent="0.35">
      <c r="A105" s="69" t="s">
        <v>239</v>
      </c>
      <c r="B105" s="71">
        <v>39247.31</v>
      </c>
      <c r="C105" s="70"/>
      <c r="D105" s="75">
        <f t="shared" si="2"/>
        <v>39.247309999999999</v>
      </c>
      <c r="E105" t="s">
        <v>169</v>
      </c>
      <c r="F105" t="s">
        <v>182</v>
      </c>
      <c r="G105" t="s">
        <v>34</v>
      </c>
    </row>
    <row r="106" spans="1:7" x14ac:dyDescent="0.35">
      <c r="A106" s="69" t="s">
        <v>240</v>
      </c>
      <c r="B106" s="71">
        <v>27700</v>
      </c>
      <c r="C106" s="70"/>
      <c r="D106" s="75">
        <f t="shared" si="2"/>
        <v>27.7</v>
      </c>
      <c r="E106" t="s">
        <v>169</v>
      </c>
      <c r="F106" t="s">
        <v>182</v>
      </c>
      <c r="G106" t="s">
        <v>39</v>
      </c>
    </row>
    <row r="107" spans="1:7" x14ac:dyDescent="0.35">
      <c r="A107" s="69" t="s">
        <v>142</v>
      </c>
      <c r="B107" s="71">
        <v>43333.33</v>
      </c>
      <c r="C107" s="70"/>
      <c r="D107" s="75">
        <f t="shared" si="2"/>
        <v>43.333330000000004</v>
      </c>
      <c r="E107" t="s">
        <v>169</v>
      </c>
      <c r="F107" t="s">
        <v>182</v>
      </c>
      <c r="G107" t="s">
        <v>264</v>
      </c>
    </row>
    <row r="108" spans="1:7" x14ac:dyDescent="0.35">
      <c r="A108" s="69" t="s">
        <v>241</v>
      </c>
      <c r="B108" s="71">
        <v>9000</v>
      </c>
      <c r="C108" s="70"/>
      <c r="D108" s="75">
        <f t="shared" si="2"/>
        <v>9</v>
      </c>
      <c r="E108" t="s">
        <v>169</v>
      </c>
      <c r="F108" t="s">
        <v>182</v>
      </c>
      <c r="G108" t="s">
        <v>43</v>
      </c>
    </row>
    <row r="109" spans="1:7" x14ac:dyDescent="0.35">
      <c r="A109" s="69" t="s">
        <v>242</v>
      </c>
      <c r="B109" s="70"/>
      <c r="C109" s="71">
        <v>4457.63</v>
      </c>
      <c r="D109" s="75">
        <f t="shared" si="2"/>
        <v>-4.45763</v>
      </c>
      <c r="E109" t="s">
        <v>163</v>
      </c>
      <c r="F109" t="s">
        <v>180</v>
      </c>
      <c r="G109" t="s">
        <v>68</v>
      </c>
    </row>
    <row r="110" spans="1:7" x14ac:dyDescent="0.35">
      <c r="A110" s="69" t="s">
        <v>243</v>
      </c>
      <c r="B110" s="70"/>
      <c r="C110" s="71">
        <v>6606.35</v>
      </c>
      <c r="D110" s="75">
        <f t="shared" si="2"/>
        <v>-6.6063499999999999</v>
      </c>
      <c r="E110" t="s">
        <v>163</v>
      </c>
      <c r="F110" t="s">
        <v>180</v>
      </c>
      <c r="G110" t="s">
        <v>68</v>
      </c>
    </row>
    <row r="111" spans="1:7" x14ac:dyDescent="0.35">
      <c r="A111" s="69" t="s">
        <v>143</v>
      </c>
      <c r="B111" s="71">
        <v>1126254</v>
      </c>
      <c r="C111" s="70"/>
      <c r="D111" s="75">
        <f t="shared" si="2"/>
        <v>1126.2539999999999</v>
      </c>
      <c r="E111" t="s">
        <v>170</v>
      </c>
      <c r="F111" t="s">
        <v>182</v>
      </c>
      <c r="G111" t="s">
        <v>185</v>
      </c>
    </row>
    <row r="112" spans="1:7" x14ac:dyDescent="0.35">
      <c r="A112" s="69" t="s">
        <v>144</v>
      </c>
      <c r="B112" s="70"/>
      <c r="C112" s="71">
        <v>277784.75</v>
      </c>
      <c r="D112" s="75">
        <f t="shared" si="2"/>
        <v>-277.78474999999997</v>
      </c>
      <c r="E112" t="s">
        <v>144</v>
      </c>
      <c r="F112" t="s">
        <v>184</v>
      </c>
      <c r="G112" t="s">
        <v>25</v>
      </c>
    </row>
    <row r="113" spans="1:7" x14ac:dyDescent="0.35">
      <c r="A113" s="69" t="s">
        <v>145</v>
      </c>
      <c r="B113" s="70"/>
      <c r="C113" s="71">
        <v>42925.9</v>
      </c>
      <c r="D113" s="75">
        <f t="shared" si="2"/>
        <v>-42.925899999999999</v>
      </c>
      <c r="E113" t="s">
        <v>171</v>
      </c>
      <c r="F113" t="s">
        <v>180</v>
      </c>
      <c r="G113" t="s">
        <v>67</v>
      </c>
    </row>
    <row r="114" spans="1:7" x14ac:dyDescent="0.35">
      <c r="A114" s="69" t="s">
        <v>244</v>
      </c>
      <c r="B114" s="70"/>
      <c r="C114" s="71">
        <v>5082.6499999999996</v>
      </c>
      <c r="D114" s="75">
        <f t="shared" si="2"/>
        <v>-5.0826499999999992</v>
      </c>
      <c r="E114" t="s">
        <v>163</v>
      </c>
      <c r="F114" t="s">
        <v>180</v>
      </c>
      <c r="G114" t="s">
        <v>68</v>
      </c>
    </row>
    <row r="115" spans="1:7" x14ac:dyDescent="0.35">
      <c r="A115" s="69" t="s">
        <v>245</v>
      </c>
      <c r="B115" s="70"/>
      <c r="C115" s="71">
        <v>9153.3700000000008</v>
      </c>
      <c r="D115" s="75">
        <f t="shared" si="2"/>
        <v>-9.1533700000000007</v>
      </c>
      <c r="E115" t="s">
        <v>163</v>
      </c>
      <c r="F115" t="s">
        <v>180</v>
      </c>
      <c r="G115" t="s">
        <v>68</v>
      </c>
    </row>
    <row r="116" spans="1:7" x14ac:dyDescent="0.35">
      <c r="A116" s="69" t="s">
        <v>146</v>
      </c>
      <c r="B116" s="71">
        <v>461000</v>
      </c>
      <c r="C116" s="70"/>
      <c r="D116" s="75">
        <f t="shared" si="2"/>
        <v>461</v>
      </c>
      <c r="E116" t="s">
        <v>75</v>
      </c>
      <c r="F116" t="s">
        <v>181</v>
      </c>
      <c r="G116" t="s">
        <v>73</v>
      </c>
    </row>
    <row r="117" spans="1:7" x14ac:dyDescent="0.35">
      <c r="A117" s="69" t="s">
        <v>246</v>
      </c>
      <c r="B117" s="70"/>
      <c r="C117" s="71">
        <v>2005.03</v>
      </c>
      <c r="D117" s="75">
        <f t="shared" si="2"/>
        <v>-2.0050300000000001</v>
      </c>
      <c r="E117" t="s">
        <v>164</v>
      </c>
      <c r="F117" t="s">
        <v>180</v>
      </c>
      <c r="G117" t="s">
        <v>68</v>
      </c>
    </row>
    <row r="118" spans="1:7" x14ac:dyDescent="0.35">
      <c r="A118" s="69" t="s">
        <v>147</v>
      </c>
      <c r="B118" s="70"/>
      <c r="C118" s="71">
        <v>16523.2</v>
      </c>
      <c r="D118" s="75">
        <f t="shared" si="2"/>
        <v>-16.523199999999999</v>
      </c>
      <c r="E118" t="s">
        <v>163</v>
      </c>
      <c r="F118" t="s">
        <v>180</v>
      </c>
      <c r="G118" t="s">
        <v>68</v>
      </c>
    </row>
    <row r="119" spans="1:7" x14ac:dyDescent="0.35">
      <c r="A119" s="69" t="s">
        <v>247</v>
      </c>
      <c r="B119" s="70"/>
      <c r="C119" s="71">
        <v>10080.68</v>
      </c>
      <c r="D119" s="75">
        <f t="shared" si="2"/>
        <v>-10.080680000000001</v>
      </c>
      <c r="E119" t="s">
        <v>163</v>
      </c>
      <c r="F119" t="s">
        <v>180</v>
      </c>
      <c r="G119" t="s">
        <v>68</v>
      </c>
    </row>
    <row r="120" spans="1:7" x14ac:dyDescent="0.35">
      <c r="A120" s="69" t="s">
        <v>248</v>
      </c>
      <c r="B120" s="70"/>
      <c r="C120" s="71">
        <v>74145</v>
      </c>
      <c r="D120" s="75">
        <f t="shared" si="2"/>
        <v>-74.144999999999996</v>
      </c>
      <c r="E120" t="s">
        <v>164</v>
      </c>
      <c r="F120" t="s">
        <v>180</v>
      </c>
      <c r="G120" t="s">
        <v>68</v>
      </c>
    </row>
    <row r="121" spans="1:7" x14ac:dyDescent="0.35">
      <c r="A121" s="69" t="s">
        <v>148</v>
      </c>
      <c r="B121" s="70"/>
      <c r="C121" s="71">
        <v>232000</v>
      </c>
      <c r="D121" s="75">
        <f t="shared" si="2"/>
        <v>-232</v>
      </c>
      <c r="E121" t="s">
        <v>164</v>
      </c>
      <c r="F121" t="s">
        <v>180</v>
      </c>
      <c r="G121" t="s">
        <v>67</v>
      </c>
    </row>
    <row r="122" spans="1:7" x14ac:dyDescent="0.35">
      <c r="A122" s="69" t="s">
        <v>149</v>
      </c>
      <c r="B122" s="71">
        <v>74529.33</v>
      </c>
      <c r="C122" s="70"/>
      <c r="D122" s="75">
        <f t="shared" si="2"/>
        <v>74.529330000000002</v>
      </c>
      <c r="E122" t="s">
        <v>169</v>
      </c>
      <c r="F122" t="s">
        <v>182</v>
      </c>
      <c r="G122" t="s">
        <v>39</v>
      </c>
    </row>
    <row r="123" spans="1:7" x14ac:dyDescent="0.35">
      <c r="A123" s="69" t="s">
        <v>33</v>
      </c>
      <c r="B123" s="71">
        <v>97519.81</v>
      </c>
      <c r="C123" s="70"/>
      <c r="D123" s="75">
        <f t="shared" si="2"/>
        <v>97.519809999999993</v>
      </c>
      <c r="E123" t="s">
        <v>173</v>
      </c>
      <c r="F123" t="s">
        <v>182</v>
      </c>
      <c r="G123" t="s">
        <v>33</v>
      </c>
    </row>
    <row r="124" spans="1:7" x14ac:dyDescent="0.35">
      <c r="A124" s="69" t="s">
        <v>150</v>
      </c>
      <c r="B124" s="71">
        <v>72157.13</v>
      </c>
      <c r="C124" s="71">
        <v>8896.7099999999991</v>
      </c>
      <c r="D124" s="75">
        <f t="shared" si="2"/>
        <v>63.260420000000003</v>
      </c>
      <c r="E124" t="s">
        <v>170</v>
      </c>
      <c r="F124" t="s">
        <v>182</v>
      </c>
      <c r="G124" t="s">
        <v>417</v>
      </c>
    </row>
    <row r="125" spans="1:7" x14ac:dyDescent="0.35">
      <c r="A125" s="69" t="s">
        <v>249</v>
      </c>
      <c r="B125" s="71">
        <v>1200</v>
      </c>
      <c r="C125" s="70"/>
      <c r="D125" s="75">
        <f t="shared" si="2"/>
        <v>1.2</v>
      </c>
      <c r="E125" t="s">
        <v>169</v>
      </c>
      <c r="F125" t="s">
        <v>182</v>
      </c>
      <c r="G125" t="s">
        <v>43</v>
      </c>
    </row>
    <row r="126" spans="1:7" x14ac:dyDescent="0.35">
      <c r="A126" s="69" t="s">
        <v>250</v>
      </c>
      <c r="B126" s="70"/>
      <c r="C126" s="71">
        <v>3805.62</v>
      </c>
      <c r="D126" s="75">
        <f t="shared" si="2"/>
        <v>-3.8056199999999998</v>
      </c>
      <c r="E126" t="s">
        <v>163</v>
      </c>
      <c r="F126" t="s">
        <v>180</v>
      </c>
      <c r="G126" t="s">
        <v>68</v>
      </c>
    </row>
    <row r="127" spans="1:7" x14ac:dyDescent="0.35">
      <c r="A127" s="69" t="s">
        <v>251</v>
      </c>
      <c r="B127" s="70"/>
      <c r="C127" s="71">
        <v>3843.25</v>
      </c>
      <c r="D127" s="75">
        <f t="shared" si="2"/>
        <v>-3.8432499999999998</v>
      </c>
      <c r="E127" t="s">
        <v>163</v>
      </c>
      <c r="F127" t="s">
        <v>180</v>
      </c>
      <c r="G127" t="s">
        <v>68</v>
      </c>
    </row>
    <row r="128" spans="1:7" x14ac:dyDescent="0.35">
      <c r="A128" s="69" t="s">
        <v>252</v>
      </c>
      <c r="B128" s="70"/>
      <c r="C128" s="71">
        <v>3000</v>
      </c>
      <c r="D128" s="75">
        <f t="shared" si="2"/>
        <v>-3</v>
      </c>
      <c r="E128" t="s">
        <v>179</v>
      </c>
      <c r="F128" t="s">
        <v>180</v>
      </c>
      <c r="G128" t="s">
        <v>68</v>
      </c>
    </row>
    <row r="129" spans="1:7" x14ac:dyDescent="0.35">
      <c r="A129" s="69" t="s">
        <v>151</v>
      </c>
      <c r="B129" s="70"/>
      <c r="C129" s="71">
        <v>83804</v>
      </c>
      <c r="D129" s="75">
        <f t="shared" si="2"/>
        <v>-83.804000000000002</v>
      </c>
      <c r="E129" t="s">
        <v>179</v>
      </c>
      <c r="F129" t="s">
        <v>180</v>
      </c>
      <c r="G129" t="s">
        <v>68</v>
      </c>
    </row>
    <row r="130" spans="1:7" x14ac:dyDescent="0.35">
      <c r="A130" s="69" t="s">
        <v>152</v>
      </c>
      <c r="B130" s="71">
        <v>1695</v>
      </c>
      <c r="C130" s="70"/>
      <c r="D130" s="75">
        <f t="shared" si="2"/>
        <v>1.6950000000000001</v>
      </c>
      <c r="E130" t="s">
        <v>179</v>
      </c>
      <c r="F130" t="s">
        <v>180</v>
      </c>
      <c r="G130" t="s">
        <v>68</v>
      </c>
    </row>
    <row r="131" spans="1:7" x14ac:dyDescent="0.35">
      <c r="A131" s="69" t="s">
        <v>153</v>
      </c>
      <c r="B131" s="70"/>
      <c r="C131" s="71">
        <v>18632.66</v>
      </c>
      <c r="D131" s="75">
        <f t="shared" si="2"/>
        <v>-18.632660000000001</v>
      </c>
      <c r="E131" t="s">
        <v>179</v>
      </c>
      <c r="F131" t="s">
        <v>180</v>
      </c>
      <c r="G131" t="s">
        <v>68</v>
      </c>
    </row>
    <row r="132" spans="1:7" x14ac:dyDescent="0.35">
      <c r="A132" s="69" t="s">
        <v>253</v>
      </c>
      <c r="B132" s="70"/>
      <c r="C132" s="71">
        <v>155955</v>
      </c>
      <c r="D132" s="75">
        <f t="shared" si="2"/>
        <v>-155.95500000000001</v>
      </c>
      <c r="E132" t="s">
        <v>179</v>
      </c>
      <c r="F132" t="s">
        <v>180</v>
      </c>
      <c r="G132" t="s">
        <v>68</v>
      </c>
    </row>
    <row r="133" spans="1:7" x14ac:dyDescent="0.35">
      <c r="A133" s="69" t="s">
        <v>31</v>
      </c>
      <c r="B133" s="71">
        <v>25000</v>
      </c>
      <c r="C133" s="70"/>
      <c r="D133" s="75">
        <f t="shared" si="2"/>
        <v>25</v>
      </c>
      <c r="E133" t="s">
        <v>173</v>
      </c>
      <c r="F133" t="s">
        <v>182</v>
      </c>
      <c r="G133" t="s">
        <v>264</v>
      </c>
    </row>
    <row r="134" spans="1:7" x14ac:dyDescent="0.35">
      <c r="A134" s="69" t="s">
        <v>254</v>
      </c>
      <c r="B134" s="70"/>
      <c r="C134" s="71">
        <v>3937.72</v>
      </c>
      <c r="D134" s="75">
        <f t="shared" si="2"/>
        <v>-3.9377199999999997</v>
      </c>
      <c r="E134" t="s">
        <v>163</v>
      </c>
      <c r="F134" t="s">
        <v>180</v>
      </c>
      <c r="G134" t="s">
        <v>68</v>
      </c>
    </row>
    <row r="135" spans="1:7" x14ac:dyDescent="0.35">
      <c r="A135" s="69" t="s">
        <v>255</v>
      </c>
      <c r="B135" s="70"/>
      <c r="C135" s="71">
        <v>5533.4</v>
      </c>
      <c r="D135" s="75">
        <f t="shared" si="2"/>
        <v>-5.5333999999999994</v>
      </c>
      <c r="E135" t="s">
        <v>163</v>
      </c>
      <c r="F135" t="s">
        <v>180</v>
      </c>
      <c r="G135" t="s">
        <v>68</v>
      </c>
    </row>
    <row r="136" spans="1:7" x14ac:dyDescent="0.35">
      <c r="A136" s="69" t="s">
        <v>256</v>
      </c>
      <c r="B136" s="70"/>
      <c r="C136" s="71">
        <v>1056</v>
      </c>
      <c r="D136" s="75">
        <f t="shared" si="2"/>
        <v>-1.056</v>
      </c>
      <c r="E136" t="s">
        <v>163</v>
      </c>
      <c r="F136" t="s">
        <v>180</v>
      </c>
      <c r="G136" t="s">
        <v>68</v>
      </c>
    </row>
    <row r="137" spans="1:7" x14ac:dyDescent="0.35">
      <c r="A137" s="69" t="s">
        <v>154</v>
      </c>
      <c r="B137" s="70"/>
      <c r="C137" s="71">
        <v>21576</v>
      </c>
      <c r="D137" s="75">
        <f t="shared" si="2"/>
        <v>-21.576000000000001</v>
      </c>
      <c r="E137" t="s">
        <v>171</v>
      </c>
      <c r="F137" t="s">
        <v>180</v>
      </c>
      <c r="G137" t="s">
        <v>67</v>
      </c>
    </row>
    <row r="138" spans="1:7" x14ac:dyDescent="0.35">
      <c r="A138" s="69" t="s">
        <v>155</v>
      </c>
      <c r="B138" s="70"/>
      <c r="C138" s="71">
        <v>1000</v>
      </c>
      <c r="D138" s="75">
        <f t="shared" si="2"/>
        <v>-1</v>
      </c>
      <c r="E138" t="s">
        <v>162</v>
      </c>
      <c r="F138" t="s">
        <v>180</v>
      </c>
      <c r="G138" t="s">
        <v>63</v>
      </c>
    </row>
    <row r="139" spans="1:7" x14ac:dyDescent="0.35">
      <c r="A139" s="69" t="s">
        <v>257</v>
      </c>
      <c r="B139" s="70"/>
      <c r="C139" s="71">
        <v>3960</v>
      </c>
      <c r="D139" s="75">
        <f t="shared" si="2"/>
        <v>-3.96</v>
      </c>
      <c r="E139" t="s">
        <v>163</v>
      </c>
      <c r="F139" t="s">
        <v>180</v>
      </c>
      <c r="G139" t="s">
        <v>68</v>
      </c>
    </row>
    <row r="140" spans="1:7" x14ac:dyDescent="0.35">
      <c r="A140" s="69" t="s">
        <v>258</v>
      </c>
      <c r="B140" s="70"/>
      <c r="C140" s="71">
        <v>4761.47</v>
      </c>
      <c r="D140" s="75">
        <f t="shared" si="2"/>
        <v>-4.7614700000000001</v>
      </c>
      <c r="E140" t="s">
        <v>163</v>
      </c>
      <c r="F140" t="s">
        <v>180</v>
      </c>
      <c r="G140" t="s">
        <v>68</v>
      </c>
    </row>
    <row r="141" spans="1:7" x14ac:dyDescent="0.35">
      <c r="A141" s="72" t="s">
        <v>156</v>
      </c>
      <c r="B141" s="73">
        <v>82440703.439999998</v>
      </c>
      <c r="C141" s="73">
        <v>82440703.440000027</v>
      </c>
      <c r="D141" s="74">
        <f>SUM(D10:D140)</f>
        <v>-79999.9712</v>
      </c>
    </row>
    <row r="143" spans="1:7" x14ac:dyDescent="0.35">
      <c r="B143" s="101"/>
    </row>
  </sheetData>
  <autoFilter ref="A9:G141" xr:uid="{00000000-0009-0000-0000-00000C000000}"/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>
    <tabColor rgb="FF92D050"/>
  </sheetPr>
  <dimension ref="A1:P136"/>
  <sheetViews>
    <sheetView topLeftCell="A71" workbookViewId="0">
      <selection activeCell="C78" sqref="C78"/>
    </sheetView>
  </sheetViews>
  <sheetFormatPr defaultRowHeight="14.5" x14ac:dyDescent="0.35"/>
  <cols>
    <col min="1" max="1" width="33.08984375" bestFit="1" customWidth="1"/>
    <col min="2" max="3" width="9.08984375" bestFit="1" customWidth="1"/>
    <col min="4" max="4" width="12.81640625" bestFit="1" customWidth="1"/>
    <col min="5" max="5" width="23.36328125" bestFit="1" customWidth="1"/>
    <col min="7" max="7" width="43.36328125" bestFit="1" customWidth="1"/>
    <col min="10" max="10" width="22.36328125" bestFit="1" customWidth="1"/>
    <col min="11" max="11" width="10.81640625" bestFit="1" customWidth="1"/>
    <col min="12" max="12" width="15.81640625" bestFit="1" customWidth="1"/>
    <col min="15" max="15" width="15.81640625" bestFit="1" customWidth="1"/>
    <col min="16" max="16" width="8.81640625" style="75"/>
  </cols>
  <sheetData>
    <row r="1" spans="1:16" ht="15.5" x14ac:dyDescent="0.35">
      <c r="A1" s="573" t="s">
        <v>80</v>
      </c>
      <c r="B1" s="573"/>
      <c r="C1" s="573"/>
    </row>
    <row r="2" spans="1:16" x14ac:dyDescent="0.35">
      <c r="A2" s="574" t="s">
        <v>81</v>
      </c>
      <c r="B2" s="574"/>
      <c r="C2" s="574"/>
      <c r="O2" t="s">
        <v>268</v>
      </c>
      <c r="P2" s="75">
        <f>SUMIF(L:L,O2,M:M)</f>
        <v>30.2</v>
      </c>
    </row>
    <row r="3" spans="1:16" x14ac:dyDescent="0.35">
      <c r="A3" s="575" t="s">
        <v>82</v>
      </c>
      <c r="B3" s="575"/>
      <c r="C3" s="575"/>
      <c r="O3" t="s">
        <v>270</v>
      </c>
      <c r="P3" s="75">
        <f>SUMIF(L:L,O3,M:M)</f>
        <v>51.8</v>
      </c>
    </row>
    <row r="4" spans="1:16" ht="15.5" x14ac:dyDescent="0.35">
      <c r="A4" s="576" t="s">
        <v>83</v>
      </c>
      <c r="B4" s="576"/>
      <c r="C4" s="576"/>
      <c r="O4" t="s">
        <v>192</v>
      </c>
      <c r="P4" s="75">
        <f>SUMIF(L:L,O4,M:M)</f>
        <v>1393.53332</v>
      </c>
    </row>
    <row r="5" spans="1:16" x14ac:dyDescent="0.35">
      <c r="A5" s="574" t="s">
        <v>286</v>
      </c>
      <c r="B5" s="574"/>
      <c r="C5" s="574"/>
      <c r="O5" t="s">
        <v>190</v>
      </c>
      <c r="P5" s="75">
        <f>SUMIF(L:L,O5,M:M)</f>
        <v>100.85900000000001</v>
      </c>
    </row>
    <row r="6" spans="1:16" x14ac:dyDescent="0.35">
      <c r="A6" s="66" t="s">
        <v>85</v>
      </c>
      <c r="B6" s="577" t="s">
        <v>80</v>
      </c>
      <c r="C6" s="578"/>
      <c r="O6" t="s">
        <v>188</v>
      </c>
      <c r="P6" s="75">
        <f>SUMIF(L:L,O6,M:M)</f>
        <v>58.2</v>
      </c>
    </row>
    <row r="7" spans="1:16" x14ac:dyDescent="0.35">
      <c r="A7" s="67" t="s">
        <v>86</v>
      </c>
      <c r="B7" s="569" t="s">
        <v>286</v>
      </c>
      <c r="C7" s="570"/>
      <c r="P7" s="75">
        <f>SUM(P2:P6)</f>
        <v>1634.59232</v>
      </c>
    </row>
    <row r="8" spans="1:16" x14ac:dyDescent="0.35">
      <c r="A8" s="67" t="s">
        <v>85</v>
      </c>
      <c r="B8" s="571" t="s">
        <v>87</v>
      </c>
      <c r="C8" s="572"/>
      <c r="D8" s="74">
        <f>SUBTOTAL(9,D10:D133)</f>
        <v>-79999.9712</v>
      </c>
      <c r="E8" s="90"/>
      <c r="J8" s="126" t="s">
        <v>626</v>
      </c>
    </row>
    <row r="9" spans="1:16" s="78" customFormat="1" x14ac:dyDescent="0.35">
      <c r="A9" s="68" t="s">
        <v>85</v>
      </c>
      <c r="B9" s="77" t="s">
        <v>88</v>
      </c>
      <c r="C9" s="77" t="s">
        <v>89</v>
      </c>
      <c r="D9" s="78" t="s">
        <v>157</v>
      </c>
      <c r="E9" s="86" t="s">
        <v>158</v>
      </c>
      <c r="F9" s="86" t="s">
        <v>159</v>
      </c>
      <c r="G9" s="86" t="s">
        <v>160</v>
      </c>
      <c r="J9" s="80" t="s">
        <v>86</v>
      </c>
      <c r="K9" s="80" t="s">
        <v>186</v>
      </c>
      <c r="L9" s="80"/>
      <c r="M9" s="80"/>
      <c r="P9" s="79"/>
    </row>
    <row r="10" spans="1:16" x14ac:dyDescent="0.35">
      <c r="A10" s="69" t="s">
        <v>197</v>
      </c>
      <c r="B10" s="70"/>
      <c r="C10" s="71">
        <v>6442.09</v>
      </c>
      <c r="D10" s="75">
        <f>(B10-C10)/1000</f>
        <v>-6.4420900000000003</v>
      </c>
      <c r="E10" t="s">
        <v>171</v>
      </c>
      <c r="F10" t="s">
        <v>180</v>
      </c>
      <c r="G10" t="s">
        <v>67</v>
      </c>
      <c r="J10" s="81" t="s">
        <v>195</v>
      </c>
      <c r="K10" s="82">
        <v>73200</v>
      </c>
      <c r="L10" s="81" t="s">
        <v>192</v>
      </c>
      <c r="M10" s="82">
        <f>K10/1000</f>
        <v>73.2</v>
      </c>
    </row>
    <row r="11" spans="1:16" x14ac:dyDescent="0.35">
      <c r="A11" s="69" t="s">
        <v>90</v>
      </c>
      <c r="B11" s="70"/>
      <c r="C11" s="71">
        <v>261767.86</v>
      </c>
      <c r="D11" s="75">
        <f t="shared" ref="D11:D74" si="0">(B11-C11)/1000</f>
        <v>-261.76785999999998</v>
      </c>
      <c r="E11" t="s">
        <v>161</v>
      </c>
      <c r="F11" t="s">
        <v>180</v>
      </c>
      <c r="G11" t="s">
        <v>65</v>
      </c>
      <c r="J11" s="81" t="s">
        <v>199</v>
      </c>
      <c r="K11" s="82">
        <v>28200</v>
      </c>
      <c r="L11" s="81" t="s">
        <v>190</v>
      </c>
      <c r="M11" s="82">
        <f t="shared" ref="M11:M30" si="1">K11/1000</f>
        <v>28.2</v>
      </c>
    </row>
    <row r="12" spans="1:16" x14ac:dyDescent="0.35">
      <c r="A12" s="69" t="s">
        <v>92</v>
      </c>
      <c r="B12" s="70"/>
      <c r="C12" s="71">
        <v>99000</v>
      </c>
      <c r="D12" s="75">
        <f t="shared" si="0"/>
        <v>-99</v>
      </c>
      <c r="E12" t="s">
        <v>162</v>
      </c>
      <c r="F12" t="s">
        <v>180</v>
      </c>
      <c r="G12" t="s">
        <v>63</v>
      </c>
      <c r="J12" s="81" t="s">
        <v>219</v>
      </c>
      <c r="K12" s="82">
        <v>23200</v>
      </c>
      <c r="L12" s="81" t="s">
        <v>190</v>
      </c>
      <c r="M12" s="82">
        <f t="shared" si="1"/>
        <v>23.2</v>
      </c>
    </row>
    <row r="13" spans="1:16" x14ac:dyDescent="0.35">
      <c r="A13" s="69" t="s">
        <v>287</v>
      </c>
      <c r="B13" s="71">
        <v>105000</v>
      </c>
      <c r="C13" s="70"/>
      <c r="D13" s="75">
        <f t="shared" si="0"/>
        <v>105</v>
      </c>
      <c r="E13" t="s">
        <v>169</v>
      </c>
      <c r="F13" t="s">
        <v>182</v>
      </c>
      <c r="G13" t="s">
        <v>41</v>
      </c>
      <c r="J13" s="81" t="s">
        <v>97</v>
      </c>
      <c r="K13" s="82">
        <v>164867</v>
      </c>
      <c r="L13" s="81" t="s">
        <v>192</v>
      </c>
      <c r="M13" s="82">
        <f t="shared" si="1"/>
        <v>164.86699999999999</v>
      </c>
    </row>
    <row r="14" spans="1:16" x14ac:dyDescent="0.35">
      <c r="A14" s="69" t="s">
        <v>288</v>
      </c>
      <c r="B14" s="71">
        <v>108333.33</v>
      </c>
      <c r="C14" s="70"/>
      <c r="D14" s="75">
        <f t="shared" si="0"/>
        <v>108.33333</v>
      </c>
      <c r="E14" t="s">
        <v>75</v>
      </c>
      <c r="F14" t="s">
        <v>181</v>
      </c>
      <c r="G14" t="s">
        <v>79</v>
      </c>
      <c r="J14" s="81" t="s">
        <v>193</v>
      </c>
      <c r="K14" s="82">
        <v>273200</v>
      </c>
      <c r="L14" s="81" t="s">
        <v>192</v>
      </c>
      <c r="M14" s="82">
        <f t="shared" si="1"/>
        <v>273.2</v>
      </c>
    </row>
    <row r="15" spans="1:16" x14ac:dyDescent="0.35">
      <c r="A15" s="69" t="s">
        <v>289</v>
      </c>
      <c r="B15" s="70"/>
      <c r="C15" s="71">
        <v>2872</v>
      </c>
      <c r="D15" s="75">
        <f t="shared" si="0"/>
        <v>-2.8719999999999999</v>
      </c>
      <c r="E15" t="s">
        <v>259</v>
      </c>
      <c r="F15" t="s">
        <v>180</v>
      </c>
      <c r="G15" t="s">
        <v>72</v>
      </c>
      <c r="J15" s="81" t="s">
        <v>265</v>
      </c>
      <c r="K15" s="82">
        <v>58200</v>
      </c>
      <c r="L15" s="81" t="s">
        <v>188</v>
      </c>
      <c r="M15" s="82">
        <f t="shared" si="1"/>
        <v>58.2</v>
      </c>
    </row>
    <row r="16" spans="1:16" x14ac:dyDescent="0.35">
      <c r="A16" s="69" t="s">
        <v>198</v>
      </c>
      <c r="B16" s="70"/>
      <c r="C16" s="71">
        <v>3286</v>
      </c>
      <c r="D16" s="75">
        <f t="shared" si="0"/>
        <v>-3.286</v>
      </c>
      <c r="E16" t="s">
        <v>259</v>
      </c>
      <c r="F16" t="s">
        <v>180</v>
      </c>
      <c r="G16" t="s">
        <v>71</v>
      </c>
      <c r="J16" s="81" t="s">
        <v>266</v>
      </c>
      <c r="K16" s="82">
        <v>123200</v>
      </c>
      <c r="L16" s="81" t="s">
        <v>192</v>
      </c>
      <c r="M16" s="82">
        <f t="shared" si="1"/>
        <v>123.2</v>
      </c>
    </row>
    <row r="17" spans="1:13" x14ac:dyDescent="0.35">
      <c r="A17" s="69" t="s">
        <v>269</v>
      </c>
      <c r="B17" s="70"/>
      <c r="C17" s="71">
        <v>1500</v>
      </c>
      <c r="D17" s="75">
        <f t="shared" si="0"/>
        <v>-1.5</v>
      </c>
      <c r="E17" t="s">
        <v>165</v>
      </c>
      <c r="F17" t="s">
        <v>180</v>
      </c>
      <c r="G17" t="s">
        <v>68</v>
      </c>
      <c r="J17" s="81" t="s">
        <v>267</v>
      </c>
      <c r="K17" s="82">
        <v>30200</v>
      </c>
      <c r="L17" s="81" t="s">
        <v>268</v>
      </c>
      <c r="M17" s="82">
        <f t="shared" si="1"/>
        <v>30.2</v>
      </c>
    </row>
    <row r="18" spans="1:13" x14ac:dyDescent="0.35">
      <c r="A18" s="69" t="s">
        <v>290</v>
      </c>
      <c r="B18" s="71">
        <v>7</v>
      </c>
      <c r="C18" s="70"/>
      <c r="D18" s="75">
        <f t="shared" si="0"/>
        <v>7.0000000000000001E-3</v>
      </c>
      <c r="E18" t="s">
        <v>171</v>
      </c>
      <c r="F18" t="s">
        <v>180</v>
      </c>
      <c r="G18" t="s">
        <v>67</v>
      </c>
      <c r="J18" s="81" t="s">
        <v>269</v>
      </c>
      <c r="K18" s="82">
        <v>30200</v>
      </c>
      <c r="L18" s="81" t="s">
        <v>270</v>
      </c>
      <c r="M18" s="82">
        <f t="shared" si="1"/>
        <v>30.2</v>
      </c>
    </row>
    <row r="19" spans="1:13" x14ac:dyDescent="0.35">
      <c r="A19" s="69" t="s">
        <v>200</v>
      </c>
      <c r="B19" s="70"/>
      <c r="C19" s="71">
        <v>589.77</v>
      </c>
      <c r="D19" s="75">
        <f t="shared" si="0"/>
        <v>-0.58977000000000002</v>
      </c>
      <c r="E19" t="s">
        <v>171</v>
      </c>
      <c r="F19" t="s">
        <v>180</v>
      </c>
      <c r="G19" t="s">
        <v>67</v>
      </c>
      <c r="J19" s="81" t="s">
        <v>271</v>
      </c>
      <c r="K19" s="82">
        <v>21600</v>
      </c>
      <c r="L19" s="81" t="s">
        <v>270</v>
      </c>
      <c r="M19" s="82">
        <f t="shared" si="1"/>
        <v>21.6</v>
      </c>
    </row>
    <row r="20" spans="1:13" x14ac:dyDescent="0.35">
      <c r="A20" s="69" t="s">
        <v>96</v>
      </c>
      <c r="B20" s="71">
        <v>1531.65</v>
      </c>
      <c r="C20" s="70"/>
      <c r="D20" s="75">
        <f t="shared" si="0"/>
        <v>1.5316500000000002</v>
      </c>
      <c r="E20" t="s">
        <v>163</v>
      </c>
      <c r="F20" t="s">
        <v>180</v>
      </c>
      <c r="G20" t="s">
        <v>68</v>
      </c>
      <c r="J20" s="81" t="s">
        <v>273</v>
      </c>
      <c r="K20" s="82">
        <v>50000</v>
      </c>
      <c r="L20" s="81" t="s">
        <v>192</v>
      </c>
      <c r="M20" s="82">
        <f t="shared" si="1"/>
        <v>50</v>
      </c>
    </row>
    <row r="21" spans="1:13" x14ac:dyDescent="0.35">
      <c r="A21" s="69" t="s">
        <v>97</v>
      </c>
      <c r="B21" s="70"/>
      <c r="C21" s="71">
        <v>50233</v>
      </c>
      <c r="D21" s="75">
        <f t="shared" si="0"/>
        <v>-50.232999999999997</v>
      </c>
      <c r="E21" t="s">
        <v>165</v>
      </c>
      <c r="F21" t="s">
        <v>180</v>
      </c>
      <c r="G21" t="s">
        <v>68</v>
      </c>
      <c r="J21" s="81" t="s">
        <v>317</v>
      </c>
      <c r="K21" s="82">
        <v>264900</v>
      </c>
      <c r="L21" s="81" t="s">
        <v>192</v>
      </c>
      <c r="M21" s="82">
        <f t="shared" si="1"/>
        <v>264.89999999999998</v>
      </c>
    </row>
    <row r="22" spans="1:13" x14ac:dyDescent="0.35">
      <c r="A22" s="69" t="s">
        <v>98</v>
      </c>
      <c r="B22" s="71">
        <v>60875.4</v>
      </c>
      <c r="C22" s="70"/>
      <c r="D22" s="75">
        <f t="shared" si="0"/>
        <v>60.875399999999999</v>
      </c>
      <c r="E22" t="s">
        <v>166</v>
      </c>
      <c r="F22" t="s">
        <v>181</v>
      </c>
      <c r="G22" t="s">
        <v>78</v>
      </c>
      <c r="J22" s="81" t="s">
        <v>318</v>
      </c>
      <c r="K22" s="82">
        <v>31612</v>
      </c>
      <c r="L22" s="81" t="s">
        <v>190</v>
      </c>
      <c r="M22" s="82">
        <f t="shared" si="1"/>
        <v>31.611999999999998</v>
      </c>
    </row>
    <row r="23" spans="1:13" x14ac:dyDescent="0.35">
      <c r="A23" s="69" t="s">
        <v>202</v>
      </c>
      <c r="B23" s="71">
        <v>10993.6</v>
      </c>
      <c r="C23" s="70"/>
      <c r="D23" s="75">
        <f t="shared" si="0"/>
        <v>10.993600000000001</v>
      </c>
      <c r="E23" t="s">
        <v>260</v>
      </c>
      <c r="F23" t="s">
        <v>181</v>
      </c>
      <c r="G23" t="s">
        <v>77</v>
      </c>
      <c r="J23" s="81" t="s">
        <v>319</v>
      </c>
      <c r="K23" s="82">
        <v>42210</v>
      </c>
      <c r="L23" s="81" t="s">
        <v>192</v>
      </c>
      <c r="M23" s="82">
        <f t="shared" si="1"/>
        <v>42.21</v>
      </c>
    </row>
    <row r="24" spans="1:13" x14ac:dyDescent="0.35">
      <c r="A24" s="69" t="s">
        <v>203</v>
      </c>
      <c r="B24" s="71">
        <v>5000</v>
      </c>
      <c r="C24" s="70"/>
      <c r="D24" s="75">
        <f t="shared" si="0"/>
        <v>5</v>
      </c>
      <c r="E24" t="s">
        <v>169</v>
      </c>
      <c r="F24" t="s">
        <v>182</v>
      </c>
      <c r="G24" t="s">
        <v>43</v>
      </c>
      <c r="J24" s="81" t="s">
        <v>320</v>
      </c>
      <c r="K24" s="82">
        <v>61290.32</v>
      </c>
      <c r="L24" s="81" t="s">
        <v>192</v>
      </c>
      <c r="M24" s="82">
        <f t="shared" si="1"/>
        <v>61.290320000000001</v>
      </c>
    </row>
    <row r="25" spans="1:13" x14ac:dyDescent="0.35">
      <c r="A25" s="69" t="s">
        <v>291</v>
      </c>
      <c r="B25" s="70"/>
      <c r="C25" s="71">
        <v>495</v>
      </c>
      <c r="D25" s="75">
        <f t="shared" si="0"/>
        <v>-0.495</v>
      </c>
      <c r="E25" t="s">
        <v>163</v>
      </c>
      <c r="F25" t="s">
        <v>180</v>
      </c>
      <c r="G25" t="s">
        <v>68</v>
      </c>
      <c r="J25" s="81" t="s">
        <v>321</v>
      </c>
      <c r="K25" s="82">
        <v>65000</v>
      </c>
      <c r="L25" s="81" t="s">
        <v>192</v>
      </c>
      <c r="M25" s="82">
        <f t="shared" si="1"/>
        <v>65</v>
      </c>
    </row>
    <row r="26" spans="1:13" x14ac:dyDescent="0.35">
      <c r="A26" s="69" t="s">
        <v>292</v>
      </c>
      <c r="B26" s="71">
        <v>228363</v>
      </c>
      <c r="C26" s="70"/>
      <c r="D26" s="75">
        <f t="shared" si="0"/>
        <v>228.363</v>
      </c>
      <c r="E26" t="s">
        <v>314</v>
      </c>
      <c r="F26" t="s">
        <v>182</v>
      </c>
      <c r="G26" t="s">
        <v>38</v>
      </c>
      <c r="J26" s="81" t="s">
        <v>322</v>
      </c>
      <c r="K26" s="82">
        <v>8727</v>
      </c>
      <c r="L26" s="81" t="s">
        <v>190</v>
      </c>
      <c r="M26" s="82">
        <f t="shared" si="1"/>
        <v>8.7270000000000003</v>
      </c>
    </row>
    <row r="27" spans="1:13" x14ac:dyDescent="0.35">
      <c r="A27" s="69" t="s">
        <v>100</v>
      </c>
      <c r="B27" s="71">
        <v>16111</v>
      </c>
      <c r="C27" s="70"/>
      <c r="D27" s="75">
        <f t="shared" si="0"/>
        <v>16.111000000000001</v>
      </c>
      <c r="E27" t="s">
        <v>168</v>
      </c>
      <c r="F27" t="s">
        <v>181</v>
      </c>
      <c r="G27" t="s">
        <v>78</v>
      </c>
      <c r="J27" s="81" t="s">
        <v>323</v>
      </c>
      <c r="K27" s="82">
        <v>9120</v>
      </c>
      <c r="L27" s="81" t="s">
        <v>190</v>
      </c>
      <c r="M27" s="82">
        <f t="shared" si="1"/>
        <v>9.1199999999999992</v>
      </c>
    </row>
    <row r="28" spans="1:13" x14ac:dyDescent="0.35">
      <c r="A28" s="69" t="s">
        <v>293</v>
      </c>
      <c r="B28" s="70"/>
      <c r="C28" s="71">
        <v>8070</v>
      </c>
      <c r="D28" s="75">
        <f t="shared" si="0"/>
        <v>-8.07</v>
      </c>
      <c r="E28" t="s">
        <v>174</v>
      </c>
      <c r="F28" t="s">
        <v>180</v>
      </c>
      <c r="G28" t="s">
        <v>68</v>
      </c>
      <c r="J28" s="81" t="s">
        <v>324</v>
      </c>
      <c r="K28" s="82">
        <v>250000</v>
      </c>
      <c r="L28" s="81" t="s">
        <v>192</v>
      </c>
      <c r="M28" s="82">
        <f t="shared" si="1"/>
        <v>250</v>
      </c>
    </row>
    <row r="29" spans="1:13" x14ac:dyDescent="0.35">
      <c r="A29" s="69" t="s">
        <v>294</v>
      </c>
      <c r="B29" s="71">
        <v>43972.38</v>
      </c>
      <c r="C29" s="70"/>
      <c r="D29" s="75">
        <f t="shared" si="0"/>
        <v>43.972379999999994</v>
      </c>
      <c r="E29" t="s">
        <v>260</v>
      </c>
      <c r="F29" t="s">
        <v>181</v>
      </c>
      <c r="G29" t="s">
        <v>77</v>
      </c>
      <c r="J29" s="81" t="s">
        <v>325</v>
      </c>
      <c r="K29" s="82">
        <v>9000</v>
      </c>
      <c r="L29" s="81" t="s">
        <v>192</v>
      </c>
      <c r="M29" s="82">
        <f t="shared" si="1"/>
        <v>9</v>
      </c>
    </row>
    <row r="30" spans="1:13" x14ac:dyDescent="0.35">
      <c r="A30" s="69" t="s">
        <v>102</v>
      </c>
      <c r="B30" s="71">
        <v>11933.37</v>
      </c>
      <c r="C30" s="70"/>
      <c r="D30" s="75">
        <f t="shared" si="0"/>
        <v>11.93337</v>
      </c>
      <c r="E30" t="s">
        <v>169</v>
      </c>
      <c r="F30" t="s">
        <v>182</v>
      </c>
      <c r="G30" t="s">
        <v>37</v>
      </c>
      <c r="J30" s="81" t="s">
        <v>97</v>
      </c>
      <c r="K30" s="82">
        <v>16666</v>
      </c>
      <c r="L30" s="81" t="s">
        <v>192</v>
      </c>
      <c r="M30" s="82">
        <f t="shared" si="1"/>
        <v>16.666</v>
      </c>
    </row>
    <row r="31" spans="1:13" x14ac:dyDescent="0.35">
      <c r="A31" s="69" t="s">
        <v>295</v>
      </c>
      <c r="B31" s="70"/>
      <c r="C31" s="71">
        <v>95692</v>
      </c>
      <c r="D31" s="75">
        <f t="shared" si="0"/>
        <v>-95.691999999999993</v>
      </c>
      <c r="E31" t="s">
        <v>144</v>
      </c>
      <c r="F31" t="s">
        <v>184</v>
      </c>
      <c r="G31" t="s">
        <v>25</v>
      </c>
    </row>
    <row r="32" spans="1:13" x14ac:dyDescent="0.35">
      <c r="A32" s="69" t="s">
        <v>103</v>
      </c>
      <c r="B32" s="71">
        <v>143000</v>
      </c>
      <c r="C32" s="70"/>
      <c r="D32" s="75">
        <f t="shared" si="0"/>
        <v>143</v>
      </c>
      <c r="E32" t="s">
        <v>169</v>
      </c>
      <c r="F32" t="s">
        <v>182</v>
      </c>
      <c r="G32" t="s">
        <v>42</v>
      </c>
    </row>
    <row r="33" spans="1:7" x14ac:dyDescent="0.35">
      <c r="A33" s="69" t="s">
        <v>104</v>
      </c>
      <c r="B33" s="71">
        <v>800</v>
      </c>
      <c r="C33" s="70"/>
      <c r="D33" s="75">
        <f t="shared" si="0"/>
        <v>0.8</v>
      </c>
      <c r="E33" t="s">
        <v>167</v>
      </c>
      <c r="F33" t="s">
        <v>180</v>
      </c>
      <c r="G33" t="s">
        <v>67</v>
      </c>
    </row>
    <row r="34" spans="1:7" x14ac:dyDescent="0.35">
      <c r="A34" s="69" t="s">
        <v>105</v>
      </c>
      <c r="B34" s="70"/>
      <c r="C34" s="71">
        <v>460496.5</v>
      </c>
      <c r="D34" s="75">
        <f t="shared" si="0"/>
        <v>-460.49650000000003</v>
      </c>
      <c r="E34" t="s">
        <v>163</v>
      </c>
      <c r="F34" t="s">
        <v>180</v>
      </c>
      <c r="G34" t="s">
        <v>68</v>
      </c>
    </row>
    <row r="35" spans="1:7" x14ac:dyDescent="0.35">
      <c r="A35" s="69" t="s">
        <v>296</v>
      </c>
      <c r="B35" s="71">
        <v>289447</v>
      </c>
      <c r="C35" s="70"/>
      <c r="D35" s="75">
        <f t="shared" si="0"/>
        <v>289.447</v>
      </c>
      <c r="E35" t="s">
        <v>314</v>
      </c>
      <c r="F35" t="s">
        <v>182</v>
      </c>
      <c r="G35" t="s">
        <v>37</v>
      </c>
    </row>
    <row r="36" spans="1:7" x14ac:dyDescent="0.35">
      <c r="A36" s="69" t="s">
        <v>34</v>
      </c>
      <c r="B36" s="71">
        <v>79016</v>
      </c>
      <c r="C36" s="70"/>
      <c r="D36" s="75">
        <f t="shared" si="0"/>
        <v>79.016000000000005</v>
      </c>
      <c r="E36" t="s">
        <v>169</v>
      </c>
      <c r="F36" t="s">
        <v>182</v>
      </c>
      <c r="G36" t="s">
        <v>34</v>
      </c>
    </row>
    <row r="37" spans="1:7" x14ac:dyDescent="0.35">
      <c r="A37" s="69" t="s">
        <v>206</v>
      </c>
      <c r="B37" s="71">
        <v>4515</v>
      </c>
      <c r="C37" s="70"/>
      <c r="D37" s="75">
        <f t="shared" si="0"/>
        <v>4.5149999999999997</v>
      </c>
      <c r="E37" t="s">
        <v>169</v>
      </c>
      <c r="F37" t="s">
        <v>182</v>
      </c>
      <c r="G37" t="s">
        <v>48</v>
      </c>
    </row>
    <row r="38" spans="1:7" x14ac:dyDescent="0.35">
      <c r="A38" s="69" t="s">
        <v>207</v>
      </c>
      <c r="B38" s="70"/>
      <c r="C38" s="71">
        <v>1485</v>
      </c>
      <c r="D38" s="75">
        <f t="shared" si="0"/>
        <v>-1.4850000000000001</v>
      </c>
      <c r="E38" t="s">
        <v>163</v>
      </c>
      <c r="F38" t="s">
        <v>180</v>
      </c>
      <c r="G38" t="s">
        <v>68</v>
      </c>
    </row>
    <row r="39" spans="1:7" x14ac:dyDescent="0.35">
      <c r="A39" s="69" t="s">
        <v>297</v>
      </c>
      <c r="B39" s="71">
        <v>23884</v>
      </c>
      <c r="C39" s="70"/>
      <c r="D39" s="75">
        <f t="shared" si="0"/>
        <v>23.884</v>
      </c>
      <c r="E39" t="s">
        <v>144</v>
      </c>
      <c r="F39" t="s">
        <v>184</v>
      </c>
      <c r="G39" t="s">
        <v>316</v>
      </c>
    </row>
    <row r="40" spans="1:7" x14ac:dyDescent="0.35">
      <c r="A40" s="69" t="s">
        <v>298</v>
      </c>
      <c r="B40" s="71">
        <v>107365</v>
      </c>
      <c r="C40" s="70"/>
      <c r="D40" s="75">
        <f t="shared" si="0"/>
        <v>107.36499999999999</v>
      </c>
      <c r="E40" t="s">
        <v>144</v>
      </c>
      <c r="F40" t="s">
        <v>184</v>
      </c>
      <c r="G40" t="s">
        <v>316</v>
      </c>
    </row>
    <row r="41" spans="1:7" x14ac:dyDescent="0.35">
      <c r="A41" s="69" t="s">
        <v>108</v>
      </c>
      <c r="B41" s="71">
        <v>4681.29</v>
      </c>
      <c r="C41" s="70"/>
      <c r="D41" s="75">
        <f t="shared" si="0"/>
        <v>4.6812899999999997</v>
      </c>
      <c r="E41" t="s">
        <v>169</v>
      </c>
      <c r="F41" t="s">
        <v>182</v>
      </c>
      <c r="G41" t="s">
        <v>43</v>
      </c>
    </row>
    <row r="42" spans="1:7" x14ac:dyDescent="0.35">
      <c r="A42" s="69" t="s">
        <v>109</v>
      </c>
      <c r="B42" s="71">
        <v>27131</v>
      </c>
      <c r="C42" s="70"/>
      <c r="D42" s="75">
        <f t="shared" si="0"/>
        <v>27.131</v>
      </c>
      <c r="E42" t="s">
        <v>170</v>
      </c>
      <c r="F42" t="s">
        <v>182</v>
      </c>
      <c r="G42" t="s">
        <v>417</v>
      </c>
    </row>
    <row r="43" spans="1:7" x14ac:dyDescent="0.35">
      <c r="A43" s="69" t="s">
        <v>208</v>
      </c>
      <c r="B43" s="71">
        <v>40000000</v>
      </c>
      <c r="C43" s="70"/>
      <c r="D43" s="75">
        <f t="shared" si="0"/>
        <v>40000</v>
      </c>
      <c r="E43" t="s">
        <v>261</v>
      </c>
      <c r="F43" t="s">
        <v>181</v>
      </c>
      <c r="G43" t="s">
        <v>76</v>
      </c>
    </row>
    <row r="44" spans="1:7" x14ac:dyDescent="0.35">
      <c r="A44" s="69" t="s">
        <v>210</v>
      </c>
      <c r="B44" s="71">
        <v>20000000</v>
      </c>
      <c r="C44" s="70"/>
      <c r="D44" s="75">
        <f t="shared" si="0"/>
        <v>20000</v>
      </c>
      <c r="E44" t="s">
        <v>261</v>
      </c>
      <c r="F44" t="s">
        <v>181</v>
      </c>
      <c r="G44" t="s">
        <v>76</v>
      </c>
    </row>
    <row r="45" spans="1:7" x14ac:dyDescent="0.35">
      <c r="A45" s="69" t="s">
        <v>211</v>
      </c>
      <c r="B45" s="71">
        <v>10000000</v>
      </c>
      <c r="C45" s="70"/>
      <c r="D45" s="75">
        <f t="shared" si="0"/>
        <v>10000</v>
      </c>
      <c r="E45" t="s">
        <v>261</v>
      </c>
      <c r="F45" t="s">
        <v>181</v>
      </c>
      <c r="G45" t="s">
        <v>76</v>
      </c>
    </row>
    <row r="46" spans="1:7" x14ac:dyDescent="0.35">
      <c r="A46" s="69" t="s">
        <v>46</v>
      </c>
      <c r="B46" s="71">
        <v>161500</v>
      </c>
      <c r="C46" s="70"/>
      <c r="D46" s="75">
        <f t="shared" si="0"/>
        <v>161.5</v>
      </c>
      <c r="E46" t="s">
        <v>169</v>
      </c>
      <c r="F46" t="s">
        <v>182</v>
      </c>
      <c r="G46" t="s">
        <v>46</v>
      </c>
    </row>
    <row r="47" spans="1:7" x14ac:dyDescent="0.35">
      <c r="A47" s="69" t="s">
        <v>110</v>
      </c>
      <c r="B47" s="70"/>
      <c r="C47" s="71">
        <v>6197</v>
      </c>
      <c r="D47" s="75">
        <f t="shared" si="0"/>
        <v>-6.1970000000000001</v>
      </c>
      <c r="E47" t="s">
        <v>164</v>
      </c>
      <c r="F47" t="s">
        <v>180</v>
      </c>
      <c r="G47" t="s">
        <v>67</v>
      </c>
    </row>
    <row r="48" spans="1:7" x14ac:dyDescent="0.35">
      <c r="A48" s="69" t="s">
        <v>299</v>
      </c>
      <c r="B48" s="70"/>
      <c r="C48" s="71">
        <v>11800</v>
      </c>
      <c r="D48" s="75">
        <f t="shared" si="0"/>
        <v>-11.8</v>
      </c>
      <c r="E48" t="s">
        <v>167</v>
      </c>
      <c r="F48" t="s">
        <v>180</v>
      </c>
      <c r="G48" t="s">
        <v>67</v>
      </c>
    </row>
    <row r="49" spans="1:7" x14ac:dyDescent="0.35">
      <c r="A49" s="69" t="s">
        <v>111</v>
      </c>
      <c r="B49" s="70"/>
      <c r="C49" s="71">
        <v>179036</v>
      </c>
      <c r="D49" s="75">
        <f t="shared" si="0"/>
        <v>-179.036</v>
      </c>
      <c r="E49" t="s">
        <v>167</v>
      </c>
      <c r="F49" t="s">
        <v>180</v>
      </c>
      <c r="G49" t="s">
        <v>67</v>
      </c>
    </row>
    <row r="50" spans="1:7" x14ac:dyDescent="0.35">
      <c r="A50" s="69" t="s">
        <v>212</v>
      </c>
      <c r="B50" s="70"/>
      <c r="C50" s="71">
        <v>836</v>
      </c>
      <c r="D50" s="75">
        <f t="shared" si="0"/>
        <v>-0.83599999999999997</v>
      </c>
      <c r="E50" t="s">
        <v>165</v>
      </c>
      <c r="F50" t="s">
        <v>180</v>
      </c>
      <c r="G50" t="s">
        <v>68</v>
      </c>
    </row>
    <row r="51" spans="1:7" x14ac:dyDescent="0.35">
      <c r="A51" s="69" t="s">
        <v>112</v>
      </c>
      <c r="B51" s="70"/>
      <c r="C51" s="71">
        <v>0</v>
      </c>
      <c r="D51" s="75">
        <f t="shared" si="0"/>
        <v>0</v>
      </c>
      <c r="E51" t="s">
        <v>171</v>
      </c>
      <c r="F51" t="s">
        <v>180</v>
      </c>
      <c r="G51" t="s">
        <v>67</v>
      </c>
    </row>
    <row r="52" spans="1:7" x14ac:dyDescent="0.35">
      <c r="A52" s="69" t="s">
        <v>213</v>
      </c>
      <c r="B52" s="71">
        <v>5414</v>
      </c>
      <c r="C52" s="70"/>
      <c r="D52" s="75">
        <f t="shared" si="0"/>
        <v>5.4139999999999997</v>
      </c>
      <c r="E52" t="s">
        <v>172</v>
      </c>
      <c r="F52" t="s">
        <v>181</v>
      </c>
      <c r="G52" t="s">
        <v>79</v>
      </c>
    </row>
    <row r="53" spans="1:7" x14ac:dyDescent="0.35">
      <c r="A53" s="69" t="s">
        <v>114</v>
      </c>
      <c r="B53" s="71">
        <v>1655.99</v>
      </c>
      <c r="C53" s="70"/>
      <c r="D53" s="75">
        <f t="shared" si="0"/>
        <v>1.6559900000000001</v>
      </c>
      <c r="E53" t="s">
        <v>172</v>
      </c>
      <c r="F53" t="s">
        <v>180</v>
      </c>
      <c r="G53" t="s">
        <v>79</v>
      </c>
    </row>
    <row r="54" spans="1:7" x14ac:dyDescent="0.35">
      <c r="A54" s="69" t="s">
        <v>115</v>
      </c>
      <c r="B54" s="71">
        <v>162228.5</v>
      </c>
      <c r="C54" s="70"/>
      <c r="D54" s="75">
        <f t="shared" si="0"/>
        <v>162.2285</v>
      </c>
      <c r="E54" t="s">
        <v>172</v>
      </c>
      <c r="F54" t="s">
        <v>180</v>
      </c>
      <c r="G54" t="s">
        <v>79</v>
      </c>
    </row>
    <row r="55" spans="1:7" x14ac:dyDescent="0.35">
      <c r="A55" s="69" t="s">
        <v>116</v>
      </c>
      <c r="B55" s="71">
        <v>48612.6</v>
      </c>
      <c r="C55" s="70"/>
      <c r="D55" s="75">
        <f t="shared" si="0"/>
        <v>48.6126</v>
      </c>
      <c r="E55" t="s">
        <v>172</v>
      </c>
      <c r="F55" t="s">
        <v>180</v>
      </c>
      <c r="G55" t="s">
        <v>79</v>
      </c>
    </row>
    <row r="56" spans="1:7" x14ac:dyDescent="0.35">
      <c r="A56" s="69" t="s">
        <v>214</v>
      </c>
      <c r="B56" s="71">
        <v>1196.6400000000001</v>
      </c>
      <c r="C56" s="70"/>
      <c r="D56" s="75">
        <f t="shared" si="0"/>
        <v>1.1966400000000001</v>
      </c>
      <c r="E56" t="s">
        <v>172</v>
      </c>
      <c r="F56" t="s">
        <v>181</v>
      </c>
      <c r="G56" t="s">
        <v>79</v>
      </c>
    </row>
    <row r="57" spans="1:7" x14ac:dyDescent="0.35">
      <c r="A57" s="69" t="s">
        <v>215</v>
      </c>
      <c r="B57" s="71">
        <v>227160</v>
      </c>
      <c r="C57" s="70"/>
      <c r="D57" s="75">
        <f t="shared" si="0"/>
        <v>227.16</v>
      </c>
      <c r="E57" t="s">
        <v>172</v>
      </c>
      <c r="F57" t="s">
        <v>181</v>
      </c>
      <c r="G57" t="s">
        <v>79</v>
      </c>
    </row>
    <row r="58" spans="1:7" x14ac:dyDescent="0.35">
      <c r="A58" s="69" t="s">
        <v>216</v>
      </c>
      <c r="B58" s="71">
        <v>5414</v>
      </c>
      <c r="C58" s="70"/>
      <c r="D58" s="75">
        <f t="shared" si="0"/>
        <v>5.4139999999999997</v>
      </c>
      <c r="E58" t="s">
        <v>172</v>
      </c>
      <c r="F58" t="s">
        <v>181</v>
      </c>
      <c r="G58" t="s">
        <v>79</v>
      </c>
    </row>
    <row r="59" spans="1:7" x14ac:dyDescent="0.35">
      <c r="A59" s="69" t="s">
        <v>117</v>
      </c>
      <c r="B59" s="71">
        <v>1655.99</v>
      </c>
      <c r="C59" s="70"/>
      <c r="D59" s="75">
        <f t="shared" si="0"/>
        <v>1.6559900000000001</v>
      </c>
      <c r="E59" t="s">
        <v>172</v>
      </c>
      <c r="F59" t="s">
        <v>180</v>
      </c>
      <c r="G59" t="s">
        <v>79</v>
      </c>
    </row>
    <row r="60" spans="1:7" x14ac:dyDescent="0.35">
      <c r="A60" s="69" t="s">
        <v>118</v>
      </c>
      <c r="B60" s="71">
        <v>150513.94</v>
      </c>
      <c r="C60" s="70"/>
      <c r="D60" s="75">
        <f t="shared" si="0"/>
        <v>150.51393999999999</v>
      </c>
      <c r="E60" t="s">
        <v>172</v>
      </c>
      <c r="F60" t="s">
        <v>180</v>
      </c>
      <c r="G60" t="s">
        <v>79</v>
      </c>
    </row>
    <row r="61" spans="1:7" x14ac:dyDescent="0.35">
      <c r="A61" s="69" t="s">
        <v>300</v>
      </c>
      <c r="B61" s="71">
        <v>287167.67</v>
      </c>
      <c r="C61" s="70"/>
      <c r="D61" s="75">
        <f t="shared" si="0"/>
        <v>287.16766999999999</v>
      </c>
      <c r="E61" t="s">
        <v>259</v>
      </c>
      <c r="F61" t="s">
        <v>181</v>
      </c>
      <c r="G61" t="s">
        <v>72</v>
      </c>
    </row>
    <row r="62" spans="1:7" x14ac:dyDescent="0.35">
      <c r="A62" s="69" t="s">
        <v>301</v>
      </c>
      <c r="B62" s="70"/>
      <c r="C62" s="71">
        <v>324662.33</v>
      </c>
      <c r="D62" s="75">
        <f t="shared" si="0"/>
        <v>-324.66233</v>
      </c>
      <c r="E62" t="s">
        <v>315</v>
      </c>
      <c r="F62" t="s">
        <v>184</v>
      </c>
      <c r="G62" t="s">
        <v>49</v>
      </c>
    </row>
    <row r="63" spans="1:7" x14ac:dyDescent="0.35">
      <c r="A63" s="69" t="s">
        <v>121</v>
      </c>
      <c r="B63" s="70"/>
      <c r="C63" s="71">
        <v>3494.7</v>
      </c>
      <c r="D63" s="75">
        <f t="shared" si="0"/>
        <v>-3.4946999999999999</v>
      </c>
      <c r="E63" t="s">
        <v>163</v>
      </c>
      <c r="F63" t="s">
        <v>180</v>
      </c>
      <c r="G63" t="s">
        <v>68</v>
      </c>
    </row>
    <row r="64" spans="1:7" x14ac:dyDescent="0.35">
      <c r="A64" s="69" t="s">
        <v>217</v>
      </c>
      <c r="B64" s="71">
        <v>316300.2</v>
      </c>
      <c r="C64" s="70"/>
      <c r="D64" s="75">
        <f t="shared" si="0"/>
        <v>316.30020000000002</v>
      </c>
      <c r="E64" t="s">
        <v>166</v>
      </c>
      <c r="F64" t="s">
        <v>181</v>
      </c>
      <c r="G64" t="s">
        <v>78</v>
      </c>
    </row>
    <row r="65" spans="1:7" x14ac:dyDescent="0.35">
      <c r="A65" s="69" t="s">
        <v>218</v>
      </c>
      <c r="B65" s="71">
        <v>233993.7</v>
      </c>
      <c r="C65" s="70"/>
      <c r="D65" s="75">
        <f t="shared" si="0"/>
        <v>233.99370000000002</v>
      </c>
      <c r="E65" t="s">
        <v>166</v>
      </c>
      <c r="F65" t="s">
        <v>181</v>
      </c>
      <c r="G65" t="s">
        <v>78</v>
      </c>
    </row>
    <row r="66" spans="1:7" x14ac:dyDescent="0.35">
      <c r="A66" s="69" t="s">
        <v>302</v>
      </c>
      <c r="B66" s="70"/>
      <c r="C66" s="71">
        <v>400</v>
      </c>
      <c r="D66" s="75">
        <f t="shared" si="0"/>
        <v>-0.4</v>
      </c>
      <c r="E66" t="s">
        <v>175</v>
      </c>
      <c r="F66" t="s">
        <v>180</v>
      </c>
      <c r="G66" t="s">
        <v>68</v>
      </c>
    </row>
    <row r="67" spans="1:7" x14ac:dyDescent="0.35">
      <c r="A67" s="69" t="s">
        <v>123</v>
      </c>
      <c r="B67" s="70"/>
      <c r="C67" s="71">
        <v>2970</v>
      </c>
      <c r="D67" s="75">
        <f t="shared" si="0"/>
        <v>-2.97</v>
      </c>
      <c r="E67" t="s">
        <v>163</v>
      </c>
      <c r="F67" t="s">
        <v>180</v>
      </c>
      <c r="G67" t="s">
        <v>68</v>
      </c>
    </row>
    <row r="68" spans="1:7" x14ac:dyDescent="0.35">
      <c r="A68" s="69" t="s">
        <v>124</v>
      </c>
      <c r="B68" s="71">
        <v>475812.5</v>
      </c>
      <c r="C68" s="70"/>
      <c r="D68" s="75">
        <f t="shared" si="0"/>
        <v>475.8125</v>
      </c>
      <c r="E68" t="s">
        <v>173</v>
      </c>
      <c r="F68" t="s">
        <v>182</v>
      </c>
      <c r="G68" t="s">
        <v>26</v>
      </c>
    </row>
    <row r="69" spans="1:7" x14ac:dyDescent="0.35">
      <c r="A69" s="69" t="s">
        <v>303</v>
      </c>
      <c r="B69" s="70"/>
      <c r="C69" s="71">
        <v>430159</v>
      </c>
      <c r="D69" s="75">
        <f t="shared" si="0"/>
        <v>-430.15899999999999</v>
      </c>
      <c r="E69" t="s">
        <v>144</v>
      </c>
      <c r="F69" t="s">
        <v>184</v>
      </c>
      <c r="G69" t="s">
        <v>25</v>
      </c>
    </row>
    <row r="70" spans="1:7" x14ac:dyDescent="0.35">
      <c r="A70" s="69" t="s">
        <v>221</v>
      </c>
      <c r="B70" s="70"/>
      <c r="C70" s="71">
        <v>0</v>
      </c>
      <c r="D70" s="75">
        <f t="shared" si="0"/>
        <v>0</v>
      </c>
      <c r="E70" t="s">
        <v>171</v>
      </c>
      <c r="F70" t="s">
        <v>180</v>
      </c>
      <c r="G70" t="s">
        <v>67</v>
      </c>
    </row>
    <row r="71" spans="1:7" x14ac:dyDescent="0.35">
      <c r="A71" s="69" t="s">
        <v>222</v>
      </c>
      <c r="B71" s="70"/>
      <c r="C71" s="71">
        <v>495</v>
      </c>
      <c r="D71" s="75">
        <f t="shared" si="0"/>
        <v>-0.495</v>
      </c>
      <c r="E71" t="s">
        <v>163</v>
      </c>
      <c r="F71" t="s">
        <v>180</v>
      </c>
      <c r="G71" t="s">
        <v>68</v>
      </c>
    </row>
    <row r="72" spans="1:7" x14ac:dyDescent="0.35">
      <c r="A72" s="69" t="s">
        <v>223</v>
      </c>
      <c r="B72" s="70"/>
      <c r="C72" s="71">
        <v>990</v>
      </c>
      <c r="D72" s="75">
        <f t="shared" si="0"/>
        <v>-0.99</v>
      </c>
      <c r="E72" t="s">
        <v>163</v>
      </c>
      <c r="F72" t="s">
        <v>180</v>
      </c>
      <c r="G72" t="s">
        <v>68</v>
      </c>
    </row>
    <row r="73" spans="1:7" x14ac:dyDescent="0.35">
      <c r="A73" s="69" t="s">
        <v>304</v>
      </c>
      <c r="B73" s="70"/>
      <c r="C73" s="71">
        <v>2376</v>
      </c>
      <c r="D73" s="75">
        <f t="shared" si="0"/>
        <v>-2.3759999999999999</v>
      </c>
      <c r="E73" t="s">
        <v>164</v>
      </c>
      <c r="F73" t="s">
        <v>180</v>
      </c>
      <c r="G73" t="s">
        <v>67</v>
      </c>
    </row>
    <row r="74" spans="1:7" x14ac:dyDescent="0.35">
      <c r="A74" s="69" t="s">
        <v>267</v>
      </c>
      <c r="B74" s="70"/>
      <c r="C74" s="71">
        <v>30675</v>
      </c>
      <c r="D74" s="75">
        <f t="shared" si="0"/>
        <v>-30.675000000000001</v>
      </c>
      <c r="E74" t="s">
        <v>165</v>
      </c>
      <c r="F74" t="s">
        <v>180</v>
      </c>
      <c r="G74" t="s">
        <v>68</v>
      </c>
    </row>
    <row r="75" spans="1:7" x14ac:dyDescent="0.35">
      <c r="A75" s="69" t="s">
        <v>127</v>
      </c>
      <c r="B75" s="70"/>
      <c r="C75" s="71">
        <v>1226.5999999999999</v>
      </c>
      <c r="D75" s="75">
        <f t="shared" ref="D75:D133" si="2">(B75-C75)/1000</f>
        <v>-1.2265999999999999</v>
      </c>
      <c r="E75" t="s">
        <v>163</v>
      </c>
      <c r="F75" t="s">
        <v>180</v>
      </c>
      <c r="G75" t="s">
        <v>68</v>
      </c>
    </row>
    <row r="76" spans="1:7" x14ac:dyDescent="0.35">
      <c r="A76" s="69" t="s">
        <v>225</v>
      </c>
      <c r="B76" s="70"/>
      <c r="C76" s="71">
        <v>23.19</v>
      </c>
      <c r="D76" s="75">
        <f t="shared" si="2"/>
        <v>-2.3190000000000002E-2</v>
      </c>
      <c r="E76" t="s">
        <v>163</v>
      </c>
      <c r="F76" t="s">
        <v>180</v>
      </c>
      <c r="G76" t="s">
        <v>68</v>
      </c>
    </row>
    <row r="77" spans="1:7" x14ac:dyDescent="0.35">
      <c r="A77" s="69" t="s">
        <v>43</v>
      </c>
      <c r="B77" s="71">
        <v>13123</v>
      </c>
      <c r="C77" s="70"/>
      <c r="D77" s="75">
        <f t="shared" si="2"/>
        <v>13.122999999999999</v>
      </c>
      <c r="E77" t="s">
        <v>169</v>
      </c>
      <c r="F77" t="s">
        <v>182</v>
      </c>
      <c r="G77" t="s">
        <v>43</v>
      </c>
    </row>
    <row r="78" spans="1:7" x14ac:dyDescent="0.35">
      <c r="A78" s="69" t="s">
        <v>305</v>
      </c>
      <c r="B78" s="70"/>
      <c r="C78" s="71">
        <v>990</v>
      </c>
      <c r="D78" s="75">
        <f t="shared" si="2"/>
        <v>-0.99</v>
      </c>
      <c r="E78" t="s">
        <v>163</v>
      </c>
      <c r="F78" t="s">
        <v>180</v>
      </c>
      <c r="G78" t="s">
        <v>68</v>
      </c>
    </row>
    <row r="79" spans="1:7" x14ac:dyDescent="0.35">
      <c r="A79" s="69" t="s">
        <v>227</v>
      </c>
      <c r="B79" s="70"/>
      <c r="C79" s="71">
        <v>79999971.200000003</v>
      </c>
      <c r="D79" s="75">
        <f t="shared" si="2"/>
        <v>-79999.9712</v>
      </c>
      <c r="E79" t="s">
        <v>262</v>
      </c>
      <c r="F79" t="s">
        <v>180</v>
      </c>
    </row>
    <row r="80" spans="1:7" x14ac:dyDescent="0.35">
      <c r="A80" s="69" t="s">
        <v>1263</v>
      </c>
      <c r="B80" s="70"/>
      <c r="C80" s="107">
        <v>4207010</v>
      </c>
      <c r="D80" s="107">
        <f t="shared" si="2"/>
        <v>-4207.01</v>
      </c>
      <c r="G80" t="s">
        <v>63</v>
      </c>
    </row>
    <row r="81" spans="1:7" x14ac:dyDescent="0.35">
      <c r="A81" s="69" t="s">
        <v>1264</v>
      </c>
      <c r="B81" s="70"/>
      <c r="C81" s="107">
        <f>C79-C80</f>
        <v>75792961.200000003</v>
      </c>
      <c r="D81" s="107">
        <f t="shared" si="2"/>
        <v>-75792.961200000005</v>
      </c>
      <c r="G81" t="s">
        <v>64</v>
      </c>
    </row>
    <row r="82" spans="1:7" x14ac:dyDescent="0.35">
      <c r="A82" s="69" t="s">
        <v>228</v>
      </c>
      <c r="B82" s="70"/>
      <c r="C82" s="71">
        <v>22.7</v>
      </c>
      <c r="D82" s="75">
        <f t="shared" si="2"/>
        <v>-2.2699999999999998E-2</v>
      </c>
      <c r="E82" t="s">
        <v>163</v>
      </c>
      <c r="F82" t="s">
        <v>180</v>
      </c>
      <c r="G82" t="s">
        <v>68</v>
      </c>
    </row>
    <row r="83" spans="1:7" x14ac:dyDescent="0.35">
      <c r="A83" s="69" t="s">
        <v>230</v>
      </c>
      <c r="B83" s="70"/>
      <c r="C83" s="71">
        <v>495</v>
      </c>
      <c r="D83" s="75">
        <f t="shared" si="2"/>
        <v>-0.495</v>
      </c>
      <c r="E83" t="s">
        <v>163</v>
      </c>
      <c r="F83" t="s">
        <v>180</v>
      </c>
      <c r="G83" t="s">
        <v>68</v>
      </c>
    </row>
    <row r="84" spans="1:7" x14ac:dyDescent="0.35">
      <c r="A84" s="69" t="s">
        <v>42</v>
      </c>
      <c r="B84" s="71">
        <v>2323.16</v>
      </c>
      <c r="C84" s="70"/>
      <c r="D84" s="75">
        <f t="shared" si="2"/>
        <v>2.3231599999999997</v>
      </c>
      <c r="E84" t="s">
        <v>40</v>
      </c>
      <c r="F84" t="s">
        <v>182</v>
      </c>
      <c r="G84" t="s">
        <v>42</v>
      </c>
    </row>
    <row r="85" spans="1:7" x14ac:dyDescent="0.35">
      <c r="A85" s="69" t="s">
        <v>231</v>
      </c>
      <c r="B85" s="71">
        <v>43755.9</v>
      </c>
      <c r="C85" s="70"/>
      <c r="D85" s="75">
        <f t="shared" si="2"/>
        <v>43.755900000000004</v>
      </c>
      <c r="E85" t="s">
        <v>259</v>
      </c>
      <c r="F85" t="s">
        <v>181</v>
      </c>
      <c r="G85" t="s">
        <v>71</v>
      </c>
    </row>
    <row r="86" spans="1:7" x14ac:dyDescent="0.35">
      <c r="A86" s="69" t="s">
        <v>40</v>
      </c>
      <c r="B86" s="71">
        <v>36313.58</v>
      </c>
      <c r="C86" s="70"/>
      <c r="D86" s="75">
        <f t="shared" si="2"/>
        <v>36.313580000000002</v>
      </c>
      <c r="E86" t="s">
        <v>169</v>
      </c>
      <c r="F86" t="s">
        <v>182</v>
      </c>
      <c r="G86" t="s">
        <v>43</v>
      </c>
    </row>
    <row r="87" spans="1:7" x14ac:dyDescent="0.35">
      <c r="A87" s="69" t="s">
        <v>129</v>
      </c>
      <c r="B87" s="70"/>
      <c r="C87" s="71">
        <v>6462.64</v>
      </c>
      <c r="D87" s="75">
        <f t="shared" si="2"/>
        <v>-6.4626400000000004</v>
      </c>
      <c r="E87" t="s">
        <v>174</v>
      </c>
      <c r="F87" t="s">
        <v>180</v>
      </c>
      <c r="G87" t="s">
        <v>68</v>
      </c>
    </row>
    <row r="88" spans="1:7" x14ac:dyDescent="0.35">
      <c r="A88" s="69" t="s">
        <v>130</v>
      </c>
      <c r="B88" s="70"/>
      <c r="C88" s="71">
        <v>6462.64</v>
      </c>
      <c r="D88" s="75">
        <f t="shared" si="2"/>
        <v>-6.4626400000000004</v>
      </c>
      <c r="E88" t="s">
        <v>174</v>
      </c>
      <c r="F88" t="s">
        <v>180</v>
      </c>
      <c r="G88" t="s">
        <v>68</v>
      </c>
    </row>
    <row r="89" spans="1:7" x14ac:dyDescent="0.35">
      <c r="A89" s="69" t="s">
        <v>306</v>
      </c>
      <c r="B89" s="71">
        <v>10000</v>
      </c>
      <c r="C89" s="70"/>
      <c r="D89" s="75">
        <f t="shared" si="2"/>
        <v>10</v>
      </c>
      <c r="E89" t="s">
        <v>167</v>
      </c>
      <c r="F89" t="s">
        <v>180</v>
      </c>
      <c r="G89" t="s">
        <v>67</v>
      </c>
    </row>
    <row r="90" spans="1:7" x14ac:dyDescent="0.35">
      <c r="A90" s="69" t="s">
        <v>131</v>
      </c>
      <c r="B90" s="70"/>
      <c r="C90" s="71">
        <v>990</v>
      </c>
      <c r="D90" s="75">
        <f t="shared" si="2"/>
        <v>-0.99</v>
      </c>
      <c r="E90" t="s">
        <v>163</v>
      </c>
      <c r="F90" t="s">
        <v>180</v>
      </c>
      <c r="G90" t="s">
        <v>68</v>
      </c>
    </row>
    <row r="91" spans="1:7" x14ac:dyDescent="0.35">
      <c r="A91" s="69" t="s">
        <v>29</v>
      </c>
      <c r="B91" s="71">
        <v>4336.5</v>
      </c>
      <c r="C91" s="70"/>
      <c r="D91" s="75">
        <f t="shared" si="2"/>
        <v>4.3365</v>
      </c>
      <c r="E91" t="s">
        <v>173</v>
      </c>
      <c r="F91" t="s">
        <v>182</v>
      </c>
      <c r="G91" t="s">
        <v>29</v>
      </c>
    </row>
    <row r="92" spans="1:7" x14ac:dyDescent="0.35">
      <c r="A92" s="69" t="s">
        <v>233</v>
      </c>
      <c r="B92" s="71">
        <v>2013</v>
      </c>
      <c r="C92" s="70"/>
      <c r="D92" s="75">
        <f t="shared" si="2"/>
        <v>2.0129999999999999</v>
      </c>
      <c r="E92" t="s">
        <v>170</v>
      </c>
      <c r="F92" t="s">
        <v>182</v>
      </c>
      <c r="G92" t="s">
        <v>417</v>
      </c>
    </row>
    <row r="93" spans="1:7" x14ac:dyDescent="0.35">
      <c r="A93" s="69" t="s">
        <v>273</v>
      </c>
      <c r="B93" s="70"/>
      <c r="C93" s="71">
        <v>5173</v>
      </c>
      <c r="D93" s="75">
        <f t="shared" si="2"/>
        <v>-5.173</v>
      </c>
      <c r="E93" t="s">
        <v>165</v>
      </c>
      <c r="F93" t="s">
        <v>180</v>
      </c>
      <c r="G93" t="s">
        <v>68</v>
      </c>
    </row>
    <row r="94" spans="1:7" x14ac:dyDescent="0.35">
      <c r="A94" s="69" t="s">
        <v>41</v>
      </c>
      <c r="B94" s="71">
        <v>100000</v>
      </c>
      <c r="C94" s="70"/>
      <c r="D94" s="75">
        <f t="shared" si="2"/>
        <v>100</v>
      </c>
      <c r="E94" t="s">
        <v>40</v>
      </c>
      <c r="F94" t="s">
        <v>182</v>
      </c>
      <c r="G94" t="s">
        <v>41</v>
      </c>
    </row>
    <row r="95" spans="1:7" x14ac:dyDescent="0.35">
      <c r="A95" s="69" t="s">
        <v>134</v>
      </c>
      <c r="B95" s="70"/>
      <c r="C95" s="71">
        <v>4550</v>
      </c>
      <c r="D95" s="75">
        <f t="shared" si="2"/>
        <v>-4.55</v>
      </c>
      <c r="E95" t="s">
        <v>175</v>
      </c>
      <c r="F95" t="s">
        <v>180</v>
      </c>
      <c r="G95" t="s">
        <v>68</v>
      </c>
    </row>
    <row r="96" spans="1:7" x14ac:dyDescent="0.35">
      <c r="A96" s="69" t="s">
        <v>135</v>
      </c>
      <c r="B96" s="71">
        <v>6952734.5199999996</v>
      </c>
      <c r="C96" s="70"/>
      <c r="D96" s="75">
        <f t="shared" si="2"/>
        <v>6952.73452</v>
      </c>
      <c r="E96" t="s">
        <v>176</v>
      </c>
      <c r="F96" t="s">
        <v>183</v>
      </c>
      <c r="G96" t="s">
        <v>64</v>
      </c>
    </row>
    <row r="97" spans="1:7" x14ac:dyDescent="0.35">
      <c r="A97" s="69" t="s">
        <v>307</v>
      </c>
      <c r="B97" s="70"/>
      <c r="C97" s="71">
        <v>7725</v>
      </c>
      <c r="D97" s="75">
        <f t="shared" si="2"/>
        <v>-7.7249999999999996</v>
      </c>
      <c r="E97" t="s">
        <v>167</v>
      </c>
      <c r="F97" t="s">
        <v>180</v>
      </c>
      <c r="G97" t="s">
        <v>67</v>
      </c>
    </row>
    <row r="98" spans="1:7" x14ac:dyDescent="0.35">
      <c r="A98" s="69" t="s">
        <v>136</v>
      </c>
      <c r="B98" s="70"/>
      <c r="C98" s="71">
        <v>27131</v>
      </c>
      <c r="D98" s="75">
        <f t="shared" si="2"/>
        <v>-27.131</v>
      </c>
      <c r="E98" t="s">
        <v>177</v>
      </c>
      <c r="F98" t="s">
        <v>180</v>
      </c>
      <c r="G98" t="s">
        <v>68</v>
      </c>
    </row>
    <row r="99" spans="1:7" x14ac:dyDescent="0.35">
      <c r="A99" s="69" t="s">
        <v>137</v>
      </c>
      <c r="B99" s="70"/>
      <c r="C99" s="71">
        <v>27131</v>
      </c>
      <c r="D99" s="75">
        <f t="shared" si="2"/>
        <v>-27.131</v>
      </c>
      <c r="E99" t="s">
        <v>177</v>
      </c>
      <c r="F99" t="s">
        <v>180</v>
      </c>
      <c r="G99" t="s">
        <v>68</v>
      </c>
    </row>
    <row r="100" spans="1:7" x14ac:dyDescent="0.35">
      <c r="A100" s="69" t="s">
        <v>138</v>
      </c>
      <c r="B100" s="70"/>
      <c r="C100" s="71">
        <v>25000</v>
      </c>
      <c r="D100" s="75">
        <f t="shared" si="2"/>
        <v>-25</v>
      </c>
      <c r="E100" t="s">
        <v>178</v>
      </c>
      <c r="F100" t="s">
        <v>180</v>
      </c>
      <c r="G100" t="s">
        <v>69</v>
      </c>
    </row>
    <row r="101" spans="1:7" x14ac:dyDescent="0.35">
      <c r="A101" s="69" t="s">
        <v>238</v>
      </c>
      <c r="B101" s="70"/>
      <c r="C101" s="71">
        <v>495</v>
      </c>
      <c r="D101" s="75">
        <f t="shared" si="2"/>
        <v>-0.495</v>
      </c>
      <c r="E101" t="s">
        <v>163</v>
      </c>
      <c r="F101" t="s">
        <v>180</v>
      </c>
      <c r="G101" t="s">
        <v>68</v>
      </c>
    </row>
    <row r="102" spans="1:7" x14ac:dyDescent="0.35">
      <c r="A102" s="69" t="s">
        <v>308</v>
      </c>
      <c r="B102" s="70"/>
      <c r="C102" s="71">
        <v>0</v>
      </c>
      <c r="D102" s="75">
        <f t="shared" si="2"/>
        <v>0</v>
      </c>
      <c r="E102" t="s">
        <v>66</v>
      </c>
      <c r="F102" t="s">
        <v>180</v>
      </c>
      <c r="G102" t="s">
        <v>68</v>
      </c>
    </row>
    <row r="103" spans="1:7" x14ac:dyDescent="0.35">
      <c r="A103" s="69" t="s">
        <v>240</v>
      </c>
      <c r="B103" s="71">
        <v>58800</v>
      </c>
      <c r="C103" s="70"/>
      <c r="D103" s="75">
        <f t="shared" si="2"/>
        <v>58.8</v>
      </c>
      <c r="E103" t="s">
        <v>169</v>
      </c>
      <c r="F103" t="s">
        <v>182</v>
      </c>
      <c r="G103" t="s">
        <v>39</v>
      </c>
    </row>
    <row r="104" spans="1:7" x14ac:dyDescent="0.35">
      <c r="A104" s="69" t="s">
        <v>142</v>
      </c>
      <c r="B104" s="71">
        <v>43333.34</v>
      </c>
      <c r="C104" s="70"/>
      <c r="D104" s="75">
        <f t="shared" si="2"/>
        <v>43.33334</v>
      </c>
      <c r="E104" t="s">
        <v>169</v>
      </c>
      <c r="F104" t="s">
        <v>182</v>
      </c>
      <c r="G104" t="s">
        <v>31</v>
      </c>
    </row>
    <row r="105" spans="1:7" x14ac:dyDescent="0.35">
      <c r="A105" s="69" t="s">
        <v>242</v>
      </c>
      <c r="B105" s="70"/>
      <c r="C105" s="71">
        <v>1980</v>
      </c>
      <c r="D105" s="75">
        <f t="shared" si="2"/>
        <v>-1.98</v>
      </c>
      <c r="E105" t="s">
        <v>163</v>
      </c>
      <c r="F105" t="s">
        <v>180</v>
      </c>
      <c r="G105" t="s">
        <v>68</v>
      </c>
    </row>
    <row r="106" spans="1:7" x14ac:dyDescent="0.35">
      <c r="A106" s="69" t="s">
        <v>309</v>
      </c>
      <c r="B106" s="70"/>
      <c r="C106" s="71">
        <v>113400</v>
      </c>
      <c r="D106" s="75">
        <f t="shared" si="2"/>
        <v>-113.4</v>
      </c>
      <c r="E106" t="s">
        <v>171</v>
      </c>
      <c r="F106" t="s">
        <v>180</v>
      </c>
      <c r="G106" t="s">
        <v>67</v>
      </c>
    </row>
    <row r="107" spans="1:7" x14ac:dyDescent="0.35">
      <c r="A107" s="69" t="s">
        <v>143</v>
      </c>
      <c r="B107" s="71">
        <v>1634593.32</v>
      </c>
      <c r="C107" s="70"/>
      <c r="D107" s="75">
        <f t="shared" si="2"/>
        <v>1634.5933200000002</v>
      </c>
      <c r="E107" t="s">
        <v>170</v>
      </c>
      <c r="F107" t="s">
        <v>182</v>
      </c>
      <c r="G107" t="s">
        <v>185</v>
      </c>
    </row>
    <row r="108" spans="1:7" x14ac:dyDescent="0.35">
      <c r="A108" s="69" t="s">
        <v>145</v>
      </c>
      <c r="B108" s="70"/>
      <c r="C108" s="71">
        <v>88856</v>
      </c>
      <c r="D108" s="75">
        <f t="shared" si="2"/>
        <v>-88.855999999999995</v>
      </c>
      <c r="E108" t="s">
        <v>171</v>
      </c>
      <c r="F108" t="s">
        <v>180</v>
      </c>
      <c r="G108" t="s">
        <v>67</v>
      </c>
    </row>
    <row r="109" spans="1:7" x14ac:dyDescent="0.35">
      <c r="A109" s="69" t="s">
        <v>310</v>
      </c>
      <c r="B109" s="70"/>
      <c r="C109" s="71">
        <v>6805</v>
      </c>
      <c r="D109" s="75">
        <f t="shared" si="2"/>
        <v>-6.8049999999999997</v>
      </c>
      <c r="E109" t="s">
        <v>171</v>
      </c>
      <c r="F109" t="s">
        <v>180</v>
      </c>
      <c r="G109" t="s">
        <v>67</v>
      </c>
    </row>
    <row r="110" spans="1:7" x14ac:dyDescent="0.35">
      <c r="A110" s="69" t="s">
        <v>245</v>
      </c>
      <c r="B110" s="70"/>
      <c r="C110" s="71">
        <v>990</v>
      </c>
      <c r="D110" s="75">
        <f t="shared" si="2"/>
        <v>-0.99</v>
      </c>
      <c r="E110" t="s">
        <v>163</v>
      </c>
      <c r="F110" t="s">
        <v>180</v>
      </c>
      <c r="G110" t="s">
        <v>68</v>
      </c>
    </row>
    <row r="111" spans="1:7" x14ac:dyDescent="0.35">
      <c r="A111" s="69" t="s">
        <v>146</v>
      </c>
      <c r="B111" s="71">
        <v>461000</v>
      </c>
      <c r="C111" s="70"/>
      <c r="D111" s="75">
        <f t="shared" si="2"/>
        <v>461</v>
      </c>
      <c r="E111" t="s">
        <v>75</v>
      </c>
      <c r="F111" t="s">
        <v>181</v>
      </c>
      <c r="G111" t="s">
        <v>73</v>
      </c>
    </row>
    <row r="112" spans="1:7" x14ac:dyDescent="0.35">
      <c r="A112" s="69" t="s">
        <v>311</v>
      </c>
      <c r="B112" s="70"/>
      <c r="C112" s="71">
        <v>8070</v>
      </c>
      <c r="D112" s="75">
        <f t="shared" si="2"/>
        <v>-8.07</v>
      </c>
      <c r="E112" t="s">
        <v>174</v>
      </c>
      <c r="F112" t="s">
        <v>180</v>
      </c>
      <c r="G112" t="s">
        <v>68</v>
      </c>
    </row>
    <row r="113" spans="1:7" x14ac:dyDescent="0.35">
      <c r="A113" s="69" t="s">
        <v>148</v>
      </c>
      <c r="B113" s="70"/>
      <c r="C113" s="71">
        <v>232000</v>
      </c>
      <c r="D113" s="75">
        <f t="shared" si="2"/>
        <v>-232</v>
      </c>
      <c r="E113" t="s">
        <v>164</v>
      </c>
      <c r="F113" t="s">
        <v>180</v>
      </c>
      <c r="G113" t="s">
        <v>67</v>
      </c>
    </row>
    <row r="114" spans="1:7" x14ac:dyDescent="0.35">
      <c r="A114" s="69" t="s">
        <v>149</v>
      </c>
      <c r="B114" s="71">
        <v>31052.080000000002</v>
      </c>
      <c r="C114" s="70"/>
      <c r="D114" s="75">
        <f t="shared" si="2"/>
        <v>31.05208</v>
      </c>
      <c r="E114" t="s">
        <v>169</v>
      </c>
      <c r="F114" t="s">
        <v>182</v>
      </c>
      <c r="G114" t="s">
        <v>39</v>
      </c>
    </row>
    <row r="115" spans="1:7" x14ac:dyDescent="0.35">
      <c r="A115" s="69" t="s">
        <v>187</v>
      </c>
      <c r="B115" s="70"/>
      <c r="C115" s="71">
        <v>1500</v>
      </c>
      <c r="D115" s="75">
        <f t="shared" si="2"/>
        <v>-1.5</v>
      </c>
      <c r="E115" t="s">
        <v>165</v>
      </c>
      <c r="F115" t="s">
        <v>180</v>
      </c>
      <c r="G115" t="s">
        <v>68</v>
      </c>
    </row>
    <row r="116" spans="1:7" x14ac:dyDescent="0.35">
      <c r="A116" s="69" t="s">
        <v>33</v>
      </c>
      <c r="B116" s="71">
        <v>49036.1</v>
      </c>
      <c r="C116" s="70"/>
      <c r="D116" s="75">
        <f t="shared" si="2"/>
        <v>49.036099999999998</v>
      </c>
      <c r="E116" t="s">
        <v>173</v>
      </c>
      <c r="F116" t="s">
        <v>182</v>
      </c>
      <c r="G116" t="s">
        <v>33</v>
      </c>
    </row>
    <row r="117" spans="1:7" x14ac:dyDescent="0.35">
      <c r="A117" s="69" t="s">
        <v>150</v>
      </c>
      <c r="B117" s="71">
        <v>22472.99</v>
      </c>
      <c r="C117" s="70"/>
      <c r="D117" s="75">
        <f t="shared" si="2"/>
        <v>22.472990000000003</v>
      </c>
      <c r="E117" t="s">
        <v>170</v>
      </c>
      <c r="F117" t="s">
        <v>182</v>
      </c>
      <c r="G117" t="s">
        <v>417</v>
      </c>
    </row>
    <row r="118" spans="1:7" x14ac:dyDescent="0.35">
      <c r="A118" s="69" t="s">
        <v>249</v>
      </c>
      <c r="B118" s="71">
        <v>1616.31</v>
      </c>
      <c r="C118" s="70"/>
      <c r="D118" s="75">
        <f t="shared" si="2"/>
        <v>1.6163099999999999</v>
      </c>
      <c r="E118" t="s">
        <v>169</v>
      </c>
      <c r="F118" t="s">
        <v>182</v>
      </c>
      <c r="G118" t="s">
        <v>43</v>
      </c>
    </row>
    <row r="119" spans="1:7" x14ac:dyDescent="0.35">
      <c r="A119" s="69" t="s">
        <v>271</v>
      </c>
      <c r="B119" s="70"/>
      <c r="C119" s="71">
        <v>2490</v>
      </c>
      <c r="D119" s="75">
        <f t="shared" si="2"/>
        <v>-2.4900000000000002</v>
      </c>
      <c r="E119" t="s">
        <v>165</v>
      </c>
      <c r="F119" t="s">
        <v>180</v>
      </c>
      <c r="G119" t="s">
        <v>68</v>
      </c>
    </row>
    <row r="120" spans="1:7" x14ac:dyDescent="0.35">
      <c r="A120" s="69" t="s">
        <v>250</v>
      </c>
      <c r="B120" s="70"/>
      <c r="C120" s="71">
        <v>49.95</v>
      </c>
      <c r="D120" s="75">
        <f t="shared" si="2"/>
        <v>-4.9950000000000001E-2</v>
      </c>
      <c r="E120" t="s">
        <v>163</v>
      </c>
      <c r="F120" t="s">
        <v>180</v>
      </c>
      <c r="G120" t="s">
        <v>68</v>
      </c>
    </row>
    <row r="121" spans="1:7" x14ac:dyDescent="0.35">
      <c r="A121" s="69" t="s">
        <v>251</v>
      </c>
      <c r="B121" s="70"/>
      <c r="C121" s="71">
        <v>3843.25</v>
      </c>
      <c r="D121" s="75">
        <f t="shared" si="2"/>
        <v>-3.8432499999999998</v>
      </c>
      <c r="E121" t="s">
        <v>163</v>
      </c>
      <c r="F121" t="s">
        <v>180</v>
      </c>
      <c r="G121" t="s">
        <v>68</v>
      </c>
    </row>
    <row r="122" spans="1:7" x14ac:dyDescent="0.35">
      <c r="A122" s="69" t="s">
        <v>151</v>
      </c>
      <c r="B122" s="70"/>
      <c r="C122" s="71">
        <v>111846</v>
      </c>
      <c r="D122" s="75">
        <f t="shared" si="2"/>
        <v>-111.846</v>
      </c>
      <c r="E122" t="s">
        <v>179</v>
      </c>
      <c r="F122" t="s">
        <v>180</v>
      </c>
      <c r="G122" t="s">
        <v>68</v>
      </c>
    </row>
    <row r="123" spans="1:7" x14ac:dyDescent="0.35">
      <c r="A123" s="69" t="s">
        <v>152</v>
      </c>
      <c r="B123" s="70"/>
      <c r="C123" s="71">
        <v>11334</v>
      </c>
      <c r="D123" s="75">
        <f t="shared" si="2"/>
        <v>-11.334</v>
      </c>
      <c r="E123" t="s">
        <v>179</v>
      </c>
      <c r="F123" t="s">
        <v>180</v>
      </c>
      <c r="G123" t="s">
        <v>68</v>
      </c>
    </row>
    <row r="124" spans="1:7" x14ac:dyDescent="0.35">
      <c r="A124" s="69" t="s">
        <v>153</v>
      </c>
      <c r="B124" s="70"/>
      <c r="C124" s="71">
        <v>18633</v>
      </c>
      <c r="D124" s="75">
        <f t="shared" si="2"/>
        <v>-18.632999999999999</v>
      </c>
      <c r="E124" t="s">
        <v>179</v>
      </c>
      <c r="F124" t="s">
        <v>180</v>
      </c>
      <c r="G124" t="s">
        <v>68</v>
      </c>
    </row>
    <row r="125" spans="1:7" x14ac:dyDescent="0.35">
      <c r="A125" s="69" t="s">
        <v>253</v>
      </c>
      <c r="B125" s="70"/>
      <c r="C125" s="71">
        <v>66140</v>
      </c>
      <c r="D125" s="75">
        <f t="shared" si="2"/>
        <v>-66.14</v>
      </c>
      <c r="E125" t="s">
        <v>179</v>
      </c>
      <c r="F125" t="s">
        <v>180</v>
      </c>
      <c r="G125" t="s">
        <v>68</v>
      </c>
    </row>
    <row r="126" spans="1:7" x14ac:dyDescent="0.35">
      <c r="A126" s="69" t="s">
        <v>31</v>
      </c>
      <c r="B126" s="71">
        <v>21046.87</v>
      </c>
      <c r="C126" s="70"/>
      <c r="D126" s="75">
        <f t="shared" si="2"/>
        <v>21.046869999999998</v>
      </c>
      <c r="E126" t="s">
        <v>173</v>
      </c>
      <c r="F126" t="s">
        <v>182</v>
      </c>
      <c r="G126" t="s">
        <v>31</v>
      </c>
    </row>
    <row r="127" spans="1:7" x14ac:dyDescent="0.35">
      <c r="A127" s="69" t="s">
        <v>256</v>
      </c>
      <c r="B127" s="70"/>
      <c r="C127" s="71">
        <v>990</v>
      </c>
      <c r="D127" s="75">
        <f t="shared" si="2"/>
        <v>-0.99</v>
      </c>
      <c r="E127" t="s">
        <v>163</v>
      </c>
      <c r="F127" t="s">
        <v>180</v>
      </c>
      <c r="G127" t="s">
        <v>68</v>
      </c>
    </row>
    <row r="128" spans="1:7" x14ac:dyDescent="0.35">
      <c r="A128" s="69" t="s">
        <v>312</v>
      </c>
      <c r="B128" s="70"/>
      <c r="C128" s="71">
        <v>2304</v>
      </c>
      <c r="D128" s="75">
        <f t="shared" si="2"/>
        <v>-2.3039999999999998</v>
      </c>
      <c r="E128" t="s">
        <v>165</v>
      </c>
      <c r="F128" t="s">
        <v>180</v>
      </c>
      <c r="G128" t="s">
        <v>68</v>
      </c>
    </row>
    <row r="129" spans="1:7" x14ac:dyDescent="0.35">
      <c r="A129" s="69" t="s">
        <v>154</v>
      </c>
      <c r="B129" s="70"/>
      <c r="C129" s="71">
        <v>21576</v>
      </c>
      <c r="D129" s="75">
        <f t="shared" si="2"/>
        <v>-21.576000000000001</v>
      </c>
      <c r="E129" t="s">
        <v>171</v>
      </c>
      <c r="F129" t="s">
        <v>180</v>
      </c>
      <c r="G129" t="s">
        <v>67</v>
      </c>
    </row>
    <row r="130" spans="1:7" x14ac:dyDescent="0.35">
      <c r="A130" s="69" t="s">
        <v>313</v>
      </c>
      <c r="B130" s="70"/>
      <c r="C130" s="71">
        <v>42480</v>
      </c>
      <c r="D130" s="75">
        <f t="shared" si="2"/>
        <v>-42.48</v>
      </c>
      <c r="E130" t="s">
        <v>171</v>
      </c>
      <c r="F130" t="s">
        <v>180</v>
      </c>
      <c r="G130" t="s">
        <v>67</v>
      </c>
    </row>
    <row r="131" spans="1:7" x14ac:dyDescent="0.35">
      <c r="A131" s="69" t="s">
        <v>155</v>
      </c>
      <c r="B131" s="70"/>
      <c r="C131" s="71">
        <v>1000</v>
      </c>
      <c r="D131" s="75">
        <f t="shared" si="2"/>
        <v>-1</v>
      </c>
      <c r="E131" t="s">
        <v>162</v>
      </c>
      <c r="F131" t="s">
        <v>180</v>
      </c>
      <c r="G131" t="s">
        <v>63</v>
      </c>
    </row>
    <row r="132" spans="1:7" x14ac:dyDescent="0.35">
      <c r="A132" s="69" t="s">
        <v>257</v>
      </c>
      <c r="B132" s="70"/>
      <c r="C132" s="71">
        <v>990</v>
      </c>
      <c r="D132" s="75">
        <f t="shared" si="2"/>
        <v>-0.99</v>
      </c>
      <c r="E132" t="s">
        <v>163</v>
      </c>
      <c r="F132" t="s">
        <v>180</v>
      </c>
      <c r="G132" t="s">
        <v>68</v>
      </c>
    </row>
    <row r="133" spans="1:7" x14ac:dyDescent="0.35">
      <c r="A133" s="69" t="s">
        <v>258</v>
      </c>
      <c r="B133" s="70"/>
      <c r="C133" s="71">
        <v>990</v>
      </c>
      <c r="D133" s="75">
        <f t="shared" si="2"/>
        <v>-0.99</v>
      </c>
      <c r="E133" t="s">
        <v>163</v>
      </c>
      <c r="F133" t="s">
        <v>180</v>
      </c>
      <c r="G133" t="s">
        <v>68</v>
      </c>
    </row>
    <row r="134" spans="1:7" x14ac:dyDescent="0.35">
      <c r="A134" s="72" t="s">
        <v>156</v>
      </c>
      <c r="B134" s="73">
        <v>82838136.419999987</v>
      </c>
      <c r="C134" s="73">
        <v>82838136.420000017</v>
      </c>
      <c r="D134" s="75">
        <f>SUM(D10:D133)</f>
        <v>-79999.9712</v>
      </c>
    </row>
    <row r="136" spans="1:7" x14ac:dyDescent="0.35">
      <c r="B136" s="71"/>
    </row>
  </sheetData>
  <autoFilter ref="A9:G134" xr:uid="{00000000-0009-0000-0000-00000D000000}"/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>
    <tabColor rgb="FF92D050"/>
  </sheetPr>
  <dimension ref="A1:Q121"/>
  <sheetViews>
    <sheetView topLeftCell="A63" workbookViewId="0">
      <selection activeCell="C78" sqref="C78"/>
    </sheetView>
  </sheetViews>
  <sheetFormatPr defaultRowHeight="14.5" x14ac:dyDescent="0.35"/>
  <cols>
    <col min="1" max="1" width="35.36328125" bestFit="1" customWidth="1"/>
    <col min="2" max="3" width="9.08984375" bestFit="1" customWidth="1"/>
    <col min="4" max="4" width="12.81640625" bestFit="1" customWidth="1"/>
    <col min="5" max="5" width="23.36328125" bestFit="1" customWidth="1"/>
    <col min="7" max="7" width="43.36328125" bestFit="1" customWidth="1"/>
    <col min="11" max="11" width="23.36328125" bestFit="1" customWidth="1"/>
    <col min="12" max="12" width="10.81640625" style="75" bestFit="1" customWidth="1"/>
    <col min="13" max="13" width="8.81640625" style="75" bestFit="1" customWidth="1"/>
    <col min="14" max="14" width="15.81640625" bestFit="1" customWidth="1"/>
    <col min="16" max="16" width="15.81640625" bestFit="1" customWidth="1"/>
    <col min="17" max="17" width="8.81640625" style="75"/>
  </cols>
  <sheetData>
    <row r="1" spans="1:17" ht="15.5" x14ac:dyDescent="0.35">
      <c r="A1" s="573" t="s">
        <v>80</v>
      </c>
      <c r="B1" s="573"/>
      <c r="C1" s="573"/>
    </row>
    <row r="2" spans="1:17" x14ac:dyDescent="0.35">
      <c r="A2" s="574" t="s">
        <v>81</v>
      </c>
      <c r="B2" s="574"/>
      <c r="C2" s="574"/>
    </row>
    <row r="3" spans="1:17" x14ac:dyDescent="0.35">
      <c r="A3" s="575" t="s">
        <v>82</v>
      </c>
      <c r="B3" s="575"/>
      <c r="C3" s="575"/>
      <c r="P3" t="s">
        <v>192</v>
      </c>
      <c r="Q3" s="75">
        <f>SUMIF(N:N,P3,M:M)</f>
        <v>1569.5087699999999</v>
      </c>
    </row>
    <row r="4" spans="1:17" ht="15.5" x14ac:dyDescent="0.35">
      <c r="A4" s="576" t="s">
        <v>83</v>
      </c>
      <c r="B4" s="576"/>
      <c r="C4" s="576"/>
      <c r="P4" t="s">
        <v>188</v>
      </c>
      <c r="Q4" s="75">
        <f>SUMIF(N:N,P4,M:M)</f>
        <v>77.22</v>
      </c>
    </row>
    <row r="5" spans="1:17" x14ac:dyDescent="0.35">
      <c r="A5" s="574" t="s">
        <v>326</v>
      </c>
      <c r="B5" s="574"/>
      <c r="C5" s="574"/>
      <c r="P5" t="s">
        <v>190</v>
      </c>
      <c r="Q5" s="75">
        <f>SUMIF(N:N,P5,M:M)</f>
        <v>161.982</v>
      </c>
    </row>
    <row r="6" spans="1:17" x14ac:dyDescent="0.35">
      <c r="A6" s="66" t="s">
        <v>85</v>
      </c>
      <c r="B6" s="577" t="s">
        <v>80</v>
      </c>
      <c r="C6" s="578"/>
      <c r="P6" t="s">
        <v>352</v>
      </c>
      <c r="Q6" s="75">
        <f>SUMIF(N:N,P6,M:M)</f>
        <v>60.490989999999996</v>
      </c>
    </row>
    <row r="7" spans="1:17" x14ac:dyDescent="0.35">
      <c r="A7" s="67" t="s">
        <v>86</v>
      </c>
      <c r="B7" s="569" t="s">
        <v>326</v>
      </c>
      <c r="C7" s="570"/>
      <c r="P7" t="s">
        <v>268</v>
      </c>
      <c r="Q7" s="75">
        <f>SUMIF(N:N,P7,M:M)</f>
        <v>30.199000000000002</v>
      </c>
    </row>
    <row r="8" spans="1:17" x14ac:dyDescent="0.35">
      <c r="A8" s="67" t="s">
        <v>85</v>
      </c>
      <c r="B8" s="571" t="s">
        <v>87</v>
      </c>
      <c r="C8" s="572"/>
      <c r="D8" s="74">
        <f>SUBTOTAL(9,D10:D120)</f>
        <v>-79999.971199999956</v>
      </c>
      <c r="E8" s="90"/>
      <c r="K8" s="126" t="s">
        <v>626</v>
      </c>
      <c r="Q8" s="75">
        <f>SUM(Q3:Q7)</f>
        <v>1899.40076</v>
      </c>
    </row>
    <row r="9" spans="1:17" s="78" customFormat="1" x14ac:dyDescent="0.35">
      <c r="A9" s="68" t="s">
        <v>85</v>
      </c>
      <c r="B9" s="77" t="s">
        <v>88</v>
      </c>
      <c r="C9" s="77" t="s">
        <v>89</v>
      </c>
      <c r="D9" s="78" t="s">
        <v>157</v>
      </c>
      <c r="E9" s="86" t="s">
        <v>158</v>
      </c>
      <c r="F9" s="86" t="s">
        <v>159</v>
      </c>
      <c r="G9" s="86" t="s">
        <v>160</v>
      </c>
      <c r="K9" s="80" t="s">
        <v>86</v>
      </c>
      <c r="L9" s="87" t="s">
        <v>186</v>
      </c>
      <c r="M9" s="87"/>
      <c r="N9" s="80"/>
      <c r="Q9" s="79"/>
    </row>
    <row r="10" spans="1:17" x14ac:dyDescent="0.35">
      <c r="A10" s="69" t="s">
        <v>197</v>
      </c>
      <c r="B10" s="70"/>
      <c r="C10" s="71">
        <v>6442.09</v>
      </c>
      <c r="D10" s="75">
        <f>(B10-C10)/1000</f>
        <v>-6.4420900000000003</v>
      </c>
      <c r="E10" t="s">
        <v>171</v>
      </c>
      <c r="F10" t="s">
        <v>180</v>
      </c>
      <c r="G10" t="s">
        <v>67</v>
      </c>
      <c r="K10" s="81" t="s">
        <v>302</v>
      </c>
      <c r="L10" s="82">
        <v>1200</v>
      </c>
      <c r="M10" s="82">
        <v>1.2</v>
      </c>
      <c r="N10" s="81" t="s">
        <v>192</v>
      </c>
    </row>
    <row r="11" spans="1:17" x14ac:dyDescent="0.35">
      <c r="A11" s="69" t="s">
        <v>90</v>
      </c>
      <c r="B11" s="70"/>
      <c r="C11" s="71">
        <v>261767.86</v>
      </c>
      <c r="D11" s="75">
        <f t="shared" ref="D11:D76" si="0">(B11-C11)/1000</f>
        <v>-261.76785999999998</v>
      </c>
      <c r="E11" t="s">
        <v>161</v>
      </c>
      <c r="F11" t="s">
        <v>180</v>
      </c>
      <c r="G11" t="s">
        <v>65</v>
      </c>
      <c r="K11" s="81" t="s">
        <v>350</v>
      </c>
      <c r="L11" s="82">
        <v>123200</v>
      </c>
      <c r="M11" s="82">
        <v>123.2</v>
      </c>
      <c r="N11" s="81" t="s">
        <v>192</v>
      </c>
    </row>
    <row r="12" spans="1:17" x14ac:dyDescent="0.35">
      <c r="A12" s="69" t="s">
        <v>92</v>
      </c>
      <c r="B12" s="70"/>
      <c r="C12" s="71">
        <v>99000</v>
      </c>
      <c r="D12" s="75">
        <f t="shared" si="0"/>
        <v>-99</v>
      </c>
      <c r="E12" t="s">
        <v>162</v>
      </c>
      <c r="F12" t="s">
        <v>180</v>
      </c>
      <c r="G12" t="s">
        <v>63</v>
      </c>
      <c r="K12" s="81" t="s">
        <v>351</v>
      </c>
      <c r="L12" s="82">
        <v>73200</v>
      </c>
      <c r="M12" s="82">
        <v>73.2</v>
      </c>
      <c r="N12" s="81" t="s">
        <v>192</v>
      </c>
    </row>
    <row r="13" spans="1:17" x14ac:dyDescent="0.35">
      <c r="A13" s="69" t="s">
        <v>287</v>
      </c>
      <c r="B13" s="71">
        <v>35000</v>
      </c>
      <c r="C13" s="70"/>
      <c r="D13" s="75">
        <f t="shared" si="0"/>
        <v>35</v>
      </c>
      <c r="E13" t="s">
        <v>169</v>
      </c>
      <c r="F13" t="s">
        <v>182</v>
      </c>
      <c r="G13" t="s">
        <v>41</v>
      </c>
      <c r="K13" s="81" t="s">
        <v>97</v>
      </c>
      <c r="L13" s="82">
        <v>164867</v>
      </c>
      <c r="M13" s="82">
        <v>164.86699999999999</v>
      </c>
      <c r="N13" s="81" t="s">
        <v>192</v>
      </c>
    </row>
    <row r="14" spans="1:17" x14ac:dyDescent="0.35">
      <c r="A14" s="69" t="s">
        <v>288</v>
      </c>
      <c r="B14" s="71">
        <v>217180.36</v>
      </c>
      <c r="C14" s="70"/>
      <c r="D14" s="75">
        <f t="shared" si="0"/>
        <v>217.18035999999998</v>
      </c>
      <c r="E14" t="s">
        <v>75</v>
      </c>
      <c r="F14" t="s">
        <v>181</v>
      </c>
      <c r="G14" t="s">
        <v>79</v>
      </c>
      <c r="K14" s="81" t="s">
        <v>187</v>
      </c>
      <c r="L14" s="82">
        <v>58200</v>
      </c>
      <c r="M14" s="82">
        <v>58.2</v>
      </c>
      <c r="N14" s="81" t="s">
        <v>188</v>
      </c>
    </row>
    <row r="15" spans="1:17" x14ac:dyDescent="0.35">
      <c r="A15" s="69" t="s">
        <v>289</v>
      </c>
      <c r="B15" s="70"/>
      <c r="C15" s="71">
        <v>15682</v>
      </c>
      <c r="D15" s="75">
        <f t="shared" si="0"/>
        <v>-15.682</v>
      </c>
      <c r="E15" t="s">
        <v>259</v>
      </c>
      <c r="F15" t="s">
        <v>180</v>
      </c>
      <c r="G15" t="s">
        <v>72</v>
      </c>
      <c r="K15" s="81" t="s">
        <v>219</v>
      </c>
      <c r="L15" s="82">
        <v>23200</v>
      </c>
      <c r="M15" s="82">
        <v>23.2</v>
      </c>
      <c r="N15" s="81" t="s">
        <v>190</v>
      </c>
    </row>
    <row r="16" spans="1:17" x14ac:dyDescent="0.35">
      <c r="A16" s="69" t="s">
        <v>327</v>
      </c>
      <c r="B16" s="70"/>
      <c r="C16" s="71">
        <v>45473</v>
      </c>
      <c r="D16" s="75">
        <f t="shared" si="0"/>
        <v>-45.472999999999999</v>
      </c>
      <c r="E16" t="s">
        <v>259</v>
      </c>
      <c r="F16" t="s">
        <v>181</v>
      </c>
      <c r="G16" t="s">
        <v>71</v>
      </c>
      <c r="K16" s="81" t="s">
        <v>199</v>
      </c>
      <c r="L16" s="82">
        <v>28200</v>
      </c>
      <c r="M16" s="82">
        <v>28.2</v>
      </c>
      <c r="N16" s="81" t="s">
        <v>190</v>
      </c>
    </row>
    <row r="17" spans="1:14" x14ac:dyDescent="0.35">
      <c r="A17" s="69" t="s">
        <v>198</v>
      </c>
      <c r="B17" s="70"/>
      <c r="C17" s="71">
        <v>4929</v>
      </c>
      <c r="D17" s="75">
        <f t="shared" si="0"/>
        <v>-4.9290000000000003</v>
      </c>
      <c r="E17" t="s">
        <v>259</v>
      </c>
      <c r="F17" t="s">
        <v>181</v>
      </c>
      <c r="G17" t="s">
        <v>71</v>
      </c>
      <c r="K17" s="81" t="s">
        <v>193</v>
      </c>
      <c r="L17" s="82">
        <v>132193</v>
      </c>
      <c r="M17" s="82">
        <v>132.19300000000001</v>
      </c>
      <c r="N17" s="81" t="s">
        <v>192</v>
      </c>
    </row>
    <row r="18" spans="1:14" x14ac:dyDescent="0.35">
      <c r="A18" s="69" t="s">
        <v>200</v>
      </c>
      <c r="B18" s="70"/>
      <c r="C18" s="71">
        <v>589.41</v>
      </c>
      <c r="D18" s="75">
        <f t="shared" si="0"/>
        <v>-0.58940999999999999</v>
      </c>
      <c r="E18" t="s">
        <v>171</v>
      </c>
      <c r="F18" t="s">
        <v>180</v>
      </c>
      <c r="G18" t="s">
        <v>67</v>
      </c>
      <c r="K18" s="81" t="s">
        <v>267</v>
      </c>
      <c r="L18" s="82">
        <v>30199</v>
      </c>
      <c r="M18" s="82">
        <v>30.199000000000002</v>
      </c>
      <c r="N18" s="81" t="s">
        <v>268</v>
      </c>
    </row>
    <row r="19" spans="1:14" x14ac:dyDescent="0.35">
      <c r="A19" s="69" t="s">
        <v>96</v>
      </c>
      <c r="B19" s="71">
        <v>1521.65</v>
      </c>
      <c r="C19" s="70"/>
      <c r="D19" s="75">
        <f t="shared" si="0"/>
        <v>1.5216500000000002</v>
      </c>
      <c r="E19" t="s">
        <v>163</v>
      </c>
      <c r="F19" t="s">
        <v>180</v>
      </c>
      <c r="G19" t="s">
        <v>68</v>
      </c>
      <c r="K19" s="81" t="s">
        <v>269</v>
      </c>
      <c r="L19" s="82">
        <v>30200</v>
      </c>
      <c r="M19" s="82">
        <v>30.2</v>
      </c>
      <c r="N19" s="81" t="s">
        <v>352</v>
      </c>
    </row>
    <row r="20" spans="1:14" x14ac:dyDescent="0.35">
      <c r="A20" s="69" t="s">
        <v>97</v>
      </c>
      <c r="B20" s="70"/>
      <c r="C20" s="71">
        <v>50001</v>
      </c>
      <c r="D20" s="75">
        <f t="shared" si="0"/>
        <v>-50.000999999999998</v>
      </c>
      <c r="E20" t="s">
        <v>165</v>
      </c>
      <c r="F20" t="s">
        <v>180</v>
      </c>
      <c r="G20" t="s">
        <v>68</v>
      </c>
      <c r="K20" s="81" t="s">
        <v>271</v>
      </c>
      <c r="L20" s="82">
        <v>6968</v>
      </c>
      <c r="M20" s="82">
        <v>6.968</v>
      </c>
      <c r="N20" s="81" t="s">
        <v>352</v>
      </c>
    </row>
    <row r="21" spans="1:14" x14ac:dyDescent="0.35">
      <c r="A21" s="69" t="s">
        <v>328</v>
      </c>
      <c r="B21" s="70"/>
      <c r="C21" s="71">
        <v>15000</v>
      </c>
      <c r="D21" s="75">
        <f t="shared" si="0"/>
        <v>-15</v>
      </c>
      <c r="E21" t="s">
        <v>171</v>
      </c>
      <c r="F21" t="s">
        <v>180</v>
      </c>
      <c r="G21" t="s">
        <v>67</v>
      </c>
      <c r="K21" s="81" t="s">
        <v>273</v>
      </c>
      <c r="L21" s="82">
        <v>50000</v>
      </c>
      <c r="M21" s="82">
        <v>50</v>
      </c>
      <c r="N21" s="81" t="s">
        <v>192</v>
      </c>
    </row>
    <row r="22" spans="1:14" x14ac:dyDescent="0.35">
      <c r="A22" s="69" t="s">
        <v>98</v>
      </c>
      <c r="B22" s="71">
        <v>27861.79</v>
      </c>
      <c r="C22" s="70"/>
      <c r="D22" s="75">
        <f t="shared" si="0"/>
        <v>27.861789999999999</v>
      </c>
      <c r="E22" t="s">
        <v>166</v>
      </c>
      <c r="F22" t="s">
        <v>181</v>
      </c>
      <c r="G22" t="s">
        <v>78</v>
      </c>
      <c r="K22" s="81" t="s">
        <v>317</v>
      </c>
      <c r="L22" s="82">
        <v>264900</v>
      </c>
      <c r="M22" s="82">
        <v>264.89999999999998</v>
      </c>
      <c r="N22" s="81" t="s">
        <v>192</v>
      </c>
    </row>
    <row r="23" spans="1:14" x14ac:dyDescent="0.35">
      <c r="A23" s="69" t="s">
        <v>202</v>
      </c>
      <c r="B23" s="71">
        <v>2548.36</v>
      </c>
      <c r="C23" s="70"/>
      <c r="D23" s="75">
        <f t="shared" si="0"/>
        <v>2.5483600000000002</v>
      </c>
      <c r="E23" t="s">
        <v>260</v>
      </c>
      <c r="F23" t="s">
        <v>181</v>
      </c>
      <c r="G23" t="s">
        <v>77</v>
      </c>
      <c r="K23" s="81" t="s">
        <v>353</v>
      </c>
      <c r="L23" s="82">
        <v>15355</v>
      </c>
      <c r="M23" s="82">
        <v>15.355</v>
      </c>
      <c r="N23" s="81" t="s">
        <v>190</v>
      </c>
    </row>
    <row r="24" spans="1:14" x14ac:dyDescent="0.35">
      <c r="A24" s="69" t="s">
        <v>205</v>
      </c>
      <c r="B24" s="70"/>
      <c r="C24" s="71">
        <v>22100</v>
      </c>
      <c r="D24" s="75">
        <f t="shared" si="0"/>
        <v>-22.1</v>
      </c>
      <c r="E24" t="s">
        <v>171</v>
      </c>
      <c r="F24" t="s">
        <v>180</v>
      </c>
      <c r="G24" t="s">
        <v>67</v>
      </c>
      <c r="K24" s="81" t="s">
        <v>354</v>
      </c>
      <c r="L24" s="82">
        <v>22800</v>
      </c>
      <c r="M24" s="82">
        <v>22.8</v>
      </c>
      <c r="N24" s="81" t="s">
        <v>190</v>
      </c>
    </row>
    <row r="25" spans="1:14" x14ac:dyDescent="0.35">
      <c r="A25" s="69" t="s">
        <v>292</v>
      </c>
      <c r="B25" s="71">
        <v>225478.2</v>
      </c>
      <c r="C25" s="70"/>
      <c r="D25" s="75">
        <f t="shared" si="0"/>
        <v>225.47820000000002</v>
      </c>
      <c r="E25" t="s">
        <v>314</v>
      </c>
      <c r="F25" t="s">
        <v>182</v>
      </c>
      <c r="G25" t="s">
        <v>38</v>
      </c>
      <c r="K25" s="81" t="s">
        <v>312</v>
      </c>
      <c r="L25" s="82">
        <v>58200</v>
      </c>
      <c r="M25" s="82">
        <v>58.2</v>
      </c>
      <c r="N25" s="81" t="s">
        <v>190</v>
      </c>
    </row>
    <row r="26" spans="1:14" x14ac:dyDescent="0.35">
      <c r="A26" s="69" t="s">
        <v>100</v>
      </c>
      <c r="B26" s="71">
        <v>7989</v>
      </c>
      <c r="C26" s="70"/>
      <c r="D26" s="75">
        <f t="shared" si="0"/>
        <v>7.9889999999999999</v>
      </c>
      <c r="E26" t="s">
        <v>168</v>
      </c>
      <c r="F26" t="s">
        <v>181</v>
      </c>
      <c r="G26" t="s">
        <v>78</v>
      </c>
      <c r="K26" s="81" t="s">
        <v>355</v>
      </c>
      <c r="L26" s="82">
        <v>223200</v>
      </c>
      <c r="M26" s="82">
        <v>223.2</v>
      </c>
      <c r="N26" s="81" t="s">
        <v>192</v>
      </c>
    </row>
    <row r="27" spans="1:14" x14ac:dyDescent="0.35">
      <c r="A27" s="69" t="s">
        <v>293</v>
      </c>
      <c r="B27" s="70"/>
      <c r="C27" s="71">
        <v>9893</v>
      </c>
      <c r="D27" s="75">
        <f t="shared" si="0"/>
        <v>-9.8930000000000007</v>
      </c>
      <c r="E27" t="s">
        <v>174</v>
      </c>
      <c r="F27" t="s">
        <v>180</v>
      </c>
      <c r="G27" t="s">
        <v>68</v>
      </c>
      <c r="K27" s="81" t="s">
        <v>356</v>
      </c>
      <c r="L27" s="82">
        <v>42677</v>
      </c>
      <c r="M27" s="82">
        <v>42.677</v>
      </c>
      <c r="N27" s="81" t="s">
        <v>192</v>
      </c>
    </row>
    <row r="28" spans="1:14" x14ac:dyDescent="0.35">
      <c r="A28" s="69" t="s">
        <v>294</v>
      </c>
      <c r="B28" s="71">
        <v>10191.41</v>
      </c>
      <c r="C28" s="70"/>
      <c r="D28" s="75">
        <f t="shared" si="0"/>
        <v>10.191409999999999</v>
      </c>
      <c r="E28" t="s">
        <v>260</v>
      </c>
      <c r="F28" t="s">
        <v>181</v>
      </c>
      <c r="G28" t="s">
        <v>77</v>
      </c>
      <c r="K28" s="81" t="s">
        <v>357</v>
      </c>
      <c r="L28" s="82">
        <v>19020</v>
      </c>
      <c r="M28" s="82">
        <v>19.02</v>
      </c>
      <c r="N28" s="81" t="s">
        <v>188</v>
      </c>
    </row>
    <row r="29" spans="1:14" x14ac:dyDescent="0.35">
      <c r="A29" s="69" t="s">
        <v>329</v>
      </c>
      <c r="B29" s="71">
        <v>863949.16</v>
      </c>
      <c r="C29" s="70"/>
      <c r="D29" s="75">
        <f t="shared" si="0"/>
        <v>863.94916000000001</v>
      </c>
      <c r="E29" t="s">
        <v>259</v>
      </c>
      <c r="F29" t="s">
        <v>181</v>
      </c>
      <c r="G29" t="s">
        <v>71</v>
      </c>
      <c r="K29" s="81" t="s">
        <v>212</v>
      </c>
      <c r="L29" s="82">
        <v>128104</v>
      </c>
      <c r="M29" s="82">
        <v>128.10400000000001</v>
      </c>
      <c r="N29" s="81" t="s">
        <v>192</v>
      </c>
    </row>
    <row r="30" spans="1:14" x14ac:dyDescent="0.35">
      <c r="A30" s="69" t="s">
        <v>295</v>
      </c>
      <c r="B30" s="70"/>
      <c r="C30" s="71">
        <v>110871</v>
      </c>
      <c r="D30" s="75">
        <f t="shared" si="0"/>
        <v>-110.871</v>
      </c>
      <c r="E30" t="s">
        <v>144</v>
      </c>
      <c r="F30" t="s">
        <v>184</v>
      </c>
      <c r="G30" t="s">
        <v>25</v>
      </c>
      <c r="K30" s="81" t="s">
        <v>358</v>
      </c>
      <c r="L30" s="82">
        <v>14227</v>
      </c>
      <c r="M30" s="82">
        <v>14.227</v>
      </c>
      <c r="N30" s="81" t="s">
        <v>190</v>
      </c>
    </row>
    <row r="31" spans="1:14" x14ac:dyDescent="0.35">
      <c r="A31" s="69" t="s">
        <v>103</v>
      </c>
      <c r="B31" s="71">
        <v>144416</v>
      </c>
      <c r="C31" s="70"/>
      <c r="D31" s="75">
        <f t="shared" si="0"/>
        <v>144.416</v>
      </c>
      <c r="E31" t="s">
        <v>169</v>
      </c>
      <c r="F31" t="s">
        <v>182</v>
      </c>
      <c r="G31" t="s">
        <v>42</v>
      </c>
      <c r="K31" s="81" t="s">
        <v>359</v>
      </c>
      <c r="L31" s="82">
        <v>50000</v>
      </c>
      <c r="M31" s="82">
        <v>50</v>
      </c>
      <c r="N31" s="81" t="s">
        <v>192</v>
      </c>
    </row>
    <row r="32" spans="1:14" x14ac:dyDescent="0.35">
      <c r="A32" s="69" t="s">
        <v>104</v>
      </c>
      <c r="B32" s="71">
        <v>800</v>
      </c>
      <c r="C32" s="70"/>
      <c r="D32" s="75">
        <f t="shared" si="0"/>
        <v>0.8</v>
      </c>
      <c r="E32" t="s">
        <v>167</v>
      </c>
      <c r="F32" t="s">
        <v>180</v>
      </c>
      <c r="G32" t="s">
        <v>67</v>
      </c>
      <c r="K32" s="81" t="s">
        <v>360</v>
      </c>
      <c r="L32" s="82">
        <v>65000</v>
      </c>
      <c r="M32" s="82">
        <v>65</v>
      </c>
      <c r="N32" s="81" t="s">
        <v>192</v>
      </c>
    </row>
    <row r="33" spans="1:14" x14ac:dyDescent="0.35">
      <c r="A33" s="69" t="s">
        <v>105</v>
      </c>
      <c r="B33" s="70"/>
      <c r="C33" s="71">
        <v>491757.68</v>
      </c>
      <c r="D33" s="75">
        <f t="shared" si="0"/>
        <v>-491.75767999999999</v>
      </c>
      <c r="E33" t="s">
        <v>163</v>
      </c>
      <c r="F33" t="s">
        <v>180</v>
      </c>
      <c r="G33" t="s">
        <v>68</v>
      </c>
      <c r="K33" s="81" t="s">
        <v>325</v>
      </c>
      <c r="L33" s="82">
        <v>15000</v>
      </c>
      <c r="M33" s="82">
        <v>15</v>
      </c>
      <c r="N33" s="81" t="s">
        <v>192</v>
      </c>
    </row>
    <row r="34" spans="1:14" x14ac:dyDescent="0.35">
      <c r="A34" s="69" t="s">
        <v>330</v>
      </c>
      <c r="B34" s="70"/>
      <c r="C34" s="71">
        <v>380</v>
      </c>
      <c r="D34" s="75">
        <f t="shared" si="0"/>
        <v>-0.38</v>
      </c>
      <c r="E34" t="s">
        <v>171</v>
      </c>
      <c r="F34" t="s">
        <v>180</v>
      </c>
      <c r="G34" t="s">
        <v>67</v>
      </c>
      <c r="K34" s="81" t="s">
        <v>361</v>
      </c>
      <c r="L34" s="82">
        <v>115000</v>
      </c>
      <c r="M34" s="82">
        <v>115</v>
      </c>
      <c r="N34" s="81" t="s">
        <v>192</v>
      </c>
    </row>
    <row r="35" spans="1:14" x14ac:dyDescent="0.35">
      <c r="A35" s="69" t="s">
        <v>296</v>
      </c>
      <c r="B35" s="71">
        <v>194054.39999999999</v>
      </c>
      <c r="C35" s="70"/>
      <c r="D35" s="75">
        <f t="shared" si="0"/>
        <v>194.05439999999999</v>
      </c>
      <c r="E35" t="s">
        <v>314</v>
      </c>
      <c r="F35" t="s">
        <v>182</v>
      </c>
      <c r="G35" t="s">
        <v>37</v>
      </c>
      <c r="K35" s="81" t="s">
        <v>362</v>
      </c>
      <c r="L35" s="82">
        <v>15581.06</v>
      </c>
      <c r="M35" s="82">
        <v>15.581059999999999</v>
      </c>
      <c r="N35" s="81" t="s">
        <v>352</v>
      </c>
    </row>
    <row r="36" spans="1:14" x14ac:dyDescent="0.35">
      <c r="A36" s="69" t="s">
        <v>206</v>
      </c>
      <c r="B36" s="71">
        <v>59926</v>
      </c>
      <c r="C36" s="70"/>
      <c r="D36" s="75">
        <f t="shared" si="0"/>
        <v>59.926000000000002</v>
      </c>
      <c r="E36" t="s">
        <v>169</v>
      </c>
      <c r="F36" t="s">
        <v>182</v>
      </c>
      <c r="G36" t="s">
        <v>48</v>
      </c>
      <c r="K36" s="81" t="s">
        <v>363</v>
      </c>
      <c r="L36" s="82">
        <v>7741.93</v>
      </c>
      <c r="M36" s="82">
        <v>7.74193</v>
      </c>
      <c r="N36" s="81" t="s">
        <v>352</v>
      </c>
    </row>
    <row r="37" spans="1:14" x14ac:dyDescent="0.35">
      <c r="A37" s="69" t="s">
        <v>297</v>
      </c>
      <c r="B37" s="71">
        <v>22838</v>
      </c>
      <c r="C37" s="70"/>
      <c r="D37" s="75">
        <f t="shared" si="0"/>
        <v>22.838000000000001</v>
      </c>
      <c r="E37" t="s">
        <v>144</v>
      </c>
      <c r="F37" t="s">
        <v>184</v>
      </c>
      <c r="G37" t="s">
        <v>316</v>
      </c>
      <c r="K37" s="81" t="s">
        <v>212</v>
      </c>
      <c r="L37" s="82">
        <v>120967.77</v>
      </c>
      <c r="M37" s="82">
        <v>120.96777</v>
      </c>
      <c r="N37" s="81" t="s">
        <v>192</v>
      </c>
    </row>
    <row r="38" spans="1:14" x14ac:dyDescent="0.35">
      <c r="A38" s="69" t="s">
        <v>298</v>
      </c>
      <c r="B38" s="71">
        <v>91353</v>
      </c>
      <c r="C38" s="70"/>
      <c r="D38" s="75">
        <f t="shared" si="0"/>
        <v>91.352999999999994</v>
      </c>
      <c r="E38" t="s">
        <v>144</v>
      </c>
      <c r="F38" t="s">
        <v>184</v>
      </c>
      <c r="G38" t="s">
        <v>316</v>
      </c>
    </row>
    <row r="39" spans="1:14" x14ac:dyDescent="0.35">
      <c r="A39" s="69" t="s">
        <v>109</v>
      </c>
      <c r="B39" s="71">
        <v>33671</v>
      </c>
      <c r="C39" s="70"/>
      <c r="D39" s="75">
        <f t="shared" si="0"/>
        <v>33.670999999999999</v>
      </c>
      <c r="E39" t="s">
        <v>170</v>
      </c>
      <c r="F39" t="s">
        <v>182</v>
      </c>
      <c r="G39" t="s">
        <v>417</v>
      </c>
    </row>
    <row r="40" spans="1:14" x14ac:dyDescent="0.35">
      <c r="A40" s="69" t="s">
        <v>331</v>
      </c>
      <c r="B40" s="70"/>
      <c r="C40" s="71">
        <v>14433.44</v>
      </c>
      <c r="D40" s="75">
        <f t="shared" si="0"/>
        <v>-14.433440000000001</v>
      </c>
      <c r="E40" t="s">
        <v>171</v>
      </c>
      <c r="F40" t="s">
        <v>180</v>
      </c>
      <c r="G40" t="s">
        <v>67</v>
      </c>
    </row>
    <row r="41" spans="1:14" x14ac:dyDescent="0.35">
      <c r="A41" s="69" t="s">
        <v>332</v>
      </c>
      <c r="B41" s="70"/>
      <c r="C41" s="71">
        <v>6.06</v>
      </c>
      <c r="D41" s="75">
        <f t="shared" si="0"/>
        <v>-6.0599999999999994E-3</v>
      </c>
      <c r="E41" t="s">
        <v>171</v>
      </c>
      <c r="F41" t="s">
        <v>180</v>
      </c>
      <c r="G41" t="s">
        <v>67</v>
      </c>
    </row>
    <row r="42" spans="1:14" x14ac:dyDescent="0.35">
      <c r="A42" s="69" t="s">
        <v>333</v>
      </c>
      <c r="B42" s="71">
        <v>2002214</v>
      </c>
      <c r="C42" s="70"/>
      <c r="D42" s="75">
        <f t="shared" si="0"/>
        <v>2002.2139999999999</v>
      </c>
      <c r="E42" t="s">
        <v>261</v>
      </c>
      <c r="F42" t="s">
        <v>181</v>
      </c>
      <c r="G42" t="s">
        <v>76</v>
      </c>
    </row>
    <row r="43" spans="1:14" x14ac:dyDescent="0.35">
      <c r="A43" s="69" t="s">
        <v>334</v>
      </c>
      <c r="B43" s="71">
        <v>2500000</v>
      </c>
      <c r="C43" s="70"/>
      <c r="D43" s="75">
        <f t="shared" si="0"/>
        <v>2500</v>
      </c>
      <c r="E43" t="s">
        <v>261</v>
      </c>
      <c r="F43" t="s">
        <v>181</v>
      </c>
      <c r="G43" t="s">
        <v>76</v>
      </c>
    </row>
    <row r="44" spans="1:14" x14ac:dyDescent="0.35">
      <c r="A44" s="69" t="s">
        <v>208</v>
      </c>
      <c r="B44" s="71">
        <v>40000000</v>
      </c>
      <c r="C44" s="70"/>
      <c r="D44" s="75">
        <f t="shared" si="0"/>
        <v>40000</v>
      </c>
      <c r="E44" t="s">
        <v>261</v>
      </c>
      <c r="F44" t="s">
        <v>181</v>
      </c>
      <c r="G44" t="s">
        <v>76</v>
      </c>
    </row>
    <row r="45" spans="1:14" x14ac:dyDescent="0.35">
      <c r="A45" s="69" t="s">
        <v>210</v>
      </c>
      <c r="B45" s="71">
        <v>20000000</v>
      </c>
      <c r="C45" s="70"/>
      <c r="D45" s="75">
        <f t="shared" si="0"/>
        <v>20000</v>
      </c>
      <c r="E45" t="s">
        <v>261</v>
      </c>
      <c r="F45" t="s">
        <v>181</v>
      </c>
      <c r="G45" t="s">
        <v>76</v>
      </c>
    </row>
    <row r="46" spans="1:14" x14ac:dyDescent="0.35">
      <c r="A46" s="69" t="s">
        <v>335</v>
      </c>
      <c r="B46" s="70"/>
      <c r="C46" s="71">
        <v>20593.07</v>
      </c>
      <c r="D46" s="75">
        <f t="shared" si="0"/>
        <v>-20.593070000000001</v>
      </c>
      <c r="E46" t="s">
        <v>171</v>
      </c>
      <c r="F46" t="s">
        <v>180</v>
      </c>
      <c r="G46" t="s">
        <v>67</v>
      </c>
    </row>
    <row r="47" spans="1:14" x14ac:dyDescent="0.35">
      <c r="A47" s="69" t="s">
        <v>336</v>
      </c>
      <c r="B47" s="70"/>
      <c r="C47" s="71">
        <v>1531</v>
      </c>
      <c r="D47" s="75">
        <f t="shared" si="0"/>
        <v>-1.5309999999999999</v>
      </c>
      <c r="E47" t="s">
        <v>171</v>
      </c>
      <c r="F47" t="s">
        <v>180</v>
      </c>
      <c r="G47" t="s">
        <v>67</v>
      </c>
    </row>
    <row r="48" spans="1:14" x14ac:dyDescent="0.35">
      <c r="A48" s="69" t="s">
        <v>111</v>
      </c>
      <c r="B48" s="70"/>
      <c r="C48" s="71">
        <v>184010</v>
      </c>
      <c r="D48" s="75">
        <f t="shared" si="0"/>
        <v>-184.01</v>
      </c>
      <c r="E48" t="s">
        <v>167</v>
      </c>
      <c r="F48" t="s">
        <v>180</v>
      </c>
      <c r="G48" t="s">
        <v>67</v>
      </c>
    </row>
    <row r="49" spans="1:7" x14ac:dyDescent="0.35">
      <c r="A49" s="69" t="s">
        <v>337</v>
      </c>
      <c r="B49" s="71">
        <v>63800</v>
      </c>
      <c r="C49" s="70"/>
      <c r="D49" s="75">
        <f t="shared" si="0"/>
        <v>63.8</v>
      </c>
      <c r="E49" t="s">
        <v>167</v>
      </c>
      <c r="F49" t="s">
        <v>180</v>
      </c>
      <c r="G49" t="s">
        <v>67</v>
      </c>
    </row>
    <row r="50" spans="1:7" x14ac:dyDescent="0.35">
      <c r="A50" s="69" t="s">
        <v>112</v>
      </c>
      <c r="B50" s="70"/>
      <c r="C50" s="71">
        <v>0</v>
      </c>
      <c r="D50" s="75">
        <f t="shared" si="0"/>
        <v>0</v>
      </c>
      <c r="E50" t="s">
        <v>171</v>
      </c>
      <c r="F50" t="s">
        <v>180</v>
      </c>
      <c r="G50" t="s">
        <v>67</v>
      </c>
    </row>
    <row r="51" spans="1:7" x14ac:dyDescent="0.35">
      <c r="A51" s="69" t="s">
        <v>213</v>
      </c>
      <c r="B51" s="71">
        <v>5414</v>
      </c>
      <c r="C51" s="70"/>
      <c r="D51" s="75">
        <f t="shared" si="0"/>
        <v>5.4139999999999997</v>
      </c>
      <c r="E51" t="s">
        <v>172</v>
      </c>
      <c r="F51" t="s">
        <v>181</v>
      </c>
      <c r="G51" t="s">
        <v>79</v>
      </c>
    </row>
    <row r="52" spans="1:7" x14ac:dyDescent="0.35">
      <c r="A52" s="69" t="s">
        <v>114</v>
      </c>
      <c r="B52" s="71">
        <v>1715.93</v>
      </c>
      <c r="C52" s="70"/>
      <c r="D52" s="75">
        <f t="shared" si="0"/>
        <v>1.71593</v>
      </c>
      <c r="E52" t="s">
        <v>172</v>
      </c>
      <c r="F52" t="s">
        <v>180</v>
      </c>
      <c r="G52" t="s">
        <v>79</v>
      </c>
    </row>
    <row r="53" spans="1:7" x14ac:dyDescent="0.35">
      <c r="A53" s="69" t="s">
        <v>338</v>
      </c>
      <c r="B53" s="71">
        <v>857.92</v>
      </c>
      <c r="C53" s="70"/>
      <c r="D53" s="75">
        <f t="shared" si="0"/>
        <v>0.8579199999999999</v>
      </c>
      <c r="E53" t="s">
        <v>172</v>
      </c>
      <c r="F53" t="s">
        <v>181</v>
      </c>
      <c r="G53" t="s">
        <v>79</v>
      </c>
    </row>
    <row r="54" spans="1:7" x14ac:dyDescent="0.35">
      <c r="A54" s="69" t="s">
        <v>115</v>
      </c>
      <c r="B54" s="71">
        <v>271817.88</v>
      </c>
      <c r="C54" s="70"/>
      <c r="D54" s="75">
        <f t="shared" si="0"/>
        <v>271.81788</v>
      </c>
      <c r="E54" t="s">
        <v>172</v>
      </c>
      <c r="F54" t="s">
        <v>180</v>
      </c>
      <c r="G54" t="s">
        <v>79</v>
      </c>
    </row>
    <row r="55" spans="1:7" x14ac:dyDescent="0.35">
      <c r="A55" s="69" t="s">
        <v>116</v>
      </c>
      <c r="B55" s="71">
        <v>41305.26</v>
      </c>
      <c r="C55" s="70"/>
      <c r="D55" s="75">
        <f t="shared" si="0"/>
        <v>41.305260000000004</v>
      </c>
      <c r="E55" t="s">
        <v>172</v>
      </c>
      <c r="F55" t="s">
        <v>180</v>
      </c>
      <c r="G55" t="s">
        <v>79</v>
      </c>
    </row>
    <row r="56" spans="1:7" x14ac:dyDescent="0.35">
      <c r="A56" s="69" t="s">
        <v>214</v>
      </c>
      <c r="B56" s="71">
        <v>1424.24</v>
      </c>
      <c r="C56" s="70"/>
      <c r="D56" s="75">
        <f t="shared" si="0"/>
        <v>1.42424</v>
      </c>
      <c r="E56" t="s">
        <v>172</v>
      </c>
      <c r="F56" t="s">
        <v>181</v>
      </c>
      <c r="G56" t="s">
        <v>79</v>
      </c>
    </row>
    <row r="57" spans="1:7" x14ac:dyDescent="0.35">
      <c r="A57" s="69" t="s">
        <v>215</v>
      </c>
      <c r="B57" s="71">
        <v>229860</v>
      </c>
      <c r="C57" s="70"/>
      <c r="D57" s="75">
        <f t="shared" si="0"/>
        <v>229.86</v>
      </c>
      <c r="E57" t="s">
        <v>172</v>
      </c>
      <c r="F57" t="s">
        <v>181</v>
      </c>
      <c r="G57" t="s">
        <v>79</v>
      </c>
    </row>
    <row r="58" spans="1:7" x14ac:dyDescent="0.35">
      <c r="A58" s="69" t="s">
        <v>216</v>
      </c>
      <c r="B58" s="71">
        <v>5414</v>
      </c>
      <c r="C58" s="70"/>
      <c r="D58" s="75">
        <f t="shared" si="0"/>
        <v>5.4139999999999997</v>
      </c>
      <c r="E58" t="s">
        <v>172</v>
      </c>
      <c r="F58" t="s">
        <v>181</v>
      </c>
      <c r="G58" t="s">
        <v>79</v>
      </c>
    </row>
    <row r="59" spans="1:7" x14ac:dyDescent="0.35">
      <c r="A59" s="69" t="s">
        <v>117</v>
      </c>
      <c r="B59" s="71">
        <v>1715.93</v>
      </c>
      <c r="C59" s="70"/>
      <c r="D59" s="75">
        <f t="shared" si="0"/>
        <v>1.71593</v>
      </c>
      <c r="E59" t="s">
        <v>172</v>
      </c>
      <c r="F59" t="s">
        <v>180</v>
      </c>
      <c r="G59" t="s">
        <v>79</v>
      </c>
    </row>
    <row r="60" spans="1:7" x14ac:dyDescent="0.35">
      <c r="A60" s="69" t="s">
        <v>339</v>
      </c>
      <c r="B60" s="71">
        <v>857.92</v>
      </c>
      <c r="C60" s="70"/>
      <c r="D60" s="75">
        <f t="shared" si="0"/>
        <v>0.8579199999999999</v>
      </c>
      <c r="E60" t="s">
        <v>172</v>
      </c>
      <c r="F60" t="s">
        <v>181</v>
      </c>
      <c r="G60" t="s">
        <v>79</v>
      </c>
    </row>
    <row r="61" spans="1:7" x14ac:dyDescent="0.35">
      <c r="A61" s="69" t="s">
        <v>118</v>
      </c>
      <c r="B61" s="71">
        <v>260103.32</v>
      </c>
      <c r="C61" s="70"/>
      <c r="D61" s="75">
        <f t="shared" si="0"/>
        <v>260.10332</v>
      </c>
      <c r="E61" t="s">
        <v>172</v>
      </c>
      <c r="F61" t="s">
        <v>181</v>
      </c>
      <c r="G61" t="s">
        <v>79</v>
      </c>
    </row>
    <row r="62" spans="1:7" x14ac:dyDescent="0.35">
      <c r="A62" s="69" t="s">
        <v>300</v>
      </c>
      <c r="B62" s="71">
        <v>1537167.67</v>
      </c>
      <c r="C62" s="70"/>
      <c r="D62" s="75">
        <f t="shared" si="0"/>
        <v>1537.1676699999998</v>
      </c>
      <c r="E62" t="s">
        <v>259</v>
      </c>
      <c r="F62" t="s">
        <v>181</v>
      </c>
      <c r="G62" t="s">
        <v>72</v>
      </c>
    </row>
    <row r="63" spans="1:7" x14ac:dyDescent="0.35">
      <c r="A63" s="69" t="s">
        <v>301</v>
      </c>
      <c r="B63" s="70"/>
      <c r="C63" s="71">
        <v>375165.03</v>
      </c>
      <c r="D63" s="75">
        <f t="shared" si="0"/>
        <v>-375.16503</v>
      </c>
      <c r="E63" t="s">
        <v>315</v>
      </c>
      <c r="F63" t="s">
        <v>184</v>
      </c>
      <c r="G63" t="s">
        <v>49</v>
      </c>
    </row>
    <row r="64" spans="1:7" x14ac:dyDescent="0.35">
      <c r="A64" s="69" t="s">
        <v>217</v>
      </c>
      <c r="B64" s="71">
        <v>232332.2</v>
      </c>
      <c r="C64" s="70"/>
      <c r="D64" s="75">
        <f t="shared" si="0"/>
        <v>232.3322</v>
      </c>
      <c r="E64" t="s">
        <v>166</v>
      </c>
      <c r="F64" t="s">
        <v>181</v>
      </c>
      <c r="G64" t="s">
        <v>78</v>
      </c>
    </row>
    <row r="65" spans="1:7" x14ac:dyDescent="0.35">
      <c r="A65" s="69" t="s">
        <v>218</v>
      </c>
      <c r="B65" s="71">
        <v>313669.21000000002</v>
      </c>
      <c r="C65" s="70"/>
      <c r="D65" s="75">
        <f t="shared" si="0"/>
        <v>313.66921000000002</v>
      </c>
      <c r="E65" t="s">
        <v>166</v>
      </c>
      <c r="F65" t="s">
        <v>181</v>
      </c>
      <c r="G65" t="s">
        <v>78</v>
      </c>
    </row>
    <row r="66" spans="1:7" x14ac:dyDescent="0.35">
      <c r="A66" s="69" t="s">
        <v>124</v>
      </c>
      <c r="B66" s="71">
        <v>499933.75</v>
      </c>
      <c r="C66" s="70"/>
      <c r="D66" s="75">
        <f t="shared" si="0"/>
        <v>499.93374999999997</v>
      </c>
      <c r="E66" t="s">
        <v>173</v>
      </c>
      <c r="F66" t="s">
        <v>182</v>
      </c>
      <c r="G66" t="s">
        <v>26</v>
      </c>
    </row>
    <row r="67" spans="1:7" x14ac:dyDescent="0.35">
      <c r="A67" s="69" t="s">
        <v>303</v>
      </c>
      <c r="B67" s="70"/>
      <c r="C67" s="71">
        <v>487083</v>
      </c>
      <c r="D67" s="75">
        <f t="shared" si="0"/>
        <v>-487.08300000000003</v>
      </c>
      <c r="E67" t="s">
        <v>144</v>
      </c>
      <c r="F67" t="s">
        <v>184</v>
      </c>
      <c r="G67" t="s">
        <v>25</v>
      </c>
    </row>
    <row r="68" spans="1:7" x14ac:dyDescent="0.35">
      <c r="A68" s="69" t="s">
        <v>340</v>
      </c>
      <c r="B68" s="70"/>
      <c r="C68" s="71">
        <v>8260</v>
      </c>
      <c r="D68" s="75">
        <f t="shared" si="0"/>
        <v>-8.26</v>
      </c>
      <c r="E68" t="s">
        <v>167</v>
      </c>
      <c r="F68" t="s">
        <v>180</v>
      </c>
      <c r="G68" t="s">
        <v>67</v>
      </c>
    </row>
    <row r="69" spans="1:7" x14ac:dyDescent="0.35">
      <c r="A69" s="69" t="s">
        <v>221</v>
      </c>
      <c r="B69" s="70"/>
      <c r="C69" s="71">
        <v>0</v>
      </c>
      <c r="D69" s="75">
        <f t="shared" si="0"/>
        <v>0</v>
      </c>
      <c r="E69" t="s">
        <v>171</v>
      </c>
      <c r="F69" t="s">
        <v>180</v>
      </c>
      <c r="G69" t="s">
        <v>67</v>
      </c>
    </row>
    <row r="70" spans="1:7" x14ac:dyDescent="0.35">
      <c r="A70" s="69" t="s">
        <v>43</v>
      </c>
      <c r="B70" s="71">
        <v>23122</v>
      </c>
      <c r="C70" s="70"/>
      <c r="D70" s="75">
        <f t="shared" si="0"/>
        <v>23.122</v>
      </c>
      <c r="E70" t="s">
        <v>169</v>
      </c>
      <c r="F70" t="s">
        <v>182</v>
      </c>
      <c r="G70" t="s">
        <v>43</v>
      </c>
    </row>
    <row r="71" spans="1:7" x14ac:dyDescent="0.35">
      <c r="A71" s="69" t="s">
        <v>227</v>
      </c>
      <c r="B71" s="70"/>
      <c r="C71" s="71">
        <v>79999971.200000003</v>
      </c>
      <c r="D71" s="75">
        <f t="shared" si="0"/>
        <v>-79999.9712</v>
      </c>
      <c r="E71" t="s">
        <v>262</v>
      </c>
      <c r="F71" t="s">
        <v>180</v>
      </c>
    </row>
    <row r="72" spans="1:7" x14ac:dyDescent="0.35">
      <c r="A72" s="69" t="s">
        <v>1263</v>
      </c>
      <c r="B72" s="70"/>
      <c r="C72" s="107">
        <v>4207010</v>
      </c>
      <c r="D72" s="107">
        <f t="shared" si="0"/>
        <v>-4207.01</v>
      </c>
      <c r="G72" t="s">
        <v>63</v>
      </c>
    </row>
    <row r="73" spans="1:7" x14ac:dyDescent="0.35">
      <c r="A73" s="69" t="s">
        <v>1264</v>
      </c>
      <c r="B73" s="70"/>
      <c r="C73" s="107">
        <f>C71-C72</f>
        <v>75792961.200000003</v>
      </c>
      <c r="D73" s="107">
        <f t="shared" si="0"/>
        <v>-75792.961200000005</v>
      </c>
      <c r="G73" t="s">
        <v>64</v>
      </c>
    </row>
    <row r="74" spans="1:7" x14ac:dyDescent="0.35">
      <c r="A74" s="69" t="s">
        <v>42</v>
      </c>
      <c r="B74" s="71">
        <v>6571.54</v>
      </c>
      <c r="C74" s="70"/>
      <c r="D74" s="75">
        <f t="shared" si="0"/>
        <v>6.5715399999999997</v>
      </c>
      <c r="E74" t="s">
        <v>40</v>
      </c>
      <c r="F74" t="s">
        <v>182</v>
      </c>
      <c r="G74" t="s">
        <v>42</v>
      </c>
    </row>
    <row r="75" spans="1:7" x14ac:dyDescent="0.35">
      <c r="A75" s="69" t="s">
        <v>231</v>
      </c>
      <c r="B75" s="71">
        <v>43755.9</v>
      </c>
      <c r="C75" s="70"/>
      <c r="D75" s="75">
        <f t="shared" si="0"/>
        <v>43.755900000000004</v>
      </c>
      <c r="E75" t="s">
        <v>259</v>
      </c>
      <c r="F75" t="s">
        <v>181</v>
      </c>
      <c r="G75" t="s">
        <v>71</v>
      </c>
    </row>
    <row r="76" spans="1:7" x14ac:dyDescent="0.35">
      <c r="A76" s="69" t="s">
        <v>341</v>
      </c>
      <c r="B76" s="71">
        <v>9300</v>
      </c>
      <c r="C76" s="70"/>
      <c r="D76" s="75">
        <f t="shared" si="0"/>
        <v>9.3000000000000007</v>
      </c>
      <c r="E76" t="s">
        <v>167</v>
      </c>
      <c r="F76" t="s">
        <v>180</v>
      </c>
      <c r="G76" t="s">
        <v>67</v>
      </c>
    </row>
    <row r="77" spans="1:7" x14ac:dyDescent="0.35">
      <c r="A77" s="69" t="s">
        <v>40</v>
      </c>
      <c r="B77" s="71">
        <v>2918.34</v>
      </c>
      <c r="C77" s="70"/>
      <c r="D77" s="75">
        <f t="shared" ref="D77:D120" si="1">(B77-C77)/1000</f>
        <v>2.9183400000000002</v>
      </c>
      <c r="E77" t="s">
        <v>169</v>
      </c>
      <c r="F77" t="s">
        <v>182</v>
      </c>
      <c r="G77" t="s">
        <v>43</v>
      </c>
    </row>
    <row r="78" spans="1:7" x14ac:dyDescent="0.35">
      <c r="A78" s="69" t="s">
        <v>129</v>
      </c>
      <c r="B78" s="70"/>
      <c r="C78" s="71">
        <v>7923</v>
      </c>
      <c r="D78" s="75">
        <f t="shared" si="1"/>
        <v>-7.923</v>
      </c>
      <c r="E78" t="s">
        <v>174</v>
      </c>
      <c r="F78" t="s">
        <v>180</v>
      </c>
      <c r="G78" t="s">
        <v>68</v>
      </c>
    </row>
    <row r="79" spans="1:7" x14ac:dyDescent="0.35">
      <c r="A79" s="69" t="s">
        <v>232</v>
      </c>
      <c r="B79" s="70"/>
      <c r="C79" s="71">
        <v>2700</v>
      </c>
      <c r="D79" s="75">
        <f t="shared" si="1"/>
        <v>-2.7</v>
      </c>
      <c r="E79" t="s">
        <v>174</v>
      </c>
      <c r="F79" t="s">
        <v>180</v>
      </c>
      <c r="G79" t="s">
        <v>68</v>
      </c>
    </row>
    <row r="80" spans="1:7" x14ac:dyDescent="0.35">
      <c r="A80" s="69" t="s">
        <v>130</v>
      </c>
      <c r="B80" s="70"/>
      <c r="C80" s="71">
        <v>7923</v>
      </c>
      <c r="D80" s="75">
        <f t="shared" si="1"/>
        <v>-7.923</v>
      </c>
      <c r="E80" t="s">
        <v>174</v>
      </c>
      <c r="F80" t="s">
        <v>180</v>
      </c>
      <c r="G80" t="s">
        <v>68</v>
      </c>
    </row>
    <row r="81" spans="1:7" x14ac:dyDescent="0.35">
      <c r="A81" s="69" t="s">
        <v>306</v>
      </c>
      <c r="B81" s="71">
        <v>10000</v>
      </c>
      <c r="C81" s="70"/>
      <c r="D81" s="75">
        <f t="shared" si="1"/>
        <v>10</v>
      </c>
      <c r="E81" t="s">
        <v>167</v>
      </c>
      <c r="F81" t="s">
        <v>180</v>
      </c>
      <c r="G81" t="s">
        <v>67</v>
      </c>
    </row>
    <row r="82" spans="1:7" x14ac:dyDescent="0.35">
      <c r="A82" s="69" t="s">
        <v>342</v>
      </c>
      <c r="B82" s="70"/>
      <c r="C82" s="71">
        <v>11023.65</v>
      </c>
      <c r="D82" s="75">
        <f t="shared" si="1"/>
        <v>-11.02365</v>
      </c>
      <c r="E82" t="s">
        <v>66</v>
      </c>
      <c r="F82" t="s">
        <v>180</v>
      </c>
      <c r="G82" t="s">
        <v>68</v>
      </c>
    </row>
    <row r="83" spans="1:7" x14ac:dyDescent="0.35">
      <c r="A83" s="69" t="s">
        <v>29</v>
      </c>
      <c r="B83" s="71">
        <v>8900</v>
      </c>
      <c r="C83" s="70"/>
      <c r="D83" s="75">
        <f t="shared" si="1"/>
        <v>8.9</v>
      </c>
      <c r="E83" t="s">
        <v>173</v>
      </c>
      <c r="F83" t="s">
        <v>182</v>
      </c>
      <c r="G83" t="s">
        <v>29</v>
      </c>
    </row>
    <row r="84" spans="1:7" x14ac:dyDescent="0.35">
      <c r="A84" s="69" t="s">
        <v>233</v>
      </c>
      <c r="B84" s="71">
        <v>2261</v>
      </c>
      <c r="C84" s="70"/>
      <c r="D84" s="75">
        <f t="shared" si="1"/>
        <v>2.2610000000000001</v>
      </c>
      <c r="E84" t="s">
        <v>170</v>
      </c>
      <c r="F84" t="s">
        <v>182</v>
      </c>
      <c r="G84" t="s">
        <v>417</v>
      </c>
    </row>
    <row r="85" spans="1:7" x14ac:dyDescent="0.35">
      <c r="A85" s="69" t="s">
        <v>41</v>
      </c>
      <c r="B85" s="71">
        <v>87659</v>
      </c>
      <c r="C85" s="70"/>
      <c r="D85" s="75">
        <f t="shared" si="1"/>
        <v>87.659000000000006</v>
      </c>
      <c r="E85" t="s">
        <v>40</v>
      </c>
      <c r="F85" t="s">
        <v>182</v>
      </c>
      <c r="G85" t="s">
        <v>41</v>
      </c>
    </row>
    <row r="86" spans="1:7" x14ac:dyDescent="0.35">
      <c r="A86" s="69" t="s">
        <v>134</v>
      </c>
      <c r="B86" s="70"/>
      <c r="C86" s="71">
        <v>4800</v>
      </c>
      <c r="D86" s="75">
        <f t="shared" si="1"/>
        <v>-4.8</v>
      </c>
      <c r="E86" t="s">
        <v>175</v>
      </c>
      <c r="F86" t="s">
        <v>180</v>
      </c>
      <c r="G86" t="s">
        <v>68</v>
      </c>
    </row>
    <row r="87" spans="1:7" x14ac:dyDescent="0.35">
      <c r="A87" s="69" t="s">
        <v>135</v>
      </c>
      <c r="B87" s="71">
        <v>9788929.5999999996</v>
      </c>
      <c r="C87" s="70"/>
      <c r="D87" s="75">
        <f t="shared" si="1"/>
        <v>9788.9295999999995</v>
      </c>
      <c r="E87" t="s">
        <v>176</v>
      </c>
      <c r="F87" t="s">
        <v>183</v>
      </c>
      <c r="G87" t="s">
        <v>64</v>
      </c>
    </row>
    <row r="88" spans="1:7" x14ac:dyDescent="0.35">
      <c r="A88" s="69" t="s">
        <v>307</v>
      </c>
      <c r="B88" s="71">
        <v>14400</v>
      </c>
      <c r="C88" s="70"/>
      <c r="D88" s="75">
        <f t="shared" si="1"/>
        <v>14.4</v>
      </c>
      <c r="E88" t="s">
        <v>167</v>
      </c>
      <c r="F88" t="s">
        <v>180</v>
      </c>
      <c r="G88" t="s">
        <v>67</v>
      </c>
    </row>
    <row r="89" spans="1:7" x14ac:dyDescent="0.35">
      <c r="A89" s="69" t="s">
        <v>343</v>
      </c>
      <c r="B89" s="70"/>
      <c r="C89" s="71">
        <v>59</v>
      </c>
      <c r="D89" s="75">
        <f t="shared" si="1"/>
        <v>-5.8999999999999997E-2</v>
      </c>
      <c r="E89" t="s">
        <v>171</v>
      </c>
      <c r="F89" t="s">
        <v>180</v>
      </c>
      <c r="G89" t="s">
        <v>67</v>
      </c>
    </row>
    <row r="90" spans="1:7" x14ac:dyDescent="0.35">
      <c r="A90" s="69" t="s">
        <v>136</v>
      </c>
      <c r="B90" s="70"/>
      <c r="C90" s="71">
        <v>33671</v>
      </c>
      <c r="D90" s="75">
        <f t="shared" si="1"/>
        <v>-33.670999999999999</v>
      </c>
      <c r="E90" t="s">
        <v>177</v>
      </c>
      <c r="F90" t="s">
        <v>180</v>
      </c>
      <c r="G90" t="s">
        <v>68</v>
      </c>
    </row>
    <row r="91" spans="1:7" x14ac:dyDescent="0.35">
      <c r="A91" s="69" t="s">
        <v>137</v>
      </c>
      <c r="B91" s="70"/>
      <c r="C91" s="71">
        <v>33671</v>
      </c>
      <c r="D91" s="75">
        <f t="shared" si="1"/>
        <v>-33.670999999999999</v>
      </c>
      <c r="E91" t="s">
        <v>177</v>
      </c>
      <c r="F91" t="s">
        <v>180</v>
      </c>
      <c r="G91" t="s">
        <v>68</v>
      </c>
    </row>
    <row r="92" spans="1:7" x14ac:dyDescent="0.35">
      <c r="A92" s="69" t="s">
        <v>138</v>
      </c>
      <c r="B92" s="70"/>
      <c r="C92" s="71">
        <v>25000</v>
      </c>
      <c r="D92" s="75">
        <f t="shared" si="1"/>
        <v>-25</v>
      </c>
      <c r="E92" t="s">
        <v>178</v>
      </c>
      <c r="F92" t="s">
        <v>180</v>
      </c>
      <c r="G92" t="s">
        <v>69</v>
      </c>
    </row>
    <row r="93" spans="1:7" x14ac:dyDescent="0.35">
      <c r="A93" s="69" t="s">
        <v>344</v>
      </c>
      <c r="B93" s="71">
        <v>3000</v>
      </c>
      <c r="C93" s="70"/>
      <c r="D93" s="75">
        <f t="shared" si="1"/>
        <v>3</v>
      </c>
      <c r="E93" t="s">
        <v>169</v>
      </c>
      <c r="F93" t="s">
        <v>182</v>
      </c>
      <c r="G93" t="s">
        <v>43</v>
      </c>
    </row>
    <row r="94" spans="1:7" x14ac:dyDescent="0.35">
      <c r="A94" s="69" t="s">
        <v>308</v>
      </c>
      <c r="B94" s="70"/>
      <c r="C94" s="71">
        <v>0</v>
      </c>
      <c r="D94" s="75">
        <f t="shared" si="1"/>
        <v>0</v>
      </c>
      <c r="E94" t="s">
        <v>66</v>
      </c>
      <c r="F94" t="s">
        <v>180</v>
      </c>
      <c r="G94" t="s">
        <v>68</v>
      </c>
    </row>
    <row r="95" spans="1:7" x14ac:dyDescent="0.35">
      <c r="A95" s="69" t="s">
        <v>240</v>
      </c>
      <c r="B95" s="70"/>
      <c r="C95" s="71">
        <v>62200</v>
      </c>
      <c r="D95" s="75">
        <f t="shared" si="1"/>
        <v>-62.2</v>
      </c>
      <c r="E95" t="s">
        <v>169</v>
      </c>
      <c r="F95" t="s">
        <v>182</v>
      </c>
      <c r="G95" t="s">
        <v>39</v>
      </c>
    </row>
    <row r="96" spans="1:7" x14ac:dyDescent="0.35">
      <c r="A96" s="69" t="s">
        <v>142</v>
      </c>
      <c r="B96" s="71">
        <v>43333.33</v>
      </c>
      <c r="C96" s="70"/>
      <c r="D96" s="75">
        <f t="shared" si="1"/>
        <v>43.333330000000004</v>
      </c>
      <c r="E96" t="s">
        <v>169</v>
      </c>
      <c r="F96" t="s">
        <v>182</v>
      </c>
      <c r="G96" t="s">
        <v>31</v>
      </c>
    </row>
    <row r="97" spans="1:7" x14ac:dyDescent="0.35">
      <c r="A97" s="69" t="s">
        <v>309</v>
      </c>
      <c r="B97" s="70"/>
      <c r="C97" s="71">
        <v>37800</v>
      </c>
      <c r="D97" s="75">
        <f t="shared" si="1"/>
        <v>-37.799999999999997</v>
      </c>
      <c r="E97" t="s">
        <v>171</v>
      </c>
      <c r="F97" t="s">
        <v>180</v>
      </c>
      <c r="G97" t="s">
        <v>67</v>
      </c>
    </row>
    <row r="98" spans="1:7" x14ac:dyDescent="0.35">
      <c r="A98" s="69" t="s">
        <v>143</v>
      </c>
      <c r="B98" s="71">
        <v>1899400.76</v>
      </c>
      <c r="C98" s="70"/>
      <c r="D98" s="75">
        <f t="shared" si="1"/>
        <v>1899.40076</v>
      </c>
      <c r="E98" t="s">
        <v>170</v>
      </c>
      <c r="F98" t="s">
        <v>182</v>
      </c>
      <c r="G98" t="s">
        <v>185</v>
      </c>
    </row>
    <row r="99" spans="1:7" x14ac:dyDescent="0.35">
      <c r="A99" s="69" t="s">
        <v>145</v>
      </c>
      <c r="B99" s="71">
        <v>1532</v>
      </c>
      <c r="C99" s="70"/>
      <c r="D99" s="75">
        <f t="shared" si="1"/>
        <v>1.532</v>
      </c>
      <c r="E99" t="s">
        <v>171</v>
      </c>
      <c r="F99" t="s">
        <v>180</v>
      </c>
      <c r="G99" t="s">
        <v>67</v>
      </c>
    </row>
    <row r="100" spans="1:7" x14ac:dyDescent="0.35">
      <c r="A100" s="69" t="s">
        <v>310</v>
      </c>
      <c r="B100" s="70"/>
      <c r="C100" s="71">
        <v>6805</v>
      </c>
      <c r="D100" s="75">
        <f t="shared" si="1"/>
        <v>-6.8049999999999997</v>
      </c>
      <c r="E100" t="s">
        <v>171</v>
      </c>
      <c r="F100" t="s">
        <v>180</v>
      </c>
      <c r="G100" t="s">
        <v>67</v>
      </c>
    </row>
    <row r="101" spans="1:7" x14ac:dyDescent="0.35">
      <c r="A101" s="69" t="s">
        <v>146</v>
      </c>
      <c r="B101" s="71">
        <v>611000</v>
      </c>
      <c r="C101" s="70"/>
      <c r="D101" s="75">
        <f t="shared" si="1"/>
        <v>611</v>
      </c>
      <c r="E101" t="s">
        <v>75</v>
      </c>
      <c r="F101" t="s">
        <v>181</v>
      </c>
      <c r="G101" t="s">
        <v>73</v>
      </c>
    </row>
    <row r="102" spans="1:7" x14ac:dyDescent="0.35">
      <c r="A102" s="69" t="s">
        <v>311</v>
      </c>
      <c r="B102" s="70"/>
      <c r="C102" s="71">
        <v>9893</v>
      </c>
      <c r="D102" s="75">
        <f t="shared" si="1"/>
        <v>-9.8930000000000007</v>
      </c>
      <c r="E102" t="s">
        <v>174</v>
      </c>
      <c r="F102" t="s">
        <v>180</v>
      </c>
      <c r="G102" t="s">
        <v>68</v>
      </c>
    </row>
    <row r="103" spans="1:7" x14ac:dyDescent="0.35">
      <c r="A103" s="69" t="s">
        <v>149</v>
      </c>
      <c r="B103" s="71">
        <v>106219.5</v>
      </c>
      <c r="C103" s="70"/>
      <c r="D103" s="75">
        <f t="shared" si="1"/>
        <v>106.2195</v>
      </c>
      <c r="E103" t="s">
        <v>169</v>
      </c>
      <c r="F103" t="s">
        <v>182</v>
      </c>
      <c r="G103" t="s">
        <v>39</v>
      </c>
    </row>
    <row r="104" spans="1:7" x14ac:dyDescent="0.35">
      <c r="A104" s="69" t="s">
        <v>33</v>
      </c>
      <c r="B104" s="71">
        <v>16379.2</v>
      </c>
      <c r="C104" s="70"/>
      <c r="D104" s="75">
        <f t="shared" si="1"/>
        <v>16.379200000000001</v>
      </c>
      <c r="E104" t="s">
        <v>173</v>
      </c>
      <c r="F104" t="s">
        <v>182</v>
      </c>
      <c r="G104" t="s">
        <v>33</v>
      </c>
    </row>
    <row r="105" spans="1:7" x14ac:dyDescent="0.35">
      <c r="A105" s="69" t="s">
        <v>150</v>
      </c>
      <c r="B105" s="71">
        <v>85663.56</v>
      </c>
      <c r="C105" s="70"/>
      <c r="D105" s="75">
        <f t="shared" si="1"/>
        <v>85.663560000000004</v>
      </c>
      <c r="E105" t="s">
        <v>170</v>
      </c>
      <c r="F105" t="s">
        <v>182</v>
      </c>
      <c r="G105" t="s">
        <v>417</v>
      </c>
    </row>
    <row r="106" spans="1:7" x14ac:dyDescent="0.35">
      <c r="A106" s="69" t="s">
        <v>249</v>
      </c>
      <c r="B106" s="71">
        <v>600</v>
      </c>
      <c r="C106" s="70"/>
      <c r="D106" s="75">
        <f t="shared" si="1"/>
        <v>0.6</v>
      </c>
      <c r="E106" t="s">
        <v>169</v>
      </c>
      <c r="F106" t="s">
        <v>182</v>
      </c>
      <c r="G106" t="s">
        <v>43</v>
      </c>
    </row>
    <row r="107" spans="1:7" x14ac:dyDescent="0.35">
      <c r="A107" s="69" t="s">
        <v>271</v>
      </c>
      <c r="B107" s="70"/>
      <c r="C107" s="71">
        <v>1980</v>
      </c>
      <c r="D107" s="75">
        <f t="shared" si="1"/>
        <v>-1.98</v>
      </c>
      <c r="E107" t="s">
        <v>165</v>
      </c>
      <c r="F107" t="s">
        <v>180</v>
      </c>
      <c r="G107" t="s">
        <v>68</v>
      </c>
    </row>
    <row r="108" spans="1:7" x14ac:dyDescent="0.35">
      <c r="A108" s="69" t="s">
        <v>345</v>
      </c>
      <c r="B108" s="71">
        <v>23072</v>
      </c>
      <c r="C108" s="70"/>
      <c r="D108" s="75">
        <f t="shared" si="1"/>
        <v>23.071999999999999</v>
      </c>
      <c r="E108" t="s">
        <v>175</v>
      </c>
      <c r="F108" t="s">
        <v>181</v>
      </c>
      <c r="G108" t="s">
        <v>79</v>
      </c>
    </row>
    <row r="109" spans="1:7" x14ac:dyDescent="0.35">
      <c r="A109" s="69" t="s">
        <v>151</v>
      </c>
      <c r="B109" s="70"/>
      <c r="C109" s="71">
        <v>79801</v>
      </c>
      <c r="D109" s="75">
        <f t="shared" si="1"/>
        <v>-79.801000000000002</v>
      </c>
      <c r="E109" t="s">
        <v>179</v>
      </c>
      <c r="F109" t="s">
        <v>180</v>
      </c>
      <c r="G109" t="s">
        <v>68</v>
      </c>
    </row>
    <row r="110" spans="1:7" x14ac:dyDescent="0.35">
      <c r="A110" s="69" t="s">
        <v>152</v>
      </c>
      <c r="B110" s="71">
        <v>3105.91</v>
      </c>
      <c r="C110" s="70"/>
      <c r="D110" s="75">
        <f t="shared" si="1"/>
        <v>3.1059099999999997</v>
      </c>
      <c r="E110" t="s">
        <v>179</v>
      </c>
      <c r="F110" t="s">
        <v>180</v>
      </c>
      <c r="G110" t="s">
        <v>68</v>
      </c>
    </row>
    <row r="111" spans="1:7" x14ac:dyDescent="0.35">
      <c r="A111" s="69" t="s">
        <v>153</v>
      </c>
      <c r="B111" s="70"/>
      <c r="C111" s="71">
        <v>18633.330000000002</v>
      </c>
      <c r="D111" s="75">
        <f t="shared" si="1"/>
        <v>-18.633330000000001</v>
      </c>
      <c r="E111" t="s">
        <v>179</v>
      </c>
      <c r="F111" t="s">
        <v>180</v>
      </c>
      <c r="G111" t="s">
        <v>68</v>
      </c>
    </row>
    <row r="112" spans="1:7" x14ac:dyDescent="0.35">
      <c r="A112" s="69" t="s">
        <v>253</v>
      </c>
      <c r="B112" s="70"/>
      <c r="C112" s="71">
        <v>62063.82</v>
      </c>
      <c r="D112" s="75">
        <f t="shared" si="1"/>
        <v>-62.06382</v>
      </c>
      <c r="E112" t="s">
        <v>179</v>
      </c>
      <c r="F112" t="s">
        <v>180</v>
      </c>
      <c r="G112" t="s">
        <v>68</v>
      </c>
    </row>
    <row r="113" spans="1:7" x14ac:dyDescent="0.35">
      <c r="A113" s="69" t="s">
        <v>346</v>
      </c>
      <c r="B113" s="71">
        <v>1300</v>
      </c>
      <c r="C113" s="70"/>
      <c r="D113" s="75">
        <f t="shared" si="1"/>
        <v>1.3</v>
      </c>
      <c r="E113" t="s">
        <v>171</v>
      </c>
      <c r="F113" t="s">
        <v>180</v>
      </c>
      <c r="G113" t="s">
        <v>67</v>
      </c>
    </row>
    <row r="114" spans="1:7" x14ac:dyDescent="0.35">
      <c r="A114" s="69" t="s">
        <v>31</v>
      </c>
      <c r="B114" s="71">
        <v>41381.440000000002</v>
      </c>
      <c r="C114" s="70"/>
      <c r="D114" s="75">
        <f t="shared" si="1"/>
        <v>41.381440000000005</v>
      </c>
      <c r="E114" t="s">
        <v>173</v>
      </c>
      <c r="F114" t="s">
        <v>182</v>
      </c>
      <c r="G114" t="s">
        <v>31</v>
      </c>
    </row>
    <row r="115" spans="1:7" x14ac:dyDescent="0.35">
      <c r="A115" s="69" t="s">
        <v>347</v>
      </c>
      <c r="B115" s="70"/>
      <c r="C115" s="71">
        <v>43651</v>
      </c>
      <c r="D115" s="75">
        <f t="shared" si="1"/>
        <v>-43.651000000000003</v>
      </c>
      <c r="E115" t="s">
        <v>167</v>
      </c>
      <c r="F115" t="s">
        <v>180</v>
      </c>
      <c r="G115" t="s">
        <v>67</v>
      </c>
    </row>
    <row r="116" spans="1:7" x14ac:dyDescent="0.35">
      <c r="A116" s="69" t="s">
        <v>154</v>
      </c>
      <c r="B116" s="70"/>
      <c r="C116" s="71">
        <v>21576</v>
      </c>
      <c r="D116" s="75">
        <f t="shared" si="1"/>
        <v>-21.576000000000001</v>
      </c>
      <c r="E116" t="s">
        <v>171</v>
      </c>
      <c r="F116" t="s">
        <v>180</v>
      </c>
      <c r="G116" t="s">
        <v>67</v>
      </c>
    </row>
    <row r="117" spans="1:7" x14ac:dyDescent="0.35">
      <c r="A117" s="69" t="s">
        <v>313</v>
      </c>
      <c r="B117" s="70"/>
      <c r="C117" s="71">
        <v>42480</v>
      </c>
      <c r="D117" s="75">
        <f t="shared" si="1"/>
        <v>-42.48</v>
      </c>
      <c r="E117" t="s">
        <v>171</v>
      </c>
      <c r="F117" t="s">
        <v>180</v>
      </c>
      <c r="G117" t="s">
        <v>67</v>
      </c>
    </row>
    <row r="118" spans="1:7" x14ac:dyDescent="0.35">
      <c r="A118" s="69" t="s">
        <v>348</v>
      </c>
      <c r="B118" s="70"/>
      <c r="C118" s="71">
        <v>2594</v>
      </c>
      <c r="D118" s="75">
        <f t="shared" si="1"/>
        <v>-2.5939999999999999</v>
      </c>
      <c r="E118" t="s">
        <v>171</v>
      </c>
      <c r="F118" t="s">
        <v>180</v>
      </c>
      <c r="G118" t="s">
        <v>67</v>
      </c>
    </row>
    <row r="119" spans="1:7" x14ac:dyDescent="0.35">
      <c r="A119" s="69" t="s">
        <v>349</v>
      </c>
      <c r="B119" s="71">
        <v>18660.25</v>
      </c>
      <c r="C119" s="71">
        <v>18660.25</v>
      </c>
      <c r="D119" s="75">
        <f t="shared" si="1"/>
        <v>0</v>
      </c>
      <c r="E119" t="s">
        <v>40</v>
      </c>
      <c r="F119" t="s">
        <v>182</v>
      </c>
      <c r="G119" t="s">
        <v>42</v>
      </c>
    </row>
    <row r="120" spans="1:7" x14ac:dyDescent="0.35">
      <c r="A120" s="69" t="s">
        <v>155</v>
      </c>
      <c r="B120" s="70"/>
      <c r="C120" s="71">
        <v>1000</v>
      </c>
      <c r="D120" s="75">
        <f t="shared" si="1"/>
        <v>-1</v>
      </c>
      <c r="E120" t="s">
        <v>162</v>
      </c>
      <c r="F120" t="s">
        <v>180</v>
      </c>
      <c r="G120" t="s">
        <v>63</v>
      </c>
    </row>
    <row r="121" spans="1:7" x14ac:dyDescent="0.35">
      <c r="A121" s="72" t="s">
        <v>156</v>
      </c>
      <c r="B121" s="73">
        <v>82760846.890000015</v>
      </c>
      <c r="C121" s="73">
        <v>82760846.890000001</v>
      </c>
      <c r="D121" s="75">
        <f>SUM(D10:D120)</f>
        <v>-79999.971199999956</v>
      </c>
    </row>
  </sheetData>
  <autoFilter ref="A9:G121" xr:uid="{00000000-0009-0000-0000-00000E000000}"/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>
    <tabColor rgb="FF92D050"/>
  </sheetPr>
  <dimension ref="A1:Q137"/>
  <sheetViews>
    <sheetView topLeftCell="A80" workbookViewId="0">
      <selection activeCell="C78" sqref="C78"/>
    </sheetView>
  </sheetViews>
  <sheetFormatPr defaultRowHeight="14.5" x14ac:dyDescent="0.35"/>
  <cols>
    <col min="1" max="1" width="35.36328125" bestFit="1" customWidth="1"/>
    <col min="2" max="3" width="9.08984375" bestFit="1" customWidth="1"/>
    <col min="4" max="4" width="12.08984375" bestFit="1" customWidth="1"/>
    <col min="5" max="5" width="23.36328125" bestFit="1" customWidth="1"/>
    <col min="7" max="7" width="43.36328125" bestFit="1" customWidth="1"/>
    <col min="11" max="11" width="23.36328125" bestFit="1" customWidth="1"/>
    <col min="12" max="12" width="10.81640625" style="75" bestFit="1" customWidth="1"/>
    <col min="13" max="13" width="15.81640625" bestFit="1" customWidth="1"/>
    <col min="16" max="16" width="15.81640625" bestFit="1" customWidth="1"/>
    <col min="17" max="17" width="8.81640625" style="75"/>
  </cols>
  <sheetData>
    <row r="1" spans="1:17" ht="15.5" x14ac:dyDescent="0.35">
      <c r="A1" s="573" t="s">
        <v>80</v>
      </c>
      <c r="B1" s="573"/>
      <c r="C1" s="573"/>
    </row>
    <row r="2" spans="1:17" x14ac:dyDescent="0.35">
      <c r="A2" s="574" t="s">
        <v>81</v>
      </c>
      <c r="B2" s="574"/>
      <c r="C2" s="574"/>
    </row>
    <row r="3" spans="1:17" x14ac:dyDescent="0.35">
      <c r="A3" s="575" t="s">
        <v>82</v>
      </c>
      <c r="B3" s="575"/>
      <c r="C3" s="575"/>
    </row>
    <row r="4" spans="1:17" ht="15.5" x14ac:dyDescent="0.35">
      <c r="A4" s="576" t="s">
        <v>83</v>
      </c>
      <c r="B4" s="576"/>
      <c r="C4" s="576"/>
    </row>
    <row r="5" spans="1:17" x14ac:dyDescent="0.35">
      <c r="A5" s="574" t="s">
        <v>364</v>
      </c>
      <c r="B5" s="574"/>
      <c r="C5" s="574"/>
    </row>
    <row r="6" spans="1:17" x14ac:dyDescent="0.35">
      <c r="A6" s="66" t="s">
        <v>85</v>
      </c>
      <c r="B6" s="577" t="s">
        <v>80</v>
      </c>
      <c r="C6" s="578"/>
    </row>
    <row r="7" spans="1:17" x14ac:dyDescent="0.35">
      <c r="A7" s="67" t="s">
        <v>86</v>
      </c>
      <c r="B7" s="569" t="s">
        <v>364</v>
      </c>
      <c r="C7" s="570"/>
      <c r="P7" t="s">
        <v>192</v>
      </c>
      <c r="Q7" s="75">
        <f>(SUMIF(M:M,P7,L:L))/1000</f>
        <v>1686.3549100000002</v>
      </c>
    </row>
    <row r="8" spans="1:17" x14ac:dyDescent="0.35">
      <c r="A8" s="67" t="s">
        <v>85</v>
      </c>
      <c r="B8" s="571" t="s">
        <v>87</v>
      </c>
      <c r="C8" s="572"/>
      <c r="D8" s="74">
        <f>SUBTOTAL(9,D10:D136)</f>
        <v>-79999.972199999989</v>
      </c>
      <c r="K8" s="126" t="s">
        <v>626</v>
      </c>
      <c r="P8" t="s">
        <v>188</v>
      </c>
      <c r="Q8" s="75">
        <f>(SUMIF(M:M,P8,L:L))/1000</f>
        <v>85.864999999999995</v>
      </c>
    </row>
    <row r="9" spans="1:17" s="78" customFormat="1" x14ac:dyDescent="0.35">
      <c r="A9" s="68" t="s">
        <v>85</v>
      </c>
      <c r="B9" s="77" t="s">
        <v>88</v>
      </c>
      <c r="C9" s="77" t="s">
        <v>89</v>
      </c>
      <c r="D9" s="78" t="s">
        <v>157</v>
      </c>
      <c r="E9" s="78" t="s">
        <v>158</v>
      </c>
      <c r="F9" s="78" t="s">
        <v>159</v>
      </c>
      <c r="G9" s="78" t="s">
        <v>160</v>
      </c>
      <c r="K9" s="80" t="s">
        <v>86</v>
      </c>
      <c r="L9" s="87" t="s">
        <v>186</v>
      </c>
      <c r="M9" s="80"/>
      <c r="P9" s="88" t="s">
        <v>190</v>
      </c>
      <c r="Q9" s="75">
        <f>(SUMIF(M:M,P9,L:L))/1000</f>
        <v>102.82299999999999</v>
      </c>
    </row>
    <row r="10" spans="1:17" x14ac:dyDescent="0.35">
      <c r="A10" s="69" t="s">
        <v>197</v>
      </c>
      <c r="B10" s="70"/>
      <c r="C10" s="71">
        <v>6442.09</v>
      </c>
      <c r="D10" s="75">
        <f>(B10-C10)/1000</f>
        <v>-6.4420900000000003</v>
      </c>
      <c r="E10" t="s">
        <v>171</v>
      </c>
      <c r="F10" t="s">
        <v>180</v>
      </c>
      <c r="G10" t="s">
        <v>67</v>
      </c>
      <c r="K10" s="81" t="s">
        <v>350</v>
      </c>
      <c r="L10" s="82">
        <v>123200</v>
      </c>
      <c r="M10" s="81" t="s">
        <v>192</v>
      </c>
      <c r="P10" t="s">
        <v>352</v>
      </c>
      <c r="Q10" s="75">
        <f>(SUMIF(M:M,P10,L:L))/1000</f>
        <v>30.2</v>
      </c>
    </row>
    <row r="11" spans="1:17" x14ac:dyDescent="0.35">
      <c r="A11" s="69" t="s">
        <v>90</v>
      </c>
      <c r="B11" s="70"/>
      <c r="C11" s="71">
        <v>261767.86</v>
      </c>
      <c r="D11" s="75">
        <f t="shared" ref="D11:D75" si="0">(B11-C11)/1000</f>
        <v>-261.76785999999998</v>
      </c>
      <c r="E11" t="s">
        <v>161</v>
      </c>
      <c r="F11" t="s">
        <v>180</v>
      </c>
      <c r="G11" t="s">
        <v>65</v>
      </c>
      <c r="K11" s="81" t="s">
        <v>351</v>
      </c>
      <c r="L11" s="82">
        <v>73200</v>
      </c>
      <c r="M11" s="81" t="s">
        <v>192</v>
      </c>
      <c r="P11" t="s">
        <v>268</v>
      </c>
      <c r="Q11" s="75">
        <f>(SUMIF(M:M,P11,L:L))/1000</f>
        <v>72.647000000000006</v>
      </c>
    </row>
    <row r="12" spans="1:17" x14ac:dyDescent="0.35">
      <c r="A12" s="69" t="s">
        <v>92</v>
      </c>
      <c r="B12" s="70"/>
      <c r="C12" s="71">
        <v>99000</v>
      </c>
      <c r="D12" s="75">
        <f t="shared" si="0"/>
        <v>-99</v>
      </c>
      <c r="E12" t="s">
        <v>162</v>
      </c>
      <c r="F12" t="s">
        <v>180</v>
      </c>
      <c r="G12" t="s">
        <v>63</v>
      </c>
      <c r="K12" s="81" t="s">
        <v>97</v>
      </c>
      <c r="L12" s="82">
        <v>74456</v>
      </c>
      <c r="M12" s="81" t="s">
        <v>192</v>
      </c>
      <c r="Q12" s="75">
        <f>SUM(Q7:Q11)</f>
        <v>1977.8899100000003</v>
      </c>
    </row>
    <row r="13" spans="1:17" x14ac:dyDescent="0.35">
      <c r="A13" s="69" t="s">
        <v>287</v>
      </c>
      <c r="B13" s="71">
        <v>35000</v>
      </c>
      <c r="C13" s="70"/>
      <c r="D13" s="75">
        <f t="shared" si="0"/>
        <v>35</v>
      </c>
      <c r="E13" t="s">
        <v>169</v>
      </c>
      <c r="F13" t="s">
        <v>182</v>
      </c>
      <c r="G13" t="s">
        <v>41</v>
      </c>
      <c r="K13" s="81" t="s">
        <v>187</v>
      </c>
      <c r="L13" s="82">
        <v>58200</v>
      </c>
      <c r="M13" s="81" t="s">
        <v>188</v>
      </c>
    </row>
    <row r="14" spans="1:17" x14ac:dyDescent="0.35">
      <c r="A14" s="69" t="s">
        <v>288</v>
      </c>
      <c r="B14" s="71">
        <v>325513.69</v>
      </c>
      <c r="C14" s="70"/>
      <c r="D14" s="75">
        <f t="shared" si="0"/>
        <v>325.51369</v>
      </c>
      <c r="E14" t="s">
        <v>75</v>
      </c>
      <c r="F14" t="s">
        <v>181</v>
      </c>
      <c r="G14" t="s">
        <v>79</v>
      </c>
      <c r="K14" s="81" t="s">
        <v>219</v>
      </c>
      <c r="L14" s="82">
        <v>23200</v>
      </c>
      <c r="M14" s="81" t="s">
        <v>190</v>
      </c>
    </row>
    <row r="15" spans="1:17" x14ac:dyDescent="0.35">
      <c r="A15" s="69" t="s">
        <v>289</v>
      </c>
      <c r="B15" s="70"/>
      <c r="C15" s="71">
        <v>28492</v>
      </c>
      <c r="D15" s="75">
        <f t="shared" si="0"/>
        <v>-28.492000000000001</v>
      </c>
      <c r="E15" t="s">
        <v>259</v>
      </c>
      <c r="F15" t="s">
        <v>180</v>
      </c>
      <c r="G15" t="s">
        <v>72</v>
      </c>
      <c r="K15" s="81" t="s">
        <v>199</v>
      </c>
      <c r="L15" s="82">
        <v>29110</v>
      </c>
      <c r="M15" s="81" t="s">
        <v>190</v>
      </c>
    </row>
    <row r="16" spans="1:17" x14ac:dyDescent="0.35">
      <c r="A16" s="69" t="s">
        <v>327</v>
      </c>
      <c r="B16" s="70"/>
      <c r="C16" s="71">
        <v>90946</v>
      </c>
      <c r="D16" s="75">
        <f t="shared" si="0"/>
        <v>-90.945999999999998</v>
      </c>
      <c r="E16" t="s">
        <v>259</v>
      </c>
      <c r="F16" t="s">
        <v>181</v>
      </c>
      <c r="G16" t="s">
        <v>71</v>
      </c>
      <c r="K16" s="81" t="s">
        <v>269</v>
      </c>
      <c r="L16" s="82">
        <v>30200</v>
      </c>
      <c r="M16" s="81" t="s">
        <v>352</v>
      </c>
    </row>
    <row r="17" spans="1:13" x14ac:dyDescent="0.35">
      <c r="A17" s="69" t="s">
        <v>198</v>
      </c>
      <c r="B17" s="70"/>
      <c r="C17" s="71">
        <v>7027</v>
      </c>
      <c r="D17" s="75">
        <f t="shared" si="0"/>
        <v>-7.0270000000000001</v>
      </c>
      <c r="E17" t="s">
        <v>259</v>
      </c>
      <c r="F17" t="s">
        <v>181</v>
      </c>
      <c r="G17" t="s">
        <v>71</v>
      </c>
      <c r="K17" s="81" t="s">
        <v>273</v>
      </c>
      <c r="L17" s="82">
        <v>98200</v>
      </c>
      <c r="M17" s="81" t="s">
        <v>192</v>
      </c>
    </row>
    <row r="18" spans="1:13" x14ac:dyDescent="0.35">
      <c r="A18" s="69" t="s">
        <v>269</v>
      </c>
      <c r="B18" s="70"/>
      <c r="C18" s="71">
        <v>4000</v>
      </c>
      <c r="D18" s="75">
        <f t="shared" si="0"/>
        <v>-4</v>
      </c>
      <c r="E18" t="s">
        <v>165</v>
      </c>
      <c r="F18" t="s">
        <v>180</v>
      </c>
      <c r="G18" t="s">
        <v>68</v>
      </c>
      <c r="K18" s="81" t="s">
        <v>317</v>
      </c>
      <c r="L18" s="82">
        <v>264900</v>
      </c>
      <c r="M18" s="81" t="s">
        <v>192</v>
      </c>
    </row>
    <row r="19" spans="1:13" x14ac:dyDescent="0.35">
      <c r="A19" s="69" t="s">
        <v>365</v>
      </c>
      <c r="B19" s="71">
        <v>305.98</v>
      </c>
      <c r="C19" s="70"/>
      <c r="D19" s="75">
        <f t="shared" si="0"/>
        <v>0.30598000000000003</v>
      </c>
      <c r="E19" t="s">
        <v>75</v>
      </c>
      <c r="F19" t="s">
        <v>181</v>
      </c>
      <c r="G19" t="s">
        <v>79</v>
      </c>
      <c r="K19" s="81" t="s">
        <v>354</v>
      </c>
      <c r="L19" s="82">
        <v>27135</v>
      </c>
      <c r="M19" s="81" t="s">
        <v>190</v>
      </c>
    </row>
    <row r="20" spans="1:13" x14ac:dyDescent="0.35">
      <c r="A20" s="69" t="s">
        <v>200</v>
      </c>
      <c r="B20" s="70"/>
      <c r="C20" s="71">
        <v>589.5</v>
      </c>
      <c r="D20" s="75">
        <f t="shared" si="0"/>
        <v>-0.58950000000000002</v>
      </c>
      <c r="E20" t="s">
        <v>171</v>
      </c>
      <c r="F20" t="s">
        <v>180</v>
      </c>
      <c r="G20" t="s">
        <v>67</v>
      </c>
      <c r="K20" s="81" t="s">
        <v>312</v>
      </c>
      <c r="L20" s="82">
        <v>58200</v>
      </c>
      <c r="M20" s="81" t="s">
        <v>192</v>
      </c>
    </row>
    <row r="21" spans="1:13" x14ac:dyDescent="0.35">
      <c r="A21" s="69" t="s">
        <v>96</v>
      </c>
      <c r="B21" s="71">
        <v>1521.65</v>
      </c>
      <c r="C21" s="70"/>
      <c r="D21" s="75">
        <f t="shared" si="0"/>
        <v>1.5216500000000002</v>
      </c>
      <c r="E21" t="s">
        <v>163</v>
      </c>
      <c r="F21" t="s">
        <v>180</v>
      </c>
      <c r="G21" t="s">
        <v>68</v>
      </c>
      <c r="K21" s="81" t="s">
        <v>355</v>
      </c>
      <c r="L21" s="82">
        <v>223200</v>
      </c>
      <c r="M21" s="81" t="s">
        <v>192</v>
      </c>
    </row>
    <row r="22" spans="1:13" x14ac:dyDescent="0.35">
      <c r="A22" s="69" t="s">
        <v>366</v>
      </c>
      <c r="B22" s="71">
        <v>30000</v>
      </c>
      <c r="C22" s="70"/>
      <c r="D22" s="75">
        <f t="shared" si="0"/>
        <v>30</v>
      </c>
      <c r="E22" t="s">
        <v>171</v>
      </c>
      <c r="F22" t="s">
        <v>180</v>
      </c>
      <c r="G22" t="s">
        <v>67</v>
      </c>
      <c r="K22" s="81" t="s">
        <v>357</v>
      </c>
      <c r="L22" s="82">
        <v>27665</v>
      </c>
      <c r="M22" s="81" t="s">
        <v>188</v>
      </c>
    </row>
    <row r="23" spans="1:13" x14ac:dyDescent="0.35">
      <c r="A23" s="69" t="s">
        <v>328</v>
      </c>
      <c r="B23" s="70"/>
      <c r="C23" s="71">
        <v>24000</v>
      </c>
      <c r="D23" s="75">
        <f t="shared" si="0"/>
        <v>-24</v>
      </c>
      <c r="E23" t="s">
        <v>171</v>
      </c>
      <c r="F23" t="s">
        <v>180</v>
      </c>
      <c r="G23" t="s">
        <v>67</v>
      </c>
      <c r="K23" s="81" t="s">
        <v>212</v>
      </c>
      <c r="L23" s="82">
        <v>248200</v>
      </c>
      <c r="M23" s="81" t="s">
        <v>192</v>
      </c>
    </row>
    <row r="24" spans="1:13" x14ac:dyDescent="0.35">
      <c r="A24" s="69" t="s">
        <v>367</v>
      </c>
      <c r="B24" s="70"/>
      <c r="C24" s="71">
        <v>5900</v>
      </c>
      <c r="D24" s="75">
        <f t="shared" si="0"/>
        <v>-5.9</v>
      </c>
      <c r="E24" t="s">
        <v>171</v>
      </c>
      <c r="F24" t="s">
        <v>180</v>
      </c>
      <c r="G24" t="s">
        <v>67</v>
      </c>
      <c r="K24" s="81" t="s">
        <v>358</v>
      </c>
      <c r="L24" s="82">
        <v>23378</v>
      </c>
      <c r="M24" s="81" t="s">
        <v>190</v>
      </c>
    </row>
    <row r="25" spans="1:13" x14ac:dyDescent="0.35">
      <c r="A25" s="69" t="s">
        <v>98</v>
      </c>
      <c r="B25" s="71">
        <v>153405.39000000001</v>
      </c>
      <c r="C25" s="70"/>
      <c r="D25" s="75">
        <f t="shared" si="0"/>
        <v>153.40539000000001</v>
      </c>
      <c r="E25" t="s">
        <v>166</v>
      </c>
      <c r="F25" t="s">
        <v>181</v>
      </c>
      <c r="G25" t="s">
        <v>78</v>
      </c>
      <c r="K25" s="81" t="s">
        <v>379</v>
      </c>
      <c r="L25" s="82">
        <v>29808</v>
      </c>
      <c r="M25" s="81" t="s">
        <v>268</v>
      </c>
    </row>
    <row r="26" spans="1:13" x14ac:dyDescent="0.35">
      <c r="A26" s="69" t="s">
        <v>202</v>
      </c>
      <c r="B26" s="71">
        <v>6770.4</v>
      </c>
      <c r="C26" s="70"/>
      <c r="D26" s="75">
        <f t="shared" si="0"/>
        <v>6.7703999999999995</v>
      </c>
      <c r="E26" t="s">
        <v>260</v>
      </c>
      <c r="F26" t="s">
        <v>181</v>
      </c>
      <c r="G26" t="s">
        <v>77</v>
      </c>
      <c r="K26" s="81" t="s">
        <v>378</v>
      </c>
      <c r="L26" s="82">
        <v>26839</v>
      </c>
      <c r="M26" s="81" t="s">
        <v>268</v>
      </c>
    </row>
    <row r="27" spans="1:13" x14ac:dyDescent="0.35">
      <c r="A27" s="69" t="s">
        <v>368</v>
      </c>
      <c r="B27" s="70"/>
      <c r="C27" s="71">
        <v>804</v>
      </c>
      <c r="D27" s="75">
        <f t="shared" si="0"/>
        <v>-0.80400000000000005</v>
      </c>
      <c r="E27" t="s">
        <v>171</v>
      </c>
      <c r="F27" t="s">
        <v>180</v>
      </c>
      <c r="G27" t="s">
        <v>67</v>
      </c>
      <c r="K27" s="81" t="s">
        <v>380</v>
      </c>
      <c r="L27" s="82">
        <v>111741</v>
      </c>
      <c r="M27" s="81" t="s">
        <v>192</v>
      </c>
    </row>
    <row r="28" spans="1:13" x14ac:dyDescent="0.35">
      <c r="A28" s="69" t="s">
        <v>369</v>
      </c>
      <c r="B28" s="70"/>
      <c r="C28" s="71">
        <v>800</v>
      </c>
      <c r="D28" s="75">
        <f t="shared" si="0"/>
        <v>-0.8</v>
      </c>
      <c r="E28" t="s">
        <v>171</v>
      </c>
      <c r="F28" t="s">
        <v>180</v>
      </c>
      <c r="G28" t="s">
        <v>67</v>
      </c>
      <c r="K28" s="81" t="s">
        <v>375</v>
      </c>
      <c r="L28" s="82">
        <v>74729</v>
      </c>
      <c r="M28" s="81" t="s">
        <v>192</v>
      </c>
    </row>
    <row r="29" spans="1:13" x14ac:dyDescent="0.35">
      <c r="A29" s="69" t="s">
        <v>292</v>
      </c>
      <c r="B29" s="71">
        <v>209103</v>
      </c>
      <c r="C29" s="70"/>
      <c r="D29" s="75">
        <f t="shared" si="0"/>
        <v>209.10300000000001</v>
      </c>
      <c r="E29" t="s">
        <v>314</v>
      </c>
      <c r="F29" t="s">
        <v>182</v>
      </c>
      <c r="G29" t="s">
        <v>38</v>
      </c>
      <c r="K29" s="81" t="s">
        <v>325</v>
      </c>
      <c r="L29" s="82">
        <v>7741.94</v>
      </c>
      <c r="M29" s="81" t="s">
        <v>192</v>
      </c>
    </row>
    <row r="30" spans="1:13" x14ac:dyDescent="0.35">
      <c r="A30" s="69" t="s">
        <v>293</v>
      </c>
      <c r="B30" s="70"/>
      <c r="C30" s="71">
        <v>10643</v>
      </c>
      <c r="D30" s="75">
        <f t="shared" si="0"/>
        <v>-10.643000000000001</v>
      </c>
      <c r="E30" t="s">
        <v>174</v>
      </c>
      <c r="F30" t="s">
        <v>180</v>
      </c>
      <c r="G30" t="s">
        <v>68</v>
      </c>
      <c r="K30" s="81" t="s">
        <v>97</v>
      </c>
      <c r="L30" s="82">
        <v>-60379</v>
      </c>
      <c r="M30" s="81" t="s">
        <v>192</v>
      </c>
    </row>
    <row r="31" spans="1:13" x14ac:dyDescent="0.35">
      <c r="A31" s="69" t="s">
        <v>370</v>
      </c>
      <c r="B31" s="71">
        <v>400</v>
      </c>
      <c r="C31" s="70"/>
      <c r="D31" s="75">
        <f t="shared" si="0"/>
        <v>0.4</v>
      </c>
      <c r="E31" t="s">
        <v>171</v>
      </c>
      <c r="F31" t="s">
        <v>180</v>
      </c>
      <c r="G31" t="s">
        <v>67</v>
      </c>
      <c r="K31" s="81" t="s">
        <v>359</v>
      </c>
      <c r="L31" s="82">
        <v>50000</v>
      </c>
      <c r="M31" s="81" t="s">
        <v>192</v>
      </c>
    </row>
    <row r="32" spans="1:13" x14ac:dyDescent="0.35">
      <c r="A32" s="69" t="s">
        <v>294</v>
      </c>
      <c r="B32" s="71">
        <v>27075.58</v>
      </c>
      <c r="C32" s="70"/>
      <c r="D32" s="75">
        <f t="shared" si="0"/>
        <v>27.075580000000002</v>
      </c>
      <c r="E32" t="s">
        <v>260</v>
      </c>
      <c r="F32" t="s">
        <v>181</v>
      </c>
      <c r="G32" t="s">
        <v>77</v>
      </c>
      <c r="K32" s="81" t="s">
        <v>360</v>
      </c>
      <c r="L32" s="82">
        <v>65000</v>
      </c>
      <c r="M32" s="81" t="s">
        <v>192</v>
      </c>
    </row>
    <row r="33" spans="1:13" x14ac:dyDescent="0.35">
      <c r="A33" s="69" t="s">
        <v>329</v>
      </c>
      <c r="B33" s="71">
        <v>863949.16</v>
      </c>
      <c r="C33" s="70"/>
      <c r="D33" s="75">
        <f t="shared" si="0"/>
        <v>863.94916000000001</v>
      </c>
      <c r="E33" t="s">
        <v>259</v>
      </c>
      <c r="F33" t="s">
        <v>181</v>
      </c>
      <c r="G33" t="s">
        <v>71</v>
      </c>
      <c r="K33" s="81" t="s">
        <v>363</v>
      </c>
      <c r="L33" s="82">
        <v>16000</v>
      </c>
      <c r="M33" s="81" t="s">
        <v>268</v>
      </c>
    </row>
    <row r="34" spans="1:13" x14ac:dyDescent="0.35">
      <c r="A34" s="69" t="s">
        <v>295</v>
      </c>
      <c r="B34" s="70"/>
      <c r="C34" s="71">
        <v>126000</v>
      </c>
      <c r="D34" s="75">
        <f t="shared" si="0"/>
        <v>-126</v>
      </c>
      <c r="E34" t="s">
        <v>144</v>
      </c>
      <c r="F34" t="s">
        <v>184</v>
      </c>
      <c r="G34" t="s">
        <v>25</v>
      </c>
      <c r="K34" s="81" t="s">
        <v>381</v>
      </c>
      <c r="L34" s="82">
        <v>135483.87</v>
      </c>
      <c r="M34" s="81" t="s">
        <v>192</v>
      </c>
    </row>
    <row r="35" spans="1:13" x14ac:dyDescent="0.35">
      <c r="A35" s="69" t="s">
        <v>103</v>
      </c>
      <c r="B35" s="71">
        <v>143000</v>
      </c>
      <c r="C35" s="70"/>
      <c r="D35" s="75">
        <f t="shared" si="0"/>
        <v>143</v>
      </c>
      <c r="E35" t="s">
        <v>169</v>
      </c>
      <c r="F35" t="s">
        <v>182</v>
      </c>
      <c r="G35" t="s">
        <v>42</v>
      </c>
      <c r="K35" s="81" t="s">
        <v>382</v>
      </c>
      <c r="L35" s="82">
        <v>65000</v>
      </c>
      <c r="M35" s="81" t="s">
        <v>192</v>
      </c>
    </row>
    <row r="36" spans="1:13" x14ac:dyDescent="0.35">
      <c r="A36" s="69" t="s">
        <v>104</v>
      </c>
      <c r="B36" s="71">
        <v>800</v>
      </c>
      <c r="C36" s="70"/>
      <c r="D36" s="75">
        <f t="shared" si="0"/>
        <v>0.8</v>
      </c>
      <c r="E36" t="s">
        <v>167</v>
      </c>
      <c r="F36" t="s">
        <v>180</v>
      </c>
      <c r="G36" t="s">
        <v>67</v>
      </c>
      <c r="K36" s="81" t="s">
        <v>383</v>
      </c>
      <c r="L36" s="82">
        <v>48387.1</v>
      </c>
      <c r="M36" s="81" t="s">
        <v>192</v>
      </c>
    </row>
    <row r="37" spans="1:13" x14ac:dyDescent="0.35">
      <c r="A37" s="69" t="s">
        <v>105</v>
      </c>
      <c r="B37" s="70"/>
      <c r="C37" s="71">
        <v>535412.78</v>
      </c>
      <c r="D37" s="75">
        <f t="shared" si="0"/>
        <v>-535.41278</v>
      </c>
      <c r="E37" t="s">
        <v>163</v>
      </c>
      <c r="F37" t="s">
        <v>180</v>
      </c>
      <c r="G37" t="s">
        <v>68</v>
      </c>
      <c r="K37" s="81" t="s">
        <v>398</v>
      </c>
      <c r="L37" s="82">
        <v>10395</v>
      </c>
      <c r="M37" s="81" t="s">
        <v>192</v>
      </c>
    </row>
    <row r="38" spans="1:13" x14ac:dyDescent="0.35">
      <c r="A38" s="69" t="s">
        <v>330</v>
      </c>
      <c r="B38" s="70"/>
      <c r="C38" s="71">
        <v>380</v>
      </c>
      <c r="D38" s="75">
        <f t="shared" si="0"/>
        <v>-0.38</v>
      </c>
      <c r="E38" t="s">
        <v>171</v>
      </c>
      <c r="F38" t="s">
        <v>180</v>
      </c>
      <c r="G38" t="s">
        <v>67</v>
      </c>
      <c r="K38" s="81" t="s">
        <v>395</v>
      </c>
      <c r="L38" s="82">
        <v>14700</v>
      </c>
      <c r="M38" s="81" t="s">
        <v>192</v>
      </c>
    </row>
    <row r="39" spans="1:13" x14ac:dyDescent="0.35">
      <c r="A39" s="69" t="s">
        <v>296</v>
      </c>
      <c r="B39" s="71">
        <v>253691.94</v>
      </c>
      <c r="C39" s="70"/>
      <c r="D39" s="75">
        <f t="shared" si="0"/>
        <v>253.69193999999999</v>
      </c>
      <c r="E39" t="s">
        <v>314</v>
      </c>
      <c r="F39" t="s">
        <v>182</v>
      </c>
      <c r="G39" t="s">
        <v>37</v>
      </c>
    </row>
    <row r="40" spans="1:13" x14ac:dyDescent="0.35">
      <c r="A40" s="69" t="s">
        <v>34</v>
      </c>
      <c r="B40" s="71">
        <v>5931.36</v>
      </c>
      <c r="C40" s="70"/>
      <c r="D40" s="75">
        <f t="shared" si="0"/>
        <v>5.9313599999999997</v>
      </c>
      <c r="E40" t="s">
        <v>169</v>
      </c>
      <c r="F40" t="s">
        <v>182</v>
      </c>
      <c r="G40" t="s">
        <v>34</v>
      </c>
    </row>
    <row r="41" spans="1:13" x14ac:dyDescent="0.35">
      <c r="A41" s="69" t="s">
        <v>206</v>
      </c>
      <c r="B41" s="71">
        <v>60381</v>
      </c>
      <c r="C41" s="70"/>
      <c r="D41" s="75">
        <f t="shared" si="0"/>
        <v>60.381</v>
      </c>
      <c r="E41" t="s">
        <v>169</v>
      </c>
      <c r="F41" t="s">
        <v>182</v>
      </c>
      <c r="G41" t="s">
        <v>48</v>
      </c>
    </row>
    <row r="42" spans="1:13" x14ac:dyDescent="0.35">
      <c r="A42" s="69" t="s">
        <v>297</v>
      </c>
      <c r="B42" s="71">
        <v>30080</v>
      </c>
      <c r="C42" s="70"/>
      <c r="D42" s="75">
        <f t="shared" si="0"/>
        <v>30.08</v>
      </c>
      <c r="E42" t="s">
        <v>144</v>
      </c>
      <c r="F42" t="s">
        <v>184</v>
      </c>
      <c r="G42" t="s">
        <v>316</v>
      </c>
    </row>
    <row r="43" spans="1:13" x14ac:dyDescent="0.35">
      <c r="A43" s="69" t="s">
        <v>298</v>
      </c>
      <c r="B43" s="71">
        <v>120320</v>
      </c>
      <c r="C43" s="70"/>
      <c r="D43" s="75">
        <f t="shared" si="0"/>
        <v>120.32</v>
      </c>
      <c r="E43" t="s">
        <v>144</v>
      </c>
      <c r="F43" t="s">
        <v>184</v>
      </c>
      <c r="G43" t="s">
        <v>316</v>
      </c>
    </row>
    <row r="44" spans="1:13" x14ac:dyDescent="0.35">
      <c r="A44" s="69" t="s">
        <v>395</v>
      </c>
      <c r="B44" s="71"/>
      <c r="C44" s="71">
        <v>14700</v>
      </c>
      <c r="D44" s="75">
        <f t="shared" si="0"/>
        <v>-14.7</v>
      </c>
      <c r="E44" t="s">
        <v>165</v>
      </c>
      <c r="F44" t="s">
        <v>180</v>
      </c>
      <c r="G44" t="s">
        <v>68</v>
      </c>
    </row>
    <row r="45" spans="1:13" x14ac:dyDescent="0.35">
      <c r="A45" s="69" t="s">
        <v>371</v>
      </c>
      <c r="B45" s="70"/>
      <c r="C45" s="71">
        <v>1544</v>
      </c>
      <c r="D45" s="75">
        <f t="shared" si="0"/>
        <v>-1.544</v>
      </c>
      <c r="E45" t="s">
        <v>171</v>
      </c>
      <c r="F45" t="s">
        <v>180</v>
      </c>
      <c r="G45" t="s">
        <v>67</v>
      </c>
    </row>
    <row r="46" spans="1:13" x14ac:dyDescent="0.35">
      <c r="A46" s="69" t="s">
        <v>372</v>
      </c>
      <c r="B46" s="71">
        <v>0.01</v>
      </c>
      <c r="C46" s="70"/>
      <c r="D46" s="75">
        <f t="shared" si="0"/>
        <v>1.0000000000000001E-5</v>
      </c>
      <c r="E46" t="s">
        <v>171</v>
      </c>
      <c r="F46" t="s">
        <v>180</v>
      </c>
      <c r="G46" t="s">
        <v>67</v>
      </c>
    </row>
    <row r="47" spans="1:13" x14ac:dyDescent="0.35">
      <c r="A47" s="69" t="s">
        <v>108</v>
      </c>
      <c r="B47" s="71">
        <v>10331.129999999999</v>
      </c>
      <c r="C47" s="70"/>
      <c r="D47" s="75">
        <f t="shared" si="0"/>
        <v>10.33113</v>
      </c>
      <c r="E47" t="s">
        <v>169</v>
      </c>
      <c r="F47" t="s">
        <v>182</v>
      </c>
      <c r="G47" t="s">
        <v>264</v>
      </c>
    </row>
    <row r="48" spans="1:13" x14ac:dyDescent="0.35">
      <c r="A48" s="69" t="s">
        <v>109</v>
      </c>
      <c r="B48" s="71">
        <v>34995</v>
      </c>
      <c r="C48" s="70"/>
      <c r="D48" s="75">
        <f t="shared" si="0"/>
        <v>34.994999999999997</v>
      </c>
      <c r="E48" t="s">
        <v>170</v>
      </c>
      <c r="F48" t="s">
        <v>182</v>
      </c>
      <c r="G48" t="s">
        <v>417</v>
      </c>
    </row>
    <row r="49" spans="1:7" x14ac:dyDescent="0.35">
      <c r="A49" s="69" t="s">
        <v>331</v>
      </c>
      <c r="B49" s="70"/>
      <c r="C49" s="71">
        <v>14433.44</v>
      </c>
      <c r="D49" s="75">
        <f t="shared" si="0"/>
        <v>-14.433440000000001</v>
      </c>
      <c r="E49" t="s">
        <v>171</v>
      </c>
      <c r="F49" t="s">
        <v>180</v>
      </c>
      <c r="G49" t="s">
        <v>67</v>
      </c>
    </row>
    <row r="50" spans="1:7" x14ac:dyDescent="0.35">
      <c r="A50" s="69" t="s">
        <v>332</v>
      </c>
      <c r="B50" s="70"/>
      <c r="C50" s="71">
        <v>6.06</v>
      </c>
      <c r="D50" s="75">
        <f t="shared" si="0"/>
        <v>-6.0599999999999994E-3</v>
      </c>
      <c r="E50" t="s">
        <v>171</v>
      </c>
      <c r="F50" t="s">
        <v>180</v>
      </c>
      <c r="G50" t="s">
        <v>67</v>
      </c>
    </row>
    <row r="51" spans="1:7" x14ac:dyDescent="0.35">
      <c r="A51" s="69" t="s">
        <v>208</v>
      </c>
      <c r="B51" s="71">
        <v>40000000</v>
      </c>
      <c r="C51" s="70"/>
      <c r="D51" s="75">
        <f t="shared" si="0"/>
        <v>40000</v>
      </c>
      <c r="E51" t="s">
        <v>261</v>
      </c>
      <c r="F51" t="s">
        <v>181</v>
      </c>
      <c r="G51" t="s">
        <v>76</v>
      </c>
    </row>
    <row r="52" spans="1:7" x14ac:dyDescent="0.35">
      <c r="A52" s="69" t="s">
        <v>210</v>
      </c>
      <c r="B52" s="71">
        <v>20000000</v>
      </c>
      <c r="C52" s="70"/>
      <c r="D52" s="75">
        <f t="shared" si="0"/>
        <v>20000</v>
      </c>
      <c r="E52" t="s">
        <v>261</v>
      </c>
      <c r="F52" t="s">
        <v>181</v>
      </c>
      <c r="G52" t="s">
        <v>76</v>
      </c>
    </row>
    <row r="53" spans="1:7" x14ac:dyDescent="0.35">
      <c r="A53" s="69" t="s">
        <v>373</v>
      </c>
      <c r="B53" s="71">
        <v>219.57</v>
      </c>
      <c r="C53" s="70"/>
      <c r="D53" s="75">
        <f t="shared" si="0"/>
        <v>0.21956999999999999</v>
      </c>
      <c r="E53" t="s">
        <v>171</v>
      </c>
      <c r="F53" t="s">
        <v>180</v>
      </c>
      <c r="G53" t="s">
        <v>67</v>
      </c>
    </row>
    <row r="54" spans="1:7" x14ac:dyDescent="0.35">
      <c r="A54" s="69" t="s">
        <v>335</v>
      </c>
      <c r="B54" s="70"/>
      <c r="C54" s="71">
        <v>20593.07</v>
      </c>
      <c r="D54" s="75">
        <f t="shared" si="0"/>
        <v>-20.593070000000001</v>
      </c>
      <c r="E54" t="s">
        <v>171</v>
      </c>
      <c r="F54" t="s">
        <v>180</v>
      </c>
      <c r="G54" t="s">
        <v>67</v>
      </c>
    </row>
    <row r="55" spans="1:7" x14ac:dyDescent="0.35">
      <c r="A55" s="69" t="s">
        <v>336</v>
      </c>
      <c r="B55" s="70"/>
      <c r="C55" s="71">
        <v>1531</v>
      </c>
      <c r="D55" s="75">
        <f t="shared" si="0"/>
        <v>-1.5309999999999999</v>
      </c>
      <c r="E55" t="s">
        <v>171</v>
      </c>
      <c r="F55" t="s">
        <v>180</v>
      </c>
      <c r="G55" t="s">
        <v>67</v>
      </c>
    </row>
    <row r="56" spans="1:7" x14ac:dyDescent="0.35">
      <c r="A56" s="69" t="s">
        <v>111</v>
      </c>
      <c r="B56" s="70"/>
      <c r="C56" s="71">
        <v>184010</v>
      </c>
      <c r="D56" s="75">
        <f t="shared" si="0"/>
        <v>-184.01</v>
      </c>
      <c r="E56" t="s">
        <v>167</v>
      </c>
      <c r="F56" t="s">
        <v>180</v>
      </c>
      <c r="G56" t="s">
        <v>67</v>
      </c>
    </row>
    <row r="57" spans="1:7" x14ac:dyDescent="0.35">
      <c r="A57" s="69" t="s">
        <v>212</v>
      </c>
      <c r="B57" s="70"/>
      <c r="C57" s="71">
        <v>5130</v>
      </c>
      <c r="D57" s="75">
        <f t="shared" si="0"/>
        <v>-5.13</v>
      </c>
      <c r="E57" t="s">
        <v>165</v>
      </c>
      <c r="F57" t="s">
        <v>180</v>
      </c>
      <c r="G57" t="s">
        <v>68</v>
      </c>
    </row>
    <row r="58" spans="1:7" x14ac:dyDescent="0.35">
      <c r="A58" s="69" t="s">
        <v>112</v>
      </c>
      <c r="B58" s="70"/>
      <c r="C58" s="71">
        <v>0</v>
      </c>
      <c r="D58" s="75">
        <f t="shared" si="0"/>
        <v>0</v>
      </c>
      <c r="E58" t="s">
        <v>171</v>
      </c>
      <c r="F58" t="s">
        <v>180</v>
      </c>
      <c r="G58" t="s">
        <v>67</v>
      </c>
    </row>
    <row r="59" spans="1:7" x14ac:dyDescent="0.35">
      <c r="A59" s="69" t="s">
        <v>213</v>
      </c>
      <c r="B59" s="71">
        <v>7109.2</v>
      </c>
      <c r="C59" s="70"/>
      <c r="D59" s="75">
        <f t="shared" si="0"/>
        <v>7.1091999999999995</v>
      </c>
      <c r="E59" t="s">
        <v>172</v>
      </c>
      <c r="F59" t="s">
        <v>181</v>
      </c>
      <c r="G59" t="s">
        <v>79</v>
      </c>
    </row>
    <row r="60" spans="1:7" x14ac:dyDescent="0.35">
      <c r="A60" s="69" t="s">
        <v>114</v>
      </c>
      <c r="B60" s="71">
        <v>1841.39</v>
      </c>
      <c r="C60" s="70"/>
      <c r="D60" s="75">
        <f t="shared" si="0"/>
        <v>1.8413900000000001</v>
      </c>
      <c r="E60" t="s">
        <v>172</v>
      </c>
      <c r="F60" t="s">
        <v>180</v>
      </c>
      <c r="G60" t="s">
        <v>79</v>
      </c>
    </row>
    <row r="61" spans="1:7" x14ac:dyDescent="0.35">
      <c r="A61" s="69" t="s">
        <v>338</v>
      </c>
      <c r="B61" s="71">
        <v>1366.84</v>
      </c>
      <c r="C61" s="70"/>
      <c r="D61" s="75">
        <f t="shared" si="0"/>
        <v>1.3668399999999998</v>
      </c>
      <c r="E61" t="s">
        <v>172</v>
      </c>
      <c r="F61" t="s">
        <v>181</v>
      </c>
      <c r="G61" t="s">
        <v>79</v>
      </c>
    </row>
    <row r="62" spans="1:7" x14ac:dyDescent="0.35">
      <c r="A62" s="69" t="s">
        <v>115</v>
      </c>
      <c r="B62" s="71">
        <v>304714.40999999997</v>
      </c>
      <c r="C62" s="70"/>
      <c r="D62" s="75">
        <f t="shared" si="0"/>
        <v>304.71440999999999</v>
      </c>
      <c r="E62" t="s">
        <v>172</v>
      </c>
      <c r="F62" t="s">
        <v>180</v>
      </c>
      <c r="G62" t="s">
        <v>79</v>
      </c>
    </row>
    <row r="63" spans="1:7" x14ac:dyDescent="0.35">
      <c r="A63" s="69" t="s">
        <v>116</v>
      </c>
      <c r="B63" s="71">
        <v>86189.03</v>
      </c>
      <c r="C63" s="70"/>
      <c r="D63" s="75">
        <f t="shared" si="0"/>
        <v>86.189030000000002</v>
      </c>
      <c r="E63" t="s">
        <v>172</v>
      </c>
      <c r="F63" t="s">
        <v>180</v>
      </c>
      <c r="G63" t="s">
        <v>79</v>
      </c>
    </row>
    <row r="64" spans="1:7" x14ac:dyDescent="0.35">
      <c r="A64" s="69" t="s">
        <v>214</v>
      </c>
      <c r="B64" s="71">
        <v>1535.35</v>
      </c>
      <c r="C64" s="70"/>
      <c r="D64" s="75">
        <f t="shared" si="0"/>
        <v>1.53535</v>
      </c>
      <c r="E64" t="s">
        <v>172</v>
      </c>
      <c r="F64" t="s">
        <v>181</v>
      </c>
      <c r="G64" t="s">
        <v>79</v>
      </c>
    </row>
    <row r="65" spans="1:7" x14ac:dyDescent="0.35">
      <c r="A65" s="69" t="s">
        <v>215</v>
      </c>
      <c r="B65" s="71">
        <v>231480</v>
      </c>
      <c r="C65" s="70"/>
      <c r="D65" s="75">
        <f t="shared" si="0"/>
        <v>231.48</v>
      </c>
      <c r="E65" t="s">
        <v>172</v>
      </c>
      <c r="F65" t="s">
        <v>181</v>
      </c>
      <c r="G65" t="s">
        <v>79</v>
      </c>
    </row>
    <row r="66" spans="1:7" x14ac:dyDescent="0.35">
      <c r="A66" s="69" t="s">
        <v>216</v>
      </c>
      <c r="B66" s="71">
        <v>7109.2</v>
      </c>
      <c r="C66" s="70"/>
      <c r="D66" s="75">
        <f t="shared" si="0"/>
        <v>7.1091999999999995</v>
      </c>
      <c r="E66" t="s">
        <v>172</v>
      </c>
      <c r="F66" t="s">
        <v>181</v>
      </c>
      <c r="G66" t="s">
        <v>79</v>
      </c>
    </row>
    <row r="67" spans="1:7" x14ac:dyDescent="0.35">
      <c r="A67" s="69" t="s">
        <v>117</v>
      </c>
      <c r="B67" s="71">
        <v>1841.39</v>
      </c>
      <c r="C67" s="70"/>
      <c r="D67" s="75">
        <f t="shared" si="0"/>
        <v>1.8413900000000001</v>
      </c>
      <c r="E67" t="s">
        <v>172</v>
      </c>
      <c r="F67" t="s">
        <v>180</v>
      </c>
      <c r="G67" t="s">
        <v>79</v>
      </c>
    </row>
    <row r="68" spans="1:7" x14ac:dyDescent="0.35">
      <c r="A68" s="69" t="s">
        <v>339</v>
      </c>
      <c r="B68" s="71">
        <v>1366.84</v>
      </c>
      <c r="C68" s="70"/>
      <c r="D68" s="75">
        <f t="shared" si="0"/>
        <v>1.3668399999999998</v>
      </c>
      <c r="E68" t="s">
        <v>172</v>
      </c>
      <c r="F68" t="s">
        <v>181</v>
      </c>
      <c r="G68" t="s">
        <v>79</v>
      </c>
    </row>
    <row r="69" spans="1:7" x14ac:dyDescent="0.35">
      <c r="A69" s="69" t="s">
        <v>118</v>
      </c>
      <c r="B69" s="71">
        <v>292999.84999999998</v>
      </c>
      <c r="C69" s="70"/>
      <c r="D69" s="75">
        <f t="shared" si="0"/>
        <v>292.99984999999998</v>
      </c>
      <c r="E69" t="s">
        <v>172</v>
      </c>
      <c r="F69" t="s">
        <v>181</v>
      </c>
      <c r="G69" t="s">
        <v>79</v>
      </c>
    </row>
    <row r="70" spans="1:7" x14ac:dyDescent="0.35">
      <c r="A70" s="69" t="s">
        <v>300</v>
      </c>
      <c r="B70" s="71">
        <v>1537167.67</v>
      </c>
      <c r="C70" s="70"/>
      <c r="D70" s="75">
        <f t="shared" si="0"/>
        <v>1537.1676699999998</v>
      </c>
      <c r="E70" t="s">
        <v>259</v>
      </c>
      <c r="F70" t="s">
        <v>181</v>
      </c>
      <c r="G70" t="s">
        <v>72</v>
      </c>
    </row>
    <row r="71" spans="1:7" x14ac:dyDescent="0.35">
      <c r="A71" s="69" t="s">
        <v>301</v>
      </c>
      <c r="B71" s="70"/>
      <c r="C71" s="71">
        <v>350489.33</v>
      </c>
      <c r="D71" s="75">
        <f t="shared" si="0"/>
        <v>-350.48933</v>
      </c>
      <c r="E71" t="s">
        <v>315</v>
      </c>
      <c r="F71" t="s">
        <v>184</v>
      </c>
      <c r="G71" t="s">
        <v>49</v>
      </c>
    </row>
    <row r="72" spans="1:7" x14ac:dyDescent="0.35">
      <c r="A72" s="69" t="s">
        <v>217</v>
      </c>
      <c r="B72" s="71">
        <v>928122.2</v>
      </c>
      <c r="C72" s="70"/>
      <c r="D72" s="75">
        <f t="shared" si="0"/>
        <v>928.12219999999991</v>
      </c>
      <c r="E72" t="s">
        <v>166</v>
      </c>
      <c r="F72" t="s">
        <v>181</v>
      </c>
      <c r="G72" t="s">
        <v>78</v>
      </c>
    </row>
    <row r="73" spans="1:7" x14ac:dyDescent="0.35">
      <c r="A73" s="69" t="s">
        <v>218</v>
      </c>
      <c r="B73" s="71">
        <v>814480.9</v>
      </c>
      <c r="C73" s="70"/>
      <c r="D73" s="75">
        <f t="shared" si="0"/>
        <v>814.48090000000002</v>
      </c>
      <c r="E73" t="s">
        <v>166</v>
      </c>
      <c r="F73" t="s">
        <v>181</v>
      </c>
      <c r="G73" t="s">
        <v>78</v>
      </c>
    </row>
    <row r="74" spans="1:7" x14ac:dyDescent="0.35">
      <c r="A74" s="69" t="s">
        <v>355</v>
      </c>
      <c r="B74" s="70"/>
      <c r="C74" s="71">
        <v>2129</v>
      </c>
      <c r="D74" s="75">
        <f t="shared" si="0"/>
        <v>-2.129</v>
      </c>
      <c r="E74" t="s">
        <v>165</v>
      </c>
      <c r="F74" t="s">
        <v>180</v>
      </c>
      <c r="G74" t="s">
        <v>68</v>
      </c>
    </row>
    <row r="75" spans="1:7" x14ac:dyDescent="0.35">
      <c r="A75" s="69" t="s">
        <v>124</v>
      </c>
      <c r="B75" s="71">
        <v>562633</v>
      </c>
      <c r="C75" s="70"/>
      <c r="D75" s="75">
        <f t="shared" si="0"/>
        <v>562.63300000000004</v>
      </c>
      <c r="E75" t="s">
        <v>173</v>
      </c>
      <c r="F75" t="s">
        <v>182</v>
      </c>
      <c r="G75" t="s">
        <v>26</v>
      </c>
    </row>
    <row r="76" spans="1:7" x14ac:dyDescent="0.35">
      <c r="A76" s="69" t="s">
        <v>303</v>
      </c>
      <c r="B76" s="70"/>
      <c r="C76" s="71">
        <v>546057</v>
      </c>
      <c r="D76" s="75">
        <f t="shared" ref="D76:D136" si="1">(B76-C76)/1000</f>
        <v>-546.05700000000002</v>
      </c>
      <c r="E76" t="s">
        <v>144</v>
      </c>
      <c r="F76" t="s">
        <v>184</v>
      </c>
      <c r="G76" t="s">
        <v>25</v>
      </c>
    </row>
    <row r="77" spans="1:7" x14ac:dyDescent="0.35">
      <c r="A77" s="69" t="s">
        <v>340</v>
      </c>
      <c r="B77" s="70"/>
      <c r="C77" s="71">
        <v>8260</v>
      </c>
      <c r="D77" s="75">
        <f t="shared" si="1"/>
        <v>-8.26</v>
      </c>
      <c r="E77" t="s">
        <v>167</v>
      </c>
      <c r="F77" t="s">
        <v>180</v>
      </c>
      <c r="G77" t="s">
        <v>67</v>
      </c>
    </row>
    <row r="78" spans="1:7" x14ac:dyDescent="0.35">
      <c r="A78" s="69" t="s">
        <v>221</v>
      </c>
      <c r="B78" s="70"/>
      <c r="C78" s="71">
        <v>0</v>
      </c>
      <c r="D78" s="75">
        <f t="shared" si="1"/>
        <v>0</v>
      </c>
      <c r="E78" t="s">
        <v>171</v>
      </c>
      <c r="F78" t="s">
        <v>180</v>
      </c>
      <c r="G78" t="s">
        <v>67</v>
      </c>
    </row>
    <row r="79" spans="1:7" x14ac:dyDescent="0.35">
      <c r="A79" s="69" t="s">
        <v>374</v>
      </c>
      <c r="B79" s="71">
        <v>27.3</v>
      </c>
      <c r="C79" s="70"/>
      <c r="D79" s="75">
        <f t="shared" si="1"/>
        <v>2.7300000000000001E-2</v>
      </c>
      <c r="E79" t="s">
        <v>167</v>
      </c>
      <c r="F79" t="s">
        <v>180</v>
      </c>
      <c r="G79" t="s">
        <v>67</v>
      </c>
    </row>
    <row r="80" spans="1:7" x14ac:dyDescent="0.35">
      <c r="A80" s="69" t="s">
        <v>43</v>
      </c>
      <c r="B80" s="71">
        <v>31989</v>
      </c>
      <c r="C80" s="70"/>
      <c r="D80" s="75">
        <f t="shared" si="1"/>
        <v>31.989000000000001</v>
      </c>
      <c r="E80" t="s">
        <v>169</v>
      </c>
      <c r="F80" t="s">
        <v>182</v>
      </c>
      <c r="G80" t="s">
        <v>43</v>
      </c>
    </row>
    <row r="81" spans="1:7" x14ac:dyDescent="0.35">
      <c r="A81" s="69" t="s">
        <v>227</v>
      </c>
      <c r="B81" s="70"/>
      <c r="C81" s="71">
        <v>79999971.200000003</v>
      </c>
      <c r="D81" s="75">
        <f t="shared" si="1"/>
        <v>-79999.9712</v>
      </c>
      <c r="E81" t="s">
        <v>262</v>
      </c>
      <c r="F81" t="s">
        <v>180</v>
      </c>
    </row>
    <row r="82" spans="1:7" x14ac:dyDescent="0.35">
      <c r="A82" s="69" t="s">
        <v>1263</v>
      </c>
      <c r="B82" s="70"/>
      <c r="C82" s="107">
        <v>4207010</v>
      </c>
      <c r="D82" s="107">
        <f t="shared" si="1"/>
        <v>-4207.01</v>
      </c>
      <c r="G82" t="s">
        <v>63</v>
      </c>
    </row>
    <row r="83" spans="1:7" x14ac:dyDescent="0.35">
      <c r="A83" s="69" t="s">
        <v>1264</v>
      </c>
      <c r="B83" s="70"/>
      <c r="C83" s="107">
        <f>C81-C82</f>
        <v>75792961.200000003</v>
      </c>
      <c r="D83" s="107">
        <f t="shared" si="1"/>
        <v>-75792.961200000005</v>
      </c>
      <c r="G83" t="s">
        <v>64</v>
      </c>
    </row>
    <row r="84" spans="1:7" x14ac:dyDescent="0.35">
      <c r="A84" s="69" t="s">
        <v>375</v>
      </c>
      <c r="B84" s="70"/>
      <c r="C84" s="71">
        <v>1850</v>
      </c>
      <c r="D84" s="75">
        <f t="shared" si="1"/>
        <v>-1.85</v>
      </c>
      <c r="E84" t="s">
        <v>165</v>
      </c>
      <c r="F84" t="s">
        <v>180</v>
      </c>
      <c r="G84" t="s">
        <v>68</v>
      </c>
    </row>
    <row r="85" spans="1:7" x14ac:dyDescent="0.35">
      <c r="A85" s="69" t="s">
        <v>42</v>
      </c>
      <c r="B85" s="71">
        <v>10025.290000000001</v>
      </c>
      <c r="C85" s="70"/>
      <c r="D85" s="75">
        <f t="shared" si="1"/>
        <v>10.02529</v>
      </c>
      <c r="E85" t="s">
        <v>40</v>
      </c>
      <c r="F85" t="s">
        <v>182</v>
      </c>
      <c r="G85" t="s">
        <v>42</v>
      </c>
    </row>
    <row r="86" spans="1:7" x14ac:dyDescent="0.35">
      <c r="A86" s="69" t="s">
        <v>231</v>
      </c>
      <c r="B86" s="71">
        <v>55864.5</v>
      </c>
      <c r="C86" s="70"/>
      <c r="D86" s="75">
        <f t="shared" si="1"/>
        <v>55.8645</v>
      </c>
      <c r="E86" t="s">
        <v>259</v>
      </c>
      <c r="F86" t="s">
        <v>181</v>
      </c>
      <c r="G86" t="s">
        <v>71</v>
      </c>
    </row>
    <row r="87" spans="1:7" x14ac:dyDescent="0.35">
      <c r="A87" s="69" t="s">
        <v>129</v>
      </c>
      <c r="B87" s="70"/>
      <c r="C87" s="71">
        <v>8633</v>
      </c>
      <c r="D87" s="75">
        <f t="shared" si="1"/>
        <v>-8.6329999999999991</v>
      </c>
      <c r="E87" t="s">
        <v>174</v>
      </c>
      <c r="F87" t="s">
        <v>180</v>
      </c>
      <c r="G87" t="s">
        <v>68</v>
      </c>
    </row>
    <row r="88" spans="1:7" x14ac:dyDescent="0.35">
      <c r="A88" s="69" t="s">
        <v>232</v>
      </c>
      <c r="B88" s="70"/>
      <c r="C88" s="71">
        <v>1620</v>
      </c>
      <c r="D88" s="75">
        <f t="shared" si="1"/>
        <v>-1.62</v>
      </c>
      <c r="E88" t="s">
        <v>174</v>
      </c>
      <c r="F88" t="s">
        <v>180</v>
      </c>
      <c r="G88" t="s">
        <v>68</v>
      </c>
    </row>
    <row r="89" spans="1:7" x14ac:dyDescent="0.35">
      <c r="A89" s="69" t="s">
        <v>130</v>
      </c>
      <c r="B89" s="70"/>
      <c r="C89" s="71">
        <v>8633</v>
      </c>
      <c r="D89" s="75">
        <f t="shared" si="1"/>
        <v>-8.6329999999999991</v>
      </c>
      <c r="E89" t="s">
        <v>174</v>
      </c>
      <c r="F89" t="s">
        <v>180</v>
      </c>
      <c r="G89" t="s">
        <v>68</v>
      </c>
    </row>
    <row r="90" spans="1:7" x14ac:dyDescent="0.35">
      <c r="A90" s="69" t="s">
        <v>342</v>
      </c>
      <c r="B90" s="70"/>
      <c r="C90" s="71">
        <v>6000</v>
      </c>
      <c r="D90" s="75">
        <f t="shared" si="1"/>
        <v>-6</v>
      </c>
      <c r="E90" t="s">
        <v>66</v>
      </c>
      <c r="F90" t="s">
        <v>180</v>
      </c>
      <c r="G90" t="s">
        <v>68</v>
      </c>
    </row>
    <row r="91" spans="1:7" x14ac:dyDescent="0.35">
      <c r="A91" s="69" t="s">
        <v>29</v>
      </c>
      <c r="B91" s="71">
        <v>6779</v>
      </c>
      <c r="C91" s="70"/>
      <c r="D91" s="75">
        <f t="shared" si="1"/>
        <v>6.7789999999999999</v>
      </c>
      <c r="E91" t="s">
        <v>173</v>
      </c>
      <c r="F91" t="s">
        <v>182</v>
      </c>
      <c r="G91" t="s">
        <v>29</v>
      </c>
    </row>
    <row r="92" spans="1:7" x14ac:dyDescent="0.35">
      <c r="A92" s="69" t="s">
        <v>233</v>
      </c>
      <c r="B92" s="71">
        <v>2817.8</v>
      </c>
      <c r="C92" s="70"/>
      <c r="D92" s="75">
        <f t="shared" si="1"/>
        <v>2.8178000000000001</v>
      </c>
      <c r="E92" t="s">
        <v>170</v>
      </c>
      <c r="F92" t="s">
        <v>182</v>
      </c>
      <c r="G92" t="s">
        <v>417</v>
      </c>
    </row>
    <row r="93" spans="1:7" x14ac:dyDescent="0.35">
      <c r="A93" s="69" t="s">
        <v>273</v>
      </c>
      <c r="B93" s="70"/>
      <c r="C93" s="71">
        <v>586</v>
      </c>
      <c r="D93" s="75">
        <f t="shared" si="1"/>
        <v>-0.58599999999999997</v>
      </c>
      <c r="E93" t="s">
        <v>165</v>
      </c>
      <c r="F93" t="s">
        <v>180</v>
      </c>
      <c r="G93" t="s">
        <v>68</v>
      </c>
    </row>
    <row r="94" spans="1:7" x14ac:dyDescent="0.35">
      <c r="A94" s="69" t="s">
        <v>376</v>
      </c>
      <c r="B94" s="71">
        <v>42500</v>
      </c>
      <c r="C94" s="70"/>
      <c r="D94" s="75">
        <f t="shared" si="1"/>
        <v>42.5</v>
      </c>
      <c r="E94" t="s">
        <v>75</v>
      </c>
      <c r="F94" t="s">
        <v>181</v>
      </c>
      <c r="G94" t="s">
        <v>79</v>
      </c>
    </row>
    <row r="95" spans="1:7" x14ac:dyDescent="0.35">
      <c r="A95" s="69" t="s">
        <v>398</v>
      </c>
      <c r="B95" s="71"/>
      <c r="C95" s="71">
        <v>10395</v>
      </c>
      <c r="D95" s="75">
        <f t="shared" si="1"/>
        <v>-10.395</v>
      </c>
      <c r="E95" t="s">
        <v>165</v>
      </c>
      <c r="F95" t="s">
        <v>180</v>
      </c>
      <c r="G95" t="s">
        <v>68</v>
      </c>
    </row>
    <row r="96" spans="1:7" x14ac:dyDescent="0.35">
      <c r="A96" s="69" t="s">
        <v>41</v>
      </c>
      <c r="B96" s="71">
        <v>75333</v>
      </c>
      <c r="C96" s="70"/>
      <c r="D96" s="75">
        <f t="shared" si="1"/>
        <v>75.332999999999998</v>
      </c>
      <c r="E96" t="s">
        <v>40</v>
      </c>
      <c r="F96" t="s">
        <v>182</v>
      </c>
      <c r="G96" t="s">
        <v>41</v>
      </c>
    </row>
    <row r="97" spans="1:7" x14ac:dyDescent="0.35">
      <c r="A97" s="69" t="s">
        <v>134</v>
      </c>
      <c r="B97" s="70"/>
      <c r="C97" s="71">
        <v>5000</v>
      </c>
      <c r="D97" s="75">
        <f t="shared" si="1"/>
        <v>-5</v>
      </c>
      <c r="E97" t="s">
        <v>175</v>
      </c>
      <c r="F97" t="s">
        <v>180</v>
      </c>
      <c r="G97" t="s">
        <v>68</v>
      </c>
    </row>
    <row r="98" spans="1:7" x14ac:dyDescent="0.35">
      <c r="A98" s="69" t="s">
        <v>135</v>
      </c>
      <c r="B98" s="71">
        <v>12387690.59</v>
      </c>
      <c r="C98" s="70"/>
      <c r="D98" s="75">
        <f t="shared" si="1"/>
        <v>12387.69059</v>
      </c>
      <c r="E98" t="s">
        <v>176</v>
      </c>
      <c r="F98" t="s">
        <v>183</v>
      </c>
      <c r="G98" t="s">
        <v>64</v>
      </c>
    </row>
    <row r="99" spans="1:7" x14ac:dyDescent="0.35">
      <c r="A99" s="69" t="s">
        <v>307</v>
      </c>
      <c r="B99" s="71">
        <v>14400</v>
      </c>
      <c r="C99" s="70"/>
      <c r="D99" s="75">
        <f t="shared" si="1"/>
        <v>14.4</v>
      </c>
      <c r="E99" t="s">
        <v>167</v>
      </c>
      <c r="F99" t="s">
        <v>180</v>
      </c>
      <c r="G99" t="s">
        <v>67</v>
      </c>
    </row>
    <row r="100" spans="1:7" x14ac:dyDescent="0.35">
      <c r="A100" s="69" t="s">
        <v>343</v>
      </c>
      <c r="B100" s="70"/>
      <c r="C100" s="71">
        <v>59</v>
      </c>
      <c r="D100" s="75">
        <f t="shared" si="1"/>
        <v>-5.8999999999999997E-2</v>
      </c>
      <c r="E100" t="s">
        <v>171</v>
      </c>
      <c r="F100" t="s">
        <v>180</v>
      </c>
      <c r="G100" t="s">
        <v>67</v>
      </c>
    </row>
    <row r="101" spans="1:7" x14ac:dyDescent="0.35">
      <c r="A101" s="69" t="s">
        <v>136</v>
      </c>
      <c r="B101" s="70"/>
      <c r="C101" s="71">
        <v>34995</v>
      </c>
      <c r="D101" s="75">
        <f t="shared" si="1"/>
        <v>-34.994999999999997</v>
      </c>
      <c r="E101" t="s">
        <v>177</v>
      </c>
      <c r="F101" t="s">
        <v>180</v>
      </c>
      <c r="G101" t="s">
        <v>68</v>
      </c>
    </row>
    <row r="102" spans="1:7" x14ac:dyDescent="0.35">
      <c r="A102" s="69" t="s">
        <v>137</v>
      </c>
      <c r="B102" s="70"/>
      <c r="C102" s="71">
        <v>34995</v>
      </c>
      <c r="D102" s="75">
        <f t="shared" si="1"/>
        <v>-34.994999999999997</v>
      </c>
      <c r="E102" t="s">
        <v>177</v>
      </c>
      <c r="F102" t="s">
        <v>180</v>
      </c>
      <c r="G102" t="s">
        <v>68</v>
      </c>
    </row>
    <row r="103" spans="1:7" x14ac:dyDescent="0.35">
      <c r="A103" s="69" t="s">
        <v>138</v>
      </c>
      <c r="B103" s="70"/>
      <c r="C103" s="71">
        <v>25000</v>
      </c>
      <c r="D103" s="75">
        <f t="shared" si="1"/>
        <v>-25</v>
      </c>
      <c r="E103" t="s">
        <v>178</v>
      </c>
      <c r="F103" t="s">
        <v>180</v>
      </c>
      <c r="G103" t="s">
        <v>69</v>
      </c>
    </row>
    <row r="104" spans="1:7" x14ac:dyDescent="0.35">
      <c r="A104" s="69" t="s">
        <v>377</v>
      </c>
      <c r="B104" s="70"/>
      <c r="C104" s="71">
        <v>80</v>
      </c>
      <c r="D104" s="75">
        <f t="shared" si="1"/>
        <v>-0.08</v>
      </c>
      <c r="E104" t="s">
        <v>167</v>
      </c>
      <c r="F104" t="s">
        <v>180</v>
      </c>
      <c r="G104" t="s">
        <v>67</v>
      </c>
    </row>
    <row r="105" spans="1:7" x14ac:dyDescent="0.35">
      <c r="A105" s="69" t="s">
        <v>357</v>
      </c>
      <c r="B105" s="70"/>
      <c r="C105" s="71">
        <v>2500</v>
      </c>
      <c r="D105" s="75">
        <f t="shared" si="1"/>
        <v>-2.5</v>
      </c>
      <c r="E105" t="s">
        <v>165</v>
      </c>
      <c r="F105" t="s">
        <v>180</v>
      </c>
      <c r="G105" t="s">
        <v>68</v>
      </c>
    </row>
    <row r="106" spans="1:7" x14ac:dyDescent="0.35">
      <c r="A106" s="69" t="s">
        <v>308</v>
      </c>
      <c r="B106" s="70"/>
      <c r="C106" s="71">
        <v>0</v>
      </c>
      <c r="D106" s="75">
        <f t="shared" si="1"/>
        <v>0</v>
      </c>
      <c r="E106" t="s">
        <v>66</v>
      </c>
      <c r="F106" t="s">
        <v>180</v>
      </c>
      <c r="G106" t="s">
        <v>68</v>
      </c>
    </row>
    <row r="107" spans="1:7" x14ac:dyDescent="0.35">
      <c r="A107" s="69" t="s">
        <v>239</v>
      </c>
      <c r="B107" s="71">
        <v>224910</v>
      </c>
      <c r="C107" s="70"/>
      <c r="D107" s="75">
        <f t="shared" si="1"/>
        <v>224.91</v>
      </c>
      <c r="E107" t="s">
        <v>169</v>
      </c>
      <c r="F107" t="s">
        <v>182</v>
      </c>
      <c r="G107" t="s">
        <v>417</v>
      </c>
    </row>
    <row r="108" spans="1:7" x14ac:dyDescent="0.35">
      <c r="A108" s="69" t="s">
        <v>351</v>
      </c>
      <c r="B108" s="70"/>
      <c r="C108" s="71">
        <v>1460</v>
      </c>
      <c r="D108" s="75">
        <f t="shared" si="1"/>
        <v>-1.46</v>
      </c>
      <c r="E108" t="s">
        <v>165</v>
      </c>
      <c r="F108" t="s">
        <v>180</v>
      </c>
      <c r="G108" t="s">
        <v>68</v>
      </c>
    </row>
    <row r="109" spans="1:7" x14ac:dyDescent="0.35">
      <c r="A109" s="69" t="s">
        <v>142</v>
      </c>
      <c r="B109" s="71">
        <v>43333.33</v>
      </c>
      <c r="C109" s="70"/>
      <c r="D109" s="75">
        <f t="shared" si="1"/>
        <v>43.333330000000004</v>
      </c>
      <c r="E109" t="s">
        <v>169</v>
      </c>
      <c r="F109" t="s">
        <v>182</v>
      </c>
      <c r="G109" t="s">
        <v>31</v>
      </c>
    </row>
    <row r="110" spans="1:7" x14ac:dyDescent="0.35">
      <c r="A110" s="69" t="s">
        <v>309</v>
      </c>
      <c r="B110" s="70"/>
      <c r="C110" s="71">
        <v>37800</v>
      </c>
      <c r="D110" s="75">
        <f t="shared" si="1"/>
        <v>-37.799999999999997</v>
      </c>
      <c r="E110" t="s">
        <v>171</v>
      </c>
      <c r="F110" t="s">
        <v>180</v>
      </c>
      <c r="G110" t="s">
        <v>67</v>
      </c>
    </row>
    <row r="111" spans="1:7" x14ac:dyDescent="0.35">
      <c r="A111" s="69" t="s">
        <v>143</v>
      </c>
      <c r="B111" s="71">
        <v>1977889.91</v>
      </c>
      <c r="C111" s="70"/>
      <c r="D111" s="75">
        <f t="shared" si="1"/>
        <v>1977.8899099999999</v>
      </c>
      <c r="E111" t="s">
        <v>170</v>
      </c>
      <c r="F111" t="s">
        <v>182</v>
      </c>
      <c r="G111" t="s">
        <v>185</v>
      </c>
    </row>
    <row r="112" spans="1:7" x14ac:dyDescent="0.35">
      <c r="A112" s="69" t="s">
        <v>145</v>
      </c>
      <c r="B112" s="70"/>
      <c r="C112" s="71">
        <v>7516</v>
      </c>
      <c r="D112" s="75">
        <f t="shared" si="1"/>
        <v>-7.516</v>
      </c>
      <c r="E112" t="s">
        <v>171</v>
      </c>
      <c r="F112" t="s">
        <v>180</v>
      </c>
      <c r="G112" t="s">
        <v>67</v>
      </c>
    </row>
    <row r="113" spans="1:7" x14ac:dyDescent="0.35">
      <c r="A113" s="69" t="s">
        <v>310</v>
      </c>
      <c r="B113" s="70"/>
      <c r="C113" s="71">
        <v>6805</v>
      </c>
      <c r="D113" s="75">
        <f t="shared" si="1"/>
        <v>-6.8049999999999997</v>
      </c>
      <c r="E113" t="s">
        <v>171</v>
      </c>
      <c r="F113" t="s">
        <v>180</v>
      </c>
      <c r="G113" t="s">
        <v>67</v>
      </c>
    </row>
    <row r="114" spans="1:7" x14ac:dyDescent="0.35">
      <c r="A114" s="69" t="s">
        <v>378</v>
      </c>
      <c r="B114" s="70"/>
      <c r="C114" s="71">
        <v>1000</v>
      </c>
      <c r="D114" s="75">
        <f t="shared" si="1"/>
        <v>-1</v>
      </c>
      <c r="E114" t="s">
        <v>165</v>
      </c>
      <c r="F114" t="s">
        <v>180</v>
      </c>
      <c r="G114" t="s">
        <v>68</v>
      </c>
    </row>
    <row r="115" spans="1:7" x14ac:dyDescent="0.35">
      <c r="A115" s="69" t="s">
        <v>146</v>
      </c>
      <c r="B115" s="71">
        <v>611000</v>
      </c>
      <c r="C115" s="70"/>
      <c r="D115" s="75">
        <f t="shared" si="1"/>
        <v>611</v>
      </c>
      <c r="E115" t="s">
        <v>75</v>
      </c>
      <c r="F115" t="s">
        <v>181</v>
      </c>
      <c r="G115" t="s">
        <v>73</v>
      </c>
    </row>
    <row r="116" spans="1:7" x14ac:dyDescent="0.35">
      <c r="A116" s="69" t="s">
        <v>311</v>
      </c>
      <c r="B116" s="70"/>
      <c r="C116" s="71">
        <v>10643</v>
      </c>
      <c r="D116" s="75">
        <f t="shared" si="1"/>
        <v>-10.643000000000001</v>
      </c>
      <c r="E116" t="s">
        <v>174</v>
      </c>
      <c r="F116" t="s">
        <v>180</v>
      </c>
      <c r="G116" t="s">
        <v>68</v>
      </c>
    </row>
    <row r="117" spans="1:7" x14ac:dyDescent="0.35">
      <c r="A117" s="69" t="s">
        <v>149</v>
      </c>
      <c r="B117" s="71">
        <v>61844.97</v>
      </c>
      <c r="C117" s="70"/>
      <c r="D117" s="75">
        <f t="shared" si="1"/>
        <v>61.844970000000004</v>
      </c>
      <c r="E117" t="s">
        <v>169</v>
      </c>
      <c r="F117" t="s">
        <v>182</v>
      </c>
      <c r="G117" t="s">
        <v>39</v>
      </c>
    </row>
    <row r="118" spans="1:7" x14ac:dyDescent="0.35">
      <c r="A118" s="69" t="s">
        <v>187</v>
      </c>
      <c r="B118" s="70"/>
      <c r="C118" s="71">
        <v>2500</v>
      </c>
      <c r="D118" s="75">
        <f t="shared" si="1"/>
        <v>-2.5</v>
      </c>
      <c r="E118" t="s">
        <v>165</v>
      </c>
      <c r="F118" t="s">
        <v>180</v>
      </c>
      <c r="G118" t="s">
        <v>68</v>
      </c>
    </row>
    <row r="119" spans="1:7" x14ac:dyDescent="0.35">
      <c r="A119" s="69" t="s">
        <v>33</v>
      </c>
      <c r="B119" s="71">
        <v>51801.48</v>
      </c>
      <c r="C119" s="70"/>
      <c r="D119" s="75">
        <f t="shared" si="1"/>
        <v>51.801480000000005</v>
      </c>
      <c r="E119" t="s">
        <v>173</v>
      </c>
      <c r="F119" t="s">
        <v>182</v>
      </c>
      <c r="G119" t="s">
        <v>33</v>
      </c>
    </row>
    <row r="120" spans="1:7" x14ac:dyDescent="0.35">
      <c r="A120" s="69" t="s">
        <v>150</v>
      </c>
      <c r="B120" s="71">
        <v>51595.99</v>
      </c>
      <c r="C120" s="70"/>
      <c r="D120" s="75">
        <f t="shared" si="1"/>
        <v>51.59599</v>
      </c>
      <c r="E120" t="s">
        <v>170</v>
      </c>
      <c r="F120" t="s">
        <v>182</v>
      </c>
      <c r="G120" t="s">
        <v>417</v>
      </c>
    </row>
    <row r="121" spans="1:7" x14ac:dyDescent="0.35">
      <c r="A121" s="69" t="s">
        <v>271</v>
      </c>
      <c r="B121" s="70"/>
      <c r="C121" s="71">
        <v>1980</v>
      </c>
      <c r="D121" s="75">
        <f t="shared" si="1"/>
        <v>-1.98</v>
      </c>
      <c r="E121" t="s">
        <v>165</v>
      </c>
      <c r="F121" t="s">
        <v>180</v>
      </c>
      <c r="G121" t="s">
        <v>68</v>
      </c>
    </row>
    <row r="122" spans="1:7" x14ac:dyDescent="0.35">
      <c r="A122" s="69" t="s">
        <v>345</v>
      </c>
      <c r="B122" s="71">
        <v>46652</v>
      </c>
      <c r="C122" s="70"/>
      <c r="D122" s="75">
        <f t="shared" si="1"/>
        <v>46.652000000000001</v>
      </c>
      <c r="E122" t="s">
        <v>175</v>
      </c>
      <c r="F122" t="s">
        <v>181</v>
      </c>
      <c r="G122" t="s">
        <v>79</v>
      </c>
    </row>
    <row r="123" spans="1:7" x14ac:dyDescent="0.35">
      <c r="A123" s="69" t="s">
        <v>151</v>
      </c>
      <c r="B123" s="70"/>
      <c r="C123" s="71">
        <v>125297</v>
      </c>
      <c r="D123" s="75">
        <f t="shared" si="1"/>
        <v>-125.297</v>
      </c>
      <c r="E123" t="s">
        <v>179</v>
      </c>
      <c r="F123" t="s">
        <v>180</v>
      </c>
      <c r="G123" t="s">
        <v>68</v>
      </c>
    </row>
    <row r="124" spans="1:7" x14ac:dyDescent="0.35">
      <c r="A124" s="69" t="s">
        <v>152</v>
      </c>
      <c r="B124" s="71">
        <v>3041.41</v>
      </c>
      <c r="C124" s="70"/>
      <c r="D124" s="75">
        <f t="shared" si="1"/>
        <v>3.0414099999999999</v>
      </c>
      <c r="E124" t="s">
        <v>179</v>
      </c>
      <c r="F124" t="s">
        <v>180</v>
      </c>
      <c r="G124" t="s">
        <v>68</v>
      </c>
    </row>
    <row r="125" spans="1:7" x14ac:dyDescent="0.35">
      <c r="A125" s="69" t="s">
        <v>153</v>
      </c>
      <c r="B125" s="70"/>
      <c r="C125" s="71">
        <v>18633.66</v>
      </c>
      <c r="D125" s="75">
        <f t="shared" si="1"/>
        <v>-18.633659999999999</v>
      </c>
      <c r="E125" t="s">
        <v>179</v>
      </c>
      <c r="F125" t="s">
        <v>180</v>
      </c>
      <c r="G125" t="s">
        <v>68</v>
      </c>
    </row>
    <row r="126" spans="1:7" x14ac:dyDescent="0.35">
      <c r="A126" s="69" t="s">
        <v>253</v>
      </c>
      <c r="B126" s="70"/>
      <c r="C126" s="71">
        <v>78029.22</v>
      </c>
      <c r="D126" s="75">
        <f t="shared" si="1"/>
        <v>-78.029219999999995</v>
      </c>
      <c r="E126" t="s">
        <v>179</v>
      </c>
      <c r="F126" t="s">
        <v>180</v>
      </c>
      <c r="G126" t="s">
        <v>68</v>
      </c>
    </row>
    <row r="127" spans="1:7" x14ac:dyDescent="0.35">
      <c r="A127" s="69" t="s">
        <v>346</v>
      </c>
      <c r="B127" s="70"/>
      <c r="C127" s="71">
        <v>1300</v>
      </c>
      <c r="D127" s="75">
        <f t="shared" si="1"/>
        <v>-1.3</v>
      </c>
      <c r="E127" t="s">
        <v>171</v>
      </c>
      <c r="F127" t="s">
        <v>180</v>
      </c>
      <c r="G127" t="s">
        <v>67</v>
      </c>
    </row>
    <row r="128" spans="1:7" x14ac:dyDescent="0.35">
      <c r="A128" s="69" t="s">
        <v>384</v>
      </c>
      <c r="B128" s="71">
        <v>20000</v>
      </c>
      <c r="C128" s="71"/>
      <c r="D128" s="75">
        <f t="shared" si="1"/>
        <v>20</v>
      </c>
      <c r="E128" t="s">
        <v>170</v>
      </c>
      <c r="F128" t="s">
        <v>182</v>
      </c>
      <c r="G128" t="s">
        <v>417</v>
      </c>
    </row>
    <row r="129" spans="1:7" x14ac:dyDescent="0.35">
      <c r="A129" s="69" t="s">
        <v>385</v>
      </c>
      <c r="B129" s="71"/>
      <c r="C129" s="71">
        <v>20000</v>
      </c>
      <c r="D129" s="75">
        <f t="shared" si="1"/>
        <v>-20</v>
      </c>
      <c r="E129" t="s">
        <v>165</v>
      </c>
      <c r="F129" t="s">
        <v>180</v>
      </c>
      <c r="G129" t="s">
        <v>68</v>
      </c>
    </row>
    <row r="130" spans="1:7" x14ac:dyDescent="0.35">
      <c r="A130" s="69" t="s">
        <v>31</v>
      </c>
      <c r="B130" s="71">
        <v>75226.320000000007</v>
      </c>
      <c r="C130" s="70"/>
      <c r="D130" s="75">
        <f t="shared" si="1"/>
        <v>75.226320000000001</v>
      </c>
      <c r="E130" t="s">
        <v>173</v>
      </c>
      <c r="F130" t="s">
        <v>182</v>
      </c>
      <c r="G130" t="s">
        <v>31</v>
      </c>
    </row>
    <row r="131" spans="1:7" x14ac:dyDescent="0.35">
      <c r="A131" s="69" t="s">
        <v>317</v>
      </c>
      <c r="B131" s="70"/>
      <c r="C131" s="71">
        <v>7412.81</v>
      </c>
      <c r="D131" s="75">
        <f t="shared" si="1"/>
        <v>-7.4128100000000003</v>
      </c>
      <c r="E131" t="s">
        <v>165</v>
      </c>
      <c r="F131" t="s">
        <v>180</v>
      </c>
      <c r="G131" t="s">
        <v>68</v>
      </c>
    </row>
    <row r="132" spans="1:7" x14ac:dyDescent="0.35">
      <c r="A132" s="69" t="s">
        <v>312</v>
      </c>
      <c r="B132" s="70"/>
      <c r="C132" s="71">
        <v>8044</v>
      </c>
      <c r="D132" s="75">
        <f t="shared" si="1"/>
        <v>-8.0440000000000005</v>
      </c>
      <c r="E132" t="s">
        <v>165</v>
      </c>
      <c r="F132" t="s">
        <v>180</v>
      </c>
      <c r="G132" t="s">
        <v>68</v>
      </c>
    </row>
    <row r="133" spans="1:7" x14ac:dyDescent="0.35">
      <c r="A133" s="69" t="s">
        <v>154</v>
      </c>
      <c r="B133" s="70"/>
      <c r="C133" s="71">
        <v>21576</v>
      </c>
      <c r="D133" s="75">
        <f t="shared" si="1"/>
        <v>-21.576000000000001</v>
      </c>
      <c r="E133" t="s">
        <v>171</v>
      </c>
      <c r="F133" t="s">
        <v>180</v>
      </c>
      <c r="G133" t="s">
        <v>67</v>
      </c>
    </row>
    <row r="134" spans="1:7" x14ac:dyDescent="0.35">
      <c r="A134" s="69" t="s">
        <v>313</v>
      </c>
      <c r="B134" s="70"/>
      <c r="C134" s="71">
        <v>42480</v>
      </c>
      <c r="D134" s="75">
        <f t="shared" si="1"/>
        <v>-42.48</v>
      </c>
      <c r="E134" t="s">
        <v>171</v>
      </c>
      <c r="F134" t="s">
        <v>180</v>
      </c>
      <c r="G134" t="s">
        <v>67</v>
      </c>
    </row>
    <row r="135" spans="1:7" x14ac:dyDescent="0.35">
      <c r="A135" s="69" t="s">
        <v>348</v>
      </c>
      <c r="B135" s="70"/>
      <c r="C135" s="71">
        <v>2594</v>
      </c>
      <c r="D135" s="75">
        <f t="shared" si="1"/>
        <v>-2.5939999999999999</v>
      </c>
      <c r="E135" t="s">
        <v>171</v>
      </c>
      <c r="F135" t="s">
        <v>180</v>
      </c>
      <c r="G135" t="s">
        <v>67</v>
      </c>
    </row>
    <row r="136" spans="1:7" x14ac:dyDescent="0.35">
      <c r="A136" s="69" t="s">
        <v>155</v>
      </c>
      <c r="B136" s="70"/>
      <c r="C136" s="71">
        <v>1000</v>
      </c>
      <c r="D136" s="75">
        <f t="shared" si="1"/>
        <v>-1</v>
      </c>
      <c r="E136" t="s">
        <v>162</v>
      </c>
      <c r="F136" t="s">
        <v>180</v>
      </c>
      <c r="G136" t="s">
        <v>63</v>
      </c>
    </row>
    <row r="137" spans="1:7" x14ac:dyDescent="0.35">
      <c r="A137" s="72" t="s">
        <v>156</v>
      </c>
      <c r="B137" s="73">
        <v>82887474.019999996</v>
      </c>
      <c r="C137" s="73">
        <v>82887475.019999996</v>
      </c>
      <c r="D137" s="76">
        <f>SUM(D10:D136)</f>
        <v>-79999.972199999989</v>
      </c>
    </row>
  </sheetData>
  <autoFilter ref="A9:G137" xr:uid="{00000000-0009-0000-0000-00000F000000}"/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>
    <tabColor rgb="FF92D050"/>
  </sheetPr>
  <dimension ref="A1:P130"/>
  <sheetViews>
    <sheetView topLeftCell="A70" workbookViewId="0">
      <selection activeCell="C78" sqref="C78"/>
    </sheetView>
  </sheetViews>
  <sheetFormatPr defaultColWidth="8.81640625" defaultRowHeight="14.5" x14ac:dyDescent="0.35"/>
  <cols>
    <col min="1" max="1" width="35.36328125" bestFit="1" customWidth="1"/>
    <col min="2" max="3" width="9.08984375" bestFit="1" customWidth="1"/>
    <col min="4" max="4" width="12.81640625" bestFit="1" customWidth="1"/>
    <col min="5" max="5" width="23.36328125" bestFit="1" customWidth="1"/>
    <col min="7" max="7" width="43.36328125" bestFit="1" customWidth="1"/>
    <col min="11" max="11" width="23.36328125" bestFit="1" customWidth="1"/>
    <col min="12" max="12" width="10.81640625" style="127" bestFit="1" customWidth="1"/>
    <col min="13" max="13" width="15.81640625" bestFit="1" customWidth="1"/>
    <col min="15" max="15" width="15.81640625" bestFit="1" customWidth="1"/>
    <col min="16" max="16" width="8.81640625" style="127"/>
  </cols>
  <sheetData>
    <row r="1" spans="1:16" ht="15.5" x14ac:dyDescent="0.35">
      <c r="A1" s="573" t="s">
        <v>80</v>
      </c>
      <c r="B1" s="573"/>
      <c r="C1" s="573"/>
    </row>
    <row r="2" spans="1:16" x14ac:dyDescent="0.35">
      <c r="A2" s="574" t="s">
        <v>81</v>
      </c>
      <c r="B2" s="574"/>
      <c r="C2" s="574"/>
    </row>
    <row r="3" spans="1:16" x14ac:dyDescent="0.35">
      <c r="A3" s="575" t="s">
        <v>82</v>
      </c>
      <c r="B3" s="575"/>
      <c r="C3" s="575"/>
    </row>
    <row r="4" spans="1:16" ht="15.5" x14ac:dyDescent="0.35">
      <c r="A4" s="576" t="s">
        <v>83</v>
      </c>
      <c r="B4" s="576"/>
      <c r="C4" s="576"/>
    </row>
    <row r="5" spans="1:16" x14ac:dyDescent="0.35">
      <c r="A5" s="574" t="s">
        <v>386</v>
      </c>
      <c r="B5" s="574"/>
      <c r="C5" s="574"/>
    </row>
    <row r="6" spans="1:16" x14ac:dyDescent="0.35">
      <c r="A6" s="66" t="s">
        <v>85</v>
      </c>
      <c r="B6" s="577" t="s">
        <v>80</v>
      </c>
      <c r="C6" s="578"/>
    </row>
    <row r="7" spans="1:16" x14ac:dyDescent="0.35">
      <c r="A7" s="67" t="s">
        <v>86</v>
      </c>
      <c r="B7" s="569" t="s">
        <v>386</v>
      </c>
      <c r="C7" s="570"/>
    </row>
    <row r="8" spans="1:16" x14ac:dyDescent="0.35">
      <c r="A8" s="67" t="s">
        <v>85</v>
      </c>
      <c r="B8" s="571" t="s">
        <v>87</v>
      </c>
      <c r="C8" s="572"/>
      <c r="D8" s="128">
        <f>SUBTOTAL(9,D10:D129)</f>
        <v>-79999.9712</v>
      </c>
    </row>
    <row r="9" spans="1:16" s="78" customFormat="1" x14ac:dyDescent="0.35">
      <c r="A9" s="68" t="s">
        <v>85</v>
      </c>
      <c r="B9" s="77" t="s">
        <v>88</v>
      </c>
      <c r="C9" s="77" t="s">
        <v>89</v>
      </c>
      <c r="D9" s="78" t="s">
        <v>157</v>
      </c>
      <c r="E9" s="78" t="s">
        <v>158</v>
      </c>
      <c r="F9" s="78" t="s">
        <v>159</v>
      </c>
      <c r="G9" s="78" t="s">
        <v>160</v>
      </c>
      <c r="K9" s="126" t="s">
        <v>626</v>
      </c>
      <c r="L9" s="129"/>
      <c r="P9" s="129"/>
    </row>
    <row r="10" spans="1:16" x14ac:dyDescent="0.35">
      <c r="A10" s="69" t="s">
        <v>197</v>
      </c>
      <c r="B10" s="70"/>
      <c r="C10" s="71">
        <v>6442.09</v>
      </c>
      <c r="D10" s="128">
        <f t="shared" ref="D10:D41" si="0">(B10-C10)/1000</f>
        <v>-6.4420900000000003</v>
      </c>
      <c r="E10" t="s">
        <v>171</v>
      </c>
      <c r="F10" t="s">
        <v>180</v>
      </c>
      <c r="G10" t="s">
        <v>67</v>
      </c>
      <c r="K10" s="81" t="s">
        <v>350</v>
      </c>
      <c r="L10" s="147">
        <v>123200</v>
      </c>
      <c r="M10" s="81" t="s">
        <v>192</v>
      </c>
      <c r="O10" t="s">
        <v>192</v>
      </c>
      <c r="P10" s="127">
        <f>(SUMIF(M:M,O10,L:L))/1000</f>
        <v>1839.7893300000001</v>
      </c>
    </row>
    <row r="11" spans="1:16" x14ac:dyDescent="0.35">
      <c r="A11" s="69" t="s">
        <v>92</v>
      </c>
      <c r="B11" s="70"/>
      <c r="C11" s="71">
        <v>99000</v>
      </c>
      <c r="D11" s="128">
        <f t="shared" si="0"/>
        <v>-99</v>
      </c>
      <c r="E11" t="s">
        <v>162</v>
      </c>
      <c r="F11" t="s">
        <v>180</v>
      </c>
      <c r="G11" t="s">
        <v>63</v>
      </c>
      <c r="K11" s="81" t="s">
        <v>351</v>
      </c>
      <c r="L11" s="147">
        <v>73200</v>
      </c>
      <c r="M11" s="81" t="s">
        <v>192</v>
      </c>
      <c r="O11" t="s">
        <v>188</v>
      </c>
      <c r="P11" s="127">
        <f>(SUMIF(M:M,O11,L:L))/1000</f>
        <v>85</v>
      </c>
    </row>
    <row r="12" spans="1:16" x14ac:dyDescent="0.35">
      <c r="A12" s="69" t="s">
        <v>287</v>
      </c>
      <c r="B12" s="71">
        <v>35000</v>
      </c>
      <c r="C12" s="70"/>
      <c r="D12" s="128">
        <f t="shared" si="0"/>
        <v>35</v>
      </c>
      <c r="E12" t="s">
        <v>169</v>
      </c>
      <c r="F12" t="s">
        <v>182</v>
      </c>
      <c r="G12" t="s">
        <v>41</v>
      </c>
      <c r="K12" s="81" t="s">
        <v>187</v>
      </c>
      <c r="L12" s="147">
        <v>58200</v>
      </c>
      <c r="M12" s="81" t="s">
        <v>188</v>
      </c>
      <c r="O12" t="s">
        <v>352</v>
      </c>
      <c r="P12" s="127">
        <f>(SUMIF(M:M,O12,L:L))/1000</f>
        <v>30.2</v>
      </c>
    </row>
    <row r="13" spans="1:16" x14ac:dyDescent="0.35">
      <c r="A13" s="69" t="s">
        <v>288</v>
      </c>
      <c r="B13" s="71">
        <v>8425</v>
      </c>
      <c r="C13" s="70"/>
      <c r="D13" s="128">
        <f t="shared" si="0"/>
        <v>8.4250000000000007</v>
      </c>
      <c r="E13" t="s">
        <v>75</v>
      </c>
      <c r="F13" t="s">
        <v>181</v>
      </c>
      <c r="G13" t="s">
        <v>79</v>
      </c>
      <c r="K13" s="81" t="s">
        <v>219</v>
      </c>
      <c r="L13" s="147">
        <v>17013</v>
      </c>
      <c r="M13" s="81" t="s">
        <v>192</v>
      </c>
      <c r="O13" t="s">
        <v>190</v>
      </c>
      <c r="P13" s="127">
        <f>(SUMIF(M:M,O13,L:L))/1000</f>
        <v>57.151000000000003</v>
      </c>
    </row>
    <row r="14" spans="1:16" x14ac:dyDescent="0.35">
      <c r="A14" s="69" t="s">
        <v>289</v>
      </c>
      <c r="B14" s="70"/>
      <c r="C14" s="71">
        <v>41302</v>
      </c>
      <c r="D14" s="128">
        <f t="shared" si="0"/>
        <v>-41.302</v>
      </c>
      <c r="E14" t="s">
        <v>259</v>
      </c>
      <c r="F14" t="s">
        <v>180</v>
      </c>
      <c r="G14" t="s">
        <v>72</v>
      </c>
      <c r="K14" s="81" t="s">
        <v>199</v>
      </c>
      <c r="L14" s="147">
        <v>28200</v>
      </c>
      <c r="M14" s="81" t="s">
        <v>192</v>
      </c>
      <c r="O14" t="s">
        <v>268</v>
      </c>
      <c r="P14" s="127">
        <f>(SUMIF(M:M,O14,L:L))/1000</f>
        <v>86.656000000000006</v>
      </c>
    </row>
    <row r="15" spans="1:16" x14ac:dyDescent="0.35">
      <c r="A15" s="69" t="s">
        <v>327</v>
      </c>
      <c r="B15" s="70"/>
      <c r="C15" s="71">
        <v>136419</v>
      </c>
      <c r="D15" s="128">
        <f t="shared" si="0"/>
        <v>-136.41900000000001</v>
      </c>
      <c r="E15" t="s">
        <v>259</v>
      </c>
      <c r="F15" t="s">
        <v>181</v>
      </c>
      <c r="G15" t="s">
        <v>71</v>
      </c>
      <c r="K15" s="81" t="s">
        <v>269</v>
      </c>
      <c r="L15" s="147">
        <v>30200</v>
      </c>
      <c r="M15" s="81" t="s">
        <v>352</v>
      </c>
      <c r="P15" s="127">
        <f>SUM(P10:P14)</f>
        <v>2098.7963300000001</v>
      </c>
    </row>
    <row r="16" spans="1:16" x14ac:dyDescent="0.35">
      <c r="A16" s="69" t="s">
        <v>198</v>
      </c>
      <c r="B16" s="70"/>
      <c r="C16" s="71">
        <v>9125</v>
      </c>
      <c r="D16" s="128">
        <f t="shared" si="0"/>
        <v>-9.125</v>
      </c>
      <c r="E16" t="s">
        <v>259</v>
      </c>
      <c r="F16" t="s">
        <v>181</v>
      </c>
      <c r="G16" t="s">
        <v>71</v>
      </c>
      <c r="K16" s="81" t="s">
        <v>273</v>
      </c>
      <c r="L16" s="147">
        <v>98200</v>
      </c>
      <c r="M16" s="81" t="s">
        <v>192</v>
      </c>
    </row>
    <row r="17" spans="1:13" x14ac:dyDescent="0.35">
      <c r="A17" s="69" t="s">
        <v>399</v>
      </c>
      <c r="B17" s="70"/>
      <c r="C17" s="71">
        <v>24199.8</v>
      </c>
      <c r="D17" s="128">
        <f t="shared" si="0"/>
        <v>-24.1998</v>
      </c>
      <c r="E17" t="s">
        <v>171</v>
      </c>
      <c r="F17" t="s">
        <v>180</v>
      </c>
      <c r="G17" t="s">
        <v>67</v>
      </c>
      <c r="K17" s="81" t="s">
        <v>317</v>
      </c>
      <c r="L17" s="147">
        <v>264900</v>
      </c>
      <c r="M17" s="81" t="s">
        <v>192</v>
      </c>
    </row>
    <row r="18" spans="1:13" x14ac:dyDescent="0.35">
      <c r="A18" s="69" t="s">
        <v>365</v>
      </c>
      <c r="B18" s="71">
        <v>305.98</v>
      </c>
      <c r="C18" s="70"/>
      <c r="D18" s="128">
        <f t="shared" si="0"/>
        <v>0.30598000000000003</v>
      </c>
      <c r="E18" t="s">
        <v>75</v>
      </c>
      <c r="F18" t="s">
        <v>181</v>
      </c>
      <c r="G18" t="s">
        <v>79</v>
      </c>
      <c r="K18" s="81" t="s">
        <v>354</v>
      </c>
      <c r="L18" s="147">
        <v>31950</v>
      </c>
      <c r="M18" s="81" t="s">
        <v>190</v>
      </c>
    </row>
    <row r="19" spans="1:13" x14ac:dyDescent="0.35">
      <c r="A19" s="69" t="s">
        <v>200</v>
      </c>
      <c r="B19" s="70"/>
      <c r="C19" s="71">
        <v>32054.84</v>
      </c>
      <c r="D19" s="128">
        <f t="shared" si="0"/>
        <v>-32.054839999999999</v>
      </c>
      <c r="E19" t="s">
        <v>171</v>
      </c>
      <c r="F19" t="s">
        <v>180</v>
      </c>
      <c r="G19" t="s">
        <v>67</v>
      </c>
      <c r="K19" s="81" t="s">
        <v>312</v>
      </c>
      <c r="L19" s="147">
        <v>58200</v>
      </c>
      <c r="M19" s="81" t="s">
        <v>192</v>
      </c>
    </row>
    <row r="20" spans="1:13" x14ac:dyDescent="0.35">
      <c r="A20" s="69" t="s">
        <v>406</v>
      </c>
      <c r="B20" s="70"/>
      <c r="C20" s="71">
        <v>28276.81</v>
      </c>
      <c r="D20" s="128">
        <f t="shared" si="0"/>
        <v>-28.276810000000001</v>
      </c>
      <c r="E20" s="128" t="s">
        <v>66</v>
      </c>
      <c r="F20" t="s">
        <v>180</v>
      </c>
      <c r="G20" s="128" t="s">
        <v>68</v>
      </c>
      <c r="H20" s="128"/>
      <c r="I20" s="128"/>
      <c r="K20" s="81"/>
      <c r="L20" s="147"/>
      <c r="M20" s="81"/>
    </row>
    <row r="21" spans="1:13" x14ac:dyDescent="0.35">
      <c r="A21" s="69" t="s">
        <v>96</v>
      </c>
      <c r="B21" s="71">
        <v>1521.65</v>
      </c>
      <c r="C21" s="70"/>
      <c r="D21" s="128">
        <f t="shared" si="0"/>
        <v>1.5216500000000002</v>
      </c>
      <c r="E21" s="128" t="s">
        <v>163</v>
      </c>
      <c r="F21" s="128" t="s">
        <v>180</v>
      </c>
      <c r="G21" s="128" t="s">
        <v>68</v>
      </c>
      <c r="H21" s="128"/>
      <c r="I21" s="128"/>
      <c r="K21" s="81" t="s">
        <v>355</v>
      </c>
      <c r="L21" s="147">
        <v>223200</v>
      </c>
      <c r="M21" s="81" t="s">
        <v>192</v>
      </c>
    </row>
    <row r="22" spans="1:13" x14ac:dyDescent="0.35">
      <c r="A22" s="69" t="s">
        <v>328</v>
      </c>
      <c r="B22" s="70"/>
      <c r="C22" s="71">
        <v>24000</v>
      </c>
      <c r="D22" s="128">
        <f t="shared" si="0"/>
        <v>-24</v>
      </c>
      <c r="E22" t="s">
        <v>171</v>
      </c>
      <c r="F22" t="s">
        <v>180</v>
      </c>
      <c r="G22" t="s">
        <v>67</v>
      </c>
      <c r="K22" s="81" t="s">
        <v>357</v>
      </c>
      <c r="L22" s="147">
        <v>26800</v>
      </c>
      <c r="M22" s="81" t="s">
        <v>188</v>
      </c>
    </row>
    <row r="23" spans="1:13" x14ac:dyDescent="0.35">
      <c r="A23" s="69" t="s">
        <v>367</v>
      </c>
      <c r="B23" s="70"/>
      <c r="C23" s="71">
        <v>5900</v>
      </c>
      <c r="D23" s="128">
        <f t="shared" si="0"/>
        <v>-5.9</v>
      </c>
      <c r="E23" t="s">
        <v>171</v>
      </c>
      <c r="F23" t="s">
        <v>180</v>
      </c>
      <c r="G23" t="s">
        <v>67</v>
      </c>
      <c r="K23" s="81" t="s">
        <v>212</v>
      </c>
      <c r="L23" s="147">
        <v>248200</v>
      </c>
      <c r="M23" s="81" t="s">
        <v>192</v>
      </c>
    </row>
    <row r="24" spans="1:13" x14ac:dyDescent="0.35">
      <c r="A24" s="69" t="s">
        <v>98</v>
      </c>
      <c r="B24" s="71">
        <v>6280.31</v>
      </c>
      <c r="C24" s="70"/>
      <c r="D24" s="128">
        <f t="shared" si="0"/>
        <v>6.2803100000000001</v>
      </c>
      <c r="E24" t="s">
        <v>166</v>
      </c>
      <c r="F24" t="s">
        <v>181</v>
      </c>
      <c r="G24" t="s">
        <v>78</v>
      </c>
      <c r="K24" s="81" t="s">
        <v>358</v>
      </c>
      <c r="L24" s="147">
        <v>25201</v>
      </c>
      <c r="M24" s="81" t="s">
        <v>190</v>
      </c>
    </row>
    <row r="25" spans="1:13" x14ac:dyDescent="0.35">
      <c r="A25" s="69" t="s">
        <v>202</v>
      </c>
      <c r="B25" s="71">
        <v>39596.639999999999</v>
      </c>
      <c r="C25" s="70"/>
      <c r="D25" s="128">
        <f t="shared" si="0"/>
        <v>39.596640000000001</v>
      </c>
      <c r="E25" t="s">
        <v>260</v>
      </c>
      <c r="F25" t="s">
        <v>181</v>
      </c>
      <c r="G25" t="s">
        <v>77</v>
      </c>
      <c r="K25" s="81" t="s">
        <v>379</v>
      </c>
      <c r="L25" s="147">
        <v>21001</v>
      </c>
      <c r="M25" s="81" t="s">
        <v>268</v>
      </c>
    </row>
    <row r="26" spans="1:13" x14ac:dyDescent="0.35">
      <c r="A26" s="69" t="s">
        <v>368</v>
      </c>
      <c r="B26" s="70"/>
      <c r="C26" s="71">
        <v>804</v>
      </c>
      <c r="D26" s="128">
        <f t="shared" si="0"/>
        <v>-0.80400000000000005</v>
      </c>
      <c r="E26" t="s">
        <v>171</v>
      </c>
      <c r="F26" t="s">
        <v>180</v>
      </c>
      <c r="G26" t="s">
        <v>67</v>
      </c>
      <c r="K26" s="81" t="s">
        <v>378</v>
      </c>
      <c r="L26" s="147">
        <v>32000</v>
      </c>
      <c r="M26" s="81" t="s">
        <v>268</v>
      </c>
    </row>
    <row r="27" spans="1:13" x14ac:dyDescent="0.35">
      <c r="A27" s="69" t="s">
        <v>205</v>
      </c>
      <c r="B27" s="70"/>
      <c r="C27" s="71">
        <v>21600</v>
      </c>
      <c r="D27" s="128">
        <f t="shared" si="0"/>
        <v>-21.6</v>
      </c>
      <c r="E27" t="s">
        <v>171</v>
      </c>
      <c r="F27" t="s">
        <v>180</v>
      </c>
      <c r="G27" t="s">
        <v>67</v>
      </c>
      <c r="K27" s="81" t="s">
        <v>380</v>
      </c>
      <c r="L27" s="147">
        <v>173200</v>
      </c>
      <c r="M27" s="81" t="s">
        <v>192</v>
      </c>
    </row>
    <row r="28" spans="1:13" x14ac:dyDescent="0.35">
      <c r="A28" s="69" t="s">
        <v>292</v>
      </c>
      <c r="B28" s="71">
        <v>322360</v>
      </c>
      <c r="C28" s="70"/>
      <c r="D28" s="128">
        <f t="shared" si="0"/>
        <v>322.36</v>
      </c>
      <c r="E28" t="s">
        <v>314</v>
      </c>
      <c r="F28" t="s">
        <v>182</v>
      </c>
      <c r="G28" t="s">
        <v>38</v>
      </c>
      <c r="K28" s="81" t="s">
        <v>375</v>
      </c>
      <c r="L28" s="147">
        <v>178200</v>
      </c>
      <c r="M28" s="81" t="s">
        <v>192</v>
      </c>
    </row>
    <row r="29" spans="1:13" x14ac:dyDescent="0.35">
      <c r="A29" s="69" t="s">
        <v>293</v>
      </c>
      <c r="B29" s="70"/>
      <c r="C29" s="71">
        <v>10643</v>
      </c>
      <c r="D29" s="128">
        <f t="shared" si="0"/>
        <v>-10.643000000000001</v>
      </c>
      <c r="E29" t="s">
        <v>174</v>
      </c>
      <c r="F29" t="s">
        <v>180</v>
      </c>
      <c r="G29" t="s">
        <v>68</v>
      </c>
      <c r="K29" s="81" t="s">
        <v>395</v>
      </c>
      <c r="L29" s="147">
        <v>50637</v>
      </c>
      <c r="M29" s="81" t="s">
        <v>192</v>
      </c>
    </row>
    <row r="30" spans="1:13" x14ac:dyDescent="0.35">
      <c r="A30" s="69" t="s">
        <v>370</v>
      </c>
      <c r="B30" s="71">
        <v>400</v>
      </c>
      <c r="C30" s="70"/>
      <c r="D30" s="128">
        <f t="shared" si="0"/>
        <v>0.4</v>
      </c>
      <c r="E30" t="s">
        <v>171</v>
      </c>
      <c r="F30" t="s">
        <v>180</v>
      </c>
      <c r="G30" t="s">
        <v>67</v>
      </c>
      <c r="K30" s="81" t="s">
        <v>396</v>
      </c>
      <c r="L30" s="147">
        <v>55733</v>
      </c>
      <c r="M30" s="81" t="s">
        <v>192</v>
      </c>
    </row>
    <row r="31" spans="1:13" x14ac:dyDescent="0.35">
      <c r="A31" s="69" t="s">
        <v>294</v>
      </c>
      <c r="B31" s="71">
        <v>0</v>
      </c>
      <c r="C31" s="70">
        <v>555.85</v>
      </c>
      <c r="D31" s="128">
        <f t="shared" si="0"/>
        <v>-0.55585000000000007</v>
      </c>
      <c r="E31" t="s">
        <v>260</v>
      </c>
      <c r="F31" t="s">
        <v>181</v>
      </c>
      <c r="G31" t="s">
        <v>77</v>
      </c>
      <c r="K31" s="81" t="s">
        <v>387</v>
      </c>
      <c r="L31" s="147">
        <v>18573</v>
      </c>
      <c r="M31" s="81" t="s">
        <v>192</v>
      </c>
    </row>
    <row r="32" spans="1:13" x14ac:dyDescent="0.35">
      <c r="A32" s="69" t="s">
        <v>329</v>
      </c>
      <c r="B32" s="71">
        <v>863949.16</v>
      </c>
      <c r="C32" s="70"/>
      <c r="D32" s="128">
        <f t="shared" si="0"/>
        <v>863.94916000000001</v>
      </c>
      <c r="E32" t="s">
        <v>259</v>
      </c>
      <c r="F32" t="s">
        <v>181</v>
      </c>
      <c r="G32" t="s">
        <v>71</v>
      </c>
      <c r="K32" s="81" t="s">
        <v>320</v>
      </c>
      <c r="L32" s="147">
        <v>50000</v>
      </c>
      <c r="M32" s="81" t="s">
        <v>192</v>
      </c>
    </row>
    <row r="33" spans="1:13" x14ac:dyDescent="0.35">
      <c r="A33" s="69" t="s">
        <v>295</v>
      </c>
      <c r="B33" s="70"/>
      <c r="C33" s="71">
        <v>169125.53</v>
      </c>
      <c r="D33" s="128">
        <f t="shared" si="0"/>
        <v>-169.12553</v>
      </c>
      <c r="E33" t="s">
        <v>144</v>
      </c>
      <c r="F33" t="s">
        <v>184</v>
      </c>
      <c r="G33" t="s">
        <v>25</v>
      </c>
      <c r="K33" s="81" t="s">
        <v>321</v>
      </c>
      <c r="L33" s="147">
        <v>65000</v>
      </c>
      <c r="M33" s="81" t="s">
        <v>192</v>
      </c>
    </row>
    <row r="34" spans="1:13" x14ac:dyDescent="0.35">
      <c r="A34" s="69" t="s">
        <v>103</v>
      </c>
      <c r="B34" s="71">
        <v>280000</v>
      </c>
      <c r="C34" s="70"/>
      <c r="D34" s="128">
        <f t="shared" si="0"/>
        <v>280</v>
      </c>
      <c r="E34" t="s">
        <v>169</v>
      </c>
      <c r="F34" t="s">
        <v>182</v>
      </c>
      <c r="G34" t="s">
        <v>42</v>
      </c>
      <c r="K34" s="81" t="s">
        <v>325</v>
      </c>
      <c r="L34" s="147">
        <v>21000</v>
      </c>
      <c r="M34" s="81" t="s">
        <v>192</v>
      </c>
    </row>
    <row r="35" spans="1:13" x14ac:dyDescent="0.35">
      <c r="A35" s="69" t="s">
        <v>104</v>
      </c>
      <c r="B35" s="71">
        <v>800</v>
      </c>
      <c r="C35" s="70"/>
      <c r="D35" s="128">
        <f t="shared" si="0"/>
        <v>0.8</v>
      </c>
      <c r="E35" t="s">
        <v>167</v>
      </c>
      <c r="F35" t="s">
        <v>180</v>
      </c>
      <c r="G35" t="s">
        <v>67</v>
      </c>
      <c r="K35" s="81" t="s">
        <v>397</v>
      </c>
      <c r="L35" s="147">
        <v>16000</v>
      </c>
      <c r="M35" s="81" t="s">
        <v>268</v>
      </c>
    </row>
    <row r="36" spans="1:13" x14ac:dyDescent="0.35">
      <c r="A36" s="69" t="s">
        <v>105</v>
      </c>
      <c r="B36" s="70"/>
      <c r="C36" s="71">
        <f>604784.86+10275.12</f>
        <v>615059.98</v>
      </c>
      <c r="D36" s="128">
        <f t="shared" si="0"/>
        <v>-615.05998</v>
      </c>
      <c r="E36" t="s">
        <v>163</v>
      </c>
      <c r="F36" t="s">
        <v>180</v>
      </c>
      <c r="G36" t="s">
        <v>68</v>
      </c>
      <c r="K36" s="81" t="s">
        <v>382</v>
      </c>
      <c r="L36" s="147">
        <v>65000</v>
      </c>
      <c r="M36" s="81" t="s">
        <v>192</v>
      </c>
    </row>
    <row r="37" spans="1:13" x14ac:dyDescent="0.35">
      <c r="A37" s="69" t="s">
        <v>330</v>
      </c>
      <c r="B37" s="70"/>
      <c r="C37" s="71">
        <v>380</v>
      </c>
      <c r="D37" s="128">
        <f t="shared" si="0"/>
        <v>-0.38</v>
      </c>
      <c r="E37" t="s">
        <v>171</v>
      </c>
      <c r="F37" t="s">
        <v>180</v>
      </c>
      <c r="G37" t="s">
        <v>67</v>
      </c>
      <c r="K37" s="81" t="s">
        <v>383</v>
      </c>
      <c r="L37" s="147">
        <v>12500</v>
      </c>
      <c r="M37" s="81" t="s">
        <v>192</v>
      </c>
    </row>
    <row r="38" spans="1:13" x14ac:dyDescent="0.35">
      <c r="A38" s="69" t="s">
        <v>296</v>
      </c>
      <c r="B38" s="71">
        <v>461436.24</v>
      </c>
      <c r="C38" s="70"/>
      <c r="D38" s="128">
        <f t="shared" si="0"/>
        <v>461.43624</v>
      </c>
      <c r="E38" t="s">
        <v>314</v>
      </c>
      <c r="F38" t="s">
        <v>182</v>
      </c>
      <c r="G38" t="s">
        <v>37</v>
      </c>
      <c r="K38" s="81"/>
      <c r="L38" s="147"/>
      <c r="M38" s="81"/>
    </row>
    <row r="39" spans="1:13" x14ac:dyDescent="0.35">
      <c r="A39" s="69" t="s">
        <v>34</v>
      </c>
      <c r="B39" s="71">
        <v>24573</v>
      </c>
      <c r="C39" s="70"/>
      <c r="D39" s="128">
        <f t="shared" si="0"/>
        <v>24.573</v>
      </c>
      <c r="E39" t="s">
        <v>169</v>
      </c>
      <c r="F39" t="s">
        <v>182</v>
      </c>
      <c r="G39" t="s">
        <v>34</v>
      </c>
      <c r="K39" s="81"/>
      <c r="L39" s="147"/>
      <c r="M39" s="81"/>
    </row>
    <row r="40" spans="1:13" x14ac:dyDescent="0.35">
      <c r="A40" s="69" t="s">
        <v>387</v>
      </c>
      <c r="B40" s="70"/>
      <c r="C40" s="71">
        <v>16701</v>
      </c>
      <c r="D40" s="128">
        <f t="shared" si="0"/>
        <v>-16.701000000000001</v>
      </c>
      <c r="E40" t="s">
        <v>165</v>
      </c>
      <c r="F40" t="s">
        <v>180</v>
      </c>
      <c r="G40" t="s">
        <v>68</v>
      </c>
      <c r="K40" s="81" t="s">
        <v>398</v>
      </c>
      <c r="L40" s="147">
        <v>17655</v>
      </c>
      <c r="M40" s="81" t="s">
        <v>268</v>
      </c>
    </row>
    <row r="41" spans="1:13" x14ac:dyDescent="0.35">
      <c r="A41" s="69" t="s">
        <v>206</v>
      </c>
      <c r="B41" s="71">
        <v>60381</v>
      </c>
      <c r="C41" s="70"/>
      <c r="D41" s="128">
        <f t="shared" si="0"/>
        <v>60.381</v>
      </c>
      <c r="E41" t="s">
        <v>169</v>
      </c>
      <c r="F41" t="s">
        <v>182</v>
      </c>
      <c r="G41" t="s">
        <v>48</v>
      </c>
      <c r="K41" s="81" t="s">
        <v>395</v>
      </c>
      <c r="L41" s="147">
        <v>15633.330000000002</v>
      </c>
      <c r="M41" s="81" t="s">
        <v>192</v>
      </c>
    </row>
    <row r="42" spans="1:13" x14ac:dyDescent="0.35">
      <c r="A42" s="69" t="s">
        <v>388</v>
      </c>
      <c r="B42" s="71">
        <v>82.5</v>
      </c>
      <c r="C42" s="70"/>
      <c r="D42" s="128">
        <f t="shared" ref="D42:D73" si="1">(B42-C42)/1000</f>
        <v>8.2500000000000004E-2</v>
      </c>
      <c r="E42" t="s">
        <v>167</v>
      </c>
      <c r="F42" t="s">
        <v>180</v>
      </c>
      <c r="G42" t="s">
        <v>67</v>
      </c>
    </row>
    <row r="43" spans="1:13" x14ac:dyDescent="0.35">
      <c r="A43" s="69" t="s">
        <v>297</v>
      </c>
      <c r="B43" s="71">
        <v>17804.419999999998</v>
      </c>
      <c r="C43" s="70"/>
      <c r="D43" s="128">
        <f t="shared" si="1"/>
        <v>17.804419999999997</v>
      </c>
      <c r="E43" t="s">
        <v>144</v>
      </c>
      <c r="F43" t="s">
        <v>182</v>
      </c>
      <c r="G43" t="s">
        <v>316</v>
      </c>
    </row>
    <row r="44" spans="1:13" x14ac:dyDescent="0.35">
      <c r="A44" s="69" t="s">
        <v>298</v>
      </c>
      <c r="B44" s="71">
        <v>59286.61</v>
      </c>
      <c r="C44" s="70"/>
      <c r="D44" s="128">
        <f t="shared" si="1"/>
        <v>59.286610000000003</v>
      </c>
      <c r="E44" t="s">
        <v>144</v>
      </c>
      <c r="F44" t="s">
        <v>182</v>
      </c>
      <c r="G44" t="s">
        <v>316</v>
      </c>
    </row>
    <row r="45" spans="1:13" x14ac:dyDescent="0.35">
      <c r="A45" s="69" t="s">
        <v>402</v>
      </c>
      <c r="B45" s="70"/>
      <c r="C45" s="71">
        <v>31103</v>
      </c>
      <c r="D45" s="128">
        <f t="shared" si="1"/>
        <v>-31.103000000000002</v>
      </c>
      <c r="E45" t="s">
        <v>165</v>
      </c>
      <c r="F45" t="s">
        <v>180</v>
      </c>
      <c r="G45" t="s">
        <v>68</v>
      </c>
    </row>
    <row r="46" spans="1:13" x14ac:dyDescent="0.35">
      <c r="A46" s="69" t="s">
        <v>109</v>
      </c>
      <c r="B46" s="71">
        <v>37449</v>
      </c>
      <c r="C46" s="70"/>
      <c r="D46" s="128">
        <f t="shared" si="1"/>
        <v>37.448999999999998</v>
      </c>
      <c r="E46" t="s">
        <v>170</v>
      </c>
      <c r="F46" t="s">
        <v>182</v>
      </c>
      <c r="G46" t="s">
        <v>417</v>
      </c>
    </row>
    <row r="47" spans="1:13" x14ac:dyDescent="0.35">
      <c r="A47" s="69" t="s">
        <v>331</v>
      </c>
      <c r="B47" s="70"/>
      <c r="C47" s="71">
        <v>14433.44</v>
      </c>
      <c r="D47" s="128">
        <f t="shared" si="1"/>
        <v>-14.433440000000001</v>
      </c>
      <c r="E47" t="s">
        <v>171</v>
      </c>
      <c r="F47" t="s">
        <v>180</v>
      </c>
      <c r="G47" t="s">
        <v>67</v>
      </c>
    </row>
    <row r="48" spans="1:13" x14ac:dyDescent="0.35">
      <c r="A48" s="69" t="s">
        <v>332</v>
      </c>
      <c r="B48" s="70"/>
      <c r="C48" s="71">
        <v>6.14</v>
      </c>
      <c r="D48" s="128">
        <f t="shared" si="1"/>
        <v>-6.1399999999999996E-3</v>
      </c>
      <c r="E48" t="s">
        <v>171</v>
      </c>
      <c r="F48" t="s">
        <v>180</v>
      </c>
      <c r="G48" t="s">
        <v>67</v>
      </c>
    </row>
    <row r="49" spans="1:7" x14ac:dyDescent="0.35">
      <c r="A49" s="69" t="s">
        <v>208</v>
      </c>
      <c r="B49" s="71">
        <v>40000000</v>
      </c>
      <c r="C49" s="70"/>
      <c r="D49" s="128">
        <f t="shared" si="1"/>
        <v>40000</v>
      </c>
      <c r="E49" t="s">
        <v>261</v>
      </c>
      <c r="F49" t="s">
        <v>181</v>
      </c>
      <c r="G49" t="s">
        <v>76</v>
      </c>
    </row>
    <row r="50" spans="1:7" x14ac:dyDescent="0.35">
      <c r="A50" s="69" t="s">
        <v>389</v>
      </c>
      <c r="B50" s="71">
        <v>2500000</v>
      </c>
      <c r="C50" s="70"/>
      <c r="D50" s="128">
        <f t="shared" si="1"/>
        <v>2500</v>
      </c>
      <c r="E50" t="s">
        <v>261</v>
      </c>
      <c r="F50" t="s">
        <v>181</v>
      </c>
      <c r="G50" t="s">
        <v>76</v>
      </c>
    </row>
    <row r="51" spans="1:7" x14ac:dyDescent="0.35">
      <c r="A51" s="69" t="s">
        <v>390</v>
      </c>
      <c r="B51" s="71">
        <v>2000000</v>
      </c>
      <c r="C51" s="70"/>
      <c r="D51" s="128">
        <f t="shared" si="1"/>
        <v>2000</v>
      </c>
      <c r="E51" t="s">
        <v>261</v>
      </c>
      <c r="F51" t="s">
        <v>181</v>
      </c>
      <c r="G51" t="s">
        <v>76</v>
      </c>
    </row>
    <row r="52" spans="1:7" x14ac:dyDescent="0.35">
      <c r="A52" s="69" t="s">
        <v>391</v>
      </c>
      <c r="B52" s="71">
        <v>2500000</v>
      </c>
      <c r="C52" s="70"/>
      <c r="D52" s="128">
        <f t="shared" si="1"/>
        <v>2500</v>
      </c>
      <c r="E52" t="s">
        <v>261</v>
      </c>
      <c r="F52" t="s">
        <v>181</v>
      </c>
      <c r="G52" t="s">
        <v>76</v>
      </c>
    </row>
    <row r="53" spans="1:7" x14ac:dyDescent="0.35">
      <c r="A53" s="69" t="s">
        <v>392</v>
      </c>
      <c r="B53" s="71">
        <v>10000000</v>
      </c>
      <c r="C53" s="70"/>
      <c r="D53" s="128">
        <f t="shared" si="1"/>
        <v>10000</v>
      </c>
      <c r="E53" t="s">
        <v>261</v>
      </c>
      <c r="F53" t="s">
        <v>181</v>
      </c>
      <c r="G53" t="s">
        <v>76</v>
      </c>
    </row>
    <row r="54" spans="1:7" x14ac:dyDescent="0.35">
      <c r="A54" s="69" t="s">
        <v>335</v>
      </c>
      <c r="B54" s="70"/>
      <c r="C54" s="71">
        <v>78593.070000000007</v>
      </c>
      <c r="D54" s="128">
        <f t="shared" si="1"/>
        <v>-78.593070000000012</v>
      </c>
      <c r="E54" t="s">
        <v>171</v>
      </c>
      <c r="F54" t="s">
        <v>180</v>
      </c>
      <c r="G54" t="s">
        <v>67</v>
      </c>
    </row>
    <row r="55" spans="1:7" x14ac:dyDescent="0.35">
      <c r="A55" s="69" t="s">
        <v>336</v>
      </c>
      <c r="B55" s="70"/>
      <c r="C55" s="71">
        <v>1531</v>
      </c>
      <c r="D55" s="128">
        <f t="shared" si="1"/>
        <v>-1.5309999999999999</v>
      </c>
      <c r="E55" t="s">
        <v>171</v>
      </c>
      <c r="F55" t="s">
        <v>180</v>
      </c>
      <c r="G55" t="s">
        <v>67</v>
      </c>
    </row>
    <row r="56" spans="1:7" x14ac:dyDescent="0.35">
      <c r="A56" s="69" t="s">
        <v>111</v>
      </c>
      <c r="B56" s="70"/>
      <c r="C56" s="71">
        <v>184010</v>
      </c>
      <c r="D56" s="128">
        <f t="shared" si="1"/>
        <v>-184.01</v>
      </c>
      <c r="E56" t="s">
        <v>167</v>
      </c>
      <c r="F56" t="s">
        <v>180</v>
      </c>
      <c r="G56" t="s">
        <v>67</v>
      </c>
    </row>
    <row r="57" spans="1:7" x14ac:dyDescent="0.35">
      <c r="A57" s="69" t="s">
        <v>112</v>
      </c>
      <c r="B57" s="70"/>
      <c r="C57" s="71">
        <v>0</v>
      </c>
      <c r="D57" s="128">
        <f t="shared" si="1"/>
        <v>0</v>
      </c>
      <c r="E57" t="s">
        <v>171</v>
      </c>
      <c r="F57" t="s">
        <v>180</v>
      </c>
      <c r="G57" t="s">
        <v>67</v>
      </c>
    </row>
    <row r="58" spans="1:7" x14ac:dyDescent="0.35">
      <c r="A58" s="69" t="s">
        <v>213</v>
      </c>
      <c r="B58" s="71">
        <v>7109.2</v>
      </c>
      <c r="C58" s="70"/>
      <c r="D58" s="128">
        <f t="shared" si="1"/>
        <v>7.1091999999999995</v>
      </c>
      <c r="E58" t="s">
        <v>172</v>
      </c>
      <c r="F58" t="s">
        <v>181</v>
      </c>
      <c r="G58" t="s">
        <v>79</v>
      </c>
    </row>
    <row r="59" spans="1:7" x14ac:dyDescent="0.35">
      <c r="A59" s="69" t="s">
        <v>114</v>
      </c>
      <c r="B59" s="71">
        <v>2116.39</v>
      </c>
      <c r="C59" s="70"/>
      <c r="D59" s="128">
        <f t="shared" si="1"/>
        <v>2.11639</v>
      </c>
      <c r="E59" t="s">
        <v>172</v>
      </c>
      <c r="F59" t="s">
        <v>180</v>
      </c>
      <c r="G59" t="s">
        <v>79</v>
      </c>
    </row>
    <row r="60" spans="1:7" x14ac:dyDescent="0.35">
      <c r="A60" s="69" t="s">
        <v>338</v>
      </c>
      <c r="B60" s="71">
        <v>4984.24</v>
      </c>
      <c r="C60" s="70"/>
      <c r="D60" s="128">
        <f t="shared" si="1"/>
        <v>4.9842399999999998</v>
      </c>
      <c r="E60" t="s">
        <v>172</v>
      </c>
      <c r="F60" t="s">
        <v>181</v>
      </c>
      <c r="G60" t="s">
        <v>79</v>
      </c>
    </row>
    <row r="61" spans="1:7" x14ac:dyDescent="0.35">
      <c r="A61" s="69" t="s">
        <v>115</v>
      </c>
      <c r="B61" s="71">
        <v>369742.44</v>
      </c>
      <c r="C61" s="70"/>
      <c r="D61" s="128">
        <f t="shared" si="1"/>
        <v>369.74243999999999</v>
      </c>
      <c r="E61" t="s">
        <v>172</v>
      </c>
      <c r="F61" t="s">
        <v>180</v>
      </c>
      <c r="G61" t="s">
        <v>79</v>
      </c>
    </row>
    <row r="62" spans="1:7" x14ac:dyDescent="0.35">
      <c r="A62" s="69" t="s">
        <v>116</v>
      </c>
      <c r="B62" s="71">
        <v>131781.49</v>
      </c>
      <c r="C62" s="70"/>
      <c r="D62" s="128">
        <f t="shared" si="1"/>
        <v>131.78148999999999</v>
      </c>
      <c r="E62" t="s">
        <v>172</v>
      </c>
      <c r="F62" t="s">
        <v>180</v>
      </c>
      <c r="G62" t="s">
        <v>79</v>
      </c>
    </row>
    <row r="63" spans="1:7" x14ac:dyDescent="0.35">
      <c r="A63" s="69" t="s">
        <v>214</v>
      </c>
      <c r="B63" s="71">
        <v>1535.35</v>
      </c>
      <c r="C63" s="70"/>
      <c r="D63" s="128">
        <f t="shared" si="1"/>
        <v>1.53535</v>
      </c>
      <c r="E63" t="s">
        <v>172</v>
      </c>
      <c r="F63" t="s">
        <v>181</v>
      </c>
      <c r="G63" t="s">
        <v>79</v>
      </c>
    </row>
    <row r="64" spans="1:7" x14ac:dyDescent="0.35">
      <c r="A64" s="69" t="s">
        <v>215</v>
      </c>
      <c r="B64" s="71">
        <v>231480</v>
      </c>
      <c r="C64" s="70"/>
      <c r="D64" s="128">
        <f t="shared" si="1"/>
        <v>231.48</v>
      </c>
      <c r="E64" t="s">
        <v>172</v>
      </c>
      <c r="F64" t="s">
        <v>181</v>
      </c>
      <c r="G64" t="s">
        <v>79</v>
      </c>
    </row>
    <row r="65" spans="1:7" x14ac:dyDescent="0.35">
      <c r="A65" s="69" t="s">
        <v>216</v>
      </c>
      <c r="B65" s="71">
        <v>7109.2</v>
      </c>
      <c r="C65" s="70"/>
      <c r="D65" s="128">
        <f t="shared" si="1"/>
        <v>7.1091999999999995</v>
      </c>
      <c r="E65" t="s">
        <v>172</v>
      </c>
      <c r="F65" t="s">
        <v>181</v>
      </c>
      <c r="G65" t="s">
        <v>79</v>
      </c>
    </row>
    <row r="66" spans="1:7" x14ac:dyDescent="0.35">
      <c r="A66" s="69" t="s">
        <v>117</v>
      </c>
      <c r="B66" s="71">
        <v>2116.39</v>
      </c>
      <c r="C66" s="70"/>
      <c r="D66" s="128">
        <f t="shared" si="1"/>
        <v>2.11639</v>
      </c>
      <c r="E66" t="s">
        <v>172</v>
      </c>
      <c r="F66" t="s">
        <v>180</v>
      </c>
      <c r="G66" t="s">
        <v>79</v>
      </c>
    </row>
    <row r="67" spans="1:7" x14ac:dyDescent="0.35">
      <c r="A67" s="69" t="s">
        <v>339</v>
      </c>
      <c r="B67" s="71">
        <v>4984.24</v>
      </c>
      <c r="C67" s="70"/>
      <c r="D67" s="128">
        <f t="shared" si="1"/>
        <v>4.9842399999999998</v>
      </c>
      <c r="E67" t="s">
        <v>172</v>
      </c>
      <c r="F67" t="s">
        <v>181</v>
      </c>
      <c r="G67" t="s">
        <v>79</v>
      </c>
    </row>
    <row r="68" spans="1:7" x14ac:dyDescent="0.35">
      <c r="A68" s="69" t="s">
        <v>118</v>
      </c>
      <c r="B68" s="71">
        <v>358027.88</v>
      </c>
      <c r="C68" s="70"/>
      <c r="D68" s="128">
        <f t="shared" si="1"/>
        <v>358.02787999999998</v>
      </c>
      <c r="E68" t="s">
        <v>172</v>
      </c>
      <c r="F68" t="s">
        <v>181</v>
      </c>
      <c r="G68" t="s">
        <v>79</v>
      </c>
    </row>
    <row r="69" spans="1:7" x14ac:dyDescent="0.35">
      <c r="A69" s="69" t="s">
        <v>300</v>
      </c>
      <c r="B69" s="71">
        <v>1537167.67</v>
      </c>
      <c r="C69" s="70"/>
      <c r="D69" s="128">
        <f t="shared" si="1"/>
        <v>1537.1676699999998</v>
      </c>
      <c r="E69" t="s">
        <v>259</v>
      </c>
      <c r="F69" t="s">
        <v>181</v>
      </c>
      <c r="G69" t="s">
        <v>72</v>
      </c>
    </row>
    <row r="70" spans="1:7" x14ac:dyDescent="0.35">
      <c r="A70" s="69" t="s">
        <v>301</v>
      </c>
      <c r="B70" s="70"/>
      <c r="C70" s="71">
        <v>305517.31</v>
      </c>
      <c r="D70" s="128">
        <f t="shared" si="1"/>
        <v>-305.51731000000001</v>
      </c>
      <c r="E70" t="s">
        <v>315</v>
      </c>
      <c r="F70" t="s">
        <v>184</v>
      </c>
      <c r="G70" t="s">
        <v>49</v>
      </c>
    </row>
    <row r="71" spans="1:7" x14ac:dyDescent="0.35">
      <c r="A71" s="69" t="s">
        <v>217</v>
      </c>
      <c r="B71" s="71">
        <v>602147.19999999995</v>
      </c>
      <c r="C71" s="70"/>
      <c r="D71" s="128">
        <f t="shared" si="1"/>
        <v>602.1472</v>
      </c>
      <c r="E71" t="s">
        <v>166</v>
      </c>
      <c r="F71" t="s">
        <v>181</v>
      </c>
      <c r="G71" t="s">
        <v>78</v>
      </c>
    </row>
    <row r="72" spans="1:7" x14ac:dyDescent="0.35">
      <c r="A72" s="69" t="s">
        <v>218</v>
      </c>
      <c r="B72" s="71">
        <v>920742.86</v>
      </c>
      <c r="C72" s="70"/>
      <c r="D72" s="128">
        <f t="shared" si="1"/>
        <v>920.74285999999995</v>
      </c>
      <c r="E72" t="s">
        <v>166</v>
      </c>
      <c r="F72" t="s">
        <v>181</v>
      </c>
      <c r="G72" t="s">
        <v>78</v>
      </c>
    </row>
    <row r="73" spans="1:7" x14ac:dyDescent="0.35">
      <c r="A73" s="69" t="s">
        <v>124</v>
      </c>
      <c r="B73" s="71">
        <f>625294.7+10275.12</f>
        <v>635569.81999999995</v>
      </c>
      <c r="C73" s="70"/>
      <c r="D73" s="128">
        <f t="shared" si="1"/>
        <v>635.56981999999994</v>
      </c>
      <c r="E73" t="s">
        <v>173</v>
      </c>
      <c r="F73" t="s">
        <v>182</v>
      </c>
      <c r="G73" t="s">
        <v>401</v>
      </c>
    </row>
    <row r="74" spans="1:7" x14ac:dyDescent="0.35">
      <c r="A74" s="69" t="s">
        <v>303</v>
      </c>
      <c r="B74" s="70"/>
      <c r="C74" s="71">
        <v>588143.04</v>
      </c>
      <c r="D74" s="128">
        <f t="shared" ref="D74:D107" si="2">(B74-C74)/1000</f>
        <v>-588.14304000000004</v>
      </c>
      <c r="E74" t="s">
        <v>144</v>
      </c>
      <c r="F74" t="s">
        <v>184</v>
      </c>
      <c r="G74" t="s">
        <v>25</v>
      </c>
    </row>
    <row r="75" spans="1:7" x14ac:dyDescent="0.35">
      <c r="A75" s="69" t="s">
        <v>340</v>
      </c>
      <c r="B75" s="70"/>
      <c r="C75" s="71">
        <v>8260</v>
      </c>
      <c r="D75" s="128">
        <f t="shared" si="2"/>
        <v>-8.26</v>
      </c>
      <c r="E75" t="s">
        <v>167</v>
      </c>
      <c r="F75" t="s">
        <v>180</v>
      </c>
      <c r="G75" t="s">
        <v>67</v>
      </c>
    </row>
    <row r="76" spans="1:7" x14ac:dyDescent="0.35">
      <c r="A76" s="69" t="s">
        <v>221</v>
      </c>
      <c r="B76" s="70"/>
      <c r="C76" s="71">
        <v>8896.7099999999991</v>
      </c>
      <c r="D76" s="128">
        <f t="shared" si="2"/>
        <v>-8.8967099999999988</v>
      </c>
      <c r="E76" t="s">
        <v>171</v>
      </c>
      <c r="F76" t="s">
        <v>180</v>
      </c>
      <c r="G76" t="s">
        <v>67</v>
      </c>
    </row>
    <row r="77" spans="1:7" x14ac:dyDescent="0.35">
      <c r="A77" s="69" t="s">
        <v>374</v>
      </c>
      <c r="B77" s="71">
        <v>27.3</v>
      </c>
      <c r="C77" s="70"/>
      <c r="D77" s="128">
        <f t="shared" si="2"/>
        <v>2.7300000000000001E-2</v>
      </c>
      <c r="E77" t="s">
        <v>167</v>
      </c>
      <c r="F77" t="s">
        <v>180</v>
      </c>
      <c r="G77" t="s">
        <v>67</v>
      </c>
    </row>
    <row r="78" spans="1:7" x14ac:dyDescent="0.35">
      <c r="A78" s="69" t="s">
        <v>227</v>
      </c>
      <c r="B78" s="70"/>
      <c r="C78" s="71">
        <v>79999971.200000003</v>
      </c>
      <c r="D78" s="128">
        <f t="shared" si="2"/>
        <v>-79999.9712</v>
      </c>
      <c r="E78" t="s">
        <v>262</v>
      </c>
      <c r="F78" t="s">
        <v>180</v>
      </c>
    </row>
    <row r="79" spans="1:7" x14ac:dyDescent="0.35">
      <c r="A79" s="69" t="s">
        <v>1263</v>
      </c>
      <c r="B79" s="70"/>
      <c r="C79" s="107">
        <v>4207010</v>
      </c>
      <c r="D79" s="107">
        <f t="shared" si="2"/>
        <v>-4207.01</v>
      </c>
      <c r="G79" t="s">
        <v>63</v>
      </c>
    </row>
    <row r="80" spans="1:7" x14ac:dyDescent="0.35">
      <c r="A80" s="69" t="s">
        <v>1264</v>
      </c>
      <c r="B80" s="70"/>
      <c r="C80" s="107">
        <f>C78-C79</f>
        <v>75792961.200000003</v>
      </c>
      <c r="D80" s="107">
        <f t="shared" si="2"/>
        <v>-75792.961200000005</v>
      </c>
      <c r="G80" t="s">
        <v>64</v>
      </c>
    </row>
    <row r="81" spans="1:7" x14ac:dyDescent="0.35">
      <c r="A81" s="69" t="s">
        <v>42</v>
      </c>
      <c r="B81" s="71">
        <v>670.4</v>
      </c>
      <c r="C81" s="70"/>
      <c r="D81" s="128">
        <f t="shared" si="2"/>
        <v>0.6704</v>
      </c>
      <c r="E81" t="s">
        <v>40</v>
      </c>
      <c r="F81" t="s">
        <v>182</v>
      </c>
      <c r="G81" t="s">
        <v>42</v>
      </c>
    </row>
    <row r="82" spans="1:7" x14ac:dyDescent="0.35">
      <c r="A82" s="69" t="s">
        <v>231</v>
      </c>
      <c r="B82" s="71">
        <v>55864.5</v>
      </c>
      <c r="C82" s="70"/>
      <c r="D82" s="128">
        <f t="shared" si="2"/>
        <v>55.8645</v>
      </c>
      <c r="E82" t="s">
        <v>259</v>
      </c>
      <c r="F82" t="s">
        <v>181</v>
      </c>
      <c r="G82" t="s">
        <v>71</v>
      </c>
    </row>
    <row r="83" spans="1:7" x14ac:dyDescent="0.35">
      <c r="A83" s="69" t="s">
        <v>40</v>
      </c>
      <c r="B83" s="71">
        <v>30000</v>
      </c>
      <c r="C83" s="70"/>
      <c r="D83" s="128">
        <f t="shared" si="2"/>
        <v>30</v>
      </c>
      <c r="E83" t="s">
        <v>169</v>
      </c>
      <c r="F83" t="s">
        <v>182</v>
      </c>
      <c r="G83" t="s">
        <v>43</v>
      </c>
    </row>
    <row r="84" spans="1:7" x14ac:dyDescent="0.35">
      <c r="A84" s="69" t="s">
        <v>129</v>
      </c>
      <c r="B84" s="70"/>
      <c r="C84" s="71">
        <v>22251.9</v>
      </c>
      <c r="D84" s="128">
        <f t="shared" si="2"/>
        <v>-22.251900000000003</v>
      </c>
      <c r="E84" t="s">
        <v>174</v>
      </c>
      <c r="F84" t="s">
        <v>180</v>
      </c>
      <c r="G84" t="s">
        <v>68</v>
      </c>
    </row>
    <row r="85" spans="1:7" x14ac:dyDescent="0.35">
      <c r="A85" s="69" t="s">
        <v>404</v>
      </c>
      <c r="B85" s="70"/>
      <c r="C85" s="71">
        <v>13221.41</v>
      </c>
      <c r="D85" s="128">
        <f t="shared" si="2"/>
        <v>-13.221410000000001</v>
      </c>
      <c r="E85" t="s">
        <v>174</v>
      </c>
      <c r="F85" t="s">
        <v>180</v>
      </c>
      <c r="G85" t="s">
        <v>68</v>
      </c>
    </row>
    <row r="86" spans="1:7" x14ac:dyDescent="0.35">
      <c r="A86" s="69" t="s">
        <v>130</v>
      </c>
      <c r="B86" s="70"/>
      <c r="C86" s="71">
        <v>22251.9</v>
      </c>
      <c r="D86" s="128">
        <f t="shared" si="2"/>
        <v>-22.251900000000003</v>
      </c>
      <c r="E86" t="s">
        <v>174</v>
      </c>
      <c r="F86" t="s">
        <v>180</v>
      </c>
      <c r="G86" t="s">
        <v>68</v>
      </c>
    </row>
    <row r="87" spans="1:7" x14ac:dyDescent="0.35">
      <c r="A87" s="69" t="s">
        <v>405</v>
      </c>
      <c r="B87" s="70"/>
      <c r="C87" s="71">
        <v>13221.41</v>
      </c>
      <c r="D87" s="128">
        <f t="shared" si="2"/>
        <v>-13.221410000000001</v>
      </c>
      <c r="E87" t="s">
        <v>174</v>
      </c>
      <c r="F87" t="s">
        <v>180</v>
      </c>
      <c r="G87" t="s">
        <v>68</v>
      </c>
    </row>
    <row r="88" spans="1:7" x14ac:dyDescent="0.35">
      <c r="A88" s="69" t="s">
        <v>342</v>
      </c>
      <c r="B88" s="70"/>
      <c r="C88" s="71">
        <v>6000</v>
      </c>
      <c r="D88" s="128">
        <f t="shared" si="2"/>
        <v>-6</v>
      </c>
      <c r="E88" t="s">
        <v>66</v>
      </c>
      <c r="F88" t="s">
        <v>180</v>
      </c>
      <c r="G88" t="s">
        <v>68</v>
      </c>
    </row>
    <row r="89" spans="1:7" x14ac:dyDescent="0.35">
      <c r="A89" s="69" t="s">
        <v>233</v>
      </c>
      <c r="B89" s="71">
        <v>2927.8</v>
      </c>
      <c r="C89" s="70"/>
      <c r="D89" s="128">
        <f t="shared" si="2"/>
        <v>2.9278000000000004</v>
      </c>
      <c r="E89" t="s">
        <v>170</v>
      </c>
      <c r="F89" t="s">
        <v>182</v>
      </c>
      <c r="G89" t="s">
        <v>417</v>
      </c>
    </row>
    <row r="90" spans="1:7" x14ac:dyDescent="0.35">
      <c r="A90" s="69" t="s">
        <v>376</v>
      </c>
      <c r="B90" s="71">
        <v>42500</v>
      </c>
      <c r="C90" s="70"/>
      <c r="D90" s="128">
        <f t="shared" si="2"/>
        <v>42.5</v>
      </c>
      <c r="E90" t="s">
        <v>75</v>
      </c>
      <c r="F90" t="s">
        <v>181</v>
      </c>
      <c r="G90" t="s">
        <v>79</v>
      </c>
    </row>
    <row r="91" spans="1:7" x14ac:dyDescent="0.35">
      <c r="A91" s="69" t="s">
        <v>41</v>
      </c>
      <c r="B91" s="71">
        <v>42679.8</v>
      </c>
      <c r="C91" s="70"/>
      <c r="D91" s="128">
        <f t="shared" si="2"/>
        <v>42.6798</v>
      </c>
      <c r="E91" t="s">
        <v>40</v>
      </c>
      <c r="F91" t="s">
        <v>182</v>
      </c>
      <c r="G91" t="s">
        <v>41</v>
      </c>
    </row>
    <row r="92" spans="1:7" x14ac:dyDescent="0.35">
      <c r="A92" s="69" t="s">
        <v>134</v>
      </c>
      <c r="B92" s="70"/>
      <c r="C92" s="71">
        <v>5400</v>
      </c>
      <c r="D92" s="128">
        <f t="shared" si="2"/>
        <v>-5.4</v>
      </c>
      <c r="E92" t="s">
        <v>175</v>
      </c>
      <c r="F92" t="s">
        <v>180</v>
      </c>
      <c r="G92" t="s">
        <v>68</v>
      </c>
    </row>
    <row r="93" spans="1:7" x14ac:dyDescent="0.35">
      <c r="A93" s="69" t="s">
        <v>135</v>
      </c>
      <c r="B93" s="71">
        <v>15472854.5</v>
      </c>
      <c r="C93" s="70"/>
      <c r="D93" s="128">
        <f t="shared" si="2"/>
        <v>15472.854499999999</v>
      </c>
      <c r="E93" t="s">
        <v>176</v>
      </c>
      <c r="F93" t="s">
        <v>180</v>
      </c>
      <c r="G93" t="s">
        <v>64</v>
      </c>
    </row>
    <row r="94" spans="1:7" x14ac:dyDescent="0.35">
      <c r="A94" s="69" t="s">
        <v>307</v>
      </c>
      <c r="B94" s="71">
        <v>14400</v>
      </c>
      <c r="C94" s="70"/>
      <c r="D94" s="128">
        <f t="shared" si="2"/>
        <v>14.4</v>
      </c>
      <c r="E94" t="s">
        <v>167</v>
      </c>
      <c r="F94" t="s">
        <v>180</v>
      </c>
      <c r="G94" t="s">
        <v>67</v>
      </c>
    </row>
    <row r="95" spans="1:7" x14ac:dyDescent="0.35">
      <c r="A95" s="69" t="s">
        <v>343</v>
      </c>
      <c r="B95" s="70"/>
      <c r="C95" s="71">
        <v>59</v>
      </c>
      <c r="D95" s="128">
        <f t="shared" si="2"/>
        <v>-5.8999999999999997E-2</v>
      </c>
      <c r="E95" t="s">
        <v>171</v>
      </c>
      <c r="F95" t="s">
        <v>180</v>
      </c>
      <c r="G95" t="s">
        <v>67</v>
      </c>
    </row>
    <row r="96" spans="1:7" x14ac:dyDescent="0.35">
      <c r="A96" s="69" t="s">
        <v>136</v>
      </c>
      <c r="B96" s="70"/>
      <c r="C96" s="71">
        <v>37449</v>
      </c>
      <c r="D96" s="128">
        <f t="shared" si="2"/>
        <v>-37.448999999999998</v>
      </c>
      <c r="E96" t="s">
        <v>177</v>
      </c>
      <c r="F96" t="s">
        <v>180</v>
      </c>
      <c r="G96" t="s">
        <v>68</v>
      </c>
    </row>
    <row r="97" spans="1:7" x14ac:dyDescent="0.35">
      <c r="A97" s="69" t="s">
        <v>137</v>
      </c>
      <c r="B97" s="70"/>
      <c r="C97" s="71">
        <v>37449</v>
      </c>
      <c r="D97" s="128">
        <f t="shared" si="2"/>
        <v>-37.448999999999998</v>
      </c>
      <c r="E97" t="s">
        <v>177</v>
      </c>
      <c r="F97" t="s">
        <v>180</v>
      </c>
      <c r="G97" t="s">
        <v>68</v>
      </c>
    </row>
    <row r="98" spans="1:7" x14ac:dyDescent="0.35">
      <c r="A98" s="69" t="s">
        <v>138</v>
      </c>
      <c r="B98" s="70"/>
      <c r="C98" s="71">
        <v>25000</v>
      </c>
      <c r="D98" s="128">
        <f t="shared" si="2"/>
        <v>-25</v>
      </c>
      <c r="E98" t="s">
        <v>178</v>
      </c>
      <c r="F98" t="s">
        <v>180</v>
      </c>
      <c r="G98" t="s">
        <v>69</v>
      </c>
    </row>
    <row r="99" spans="1:7" x14ac:dyDescent="0.35">
      <c r="A99" s="69" t="s">
        <v>377</v>
      </c>
      <c r="B99" s="70"/>
      <c r="C99" s="71">
        <v>80</v>
      </c>
      <c r="D99" s="128">
        <f t="shared" si="2"/>
        <v>-0.08</v>
      </c>
      <c r="E99" t="s">
        <v>167</v>
      </c>
      <c r="F99" t="s">
        <v>180</v>
      </c>
      <c r="G99" t="s">
        <v>67</v>
      </c>
    </row>
    <row r="100" spans="1:7" x14ac:dyDescent="0.35">
      <c r="A100" s="69" t="s">
        <v>308</v>
      </c>
      <c r="B100" s="70"/>
      <c r="C100" s="71">
        <v>0</v>
      </c>
      <c r="D100" s="128">
        <f t="shared" si="2"/>
        <v>0</v>
      </c>
      <c r="E100" t="s">
        <v>66</v>
      </c>
      <c r="F100" t="s">
        <v>180</v>
      </c>
      <c r="G100" t="s">
        <v>68</v>
      </c>
    </row>
    <row r="101" spans="1:7" x14ac:dyDescent="0.35">
      <c r="A101" s="69" t="s">
        <v>142</v>
      </c>
      <c r="B101" s="71">
        <v>43333.33</v>
      </c>
      <c r="C101" s="70"/>
      <c r="D101" s="128">
        <f t="shared" si="2"/>
        <v>43.333330000000004</v>
      </c>
      <c r="E101" t="s">
        <v>169</v>
      </c>
      <c r="F101" t="s">
        <v>182</v>
      </c>
      <c r="G101" t="s">
        <v>31</v>
      </c>
    </row>
    <row r="102" spans="1:7" x14ac:dyDescent="0.35">
      <c r="A102" s="69" t="s">
        <v>382</v>
      </c>
      <c r="B102" s="70"/>
      <c r="C102" s="71">
        <v>70200</v>
      </c>
      <c r="D102" s="128">
        <f t="shared" si="2"/>
        <v>-70.2</v>
      </c>
      <c r="E102" t="s">
        <v>165</v>
      </c>
      <c r="F102" t="s">
        <v>180</v>
      </c>
      <c r="G102" t="s">
        <v>68</v>
      </c>
    </row>
    <row r="103" spans="1:7" x14ac:dyDescent="0.35">
      <c r="A103" s="69" t="s">
        <v>309</v>
      </c>
      <c r="B103" s="70"/>
      <c r="C103" s="71">
        <v>37800</v>
      </c>
      <c r="D103" s="128">
        <f t="shared" si="2"/>
        <v>-37.799999999999997</v>
      </c>
      <c r="E103" t="s">
        <v>171</v>
      </c>
      <c r="F103" t="s">
        <v>180</v>
      </c>
      <c r="G103" t="s">
        <v>67</v>
      </c>
    </row>
    <row r="104" spans="1:7" x14ac:dyDescent="0.35">
      <c r="A104" s="69" t="s">
        <v>143</v>
      </c>
      <c r="B104" s="71">
        <v>2098796.33</v>
      </c>
      <c r="C104" s="70"/>
      <c r="D104" s="128">
        <f t="shared" si="2"/>
        <v>2098.7963300000001</v>
      </c>
      <c r="E104" t="s">
        <v>170</v>
      </c>
      <c r="F104" t="s">
        <v>182</v>
      </c>
      <c r="G104" t="s">
        <v>185</v>
      </c>
    </row>
    <row r="105" spans="1:7" x14ac:dyDescent="0.35">
      <c r="A105" s="69" t="s">
        <v>145</v>
      </c>
      <c r="B105" s="70"/>
      <c r="C105" s="71">
        <v>7516</v>
      </c>
      <c r="D105" s="128">
        <f t="shared" si="2"/>
        <v>-7.516</v>
      </c>
      <c r="E105" t="s">
        <v>171</v>
      </c>
      <c r="F105" t="s">
        <v>180</v>
      </c>
      <c r="G105" t="s">
        <v>67</v>
      </c>
    </row>
    <row r="106" spans="1:7" x14ac:dyDescent="0.35">
      <c r="A106" s="69" t="s">
        <v>310</v>
      </c>
      <c r="B106" s="70"/>
      <c r="C106" s="71">
        <v>6805</v>
      </c>
      <c r="D106" s="128">
        <f t="shared" si="2"/>
        <v>-6.8049999999999997</v>
      </c>
      <c r="E106" t="s">
        <v>171</v>
      </c>
      <c r="F106" t="s">
        <v>180</v>
      </c>
      <c r="G106" t="s">
        <v>67</v>
      </c>
    </row>
    <row r="107" spans="1:7" x14ac:dyDescent="0.35">
      <c r="A107" s="69" t="s">
        <v>146</v>
      </c>
      <c r="B107" s="71">
        <v>960000</v>
      </c>
      <c r="C107" s="70"/>
      <c r="D107" s="128">
        <f t="shared" si="2"/>
        <v>960</v>
      </c>
      <c r="E107" t="s">
        <v>75</v>
      </c>
      <c r="F107" t="s">
        <v>181</v>
      </c>
      <c r="G107" t="s">
        <v>73</v>
      </c>
    </row>
    <row r="108" spans="1:7" x14ac:dyDescent="0.35">
      <c r="A108" s="69" t="s">
        <v>311</v>
      </c>
      <c r="B108" s="70"/>
      <c r="C108" s="71">
        <v>10643</v>
      </c>
      <c r="D108" s="128">
        <f t="shared" ref="D108:D129" si="3">(B108-C108)/1000</f>
        <v>-10.643000000000001</v>
      </c>
      <c r="E108" t="s">
        <v>174</v>
      </c>
      <c r="F108" t="s">
        <v>180</v>
      </c>
      <c r="G108" t="s">
        <v>68</v>
      </c>
    </row>
    <row r="109" spans="1:7" x14ac:dyDescent="0.35">
      <c r="A109" s="69" t="s">
        <v>148</v>
      </c>
      <c r="B109" s="70"/>
      <c r="C109" s="71">
        <v>102660</v>
      </c>
      <c r="D109" s="128">
        <f t="shared" si="3"/>
        <v>-102.66</v>
      </c>
      <c r="E109" t="s">
        <v>164</v>
      </c>
      <c r="F109" t="s">
        <v>180</v>
      </c>
      <c r="G109" t="s">
        <v>67</v>
      </c>
    </row>
    <row r="110" spans="1:7" x14ac:dyDescent="0.35">
      <c r="A110" s="69" t="s">
        <v>149</v>
      </c>
      <c r="B110" s="71">
        <f>79596.37+26665.54</f>
        <v>106261.91</v>
      </c>
      <c r="C110" s="70"/>
      <c r="D110" s="128">
        <f t="shared" si="3"/>
        <v>106.26191</v>
      </c>
      <c r="E110" t="s">
        <v>169</v>
      </c>
      <c r="F110" t="s">
        <v>182</v>
      </c>
      <c r="G110" t="s">
        <v>39</v>
      </c>
    </row>
    <row r="111" spans="1:7" x14ac:dyDescent="0.35">
      <c r="A111" s="69" t="s">
        <v>33</v>
      </c>
      <c r="B111" s="71">
        <v>78363</v>
      </c>
      <c r="C111" s="70"/>
      <c r="D111" s="128">
        <f t="shared" si="3"/>
        <v>78.363</v>
      </c>
      <c r="E111" t="s">
        <v>173</v>
      </c>
      <c r="F111" t="s">
        <v>182</v>
      </c>
      <c r="G111" t="s">
        <v>33</v>
      </c>
    </row>
    <row r="112" spans="1:7" x14ac:dyDescent="0.35">
      <c r="A112" s="69" t="s">
        <v>150</v>
      </c>
      <c r="B112" s="71">
        <v>58296.08</v>
      </c>
      <c r="C112" s="70"/>
      <c r="D112" s="128">
        <f t="shared" si="3"/>
        <v>58.296080000000003</v>
      </c>
      <c r="E112" t="s">
        <v>170</v>
      </c>
      <c r="F112" t="s">
        <v>182</v>
      </c>
      <c r="G112" t="s">
        <v>417</v>
      </c>
    </row>
    <row r="113" spans="1:7" x14ac:dyDescent="0.35">
      <c r="A113" s="69" t="s">
        <v>400</v>
      </c>
      <c r="B113" s="70"/>
      <c r="C113" s="71">
        <v>26538.84</v>
      </c>
      <c r="D113" s="128">
        <f t="shared" si="3"/>
        <v>-26.53884</v>
      </c>
      <c r="E113" t="s">
        <v>171</v>
      </c>
      <c r="F113" t="s">
        <v>180</v>
      </c>
      <c r="G113" t="s">
        <v>67</v>
      </c>
    </row>
    <row r="114" spans="1:7" x14ac:dyDescent="0.35">
      <c r="A114" s="69" t="s">
        <v>271</v>
      </c>
      <c r="B114" s="70"/>
      <c r="C114" s="71">
        <v>1980</v>
      </c>
      <c r="D114" s="128">
        <f t="shared" si="3"/>
        <v>-1.98</v>
      </c>
      <c r="E114" t="s">
        <v>165</v>
      </c>
      <c r="F114" t="s">
        <v>180</v>
      </c>
      <c r="G114" t="s">
        <v>68</v>
      </c>
    </row>
    <row r="115" spans="1:7" x14ac:dyDescent="0.35">
      <c r="A115" s="69" t="s">
        <v>345</v>
      </c>
      <c r="B115" s="71">
        <v>70233</v>
      </c>
      <c r="C115" s="70"/>
      <c r="D115" s="128">
        <f t="shared" si="3"/>
        <v>70.233000000000004</v>
      </c>
      <c r="E115" t="s">
        <v>175</v>
      </c>
      <c r="F115" t="s">
        <v>181</v>
      </c>
      <c r="G115" t="s">
        <v>79</v>
      </c>
    </row>
    <row r="116" spans="1:7" x14ac:dyDescent="0.35">
      <c r="A116" s="69" t="s">
        <v>151</v>
      </c>
      <c r="B116" s="70"/>
      <c r="C116" s="71">
        <v>151929</v>
      </c>
      <c r="D116" s="128">
        <f t="shared" si="3"/>
        <v>-151.929</v>
      </c>
      <c r="E116" t="s">
        <v>179</v>
      </c>
      <c r="F116" t="s">
        <v>180</v>
      </c>
      <c r="G116" t="s">
        <v>68</v>
      </c>
    </row>
    <row r="117" spans="1:7" x14ac:dyDescent="0.35">
      <c r="A117" s="69" t="s">
        <v>152</v>
      </c>
      <c r="B117" s="71">
        <v>6466.22</v>
      </c>
      <c r="C117" s="70"/>
      <c r="D117" s="128">
        <f t="shared" si="3"/>
        <v>6.4662199999999999</v>
      </c>
      <c r="E117" t="s">
        <v>179</v>
      </c>
      <c r="F117" t="s">
        <v>180</v>
      </c>
      <c r="G117" t="s">
        <v>68</v>
      </c>
    </row>
    <row r="118" spans="1:7" x14ac:dyDescent="0.35">
      <c r="A118" s="69" t="s">
        <v>153</v>
      </c>
      <c r="B118" s="70"/>
      <c r="C118" s="71">
        <v>32333.99</v>
      </c>
      <c r="D118" s="128">
        <f t="shared" si="3"/>
        <v>-32.33399</v>
      </c>
      <c r="E118" t="s">
        <v>179</v>
      </c>
      <c r="F118" t="s">
        <v>180</v>
      </c>
      <c r="G118" t="s">
        <v>68</v>
      </c>
    </row>
    <row r="119" spans="1:7" x14ac:dyDescent="0.35">
      <c r="A119" s="69" t="s">
        <v>253</v>
      </c>
      <c r="B119" s="70"/>
      <c r="C119" s="71">
        <v>46894.85</v>
      </c>
      <c r="D119" s="128">
        <f t="shared" si="3"/>
        <v>-46.894849999999998</v>
      </c>
      <c r="E119" t="s">
        <v>179</v>
      </c>
      <c r="F119" t="s">
        <v>180</v>
      </c>
      <c r="G119" t="s">
        <v>68</v>
      </c>
    </row>
    <row r="120" spans="1:7" x14ac:dyDescent="0.35">
      <c r="A120" s="69" t="s">
        <v>403</v>
      </c>
      <c r="B120" s="71">
        <v>75000</v>
      </c>
      <c r="C120" s="70"/>
      <c r="D120" s="128">
        <f t="shared" si="3"/>
        <v>75</v>
      </c>
      <c r="E120" t="s">
        <v>167</v>
      </c>
      <c r="F120" t="s">
        <v>180</v>
      </c>
      <c r="G120" t="s">
        <v>79</v>
      </c>
    </row>
    <row r="121" spans="1:7" x14ac:dyDescent="0.35">
      <c r="A121" s="69" t="s">
        <v>346</v>
      </c>
      <c r="B121" s="70"/>
      <c r="C121" s="71">
        <v>1300</v>
      </c>
      <c r="D121" s="128">
        <f t="shared" si="3"/>
        <v>-1.3</v>
      </c>
      <c r="E121" t="s">
        <v>171</v>
      </c>
      <c r="F121" t="s">
        <v>180</v>
      </c>
      <c r="G121" t="s">
        <v>67</v>
      </c>
    </row>
    <row r="122" spans="1:7" x14ac:dyDescent="0.35">
      <c r="A122" s="69" t="s">
        <v>393</v>
      </c>
      <c r="B122" s="71">
        <v>1272</v>
      </c>
      <c r="C122" s="70"/>
      <c r="D122" s="128">
        <f t="shared" si="3"/>
        <v>1.272</v>
      </c>
      <c r="E122" t="s">
        <v>167</v>
      </c>
      <c r="F122" t="s">
        <v>180</v>
      </c>
      <c r="G122" t="s">
        <v>67</v>
      </c>
    </row>
    <row r="123" spans="1:7" x14ac:dyDescent="0.35">
      <c r="A123" s="69" t="s">
        <v>31</v>
      </c>
      <c r="B123" s="71">
        <v>32476.06</v>
      </c>
      <c r="C123" s="70"/>
      <c r="D123" s="128">
        <f t="shared" si="3"/>
        <v>32.476060000000004</v>
      </c>
      <c r="E123" t="s">
        <v>173</v>
      </c>
      <c r="F123" t="s">
        <v>182</v>
      </c>
      <c r="G123" t="s">
        <v>31</v>
      </c>
    </row>
    <row r="124" spans="1:7" x14ac:dyDescent="0.35">
      <c r="A124" s="69" t="s">
        <v>384</v>
      </c>
      <c r="B124" s="71">
        <v>32500</v>
      </c>
      <c r="C124" s="70"/>
      <c r="D124" s="128">
        <f t="shared" si="3"/>
        <v>32.5</v>
      </c>
      <c r="E124" t="s">
        <v>170</v>
      </c>
      <c r="F124" t="s">
        <v>182</v>
      </c>
      <c r="G124" t="s">
        <v>417</v>
      </c>
    </row>
    <row r="125" spans="1:7" x14ac:dyDescent="0.35">
      <c r="A125" s="69" t="s">
        <v>394</v>
      </c>
      <c r="B125" s="70"/>
      <c r="C125" s="71">
        <v>52500</v>
      </c>
      <c r="D125" s="128">
        <f t="shared" si="3"/>
        <v>-52.5</v>
      </c>
      <c r="E125" t="s">
        <v>165</v>
      </c>
      <c r="F125" t="s">
        <v>180</v>
      </c>
      <c r="G125" t="s">
        <v>68</v>
      </c>
    </row>
    <row r="126" spans="1:7" x14ac:dyDescent="0.35">
      <c r="A126" s="69" t="s">
        <v>154</v>
      </c>
      <c r="B126" s="70"/>
      <c r="C126" s="71">
        <v>21576</v>
      </c>
      <c r="D126" s="128">
        <f t="shared" si="3"/>
        <v>-21.576000000000001</v>
      </c>
      <c r="E126" t="s">
        <v>171</v>
      </c>
      <c r="F126" t="s">
        <v>180</v>
      </c>
      <c r="G126" t="s">
        <v>67</v>
      </c>
    </row>
    <row r="127" spans="1:7" x14ac:dyDescent="0.35">
      <c r="A127" s="69" t="s">
        <v>313</v>
      </c>
      <c r="B127" s="70"/>
      <c r="C127" s="71">
        <v>42480</v>
      </c>
      <c r="D127" s="128">
        <f t="shared" si="3"/>
        <v>-42.48</v>
      </c>
      <c r="E127" t="s">
        <v>171</v>
      </c>
      <c r="F127" t="s">
        <v>180</v>
      </c>
      <c r="G127" t="s">
        <v>67</v>
      </c>
    </row>
    <row r="128" spans="1:7" x14ac:dyDescent="0.35">
      <c r="A128" s="69" t="s">
        <v>348</v>
      </c>
      <c r="B128" s="70"/>
      <c r="C128" s="71">
        <v>2594</v>
      </c>
      <c r="D128" s="128">
        <f t="shared" si="3"/>
        <v>-2.5939999999999999</v>
      </c>
      <c r="E128" t="s">
        <v>171</v>
      </c>
      <c r="F128" t="s">
        <v>180</v>
      </c>
      <c r="G128" t="s">
        <v>67</v>
      </c>
    </row>
    <row r="129" spans="1:7" x14ac:dyDescent="0.35">
      <c r="A129" s="69" t="s">
        <v>155</v>
      </c>
      <c r="B129" s="70"/>
      <c r="C129" s="71">
        <v>1000</v>
      </c>
      <c r="D129" s="128">
        <f t="shared" si="3"/>
        <v>-1</v>
      </c>
      <c r="E129" t="s">
        <v>162</v>
      </c>
      <c r="F129" t="s">
        <v>180</v>
      </c>
      <c r="G129" t="s">
        <v>63</v>
      </c>
    </row>
    <row r="130" spans="1:7" x14ac:dyDescent="0.35">
      <c r="A130" s="72" t="s">
        <v>156</v>
      </c>
      <c r="B130" s="73">
        <v>83261188.109999999</v>
      </c>
      <c r="C130" s="73">
        <v>83261188.109999999</v>
      </c>
      <c r="D130" s="128">
        <f>SUM(D10:D129)</f>
        <v>-79999.9712</v>
      </c>
    </row>
  </sheetData>
  <autoFilter ref="A9:G130" xr:uid="{00000000-0009-0000-0000-000010000000}"/>
  <mergeCells count="8">
    <mergeCell ref="B7:C7"/>
    <mergeCell ref="B8:C8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>
    <tabColor rgb="FF92D050"/>
  </sheetPr>
  <dimension ref="A1:W168"/>
  <sheetViews>
    <sheetView topLeftCell="B73" zoomScaleNormal="100" workbookViewId="0">
      <selection activeCell="C78" sqref="C78"/>
    </sheetView>
  </sheetViews>
  <sheetFormatPr defaultColWidth="8.81640625" defaultRowHeight="14.5" x14ac:dyDescent="0.35"/>
  <cols>
    <col min="1" max="1" width="35.36328125" bestFit="1" customWidth="1"/>
    <col min="2" max="3" width="12.08984375" bestFit="1" customWidth="1"/>
    <col min="4" max="6" width="12.36328125" bestFit="1" customWidth="1"/>
    <col min="7" max="7" width="12.453125" bestFit="1" customWidth="1"/>
    <col min="8" max="8" width="11.453125" bestFit="1" customWidth="1"/>
    <col min="9" max="9" width="21.08984375" bestFit="1" customWidth="1"/>
    <col min="10" max="10" width="11.81640625" bestFit="1" customWidth="1"/>
    <col min="11" max="11" width="39.36328125" bestFit="1" customWidth="1"/>
    <col min="12" max="12" width="15.81640625" bestFit="1" customWidth="1"/>
    <col min="16" max="16" width="21.36328125" bestFit="1" customWidth="1"/>
    <col min="17" max="17" width="10" bestFit="1" customWidth="1"/>
    <col min="18" max="18" width="8.08984375" bestFit="1" customWidth="1"/>
    <col min="19" max="19" width="15.453125" bestFit="1" customWidth="1"/>
    <col min="21" max="21" width="15.81640625" bestFit="1" customWidth="1"/>
    <col min="22" max="22" width="8.81640625" style="127"/>
  </cols>
  <sheetData>
    <row r="1" spans="1:23" ht="15.5" x14ac:dyDescent="0.35">
      <c r="A1" s="130" t="s">
        <v>80</v>
      </c>
      <c r="B1" s="130"/>
      <c r="C1" s="130"/>
      <c r="D1" s="130"/>
      <c r="E1" s="130"/>
      <c r="F1" s="130"/>
      <c r="G1" s="130"/>
      <c r="H1" s="130"/>
    </row>
    <row r="2" spans="1:23" x14ac:dyDescent="0.35">
      <c r="A2" s="131" t="s">
        <v>81</v>
      </c>
      <c r="B2" s="131"/>
      <c r="C2" s="131"/>
      <c r="D2" s="131"/>
      <c r="E2" s="131"/>
      <c r="F2" s="131"/>
      <c r="G2" s="131"/>
      <c r="H2" s="131"/>
      <c r="I2" s="90"/>
      <c r="J2" s="90"/>
    </row>
    <row r="3" spans="1:23" x14ac:dyDescent="0.35">
      <c r="A3" s="132" t="s">
        <v>82</v>
      </c>
      <c r="B3" s="132"/>
      <c r="C3" s="132"/>
      <c r="D3" s="131"/>
      <c r="E3" s="131"/>
      <c r="F3" s="131"/>
      <c r="G3" s="131"/>
      <c r="H3" s="131"/>
    </row>
    <row r="4" spans="1:23" ht="15.5" x14ac:dyDescent="0.35">
      <c r="A4" s="133" t="s">
        <v>83</v>
      </c>
      <c r="B4" s="133"/>
      <c r="C4" s="133"/>
      <c r="D4" s="130"/>
      <c r="E4" s="130"/>
      <c r="F4" s="130"/>
      <c r="G4" s="130"/>
      <c r="H4" s="130"/>
    </row>
    <row r="5" spans="1:23" x14ac:dyDescent="0.35">
      <c r="A5" s="131" t="s">
        <v>386</v>
      </c>
      <c r="B5" s="131"/>
      <c r="C5" s="131"/>
      <c r="D5" s="131"/>
      <c r="E5" s="131"/>
      <c r="F5" s="131"/>
      <c r="G5" s="131"/>
      <c r="H5" s="131"/>
      <c r="K5" s="90"/>
    </row>
    <row r="6" spans="1:23" ht="14.25" customHeight="1" x14ac:dyDescent="0.35">
      <c r="A6" s="66" t="s">
        <v>85</v>
      </c>
      <c r="B6" s="134" t="s">
        <v>80</v>
      </c>
      <c r="C6" s="135"/>
      <c r="D6" s="140"/>
      <c r="E6" s="140"/>
      <c r="F6" s="140"/>
      <c r="G6" s="140"/>
      <c r="H6" s="140"/>
    </row>
    <row r="7" spans="1:23" ht="14.25" customHeight="1" x14ac:dyDescent="0.35">
      <c r="A7" s="67" t="s">
        <v>86</v>
      </c>
      <c r="B7" s="136" t="s">
        <v>386</v>
      </c>
      <c r="C7" s="137"/>
      <c r="D7" s="141"/>
      <c r="E7" s="141"/>
      <c r="F7" s="141"/>
      <c r="G7" s="141"/>
      <c r="H7" s="141"/>
      <c r="I7" s="142"/>
      <c r="K7" s="143"/>
    </row>
    <row r="8" spans="1:23" x14ac:dyDescent="0.35">
      <c r="A8" s="67" t="s">
        <v>85</v>
      </c>
      <c r="B8" s="144" t="s">
        <v>87</v>
      </c>
      <c r="C8" s="145"/>
      <c r="D8" s="146">
        <f>SUBTOTAL(9,D10:D156)</f>
        <v>14528677.883333335</v>
      </c>
      <c r="E8" s="146">
        <f>SUBTOTAL(9,E10:E156)</f>
        <v>12075307.924801614</v>
      </c>
      <c r="F8" s="146">
        <f>SUBTOTAL(9,F10:F156)</f>
        <v>95736770.946333319</v>
      </c>
      <c r="G8" s="146">
        <f>SUBTOTAL(9,G10:G156)</f>
        <v>175736742.11480165</v>
      </c>
      <c r="H8" s="146">
        <f>SUBTOTAL(9,H10:H156)</f>
        <v>-79999.971168468284</v>
      </c>
      <c r="I8" s="101"/>
    </row>
    <row r="9" spans="1:23" x14ac:dyDescent="0.35">
      <c r="A9" s="68" t="s">
        <v>86</v>
      </c>
      <c r="B9" s="138" t="s">
        <v>88</v>
      </c>
      <c r="C9" s="138" t="s">
        <v>89</v>
      </c>
      <c r="D9" t="s">
        <v>88</v>
      </c>
      <c r="E9" t="s">
        <v>89</v>
      </c>
      <c r="F9" t="s">
        <v>431</v>
      </c>
      <c r="G9" t="s">
        <v>432</v>
      </c>
      <c r="H9" t="s">
        <v>157</v>
      </c>
      <c r="I9" t="s">
        <v>158</v>
      </c>
      <c r="J9" t="s">
        <v>159</v>
      </c>
      <c r="K9" t="s">
        <v>160</v>
      </c>
      <c r="P9" s="126" t="s">
        <v>626</v>
      </c>
    </row>
    <row r="10" spans="1:23" x14ac:dyDescent="0.35">
      <c r="A10" s="69" t="s">
        <v>197</v>
      </c>
      <c r="B10" s="107">
        <f>SUMIF('Raw TB'!A:A,'TB 1024'!A10,'Raw TB'!B:B)</f>
        <v>0</v>
      </c>
      <c r="C10" s="107">
        <f>SUMIF('Raw TB'!A:A,'TB 1024'!A10,'Raw TB'!C:C)</f>
        <v>6442.09</v>
      </c>
      <c r="D10" s="107">
        <f>SUMIF('Raw TB'!A:A,'TB 1024'!A10,'Raw TB'!D:D)</f>
        <v>0</v>
      </c>
      <c r="E10" s="107">
        <f>SUMIF('Raw TB'!A:A,'TB 1024'!A10,'Raw TB'!E:E)</f>
        <v>0</v>
      </c>
      <c r="F10" s="107">
        <f>B10+D10</f>
        <v>0</v>
      </c>
      <c r="G10" s="107">
        <f>C10+E10</f>
        <v>6442.09</v>
      </c>
      <c r="H10" s="107">
        <f>(F10-G10)/1000</f>
        <v>-6.4420900000000003</v>
      </c>
      <c r="I10" t="s">
        <v>171</v>
      </c>
      <c r="J10" t="s">
        <v>180</v>
      </c>
      <c r="K10" t="s">
        <v>67</v>
      </c>
      <c r="P10" s="81" t="s">
        <v>350</v>
      </c>
      <c r="Q10" s="148">
        <v>123200</v>
      </c>
      <c r="R10" s="148">
        <v>123.2</v>
      </c>
      <c r="S10" s="81" t="s">
        <v>192</v>
      </c>
      <c r="U10" t="s">
        <v>192</v>
      </c>
      <c r="V10" s="127">
        <f>SUMIF(S:S,U10,R:R)</f>
        <v>1787.8987741935482</v>
      </c>
    </row>
    <row r="11" spans="1:23" x14ac:dyDescent="0.35">
      <c r="A11" s="69" t="s">
        <v>92</v>
      </c>
      <c r="B11" s="107">
        <f>SUMIF('Raw TB'!A:A,'TB 1024'!A11,'Raw TB'!B:B)</f>
        <v>0</v>
      </c>
      <c r="C11" s="107">
        <f>SUMIF('Raw TB'!A:A,'TB 1024'!A11,'Raw TB'!C:C)</f>
        <v>99000</v>
      </c>
      <c r="D11" s="107">
        <f>SUMIF('Raw TB'!A:A,'TB 1024'!A11,'Raw TB'!D:D)</f>
        <v>0</v>
      </c>
      <c r="E11" s="107">
        <f>SUMIF('Raw TB'!A:A,'TB 1024'!A11,'Raw TB'!E:E)</f>
        <v>0</v>
      </c>
      <c r="F11" s="107">
        <f t="shared" ref="F11:F74" si="0">B11+D11</f>
        <v>0</v>
      </c>
      <c r="G11" s="107">
        <f t="shared" ref="G11:G74" si="1">C11+E11</f>
        <v>99000</v>
      </c>
      <c r="H11" s="107">
        <f t="shared" ref="H11:H74" si="2">(F11-G11)/1000</f>
        <v>-99</v>
      </c>
      <c r="I11" t="s">
        <v>162</v>
      </c>
      <c r="J11" t="s">
        <v>180</v>
      </c>
      <c r="K11" t="s">
        <v>63</v>
      </c>
      <c r="P11" s="81" t="s">
        <v>351</v>
      </c>
      <c r="Q11" s="148">
        <v>73200</v>
      </c>
      <c r="R11" s="148">
        <v>73.2</v>
      </c>
      <c r="S11" s="81" t="s">
        <v>192</v>
      </c>
      <c r="U11" t="s">
        <v>188</v>
      </c>
      <c r="V11" s="127">
        <f>SUMIF(S:S,U11,R:R)</f>
        <v>117.49600000000001</v>
      </c>
      <c r="W11" s="76">
        <f>V11*1000</f>
        <v>117496.00000000001</v>
      </c>
    </row>
    <row r="12" spans="1:23" x14ac:dyDescent="0.35">
      <c r="A12" s="69" t="s">
        <v>287</v>
      </c>
      <c r="B12" s="107">
        <f>SUMIF('Raw TB'!A:A,'TB 1024'!A12,'Raw TB'!B:B)</f>
        <v>0</v>
      </c>
      <c r="C12" s="107">
        <f>SUMIF('Raw TB'!A:A,'TB 1024'!A12,'Raw TB'!C:C)</f>
        <v>0</v>
      </c>
      <c r="D12" s="107">
        <f>SUMIF('Raw TB'!A:A,'TB 1024'!A12,'Raw TB'!D:D)</f>
        <v>35000</v>
      </c>
      <c r="E12" s="107">
        <f>SUMIF('Raw TB'!A:A,'TB 1024'!A12,'Raw TB'!E:E)</f>
        <v>0</v>
      </c>
      <c r="F12" s="107">
        <f t="shared" si="0"/>
        <v>35000</v>
      </c>
      <c r="G12" s="107">
        <f t="shared" si="1"/>
        <v>0</v>
      </c>
      <c r="H12" s="107">
        <f t="shared" si="2"/>
        <v>35</v>
      </c>
      <c r="I12" t="s">
        <v>169</v>
      </c>
      <c r="J12" t="s">
        <v>182</v>
      </c>
      <c r="K12" t="s">
        <v>41</v>
      </c>
      <c r="P12" s="81" t="s">
        <v>187</v>
      </c>
      <c r="Q12" s="148">
        <v>13141</v>
      </c>
      <c r="R12" s="148">
        <v>13.141</v>
      </c>
      <c r="S12" s="81" t="s">
        <v>188</v>
      </c>
      <c r="U12" t="s">
        <v>352</v>
      </c>
      <c r="V12" s="127">
        <f>SUMIF(S:S,U12,R:R)</f>
        <v>30.2</v>
      </c>
      <c r="W12" s="76">
        <f>V12*1000</f>
        <v>30200</v>
      </c>
    </row>
    <row r="13" spans="1:23" x14ac:dyDescent="0.35">
      <c r="A13" s="69" t="s">
        <v>288</v>
      </c>
      <c r="B13" s="107">
        <f>SUMIF('Raw TB'!A:A,'TB 1024'!A13,'Raw TB'!B:B)</f>
        <v>8425</v>
      </c>
      <c r="C13" s="107">
        <f>SUMIF('Raw TB'!A:A,'TB 1024'!A13,'Raw TB'!C:C)</f>
        <v>0</v>
      </c>
      <c r="D13" s="107">
        <f>SUMIF('Raw TB'!A:A,'TB 1024'!A13,'Raw TB'!D:D)</f>
        <v>33740</v>
      </c>
      <c r="E13" s="107">
        <f>SUMIF('Raw TB'!A:A,'TB 1024'!A13,'Raw TB'!E:E)</f>
        <v>0</v>
      </c>
      <c r="F13" s="107">
        <f t="shared" si="0"/>
        <v>42165</v>
      </c>
      <c r="G13" s="107">
        <f t="shared" si="1"/>
        <v>0</v>
      </c>
      <c r="H13" s="107">
        <f t="shared" si="2"/>
        <v>42.164999999999999</v>
      </c>
      <c r="I13" t="s">
        <v>75</v>
      </c>
      <c r="J13" t="s">
        <v>181</v>
      </c>
      <c r="K13" t="s">
        <v>79</v>
      </c>
      <c r="P13" s="81" t="s">
        <v>219</v>
      </c>
      <c r="Q13" s="148">
        <v>23200</v>
      </c>
      <c r="R13" s="148">
        <v>23.2</v>
      </c>
      <c r="S13" s="81" t="s">
        <v>192</v>
      </c>
      <c r="U13" t="s">
        <v>190</v>
      </c>
      <c r="V13" s="127">
        <f>SUMIF(S:S,U13,R:R)</f>
        <v>49.701000000000001</v>
      </c>
      <c r="W13" s="76">
        <f>V13*1000</f>
        <v>49701</v>
      </c>
    </row>
    <row r="14" spans="1:23" x14ac:dyDescent="0.35">
      <c r="A14" s="69" t="s">
        <v>289</v>
      </c>
      <c r="B14" s="107">
        <f>SUMIF('Raw TB'!A:A,'TB 1024'!A14,'Raw TB'!B:B)</f>
        <v>0</v>
      </c>
      <c r="C14" s="107">
        <f>SUMIF('Raw TB'!A:A,'TB 1024'!A14,'Raw TB'!C:C)</f>
        <v>41302</v>
      </c>
      <c r="D14" s="107">
        <f>SUMIF('Raw TB'!A:A,'TB 1024'!A14,'Raw TB'!D:D)</f>
        <v>0</v>
      </c>
      <c r="E14" s="107">
        <f>SUMIF('Raw TB'!A:A,'TB 1024'!A14,'Raw TB'!E:E)</f>
        <v>12810</v>
      </c>
      <c r="F14" s="107">
        <f t="shared" si="0"/>
        <v>0</v>
      </c>
      <c r="G14" s="107">
        <f t="shared" si="1"/>
        <v>54112</v>
      </c>
      <c r="H14" s="107">
        <f t="shared" si="2"/>
        <v>-54.112000000000002</v>
      </c>
      <c r="I14" t="s">
        <v>259</v>
      </c>
      <c r="J14" t="s">
        <v>181</v>
      </c>
      <c r="K14" t="s">
        <v>72</v>
      </c>
      <c r="P14" s="81" t="s">
        <v>199</v>
      </c>
      <c r="Q14" s="148">
        <v>28200</v>
      </c>
      <c r="R14" s="148">
        <v>28.2</v>
      </c>
      <c r="S14" s="81" t="s">
        <v>192</v>
      </c>
      <c r="U14" t="s">
        <v>268</v>
      </c>
      <c r="V14" s="127">
        <f>SUMIF(S:S,U14,R:R)</f>
        <v>69.501000000000005</v>
      </c>
      <c r="W14" s="76">
        <f>V14*1000</f>
        <v>69501</v>
      </c>
    </row>
    <row r="15" spans="1:23" x14ac:dyDescent="0.35">
      <c r="A15" s="69" t="s">
        <v>327</v>
      </c>
      <c r="B15" s="107">
        <f>SUMIF('Raw TB'!A:A,'TB 1024'!A15,'Raw TB'!B:B)</f>
        <v>0</v>
      </c>
      <c r="C15" s="107">
        <f>SUMIF('Raw TB'!A:A,'TB 1024'!A15,'Raw TB'!C:C)</f>
        <v>136419</v>
      </c>
      <c r="D15" s="107">
        <f>SUMIF('Raw TB'!A:A,'TB 1024'!A15,'Raw TB'!D:D)</f>
        <v>0</v>
      </c>
      <c r="E15" s="107">
        <f>SUMIF('Raw TB'!A:A,'TB 1024'!A15,'Raw TB'!E:E)</f>
        <v>46800</v>
      </c>
      <c r="F15" s="107">
        <f t="shared" si="0"/>
        <v>0</v>
      </c>
      <c r="G15" s="107">
        <f t="shared" si="1"/>
        <v>183219</v>
      </c>
      <c r="H15" s="107">
        <f t="shared" si="2"/>
        <v>-183.21899999999999</v>
      </c>
      <c r="I15" t="s">
        <v>259</v>
      </c>
      <c r="J15" t="s">
        <v>181</v>
      </c>
      <c r="K15" t="s">
        <v>71</v>
      </c>
      <c r="P15" s="81" t="s">
        <v>269</v>
      </c>
      <c r="Q15" s="148">
        <v>30200</v>
      </c>
      <c r="R15" s="148">
        <v>30.2</v>
      </c>
      <c r="S15" s="81" t="s">
        <v>352</v>
      </c>
      <c r="V15" s="127">
        <f>SUM(V10:V14)</f>
        <v>2054.7967741935486</v>
      </c>
    </row>
    <row r="16" spans="1:23" x14ac:dyDescent="0.35">
      <c r="A16" s="69" t="s">
        <v>198</v>
      </c>
      <c r="B16" s="107">
        <f>SUMIF('Raw TB'!A:A,'TB 1024'!A16,'Raw TB'!B:B)</f>
        <v>0</v>
      </c>
      <c r="C16" s="107">
        <f>SUMIF('Raw TB'!A:A,'TB 1024'!A16,'Raw TB'!C:C)</f>
        <v>9125</v>
      </c>
      <c r="D16" s="107">
        <f>SUMIF('Raw TB'!A:A,'TB 1024'!A16,'Raw TB'!D:D)</f>
        <v>0</v>
      </c>
      <c r="E16" s="107">
        <f>SUMIF('Raw TB'!A:A,'TB 1024'!A16,'Raw TB'!E:E)</f>
        <v>2098</v>
      </c>
      <c r="F16" s="107">
        <f t="shared" si="0"/>
        <v>0</v>
      </c>
      <c r="G16" s="107">
        <f t="shared" si="1"/>
        <v>11223</v>
      </c>
      <c r="H16" s="107">
        <f t="shared" si="2"/>
        <v>-11.223000000000001</v>
      </c>
      <c r="I16" t="s">
        <v>259</v>
      </c>
      <c r="J16" t="s">
        <v>181</v>
      </c>
      <c r="K16" t="s">
        <v>71</v>
      </c>
      <c r="P16" s="81" t="s">
        <v>273</v>
      </c>
      <c r="Q16" s="148">
        <v>98200</v>
      </c>
      <c r="R16" s="148">
        <v>98.2</v>
      </c>
      <c r="S16" s="81" t="s">
        <v>192</v>
      </c>
    </row>
    <row r="17" spans="1:19" x14ac:dyDescent="0.35">
      <c r="A17" s="69" t="s">
        <v>399</v>
      </c>
      <c r="B17" s="107">
        <f>SUMIF('Raw TB'!A:A,'TB 1024'!A17,'Raw TB'!B:B)</f>
        <v>0</v>
      </c>
      <c r="C17" s="107">
        <f>SUMIF('Raw TB'!A:A,'TB 1024'!A17,'Raw TB'!C:C)</f>
        <v>24199.8</v>
      </c>
      <c r="D17" s="107">
        <f>SUMIF('Raw TB'!A:A,'TB 1024'!A17,'Raw TB'!D:D)</f>
        <v>24199.200000000001</v>
      </c>
      <c r="E17" s="107">
        <f>SUMIF('Raw TB'!A:A,'TB 1024'!A17,'Raw TB'!E:E)</f>
        <v>0</v>
      </c>
      <c r="F17" s="107">
        <f t="shared" si="0"/>
        <v>24199.200000000001</v>
      </c>
      <c r="G17" s="107">
        <f t="shared" si="1"/>
        <v>24199.8</v>
      </c>
      <c r="H17" s="107">
        <f t="shared" si="2"/>
        <v>-5.9999999999854484E-4</v>
      </c>
      <c r="I17" t="s">
        <v>171</v>
      </c>
      <c r="J17" t="s">
        <v>180</v>
      </c>
      <c r="K17" t="s">
        <v>67</v>
      </c>
      <c r="P17" s="81" t="s">
        <v>317</v>
      </c>
      <c r="Q17" s="148">
        <v>264900</v>
      </c>
      <c r="R17" s="148">
        <v>264.89999999999998</v>
      </c>
      <c r="S17" s="81" t="s">
        <v>192</v>
      </c>
    </row>
    <row r="18" spans="1:19" x14ac:dyDescent="0.35">
      <c r="A18" s="69" t="s">
        <v>365</v>
      </c>
      <c r="B18" s="107">
        <f>SUMIF('Raw TB'!A:A,'TB 1024'!A18,'Raw TB'!B:B)</f>
        <v>305.98</v>
      </c>
      <c r="C18" s="107">
        <f>SUMIF('Raw TB'!A:A,'TB 1024'!A18,'Raw TB'!C:C)</f>
        <v>0</v>
      </c>
      <c r="D18" s="107">
        <f>SUMIF('Raw TB'!A:A,'TB 1024'!A18,'Raw TB'!D:D)</f>
        <v>0</v>
      </c>
      <c r="E18" s="107">
        <f>SUMIF('Raw TB'!A:A,'TB 1024'!A18,'Raw TB'!E:E)</f>
        <v>0</v>
      </c>
      <c r="F18" s="107">
        <f t="shared" si="0"/>
        <v>305.98</v>
      </c>
      <c r="G18" s="107">
        <f t="shared" si="1"/>
        <v>0</v>
      </c>
      <c r="H18" s="107">
        <f t="shared" si="2"/>
        <v>0.30598000000000003</v>
      </c>
      <c r="I18" t="s">
        <v>75</v>
      </c>
      <c r="J18" t="s">
        <v>181</v>
      </c>
      <c r="K18" t="s">
        <v>79</v>
      </c>
      <c r="P18" s="81" t="s">
        <v>354</v>
      </c>
      <c r="Q18" s="148">
        <v>25000</v>
      </c>
      <c r="R18" s="148">
        <v>25</v>
      </c>
      <c r="S18" s="81" t="s">
        <v>190</v>
      </c>
    </row>
    <row r="19" spans="1:19" x14ac:dyDescent="0.35">
      <c r="A19" s="69" t="s">
        <v>200</v>
      </c>
      <c r="B19" s="107">
        <f>SUMIF('Raw TB'!A:A,'TB 1024'!A19,'Raw TB'!B:B)</f>
        <v>0</v>
      </c>
      <c r="C19" s="107">
        <f>SUMIF('Raw TB'!A:A,'TB 1024'!A19,'Raw TB'!C:C)</f>
        <v>32054.84</v>
      </c>
      <c r="D19" s="107">
        <f>SUMIF('Raw TB'!A:A,'TB 1024'!A19,'Raw TB'!D:D)</f>
        <v>0</v>
      </c>
      <c r="E19" s="107">
        <f>SUMIF('Raw TB'!A:A,'TB 1024'!A19,'Raw TB'!E:E)</f>
        <v>36121.040000000001</v>
      </c>
      <c r="F19" s="107">
        <f t="shared" si="0"/>
        <v>0</v>
      </c>
      <c r="G19" s="107">
        <f t="shared" si="1"/>
        <v>68175.88</v>
      </c>
      <c r="H19" s="107">
        <f t="shared" si="2"/>
        <v>-68.175880000000006</v>
      </c>
      <c r="I19" t="s">
        <v>171</v>
      </c>
      <c r="J19" t="s">
        <v>180</v>
      </c>
      <c r="K19" t="s">
        <v>67</v>
      </c>
      <c r="P19" s="81" t="s">
        <v>312</v>
      </c>
      <c r="Q19" s="148">
        <v>58200</v>
      </c>
      <c r="R19" s="148">
        <v>58.2</v>
      </c>
      <c r="S19" s="81" t="s">
        <v>188</v>
      </c>
    </row>
    <row r="20" spans="1:19" x14ac:dyDescent="0.35">
      <c r="A20" s="69" t="s">
        <v>96</v>
      </c>
      <c r="B20" s="107">
        <f>SUMIF('Raw TB'!A:A,'TB 1024'!A20,'Raw TB'!B:B)</f>
        <v>1521.65</v>
      </c>
      <c r="C20" s="107">
        <f>SUMIF('Raw TB'!A:A,'TB 1024'!A20,'Raw TB'!C:C)</f>
        <v>0</v>
      </c>
      <c r="D20" s="107">
        <f>SUMIF('Raw TB'!A:A,'TB 1024'!A20,'Raw TB'!D:D)</f>
        <v>0</v>
      </c>
      <c r="E20" s="107">
        <f>SUMIF('Raw TB'!A:A,'TB 1024'!A20,'Raw TB'!E:E)</f>
        <v>0</v>
      </c>
      <c r="F20" s="107">
        <f t="shared" si="0"/>
        <v>1521.65</v>
      </c>
      <c r="G20" s="107">
        <f t="shared" si="1"/>
        <v>0</v>
      </c>
      <c r="H20" s="107">
        <f t="shared" si="2"/>
        <v>1.5216500000000002</v>
      </c>
      <c r="I20" t="s">
        <v>163</v>
      </c>
      <c r="J20" t="s">
        <v>180</v>
      </c>
      <c r="K20" t="s">
        <v>68</v>
      </c>
      <c r="P20" s="81" t="s">
        <v>355</v>
      </c>
      <c r="Q20" s="148">
        <v>223200</v>
      </c>
      <c r="R20" s="148">
        <v>223.2</v>
      </c>
      <c r="S20" s="81" t="s">
        <v>192</v>
      </c>
    </row>
    <row r="21" spans="1:19" x14ac:dyDescent="0.35">
      <c r="A21" s="69" t="s">
        <v>423</v>
      </c>
      <c r="B21" s="107">
        <f>SUMIF('Raw TB'!A:A,'TB 1024'!A21,'Raw TB'!B:B)</f>
        <v>28276.81</v>
      </c>
      <c r="C21" s="107">
        <f>SUMIF('Raw TB'!A:A,'TB 1024'!A21,'Raw TB'!C:C)</f>
        <v>28276.81</v>
      </c>
      <c r="D21" s="107">
        <f>SUMIF('Raw TB'!A:A,'TB 1024'!A21,'Raw TB'!D:D)</f>
        <v>0</v>
      </c>
      <c r="E21" s="107">
        <f>SUMIF('Raw TB'!A:A,'TB 1024'!A21,'Raw TB'!E:E)</f>
        <v>21196.27</v>
      </c>
      <c r="F21" s="107">
        <f t="shared" si="0"/>
        <v>28276.81</v>
      </c>
      <c r="G21" s="107">
        <f t="shared" si="1"/>
        <v>49473.08</v>
      </c>
      <c r="H21" s="107">
        <f t="shared" si="2"/>
        <v>-21.196270000000002</v>
      </c>
      <c r="I21" t="s">
        <v>66</v>
      </c>
      <c r="J21" t="s">
        <v>180</v>
      </c>
      <c r="K21" t="s">
        <v>68</v>
      </c>
      <c r="P21" s="81" t="s">
        <v>357</v>
      </c>
      <c r="Q21" s="148">
        <v>26800</v>
      </c>
      <c r="R21" s="148">
        <v>26.8</v>
      </c>
      <c r="S21" s="81" t="s">
        <v>188</v>
      </c>
    </row>
    <row r="22" spans="1:19" x14ac:dyDescent="0.35">
      <c r="A22" s="69" t="s">
        <v>328</v>
      </c>
      <c r="B22" s="107">
        <f>SUMIF('Raw TB'!A:A,'TB 1024'!A22,'Raw TB'!B:B)</f>
        <v>0</v>
      </c>
      <c r="C22" s="107">
        <f>SUMIF('Raw TB'!A:A,'TB 1024'!A22,'Raw TB'!C:C)</f>
        <v>24000</v>
      </c>
      <c r="D22" s="107">
        <f>SUMIF('Raw TB'!A:A,'TB 1024'!A22,'Raw TB'!D:D)</f>
        <v>0</v>
      </c>
      <c r="E22" s="107">
        <f>SUMIF('Raw TB'!A:A,'TB 1024'!A22,'Raw TB'!E:E)</f>
        <v>0</v>
      </c>
      <c r="F22" s="107">
        <f t="shared" si="0"/>
        <v>0</v>
      </c>
      <c r="G22" s="107">
        <f t="shared" si="1"/>
        <v>24000</v>
      </c>
      <c r="H22" s="107">
        <f t="shared" si="2"/>
        <v>-24</v>
      </c>
      <c r="I22" t="s">
        <v>171</v>
      </c>
      <c r="J22" t="s">
        <v>180</v>
      </c>
      <c r="K22" t="s">
        <v>67</v>
      </c>
      <c r="P22" s="81" t="s">
        <v>212</v>
      </c>
      <c r="Q22" s="148">
        <v>248200</v>
      </c>
      <c r="R22" s="148">
        <v>248.2</v>
      </c>
      <c r="S22" s="81" t="s">
        <v>192</v>
      </c>
    </row>
    <row r="23" spans="1:19" x14ac:dyDescent="0.35">
      <c r="A23" s="69" t="s">
        <v>367</v>
      </c>
      <c r="B23" s="107">
        <f>SUMIF('Raw TB'!A:A,'TB 1024'!A23,'Raw TB'!B:B)</f>
        <v>0</v>
      </c>
      <c r="C23" s="107">
        <f>SUMIF('Raw TB'!A:A,'TB 1024'!A23,'Raw TB'!C:C)</f>
        <v>5900</v>
      </c>
      <c r="D23" s="107">
        <f>SUMIF('Raw TB'!A:A,'TB 1024'!A23,'Raw TB'!D:D)</f>
        <v>0</v>
      </c>
      <c r="E23" s="107">
        <f>SUMIF('Raw TB'!A:A,'TB 1024'!A23,'Raw TB'!E:E)</f>
        <v>302400</v>
      </c>
      <c r="F23" s="107">
        <f t="shared" si="0"/>
        <v>0</v>
      </c>
      <c r="G23" s="107">
        <f t="shared" si="1"/>
        <v>308300</v>
      </c>
      <c r="H23" s="107">
        <f t="shared" si="2"/>
        <v>-308.3</v>
      </c>
      <c r="I23" t="s">
        <v>171</v>
      </c>
      <c r="J23" t="s">
        <v>180</v>
      </c>
      <c r="K23" t="s">
        <v>67</v>
      </c>
      <c r="P23" s="81" t="s">
        <v>358</v>
      </c>
      <c r="Q23" s="148">
        <v>24701</v>
      </c>
      <c r="R23" s="148">
        <v>24.701000000000001</v>
      </c>
      <c r="S23" s="81" t="s">
        <v>190</v>
      </c>
    </row>
    <row r="24" spans="1:19" x14ac:dyDescent="0.35">
      <c r="A24" s="69" t="s">
        <v>98</v>
      </c>
      <c r="B24" s="107">
        <f>SUMIF('Raw TB'!A:A,'TB 1024'!A24,'Raw TB'!B:B)</f>
        <v>6280.31</v>
      </c>
      <c r="C24" s="107">
        <f>SUMIF('Raw TB'!A:A,'TB 1024'!A24,'Raw TB'!C:C)</f>
        <v>0</v>
      </c>
      <c r="D24" s="107">
        <f>SUMIF('Raw TB'!A:A,'TB 1024'!A24,'Raw TB'!D:D)</f>
        <v>1238.3399999999999</v>
      </c>
      <c r="E24" s="107">
        <f>SUMIF('Raw TB'!A:A,'TB 1024'!A24,'Raw TB'!E:E)</f>
        <v>0</v>
      </c>
      <c r="F24" s="107">
        <f t="shared" si="0"/>
        <v>7518.6500000000005</v>
      </c>
      <c r="G24" s="107">
        <f t="shared" si="1"/>
        <v>0</v>
      </c>
      <c r="H24" s="107">
        <f t="shared" si="2"/>
        <v>7.5186500000000009</v>
      </c>
      <c r="I24" t="s">
        <v>166</v>
      </c>
      <c r="J24" t="s">
        <v>181</v>
      </c>
      <c r="K24" t="s">
        <v>78</v>
      </c>
      <c r="P24" s="81" t="s">
        <v>379</v>
      </c>
      <c r="Q24" s="148">
        <v>21001</v>
      </c>
      <c r="R24" s="148">
        <v>21.001000000000001</v>
      </c>
      <c r="S24" s="81" t="s">
        <v>268</v>
      </c>
    </row>
    <row r="25" spans="1:19" x14ac:dyDescent="0.35">
      <c r="A25" s="69" t="s">
        <v>202</v>
      </c>
      <c r="B25" s="107">
        <f>SUMIF('Raw TB'!A:A,'TB 1024'!A25,'Raw TB'!B:B)</f>
        <v>181496.73</v>
      </c>
      <c r="C25" s="107">
        <f>SUMIF('Raw TB'!A:A,'TB 1024'!A25,'Raw TB'!C:C)</f>
        <v>141900.09</v>
      </c>
      <c r="D25" s="107">
        <f>SUMIF('Raw TB'!A:A,'TB 1024'!A25,'Raw TB'!D:D)</f>
        <v>0</v>
      </c>
      <c r="E25" s="107">
        <v>917494.5</v>
      </c>
      <c r="F25" s="107">
        <f t="shared" si="0"/>
        <v>181496.73</v>
      </c>
      <c r="G25" s="107">
        <f t="shared" si="1"/>
        <v>1059394.5900000001</v>
      </c>
      <c r="H25" s="107">
        <f t="shared" si="2"/>
        <v>-877.89786000000015</v>
      </c>
      <c r="I25" t="s">
        <v>260</v>
      </c>
      <c r="J25" t="s">
        <v>181</v>
      </c>
      <c r="K25" t="s">
        <v>77</v>
      </c>
      <c r="P25" s="81" t="s">
        <v>378</v>
      </c>
      <c r="Q25" s="148">
        <v>32000</v>
      </c>
      <c r="R25" s="148">
        <v>32</v>
      </c>
      <c r="S25" s="81" t="s">
        <v>268</v>
      </c>
    </row>
    <row r="26" spans="1:19" x14ac:dyDescent="0.35">
      <c r="A26" s="69" t="s">
        <v>368</v>
      </c>
      <c r="B26" s="107">
        <f>SUMIF('Raw TB'!A:A,'TB 1024'!A26,'Raw TB'!B:B)</f>
        <v>0</v>
      </c>
      <c r="C26" s="107">
        <f>SUMIF('Raw TB'!A:A,'TB 1024'!A26,'Raw TB'!C:C)</f>
        <v>804</v>
      </c>
      <c r="D26" s="107">
        <f>SUMIF('Raw TB'!A:A,'TB 1024'!A26,'Raw TB'!D:D)</f>
        <v>0</v>
      </c>
      <c r="E26" s="107">
        <f>SUMIF('Raw TB'!A:A,'TB 1024'!A26,'Raw TB'!E:E)</f>
        <v>0</v>
      </c>
      <c r="F26" s="107">
        <f t="shared" si="0"/>
        <v>0</v>
      </c>
      <c r="G26" s="107">
        <f t="shared" si="1"/>
        <v>804</v>
      </c>
      <c r="H26" s="107">
        <f t="shared" si="2"/>
        <v>-0.80400000000000005</v>
      </c>
      <c r="I26" t="s">
        <v>171</v>
      </c>
      <c r="J26" t="s">
        <v>180</v>
      </c>
      <c r="K26" t="s">
        <v>67</v>
      </c>
      <c r="P26" s="81" t="s">
        <v>380</v>
      </c>
      <c r="Q26" s="148">
        <v>78220</v>
      </c>
      <c r="R26" s="148">
        <v>78.22</v>
      </c>
      <c r="S26" s="81" t="s">
        <v>192</v>
      </c>
    </row>
    <row r="27" spans="1:19" x14ac:dyDescent="0.35">
      <c r="A27" s="69" t="s">
        <v>205</v>
      </c>
      <c r="B27" s="107">
        <f>SUMIF('Raw TB'!A:A,'TB 1024'!A27,'Raw TB'!B:B)</f>
        <v>0</v>
      </c>
      <c r="C27" s="107">
        <f>SUMIF('Raw TB'!A:A,'TB 1024'!A27,'Raw TB'!C:C)</f>
        <v>21600</v>
      </c>
      <c r="D27" s="107">
        <f>SUMIF('Raw TB'!A:A,'TB 1024'!A27,'Raw TB'!D:D)</f>
        <v>21600</v>
      </c>
      <c r="E27" s="107">
        <f>SUMIF('Raw TB'!A:A,'TB 1024'!A27,'Raw TB'!E:E)</f>
        <v>0</v>
      </c>
      <c r="F27" s="107">
        <f t="shared" si="0"/>
        <v>21600</v>
      </c>
      <c r="G27" s="107">
        <f t="shared" si="1"/>
        <v>21600</v>
      </c>
      <c r="H27" s="107">
        <f t="shared" si="2"/>
        <v>0</v>
      </c>
      <c r="I27" t="s">
        <v>171</v>
      </c>
      <c r="J27" t="s">
        <v>180</v>
      </c>
      <c r="K27" t="s">
        <v>67</v>
      </c>
      <c r="P27" s="81" t="s">
        <v>375</v>
      </c>
      <c r="Q27" s="148">
        <v>178200</v>
      </c>
      <c r="R27" s="148">
        <v>178.2</v>
      </c>
      <c r="S27" s="81" t="s">
        <v>192</v>
      </c>
    </row>
    <row r="28" spans="1:19" x14ac:dyDescent="0.35">
      <c r="A28" s="69" t="s">
        <v>292</v>
      </c>
      <c r="B28" s="107">
        <f>SUMIF('Raw TB'!A:A,'TB 1024'!A28,'Raw TB'!B:B)</f>
        <v>0</v>
      </c>
      <c r="C28" s="107">
        <f>SUMIF('Raw TB'!A:A,'TB 1024'!A28,'Raw TB'!C:C)</f>
        <v>0</v>
      </c>
      <c r="D28" s="107">
        <f>SUMIF('Raw TB'!A:A,'TB 1024'!A28,'Raw TB'!D:D)</f>
        <v>354259.73</v>
      </c>
      <c r="E28" s="107">
        <f>SUMIF('Raw TB'!A:A,'TB 1024'!A28,'Raw TB'!E:E)</f>
        <v>0</v>
      </c>
      <c r="F28" s="107">
        <f t="shared" si="0"/>
        <v>354259.73</v>
      </c>
      <c r="G28" s="107">
        <f t="shared" si="1"/>
        <v>0</v>
      </c>
      <c r="H28" s="107">
        <f t="shared" si="2"/>
        <v>354.25972999999999</v>
      </c>
      <c r="I28" t="s">
        <v>314</v>
      </c>
      <c r="J28" t="s">
        <v>182</v>
      </c>
      <c r="K28" t="s">
        <v>38</v>
      </c>
      <c r="P28" s="81" t="s">
        <v>395</v>
      </c>
      <c r="Q28" s="148">
        <v>69050</v>
      </c>
      <c r="R28" s="148">
        <v>69.05</v>
      </c>
      <c r="S28" s="81" t="s">
        <v>192</v>
      </c>
    </row>
    <row r="29" spans="1:19" x14ac:dyDescent="0.35">
      <c r="A29" s="69" t="s">
        <v>293</v>
      </c>
      <c r="B29" s="107">
        <f>SUMIF('Raw TB'!A:A,'TB 1024'!A29,'Raw TB'!B:B)</f>
        <v>0</v>
      </c>
      <c r="C29" s="107">
        <f>SUMIF('Raw TB'!A:A,'TB 1024'!A29,'Raw TB'!C:C)</f>
        <v>13221.41</v>
      </c>
      <c r="D29" s="107">
        <f>SUMIF('Raw TB'!A:A,'TB 1024'!A29,'Raw TB'!D:D)</f>
        <v>0</v>
      </c>
      <c r="E29" s="107">
        <f>SUMIF('Raw TB'!A:A,'TB 1024'!A29,'Raw TB'!E:E)</f>
        <v>0</v>
      </c>
      <c r="F29" s="107">
        <f t="shared" si="0"/>
        <v>0</v>
      </c>
      <c r="G29" s="107">
        <f t="shared" si="1"/>
        <v>13221.41</v>
      </c>
      <c r="H29" s="107">
        <f t="shared" si="2"/>
        <v>-13.221410000000001</v>
      </c>
      <c r="I29" t="s">
        <v>174</v>
      </c>
      <c r="J29" t="s">
        <v>180</v>
      </c>
      <c r="K29" t="s">
        <v>68</v>
      </c>
      <c r="P29" s="81" t="s">
        <v>418</v>
      </c>
      <c r="Q29" s="148">
        <v>76000</v>
      </c>
      <c r="R29" s="148">
        <v>76</v>
      </c>
      <c r="S29" s="81" t="s">
        <v>192</v>
      </c>
    </row>
    <row r="30" spans="1:19" x14ac:dyDescent="0.35">
      <c r="A30" s="69" t="s">
        <v>370</v>
      </c>
      <c r="B30" s="107">
        <f>SUMIF('Raw TB'!A:A,'TB 1024'!A30,'Raw TB'!B:B)</f>
        <v>400</v>
      </c>
      <c r="C30" s="107">
        <f>SUMIF('Raw TB'!A:A,'TB 1024'!A30,'Raw TB'!C:C)</f>
        <v>0</v>
      </c>
      <c r="D30" s="107">
        <f>SUMIF('Raw TB'!A:A,'TB 1024'!A30,'Raw TB'!D:D)</f>
        <v>0</v>
      </c>
      <c r="E30" s="107">
        <f>SUMIF('Raw TB'!A:A,'TB 1024'!A30,'Raw TB'!E:E)</f>
        <v>0</v>
      </c>
      <c r="F30" s="107">
        <f t="shared" si="0"/>
        <v>400</v>
      </c>
      <c r="G30" s="107">
        <f t="shared" si="1"/>
        <v>0</v>
      </c>
      <c r="H30" s="107">
        <f t="shared" si="2"/>
        <v>0.4</v>
      </c>
      <c r="I30" t="s">
        <v>171</v>
      </c>
      <c r="J30" t="s">
        <v>180</v>
      </c>
      <c r="K30" t="s">
        <v>67</v>
      </c>
      <c r="P30" s="81" t="s">
        <v>419</v>
      </c>
      <c r="Q30" s="148">
        <v>52800</v>
      </c>
      <c r="R30" s="148">
        <v>52.8</v>
      </c>
      <c r="S30" s="81" t="s">
        <v>192</v>
      </c>
    </row>
    <row r="31" spans="1:19" x14ac:dyDescent="0.35">
      <c r="A31" s="69" t="s">
        <v>294</v>
      </c>
      <c r="B31" s="107">
        <f>SUMIF('Raw TB'!A:A,'TB 1024'!A31,'Raw TB'!B:B)</f>
        <v>567044.52</v>
      </c>
      <c r="C31" s="107">
        <f>SUMIF('Raw TB'!A:A,'TB 1024'!A31,'Raw TB'!C:C)</f>
        <v>567600.37</v>
      </c>
      <c r="D31" s="107">
        <f>SUMIF('Raw TB'!A:A,'TB 1024'!A31,'Raw TB'!D:D)</f>
        <v>0</v>
      </c>
      <c r="E31" s="107">
        <f>SUMIF('Raw TB'!A:A,'TB 1024'!A31,'Raw TB'!E:E)</f>
        <v>0</v>
      </c>
      <c r="F31" s="107">
        <f t="shared" si="0"/>
        <v>567044.52</v>
      </c>
      <c r="G31" s="107">
        <f t="shared" si="1"/>
        <v>567600.37</v>
      </c>
      <c r="H31" s="107">
        <f t="shared" si="2"/>
        <v>-0.55584999999997675</v>
      </c>
      <c r="I31" t="s">
        <v>260</v>
      </c>
      <c r="J31" t="s">
        <v>181</v>
      </c>
      <c r="K31" t="s">
        <v>77</v>
      </c>
      <c r="P31" s="81" t="s">
        <v>420</v>
      </c>
      <c r="Q31" s="148">
        <v>19355</v>
      </c>
      <c r="R31" s="148">
        <v>19.355</v>
      </c>
      <c r="S31" s="81" t="s">
        <v>188</v>
      </c>
    </row>
    <row r="32" spans="1:19" x14ac:dyDescent="0.35">
      <c r="A32" s="69" t="s">
        <v>329</v>
      </c>
      <c r="B32" s="107">
        <f>SUMIF('Raw TB'!A:A,'TB 1024'!A32,'Raw TB'!B:B)</f>
        <v>863949.16</v>
      </c>
      <c r="C32" s="107">
        <f>SUMIF('Raw TB'!A:A,'TB 1024'!A32,'Raw TB'!C:C)</f>
        <v>0</v>
      </c>
      <c r="D32" s="107">
        <f>SUMIF('Raw TB'!A:A,'TB 1024'!A32,'Raw TB'!D:D)</f>
        <v>25211.86</v>
      </c>
      <c r="E32" s="107">
        <f>SUMIF('Raw TB'!A:A,'TB 1024'!A32,'Raw TB'!E:E)</f>
        <v>0</v>
      </c>
      <c r="F32" s="107">
        <f t="shared" si="0"/>
        <v>889161.02</v>
      </c>
      <c r="G32" s="107">
        <f t="shared" si="1"/>
        <v>0</v>
      </c>
      <c r="H32" s="107">
        <f t="shared" si="2"/>
        <v>889.16102000000001</v>
      </c>
      <c r="I32" t="s">
        <v>259</v>
      </c>
      <c r="J32" t="s">
        <v>181</v>
      </c>
      <c r="K32" t="s">
        <v>71</v>
      </c>
      <c r="P32" s="81" t="s">
        <v>421</v>
      </c>
      <c r="Q32" s="148">
        <v>16232</v>
      </c>
      <c r="R32" s="148">
        <v>16.231999999999999</v>
      </c>
      <c r="S32" s="81" t="s">
        <v>192</v>
      </c>
    </row>
    <row r="33" spans="1:19" x14ac:dyDescent="0.35">
      <c r="A33" s="69" t="s">
        <v>295</v>
      </c>
      <c r="B33" s="107">
        <f>SUMIF('Raw TB'!A:A,'TB 1024'!A33,'Raw TB'!B:B)</f>
        <v>0</v>
      </c>
      <c r="C33" s="107">
        <f>SUMIF('Raw TB'!A:A,'TB 1024'!A33,'Raw TB'!C:C)</f>
        <v>0</v>
      </c>
      <c r="D33" s="107">
        <f>SUMIF('Raw TB'!A:A,'TB 1024'!A33,'Raw TB'!D:D)</f>
        <v>0</v>
      </c>
      <c r="E33" s="107">
        <f>SUMIF('Raw TB'!A:A,'TB 1024'!A33,'Raw TB'!E:E)</f>
        <v>0</v>
      </c>
      <c r="F33" s="107">
        <f t="shared" si="0"/>
        <v>0</v>
      </c>
      <c r="G33" s="107">
        <f t="shared" si="1"/>
        <v>0</v>
      </c>
      <c r="H33" s="107">
        <f t="shared" si="2"/>
        <v>0</v>
      </c>
      <c r="I33" t="s">
        <v>144</v>
      </c>
      <c r="J33" t="s">
        <v>184</v>
      </c>
      <c r="K33" t="s">
        <v>25</v>
      </c>
      <c r="P33" s="81" t="s">
        <v>320</v>
      </c>
      <c r="Q33" s="148">
        <v>50000</v>
      </c>
      <c r="R33" s="148">
        <v>50</v>
      </c>
      <c r="S33" s="81" t="s">
        <v>192</v>
      </c>
    </row>
    <row r="34" spans="1:19" x14ac:dyDescent="0.35">
      <c r="A34" s="69" t="s">
        <v>103</v>
      </c>
      <c r="B34" s="107">
        <f>SUMIF('Raw TB'!A:A,'TB 1024'!A34,'Raw TB'!B:B)</f>
        <v>0</v>
      </c>
      <c r="C34" s="107">
        <f>SUMIF('Raw TB'!A:A,'TB 1024'!A34,'Raw TB'!C:C)</f>
        <v>0</v>
      </c>
      <c r="D34" s="107">
        <f>SUMIF('Raw TB'!A:A,'TB 1024'!A34,'Raw TB'!D:D)-3000</f>
        <v>280000</v>
      </c>
      <c r="E34" s="107">
        <f>SUMIF('Raw TB'!A:A,'TB 1024'!A34,'Raw TB'!E:E)</f>
        <v>0</v>
      </c>
      <c r="F34" s="107">
        <f t="shared" si="0"/>
        <v>280000</v>
      </c>
      <c r="G34" s="107">
        <f t="shared" si="1"/>
        <v>0</v>
      </c>
      <c r="H34" s="107">
        <f t="shared" si="2"/>
        <v>280</v>
      </c>
      <c r="I34" t="s">
        <v>169</v>
      </c>
      <c r="J34" t="s">
        <v>182</v>
      </c>
      <c r="K34" t="s">
        <v>42</v>
      </c>
      <c r="P34" s="81" t="s">
        <v>360</v>
      </c>
      <c r="Q34" s="148">
        <v>100000</v>
      </c>
      <c r="R34" s="148">
        <v>100</v>
      </c>
      <c r="S34" s="81" t="s">
        <v>192</v>
      </c>
    </row>
    <row r="35" spans="1:19" x14ac:dyDescent="0.35">
      <c r="A35" s="69" t="s">
        <v>104</v>
      </c>
      <c r="B35" s="107">
        <f>SUMIF('Raw TB'!A:A,'TB 1024'!A35,'Raw TB'!B:B)</f>
        <v>800</v>
      </c>
      <c r="C35" s="107">
        <f>SUMIF('Raw TB'!A:A,'TB 1024'!A35,'Raw TB'!C:C)</f>
        <v>0</v>
      </c>
      <c r="D35" s="107">
        <f>SUMIF('Raw TB'!A:A,'TB 1024'!A35,'Raw TB'!D:D)</f>
        <v>0</v>
      </c>
      <c r="E35" s="107">
        <f>SUMIF('Raw TB'!A:A,'TB 1024'!A35,'Raw TB'!E:E)</f>
        <v>0</v>
      </c>
      <c r="F35" s="107">
        <f t="shared" si="0"/>
        <v>800</v>
      </c>
      <c r="G35" s="107">
        <f t="shared" si="1"/>
        <v>0</v>
      </c>
      <c r="H35" s="107">
        <f t="shared" si="2"/>
        <v>0.8</v>
      </c>
      <c r="I35" t="s">
        <v>167</v>
      </c>
      <c r="J35" t="s">
        <v>180</v>
      </c>
      <c r="K35" t="s">
        <v>67</v>
      </c>
      <c r="P35" s="81" t="s">
        <v>325</v>
      </c>
      <c r="Q35" s="148">
        <v>21000</v>
      </c>
      <c r="R35" s="148">
        <v>21</v>
      </c>
      <c r="S35" s="81" t="s">
        <v>192</v>
      </c>
    </row>
    <row r="36" spans="1:19" x14ac:dyDescent="0.35">
      <c r="A36" s="69" t="s">
        <v>105</v>
      </c>
      <c r="B36" s="107">
        <f>SUMIF('Raw TB'!A:A,'TB 1024'!A36,'Raw TB'!B:B)</f>
        <v>568412.41</v>
      </c>
      <c r="C36" s="107">
        <f>SUMIF('Raw TB'!A:A,'TB 1024'!A36,'Raw TB'!C:C)</f>
        <v>597950.86</v>
      </c>
      <c r="D36" s="107">
        <f>SUMIF('Raw TB'!A:A,'TB 1024'!A36,'Raw TB'!D:D)</f>
        <v>525468.82999999996</v>
      </c>
      <c r="E36" s="107">
        <f>SUMIF('Raw TB'!A:A,'TB 1024'!A36,'Raw TB'!E:E)</f>
        <v>867676.03333333298</v>
      </c>
      <c r="F36" s="107">
        <f t="shared" si="0"/>
        <v>1093881.24</v>
      </c>
      <c r="G36" s="107">
        <f t="shared" si="1"/>
        <v>1465626.8933333331</v>
      </c>
      <c r="H36" s="107">
        <f t="shared" si="2"/>
        <v>-371.74565333333311</v>
      </c>
      <c r="I36" t="s">
        <v>163</v>
      </c>
      <c r="J36" t="s">
        <v>180</v>
      </c>
      <c r="K36" t="s">
        <v>68</v>
      </c>
      <c r="P36" s="81" t="s">
        <v>398</v>
      </c>
      <c r="Q36" s="148">
        <v>16500</v>
      </c>
      <c r="R36" s="148">
        <v>16.5</v>
      </c>
      <c r="S36" s="81" t="s">
        <v>268</v>
      </c>
    </row>
    <row r="37" spans="1:19" x14ac:dyDescent="0.35">
      <c r="A37" s="69" t="s">
        <v>330</v>
      </c>
      <c r="B37" s="107">
        <f>SUMIF('Raw TB'!A:A,'TB 1024'!A37,'Raw TB'!B:B)</f>
        <v>0</v>
      </c>
      <c r="C37" s="107">
        <f>SUMIF('Raw TB'!A:A,'TB 1024'!A37,'Raw TB'!C:C)</f>
        <v>380</v>
      </c>
      <c r="D37" s="107">
        <f>SUMIF('Raw TB'!A:A,'TB 1024'!A37,'Raw TB'!D:D)</f>
        <v>0</v>
      </c>
      <c r="E37" s="107">
        <f>SUMIF('Raw TB'!A:A,'TB 1024'!A37,'Raw TB'!E:E)</f>
        <v>0</v>
      </c>
      <c r="F37" s="107">
        <f t="shared" si="0"/>
        <v>0</v>
      </c>
      <c r="G37" s="107">
        <f t="shared" si="1"/>
        <v>380</v>
      </c>
      <c r="H37" s="107">
        <f t="shared" si="2"/>
        <v>-0.38</v>
      </c>
      <c r="I37" t="s">
        <v>171</v>
      </c>
      <c r="J37" t="s">
        <v>180</v>
      </c>
      <c r="K37" t="s">
        <v>67</v>
      </c>
      <c r="P37" s="81" t="s">
        <v>422</v>
      </c>
      <c r="Q37" s="148">
        <v>15096.774193548388</v>
      </c>
      <c r="R37" s="148">
        <v>15.096774193548388</v>
      </c>
      <c r="S37" s="81" t="s">
        <v>192</v>
      </c>
    </row>
    <row r="38" spans="1:19" x14ac:dyDescent="0.35">
      <c r="A38" s="69" t="s">
        <v>296</v>
      </c>
      <c r="B38" s="107">
        <f>SUMIF('Raw TB'!A:A,'TB 1024'!A38,'Raw TB'!B:B)</f>
        <v>0</v>
      </c>
      <c r="C38" s="107">
        <f>SUMIF('Raw TB'!A:A,'TB 1024'!A38,'Raw TB'!C:C)</f>
        <v>0</v>
      </c>
      <c r="D38" s="107">
        <f>SUMIF('Raw TB'!A:A,'TB 1024'!A38,'Raw TB'!D:D)</f>
        <v>201587</v>
      </c>
      <c r="E38" s="107">
        <f>SUMIF('Raw TB'!A:A,'TB 1024'!A38,'Raw TB'!E:E)</f>
        <v>8260</v>
      </c>
      <c r="F38" s="107">
        <f t="shared" si="0"/>
        <v>201587</v>
      </c>
      <c r="G38" s="107">
        <f t="shared" si="1"/>
        <v>8260</v>
      </c>
      <c r="H38" s="107">
        <f t="shared" si="2"/>
        <v>193.327</v>
      </c>
      <c r="I38" t="s">
        <v>314</v>
      </c>
      <c r="J38" t="s">
        <v>182</v>
      </c>
      <c r="K38" t="s">
        <v>37</v>
      </c>
      <c r="P38" s="81" t="s">
        <v>429</v>
      </c>
      <c r="Q38" s="148">
        <f>11500+15500</f>
        <v>27000</v>
      </c>
      <c r="R38" s="149">
        <v>27</v>
      </c>
      <c r="S38" s="81" t="s">
        <v>192</v>
      </c>
    </row>
    <row r="39" spans="1:19" x14ac:dyDescent="0.35">
      <c r="A39" s="69" t="s">
        <v>34</v>
      </c>
      <c r="B39" s="107">
        <f>SUMIF('Raw TB'!A:A,'TB 1024'!A39,'Raw TB'!B:B)</f>
        <v>0</v>
      </c>
      <c r="C39" s="107">
        <f>SUMIF('Raw TB'!A:A,'TB 1024'!A39,'Raw TB'!C:C)</f>
        <v>0</v>
      </c>
      <c r="D39" s="107">
        <f>SUMIF('Raw TB'!A:A,'TB 1024'!A39,'Raw TB'!D:D)</f>
        <v>0</v>
      </c>
      <c r="E39" s="107">
        <f>SUMIF('Raw TB'!A:A,'TB 1024'!A39,'Raw TB'!E:E)</f>
        <v>0</v>
      </c>
      <c r="F39" s="107">
        <f t="shared" si="0"/>
        <v>0</v>
      </c>
      <c r="G39" s="107">
        <f t="shared" si="1"/>
        <v>0</v>
      </c>
      <c r="H39" s="107">
        <f t="shared" si="2"/>
        <v>0</v>
      </c>
      <c r="I39" t="s">
        <v>169</v>
      </c>
      <c r="J39" t="s">
        <v>182</v>
      </c>
      <c r="K39" t="s">
        <v>34</v>
      </c>
      <c r="P39" s="81" t="s">
        <v>430</v>
      </c>
      <c r="Q39" s="148">
        <v>22000</v>
      </c>
      <c r="R39" s="149">
        <v>22</v>
      </c>
      <c r="S39" s="81" t="s">
        <v>192</v>
      </c>
    </row>
    <row r="40" spans="1:19" x14ac:dyDescent="0.35">
      <c r="A40" s="69" t="s">
        <v>387</v>
      </c>
      <c r="B40" s="107">
        <f>SUMIF('Raw TB'!A:A,'TB 1024'!A40,'Raw TB'!B:B)</f>
        <v>0</v>
      </c>
      <c r="C40" s="107">
        <f>SUMIF('Raw TB'!A:A,'TB 1024'!A40,'Raw TB'!C:C)</f>
        <v>16701</v>
      </c>
      <c r="D40" s="107">
        <f>SUMIF('Raw TB'!A:A,'TB 1024'!A40,'Raw TB'!D:D)</f>
        <v>0</v>
      </c>
      <c r="E40" s="107">
        <f>SUMIF('Raw TB'!A:A,'TB 1024'!A40,'Raw TB'!E:E)</f>
        <v>0</v>
      </c>
      <c r="F40" s="107">
        <f t="shared" si="0"/>
        <v>0</v>
      </c>
      <c r="G40" s="107">
        <f t="shared" si="1"/>
        <v>16701</v>
      </c>
      <c r="H40" s="107">
        <f t="shared" si="2"/>
        <v>-16.701000000000001</v>
      </c>
      <c r="I40" t="s">
        <v>165</v>
      </c>
      <c r="J40" t="s">
        <v>180</v>
      </c>
      <c r="K40" t="s">
        <v>68</v>
      </c>
      <c r="P40" s="81"/>
      <c r="Q40" s="149">
        <f>SUM(Q10:Q39)</f>
        <v>2054796.7741935484</v>
      </c>
      <c r="R40" s="149">
        <f>SUM(R10:R39)</f>
        <v>2054.7967741935481</v>
      </c>
      <c r="S40" s="81"/>
    </row>
    <row r="41" spans="1:19" x14ac:dyDescent="0.35">
      <c r="A41" s="69" t="s">
        <v>206</v>
      </c>
      <c r="B41" s="107">
        <f>SUMIF('Raw TB'!A:A,'TB 1024'!A41,'Raw TB'!B:B)</f>
        <v>0</v>
      </c>
      <c r="C41" s="107">
        <f>SUMIF('Raw TB'!A:A,'TB 1024'!A41,'Raw TB'!C:C)</f>
        <v>0</v>
      </c>
      <c r="D41" s="107">
        <f>SUMIF('Raw TB'!A:A,'TB 1024'!A41,'Raw TB'!D:D)</f>
        <v>61708</v>
      </c>
      <c r="E41" s="107">
        <f>SUMIF('Raw TB'!A:A,'TB 1024'!A41,'Raw TB'!E:E)</f>
        <v>0</v>
      </c>
      <c r="F41" s="107">
        <f t="shared" si="0"/>
        <v>61708</v>
      </c>
      <c r="G41" s="107">
        <f t="shared" si="1"/>
        <v>0</v>
      </c>
      <c r="H41" s="107">
        <f t="shared" si="2"/>
        <v>61.707999999999998</v>
      </c>
      <c r="I41" t="s">
        <v>169</v>
      </c>
      <c r="J41" t="s">
        <v>182</v>
      </c>
      <c r="K41" t="s">
        <v>48</v>
      </c>
    </row>
    <row r="42" spans="1:19" x14ac:dyDescent="0.35">
      <c r="A42" s="69" t="s">
        <v>388</v>
      </c>
      <c r="B42" s="107">
        <f>SUMIF('Raw TB'!A:A,'TB 1024'!A42,'Raw TB'!B:B)</f>
        <v>82.5</v>
      </c>
      <c r="C42" s="107">
        <f>SUMIF('Raw TB'!A:A,'TB 1024'!A42,'Raw TB'!C:C)</f>
        <v>0</v>
      </c>
      <c r="D42" s="107">
        <f>SUMIF('Raw TB'!A:A,'TB 1024'!A42,'Raw TB'!D:D)</f>
        <v>0</v>
      </c>
      <c r="E42" s="107">
        <f>SUMIF('Raw TB'!A:A,'TB 1024'!A42,'Raw TB'!E:E)</f>
        <v>0</v>
      </c>
      <c r="F42" s="107">
        <f t="shared" si="0"/>
        <v>82.5</v>
      </c>
      <c r="G42" s="107">
        <f t="shared" si="1"/>
        <v>0</v>
      </c>
      <c r="H42" s="107">
        <f t="shared" si="2"/>
        <v>8.2500000000000004E-2</v>
      </c>
      <c r="I42" t="s">
        <v>167</v>
      </c>
      <c r="J42" t="s">
        <v>180</v>
      </c>
      <c r="K42" t="s">
        <v>67</v>
      </c>
    </row>
    <row r="43" spans="1:19" x14ac:dyDescent="0.35">
      <c r="A43" s="69" t="s">
        <v>297</v>
      </c>
      <c r="B43" s="107">
        <f>SUMIF('Raw TB'!A:A,'TB 1024'!A43,'Raw TB'!B:B)</f>
        <v>0</v>
      </c>
      <c r="C43" s="107">
        <f>SUMIF('Raw TB'!A:A,'TB 1024'!A43,'Raw TB'!C:C)</f>
        <v>0</v>
      </c>
      <c r="D43" s="107">
        <f>SUMIF('Raw TB'!A:A,'TB 1024'!A43,'Raw TB'!D:D)</f>
        <v>0</v>
      </c>
      <c r="E43" s="107">
        <f>SUMIF('Raw TB'!A:A,'TB 1024'!A43,'Raw TB'!E:E)</f>
        <v>0</v>
      </c>
      <c r="F43" s="107">
        <f t="shared" si="0"/>
        <v>0</v>
      </c>
      <c r="G43" s="107">
        <f t="shared" si="1"/>
        <v>0</v>
      </c>
      <c r="H43" s="107">
        <f t="shared" si="2"/>
        <v>0</v>
      </c>
      <c r="I43" t="s">
        <v>144</v>
      </c>
      <c r="J43" t="s">
        <v>182</v>
      </c>
      <c r="K43" t="s">
        <v>316</v>
      </c>
    </row>
    <row r="44" spans="1:19" x14ac:dyDescent="0.35">
      <c r="A44" s="69" t="s">
        <v>298</v>
      </c>
      <c r="B44" s="107">
        <f>SUMIF('Raw TB'!A:A,'TB 1024'!A44,'Raw TB'!B:B)</f>
        <v>0</v>
      </c>
      <c r="C44" s="107">
        <f>SUMIF('Raw TB'!A:A,'TB 1024'!A44,'Raw TB'!C:C)</f>
        <v>0</v>
      </c>
      <c r="D44" s="107">
        <f>SUMIF('Raw TB'!A:A,'TB 1024'!A44,'Raw TB'!D:D)</f>
        <v>0</v>
      </c>
      <c r="E44" s="107">
        <f>SUMIF('Raw TB'!A:A,'TB 1024'!A44,'Raw TB'!E:E)</f>
        <v>0</v>
      </c>
      <c r="F44" s="107">
        <f t="shared" si="0"/>
        <v>0</v>
      </c>
      <c r="G44" s="107">
        <f t="shared" si="1"/>
        <v>0</v>
      </c>
      <c r="H44" s="107">
        <f t="shared" si="2"/>
        <v>0</v>
      </c>
      <c r="I44" t="s">
        <v>144</v>
      </c>
      <c r="J44" t="s">
        <v>182</v>
      </c>
      <c r="K44" t="s">
        <v>316</v>
      </c>
    </row>
    <row r="45" spans="1:19" x14ac:dyDescent="0.35">
      <c r="A45" s="69" t="s">
        <v>108</v>
      </c>
      <c r="B45" s="107">
        <f>SUMIF('Raw TB'!A:A,'TB 1024'!A45,'Raw TB'!B:B)</f>
        <v>0</v>
      </c>
      <c r="C45" s="107">
        <f>SUMIF('Raw TB'!A:A,'TB 1024'!A45,'Raw TB'!C:C)</f>
        <v>0</v>
      </c>
      <c r="D45" s="107">
        <f>SUMIF('Raw TB'!A:A,'TB 1024'!A45,'Raw TB'!D:D)</f>
        <v>10520</v>
      </c>
      <c r="E45" s="107">
        <f>SUMIF('Raw TB'!A:A,'TB 1024'!A45,'Raw TB'!E:E)</f>
        <v>0</v>
      </c>
      <c r="F45" s="107">
        <f t="shared" si="0"/>
        <v>10520</v>
      </c>
      <c r="G45" s="107">
        <f t="shared" si="1"/>
        <v>0</v>
      </c>
      <c r="H45" s="107">
        <f t="shared" si="2"/>
        <v>10.52</v>
      </c>
      <c r="I45" t="s">
        <v>169</v>
      </c>
      <c r="J45" t="s">
        <v>182</v>
      </c>
      <c r="K45" t="s">
        <v>31</v>
      </c>
    </row>
    <row r="46" spans="1:19" x14ac:dyDescent="0.35">
      <c r="A46" s="69" t="s">
        <v>402</v>
      </c>
      <c r="B46" s="107">
        <f>SUMIF('Raw TB'!A:A,'TB 1024'!A46,'Raw TB'!B:B)</f>
        <v>0</v>
      </c>
      <c r="C46" s="107">
        <f>SUMIF('Raw TB'!A:A,'TB 1024'!A46,'Raw TB'!C:C)</f>
        <v>31103</v>
      </c>
      <c r="D46" s="107">
        <f>SUMIF('Raw TB'!A:A,'TB 1024'!A46,'Raw TB'!D:D)</f>
        <v>0</v>
      </c>
      <c r="E46" s="107">
        <f>SUMIF('Raw TB'!A:A,'TB 1024'!A46,'Raw TB'!E:E)</f>
        <v>0</v>
      </c>
      <c r="F46" s="107">
        <f t="shared" si="0"/>
        <v>0</v>
      </c>
      <c r="G46" s="107">
        <f t="shared" si="1"/>
        <v>31103</v>
      </c>
      <c r="H46" s="107">
        <f t="shared" si="2"/>
        <v>-31.103000000000002</v>
      </c>
      <c r="I46" t="s">
        <v>165</v>
      </c>
      <c r="J46" t="s">
        <v>180</v>
      </c>
      <c r="K46" t="s">
        <v>68</v>
      </c>
    </row>
    <row r="47" spans="1:19" x14ac:dyDescent="0.35">
      <c r="A47" s="69" t="s">
        <v>109</v>
      </c>
      <c r="B47" s="107">
        <f>SUMIF('Raw TB'!A:A,'TB 1024'!A47,'Raw TB'!B:B)</f>
        <v>0</v>
      </c>
      <c r="C47" s="107">
        <f>SUMIF('Raw TB'!A:A,'TB 1024'!A47,'Raw TB'!C:C)</f>
        <v>0</v>
      </c>
      <c r="D47" s="107">
        <f>SUMIF('Raw TB'!A:A,'TB 1024'!A47,'Raw TB'!D:D)</f>
        <v>40386</v>
      </c>
      <c r="E47" s="107">
        <f>SUMIF('Raw TB'!A:A,'TB 1024'!A47,'Raw TB'!E:E)</f>
        <v>0</v>
      </c>
      <c r="F47" s="107">
        <f t="shared" si="0"/>
        <v>40386</v>
      </c>
      <c r="G47" s="107">
        <f t="shared" si="1"/>
        <v>0</v>
      </c>
      <c r="H47" s="107">
        <f t="shared" si="2"/>
        <v>40.386000000000003</v>
      </c>
      <c r="I47" t="s">
        <v>170</v>
      </c>
      <c r="J47" t="s">
        <v>182</v>
      </c>
      <c r="K47" t="s">
        <v>417</v>
      </c>
    </row>
    <row r="48" spans="1:19" x14ac:dyDescent="0.35">
      <c r="A48" s="69" t="s">
        <v>331</v>
      </c>
      <c r="B48" s="107">
        <f>SUMIF('Raw TB'!A:A,'TB 1024'!A48,'Raw TB'!B:B)</f>
        <v>0</v>
      </c>
      <c r="C48" s="107">
        <f>SUMIF('Raw TB'!A:A,'TB 1024'!A48,'Raw TB'!C:C)</f>
        <v>14433.44</v>
      </c>
      <c r="D48" s="107">
        <f>SUMIF('Raw TB'!A:A,'TB 1024'!A48,'Raw TB'!D:D)</f>
        <v>0</v>
      </c>
      <c r="E48" s="107">
        <f>SUMIF('Raw TB'!A:A,'TB 1024'!A48,'Raw TB'!E:E)</f>
        <v>0</v>
      </c>
      <c r="F48" s="107">
        <f t="shared" si="0"/>
        <v>0</v>
      </c>
      <c r="G48" s="107">
        <f t="shared" si="1"/>
        <v>14433.44</v>
      </c>
      <c r="H48" s="107">
        <f t="shared" si="2"/>
        <v>-14.433440000000001</v>
      </c>
      <c r="I48" t="s">
        <v>171</v>
      </c>
      <c r="J48" t="s">
        <v>180</v>
      </c>
      <c r="K48" t="s">
        <v>67</v>
      </c>
    </row>
    <row r="49" spans="1:11" x14ac:dyDescent="0.35">
      <c r="A49" s="69" t="s">
        <v>332</v>
      </c>
      <c r="B49" s="107">
        <f>SUMIF('Raw TB'!A:A,'TB 1024'!A49,'Raw TB'!B:B)</f>
        <v>0</v>
      </c>
      <c r="C49" s="107">
        <f>SUMIF('Raw TB'!A:A,'TB 1024'!A49,'Raw TB'!C:C)</f>
        <v>6.14</v>
      </c>
      <c r="D49" s="107">
        <f>SUMIF('Raw TB'!A:A,'TB 1024'!A49,'Raw TB'!D:D)</f>
        <v>0</v>
      </c>
      <c r="E49" s="107">
        <f>SUMIF('Raw TB'!A:A,'TB 1024'!A49,'Raw TB'!E:E)</f>
        <v>0</v>
      </c>
      <c r="F49" s="107">
        <f t="shared" si="0"/>
        <v>0</v>
      </c>
      <c r="G49" s="107">
        <f t="shared" si="1"/>
        <v>6.14</v>
      </c>
      <c r="H49" s="107">
        <f t="shared" si="2"/>
        <v>-6.1399999999999996E-3</v>
      </c>
      <c r="I49" t="s">
        <v>171</v>
      </c>
      <c r="J49" t="s">
        <v>180</v>
      </c>
      <c r="K49" t="s">
        <v>67</v>
      </c>
    </row>
    <row r="50" spans="1:11" x14ac:dyDescent="0.35">
      <c r="A50" s="69" t="s">
        <v>208</v>
      </c>
      <c r="B50" s="107">
        <f>SUMIF('Raw TB'!A:A,'TB 1024'!A50,'Raw TB'!B:B)</f>
        <v>40000000</v>
      </c>
      <c r="C50" s="107">
        <f>SUMIF('Raw TB'!A:A,'TB 1024'!A50,'Raw TB'!C:C)</f>
        <v>0</v>
      </c>
      <c r="D50" s="107">
        <f>SUMIF('Raw TB'!A:A,'TB 1024'!A50,'Raw TB'!D:D)</f>
        <v>0</v>
      </c>
      <c r="E50" s="107">
        <f>SUMIF('Raw TB'!A:A,'TB 1024'!A50,'Raw TB'!E:E)</f>
        <v>0</v>
      </c>
      <c r="F50" s="107">
        <f t="shared" si="0"/>
        <v>40000000</v>
      </c>
      <c r="G50" s="107">
        <f t="shared" si="1"/>
        <v>0</v>
      </c>
      <c r="H50" s="107">
        <f t="shared" si="2"/>
        <v>40000</v>
      </c>
      <c r="I50" t="s">
        <v>261</v>
      </c>
      <c r="J50" t="s">
        <v>181</v>
      </c>
      <c r="K50" t="s">
        <v>76</v>
      </c>
    </row>
    <row r="51" spans="1:11" x14ac:dyDescent="0.35">
      <c r="A51" s="69" t="s">
        <v>389</v>
      </c>
      <c r="B51" s="107">
        <f>SUMIF('Raw TB'!A:A,'TB 1024'!A51,'Raw TB'!B:B)</f>
        <v>2500000</v>
      </c>
      <c r="C51" s="107">
        <f>SUMIF('Raw TB'!A:A,'TB 1024'!A51,'Raw TB'!C:C)</f>
        <v>0</v>
      </c>
      <c r="D51" s="107">
        <f>SUMIF('Raw TB'!A:A,'TB 1024'!A51,'Raw TB'!D:D)</f>
        <v>0</v>
      </c>
      <c r="E51" s="107">
        <f>SUMIF('Raw TB'!A:A,'TB 1024'!A51,'Raw TB'!E:E)</f>
        <v>2500000</v>
      </c>
      <c r="F51" s="107">
        <f t="shared" si="0"/>
        <v>2500000</v>
      </c>
      <c r="G51" s="107">
        <f t="shared" si="1"/>
        <v>2500000</v>
      </c>
      <c r="H51" s="107">
        <f t="shared" si="2"/>
        <v>0</v>
      </c>
      <c r="I51" t="s">
        <v>261</v>
      </c>
      <c r="J51" t="s">
        <v>181</v>
      </c>
      <c r="K51" t="s">
        <v>76</v>
      </c>
    </row>
    <row r="52" spans="1:11" x14ac:dyDescent="0.35">
      <c r="A52" s="69" t="s">
        <v>390</v>
      </c>
      <c r="B52" s="107">
        <f>SUMIF('Raw TB'!A:A,'TB 1024'!A52,'Raw TB'!B:B)</f>
        <v>2000000</v>
      </c>
      <c r="C52" s="107">
        <f>SUMIF('Raw TB'!A:A,'TB 1024'!A52,'Raw TB'!C:C)</f>
        <v>0</v>
      </c>
      <c r="D52" s="107">
        <f>SUMIF('Raw TB'!A:A,'TB 1024'!A52,'Raw TB'!D:D)</f>
        <v>0</v>
      </c>
      <c r="E52" s="107">
        <f>SUMIF('Raw TB'!A:A,'TB 1024'!A52,'Raw TB'!E:E)</f>
        <v>2000000</v>
      </c>
      <c r="F52" s="107">
        <f t="shared" si="0"/>
        <v>2000000</v>
      </c>
      <c r="G52" s="107">
        <f t="shared" si="1"/>
        <v>2000000</v>
      </c>
      <c r="H52" s="107">
        <f t="shared" si="2"/>
        <v>0</v>
      </c>
      <c r="I52" t="s">
        <v>261</v>
      </c>
      <c r="J52" t="s">
        <v>181</v>
      </c>
      <c r="K52" t="s">
        <v>76</v>
      </c>
    </row>
    <row r="53" spans="1:11" x14ac:dyDescent="0.35">
      <c r="A53" s="69" t="s">
        <v>391</v>
      </c>
      <c r="B53" s="107">
        <f>SUMIF('Raw TB'!A:A,'TB 1024'!A53,'Raw TB'!B:B)</f>
        <v>2500000</v>
      </c>
      <c r="C53" s="107">
        <f>SUMIF('Raw TB'!A:A,'TB 1024'!A53,'Raw TB'!C:C)</f>
        <v>0</v>
      </c>
      <c r="D53" s="107">
        <f>SUMIF('Raw TB'!A:A,'TB 1024'!A53,'Raw TB'!D:D)</f>
        <v>0</v>
      </c>
      <c r="E53" s="107">
        <f>SUMIF('Raw TB'!A:A,'TB 1024'!A53,'Raw TB'!E:E)</f>
        <v>2500000</v>
      </c>
      <c r="F53" s="107">
        <f t="shared" si="0"/>
        <v>2500000</v>
      </c>
      <c r="G53" s="107">
        <f t="shared" si="1"/>
        <v>2500000</v>
      </c>
      <c r="H53" s="107">
        <f t="shared" si="2"/>
        <v>0</v>
      </c>
      <c r="I53" t="s">
        <v>261</v>
      </c>
      <c r="J53" t="s">
        <v>181</v>
      </c>
      <c r="K53" t="s">
        <v>76</v>
      </c>
    </row>
    <row r="54" spans="1:11" x14ac:dyDescent="0.35">
      <c r="A54" s="69" t="s">
        <v>392</v>
      </c>
      <c r="B54" s="107">
        <f>SUMIF('Raw TB'!A:A,'TB 1024'!A54,'Raw TB'!B:B)</f>
        <v>10000000</v>
      </c>
      <c r="C54" s="107">
        <f>SUMIF('Raw TB'!A:A,'TB 1024'!A54,'Raw TB'!C:C)</f>
        <v>0</v>
      </c>
      <c r="D54" s="107">
        <f>SUMIF('Raw TB'!A:A,'TB 1024'!A54,'Raw TB'!D:D)</f>
        <v>0</v>
      </c>
      <c r="E54" s="107">
        <f>SUMIF('Raw TB'!A:A,'TB 1024'!A54,'Raw TB'!E:E)</f>
        <v>0</v>
      </c>
      <c r="F54" s="107">
        <f t="shared" si="0"/>
        <v>10000000</v>
      </c>
      <c r="G54" s="107">
        <f t="shared" si="1"/>
        <v>0</v>
      </c>
      <c r="H54" s="107">
        <f t="shared" si="2"/>
        <v>10000</v>
      </c>
      <c r="I54" t="s">
        <v>261</v>
      </c>
      <c r="J54" t="s">
        <v>181</v>
      </c>
      <c r="K54" t="s">
        <v>76</v>
      </c>
    </row>
    <row r="55" spans="1:11" x14ac:dyDescent="0.35">
      <c r="A55" s="69" t="s">
        <v>424</v>
      </c>
      <c r="B55" s="107">
        <f>SUMIF('Raw TB'!A:A,'TB 1024'!A55,'Raw TB'!B:B)</f>
        <v>0</v>
      </c>
      <c r="C55" s="107">
        <f>SUMIF('Raw TB'!A:A,'TB 1024'!A55,'Raw TB'!C:C)</f>
        <v>0</v>
      </c>
      <c r="D55" s="107">
        <f>SUMIF('Raw TB'!A:A,'TB 1024'!A55,'Raw TB'!D:D)</f>
        <v>3500000</v>
      </c>
      <c r="E55" s="107">
        <f>SUMIF('Raw TB'!A:A,'TB 1024'!A55,'Raw TB'!E:E)</f>
        <v>0</v>
      </c>
      <c r="F55" s="107">
        <f t="shared" si="0"/>
        <v>3500000</v>
      </c>
      <c r="G55" s="107">
        <f t="shared" si="1"/>
        <v>0</v>
      </c>
      <c r="H55" s="107">
        <f t="shared" si="2"/>
        <v>3500</v>
      </c>
      <c r="I55" t="s">
        <v>261</v>
      </c>
      <c r="J55" t="s">
        <v>181</v>
      </c>
      <c r="K55" t="s">
        <v>76</v>
      </c>
    </row>
    <row r="56" spans="1:11" x14ac:dyDescent="0.35">
      <c r="A56" s="69" t="s">
        <v>335</v>
      </c>
      <c r="B56" s="107">
        <f>SUMIF('Raw TB'!A:A,'TB 1024'!A56,'Raw TB'!B:B)</f>
        <v>0</v>
      </c>
      <c r="C56" s="107">
        <f>SUMIF('Raw TB'!A:A,'TB 1024'!A56,'Raw TB'!C:C)</f>
        <v>78593.070000000007</v>
      </c>
      <c r="D56" s="107">
        <f>SUMIF('Raw TB'!A:A,'TB 1024'!A56,'Raw TB'!D:D)</f>
        <v>0</v>
      </c>
      <c r="E56" s="107">
        <f>SUMIF('Raw TB'!A:A,'TB 1024'!A56,'Raw TB'!E:E)</f>
        <v>0</v>
      </c>
      <c r="F56" s="107">
        <f t="shared" si="0"/>
        <v>0</v>
      </c>
      <c r="G56" s="107">
        <f t="shared" si="1"/>
        <v>78593.070000000007</v>
      </c>
      <c r="H56" s="107">
        <f t="shared" si="2"/>
        <v>-78.593070000000012</v>
      </c>
      <c r="I56" t="s">
        <v>171</v>
      </c>
      <c r="J56" t="s">
        <v>180</v>
      </c>
      <c r="K56" t="s">
        <v>67</v>
      </c>
    </row>
    <row r="57" spans="1:11" x14ac:dyDescent="0.35">
      <c r="A57" s="69" t="s">
        <v>336</v>
      </c>
      <c r="B57" s="107">
        <f>SUMIF('Raw TB'!A:A,'TB 1024'!A57,'Raw TB'!B:B)</f>
        <v>0</v>
      </c>
      <c r="C57" s="107">
        <f>SUMIF('Raw TB'!A:A,'TB 1024'!A57,'Raw TB'!C:C)</f>
        <v>1531</v>
      </c>
      <c r="D57" s="107">
        <f>SUMIF('Raw TB'!A:A,'TB 1024'!A57,'Raw TB'!D:D)</f>
        <v>0</v>
      </c>
      <c r="E57" s="107">
        <f>SUMIF('Raw TB'!A:A,'TB 1024'!A57,'Raw TB'!E:E)</f>
        <v>0</v>
      </c>
      <c r="F57" s="107">
        <f t="shared" si="0"/>
        <v>0</v>
      </c>
      <c r="G57" s="107">
        <f t="shared" si="1"/>
        <v>1531</v>
      </c>
      <c r="H57" s="107">
        <f t="shared" si="2"/>
        <v>-1.5309999999999999</v>
      </c>
      <c r="I57" t="s">
        <v>171</v>
      </c>
      <c r="J57" t="s">
        <v>180</v>
      </c>
      <c r="K57" t="s">
        <v>67</v>
      </c>
    </row>
    <row r="58" spans="1:11" x14ac:dyDescent="0.35">
      <c r="A58" s="69" t="s">
        <v>111</v>
      </c>
      <c r="B58" s="107">
        <f>SUMIF('Raw TB'!A:A,'TB 1024'!A58,'Raw TB'!B:B)</f>
        <v>0</v>
      </c>
      <c r="C58" s="107">
        <f>SUMIF('Raw TB'!A:A,'TB 1024'!A58,'Raw TB'!C:C)</f>
        <v>184010</v>
      </c>
      <c r="D58" s="107">
        <f>SUMIF('Raw TB'!A:A,'TB 1024'!A58,'Raw TB'!D:D)</f>
        <v>0</v>
      </c>
      <c r="E58" s="107">
        <f>SUMIF('Raw TB'!A:A,'TB 1024'!A58,'Raw TB'!E:E)</f>
        <v>0</v>
      </c>
      <c r="F58" s="107">
        <f t="shared" si="0"/>
        <v>0</v>
      </c>
      <c r="G58" s="107">
        <f t="shared" si="1"/>
        <v>184010</v>
      </c>
      <c r="H58" s="107">
        <f t="shared" si="2"/>
        <v>-184.01</v>
      </c>
      <c r="I58" t="s">
        <v>167</v>
      </c>
      <c r="J58" t="s">
        <v>180</v>
      </c>
      <c r="K58" t="s">
        <v>67</v>
      </c>
    </row>
    <row r="59" spans="1:11" x14ac:dyDescent="0.35">
      <c r="A59" s="69" t="s">
        <v>112</v>
      </c>
      <c r="B59" s="107">
        <f>SUMIF('Raw TB'!A:A,'TB 1024'!A59,'Raw TB'!B:B)</f>
        <v>27000</v>
      </c>
      <c r="C59" s="107">
        <f>SUMIF('Raw TB'!A:A,'TB 1024'!A59,'Raw TB'!C:C)</f>
        <v>27000</v>
      </c>
      <c r="D59" s="107">
        <f>SUMIF('Raw TB'!A:A,'TB 1024'!A59,'Raw TB'!D:D)</f>
        <v>0</v>
      </c>
      <c r="E59" s="107">
        <f>SUMIF('Raw TB'!A:A,'TB 1024'!A59,'Raw TB'!E:E)</f>
        <v>0</v>
      </c>
      <c r="F59" s="107">
        <f t="shared" si="0"/>
        <v>27000</v>
      </c>
      <c r="G59" s="107">
        <f t="shared" si="1"/>
        <v>27000</v>
      </c>
      <c r="H59" s="107">
        <f t="shared" si="2"/>
        <v>0</v>
      </c>
      <c r="I59" t="s">
        <v>171</v>
      </c>
      <c r="J59" t="s">
        <v>180</v>
      </c>
      <c r="K59" t="s">
        <v>67</v>
      </c>
    </row>
    <row r="60" spans="1:11" x14ac:dyDescent="0.35">
      <c r="A60" s="69" t="s">
        <v>213</v>
      </c>
      <c r="B60" s="107">
        <f>SUMIF('Raw TB'!A:A,'TB 1024'!A60,'Raw TB'!B:B)</f>
        <v>7109.2</v>
      </c>
      <c r="C60" s="107">
        <f>SUMIF('Raw TB'!A:A,'TB 1024'!A60,'Raw TB'!C:C)</f>
        <v>0</v>
      </c>
      <c r="D60" s="107">
        <f>SUMIF('Raw TB'!A:A,'TB 1024'!A60,'Raw TB'!D:D)</f>
        <v>0</v>
      </c>
      <c r="E60" s="107">
        <f>SUMIF('Raw TB'!A:A,'TB 1024'!A60,'Raw TB'!E:E)</f>
        <v>0</v>
      </c>
      <c r="F60" s="107">
        <f t="shared" si="0"/>
        <v>7109.2</v>
      </c>
      <c r="G60" s="107">
        <f t="shared" si="1"/>
        <v>0</v>
      </c>
      <c r="H60" s="107">
        <f t="shared" si="2"/>
        <v>7.1091999999999995</v>
      </c>
      <c r="I60" t="s">
        <v>172</v>
      </c>
      <c r="J60" t="s">
        <v>181</v>
      </c>
      <c r="K60" t="s">
        <v>79</v>
      </c>
    </row>
    <row r="61" spans="1:11" x14ac:dyDescent="0.35">
      <c r="A61" s="69" t="s">
        <v>114</v>
      </c>
      <c r="B61" s="107">
        <f>SUMIF('Raw TB'!A:A,'TB 1024'!A61,'Raw TB'!B:B)</f>
        <v>2116.39</v>
      </c>
      <c r="C61" s="107">
        <f>SUMIF('Raw TB'!A:A,'TB 1024'!A61,'Raw TB'!C:C)</f>
        <v>0</v>
      </c>
      <c r="D61" s="107">
        <f>SUMIF('Raw TB'!A:A,'TB 1024'!A61,'Raw TB'!D:D)</f>
        <v>0</v>
      </c>
      <c r="E61" s="107">
        <f>SUMIF('Raw TB'!A:A,'TB 1024'!A61,'Raw TB'!E:E)</f>
        <v>0</v>
      </c>
      <c r="F61" s="107">
        <f t="shared" si="0"/>
        <v>2116.39</v>
      </c>
      <c r="G61" s="107">
        <f t="shared" si="1"/>
        <v>0</v>
      </c>
      <c r="H61" s="107">
        <f t="shared" si="2"/>
        <v>2.11639</v>
      </c>
      <c r="I61" t="s">
        <v>172</v>
      </c>
      <c r="J61" t="s">
        <v>181</v>
      </c>
      <c r="K61" t="s">
        <v>79</v>
      </c>
    </row>
    <row r="62" spans="1:11" x14ac:dyDescent="0.35">
      <c r="A62" s="69" t="s">
        <v>338</v>
      </c>
      <c r="B62" s="107">
        <f>SUMIF('Raw TB'!A:A,'TB 1024'!A62,'Raw TB'!B:B)</f>
        <v>4984.24</v>
      </c>
      <c r="C62" s="107">
        <f>SUMIF('Raw TB'!A:A,'TB 1024'!A62,'Raw TB'!C:C)</f>
        <v>0</v>
      </c>
      <c r="D62" s="107">
        <f>SUMIF('Raw TB'!A:A,'TB 1024'!A62,'Raw TB'!D:D)</f>
        <v>0</v>
      </c>
      <c r="E62" s="107">
        <f>SUMIF('Raw TB'!A:A,'TB 1024'!A62,'Raw TB'!E:E)</f>
        <v>0</v>
      </c>
      <c r="F62" s="107">
        <f t="shared" si="0"/>
        <v>4984.24</v>
      </c>
      <c r="G62" s="107">
        <f t="shared" si="1"/>
        <v>0</v>
      </c>
      <c r="H62" s="107">
        <f t="shared" si="2"/>
        <v>4.9842399999999998</v>
      </c>
      <c r="I62" t="s">
        <v>172</v>
      </c>
      <c r="J62" t="s">
        <v>181</v>
      </c>
      <c r="K62" t="s">
        <v>79</v>
      </c>
    </row>
    <row r="63" spans="1:11" x14ac:dyDescent="0.35">
      <c r="A63" s="69" t="s">
        <v>115</v>
      </c>
      <c r="B63" s="107">
        <f>SUMIF('Raw TB'!A:A,'TB 1024'!A63,'Raw TB'!B:B)</f>
        <v>369742.44</v>
      </c>
      <c r="C63" s="107">
        <f>SUMIF('Raw TB'!A:A,'TB 1024'!A63,'Raw TB'!C:C)</f>
        <v>0</v>
      </c>
      <c r="D63" s="107">
        <f>SUMIF('Raw TB'!A:A,'TB 1024'!A63,'Raw TB'!D:D)</f>
        <v>0</v>
      </c>
      <c r="E63" s="107">
        <f>SUMIF('Raw TB'!A:A,'TB 1024'!A63,'Raw TB'!E:E)</f>
        <v>0</v>
      </c>
      <c r="F63" s="107">
        <f t="shared" si="0"/>
        <v>369742.44</v>
      </c>
      <c r="G63" s="107">
        <f t="shared" si="1"/>
        <v>0</v>
      </c>
      <c r="H63" s="107">
        <f t="shared" si="2"/>
        <v>369.74243999999999</v>
      </c>
      <c r="I63" t="s">
        <v>172</v>
      </c>
      <c r="J63" t="s">
        <v>181</v>
      </c>
      <c r="K63" t="s">
        <v>79</v>
      </c>
    </row>
    <row r="64" spans="1:11" x14ac:dyDescent="0.35">
      <c r="A64" s="69" t="s">
        <v>116</v>
      </c>
      <c r="B64" s="107">
        <f>SUMIF('Raw TB'!A:A,'TB 1024'!A64,'Raw TB'!B:B)</f>
        <v>93229.49</v>
      </c>
      <c r="C64" s="107">
        <f>SUMIF('Raw TB'!A:A,'TB 1024'!A64,'Raw TB'!C:C)</f>
        <v>0</v>
      </c>
      <c r="D64" s="107">
        <f>SUMIF('Raw TB'!A:A,'TB 1024'!A64,'Raw TB'!D:D)</f>
        <v>166630.56</v>
      </c>
      <c r="E64" s="107">
        <f>SUMIF('Raw TB'!A:A,'TB 1024'!A64,'Raw TB'!E:E)+7474.15</f>
        <v>7474.15</v>
      </c>
      <c r="F64" s="107">
        <f t="shared" si="0"/>
        <v>259860.05</v>
      </c>
      <c r="G64" s="107">
        <f t="shared" si="1"/>
        <v>7474.15</v>
      </c>
      <c r="H64" s="107">
        <f t="shared" si="2"/>
        <v>252.38589999999999</v>
      </c>
      <c r="I64" t="s">
        <v>172</v>
      </c>
      <c r="J64" t="s">
        <v>181</v>
      </c>
      <c r="K64" t="s">
        <v>79</v>
      </c>
    </row>
    <row r="65" spans="1:11" x14ac:dyDescent="0.35">
      <c r="A65" s="69" t="s">
        <v>214</v>
      </c>
      <c r="B65" s="107">
        <f>SUMIF('Raw TB'!A:A,'TB 1024'!A65,'Raw TB'!B:B)</f>
        <v>1535.35</v>
      </c>
      <c r="C65" s="107">
        <f>SUMIF('Raw TB'!A:A,'TB 1024'!A65,'Raw TB'!C:C)</f>
        <v>0</v>
      </c>
      <c r="D65" s="107">
        <f>SUMIF('Raw TB'!A:A,'TB 1024'!A65,'Raw TB'!D:D)</f>
        <v>0</v>
      </c>
      <c r="E65" s="107">
        <f>SUMIF('Raw TB'!A:A,'TB 1024'!A65,'Raw TB'!E:E)</f>
        <v>0</v>
      </c>
      <c r="F65" s="107">
        <f t="shared" si="0"/>
        <v>1535.35</v>
      </c>
      <c r="G65" s="107">
        <f t="shared" si="1"/>
        <v>0</v>
      </c>
      <c r="H65" s="107">
        <f t="shared" si="2"/>
        <v>1.53535</v>
      </c>
      <c r="I65" t="s">
        <v>172</v>
      </c>
      <c r="J65" t="s">
        <v>181</v>
      </c>
      <c r="K65" t="s">
        <v>79</v>
      </c>
    </row>
    <row r="66" spans="1:11" x14ac:dyDescent="0.35">
      <c r="A66" s="69" t="s">
        <v>215</v>
      </c>
      <c r="B66" s="107">
        <f>SUMIF('Raw TB'!A:A,'TB 1024'!A66,'Raw TB'!B:B)</f>
        <v>231480</v>
      </c>
      <c r="C66" s="107">
        <f>SUMIF('Raw TB'!A:A,'TB 1024'!A66,'Raw TB'!C:C)</f>
        <v>0</v>
      </c>
      <c r="D66" s="107">
        <f>SUMIF('Raw TB'!A:A,'TB 1024'!A66,'Raw TB'!D:D)</f>
        <v>15192.96</v>
      </c>
      <c r="E66" s="107">
        <f>SUMIF('Raw TB'!A:A,'TB 1024'!A66,'Raw TB'!E:E)</f>
        <v>0</v>
      </c>
      <c r="F66" s="107">
        <f t="shared" si="0"/>
        <v>246672.96</v>
      </c>
      <c r="G66" s="107">
        <f t="shared" si="1"/>
        <v>0</v>
      </c>
      <c r="H66" s="107">
        <f t="shared" si="2"/>
        <v>246.67295999999999</v>
      </c>
      <c r="I66" t="s">
        <v>172</v>
      </c>
      <c r="J66" t="s">
        <v>181</v>
      </c>
      <c r="K66" t="s">
        <v>79</v>
      </c>
    </row>
    <row r="67" spans="1:11" x14ac:dyDescent="0.35">
      <c r="A67" s="69" t="s">
        <v>216</v>
      </c>
      <c r="B67" s="107">
        <f>SUMIF('Raw TB'!A:A,'TB 1024'!A67,'Raw TB'!B:B)</f>
        <v>7109.2</v>
      </c>
      <c r="C67" s="107">
        <f>SUMIF('Raw TB'!A:A,'TB 1024'!A67,'Raw TB'!C:C)</f>
        <v>0</v>
      </c>
      <c r="D67" s="107">
        <f>SUMIF('Raw TB'!A:A,'TB 1024'!A67,'Raw TB'!D:D)</f>
        <v>0</v>
      </c>
      <c r="E67" s="107">
        <f>SUMIF('Raw TB'!A:A,'TB 1024'!A67,'Raw TB'!E:E)</f>
        <v>0</v>
      </c>
      <c r="F67" s="107">
        <f t="shared" si="0"/>
        <v>7109.2</v>
      </c>
      <c r="G67" s="107">
        <f t="shared" si="1"/>
        <v>0</v>
      </c>
      <c r="H67" s="107">
        <f t="shared" si="2"/>
        <v>7.1091999999999995</v>
      </c>
      <c r="I67" t="s">
        <v>172</v>
      </c>
      <c r="J67" t="s">
        <v>181</v>
      </c>
      <c r="K67" t="s">
        <v>79</v>
      </c>
    </row>
    <row r="68" spans="1:11" x14ac:dyDescent="0.35">
      <c r="A68" s="69" t="s">
        <v>117</v>
      </c>
      <c r="B68" s="107">
        <f>SUMIF('Raw TB'!A:A,'TB 1024'!A68,'Raw TB'!B:B)</f>
        <v>2116.39</v>
      </c>
      <c r="C68" s="107">
        <f>SUMIF('Raw TB'!A:A,'TB 1024'!A68,'Raw TB'!C:C)</f>
        <v>0</v>
      </c>
      <c r="D68" s="107">
        <f>SUMIF('Raw TB'!A:A,'TB 1024'!A68,'Raw TB'!D:D)</f>
        <v>0</v>
      </c>
      <c r="E68" s="107">
        <f>SUMIF('Raw TB'!A:A,'TB 1024'!A68,'Raw TB'!E:E)</f>
        <v>0</v>
      </c>
      <c r="F68" s="107">
        <f t="shared" si="0"/>
        <v>2116.39</v>
      </c>
      <c r="G68" s="107">
        <f t="shared" si="1"/>
        <v>0</v>
      </c>
      <c r="H68" s="107">
        <f t="shared" si="2"/>
        <v>2.11639</v>
      </c>
      <c r="I68" t="s">
        <v>172</v>
      </c>
      <c r="J68" t="s">
        <v>181</v>
      </c>
      <c r="K68" t="s">
        <v>79</v>
      </c>
    </row>
    <row r="69" spans="1:11" x14ac:dyDescent="0.35">
      <c r="A69" s="69" t="s">
        <v>339</v>
      </c>
      <c r="B69" s="107">
        <f>SUMIF('Raw TB'!A:A,'TB 1024'!A69,'Raw TB'!B:B)</f>
        <v>4984.24</v>
      </c>
      <c r="C69" s="107">
        <f>SUMIF('Raw TB'!A:A,'TB 1024'!A69,'Raw TB'!C:C)</f>
        <v>0</v>
      </c>
      <c r="D69" s="107">
        <f>SUMIF('Raw TB'!A:A,'TB 1024'!A69,'Raw TB'!D:D)</f>
        <v>0</v>
      </c>
      <c r="E69" s="107">
        <f>SUMIF('Raw TB'!A:A,'TB 1024'!A69,'Raw TB'!E:E)</f>
        <v>0</v>
      </c>
      <c r="F69" s="107">
        <f t="shared" si="0"/>
        <v>4984.24</v>
      </c>
      <c r="G69" s="107">
        <f t="shared" si="1"/>
        <v>0</v>
      </c>
      <c r="H69" s="107">
        <f t="shared" si="2"/>
        <v>4.9842399999999998</v>
      </c>
      <c r="I69" t="s">
        <v>172</v>
      </c>
      <c r="J69" t="s">
        <v>181</v>
      </c>
      <c r="K69" t="s">
        <v>79</v>
      </c>
    </row>
    <row r="70" spans="1:11" x14ac:dyDescent="0.35">
      <c r="A70" s="69" t="s">
        <v>118</v>
      </c>
      <c r="B70" s="107">
        <f>SUMIF('Raw TB'!A:A,'TB 1024'!A70,'Raw TB'!B:B)</f>
        <v>358027.88</v>
      </c>
      <c r="C70" s="107">
        <f>SUMIF('Raw TB'!A:A,'TB 1024'!A70,'Raw TB'!C:C)</f>
        <v>0</v>
      </c>
      <c r="D70" s="107">
        <f>SUMIF('Raw TB'!A:A,'TB 1024'!A70,'Raw TB'!D:D)</f>
        <v>0</v>
      </c>
      <c r="E70" s="107">
        <f>SUMIF('Raw TB'!A:A,'TB 1024'!A70,'Raw TB'!E:E)</f>
        <v>0</v>
      </c>
      <c r="F70" s="107">
        <f t="shared" si="0"/>
        <v>358027.88</v>
      </c>
      <c r="G70" s="107">
        <f t="shared" si="1"/>
        <v>0</v>
      </c>
      <c r="H70" s="107">
        <f t="shared" si="2"/>
        <v>358.02787999999998</v>
      </c>
      <c r="I70" t="s">
        <v>172</v>
      </c>
      <c r="J70" t="s">
        <v>181</v>
      </c>
      <c r="K70" t="s">
        <v>79</v>
      </c>
    </row>
    <row r="71" spans="1:11" x14ac:dyDescent="0.35">
      <c r="A71" s="69" t="s">
        <v>300</v>
      </c>
      <c r="B71" s="107">
        <f>SUMIF('Raw TB'!A:A,'TB 1024'!A71,'Raw TB'!B:B)</f>
        <v>1537167.67</v>
      </c>
      <c r="C71" s="107">
        <f>SUMIF('Raw TB'!A:A,'TB 1024'!A71,'Raw TB'!C:C)</f>
        <v>0</v>
      </c>
      <c r="D71" s="107">
        <f>SUMIF('Raw TB'!A:A,'TB 1024'!A71,'Raw TB'!D:D)</f>
        <v>0</v>
      </c>
      <c r="E71" s="107">
        <f>SUMIF('Raw TB'!A:A,'TB 1024'!A71,'Raw TB'!E:E)</f>
        <v>0</v>
      </c>
      <c r="F71" s="107">
        <f t="shared" si="0"/>
        <v>1537167.67</v>
      </c>
      <c r="G71" s="107">
        <f t="shared" si="1"/>
        <v>0</v>
      </c>
      <c r="H71" s="107">
        <f t="shared" si="2"/>
        <v>1537.1676699999998</v>
      </c>
      <c r="I71" t="s">
        <v>259</v>
      </c>
      <c r="J71" t="s">
        <v>181</v>
      </c>
      <c r="K71" t="s">
        <v>72</v>
      </c>
    </row>
    <row r="72" spans="1:11" x14ac:dyDescent="0.35">
      <c r="A72" s="69" t="s">
        <v>301</v>
      </c>
      <c r="B72" s="107">
        <f>SUMIF('Raw TB'!A:A,'TB 1024'!A72,'Raw TB'!B:B)</f>
        <v>0</v>
      </c>
      <c r="C72" s="107">
        <f>SUMIF('Raw TB'!A:A,'TB 1024'!A72,'Raw TB'!C:C)</f>
        <v>0</v>
      </c>
      <c r="D72" s="107">
        <f>SUMIF('Raw TB'!A:A,'TB 1024'!A72,'Raw TB'!D:D)</f>
        <v>0</v>
      </c>
      <c r="E72" s="107">
        <f>SUMIF('Raw TB'!A:A,'TB 1024'!A72,'Raw TB'!E:E)</f>
        <v>277464</v>
      </c>
      <c r="F72" s="107">
        <f t="shared" si="0"/>
        <v>0</v>
      </c>
      <c r="G72" s="107">
        <f t="shared" si="1"/>
        <v>277464</v>
      </c>
      <c r="H72" s="107">
        <f t="shared" si="2"/>
        <v>-277.464</v>
      </c>
      <c r="I72" t="s">
        <v>315</v>
      </c>
      <c r="J72" t="s">
        <v>184</v>
      </c>
      <c r="K72" t="s">
        <v>49</v>
      </c>
    </row>
    <row r="73" spans="1:11" x14ac:dyDescent="0.35">
      <c r="A73" s="69" t="s">
        <v>217</v>
      </c>
      <c r="B73" s="107">
        <f>SUMIF('Raw TB'!A:A,'TB 1024'!A73,'Raw TB'!B:B)</f>
        <v>602147.19999999995</v>
      </c>
      <c r="C73" s="107">
        <f>SUMIF('Raw TB'!A:A,'TB 1024'!A73,'Raw TB'!C:C)</f>
        <v>0</v>
      </c>
      <c r="D73" s="107">
        <f>SUMIF('Raw TB'!A:A,'TB 1024'!A73,'Raw TB'!D:D)</f>
        <v>120904</v>
      </c>
      <c r="E73" s="107">
        <f>SUMIF('Raw TB'!A:A,'TB 1024'!A73,'Raw TB'!E:E)</f>
        <v>0</v>
      </c>
      <c r="F73" s="107">
        <f t="shared" si="0"/>
        <v>723051.2</v>
      </c>
      <c r="G73" s="107">
        <f t="shared" si="1"/>
        <v>0</v>
      </c>
      <c r="H73" s="107">
        <f t="shared" si="2"/>
        <v>723.05119999999999</v>
      </c>
      <c r="I73" t="s">
        <v>166</v>
      </c>
      <c r="J73" t="s">
        <v>181</v>
      </c>
      <c r="K73" t="s">
        <v>78</v>
      </c>
    </row>
    <row r="74" spans="1:11" x14ac:dyDescent="0.35">
      <c r="A74" s="69" t="s">
        <v>218</v>
      </c>
      <c r="B74" s="107">
        <f>SUMIF('Raw TB'!A:A,'TB 1024'!A74,'Raw TB'!B:B)</f>
        <v>920742.86</v>
      </c>
      <c r="C74" s="107">
        <f>SUMIF('Raw TB'!A:A,'TB 1024'!A74,'Raw TB'!C:C)</f>
        <v>0</v>
      </c>
      <c r="D74" s="107">
        <f>SUMIF('Raw TB'!A:A,'TB 1024'!A74,'Raw TB'!D:D)</f>
        <v>1114109.71</v>
      </c>
      <c r="E74" s="107">
        <f>SUMIF('Raw TB'!A:A,'TB 1024'!A74,'Raw TB'!E:E)</f>
        <v>1198036.6599999999</v>
      </c>
      <c r="F74" s="107">
        <f t="shared" si="0"/>
        <v>2034852.5699999998</v>
      </c>
      <c r="G74" s="107">
        <f t="shared" si="1"/>
        <v>1198036.6599999999</v>
      </c>
      <c r="H74" s="107">
        <f t="shared" si="2"/>
        <v>836.81590999999992</v>
      </c>
      <c r="I74" t="s">
        <v>166</v>
      </c>
      <c r="J74" t="s">
        <v>181</v>
      </c>
      <c r="K74" t="s">
        <v>78</v>
      </c>
    </row>
    <row r="75" spans="1:11" x14ac:dyDescent="0.35">
      <c r="A75" s="69" t="s">
        <v>124</v>
      </c>
      <c r="B75" s="107">
        <f>SUMIF('Raw TB'!A:A,'TB 1024'!A75,'Raw TB'!B:B)</f>
        <v>0</v>
      </c>
      <c r="C75" s="107">
        <f>SUMIF('Raw TB'!A:A,'TB 1024'!A75,'Raw TB'!C:C)</f>
        <v>0</v>
      </c>
      <c r="D75" s="107">
        <f>SUMIF('Raw TB'!A:A,'TB 1024'!A75,'Raw TB'!D:D)</f>
        <v>835975.28333333298</v>
      </c>
      <c r="E75" s="107">
        <f>SUMIF('Raw TB'!A:A,'TB 1024'!A75,'Raw TB'!E:E)</f>
        <v>0</v>
      </c>
      <c r="F75" s="107">
        <f t="shared" ref="F75:F134" si="3">B75+D75</f>
        <v>835975.28333333298</v>
      </c>
      <c r="G75" s="107">
        <f t="shared" ref="G75:G134" si="4">C75+E75</f>
        <v>0</v>
      </c>
      <c r="H75" s="107">
        <f t="shared" ref="H75:H134" si="5">(F75-G75)/1000</f>
        <v>835.97528333333298</v>
      </c>
      <c r="I75" t="s">
        <v>173</v>
      </c>
      <c r="J75" t="s">
        <v>182</v>
      </c>
      <c r="K75" t="s">
        <v>401</v>
      </c>
    </row>
    <row r="76" spans="1:11" x14ac:dyDescent="0.35">
      <c r="A76" s="69" t="s">
        <v>26</v>
      </c>
      <c r="B76" s="107">
        <f>SUMIF('Raw TB'!A:A,'TB 1024'!A76,'Raw TB'!B:B)</f>
        <v>0</v>
      </c>
      <c r="C76" s="107">
        <f>SUMIF('Raw TB'!A:A,'TB 1024'!A76,'Raw TB'!C:C)</f>
        <v>0</v>
      </c>
      <c r="D76" s="107">
        <f>SUMIF('Raw TB'!A:A,'TB 1024'!A76,'Raw TB'!D:D)</f>
        <v>11401.22</v>
      </c>
      <c r="E76" s="107">
        <f>SUMIF('Raw TB'!A:A,'TB 1024'!A76,'Raw TB'!E:E)</f>
        <v>0</v>
      </c>
      <c r="F76" s="107">
        <f t="shared" si="3"/>
        <v>11401.22</v>
      </c>
      <c r="G76" s="107">
        <f t="shared" si="4"/>
        <v>0</v>
      </c>
      <c r="H76" s="107">
        <f t="shared" si="5"/>
        <v>11.401219999999999</v>
      </c>
      <c r="I76" t="s">
        <v>173</v>
      </c>
      <c r="J76" t="s">
        <v>182</v>
      </c>
      <c r="K76" t="s">
        <v>401</v>
      </c>
    </row>
    <row r="77" spans="1:11" x14ac:dyDescent="0.35">
      <c r="A77" s="69" t="s">
        <v>303</v>
      </c>
      <c r="B77" s="107">
        <f>SUMIF('Raw TB'!A:A,'TB 1024'!A77,'Raw TB'!B:B)</f>
        <v>0</v>
      </c>
      <c r="C77" s="107">
        <f>SUMIF('Raw TB'!A:A,'TB 1024'!A77,'Raw TB'!C:C)</f>
        <v>0</v>
      </c>
      <c r="D77" s="107">
        <f>SUMIF('Raw TB'!A:A,'TB 1024'!A77,'Raw TB'!D:D)</f>
        <v>0</v>
      </c>
      <c r="E77" s="107">
        <f>SUMIF('Raw TB'!A:A,'TB 1024'!A77,'Raw TB'!E:E)</f>
        <v>0</v>
      </c>
      <c r="F77" s="107">
        <f t="shared" si="3"/>
        <v>0</v>
      </c>
      <c r="G77" s="107">
        <f t="shared" si="4"/>
        <v>0</v>
      </c>
      <c r="H77" s="107">
        <f t="shared" si="5"/>
        <v>0</v>
      </c>
      <c r="I77" t="s">
        <v>144</v>
      </c>
      <c r="J77" t="s">
        <v>184</v>
      </c>
      <c r="K77" t="s">
        <v>25</v>
      </c>
    </row>
    <row r="78" spans="1:11" x14ac:dyDescent="0.35">
      <c r="A78" s="69" t="s">
        <v>340</v>
      </c>
      <c r="B78" s="107">
        <f>SUMIF('Raw TB'!A:A,'TB 1024'!A78,'Raw TB'!B:B)</f>
        <v>0</v>
      </c>
      <c r="C78" s="107">
        <f>SUMIF('Raw TB'!A:A,'TB 1024'!A78,'Raw TB'!C:C)</f>
        <v>8260</v>
      </c>
      <c r="D78" s="107">
        <f>SUMIF('Raw TB'!A:A,'TB 1024'!A78,'Raw TB'!D:D)</f>
        <v>8260</v>
      </c>
      <c r="E78" s="107">
        <f>SUMIF('Raw TB'!A:A,'TB 1024'!A78,'Raw TB'!E:E)</f>
        <v>0</v>
      </c>
      <c r="F78" s="107">
        <f t="shared" si="3"/>
        <v>8260</v>
      </c>
      <c r="G78" s="107">
        <f t="shared" si="4"/>
        <v>8260</v>
      </c>
      <c r="H78" s="107">
        <f t="shared" si="5"/>
        <v>0</v>
      </c>
      <c r="I78" t="s">
        <v>167</v>
      </c>
      <c r="J78" t="s">
        <v>180</v>
      </c>
      <c r="K78" t="s">
        <v>67</v>
      </c>
    </row>
    <row r="79" spans="1:11" x14ac:dyDescent="0.35">
      <c r="A79" s="69" t="s">
        <v>221</v>
      </c>
      <c r="B79" s="107">
        <f>SUMIF('Raw TB'!A:A,'TB 1024'!A79,'Raw TB'!B:B)</f>
        <v>8896.7099999999991</v>
      </c>
      <c r="C79" s="107">
        <f>SUMIF('Raw TB'!A:A,'TB 1024'!A79,'Raw TB'!C:C)</f>
        <v>8896.7099999999991</v>
      </c>
      <c r="D79" s="107">
        <f>SUMIF('Raw TB'!A:A,'TB 1024'!A79,'Raw TB'!D:D)</f>
        <v>0</v>
      </c>
      <c r="E79" s="107">
        <f>SUMIF('Raw TB'!A:A,'TB 1024'!A79,'Raw TB'!E:E)</f>
        <v>0</v>
      </c>
      <c r="F79" s="107">
        <f t="shared" si="3"/>
        <v>8896.7099999999991</v>
      </c>
      <c r="G79" s="107">
        <f t="shared" si="4"/>
        <v>8896.7099999999991</v>
      </c>
      <c r="H79" s="107">
        <f t="shared" si="5"/>
        <v>0</v>
      </c>
      <c r="I79" t="s">
        <v>171</v>
      </c>
      <c r="J79" t="s">
        <v>180</v>
      </c>
      <c r="K79" t="s">
        <v>67</v>
      </c>
    </row>
    <row r="80" spans="1:11" x14ac:dyDescent="0.35">
      <c r="A80" s="69" t="s">
        <v>374</v>
      </c>
      <c r="B80" s="107">
        <f>SUMIF('Raw TB'!A:A,'TB 1024'!A80,'Raw TB'!B:B)</f>
        <v>27.3</v>
      </c>
      <c r="C80" s="107">
        <f>SUMIF('Raw TB'!A:A,'TB 1024'!A80,'Raw TB'!C:C)</f>
        <v>0</v>
      </c>
      <c r="D80" s="107">
        <f>SUMIF('Raw TB'!A:A,'TB 1024'!A80,'Raw TB'!D:D)</f>
        <v>0</v>
      </c>
      <c r="E80" s="107">
        <f>SUMIF('Raw TB'!A:A,'TB 1024'!A80,'Raw TB'!E:E)</f>
        <v>0</v>
      </c>
      <c r="F80" s="107">
        <f t="shared" si="3"/>
        <v>27.3</v>
      </c>
      <c r="G80" s="107">
        <f t="shared" si="4"/>
        <v>0</v>
      </c>
      <c r="H80" s="107">
        <f t="shared" si="5"/>
        <v>2.7300000000000001E-2</v>
      </c>
      <c r="I80" t="s">
        <v>167</v>
      </c>
      <c r="J80" t="s">
        <v>180</v>
      </c>
      <c r="K80" t="s">
        <v>67</v>
      </c>
    </row>
    <row r="81" spans="1:11" x14ac:dyDescent="0.35">
      <c r="A81" s="69" t="s">
        <v>227</v>
      </c>
      <c r="B81" s="107">
        <f>SUMIF('Raw TB'!A:A,'TB 1024'!A81,'Raw TB'!B:B)</f>
        <v>0</v>
      </c>
      <c r="C81" s="107">
        <f>SUMIF('Raw TB'!A:A,'TB 1024'!A81,'Raw TB'!C:C)</f>
        <v>79999971.200000003</v>
      </c>
      <c r="D81" s="107">
        <f>SUMIF('Raw TB'!A:A,'TB 1024'!A81,'Raw TB'!D:D)</f>
        <v>0</v>
      </c>
      <c r="E81" s="107">
        <f>SUMIF('Raw TB'!A:A,'TB 1024'!A81,'Raw TB'!E:E)</f>
        <v>0</v>
      </c>
      <c r="F81" s="107">
        <f t="shared" si="3"/>
        <v>0</v>
      </c>
      <c r="G81" s="107">
        <f t="shared" si="4"/>
        <v>79999971.200000003</v>
      </c>
      <c r="H81" s="107">
        <f t="shared" si="5"/>
        <v>-79999.9712</v>
      </c>
      <c r="I81" t="s">
        <v>262</v>
      </c>
      <c r="J81" t="s">
        <v>180</v>
      </c>
    </row>
    <row r="82" spans="1:11" x14ac:dyDescent="0.35">
      <c r="A82" s="69" t="s">
        <v>1263</v>
      </c>
      <c r="B82" s="107"/>
      <c r="C82" s="107"/>
      <c r="D82" s="107"/>
      <c r="E82" s="107"/>
      <c r="F82" s="107"/>
      <c r="G82" s="107">
        <v>4207010</v>
      </c>
      <c r="H82" s="107">
        <f t="shared" si="5"/>
        <v>-4207.01</v>
      </c>
      <c r="K82" t="s">
        <v>63</v>
      </c>
    </row>
    <row r="83" spans="1:11" x14ac:dyDescent="0.35">
      <c r="A83" s="69" t="s">
        <v>1264</v>
      </c>
      <c r="B83" s="107"/>
      <c r="C83" s="107"/>
      <c r="D83" s="107"/>
      <c r="E83" s="107"/>
      <c r="F83" s="107"/>
      <c r="G83" s="107">
        <f>G81-G82</f>
        <v>75792961.200000003</v>
      </c>
      <c r="H83" s="107">
        <f t="shared" si="5"/>
        <v>-75792.961200000005</v>
      </c>
      <c r="K83" t="s">
        <v>64</v>
      </c>
    </row>
    <row r="84" spans="1:11" x14ac:dyDescent="0.35">
      <c r="A84" s="69" t="s">
        <v>42</v>
      </c>
      <c r="B84" s="107">
        <f>SUMIF('Raw TB'!A:A,'TB 1024'!A84,'Raw TB'!B:B)</f>
        <v>0</v>
      </c>
      <c r="C84" s="107">
        <f>SUMIF('Raw TB'!A:A,'TB 1024'!A84,'Raw TB'!C:C)</f>
        <v>0</v>
      </c>
      <c r="D84" s="107">
        <f>SUMIF('Raw TB'!A:A,'TB 1024'!A84,'Raw TB'!D:D)</f>
        <v>575.41999999999996</v>
      </c>
      <c r="E84" s="107">
        <f>SUMIF('Raw TB'!A:A,'TB 1024'!A84,'Raw TB'!E:E)</f>
        <v>0</v>
      </c>
      <c r="F84" s="107">
        <f t="shared" si="3"/>
        <v>575.41999999999996</v>
      </c>
      <c r="G84" s="107">
        <f t="shared" si="4"/>
        <v>0</v>
      </c>
      <c r="H84" s="107">
        <f t="shared" si="5"/>
        <v>0.57541999999999993</v>
      </c>
      <c r="I84" t="s">
        <v>40</v>
      </c>
      <c r="J84" t="s">
        <v>182</v>
      </c>
      <c r="K84" t="s">
        <v>42</v>
      </c>
    </row>
    <row r="85" spans="1:11" x14ac:dyDescent="0.35">
      <c r="A85" s="69" t="s">
        <v>231</v>
      </c>
      <c r="B85" s="107">
        <f>SUMIF('Raw TB'!A:A,'TB 1024'!A85,'Raw TB'!B:B)</f>
        <v>55864.5</v>
      </c>
      <c r="C85" s="107">
        <f>SUMIF('Raw TB'!A:A,'TB 1024'!A85,'Raw TB'!C:C)</f>
        <v>0</v>
      </c>
      <c r="D85" s="107">
        <f>SUMIF('Raw TB'!A:A,'TB 1024'!A85,'Raw TB'!D:D)</f>
        <v>0</v>
      </c>
      <c r="E85" s="107">
        <f>SUMIF('Raw TB'!A:A,'TB 1024'!A85,'Raw TB'!E:E)</f>
        <v>0</v>
      </c>
      <c r="F85" s="107">
        <f t="shared" si="3"/>
        <v>55864.5</v>
      </c>
      <c r="G85" s="107">
        <f t="shared" si="4"/>
        <v>0</v>
      </c>
      <c r="H85" s="107">
        <f t="shared" si="5"/>
        <v>55.8645</v>
      </c>
      <c r="I85" t="s">
        <v>259</v>
      </c>
      <c r="J85" t="s">
        <v>181</v>
      </c>
      <c r="K85" t="s">
        <v>71</v>
      </c>
    </row>
    <row r="86" spans="1:11" x14ac:dyDescent="0.35">
      <c r="A86" s="69" t="s">
        <v>40</v>
      </c>
      <c r="B86" s="107">
        <f>SUMIF('Raw TB'!A:A,'TB 1024'!A86,'Raw TB'!B:B)</f>
        <v>0</v>
      </c>
      <c r="C86" s="107">
        <f>SUMIF('Raw TB'!A:A,'TB 1024'!A86,'Raw TB'!C:C)</f>
        <v>0</v>
      </c>
      <c r="D86" s="107">
        <f>SUMIF('Raw TB'!A:A,'TB 1024'!A86,'Raw TB'!D:D)</f>
        <v>43381.83</v>
      </c>
      <c r="E86" s="107">
        <f>SUMIF('Raw TB'!A:A,'TB 1024'!A86,'Raw TB'!E:E)</f>
        <v>0</v>
      </c>
      <c r="F86" s="107">
        <f t="shared" si="3"/>
        <v>43381.83</v>
      </c>
      <c r="G86" s="107">
        <f t="shared" si="4"/>
        <v>0</v>
      </c>
      <c r="H86" s="107">
        <f t="shared" si="5"/>
        <v>43.381830000000001</v>
      </c>
      <c r="I86" t="s">
        <v>169</v>
      </c>
      <c r="J86" t="s">
        <v>182</v>
      </c>
      <c r="K86" t="s">
        <v>43</v>
      </c>
    </row>
    <row r="87" spans="1:11" x14ac:dyDescent="0.35">
      <c r="A87" s="69" t="s">
        <v>129</v>
      </c>
      <c r="B87" s="107">
        <f>SUMIF('Raw TB'!A:A,'TB 1024'!A87,'Raw TB'!B:B)</f>
        <v>13221</v>
      </c>
      <c r="C87" s="107">
        <f>SUMIF('Raw TB'!A:A,'TB 1024'!A87,'Raw TB'!C:C)</f>
        <v>13618.9</v>
      </c>
      <c r="D87" s="107">
        <f>SUMIF('Raw TB'!A:A,'TB 1024'!A87,'Raw TB'!D:D)</f>
        <v>0</v>
      </c>
      <c r="E87" s="107">
        <f>SUMIF('Raw TB'!A:A,'TB 1024'!A87,'Raw TB'!E:E)</f>
        <v>0</v>
      </c>
      <c r="F87" s="107">
        <f t="shared" si="3"/>
        <v>13221</v>
      </c>
      <c r="G87" s="107">
        <f t="shared" si="4"/>
        <v>13618.9</v>
      </c>
      <c r="H87" s="107">
        <f t="shared" si="5"/>
        <v>-0.39789999999999964</v>
      </c>
      <c r="I87" t="s">
        <v>174</v>
      </c>
      <c r="J87" t="s">
        <v>181</v>
      </c>
      <c r="K87" t="s">
        <v>79</v>
      </c>
    </row>
    <row r="88" spans="1:11" x14ac:dyDescent="0.35">
      <c r="A88" s="69" t="s">
        <v>130</v>
      </c>
      <c r="B88" s="107">
        <f>SUMIF('Raw TB'!A:A,'TB 1024'!A88,'Raw TB'!B:B)</f>
        <v>13221</v>
      </c>
      <c r="C88" s="107">
        <f>SUMIF('Raw TB'!A:A,'TB 1024'!A88,'Raw TB'!C:C)</f>
        <v>13618.9</v>
      </c>
      <c r="D88" s="107">
        <f>SUMIF('Raw TB'!A:A,'TB 1024'!A88,'Raw TB'!D:D)</f>
        <v>0</v>
      </c>
      <c r="E88" s="107">
        <f>SUMIF('Raw TB'!A:A,'TB 1024'!A88,'Raw TB'!E:E)</f>
        <v>0</v>
      </c>
      <c r="F88" s="107">
        <f t="shared" si="3"/>
        <v>13221</v>
      </c>
      <c r="G88" s="107">
        <f t="shared" si="4"/>
        <v>13618.9</v>
      </c>
      <c r="H88" s="107">
        <f t="shared" si="5"/>
        <v>-0.39789999999999964</v>
      </c>
      <c r="I88" t="s">
        <v>174</v>
      </c>
      <c r="J88" t="s">
        <v>181</v>
      </c>
      <c r="K88" t="s">
        <v>79</v>
      </c>
    </row>
    <row r="89" spans="1:11" x14ac:dyDescent="0.35">
      <c r="A89" s="69" t="s">
        <v>342</v>
      </c>
      <c r="B89" s="107">
        <f>SUMIF('Raw TB'!A:A,'TB 1024'!A89,'Raw TB'!B:B)</f>
        <v>0</v>
      </c>
      <c r="C89" s="107">
        <f>SUMIF('Raw TB'!A:A,'TB 1024'!A89,'Raw TB'!C:C)</f>
        <v>6000</v>
      </c>
      <c r="D89" s="107">
        <f>SUMIF('Raw TB'!A:A,'TB 1024'!A89,'Raw TB'!D:D)</f>
        <v>0</v>
      </c>
      <c r="E89" s="107">
        <f>SUMIF('Raw TB'!A:A,'TB 1024'!A89,'Raw TB'!E:E)</f>
        <v>0</v>
      </c>
      <c r="F89" s="107">
        <f t="shared" si="3"/>
        <v>0</v>
      </c>
      <c r="G89" s="107">
        <f t="shared" si="4"/>
        <v>6000</v>
      </c>
      <c r="H89" s="107">
        <f t="shared" si="5"/>
        <v>-6</v>
      </c>
      <c r="I89" t="s">
        <v>66</v>
      </c>
      <c r="J89" t="s">
        <v>180</v>
      </c>
      <c r="K89" t="s">
        <v>68</v>
      </c>
    </row>
    <row r="90" spans="1:11" x14ac:dyDescent="0.35">
      <c r="A90" s="69" t="s">
        <v>233</v>
      </c>
      <c r="B90" s="107">
        <f>SUMIF('Raw TB'!A:A,'TB 1024'!A90,'Raw TB'!B:B)</f>
        <v>0</v>
      </c>
      <c r="C90" s="107">
        <f>SUMIF('Raw TB'!A:A,'TB 1024'!A90,'Raw TB'!C:C)</f>
        <v>0</v>
      </c>
      <c r="D90" s="107">
        <f>SUMIF('Raw TB'!A:A,'TB 1024'!A90,'Raw TB'!D:D)</f>
        <v>3121</v>
      </c>
      <c r="E90" s="107">
        <f>SUMIF('Raw TB'!A:A,'TB 1024'!A90,'Raw TB'!E:E)</f>
        <v>0</v>
      </c>
      <c r="F90" s="107">
        <f t="shared" si="3"/>
        <v>3121</v>
      </c>
      <c r="G90" s="107">
        <f t="shared" si="4"/>
        <v>0</v>
      </c>
      <c r="H90" s="107">
        <f t="shared" si="5"/>
        <v>3.121</v>
      </c>
      <c r="I90" t="s">
        <v>170</v>
      </c>
      <c r="J90" t="s">
        <v>182</v>
      </c>
      <c r="K90" t="s">
        <v>417</v>
      </c>
    </row>
    <row r="91" spans="1:11" x14ac:dyDescent="0.35">
      <c r="A91" s="69" t="s">
        <v>376</v>
      </c>
      <c r="B91" s="107">
        <f>SUMIF('Raw TB'!A:A,'TB 1024'!A91,'Raw TB'!B:B)</f>
        <v>42500</v>
      </c>
      <c r="C91" s="107">
        <f>SUMIF('Raw TB'!A:A,'TB 1024'!A91,'Raw TB'!C:C)</f>
        <v>0</v>
      </c>
      <c r="D91" s="107">
        <f>SUMIF('Raw TB'!A:A,'TB 1024'!A91,'Raw TB'!D:D)</f>
        <v>20000</v>
      </c>
      <c r="E91" s="107">
        <f>SUMIF('Raw TB'!A:A,'TB 1024'!A91,'Raw TB'!E:E)</f>
        <v>0</v>
      </c>
      <c r="F91" s="107">
        <f t="shared" si="3"/>
        <v>62500</v>
      </c>
      <c r="G91" s="107">
        <f t="shared" si="4"/>
        <v>0</v>
      </c>
      <c r="H91" s="107">
        <f t="shared" si="5"/>
        <v>62.5</v>
      </c>
      <c r="I91" t="s">
        <v>75</v>
      </c>
      <c r="J91" t="s">
        <v>181</v>
      </c>
      <c r="K91" t="s">
        <v>79</v>
      </c>
    </row>
    <row r="92" spans="1:11" x14ac:dyDescent="0.35">
      <c r="A92" s="69" t="s">
        <v>41</v>
      </c>
      <c r="B92" s="107">
        <f>SUMIF('Raw TB'!A:A,'TB 1024'!A92,'Raw TB'!B:B)</f>
        <v>0</v>
      </c>
      <c r="C92" s="107">
        <f>SUMIF('Raw TB'!A:A,'TB 1024'!A92,'Raw TB'!C:C)</f>
        <v>0</v>
      </c>
      <c r="D92" s="107">
        <f>SUMIF('Raw TB'!A:A,'TB 1024'!A92,'Raw TB'!D:D)</f>
        <v>38100</v>
      </c>
      <c r="E92" s="107">
        <f>SUMIF('Raw TB'!A:A,'TB 1024'!A92,'Raw TB'!E:E)</f>
        <v>0</v>
      </c>
      <c r="F92" s="107">
        <f t="shared" si="3"/>
        <v>38100</v>
      </c>
      <c r="G92" s="107">
        <f t="shared" si="4"/>
        <v>0</v>
      </c>
      <c r="H92" s="107">
        <f t="shared" si="5"/>
        <v>38.1</v>
      </c>
      <c r="I92" t="s">
        <v>40</v>
      </c>
      <c r="J92" t="s">
        <v>182</v>
      </c>
      <c r="K92" t="s">
        <v>41</v>
      </c>
    </row>
    <row r="93" spans="1:11" x14ac:dyDescent="0.35">
      <c r="A93" s="69" t="s">
        <v>134</v>
      </c>
      <c r="B93" s="107">
        <f>SUMIF('Raw TB'!A:A,'TB 1024'!A93,'Raw TB'!B:B)</f>
        <v>0</v>
      </c>
      <c r="C93" s="107">
        <f>SUMIF('Raw TB'!A:A,'TB 1024'!A93,'Raw TB'!C:C)</f>
        <v>5400</v>
      </c>
      <c r="D93" s="107">
        <f>SUMIF('Raw TB'!A:A,'TB 1024'!A93,'Raw TB'!D:D)</f>
        <v>1600</v>
      </c>
      <c r="E93" s="107">
        <f>SUMIF('Raw TB'!A:A,'TB 1024'!A93,'Raw TB'!E:E)</f>
        <v>0</v>
      </c>
      <c r="F93" s="107">
        <f t="shared" si="3"/>
        <v>1600</v>
      </c>
      <c r="G93" s="107">
        <f t="shared" si="4"/>
        <v>5400</v>
      </c>
      <c r="H93" s="107">
        <f t="shared" si="5"/>
        <v>-3.8</v>
      </c>
      <c r="I93" t="s">
        <v>175</v>
      </c>
      <c r="J93" t="s">
        <v>180</v>
      </c>
      <c r="K93" t="s">
        <v>68</v>
      </c>
    </row>
    <row r="94" spans="1:11" x14ac:dyDescent="0.35">
      <c r="A94" s="69" t="s">
        <v>135</v>
      </c>
      <c r="B94" s="107">
        <f>15460957.79+3000</f>
        <v>15463957.789999999</v>
      </c>
      <c r="C94" s="107">
        <f>SUMIF('Raw TB'!A:A,'TB 1024'!A94,'Raw TB'!C:C)</f>
        <v>0</v>
      </c>
      <c r="D94" s="107">
        <f>SUMIF('Raw TB'!A:A,'TB 1024'!A94,'Raw TB'!D:D)</f>
        <v>3394577.9499999997</v>
      </c>
      <c r="E94" s="107">
        <f>SUMIF('Raw TB'!A:A,'TB 1024'!A94,'Raw TB'!E:E)</f>
        <v>0</v>
      </c>
      <c r="F94" s="107">
        <f t="shared" si="3"/>
        <v>18858535.739999998</v>
      </c>
      <c r="G94" s="107">
        <f t="shared" si="4"/>
        <v>0</v>
      </c>
      <c r="H94" s="107">
        <f t="shared" si="5"/>
        <v>18858.535739999999</v>
      </c>
      <c r="I94" t="s">
        <v>176</v>
      </c>
      <c r="J94" t="s">
        <v>180</v>
      </c>
      <c r="K94" t="s">
        <v>64</v>
      </c>
    </row>
    <row r="95" spans="1:11" x14ac:dyDescent="0.35">
      <c r="A95" s="69" t="s">
        <v>307</v>
      </c>
      <c r="B95" s="107">
        <f>SUMIF('Raw TB'!A:A,'TB 1024'!A95,'Raw TB'!B:B)</f>
        <v>14400</v>
      </c>
      <c r="C95" s="107">
        <f>SUMIF('Raw TB'!A:A,'TB 1024'!A95,'Raw TB'!C:C)</f>
        <v>0</v>
      </c>
      <c r="D95" s="107">
        <f>SUMIF('Raw TB'!A:A,'TB 1024'!A95,'Raw TB'!D:D)</f>
        <v>0</v>
      </c>
      <c r="E95" s="107">
        <f>SUMIF('Raw TB'!A:A,'TB 1024'!A95,'Raw TB'!E:E)</f>
        <v>0</v>
      </c>
      <c r="F95" s="107">
        <f t="shared" si="3"/>
        <v>14400</v>
      </c>
      <c r="G95" s="107">
        <f t="shared" si="4"/>
        <v>0</v>
      </c>
      <c r="H95" s="107">
        <f t="shared" si="5"/>
        <v>14.4</v>
      </c>
      <c r="I95" t="s">
        <v>167</v>
      </c>
      <c r="J95" t="s">
        <v>180</v>
      </c>
      <c r="K95" t="s">
        <v>67</v>
      </c>
    </row>
    <row r="96" spans="1:11" x14ac:dyDescent="0.35">
      <c r="A96" s="69" t="s">
        <v>343</v>
      </c>
      <c r="B96" s="107">
        <f>SUMIF('Raw TB'!A:A,'TB 1024'!A96,'Raw TB'!B:B)</f>
        <v>0</v>
      </c>
      <c r="C96" s="107">
        <f>SUMIF('Raw TB'!A:A,'TB 1024'!A96,'Raw TB'!C:C)</f>
        <v>59</v>
      </c>
      <c r="D96" s="107">
        <f>SUMIF('Raw TB'!A:A,'TB 1024'!A96,'Raw TB'!D:D)</f>
        <v>0</v>
      </c>
      <c r="E96" s="107">
        <f>SUMIF('Raw TB'!A:A,'TB 1024'!A96,'Raw TB'!E:E)</f>
        <v>0</v>
      </c>
      <c r="F96" s="107">
        <f t="shared" si="3"/>
        <v>0</v>
      </c>
      <c r="G96" s="107">
        <f t="shared" si="4"/>
        <v>59</v>
      </c>
      <c r="H96" s="107">
        <f t="shared" si="5"/>
        <v>-5.8999999999999997E-2</v>
      </c>
      <c r="I96" t="s">
        <v>171</v>
      </c>
      <c r="J96" t="s">
        <v>180</v>
      </c>
      <c r="K96" t="s">
        <v>67</v>
      </c>
    </row>
    <row r="97" spans="1:12" x14ac:dyDescent="0.35">
      <c r="A97" s="69" t="s">
        <v>136</v>
      </c>
      <c r="B97" s="107">
        <f>SUMIF('Raw TB'!A:A,'TB 1024'!A97,'Raw TB'!B:B)</f>
        <v>0</v>
      </c>
      <c r="C97" s="107">
        <f>SUMIF('Raw TB'!A:A,'TB 1024'!A97,'Raw TB'!C:C)</f>
        <v>37449</v>
      </c>
      <c r="D97" s="107">
        <f>SUMIF('Raw TB'!A:A,'TB 1024'!A97,'Raw TB'!D:D)</f>
        <v>0</v>
      </c>
      <c r="E97" s="107">
        <f>SUMIF('Raw TB'!A:A,'TB 1024'!A97,'Raw TB'!E:E)</f>
        <v>2937</v>
      </c>
      <c r="F97" s="107">
        <f t="shared" si="3"/>
        <v>0</v>
      </c>
      <c r="G97" s="107">
        <f t="shared" si="4"/>
        <v>40386</v>
      </c>
      <c r="H97" s="107">
        <f t="shared" si="5"/>
        <v>-40.386000000000003</v>
      </c>
      <c r="I97" t="s">
        <v>177</v>
      </c>
      <c r="J97" t="s">
        <v>180</v>
      </c>
      <c r="K97" t="s">
        <v>68</v>
      </c>
    </row>
    <row r="98" spans="1:12" x14ac:dyDescent="0.35">
      <c r="A98" s="69" t="s">
        <v>137</v>
      </c>
      <c r="B98" s="107">
        <f>SUMIF('Raw TB'!A:A,'TB 1024'!A98,'Raw TB'!B:B)</f>
        <v>0</v>
      </c>
      <c r="C98" s="107">
        <f>SUMIF('Raw TB'!A:A,'TB 1024'!A98,'Raw TB'!C:C)</f>
        <v>37449</v>
      </c>
      <c r="D98" s="107">
        <f>SUMIF('Raw TB'!A:A,'TB 1024'!A98,'Raw TB'!D:D)</f>
        <v>0</v>
      </c>
      <c r="E98" s="107">
        <f>SUMIF('Raw TB'!A:A,'TB 1024'!A98,'Raw TB'!E:E)</f>
        <v>2937</v>
      </c>
      <c r="F98" s="107">
        <f t="shared" si="3"/>
        <v>0</v>
      </c>
      <c r="G98" s="107">
        <f t="shared" si="4"/>
        <v>40386</v>
      </c>
      <c r="H98" s="107">
        <f t="shared" si="5"/>
        <v>-40.386000000000003</v>
      </c>
      <c r="I98" t="s">
        <v>177</v>
      </c>
      <c r="J98" t="s">
        <v>180</v>
      </c>
      <c r="K98" t="s">
        <v>68</v>
      </c>
    </row>
    <row r="99" spans="1:12" x14ac:dyDescent="0.35">
      <c r="A99" s="69" t="s">
        <v>138</v>
      </c>
      <c r="B99" s="107">
        <f>SUMIF('Raw TB'!A:A,'TB 1024'!A99,'Raw TB'!B:B)</f>
        <v>0</v>
      </c>
      <c r="C99" s="107">
        <f>SUMIF('Raw TB'!A:A,'TB 1024'!A99,'Raw TB'!C:C)</f>
        <v>25000</v>
      </c>
      <c r="D99" s="107">
        <f>SUMIF('Raw TB'!A:A,'TB 1024'!A99,'Raw TB'!D:D)</f>
        <v>0</v>
      </c>
      <c r="E99" s="107">
        <f>SUMIF('Raw TB'!A:A,'TB 1024'!A99,'Raw TB'!E:E)</f>
        <v>0</v>
      </c>
      <c r="F99" s="107">
        <f t="shared" si="3"/>
        <v>0</v>
      </c>
      <c r="G99" s="107">
        <f t="shared" si="4"/>
        <v>25000</v>
      </c>
      <c r="H99" s="107">
        <f t="shared" si="5"/>
        <v>-25</v>
      </c>
      <c r="I99" t="s">
        <v>178</v>
      </c>
      <c r="J99" t="s">
        <v>180</v>
      </c>
      <c r="K99" t="s">
        <v>69</v>
      </c>
    </row>
    <row r="100" spans="1:12" x14ac:dyDescent="0.35">
      <c r="A100" s="69" t="s">
        <v>377</v>
      </c>
      <c r="B100" s="107">
        <f>SUMIF('Raw TB'!A:A,'TB 1024'!A100,'Raw TB'!B:B)</f>
        <v>0</v>
      </c>
      <c r="C100" s="107">
        <f>SUMIF('Raw TB'!A:A,'TB 1024'!A100,'Raw TB'!C:C)</f>
        <v>80</v>
      </c>
      <c r="D100" s="107">
        <f>SUMIF('Raw TB'!A:A,'TB 1024'!A100,'Raw TB'!D:D)</f>
        <v>0</v>
      </c>
      <c r="E100" s="107">
        <f>SUMIF('Raw TB'!A:A,'TB 1024'!A100,'Raw TB'!E:E)</f>
        <v>0</v>
      </c>
      <c r="F100" s="107">
        <f t="shared" si="3"/>
        <v>0</v>
      </c>
      <c r="G100" s="107">
        <f t="shared" si="4"/>
        <v>80</v>
      </c>
      <c r="H100" s="107">
        <f t="shared" si="5"/>
        <v>-0.08</v>
      </c>
      <c r="I100" t="s">
        <v>167</v>
      </c>
      <c r="J100" t="s">
        <v>180</v>
      </c>
      <c r="K100" t="s">
        <v>67</v>
      </c>
    </row>
    <row r="101" spans="1:12" x14ac:dyDescent="0.35">
      <c r="A101" s="69" t="s">
        <v>308</v>
      </c>
      <c r="B101" s="107">
        <f>SUMIF('Raw TB'!A:A,'TB 1024'!A101,'Raw TB'!B:B)</f>
        <v>709500.46</v>
      </c>
      <c r="C101" s="107">
        <f>SUMIF('Raw TB'!A:A,'TB 1024'!A101,'Raw TB'!C:C)</f>
        <v>737777.27</v>
      </c>
      <c r="D101" s="107">
        <f>SUMIF('Raw TB'!A:A,'TB 1024'!A101,'Raw TB'!D:D)</f>
        <v>938690.79999999993</v>
      </c>
      <c r="E101" s="107">
        <f>SUMIF('Raw TB'!A:A,'TB 1024'!A101,'Raw TB'!E:E)</f>
        <v>938690.79999999993</v>
      </c>
      <c r="F101" s="107">
        <f t="shared" si="3"/>
        <v>1648191.2599999998</v>
      </c>
      <c r="G101" s="107">
        <f t="shared" si="4"/>
        <v>1676468.0699999998</v>
      </c>
      <c r="H101" s="107">
        <f t="shared" si="5"/>
        <v>-28.276810000000054</v>
      </c>
      <c r="I101" t="s">
        <v>66</v>
      </c>
      <c r="J101" t="s">
        <v>180</v>
      </c>
      <c r="K101" t="s">
        <v>68</v>
      </c>
      <c r="L101" s="90"/>
    </row>
    <row r="102" spans="1:12" x14ac:dyDescent="0.35">
      <c r="A102" s="69" t="s">
        <v>142</v>
      </c>
      <c r="B102" s="107">
        <f>SUMIF('Raw TB'!A:A,'TB 1024'!A102,'Raw TB'!B:B)</f>
        <v>0</v>
      </c>
      <c r="C102" s="107">
        <f>SUMIF('Raw TB'!A:A,'TB 1024'!A102,'Raw TB'!C:C)</f>
        <v>0</v>
      </c>
      <c r="D102" s="107">
        <f>SUMIF('Raw TB'!A:A,'TB 1024'!A102,'Raw TB'!D:D)</f>
        <v>43333.33</v>
      </c>
      <c r="E102" s="107">
        <f>SUMIF('Raw TB'!A:A,'TB 1024'!A102,'Raw TB'!E:E)</f>
        <v>0</v>
      </c>
      <c r="F102" s="107">
        <f t="shared" si="3"/>
        <v>43333.33</v>
      </c>
      <c r="G102" s="107">
        <f t="shared" si="4"/>
        <v>0</v>
      </c>
      <c r="H102" s="107">
        <f t="shared" si="5"/>
        <v>43.333330000000004</v>
      </c>
      <c r="I102" t="s">
        <v>169</v>
      </c>
      <c r="J102" t="s">
        <v>182</v>
      </c>
      <c r="K102" t="s">
        <v>31</v>
      </c>
    </row>
    <row r="103" spans="1:12" x14ac:dyDescent="0.35">
      <c r="A103" s="69" t="s">
        <v>382</v>
      </c>
      <c r="B103" s="107">
        <f>SUMIF('Raw TB'!A:A,'TB 1024'!A103,'Raw TB'!B:B)</f>
        <v>70200</v>
      </c>
      <c r="C103" s="107">
        <f>SUMIF('Raw TB'!A:A,'TB 1024'!A103,'Raw TB'!C:C)</f>
        <v>70200</v>
      </c>
      <c r="D103" s="107">
        <f>SUMIF('Raw TB'!A:A,'TB 1024'!A103,'Raw TB'!D:D)</f>
        <v>0</v>
      </c>
      <c r="E103" s="107">
        <f>SUMIF('Raw TB'!A:A,'TB 1024'!A103,'Raw TB'!E:E)</f>
        <v>0</v>
      </c>
      <c r="F103" s="107">
        <f t="shared" si="3"/>
        <v>70200</v>
      </c>
      <c r="G103" s="107">
        <f t="shared" si="4"/>
        <v>70200</v>
      </c>
      <c r="H103" s="107">
        <f t="shared" si="5"/>
        <v>0</v>
      </c>
      <c r="I103" t="s">
        <v>165</v>
      </c>
      <c r="J103" t="s">
        <v>180</v>
      </c>
      <c r="K103" t="s">
        <v>67</v>
      </c>
    </row>
    <row r="104" spans="1:12" x14ac:dyDescent="0.35">
      <c r="A104" s="69" t="s">
        <v>309</v>
      </c>
      <c r="B104" s="107">
        <f>SUMIF('Raw TB'!A:A,'TB 1024'!A104,'Raw TB'!B:B)</f>
        <v>0</v>
      </c>
      <c r="C104" s="107">
        <f>SUMIF('Raw TB'!A:A,'TB 1024'!A104,'Raw TB'!C:C)</f>
        <v>37800</v>
      </c>
      <c r="D104" s="107">
        <f>SUMIF('Raw TB'!A:A,'TB 1024'!A104,'Raw TB'!D:D)</f>
        <v>0</v>
      </c>
      <c r="E104" s="107">
        <f>SUMIF('Raw TB'!A:A,'TB 1024'!A104,'Raw TB'!E:E)</f>
        <v>0</v>
      </c>
      <c r="F104" s="107">
        <f t="shared" si="3"/>
        <v>0</v>
      </c>
      <c r="G104" s="107">
        <f t="shared" si="4"/>
        <v>37800</v>
      </c>
      <c r="H104" s="107">
        <f t="shared" si="5"/>
        <v>-37.799999999999997</v>
      </c>
      <c r="I104" t="s">
        <v>171</v>
      </c>
      <c r="J104" t="s">
        <v>180</v>
      </c>
      <c r="K104" t="s">
        <v>67</v>
      </c>
    </row>
    <row r="105" spans="1:12" x14ac:dyDescent="0.35">
      <c r="A105" s="69" t="s">
        <v>143</v>
      </c>
      <c r="B105" s="107">
        <f>SUMIF('Raw TB'!A:A,'TB 1024'!A105,'Raw TB'!B:B)</f>
        <v>0</v>
      </c>
      <c r="C105" s="107">
        <f>SUMIF('Raw TB'!A:A,'TB 1024'!A105,'Raw TB'!C:C)</f>
        <v>0</v>
      </c>
      <c r="D105" s="107">
        <f>SUMIF('Raw TB'!A:A,'TB 1024'!A105,'Raw TB'!D:D)</f>
        <v>2054796.77</v>
      </c>
      <c r="E105" s="107">
        <f>SUMIF('Raw TB'!A:A,'TB 1024'!A105,'Raw TB'!E:E)</f>
        <v>0</v>
      </c>
      <c r="F105" s="107">
        <f t="shared" si="3"/>
        <v>2054796.77</v>
      </c>
      <c r="G105" s="107">
        <f t="shared" si="4"/>
        <v>0</v>
      </c>
      <c r="H105" s="107">
        <f t="shared" si="5"/>
        <v>2054.7967699999999</v>
      </c>
      <c r="I105" t="s">
        <v>170</v>
      </c>
      <c r="J105" t="s">
        <v>182</v>
      </c>
      <c r="K105" t="s">
        <v>185</v>
      </c>
    </row>
    <row r="106" spans="1:12" x14ac:dyDescent="0.35">
      <c r="A106" s="69" t="s">
        <v>145</v>
      </c>
      <c r="B106" s="107">
        <f>SUMIF('Raw TB'!A:A,'TB 1024'!A106,'Raw TB'!B:B)</f>
        <v>0</v>
      </c>
      <c r="C106" s="107">
        <f>SUMIF('Raw TB'!A:A,'TB 1024'!A106,'Raw TB'!C:C)</f>
        <v>7516</v>
      </c>
      <c r="D106" s="107">
        <f>SUMIF('Raw TB'!A:A,'TB 1024'!A106,'Raw TB'!D:D)</f>
        <v>9048</v>
      </c>
      <c r="E106" s="107">
        <f>SUMIF('Raw TB'!A:A,'TB 1024'!A106,'Raw TB'!E:E)</f>
        <v>0</v>
      </c>
      <c r="F106" s="107">
        <f t="shared" si="3"/>
        <v>9048</v>
      </c>
      <c r="G106" s="107">
        <f t="shared" si="4"/>
        <v>7516</v>
      </c>
      <c r="H106" s="107">
        <f t="shared" si="5"/>
        <v>1.532</v>
      </c>
      <c r="I106" t="s">
        <v>171</v>
      </c>
      <c r="J106" t="s">
        <v>180</v>
      </c>
      <c r="K106" t="s">
        <v>67</v>
      </c>
    </row>
    <row r="107" spans="1:12" x14ac:dyDescent="0.35">
      <c r="A107" s="69" t="s">
        <v>310</v>
      </c>
      <c r="B107" s="107">
        <f>SUMIF('Raw TB'!A:A,'TB 1024'!A107,'Raw TB'!B:B)</f>
        <v>0</v>
      </c>
      <c r="C107" s="107">
        <f>SUMIF('Raw TB'!A:A,'TB 1024'!A107,'Raw TB'!C:C)</f>
        <v>6805</v>
      </c>
      <c r="D107" s="107">
        <f>SUMIF('Raw TB'!A:A,'TB 1024'!A107,'Raw TB'!D:D)</f>
        <v>0</v>
      </c>
      <c r="E107" s="107">
        <f>SUMIF('Raw TB'!A:A,'TB 1024'!A107,'Raw TB'!E:E)</f>
        <v>0</v>
      </c>
      <c r="F107" s="107">
        <f t="shared" si="3"/>
        <v>0</v>
      </c>
      <c r="G107" s="107">
        <f t="shared" si="4"/>
        <v>6805</v>
      </c>
      <c r="H107" s="107">
        <f t="shared" si="5"/>
        <v>-6.8049999999999997</v>
      </c>
      <c r="I107" t="s">
        <v>171</v>
      </c>
      <c r="J107" t="s">
        <v>180</v>
      </c>
      <c r="K107" t="s">
        <v>67</v>
      </c>
    </row>
    <row r="108" spans="1:12" x14ac:dyDescent="0.35">
      <c r="A108" s="69" t="s">
        <v>146</v>
      </c>
      <c r="B108" s="107">
        <f>SUMIF('Raw TB'!A:A,'TB 1024'!A108,'Raw TB'!B:B)</f>
        <v>990000</v>
      </c>
      <c r="C108" s="107">
        <f>SUMIF('Raw TB'!A:A,'TB 1024'!A108,'Raw TB'!C:C)</f>
        <v>30000</v>
      </c>
      <c r="D108" s="107">
        <f>SUMIF('Raw TB'!A:A,'TB 1024'!A108,'Raw TB'!D:D)</f>
        <v>0</v>
      </c>
      <c r="E108" s="107">
        <f>SUMIF('Raw TB'!A:A,'TB 1024'!A108,'Raw TB'!E:E)</f>
        <v>0</v>
      </c>
      <c r="F108" s="107">
        <f t="shared" si="3"/>
        <v>990000</v>
      </c>
      <c r="G108" s="107">
        <f t="shared" si="4"/>
        <v>30000</v>
      </c>
      <c r="H108" s="107">
        <f t="shared" si="5"/>
        <v>960</v>
      </c>
      <c r="I108" t="s">
        <v>75</v>
      </c>
      <c r="J108" t="s">
        <v>181</v>
      </c>
      <c r="K108" t="s">
        <v>73</v>
      </c>
    </row>
    <row r="109" spans="1:12" x14ac:dyDescent="0.35">
      <c r="A109" s="69" t="s">
        <v>311</v>
      </c>
      <c r="B109" s="107">
        <f>SUMIF('Raw TB'!A:A,'TB 1024'!A109,'Raw TB'!B:B)</f>
        <v>0</v>
      </c>
      <c r="C109" s="107">
        <f>SUMIF('Raw TB'!A:A,'TB 1024'!A109,'Raw TB'!C:C)</f>
        <v>13221.41</v>
      </c>
      <c r="D109" s="107">
        <f>SUMIF('Raw TB'!A:A,'TB 1024'!A109,'Raw TB'!D:D)</f>
        <v>0</v>
      </c>
      <c r="E109" s="107">
        <f>SUMIF('Raw TB'!A:A,'TB 1024'!A109,'Raw TB'!E:E)</f>
        <v>0</v>
      </c>
      <c r="F109" s="107">
        <f t="shared" si="3"/>
        <v>0</v>
      </c>
      <c r="G109" s="107">
        <f t="shared" si="4"/>
        <v>13221.41</v>
      </c>
      <c r="H109" s="107">
        <f t="shared" si="5"/>
        <v>-13.221410000000001</v>
      </c>
      <c r="I109" t="s">
        <v>174</v>
      </c>
      <c r="J109" t="s">
        <v>180</v>
      </c>
      <c r="K109" t="s">
        <v>68</v>
      </c>
    </row>
    <row r="110" spans="1:12" x14ac:dyDescent="0.35">
      <c r="A110" s="69" t="s">
        <v>148</v>
      </c>
      <c r="B110" s="107">
        <f>SUMIF('Raw TB'!A:A,'TB 1024'!A110,'Raw TB'!B:B)</f>
        <v>0</v>
      </c>
      <c r="C110" s="107">
        <f>SUMIF('Raw TB'!A:A,'TB 1024'!A110,'Raw TB'!C:C)</f>
        <v>102660</v>
      </c>
      <c r="D110" s="107">
        <f>SUMIF('Raw TB'!A:A,'TB 1024'!A110,'Raw TB'!D:D)</f>
        <v>0</v>
      </c>
      <c r="E110" s="107">
        <f>SUMIF('Raw TB'!A:A,'TB 1024'!A110,'Raw TB'!E:E)</f>
        <v>0</v>
      </c>
      <c r="F110" s="107">
        <f t="shared" si="3"/>
        <v>0</v>
      </c>
      <c r="G110" s="107">
        <f t="shared" si="4"/>
        <v>102660</v>
      </c>
      <c r="H110" s="107">
        <f t="shared" si="5"/>
        <v>-102.66</v>
      </c>
      <c r="I110" t="s">
        <v>164</v>
      </c>
      <c r="J110" t="s">
        <v>180</v>
      </c>
      <c r="K110" t="s">
        <v>67</v>
      </c>
    </row>
    <row r="111" spans="1:12" x14ac:dyDescent="0.35">
      <c r="A111" s="69" t="s">
        <v>149</v>
      </c>
      <c r="B111" s="107">
        <f>SUMIF('Raw TB'!A:A,'TB 1024'!A111,'Raw TB'!B:B)</f>
        <v>0</v>
      </c>
      <c r="C111" s="107">
        <f>SUMIF('Raw TB'!A:A,'TB 1024'!A111,'Raw TB'!C:C)</f>
        <v>0</v>
      </c>
      <c r="D111" s="107">
        <f>SUMIF('Raw TB'!A:A,'TB 1024'!A111,'Raw TB'!D:D)</f>
        <v>131890.79999999999</v>
      </c>
      <c r="E111" s="107">
        <f>SUMIF('Raw TB'!A:A,'TB 1024'!A111,'Raw TB'!E:E)</f>
        <v>42480</v>
      </c>
      <c r="F111" s="107">
        <f t="shared" si="3"/>
        <v>131890.79999999999</v>
      </c>
      <c r="G111" s="107">
        <f t="shared" si="4"/>
        <v>42480</v>
      </c>
      <c r="H111" s="107">
        <f t="shared" si="5"/>
        <v>89.410799999999995</v>
      </c>
      <c r="I111" t="s">
        <v>169</v>
      </c>
      <c r="J111" t="s">
        <v>182</v>
      </c>
      <c r="K111" t="s">
        <v>39</v>
      </c>
    </row>
    <row r="112" spans="1:12" x14ac:dyDescent="0.35">
      <c r="A112" s="69" t="s">
        <v>33</v>
      </c>
      <c r="B112" s="107">
        <f>SUMIF('Raw TB'!A:A,'TB 1024'!A112,'Raw TB'!B:B)</f>
        <v>0</v>
      </c>
      <c r="C112" s="107">
        <f>SUMIF('Raw TB'!A:A,'TB 1024'!A112,'Raw TB'!C:C)</f>
        <v>0</v>
      </c>
      <c r="D112" s="107">
        <f>SUMIF('Raw TB'!A:A,'TB 1024'!A112,'Raw TB'!D:D)</f>
        <v>118504.3</v>
      </c>
      <c r="E112" s="107">
        <f>SUMIF('Raw TB'!A:A,'TB 1024'!A112,'Raw TB'!E:E)</f>
        <v>0</v>
      </c>
      <c r="F112" s="107">
        <f t="shared" si="3"/>
        <v>118504.3</v>
      </c>
      <c r="G112" s="107">
        <f t="shared" si="4"/>
        <v>0</v>
      </c>
      <c r="H112" s="107">
        <f t="shared" si="5"/>
        <v>118.5043</v>
      </c>
      <c r="I112" t="s">
        <v>173</v>
      </c>
      <c r="J112" t="s">
        <v>182</v>
      </c>
      <c r="K112" t="s">
        <v>33</v>
      </c>
    </row>
    <row r="113" spans="1:11" x14ac:dyDescent="0.35">
      <c r="A113" s="69" t="s">
        <v>150</v>
      </c>
      <c r="B113" s="107">
        <f>SUMIF('Raw TB'!A:A,'TB 1024'!A113,'Raw TB'!B:B)</f>
        <v>0</v>
      </c>
      <c r="C113" s="107">
        <f>SUMIF('Raw TB'!A:A,'TB 1024'!A113,'Raw TB'!C:C)</f>
        <v>0</v>
      </c>
      <c r="D113" s="107">
        <f>SUMIF('Raw TB'!A:A,'TB 1024'!A113,'Raw TB'!D:D)</f>
        <v>106295.4</v>
      </c>
      <c r="E113" s="107">
        <f>SUMIF('Raw TB'!A:A,'TB 1024'!A113,'Raw TB'!E:E)</f>
        <v>0</v>
      </c>
      <c r="F113" s="107">
        <f t="shared" si="3"/>
        <v>106295.4</v>
      </c>
      <c r="G113" s="107">
        <f t="shared" si="4"/>
        <v>0</v>
      </c>
      <c r="H113" s="107">
        <f t="shared" si="5"/>
        <v>106.2954</v>
      </c>
      <c r="I113" t="s">
        <v>170</v>
      </c>
      <c r="J113" t="s">
        <v>182</v>
      </c>
      <c r="K113" t="s">
        <v>417</v>
      </c>
    </row>
    <row r="114" spans="1:11" x14ac:dyDescent="0.35">
      <c r="A114" s="69" t="s">
        <v>400</v>
      </c>
      <c r="B114" s="107">
        <f>SUMIF('Raw TB'!A:A,'TB 1024'!A114,'Raw TB'!B:B)</f>
        <v>26538.84</v>
      </c>
      <c r="C114" s="107">
        <f>SUMIF('Raw TB'!A:A,'TB 1024'!A114,'Raw TB'!C:C)</f>
        <v>26538.84</v>
      </c>
      <c r="D114" s="107">
        <f>SUMIF('Raw TB'!A:A,'TB 1024'!A114,'Raw TB'!D:D)</f>
        <v>0</v>
      </c>
      <c r="E114" s="107">
        <f>SUMIF('Raw TB'!A:A,'TB 1024'!A114,'Raw TB'!E:E)</f>
        <v>0</v>
      </c>
      <c r="F114" s="107">
        <f t="shared" si="3"/>
        <v>26538.84</v>
      </c>
      <c r="G114" s="107">
        <f t="shared" si="4"/>
        <v>26538.84</v>
      </c>
      <c r="H114" s="107">
        <f t="shared" si="5"/>
        <v>0</v>
      </c>
      <c r="I114" t="s">
        <v>171</v>
      </c>
      <c r="J114" t="s">
        <v>180</v>
      </c>
      <c r="K114" t="s">
        <v>67</v>
      </c>
    </row>
    <row r="115" spans="1:11" x14ac:dyDescent="0.35">
      <c r="A115" s="69" t="s">
        <v>271</v>
      </c>
      <c r="B115" s="107">
        <f>SUMIF('Raw TB'!A:A,'TB 1024'!A115,'Raw TB'!B:B)</f>
        <v>0</v>
      </c>
      <c r="C115" s="107">
        <f>SUMIF('Raw TB'!A:A,'TB 1024'!A115,'Raw TB'!C:C)</f>
        <v>1980</v>
      </c>
      <c r="D115" s="107">
        <f>SUMIF('Raw TB'!A:A,'TB 1024'!A115,'Raw TB'!D:D)</f>
        <v>0</v>
      </c>
      <c r="E115" s="107">
        <f>SUMIF('Raw TB'!A:A,'TB 1024'!A115,'Raw TB'!E:E)</f>
        <v>0</v>
      </c>
      <c r="F115" s="107">
        <f t="shared" si="3"/>
        <v>0</v>
      </c>
      <c r="G115" s="107">
        <f t="shared" si="4"/>
        <v>1980</v>
      </c>
      <c r="H115" s="107">
        <f t="shared" si="5"/>
        <v>-1.98</v>
      </c>
      <c r="I115" t="s">
        <v>165</v>
      </c>
      <c r="J115" t="s">
        <v>180</v>
      </c>
      <c r="K115" t="s">
        <v>68</v>
      </c>
    </row>
    <row r="116" spans="1:11" x14ac:dyDescent="0.35">
      <c r="A116" s="69" t="s">
        <v>345</v>
      </c>
      <c r="B116" s="107">
        <f>SUMIF('Raw TB'!A:A,'TB 1024'!A116,'Raw TB'!B:B)</f>
        <v>70233</v>
      </c>
      <c r="C116" s="107">
        <f>SUMIF('Raw TB'!A:A,'TB 1024'!A116,'Raw TB'!C:C)</f>
        <v>0</v>
      </c>
      <c r="D116" s="107">
        <f>SUMIF('Raw TB'!A:A,'TB 1024'!A116,'Raw TB'!D:D)</f>
        <v>22820</v>
      </c>
      <c r="E116" s="107">
        <f>SUMIF('Raw TB'!A:A,'TB 1024'!A116,'Raw TB'!E:E)</f>
        <v>0</v>
      </c>
      <c r="F116" s="107">
        <f t="shared" si="3"/>
        <v>93053</v>
      </c>
      <c r="G116" s="107">
        <f t="shared" si="4"/>
        <v>0</v>
      </c>
      <c r="H116" s="107">
        <f t="shared" si="5"/>
        <v>93.052999999999997</v>
      </c>
      <c r="I116" t="s">
        <v>175</v>
      </c>
      <c r="J116" t="s">
        <v>181</v>
      </c>
      <c r="K116" t="s">
        <v>79</v>
      </c>
    </row>
    <row r="117" spans="1:11" x14ac:dyDescent="0.35">
      <c r="A117" s="69" t="s">
        <v>151</v>
      </c>
      <c r="B117" s="107">
        <f>SUMIF('Raw TB'!A:A,'TB 1024'!A117,'Raw TB'!B:B)</f>
        <v>151929</v>
      </c>
      <c r="C117" s="107">
        <f>SUMIF('Raw TB'!A:A,'TB 1024'!A117,'Raw TB'!C:C)</f>
        <v>151929</v>
      </c>
      <c r="D117" s="107">
        <f>SUMIF('Raw TB'!A:A,'TB 1024'!A117,'Raw TB'!D:D)</f>
        <v>0</v>
      </c>
      <c r="E117" s="107">
        <f>SUMIF('Raw TB'!A:A,'TB 1024'!A117,'Raw TB'!E:E)</f>
        <v>0</v>
      </c>
      <c r="F117" s="107">
        <f t="shared" si="3"/>
        <v>151929</v>
      </c>
      <c r="G117" s="107">
        <f t="shared" si="4"/>
        <v>151929</v>
      </c>
      <c r="H117" s="107">
        <f t="shared" si="5"/>
        <v>0</v>
      </c>
      <c r="I117" t="s">
        <v>179</v>
      </c>
      <c r="J117" t="s">
        <v>180</v>
      </c>
      <c r="K117" t="s">
        <v>68</v>
      </c>
    </row>
    <row r="118" spans="1:11" x14ac:dyDescent="0.35">
      <c r="A118" s="69" t="s">
        <v>152</v>
      </c>
      <c r="B118" s="107">
        <f>SUMIF('Raw TB'!A:A,'TB 1024'!A118,'Raw TB'!B:B)</f>
        <v>25614.22</v>
      </c>
      <c r="C118" s="107">
        <f>SUMIF('Raw TB'!A:A,'TB 1024'!A118,'Raw TB'!C:C)</f>
        <v>0</v>
      </c>
      <c r="D118" s="107">
        <f>SUMIF('Raw TB'!A:A,'TB 1024'!A118,'Raw TB'!D:D)</f>
        <v>0</v>
      </c>
      <c r="E118" s="107">
        <f>SUMIF('Raw TB'!A:A,'TB 1024'!A118,'Raw TB'!E:E)</f>
        <v>0</v>
      </c>
      <c r="F118" s="107">
        <f t="shared" si="3"/>
        <v>25614.22</v>
      </c>
      <c r="G118" s="107">
        <f t="shared" si="4"/>
        <v>0</v>
      </c>
      <c r="H118" s="107">
        <f t="shared" si="5"/>
        <v>25.61422</v>
      </c>
      <c r="I118" t="s">
        <v>179</v>
      </c>
      <c r="J118" t="s">
        <v>180</v>
      </c>
      <c r="K118" t="s">
        <v>68</v>
      </c>
    </row>
    <row r="119" spans="1:11" x14ac:dyDescent="0.35">
      <c r="A119" s="69" t="s">
        <v>153</v>
      </c>
      <c r="B119" s="107">
        <f>SUMIF('Raw TB'!A:A,'TB 1024'!A119,'Raw TB'!B:B)</f>
        <v>32333.99</v>
      </c>
      <c r="C119" s="107">
        <f>SUMIF('Raw TB'!A:A,'TB 1024'!A119,'Raw TB'!C:C)</f>
        <v>32333.99</v>
      </c>
      <c r="D119" s="107">
        <f>SUMIF('Raw TB'!A:A,'TB 1024'!A119,'Raw TB'!D:D)</f>
        <v>0</v>
      </c>
      <c r="E119" s="107">
        <f>SUMIF('Raw TB'!A:A,'TB 1024'!A119,'Raw TB'!E:E)</f>
        <v>0</v>
      </c>
      <c r="F119" s="107">
        <f t="shared" si="3"/>
        <v>32333.99</v>
      </c>
      <c r="G119" s="107">
        <f t="shared" si="4"/>
        <v>32333.99</v>
      </c>
      <c r="H119" s="107">
        <f t="shared" si="5"/>
        <v>0</v>
      </c>
      <c r="I119" t="s">
        <v>179</v>
      </c>
      <c r="J119" t="s">
        <v>180</v>
      </c>
      <c r="K119" t="s">
        <v>68</v>
      </c>
    </row>
    <row r="120" spans="1:11" x14ac:dyDescent="0.35">
      <c r="A120" s="69" t="s">
        <v>253</v>
      </c>
      <c r="B120" s="107">
        <f>SUMIF('Raw TB'!A:A,'TB 1024'!A120,'Raw TB'!B:B)</f>
        <v>46895.633000000002</v>
      </c>
      <c r="C120" s="107">
        <f>SUMIF('Raw TB'!A:A,'TB 1024'!A120,'Raw TB'!C:C)</f>
        <v>61894.85</v>
      </c>
      <c r="D120" s="107">
        <f>SUMIF('Raw TB'!A:A,'TB 1024'!A120,'Raw TB'!D:D)</f>
        <v>0</v>
      </c>
      <c r="E120" s="107">
        <f>SUMIF('Raw TB'!A:A,'TB 1024'!A120,'Raw TB'!E:E)</f>
        <v>0</v>
      </c>
      <c r="F120" s="107">
        <f t="shared" si="3"/>
        <v>46895.633000000002</v>
      </c>
      <c r="G120" s="107">
        <f t="shared" si="4"/>
        <v>61894.85</v>
      </c>
      <c r="H120" s="107">
        <f t="shared" si="5"/>
        <v>-14.999216999999996</v>
      </c>
      <c r="I120" t="s">
        <v>179</v>
      </c>
      <c r="J120" t="s">
        <v>180</v>
      </c>
      <c r="K120" t="s">
        <v>68</v>
      </c>
    </row>
    <row r="121" spans="1:11" x14ac:dyDescent="0.35">
      <c r="A121" s="69" t="s">
        <v>403</v>
      </c>
      <c r="B121" s="107">
        <f>SUMIF('Raw TB'!A:A,'TB 1024'!A121,'Raw TB'!B:B)</f>
        <v>75000</v>
      </c>
      <c r="C121" s="107">
        <f>SUMIF('Raw TB'!A:A,'TB 1024'!A121,'Raw TB'!C:C)</f>
        <v>0</v>
      </c>
      <c r="D121" s="107">
        <f>SUMIF('Raw TB'!A:A,'TB 1024'!A121,'Raw TB'!D:D)</f>
        <v>0</v>
      </c>
      <c r="E121" s="107">
        <f>SUMIF('Raw TB'!A:A,'TB 1024'!A121,'Raw TB'!E:E)</f>
        <v>0</v>
      </c>
      <c r="F121" s="107">
        <f t="shared" si="3"/>
        <v>75000</v>
      </c>
      <c r="G121" s="107">
        <f t="shared" si="4"/>
        <v>0</v>
      </c>
      <c r="H121" s="107">
        <f t="shared" si="5"/>
        <v>75</v>
      </c>
      <c r="I121" t="s">
        <v>167</v>
      </c>
      <c r="J121" t="s">
        <v>180</v>
      </c>
      <c r="K121" t="s">
        <v>79</v>
      </c>
    </row>
    <row r="122" spans="1:11" x14ac:dyDescent="0.35">
      <c r="A122" s="69" t="s">
        <v>346</v>
      </c>
      <c r="B122" s="107">
        <f>SUMIF('Raw TB'!A:A,'TB 1024'!A122,'Raw TB'!B:B)</f>
        <v>0</v>
      </c>
      <c r="C122" s="107">
        <f>SUMIF('Raw TB'!A:A,'TB 1024'!A122,'Raw TB'!C:C)</f>
        <v>1300</v>
      </c>
      <c r="D122" s="107">
        <f>SUMIF('Raw TB'!A:A,'TB 1024'!A122,'Raw TB'!D:D)</f>
        <v>1300</v>
      </c>
      <c r="E122" s="107">
        <f>SUMIF('Raw TB'!A:A,'TB 1024'!A122,'Raw TB'!E:E)</f>
        <v>0</v>
      </c>
      <c r="F122" s="107">
        <f t="shared" si="3"/>
        <v>1300</v>
      </c>
      <c r="G122" s="107">
        <f t="shared" si="4"/>
        <v>1300</v>
      </c>
      <c r="H122" s="107">
        <f t="shared" si="5"/>
        <v>0</v>
      </c>
      <c r="I122" t="s">
        <v>171</v>
      </c>
      <c r="J122" t="s">
        <v>180</v>
      </c>
      <c r="K122" t="s">
        <v>67</v>
      </c>
    </row>
    <row r="123" spans="1:11" x14ac:dyDescent="0.35">
      <c r="A123" s="69" t="s">
        <v>393</v>
      </c>
      <c r="B123" s="107">
        <f>SUMIF('Raw TB'!A:A,'TB 1024'!A123,'Raw TB'!B:B)</f>
        <v>1272</v>
      </c>
      <c r="C123" s="107">
        <f>SUMIF('Raw TB'!A:A,'TB 1024'!A123,'Raw TB'!C:C)</f>
        <v>0</v>
      </c>
      <c r="D123" s="107">
        <f>SUMIF('Raw TB'!A:A,'TB 1024'!A123,'Raw TB'!D:D)</f>
        <v>0</v>
      </c>
      <c r="E123" s="107">
        <f>SUMIF('Raw TB'!A:A,'TB 1024'!A123,'Raw TB'!E:E)</f>
        <v>0</v>
      </c>
      <c r="F123" s="107">
        <f t="shared" si="3"/>
        <v>1272</v>
      </c>
      <c r="G123" s="107">
        <f t="shared" si="4"/>
        <v>0</v>
      </c>
      <c r="H123" s="107">
        <f t="shared" si="5"/>
        <v>1.272</v>
      </c>
      <c r="I123" t="s">
        <v>167</v>
      </c>
      <c r="J123" t="s">
        <v>180</v>
      </c>
      <c r="K123" t="s">
        <v>67</v>
      </c>
    </row>
    <row r="124" spans="1:11" x14ac:dyDescent="0.35">
      <c r="A124" s="69" t="s">
        <v>31</v>
      </c>
      <c r="B124" s="107">
        <f>SUMIF('Raw TB'!A:A,'TB 1024'!A124,'Raw TB'!B:B)</f>
        <v>0</v>
      </c>
      <c r="C124" s="107">
        <f>SUMIF('Raw TB'!A:A,'TB 1024'!A124,'Raw TB'!C:C)</f>
        <v>0</v>
      </c>
      <c r="D124" s="107">
        <f>SUMIF('Raw TB'!A:A,'TB 1024'!A124,'Raw TB'!D:D)</f>
        <v>62667.59</v>
      </c>
      <c r="E124" s="107">
        <f>SUMIF('Raw TB'!A:A,'TB 1024'!A124,'Raw TB'!E:E)</f>
        <v>10600</v>
      </c>
      <c r="F124" s="107">
        <f t="shared" si="3"/>
        <v>62667.59</v>
      </c>
      <c r="G124" s="107">
        <f t="shared" si="4"/>
        <v>10600</v>
      </c>
      <c r="H124" s="107">
        <f t="shared" si="5"/>
        <v>52.067589999999996</v>
      </c>
      <c r="I124" t="s">
        <v>173</v>
      </c>
      <c r="J124" t="s">
        <v>182</v>
      </c>
      <c r="K124" t="s">
        <v>31</v>
      </c>
    </row>
    <row r="125" spans="1:11" x14ac:dyDescent="0.35">
      <c r="A125" s="69" t="s">
        <v>384</v>
      </c>
      <c r="B125" s="107">
        <f>SUMIF('Raw TB'!A:A,'TB 1024'!A125,'Raw TB'!B:B)</f>
        <v>0</v>
      </c>
      <c r="C125" s="107">
        <f>SUMIF('Raw TB'!A:A,'TB 1024'!A125,'Raw TB'!C:C)</f>
        <v>0</v>
      </c>
      <c r="D125" s="107">
        <f>SUMIF('Raw TB'!A:A,'TB 1024'!A125,'Raw TB'!D:D)</f>
        <v>32500</v>
      </c>
      <c r="E125" s="107">
        <f>SUMIF('Raw TB'!A:A,'TB 1024'!A125,'Raw TB'!E:E)</f>
        <v>0</v>
      </c>
      <c r="F125" s="107">
        <f t="shared" si="3"/>
        <v>32500</v>
      </c>
      <c r="G125" s="107">
        <f t="shared" si="4"/>
        <v>0</v>
      </c>
      <c r="H125" s="107">
        <f t="shared" si="5"/>
        <v>32.5</v>
      </c>
      <c r="I125" t="s">
        <v>170</v>
      </c>
      <c r="J125" t="s">
        <v>182</v>
      </c>
      <c r="K125" t="s">
        <v>417</v>
      </c>
    </row>
    <row r="126" spans="1:11" x14ac:dyDescent="0.35">
      <c r="A126" s="69" t="s">
        <v>394</v>
      </c>
      <c r="B126" s="107">
        <f>SUMIF('Raw TB'!A:A,'TB 1024'!A126,'Raw TB'!B:B)</f>
        <v>0</v>
      </c>
      <c r="C126" s="107">
        <f>SUMIF('Raw TB'!A:A,'TB 1024'!A126,'Raw TB'!C:C)</f>
        <v>52500</v>
      </c>
      <c r="D126" s="107">
        <f>SUMIF('Raw TB'!A:A,'TB 1024'!A126,'Raw TB'!D:D)</f>
        <v>0</v>
      </c>
      <c r="E126" s="107">
        <f>SUMIF('Raw TB'!A:A,'TB 1024'!A126,'Raw TB'!E:E)</f>
        <v>32500</v>
      </c>
      <c r="F126" s="107">
        <f t="shared" si="3"/>
        <v>0</v>
      </c>
      <c r="G126" s="107">
        <f t="shared" si="4"/>
        <v>85000</v>
      </c>
      <c r="H126" s="107">
        <f t="shared" si="5"/>
        <v>-85</v>
      </c>
      <c r="I126" t="s">
        <v>165</v>
      </c>
      <c r="J126" t="s">
        <v>180</v>
      </c>
      <c r="K126" t="s">
        <v>68</v>
      </c>
    </row>
    <row r="127" spans="1:11" x14ac:dyDescent="0.35">
      <c r="A127" s="69" t="s">
        <v>154</v>
      </c>
      <c r="B127" s="107">
        <f>SUMIF('Raw TB'!A:A,'TB 1024'!A127,'Raw TB'!B:B)</f>
        <v>0</v>
      </c>
      <c r="C127" s="107">
        <f>SUMIF('Raw TB'!A:A,'TB 1024'!A127,'Raw TB'!C:C)</f>
        <v>21576</v>
      </c>
      <c r="D127" s="107">
        <f>SUMIF('Raw TB'!A:A,'TB 1024'!A127,'Raw TB'!D:D)</f>
        <v>21576</v>
      </c>
      <c r="E127" s="107">
        <f>SUMIF('Raw TB'!A:A,'TB 1024'!A127,'Raw TB'!E:E)</f>
        <v>0</v>
      </c>
      <c r="F127" s="107">
        <f t="shared" si="3"/>
        <v>21576</v>
      </c>
      <c r="G127" s="107">
        <f t="shared" si="4"/>
        <v>21576</v>
      </c>
      <c r="H127" s="107">
        <f t="shared" si="5"/>
        <v>0</v>
      </c>
      <c r="I127" t="s">
        <v>171</v>
      </c>
      <c r="J127" t="s">
        <v>180</v>
      </c>
      <c r="K127" t="s">
        <v>67</v>
      </c>
    </row>
    <row r="128" spans="1:11" x14ac:dyDescent="0.35">
      <c r="A128" s="69" t="s">
        <v>313</v>
      </c>
      <c r="B128" s="107">
        <f>SUMIF('Raw TB'!A:A,'TB 1024'!A128,'Raw TB'!B:B)</f>
        <v>0</v>
      </c>
      <c r="C128" s="107">
        <f>SUMIF('Raw TB'!A:A,'TB 1024'!A128,'Raw TB'!C:C)</f>
        <v>42480</v>
      </c>
      <c r="D128" s="107">
        <f>SUMIF('Raw TB'!A:A,'TB 1024'!A128,'Raw TB'!D:D)</f>
        <v>42480</v>
      </c>
      <c r="E128" s="107">
        <f>SUMIF('Raw TB'!A:A,'TB 1024'!A128,'Raw TB'!E:E)</f>
        <v>0</v>
      </c>
      <c r="F128" s="107">
        <f t="shared" si="3"/>
        <v>42480</v>
      </c>
      <c r="G128" s="107">
        <f t="shared" si="4"/>
        <v>42480</v>
      </c>
      <c r="H128" s="107">
        <f t="shared" si="5"/>
        <v>0</v>
      </c>
      <c r="I128" t="s">
        <v>171</v>
      </c>
      <c r="J128" t="s">
        <v>180</v>
      </c>
      <c r="K128" t="s">
        <v>67</v>
      </c>
    </row>
    <row r="129" spans="1:11" x14ac:dyDescent="0.35">
      <c r="A129" s="69" t="s">
        <v>348</v>
      </c>
      <c r="B129" s="107">
        <f>SUMIF('Raw TB'!A:A,'TB 1024'!A129,'Raw TB'!B:B)</f>
        <v>0</v>
      </c>
      <c r="C129" s="107">
        <f>SUMIF('Raw TB'!A:A,'TB 1024'!A129,'Raw TB'!C:C)</f>
        <v>2594</v>
      </c>
      <c r="D129" s="107">
        <f>SUMIF('Raw TB'!A:A,'TB 1024'!A129,'Raw TB'!D:D)</f>
        <v>0</v>
      </c>
      <c r="E129" s="107">
        <f>SUMIF('Raw TB'!A:A,'TB 1024'!A129,'Raw TB'!E:E)</f>
        <v>0</v>
      </c>
      <c r="F129" s="107">
        <f t="shared" si="3"/>
        <v>0</v>
      </c>
      <c r="G129" s="107">
        <f t="shared" si="4"/>
        <v>2594</v>
      </c>
      <c r="H129" s="107">
        <f t="shared" si="5"/>
        <v>-2.5939999999999999</v>
      </c>
      <c r="I129" t="s">
        <v>171</v>
      </c>
      <c r="J129" t="s">
        <v>180</v>
      </c>
      <c r="K129" t="s">
        <v>67</v>
      </c>
    </row>
    <row r="130" spans="1:11" x14ac:dyDescent="0.35">
      <c r="A130" s="69" t="s">
        <v>155</v>
      </c>
      <c r="B130" s="107">
        <f>SUMIF('Raw TB'!A:A,'TB 1024'!A130,'Raw TB'!B:B)</f>
        <v>0</v>
      </c>
      <c r="C130" s="107">
        <f>SUMIF('Raw TB'!A:A,'TB 1024'!A130,'Raw TB'!C:C)</f>
        <v>1000</v>
      </c>
      <c r="D130" s="107">
        <f>SUMIF('Raw TB'!A:A,'TB 1024'!A130,'Raw TB'!D:D)</f>
        <v>0</v>
      </c>
      <c r="E130" s="107">
        <f>SUMIF('Raw TB'!A:A,'TB 1024'!A130,'Raw TB'!E:E)</f>
        <v>0</v>
      </c>
      <c r="F130" s="107">
        <f t="shared" si="3"/>
        <v>0</v>
      </c>
      <c r="G130" s="107">
        <f t="shared" si="4"/>
        <v>1000</v>
      </c>
      <c r="H130" s="107">
        <f t="shared" si="5"/>
        <v>-1</v>
      </c>
      <c r="I130" t="s">
        <v>162</v>
      </c>
      <c r="J130" t="s">
        <v>180</v>
      </c>
      <c r="K130" t="s">
        <v>63</v>
      </c>
    </row>
    <row r="131" spans="1:11" x14ac:dyDescent="0.35">
      <c r="A131" s="69" t="s">
        <v>425</v>
      </c>
      <c r="B131" s="107">
        <f>SUMIF('Raw TB'!A:A,'TB 1024'!A131,'Raw TB'!B:B)</f>
        <v>0</v>
      </c>
      <c r="C131" s="107">
        <f>SUMIF('Raw TB'!A:A,'TB 1024'!A131,'Raw TB'!C:C)</f>
        <v>0</v>
      </c>
      <c r="D131" s="107">
        <f>SUMIF('Raw TB'!A:A,'TB 1024'!A131,'Raw TB'!D:D)</f>
        <v>0</v>
      </c>
      <c r="E131" s="107">
        <f>SUMIF('Raw TB'!A:A,'TB 1024'!A131,'Raw TB'!E:E)</f>
        <v>223812.51146827798</v>
      </c>
      <c r="F131" s="107">
        <f t="shared" si="3"/>
        <v>0</v>
      </c>
      <c r="G131" s="107">
        <f t="shared" si="4"/>
        <v>223812.51146827798</v>
      </c>
      <c r="H131" s="107">
        <f t="shared" si="5"/>
        <v>-223.81251146827799</v>
      </c>
      <c r="I131" t="s">
        <v>175</v>
      </c>
      <c r="J131" t="s">
        <v>180</v>
      </c>
      <c r="K131" t="s">
        <v>68</v>
      </c>
    </row>
    <row r="132" spans="1:11" x14ac:dyDescent="0.35">
      <c r="A132" s="69" t="s">
        <v>426</v>
      </c>
      <c r="B132" s="107">
        <f>SUMIF('Raw TB'!A:A,'TB 1024'!A132,'Raw TB'!B:B)</f>
        <v>0</v>
      </c>
      <c r="C132" s="107">
        <f>SUMIF('Raw TB'!A:A,'TB 1024'!A132,'Raw TB'!C:C)</f>
        <v>0</v>
      </c>
      <c r="D132" s="107">
        <f>SUMIF('Raw TB'!A:A,'TB 1024'!A132,'Raw TB'!D:D)</f>
        <v>0</v>
      </c>
      <c r="E132" s="107">
        <f>SUMIF('Raw TB'!A:A,'TB 1024'!A132,'Raw TB'!E:E)</f>
        <v>15192.96</v>
      </c>
      <c r="F132" s="107">
        <f t="shared" si="3"/>
        <v>0</v>
      </c>
      <c r="G132" s="107">
        <f t="shared" si="4"/>
        <v>15192.96</v>
      </c>
      <c r="H132" s="107">
        <f t="shared" si="5"/>
        <v>-15.192959999999999</v>
      </c>
      <c r="I132" t="s">
        <v>175</v>
      </c>
      <c r="J132" t="s">
        <v>180</v>
      </c>
      <c r="K132" t="s">
        <v>68</v>
      </c>
    </row>
    <row r="133" spans="1:11" x14ac:dyDescent="0.35">
      <c r="A133" s="69" t="s">
        <v>427</v>
      </c>
      <c r="B133" s="107">
        <f>SUMIF('Raw TB'!A:A,'TB 1024'!A133,'Raw TB'!B:B)</f>
        <v>0</v>
      </c>
      <c r="C133" s="107">
        <f>SUMIF('Raw TB'!A:A,'TB 1024'!A133,'Raw TB'!C:C)</f>
        <v>0</v>
      </c>
      <c r="D133" s="107">
        <f>SUMIF('Raw TB'!A:A,'TB 1024'!A133,'Raw TB'!D:D)</f>
        <v>0</v>
      </c>
      <c r="E133" s="107">
        <f>SUMIF('Raw TB'!A:A,'TB 1024'!A133,'Raw TB'!E:E)</f>
        <v>0</v>
      </c>
      <c r="F133" s="107">
        <f t="shared" si="3"/>
        <v>0</v>
      </c>
      <c r="G133" s="107">
        <f t="shared" si="4"/>
        <v>0</v>
      </c>
      <c r="H133" s="107">
        <f t="shared" si="5"/>
        <v>0</v>
      </c>
      <c r="I133" t="s">
        <v>171</v>
      </c>
      <c r="J133" t="s">
        <v>180</v>
      </c>
      <c r="K133" t="s">
        <v>67</v>
      </c>
    </row>
    <row r="134" spans="1:11" x14ac:dyDescent="0.35">
      <c r="A134" s="69" t="s">
        <v>428</v>
      </c>
      <c r="B134" s="128">
        <f>SUMIF('Raw TB'!A:A,'TB 1024'!A134,'Raw TB'!B:B)</f>
        <v>0</v>
      </c>
      <c r="C134" s="128">
        <f>SUMIF('Raw TB'!A:A,'TB 1024'!A134,'Raw TB'!C:C)</f>
        <v>0</v>
      </c>
      <c r="D134" s="107">
        <f>SUMIF('Raw TB'!A:A,'TB 1024'!A134,'Raw TB'!D:D)</f>
        <v>39275.999999999884</v>
      </c>
      <c r="E134" s="128">
        <f>SUMIF('Raw TB'!A:A,'TB 1024'!A134,'Raw TB'!E:E)</f>
        <v>0</v>
      </c>
      <c r="F134" s="107">
        <f t="shared" si="3"/>
        <v>39275.999999999884</v>
      </c>
      <c r="G134" s="107">
        <f t="shared" si="4"/>
        <v>0</v>
      </c>
      <c r="H134" s="107">
        <f t="shared" si="5"/>
        <v>39.275999999999883</v>
      </c>
      <c r="I134" t="s">
        <v>66</v>
      </c>
      <c r="J134" t="s">
        <v>180</v>
      </c>
      <c r="K134" t="s">
        <v>68</v>
      </c>
    </row>
    <row r="135" spans="1:11" x14ac:dyDescent="0.35">
      <c r="A135" s="69" t="s">
        <v>29</v>
      </c>
      <c r="B135" s="128">
        <f>SUMIF('Raw TB'!A:A,'TB 1024'!A135,'Raw TB'!B:B)</f>
        <v>0</v>
      </c>
      <c r="C135" s="128">
        <f>SUMIF('Raw TB'!A:A,'TB 1024'!A135,'Raw TB'!C:C)</f>
        <v>0</v>
      </c>
      <c r="D135" s="107">
        <f>SUMIF('Raw TB'!A:A,'TB 1024'!A135,'Raw TB'!D:D)</f>
        <v>14750</v>
      </c>
      <c r="E135" s="128">
        <f>SUMIF('Raw TB'!A:A,'TB 1024'!A135,'Raw TB'!E:E)</f>
        <v>0</v>
      </c>
      <c r="F135" s="107">
        <f t="shared" ref="F135:G140" si="6">B135+D135</f>
        <v>14750</v>
      </c>
      <c r="G135" s="107">
        <f t="shared" si="6"/>
        <v>0</v>
      </c>
      <c r="H135" s="107">
        <f t="shared" ref="H135:H140" si="7">(F135-G135)/1000</f>
        <v>14.75</v>
      </c>
      <c r="I135" t="s">
        <v>173</v>
      </c>
      <c r="J135" t="s">
        <v>182</v>
      </c>
      <c r="K135" t="s">
        <v>29</v>
      </c>
    </row>
    <row r="136" spans="1:11" x14ac:dyDescent="0.35">
      <c r="A136" s="69" t="s">
        <v>434</v>
      </c>
      <c r="B136" s="128">
        <f>SUMIF('Raw TB'!A:A,'TB 1024'!A136,'Raw TB'!B:B)</f>
        <v>0</v>
      </c>
      <c r="C136" s="128">
        <f>SUMIF('Raw TB'!A:A,'TB 1024'!A136,'Raw TB'!C:C)</f>
        <v>0</v>
      </c>
      <c r="D136" s="107">
        <f>SUMIF('Raw TB'!A:A,'TB 1024'!A136,'Raw TB'!D:D)</f>
        <v>0</v>
      </c>
      <c r="E136" s="128">
        <f>SUMIF('Raw TB'!A:A,'TB 1024'!A136,'Raw TB'!E:E)</f>
        <v>17402</v>
      </c>
      <c r="F136" s="107">
        <f t="shared" si="6"/>
        <v>0</v>
      </c>
      <c r="G136" s="107">
        <f t="shared" si="6"/>
        <v>17402</v>
      </c>
      <c r="H136" s="107">
        <f t="shared" si="7"/>
        <v>-17.402000000000001</v>
      </c>
      <c r="I136" t="s">
        <v>171</v>
      </c>
      <c r="J136" t="s">
        <v>182</v>
      </c>
      <c r="K136" t="s">
        <v>67</v>
      </c>
    </row>
    <row r="137" spans="1:11" x14ac:dyDescent="0.35">
      <c r="A137" t="s">
        <v>435</v>
      </c>
      <c r="B137" s="128">
        <f>SUMIF('Raw TB'!A:A,'TB 1024'!A137,'Raw TB'!B:B)</f>
        <v>0</v>
      </c>
      <c r="C137" s="128">
        <f>SUMIF('Raw TB'!A:A,'TB 1024'!A137,'Raw TB'!C:C)</f>
        <v>0</v>
      </c>
      <c r="D137" s="107">
        <f>SUMIF('Raw TB'!A:A,'TB 1024'!A137,'Raw TB'!D:D)</f>
        <v>0</v>
      </c>
      <c r="E137" s="128">
        <f>SUMIF('Raw TB'!A:A,'TB 1024'!A137,'Raw TB'!E:E)</f>
        <v>0</v>
      </c>
      <c r="F137" s="107">
        <f t="shared" si="6"/>
        <v>0</v>
      </c>
      <c r="G137" s="107">
        <f t="shared" si="6"/>
        <v>0</v>
      </c>
      <c r="H137" s="107">
        <f t="shared" si="7"/>
        <v>0</v>
      </c>
      <c r="I137" t="s">
        <v>144</v>
      </c>
      <c r="J137" t="s">
        <v>184</v>
      </c>
      <c r="K137" t="s">
        <v>25</v>
      </c>
    </row>
    <row r="138" spans="1:11" x14ac:dyDescent="0.35">
      <c r="A138" t="s">
        <v>436</v>
      </c>
      <c r="B138" s="128">
        <f>SUMIF('Raw TB'!A:A,'TB 1024'!A138,'Raw TB'!B:B)</f>
        <v>0</v>
      </c>
      <c r="C138" s="128">
        <f>SUMIF('Raw TB'!A:A,'TB 1024'!A138,'Raw TB'!C:C)</f>
        <v>0</v>
      </c>
      <c r="D138" s="107">
        <f>SUMIF('Raw TB'!A:A,'TB 1024'!A138,'Raw TB'!D:D)</f>
        <v>0</v>
      </c>
      <c r="E138" s="128">
        <f>SUMIF('Raw TB'!A:A,'TB 1024'!A138,'Raw TB'!E:E)</f>
        <v>0</v>
      </c>
      <c r="F138" s="107">
        <f t="shared" si="6"/>
        <v>0</v>
      </c>
      <c r="G138" s="107">
        <f t="shared" si="6"/>
        <v>0</v>
      </c>
      <c r="H138" s="107">
        <f t="shared" si="7"/>
        <v>0</v>
      </c>
      <c r="I138" t="s">
        <v>144</v>
      </c>
      <c r="J138" t="s">
        <v>182</v>
      </c>
      <c r="K138" t="s">
        <v>316</v>
      </c>
    </row>
    <row r="139" spans="1:11" x14ac:dyDescent="0.35">
      <c r="A139" t="s">
        <v>437</v>
      </c>
      <c r="B139" s="128">
        <f>SUMIF('Raw TB'!A:A,'TB 1024'!A139,'Raw TB'!B:B)</f>
        <v>0</v>
      </c>
      <c r="C139" s="128">
        <f>SUMIF('Raw TB'!A:A,'TB 1024'!A139,'Raw TB'!C:C)</f>
        <v>0</v>
      </c>
      <c r="D139" s="107">
        <f>SUMIF('Raw TB'!A:A,'TB 1024'!A139,'Raw TB'!D:D)</f>
        <v>0</v>
      </c>
      <c r="E139" s="128">
        <f>SUMIF('Raw TB'!A:A,'TB 1024'!A139,'Raw TB'!E:E)</f>
        <v>0</v>
      </c>
      <c r="F139" s="107">
        <f t="shared" si="6"/>
        <v>0</v>
      </c>
      <c r="G139" s="107">
        <f t="shared" si="6"/>
        <v>0</v>
      </c>
      <c r="H139" s="107">
        <f t="shared" si="7"/>
        <v>0</v>
      </c>
      <c r="I139" t="s">
        <v>174</v>
      </c>
      <c r="J139" t="s">
        <v>180</v>
      </c>
      <c r="K139" t="s">
        <v>68</v>
      </c>
    </row>
    <row r="140" spans="1:11" x14ac:dyDescent="0.35">
      <c r="A140" t="s">
        <v>438</v>
      </c>
      <c r="B140" s="128">
        <f>SUMIF('Raw TB'!A:A,'TB 1024'!A140,'Raw TB'!B:B)</f>
        <v>0</v>
      </c>
      <c r="C140" s="128">
        <f>SUMIF('Raw TB'!A:A,'TB 1024'!A140,'Raw TB'!C:C)</f>
        <v>0</v>
      </c>
      <c r="D140" s="107">
        <f>SUMIF('Raw TB'!A:A,'TB 1024'!A140,'Raw TB'!D:D)</f>
        <v>0</v>
      </c>
      <c r="E140" s="128">
        <f>SUMIF('Raw TB'!A:A,'TB 1024'!A140,'Raw TB'!E:E)</f>
        <v>0</v>
      </c>
      <c r="F140" s="107">
        <f t="shared" si="6"/>
        <v>0</v>
      </c>
      <c r="G140" s="107">
        <f t="shared" si="6"/>
        <v>0</v>
      </c>
      <c r="H140" s="107">
        <f t="shared" si="7"/>
        <v>0</v>
      </c>
      <c r="I140" t="s">
        <v>260</v>
      </c>
      <c r="J140" t="s">
        <v>181</v>
      </c>
      <c r="K140" t="s">
        <v>77</v>
      </c>
    </row>
    <row r="141" spans="1:11" x14ac:dyDescent="0.35">
      <c r="A141" t="s">
        <v>439</v>
      </c>
      <c r="B141" s="128">
        <f>SUMIF('Raw TB'!A:A,'TB 1024'!A141,'Raw TB'!B:B)</f>
        <v>0</v>
      </c>
      <c r="C141" s="128">
        <f>SUMIF('Raw TB'!A:A,'TB 1024'!A141,'Raw TB'!C:C)</f>
        <v>0</v>
      </c>
      <c r="D141" s="107">
        <f>SUMIF('Raw TB'!A:A,'TB 1024'!A141,'Raw TB'!D:D)</f>
        <v>0</v>
      </c>
      <c r="E141" s="128">
        <f>SUMIF('Raw TB'!A:A,'TB 1024'!A141,'Raw TB'!E:E)</f>
        <v>5905</v>
      </c>
      <c r="F141" s="107">
        <f t="shared" ref="F141:F156" si="8">B141+D141</f>
        <v>0</v>
      </c>
      <c r="G141" s="107">
        <f t="shared" ref="G141:G156" si="9">C141+E141</f>
        <v>5905</v>
      </c>
      <c r="H141" s="107">
        <f t="shared" ref="H141:H156" si="10">(F141-G141)/1000</f>
        <v>-5.9050000000000002</v>
      </c>
      <c r="I141" t="s">
        <v>455</v>
      </c>
      <c r="J141" t="s">
        <v>180</v>
      </c>
      <c r="K141" t="s">
        <v>67</v>
      </c>
    </row>
    <row r="142" spans="1:11" x14ac:dyDescent="0.35">
      <c r="A142" t="s">
        <v>440</v>
      </c>
      <c r="B142" s="128">
        <f>SUMIF('Raw TB'!A:A,'TB 1024'!A142,'Raw TB'!B:B)</f>
        <v>0</v>
      </c>
      <c r="C142" s="128">
        <f>SUMIF('Raw TB'!A:A,'TB 1024'!A142,'Raw TB'!C:C)</f>
        <v>0</v>
      </c>
      <c r="D142" s="107">
        <f>SUMIF('Raw TB'!A:A,'TB 1024'!A142,'Raw TB'!D:D)</f>
        <v>0</v>
      </c>
      <c r="E142" s="128">
        <f>SUMIF('Raw TB'!A:A,'TB 1024'!A142,'Raw TB'!E:E)</f>
        <v>10520</v>
      </c>
      <c r="F142" s="107">
        <f t="shared" si="8"/>
        <v>0</v>
      </c>
      <c r="G142" s="107">
        <f t="shared" si="9"/>
        <v>10520</v>
      </c>
      <c r="H142" s="107">
        <f t="shared" si="10"/>
        <v>-10.52</v>
      </c>
      <c r="I142" t="s">
        <v>455</v>
      </c>
      <c r="J142" t="s">
        <v>180</v>
      </c>
      <c r="K142" t="s">
        <v>67</v>
      </c>
    </row>
    <row r="143" spans="1:11" x14ac:dyDescent="0.35">
      <c r="A143" t="s">
        <v>441</v>
      </c>
      <c r="B143" s="128">
        <f>SUMIF('Raw TB'!A:A,'TB 1024'!A143,'Raw TB'!B:B)</f>
        <v>0</v>
      </c>
      <c r="C143" s="128">
        <f>SUMIF('Raw TB'!A:A,'TB 1024'!A143,'Raw TB'!C:C)</f>
        <v>0</v>
      </c>
      <c r="D143" s="107">
        <f>SUMIF('Raw TB'!A:A,'TB 1024'!A143,'Raw TB'!D:D)</f>
        <v>0</v>
      </c>
      <c r="E143" s="128">
        <f>SUMIF('Raw TB'!A:A,'TB 1024'!A143,'Raw TB'!E:E)</f>
        <v>25960</v>
      </c>
      <c r="F143" s="107">
        <f t="shared" si="8"/>
        <v>0</v>
      </c>
      <c r="G143" s="107">
        <f t="shared" si="9"/>
        <v>25960</v>
      </c>
      <c r="H143" s="107">
        <f t="shared" si="10"/>
        <v>-25.96</v>
      </c>
      <c r="I143" t="s">
        <v>455</v>
      </c>
      <c r="J143" t="s">
        <v>180</v>
      </c>
      <c r="K143" t="s">
        <v>67</v>
      </c>
    </row>
    <row r="144" spans="1:11" x14ac:dyDescent="0.35">
      <c r="A144" t="s">
        <v>442</v>
      </c>
      <c r="B144" s="128">
        <f>SUMIF('Raw TB'!A:A,'TB 1024'!A144,'Raw TB'!B:B)</f>
        <v>0</v>
      </c>
      <c r="C144" s="128">
        <f>SUMIF('Raw TB'!A:A,'TB 1024'!A144,'Raw TB'!C:C)</f>
        <v>0</v>
      </c>
      <c r="D144" s="107">
        <f>SUMIF('Raw TB'!A:A,'TB 1024'!A144,'Raw TB'!D:D)</f>
        <v>0</v>
      </c>
      <c r="E144" s="128">
        <f>SUMIF('Raw TB'!A:A,'TB 1024'!A144,'Raw TB'!E:E)</f>
        <v>4000</v>
      </c>
      <c r="F144" s="107">
        <f t="shared" si="8"/>
        <v>0</v>
      </c>
      <c r="G144" s="107">
        <f t="shared" si="9"/>
        <v>4000</v>
      </c>
      <c r="H144" s="107">
        <f t="shared" si="10"/>
        <v>-4</v>
      </c>
      <c r="I144" t="s">
        <v>455</v>
      </c>
      <c r="J144" t="s">
        <v>180</v>
      </c>
      <c r="K144" t="s">
        <v>67</v>
      </c>
    </row>
    <row r="145" spans="1:11" x14ac:dyDescent="0.35">
      <c r="A145" t="s">
        <v>443</v>
      </c>
      <c r="B145" s="128">
        <f>SUMIF('Raw TB'!A:A,'TB 1024'!A145,'Raw TB'!B:B)</f>
        <v>0</v>
      </c>
      <c r="C145" s="128">
        <f>SUMIF('Raw TB'!A:A,'TB 1024'!A145,'Raw TB'!C:C)</f>
        <v>0</v>
      </c>
      <c r="D145" s="107">
        <f>SUMIF('Raw TB'!A:A,'TB 1024'!A145,'Raw TB'!D:D)</f>
        <v>0</v>
      </c>
      <c r="E145" s="128">
        <f>SUMIF('Raw TB'!A:A,'TB 1024'!A145,'Raw TB'!E:E)</f>
        <v>6500</v>
      </c>
      <c r="F145" s="107">
        <f t="shared" si="8"/>
        <v>0</v>
      </c>
      <c r="G145" s="107">
        <f t="shared" si="9"/>
        <v>6500</v>
      </c>
      <c r="H145" s="107">
        <f t="shared" si="10"/>
        <v>-6.5</v>
      </c>
      <c r="I145" t="s">
        <v>455</v>
      </c>
      <c r="J145" t="s">
        <v>180</v>
      </c>
      <c r="K145" t="s">
        <v>67</v>
      </c>
    </row>
    <row r="146" spans="1:11" x14ac:dyDescent="0.35">
      <c r="A146" t="s">
        <v>444</v>
      </c>
      <c r="B146" s="128">
        <f>SUMIF('Raw TB'!A:A,'TB 1024'!A146,'Raw TB'!B:B)</f>
        <v>0</v>
      </c>
      <c r="C146" s="128">
        <f>SUMIF('Raw TB'!A:A,'TB 1024'!A146,'Raw TB'!C:C)</f>
        <v>0</v>
      </c>
      <c r="D146" s="107">
        <f>SUMIF('Raw TB'!A:A,'TB 1024'!A146,'Raw TB'!D:D)</f>
        <v>0</v>
      </c>
      <c r="E146" s="128">
        <f>SUMIF('Raw TB'!A:A,'TB 1024'!A146,'Raw TB'!E:E)</f>
        <v>1590</v>
      </c>
      <c r="F146" s="107">
        <f t="shared" si="8"/>
        <v>0</v>
      </c>
      <c r="G146" s="107">
        <f t="shared" si="9"/>
        <v>1590</v>
      </c>
      <c r="H146" s="107">
        <f t="shared" si="10"/>
        <v>-1.59</v>
      </c>
      <c r="I146" t="s">
        <v>455</v>
      </c>
      <c r="J146" t="s">
        <v>180</v>
      </c>
      <c r="K146" t="s">
        <v>67</v>
      </c>
    </row>
    <row r="147" spans="1:11" x14ac:dyDescent="0.35">
      <c r="A147" t="s">
        <v>445</v>
      </c>
      <c r="B147" s="128">
        <f>SUMIF('Raw TB'!A:A,'TB 1024'!A147,'Raw TB'!B:B)</f>
        <v>0</v>
      </c>
      <c r="C147" s="128">
        <f>SUMIF('Raw TB'!A:A,'TB 1024'!A147,'Raw TB'!C:C)</f>
        <v>0</v>
      </c>
      <c r="D147" s="107">
        <f>SUMIF('Raw TB'!A:A,'TB 1024'!A147,'Raw TB'!D:D)</f>
        <v>0</v>
      </c>
      <c r="E147" s="128">
        <f>SUMIF('Raw TB'!A:A,'TB 1024'!A147,'Raw TB'!E:E)</f>
        <v>2500</v>
      </c>
      <c r="F147" s="107">
        <f t="shared" si="8"/>
        <v>0</v>
      </c>
      <c r="G147" s="107">
        <f t="shared" si="9"/>
        <v>2500</v>
      </c>
      <c r="H147" s="107">
        <f t="shared" si="10"/>
        <v>-2.5</v>
      </c>
      <c r="I147" t="s">
        <v>455</v>
      </c>
      <c r="J147" t="s">
        <v>180</v>
      </c>
      <c r="K147" t="s">
        <v>67</v>
      </c>
    </row>
    <row r="148" spans="1:11" x14ac:dyDescent="0.35">
      <c r="A148" t="s">
        <v>446</v>
      </c>
      <c r="B148" s="128">
        <f>SUMIF('Raw TB'!A:A,'TB 1024'!A148,'Raw TB'!B:B)</f>
        <v>0</v>
      </c>
      <c r="C148" s="128">
        <f>SUMIF('Raw TB'!A:A,'TB 1024'!A148,'Raw TB'!C:C)</f>
        <v>0</v>
      </c>
      <c r="D148" s="107">
        <f>SUMIF('Raw TB'!A:A,'TB 1024'!A148,'Raw TB'!D:D)</f>
        <v>0</v>
      </c>
      <c r="E148" s="128">
        <f>SUMIF('Raw TB'!A:A,'TB 1024'!A148,'Raw TB'!E:E)</f>
        <v>2500</v>
      </c>
      <c r="F148" s="107">
        <f t="shared" si="8"/>
        <v>0</v>
      </c>
      <c r="G148" s="107">
        <f t="shared" si="9"/>
        <v>2500</v>
      </c>
      <c r="H148" s="107">
        <f t="shared" si="10"/>
        <v>-2.5</v>
      </c>
      <c r="I148" t="s">
        <v>455</v>
      </c>
      <c r="J148" t="s">
        <v>180</v>
      </c>
      <c r="K148" t="s">
        <v>67</v>
      </c>
    </row>
    <row r="149" spans="1:11" x14ac:dyDescent="0.35">
      <c r="A149" t="s">
        <v>447</v>
      </c>
      <c r="B149" s="128">
        <f>SUMIF('Raw TB'!A:A,'TB 1024'!A149,'Raw TB'!B:B)</f>
        <v>0</v>
      </c>
      <c r="C149" s="128">
        <f>SUMIF('Raw TB'!A:A,'TB 1024'!A149,'Raw TB'!C:C)</f>
        <v>0</v>
      </c>
      <c r="D149" s="107">
        <f>SUMIF('Raw TB'!A:A,'TB 1024'!A149,'Raw TB'!D:D)</f>
        <v>0</v>
      </c>
      <c r="E149" s="128">
        <f>SUMIF('Raw TB'!A:A,'TB 1024'!A149,'Raw TB'!E:E)</f>
        <v>399</v>
      </c>
      <c r="F149" s="107">
        <f t="shared" si="8"/>
        <v>0</v>
      </c>
      <c r="G149" s="107">
        <f t="shared" si="9"/>
        <v>399</v>
      </c>
      <c r="H149" s="107">
        <f t="shared" si="10"/>
        <v>-0.39900000000000002</v>
      </c>
      <c r="I149" t="s">
        <v>455</v>
      </c>
      <c r="J149" t="s">
        <v>180</v>
      </c>
      <c r="K149" t="s">
        <v>67</v>
      </c>
    </row>
    <row r="150" spans="1:11" x14ac:dyDescent="0.35">
      <c r="A150" t="s">
        <v>448</v>
      </c>
      <c r="B150" s="128">
        <f>SUMIF('Raw TB'!A:A,'TB 1024'!A150,'Raw TB'!B:B)</f>
        <v>0</v>
      </c>
      <c r="C150" s="128">
        <f>SUMIF('Raw TB'!A:A,'TB 1024'!A150,'Raw TB'!C:C)</f>
        <v>0</v>
      </c>
      <c r="D150" s="107">
        <f>SUMIF('Raw TB'!A:A,'TB 1024'!A150,'Raw TB'!D:D)</f>
        <v>0</v>
      </c>
      <c r="E150" s="128">
        <f>SUMIF('Raw TB'!A:A,'TB 1024'!A150,'Raw TB'!E:E)</f>
        <v>1000</v>
      </c>
      <c r="F150" s="107">
        <f t="shared" si="8"/>
        <v>0</v>
      </c>
      <c r="G150" s="107">
        <f t="shared" si="9"/>
        <v>1000</v>
      </c>
      <c r="H150" s="107">
        <f t="shared" si="10"/>
        <v>-1</v>
      </c>
      <c r="I150" t="s">
        <v>455</v>
      </c>
      <c r="J150" t="s">
        <v>180</v>
      </c>
      <c r="K150" t="s">
        <v>67</v>
      </c>
    </row>
    <row r="151" spans="1:11" x14ac:dyDescent="0.35">
      <c r="A151" t="s">
        <v>449</v>
      </c>
      <c r="B151" s="128">
        <f>SUMIF('Raw TB'!A:A,'TB 1024'!A151,'Raw TB'!B:B)</f>
        <v>0</v>
      </c>
      <c r="C151" s="128">
        <f>SUMIF('Raw TB'!A:A,'TB 1024'!A151,'Raw TB'!C:C)</f>
        <v>0</v>
      </c>
      <c r="D151" s="107">
        <f>SUMIF('Raw TB'!A:A,'TB 1024'!A151,'Raw TB'!D:D)</f>
        <v>0</v>
      </c>
      <c r="E151" s="128">
        <f>SUMIF('Raw TB'!A:A,'TB 1024'!A151,'Raw TB'!E:E)</f>
        <v>200</v>
      </c>
      <c r="F151" s="107">
        <f t="shared" si="8"/>
        <v>0</v>
      </c>
      <c r="G151" s="107">
        <f t="shared" si="9"/>
        <v>200</v>
      </c>
      <c r="H151" s="107">
        <f t="shared" si="10"/>
        <v>-0.2</v>
      </c>
      <c r="I151" t="s">
        <v>455</v>
      </c>
      <c r="J151" t="s">
        <v>180</v>
      </c>
      <c r="K151" t="s">
        <v>67</v>
      </c>
    </row>
    <row r="152" spans="1:11" x14ac:dyDescent="0.35">
      <c r="A152" t="s">
        <v>450</v>
      </c>
      <c r="B152" s="128">
        <f>SUMIF('Raw TB'!A:A,'TB 1024'!A152,'Raw TB'!B:B)</f>
        <v>0</v>
      </c>
      <c r="C152" s="128">
        <f>SUMIF('Raw TB'!A:A,'TB 1024'!A152,'Raw TB'!C:C)</f>
        <v>0</v>
      </c>
      <c r="D152" s="107">
        <f>SUMIF('Raw TB'!A:A,'TB 1024'!A152,'Raw TB'!D:D)</f>
        <v>0</v>
      </c>
      <c r="E152" s="128">
        <f>SUMIF('Raw TB'!A:A,'TB 1024'!A152,'Raw TB'!E:E)</f>
        <v>6589</v>
      </c>
      <c r="F152" s="107">
        <f t="shared" si="8"/>
        <v>0</v>
      </c>
      <c r="G152" s="107">
        <f t="shared" si="9"/>
        <v>6589</v>
      </c>
      <c r="H152" s="107">
        <f t="shared" si="10"/>
        <v>-6.5890000000000004</v>
      </c>
      <c r="I152" t="s">
        <v>455</v>
      </c>
      <c r="J152" t="s">
        <v>180</v>
      </c>
      <c r="K152" t="s">
        <v>67</v>
      </c>
    </row>
    <row r="153" spans="1:11" x14ac:dyDescent="0.35">
      <c r="A153" t="s">
        <v>451</v>
      </c>
      <c r="B153" s="128">
        <f>SUMIF('Raw TB'!A:A,'TB 1024'!A153,'Raw TB'!B:B)</f>
        <v>0</v>
      </c>
      <c r="C153" s="128">
        <f>SUMIF('Raw TB'!A:A,'TB 1024'!A153,'Raw TB'!C:C)</f>
        <v>0</v>
      </c>
      <c r="D153" s="107">
        <f>SUMIF('Raw TB'!A:A,'TB 1024'!A153,'Raw TB'!D:D)</f>
        <v>0</v>
      </c>
      <c r="E153" s="128">
        <f>SUMIF('Raw TB'!A:A,'TB 1024'!A153,'Raw TB'!E:E)</f>
        <v>2376</v>
      </c>
      <c r="F153" s="107">
        <f t="shared" si="8"/>
        <v>0</v>
      </c>
      <c r="G153" s="107">
        <f t="shared" si="9"/>
        <v>2376</v>
      </c>
      <c r="H153" s="107">
        <f t="shared" si="10"/>
        <v>-2.3759999999999999</v>
      </c>
      <c r="I153" t="s">
        <v>455</v>
      </c>
      <c r="J153" t="s">
        <v>180</v>
      </c>
      <c r="K153" t="s">
        <v>67</v>
      </c>
    </row>
    <row r="154" spans="1:11" x14ac:dyDescent="0.35">
      <c r="A154" t="s">
        <v>452</v>
      </c>
      <c r="B154" s="128">
        <f>SUMIF('Raw TB'!A:A,'TB 1024'!A154,'Raw TB'!B:B)</f>
        <v>0</v>
      </c>
      <c r="C154" s="128">
        <f>SUMIF('Raw TB'!A:A,'TB 1024'!A154,'Raw TB'!C:C)</f>
        <v>0</v>
      </c>
      <c r="D154" s="107">
        <f>SUMIF('Raw TB'!A:A,'TB 1024'!A154,'Raw TB'!D:D)</f>
        <v>0</v>
      </c>
      <c r="E154" s="128">
        <f>SUMIF('Raw TB'!A:A,'TB 1024'!A154,'Raw TB'!E:E)</f>
        <v>3492</v>
      </c>
      <c r="F154" s="107">
        <f t="shared" si="8"/>
        <v>0</v>
      </c>
      <c r="G154" s="107">
        <f t="shared" si="9"/>
        <v>3492</v>
      </c>
      <c r="H154" s="107">
        <f t="shared" si="10"/>
        <v>-3.492</v>
      </c>
      <c r="I154" t="s">
        <v>455</v>
      </c>
      <c r="J154" t="s">
        <v>180</v>
      </c>
      <c r="K154" t="s">
        <v>67</v>
      </c>
    </row>
    <row r="155" spans="1:11" x14ac:dyDescent="0.35">
      <c r="A155" t="s">
        <v>453</v>
      </c>
      <c r="B155" s="128">
        <f>SUMIF('Raw TB'!A:A,'TB 1024'!A155,'Raw TB'!B:B)</f>
        <v>0</v>
      </c>
      <c r="C155" s="128">
        <f>SUMIF('Raw TB'!A:A,'TB 1024'!A155,'Raw TB'!C:C)</f>
        <v>0</v>
      </c>
      <c r="D155" s="107">
        <f>SUMIF('Raw TB'!A:A,'TB 1024'!A155,'Raw TB'!D:D)</f>
        <v>0</v>
      </c>
      <c r="E155" s="128">
        <f>SUMIF('Raw TB'!A:A,'TB 1024'!A155,'Raw TB'!E:E)</f>
        <v>13950</v>
      </c>
      <c r="F155" s="107">
        <f t="shared" si="8"/>
        <v>0</v>
      </c>
      <c r="G155" s="107">
        <f t="shared" si="9"/>
        <v>13950</v>
      </c>
      <c r="H155" s="107">
        <f t="shared" si="10"/>
        <v>-13.95</v>
      </c>
      <c r="I155" t="s">
        <v>455</v>
      </c>
      <c r="J155" t="s">
        <v>180</v>
      </c>
      <c r="K155" t="s">
        <v>67</v>
      </c>
    </row>
    <row r="156" spans="1:11" x14ac:dyDescent="0.35">
      <c r="A156" t="s">
        <v>454</v>
      </c>
      <c r="B156" s="128">
        <f>SUMIF('Raw TB'!A:A,'TB 1024'!A156,'Raw TB'!B:B)</f>
        <v>0</v>
      </c>
      <c r="C156" s="128">
        <f>SUMIF('Raw TB'!A:A,'TB 1024'!A156,'Raw TB'!C:C)</f>
        <v>0</v>
      </c>
      <c r="D156" s="107">
        <f>SUMIF('Raw TB'!A:A,'TB 1024'!A156,'Raw TB'!D:D)</f>
        <v>0</v>
      </c>
      <c r="E156" s="128">
        <f>SUMIF('Raw TB'!A:A,'TB 1024'!A156,'Raw TB'!E:E)</f>
        <v>3444</v>
      </c>
      <c r="F156" s="107">
        <f t="shared" si="8"/>
        <v>0</v>
      </c>
      <c r="G156" s="107">
        <f t="shared" si="9"/>
        <v>3444</v>
      </c>
      <c r="H156" s="107">
        <f t="shared" si="10"/>
        <v>-3.444</v>
      </c>
      <c r="I156" t="s">
        <v>455</v>
      </c>
      <c r="J156" t="s">
        <v>180</v>
      </c>
      <c r="K156" t="s">
        <v>67</v>
      </c>
    </row>
    <row r="157" spans="1:11" x14ac:dyDescent="0.35">
      <c r="A157" t="s">
        <v>460</v>
      </c>
      <c r="G157">
        <v>1050560.1599999999</v>
      </c>
    </row>
    <row r="158" spans="1:11" x14ac:dyDescent="0.35">
      <c r="A158" t="s">
        <v>52</v>
      </c>
      <c r="G158">
        <v>72858.259999999995</v>
      </c>
    </row>
    <row r="159" spans="1:11" x14ac:dyDescent="0.35">
      <c r="A159" t="s">
        <v>316</v>
      </c>
      <c r="F159">
        <v>110625</v>
      </c>
    </row>
    <row r="160" spans="1:11" x14ac:dyDescent="0.35">
      <c r="A160" t="s">
        <v>461</v>
      </c>
      <c r="F160">
        <v>1012793.4199999999</v>
      </c>
      <c r="G160">
        <f>D160-F160</f>
        <v>-1012793.4199999999</v>
      </c>
    </row>
    <row r="162" spans="8:8" x14ac:dyDescent="0.35">
      <c r="H162" s="90"/>
    </row>
    <row r="163" spans="8:8" x14ac:dyDescent="0.35">
      <c r="H163" s="90"/>
    </row>
    <row r="164" spans="8:8" x14ac:dyDescent="0.35">
      <c r="H164" s="90"/>
    </row>
    <row r="165" spans="8:8" x14ac:dyDescent="0.35">
      <c r="H165" s="90"/>
    </row>
    <row r="167" spans="8:8" x14ac:dyDescent="0.35">
      <c r="H167" s="90"/>
    </row>
    <row r="168" spans="8:8" x14ac:dyDescent="0.35">
      <c r="H168" s="90"/>
    </row>
  </sheetData>
  <autoFilter ref="A9:S160" xr:uid="{00000000-0009-0000-0000-000011000000}"/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Q85"/>
  <sheetViews>
    <sheetView workbookViewId="0">
      <selection activeCell="H2" sqref="H2"/>
    </sheetView>
  </sheetViews>
  <sheetFormatPr defaultColWidth="8.81640625" defaultRowHeight="14.5" x14ac:dyDescent="0.35"/>
  <cols>
    <col min="1" max="1" width="40.08984375" style="23" bestFit="1" customWidth="1"/>
    <col min="2" max="2" width="13.453125" style="24" customWidth="1"/>
    <col min="3" max="4" width="14.81640625" style="24" bestFit="1" customWidth="1"/>
    <col min="5" max="5" width="13.453125" style="24" customWidth="1"/>
    <col min="6" max="6" width="13.453125" style="123" customWidth="1"/>
    <col min="7" max="7" width="8.81640625" style="23"/>
    <col min="8" max="8" width="39.36328125" style="23" bestFit="1" customWidth="1"/>
    <col min="9" max="10" width="8.81640625" style="23"/>
    <col min="11" max="11" width="21.36328125" style="23" bestFit="1" customWidth="1"/>
    <col min="12" max="12" width="9.81640625" style="123" bestFit="1" customWidth="1"/>
    <col min="13" max="13" width="8.81640625" style="123" bestFit="1" customWidth="1"/>
    <col min="14" max="14" width="14" style="23" bestFit="1" customWidth="1"/>
    <col min="15" max="15" width="8.81640625" style="23"/>
    <col min="16" max="16" width="14" style="23" bestFit="1" customWidth="1"/>
    <col min="17" max="17" width="8.81640625" style="123"/>
    <col min="18" max="16384" width="8.81640625" style="23"/>
  </cols>
  <sheetData>
    <row r="1" spans="1:17" x14ac:dyDescent="0.35">
      <c r="B1" s="24">
        <f>SUBTOTAL(9,B3:B85)</f>
        <v>-6.0535967350006104E-9</v>
      </c>
      <c r="C1" s="24">
        <f>SUBTOTAL(9,C3:C85)</f>
        <v>107195359.84999999</v>
      </c>
      <c r="D1" s="24">
        <f>SUBTOTAL(9,D3:D85)</f>
        <v>107195359.84999998</v>
      </c>
      <c r="E1" s="24">
        <f>SUBTOTAL(9,E3:E85)</f>
        <v>-4.5984052121639252E-9</v>
      </c>
      <c r="F1" s="24">
        <f>SUBTOTAL(9,F3:F85)</f>
        <v>1.3471113113894262E-11</v>
      </c>
      <c r="H1" s="125"/>
    </row>
    <row r="2" spans="1:17" s="109" customFormat="1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  <c r="K2" s="109" t="s">
        <v>626</v>
      </c>
      <c r="L2" s="124"/>
      <c r="M2" s="124"/>
      <c r="Q2" s="124"/>
    </row>
    <row r="3" spans="1:17" x14ac:dyDescent="0.35">
      <c r="A3" s="23" t="s">
        <v>561</v>
      </c>
      <c r="B3" s="24">
        <f>SUMIF(Raw!B:B,'TB 1124'!A3,Raw!$C:$C)</f>
        <v>46586.66</v>
      </c>
      <c r="C3" s="24">
        <f>SUMIF(Raw!B:B,'TB 1124'!A3,Raw!D:D)</f>
        <v>1065481.6200000001</v>
      </c>
      <c r="D3" s="24">
        <f>SUMIF(Raw!B:B,'TB 1124'!A3,Raw!E:E)</f>
        <v>117038.48</v>
      </c>
      <c r="E3" s="24">
        <f t="shared" ref="E3:E31" si="0">B3+C3-D3</f>
        <v>995029.8</v>
      </c>
      <c r="F3" s="123">
        <f t="shared" ref="F3:F31" si="1">E3/1000</f>
        <v>995.02980000000002</v>
      </c>
      <c r="G3" s="119" t="s">
        <v>181</v>
      </c>
      <c r="H3" s="23" t="s">
        <v>77</v>
      </c>
      <c r="K3" s="23" t="s">
        <v>350</v>
      </c>
      <c r="L3" s="123">
        <v>123200</v>
      </c>
      <c r="M3" s="123">
        <f>L3/1000</f>
        <v>123.2</v>
      </c>
      <c r="N3" s="23" t="s">
        <v>192</v>
      </c>
      <c r="P3" s="23" t="s">
        <v>192</v>
      </c>
      <c r="Q3" s="123">
        <f>SUMIF(N:N,P3,M:M)</f>
        <v>1703.796</v>
      </c>
    </row>
    <row r="4" spans="1:17" x14ac:dyDescent="0.35">
      <c r="A4" s="23" t="s">
        <v>288</v>
      </c>
      <c r="B4" s="24">
        <f>SUMIF(Raw!B:B,'TB 1124'!A4,Raw!$C:$C)</f>
        <v>42165</v>
      </c>
      <c r="C4" s="24">
        <f>SUMIF(Raw!B:B,'TB 1124'!A4,Raw!D:D)</f>
        <v>52068</v>
      </c>
      <c r="D4" s="24">
        <f>SUMIF(Raw!B:B,'TB 1124'!A4,Raw!E:E)</f>
        <v>42165</v>
      </c>
      <c r="E4" s="24">
        <f t="shared" si="0"/>
        <v>52068</v>
      </c>
      <c r="F4" s="123">
        <f t="shared" si="1"/>
        <v>52.067999999999998</v>
      </c>
      <c r="G4" s="119" t="s">
        <v>181</v>
      </c>
      <c r="H4" s="23" t="s">
        <v>79</v>
      </c>
      <c r="K4" s="23" t="s">
        <v>351</v>
      </c>
      <c r="L4" s="123">
        <v>73200</v>
      </c>
      <c r="M4" s="123">
        <f>L4/1000</f>
        <v>73.2</v>
      </c>
      <c r="N4" s="23" t="s">
        <v>192</v>
      </c>
      <c r="P4" s="23" t="s">
        <v>188</v>
      </c>
      <c r="Q4" s="123">
        <f>SUMIF(N:N,P4,M:M)</f>
        <v>110</v>
      </c>
    </row>
    <row r="5" spans="1:17" x14ac:dyDescent="0.35">
      <c r="A5" s="23" t="s">
        <v>289</v>
      </c>
      <c r="B5" s="24">
        <f>SUMIF(Raw!B:B,'TB 1124'!A5,Raw!$C:$C)</f>
        <v>-54112</v>
      </c>
      <c r="C5" s="24">
        <f>SUMIF(Raw!B:B,'TB 1124'!A5,Raw!D:D)</f>
        <v>0</v>
      </c>
      <c r="D5" s="24">
        <f>SUMIF(Raw!B:B,'TB 1124'!A5,Raw!E:E)</f>
        <v>12810</v>
      </c>
      <c r="E5" s="24">
        <f t="shared" si="0"/>
        <v>-66922</v>
      </c>
      <c r="F5" s="123">
        <f t="shared" si="1"/>
        <v>-66.921999999999997</v>
      </c>
      <c r="G5" s="119" t="s">
        <v>181</v>
      </c>
      <c r="H5" s="23" t="s">
        <v>72</v>
      </c>
      <c r="K5" s="23" t="s">
        <v>219</v>
      </c>
      <c r="L5" s="123">
        <v>7733</v>
      </c>
      <c r="M5" s="123">
        <f t="shared" ref="M5:M30" si="2">L5/1000</f>
        <v>7.7329999999999997</v>
      </c>
      <c r="N5" s="23" t="s">
        <v>192</v>
      </c>
      <c r="P5" s="23" t="s">
        <v>352</v>
      </c>
      <c r="Q5" s="123">
        <f>SUMIF(N:N,P5,M:M)</f>
        <v>15.1</v>
      </c>
    </row>
    <row r="6" spans="1:17" x14ac:dyDescent="0.35">
      <c r="A6" s="23" t="s">
        <v>562</v>
      </c>
      <c r="B6" s="24">
        <f>SUMIF(Raw!B:B,'TB 1124'!A6,Raw!$C:$C)</f>
        <v>-183219</v>
      </c>
      <c r="C6" s="24">
        <f>SUMIF(Raw!B:B,'TB 1124'!A6,Raw!D:D)</f>
        <v>0</v>
      </c>
      <c r="D6" s="24">
        <f>SUMIF(Raw!B:B,'TB 1124'!A6,Raw!E:E)</f>
        <v>46800</v>
      </c>
      <c r="E6" s="24">
        <f t="shared" si="0"/>
        <v>-230019</v>
      </c>
      <c r="F6" s="123">
        <f t="shared" si="1"/>
        <v>-230.01900000000001</v>
      </c>
      <c r="G6" s="119" t="s">
        <v>181</v>
      </c>
      <c r="H6" s="23" t="s">
        <v>71</v>
      </c>
      <c r="K6" s="23" t="s">
        <v>199</v>
      </c>
      <c r="L6" s="123">
        <v>28200</v>
      </c>
      <c r="M6" s="123">
        <f t="shared" si="2"/>
        <v>28.2</v>
      </c>
      <c r="N6" s="23" t="s">
        <v>192</v>
      </c>
      <c r="P6" s="23" t="s">
        <v>190</v>
      </c>
      <c r="Q6" s="123">
        <f>SUMIF(N:N,P6,M:M)</f>
        <v>51</v>
      </c>
    </row>
    <row r="7" spans="1:17" x14ac:dyDescent="0.35">
      <c r="A7" s="23" t="s">
        <v>198</v>
      </c>
      <c r="B7" s="24">
        <f>SUMIF(Raw!B:B,'TB 1124'!A7,Raw!$C:$C)</f>
        <v>-11223</v>
      </c>
      <c r="C7" s="24">
        <f>SUMIF(Raw!B:B,'TB 1124'!A7,Raw!D:D)</f>
        <v>0</v>
      </c>
      <c r="D7" s="24">
        <f>SUMIF(Raw!B:B,'TB 1124'!A7,Raw!E:E)</f>
        <v>2098</v>
      </c>
      <c r="E7" s="24">
        <f t="shared" si="0"/>
        <v>-13321</v>
      </c>
      <c r="F7" s="123">
        <f t="shared" si="1"/>
        <v>-13.321</v>
      </c>
      <c r="G7" s="119" t="s">
        <v>181</v>
      </c>
      <c r="H7" s="23" t="s">
        <v>71</v>
      </c>
      <c r="K7" s="23" t="s">
        <v>269</v>
      </c>
      <c r="L7" s="123">
        <v>15100</v>
      </c>
      <c r="M7" s="123">
        <f t="shared" si="2"/>
        <v>15.1</v>
      </c>
      <c r="N7" s="23" t="s">
        <v>352</v>
      </c>
      <c r="P7" s="23" t="s">
        <v>268</v>
      </c>
      <c r="Q7" s="123">
        <f>SUMIF(N:N,P7,M:M)</f>
        <v>69.501000000000005</v>
      </c>
    </row>
    <row r="8" spans="1:17" x14ac:dyDescent="0.35">
      <c r="A8" s="23" t="s">
        <v>365</v>
      </c>
      <c r="B8" s="24">
        <f>SUMIF(Raw!B:B,'TB 1124'!A8,Raw!$C:$C)</f>
        <v>305.98</v>
      </c>
      <c r="C8" s="24">
        <f>SUMIF(Raw!B:B,'TB 1124'!A8,Raw!D:D)</f>
        <v>0</v>
      </c>
      <c r="D8" s="24">
        <f>SUMIF(Raw!B:B,'TB 1124'!A8,Raw!E:E)</f>
        <v>0</v>
      </c>
      <c r="E8" s="24">
        <f t="shared" si="0"/>
        <v>305.98</v>
      </c>
      <c r="F8" s="123">
        <f t="shared" si="1"/>
        <v>0.30598000000000003</v>
      </c>
      <c r="G8" s="119" t="s">
        <v>181</v>
      </c>
      <c r="H8" s="23" t="s">
        <v>79</v>
      </c>
      <c r="K8" s="23" t="s">
        <v>273</v>
      </c>
      <c r="L8" s="123">
        <v>123200</v>
      </c>
      <c r="M8" s="123">
        <f t="shared" si="2"/>
        <v>123.2</v>
      </c>
      <c r="N8" s="23" t="s">
        <v>192</v>
      </c>
      <c r="Q8" s="123">
        <f>SUM(Q3:Q7)</f>
        <v>1949.3969999999999</v>
      </c>
    </row>
    <row r="9" spans="1:17" x14ac:dyDescent="0.35">
      <c r="A9" s="23" t="s">
        <v>563</v>
      </c>
      <c r="B9" s="24">
        <f>SUMIF(Raw!B:B,'TB 1124'!A9,Raw!$C:$C)</f>
        <v>7518.65</v>
      </c>
      <c r="C9" s="24">
        <f>SUMIF(Raw!B:B,'TB 1124'!A9,Raw!D:D)</f>
        <v>5707.69</v>
      </c>
      <c r="D9" s="24">
        <f>SUMIF(Raw!B:B,'TB 1124'!A9,Raw!E:E)</f>
        <v>118</v>
      </c>
      <c r="E9" s="24">
        <f t="shared" si="0"/>
        <v>13108.34</v>
      </c>
      <c r="F9" s="123">
        <f t="shared" si="1"/>
        <v>13.10834</v>
      </c>
      <c r="G9" s="119" t="s">
        <v>181</v>
      </c>
      <c r="H9" s="23" t="s">
        <v>78</v>
      </c>
      <c r="K9" s="23" t="s">
        <v>317</v>
      </c>
      <c r="L9" s="123">
        <v>264900</v>
      </c>
      <c r="M9" s="123">
        <f t="shared" si="2"/>
        <v>264.89999999999998</v>
      </c>
      <c r="N9" s="23" t="s">
        <v>192</v>
      </c>
    </row>
    <row r="10" spans="1:17" x14ac:dyDescent="0.35">
      <c r="A10" s="23" t="s">
        <v>564</v>
      </c>
      <c r="B10" s="24">
        <f>SUMIF(Raw!B:B,'TB 1124'!A10,Raw!$C:$C)</f>
        <v>889161.02</v>
      </c>
      <c r="C10" s="24">
        <f>SUMIF(Raw!B:B,'TB 1124'!A10,Raw!D:D)</f>
        <v>52500</v>
      </c>
      <c r="D10" s="24">
        <f>SUMIF(Raw!B:B,'TB 1124'!A10,Raw!E:E)</f>
        <v>0</v>
      </c>
      <c r="E10" s="24">
        <f t="shared" si="0"/>
        <v>941661.02</v>
      </c>
      <c r="F10" s="123">
        <f t="shared" si="1"/>
        <v>941.66102000000001</v>
      </c>
      <c r="G10" s="119" t="s">
        <v>181</v>
      </c>
      <c r="H10" s="23" t="s">
        <v>71</v>
      </c>
      <c r="K10" s="23" t="s">
        <v>354</v>
      </c>
      <c r="L10" s="123">
        <v>25100</v>
      </c>
      <c r="M10" s="123">
        <f t="shared" si="2"/>
        <v>25.1</v>
      </c>
      <c r="N10" s="23" t="s">
        <v>190</v>
      </c>
    </row>
    <row r="11" spans="1:17" x14ac:dyDescent="0.35">
      <c r="A11" s="23" t="s">
        <v>565</v>
      </c>
      <c r="B11" s="24">
        <f>SUMIF(Raw!B:B,'TB 1124'!A11,Raw!$C:$C)</f>
        <v>452694.54</v>
      </c>
      <c r="C11" s="24">
        <f>SUMIF(Raw!B:B,'TB 1124'!A11,Raw!D:D)</f>
        <v>93888.38</v>
      </c>
      <c r="D11" s="24">
        <f>SUMIF(Raw!B:B,'TB 1124'!A11,Raw!E:E)</f>
        <v>33030</v>
      </c>
      <c r="E11" s="24">
        <f t="shared" si="0"/>
        <v>513552.91999999993</v>
      </c>
      <c r="F11" s="123">
        <f t="shared" si="1"/>
        <v>513.55291999999997</v>
      </c>
      <c r="G11" s="119" t="s">
        <v>181</v>
      </c>
      <c r="H11" s="23" t="s">
        <v>79</v>
      </c>
      <c r="K11" s="23" t="s">
        <v>312</v>
      </c>
      <c r="L11" s="123">
        <v>58200</v>
      </c>
      <c r="M11" s="123">
        <f t="shared" si="2"/>
        <v>58.2</v>
      </c>
      <c r="N11" s="23" t="s">
        <v>188</v>
      </c>
    </row>
    <row r="12" spans="1:17" x14ac:dyDescent="0.35">
      <c r="A12" s="23" t="s">
        <v>566</v>
      </c>
      <c r="B12" s="24">
        <f>SUMIF(Raw!B:B,'TB 1124'!A12,Raw!$C:$C)</f>
        <v>58514.46</v>
      </c>
      <c r="C12" s="24">
        <f>SUMIF(Raw!B:B,'TB 1124'!A12,Raw!D:D)</f>
        <v>34363.949999999997</v>
      </c>
      <c r="D12" s="24">
        <f>SUMIF(Raw!B:B,'TB 1124'!A12,Raw!E:E)</f>
        <v>33.5</v>
      </c>
      <c r="E12" s="24">
        <f t="shared" si="0"/>
        <v>92844.91</v>
      </c>
      <c r="F12" s="123">
        <f t="shared" si="1"/>
        <v>92.844909999999999</v>
      </c>
      <c r="G12" s="119" t="s">
        <v>181</v>
      </c>
      <c r="H12" s="23" t="s">
        <v>79</v>
      </c>
      <c r="K12" s="23" t="s">
        <v>355</v>
      </c>
      <c r="L12" s="123">
        <v>223200</v>
      </c>
      <c r="M12" s="123">
        <f t="shared" si="2"/>
        <v>223.2</v>
      </c>
      <c r="N12" s="23" t="s">
        <v>192</v>
      </c>
    </row>
    <row r="13" spans="1:17" x14ac:dyDescent="0.35">
      <c r="A13" s="23" t="s">
        <v>567</v>
      </c>
      <c r="B13" s="24">
        <f>SUMIF(Raw!B:B,'TB 1124'!A13,Raw!$C:$C)</f>
        <v>452694.56</v>
      </c>
      <c r="C13" s="24">
        <f>SUMIF(Raw!B:B,'TB 1124'!A13,Raw!D:D)</f>
        <v>93888.38</v>
      </c>
      <c r="D13" s="24">
        <f>SUMIF(Raw!B:B,'TB 1124'!A13,Raw!E:E)</f>
        <v>33030</v>
      </c>
      <c r="E13" s="24">
        <f t="shared" si="0"/>
        <v>513552.93999999994</v>
      </c>
      <c r="F13" s="123">
        <f t="shared" si="1"/>
        <v>513.55293999999992</v>
      </c>
      <c r="G13" s="119" t="s">
        <v>181</v>
      </c>
      <c r="H13" s="23" t="s">
        <v>79</v>
      </c>
      <c r="K13" s="23" t="s">
        <v>357</v>
      </c>
      <c r="L13" s="123">
        <v>26800</v>
      </c>
      <c r="M13" s="123">
        <f t="shared" si="2"/>
        <v>26.8</v>
      </c>
      <c r="N13" s="23" t="s">
        <v>188</v>
      </c>
    </row>
    <row r="14" spans="1:17" x14ac:dyDescent="0.35">
      <c r="A14" s="23" t="s">
        <v>300</v>
      </c>
      <c r="B14" s="24">
        <f>SUMIF(Raw!B:B,'TB 1124'!A14,Raw!$C:$C)</f>
        <v>1537167.67</v>
      </c>
      <c r="C14" s="24">
        <f>SUMIF(Raw!B:B,'TB 1124'!A14,Raw!D:D)</f>
        <v>0</v>
      </c>
      <c r="D14" s="24">
        <f>SUMIF(Raw!B:B,'TB 1124'!A14,Raw!E:E)</f>
        <v>0</v>
      </c>
      <c r="E14" s="24">
        <f t="shared" si="0"/>
        <v>1537167.67</v>
      </c>
      <c r="F14" s="123">
        <f t="shared" si="1"/>
        <v>1537.1676699999998</v>
      </c>
      <c r="G14" s="119" t="s">
        <v>181</v>
      </c>
      <c r="H14" s="23" t="s">
        <v>72</v>
      </c>
      <c r="K14" s="23" t="s">
        <v>212</v>
      </c>
      <c r="L14" s="123">
        <f>248200</f>
        <v>248200</v>
      </c>
      <c r="M14" s="123">
        <f t="shared" si="2"/>
        <v>248.2</v>
      </c>
      <c r="N14" s="23" t="s">
        <v>192</v>
      </c>
    </row>
    <row r="15" spans="1:17" x14ac:dyDescent="0.35">
      <c r="A15" s="23" t="s">
        <v>568</v>
      </c>
      <c r="B15" s="24">
        <f>SUMIF(Raw!B:B,'TB 1124'!A15,Raw!$C:$C)</f>
        <v>3500000</v>
      </c>
      <c r="C15" s="24">
        <f>SUMIF(Raw!B:B,'TB 1124'!A15,Raw!D:D)</f>
        <v>0</v>
      </c>
      <c r="D15" s="24">
        <f>SUMIF(Raw!B:B,'TB 1124'!A15,Raw!E:E)</f>
        <v>3500000</v>
      </c>
      <c r="E15" s="24">
        <f t="shared" si="0"/>
        <v>0</v>
      </c>
      <c r="F15" s="123">
        <f t="shared" si="1"/>
        <v>0</v>
      </c>
      <c r="G15" s="119" t="s">
        <v>181</v>
      </c>
      <c r="H15" s="23" t="s">
        <v>76</v>
      </c>
      <c r="K15" s="23" t="s">
        <v>358</v>
      </c>
      <c r="L15" s="123">
        <v>25900</v>
      </c>
      <c r="M15" s="123">
        <f t="shared" si="2"/>
        <v>25.9</v>
      </c>
      <c r="N15" s="23" t="s">
        <v>190</v>
      </c>
    </row>
    <row r="16" spans="1:17" x14ac:dyDescent="0.35">
      <c r="A16" s="23" t="s">
        <v>569</v>
      </c>
      <c r="B16" s="24">
        <f>SUMIF(Raw!B:B,'TB 1124'!A16,Raw!$C:$C)</f>
        <v>0</v>
      </c>
      <c r="C16" s="24">
        <f>SUMIF(Raw!B:B,'TB 1124'!A16,Raw!D:D)</f>
        <v>3500000</v>
      </c>
      <c r="D16" s="24">
        <f>SUMIF(Raw!B:B,'TB 1124'!A16,Raw!E:E)</f>
        <v>3500000</v>
      </c>
      <c r="E16" s="24">
        <f t="shared" si="0"/>
        <v>0</v>
      </c>
      <c r="F16" s="123">
        <f t="shared" si="1"/>
        <v>0</v>
      </c>
      <c r="G16" s="119" t="s">
        <v>181</v>
      </c>
      <c r="H16" s="23" t="s">
        <v>76</v>
      </c>
      <c r="K16" s="23" t="s">
        <v>379</v>
      </c>
      <c r="L16" s="123">
        <v>21001</v>
      </c>
      <c r="M16" s="123">
        <f t="shared" si="2"/>
        <v>21.001000000000001</v>
      </c>
      <c r="N16" s="23" t="s">
        <v>268</v>
      </c>
    </row>
    <row r="17" spans="1:14" x14ac:dyDescent="0.35">
      <c r="A17" s="23" t="s">
        <v>570</v>
      </c>
      <c r="B17" s="24">
        <f>SUMIF(Raw!B:B,'TB 1124'!A17,Raw!$C:$C)</f>
        <v>0</v>
      </c>
      <c r="C17" s="24">
        <f>SUMIF(Raw!B:B,'TB 1124'!A17,Raw!D:D)</f>
        <v>38000000</v>
      </c>
      <c r="D17" s="24">
        <f>SUMIF(Raw!B:B,'TB 1124'!A17,Raw!E:E)</f>
        <v>0</v>
      </c>
      <c r="E17" s="24">
        <f t="shared" si="0"/>
        <v>38000000</v>
      </c>
      <c r="F17" s="123">
        <f t="shared" si="1"/>
        <v>38000</v>
      </c>
      <c r="G17" s="119" t="s">
        <v>181</v>
      </c>
      <c r="H17" s="23" t="s">
        <v>76</v>
      </c>
      <c r="K17" s="23" t="s">
        <v>378</v>
      </c>
      <c r="L17" s="123">
        <v>32000</v>
      </c>
      <c r="M17" s="123">
        <f t="shared" si="2"/>
        <v>32</v>
      </c>
      <c r="N17" s="23" t="s">
        <v>268</v>
      </c>
    </row>
    <row r="18" spans="1:14" x14ac:dyDescent="0.35">
      <c r="A18" s="23" t="s">
        <v>571</v>
      </c>
      <c r="B18" s="24">
        <f>SUMIF(Raw!B:B,'TB 1124'!A18,Raw!$C:$C)</f>
        <v>0</v>
      </c>
      <c r="C18" s="24">
        <f>SUMIF(Raw!B:B,'TB 1124'!A18,Raw!D:D)</f>
        <v>2000000</v>
      </c>
      <c r="D18" s="24">
        <f>SUMIF(Raw!B:B,'TB 1124'!A18,Raw!E:E)</f>
        <v>0</v>
      </c>
      <c r="E18" s="24">
        <f t="shared" si="0"/>
        <v>2000000</v>
      </c>
      <c r="F18" s="123">
        <f t="shared" si="1"/>
        <v>2000</v>
      </c>
      <c r="G18" s="119" t="s">
        <v>181</v>
      </c>
      <c r="H18" s="23" t="s">
        <v>76</v>
      </c>
      <c r="K18" s="23" t="s">
        <v>375</v>
      </c>
      <c r="L18" s="123">
        <v>178200</v>
      </c>
      <c r="M18" s="123">
        <f t="shared" si="2"/>
        <v>178.2</v>
      </c>
      <c r="N18" s="23" t="s">
        <v>192</v>
      </c>
    </row>
    <row r="19" spans="1:14" x14ac:dyDescent="0.35">
      <c r="A19" s="23" t="s">
        <v>208</v>
      </c>
      <c r="B19" s="24">
        <f>SUMIF(Raw!B:B,'TB 1124'!A19,Raw!$C:$C)</f>
        <v>40000000</v>
      </c>
      <c r="C19" s="24">
        <f>SUMIF(Raw!B:B,'TB 1124'!A19,Raw!D:D)</f>
        <v>0</v>
      </c>
      <c r="D19" s="24">
        <f>SUMIF(Raw!B:B,'TB 1124'!A19,Raw!E:E)</f>
        <v>40000000</v>
      </c>
      <c r="E19" s="24">
        <f t="shared" si="0"/>
        <v>0</v>
      </c>
      <c r="F19" s="123">
        <f t="shared" si="1"/>
        <v>0</v>
      </c>
      <c r="G19" s="119" t="s">
        <v>181</v>
      </c>
      <c r="H19" s="23" t="s">
        <v>76</v>
      </c>
      <c r="K19" s="23" t="s">
        <v>395</v>
      </c>
      <c r="L19" s="123">
        <v>69050</v>
      </c>
      <c r="M19" s="123">
        <f t="shared" si="2"/>
        <v>69.05</v>
      </c>
      <c r="N19" s="23" t="s">
        <v>192</v>
      </c>
    </row>
    <row r="20" spans="1:14" x14ac:dyDescent="0.35">
      <c r="A20" s="23" t="s">
        <v>392</v>
      </c>
      <c r="B20" s="24">
        <f>SUMIF(Raw!B:B,'TB 1124'!A20,Raw!$C:$C)</f>
        <v>10000000</v>
      </c>
      <c r="C20" s="24">
        <f>SUMIF(Raw!B:B,'TB 1124'!A20,Raw!D:D)</f>
        <v>0</v>
      </c>
      <c r="D20" s="24">
        <f>SUMIF(Raw!B:B,'TB 1124'!A20,Raw!E:E)</f>
        <v>0</v>
      </c>
      <c r="E20" s="24">
        <f t="shared" si="0"/>
        <v>10000000</v>
      </c>
      <c r="F20" s="123">
        <f t="shared" si="1"/>
        <v>10000</v>
      </c>
      <c r="G20" s="119" t="s">
        <v>181</v>
      </c>
      <c r="H20" s="23" t="s">
        <v>76</v>
      </c>
      <c r="K20" s="23" t="s">
        <v>418</v>
      </c>
      <c r="L20" s="123">
        <v>76000</v>
      </c>
      <c r="M20" s="123">
        <f t="shared" si="2"/>
        <v>76</v>
      </c>
      <c r="N20" s="23" t="s">
        <v>192</v>
      </c>
    </row>
    <row r="21" spans="1:14" x14ac:dyDescent="0.35">
      <c r="A21" s="23" t="s">
        <v>572</v>
      </c>
      <c r="B21" s="24">
        <f>SUMIF(Raw!B:B,'TB 1124'!A21,Raw!$C:$C)</f>
        <v>723051.2</v>
      </c>
      <c r="C21" s="24">
        <f>SUMIF(Raw!B:B,'TB 1124'!A21,Raw!D:D)</f>
        <v>47244929.799999997</v>
      </c>
      <c r="D21" s="24">
        <f>SUMIF(Raw!B:B,'TB 1124'!A21,Raw!E:E)</f>
        <v>47125154.799999997</v>
      </c>
      <c r="E21" s="24">
        <f t="shared" si="0"/>
        <v>842826.20000000298</v>
      </c>
      <c r="F21" s="123">
        <f t="shared" si="1"/>
        <v>842.82620000000293</v>
      </c>
      <c r="G21" s="119" t="s">
        <v>181</v>
      </c>
      <c r="H21" s="23" t="s">
        <v>78</v>
      </c>
      <c r="K21" s="23" t="s">
        <v>419</v>
      </c>
      <c r="L21" s="123">
        <v>52800</v>
      </c>
      <c r="M21" s="123">
        <f t="shared" si="2"/>
        <v>52.8</v>
      </c>
      <c r="N21" s="23" t="s">
        <v>192</v>
      </c>
    </row>
    <row r="22" spans="1:14" x14ac:dyDescent="0.35">
      <c r="A22" s="23" t="s">
        <v>573</v>
      </c>
      <c r="B22" s="24">
        <f>SUMIF(Raw!B:B,'TB 1124'!A22,Raw!$C:$C)</f>
        <v>836815.91</v>
      </c>
      <c r="C22" s="24">
        <f>SUMIF(Raw!B:B,'TB 1124'!A22,Raw!D:D)</f>
        <v>4528141.62</v>
      </c>
      <c r="D22" s="24">
        <f>SUMIF(Raw!B:B,'TB 1124'!A22,Raw!E:E)</f>
        <v>4280895.7699999996</v>
      </c>
      <c r="E22" s="24">
        <f t="shared" si="0"/>
        <v>1084061.7600000007</v>
      </c>
      <c r="F22" s="123">
        <f t="shared" si="1"/>
        <v>1084.0617600000007</v>
      </c>
      <c r="G22" s="119" t="s">
        <v>181</v>
      </c>
      <c r="H22" s="23" t="s">
        <v>78</v>
      </c>
      <c r="K22" s="23" t="s">
        <v>420</v>
      </c>
      <c r="L22" s="123">
        <v>25000</v>
      </c>
      <c r="M22" s="123">
        <f t="shared" si="2"/>
        <v>25</v>
      </c>
      <c r="N22" s="23" t="s">
        <v>188</v>
      </c>
    </row>
    <row r="23" spans="1:14" x14ac:dyDescent="0.35">
      <c r="A23" s="23" t="s">
        <v>231</v>
      </c>
      <c r="B23" s="24">
        <f>SUMIF(Raw!B:B,'TB 1124'!A23,Raw!$C:$C)</f>
        <v>55864.5</v>
      </c>
      <c r="C23" s="24">
        <f>SUMIF(Raw!B:B,'TB 1124'!A23,Raw!D:D)</f>
        <v>0</v>
      </c>
      <c r="D23" s="24">
        <f>SUMIF(Raw!B:B,'TB 1124'!A23,Raw!E:E)</f>
        <v>0</v>
      </c>
      <c r="E23" s="24">
        <f t="shared" si="0"/>
        <v>55864.5</v>
      </c>
      <c r="F23" s="123">
        <f t="shared" si="1"/>
        <v>55.8645</v>
      </c>
      <c r="G23" s="119" t="s">
        <v>181</v>
      </c>
      <c r="H23" s="23" t="s">
        <v>71</v>
      </c>
      <c r="K23" s="23" t="s">
        <v>421</v>
      </c>
      <c r="L23" s="123">
        <v>29600</v>
      </c>
      <c r="M23" s="123">
        <f t="shared" si="2"/>
        <v>29.6</v>
      </c>
      <c r="N23" s="23" t="s">
        <v>192</v>
      </c>
    </row>
    <row r="24" spans="1:14" x14ac:dyDescent="0.35">
      <c r="A24" s="23" t="s">
        <v>574</v>
      </c>
      <c r="B24" s="24">
        <f>SUMIF(Raw!B:B,'TB 1124'!A24,Raw!$C:$C)</f>
        <v>0</v>
      </c>
      <c r="C24" s="24">
        <f>SUMIF(Raw!B:B,'TB 1124'!A24,Raw!D:D)</f>
        <v>30000</v>
      </c>
      <c r="D24" s="24">
        <f>SUMIF(Raw!B:B,'TB 1124'!A24,Raw!E:E)</f>
        <v>30000</v>
      </c>
      <c r="E24" s="24">
        <f t="shared" si="0"/>
        <v>0</v>
      </c>
      <c r="F24" s="123">
        <f t="shared" si="1"/>
        <v>0</v>
      </c>
      <c r="G24" s="119" t="s">
        <v>181</v>
      </c>
      <c r="H24" s="23" t="s">
        <v>79</v>
      </c>
      <c r="K24" s="23" t="s">
        <v>320</v>
      </c>
      <c r="L24" s="123">
        <v>50000</v>
      </c>
      <c r="M24" s="123">
        <f t="shared" si="2"/>
        <v>50</v>
      </c>
      <c r="N24" s="23" t="s">
        <v>192</v>
      </c>
    </row>
    <row r="25" spans="1:14" x14ac:dyDescent="0.35">
      <c r="A25" s="23" t="s">
        <v>575</v>
      </c>
      <c r="B25" s="24">
        <f>SUMIF(Raw!B:B,'TB 1124'!A25,Raw!$C:$C)</f>
        <v>62500</v>
      </c>
      <c r="C25" s="24">
        <f>SUMIF(Raw!B:B,'TB 1124'!A25,Raw!D:D)</f>
        <v>48919.85</v>
      </c>
      <c r="D25" s="24">
        <f>SUMIF(Raw!B:B,'TB 1124'!A25,Raw!E:E)</f>
        <v>62500</v>
      </c>
      <c r="E25" s="24">
        <f t="shared" si="0"/>
        <v>48919.850000000006</v>
      </c>
      <c r="F25" s="123">
        <f t="shared" si="1"/>
        <v>48.919850000000004</v>
      </c>
      <c r="G25" s="119" t="s">
        <v>181</v>
      </c>
      <c r="H25" s="23" t="s">
        <v>79</v>
      </c>
      <c r="K25" s="23" t="s">
        <v>360</v>
      </c>
      <c r="L25" s="123">
        <v>100000</v>
      </c>
      <c r="M25" s="123">
        <f t="shared" si="2"/>
        <v>100</v>
      </c>
      <c r="N25" s="23" t="s">
        <v>192</v>
      </c>
    </row>
    <row r="26" spans="1:14" x14ac:dyDescent="0.35">
      <c r="A26" s="23" t="s">
        <v>376</v>
      </c>
      <c r="B26" s="24">
        <f>SUMIF(Raw!B:B,'TB 1124'!A26,Raw!$C:$C)</f>
        <v>118361.97</v>
      </c>
      <c r="C26" s="24">
        <f>SUMIF(Raw!B:B,'TB 1124'!A26,Raw!D:D)</f>
        <v>177115.61</v>
      </c>
      <c r="D26" s="24">
        <f>SUMIF(Raw!B:B,'TB 1124'!A26,Raw!E:E)</f>
        <v>278115.40000000002</v>
      </c>
      <c r="E26" s="24">
        <f t="shared" si="0"/>
        <v>17362.179999999935</v>
      </c>
      <c r="F26" s="123">
        <f t="shared" si="1"/>
        <v>17.362179999999935</v>
      </c>
      <c r="G26" s="119" t="s">
        <v>180</v>
      </c>
      <c r="H26" s="23" t="s">
        <v>67</v>
      </c>
      <c r="K26" s="23" t="s">
        <v>325</v>
      </c>
      <c r="L26" s="123">
        <v>21000</v>
      </c>
      <c r="M26" s="123">
        <f t="shared" si="2"/>
        <v>21</v>
      </c>
      <c r="N26" s="23" t="s">
        <v>192</v>
      </c>
    </row>
    <row r="27" spans="1:14" x14ac:dyDescent="0.35">
      <c r="A27" s="23" t="s">
        <v>576</v>
      </c>
      <c r="B27" s="24">
        <f>SUMIF(Raw!B:B,'TB 1124'!A27,Raw!$C:$C)</f>
        <v>0</v>
      </c>
      <c r="C27" s="24">
        <f>SUMIF(Raw!B:B,'TB 1124'!A27,Raw!D:D)</f>
        <v>78630</v>
      </c>
      <c r="D27" s="24">
        <f>SUMIF(Raw!B:B,'TB 1124'!A27,Raw!E:E)</f>
        <v>1031232.65</v>
      </c>
      <c r="E27" s="24">
        <f t="shared" si="0"/>
        <v>-952602.65</v>
      </c>
      <c r="F27" s="123">
        <f t="shared" si="1"/>
        <v>-952.60265000000004</v>
      </c>
      <c r="G27" s="119" t="s">
        <v>181</v>
      </c>
      <c r="H27" s="23" t="s">
        <v>77</v>
      </c>
      <c r="K27" s="23" t="s">
        <v>398</v>
      </c>
      <c r="L27" s="123">
        <v>16500</v>
      </c>
      <c r="M27" s="123">
        <f t="shared" si="2"/>
        <v>16.5</v>
      </c>
      <c r="N27" s="23" t="s">
        <v>268</v>
      </c>
    </row>
    <row r="28" spans="1:14" x14ac:dyDescent="0.35">
      <c r="A28" s="23" t="s">
        <v>577</v>
      </c>
      <c r="B28" s="24">
        <f>SUMIF(Raw!B:B,'TB 1124'!A28,Raw!$C:$C)</f>
        <v>246672.96</v>
      </c>
      <c r="C28" s="24">
        <f>SUMIF(Raw!B:B,'TB 1124'!A28,Raw!D:D)</f>
        <v>16402.2</v>
      </c>
      <c r="D28" s="24">
        <f>SUMIF(Raw!B:B,'TB 1124'!A28,Raw!E:E)</f>
        <v>0</v>
      </c>
      <c r="E28" s="24">
        <f t="shared" si="0"/>
        <v>263075.15999999997</v>
      </c>
      <c r="F28" s="123">
        <f t="shared" si="1"/>
        <v>263.07515999999998</v>
      </c>
      <c r="G28" s="119" t="s">
        <v>181</v>
      </c>
      <c r="H28" s="23" t="s">
        <v>79</v>
      </c>
      <c r="K28" s="23" t="s">
        <v>422</v>
      </c>
      <c r="L28" s="123">
        <v>15000</v>
      </c>
      <c r="M28" s="123">
        <f t="shared" si="2"/>
        <v>15</v>
      </c>
      <c r="N28" s="23" t="s">
        <v>192</v>
      </c>
    </row>
    <row r="29" spans="1:14" x14ac:dyDescent="0.35">
      <c r="A29" s="23" t="s">
        <v>146</v>
      </c>
      <c r="B29" s="24">
        <f>SUMIF(Raw!B:B,'TB 1124'!A29,Raw!$C:$C)</f>
        <v>960000</v>
      </c>
      <c r="C29" s="24">
        <f>SUMIF(Raw!B:B,'TB 1124'!A29,Raw!D:D)</f>
        <v>0</v>
      </c>
      <c r="D29" s="24">
        <f>SUMIF(Raw!B:B,'TB 1124'!A29,Raw!E:E)</f>
        <v>0</v>
      </c>
      <c r="E29" s="24">
        <f t="shared" si="0"/>
        <v>960000</v>
      </c>
      <c r="F29" s="123">
        <f t="shared" si="1"/>
        <v>960</v>
      </c>
      <c r="G29" s="119" t="s">
        <v>181</v>
      </c>
      <c r="H29" s="23" t="s">
        <v>73</v>
      </c>
      <c r="K29" s="23" t="s">
        <v>429</v>
      </c>
      <c r="L29" s="123">
        <v>10000</v>
      </c>
      <c r="M29" s="123">
        <f t="shared" si="2"/>
        <v>10</v>
      </c>
      <c r="N29" s="23" t="s">
        <v>192</v>
      </c>
    </row>
    <row r="30" spans="1:14" x14ac:dyDescent="0.35">
      <c r="A30" s="23" t="s">
        <v>345</v>
      </c>
      <c r="B30" s="24">
        <f>SUMIF(Raw!B:B,'TB 1124'!A30,Raw!$C:$C)</f>
        <v>93053</v>
      </c>
      <c r="C30" s="24">
        <f>SUMIF(Raw!B:B,'TB 1124'!A30,Raw!D:D)</f>
        <v>23580</v>
      </c>
      <c r="D30" s="24">
        <f>SUMIF(Raw!B:B,'TB 1124'!A30,Raw!E:E)</f>
        <v>0</v>
      </c>
      <c r="E30" s="24">
        <f t="shared" si="0"/>
        <v>116633</v>
      </c>
      <c r="F30" s="123">
        <f t="shared" si="1"/>
        <v>116.633</v>
      </c>
      <c r="G30" s="119" t="s">
        <v>181</v>
      </c>
      <c r="H30" s="23" t="s">
        <v>79</v>
      </c>
      <c r="K30" s="23" t="s">
        <v>497</v>
      </c>
      <c r="L30" s="123">
        <v>10313</v>
      </c>
      <c r="M30" s="123">
        <f t="shared" si="2"/>
        <v>10.313000000000001</v>
      </c>
      <c r="N30" s="23" t="s">
        <v>192</v>
      </c>
    </row>
    <row r="31" spans="1:14" x14ac:dyDescent="0.35">
      <c r="A31" s="23" t="s">
        <v>427</v>
      </c>
      <c r="B31" s="24">
        <f>SUMIF(Raw!B:B,'TB 1124'!A31,Raw!$C:$C)</f>
        <v>-1303886.48</v>
      </c>
      <c r="C31" s="24">
        <f>SUMIF(Raw!B:B,'TB 1124'!A31,Raw!D:D)</f>
        <v>4683654.3</v>
      </c>
      <c r="D31" s="24">
        <f>SUMIF(Raw!B:B,'TB 1124'!A31,Raw!E:E)</f>
        <v>4362316.71</v>
      </c>
      <c r="E31" s="24">
        <f t="shared" si="0"/>
        <v>-982548.89000000013</v>
      </c>
      <c r="F31" s="123">
        <f t="shared" si="1"/>
        <v>-982.54889000000014</v>
      </c>
      <c r="G31" s="119" t="s">
        <v>180</v>
      </c>
      <c r="H31" s="23" t="s">
        <v>67</v>
      </c>
      <c r="L31" s="123">
        <f>SUM(L3:L30)</f>
        <v>1949397</v>
      </c>
      <c r="M31" s="123">
        <f>SUM(M3:M30)</f>
        <v>1949.3969999999999</v>
      </c>
    </row>
    <row r="32" spans="1:14" x14ac:dyDescent="0.35">
      <c r="A32" s="23" t="s">
        <v>423</v>
      </c>
      <c r="B32" s="24">
        <f>SUMIF(Raw!B:B,'TB 1124'!A32,Raw!$C:$C)</f>
        <v>-21196.27</v>
      </c>
      <c r="C32" s="24">
        <f>SUMIF(Raw!B:B,'TB 1124'!A32,Raw!D:D)</f>
        <v>12274</v>
      </c>
      <c r="D32" s="24">
        <f>SUMIF(Raw!B:B,'TB 1124'!A32,Raw!E:E)</f>
        <v>78630</v>
      </c>
      <c r="E32" s="24">
        <f t="shared" ref="E32:E67" si="3">B32+C32-D32</f>
        <v>-87552.27</v>
      </c>
      <c r="F32" s="123">
        <f t="shared" ref="F32:F67" si="4">E32/1000</f>
        <v>-87.552270000000007</v>
      </c>
      <c r="G32" s="119" t="s">
        <v>180</v>
      </c>
      <c r="H32" s="23" t="s">
        <v>68</v>
      </c>
    </row>
    <row r="33" spans="1:8" x14ac:dyDescent="0.35">
      <c r="A33" s="23" t="s">
        <v>578</v>
      </c>
      <c r="B33" s="24">
        <f>SUMIF(Raw!B:B,'TB 1124'!A33,Raw!$C:$C)</f>
        <v>-31103</v>
      </c>
      <c r="C33" s="24">
        <f>SUMIF(Raw!B:B,'TB 1124'!A33,Raw!D:D)</f>
        <v>31103</v>
      </c>
      <c r="D33" s="24">
        <f>SUMIF(Raw!B:B,'TB 1124'!A33,Raw!E:E)</f>
        <v>0</v>
      </c>
      <c r="E33" s="24">
        <f t="shared" si="3"/>
        <v>0</v>
      </c>
      <c r="F33" s="123">
        <f t="shared" si="4"/>
        <v>0</v>
      </c>
      <c r="G33" s="119" t="s">
        <v>180</v>
      </c>
      <c r="H33" s="23" t="s">
        <v>68</v>
      </c>
    </row>
    <row r="34" spans="1:8" x14ac:dyDescent="0.35">
      <c r="A34" s="23" t="s">
        <v>579</v>
      </c>
      <c r="B34" s="24">
        <f>SUMIF(Raw!B:B,'TB 1124'!A34,Raw!$C:$C)</f>
        <v>-27079.61</v>
      </c>
      <c r="C34" s="24">
        <f>SUMIF(Raw!B:B,'TB 1124'!A34,Raw!D:D)</f>
        <v>22406</v>
      </c>
      <c r="D34" s="24">
        <f>SUMIF(Raw!B:B,'TB 1124'!A34,Raw!E:E)</f>
        <v>43038.97</v>
      </c>
      <c r="E34" s="24">
        <f t="shared" si="3"/>
        <v>-47712.58</v>
      </c>
      <c r="F34" s="123">
        <f t="shared" si="4"/>
        <v>-47.712580000000003</v>
      </c>
      <c r="G34" s="119" t="s">
        <v>181</v>
      </c>
      <c r="H34" s="23" t="s">
        <v>79</v>
      </c>
    </row>
    <row r="35" spans="1:8" x14ac:dyDescent="0.35">
      <c r="A35" s="23" t="s">
        <v>580</v>
      </c>
      <c r="B35" s="24">
        <f>SUMIF(Raw!B:B,'TB 1124'!A35,Raw!$C:$C)</f>
        <v>-7392.96</v>
      </c>
      <c r="C35" s="24">
        <f>SUMIF(Raw!B:B,'TB 1124'!A35,Raw!D:D)</f>
        <v>7393</v>
      </c>
      <c r="D35" s="24">
        <f>SUMIF(Raw!B:B,'TB 1124'!A35,Raw!E:E)</f>
        <v>8602.2000000000007</v>
      </c>
      <c r="E35" s="24">
        <f t="shared" si="3"/>
        <v>-8602.16</v>
      </c>
      <c r="F35" s="123">
        <f t="shared" si="4"/>
        <v>-8.6021599999999996</v>
      </c>
      <c r="G35" s="119" t="s">
        <v>181</v>
      </c>
      <c r="H35" s="23" t="s">
        <v>79</v>
      </c>
    </row>
    <row r="36" spans="1:8" x14ac:dyDescent="0.35">
      <c r="A36" s="23" t="s">
        <v>581</v>
      </c>
      <c r="B36" s="24">
        <f>SUMIF(Raw!B:B,'TB 1124'!A36,Raw!$C:$C)</f>
        <v>-27079.61</v>
      </c>
      <c r="C36" s="24">
        <f>SUMIF(Raw!B:B,'TB 1124'!A36,Raw!D:D)</f>
        <v>22406</v>
      </c>
      <c r="D36" s="24">
        <f>SUMIF(Raw!B:B,'TB 1124'!A36,Raw!E:E)</f>
        <v>43038.97</v>
      </c>
      <c r="E36" s="24">
        <f t="shared" si="3"/>
        <v>-47712.58</v>
      </c>
      <c r="F36" s="123">
        <f t="shared" si="4"/>
        <v>-47.712580000000003</v>
      </c>
      <c r="G36" s="119" t="s">
        <v>181</v>
      </c>
      <c r="H36" s="23" t="s">
        <v>79</v>
      </c>
    </row>
    <row r="37" spans="1:8" x14ac:dyDescent="0.35">
      <c r="A37" s="23" t="s">
        <v>582</v>
      </c>
      <c r="B37" s="24">
        <f>SUMIF(Raw!B:B,'TB 1124'!A37,Raw!$C:$C)</f>
        <v>-3800</v>
      </c>
      <c r="C37" s="24">
        <f>SUMIF(Raw!B:B,'TB 1124'!A37,Raw!D:D)</f>
        <v>3800</v>
      </c>
      <c r="D37" s="24">
        <f>SUMIF(Raw!B:B,'TB 1124'!A37,Raw!E:E)</f>
        <v>4175</v>
      </c>
      <c r="E37" s="24">
        <f t="shared" si="3"/>
        <v>-4175</v>
      </c>
      <c r="F37" s="123">
        <f t="shared" si="4"/>
        <v>-4.1749999999999998</v>
      </c>
      <c r="G37" s="119" t="s">
        <v>180</v>
      </c>
      <c r="H37" s="23" t="s">
        <v>68</v>
      </c>
    </row>
    <row r="38" spans="1:8" x14ac:dyDescent="0.35">
      <c r="A38" s="23" t="s">
        <v>583</v>
      </c>
      <c r="B38" s="24">
        <f>SUMIF(Raw!B:B,'TB 1124'!A38,Raw!$C:$C)</f>
        <v>-40386</v>
      </c>
      <c r="C38" s="24">
        <f>SUMIF(Raw!B:B,'TB 1124'!A38,Raw!D:D)</f>
        <v>40386</v>
      </c>
      <c r="D38" s="24">
        <f>SUMIF(Raw!B:B,'TB 1124'!A38,Raw!E:E)</f>
        <v>37204</v>
      </c>
      <c r="E38" s="24">
        <f t="shared" si="3"/>
        <v>-37204</v>
      </c>
      <c r="F38" s="123">
        <f t="shared" si="4"/>
        <v>-37.204000000000001</v>
      </c>
      <c r="G38" s="119" t="s">
        <v>180</v>
      </c>
      <c r="H38" s="23" t="s">
        <v>68</v>
      </c>
    </row>
    <row r="39" spans="1:8" x14ac:dyDescent="0.35">
      <c r="A39" s="23" t="s">
        <v>584</v>
      </c>
      <c r="B39" s="24">
        <f>SUMIF(Raw!B:B,'TB 1124'!A39,Raw!$C:$C)</f>
        <v>-40386</v>
      </c>
      <c r="C39" s="24">
        <f>SUMIF(Raw!B:B,'TB 1124'!A39,Raw!D:D)</f>
        <v>40386</v>
      </c>
      <c r="D39" s="24">
        <f>SUMIF(Raw!B:B,'TB 1124'!A39,Raw!E:E)</f>
        <v>37204</v>
      </c>
      <c r="E39" s="24">
        <f t="shared" si="3"/>
        <v>-37204</v>
      </c>
      <c r="F39" s="123">
        <f t="shared" si="4"/>
        <v>-37.204000000000001</v>
      </c>
      <c r="G39" s="119" t="s">
        <v>180</v>
      </c>
      <c r="H39" s="23" t="s">
        <v>68</v>
      </c>
    </row>
    <row r="40" spans="1:8" x14ac:dyDescent="0.35">
      <c r="A40" s="23" t="s">
        <v>138</v>
      </c>
      <c r="B40" s="24">
        <f>SUMIF(Raw!B:B,'TB 1124'!A40,Raw!$C:$C)</f>
        <v>-25000</v>
      </c>
      <c r="C40" s="24">
        <f>SUMIF(Raw!B:B,'TB 1124'!A40,Raw!D:D)</f>
        <v>0</v>
      </c>
      <c r="D40" s="24">
        <f>SUMIF(Raw!B:B,'TB 1124'!A40,Raw!E:E)</f>
        <v>0</v>
      </c>
      <c r="E40" s="24">
        <f t="shared" si="3"/>
        <v>-25000</v>
      </c>
      <c r="F40" s="123">
        <f t="shared" si="4"/>
        <v>-25</v>
      </c>
      <c r="G40" s="119" t="s">
        <v>180</v>
      </c>
      <c r="H40" s="23" t="s">
        <v>69</v>
      </c>
    </row>
    <row r="41" spans="1:8" x14ac:dyDescent="0.35">
      <c r="A41" s="23" t="s">
        <v>585</v>
      </c>
      <c r="B41" s="24">
        <f>SUMIF(Raw!B:B,'TB 1124'!A41,Raw!$C:$C)</f>
        <v>-13100</v>
      </c>
      <c r="C41" s="24">
        <f>SUMIF(Raw!B:B,'TB 1124'!A41,Raw!D:D)</f>
        <v>13100</v>
      </c>
      <c r="D41" s="24">
        <f>SUMIF(Raw!B:B,'TB 1124'!A41,Raw!E:E)</f>
        <v>13200</v>
      </c>
      <c r="E41" s="24">
        <f t="shared" si="3"/>
        <v>-13200</v>
      </c>
      <c r="F41" s="123">
        <f t="shared" si="4"/>
        <v>-13.2</v>
      </c>
      <c r="G41" s="119" t="s">
        <v>180</v>
      </c>
      <c r="H41" s="23" t="s">
        <v>69</v>
      </c>
    </row>
    <row r="42" spans="1:8" x14ac:dyDescent="0.35">
      <c r="A42" s="23" t="s">
        <v>434</v>
      </c>
      <c r="B42" s="24">
        <f>SUMIF(Raw!B:B,'TB 1124'!A42,Raw!$C:$C)</f>
        <v>-17402</v>
      </c>
      <c r="C42" s="24">
        <f>SUMIF(Raw!B:B,'TB 1124'!A42,Raw!D:D)</f>
        <v>0</v>
      </c>
      <c r="D42" s="24">
        <f>SUMIF(Raw!B:B,'TB 1124'!A42,Raw!E:E)</f>
        <v>16233.53</v>
      </c>
      <c r="E42" s="24">
        <f t="shared" si="3"/>
        <v>-33635.53</v>
      </c>
      <c r="F42" s="123">
        <f t="shared" si="4"/>
        <v>-33.635529999999996</v>
      </c>
      <c r="G42" s="119" t="s">
        <v>180</v>
      </c>
      <c r="H42" s="23" t="s">
        <v>69</v>
      </c>
    </row>
    <row r="43" spans="1:8" x14ac:dyDescent="0.35">
      <c r="A43" s="23" t="s">
        <v>586</v>
      </c>
      <c r="B43" s="24">
        <f>SUMIF(Raw!B:B,'TB 1124'!A43,Raw!$C:$C)</f>
        <v>0</v>
      </c>
      <c r="C43" s="24">
        <f>SUMIF(Raw!B:B,'TB 1124'!A43,Raw!D:D)</f>
        <v>0</v>
      </c>
      <c r="D43" s="24">
        <f>SUMIF(Raw!B:B,'TB 1124'!A43,Raw!E:E)</f>
        <v>27767.74</v>
      </c>
      <c r="E43" s="24">
        <f t="shared" si="3"/>
        <v>-27767.74</v>
      </c>
      <c r="F43" s="123">
        <f t="shared" si="4"/>
        <v>-27.76774</v>
      </c>
      <c r="G43" s="119" t="s">
        <v>180</v>
      </c>
      <c r="H43" s="23" t="s">
        <v>69</v>
      </c>
    </row>
    <row r="44" spans="1:8" x14ac:dyDescent="0.35">
      <c r="A44" s="23" t="s">
        <v>425</v>
      </c>
      <c r="B44" s="24">
        <f>SUMIF(Raw!B:B,'TB 1124'!A44,Raw!$C:$C)</f>
        <v>-213199.6</v>
      </c>
      <c r="C44" s="24">
        <f>SUMIF(Raw!B:B,'TB 1124'!A44,Raw!D:D)</f>
        <v>252184</v>
      </c>
      <c r="D44" s="24">
        <f>SUMIF(Raw!B:B,'TB 1124'!A44,Raw!E:E)</f>
        <v>238229.01</v>
      </c>
      <c r="E44" s="24">
        <f t="shared" si="3"/>
        <v>-199244.61000000002</v>
      </c>
      <c r="F44" s="123">
        <f t="shared" si="4"/>
        <v>-199.24461000000002</v>
      </c>
      <c r="G44" s="119" t="s">
        <v>180</v>
      </c>
      <c r="H44" s="23" t="s">
        <v>68</v>
      </c>
    </row>
    <row r="45" spans="1:8" x14ac:dyDescent="0.35">
      <c r="A45" s="23" t="s">
        <v>587</v>
      </c>
      <c r="B45" s="24">
        <f>SUMIF(Raw!B:B,'TB 1124'!A45,Raw!$C:$C)</f>
        <v>-85000</v>
      </c>
      <c r="C45" s="24">
        <f>SUMIF(Raw!B:B,'TB 1124'!A45,Raw!D:D)</f>
        <v>60000</v>
      </c>
      <c r="D45" s="24">
        <f>SUMIF(Raw!B:B,'TB 1124'!A45,Raw!E:E)</f>
        <v>12500</v>
      </c>
      <c r="E45" s="24">
        <f t="shared" si="3"/>
        <v>-37500</v>
      </c>
      <c r="F45" s="123">
        <f t="shared" si="4"/>
        <v>-37.5</v>
      </c>
      <c r="G45" s="119" t="s">
        <v>180</v>
      </c>
      <c r="H45" s="23" t="s">
        <v>68</v>
      </c>
    </row>
    <row r="46" spans="1:8" x14ac:dyDescent="0.35">
      <c r="A46" s="23" t="s">
        <v>588</v>
      </c>
      <c r="B46" s="24">
        <f>SUMIF(Raw!B:B,'TB 1124'!A46,Raw!$C:$C)</f>
        <v>20215664.75</v>
      </c>
      <c r="C46" s="24">
        <f>SUMIF(Raw!B:B,'TB 1124'!A46,Raw!D:D)</f>
        <v>0</v>
      </c>
      <c r="D46" s="24">
        <f>SUMIF(Raw!B:B,'TB 1124'!A46,Raw!E:E)</f>
        <v>0</v>
      </c>
      <c r="E46" s="24">
        <f t="shared" si="3"/>
        <v>20215664.75</v>
      </c>
      <c r="F46" s="123">
        <f t="shared" si="4"/>
        <v>20215.66475</v>
      </c>
      <c r="G46" s="119" t="s">
        <v>180</v>
      </c>
      <c r="H46" s="23" t="s">
        <v>64</v>
      </c>
    </row>
    <row r="47" spans="1:8" x14ac:dyDescent="0.35">
      <c r="A47" s="23" t="s">
        <v>589</v>
      </c>
      <c r="B47" s="24">
        <f>SUMIF(Raw!B:B,'TB 1124'!A47,Raw!$C:$C)</f>
        <v>-100000</v>
      </c>
      <c r="C47" s="24">
        <f>SUMIF(Raw!B:B,'TB 1124'!A47,Raw!D:D)</f>
        <v>0</v>
      </c>
      <c r="D47" s="24">
        <f>SUMIF(Raw!B:B,'TB 1124'!A47,Raw!E:E)</f>
        <v>0</v>
      </c>
      <c r="E47" s="24">
        <f t="shared" si="3"/>
        <v>-100000</v>
      </c>
      <c r="F47" s="123">
        <f t="shared" si="4"/>
        <v>-100</v>
      </c>
      <c r="G47" s="119" t="s">
        <v>180</v>
      </c>
      <c r="H47" s="23" t="s">
        <v>63</v>
      </c>
    </row>
    <row r="48" spans="1:8" x14ac:dyDescent="0.35">
      <c r="A48" s="23" t="s">
        <v>590</v>
      </c>
      <c r="B48" s="24">
        <f>SUMIF(Raw!B:B,'TB 1124'!A48,Raw!$C:$C)</f>
        <v>-10</v>
      </c>
      <c r="C48" s="24">
        <f>SUMIF(Raw!B:B,'TB 1124'!A48,Raw!D:D)</f>
        <v>0</v>
      </c>
      <c r="D48" s="24">
        <f>SUMIF(Raw!B:B,'TB 1124'!A48,Raw!E:E)</f>
        <v>0</v>
      </c>
      <c r="E48" s="24">
        <f t="shared" si="3"/>
        <v>-10</v>
      </c>
      <c r="F48" s="123">
        <f t="shared" si="4"/>
        <v>-0.01</v>
      </c>
      <c r="G48" s="119" t="s">
        <v>180</v>
      </c>
      <c r="H48" s="23" t="s">
        <v>63</v>
      </c>
    </row>
    <row r="49" spans="1:8" x14ac:dyDescent="0.35">
      <c r="A49" s="23" t="s">
        <v>591</v>
      </c>
      <c r="B49" s="24">
        <f>SUMIF(Raw!B:B,'TB 1124'!A49,Raw!$C:$C)</f>
        <v>-4207000</v>
      </c>
      <c r="C49" s="24">
        <f>SUMIF(Raw!B:B,'TB 1124'!A49,Raw!D:D)</f>
        <v>0</v>
      </c>
      <c r="D49" s="24">
        <f>SUMIF(Raw!B:B,'TB 1124'!A49,Raw!E:E)</f>
        <v>0</v>
      </c>
      <c r="E49" s="24">
        <f t="shared" si="3"/>
        <v>-4207000</v>
      </c>
      <c r="F49" s="123">
        <f t="shared" si="4"/>
        <v>-4207</v>
      </c>
      <c r="G49" s="119" t="s">
        <v>180</v>
      </c>
      <c r="H49" s="23" t="s">
        <v>63</v>
      </c>
    </row>
    <row r="50" spans="1:8" x14ac:dyDescent="0.35">
      <c r="A50" s="23" t="s">
        <v>592</v>
      </c>
      <c r="B50" s="24">
        <f>SUMIF(Raw!B:B,'TB 1124'!A50,Raw!$C:$C)</f>
        <v>-75792961.200000003</v>
      </c>
      <c r="C50" s="24">
        <f>SUMIF(Raw!B:B,'TB 1124'!A50,Raw!D:D)</f>
        <v>0</v>
      </c>
      <c r="D50" s="24">
        <f>SUMIF(Raw!B:B,'TB 1124'!A50,Raw!E:E)</f>
        <v>0</v>
      </c>
      <c r="E50" s="24">
        <f t="shared" si="3"/>
        <v>-75792961.200000003</v>
      </c>
      <c r="F50" s="123">
        <f t="shared" si="4"/>
        <v>-75792.961200000005</v>
      </c>
      <c r="G50" s="119" t="s">
        <v>180</v>
      </c>
      <c r="H50" s="23" t="s">
        <v>64</v>
      </c>
    </row>
    <row r="51" spans="1:8" x14ac:dyDescent="0.35">
      <c r="A51" s="23" t="s">
        <v>593</v>
      </c>
      <c r="B51" s="24">
        <f>SUMIF(Raw!B:B,'TB 1124'!A51,Raw!$C:$C)</f>
        <v>1905743.9</v>
      </c>
      <c r="C51" s="24">
        <f>SUMIF(Raw!B:B,'TB 1124'!A51,Raw!D:D)</f>
        <v>0</v>
      </c>
      <c r="D51" s="24">
        <f>SUMIF(Raw!B:B,'TB 1124'!A51,Raw!E:E)</f>
        <v>0</v>
      </c>
      <c r="E51" s="24">
        <f t="shared" si="3"/>
        <v>1905743.9</v>
      </c>
      <c r="F51" s="123">
        <f t="shared" si="4"/>
        <v>1905.7438999999999</v>
      </c>
      <c r="G51" s="119" t="s">
        <v>180</v>
      </c>
      <c r="H51" s="23" t="s">
        <v>64</v>
      </c>
    </row>
    <row r="52" spans="1:8" x14ac:dyDescent="0.35">
      <c r="A52" s="23" t="s">
        <v>295</v>
      </c>
      <c r="B52" s="24">
        <f>SUMIF(Raw!B:B,'TB 1124'!A52,Raw!$C:$C)</f>
        <v>0</v>
      </c>
      <c r="C52" s="24">
        <f>SUMIF(Raw!B:B,'TB 1124'!A52,Raw!D:D)</f>
        <v>0</v>
      </c>
      <c r="D52" s="24">
        <f>SUMIF(Raw!B:B,'TB 1124'!A52,Raw!E:E)</f>
        <v>238699.96</v>
      </c>
      <c r="E52" s="24">
        <f t="shared" si="3"/>
        <v>-238699.96</v>
      </c>
      <c r="F52" s="123">
        <f t="shared" si="4"/>
        <v>-238.69996</v>
      </c>
      <c r="G52" s="119" t="s">
        <v>184</v>
      </c>
      <c r="H52" s="23" t="s">
        <v>25</v>
      </c>
    </row>
    <row r="53" spans="1:8" x14ac:dyDescent="0.35">
      <c r="A53" s="23" t="s">
        <v>316</v>
      </c>
      <c r="B53" s="24">
        <f>SUMIF(Raw!B:B,'TB 1124'!A53,Raw!$C:$C)</f>
        <v>0</v>
      </c>
      <c r="C53" s="24">
        <f>SUMIF(Raw!B:B,'TB 1124'!A53,Raw!D:D)</f>
        <v>76578.13</v>
      </c>
      <c r="D53" s="24">
        <f>SUMIF(Raw!B:B,'TB 1124'!A53,Raw!E:E)</f>
        <v>0</v>
      </c>
      <c r="E53" s="24">
        <f t="shared" si="3"/>
        <v>76578.13</v>
      </c>
      <c r="F53" s="123">
        <f t="shared" si="4"/>
        <v>76.578130000000002</v>
      </c>
      <c r="G53" s="119" t="s">
        <v>184</v>
      </c>
    </row>
    <row r="54" spans="1:8" x14ac:dyDescent="0.35">
      <c r="A54" s="23" t="s">
        <v>594</v>
      </c>
      <c r="B54" s="24">
        <f>SUMIF(Raw!B:B,'TB 1124'!A54,Raw!$C:$C)</f>
        <v>0</v>
      </c>
      <c r="C54" s="24">
        <f>SUMIF(Raw!B:B,'TB 1124'!A54,Raw!D:D)</f>
        <v>42165</v>
      </c>
      <c r="D54" s="24">
        <f>SUMIF(Raw!B:B,'TB 1124'!A54,Raw!E:E)</f>
        <v>295423</v>
      </c>
      <c r="E54" s="24">
        <f t="shared" si="3"/>
        <v>-253258</v>
      </c>
      <c r="F54" s="123">
        <f t="shared" si="4"/>
        <v>-253.25800000000001</v>
      </c>
      <c r="G54" s="119" t="s">
        <v>184</v>
      </c>
      <c r="H54" s="23" t="s">
        <v>49</v>
      </c>
    </row>
    <row r="55" spans="1:8" x14ac:dyDescent="0.35">
      <c r="A55" s="23" t="s">
        <v>303</v>
      </c>
      <c r="B55" s="24">
        <f>SUMIF(Raw!B:B,'TB 1124'!A55,Raw!$C:$C)</f>
        <v>0</v>
      </c>
      <c r="C55" s="24">
        <f>SUMIF(Raw!B:B,'TB 1124'!A55,Raw!D:D)</f>
        <v>0</v>
      </c>
      <c r="D55" s="24">
        <f>SUMIF(Raw!B:B,'TB 1124'!A55,Raw!E:E)</f>
        <v>825081.85</v>
      </c>
      <c r="E55" s="24">
        <f t="shared" si="3"/>
        <v>-825081.85</v>
      </c>
      <c r="F55" s="123">
        <f t="shared" si="4"/>
        <v>-825.08185000000003</v>
      </c>
      <c r="G55" s="119" t="s">
        <v>184</v>
      </c>
      <c r="H55" s="23" t="s">
        <v>25</v>
      </c>
    </row>
    <row r="56" spans="1:8" x14ac:dyDescent="0.35">
      <c r="A56" s="23" t="s">
        <v>287</v>
      </c>
      <c r="B56" s="24">
        <f>SUMIF(Raw!B:B,'TB 1124'!A56,Raw!$C:$C)</f>
        <v>0</v>
      </c>
      <c r="C56" s="24">
        <f>SUMIF(Raw!B:B,'TB 1124'!A56,Raw!D:D)</f>
        <v>70000</v>
      </c>
      <c r="D56" s="24">
        <f>SUMIF(Raw!B:B,'TB 1124'!A56,Raw!E:E)</f>
        <v>0</v>
      </c>
      <c r="E56" s="24">
        <f t="shared" si="3"/>
        <v>70000</v>
      </c>
      <c r="F56" s="123">
        <f t="shared" si="4"/>
        <v>70</v>
      </c>
      <c r="G56" s="119" t="s">
        <v>182</v>
      </c>
      <c r="H56" s="23" t="s">
        <v>41</v>
      </c>
    </row>
    <row r="57" spans="1:8" x14ac:dyDescent="0.35">
      <c r="A57" s="23" t="s">
        <v>595</v>
      </c>
      <c r="B57" s="24">
        <f>SUMIF(Raw!B:B,'TB 1124'!A57,Raw!$C:$C)</f>
        <v>0</v>
      </c>
      <c r="C57" s="24">
        <f>SUMIF(Raw!B:B,'TB 1124'!A57,Raw!D:D)</f>
        <v>118</v>
      </c>
      <c r="D57" s="24">
        <f>SUMIF(Raw!B:B,'TB 1124'!A57,Raw!E:E)</f>
        <v>0</v>
      </c>
      <c r="E57" s="24">
        <f t="shared" si="3"/>
        <v>118</v>
      </c>
      <c r="F57" s="123">
        <f t="shared" si="4"/>
        <v>0.11799999999999999</v>
      </c>
      <c r="G57" s="119" t="s">
        <v>182</v>
      </c>
      <c r="H57" s="23" t="s">
        <v>43</v>
      </c>
    </row>
    <row r="58" spans="1:8" x14ac:dyDescent="0.35">
      <c r="A58" s="23" t="s">
        <v>38</v>
      </c>
      <c r="B58" s="24">
        <f>SUMIF(Raw!B:B,'TB 1124'!A58,Raw!$C:$C)</f>
        <v>0</v>
      </c>
      <c r="C58" s="24">
        <f>SUMIF(Raw!B:B,'TB 1124'!A58,Raw!D:D)</f>
        <v>321749.48</v>
      </c>
      <c r="D58" s="24">
        <f>SUMIF(Raw!B:B,'TB 1124'!A58,Raw!E:E)</f>
        <v>87000</v>
      </c>
      <c r="E58" s="24">
        <f t="shared" si="3"/>
        <v>234749.47999999998</v>
      </c>
      <c r="F58" s="123">
        <f t="shared" si="4"/>
        <v>234.74947999999998</v>
      </c>
      <c r="G58" s="119" t="s">
        <v>182</v>
      </c>
      <c r="H58" s="23" t="s">
        <v>38</v>
      </c>
    </row>
    <row r="59" spans="1:8" x14ac:dyDescent="0.35">
      <c r="A59" s="23" t="s">
        <v>296</v>
      </c>
      <c r="B59" s="24">
        <f>SUMIF(Raw!B:B,'TB 1124'!A59,Raw!$C:$C)</f>
        <v>0</v>
      </c>
      <c r="C59" s="24">
        <f>SUMIF(Raw!B:B,'TB 1124'!A59,Raw!D:D)</f>
        <v>304343.33</v>
      </c>
      <c r="D59" s="24">
        <f>SUMIF(Raw!B:B,'TB 1124'!A59,Raw!E:E)</f>
        <v>0</v>
      </c>
      <c r="E59" s="24">
        <f t="shared" si="3"/>
        <v>304343.33</v>
      </c>
      <c r="F59" s="123">
        <f t="shared" si="4"/>
        <v>304.34333000000004</v>
      </c>
      <c r="G59" s="119" t="s">
        <v>182</v>
      </c>
      <c r="H59" s="23" t="s">
        <v>37</v>
      </c>
    </row>
    <row r="60" spans="1:8" x14ac:dyDescent="0.35">
      <c r="A60" s="23" t="s">
        <v>596</v>
      </c>
      <c r="B60" s="24">
        <f>SUMIF(Raw!B:B,'TB 1124'!A60,Raw!$C:$C)</f>
        <v>0</v>
      </c>
      <c r="C60" s="24">
        <f>SUMIF(Raw!B:B,'TB 1124'!A60,Raw!D:D)</f>
        <v>61708</v>
      </c>
      <c r="D60" s="24">
        <f>SUMIF(Raw!B:B,'TB 1124'!A60,Raw!E:E)</f>
        <v>0</v>
      </c>
      <c r="E60" s="24">
        <f t="shared" si="3"/>
        <v>61708</v>
      </c>
      <c r="F60" s="123">
        <f t="shared" si="4"/>
        <v>61.707999999999998</v>
      </c>
      <c r="G60" s="119" t="s">
        <v>182</v>
      </c>
      <c r="H60" s="23" t="s">
        <v>48</v>
      </c>
    </row>
    <row r="61" spans="1:8" x14ac:dyDescent="0.35">
      <c r="A61" s="23" t="s">
        <v>109</v>
      </c>
      <c r="B61" s="24">
        <f>SUMIF(Raw!B:B,'TB 1124'!A61,Raw!$C:$C)</f>
        <v>0</v>
      </c>
      <c r="C61" s="24">
        <f>SUMIF(Raw!B:B,'TB 1124'!A61,Raw!D:D)</f>
        <v>37204</v>
      </c>
      <c r="D61" s="24">
        <f>SUMIF(Raw!B:B,'TB 1124'!A61,Raw!E:E)</f>
        <v>0</v>
      </c>
      <c r="E61" s="24">
        <f t="shared" si="3"/>
        <v>37204</v>
      </c>
      <c r="F61" s="123">
        <f t="shared" si="4"/>
        <v>37.204000000000001</v>
      </c>
      <c r="G61" s="119" t="s">
        <v>182</v>
      </c>
      <c r="H61" s="23" t="s">
        <v>417</v>
      </c>
    </row>
    <row r="62" spans="1:8" x14ac:dyDescent="0.35">
      <c r="A62" s="23" t="s">
        <v>597</v>
      </c>
      <c r="B62" s="24">
        <f>SUMIF(Raw!B:B,'TB 1124'!A62,Raw!$C:$C)</f>
        <v>0</v>
      </c>
      <c r="C62" s="24">
        <f>SUMIF(Raw!B:B,'TB 1124'!A62,Raw!D:D)</f>
        <v>3377.8</v>
      </c>
      <c r="D62" s="24">
        <f>SUMIF(Raw!B:B,'TB 1124'!A62,Raw!E:E)</f>
        <v>0</v>
      </c>
      <c r="E62" s="24">
        <f t="shared" si="3"/>
        <v>3377.8</v>
      </c>
      <c r="F62" s="123">
        <f t="shared" si="4"/>
        <v>3.3778000000000001</v>
      </c>
      <c r="G62" s="119" t="s">
        <v>182</v>
      </c>
      <c r="H62" s="23" t="s">
        <v>417</v>
      </c>
    </row>
    <row r="63" spans="1:8" x14ac:dyDescent="0.35">
      <c r="A63" s="23" t="s">
        <v>598</v>
      </c>
      <c r="B63" s="24">
        <f>SUMIF(Raw!B:B,'TB 1124'!A63,Raw!$C:$C)</f>
        <v>0</v>
      </c>
      <c r="C63" s="24">
        <f>SUMIF(Raw!B:B,'TB 1124'!A63,Raw!D:D)</f>
        <v>76649.289999999994</v>
      </c>
      <c r="D63" s="24">
        <f>SUMIF(Raw!B:B,'TB 1124'!A63,Raw!E:E)</f>
        <v>31103</v>
      </c>
      <c r="E63" s="24">
        <f t="shared" si="3"/>
        <v>45546.289999999994</v>
      </c>
      <c r="F63" s="123">
        <f t="shared" si="4"/>
        <v>45.546289999999992</v>
      </c>
      <c r="G63" s="119" t="s">
        <v>182</v>
      </c>
      <c r="H63" s="23" t="s">
        <v>417</v>
      </c>
    </row>
    <row r="64" spans="1:8" x14ac:dyDescent="0.35">
      <c r="A64" s="23" t="s">
        <v>599</v>
      </c>
      <c r="B64" s="24">
        <f>SUMIF(Raw!B:B,'TB 1124'!A64,Raw!$C:$C)</f>
        <v>0</v>
      </c>
      <c r="C64" s="24">
        <f>SUMIF(Raw!B:B,'TB 1124'!A64,Raw!D:D)</f>
        <v>12500</v>
      </c>
      <c r="D64" s="24">
        <f>SUMIF(Raw!B:B,'TB 1124'!A64,Raw!E:E)</f>
        <v>60000</v>
      </c>
      <c r="E64" s="24">
        <f t="shared" si="3"/>
        <v>-47500</v>
      </c>
      <c r="F64" s="123">
        <f t="shared" si="4"/>
        <v>-47.5</v>
      </c>
      <c r="G64" s="119" t="s">
        <v>182</v>
      </c>
      <c r="H64" s="23" t="s">
        <v>417</v>
      </c>
    </row>
    <row r="65" spans="1:8" x14ac:dyDescent="0.35">
      <c r="A65" s="23" t="s">
        <v>600</v>
      </c>
      <c r="B65" s="24">
        <f>SUMIF(Raw!B:B,'TB 1124'!A65,Raw!$C:$C)</f>
        <v>0</v>
      </c>
      <c r="C65" s="24">
        <f>SUMIF(Raw!B:B,'TB 1124'!A65,Raw!D:D)</f>
        <v>63507</v>
      </c>
      <c r="D65" s="24">
        <f>SUMIF(Raw!B:B,'TB 1124'!A65,Raw!E:E)</f>
        <v>0</v>
      </c>
      <c r="E65" s="24">
        <f t="shared" si="3"/>
        <v>63507</v>
      </c>
      <c r="F65" s="123">
        <f t="shared" si="4"/>
        <v>63.506999999999998</v>
      </c>
      <c r="G65" s="119" t="s">
        <v>182</v>
      </c>
      <c r="H65" s="23" t="s">
        <v>46</v>
      </c>
    </row>
    <row r="66" spans="1:8" x14ac:dyDescent="0.35">
      <c r="A66" s="23" t="s">
        <v>601</v>
      </c>
      <c r="B66" s="24">
        <f>SUMIF(Raw!B:B,'TB 1124'!A66,Raw!$C:$C)</f>
        <v>0</v>
      </c>
      <c r="C66" s="24">
        <f>SUMIF(Raw!B:B,'TB 1124'!A66,Raw!D:D)</f>
        <v>30000</v>
      </c>
      <c r="D66" s="24">
        <f>SUMIF(Raw!B:B,'TB 1124'!A66,Raw!E:E)</f>
        <v>0</v>
      </c>
      <c r="E66" s="24">
        <f t="shared" si="3"/>
        <v>30000</v>
      </c>
      <c r="F66" s="123">
        <f t="shared" si="4"/>
        <v>30</v>
      </c>
      <c r="G66" s="119" t="s">
        <v>182</v>
      </c>
      <c r="H66" s="23" t="s">
        <v>43</v>
      </c>
    </row>
    <row r="67" spans="1:8" x14ac:dyDescent="0.35">
      <c r="A67" s="23" t="s">
        <v>602</v>
      </c>
      <c r="B67" s="24">
        <f>SUMIF(Raw!B:B,'TB 1124'!A67,Raw!$C:$C)</f>
        <v>0</v>
      </c>
      <c r="C67" s="24">
        <f>SUMIF(Raw!B:B,'TB 1124'!A67,Raw!D:D)</f>
        <v>1381.8</v>
      </c>
      <c r="D67" s="24">
        <f>SUMIF(Raw!B:B,'TB 1124'!A67,Raw!E:E)</f>
        <v>1405.47</v>
      </c>
      <c r="E67" s="24">
        <f t="shared" si="3"/>
        <v>-23.670000000000073</v>
      </c>
      <c r="F67" s="123">
        <f t="shared" si="4"/>
        <v>-2.3670000000000073E-2</v>
      </c>
      <c r="G67" s="119" t="s">
        <v>182</v>
      </c>
      <c r="H67" s="23" t="s">
        <v>42</v>
      </c>
    </row>
    <row r="68" spans="1:8" x14ac:dyDescent="0.35">
      <c r="A68" s="23" t="s">
        <v>603</v>
      </c>
      <c r="B68" s="24">
        <f>SUMIF(Raw!B:B,'TB 1124'!A68,Raw!$C:$C)</f>
        <v>0</v>
      </c>
      <c r="C68" s="24">
        <f>SUMIF(Raw!B:B,'TB 1124'!A68,Raw!D:D)</f>
        <v>532000</v>
      </c>
      <c r="D68" s="24">
        <f>SUMIF(Raw!B:B,'TB 1124'!A68,Raw!E:E)</f>
        <v>280000</v>
      </c>
      <c r="E68" s="24">
        <f t="shared" ref="E68:E78" si="5">B68+C68-D68</f>
        <v>252000</v>
      </c>
      <c r="F68" s="123">
        <f t="shared" ref="F68:F78" si="6">E68/1000</f>
        <v>252</v>
      </c>
      <c r="G68" s="119" t="s">
        <v>182</v>
      </c>
      <c r="H68" s="23" t="s">
        <v>42</v>
      </c>
    </row>
    <row r="69" spans="1:8" x14ac:dyDescent="0.35">
      <c r="A69" s="23" t="s">
        <v>604</v>
      </c>
      <c r="B69" s="24">
        <f>SUMIF(Raw!B:B,'TB 1124'!A69,Raw!$C:$C)</f>
        <v>0</v>
      </c>
      <c r="C69" s="24">
        <f>SUMIF(Raw!B:B,'TB 1124'!A69,Raw!D:D)</f>
        <v>13200</v>
      </c>
      <c r="D69" s="24">
        <f>SUMIF(Raw!B:B,'TB 1124'!A69,Raw!E:E)</f>
        <v>0</v>
      </c>
      <c r="E69" s="24">
        <f t="shared" si="5"/>
        <v>13200</v>
      </c>
      <c r="F69" s="123">
        <f t="shared" si="6"/>
        <v>13.2</v>
      </c>
      <c r="G69" s="119" t="s">
        <v>182</v>
      </c>
      <c r="H69" s="23" t="s">
        <v>43</v>
      </c>
    </row>
    <row r="70" spans="1:8" x14ac:dyDescent="0.35">
      <c r="A70" s="23" t="s">
        <v>605</v>
      </c>
      <c r="B70" s="24">
        <f>SUMIF(Raw!B:B,'TB 1124'!A70,Raw!$C:$C)</f>
        <v>0</v>
      </c>
      <c r="C70" s="24">
        <f>SUMIF(Raw!B:B,'TB 1124'!A70,Raw!D:D)</f>
        <v>1.08</v>
      </c>
      <c r="D70" s="24">
        <f>SUMIF(Raw!B:B,'TB 1124'!A70,Raw!E:E)</f>
        <v>0.89</v>
      </c>
      <c r="E70" s="24">
        <f t="shared" si="5"/>
        <v>0.19000000000000006</v>
      </c>
      <c r="F70" s="123">
        <f t="shared" si="6"/>
        <v>1.9000000000000006E-4</v>
      </c>
      <c r="G70" s="119" t="s">
        <v>182</v>
      </c>
      <c r="H70" s="23" t="s">
        <v>43</v>
      </c>
    </row>
    <row r="71" spans="1:8" x14ac:dyDescent="0.35">
      <c r="A71" s="23" t="s">
        <v>29</v>
      </c>
      <c r="B71" s="24">
        <f>SUMIF(Raw!B:B,'TB 1124'!A71,Raw!$C:$C)</f>
        <v>0</v>
      </c>
      <c r="C71" s="24">
        <f>SUMIF(Raw!B:B,'TB 1124'!A71,Raw!D:D)</f>
        <v>13757.23</v>
      </c>
      <c r="D71" s="24">
        <f>SUMIF(Raw!B:B,'TB 1124'!A71,Raw!E:E)</f>
        <v>0</v>
      </c>
      <c r="E71" s="24">
        <f t="shared" si="5"/>
        <v>13757.23</v>
      </c>
      <c r="F71" s="123">
        <f t="shared" si="6"/>
        <v>13.75723</v>
      </c>
      <c r="G71" s="119" t="s">
        <v>182</v>
      </c>
      <c r="H71" s="23" t="s">
        <v>29</v>
      </c>
    </row>
    <row r="72" spans="1:8" x14ac:dyDescent="0.35">
      <c r="A72" s="23" t="s">
        <v>41</v>
      </c>
      <c r="B72" s="24">
        <f>SUMIF(Raw!B:B,'TB 1124'!A72,Raw!$C:$C)</f>
        <v>0</v>
      </c>
      <c r="C72" s="24">
        <f>SUMIF(Raw!B:B,'TB 1124'!A72,Raw!D:D)</f>
        <v>39000</v>
      </c>
      <c r="D72" s="24">
        <f>SUMIF(Raw!B:B,'TB 1124'!A72,Raw!E:E)</f>
        <v>0</v>
      </c>
      <c r="E72" s="24">
        <f t="shared" si="5"/>
        <v>39000</v>
      </c>
      <c r="F72" s="123">
        <f t="shared" si="6"/>
        <v>39</v>
      </c>
      <c r="G72" s="119" t="s">
        <v>182</v>
      </c>
      <c r="H72" s="23" t="s">
        <v>41</v>
      </c>
    </row>
    <row r="73" spans="1:8" x14ac:dyDescent="0.35">
      <c r="A73" s="23" t="s">
        <v>606</v>
      </c>
      <c r="B73" s="24">
        <f>SUMIF(Raw!B:B,'TB 1124'!A73,Raw!$C:$C)</f>
        <v>0</v>
      </c>
      <c r="C73" s="24">
        <f>SUMIF(Raw!B:B,'TB 1124'!A73,Raw!D:D)</f>
        <v>4450</v>
      </c>
      <c r="D73" s="24">
        <f>SUMIF(Raw!B:B,'TB 1124'!A73,Raw!E:E)</f>
        <v>0</v>
      </c>
      <c r="E73" s="24">
        <f t="shared" si="5"/>
        <v>4450</v>
      </c>
      <c r="F73" s="123">
        <f t="shared" si="6"/>
        <v>4.45</v>
      </c>
      <c r="G73" s="119" t="s">
        <v>182</v>
      </c>
      <c r="H73" s="23" t="s">
        <v>41</v>
      </c>
    </row>
    <row r="74" spans="1:8" x14ac:dyDescent="0.35">
      <c r="A74" s="23" t="s">
        <v>607</v>
      </c>
      <c r="B74" s="24">
        <f>SUMIF(Raw!B:B,'TB 1124'!A74,Raw!$C:$C)</f>
        <v>0</v>
      </c>
      <c r="C74" s="24">
        <f>SUMIF(Raw!B:B,'TB 1124'!A74,Raw!D:D)</f>
        <v>1949397</v>
      </c>
      <c r="D74" s="24">
        <f>SUMIF(Raw!B:B,'TB 1124'!A74,Raw!E:E)</f>
        <v>0</v>
      </c>
      <c r="E74" s="24">
        <f t="shared" si="5"/>
        <v>1949397</v>
      </c>
      <c r="F74" s="123">
        <f t="shared" si="6"/>
        <v>1949.3969999999999</v>
      </c>
      <c r="G74" s="119" t="s">
        <v>182</v>
      </c>
    </row>
    <row r="75" spans="1:8" x14ac:dyDescent="0.35">
      <c r="A75" s="23" t="s">
        <v>608</v>
      </c>
      <c r="B75" s="24">
        <f>SUMIF(Raw!B:B,'TB 1124'!A75,Raw!$C:$C)</f>
        <v>0</v>
      </c>
      <c r="C75" s="24">
        <f>SUMIF(Raw!B:B,'TB 1124'!A75,Raw!D:D)</f>
        <v>210904.48</v>
      </c>
      <c r="D75" s="24">
        <f>SUMIF(Raw!B:B,'TB 1124'!A75,Raw!E:E)</f>
        <v>33250.85</v>
      </c>
      <c r="E75" s="24">
        <f t="shared" si="5"/>
        <v>177653.63</v>
      </c>
      <c r="F75" s="123">
        <f t="shared" si="6"/>
        <v>177.65362999999999</v>
      </c>
      <c r="G75" s="119" t="s">
        <v>182</v>
      </c>
      <c r="H75" s="23" t="s">
        <v>39</v>
      </c>
    </row>
    <row r="76" spans="1:8" x14ac:dyDescent="0.35">
      <c r="A76" s="23" t="s">
        <v>609</v>
      </c>
      <c r="B76" s="24">
        <f>SUMIF(Raw!B:B,'TB 1124'!A76,Raw!$C:$C)</f>
        <v>0</v>
      </c>
      <c r="C76" s="24">
        <f>SUMIF(Raw!B:B,'TB 1124'!A76,Raw!D:D)</f>
        <v>80956.2</v>
      </c>
      <c r="D76" s="24">
        <f>SUMIF(Raw!B:B,'TB 1124'!A76,Raw!E:E)</f>
        <v>0</v>
      </c>
      <c r="E76" s="24">
        <f t="shared" si="5"/>
        <v>80956.2</v>
      </c>
      <c r="F76" s="123">
        <f t="shared" si="6"/>
        <v>80.956199999999995</v>
      </c>
      <c r="G76" s="119" t="s">
        <v>182</v>
      </c>
      <c r="H76" s="23" t="s">
        <v>33</v>
      </c>
    </row>
    <row r="77" spans="1:8" x14ac:dyDescent="0.35">
      <c r="A77" s="23" t="s">
        <v>610</v>
      </c>
      <c r="B77" s="24">
        <f>SUMIF(Raw!B:B,'TB 1124'!A77,Raw!$C:$C)</f>
        <v>0</v>
      </c>
      <c r="C77" s="24">
        <f>SUMIF(Raw!B:B,'TB 1124'!A77,Raw!D:D)</f>
        <v>86566.02</v>
      </c>
      <c r="D77" s="24">
        <f>SUMIF(Raw!B:B,'TB 1124'!A77,Raw!E:E)</f>
        <v>13658.1</v>
      </c>
      <c r="E77" s="24">
        <f t="shared" si="5"/>
        <v>72907.92</v>
      </c>
      <c r="F77" s="123">
        <f t="shared" si="6"/>
        <v>72.907920000000004</v>
      </c>
      <c r="G77" s="119" t="s">
        <v>182</v>
      </c>
      <c r="H77" s="23" t="s">
        <v>31</v>
      </c>
    </row>
    <row r="78" spans="1:8" x14ac:dyDescent="0.35">
      <c r="A78" s="23" t="s">
        <v>611</v>
      </c>
      <c r="B78" s="24">
        <f>SUMIF(Raw!B:B,'TB 1124'!A78,Raw!$C:$C)</f>
        <v>0</v>
      </c>
      <c r="C78" s="24">
        <f>SUMIF(Raw!B:B,'TB 1124'!A78,Raw!D:D)</f>
        <v>43333.33</v>
      </c>
      <c r="D78" s="24">
        <f>SUMIF(Raw!B:B,'TB 1124'!A78,Raw!E:E)</f>
        <v>0</v>
      </c>
      <c r="E78" s="24">
        <f t="shared" si="5"/>
        <v>43333.33</v>
      </c>
      <c r="F78" s="123">
        <f t="shared" si="6"/>
        <v>43.333330000000004</v>
      </c>
      <c r="G78" s="119" t="s">
        <v>182</v>
      </c>
      <c r="H78" s="23" t="s">
        <v>31</v>
      </c>
    </row>
    <row r="79" spans="1:8" x14ac:dyDescent="0.35">
      <c r="A79" s="23" t="s">
        <v>616</v>
      </c>
      <c r="B79" s="24">
        <f>SUMIF(Raw!B:B,'TB 1124'!A79,Raw!$C:$C)</f>
        <v>0</v>
      </c>
      <c r="C79" s="24">
        <f>SUMIF(Raw!B:B,'TB 1124'!A79,Raw!D:D)</f>
        <v>0</v>
      </c>
      <c r="D79" s="24">
        <f>SUMIF(Raw!B:B,'TB 1124'!A79,Raw!E:E)</f>
        <v>7500</v>
      </c>
      <c r="E79" s="24">
        <f t="shared" ref="E79:E85" si="7">B79+C79-D79</f>
        <v>-7500</v>
      </c>
      <c r="F79" s="123">
        <f t="shared" ref="F79:F85" si="8">E79/1000</f>
        <v>-7.5</v>
      </c>
      <c r="G79" s="23" t="s">
        <v>180</v>
      </c>
      <c r="H79" s="23" t="s">
        <v>69</v>
      </c>
    </row>
    <row r="80" spans="1:8" x14ac:dyDescent="0.35">
      <c r="A80" s="23" t="s">
        <v>26</v>
      </c>
      <c r="B80" s="24">
        <f>SUMIF(Raw!B:B,'TB 1124'!A80,Raw!$C:$C)</f>
        <v>0</v>
      </c>
      <c r="C80" s="24">
        <f>SUMIF(Raw!B:B,'TB 1124'!A80,Raw!D:D)</f>
        <v>814674.33</v>
      </c>
      <c r="D80" s="24">
        <f>SUMIF(Raw!B:B,'TB 1124'!A80,Raw!E:E)</f>
        <v>0</v>
      </c>
      <c r="E80" s="24">
        <f t="shared" si="7"/>
        <v>814674.33</v>
      </c>
      <c r="F80" s="123">
        <f t="shared" si="8"/>
        <v>814.67432999999994</v>
      </c>
      <c r="G80" s="23" t="s">
        <v>182</v>
      </c>
      <c r="H80" s="23" t="s">
        <v>26</v>
      </c>
    </row>
    <row r="81" spans="1:8" x14ac:dyDescent="0.35">
      <c r="A81" s="23" t="s">
        <v>619</v>
      </c>
      <c r="B81" s="24">
        <f>SUMIF(Raw!B:B,'TB 1124'!A81,Raw!$C:$C)</f>
        <v>0</v>
      </c>
      <c r="C81" s="24">
        <f>SUMIF(Raw!B:B,'TB 1124'!A81,Raw!D:D)</f>
        <v>71128.95</v>
      </c>
      <c r="D81" s="24">
        <f>SUMIF(Raw!B:B,'TB 1124'!A81,Raw!E:E)</f>
        <v>0</v>
      </c>
      <c r="E81" s="24">
        <f t="shared" si="7"/>
        <v>71128.95</v>
      </c>
      <c r="F81" s="123">
        <f t="shared" si="8"/>
        <v>71.128950000000003</v>
      </c>
      <c r="G81" s="23" t="s">
        <v>182</v>
      </c>
      <c r="H81" s="23" t="s">
        <v>61</v>
      </c>
    </row>
    <row r="82" spans="1:8" x14ac:dyDescent="0.35">
      <c r="A82" s="23" t="s">
        <v>620</v>
      </c>
      <c r="B82" s="24">
        <f>SUMIF(Raw!B:B,'TB 1124'!A82,Raw!$C:$C)</f>
        <v>0</v>
      </c>
      <c r="C82" s="24">
        <f>SUMIF(Raw!B:B,'TB 1124'!A82,Raw!D:D)</f>
        <v>0</v>
      </c>
      <c r="D82" s="24">
        <f>SUMIF(Raw!B:B,'TB 1124'!A82,Raw!E:E)</f>
        <v>120000</v>
      </c>
      <c r="E82" s="24">
        <f t="shared" si="7"/>
        <v>-120000</v>
      </c>
      <c r="F82" s="123">
        <f t="shared" si="8"/>
        <v>-120</v>
      </c>
      <c r="G82" s="23" t="s">
        <v>180</v>
      </c>
      <c r="H82" s="23" t="s">
        <v>69</v>
      </c>
    </row>
    <row r="83" spans="1:8" x14ac:dyDescent="0.35">
      <c r="A83" s="23" t="s">
        <v>622</v>
      </c>
      <c r="B83" s="24">
        <f>SUMIF(Raw!B:B,'TB 1124'!A83,Raw!$C:$C)</f>
        <v>0</v>
      </c>
      <c r="C83" s="24">
        <f>SUMIF(Raw!B:B,'TB 1124'!A83,Raw!D:D)</f>
        <v>0</v>
      </c>
      <c r="D83" s="24">
        <f>SUMIF(Raw!B:B,'TB 1124'!A83,Raw!E:E)</f>
        <v>176200</v>
      </c>
      <c r="E83" s="24">
        <f t="shared" si="7"/>
        <v>-176200</v>
      </c>
      <c r="F83" s="123">
        <f t="shared" si="8"/>
        <v>-176.2</v>
      </c>
      <c r="G83" s="23" t="s">
        <v>180</v>
      </c>
      <c r="H83" s="23" t="s">
        <v>68</v>
      </c>
    </row>
    <row r="84" spans="1:8" x14ac:dyDescent="0.35">
      <c r="A84" s="23" t="s">
        <v>623</v>
      </c>
      <c r="B84" s="24">
        <f>SUMIF(Raw!B:B,'TB 1124'!A84,Raw!$C:$C)</f>
        <v>0</v>
      </c>
      <c r="C84" s="24">
        <f>SUMIF(Raw!B:B,'TB 1124'!A84,Raw!D:D)</f>
        <v>0</v>
      </c>
      <c r="D84" s="24">
        <f>SUMIF(Raw!B:B,'TB 1124'!A84,Raw!E:E)</f>
        <v>8786.25</v>
      </c>
      <c r="E84" s="24">
        <f t="shared" si="7"/>
        <v>-8786.25</v>
      </c>
      <c r="F84" s="123">
        <f t="shared" si="8"/>
        <v>-8.7862500000000008</v>
      </c>
      <c r="G84" s="23" t="s">
        <v>180</v>
      </c>
      <c r="H84" s="23" t="s">
        <v>69</v>
      </c>
    </row>
    <row r="85" spans="1:8" x14ac:dyDescent="0.35">
      <c r="A85" s="23" t="s">
        <v>625</v>
      </c>
      <c r="B85" s="24">
        <f>SUMIF(Raw!B:B,'TB 1124'!A85,Raw!$C:$C)</f>
        <v>0</v>
      </c>
      <c r="C85" s="24">
        <f>SUMIF(Raw!B:B,'TB 1124'!A85,Raw!D:D)</f>
        <v>0</v>
      </c>
      <c r="D85" s="24">
        <f>SUMIF(Raw!B:B,'TB 1124'!A85,Raw!E:E)</f>
        <v>88.75</v>
      </c>
      <c r="E85" s="24">
        <f t="shared" si="7"/>
        <v>-88.75</v>
      </c>
      <c r="F85" s="123">
        <f t="shared" si="8"/>
        <v>-8.8749999999999996E-2</v>
      </c>
      <c r="G85" s="23" t="s">
        <v>180</v>
      </c>
      <c r="H85" s="23" t="s">
        <v>69</v>
      </c>
    </row>
  </sheetData>
  <autoFilter ref="A2:Q85" xr:uid="{00000000-0009-0000-0000-000012000000}"/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H94"/>
  <sheetViews>
    <sheetView topLeftCell="B1" workbookViewId="0">
      <selection activeCell="H2" sqref="H2"/>
    </sheetView>
  </sheetViews>
  <sheetFormatPr defaultColWidth="8.81640625" defaultRowHeight="14.5" x14ac:dyDescent="0.35"/>
  <cols>
    <col min="1" max="1" width="40.08984375" style="23" customWidth="1"/>
    <col min="2" max="6" width="13.453125" style="23" customWidth="1"/>
    <col min="7" max="7" width="8.81640625" style="23"/>
    <col min="8" max="8" width="52.36328125" style="23" bestFit="1" customWidth="1"/>
    <col min="9" max="16384" width="8.81640625" style="23"/>
  </cols>
  <sheetData>
    <row r="1" spans="1:8" x14ac:dyDescent="0.35">
      <c r="B1" s="24">
        <f>SUBTOTAL(9,B3:B90)</f>
        <v>8.8475644588470459E-9</v>
      </c>
      <c r="C1" s="24">
        <f>SUBTOTAL(9,C3:C90)</f>
        <v>45652587.809999995</v>
      </c>
      <c r="D1" s="24">
        <f>SUBTOTAL(9,D3:D90)</f>
        <v>45652587.809999987</v>
      </c>
      <c r="E1" s="24">
        <f>SUBTOTAL(9,E3:E90)</f>
        <v>-6.0535967350006104E-9</v>
      </c>
      <c r="F1" s="24">
        <f>SUBTOTAL(9,F3:F90)</f>
        <v>-5.0590642786119133E-12</v>
      </c>
    </row>
    <row r="2" spans="1:8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</row>
    <row r="3" spans="1:8" x14ac:dyDescent="0.35">
      <c r="A3" s="23" t="s">
        <v>561</v>
      </c>
      <c r="B3" s="24">
        <f>SUMIF('Raw Dec'!B:B,'TB 1224'!A3,'Raw Dec'!C:C)</f>
        <v>42380.04</v>
      </c>
      <c r="C3" s="24">
        <f>SUMIF('Raw Dec'!B:B,'TB 1224'!A3,'Raw Dec'!D:D)</f>
        <v>1295993.18</v>
      </c>
      <c r="D3" s="24">
        <f>SUMIF('Raw Dec'!B:B,'TB 1224'!A3,'Raw Dec'!E:E)</f>
        <v>118386</v>
      </c>
      <c r="E3" s="24">
        <f>B3+C3-D3</f>
        <v>1219987.22</v>
      </c>
      <c r="F3" s="24">
        <f>E3/1000</f>
        <v>1219.98722</v>
      </c>
      <c r="G3" s="23" t="s">
        <v>181</v>
      </c>
      <c r="H3" s="23" t="s">
        <v>77</v>
      </c>
    </row>
    <row r="4" spans="1:8" x14ac:dyDescent="0.35">
      <c r="A4" s="23" t="s">
        <v>288</v>
      </c>
      <c r="B4" s="24">
        <f>SUMIF('Raw Dec'!B:B,'TB 1224'!A4,'Raw Dec'!C:C)</f>
        <v>52068</v>
      </c>
      <c r="C4" s="24">
        <f>SUMIF('Raw Dec'!B:B,'TB 1224'!A4,'Raw Dec'!D:D)</f>
        <v>201390.41</v>
      </c>
      <c r="D4" s="24">
        <f>SUMIF('Raw Dec'!B:B,'TB 1224'!A4,'Raw Dec'!E:E)</f>
        <v>52068</v>
      </c>
      <c r="E4" s="24">
        <f t="shared" ref="E4:E67" si="0">B4+C4-D4</f>
        <v>201390.41</v>
      </c>
      <c r="F4" s="24">
        <f t="shared" ref="F4:F67" si="1">E4/1000</f>
        <v>201.39041</v>
      </c>
      <c r="G4" s="23" t="s">
        <v>181</v>
      </c>
      <c r="H4" s="23" t="s">
        <v>79</v>
      </c>
    </row>
    <row r="5" spans="1:8" x14ac:dyDescent="0.35">
      <c r="A5" s="23" t="s">
        <v>289</v>
      </c>
      <c r="B5" s="24">
        <f>SUMIF('Raw Dec'!B:B,'TB 1224'!A5,'Raw Dec'!C:C)</f>
        <v>-66922</v>
      </c>
      <c r="C5" s="24">
        <f>SUMIF('Raw Dec'!B:B,'TB 1224'!A5,'Raw Dec'!D:D)</f>
        <v>0</v>
      </c>
      <c r="D5" s="24">
        <f>SUMIF('Raw Dec'!B:B,'TB 1224'!A5,'Raw Dec'!E:E)</f>
        <v>12810</v>
      </c>
      <c r="E5" s="24">
        <f t="shared" si="0"/>
        <v>-79732</v>
      </c>
      <c r="F5" s="24">
        <f t="shared" si="1"/>
        <v>-79.731999999999999</v>
      </c>
      <c r="G5" s="23" t="s">
        <v>181</v>
      </c>
      <c r="H5" s="23" t="s">
        <v>72</v>
      </c>
    </row>
    <row r="6" spans="1:8" x14ac:dyDescent="0.35">
      <c r="A6" s="23" t="s">
        <v>562</v>
      </c>
      <c r="B6" s="24">
        <f>SUMIF('Raw Dec'!B:B,'TB 1224'!A6,'Raw Dec'!C:C)</f>
        <v>-230019</v>
      </c>
      <c r="C6" s="24">
        <f>SUMIF('Raw Dec'!B:B,'TB 1224'!A6,'Raw Dec'!D:D)</f>
        <v>0</v>
      </c>
      <c r="D6" s="24">
        <f>SUMIF('Raw Dec'!B:B,'TB 1224'!A6,'Raw Dec'!E:E)</f>
        <v>51654</v>
      </c>
      <c r="E6" s="24">
        <f t="shared" si="0"/>
        <v>-281673</v>
      </c>
      <c r="F6" s="24">
        <f t="shared" si="1"/>
        <v>-281.673</v>
      </c>
      <c r="G6" s="23" t="s">
        <v>181</v>
      </c>
      <c r="H6" s="23" t="s">
        <v>71</v>
      </c>
    </row>
    <row r="7" spans="1:8" x14ac:dyDescent="0.35">
      <c r="A7" s="23" t="s">
        <v>198</v>
      </c>
      <c r="B7" s="24">
        <f>SUMIF('Raw Dec'!B:B,'TB 1224'!A7,'Raw Dec'!C:C)</f>
        <v>-13321</v>
      </c>
      <c r="C7" s="24">
        <f>SUMIF('Raw Dec'!B:B,'TB 1224'!A7,'Raw Dec'!D:D)</f>
        <v>0</v>
      </c>
      <c r="D7" s="24">
        <f>SUMIF('Raw Dec'!B:B,'TB 1224'!A7,'Raw Dec'!E:E)</f>
        <v>2098</v>
      </c>
      <c r="E7" s="24">
        <f t="shared" si="0"/>
        <v>-15419</v>
      </c>
      <c r="F7" s="24">
        <f t="shared" si="1"/>
        <v>-15.419</v>
      </c>
      <c r="G7" s="23" t="s">
        <v>181</v>
      </c>
      <c r="H7" s="23" t="s">
        <v>71</v>
      </c>
    </row>
    <row r="8" spans="1:8" x14ac:dyDescent="0.35">
      <c r="A8" s="23" t="s">
        <v>365</v>
      </c>
      <c r="B8" s="24">
        <f>SUMIF('Raw Dec'!B:B,'TB 1224'!A8,'Raw Dec'!C:C)</f>
        <v>305.98</v>
      </c>
      <c r="C8" s="24">
        <f>SUMIF('Raw Dec'!B:B,'TB 1224'!A8,'Raw Dec'!D:D)</f>
        <v>0</v>
      </c>
      <c r="D8" s="24">
        <f>SUMIF('Raw Dec'!B:B,'TB 1224'!A8,'Raw Dec'!E:E)</f>
        <v>0</v>
      </c>
      <c r="E8" s="24">
        <f t="shared" si="0"/>
        <v>305.98</v>
      </c>
      <c r="F8" s="24">
        <f t="shared" si="1"/>
        <v>0.30598000000000003</v>
      </c>
      <c r="G8" s="23" t="s">
        <v>181</v>
      </c>
      <c r="H8" s="23" t="s">
        <v>79</v>
      </c>
    </row>
    <row r="9" spans="1:8" x14ac:dyDescent="0.35">
      <c r="A9" s="23" t="s">
        <v>563</v>
      </c>
      <c r="B9" s="24">
        <f>SUMIF('Raw Dec'!B:B,'TB 1224'!A9,'Raw Dec'!C:C)</f>
        <v>13108.34</v>
      </c>
      <c r="C9" s="24">
        <f>SUMIF('Raw Dec'!B:B,'TB 1224'!A9,'Raw Dec'!D:D)</f>
        <v>0</v>
      </c>
      <c r="D9" s="24">
        <f>SUMIF('Raw Dec'!B:B,'TB 1224'!A9,'Raw Dec'!E:E)</f>
        <v>118</v>
      </c>
      <c r="E9" s="24">
        <f t="shared" si="0"/>
        <v>12990.34</v>
      </c>
      <c r="F9" s="24">
        <f t="shared" si="1"/>
        <v>12.99034</v>
      </c>
      <c r="G9" s="23" t="s">
        <v>181</v>
      </c>
      <c r="H9" s="23" t="s">
        <v>78</v>
      </c>
    </row>
    <row r="10" spans="1:8" x14ac:dyDescent="0.35">
      <c r="A10" s="23" t="s">
        <v>564</v>
      </c>
      <c r="B10" s="24">
        <f>SUMIF('Raw Dec'!B:B,'TB 1224'!A10,'Raw Dec'!C:C)</f>
        <v>941661.02</v>
      </c>
      <c r="C10" s="24">
        <f>SUMIF('Raw Dec'!B:B,'TB 1224'!A10,'Raw Dec'!D:D)</f>
        <v>39737.29</v>
      </c>
      <c r="D10" s="24">
        <f>SUMIF('Raw Dec'!B:B,'TB 1224'!A10,'Raw Dec'!E:E)</f>
        <v>0</v>
      </c>
      <c r="E10" s="24">
        <f t="shared" si="0"/>
        <v>981398.31</v>
      </c>
      <c r="F10" s="24">
        <f t="shared" si="1"/>
        <v>981.39831000000004</v>
      </c>
      <c r="G10" s="23" t="s">
        <v>181</v>
      </c>
      <c r="H10" s="23" t="s">
        <v>71</v>
      </c>
    </row>
    <row r="11" spans="1:8" x14ac:dyDescent="0.35">
      <c r="A11" s="23" t="s">
        <v>565</v>
      </c>
      <c r="B11" s="24">
        <f>SUMIF('Raw Dec'!B:B,'TB 1224'!A11,'Raw Dec'!C:C)</f>
        <v>513552.92</v>
      </c>
      <c r="C11" s="24">
        <f>SUMIF('Raw Dec'!B:B,'TB 1224'!A11,'Raw Dec'!D:D)</f>
        <v>55615.040000000001</v>
      </c>
      <c r="D11" s="24">
        <f>SUMIF('Raw Dec'!B:B,'TB 1224'!A11,'Raw Dec'!E:E)</f>
        <v>0</v>
      </c>
      <c r="E11" s="24">
        <f t="shared" si="0"/>
        <v>569167.96</v>
      </c>
      <c r="F11" s="24">
        <f t="shared" si="1"/>
        <v>569.16795999999999</v>
      </c>
      <c r="G11" s="23" t="s">
        <v>181</v>
      </c>
      <c r="H11" s="23" t="s">
        <v>79</v>
      </c>
    </row>
    <row r="12" spans="1:8" x14ac:dyDescent="0.35">
      <c r="A12" s="23" t="s">
        <v>566</v>
      </c>
      <c r="B12" s="24">
        <f>SUMIF('Raw Dec'!B:B,'TB 1224'!A12,'Raw Dec'!C:C)</f>
        <v>92844.91</v>
      </c>
      <c r="C12" s="24">
        <f>SUMIF('Raw Dec'!B:B,'TB 1224'!A12,'Raw Dec'!D:D)</f>
        <v>69391.679999999993</v>
      </c>
      <c r="D12" s="24">
        <f>SUMIF('Raw Dec'!B:B,'TB 1224'!A12,'Raw Dec'!E:E)</f>
        <v>45489.3</v>
      </c>
      <c r="E12" s="24">
        <f t="shared" si="0"/>
        <v>116747.29</v>
      </c>
      <c r="F12" s="24">
        <f t="shared" si="1"/>
        <v>116.74728999999999</v>
      </c>
      <c r="G12" s="23" t="s">
        <v>181</v>
      </c>
      <c r="H12" s="23" t="s">
        <v>79</v>
      </c>
    </row>
    <row r="13" spans="1:8" x14ac:dyDescent="0.35">
      <c r="A13" s="23" t="s">
        <v>567</v>
      </c>
      <c r="B13" s="24">
        <f>SUMIF('Raw Dec'!B:B,'TB 1224'!A13,'Raw Dec'!C:C)</f>
        <v>513552.94</v>
      </c>
      <c r="C13" s="24">
        <f>SUMIF('Raw Dec'!B:B,'TB 1224'!A13,'Raw Dec'!D:D)</f>
        <v>55615.040000000001</v>
      </c>
      <c r="D13" s="24">
        <f>SUMIF('Raw Dec'!B:B,'TB 1224'!A13,'Raw Dec'!E:E)</f>
        <v>0</v>
      </c>
      <c r="E13" s="24">
        <f t="shared" si="0"/>
        <v>569167.98</v>
      </c>
      <c r="F13" s="24">
        <f t="shared" si="1"/>
        <v>569.16797999999994</v>
      </c>
      <c r="G13" s="23" t="s">
        <v>181</v>
      </c>
      <c r="H13" s="23" t="s">
        <v>79</v>
      </c>
    </row>
    <row r="14" spans="1:8" x14ac:dyDescent="0.35">
      <c r="A14" s="23" t="s">
        <v>300</v>
      </c>
      <c r="B14" s="24">
        <f>SUMIF('Raw Dec'!B:B,'TB 1224'!A14,'Raw Dec'!C:C)</f>
        <v>1537167.67</v>
      </c>
      <c r="C14" s="24">
        <f>SUMIF('Raw Dec'!B:B,'TB 1224'!A14,'Raw Dec'!D:D)</f>
        <v>0</v>
      </c>
      <c r="D14" s="24">
        <f>SUMIF('Raw Dec'!B:B,'TB 1224'!A14,'Raw Dec'!E:E)</f>
        <v>0</v>
      </c>
      <c r="E14" s="24">
        <f t="shared" si="0"/>
        <v>1537167.67</v>
      </c>
      <c r="F14" s="24">
        <f t="shared" si="1"/>
        <v>1537.1676699999998</v>
      </c>
      <c r="G14" s="23" t="s">
        <v>181</v>
      </c>
      <c r="H14" s="23" t="s">
        <v>72</v>
      </c>
    </row>
    <row r="15" spans="1:8" x14ac:dyDescent="0.35">
      <c r="A15" s="23" t="s">
        <v>570</v>
      </c>
      <c r="B15" s="24">
        <f>SUMIF('Raw Dec'!B:B,'TB 1224'!A15,'Raw Dec'!C:C)</f>
        <v>38000000</v>
      </c>
      <c r="C15" s="24">
        <f>SUMIF('Raw Dec'!B:B,'TB 1224'!A15,'Raw Dec'!D:D)</f>
        <v>0</v>
      </c>
      <c r="D15" s="24">
        <f>SUMIF('Raw Dec'!B:B,'TB 1224'!A15,'Raw Dec'!E:E)</f>
        <v>0</v>
      </c>
      <c r="E15" s="24">
        <f t="shared" si="0"/>
        <v>38000000</v>
      </c>
      <c r="F15" s="24">
        <f t="shared" si="1"/>
        <v>38000</v>
      </c>
      <c r="G15" s="23" t="s">
        <v>181</v>
      </c>
      <c r="H15" s="23" t="s">
        <v>76</v>
      </c>
    </row>
    <row r="16" spans="1:8" x14ac:dyDescent="0.35">
      <c r="A16" s="23" t="s">
        <v>571</v>
      </c>
      <c r="B16" s="24">
        <f>SUMIF('Raw Dec'!B:B,'TB 1224'!A16,'Raw Dec'!C:C)</f>
        <v>2000000</v>
      </c>
      <c r="C16" s="24">
        <f>SUMIF('Raw Dec'!B:B,'TB 1224'!A16,'Raw Dec'!D:D)</f>
        <v>0</v>
      </c>
      <c r="D16" s="24">
        <f>SUMIF('Raw Dec'!B:B,'TB 1224'!A16,'Raw Dec'!E:E)</f>
        <v>2000000</v>
      </c>
      <c r="E16" s="24">
        <f t="shared" si="0"/>
        <v>0</v>
      </c>
      <c r="F16" s="24">
        <f t="shared" si="1"/>
        <v>0</v>
      </c>
      <c r="G16" s="23" t="s">
        <v>181</v>
      </c>
      <c r="H16" s="23" t="s">
        <v>76</v>
      </c>
    </row>
    <row r="17" spans="1:8" x14ac:dyDescent="0.35">
      <c r="A17" s="23" t="s">
        <v>640</v>
      </c>
      <c r="B17" s="24">
        <f>SUMIF('Raw Dec'!B:B,'TB 1224'!A17,'Raw Dec'!C:C)</f>
        <v>0</v>
      </c>
      <c r="C17" s="24">
        <f>SUMIF('Raw Dec'!B:B,'TB 1224'!A17,'Raw Dec'!D:D)</f>
        <v>2000000</v>
      </c>
      <c r="D17" s="24">
        <f>SUMIF('Raw Dec'!B:B,'TB 1224'!A17,'Raw Dec'!E:E)</f>
        <v>2000000</v>
      </c>
      <c r="E17" s="24">
        <f t="shared" si="0"/>
        <v>0</v>
      </c>
      <c r="F17" s="24">
        <f t="shared" si="1"/>
        <v>0</v>
      </c>
      <c r="G17" s="23" t="s">
        <v>181</v>
      </c>
      <c r="H17" s="23" t="s">
        <v>76</v>
      </c>
    </row>
    <row r="18" spans="1:8" x14ac:dyDescent="0.35">
      <c r="A18" s="23" t="s">
        <v>641</v>
      </c>
      <c r="B18" s="24">
        <f>SUMIF('Raw Dec'!B:B,'TB 1224'!A18,'Raw Dec'!C:C)</f>
        <v>0</v>
      </c>
      <c r="C18" s="24">
        <f>SUMIF('Raw Dec'!B:B,'TB 1224'!A18,'Raw Dec'!D:D)</f>
        <v>2000000</v>
      </c>
      <c r="D18" s="24">
        <f>SUMIF('Raw Dec'!B:B,'TB 1224'!A18,'Raw Dec'!E:E)</f>
        <v>2000000</v>
      </c>
      <c r="E18" s="24">
        <f t="shared" si="0"/>
        <v>0</v>
      </c>
      <c r="F18" s="24">
        <f t="shared" si="1"/>
        <v>0</v>
      </c>
      <c r="G18" s="23" t="s">
        <v>181</v>
      </c>
      <c r="H18" s="23" t="s">
        <v>76</v>
      </c>
    </row>
    <row r="19" spans="1:8" x14ac:dyDescent="0.35">
      <c r="A19" s="23" t="s">
        <v>642</v>
      </c>
      <c r="B19" s="24">
        <f>SUMIF('Raw Dec'!B:B,'TB 1224'!A19,'Raw Dec'!C:C)</f>
        <v>0</v>
      </c>
      <c r="C19" s="24">
        <f>SUMIF('Raw Dec'!B:B,'TB 1224'!A19,'Raw Dec'!D:D)</f>
        <v>6000000</v>
      </c>
      <c r="D19" s="24">
        <f>SUMIF('Raw Dec'!B:B,'TB 1224'!A19,'Raw Dec'!E:E)</f>
        <v>0</v>
      </c>
      <c r="E19" s="24">
        <f t="shared" si="0"/>
        <v>6000000</v>
      </c>
      <c r="F19" s="24">
        <f t="shared" si="1"/>
        <v>6000</v>
      </c>
      <c r="G19" s="23" t="s">
        <v>181</v>
      </c>
      <c r="H19" s="23" t="s">
        <v>76</v>
      </c>
    </row>
    <row r="20" spans="1:8" x14ac:dyDescent="0.35">
      <c r="A20" s="23" t="s">
        <v>643</v>
      </c>
      <c r="B20" s="24">
        <f>SUMIF('Raw Dec'!B:B,'TB 1224'!A20,'Raw Dec'!C:C)</f>
        <v>0</v>
      </c>
      <c r="C20" s="24">
        <f>SUMIF('Raw Dec'!B:B,'TB 1224'!A20,'Raw Dec'!D:D)</f>
        <v>2000000</v>
      </c>
      <c r="D20" s="24">
        <f>SUMIF('Raw Dec'!B:B,'TB 1224'!A20,'Raw Dec'!E:E)</f>
        <v>0</v>
      </c>
      <c r="E20" s="24">
        <f t="shared" si="0"/>
        <v>2000000</v>
      </c>
      <c r="F20" s="24">
        <f t="shared" si="1"/>
        <v>2000</v>
      </c>
      <c r="G20" s="23" t="s">
        <v>181</v>
      </c>
      <c r="H20" s="23" t="s">
        <v>76</v>
      </c>
    </row>
    <row r="21" spans="1:8" x14ac:dyDescent="0.35">
      <c r="A21" s="23" t="s">
        <v>644</v>
      </c>
      <c r="B21" s="24">
        <f>SUMIF('Raw Dec'!B:B,'TB 1224'!A21,'Raw Dec'!C:C)</f>
        <v>0</v>
      </c>
      <c r="C21" s="24">
        <f>SUMIF('Raw Dec'!B:B,'TB 1224'!A21,'Raw Dec'!D:D)</f>
        <v>1000000</v>
      </c>
      <c r="D21" s="24">
        <f>SUMIF('Raw Dec'!B:B,'TB 1224'!A21,'Raw Dec'!E:E)</f>
        <v>0</v>
      </c>
      <c r="E21" s="24">
        <f t="shared" si="0"/>
        <v>1000000</v>
      </c>
      <c r="F21" s="24">
        <f t="shared" si="1"/>
        <v>1000</v>
      </c>
      <c r="G21" s="23" t="s">
        <v>181</v>
      </c>
      <c r="H21" s="23" t="s">
        <v>76</v>
      </c>
    </row>
    <row r="22" spans="1:8" x14ac:dyDescent="0.35">
      <c r="A22" s="23" t="s">
        <v>392</v>
      </c>
      <c r="B22" s="24">
        <f>SUMIF('Raw Dec'!B:B,'TB 1224'!A22,'Raw Dec'!C:C)</f>
        <v>10000000</v>
      </c>
      <c r="C22" s="24">
        <f>SUMIF('Raw Dec'!B:B,'TB 1224'!A22,'Raw Dec'!D:D)</f>
        <v>0</v>
      </c>
      <c r="D22" s="24">
        <f>SUMIF('Raw Dec'!B:B,'TB 1224'!A22,'Raw Dec'!E:E)</f>
        <v>10000000</v>
      </c>
      <c r="E22" s="24">
        <f t="shared" si="0"/>
        <v>0</v>
      </c>
      <c r="F22" s="24">
        <f t="shared" si="1"/>
        <v>0</v>
      </c>
      <c r="G22" s="23" t="s">
        <v>181</v>
      </c>
      <c r="H22" s="23" t="s">
        <v>76</v>
      </c>
    </row>
    <row r="23" spans="1:8" x14ac:dyDescent="0.35">
      <c r="A23" s="23" t="s">
        <v>572</v>
      </c>
      <c r="B23" s="24">
        <f>SUMIF('Raw Dec'!B:B,'TB 1224'!A23,'Raw Dec'!C:C)</f>
        <v>842826.2</v>
      </c>
      <c r="C23" s="24">
        <f>SUMIF('Raw Dec'!B:B,'TB 1224'!A23,'Raw Dec'!D:D)</f>
        <v>16093160</v>
      </c>
      <c r="D23" s="24">
        <f>SUMIF('Raw Dec'!B:B,'TB 1224'!A23,'Raw Dec'!E:E)</f>
        <v>15500000</v>
      </c>
      <c r="E23" s="24">
        <f t="shared" si="0"/>
        <v>1435986.1999999993</v>
      </c>
      <c r="F23" s="24">
        <f t="shared" si="1"/>
        <v>1435.9861999999991</v>
      </c>
      <c r="G23" s="23" t="s">
        <v>181</v>
      </c>
      <c r="H23" s="23" t="s">
        <v>78</v>
      </c>
    </row>
    <row r="24" spans="1:8" x14ac:dyDescent="0.35">
      <c r="A24" s="23" t="s">
        <v>573</v>
      </c>
      <c r="B24" s="24">
        <f>SUMIF('Raw Dec'!B:B,'TB 1224'!A24,'Raw Dec'!C:C)</f>
        <v>1084061.67</v>
      </c>
      <c r="C24" s="24">
        <f>SUMIF('Raw Dec'!B:B,'TB 1224'!A24,'Raw Dec'!D:D)</f>
        <v>3858282.22</v>
      </c>
      <c r="D24" s="24">
        <f>SUMIF('Raw Dec'!B:B,'TB 1224'!A24,'Raw Dec'!E:E)</f>
        <v>4779608.28</v>
      </c>
      <c r="E24" s="24">
        <f t="shared" si="0"/>
        <v>162735.61000000034</v>
      </c>
      <c r="F24" s="24">
        <f t="shared" si="1"/>
        <v>162.73561000000035</v>
      </c>
      <c r="G24" s="23" t="s">
        <v>181</v>
      </c>
      <c r="H24" s="23" t="s">
        <v>78</v>
      </c>
    </row>
    <row r="25" spans="1:8" x14ac:dyDescent="0.35">
      <c r="A25" s="23" t="s">
        <v>231</v>
      </c>
      <c r="B25" s="24">
        <f>SUMIF('Raw Dec'!B:B,'TB 1224'!A25,'Raw Dec'!C:C)</f>
        <v>55864.5</v>
      </c>
      <c r="C25" s="24">
        <f>SUMIF('Raw Dec'!B:B,'TB 1224'!A25,'Raw Dec'!D:D)</f>
        <v>0</v>
      </c>
      <c r="D25" s="24">
        <f>SUMIF('Raw Dec'!B:B,'TB 1224'!A25,'Raw Dec'!E:E)</f>
        <v>0</v>
      </c>
      <c r="E25" s="24">
        <f t="shared" si="0"/>
        <v>55864.5</v>
      </c>
      <c r="F25" s="24">
        <f t="shared" si="1"/>
        <v>55.8645</v>
      </c>
      <c r="G25" s="23" t="s">
        <v>181</v>
      </c>
      <c r="H25" s="23" t="s">
        <v>71</v>
      </c>
    </row>
    <row r="26" spans="1:8" x14ac:dyDescent="0.35">
      <c r="A26" s="23" t="s">
        <v>575</v>
      </c>
      <c r="B26" s="24">
        <f>SUMIF('Raw Dec'!B:B,'TB 1224'!A26,'Raw Dec'!C:C)</f>
        <v>48919.85</v>
      </c>
      <c r="C26" s="24">
        <f>SUMIF('Raw Dec'!B:B,'TB 1224'!A26,'Raw Dec'!D:D)</f>
        <v>59500.17</v>
      </c>
      <c r="D26" s="24">
        <f>SUMIF('Raw Dec'!B:B,'TB 1224'!A26,'Raw Dec'!E:E)</f>
        <v>16625.43</v>
      </c>
      <c r="E26" s="24">
        <f t="shared" si="0"/>
        <v>91794.59</v>
      </c>
      <c r="F26" s="24">
        <f t="shared" si="1"/>
        <v>91.794589999999999</v>
      </c>
      <c r="G26" s="23" t="s">
        <v>181</v>
      </c>
      <c r="H26" s="23" t="s">
        <v>79</v>
      </c>
    </row>
    <row r="27" spans="1:8" x14ac:dyDescent="0.35">
      <c r="A27" s="23" t="s">
        <v>376</v>
      </c>
      <c r="B27" s="24">
        <f>SUMIF('Raw Dec'!B:B,'TB 1224'!A27,'Raw Dec'!C:C)</f>
        <v>17362.18</v>
      </c>
      <c r="C27" s="24">
        <f>SUMIF('Raw Dec'!B:B,'TB 1224'!A27,'Raw Dec'!D:D)</f>
        <v>241466.58</v>
      </c>
      <c r="D27" s="24">
        <f>SUMIF('Raw Dec'!B:B,'TB 1224'!A27,'Raw Dec'!E:E)</f>
        <v>231911.64</v>
      </c>
      <c r="E27" s="24">
        <f t="shared" si="0"/>
        <v>26917.119999999966</v>
      </c>
      <c r="F27" s="24">
        <f t="shared" si="1"/>
        <v>26.917119999999965</v>
      </c>
      <c r="G27" s="23" t="s">
        <v>180</v>
      </c>
      <c r="H27" s="23" t="s">
        <v>67</v>
      </c>
    </row>
    <row r="28" spans="1:8" x14ac:dyDescent="0.35">
      <c r="A28" s="23" t="s">
        <v>576</v>
      </c>
      <c r="B28" s="24">
        <f>SUMIF('Raw Dec'!B:B,'TB 1224'!A28,'Raw Dec'!C:C)</f>
        <v>0</v>
      </c>
      <c r="C28" s="24">
        <f>SUMIF('Raw Dec'!B:B,'TB 1224'!A28,'Raw Dec'!D:D)</f>
        <v>105392</v>
      </c>
      <c r="D28" s="24">
        <f>SUMIF('Raw Dec'!B:B,'TB 1224'!A28,'Raw Dec'!E:E)</f>
        <v>1272196.24</v>
      </c>
      <c r="E28" s="24">
        <f t="shared" si="0"/>
        <v>-1166804.24</v>
      </c>
      <c r="F28" s="24">
        <f t="shared" si="1"/>
        <v>-1166.8042399999999</v>
      </c>
      <c r="G28" s="23" t="s">
        <v>181</v>
      </c>
      <c r="H28" s="23" t="s">
        <v>77</v>
      </c>
    </row>
    <row r="29" spans="1:8" x14ac:dyDescent="0.35">
      <c r="A29" s="23" t="s">
        <v>577</v>
      </c>
      <c r="B29" s="24">
        <f>SUMIF('Raw Dec'!B:B,'TB 1224'!A29,'Raw Dec'!C:C)</f>
        <v>263075.15999999997</v>
      </c>
      <c r="C29" s="24">
        <f>SUMIF('Raw Dec'!B:B,'TB 1224'!A29,'Raw Dec'!D:D)</f>
        <v>12607.8</v>
      </c>
      <c r="D29" s="24">
        <f>SUMIF('Raw Dec'!B:B,'TB 1224'!A29,'Raw Dec'!E:E)</f>
        <v>0</v>
      </c>
      <c r="E29" s="24">
        <f t="shared" si="0"/>
        <v>275682.95999999996</v>
      </c>
      <c r="F29" s="24">
        <f t="shared" si="1"/>
        <v>275.68295999999998</v>
      </c>
      <c r="G29" s="23" t="s">
        <v>181</v>
      </c>
      <c r="H29" s="23" t="s">
        <v>79</v>
      </c>
    </row>
    <row r="30" spans="1:8" x14ac:dyDescent="0.35">
      <c r="A30" s="23" t="s">
        <v>146</v>
      </c>
      <c r="B30" s="24">
        <f>SUMIF('Raw Dec'!B:B,'TB 1224'!A30,'Raw Dec'!C:C)</f>
        <v>960000</v>
      </c>
      <c r="C30" s="24">
        <f>SUMIF('Raw Dec'!B:B,'TB 1224'!A30,'Raw Dec'!D:D)</f>
        <v>120000</v>
      </c>
      <c r="D30" s="24">
        <f>SUMIF('Raw Dec'!B:B,'TB 1224'!A30,'Raw Dec'!E:E)</f>
        <v>0</v>
      </c>
      <c r="E30" s="24">
        <f t="shared" si="0"/>
        <v>1080000</v>
      </c>
      <c r="F30" s="24">
        <f t="shared" si="1"/>
        <v>1080</v>
      </c>
      <c r="G30" s="23" t="s">
        <v>181</v>
      </c>
      <c r="H30" s="23" t="s">
        <v>73</v>
      </c>
    </row>
    <row r="31" spans="1:8" x14ac:dyDescent="0.35">
      <c r="A31" s="23" t="s">
        <v>345</v>
      </c>
      <c r="B31" s="24">
        <f>SUMIF('Raw Dec'!B:B,'TB 1224'!A31,'Raw Dec'!C:C)</f>
        <v>116633</v>
      </c>
      <c r="C31" s="24">
        <f>SUMIF('Raw Dec'!B:B,'TB 1224'!A31,'Raw Dec'!D:D)</f>
        <v>0</v>
      </c>
      <c r="D31" s="24">
        <f>SUMIF('Raw Dec'!B:B,'TB 1224'!A31,'Raw Dec'!E:E)</f>
        <v>0</v>
      </c>
      <c r="E31" s="24">
        <f t="shared" si="0"/>
        <v>116633</v>
      </c>
      <c r="F31" s="24">
        <f t="shared" si="1"/>
        <v>116.633</v>
      </c>
      <c r="G31" s="23" t="s">
        <v>181</v>
      </c>
      <c r="H31" s="23" t="s">
        <v>79</v>
      </c>
    </row>
    <row r="32" spans="1:8" x14ac:dyDescent="0.35">
      <c r="A32" s="23" t="s">
        <v>427</v>
      </c>
      <c r="B32" s="24">
        <f>SUMIF('Raw Dec'!B:B,'TB 1224'!A32,'Raw Dec'!C:C)</f>
        <v>-982548.89</v>
      </c>
      <c r="C32" s="24">
        <f>SUMIF('Raw Dec'!B:B,'TB 1224'!A32,'Raw Dec'!D:D)</f>
        <v>4196978.03</v>
      </c>
      <c r="D32" s="24">
        <f>SUMIF('Raw Dec'!B:B,'TB 1224'!A32,'Raw Dec'!E:E)</f>
        <v>4636008.08</v>
      </c>
      <c r="E32" s="24">
        <f t="shared" si="0"/>
        <v>-1421578.94</v>
      </c>
      <c r="F32" s="24">
        <f t="shared" si="1"/>
        <v>-1421.5789399999999</v>
      </c>
      <c r="G32" s="23" t="s">
        <v>180</v>
      </c>
      <c r="H32" s="23" t="s">
        <v>67</v>
      </c>
    </row>
    <row r="33" spans="1:8" x14ac:dyDescent="0.35">
      <c r="A33" s="23" t="s">
        <v>423</v>
      </c>
      <c r="B33" s="24">
        <f>SUMIF('Raw Dec'!B:B,'TB 1224'!A33,'Raw Dec'!C:C)</f>
        <v>-87552.27</v>
      </c>
      <c r="C33" s="24">
        <f>SUMIF('Raw Dec'!B:B,'TB 1224'!A33,'Raw Dec'!D:D)</f>
        <v>51649</v>
      </c>
      <c r="D33" s="24">
        <f>SUMIF('Raw Dec'!B:B,'TB 1224'!A33,'Raw Dec'!E:E)</f>
        <v>105392</v>
      </c>
      <c r="E33" s="24">
        <f t="shared" si="0"/>
        <v>-141295.27000000002</v>
      </c>
      <c r="F33" s="24">
        <f t="shared" si="1"/>
        <v>-141.29527000000002</v>
      </c>
      <c r="G33" s="23" t="s">
        <v>180</v>
      </c>
      <c r="H33" s="23" t="s">
        <v>68</v>
      </c>
    </row>
    <row r="34" spans="1:8" x14ac:dyDescent="0.35">
      <c r="A34" s="23" t="s">
        <v>578</v>
      </c>
      <c r="B34" s="24">
        <f>SUMIF('Raw Dec'!B:B,'TB 1224'!A34,'Raw Dec'!C:C)</f>
        <v>0</v>
      </c>
      <c r="C34" s="24">
        <f>SUMIF('Raw Dec'!B:B,'TB 1224'!A34,'Raw Dec'!D:D)</f>
        <v>0</v>
      </c>
      <c r="D34" s="24">
        <f>SUMIF('Raw Dec'!B:B,'TB 1224'!A34,'Raw Dec'!E:E)</f>
        <v>36208</v>
      </c>
      <c r="E34" s="24">
        <f t="shared" si="0"/>
        <v>-36208</v>
      </c>
      <c r="F34" s="24">
        <f t="shared" si="1"/>
        <v>-36.207999999999998</v>
      </c>
      <c r="G34" s="23" t="s">
        <v>180</v>
      </c>
      <c r="H34" s="23" t="s">
        <v>68</v>
      </c>
    </row>
    <row r="35" spans="1:8" x14ac:dyDescent="0.35">
      <c r="A35" s="23" t="s">
        <v>622</v>
      </c>
      <c r="B35" s="24">
        <f>SUMIF('Raw Dec'!B:B,'TB 1224'!A35,'Raw Dec'!C:C)</f>
        <v>-176200</v>
      </c>
      <c r="C35" s="24">
        <f>SUMIF('Raw Dec'!B:B,'TB 1224'!A35,'Raw Dec'!D:D)</f>
        <v>176200</v>
      </c>
      <c r="D35" s="24">
        <f>SUMIF('Raw Dec'!B:B,'TB 1224'!A35,'Raw Dec'!E:E)</f>
        <v>0</v>
      </c>
      <c r="E35" s="24">
        <f t="shared" si="0"/>
        <v>0</v>
      </c>
      <c r="F35" s="24">
        <f t="shared" si="1"/>
        <v>0</v>
      </c>
      <c r="G35" s="23" t="s">
        <v>180</v>
      </c>
      <c r="H35" s="23" t="s">
        <v>68</v>
      </c>
    </row>
    <row r="36" spans="1:8" x14ac:dyDescent="0.35">
      <c r="A36" s="23" t="s">
        <v>579</v>
      </c>
      <c r="B36" s="24">
        <f>SUMIF('Raw Dec'!B:B,'TB 1224'!A36,'Raw Dec'!C:C)</f>
        <v>-47712.58</v>
      </c>
      <c r="C36" s="24">
        <f>SUMIF('Raw Dec'!B:B,'TB 1224'!A36,'Raw Dec'!D:D)</f>
        <v>43043</v>
      </c>
      <c r="D36" s="24">
        <f>SUMIF('Raw Dec'!B:B,'TB 1224'!A36,'Raw Dec'!E:E)</f>
        <v>50453.599999999999</v>
      </c>
      <c r="E36" s="24">
        <f t="shared" si="0"/>
        <v>-55123.18</v>
      </c>
      <c r="F36" s="24">
        <f t="shared" si="1"/>
        <v>-55.123179999999998</v>
      </c>
      <c r="G36" s="23" t="s">
        <v>181</v>
      </c>
      <c r="H36" s="23" t="s">
        <v>79</v>
      </c>
    </row>
    <row r="37" spans="1:8" x14ac:dyDescent="0.35">
      <c r="A37" s="23" t="s">
        <v>580</v>
      </c>
      <c r="B37" s="24">
        <f>SUMIF('Raw Dec'!B:B,'TB 1224'!A37,'Raw Dec'!C:C)</f>
        <v>-8602.16</v>
      </c>
      <c r="C37" s="24">
        <f>SUMIF('Raw Dec'!B:B,'TB 1224'!A37,'Raw Dec'!D:D)</f>
        <v>8602</v>
      </c>
      <c r="D37" s="24">
        <f>SUMIF('Raw Dec'!B:B,'TB 1224'!A37,'Raw Dec'!E:E)</f>
        <v>4807.8</v>
      </c>
      <c r="E37" s="24">
        <f t="shared" si="0"/>
        <v>-4807.96</v>
      </c>
      <c r="F37" s="24">
        <f t="shared" si="1"/>
        <v>-4.8079600000000005</v>
      </c>
      <c r="G37" s="23" t="s">
        <v>181</v>
      </c>
      <c r="H37" s="23" t="s">
        <v>79</v>
      </c>
    </row>
    <row r="38" spans="1:8" x14ac:dyDescent="0.35">
      <c r="A38" s="23" t="s">
        <v>581</v>
      </c>
      <c r="B38" s="24">
        <f>SUMIF('Raw Dec'!B:B,'TB 1224'!A38,'Raw Dec'!C:C)</f>
        <v>-47712.58</v>
      </c>
      <c r="C38" s="24">
        <f>SUMIF('Raw Dec'!B:B,'TB 1224'!A38,'Raw Dec'!D:D)</f>
        <v>43043</v>
      </c>
      <c r="D38" s="24">
        <f>SUMIF('Raw Dec'!B:B,'TB 1224'!A38,'Raw Dec'!E:E)</f>
        <v>50453.599999999999</v>
      </c>
      <c r="E38" s="24">
        <f t="shared" si="0"/>
        <v>-55123.18</v>
      </c>
      <c r="F38" s="24">
        <f t="shared" si="1"/>
        <v>-55.123179999999998</v>
      </c>
      <c r="G38" s="23" t="s">
        <v>181</v>
      </c>
      <c r="H38" s="23" t="s">
        <v>79</v>
      </c>
    </row>
    <row r="39" spans="1:8" x14ac:dyDescent="0.35">
      <c r="A39" s="23" t="s">
        <v>302</v>
      </c>
      <c r="B39" s="24">
        <f>SUMIF('Raw Dec'!B:B,'TB 1224'!A39,'Raw Dec'!C:C)</f>
        <v>0</v>
      </c>
      <c r="C39" s="24">
        <f>SUMIF('Raw Dec'!B:B,'TB 1224'!A39,'Raw Dec'!D:D)</f>
        <v>0</v>
      </c>
      <c r="D39" s="24">
        <f>SUMIF('Raw Dec'!B:B,'TB 1224'!A39,'Raw Dec'!E:E)</f>
        <v>575</v>
      </c>
      <c r="E39" s="24">
        <f t="shared" si="0"/>
        <v>-575</v>
      </c>
      <c r="F39" s="24">
        <f t="shared" si="1"/>
        <v>-0.57499999999999996</v>
      </c>
      <c r="G39" s="23" t="s">
        <v>180</v>
      </c>
      <c r="H39" s="23" t="s">
        <v>68</v>
      </c>
    </row>
    <row r="40" spans="1:8" x14ac:dyDescent="0.35">
      <c r="A40" s="23" t="s">
        <v>582</v>
      </c>
      <c r="B40" s="24">
        <f>SUMIF('Raw Dec'!B:B,'TB 1224'!A40,'Raw Dec'!C:C)</f>
        <v>-4175</v>
      </c>
      <c r="C40" s="24">
        <f>SUMIF('Raw Dec'!B:B,'TB 1224'!A40,'Raw Dec'!D:D)</f>
        <v>4175</v>
      </c>
      <c r="D40" s="24">
        <f>SUMIF('Raw Dec'!B:B,'TB 1224'!A40,'Raw Dec'!E:E)</f>
        <v>4200</v>
      </c>
      <c r="E40" s="24">
        <f t="shared" si="0"/>
        <v>-4200</v>
      </c>
      <c r="F40" s="24">
        <f t="shared" si="1"/>
        <v>-4.2</v>
      </c>
      <c r="G40" s="23" t="s">
        <v>180</v>
      </c>
      <c r="H40" s="23" t="s">
        <v>68</v>
      </c>
    </row>
    <row r="41" spans="1:8" x14ac:dyDescent="0.35">
      <c r="A41" s="23" t="s">
        <v>583</v>
      </c>
      <c r="B41" s="24">
        <f>SUMIF('Raw Dec'!B:B,'TB 1224'!A41,'Raw Dec'!C:C)</f>
        <v>-37204</v>
      </c>
      <c r="C41" s="24">
        <f>SUMIF('Raw Dec'!B:B,'TB 1224'!A41,'Raw Dec'!D:D)</f>
        <v>37204</v>
      </c>
      <c r="D41" s="24">
        <f>SUMIF('Raw Dec'!B:B,'TB 1224'!A41,'Raw Dec'!E:E)</f>
        <v>41400</v>
      </c>
      <c r="E41" s="24">
        <f t="shared" si="0"/>
        <v>-41400</v>
      </c>
      <c r="F41" s="24">
        <f t="shared" si="1"/>
        <v>-41.4</v>
      </c>
      <c r="G41" s="23" t="s">
        <v>180</v>
      </c>
      <c r="H41" s="23" t="s">
        <v>68</v>
      </c>
    </row>
    <row r="42" spans="1:8" x14ac:dyDescent="0.35">
      <c r="A42" s="23" t="s">
        <v>584</v>
      </c>
      <c r="B42" s="24">
        <f>SUMIF('Raw Dec'!B:B,'TB 1224'!A42,'Raw Dec'!C:C)</f>
        <v>-37204</v>
      </c>
      <c r="C42" s="24">
        <f>SUMIF('Raw Dec'!B:B,'TB 1224'!A42,'Raw Dec'!D:D)</f>
        <v>37204</v>
      </c>
      <c r="D42" s="24">
        <f>SUMIF('Raw Dec'!B:B,'TB 1224'!A42,'Raw Dec'!E:E)</f>
        <v>41400</v>
      </c>
      <c r="E42" s="24">
        <f t="shared" si="0"/>
        <v>-41400</v>
      </c>
      <c r="F42" s="24">
        <f t="shared" si="1"/>
        <v>-41.4</v>
      </c>
      <c r="G42" s="23" t="s">
        <v>180</v>
      </c>
      <c r="H42" s="23" t="s">
        <v>68</v>
      </c>
    </row>
    <row r="43" spans="1:8" x14ac:dyDescent="0.35">
      <c r="A43" s="23" t="s">
        <v>138</v>
      </c>
      <c r="B43" s="24">
        <f>SUMIF('Raw Dec'!B:B,'TB 1224'!A43,'Raw Dec'!C:C)</f>
        <v>-25000</v>
      </c>
      <c r="C43" s="24">
        <f>SUMIF('Raw Dec'!B:B,'TB 1224'!A43,'Raw Dec'!D:D)</f>
        <v>25000</v>
      </c>
      <c r="D43" s="24">
        <f>SUMIF('Raw Dec'!B:B,'TB 1224'!A43,'Raw Dec'!E:E)</f>
        <v>0</v>
      </c>
      <c r="E43" s="24">
        <f t="shared" si="0"/>
        <v>0</v>
      </c>
      <c r="F43" s="24">
        <f t="shared" si="1"/>
        <v>0</v>
      </c>
      <c r="G43" s="23" t="s">
        <v>180</v>
      </c>
      <c r="H43" s="23" t="s">
        <v>69</v>
      </c>
    </row>
    <row r="44" spans="1:8" x14ac:dyDescent="0.35">
      <c r="A44" s="23" t="s">
        <v>620</v>
      </c>
      <c r="B44" s="24">
        <f>SUMIF('Raw Dec'!B:B,'TB 1224'!A44,'Raw Dec'!C:C)</f>
        <v>-120000</v>
      </c>
      <c r="C44" s="24">
        <f>SUMIF('Raw Dec'!B:B,'TB 1224'!A44,'Raw Dec'!D:D)</f>
        <v>120000</v>
      </c>
      <c r="D44" s="24">
        <f>SUMIF('Raw Dec'!B:B,'TB 1224'!A44,'Raw Dec'!E:E)</f>
        <v>0</v>
      </c>
      <c r="E44" s="24">
        <f t="shared" si="0"/>
        <v>0</v>
      </c>
      <c r="F44" s="24">
        <f t="shared" si="1"/>
        <v>0</v>
      </c>
      <c r="G44" s="23" t="s">
        <v>180</v>
      </c>
      <c r="H44" s="23" t="s">
        <v>69</v>
      </c>
    </row>
    <row r="45" spans="1:8" x14ac:dyDescent="0.35">
      <c r="A45" s="23" t="s">
        <v>645</v>
      </c>
      <c r="B45" s="24">
        <f>SUMIF('Raw Dec'!B:B,'TB 1224'!A45,'Raw Dec'!C:C)</f>
        <v>0</v>
      </c>
      <c r="C45" s="24">
        <f>SUMIF('Raw Dec'!B:B,'TB 1224'!A45,'Raw Dec'!D:D)</f>
        <v>0</v>
      </c>
      <c r="D45" s="24">
        <f>SUMIF('Raw Dec'!B:B,'TB 1224'!A45,'Raw Dec'!E:E)</f>
        <v>4035.6</v>
      </c>
      <c r="E45" s="24">
        <f t="shared" si="0"/>
        <v>-4035.6</v>
      </c>
      <c r="F45" s="24">
        <f t="shared" si="1"/>
        <v>-4.0355999999999996</v>
      </c>
      <c r="G45" s="23" t="s">
        <v>180</v>
      </c>
      <c r="H45" s="23" t="s">
        <v>69</v>
      </c>
    </row>
    <row r="46" spans="1:8" x14ac:dyDescent="0.35">
      <c r="A46" s="23" t="s">
        <v>616</v>
      </c>
      <c r="B46" s="24">
        <f>SUMIF('Raw Dec'!B:B,'TB 1224'!A46,'Raw Dec'!C:C)</f>
        <v>-7500</v>
      </c>
      <c r="C46" s="24">
        <f>SUMIF('Raw Dec'!B:B,'TB 1224'!A46,'Raw Dec'!D:D)</f>
        <v>7500</v>
      </c>
      <c r="D46" s="24">
        <f>SUMIF('Raw Dec'!B:B,'TB 1224'!A46,'Raw Dec'!E:E)</f>
        <v>0</v>
      </c>
      <c r="E46" s="24">
        <f t="shared" si="0"/>
        <v>0</v>
      </c>
      <c r="F46" s="24">
        <f t="shared" si="1"/>
        <v>0</v>
      </c>
      <c r="G46" s="23" t="s">
        <v>180</v>
      </c>
      <c r="H46" s="23" t="s">
        <v>69</v>
      </c>
    </row>
    <row r="47" spans="1:8" x14ac:dyDescent="0.35">
      <c r="A47" s="23" t="s">
        <v>585</v>
      </c>
      <c r="B47" s="24">
        <f>SUMIF('Raw Dec'!B:B,'TB 1224'!A47,'Raw Dec'!C:C)</f>
        <v>-13200</v>
      </c>
      <c r="C47" s="24">
        <f>SUMIF('Raw Dec'!B:B,'TB 1224'!A47,'Raw Dec'!D:D)</f>
        <v>13200</v>
      </c>
      <c r="D47" s="24">
        <f>SUMIF('Raw Dec'!B:B,'TB 1224'!A47,'Raw Dec'!E:E)</f>
        <v>15700</v>
      </c>
      <c r="E47" s="24">
        <f t="shared" si="0"/>
        <v>-15700</v>
      </c>
      <c r="F47" s="24">
        <f t="shared" si="1"/>
        <v>-15.7</v>
      </c>
      <c r="G47" s="23" t="s">
        <v>180</v>
      </c>
      <c r="H47" s="23" t="s">
        <v>69</v>
      </c>
    </row>
    <row r="48" spans="1:8" x14ac:dyDescent="0.35">
      <c r="A48" s="23" t="s">
        <v>434</v>
      </c>
      <c r="B48" s="24">
        <f>SUMIF('Raw Dec'!B:B,'TB 1224'!A48,'Raw Dec'!C:C)</f>
        <v>-33635.53</v>
      </c>
      <c r="C48" s="24">
        <f>SUMIF('Raw Dec'!B:B,'TB 1224'!A48,'Raw Dec'!D:D)</f>
        <v>33635.53</v>
      </c>
      <c r="D48" s="24">
        <f>SUMIF('Raw Dec'!B:B,'TB 1224'!A48,'Raw Dec'!E:E)</f>
        <v>0</v>
      </c>
      <c r="E48" s="24">
        <f t="shared" si="0"/>
        <v>0</v>
      </c>
      <c r="F48" s="24">
        <f t="shared" si="1"/>
        <v>0</v>
      </c>
      <c r="G48" s="23" t="s">
        <v>180</v>
      </c>
      <c r="H48" s="23" t="s">
        <v>69</v>
      </c>
    </row>
    <row r="49" spans="1:8" x14ac:dyDescent="0.35">
      <c r="A49" s="23" t="s">
        <v>623</v>
      </c>
      <c r="B49" s="24">
        <f>SUMIF('Raw Dec'!B:B,'TB 1224'!A49,'Raw Dec'!C:C)</f>
        <v>-8786.25</v>
      </c>
      <c r="C49" s="24">
        <f>SUMIF('Raw Dec'!B:B,'TB 1224'!A49,'Raw Dec'!D:D)</f>
        <v>8786.25</v>
      </c>
      <c r="D49" s="24">
        <f>SUMIF('Raw Dec'!B:B,'TB 1224'!A49,'Raw Dec'!E:E)</f>
        <v>0</v>
      </c>
      <c r="E49" s="24">
        <f t="shared" si="0"/>
        <v>0</v>
      </c>
      <c r="F49" s="24">
        <f t="shared" si="1"/>
        <v>0</v>
      </c>
      <c r="G49" s="23" t="s">
        <v>180</v>
      </c>
      <c r="H49" s="23" t="s">
        <v>69</v>
      </c>
    </row>
    <row r="50" spans="1:8" x14ac:dyDescent="0.35">
      <c r="A50" s="23" t="s">
        <v>586</v>
      </c>
      <c r="B50" s="24">
        <f>SUMIF('Raw Dec'!B:B,'TB 1224'!A50,'Raw Dec'!C:C)</f>
        <v>-27767.74</v>
      </c>
      <c r="C50" s="24">
        <f>SUMIF('Raw Dec'!B:B,'TB 1224'!A50,'Raw Dec'!D:D)</f>
        <v>27767.74</v>
      </c>
      <c r="D50" s="24">
        <f>SUMIF('Raw Dec'!B:B,'TB 1224'!A50,'Raw Dec'!E:E)</f>
        <v>35910</v>
      </c>
      <c r="E50" s="24">
        <f t="shared" si="0"/>
        <v>-35910</v>
      </c>
      <c r="F50" s="24">
        <f t="shared" si="1"/>
        <v>-35.909999999999997</v>
      </c>
      <c r="G50" s="23" t="s">
        <v>180</v>
      </c>
      <c r="H50" s="23" t="s">
        <v>69</v>
      </c>
    </row>
    <row r="51" spans="1:8" x14ac:dyDescent="0.35">
      <c r="A51" s="23" t="s">
        <v>625</v>
      </c>
      <c r="B51" s="24">
        <f>SUMIF('Raw Dec'!B:B,'TB 1224'!A51,'Raw Dec'!C:C)</f>
        <v>-88.75</v>
      </c>
      <c r="C51" s="24">
        <f>SUMIF('Raw Dec'!B:B,'TB 1224'!A51,'Raw Dec'!D:D)</f>
        <v>88.75</v>
      </c>
      <c r="D51" s="24">
        <f>SUMIF('Raw Dec'!B:B,'TB 1224'!A51,'Raw Dec'!E:E)</f>
        <v>0</v>
      </c>
      <c r="E51" s="24">
        <f t="shared" si="0"/>
        <v>0</v>
      </c>
      <c r="F51" s="24">
        <f t="shared" si="1"/>
        <v>0</v>
      </c>
      <c r="G51" s="23" t="s">
        <v>180</v>
      </c>
      <c r="H51" s="23" t="s">
        <v>69</v>
      </c>
    </row>
    <row r="52" spans="1:8" x14ac:dyDescent="0.35">
      <c r="A52" s="23" t="s">
        <v>425</v>
      </c>
      <c r="B52" s="24">
        <f>SUMIF('Raw Dec'!B:B,'TB 1224'!A52,'Raw Dec'!C:C)</f>
        <v>-199244.61</v>
      </c>
      <c r="C52" s="24">
        <f>SUMIF('Raw Dec'!B:B,'TB 1224'!A52,'Raw Dec'!D:D)</f>
        <v>210229</v>
      </c>
      <c r="D52" s="24">
        <f>SUMIF('Raw Dec'!B:B,'TB 1224'!A52,'Raw Dec'!E:E)</f>
        <v>226030.75</v>
      </c>
      <c r="E52" s="24">
        <f t="shared" si="0"/>
        <v>-215046.36</v>
      </c>
      <c r="F52" s="24">
        <f>E52/1000</f>
        <v>-215.04635999999999</v>
      </c>
      <c r="G52" s="23" t="s">
        <v>180</v>
      </c>
      <c r="H52" s="23" t="s">
        <v>68</v>
      </c>
    </row>
    <row r="53" spans="1:8" x14ac:dyDescent="0.35">
      <c r="A53" s="23" t="s">
        <v>587</v>
      </c>
      <c r="B53" s="24">
        <f>SUMIF('Raw Dec'!B:B,'TB 1224'!A53,'Raw Dec'!C:C)</f>
        <v>-37500</v>
      </c>
      <c r="C53" s="24">
        <f>SUMIF('Raw Dec'!B:B,'TB 1224'!A53,'Raw Dec'!D:D)</f>
        <v>0</v>
      </c>
      <c r="D53" s="24">
        <f>SUMIF('Raw Dec'!B:B,'TB 1224'!A53,'Raw Dec'!E:E)</f>
        <v>20653</v>
      </c>
      <c r="E53" s="24">
        <f t="shared" si="0"/>
        <v>-58153</v>
      </c>
      <c r="F53" s="24">
        <f t="shared" si="1"/>
        <v>-58.152999999999999</v>
      </c>
      <c r="G53" s="23" t="s">
        <v>180</v>
      </c>
      <c r="H53" s="23" t="s">
        <v>68</v>
      </c>
    </row>
    <row r="54" spans="1:8" x14ac:dyDescent="0.35">
      <c r="A54" s="23" t="s">
        <v>588</v>
      </c>
      <c r="B54" s="24">
        <f>SUMIF('Raw Dec'!B:B,'TB 1224'!A54,'Raw Dec'!C:C)</f>
        <v>23310739.280000001</v>
      </c>
      <c r="C54" s="24">
        <f>SUMIF('Raw Dec'!B:B,'TB 1224'!A54,'Raw Dec'!D:D)</f>
        <v>0</v>
      </c>
      <c r="D54" s="24">
        <f>SUMIF('Raw Dec'!B:B,'TB 1224'!A54,'Raw Dec'!E:E)</f>
        <v>0</v>
      </c>
      <c r="E54" s="24">
        <f t="shared" si="0"/>
        <v>23310739.280000001</v>
      </c>
      <c r="F54" s="24">
        <f t="shared" si="1"/>
        <v>23310.739280000002</v>
      </c>
      <c r="G54" s="23" t="s">
        <v>180</v>
      </c>
      <c r="H54" s="23" t="s">
        <v>64</v>
      </c>
    </row>
    <row r="55" spans="1:8" x14ac:dyDescent="0.35">
      <c r="A55" s="23" t="s">
        <v>589</v>
      </c>
      <c r="B55" s="24">
        <f>SUMIF('Raw Dec'!B:B,'TB 1224'!A55,'Raw Dec'!C:C)</f>
        <v>-100000</v>
      </c>
      <c r="C55" s="24">
        <f>SUMIF('Raw Dec'!B:B,'TB 1224'!A55,'Raw Dec'!D:D)</f>
        <v>0</v>
      </c>
      <c r="D55" s="24">
        <f>SUMIF('Raw Dec'!B:B,'TB 1224'!A55,'Raw Dec'!E:E)</f>
        <v>0</v>
      </c>
      <c r="E55" s="24">
        <f t="shared" si="0"/>
        <v>-100000</v>
      </c>
      <c r="F55" s="24">
        <f t="shared" si="1"/>
        <v>-100</v>
      </c>
      <c r="G55" s="23" t="s">
        <v>180</v>
      </c>
      <c r="H55" s="23" t="s">
        <v>63</v>
      </c>
    </row>
    <row r="56" spans="1:8" x14ac:dyDescent="0.35">
      <c r="A56" s="23" t="s">
        <v>590</v>
      </c>
      <c r="B56" s="24">
        <f>SUMIF('Raw Dec'!B:B,'TB 1224'!A56,'Raw Dec'!C:C)</f>
        <v>-10</v>
      </c>
      <c r="C56" s="24">
        <f>SUMIF('Raw Dec'!B:B,'TB 1224'!A56,'Raw Dec'!D:D)</f>
        <v>0</v>
      </c>
      <c r="D56" s="24">
        <f>SUMIF('Raw Dec'!B:B,'TB 1224'!A56,'Raw Dec'!E:E)</f>
        <v>0</v>
      </c>
      <c r="E56" s="24">
        <f t="shared" si="0"/>
        <v>-10</v>
      </c>
      <c r="F56" s="24">
        <f t="shared" si="1"/>
        <v>-0.01</v>
      </c>
      <c r="G56" s="23" t="s">
        <v>180</v>
      </c>
      <c r="H56" s="23" t="s">
        <v>63</v>
      </c>
    </row>
    <row r="57" spans="1:8" x14ac:dyDescent="0.35">
      <c r="A57" s="23" t="s">
        <v>591</v>
      </c>
      <c r="B57" s="24">
        <f>SUMIF('Raw Dec'!B:B,'TB 1224'!A57,'Raw Dec'!C:C)</f>
        <v>-4207000</v>
      </c>
      <c r="C57" s="24">
        <f>SUMIF('Raw Dec'!B:B,'TB 1224'!A57,'Raw Dec'!D:D)</f>
        <v>0</v>
      </c>
      <c r="D57" s="24">
        <f>SUMIF('Raw Dec'!B:B,'TB 1224'!A57,'Raw Dec'!E:E)</f>
        <v>0</v>
      </c>
      <c r="E57" s="24">
        <f t="shared" si="0"/>
        <v>-4207000</v>
      </c>
      <c r="F57" s="24">
        <f t="shared" si="1"/>
        <v>-4207</v>
      </c>
      <c r="G57" s="23" t="s">
        <v>180</v>
      </c>
      <c r="H57" s="23" t="s">
        <v>63</v>
      </c>
    </row>
    <row r="58" spans="1:8" x14ac:dyDescent="0.35">
      <c r="A58" s="23" t="s">
        <v>592</v>
      </c>
      <c r="B58" s="24">
        <f>SUMIF('Raw Dec'!B:B,'TB 1224'!A58,'Raw Dec'!C:C)</f>
        <v>-75792961.200000003</v>
      </c>
      <c r="C58" s="24">
        <f>SUMIF('Raw Dec'!B:B,'TB 1224'!A58,'Raw Dec'!D:D)</f>
        <v>0</v>
      </c>
      <c r="D58" s="24">
        <f>SUMIF('Raw Dec'!B:B,'TB 1224'!A58,'Raw Dec'!E:E)</f>
        <v>0</v>
      </c>
      <c r="E58" s="24">
        <f t="shared" si="0"/>
        <v>-75792961.200000003</v>
      </c>
      <c r="F58" s="24">
        <f t="shared" si="1"/>
        <v>-75792.961200000005</v>
      </c>
      <c r="G58" s="23" t="s">
        <v>180</v>
      </c>
      <c r="H58" s="23" t="s">
        <v>64</v>
      </c>
    </row>
    <row r="59" spans="1:8" x14ac:dyDescent="0.35">
      <c r="A59" s="23" t="s">
        <v>593</v>
      </c>
      <c r="B59" s="24">
        <f>SUMIF('Raw Dec'!B:B,'TB 1224'!A59,'Raw Dec'!C:C)</f>
        <v>1905743.9</v>
      </c>
      <c r="C59" s="24">
        <f>SUMIF('Raw Dec'!B:B,'TB 1224'!A59,'Raw Dec'!D:D)</f>
        <v>0</v>
      </c>
      <c r="D59" s="24">
        <f>SUMIF('Raw Dec'!B:B,'TB 1224'!A59,'Raw Dec'!E:E)</f>
        <v>0</v>
      </c>
      <c r="E59" s="24">
        <f t="shared" si="0"/>
        <v>1905743.9</v>
      </c>
      <c r="F59" s="24">
        <f t="shared" si="1"/>
        <v>1905.7438999999999</v>
      </c>
      <c r="G59" s="23" t="s">
        <v>180</v>
      </c>
      <c r="H59" s="23" t="s">
        <v>64</v>
      </c>
    </row>
    <row r="60" spans="1:8" x14ac:dyDescent="0.35">
      <c r="A60" s="23" t="s">
        <v>594</v>
      </c>
      <c r="B60" s="24">
        <f>SUMIF('Raw Dec'!B:B,'TB 1224'!A60,'Raw Dec'!C:C)</f>
        <v>0</v>
      </c>
      <c r="C60" s="24">
        <f>SUMIF('Raw Dec'!B:B,'TB 1224'!A60,'Raw Dec'!D:D)</f>
        <v>52068</v>
      </c>
      <c r="D60" s="24">
        <f>SUMIF('Raw Dec'!B:B,'TB 1224'!A60,'Raw Dec'!E:E)</f>
        <v>294550.40999999997</v>
      </c>
      <c r="E60" s="24">
        <f t="shared" si="0"/>
        <v>-242482.40999999997</v>
      </c>
      <c r="F60" s="24">
        <f t="shared" si="1"/>
        <v>-242.48240999999999</v>
      </c>
      <c r="G60" s="23" t="s">
        <v>184</v>
      </c>
      <c r="H60" s="23" t="s">
        <v>49</v>
      </c>
    </row>
    <row r="61" spans="1:8" x14ac:dyDescent="0.35">
      <c r="A61" s="23" t="s">
        <v>287</v>
      </c>
      <c r="B61" s="24">
        <f>SUMIF('Raw Dec'!B:B,'TB 1224'!A61,'Raw Dec'!C:C)</f>
        <v>0</v>
      </c>
      <c r="C61" s="24">
        <f>SUMIF('Raw Dec'!B:B,'TB 1224'!A61,'Raw Dec'!D:D)</f>
        <v>70000</v>
      </c>
      <c r="D61" s="24">
        <f>SUMIF('Raw Dec'!B:B,'TB 1224'!A61,'Raw Dec'!E:E)</f>
        <v>0</v>
      </c>
      <c r="E61" s="24">
        <f t="shared" si="0"/>
        <v>70000</v>
      </c>
      <c r="F61" s="24">
        <f t="shared" si="1"/>
        <v>70</v>
      </c>
      <c r="G61" s="23" t="s">
        <v>182</v>
      </c>
      <c r="H61" s="23" t="s">
        <v>41</v>
      </c>
    </row>
    <row r="62" spans="1:8" x14ac:dyDescent="0.35">
      <c r="A62" s="23" t="s">
        <v>408</v>
      </c>
      <c r="B62" s="24">
        <f>SUMIF('Raw Dec'!B:B,'TB 1224'!A62,'Raw Dec'!C:C)</f>
        <v>0</v>
      </c>
      <c r="C62" s="24">
        <f>SUMIF('Raw Dec'!B:B,'TB 1224'!A62,'Raw Dec'!D:D)</f>
        <v>25000</v>
      </c>
      <c r="D62" s="24">
        <f>SUMIF('Raw Dec'!B:B,'TB 1224'!A62,'Raw Dec'!E:E)</f>
        <v>25000</v>
      </c>
      <c r="E62" s="24">
        <f t="shared" si="0"/>
        <v>0</v>
      </c>
      <c r="F62" s="24">
        <f t="shared" si="1"/>
        <v>0</v>
      </c>
      <c r="G62" s="23" t="s">
        <v>182</v>
      </c>
      <c r="H62" s="23" t="s">
        <v>41</v>
      </c>
    </row>
    <row r="63" spans="1:8" x14ac:dyDescent="0.35">
      <c r="A63" s="23" t="s">
        <v>595</v>
      </c>
      <c r="B63" s="24">
        <f>SUMIF('Raw Dec'!B:B,'TB 1224'!A63,'Raw Dec'!C:C)</f>
        <v>0</v>
      </c>
      <c r="C63" s="24">
        <f>SUMIF('Raw Dec'!B:B,'TB 1224'!A63,'Raw Dec'!D:D)</f>
        <v>118</v>
      </c>
      <c r="D63" s="24">
        <f>SUMIF('Raw Dec'!B:B,'TB 1224'!A63,'Raw Dec'!E:E)</f>
        <v>0</v>
      </c>
      <c r="E63" s="24">
        <f t="shared" si="0"/>
        <v>118</v>
      </c>
      <c r="F63" s="24">
        <f t="shared" si="1"/>
        <v>0.11799999999999999</v>
      </c>
      <c r="G63" s="23" t="s">
        <v>182</v>
      </c>
      <c r="H63" s="23" t="s">
        <v>43</v>
      </c>
    </row>
    <row r="64" spans="1:8" x14ac:dyDescent="0.35">
      <c r="A64" s="23" t="s">
        <v>38</v>
      </c>
      <c r="B64" s="24">
        <f>SUMIF('Raw Dec'!B:B,'TB 1224'!A64,'Raw Dec'!C:C)</f>
        <v>0</v>
      </c>
      <c r="C64" s="24">
        <f>SUMIF('Raw Dec'!B:B,'TB 1224'!A64,'Raw Dec'!D:D)</f>
        <v>111810</v>
      </c>
      <c r="D64" s="24">
        <f>SUMIF('Raw Dec'!B:B,'TB 1224'!A64,'Raw Dec'!E:E)</f>
        <v>6140.08</v>
      </c>
      <c r="E64" s="24">
        <f t="shared" si="0"/>
        <v>105669.92</v>
      </c>
      <c r="F64" s="24">
        <f t="shared" si="1"/>
        <v>105.66992</v>
      </c>
      <c r="G64" s="23" t="s">
        <v>182</v>
      </c>
      <c r="H64" s="23" t="s">
        <v>38</v>
      </c>
    </row>
    <row r="65" spans="1:8" x14ac:dyDescent="0.35">
      <c r="A65" s="23" t="s">
        <v>296</v>
      </c>
      <c r="B65" s="24">
        <f>SUMIF('Raw Dec'!B:B,'TB 1224'!A65,'Raw Dec'!C:C)</f>
        <v>0</v>
      </c>
      <c r="C65" s="24">
        <f>SUMIF('Raw Dec'!B:B,'TB 1224'!A65,'Raw Dec'!D:D)</f>
        <v>424005.1</v>
      </c>
      <c r="D65" s="24">
        <f>SUMIF('Raw Dec'!B:B,'TB 1224'!A65,'Raw Dec'!E:E)</f>
        <v>120000</v>
      </c>
      <c r="E65" s="24">
        <f t="shared" si="0"/>
        <v>304005.09999999998</v>
      </c>
      <c r="F65" s="24">
        <f t="shared" si="1"/>
        <v>304.00509999999997</v>
      </c>
      <c r="G65" s="23" t="s">
        <v>182</v>
      </c>
      <c r="H65" s="23" t="s">
        <v>37</v>
      </c>
    </row>
    <row r="66" spans="1:8" x14ac:dyDescent="0.35">
      <c r="A66" s="23" t="s">
        <v>34</v>
      </c>
      <c r="B66" s="24">
        <f>SUMIF('Raw Dec'!B:B,'TB 1224'!A66,'Raw Dec'!C:C)</f>
        <v>0</v>
      </c>
      <c r="C66" s="24">
        <f>SUMIF('Raw Dec'!B:B,'TB 1224'!A66,'Raw Dec'!D:D)</f>
        <v>80373</v>
      </c>
      <c r="D66" s="24">
        <f>SUMIF('Raw Dec'!B:B,'TB 1224'!A66,'Raw Dec'!E:E)</f>
        <v>0</v>
      </c>
      <c r="E66" s="24">
        <f t="shared" si="0"/>
        <v>80373</v>
      </c>
      <c r="F66" s="24">
        <f t="shared" si="1"/>
        <v>80.373000000000005</v>
      </c>
      <c r="G66" s="23" t="s">
        <v>182</v>
      </c>
      <c r="H66" s="23" t="s">
        <v>34</v>
      </c>
    </row>
    <row r="67" spans="1:8" x14ac:dyDescent="0.35">
      <c r="A67" s="23" t="s">
        <v>596</v>
      </c>
      <c r="B67" s="24">
        <f>SUMIF('Raw Dec'!B:B,'TB 1224'!A67,'Raw Dec'!C:C)</f>
        <v>0</v>
      </c>
      <c r="C67" s="24">
        <f>SUMIF('Raw Dec'!B:B,'TB 1224'!A67,'Raw Dec'!D:D)</f>
        <v>66562</v>
      </c>
      <c r="D67" s="24">
        <f>SUMIF('Raw Dec'!B:B,'TB 1224'!A67,'Raw Dec'!E:E)</f>
        <v>0</v>
      </c>
      <c r="E67" s="24">
        <f t="shared" si="0"/>
        <v>66562</v>
      </c>
      <c r="F67" s="24">
        <f t="shared" si="1"/>
        <v>66.561999999999998</v>
      </c>
      <c r="G67" s="23" t="s">
        <v>182</v>
      </c>
      <c r="H67" s="23" t="s">
        <v>48</v>
      </c>
    </row>
    <row r="68" spans="1:8" x14ac:dyDescent="0.35">
      <c r="A68" s="23" t="s">
        <v>109</v>
      </c>
      <c r="B68" s="24">
        <f>SUMIF('Raw Dec'!B:B,'TB 1224'!A68,'Raw Dec'!C:C)</f>
        <v>0</v>
      </c>
      <c r="C68" s="24">
        <f>SUMIF('Raw Dec'!B:B,'TB 1224'!A68,'Raw Dec'!D:D)</f>
        <v>41400</v>
      </c>
      <c r="D68" s="24">
        <f>SUMIF('Raw Dec'!B:B,'TB 1224'!A68,'Raw Dec'!E:E)</f>
        <v>0</v>
      </c>
      <c r="E68" s="24">
        <f t="shared" ref="E68:E84" si="2">B68+C68-D68</f>
        <v>41400</v>
      </c>
      <c r="F68" s="24">
        <f t="shared" ref="F68:F84" si="3">E68/1000</f>
        <v>41.4</v>
      </c>
      <c r="G68" s="23" t="s">
        <v>182</v>
      </c>
      <c r="H68" s="23" t="s">
        <v>417</v>
      </c>
    </row>
    <row r="69" spans="1:8" x14ac:dyDescent="0.35">
      <c r="A69" s="23" t="s">
        <v>597</v>
      </c>
      <c r="B69" s="24">
        <f>SUMIF('Raw Dec'!B:B,'TB 1224'!A69,'Raw Dec'!C:C)</f>
        <v>0</v>
      </c>
      <c r="C69" s="24">
        <f>SUMIF('Raw Dec'!B:B,'TB 1224'!A69,'Raw Dec'!D:D)</f>
        <v>3112.8</v>
      </c>
      <c r="D69" s="24">
        <f>SUMIF('Raw Dec'!B:B,'TB 1224'!A69,'Raw Dec'!E:E)</f>
        <v>0</v>
      </c>
      <c r="E69" s="24">
        <f t="shared" si="2"/>
        <v>3112.8</v>
      </c>
      <c r="F69" s="24">
        <f t="shared" si="3"/>
        <v>3.1128</v>
      </c>
      <c r="G69" s="23" t="s">
        <v>182</v>
      </c>
      <c r="H69" s="23" t="s">
        <v>417</v>
      </c>
    </row>
    <row r="70" spans="1:8" x14ac:dyDescent="0.35">
      <c r="A70" s="23" t="s">
        <v>598</v>
      </c>
      <c r="B70" s="24">
        <f>SUMIF('Raw Dec'!B:B,'TB 1224'!A70,'Raw Dec'!C:C)</f>
        <v>0</v>
      </c>
      <c r="C70" s="24">
        <f>SUMIF('Raw Dec'!B:B,'TB 1224'!A70,'Raw Dec'!D:D)</f>
        <v>151181.25</v>
      </c>
      <c r="D70" s="24">
        <f>SUMIF('Raw Dec'!B:B,'TB 1224'!A70,'Raw Dec'!E:E)</f>
        <v>0</v>
      </c>
      <c r="E70" s="24">
        <f t="shared" si="2"/>
        <v>151181.25</v>
      </c>
      <c r="F70" s="24">
        <f t="shared" si="3"/>
        <v>151.18125000000001</v>
      </c>
      <c r="G70" s="23" t="s">
        <v>182</v>
      </c>
      <c r="H70" s="23" t="s">
        <v>417</v>
      </c>
    </row>
    <row r="71" spans="1:8" x14ac:dyDescent="0.35">
      <c r="A71" s="23" t="s">
        <v>32</v>
      </c>
      <c r="B71" s="24">
        <f>SUMIF('Raw Dec'!B:B,'TB 1224'!A71,'Raw Dec'!C:C)</f>
        <v>0</v>
      </c>
      <c r="C71" s="24">
        <f>SUMIF('Raw Dec'!B:B,'TB 1224'!A71,'Raw Dec'!D:D)</f>
        <v>110000</v>
      </c>
      <c r="D71" s="24">
        <f>SUMIF('Raw Dec'!B:B,'TB 1224'!A71,'Raw Dec'!E:E)</f>
        <v>0</v>
      </c>
      <c r="E71" s="24">
        <f t="shared" si="2"/>
        <v>110000</v>
      </c>
      <c r="F71" s="24">
        <f t="shared" si="3"/>
        <v>110</v>
      </c>
      <c r="G71" s="23" t="s">
        <v>182</v>
      </c>
      <c r="H71" s="23" t="s">
        <v>32</v>
      </c>
    </row>
    <row r="72" spans="1:8" x14ac:dyDescent="0.35">
      <c r="A72" s="23" t="s">
        <v>601</v>
      </c>
      <c r="B72" s="24">
        <f>SUMIF('Raw Dec'!B:B,'TB 1224'!A72,'Raw Dec'!C:C)</f>
        <v>0</v>
      </c>
      <c r="C72" s="24">
        <f>SUMIF('Raw Dec'!B:B,'TB 1224'!A72,'Raw Dec'!D:D)</f>
        <v>9000</v>
      </c>
      <c r="D72" s="24">
        <f>SUMIF('Raw Dec'!B:B,'TB 1224'!A72,'Raw Dec'!E:E)</f>
        <v>0</v>
      </c>
      <c r="E72" s="24">
        <f t="shared" si="2"/>
        <v>9000</v>
      </c>
      <c r="F72" s="24">
        <f t="shared" si="3"/>
        <v>9</v>
      </c>
      <c r="G72" s="23" t="s">
        <v>182</v>
      </c>
      <c r="H72" s="23" t="s">
        <v>43</v>
      </c>
    </row>
    <row r="73" spans="1:8" x14ac:dyDescent="0.35">
      <c r="A73" s="23" t="s">
        <v>602</v>
      </c>
      <c r="B73" s="24">
        <f>SUMIF('Raw Dec'!B:B,'TB 1224'!A73,'Raw Dec'!C:C)</f>
        <v>0</v>
      </c>
      <c r="C73" s="24">
        <f>SUMIF('Raw Dec'!B:B,'TB 1224'!A73,'Raw Dec'!D:D)</f>
        <v>10.02</v>
      </c>
      <c r="D73" s="24">
        <f>SUMIF('Raw Dec'!B:B,'TB 1224'!A73,'Raw Dec'!E:E)</f>
        <v>2</v>
      </c>
      <c r="E73" s="24">
        <f t="shared" si="2"/>
        <v>8.02</v>
      </c>
      <c r="F73" s="24">
        <f t="shared" si="3"/>
        <v>8.0199999999999994E-3</v>
      </c>
      <c r="G73" s="23" t="s">
        <v>182</v>
      </c>
      <c r="H73" s="23" t="s">
        <v>42</v>
      </c>
    </row>
    <row r="74" spans="1:8" x14ac:dyDescent="0.35">
      <c r="A74" s="23" t="s">
        <v>603</v>
      </c>
      <c r="B74" s="24">
        <f>SUMIF('Raw Dec'!B:B,'TB 1224'!A74,'Raw Dec'!C:C)</f>
        <v>0</v>
      </c>
      <c r="C74" s="24">
        <f>SUMIF('Raw Dec'!B:B,'TB 1224'!A74,'Raw Dec'!D:D)</f>
        <v>280000</v>
      </c>
      <c r="D74" s="24">
        <f>SUMIF('Raw Dec'!B:B,'TB 1224'!A74,'Raw Dec'!E:E)</f>
        <v>0</v>
      </c>
      <c r="E74" s="24">
        <f t="shared" si="2"/>
        <v>280000</v>
      </c>
      <c r="F74" s="24">
        <f t="shared" si="3"/>
        <v>280</v>
      </c>
      <c r="G74" s="23" t="s">
        <v>182</v>
      </c>
      <c r="H74" s="23" t="s">
        <v>42</v>
      </c>
    </row>
    <row r="75" spans="1:8" x14ac:dyDescent="0.35">
      <c r="A75" s="23" t="s">
        <v>604</v>
      </c>
      <c r="B75" s="24">
        <f>SUMIF('Raw Dec'!B:B,'TB 1224'!A75,'Raw Dec'!C:C)</f>
        <v>0</v>
      </c>
      <c r="C75" s="24">
        <f>SUMIF('Raw Dec'!B:B,'TB 1224'!A75,'Raw Dec'!D:D)</f>
        <v>29628</v>
      </c>
      <c r="D75" s="24">
        <f>SUMIF('Raw Dec'!B:B,'TB 1224'!A75,'Raw Dec'!E:E)</f>
        <v>13200</v>
      </c>
      <c r="E75" s="24">
        <f t="shared" si="2"/>
        <v>16428</v>
      </c>
      <c r="F75" s="24">
        <f t="shared" si="3"/>
        <v>16.428000000000001</v>
      </c>
      <c r="G75" s="23" t="s">
        <v>182</v>
      </c>
      <c r="H75" s="23" t="s">
        <v>43</v>
      </c>
    </row>
    <row r="76" spans="1:8" x14ac:dyDescent="0.35">
      <c r="A76" s="23" t="s">
        <v>605</v>
      </c>
      <c r="B76" s="24">
        <f>SUMIF('Raw Dec'!B:B,'TB 1224'!A76,'Raw Dec'!C:C)</f>
        <v>0</v>
      </c>
      <c r="C76" s="24">
        <f>SUMIF('Raw Dec'!B:B,'TB 1224'!A76,'Raw Dec'!D:D)</f>
        <v>0.41</v>
      </c>
      <c r="D76" s="24">
        <f>SUMIF('Raw Dec'!B:B,'TB 1224'!A76,'Raw Dec'!E:E)</f>
        <v>0.88</v>
      </c>
      <c r="E76" s="24">
        <f t="shared" si="2"/>
        <v>-0.47000000000000003</v>
      </c>
      <c r="F76" s="24">
        <f t="shared" si="3"/>
        <v>-4.7000000000000004E-4</v>
      </c>
      <c r="G76" s="23" t="s">
        <v>182</v>
      </c>
      <c r="H76" s="23" t="s">
        <v>43</v>
      </c>
    </row>
    <row r="77" spans="1:8" x14ac:dyDescent="0.35">
      <c r="A77" s="23" t="s">
        <v>29</v>
      </c>
      <c r="B77" s="24">
        <f>SUMIF('Raw Dec'!B:B,'TB 1224'!A77,'Raw Dec'!C:C)</f>
        <v>0</v>
      </c>
      <c r="C77" s="24">
        <f>SUMIF('Raw Dec'!B:B,'TB 1224'!A77,'Raw Dec'!D:D)</f>
        <v>48619.46</v>
      </c>
      <c r="D77" s="24">
        <f>SUMIF('Raw Dec'!B:B,'TB 1224'!A77,'Raw Dec'!E:E)</f>
        <v>28507.23</v>
      </c>
      <c r="E77" s="24">
        <f t="shared" si="2"/>
        <v>20112.23</v>
      </c>
      <c r="F77" s="24">
        <f t="shared" si="3"/>
        <v>20.11223</v>
      </c>
      <c r="G77" s="23" t="s">
        <v>182</v>
      </c>
      <c r="H77" s="23" t="s">
        <v>29</v>
      </c>
    </row>
    <row r="78" spans="1:8" x14ac:dyDescent="0.35">
      <c r="A78" s="23" t="s">
        <v>41</v>
      </c>
      <c r="B78" s="24">
        <f>SUMIF('Raw Dec'!B:B,'TB 1224'!A78,'Raw Dec'!C:C)</f>
        <v>0</v>
      </c>
      <c r="C78" s="24">
        <f>SUMIF('Raw Dec'!B:B,'TB 1224'!A78,'Raw Dec'!D:D)</f>
        <v>40000</v>
      </c>
      <c r="D78" s="24">
        <f>SUMIF('Raw Dec'!B:B,'TB 1224'!A78,'Raw Dec'!E:E)</f>
        <v>0</v>
      </c>
      <c r="E78" s="24">
        <f t="shared" si="2"/>
        <v>40000</v>
      </c>
      <c r="F78" s="24">
        <f t="shared" si="3"/>
        <v>40</v>
      </c>
      <c r="G78" s="23" t="s">
        <v>182</v>
      </c>
      <c r="H78" s="23" t="s">
        <v>41</v>
      </c>
    </row>
    <row r="79" spans="1:8" x14ac:dyDescent="0.35">
      <c r="A79" s="23" t="s">
        <v>239</v>
      </c>
      <c r="B79" s="24">
        <f>SUMIF('Raw Dec'!B:B,'TB 1224'!A79,'Raw Dec'!C:C)</f>
        <v>0</v>
      </c>
      <c r="C79" s="24">
        <f>SUMIF('Raw Dec'!B:B,'TB 1224'!A79,'Raw Dec'!D:D)</f>
        <v>2000</v>
      </c>
      <c r="D79" s="24">
        <f>SUMIF('Raw Dec'!B:B,'TB 1224'!A79,'Raw Dec'!E:E)</f>
        <v>0</v>
      </c>
      <c r="E79" s="24">
        <f t="shared" si="2"/>
        <v>2000</v>
      </c>
      <c r="F79" s="24">
        <f t="shared" si="3"/>
        <v>2</v>
      </c>
      <c r="G79" s="23" t="s">
        <v>182</v>
      </c>
      <c r="H79" s="23" t="s">
        <v>417</v>
      </c>
    </row>
    <row r="80" spans="1:8" x14ac:dyDescent="0.35">
      <c r="A80" s="23" t="s">
        <v>607</v>
      </c>
      <c r="B80" s="24">
        <f>SUMIF('Raw Dec'!B:B,'TB 1224'!A80,'Raw Dec'!C:C)</f>
        <v>0</v>
      </c>
      <c r="C80" s="24">
        <f>SUMIF('Raw Dec'!B:B,'TB 1224'!A80,'Raw Dec'!D:D)</f>
        <v>1905191.48</v>
      </c>
      <c r="D80" s="24">
        <f>SUMIF('Raw Dec'!B:B,'TB 1224'!A80,'Raw Dec'!E:E)</f>
        <v>293083</v>
      </c>
      <c r="E80" s="24">
        <f t="shared" si="2"/>
        <v>1612108.48</v>
      </c>
      <c r="F80" s="24">
        <f t="shared" si="3"/>
        <v>1612.1084799999999</v>
      </c>
      <c r="G80" s="23" t="s">
        <v>182</v>
      </c>
      <c r="H80" s="23" t="s">
        <v>417</v>
      </c>
    </row>
    <row r="81" spans="1:8" x14ac:dyDescent="0.35">
      <c r="A81" s="23" t="s">
        <v>608</v>
      </c>
      <c r="B81" s="24">
        <f>SUMIF('Raw Dec'!B:B,'TB 1224'!A81,'Raw Dec'!C:C)</f>
        <v>0</v>
      </c>
      <c r="C81" s="24">
        <f>SUMIF('Raw Dec'!B:B,'TB 1224'!A81,'Raw Dec'!D:D)</f>
        <v>185145.21</v>
      </c>
      <c r="D81" s="24">
        <f>SUMIF('Raw Dec'!B:B,'TB 1224'!A81,'Raw Dec'!E:E)</f>
        <v>66434.41</v>
      </c>
      <c r="E81" s="24">
        <f t="shared" si="2"/>
        <v>118710.79999999999</v>
      </c>
      <c r="F81" s="24">
        <f t="shared" si="3"/>
        <v>118.71079999999999</v>
      </c>
      <c r="G81" s="23" t="s">
        <v>182</v>
      </c>
      <c r="H81" s="23" t="s">
        <v>39</v>
      </c>
    </row>
    <row r="82" spans="1:8" x14ac:dyDescent="0.35">
      <c r="A82" s="23" t="s">
        <v>609</v>
      </c>
      <c r="B82" s="24">
        <f>SUMIF('Raw Dec'!B:B,'TB 1224'!A82,'Raw Dec'!C:C)</f>
        <v>0</v>
      </c>
      <c r="C82" s="24">
        <f>SUMIF('Raw Dec'!B:B,'TB 1224'!A82,'Raw Dec'!D:D)</f>
        <v>177788</v>
      </c>
      <c r="D82" s="24">
        <f>SUMIF('Raw Dec'!B:B,'TB 1224'!A82,'Raw Dec'!E:E)</f>
        <v>20833.5</v>
      </c>
      <c r="E82" s="24">
        <f t="shared" si="2"/>
        <v>156954.5</v>
      </c>
      <c r="F82" s="24">
        <f t="shared" si="3"/>
        <v>156.9545</v>
      </c>
      <c r="G82" s="23" t="s">
        <v>182</v>
      </c>
      <c r="H82" s="23" t="s">
        <v>33</v>
      </c>
    </row>
    <row r="83" spans="1:8" x14ac:dyDescent="0.35">
      <c r="A83" s="23" t="s">
        <v>610</v>
      </c>
      <c r="B83" s="24">
        <f>SUMIF('Raw Dec'!B:B,'TB 1224'!A83,'Raw Dec'!C:C)</f>
        <v>0</v>
      </c>
      <c r="C83" s="24">
        <f>SUMIF('Raw Dec'!B:B,'TB 1224'!A83,'Raw Dec'!D:D)</f>
        <v>65400.04</v>
      </c>
      <c r="D83" s="24">
        <f>SUMIF('Raw Dec'!B:B,'TB 1224'!A83,'Raw Dec'!E:E)</f>
        <v>13380</v>
      </c>
      <c r="E83" s="24">
        <f t="shared" si="2"/>
        <v>52020.04</v>
      </c>
      <c r="F83" s="24">
        <f t="shared" si="3"/>
        <v>52.020040000000002</v>
      </c>
      <c r="G83" s="23" t="s">
        <v>182</v>
      </c>
      <c r="H83" s="23" t="s">
        <v>31</v>
      </c>
    </row>
    <row r="84" spans="1:8" x14ac:dyDescent="0.35">
      <c r="A84" s="23" t="s">
        <v>611</v>
      </c>
      <c r="B84" s="24">
        <f>SUMIF('Raw Dec'!B:B,'TB 1224'!A84,'Raw Dec'!C:C)</f>
        <v>0</v>
      </c>
      <c r="C84" s="24">
        <f>SUMIF('Raw Dec'!B:B,'TB 1224'!A84,'Raw Dec'!D:D)</f>
        <v>43333.33</v>
      </c>
      <c r="D84" s="24">
        <f>SUMIF('Raw Dec'!B:B,'TB 1224'!A84,'Raw Dec'!E:E)</f>
        <v>0</v>
      </c>
      <c r="E84" s="24">
        <f t="shared" si="2"/>
        <v>43333.33</v>
      </c>
      <c r="F84" s="24">
        <f t="shared" si="3"/>
        <v>43.333330000000004</v>
      </c>
      <c r="G84" s="23" t="s">
        <v>182</v>
      </c>
      <c r="H84" s="23" t="s">
        <v>31</v>
      </c>
    </row>
    <row r="85" spans="1:8" x14ac:dyDescent="0.35">
      <c r="A85" s="23" t="s">
        <v>295</v>
      </c>
      <c r="B85" s="24">
        <f>SUMIF('Raw Dec'!B:B,'TB 1224'!A85,'Raw Dec'!C:C)</f>
        <v>0</v>
      </c>
      <c r="C85" s="24">
        <f>SUMIF('Raw Dec'!B:B,'TB 1224'!A85,'Raw Dec'!D:D)</f>
        <v>0</v>
      </c>
      <c r="D85" s="24">
        <f>SUMIF('Raw Dec'!B:B,'TB 1224'!A85,'Raw Dec'!E:E)</f>
        <v>296104.58</v>
      </c>
      <c r="E85" s="24">
        <f t="shared" ref="E85:E90" si="4">B85+C85-D85</f>
        <v>-296104.58</v>
      </c>
      <c r="F85" s="24">
        <f t="shared" ref="F85:F90" si="5">E85/1000</f>
        <v>-296.10458</v>
      </c>
      <c r="G85" s="23" t="s">
        <v>184</v>
      </c>
      <c r="H85" s="23" t="s">
        <v>25</v>
      </c>
    </row>
    <row r="86" spans="1:8" x14ac:dyDescent="0.35">
      <c r="A86" s="23" t="s">
        <v>316</v>
      </c>
      <c r="B86" s="24">
        <f>SUMIF('Raw Dec'!B:B,'TB 1224'!A86,'Raw Dec'!C:C)</f>
        <v>0</v>
      </c>
      <c r="C86" s="24">
        <f>SUMIF('Raw Dec'!B:B,'TB 1224'!A86,'Raw Dec'!D:D)</f>
        <v>212378</v>
      </c>
      <c r="D86" s="24">
        <f>SUMIF('Raw Dec'!B:B,'TB 1224'!A86,'Raw Dec'!E:E)</f>
        <v>0</v>
      </c>
      <c r="E86" s="24">
        <f t="shared" si="4"/>
        <v>212378</v>
      </c>
      <c r="F86" s="24">
        <f t="shared" si="5"/>
        <v>212.37799999999999</v>
      </c>
      <c r="G86" s="23" t="s">
        <v>184</v>
      </c>
    </row>
    <row r="87" spans="1:8" x14ac:dyDescent="0.35">
      <c r="A87" s="23" t="s">
        <v>303</v>
      </c>
      <c r="B87" s="24">
        <f>SUMIF('Raw Dec'!B:B,'TB 1224'!A87,'Raw Dec'!C:C)</f>
        <v>0</v>
      </c>
      <c r="C87" s="24">
        <f>SUMIF('Raw Dec'!B:B,'TB 1224'!A87,'Raw Dec'!D:D)</f>
        <v>0</v>
      </c>
      <c r="D87" s="24">
        <f>SUMIF('Raw Dec'!B:B,'TB 1224'!A87,'Raw Dec'!E:E)</f>
        <v>1119159.3999999999</v>
      </c>
      <c r="E87" s="24">
        <f t="shared" si="4"/>
        <v>-1119159.3999999999</v>
      </c>
      <c r="F87" s="24">
        <f t="shared" si="5"/>
        <v>-1119.1594</v>
      </c>
      <c r="G87" s="23" t="s">
        <v>184</v>
      </c>
      <c r="H87" s="23" t="s">
        <v>25</v>
      </c>
    </row>
    <row r="88" spans="1:8" x14ac:dyDescent="0.35">
      <c r="A88" s="23" t="s">
        <v>599</v>
      </c>
      <c r="B88" s="24">
        <f>SUMIF('Raw Dec'!B:B,'TB 1224'!A88,'Raw Dec'!C:C)</f>
        <v>0</v>
      </c>
      <c r="C88" s="24">
        <f>SUMIF('Raw Dec'!B:B,'TB 1224'!A88,'Raw Dec'!D:D)</f>
        <v>20653</v>
      </c>
      <c r="D88" s="24">
        <f>SUMIF('Raw Dec'!B:B,'TB 1224'!A88,'Raw Dec'!E:E)</f>
        <v>0</v>
      </c>
      <c r="E88" s="24">
        <f t="shared" si="4"/>
        <v>20653</v>
      </c>
      <c r="F88" s="24">
        <f t="shared" si="5"/>
        <v>20.652999999999999</v>
      </c>
      <c r="G88" s="23" t="s">
        <v>182</v>
      </c>
      <c r="H88" s="23" t="s">
        <v>417</v>
      </c>
    </row>
    <row r="89" spans="1:8" x14ac:dyDescent="0.35">
      <c r="A89" s="23" t="s">
        <v>26</v>
      </c>
      <c r="B89" s="24">
        <f>SUMIF('Raw Dec'!B:B,'TB 1224'!A89,'Raw Dec'!C:C)</f>
        <v>0</v>
      </c>
      <c r="C89" s="24">
        <f>SUMIF('Raw Dec'!B:B,'TB 1224'!A89,'Raw Dec'!D:D)</f>
        <v>1160760</v>
      </c>
      <c r="D89" s="24">
        <f>SUMIF('Raw Dec'!B:B,'TB 1224'!A89,'Raw Dec'!E:E)</f>
        <v>0</v>
      </c>
      <c r="E89" s="24">
        <f t="shared" si="4"/>
        <v>1160760</v>
      </c>
      <c r="F89" s="24">
        <f t="shared" si="5"/>
        <v>1160.76</v>
      </c>
      <c r="G89" s="23" t="s">
        <v>182</v>
      </c>
      <c r="H89" s="23" t="s">
        <v>26</v>
      </c>
    </row>
    <row r="90" spans="1:8" x14ac:dyDescent="0.35">
      <c r="A90" s="23" t="s">
        <v>619</v>
      </c>
      <c r="B90" s="24">
        <f>SUMIF('Raw Dec'!B:B,'TB 1224'!A90,'Raw Dec'!C:C)</f>
        <v>0</v>
      </c>
      <c r="C90" s="24">
        <f>SUMIF('Raw Dec'!B:B,'TB 1224'!A90,'Raw Dec'!D:D)</f>
        <v>84594</v>
      </c>
      <c r="D90" s="24">
        <f>SUMIF('Raw Dec'!B:B,'TB 1224'!A90,'Raw Dec'!E:E)</f>
        <v>0</v>
      </c>
      <c r="E90" s="24">
        <f t="shared" si="4"/>
        <v>84594</v>
      </c>
      <c r="F90" s="24">
        <f t="shared" si="5"/>
        <v>84.593999999999994</v>
      </c>
      <c r="G90" s="23" t="s">
        <v>180</v>
      </c>
      <c r="H90" s="23" t="s">
        <v>61</v>
      </c>
    </row>
    <row r="94" spans="1:8" x14ac:dyDescent="0.35">
      <c r="F94" s="125"/>
    </row>
  </sheetData>
  <autoFilter ref="A2:H90" xr:uid="{00000000-0009-0000-0000-000013000000}"/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3"/>
  <sheetViews>
    <sheetView topLeftCell="B1" workbookViewId="0">
      <selection activeCell="G4" sqref="G4"/>
    </sheetView>
  </sheetViews>
  <sheetFormatPr defaultColWidth="8.81640625" defaultRowHeight="14" x14ac:dyDescent="0.3"/>
  <cols>
    <col min="1" max="1" width="48.81640625" style="152" bestFit="1" customWidth="1"/>
    <col min="2" max="2" width="43.453125" style="152" bestFit="1" customWidth="1"/>
    <col min="3" max="6" width="15.453125" style="152" customWidth="1"/>
    <col min="7" max="7" width="43.453125" style="152" bestFit="1" customWidth="1"/>
    <col min="8" max="16384" width="8.81640625" style="152"/>
  </cols>
  <sheetData>
    <row r="1" spans="1:7" x14ac:dyDescent="0.3">
      <c r="A1" s="150" t="s">
        <v>464</v>
      </c>
      <c r="B1" s="150"/>
      <c r="C1" s="151" t="s">
        <v>498</v>
      </c>
      <c r="D1" s="151" t="s">
        <v>465</v>
      </c>
      <c r="E1" s="151" t="s">
        <v>466</v>
      </c>
      <c r="F1" s="151" t="s">
        <v>499</v>
      </c>
      <c r="G1" s="150" t="s">
        <v>433</v>
      </c>
    </row>
    <row r="3" spans="1:7" x14ac:dyDescent="0.3">
      <c r="A3" s="153" t="s">
        <v>70</v>
      </c>
      <c r="B3" s="154"/>
      <c r="C3" s="152" t="s">
        <v>85</v>
      </c>
      <c r="D3" s="152" t="s">
        <v>85</v>
      </c>
      <c r="E3" s="152" t="s">
        <v>85</v>
      </c>
      <c r="F3" s="152" t="s">
        <v>85</v>
      </c>
    </row>
    <row r="4" spans="1:7" x14ac:dyDescent="0.3">
      <c r="A4" s="153" t="s">
        <v>500</v>
      </c>
      <c r="B4" s="153" t="str">
        <f>TRIM(A4)</f>
        <v>Accounts Receivable</v>
      </c>
      <c r="C4" s="155">
        <v>42380.04</v>
      </c>
      <c r="D4" s="155">
        <v>1295993.18</v>
      </c>
      <c r="E4" s="155">
        <v>118386</v>
      </c>
      <c r="F4" s="155">
        <v>1219987.22</v>
      </c>
      <c r="G4" s="152" t="str">
        <f>VLOOKUP(B4,'TB 1224'!A:A,1,0)</f>
        <v>Accounts Receivable</v>
      </c>
    </row>
    <row r="5" spans="1:7" x14ac:dyDescent="0.3">
      <c r="A5" s="153" t="s">
        <v>501</v>
      </c>
      <c r="B5" s="153" t="str">
        <f t="shared" ref="B5:B15" si="0">TRIM(A5)</f>
        <v>Accrued Interest</v>
      </c>
      <c r="C5" s="155">
        <v>52068</v>
      </c>
      <c r="D5" s="155">
        <v>201390.41</v>
      </c>
      <c r="E5" s="155">
        <v>52068</v>
      </c>
      <c r="F5" s="155">
        <v>201390.41</v>
      </c>
      <c r="G5" s="152" t="str">
        <f>VLOOKUP(B5,'TB 1224'!A:A,1,0)</f>
        <v>Accrued Interest</v>
      </c>
    </row>
    <row r="6" spans="1:7" x14ac:dyDescent="0.3">
      <c r="A6" s="153" t="s">
        <v>502</v>
      </c>
      <c r="B6" s="153" t="str">
        <f t="shared" si="0"/>
        <v>Accumulated Amortization on Intangible Asset</v>
      </c>
      <c r="C6" s="155">
        <v>-66922</v>
      </c>
      <c r="D6" s="155">
        <v>0</v>
      </c>
      <c r="E6" s="155">
        <v>12810</v>
      </c>
      <c r="F6" s="155">
        <v>-79732</v>
      </c>
      <c r="G6" s="152" t="str">
        <f>VLOOKUP(B6,'TB 1224'!A:A,1,0)</f>
        <v>Accumulated Amortization on Intangible Asset</v>
      </c>
    </row>
    <row r="7" spans="1:7" x14ac:dyDescent="0.3">
      <c r="A7" s="153" t="s">
        <v>503</v>
      </c>
      <c r="B7" s="153" t="str">
        <f t="shared" si="0"/>
        <v>Accumulated Depreciation on Computer and Laptops</v>
      </c>
      <c r="C7" s="155">
        <v>-230019</v>
      </c>
      <c r="D7" s="155">
        <v>0</v>
      </c>
      <c r="E7" s="155">
        <v>51654</v>
      </c>
      <c r="F7" s="155">
        <v>-281673</v>
      </c>
      <c r="G7" s="152" t="str">
        <f>VLOOKUP(B7,'TB 1224'!A:A,1,0)</f>
        <v>Accumulated Depreciation on Computer and Laptops</v>
      </c>
    </row>
    <row r="8" spans="1:7" x14ac:dyDescent="0.3">
      <c r="A8" s="153" t="s">
        <v>504</v>
      </c>
      <c r="B8" s="153" t="str">
        <f t="shared" si="0"/>
        <v>Accumulated Depreciation on Office Equipment</v>
      </c>
      <c r="C8" s="155">
        <v>-13321</v>
      </c>
      <c r="D8" s="155">
        <v>0</v>
      </c>
      <c r="E8" s="155">
        <v>2098</v>
      </c>
      <c r="F8" s="155">
        <v>-15419</v>
      </c>
      <c r="G8" s="152" t="str">
        <f>VLOOKUP(B8,'TB 1224'!A:A,1,0)</f>
        <v>Accumulated Depreciation on Office Equipment</v>
      </c>
    </row>
    <row r="9" spans="1:7" x14ac:dyDescent="0.3">
      <c r="A9" s="153" t="s">
        <v>505</v>
      </c>
      <c r="B9" s="153" t="str">
        <f t="shared" si="0"/>
        <v>Amazon Wallet</v>
      </c>
      <c r="C9" s="155">
        <v>305.98</v>
      </c>
      <c r="D9" s="155">
        <v>0</v>
      </c>
      <c r="E9" s="155">
        <v>0</v>
      </c>
      <c r="F9" s="155">
        <v>305.98</v>
      </c>
      <c r="G9" s="152" t="str">
        <f>VLOOKUP(B9,'TB 1224'!A:A,1,0)</f>
        <v>Amazon Wallet</v>
      </c>
    </row>
    <row r="10" spans="1:7" x14ac:dyDescent="0.3">
      <c r="A10" s="153" t="s">
        <v>506</v>
      </c>
      <c r="B10" s="153" t="str">
        <f t="shared" si="0"/>
        <v>Axis Bank 1655</v>
      </c>
      <c r="C10" s="155">
        <v>13108.34</v>
      </c>
      <c r="D10" s="155">
        <v>0</v>
      </c>
      <c r="E10" s="155">
        <v>118</v>
      </c>
      <c r="F10" s="155">
        <v>12990.34</v>
      </c>
      <c r="G10" s="152" t="str">
        <f>VLOOKUP(B10,'TB 1224'!A:A,1,0)</f>
        <v>Axis Bank 1655</v>
      </c>
    </row>
    <row r="11" spans="1:7" x14ac:dyDescent="0.3">
      <c r="A11" s="153" t="s">
        <v>507</v>
      </c>
      <c r="B11" s="153" t="str">
        <f t="shared" si="0"/>
        <v>Computer and Laptops</v>
      </c>
      <c r="C11" s="155">
        <v>941661.02</v>
      </c>
      <c r="D11" s="155">
        <v>39737.29</v>
      </c>
      <c r="E11" s="155">
        <v>0</v>
      </c>
      <c r="F11" s="155">
        <v>981398.31</v>
      </c>
      <c r="G11" s="152" t="str">
        <f>VLOOKUP(B11,'TB 1224'!A:A,1,0)</f>
        <v>Computer and Laptops</v>
      </c>
    </row>
    <row r="12" spans="1:7" x14ac:dyDescent="0.3">
      <c r="A12" s="153" t="s">
        <v>508</v>
      </c>
      <c r="B12" s="153" t="str">
        <f t="shared" si="0"/>
        <v>Input Tax Credits</v>
      </c>
      <c r="C12" s="155">
        <v>0</v>
      </c>
      <c r="D12" s="155">
        <v>0</v>
      </c>
      <c r="E12" s="155">
        <v>0</v>
      </c>
      <c r="F12" s="155">
        <v>0</v>
      </c>
    </row>
    <row r="13" spans="1:7" x14ac:dyDescent="0.3">
      <c r="A13" s="153" t="s">
        <v>509</v>
      </c>
      <c r="B13" s="153" t="str">
        <f t="shared" si="0"/>
        <v>Input CGST</v>
      </c>
      <c r="C13" s="155">
        <v>513552.92</v>
      </c>
      <c r="D13" s="155">
        <v>55615.040000000001</v>
      </c>
      <c r="E13" s="155">
        <v>0</v>
      </c>
      <c r="F13" s="155">
        <v>569167.96</v>
      </c>
      <c r="G13" s="152" t="str">
        <f>VLOOKUP(B13,'TB 1224'!A:A,1,0)</f>
        <v>Input CGST</v>
      </c>
    </row>
    <row r="14" spans="1:7" x14ac:dyDescent="0.3">
      <c r="A14" s="153" t="s">
        <v>510</v>
      </c>
      <c r="B14" s="153" t="str">
        <f t="shared" si="0"/>
        <v>Input IGST</v>
      </c>
      <c r="C14" s="155">
        <v>92844.91</v>
      </c>
      <c r="D14" s="155">
        <v>69391.679999999993</v>
      </c>
      <c r="E14" s="155">
        <v>45489.3</v>
      </c>
      <c r="F14" s="155">
        <v>116747.29</v>
      </c>
      <c r="G14" s="152" t="str">
        <f>VLOOKUP(B14,'TB 1224'!A:A,1,0)</f>
        <v>Input IGST</v>
      </c>
    </row>
    <row r="15" spans="1:7" x14ac:dyDescent="0.3">
      <c r="A15" s="153" t="s">
        <v>511</v>
      </c>
      <c r="B15" s="153" t="str">
        <f t="shared" si="0"/>
        <v>Input SGST</v>
      </c>
      <c r="C15" s="155">
        <v>513552.94</v>
      </c>
      <c r="D15" s="155">
        <v>55615.040000000001</v>
      </c>
      <c r="E15" s="155">
        <v>0</v>
      </c>
      <c r="F15" s="155">
        <v>569167.98</v>
      </c>
      <c r="G15" s="152" t="str">
        <f>VLOOKUP(B15,'TB 1224'!A:A,1,0)</f>
        <v>Input SGST</v>
      </c>
    </row>
    <row r="16" spans="1:7" ht="15.5" x14ac:dyDescent="0.35">
      <c r="A16" s="156" t="s">
        <v>512</v>
      </c>
      <c r="B16" s="156"/>
      <c r="C16" s="118">
        <v>1119950.77</v>
      </c>
      <c r="D16" s="118">
        <v>180621.76</v>
      </c>
      <c r="E16" s="118">
        <v>45489.3</v>
      </c>
      <c r="F16" s="118">
        <v>1255083.23</v>
      </c>
    </row>
    <row r="17" spans="1:7" x14ac:dyDescent="0.3">
      <c r="C17" s="157"/>
      <c r="D17" s="157"/>
      <c r="E17" s="157"/>
      <c r="F17" s="157"/>
    </row>
    <row r="18" spans="1:7" x14ac:dyDescent="0.3">
      <c r="A18" s="153" t="s">
        <v>513</v>
      </c>
      <c r="B18" s="153" t="str">
        <f t="shared" ref="B18:B27" si="1">TRIM(A18)</f>
        <v>Intangible Asset</v>
      </c>
      <c r="C18" s="155">
        <v>1537167.67</v>
      </c>
      <c r="D18" s="155">
        <v>0</v>
      </c>
      <c r="E18" s="155">
        <v>0</v>
      </c>
      <c r="F18" s="155">
        <v>1537167.67</v>
      </c>
      <c r="G18" s="152" t="str">
        <f>VLOOKUP(B18,'TB 1224'!A:A,1,0)</f>
        <v>Intangible Asset</v>
      </c>
    </row>
    <row r="19" spans="1:7" x14ac:dyDescent="0.3">
      <c r="A19" s="153" t="s">
        <v>514</v>
      </c>
      <c r="B19" s="153" t="str">
        <f t="shared" si="1"/>
        <v>Investments</v>
      </c>
      <c r="C19" s="155">
        <v>0</v>
      </c>
      <c r="D19" s="155">
        <v>0</v>
      </c>
      <c r="E19" s="155">
        <v>0</v>
      </c>
      <c r="F19" s="155">
        <v>0</v>
      </c>
    </row>
    <row r="20" spans="1:7" x14ac:dyDescent="0.3">
      <c r="A20" s="153" t="s">
        <v>517</v>
      </c>
      <c r="B20" s="153" t="str">
        <f t="shared" si="1"/>
        <v>Fixed Deposit 9349736649</v>
      </c>
      <c r="C20" s="155">
        <v>38000000</v>
      </c>
      <c r="D20" s="155">
        <v>0</v>
      </c>
      <c r="E20" s="155">
        <v>0</v>
      </c>
      <c r="F20" s="155">
        <v>38000000</v>
      </c>
      <c r="G20" s="152" t="str">
        <f>VLOOKUP(B20,'TB 1224'!A:A,1,0)</f>
        <v>Fixed Deposit 9349736649</v>
      </c>
    </row>
    <row r="21" spans="1:7" x14ac:dyDescent="0.3">
      <c r="A21" s="153" t="s">
        <v>518</v>
      </c>
      <c r="B21" s="153" t="str">
        <f t="shared" si="1"/>
        <v>Fixed Deposit 9349736656</v>
      </c>
      <c r="C21" s="155">
        <v>2000000</v>
      </c>
      <c r="D21" s="155">
        <v>0</v>
      </c>
      <c r="E21" s="155">
        <v>2000000</v>
      </c>
      <c r="F21" s="155">
        <v>0</v>
      </c>
      <c r="G21" s="152" t="str">
        <f>VLOOKUP(B21,'TB 1224'!A:A,1,0)</f>
        <v>Fixed Deposit 9349736656</v>
      </c>
    </row>
    <row r="22" spans="1:7" x14ac:dyDescent="0.3">
      <c r="A22" s="153" t="s">
        <v>627</v>
      </c>
      <c r="B22" s="153" t="str">
        <f t="shared" si="1"/>
        <v>Fixed Deposit 9349746617</v>
      </c>
      <c r="C22" s="155">
        <v>0</v>
      </c>
      <c r="D22" s="155">
        <v>2000000</v>
      </c>
      <c r="E22" s="155">
        <v>2000000</v>
      </c>
      <c r="F22" s="155">
        <v>0</v>
      </c>
      <c r="G22" s="152" t="str">
        <f>VLOOKUP(B22,'TB 1224'!A:A,1,0)</f>
        <v>Fixed Deposit 9349746617</v>
      </c>
    </row>
    <row r="23" spans="1:7" x14ac:dyDescent="0.3">
      <c r="A23" s="153" t="s">
        <v>628</v>
      </c>
      <c r="B23" s="153" t="str">
        <f t="shared" si="1"/>
        <v>Fixed Deposit 9349759488</v>
      </c>
      <c r="C23" s="155">
        <v>0</v>
      </c>
      <c r="D23" s="155">
        <v>2000000</v>
      </c>
      <c r="E23" s="155">
        <v>2000000</v>
      </c>
      <c r="F23" s="155">
        <v>0</v>
      </c>
      <c r="G23" s="152" t="str">
        <f>VLOOKUP(B23,'TB 1224'!A:A,1,0)</f>
        <v>Fixed Deposit 9349759488</v>
      </c>
    </row>
    <row r="24" spans="1:7" x14ac:dyDescent="0.3">
      <c r="A24" s="153" t="s">
        <v>629</v>
      </c>
      <c r="B24" s="153" t="str">
        <f t="shared" si="1"/>
        <v>Fixed Deposit 9349770858</v>
      </c>
      <c r="C24" s="155">
        <v>0</v>
      </c>
      <c r="D24" s="155">
        <v>6000000</v>
      </c>
      <c r="E24" s="155">
        <v>0</v>
      </c>
      <c r="F24" s="155">
        <v>6000000</v>
      </c>
      <c r="G24" s="152" t="str">
        <f>VLOOKUP(B24,'TB 1224'!A:A,1,0)</f>
        <v>Fixed Deposit 9349770858</v>
      </c>
    </row>
    <row r="25" spans="1:7" x14ac:dyDescent="0.3">
      <c r="A25" s="153" t="s">
        <v>630</v>
      </c>
      <c r="B25" s="153" t="str">
        <f t="shared" si="1"/>
        <v>Fixed Deposit 9349770889</v>
      </c>
      <c r="C25" s="155">
        <v>0</v>
      </c>
      <c r="D25" s="155">
        <v>2000000</v>
      </c>
      <c r="E25" s="155">
        <v>0</v>
      </c>
      <c r="F25" s="155">
        <v>2000000</v>
      </c>
      <c r="G25" s="152" t="str">
        <f>VLOOKUP(B25,'TB 1224'!A:A,1,0)</f>
        <v>Fixed Deposit 9349770889</v>
      </c>
    </row>
    <row r="26" spans="1:7" x14ac:dyDescent="0.3">
      <c r="A26" s="153" t="s">
        <v>631</v>
      </c>
      <c r="B26" s="153" t="str">
        <f t="shared" si="1"/>
        <v>Fixed Deposit 9349775761</v>
      </c>
      <c r="C26" s="155">
        <v>0</v>
      </c>
      <c r="D26" s="155">
        <v>1000000</v>
      </c>
      <c r="E26" s="155">
        <v>0</v>
      </c>
      <c r="F26" s="155">
        <v>1000000</v>
      </c>
      <c r="G26" s="152" t="str">
        <f>VLOOKUP(B26,'TB 1224'!A:A,1,0)</f>
        <v>Fixed Deposit 9349775761</v>
      </c>
    </row>
    <row r="27" spans="1:7" x14ac:dyDescent="0.3">
      <c r="A27" s="153" t="s">
        <v>520</v>
      </c>
      <c r="B27" s="153" t="str">
        <f t="shared" si="1"/>
        <v>Fixed deposits 9349669329</v>
      </c>
      <c r="C27" s="155">
        <v>10000000</v>
      </c>
      <c r="D27" s="155">
        <v>0</v>
      </c>
      <c r="E27" s="155">
        <v>10000000</v>
      </c>
      <c r="F27" s="155">
        <v>0</v>
      </c>
      <c r="G27" s="152" t="str">
        <f>VLOOKUP(B27,'TB 1224'!A:A,1,0)</f>
        <v>Fixed deposits 9349669329</v>
      </c>
    </row>
    <row r="28" spans="1:7" ht="15.5" x14ac:dyDescent="0.35">
      <c r="A28" s="156" t="s">
        <v>521</v>
      </c>
      <c r="B28" s="156"/>
      <c r="C28" s="118">
        <v>50000000</v>
      </c>
      <c r="D28" s="118">
        <v>13000000</v>
      </c>
      <c r="E28" s="118">
        <v>16000000</v>
      </c>
      <c r="F28" s="118">
        <v>47000000</v>
      </c>
    </row>
    <row r="29" spans="1:7" x14ac:dyDescent="0.3">
      <c r="C29" s="157"/>
      <c r="D29" s="157"/>
      <c r="E29" s="157"/>
      <c r="F29" s="157"/>
    </row>
    <row r="30" spans="1:7" x14ac:dyDescent="0.3">
      <c r="A30" s="153" t="s">
        <v>522</v>
      </c>
      <c r="B30" s="153" t="str">
        <f t="shared" ref="B30:B47" si="2">TRIM(A30)</f>
        <v>Kotak Mahindra Bank 9942</v>
      </c>
      <c r="C30" s="155">
        <v>842826.2</v>
      </c>
      <c r="D30" s="155">
        <v>16093160</v>
      </c>
      <c r="E30" s="155">
        <v>15500000</v>
      </c>
      <c r="F30" s="155">
        <v>1435986.2</v>
      </c>
      <c r="G30" s="152" t="str">
        <f>VLOOKUP(B30,'TB 1224'!A:A,1,0)</f>
        <v>Kotak Mahindra Bank 9942</v>
      </c>
    </row>
    <row r="31" spans="1:7" x14ac:dyDescent="0.3">
      <c r="A31" s="153" t="s">
        <v>523</v>
      </c>
      <c r="B31" s="153" t="str">
        <f t="shared" si="2"/>
        <v>Kotak Mahindra Bank 9966</v>
      </c>
      <c r="C31" s="155">
        <v>1084061.67</v>
      </c>
      <c r="D31" s="155">
        <v>3858282.22</v>
      </c>
      <c r="E31" s="155">
        <v>4779608.28</v>
      </c>
      <c r="F31" s="155">
        <v>162735.60999999999</v>
      </c>
      <c r="G31" s="152" t="str">
        <f>VLOOKUP(B31,'TB 1224'!A:A,1,0)</f>
        <v>Kotak Mahindra Bank 9966</v>
      </c>
    </row>
    <row r="32" spans="1:7" x14ac:dyDescent="0.3">
      <c r="A32" s="153" t="s">
        <v>524</v>
      </c>
      <c r="B32" s="153" t="str">
        <f t="shared" si="2"/>
        <v>Office Equipment</v>
      </c>
      <c r="C32" s="155">
        <v>55864.5</v>
      </c>
      <c r="D32" s="155">
        <v>0</v>
      </c>
      <c r="E32" s="155">
        <v>0</v>
      </c>
      <c r="F32" s="155">
        <v>55864.5</v>
      </c>
      <c r="G32" s="152" t="str">
        <f>VLOOKUP(B32,'TB 1224'!A:A,1,0)</f>
        <v>Office Equipment</v>
      </c>
    </row>
    <row r="33" spans="1:7" x14ac:dyDescent="0.3">
      <c r="A33" s="153" t="s">
        <v>526</v>
      </c>
      <c r="B33" s="153" t="str">
        <f t="shared" si="2"/>
        <v>Prepaid Expense - Asset</v>
      </c>
      <c r="C33" s="155">
        <v>48919.85</v>
      </c>
      <c r="D33" s="155">
        <v>59500.17</v>
      </c>
      <c r="E33" s="155">
        <v>16625.43</v>
      </c>
      <c r="F33" s="155">
        <v>91794.59</v>
      </c>
      <c r="G33" s="152" t="str">
        <f>VLOOKUP(B33,'TB 1224'!A:A,1,0)</f>
        <v>Prepaid Expense - Asset</v>
      </c>
    </row>
    <row r="34" spans="1:7" x14ac:dyDescent="0.3">
      <c r="A34" s="153" t="s">
        <v>527</v>
      </c>
      <c r="B34" s="153" t="str">
        <f t="shared" si="2"/>
        <v>Prepaid Expenses</v>
      </c>
      <c r="C34" s="155">
        <v>17362.18</v>
      </c>
      <c r="D34" s="155">
        <v>241466.58</v>
      </c>
      <c r="E34" s="155">
        <v>231911.64</v>
      </c>
      <c r="F34" s="155">
        <v>26917.119999999999</v>
      </c>
      <c r="G34" s="152" t="str">
        <f>VLOOKUP(B34,'TB 1224'!A:A,1,0)</f>
        <v>Prepaid Expenses</v>
      </c>
    </row>
    <row r="35" spans="1:7" x14ac:dyDescent="0.3">
      <c r="A35" s="153" t="s">
        <v>528</v>
      </c>
      <c r="B35" s="153" t="str">
        <f t="shared" si="2"/>
        <v>Receipt from Customers</v>
      </c>
      <c r="C35" s="155">
        <v>0</v>
      </c>
      <c r="D35" s="155">
        <v>105392</v>
      </c>
      <c r="E35" s="155">
        <v>1272196.24</v>
      </c>
      <c r="F35" s="155">
        <v>-1166804.24</v>
      </c>
      <c r="G35" s="152" t="str">
        <f>VLOOKUP(B35,'TB 1224'!A:A,1,0)</f>
        <v>Receipt from Customers</v>
      </c>
    </row>
    <row r="36" spans="1:7" x14ac:dyDescent="0.3">
      <c r="A36" s="153" t="s">
        <v>529</v>
      </c>
      <c r="B36" s="153" t="str">
        <f t="shared" si="2"/>
        <v>Reverse Charge Tax Input but not due</v>
      </c>
      <c r="C36" s="155">
        <v>263075.15999999997</v>
      </c>
      <c r="D36" s="155">
        <v>12607.8</v>
      </c>
      <c r="E36" s="155">
        <v>0</v>
      </c>
      <c r="F36" s="155">
        <v>275682.96000000002</v>
      </c>
      <c r="G36" s="152" t="str">
        <f>VLOOKUP(B36,'TB 1224'!A:A,1,0)</f>
        <v>Reverse Charge Tax Input but not due</v>
      </c>
    </row>
    <row r="37" spans="1:7" x14ac:dyDescent="0.3">
      <c r="A37" s="153" t="s">
        <v>530</v>
      </c>
      <c r="B37" s="153" t="str">
        <f t="shared" si="2"/>
        <v>Security Deposit</v>
      </c>
      <c r="C37" s="155">
        <v>960000</v>
      </c>
      <c r="D37" s="155">
        <v>120000</v>
      </c>
      <c r="E37" s="155">
        <v>0</v>
      </c>
      <c r="F37" s="155">
        <v>1080000</v>
      </c>
      <c r="G37" s="152" t="str">
        <f>VLOOKUP(B37,'TB 1224'!A:A,1,0)</f>
        <v>Security Deposit</v>
      </c>
    </row>
    <row r="38" spans="1:7" x14ac:dyDescent="0.3">
      <c r="A38" s="153" t="s">
        <v>531</v>
      </c>
      <c r="B38" s="153" t="str">
        <f t="shared" si="2"/>
        <v>TDS Receivable</v>
      </c>
      <c r="C38" s="155">
        <v>116633</v>
      </c>
      <c r="D38" s="155">
        <v>0</v>
      </c>
      <c r="E38" s="155">
        <v>0</v>
      </c>
      <c r="F38" s="155">
        <v>116633</v>
      </c>
      <c r="G38" s="152" t="str">
        <f>VLOOKUP(B38,'TB 1224'!A:A,1,0)</f>
        <v>TDS Receivable</v>
      </c>
    </row>
    <row r="39" spans="1:7" x14ac:dyDescent="0.3">
      <c r="A39" s="153" t="s">
        <v>532</v>
      </c>
      <c r="B39" s="154"/>
      <c r="C39" s="158" t="s">
        <v>85</v>
      </c>
      <c r="D39" s="158" t="s">
        <v>85</v>
      </c>
      <c r="E39" s="158" t="s">
        <v>85</v>
      </c>
      <c r="F39" s="158" t="s">
        <v>85</v>
      </c>
    </row>
    <row r="40" spans="1:7" x14ac:dyDescent="0.3">
      <c r="A40" s="153" t="s">
        <v>533</v>
      </c>
      <c r="B40" s="153" t="str">
        <f t="shared" si="2"/>
        <v>Accounts Payable</v>
      </c>
      <c r="C40" s="155">
        <v>-982548.89</v>
      </c>
      <c r="D40" s="155">
        <v>4196978.03</v>
      </c>
      <c r="E40" s="155">
        <v>4636008.08</v>
      </c>
      <c r="F40" s="155">
        <v>-1421578.94</v>
      </c>
      <c r="G40" s="152" t="str">
        <f>VLOOKUP(B40,'TB 1224'!A:A,1,0)</f>
        <v>Accounts Payable</v>
      </c>
    </row>
    <row r="41" spans="1:7" x14ac:dyDescent="0.3">
      <c r="A41" s="153" t="s">
        <v>534</v>
      </c>
      <c r="B41" s="153" t="str">
        <f t="shared" si="2"/>
        <v>App Wallet</v>
      </c>
      <c r="C41" s="155">
        <v>-87552.27</v>
      </c>
      <c r="D41" s="155">
        <v>51649</v>
      </c>
      <c r="E41" s="155">
        <v>105392</v>
      </c>
      <c r="F41" s="155">
        <v>-141295.26999999999</v>
      </c>
      <c r="G41" s="152" t="str">
        <f>VLOOKUP(B41,'TB 1224'!A:A,1,0)</f>
        <v>App Wallet</v>
      </c>
    </row>
    <row r="42" spans="1:7" x14ac:dyDescent="0.3">
      <c r="A42" s="153" t="s">
        <v>535</v>
      </c>
      <c r="B42" s="153" t="str">
        <f t="shared" si="2"/>
        <v>Employee Reimbursements</v>
      </c>
      <c r="C42" s="155">
        <v>0</v>
      </c>
      <c r="D42" s="155">
        <v>0</v>
      </c>
      <c r="E42" s="155">
        <v>36208</v>
      </c>
      <c r="F42" s="155">
        <v>-36208</v>
      </c>
      <c r="G42" s="152" t="str">
        <f>VLOOKUP(B42,'TB 1224'!A:A,1,0)</f>
        <v>Employee Reimbursements</v>
      </c>
    </row>
    <row r="43" spans="1:7" x14ac:dyDescent="0.3">
      <c r="A43" s="153" t="s">
        <v>621</v>
      </c>
      <c r="B43" s="153" t="str">
        <f t="shared" si="2"/>
        <v>Employee Salaries Payable</v>
      </c>
      <c r="C43" s="155">
        <v>-176200</v>
      </c>
      <c r="D43" s="155">
        <v>176200</v>
      </c>
      <c r="E43" s="155">
        <v>0</v>
      </c>
      <c r="F43" s="155">
        <v>0</v>
      </c>
      <c r="G43" s="152" t="str">
        <f>VLOOKUP(B43,'TB 1224'!A:A,1,0)</f>
        <v>Employee Salaries Payable</v>
      </c>
    </row>
    <row r="44" spans="1:7" x14ac:dyDescent="0.3">
      <c r="A44" s="153" t="s">
        <v>536</v>
      </c>
      <c r="B44" s="153" t="str">
        <f t="shared" si="2"/>
        <v>GST Payable</v>
      </c>
      <c r="C44" s="155">
        <v>0</v>
      </c>
      <c r="D44" s="155">
        <v>0</v>
      </c>
      <c r="E44" s="155">
        <v>0</v>
      </c>
      <c r="F44" s="155">
        <v>0</v>
      </c>
    </row>
    <row r="45" spans="1:7" x14ac:dyDescent="0.3">
      <c r="A45" s="153" t="s">
        <v>537</v>
      </c>
      <c r="B45" s="153" t="str">
        <f t="shared" si="2"/>
        <v>Output CGST</v>
      </c>
      <c r="C45" s="155">
        <v>-47712.58</v>
      </c>
      <c r="D45" s="155">
        <v>43043</v>
      </c>
      <c r="E45" s="155">
        <v>50453.599999999999</v>
      </c>
      <c r="F45" s="155">
        <v>-55123.18</v>
      </c>
      <c r="G45" s="152" t="str">
        <f>VLOOKUP(B45,'TB 1224'!A:A,1,0)</f>
        <v>Output CGST</v>
      </c>
    </row>
    <row r="46" spans="1:7" x14ac:dyDescent="0.3">
      <c r="A46" s="153" t="s">
        <v>538</v>
      </c>
      <c r="B46" s="153" t="str">
        <f t="shared" si="2"/>
        <v>Output IGST</v>
      </c>
      <c r="C46" s="155">
        <v>-8602.16</v>
      </c>
      <c r="D46" s="155">
        <v>8602</v>
      </c>
      <c r="E46" s="155">
        <v>4807.8</v>
      </c>
      <c r="F46" s="155">
        <v>-4807.96</v>
      </c>
      <c r="G46" s="152" t="str">
        <f>VLOOKUP(B46,'TB 1224'!A:A,1,0)</f>
        <v>Output IGST</v>
      </c>
    </row>
    <row r="47" spans="1:7" x14ac:dyDescent="0.3">
      <c r="A47" s="153" t="s">
        <v>539</v>
      </c>
      <c r="B47" s="153" t="str">
        <f t="shared" si="2"/>
        <v>Output SGST</v>
      </c>
      <c r="C47" s="155">
        <v>-47712.58</v>
      </c>
      <c r="D47" s="155">
        <v>43043</v>
      </c>
      <c r="E47" s="155">
        <v>50453.599999999999</v>
      </c>
      <c r="F47" s="155">
        <v>-55123.18</v>
      </c>
      <c r="G47" s="152" t="str">
        <f>VLOOKUP(B47,'TB 1224'!A:A,1,0)</f>
        <v>Output SGST</v>
      </c>
    </row>
    <row r="48" spans="1:7" ht="15.5" x14ac:dyDescent="0.35">
      <c r="A48" s="156" t="s">
        <v>540</v>
      </c>
      <c r="B48" s="156"/>
      <c r="C48" s="118">
        <v>-104027.32</v>
      </c>
      <c r="D48" s="118">
        <v>94688</v>
      </c>
      <c r="E48" s="118">
        <v>105715</v>
      </c>
      <c r="F48" s="118">
        <v>-115054.32</v>
      </c>
    </row>
    <row r="49" spans="1:7" x14ac:dyDescent="0.3">
      <c r="C49" s="157"/>
      <c r="D49" s="157"/>
      <c r="E49" s="157"/>
      <c r="F49" s="157"/>
    </row>
    <row r="50" spans="1:7" x14ac:dyDescent="0.3">
      <c r="A50" s="153" t="s">
        <v>632</v>
      </c>
      <c r="B50" s="153" t="str">
        <f>TRIM(A50)</f>
        <v>Labour Welfare Fund</v>
      </c>
      <c r="C50" s="155">
        <v>0</v>
      </c>
      <c r="D50" s="155">
        <v>0</v>
      </c>
      <c r="E50" s="155">
        <v>575</v>
      </c>
      <c r="F50" s="155">
        <v>-575</v>
      </c>
      <c r="G50" s="152" t="str">
        <f>VLOOKUP(B50,'TB 1224'!A:A,1,0)</f>
        <v>Labour Welfare Fund</v>
      </c>
    </row>
    <row r="51" spans="1:7" x14ac:dyDescent="0.3">
      <c r="A51" s="153" t="s">
        <v>541</v>
      </c>
      <c r="B51" s="153" t="str">
        <f>TRIM(A51)</f>
        <v>Professional Tax</v>
      </c>
      <c r="C51" s="155">
        <v>-4175</v>
      </c>
      <c r="D51" s="155">
        <v>4175</v>
      </c>
      <c r="E51" s="155">
        <v>4200</v>
      </c>
      <c r="F51" s="155">
        <v>-4200</v>
      </c>
      <c r="G51" s="152" t="str">
        <f>VLOOKUP(B51,'TB 1224'!A:A,1,0)</f>
        <v>Professional Tax</v>
      </c>
    </row>
    <row r="52" spans="1:7" x14ac:dyDescent="0.3">
      <c r="A52" s="153" t="s">
        <v>542</v>
      </c>
      <c r="B52" s="153" t="str">
        <f>TRIM(A52)</f>
        <v>Provident Fund</v>
      </c>
      <c r="C52" s="155">
        <v>0</v>
      </c>
      <c r="D52" s="155">
        <v>0</v>
      </c>
      <c r="E52" s="155">
        <v>0</v>
      </c>
      <c r="F52" s="155">
        <v>0</v>
      </c>
    </row>
    <row r="53" spans="1:7" x14ac:dyDescent="0.3">
      <c r="A53" s="153" t="s">
        <v>543</v>
      </c>
      <c r="B53" s="153" t="str">
        <f>TRIM(A53)</f>
        <v>Provident Fund - Employee</v>
      </c>
      <c r="C53" s="155">
        <v>-37204</v>
      </c>
      <c r="D53" s="155">
        <v>37204</v>
      </c>
      <c r="E53" s="155">
        <v>41400</v>
      </c>
      <c r="F53" s="155">
        <v>-41400</v>
      </c>
      <c r="G53" s="152" t="str">
        <f>VLOOKUP(B53,'TB 1224'!A:A,1,0)</f>
        <v>Provident Fund - Employee</v>
      </c>
    </row>
    <row r="54" spans="1:7" x14ac:dyDescent="0.3">
      <c r="A54" s="153" t="s">
        <v>544</v>
      </c>
      <c r="B54" s="153" t="str">
        <f>TRIM(A54)</f>
        <v>Provident Fund - Employer</v>
      </c>
      <c r="C54" s="155">
        <v>-37204</v>
      </c>
      <c r="D54" s="155">
        <v>37204</v>
      </c>
      <c r="E54" s="155">
        <v>41400</v>
      </c>
      <c r="F54" s="155">
        <v>-41400</v>
      </c>
      <c r="G54" s="152" t="str">
        <f>VLOOKUP(B54,'TB 1224'!A:A,1,0)</f>
        <v>Provident Fund - Employer</v>
      </c>
    </row>
    <row r="55" spans="1:7" ht="15.5" x14ac:dyDescent="0.35">
      <c r="A55" s="156" t="s">
        <v>545</v>
      </c>
      <c r="B55" s="156"/>
      <c r="C55" s="118">
        <v>-74408</v>
      </c>
      <c r="D55" s="118">
        <v>74408</v>
      </c>
      <c r="E55" s="118">
        <v>82800</v>
      </c>
      <c r="F55" s="118">
        <v>-82800</v>
      </c>
    </row>
    <row r="56" spans="1:7" x14ac:dyDescent="0.3">
      <c r="C56" s="157"/>
      <c r="D56" s="157"/>
      <c r="E56" s="157"/>
      <c r="F56" s="157"/>
    </row>
    <row r="57" spans="1:7" x14ac:dyDescent="0.3">
      <c r="A57" s="153" t="s">
        <v>546</v>
      </c>
      <c r="B57" s="153" t="str">
        <f t="shared" ref="B57:B73" si="3">TRIM(A57)</f>
        <v>Provision for Audit Fees</v>
      </c>
      <c r="C57" s="155">
        <v>-25000</v>
      </c>
      <c r="D57" s="155">
        <v>25000</v>
      </c>
      <c r="E57" s="155">
        <v>0</v>
      </c>
      <c r="F57" s="155">
        <v>0</v>
      </c>
      <c r="G57" s="152" t="str">
        <f>VLOOKUP(B57,'TB 1224'!A:A,1,0)</f>
        <v>Provision for Audit Fees</v>
      </c>
    </row>
    <row r="58" spans="1:7" x14ac:dyDescent="0.3">
      <c r="A58" s="153" t="s">
        <v>617</v>
      </c>
      <c r="B58" s="153" t="str">
        <f t="shared" si="3"/>
        <v>Provision for Customer Acquisition Cost</v>
      </c>
      <c r="C58" s="155">
        <v>-120000</v>
      </c>
      <c r="D58" s="155">
        <v>120000</v>
      </c>
      <c r="E58" s="155">
        <v>0</v>
      </c>
      <c r="F58" s="155">
        <v>0</v>
      </c>
      <c r="G58" s="152" t="str">
        <f>VLOOKUP(B58,'TB 1224'!A:A,1,0)</f>
        <v>Provision for Customer Acquisition Cost</v>
      </c>
    </row>
    <row r="59" spans="1:7" x14ac:dyDescent="0.3">
      <c r="A59" s="153" t="s">
        <v>633</v>
      </c>
      <c r="B59" s="153" t="str">
        <f t="shared" si="3"/>
        <v>Provision for Electricity Expense</v>
      </c>
      <c r="C59" s="155">
        <v>0</v>
      </c>
      <c r="D59" s="155">
        <v>0</v>
      </c>
      <c r="E59" s="155">
        <v>4035.6</v>
      </c>
      <c r="F59" s="155">
        <v>-4035.6</v>
      </c>
      <c r="G59" s="152" t="str">
        <f>VLOOKUP(B59,'TB 1224'!A:A,1,0)</f>
        <v>Provision for Electricity Expense</v>
      </c>
    </row>
    <row r="60" spans="1:7" x14ac:dyDescent="0.3">
      <c r="A60" s="153" t="s">
        <v>614</v>
      </c>
      <c r="B60" s="153" t="str">
        <f t="shared" si="3"/>
        <v>Provision for Joining &amp; Referral Bonus</v>
      </c>
      <c r="C60" s="155">
        <v>-7500</v>
      </c>
      <c r="D60" s="155">
        <v>7500</v>
      </c>
      <c r="E60" s="155">
        <v>0</v>
      </c>
      <c r="F60" s="155">
        <v>0</v>
      </c>
      <c r="G60" s="152" t="str">
        <f>VLOOKUP(B60,'TB 1224'!A:A,1,0)</f>
        <v>Provision for Joining &amp; Referral Bonus</v>
      </c>
    </row>
    <row r="61" spans="1:7" x14ac:dyDescent="0.3">
      <c r="A61" s="153" t="s">
        <v>547</v>
      </c>
      <c r="B61" s="153" t="str">
        <f t="shared" si="3"/>
        <v>Provision for Other Cost</v>
      </c>
      <c r="C61" s="155">
        <v>-13200</v>
      </c>
      <c r="D61" s="155">
        <v>13200</v>
      </c>
      <c r="E61" s="155">
        <v>15700</v>
      </c>
      <c r="F61" s="155">
        <v>-15700</v>
      </c>
      <c r="G61" s="152" t="str">
        <f>VLOOKUP(B61,'TB 1224'!A:A,1,0)</f>
        <v>Provision for Other Cost</v>
      </c>
    </row>
    <row r="62" spans="1:7" x14ac:dyDescent="0.3">
      <c r="A62" s="153" t="s">
        <v>548</v>
      </c>
      <c r="B62" s="153" t="str">
        <f t="shared" si="3"/>
        <v>Provision for PG Cost</v>
      </c>
      <c r="C62" s="155">
        <v>-33635.53</v>
      </c>
      <c r="D62" s="155">
        <v>33635.53</v>
      </c>
      <c r="E62" s="155">
        <v>0</v>
      </c>
      <c r="F62" s="155">
        <v>0</v>
      </c>
      <c r="G62" s="152" t="str">
        <f>VLOOKUP(B62,'TB 1224'!A:A,1,0)</f>
        <v>Provision for PG Cost</v>
      </c>
    </row>
    <row r="63" spans="1:7" x14ac:dyDescent="0.3">
      <c r="A63" s="153" t="s">
        <v>634</v>
      </c>
      <c r="B63" s="153" t="str">
        <f t="shared" si="3"/>
        <v>Provision for Service Cost</v>
      </c>
      <c r="C63" s="155">
        <v>-8786.25</v>
      </c>
      <c r="D63" s="155">
        <v>8786.25</v>
      </c>
      <c r="E63" s="155">
        <v>0</v>
      </c>
      <c r="F63" s="155">
        <v>0</v>
      </c>
      <c r="G63" s="152" t="str">
        <f>VLOOKUP(B63,'TB 1224'!A:A,1,0)</f>
        <v>Provision for Service Cost</v>
      </c>
    </row>
    <row r="64" spans="1:7" x14ac:dyDescent="0.3">
      <c r="A64" s="153" t="s">
        <v>549</v>
      </c>
      <c r="B64" s="153" t="str">
        <f t="shared" si="3"/>
        <v>Provision for Software Expense</v>
      </c>
      <c r="C64" s="155">
        <v>-27767.74</v>
      </c>
      <c r="D64" s="155">
        <v>27767.74</v>
      </c>
      <c r="E64" s="155">
        <v>35910</v>
      </c>
      <c r="F64" s="155">
        <v>-35910</v>
      </c>
      <c r="G64" s="152" t="str">
        <f>VLOOKUP(B64,'TB 1224'!A:A,1,0)</f>
        <v>Provision for Software Expense</v>
      </c>
    </row>
    <row r="65" spans="1:7" x14ac:dyDescent="0.3">
      <c r="A65" s="153" t="s">
        <v>624</v>
      </c>
      <c r="B65" s="153" t="str">
        <f t="shared" si="3"/>
        <v>Provision for TDS</v>
      </c>
      <c r="C65" s="155">
        <v>-88.75</v>
      </c>
      <c r="D65" s="155">
        <v>88.75</v>
      </c>
      <c r="E65" s="155">
        <v>0</v>
      </c>
      <c r="F65" s="155">
        <v>0</v>
      </c>
      <c r="G65" s="152" t="str">
        <f>VLOOKUP(B65,'TB 1224'!A:A,1,0)</f>
        <v>Provision for TDS</v>
      </c>
    </row>
    <row r="66" spans="1:7" x14ac:dyDescent="0.3">
      <c r="A66" s="153" t="s">
        <v>550</v>
      </c>
      <c r="B66" s="153" t="str">
        <f t="shared" si="3"/>
        <v>TDS Payable</v>
      </c>
      <c r="C66" s="155">
        <v>-199244.61</v>
      </c>
      <c r="D66" s="155">
        <v>210229</v>
      </c>
      <c r="E66" s="155">
        <v>226030.75</v>
      </c>
      <c r="F66" s="155">
        <v>-215046.36</v>
      </c>
      <c r="G66" s="152" t="str">
        <f>VLOOKUP(B66,'TB 1224'!A:A,1,0)</f>
        <v>TDS Payable</v>
      </c>
    </row>
    <row r="67" spans="1:7" x14ac:dyDescent="0.3">
      <c r="A67" s="153" t="s">
        <v>551</v>
      </c>
      <c r="B67" s="153" t="str">
        <f t="shared" si="3"/>
        <v>Variable Salary Payable</v>
      </c>
      <c r="C67" s="155">
        <v>-37500</v>
      </c>
      <c r="D67" s="155">
        <v>0</v>
      </c>
      <c r="E67" s="155">
        <v>20653</v>
      </c>
      <c r="F67" s="155">
        <v>-58153</v>
      </c>
      <c r="G67" s="152" t="str">
        <f>VLOOKUP(B67,'TB 1224'!A:A,1,0)</f>
        <v>Variable Salary Payable</v>
      </c>
    </row>
    <row r="68" spans="1:7" x14ac:dyDescent="0.3">
      <c r="A68" s="153" t="s">
        <v>552</v>
      </c>
      <c r="B68" s="154"/>
      <c r="C68" s="158" t="s">
        <v>85</v>
      </c>
      <c r="D68" s="158" t="s">
        <v>85</v>
      </c>
      <c r="E68" s="158" t="s">
        <v>85</v>
      </c>
      <c r="F68" s="158" t="s">
        <v>85</v>
      </c>
    </row>
    <row r="69" spans="1:7" x14ac:dyDescent="0.3">
      <c r="A69" s="153" t="s">
        <v>553</v>
      </c>
      <c r="B69" s="153" t="str">
        <f t="shared" si="3"/>
        <v>Current Year Earnings</v>
      </c>
      <c r="C69" s="155">
        <v>23310739.280000001</v>
      </c>
      <c r="D69" s="155">
        <v>0</v>
      </c>
      <c r="E69" s="155">
        <v>0</v>
      </c>
      <c r="F69" s="155">
        <v>23310739.280000001</v>
      </c>
      <c r="G69" s="152" t="str">
        <f>VLOOKUP(B69,'TB 1224'!A:A,1,0)</f>
        <v>Current Year Earnings</v>
      </c>
    </row>
    <row r="70" spans="1:7" x14ac:dyDescent="0.3">
      <c r="A70" s="153" t="s">
        <v>554</v>
      </c>
      <c r="B70" s="153" t="str">
        <f t="shared" si="3"/>
        <v>Owner's Equity</v>
      </c>
      <c r="C70" s="155">
        <v>-100000</v>
      </c>
      <c r="D70" s="155">
        <v>0</v>
      </c>
      <c r="E70" s="155">
        <v>0</v>
      </c>
      <c r="F70" s="155">
        <v>-100000</v>
      </c>
      <c r="G70" s="152" t="str">
        <f>VLOOKUP(B70,'TB 1224'!A:A,1,0)</f>
        <v>Owner's Equity</v>
      </c>
    </row>
    <row r="71" spans="1:7" x14ac:dyDescent="0.3">
      <c r="A71" s="153" t="s">
        <v>555</v>
      </c>
      <c r="B71" s="153" t="str">
        <f t="shared" si="3"/>
        <v>Nexus Ventures VII Holdings LLC ESC</v>
      </c>
      <c r="C71" s="155">
        <v>-10</v>
      </c>
      <c r="D71" s="155">
        <v>0</v>
      </c>
      <c r="E71" s="155">
        <v>0</v>
      </c>
      <c r="F71" s="155">
        <v>-10</v>
      </c>
      <c r="G71" s="152" t="str">
        <f>VLOOKUP(B71,'TB 1224'!A:A,1,0)</f>
        <v>Nexus Ventures VII Holdings LLC ESC</v>
      </c>
    </row>
    <row r="72" spans="1:7" x14ac:dyDescent="0.3">
      <c r="A72" s="153" t="s">
        <v>556</v>
      </c>
      <c r="B72" s="153" t="str">
        <f t="shared" si="3"/>
        <v>Nexus Ventures VII Holdings LLC PSC</v>
      </c>
      <c r="C72" s="155">
        <v>-4207000</v>
      </c>
      <c r="D72" s="155">
        <v>0</v>
      </c>
      <c r="E72" s="155">
        <v>0</v>
      </c>
      <c r="F72" s="155">
        <v>-4207000</v>
      </c>
      <c r="G72" s="152" t="str">
        <f>VLOOKUP(B72,'TB 1224'!A:A,1,0)</f>
        <v>Nexus Ventures VII Holdings LLC PSC</v>
      </c>
    </row>
    <row r="73" spans="1:7" x14ac:dyDescent="0.3">
      <c r="A73" s="153" t="s">
        <v>557</v>
      </c>
      <c r="B73" s="153" t="str">
        <f t="shared" si="3"/>
        <v>Securities Premium</v>
      </c>
      <c r="C73" s="155">
        <v>-75792961.200000003</v>
      </c>
      <c r="D73" s="155">
        <v>0</v>
      </c>
      <c r="E73" s="155">
        <v>0</v>
      </c>
      <c r="F73" s="155">
        <v>-75792961.200000003</v>
      </c>
      <c r="G73" s="152" t="str">
        <f>VLOOKUP(B73,'TB 1224'!A:A,1,0)</f>
        <v>Securities Premium</v>
      </c>
    </row>
    <row r="74" spans="1:7" ht="15.5" x14ac:dyDescent="0.35">
      <c r="A74" s="156" t="s">
        <v>558</v>
      </c>
      <c r="B74" s="156"/>
      <c r="C74" s="118">
        <v>-80099971.200000003</v>
      </c>
      <c r="D74" s="118">
        <v>0</v>
      </c>
      <c r="E74" s="118">
        <v>0</v>
      </c>
      <c r="F74" s="118">
        <v>-80099971.200000003</v>
      </c>
    </row>
    <row r="75" spans="1:7" x14ac:dyDescent="0.3">
      <c r="C75" s="157"/>
      <c r="D75" s="157"/>
      <c r="E75" s="157"/>
      <c r="F75" s="157"/>
    </row>
    <row r="76" spans="1:7" x14ac:dyDescent="0.3">
      <c r="A76" s="153" t="s">
        <v>559</v>
      </c>
      <c r="B76" s="153" t="str">
        <f t="shared" ref="B76:B94" si="4">TRIM(A76)</f>
        <v>Retained Earnings</v>
      </c>
      <c r="C76" s="155">
        <v>1905743.9</v>
      </c>
      <c r="D76" s="155">
        <v>0</v>
      </c>
      <c r="E76" s="155">
        <v>0</v>
      </c>
      <c r="F76" s="155">
        <v>1905743.9</v>
      </c>
      <c r="G76" s="152" t="str">
        <f>VLOOKUP(B76,'TB 1224'!A:A,1,0)</f>
        <v>Retained Earnings</v>
      </c>
    </row>
    <row r="77" spans="1:7" x14ac:dyDescent="0.3">
      <c r="A77" s="153" t="s">
        <v>467</v>
      </c>
      <c r="B77" s="154"/>
      <c r="C77" s="158" t="s">
        <v>85</v>
      </c>
      <c r="D77" s="158" t="s">
        <v>85</v>
      </c>
      <c r="E77" s="158" t="s">
        <v>85</v>
      </c>
      <c r="F77" s="158" t="s">
        <v>85</v>
      </c>
    </row>
    <row r="78" spans="1:7" x14ac:dyDescent="0.3">
      <c r="A78" s="160" t="s">
        <v>468</v>
      </c>
      <c r="B78" s="153" t="str">
        <f t="shared" si="4"/>
        <v>Convenience and Platform Fee</v>
      </c>
      <c r="C78" s="158">
        <v>0</v>
      </c>
      <c r="D78" s="158">
        <v>0</v>
      </c>
      <c r="E78" s="158">
        <v>296104.58</v>
      </c>
      <c r="F78" s="158">
        <v>-296104.58</v>
      </c>
      <c r="G78" s="152" t="str">
        <f>VLOOKUP(B78,'TB 1224'!A:A,1,0)</f>
        <v>Convenience and Platform Fee</v>
      </c>
    </row>
    <row r="79" spans="1:7" x14ac:dyDescent="0.3">
      <c r="A79" s="160" t="s">
        <v>469</v>
      </c>
      <c r="B79" s="153" t="str">
        <f t="shared" si="4"/>
        <v>Discount</v>
      </c>
      <c r="C79" s="158">
        <v>0</v>
      </c>
      <c r="D79" s="158">
        <v>212378</v>
      </c>
      <c r="E79" s="158">
        <v>0</v>
      </c>
      <c r="F79" s="158">
        <v>212378</v>
      </c>
      <c r="G79" s="152" t="str">
        <f>VLOOKUP(B79,'TB 1224'!A:A,1,0)</f>
        <v>Discount</v>
      </c>
    </row>
    <row r="80" spans="1:7" x14ac:dyDescent="0.3">
      <c r="A80" s="153" t="s">
        <v>470</v>
      </c>
      <c r="B80" s="153" t="str">
        <f t="shared" si="4"/>
        <v>FD Interest Income</v>
      </c>
      <c r="C80" s="155">
        <v>0</v>
      </c>
      <c r="D80" s="155">
        <v>52068</v>
      </c>
      <c r="E80" s="155">
        <v>294550.40999999997</v>
      </c>
      <c r="F80" s="155">
        <v>-242482.41</v>
      </c>
      <c r="G80" s="152" t="str">
        <f>VLOOKUP(B80,'TB 1224'!A:A,1,0)</f>
        <v>FD Interest Income</v>
      </c>
    </row>
    <row r="81" spans="1:7" x14ac:dyDescent="0.3">
      <c r="A81" s="160" t="s">
        <v>471</v>
      </c>
      <c r="B81" s="153" t="str">
        <f t="shared" si="4"/>
        <v>Maestro Revenue</v>
      </c>
      <c r="C81" s="159">
        <v>0</v>
      </c>
      <c r="D81" s="159">
        <v>0</v>
      </c>
      <c r="E81" s="159">
        <v>1119159.3999999999</v>
      </c>
      <c r="F81" s="159">
        <v>-1119159.3999999999</v>
      </c>
      <c r="G81" s="152" t="str">
        <f>VLOOKUP(B81,'TB 1224'!A:A,1,0)</f>
        <v>Maestro Revenue</v>
      </c>
    </row>
    <row r="82" spans="1:7" x14ac:dyDescent="0.3">
      <c r="A82" s="153" t="s">
        <v>472</v>
      </c>
      <c r="B82" s="154"/>
      <c r="C82" s="158" t="s">
        <v>85</v>
      </c>
      <c r="D82" s="158" t="s">
        <v>85</v>
      </c>
      <c r="E82" s="158" t="s">
        <v>85</v>
      </c>
      <c r="F82" s="158" t="s">
        <v>85</v>
      </c>
    </row>
    <row r="83" spans="1:7" x14ac:dyDescent="0.3">
      <c r="A83" s="153" t="s">
        <v>473</v>
      </c>
      <c r="B83" s="153" t="str">
        <f t="shared" si="4"/>
        <v>Accounting Services</v>
      </c>
      <c r="C83" s="155">
        <v>0</v>
      </c>
      <c r="D83" s="155">
        <v>70000</v>
      </c>
      <c r="E83" s="155">
        <v>0</v>
      </c>
      <c r="F83" s="155">
        <v>70000</v>
      </c>
      <c r="G83" s="152" t="str">
        <f>VLOOKUP(B83,'TB 1224'!A:A,1,0)</f>
        <v>Accounting Services</v>
      </c>
    </row>
    <row r="84" spans="1:7" x14ac:dyDescent="0.3">
      <c r="A84" s="153" t="s">
        <v>635</v>
      </c>
      <c r="B84" s="153" t="str">
        <f t="shared" si="4"/>
        <v>Audit Fees</v>
      </c>
      <c r="C84" s="155">
        <v>0</v>
      </c>
      <c r="D84" s="155">
        <v>25000</v>
      </c>
      <c r="E84" s="155">
        <v>25000</v>
      </c>
      <c r="F84" s="155">
        <v>0</v>
      </c>
      <c r="G84" s="152" t="str">
        <f>VLOOKUP(B84,'TB 1224'!A:A,1,0)</f>
        <v>Audit Fees</v>
      </c>
    </row>
    <row r="85" spans="1:7" x14ac:dyDescent="0.3">
      <c r="A85" s="153" t="s">
        <v>474</v>
      </c>
      <c r="B85" s="153" t="str">
        <f t="shared" si="4"/>
        <v>Bank Fees and Charges</v>
      </c>
      <c r="C85" s="155">
        <v>0</v>
      </c>
      <c r="D85" s="155">
        <v>118</v>
      </c>
      <c r="E85" s="155">
        <v>0</v>
      </c>
      <c r="F85" s="155">
        <v>118</v>
      </c>
      <c r="G85" s="152" t="str">
        <f>VLOOKUP(B85,'TB 1224'!A:A,1,0)</f>
        <v>Bank Fees and Charges</v>
      </c>
    </row>
    <row r="86" spans="1:7" x14ac:dyDescent="0.3">
      <c r="A86" s="153" t="s">
        <v>475</v>
      </c>
      <c r="B86" s="153" t="str">
        <f t="shared" si="4"/>
        <v>Branding Expense</v>
      </c>
      <c r="C86" s="155">
        <v>0</v>
      </c>
      <c r="D86" s="155">
        <v>111810</v>
      </c>
      <c r="E86" s="155">
        <v>6140.08</v>
      </c>
      <c r="F86" s="155">
        <v>105669.92</v>
      </c>
      <c r="G86" s="152" t="str">
        <f>VLOOKUP(B86,'TB 1224'!A:A,1,0)</f>
        <v>Branding Expense</v>
      </c>
    </row>
    <row r="87" spans="1:7" x14ac:dyDescent="0.3">
      <c r="A87" s="153" t="s">
        <v>476</v>
      </c>
      <c r="B87" s="153" t="str">
        <f t="shared" si="4"/>
        <v>Customer Acquisition Cost</v>
      </c>
      <c r="C87" s="155">
        <v>0</v>
      </c>
      <c r="D87" s="155">
        <v>424005.1</v>
      </c>
      <c r="E87" s="155">
        <v>120000</v>
      </c>
      <c r="F87" s="155">
        <v>304005.09999999998</v>
      </c>
      <c r="G87" s="152" t="str">
        <f>VLOOKUP(B87,'TB 1224'!A:A,1,0)</f>
        <v>Customer Acquisition Cost</v>
      </c>
    </row>
    <row r="88" spans="1:7" x14ac:dyDescent="0.3">
      <c r="A88" s="153" t="s">
        <v>636</v>
      </c>
      <c r="B88" s="153" t="str">
        <f t="shared" si="4"/>
        <v>Customer Success Cost</v>
      </c>
      <c r="C88" s="155">
        <v>0</v>
      </c>
      <c r="D88" s="155">
        <v>80373</v>
      </c>
      <c r="E88" s="155">
        <v>0</v>
      </c>
      <c r="F88" s="155">
        <v>80373</v>
      </c>
      <c r="G88" s="152" t="str">
        <f>VLOOKUP(B88,'TB 1224'!A:A,1,0)</f>
        <v>Customer Success Cost</v>
      </c>
    </row>
    <row r="89" spans="1:7" x14ac:dyDescent="0.3">
      <c r="A89" s="153" t="s">
        <v>477</v>
      </c>
      <c r="B89" s="153" t="str">
        <f t="shared" si="4"/>
        <v>Depreciation and Amortization</v>
      </c>
      <c r="C89" s="155">
        <v>0</v>
      </c>
      <c r="D89" s="155">
        <v>66562</v>
      </c>
      <c r="E89" s="155">
        <v>0</v>
      </c>
      <c r="F89" s="155">
        <v>66562</v>
      </c>
      <c r="G89" s="152" t="str">
        <f>VLOOKUP(B89,'TB 1224'!A:A,1,0)</f>
        <v>Depreciation and Amortization</v>
      </c>
    </row>
    <row r="90" spans="1:7" x14ac:dyDescent="0.3">
      <c r="A90" s="153" t="s">
        <v>478</v>
      </c>
      <c r="B90" s="153" t="str">
        <f t="shared" si="4"/>
        <v>Employee Benefit Expense</v>
      </c>
      <c r="C90" s="155">
        <v>0</v>
      </c>
      <c r="D90" s="155">
        <v>0</v>
      </c>
      <c r="E90" s="155">
        <v>0</v>
      </c>
      <c r="F90" s="155">
        <v>0</v>
      </c>
    </row>
    <row r="91" spans="1:7" x14ac:dyDescent="0.3">
      <c r="A91" s="153" t="s">
        <v>479</v>
      </c>
      <c r="B91" s="153" t="str">
        <f t="shared" si="4"/>
        <v>Employer PF Expense</v>
      </c>
      <c r="C91" s="155">
        <v>0</v>
      </c>
      <c r="D91" s="155">
        <v>41400</v>
      </c>
      <c r="E91" s="155">
        <v>0</v>
      </c>
      <c r="F91" s="155">
        <v>41400</v>
      </c>
      <c r="G91" s="152" t="str">
        <f>VLOOKUP(B91,'TB 1224'!A:A,1,0)</f>
        <v>Employer PF Expense</v>
      </c>
    </row>
    <row r="92" spans="1:7" x14ac:dyDescent="0.3">
      <c r="A92" s="153" t="s">
        <v>480</v>
      </c>
      <c r="B92" s="153" t="str">
        <f t="shared" si="4"/>
        <v>PF Admin Expense</v>
      </c>
      <c r="C92" s="155">
        <v>0</v>
      </c>
      <c r="D92" s="155">
        <v>3112.8</v>
      </c>
      <c r="E92" s="155">
        <v>0</v>
      </c>
      <c r="F92" s="155">
        <v>3112.8</v>
      </c>
      <c r="G92" s="152" t="str">
        <f>VLOOKUP(B92,'TB 1224'!A:A,1,0)</f>
        <v>PF Admin Expense</v>
      </c>
    </row>
    <row r="93" spans="1:7" x14ac:dyDescent="0.3">
      <c r="A93" s="153" t="s">
        <v>481</v>
      </c>
      <c r="B93" s="153" t="str">
        <f t="shared" si="4"/>
        <v>Staff Welfare Expense</v>
      </c>
      <c r="C93" s="155">
        <v>0</v>
      </c>
      <c r="D93" s="155">
        <v>151181.25</v>
      </c>
      <c r="E93" s="155">
        <v>0</v>
      </c>
      <c r="F93" s="155">
        <v>151181.25</v>
      </c>
      <c r="G93" s="152" t="str">
        <f>VLOOKUP(B93,'TB 1224'!A:A,1,0)</f>
        <v>Staff Welfare Expense</v>
      </c>
    </row>
    <row r="94" spans="1:7" x14ac:dyDescent="0.3">
      <c r="A94" s="160" t="s">
        <v>482</v>
      </c>
      <c r="B94" s="153" t="str">
        <f t="shared" si="4"/>
        <v>Variable Salary</v>
      </c>
      <c r="C94" s="155">
        <v>0</v>
      </c>
      <c r="D94" s="155">
        <v>20653</v>
      </c>
      <c r="E94" s="155">
        <v>0</v>
      </c>
      <c r="F94" s="155">
        <v>20653</v>
      </c>
      <c r="G94" s="152" t="str">
        <f>VLOOKUP(B94,'TB 1224'!A:A,1,0)</f>
        <v>Variable Salary</v>
      </c>
    </row>
    <row r="95" spans="1:7" ht="15.5" x14ac:dyDescent="0.35">
      <c r="A95" s="156" t="s">
        <v>483</v>
      </c>
      <c r="B95" s="156"/>
      <c r="C95" s="118">
        <v>0</v>
      </c>
      <c r="D95" s="118">
        <v>216347.05</v>
      </c>
      <c r="E95" s="118">
        <v>0</v>
      </c>
      <c r="F95" s="118">
        <v>216347.05</v>
      </c>
    </row>
    <row r="96" spans="1:7" x14ac:dyDescent="0.3">
      <c r="C96" s="157"/>
      <c r="D96" s="157"/>
      <c r="E96" s="157"/>
      <c r="F96" s="157"/>
    </row>
    <row r="97" spans="1:7" x14ac:dyDescent="0.3">
      <c r="A97" s="153" t="s">
        <v>637</v>
      </c>
      <c r="B97" s="153" t="str">
        <f t="shared" ref="B97:B112" si="5">TRIM(A97)</f>
        <v>Managerial Cost</v>
      </c>
      <c r="C97" s="155">
        <v>0</v>
      </c>
      <c r="D97" s="155">
        <v>110000</v>
      </c>
      <c r="E97" s="155">
        <v>0</v>
      </c>
      <c r="F97" s="155">
        <v>110000</v>
      </c>
      <c r="G97" s="152" t="str">
        <f>VLOOKUP(B97,'TB 1224'!A:A,1,0)</f>
        <v>Managerial Cost</v>
      </c>
    </row>
    <row r="98" spans="1:7" x14ac:dyDescent="0.3">
      <c r="A98" s="153" t="s">
        <v>485</v>
      </c>
      <c r="B98" s="153" t="str">
        <f t="shared" si="5"/>
        <v>Miscellaneous Expense</v>
      </c>
      <c r="C98" s="155">
        <v>0</v>
      </c>
      <c r="D98" s="155">
        <v>9000</v>
      </c>
      <c r="E98" s="155">
        <v>0</v>
      </c>
      <c r="F98" s="155">
        <v>9000</v>
      </c>
      <c r="G98" s="152" t="str">
        <f>VLOOKUP(B98,'TB 1224'!A:A,1,0)</f>
        <v>Miscellaneous Expense</v>
      </c>
    </row>
    <row r="99" spans="1:7" x14ac:dyDescent="0.3">
      <c r="A99" s="153" t="s">
        <v>618</v>
      </c>
      <c r="B99" s="153" t="str">
        <f t="shared" si="5"/>
        <v>New User Discount</v>
      </c>
      <c r="C99" s="155">
        <v>0</v>
      </c>
      <c r="D99" s="155">
        <v>84594</v>
      </c>
      <c r="E99" s="155">
        <v>0</v>
      </c>
      <c r="F99" s="155">
        <v>96516</v>
      </c>
      <c r="G99" s="152" t="str">
        <f>VLOOKUP(B99,'TB 1224'!A:A,1,0)</f>
        <v>New User Discount</v>
      </c>
    </row>
    <row r="100" spans="1:7" x14ac:dyDescent="0.3">
      <c r="A100" s="153" t="s">
        <v>486</v>
      </c>
      <c r="B100" s="153" t="str">
        <f t="shared" si="5"/>
        <v>Office and Admin Expense</v>
      </c>
      <c r="C100" s="155">
        <v>0</v>
      </c>
      <c r="D100" s="155">
        <v>10.02</v>
      </c>
      <c r="E100" s="155">
        <v>2</v>
      </c>
      <c r="F100" s="155">
        <v>8.02</v>
      </c>
      <c r="G100" s="152" t="str">
        <f>VLOOKUP(B100,'TB 1224'!A:A,1,0)</f>
        <v>Office and Admin Expense</v>
      </c>
    </row>
    <row r="101" spans="1:7" x14ac:dyDescent="0.3">
      <c r="A101" s="153" t="s">
        <v>487</v>
      </c>
      <c r="B101" s="153" t="str">
        <f t="shared" si="5"/>
        <v>Office Rent Expense</v>
      </c>
      <c r="C101" s="155">
        <v>0</v>
      </c>
      <c r="D101" s="155">
        <v>280000</v>
      </c>
      <c r="E101" s="155">
        <v>0</v>
      </c>
      <c r="F101" s="155">
        <v>280000</v>
      </c>
      <c r="G101" s="152" t="str">
        <f>VLOOKUP(B101,'TB 1224'!A:A,1,0)</f>
        <v>Office Rent Expense</v>
      </c>
    </row>
    <row r="102" spans="1:7" x14ac:dyDescent="0.3">
      <c r="A102" s="153" t="s">
        <v>488</v>
      </c>
      <c r="B102" s="153" t="str">
        <f t="shared" si="5"/>
        <v>Other Cost</v>
      </c>
      <c r="C102" s="155">
        <v>0</v>
      </c>
      <c r="D102" s="155">
        <v>29628</v>
      </c>
      <c r="E102" s="155">
        <v>13200</v>
      </c>
      <c r="F102" s="155">
        <v>16428</v>
      </c>
      <c r="G102" s="152" t="str">
        <f>VLOOKUP(B102,'TB 1224'!A:A,1,0)</f>
        <v>Other Cost</v>
      </c>
    </row>
    <row r="103" spans="1:7" x14ac:dyDescent="0.3">
      <c r="A103" s="153" t="s">
        <v>489</v>
      </c>
      <c r="B103" s="153" t="str">
        <f t="shared" si="5"/>
        <v>Other Expenses</v>
      </c>
      <c r="C103" s="155">
        <v>0</v>
      </c>
      <c r="D103" s="155">
        <v>0.41</v>
      </c>
      <c r="E103" s="155">
        <v>0.88</v>
      </c>
      <c r="F103" s="155">
        <v>-0.47</v>
      </c>
      <c r="G103" s="152" t="str">
        <f>VLOOKUP(B103,'TB 1224'!A:A,1,0)</f>
        <v>Other Expenses</v>
      </c>
    </row>
    <row r="104" spans="1:7" x14ac:dyDescent="0.3">
      <c r="A104" s="153" t="s">
        <v>560</v>
      </c>
      <c r="B104" s="153" t="str">
        <f t="shared" si="5"/>
        <v>Payment Gateway Cost</v>
      </c>
      <c r="C104" s="155">
        <v>0</v>
      </c>
      <c r="D104" s="155">
        <v>48619.46</v>
      </c>
      <c r="E104" s="155">
        <v>28507.23</v>
      </c>
      <c r="F104" s="155">
        <v>20112.23</v>
      </c>
      <c r="G104" s="152" t="str">
        <f>VLOOKUP(B104,'TB 1224'!A:A,1,0)</f>
        <v>Payment Gateway Cost</v>
      </c>
    </row>
    <row r="105" spans="1:7" x14ac:dyDescent="0.3">
      <c r="A105" s="153" t="s">
        <v>490</v>
      </c>
      <c r="B105" s="153" t="str">
        <f t="shared" si="5"/>
        <v>Professional Fees</v>
      </c>
      <c r="C105" s="155">
        <v>0</v>
      </c>
      <c r="D105" s="155">
        <v>40000</v>
      </c>
      <c r="E105" s="155">
        <v>0</v>
      </c>
      <c r="F105" s="155">
        <v>40000</v>
      </c>
      <c r="G105" s="152" t="str">
        <f>VLOOKUP(B105,'TB 1224'!A:A,1,0)</f>
        <v>Professional Fees</v>
      </c>
    </row>
    <row r="106" spans="1:7" x14ac:dyDescent="0.3">
      <c r="A106" s="153" t="s">
        <v>638</v>
      </c>
      <c r="B106" s="153" t="str">
        <f t="shared" si="5"/>
        <v>Recruitment Charges</v>
      </c>
      <c r="C106" s="155">
        <v>0</v>
      </c>
      <c r="D106" s="155">
        <v>2000</v>
      </c>
      <c r="E106" s="155">
        <v>0</v>
      </c>
      <c r="F106" s="155">
        <v>2000</v>
      </c>
      <c r="G106" s="152" t="str">
        <f>VLOOKUP(B106,'TB 1224'!A:A,1,0)</f>
        <v>Recruitment Charges</v>
      </c>
    </row>
    <row r="107" spans="1:7" x14ac:dyDescent="0.3">
      <c r="A107" s="153" t="s">
        <v>492</v>
      </c>
      <c r="B107" s="153" t="str">
        <f t="shared" si="5"/>
        <v>Salaries and Employee Wages</v>
      </c>
      <c r="C107" s="155">
        <v>0</v>
      </c>
      <c r="D107" s="155">
        <v>1905191.48</v>
      </c>
      <c r="E107" s="155">
        <v>293083</v>
      </c>
      <c r="F107" s="155">
        <v>1612108.48</v>
      </c>
      <c r="G107" s="152" t="str">
        <f>VLOOKUP(B107,'TB 1224'!A:A,1,0)</f>
        <v>Salaries and Employee Wages</v>
      </c>
    </row>
    <row r="108" spans="1:7" x14ac:dyDescent="0.3">
      <c r="A108" s="160" t="s">
        <v>615</v>
      </c>
      <c r="B108" s="153" t="str">
        <f t="shared" si="5"/>
        <v>Service Cost</v>
      </c>
      <c r="C108" s="155">
        <v>0</v>
      </c>
      <c r="D108" s="155">
        <v>1160760</v>
      </c>
      <c r="E108" s="155">
        <v>0</v>
      </c>
      <c r="F108" s="155">
        <v>1156460</v>
      </c>
      <c r="G108" s="152" t="str">
        <f>VLOOKUP(B108,'TB 1224'!A:A,1,0)</f>
        <v>Service Cost</v>
      </c>
    </row>
    <row r="109" spans="1:7" x14ac:dyDescent="0.3">
      <c r="A109" s="153" t="s">
        <v>493</v>
      </c>
      <c r="B109" s="153" t="str">
        <f t="shared" si="5"/>
        <v>Software Expense</v>
      </c>
      <c r="C109" s="155">
        <v>0</v>
      </c>
      <c r="D109" s="155">
        <v>185145.21</v>
      </c>
      <c r="E109" s="155">
        <v>66434.41</v>
      </c>
      <c r="F109" s="155">
        <v>118710.8</v>
      </c>
      <c r="G109" s="152" t="str">
        <f>VLOOKUP(B109,'TB 1224'!A:A,1,0)</f>
        <v>Software Expense</v>
      </c>
    </row>
    <row r="110" spans="1:7" x14ac:dyDescent="0.3">
      <c r="A110" s="153" t="s">
        <v>494</v>
      </c>
      <c r="B110" s="153" t="str">
        <f t="shared" si="5"/>
        <v>Sourcing and Onboarding Expense</v>
      </c>
      <c r="C110" s="155">
        <v>0</v>
      </c>
      <c r="D110" s="155">
        <v>177788</v>
      </c>
      <c r="E110" s="155">
        <v>20833.5</v>
      </c>
      <c r="F110" s="155">
        <v>156954.5</v>
      </c>
      <c r="G110" s="152" t="str">
        <f>VLOOKUP(B110,'TB 1224'!A:A,1,0)</f>
        <v>Sourcing and Onboarding Expense</v>
      </c>
    </row>
    <row r="111" spans="1:7" x14ac:dyDescent="0.3">
      <c r="A111" s="153" t="s">
        <v>495</v>
      </c>
      <c r="B111" s="153" t="str">
        <f t="shared" si="5"/>
        <v>Training Centre Expense</v>
      </c>
      <c r="C111" s="155">
        <v>0</v>
      </c>
      <c r="D111" s="155">
        <v>65400.04</v>
      </c>
      <c r="E111" s="155">
        <v>13380</v>
      </c>
      <c r="F111" s="155">
        <v>52020.04</v>
      </c>
      <c r="G111" s="152" t="str">
        <f>VLOOKUP(B111,'TB 1224'!A:A,1,0)</f>
        <v>Training Centre Expense</v>
      </c>
    </row>
    <row r="112" spans="1:7" x14ac:dyDescent="0.3">
      <c r="A112" s="153" t="s">
        <v>496</v>
      </c>
      <c r="B112" s="153" t="str">
        <f t="shared" si="5"/>
        <v>Training Centre Rent Expense</v>
      </c>
      <c r="C112" s="155">
        <v>0</v>
      </c>
      <c r="D112" s="155">
        <v>43333.33</v>
      </c>
      <c r="E112" s="155">
        <v>0</v>
      </c>
      <c r="F112" s="155">
        <v>43333.33</v>
      </c>
      <c r="G112" s="152" t="str">
        <f>VLOOKUP(B112,'TB 1224'!A:A,1,0)</f>
        <v>Training Centre Rent Expense</v>
      </c>
    </row>
    <row r="113" spans="1:6" ht="15.5" x14ac:dyDescent="0.35">
      <c r="A113" s="156" t="s">
        <v>639</v>
      </c>
      <c r="B113" s="156"/>
      <c r="C113" s="118"/>
      <c r="D113" s="118">
        <v>45537839.57</v>
      </c>
      <c r="E113" s="118">
        <v>45537839.57</v>
      </c>
      <c r="F113" s="118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tabColor rgb="FF92D050"/>
  </sheetPr>
  <dimension ref="A1:R101"/>
  <sheetViews>
    <sheetView topLeftCell="B50" workbookViewId="0">
      <selection activeCell="H59" sqref="H59"/>
    </sheetView>
  </sheetViews>
  <sheetFormatPr defaultColWidth="8.81640625" defaultRowHeight="14.5" x14ac:dyDescent="0.35"/>
  <cols>
    <col min="1" max="1" width="40.453125" style="23" customWidth="1"/>
    <col min="2" max="5" width="17.453125" style="23" customWidth="1"/>
    <col min="6" max="6" width="15.453125" style="23" customWidth="1"/>
    <col min="7" max="7" width="8.81640625" style="22"/>
    <col min="8" max="8" width="52.36328125" style="23" bestFit="1" customWidth="1"/>
    <col min="9" max="10" width="8.81640625" style="23"/>
    <col min="11" max="11" width="18.36328125" style="23" bestFit="1" customWidth="1"/>
    <col min="12" max="12" width="9.81640625" style="23" bestFit="1" customWidth="1"/>
    <col min="13" max="13" width="8.81640625" style="23" bestFit="1" customWidth="1"/>
    <col min="14" max="14" width="14" style="23" bestFit="1" customWidth="1"/>
    <col min="15" max="16" width="8.81640625" style="23"/>
    <col min="17" max="17" width="14" style="23" bestFit="1" customWidth="1"/>
    <col min="18" max="18" width="8.81640625" style="123"/>
    <col min="19" max="16384" width="8.81640625" style="23"/>
  </cols>
  <sheetData>
    <row r="1" spans="1:18" x14ac:dyDescent="0.35">
      <c r="B1" s="24">
        <f>SUBTOTAL(9,B3:B100)</f>
        <v>-51779752.410000004</v>
      </c>
      <c r="C1" s="24">
        <f>SUBTOTAL(9,C3:C100)</f>
        <v>1498299.08</v>
      </c>
      <c r="D1" s="24">
        <f>SUBTOTAL(9,D3:D100)</f>
        <v>476477617.64000005</v>
      </c>
      <c r="E1" s="24"/>
      <c r="F1" s="24"/>
    </row>
    <row r="2" spans="1:18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</row>
    <row r="3" spans="1:18" hidden="1" x14ac:dyDescent="0.35">
      <c r="A3" s="23" t="s">
        <v>561</v>
      </c>
      <c r="B3" s="24">
        <f>SUMIF('Raw Jan'!B:B,'TB 0125'!A3,'Raw Jan'!C:C)</f>
        <v>1219987.22</v>
      </c>
      <c r="C3" s="24">
        <f>SUMIF('Raw Jan'!B:B,'TB 0125'!A3,'Raw Jan'!D:D)</f>
        <v>1558121.66</v>
      </c>
      <c r="D3" s="24">
        <f>SUMIF('Raw Jan'!B:B,'TB 0125'!A3,'Raw Jan'!E:E)</f>
        <v>128844</v>
      </c>
      <c r="E3" s="24">
        <f>B3+C3-D3</f>
        <v>2649264.88</v>
      </c>
      <c r="F3" s="24">
        <f>E3/1000</f>
        <v>2649.2648799999997</v>
      </c>
      <c r="G3" s="22" t="s">
        <v>181</v>
      </c>
      <c r="H3" s="23" t="s">
        <v>77</v>
      </c>
      <c r="K3" s="23" t="s">
        <v>649</v>
      </c>
      <c r="L3" s="123">
        <v>2903.22</v>
      </c>
      <c r="M3" s="123">
        <f>L3/1000</f>
        <v>2.9032199999999997</v>
      </c>
      <c r="N3" s="23" t="s">
        <v>268</v>
      </c>
      <c r="Q3" s="23" t="s">
        <v>192</v>
      </c>
      <c r="R3" s="123">
        <f t="shared" ref="R3:R8" si="0">SUMIF(N:N,Q3,M:M)</f>
        <v>2651.5093499999998</v>
      </c>
    </row>
    <row r="4" spans="1:18" hidden="1" x14ac:dyDescent="0.35">
      <c r="A4" s="23" t="s">
        <v>288</v>
      </c>
      <c r="B4" s="24">
        <f>SUMIF('Raw Jan'!B:B,'TB 0125'!A4,'Raw Jan'!C:C)</f>
        <v>201390.41</v>
      </c>
      <c r="C4" s="24">
        <f>SUMIF('Raw Jan'!B:B,'TB 0125'!A4,'Raw Jan'!D:D)</f>
        <v>643425</v>
      </c>
      <c r="D4" s="24">
        <f>SUMIF('Raw Jan'!B:B,'TB 0125'!A4,'Raw Jan'!E:E)</f>
        <v>201390.41</v>
      </c>
      <c r="E4" s="24">
        <f t="shared" ref="E4:E67" si="1">B4+C4-D4</f>
        <v>643425</v>
      </c>
      <c r="F4" s="24">
        <f t="shared" ref="F4:F67" si="2">E4/1000</f>
        <v>643.42499999999995</v>
      </c>
      <c r="G4" s="22" t="s">
        <v>181</v>
      </c>
      <c r="H4" s="23" t="s">
        <v>79</v>
      </c>
      <c r="K4" s="23" t="s">
        <v>650</v>
      </c>
      <c r="L4" s="123">
        <v>110000</v>
      </c>
      <c r="M4" s="123">
        <f t="shared" ref="M4:M42" si="3">L4/1000</f>
        <v>110</v>
      </c>
      <c r="N4" s="23" t="s">
        <v>192</v>
      </c>
      <c r="Q4" s="23" t="s">
        <v>188</v>
      </c>
      <c r="R4" s="123">
        <f t="shared" si="0"/>
        <v>135.548</v>
      </c>
    </row>
    <row r="5" spans="1:18" hidden="1" x14ac:dyDescent="0.35">
      <c r="A5" s="23" t="s">
        <v>289</v>
      </c>
      <c r="B5" s="24">
        <f>SUMIF('Raw Jan'!B:B,'TB 0125'!A5,'Raw Jan'!C:C)</f>
        <v>-79732</v>
      </c>
      <c r="C5" s="24">
        <f>SUMIF('Raw Jan'!B:B,'TB 0125'!A5,'Raw Jan'!D:D)</f>
        <v>0</v>
      </c>
      <c r="D5" s="24">
        <f>SUMIF('Raw Jan'!B:B,'TB 0125'!A5,'Raw Jan'!E:E)</f>
        <v>12810</v>
      </c>
      <c r="E5" s="24">
        <f t="shared" si="1"/>
        <v>-92542</v>
      </c>
      <c r="F5" s="24">
        <f t="shared" si="2"/>
        <v>-92.542000000000002</v>
      </c>
      <c r="G5" s="22" t="s">
        <v>181</v>
      </c>
      <c r="H5" s="23" t="s">
        <v>72</v>
      </c>
      <c r="K5" s="23" t="s">
        <v>651</v>
      </c>
      <c r="L5" s="123">
        <v>75000</v>
      </c>
      <c r="M5" s="123">
        <f t="shared" si="3"/>
        <v>75</v>
      </c>
      <c r="N5" s="23" t="s">
        <v>192</v>
      </c>
      <c r="Q5" s="23" t="s">
        <v>352</v>
      </c>
      <c r="R5" s="123">
        <f t="shared" si="0"/>
        <v>30.2</v>
      </c>
    </row>
    <row r="6" spans="1:18" hidden="1" x14ac:dyDescent="0.35">
      <c r="A6" s="23" t="s">
        <v>562</v>
      </c>
      <c r="B6" s="24">
        <f>SUMIF('Raw Jan'!B:B,'TB 0125'!A6,'Raw Jan'!C:C)</f>
        <v>-281673</v>
      </c>
      <c r="C6" s="24">
        <f>SUMIF('Raw Jan'!B:B,'TB 0125'!A6,'Raw Jan'!D:D)</f>
        <v>0</v>
      </c>
      <c r="D6" s="24">
        <f>SUMIF('Raw Jan'!B:B,'TB 0125'!A6,'Raw Jan'!E:E)</f>
        <v>53131</v>
      </c>
      <c r="E6" s="24">
        <f t="shared" si="1"/>
        <v>-334804</v>
      </c>
      <c r="F6" s="24">
        <f t="shared" si="2"/>
        <v>-334.80399999999997</v>
      </c>
      <c r="G6" s="22" t="s">
        <v>181</v>
      </c>
      <c r="H6" s="23" t="s">
        <v>71</v>
      </c>
      <c r="K6" s="23" t="s">
        <v>652</v>
      </c>
      <c r="L6" s="123">
        <v>73200</v>
      </c>
      <c r="M6" s="123">
        <f t="shared" si="3"/>
        <v>73.2</v>
      </c>
      <c r="N6" s="23" t="s">
        <v>192</v>
      </c>
      <c r="Q6" s="23" t="s">
        <v>190</v>
      </c>
      <c r="R6" s="123">
        <f t="shared" si="0"/>
        <v>77.611999999999995</v>
      </c>
    </row>
    <row r="7" spans="1:18" hidden="1" x14ac:dyDescent="0.35">
      <c r="A7" s="23" t="s">
        <v>198</v>
      </c>
      <c r="B7" s="24">
        <f>SUMIF('Raw Jan'!B:B,'TB 0125'!A7,'Raw Jan'!C:C)</f>
        <v>-15419</v>
      </c>
      <c r="C7" s="24">
        <f>SUMIF('Raw Jan'!B:B,'TB 0125'!A7,'Raw Jan'!D:D)</f>
        <v>0</v>
      </c>
      <c r="D7" s="24">
        <f>SUMIF('Raw Jan'!B:B,'TB 0125'!A7,'Raw Jan'!E:E)</f>
        <v>2098</v>
      </c>
      <c r="E7" s="24">
        <f t="shared" si="1"/>
        <v>-17517</v>
      </c>
      <c r="F7" s="24">
        <f t="shared" si="2"/>
        <v>-17.516999999999999</v>
      </c>
      <c r="G7" s="22" t="s">
        <v>181</v>
      </c>
      <c r="H7" s="23" t="s">
        <v>71</v>
      </c>
      <c r="K7" s="23" t="s">
        <v>442</v>
      </c>
      <c r="L7" s="123">
        <v>30929</v>
      </c>
      <c r="M7" s="123">
        <f t="shared" si="3"/>
        <v>30.928999999999998</v>
      </c>
      <c r="N7" s="23" t="s">
        <v>192</v>
      </c>
      <c r="Q7" s="23" t="s">
        <v>268</v>
      </c>
      <c r="R7" s="123">
        <f t="shared" si="0"/>
        <v>108.86551</v>
      </c>
    </row>
    <row r="8" spans="1:18" hidden="1" x14ac:dyDescent="0.35">
      <c r="A8" s="23" t="s">
        <v>365</v>
      </c>
      <c r="B8" s="24">
        <f>SUMIF('Raw Jan'!B:B,'TB 0125'!A8,'Raw Jan'!C:C)</f>
        <v>305.98</v>
      </c>
      <c r="C8" s="24">
        <f>SUMIF('Raw Jan'!B:B,'TB 0125'!A8,'Raw Jan'!D:D)</f>
        <v>0</v>
      </c>
      <c r="D8" s="24">
        <f>SUMIF('Raw Jan'!B:B,'TB 0125'!A8,'Raw Jan'!E:E)</f>
        <v>0</v>
      </c>
      <c r="E8" s="24">
        <f t="shared" si="1"/>
        <v>305.98</v>
      </c>
      <c r="F8" s="24">
        <f t="shared" si="2"/>
        <v>0.30598000000000003</v>
      </c>
      <c r="G8" s="22" t="s">
        <v>181</v>
      </c>
      <c r="H8" s="23" t="s">
        <v>79</v>
      </c>
      <c r="K8" s="23" t="s">
        <v>653</v>
      </c>
      <c r="L8" s="123">
        <v>21800</v>
      </c>
      <c r="M8" s="123">
        <f t="shared" si="3"/>
        <v>21.8</v>
      </c>
      <c r="N8" s="23" t="s">
        <v>190</v>
      </c>
      <c r="Q8" s="23" t="s">
        <v>677</v>
      </c>
      <c r="R8" s="123">
        <f t="shared" si="0"/>
        <v>21.001000000000001</v>
      </c>
    </row>
    <row r="9" spans="1:18" hidden="1" x14ac:dyDescent="0.35">
      <c r="A9" s="23" t="s">
        <v>563</v>
      </c>
      <c r="B9" s="24">
        <f>SUMIF('Raw Jan'!B:B,'TB 0125'!A9,'Raw Jan'!C:C)</f>
        <v>12990.34</v>
      </c>
      <c r="C9" s="24">
        <f>SUMIF('Raw Jan'!B:B,'TB 0125'!A9,'Raw Jan'!D:D)</f>
        <v>0</v>
      </c>
      <c r="D9" s="24">
        <f>SUMIF('Raw Jan'!B:B,'TB 0125'!A9,'Raw Jan'!E:E)</f>
        <v>118</v>
      </c>
      <c r="E9" s="24">
        <f t="shared" si="1"/>
        <v>12872.34</v>
      </c>
      <c r="F9" s="24">
        <f t="shared" si="2"/>
        <v>12.872339999999999</v>
      </c>
      <c r="G9" s="22" t="s">
        <v>181</v>
      </c>
      <c r="H9" s="23" t="s">
        <v>78</v>
      </c>
      <c r="K9" s="23" t="s">
        <v>654</v>
      </c>
      <c r="L9" s="123">
        <v>25335</v>
      </c>
      <c r="M9" s="123">
        <f t="shared" si="3"/>
        <v>25.335000000000001</v>
      </c>
      <c r="N9" s="23" t="s">
        <v>192</v>
      </c>
      <c r="R9" s="123">
        <f>SUM(R3:R8)</f>
        <v>3024.7358600000002</v>
      </c>
    </row>
    <row r="10" spans="1:18" hidden="1" x14ac:dyDescent="0.35">
      <c r="A10" s="23" t="s">
        <v>564</v>
      </c>
      <c r="B10" s="24">
        <f>SUMIF('Raw Jan'!B:B,'TB 0125'!A10,'Raw Jan'!C:C)</f>
        <v>981398.31</v>
      </c>
      <c r="C10" s="24">
        <f>SUMIF('Raw Jan'!B:B,'TB 0125'!A10,'Raw Jan'!D:D)</f>
        <v>28050</v>
      </c>
      <c r="D10" s="24">
        <f>SUMIF('Raw Jan'!B:B,'TB 0125'!A10,'Raw Jan'!E:E)</f>
        <v>0</v>
      </c>
      <c r="E10" s="24">
        <f t="shared" si="1"/>
        <v>1009448.31</v>
      </c>
      <c r="F10" s="24">
        <f t="shared" si="2"/>
        <v>1009.4483100000001</v>
      </c>
      <c r="G10" s="22" t="s">
        <v>181</v>
      </c>
      <c r="H10" s="23" t="s">
        <v>71</v>
      </c>
      <c r="K10" s="23" t="s">
        <v>439</v>
      </c>
      <c r="L10" s="123">
        <v>123200</v>
      </c>
      <c r="M10" s="123">
        <f t="shared" si="3"/>
        <v>123.2</v>
      </c>
      <c r="N10" s="23" t="s">
        <v>192</v>
      </c>
    </row>
    <row r="11" spans="1:18" hidden="1" x14ac:dyDescent="0.35">
      <c r="A11" s="23" t="s">
        <v>693</v>
      </c>
      <c r="B11" s="24">
        <f>SUMIF('Raw Jan'!B:B,'TB 0125'!A11,'Raw Jan'!C:C)</f>
        <v>0</v>
      </c>
      <c r="C11" s="24">
        <f>SUMIF('Raw Jan'!B:B,'TB 0125'!A11,'Raw Jan'!D:D)</f>
        <v>272931.34000000003</v>
      </c>
      <c r="D11" s="24">
        <f>SUMIF('Raw Jan'!B:B,'TB 0125'!A11,'Raw Jan'!E:E)</f>
        <v>0</v>
      </c>
      <c r="E11" s="24">
        <f t="shared" si="1"/>
        <v>272931.34000000003</v>
      </c>
      <c r="F11" s="24">
        <f t="shared" si="2"/>
        <v>272.93134000000003</v>
      </c>
      <c r="G11" s="22" t="s">
        <v>181</v>
      </c>
      <c r="H11" s="23" t="s">
        <v>71</v>
      </c>
      <c r="K11" s="23" t="s">
        <v>443</v>
      </c>
      <c r="L11" s="123">
        <v>30200</v>
      </c>
      <c r="M11" s="123">
        <f t="shared" si="3"/>
        <v>30.2</v>
      </c>
      <c r="N11" s="23" t="s">
        <v>352</v>
      </c>
    </row>
    <row r="12" spans="1:18" hidden="1" x14ac:dyDescent="0.35">
      <c r="A12" s="23" t="s">
        <v>565</v>
      </c>
      <c r="B12" s="24">
        <f>SUMIF('Raw Jan'!B:B,'TB 0125'!A12,'Raw Jan'!C:C)</f>
        <v>569167.96</v>
      </c>
      <c r="C12" s="24">
        <f>SUMIF('Raw Jan'!B:B,'TB 0125'!A12,'Raw Jan'!D:D)</f>
        <v>162414.10999999999</v>
      </c>
      <c r="D12" s="24">
        <f>SUMIF('Raw Jan'!B:B,'TB 0125'!A12,'Raw Jan'!E:E)</f>
        <v>0</v>
      </c>
      <c r="E12" s="24">
        <f t="shared" si="1"/>
        <v>731582.07</v>
      </c>
      <c r="F12" s="24">
        <f t="shared" si="2"/>
        <v>731.58206999999993</v>
      </c>
      <c r="G12" s="22" t="s">
        <v>181</v>
      </c>
      <c r="H12" s="23" t="s">
        <v>79</v>
      </c>
      <c r="K12" s="23" t="s">
        <v>655</v>
      </c>
      <c r="L12" s="123">
        <v>264900</v>
      </c>
      <c r="M12" s="123">
        <f t="shared" si="3"/>
        <v>264.89999999999998</v>
      </c>
      <c r="N12" s="23" t="s">
        <v>192</v>
      </c>
    </row>
    <row r="13" spans="1:18" hidden="1" x14ac:dyDescent="0.35">
      <c r="A13" s="23" t="s">
        <v>566</v>
      </c>
      <c r="B13" s="24">
        <f>SUMIF('Raw Jan'!B:B,'TB 0125'!A13,'Raw Jan'!C:C)</f>
        <v>116747.29</v>
      </c>
      <c r="C13" s="24">
        <f>SUMIF('Raw Jan'!B:B,'TB 0125'!A13,'Raw Jan'!D:D)</f>
        <v>121617.66</v>
      </c>
      <c r="D13" s="24">
        <f>SUMIF('Raw Jan'!B:B,'TB 0125'!A13,'Raw Jan'!E:E)</f>
        <v>0</v>
      </c>
      <c r="E13" s="24">
        <f t="shared" si="1"/>
        <v>238364.95</v>
      </c>
      <c r="F13" s="24">
        <f t="shared" si="2"/>
        <v>238.36495000000002</v>
      </c>
      <c r="G13" s="22" t="s">
        <v>181</v>
      </c>
      <c r="H13" s="23" t="s">
        <v>79</v>
      </c>
      <c r="K13" s="23" t="s">
        <v>656</v>
      </c>
      <c r="L13" s="123">
        <v>123200</v>
      </c>
      <c r="M13" s="123">
        <f t="shared" si="3"/>
        <v>123.2</v>
      </c>
      <c r="N13" s="23" t="s">
        <v>192</v>
      </c>
    </row>
    <row r="14" spans="1:18" hidden="1" x14ac:dyDescent="0.35">
      <c r="A14" s="23" t="s">
        <v>567</v>
      </c>
      <c r="B14" s="24">
        <f>SUMIF('Raw Jan'!B:B,'TB 0125'!A14,'Raw Jan'!C:C)</f>
        <v>569167.98</v>
      </c>
      <c r="C14" s="24">
        <f>SUMIF('Raw Jan'!B:B,'TB 0125'!A14,'Raw Jan'!D:D)</f>
        <v>162414.10999999999</v>
      </c>
      <c r="D14" s="24">
        <f>SUMIF('Raw Jan'!B:B,'TB 0125'!A14,'Raw Jan'!E:E)</f>
        <v>0</v>
      </c>
      <c r="E14" s="24">
        <f t="shared" si="1"/>
        <v>731582.09</v>
      </c>
      <c r="F14" s="24">
        <f t="shared" si="2"/>
        <v>731.58208999999999</v>
      </c>
      <c r="G14" s="22" t="s">
        <v>181</v>
      </c>
      <c r="H14" s="23" t="s">
        <v>79</v>
      </c>
      <c r="K14" s="23" t="s">
        <v>657</v>
      </c>
      <c r="L14" s="123">
        <v>28406</v>
      </c>
      <c r="M14" s="123">
        <f t="shared" si="3"/>
        <v>28.405999999999999</v>
      </c>
      <c r="N14" s="23" t="s">
        <v>190</v>
      </c>
    </row>
    <row r="15" spans="1:18" hidden="1" x14ac:dyDescent="0.35">
      <c r="A15" s="23" t="s">
        <v>300</v>
      </c>
      <c r="B15" s="24">
        <f>SUMIF('Raw Jan'!B:B,'TB 0125'!A15,'Raw Jan'!C:C)</f>
        <v>1537167.67</v>
      </c>
      <c r="C15" s="24">
        <f>SUMIF('Raw Jan'!B:B,'TB 0125'!A15,'Raw Jan'!D:D)</f>
        <v>0</v>
      </c>
      <c r="D15" s="24">
        <f>SUMIF('Raw Jan'!B:B,'TB 0125'!A15,'Raw Jan'!E:E)</f>
        <v>0</v>
      </c>
      <c r="E15" s="24">
        <f t="shared" si="1"/>
        <v>1537167.67</v>
      </c>
      <c r="F15" s="24">
        <f t="shared" si="2"/>
        <v>1537.1676699999998</v>
      </c>
      <c r="G15" s="22" t="s">
        <v>181</v>
      </c>
      <c r="H15" s="23" t="s">
        <v>72</v>
      </c>
      <c r="K15" s="23" t="s">
        <v>450</v>
      </c>
      <c r="L15" s="123">
        <v>58200</v>
      </c>
      <c r="M15" s="123">
        <f t="shared" si="3"/>
        <v>58.2</v>
      </c>
      <c r="N15" s="23" t="s">
        <v>188</v>
      </c>
    </row>
    <row r="16" spans="1:18" hidden="1" x14ac:dyDescent="0.35">
      <c r="A16" s="23" t="s">
        <v>570</v>
      </c>
      <c r="B16" s="24">
        <f>SUMIF('Raw Jan'!B:B,'TB 0125'!A16,'Raw Jan'!C:C)</f>
        <v>38000000</v>
      </c>
      <c r="C16" s="24">
        <f>SUMIF('Raw Jan'!B:B,'TB 0125'!A16,'Raw Jan'!D:D)</f>
        <v>0</v>
      </c>
      <c r="D16" s="24">
        <f>SUMIF('Raw Jan'!B:B,'TB 0125'!A16,'Raw Jan'!E:E)</f>
        <v>0</v>
      </c>
      <c r="E16" s="24">
        <f t="shared" si="1"/>
        <v>38000000</v>
      </c>
      <c r="F16" s="24">
        <f t="shared" si="2"/>
        <v>38000</v>
      </c>
      <c r="G16" s="22" t="s">
        <v>181</v>
      </c>
      <c r="H16" s="23" t="s">
        <v>76</v>
      </c>
      <c r="K16" s="23" t="s">
        <v>451</v>
      </c>
      <c r="L16" s="123">
        <v>223200</v>
      </c>
      <c r="M16" s="123">
        <f t="shared" si="3"/>
        <v>223.2</v>
      </c>
      <c r="N16" s="23" t="s">
        <v>192</v>
      </c>
    </row>
    <row r="17" spans="1:14" hidden="1" x14ac:dyDescent="0.35">
      <c r="A17" s="23" t="s">
        <v>642</v>
      </c>
      <c r="B17" s="24">
        <f>SUMIF('Raw Jan'!B:B,'TB 0125'!A17,'Raw Jan'!C:C)</f>
        <v>6000000</v>
      </c>
      <c r="C17" s="24">
        <f>SUMIF('Raw Jan'!B:B,'TB 0125'!A17,'Raw Jan'!D:D)</f>
        <v>0</v>
      </c>
      <c r="D17" s="24">
        <f>SUMIF('Raw Jan'!B:B,'TB 0125'!A17,'Raw Jan'!E:E)</f>
        <v>0</v>
      </c>
      <c r="E17" s="24">
        <f t="shared" si="1"/>
        <v>6000000</v>
      </c>
      <c r="F17" s="24">
        <f t="shared" si="2"/>
        <v>6000</v>
      </c>
      <c r="G17" s="22" t="s">
        <v>181</v>
      </c>
      <c r="H17" s="23" t="s">
        <v>76</v>
      </c>
      <c r="K17" s="23" t="s">
        <v>446</v>
      </c>
      <c r="L17" s="123">
        <v>26800</v>
      </c>
      <c r="M17" s="123">
        <f t="shared" si="3"/>
        <v>26.8</v>
      </c>
      <c r="N17" s="23" t="s">
        <v>188</v>
      </c>
    </row>
    <row r="18" spans="1:14" hidden="1" x14ac:dyDescent="0.35">
      <c r="A18" s="23" t="s">
        <v>643</v>
      </c>
      <c r="B18" s="24">
        <f>SUMIF('Raw Jan'!B:B,'TB 0125'!A18,'Raw Jan'!C:C)</f>
        <v>2000000</v>
      </c>
      <c r="C18" s="24">
        <f>SUMIF('Raw Jan'!B:B,'TB 0125'!A18,'Raw Jan'!D:D)</f>
        <v>0</v>
      </c>
      <c r="D18" s="24">
        <f>SUMIF('Raw Jan'!B:B,'TB 0125'!A18,'Raw Jan'!E:E)</f>
        <v>2000000</v>
      </c>
      <c r="E18" s="24">
        <f t="shared" si="1"/>
        <v>0</v>
      </c>
      <c r="F18" s="24">
        <f t="shared" si="2"/>
        <v>0</v>
      </c>
      <c r="G18" s="22" t="s">
        <v>181</v>
      </c>
      <c r="H18" s="23" t="s">
        <v>76</v>
      </c>
      <c r="K18" s="23" t="s">
        <v>658</v>
      </c>
      <c r="L18" s="123">
        <v>248200</v>
      </c>
      <c r="M18" s="123">
        <f t="shared" si="3"/>
        <v>248.2</v>
      </c>
      <c r="N18" s="23" t="s">
        <v>192</v>
      </c>
    </row>
    <row r="19" spans="1:14" hidden="1" x14ac:dyDescent="0.35">
      <c r="A19" s="23" t="s">
        <v>644</v>
      </c>
      <c r="B19" s="24">
        <f>SUMIF('Raw Jan'!B:B,'TB 0125'!A19,'Raw Jan'!C:C)</f>
        <v>1000000</v>
      </c>
      <c r="C19" s="24">
        <f>SUMIF('Raw Jan'!B:B,'TB 0125'!A19,'Raw Jan'!D:D)</f>
        <v>0</v>
      </c>
      <c r="D19" s="24">
        <f>SUMIF('Raw Jan'!B:B,'TB 0125'!A19,'Raw Jan'!E:E)</f>
        <v>1000000</v>
      </c>
      <c r="E19" s="24">
        <f t="shared" si="1"/>
        <v>0</v>
      </c>
      <c r="F19" s="24">
        <f t="shared" si="2"/>
        <v>0</v>
      </c>
      <c r="G19" s="22" t="s">
        <v>181</v>
      </c>
      <c r="H19" s="23" t="s">
        <v>76</v>
      </c>
      <c r="K19" s="23" t="s">
        <v>454</v>
      </c>
      <c r="L19" s="123">
        <v>27406</v>
      </c>
      <c r="M19" s="123">
        <f t="shared" si="3"/>
        <v>27.405999999999999</v>
      </c>
      <c r="N19" s="23" t="s">
        <v>190</v>
      </c>
    </row>
    <row r="20" spans="1:14" hidden="1" x14ac:dyDescent="0.35">
      <c r="A20" s="23" t="s">
        <v>694</v>
      </c>
      <c r="B20" s="24">
        <f>SUMIF('Raw Jan'!B:B,'TB 0125'!A20,'Raw Jan'!C:C)</f>
        <v>0</v>
      </c>
      <c r="C20" s="24">
        <f>SUMIF('Raw Jan'!B:B,'TB 0125'!A20,'Raw Jan'!D:D)</f>
        <v>7500000</v>
      </c>
      <c r="D20" s="24">
        <f>SUMIF('Raw Jan'!B:B,'TB 0125'!A20,'Raw Jan'!E:E)</f>
        <v>0</v>
      </c>
      <c r="E20" s="24">
        <f t="shared" si="1"/>
        <v>7500000</v>
      </c>
      <c r="F20" s="24">
        <f t="shared" si="2"/>
        <v>7500</v>
      </c>
      <c r="G20" s="22" t="s">
        <v>181</v>
      </c>
      <c r="H20" s="23" t="s">
        <v>76</v>
      </c>
      <c r="K20" s="23" t="s">
        <v>659</v>
      </c>
      <c r="L20" s="123">
        <v>21001</v>
      </c>
      <c r="M20" s="123">
        <f t="shared" si="3"/>
        <v>21.001000000000001</v>
      </c>
      <c r="N20" s="23" t="s">
        <v>268</v>
      </c>
    </row>
    <row r="21" spans="1:14" hidden="1" x14ac:dyDescent="0.35">
      <c r="A21" s="23" t="s">
        <v>695</v>
      </c>
      <c r="B21" s="24">
        <f>SUMIF('Raw Jan'!B:B,'TB 0125'!A21,'Raw Jan'!C:C)</f>
        <v>0</v>
      </c>
      <c r="C21" s="24">
        <f>SUMIF('Raw Jan'!B:B,'TB 0125'!A21,'Raw Jan'!D:D)</f>
        <v>350000000</v>
      </c>
      <c r="D21" s="24">
        <f>SUMIF('Raw Jan'!B:B,'TB 0125'!A21,'Raw Jan'!E:E)</f>
        <v>0</v>
      </c>
      <c r="E21" s="24">
        <f t="shared" si="1"/>
        <v>350000000</v>
      </c>
      <c r="F21" s="24">
        <f t="shared" si="2"/>
        <v>350000</v>
      </c>
      <c r="G21" s="22" t="s">
        <v>181</v>
      </c>
      <c r="H21" s="23" t="s">
        <v>76</v>
      </c>
      <c r="K21" s="23" t="s">
        <v>660</v>
      </c>
      <c r="L21" s="123">
        <v>32000</v>
      </c>
      <c r="M21" s="123">
        <f t="shared" si="3"/>
        <v>32</v>
      </c>
      <c r="N21" s="23" t="s">
        <v>268</v>
      </c>
    </row>
    <row r="22" spans="1:14" hidden="1" x14ac:dyDescent="0.35">
      <c r="A22" s="23" t="s">
        <v>696</v>
      </c>
      <c r="B22" s="24">
        <f>SUMIF('Raw Jan'!B:B,'TB 0125'!A22,'Raw Jan'!C:C)</f>
        <v>0</v>
      </c>
      <c r="C22" s="24">
        <f>SUMIF('Raw Jan'!B:B,'TB 0125'!A22,'Raw Jan'!D:D)</f>
        <v>35000000</v>
      </c>
      <c r="D22" s="24">
        <f>SUMIF('Raw Jan'!B:B,'TB 0125'!A22,'Raw Jan'!E:E)</f>
        <v>0</v>
      </c>
      <c r="E22" s="24">
        <f t="shared" si="1"/>
        <v>35000000</v>
      </c>
      <c r="F22" s="24">
        <f t="shared" si="2"/>
        <v>35000</v>
      </c>
      <c r="G22" s="22" t="s">
        <v>181</v>
      </c>
      <c r="H22" s="23" t="s">
        <v>76</v>
      </c>
      <c r="K22" s="23" t="s">
        <v>661</v>
      </c>
      <c r="L22" s="123">
        <v>73381</v>
      </c>
      <c r="M22" s="123">
        <f t="shared" si="3"/>
        <v>73.381</v>
      </c>
      <c r="N22" s="23" t="s">
        <v>192</v>
      </c>
    </row>
    <row r="23" spans="1:14" hidden="1" x14ac:dyDescent="0.35">
      <c r="A23" s="23" t="s">
        <v>697</v>
      </c>
      <c r="B23" s="24">
        <f>SUMIF('Raw Jan'!B:B,'TB 0125'!A23,'Raw Jan'!C:C)</f>
        <v>0</v>
      </c>
      <c r="C23" s="24">
        <f>SUMIF('Raw Jan'!B:B,'TB 0125'!A23,'Raw Jan'!D:D)</f>
        <v>476477617.63999999</v>
      </c>
      <c r="D23" s="24">
        <f>SUMIF('Raw Jan'!B:B,'TB 0125'!A23,'Raw Jan'!E:E)</f>
        <v>476477617.63999999</v>
      </c>
      <c r="E23" s="24">
        <f t="shared" si="1"/>
        <v>0</v>
      </c>
      <c r="F23" s="24">
        <f t="shared" si="2"/>
        <v>0</v>
      </c>
      <c r="G23" s="22" t="s">
        <v>181</v>
      </c>
      <c r="H23" s="23" t="s">
        <v>78</v>
      </c>
      <c r="K23" s="23" t="s">
        <v>444</v>
      </c>
      <c r="L23" s="123">
        <v>69050</v>
      </c>
      <c r="M23" s="123">
        <f t="shared" si="3"/>
        <v>69.05</v>
      </c>
      <c r="N23" s="23" t="s">
        <v>192</v>
      </c>
    </row>
    <row r="24" spans="1:14" hidden="1" x14ac:dyDescent="0.35">
      <c r="A24" s="23" t="s">
        <v>572</v>
      </c>
      <c r="B24" s="24">
        <f>SUMIF('Raw Jan'!B:B,'TB 0125'!A24,'Raw Jan'!C:C)</f>
        <v>1435986.2</v>
      </c>
      <c r="C24" s="24">
        <f>SUMIF('Raw Jan'!B:B,'TB 0125'!A24,'Raw Jan'!D:D)</f>
        <v>552982749.55999994</v>
      </c>
      <c r="D24" s="24">
        <f>SUMIF('Raw Jan'!B:B,'TB 0125'!A24,'Raw Jan'!E:E)</f>
        <v>554200000</v>
      </c>
      <c r="E24" s="24">
        <f t="shared" si="1"/>
        <v>218735.75999999046</v>
      </c>
      <c r="F24" s="24">
        <f t="shared" si="2"/>
        <v>218.73575999999045</v>
      </c>
      <c r="G24" s="22" t="s">
        <v>181</v>
      </c>
      <c r="H24" s="23" t="s">
        <v>78</v>
      </c>
      <c r="K24" s="23" t="s">
        <v>447</v>
      </c>
      <c r="L24" s="123">
        <v>76000</v>
      </c>
      <c r="M24" s="123">
        <f t="shared" si="3"/>
        <v>76</v>
      </c>
      <c r="N24" s="23" t="s">
        <v>192</v>
      </c>
    </row>
    <row r="25" spans="1:14" hidden="1" x14ac:dyDescent="0.35">
      <c r="A25" s="23" t="s">
        <v>573</v>
      </c>
      <c r="B25" s="24">
        <f>SUMIF('Raw Jan'!B:B,'TB 0125'!A25,'Raw Jan'!C:C)</f>
        <v>162735.60999999999</v>
      </c>
      <c r="C25" s="24">
        <f>SUMIF('Raw Jan'!B:B,'TB 0125'!A25,'Raw Jan'!D:D)</f>
        <v>13249393.859999999</v>
      </c>
      <c r="D25" s="24">
        <f>SUMIF('Raw Jan'!B:B,'TB 0125'!A25,'Raw Jan'!E:E)</f>
        <v>10418590.02</v>
      </c>
      <c r="E25" s="24">
        <f t="shared" si="1"/>
        <v>2993539.4499999993</v>
      </c>
      <c r="F25" s="24">
        <f t="shared" si="2"/>
        <v>2993.5394499999993</v>
      </c>
      <c r="G25" s="22" t="s">
        <v>181</v>
      </c>
      <c r="H25" s="23" t="s">
        <v>78</v>
      </c>
      <c r="K25" s="23" t="s">
        <v>662</v>
      </c>
      <c r="L25" s="123">
        <v>52800</v>
      </c>
      <c r="M25" s="123">
        <f t="shared" si="3"/>
        <v>52.8</v>
      </c>
      <c r="N25" s="23" t="s">
        <v>192</v>
      </c>
    </row>
    <row r="26" spans="1:14" hidden="1" x14ac:dyDescent="0.35">
      <c r="A26" s="23" t="s">
        <v>231</v>
      </c>
      <c r="B26" s="24">
        <f>SUMIF('Raw Jan'!B:B,'TB 0125'!A26,'Raw Jan'!C:C)</f>
        <v>55864.5</v>
      </c>
      <c r="C26" s="24">
        <f>SUMIF('Raw Jan'!B:B,'TB 0125'!A26,'Raw Jan'!D:D)</f>
        <v>0</v>
      </c>
      <c r="D26" s="24">
        <f>SUMIF('Raw Jan'!B:B,'TB 0125'!A26,'Raw Jan'!E:E)</f>
        <v>0</v>
      </c>
      <c r="E26" s="24">
        <f t="shared" si="1"/>
        <v>55864.5</v>
      </c>
      <c r="F26" s="24">
        <f t="shared" si="2"/>
        <v>55.8645</v>
      </c>
      <c r="G26" s="22" t="s">
        <v>181</v>
      </c>
      <c r="H26" s="23" t="s">
        <v>71</v>
      </c>
      <c r="K26" s="23" t="s">
        <v>445</v>
      </c>
      <c r="L26" s="123">
        <v>25000</v>
      </c>
      <c r="M26" s="123">
        <f t="shared" si="3"/>
        <v>25</v>
      </c>
      <c r="N26" s="23" t="s">
        <v>188</v>
      </c>
    </row>
    <row r="27" spans="1:14" hidden="1" x14ac:dyDescent="0.35">
      <c r="A27" s="23" t="s">
        <v>574</v>
      </c>
      <c r="B27" s="24">
        <f>SUMIF('Raw Jan'!B:B,'TB 0125'!A27,'Raw Jan'!C:C)</f>
        <v>0</v>
      </c>
      <c r="C27" s="24">
        <f>SUMIF('Raw Jan'!B:B,'TB 0125'!A27,'Raw Jan'!D:D)</f>
        <v>10000</v>
      </c>
      <c r="D27" s="24">
        <f>SUMIF('Raw Jan'!B:B,'TB 0125'!A27,'Raw Jan'!E:E)</f>
        <v>10000</v>
      </c>
      <c r="E27" s="24">
        <f t="shared" si="1"/>
        <v>0</v>
      </c>
      <c r="F27" s="24">
        <f t="shared" si="2"/>
        <v>0</v>
      </c>
      <c r="G27" s="22" t="s">
        <v>181</v>
      </c>
      <c r="H27" s="23" t="s">
        <v>78</v>
      </c>
      <c r="K27" s="23" t="s">
        <v>663</v>
      </c>
      <c r="L27" s="123">
        <v>29600</v>
      </c>
      <c r="M27" s="123">
        <f t="shared" si="3"/>
        <v>29.6</v>
      </c>
      <c r="N27" s="23" t="s">
        <v>192</v>
      </c>
    </row>
    <row r="28" spans="1:14" hidden="1" x14ac:dyDescent="0.35">
      <c r="A28" s="23" t="s">
        <v>575</v>
      </c>
      <c r="B28" s="24">
        <f>SUMIF('Raw Jan'!B:B,'TB 0125'!A28,'Raw Jan'!C:C)</f>
        <v>76125.59</v>
      </c>
      <c r="C28" s="24">
        <f>SUMIF('Raw Jan'!B:B,'TB 0125'!A28,'Raw Jan'!D:D)</f>
        <v>500000</v>
      </c>
      <c r="D28" s="24">
        <f>SUMIF('Raw Jan'!B:B,'TB 0125'!A28,'Raw Jan'!E:E)</f>
        <v>45192.25</v>
      </c>
      <c r="E28" s="24">
        <f t="shared" si="1"/>
        <v>530933.34</v>
      </c>
      <c r="F28" s="24">
        <f t="shared" si="2"/>
        <v>530.93333999999993</v>
      </c>
      <c r="G28" s="22" t="s">
        <v>181</v>
      </c>
      <c r="H28" s="23" t="s">
        <v>79</v>
      </c>
      <c r="K28" s="23" t="s">
        <v>664</v>
      </c>
      <c r="L28" s="123">
        <v>29800</v>
      </c>
      <c r="M28" s="123">
        <f t="shared" si="3"/>
        <v>29.8</v>
      </c>
      <c r="N28" s="23" t="s">
        <v>268</v>
      </c>
    </row>
    <row r="29" spans="1:14" hidden="1" x14ac:dyDescent="0.35">
      <c r="A29" s="23" t="s">
        <v>376</v>
      </c>
      <c r="B29" s="24">
        <f>SUMIF('Raw Jan'!B:B,'TB 0125'!A29,'Raw Jan'!C:C)</f>
        <v>42586.12</v>
      </c>
      <c r="C29" s="24">
        <f>SUMIF('Raw Jan'!B:B,'TB 0125'!A29,'Raw Jan'!D:D)</f>
        <v>492183</v>
      </c>
      <c r="D29" s="24">
        <f>SUMIF('Raw Jan'!B:B,'TB 0125'!A29,'Raw Jan'!E:E)</f>
        <v>472557.55</v>
      </c>
      <c r="E29" s="24">
        <f t="shared" si="1"/>
        <v>62211.570000000007</v>
      </c>
      <c r="F29" s="24">
        <f t="shared" si="2"/>
        <v>62.211570000000009</v>
      </c>
      <c r="G29" s="22" t="s">
        <v>180</v>
      </c>
      <c r="H29" s="23" t="s">
        <v>67</v>
      </c>
      <c r="K29" s="23" t="s">
        <v>665</v>
      </c>
      <c r="L29" s="123">
        <v>21001</v>
      </c>
      <c r="M29" s="123">
        <f t="shared" si="3"/>
        <v>21.001000000000001</v>
      </c>
      <c r="N29" s="23" t="s">
        <v>677</v>
      </c>
    </row>
    <row r="30" spans="1:14" hidden="1" x14ac:dyDescent="0.35">
      <c r="A30" s="23" t="s">
        <v>576</v>
      </c>
      <c r="B30" s="24">
        <f>SUMIF('Raw Jan'!B:B,'TB 0125'!A30,'Raw Jan'!C:C)</f>
        <v>-1166804.24</v>
      </c>
      <c r="C30" s="24">
        <f>SUMIF('Raw Jan'!B:B,'TB 0125'!A30,'Raw Jan'!D:D)</f>
        <v>97081</v>
      </c>
      <c r="D30" s="24">
        <f>SUMIF('Raw Jan'!B:B,'TB 0125'!A30,'Raw Jan'!E:E)</f>
        <v>1521796.71</v>
      </c>
      <c r="E30" s="24">
        <f t="shared" si="1"/>
        <v>-2591519.9500000002</v>
      </c>
      <c r="F30" s="24">
        <f t="shared" si="2"/>
        <v>-2591.5199500000003</v>
      </c>
      <c r="G30" s="22" t="s">
        <v>181</v>
      </c>
      <c r="H30" s="23" t="s">
        <v>77</v>
      </c>
      <c r="K30" s="23" t="s">
        <v>650</v>
      </c>
      <c r="L30" s="123">
        <v>270790</v>
      </c>
      <c r="M30" s="123">
        <f t="shared" si="3"/>
        <v>270.79000000000002</v>
      </c>
      <c r="N30" s="23" t="s">
        <v>192</v>
      </c>
    </row>
    <row r="31" spans="1:14" hidden="1" x14ac:dyDescent="0.35">
      <c r="A31" s="23" t="s">
        <v>577</v>
      </c>
      <c r="B31" s="24">
        <f>SUMIF('Raw Jan'!B:B,'TB 0125'!A31,'Raw Jan'!C:C)</f>
        <v>275682.96000000002</v>
      </c>
      <c r="C31" s="24">
        <f>SUMIF('Raw Jan'!B:B,'TB 0125'!A31,'Raw Jan'!D:D)</f>
        <v>14263.62</v>
      </c>
      <c r="D31" s="24">
        <f>SUMIF('Raw Jan'!B:B,'TB 0125'!A31,'Raw Jan'!E:E)</f>
        <v>0</v>
      </c>
      <c r="E31" s="24">
        <f t="shared" si="1"/>
        <v>289946.58</v>
      </c>
      <c r="F31" s="24">
        <f t="shared" si="2"/>
        <v>289.94658000000004</v>
      </c>
      <c r="G31" s="22" t="s">
        <v>181</v>
      </c>
      <c r="H31" s="23" t="s">
        <v>79</v>
      </c>
      <c r="K31" s="23" t="s">
        <v>666</v>
      </c>
      <c r="L31" s="123">
        <v>468979</v>
      </c>
      <c r="M31" s="123">
        <f t="shared" si="3"/>
        <v>468.97899999999998</v>
      </c>
      <c r="N31" s="23" t="s">
        <v>192</v>
      </c>
    </row>
    <row r="32" spans="1:14" hidden="1" x14ac:dyDescent="0.35">
      <c r="A32" s="23" t="s">
        <v>146</v>
      </c>
      <c r="B32" s="24">
        <f>SUMIF('Raw Jan'!B:B,'TB 0125'!A32,'Raw Jan'!C:C)</f>
        <v>1080000</v>
      </c>
      <c r="C32" s="24">
        <f>SUMIF('Raw Jan'!B:B,'TB 0125'!A32,'Raw Jan'!D:D)</f>
        <v>600000</v>
      </c>
      <c r="D32" s="24">
        <f>SUMIF('Raw Jan'!B:B,'TB 0125'!A32,'Raw Jan'!E:E)</f>
        <v>0</v>
      </c>
      <c r="E32" s="24">
        <f t="shared" si="1"/>
        <v>1680000</v>
      </c>
      <c r="F32" s="24">
        <f t="shared" si="2"/>
        <v>1680</v>
      </c>
      <c r="G32" s="22" t="s">
        <v>181</v>
      </c>
      <c r="H32" s="23" t="s">
        <v>73</v>
      </c>
      <c r="K32" s="23" t="s">
        <v>667</v>
      </c>
      <c r="L32" s="123">
        <v>14709</v>
      </c>
      <c r="M32" s="123">
        <f t="shared" si="3"/>
        <v>14.709</v>
      </c>
      <c r="N32" s="23" t="s">
        <v>188</v>
      </c>
    </row>
    <row r="33" spans="1:14" hidden="1" x14ac:dyDescent="0.35">
      <c r="A33" s="23" t="s">
        <v>345</v>
      </c>
      <c r="B33" s="24">
        <f>SUMIF('Raw Jan'!B:B,'TB 0125'!A33,'Raw Jan'!C:C)</f>
        <v>116633</v>
      </c>
      <c r="C33" s="24">
        <f>SUMIF('Raw Jan'!B:B,'TB 0125'!A33,'Raw Jan'!D:D)</f>
        <v>84972</v>
      </c>
      <c r="D33" s="24">
        <f>SUMIF('Raw Jan'!B:B,'TB 0125'!A33,'Raw Jan'!E:E)</f>
        <v>0</v>
      </c>
      <c r="E33" s="24">
        <f t="shared" si="1"/>
        <v>201605</v>
      </c>
      <c r="F33" s="24">
        <f t="shared" si="2"/>
        <v>201.60499999999999</v>
      </c>
      <c r="G33" s="22" t="s">
        <v>181</v>
      </c>
      <c r="H33" s="23" t="s">
        <v>79</v>
      </c>
      <c r="K33" s="23" t="s">
        <v>668</v>
      </c>
      <c r="L33" s="123">
        <v>10839</v>
      </c>
      <c r="M33" s="123">
        <f t="shared" si="3"/>
        <v>10.839</v>
      </c>
      <c r="N33" s="23" t="s">
        <v>188</v>
      </c>
    </row>
    <row r="34" spans="1:14" hidden="1" x14ac:dyDescent="0.35">
      <c r="A34" s="23" t="s">
        <v>427</v>
      </c>
      <c r="B34" s="24">
        <f>SUMIF('Raw Jan'!B:B,'TB 0125'!A34,'Raw Jan'!C:C)</f>
        <v>-1406951.52</v>
      </c>
      <c r="C34" s="24">
        <f>SUMIF('Raw Jan'!B:B,'TB 0125'!A34,'Raw Jan'!D:D)</f>
        <v>10005514.57</v>
      </c>
      <c r="D34" s="24">
        <f>SUMIF('Raw Jan'!B:B,'TB 0125'!A34,'Raw Jan'!E:E)</f>
        <v>10329028.869999999</v>
      </c>
      <c r="E34" s="24">
        <f t="shared" si="1"/>
        <v>-1730465.8199999984</v>
      </c>
      <c r="F34" s="24">
        <f t="shared" si="2"/>
        <v>-1730.4658199999985</v>
      </c>
      <c r="G34" s="22" t="s">
        <v>180</v>
      </c>
      <c r="H34" s="23" t="s">
        <v>67</v>
      </c>
      <c r="K34" s="23" t="s">
        <v>669</v>
      </c>
      <c r="L34" s="123">
        <v>55000</v>
      </c>
      <c r="M34" s="123">
        <f t="shared" si="3"/>
        <v>55</v>
      </c>
      <c r="N34" s="23" t="s">
        <v>192</v>
      </c>
    </row>
    <row r="35" spans="1:14" hidden="1" x14ac:dyDescent="0.35">
      <c r="A35" s="23" t="s">
        <v>423</v>
      </c>
      <c r="B35" s="24">
        <f>SUMIF('Raw Jan'!B:B,'TB 0125'!A35,'Raw Jan'!C:C)</f>
        <v>-141295.26999999999</v>
      </c>
      <c r="C35" s="24">
        <f>SUMIF('Raw Jan'!B:B,'TB 0125'!A35,'Raw Jan'!D:D)</f>
        <v>25635</v>
      </c>
      <c r="D35" s="24">
        <f>SUMIF('Raw Jan'!B:B,'TB 0125'!A35,'Raw Jan'!E:E)</f>
        <v>97081</v>
      </c>
      <c r="E35" s="24">
        <f t="shared" si="1"/>
        <v>-212741.27</v>
      </c>
      <c r="F35" s="24">
        <f t="shared" si="2"/>
        <v>-212.74126999999999</v>
      </c>
      <c r="G35" s="22" t="s">
        <v>180</v>
      </c>
      <c r="H35" s="23" t="s">
        <v>68</v>
      </c>
      <c r="K35" s="23" t="s">
        <v>670</v>
      </c>
      <c r="L35" s="123">
        <v>100000</v>
      </c>
      <c r="M35" s="123">
        <f t="shared" si="3"/>
        <v>100</v>
      </c>
      <c r="N35" s="23" t="s">
        <v>192</v>
      </c>
    </row>
    <row r="36" spans="1:14" hidden="1" x14ac:dyDescent="0.35">
      <c r="A36" s="23" t="s">
        <v>578</v>
      </c>
      <c r="B36" s="24">
        <f>SUMIF('Raw Jan'!B:B,'TB 0125'!A36,'Raw Jan'!C:C)</f>
        <v>-36208</v>
      </c>
      <c r="C36" s="24">
        <f>SUMIF('Raw Jan'!B:B,'TB 0125'!A36,'Raw Jan'!D:D)</f>
        <v>36208</v>
      </c>
      <c r="D36" s="24">
        <f>SUMIF('Raw Jan'!B:B,'TB 0125'!A36,'Raw Jan'!E:E)</f>
        <v>79600</v>
      </c>
      <c r="E36" s="24">
        <f t="shared" si="1"/>
        <v>-79600</v>
      </c>
      <c r="F36" s="24">
        <f t="shared" si="2"/>
        <v>-79.599999999999994</v>
      </c>
      <c r="G36" s="22" t="s">
        <v>180</v>
      </c>
      <c r="H36" s="23" t="s">
        <v>68</v>
      </c>
      <c r="K36" s="23" t="s">
        <v>671</v>
      </c>
      <c r="L36" s="123">
        <v>21000</v>
      </c>
      <c r="M36" s="123">
        <f t="shared" si="3"/>
        <v>21</v>
      </c>
      <c r="N36" s="23" t="s">
        <v>192</v>
      </c>
    </row>
    <row r="37" spans="1:14" hidden="1" x14ac:dyDescent="0.35">
      <c r="A37" s="23" t="s">
        <v>579</v>
      </c>
      <c r="B37" s="24">
        <f>SUMIF('Raw Jan'!B:B,'TB 0125'!A37,'Raw Jan'!C:C)</f>
        <v>-55123.18</v>
      </c>
      <c r="C37" s="24">
        <f>SUMIF('Raw Jan'!B:B,'TB 0125'!A37,'Raw Jan'!D:D)</f>
        <v>27631</v>
      </c>
      <c r="D37" s="24">
        <f>SUMIF('Raw Jan'!B:B,'TB 0125'!A37,'Raw Jan'!E:E)</f>
        <v>59620.5</v>
      </c>
      <c r="E37" s="24">
        <f t="shared" si="1"/>
        <v>-87112.68</v>
      </c>
      <c r="F37" s="24">
        <f t="shared" si="2"/>
        <v>-87.112679999999997</v>
      </c>
      <c r="G37" s="22" t="s">
        <v>181</v>
      </c>
      <c r="H37" s="23" t="s">
        <v>79</v>
      </c>
      <c r="K37" s="23" t="s">
        <v>649</v>
      </c>
      <c r="L37" s="123">
        <v>18000</v>
      </c>
      <c r="M37" s="123">
        <f t="shared" si="3"/>
        <v>18</v>
      </c>
      <c r="N37" s="23" t="s">
        <v>268</v>
      </c>
    </row>
    <row r="38" spans="1:14" hidden="1" x14ac:dyDescent="0.35">
      <c r="A38" s="23" t="s">
        <v>580</v>
      </c>
      <c r="B38" s="24">
        <f>SUMIF('Raw Jan'!B:B,'TB 0125'!A38,'Raw Jan'!C:C)</f>
        <v>-4807.96</v>
      </c>
      <c r="C38" s="24">
        <f>SUMIF('Raw Jan'!B:B,'TB 0125'!A38,'Raw Jan'!D:D)</f>
        <v>4808</v>
      </c>
      <c r="D38" s="24">
        <f>SUMIF('Raw Jan'!B:B,'TB 0125'!A38,'Raw Jan'!E:E)</f>
        <v>6463.62</v>
      </c>
      <c r="E38" s="24">
        <f t="shared" si="1"/>
        <v>-6463.58</v>
      </c>
      <c r="F38" s="24">
        <f t="shared" si="2"/>
        <v>-6.4635800000000003</v>
      </c>
      <c r="G38" s="22" t="s">
        <v>181</v>
      </c>
      <c r="H38" s="23" t="s">
        <v>79</v>
      </c>
      <c r="K38" s="23" t="s">
        <v>672</v>
      </c>
      <c r="L38" s="123">
        <v>20000</v>
      </c>
      <c r="M38" s="123">
        <f t="shared" si="3"/>
        <v>20</v>
      </c>
      <c r="N38" s="23" t="s">
        <v>192</v>
      </c>
    </row>
    <row r="39" spans="1:14" hidden="1" x14ac:dyDescent="0.35">
      <c r="A39" s="23" t="s">
        <v>581</v>
      </c>
      <c r="B39" s="24">
        <f>SUMIF('Raw Jan'!B:B,'TB 0125'!A39,'Raw Jan'!C:C)</f>
        <v>-55123.18</v>
      </c>
      <c r="C39" s="24">
        <f>SUMIF('Raw Jan'!B:B,'TB 0125'!A39,'Raw Jan'!D:D)</f>
        <v>27631</v>
      </c>
      <c r="D39" s="24">
        <f>SUMIF('Raw Jan'!B:B,'TB 0125'!A39,'Raw Jan'!E:E)</f>
        <v>59620.5</v>
      </c>
      <c r="E39" s="24">
        <f t="shared" si="1"/>
        <v>-87112.68</v>
      </c>
      <c r="F39" s="24">
        <f t="shared" si="2"/>
        <v>-87.112679999999997</v>
      </c>
      <c r="G39" s="22" t="s">
        <v>181</v>
      </c>
      <c r="H39" s="23" t="s">
        <v>79</v>
      </c>
      <c r="K39" s="23" t="s">
        <v>673</v>
      </c>
      <c r="L39" s="123">
        <v>12612.9</v>
      </c>
      <c r="M39" s="123">
        <f t="shared" si="3"/>
        <v>12.6129</v>
      </c>
      <c r="N39" s="23" t="s">
        <v>192</v>
      </c>
    </row>
    <row r="40" spans="1:14" hidden="1" x14ac:dyDescent="0.35">
      <c r="A40" s="23" t="s">
        <v>302</v>
      </c>
      <c r="B40" s="24">
        <f>SUMIF('Raw Jan'!B:B,'TB 0125'!A40,'Raw Jan'!C:C)</f>
        <v>-575</v>
      </c>
      <c r="C40" s="24">
        <f>SUMIF('Raw Jan'!B:B,'TB 0125'!A40,'Raw Jan'!D:D)</f>
        <v>2320.35</v>
      </c>
      <c r="D40" s="24">
        <f>SUMIF('Raw Jan'!B:B,'TB 0125'!A40,'Raw Jan'!E:E)</f>
        <v>1745.35</v>
      </c>
      <c r="E40" s="24">
        <f t="shared" si="1"/>
        <v>0</v>
      </c>
      <c r="F40" s="24">
        <f t="shared" si="2"/>
        <v>0</v>
      </c>
      <c r="G40" s="22" t="s">
        <v>180</v>
      </c>
      <c r="H40" s="23" t="s">
        <v>68</v>
      </c>
      <c r="K40" s="23" t="s">
        <v>674</v>
      </c>
      <c r="L40" s="123">
        <v>5161.29</v>
      </c>
      <c r="M40" s="123">
        <f t="shared" si="3"/>
        <v>5.1612900000000002</v>
      </c>
      <c r="N40" s="23" t="s">
        <v>268</v>
      </c>
    </row>
    <row r="41" spans="1:14" hidden="1" x14ac:dyDescent="0.35">
      <c r="A41" s="23" t="s">
        <v>582</v>
      </c>
      <c r="B41" s="24">
        <f>SUMIF('Raw Jan'!B:B,'TB 0125'!A41,'Raw Jan'!C:C)</f>
        <v>-4200</v>
      </c>
      <c r="C41" s="24">
        <f>SUMIF('Raw Jan'!B:B,'TB 0125'!A41,'Raw Jan'!D:D)</f>
        <v>4200</v>
      </c>
      <c r="D41" s="24">
        <f>SUMIF('Raw Jan'!B:B,'TB 0125'!A41,'Raw Jan'!E:E)</f>
        <v>5000</v>
      </c>
      <c r="E41" s="24">
        <f t="shared" si="1"/>
        <v>-5000</v>
      </c>
      <c r="F41" s="24">
        <f t="shared" si="2"/>
        <v>-5</v>
      </c>
      <c r="G41" s="22" t="s">
        <v>180</v>
      </c>
      <c r="H41" s="23" t="s">
        <v>68</v>
      </c>
      <c r="K41" s="23" t="s">
        <v>675</v>
      </c>
      <c r="L41" s="123">
        <v>100000</v>
      </c>
      <c r="M41" s="123">
        <f t="shared" si="3"/>
        <v>100</v>
      </c>
      <c r="N41" s="23" t="s">
        <v>192</v>
      </c>
    </row>
    <row r="42" spans="1:14" hidden="1" x14ac:dyDescent="0.35">
      <c r="A42" s="23" t="s">
        <v>583</v>
      </c>
      <c r="B42" s="24">
        <f>SUMIF('Raw Jan'!B:B,'TB 0125'!A42,'Raw Jan'!C:C)</f>
        <v>-41400</v>
      </c>
      <c r="C42" s="24">
        <f>SUMIF('Raw Jan'!B:B,'TB 0125'!A42,'Raw Jan'!D:D)</f>
        <v>41400</v>
      </c>
      <c r="D42" s="24">
        <f>SUMIF('Raw Jan'!B:B,'TB 0125'!A42,'Raw Jan'!E:E)</f>
        <v>49099</v>
      </c>
      <c r="E42" s="24">
        <f t="shared" si="1"/>
        <v>-49099</v>
      </c>
      <c r="F42" s="24">
        <f t="shared" si="2"/>
        <v>-49.098999999999997</v>
      </c>
      <c r="G42" s="22" t="s">
        <v>180</v>
      </c>
      <c r="H42" s="23" t="s">
        <v>68</v>
      </c>
      <c r="K42" s="23" t="s">
        <v>709</v>
      </c>
      <c r="L42" s="161">
        <v>1745.35</v>
      </c>
      <c r="M42" s="123">
        <f t="shared" si="3"/>
        <v>1.74535</v>
      </c>
      <c r="N42" s="23" t="s">
        <v>192</v>
      </c>
    </row>
    <row r="43" spans="1:14" hidden="1" x14ac:dyDescent="0.35">
      <c r="A43" s="23" t="s">
        <v>584</v>
      </c>
      <c r="B43" s="24">
        <f>SUMIF('Raw Jan'!B:B,'TB 0125'!A43,'Raw Jan'!C:C)</f>
        <v>-41400</v>
      </c>
      <c r="C43" s="24">
        <f>SUMIF('Raw Jan'!B:B,'TB 0125'!A43,'Raw Jan'!D:D)</f>
        <v>41400</v>
      </c>
      <c r="D43" s="24">
        <f>SUMIF('Raw Jan'!B:B,'TB 0125'!A43,'Raw Jan'!E:E)</f>
        <v>49099</v>
      </c>
      <c r="E43" s="24">
        <f t="shared" si="1"/>
        <v>-49099</v>
      </c>
      <c r="F43" s="24">
        <f t="shared" si="2"/>
        <v>-49.098999999999997</v>
      </c>
      <c r="G43" s="22" t="s">
        <v>180</v>
      </c>
      <c r="H43" s="23" t="s">
        <v>68</v>
      </c>
      <c r="K43" s="23" t="s">
        <v>710</v>
      </c>
      <c r="L43" s="23">
        <v>3387.1</v>
      </c>
      <c r="M43" s="123">
        <f>L43/1000</f>
        <v>3.3870999999999998</v>
      </c>
      <c r="N43" s="23" t="s">
        <v>192</v>
      </c>
    </row>
    <row r="44" spans="1:14" hidden="1" x14ac:dyDescent="0.35">
      <c r="A44" s="23" t="s">
        <v>645</v>
      </c>
      <c r="B44" s="24">
        <f>SUMIF('Raw Jan'!B:B,'TB 0125'!A44,'Raw Jan'!C:C)</f>
        <v>-4035.6</v>
      </c>
      <c r="C44" s="24">
        <f>SUMIF('Raw Jan'!B:B,'TB 0125'!A44,'Raw Jan'!D:D)</f>
        <v>4035.6</v>
      </c>
      <c r="D44" s="24">
        <f>SUMIF('Raw Jan'!B:B,'TB 0125'!A44,'Raw Jan'!E:E)</f>
        <v>0</v>
      </c>
      <c r="E44" s="24">
        <f t="shared" si="1"/>
        <v>0</v>
      </c>
      <c r="F44" s="24">
        <f t="shared" si="2"/>
        <v>0</v>
      </c>
      <c r="G44" s="22" t="s">
        <v>180</v>
      </c>
      <c r="H44" s="23" t="s">
        <v>69</v>
      </c>
      <c r="L44" s="161">
        <f>SUM(L3:L43)</f>
        <v>3024735.86</v>
      </c>
      <c r="M44" s="161">
        <f>SUM(M3:M43)</f>
        <v>3024.7358599999998</v>
      </c>
    </row>
    <row r="45" spans="1:14" hidden="1" x14ac:dyDescent="0.35">
      <c r="A45" s="23" t="s">
        <v>585</v>
      </c>
      <c r="B45" s="24">
        <f>SUMIF('Raw Jan'!B:B,'TB 0125'!A45,'Raw Jan'!C:C)</f>
        <v>-15700</v>
      </c>
      <c r="C45" s="24">
        <f>SUMIF('Raw Jan'!B:B,'TB 0125'!A45,'Raw Jan'!D:D)</f>
        <v>15700</v>
      </c>
      <c r="D45" s="24">
        <f>SUMIF('Raw Jan'!B:B,'TB 0125'!A45,'Raw Jan'!E:E)</f>
        <v>21177</v>
      </c>
      <c r="E45" s="24">
        <f t="shared" si="1"/>
        <v>-21177</v>
      </c>
      <c r="F45" s="24">
        <f t="shared" si="2"/>
        <v>-21.177</v>
      </c>
      <c r="G45" s="22" t="s">
        <v>180</v>
      </c>
      <c r="H45" s="23" t="s">
        <v>69</v>
      </c>
    </row>
    <row r="46" spans="1:14" hidden="1" x14ac:dyDescent="0.35">
      <c r="A46" s="23" t="s">
        <v>586</v>
      </c>
      <c r="B46" s="24">
        <f>SUMIF('Raw Jan'!B:B,'TB 0125'!A46,'Raw Jan'!C:C)</f>
        <v>-35910</v>
      </c>
      <c r="C46" s="24">
        <f>SUMIF('Raw Jan'!B:B,'TB 0125'!A46,'Raw Jan'!D:D)</f>
        <v>35910</v>
      </c>
      <c r="D46" s="24">
        <f>SUMIF('Raw Jan'!B:B,'TB 0125'!A46,'Raw Jan'!E:E)</f>
        <v>0</v>
      </c>
      <c r="E46" s="24">
        <f t="shared" si="1"/>
        <v>0</v>
      </c>
      <c r="F46" s="24">
        <f t="shared" si="2"/>
        <v>0</v>
      </c>
      <c r="G46" s="22" t="s">
        <v>180</v>
      </c>
      <c r="H46" s="23" t="s">
        <v>69</v>
      </c>
    </row>
    <row r="47" spans="1:14" hidden="1" x14ac:dyDescent="0.35">
      <c r="A47" s="23" t="s">
        <v>425</v>
      </c>
      <c r="B47" s="24">
        <f>SUMIF('Raw Jan'!B:B,'TB 0125'!A47,'Raw Jan'!C:C)</f>
        <v>-229673.78</v>
      </c>
      <c r="C47" s="24">
        <f>SUMIF('Raw Jan'!B:B,'TB 0125'!A47,'Raw Jan'!D:D)</f>
        <v>245281</v>
      </c>
      <c r="D47" s="24">
        <f>SUMIF('Raw Jan'!B:B,'TB 0125'!A47,'Raw Jan'!E:E)</f>
        <v>340364.42</v>
      </c>
      <c r="E47" s="24">
        <f t="shared" si="1"/>
        <v>-324757.19999999995</v>
      </c>
      <c r="F47" s="24">
        <f t="shared" si="2"/>
        <v>-324.75719999999995</v>
      </c>
      <c r="G47" s="22" t="s">
        <v>180</v>
      </c>
      <c r="H47" s="23" t="s">
        <v>68</v>
      </c>
    </row>
    <row r="48" spans="1:14" hidden="1" x14ac:dyDescent="0.35">
      <c r="A48" s="23" t="s">
        <v>587</v>
      </c>
      <c r="B48" s="24">
        <f>SUMIF('Raw Jan'!B:B,'TB 0125'!A48,'Raw Jan'!C:C)</f>
        <v>-58153</v>
      </c>
      <c r="C48" s="24">
        <f>SUMIF('Raw Jan'!B:B,'TB 0125'!A48,'Raw Jan'!D:D)</f>
        <v>0</v>
      </c>
      <c r="D48" s="24">
        <f>SUMIF('Raw Jan'!B:B,'TB 0125'!A48,'Raw Jan'!E:E)</f>
        <v>20653</v>
      </c>
      <c r="E48" s="24">
        <f t="shared" si="1"/>
        <v>-78806</v>
      </c>
      <c r="F48" s="24">
        <f t="shared" si="2"/>
        <v>-78.805999999999997</v>
      </c>
      <c r="G48" s="22" t="s">
        <v>180</v>
      </c>
      <c r="H48" s="23" t="s">
        <v>68</v>
      </c>
    </row>
    <row r="49" spans="1:8" x14ac:dyDescent="0.35">
      <c r="A49" s="23" t="s">
        <v>588</v>
      </c>
      <c r="B49" s="24">
        <f>SUMIF('Raw Jan'!B:B,'TB 0125'!A49,'Raw Jan'!C:C)</f>
        <v>26414474.890000001</v>
      </c>
      <c r="C49" s="24">
        <f>SUMIF('Raw Jan'!B:B,'TB 0125'!A49,'Raw Jan'!D:D)</f>
        <v>0</v>
      </c>
      <c r="D49" s="24">
        <f>SUMIF('Raw Jan'!B:B,'TB 0125'!A49,'Raw Jan'!E:E)</f>
        <v>0</v>
      </c>
      <c r="E49" s="24">
        <f t="shared" si="1"/>
        <v>26414474.890000001</v>
      </c>
      <c r="F49" s="24">
        <f t="shared" si="2"/>
        <v>26414.474890000001</v>
      </c>
      <c r="G49" s="22" t="s">
        <v>180</v>
      </c>
      <c r="H49" s="23" t="s">
        <v>64</v>
      </c>
    </row>
    <row r="50" spans="1:8" x14ac:dyDescent="0.35">
      <c r="A50" s="23" t="s">
        <v>589</v>
      </c>
      <c r="B50" s="24">
        <f>SUMIF('Raw Jan'!B:B,'TB 0125'!A50,'Raw Jan'!C:C)</f>
        <v>-100000</v>
      </c>
      <c r="C50" s="24">
        <f>SUMIF('Raw Jan'!B:B,'TB 0125'!A50,'Raw Jan'!D:D)</f>
        <v>0</v>
      </c>
      <c r="D50" s="24">
        <f>SUMIF('Raw Jan'!B:B,'TB 0125'!A50,'Raw Jan'!E:E)</f>
        <v>0</v>
      </c>
      <c r="E50" s="24">
        <f t="shared" si="1"/>
        <v>-100000</v>
      </c>
      <c r="F50" s="24">
        <f t="shared" si="2"/>
        <v>-100</v>
      </c>
      <c r="G50" s="22" t="s">
        <v>180</v>
      </c>
      <c r="H50" s="23" t="s">
        <v>63</v>
      </c>
    </row>
    <row r="51" spans="1:8" x14ac:dyDescent="0.35">
      <c r="A51" s="23" t="s">
        <v>698</v>
      </c>
      <c r="B51" s="24">
        <f>SUMIF('Raw Jan'!B:B,'TB 0125'!A51,'Raw Jan'!C:C)</f>
        <v>0</v>
      </c>
      <c r="C51" s="24">
        <f>SUMIF('Raw Jan'!B:B,'TB 0125'!A51,'Raw Jan'!D:D)</f>
        <v>0</v>
      </c>
      <c r="D51" s="24">
        <f>SUMIF('Raw Jan'!B:B,'TB 0125'!A51,'Raw Jan'!E:E)</f>
        <v>10</v>
      </c>
      <c r="E51" s="24">
        <f t="shared" si="1"/>
        <v>-10</v>
      </c>
      <c r="F51" s="24">
        <f t="shared" si="2"/>
        <v>-0.01</v>
      </c>
      <c r="G51" s="22" t="s">
        <v>180</v>
      </c>
      <c r="H51" s="23" t="s">
        <v>63</v>
      </c>
    </row>
    <row r="52" spans="1:8" x14ac:dyDescent="0.35">
      <c r="A52" s="23" t="s">
        <v>699</v>
      </c>
      <c r="B52" s="24">
        <f>SUMIF('Raw Jan'!B:B,'TB 0125'!A52,'Raw Jan'!C:C)</f>
        <v>0</v>
      </c>
      <c r="C52" s="24">
        <f>SUMIF('Raw Jan'!B:B,'TB 0125'!A52,'Raw Jan'!D:D)</f>
        <v>0</v>
      </c>
      <c r="D52" s="24">
        <f>SUMIF('Raw Jan'!B:B,'TB 0125'!A52,'Raw Jan'!E:E)</f>
        <v>4091400</v>
      </c>
      <c r="E52" s="24">
        <f t="shared" si="1"/>
        <v>-4091400</v>
      </c>
      <c r="F52" s="24">
        <f t="shared" si="2"/>
        <v>-4091.4</v>
      </c>
      <c r="G52" s="22" t="s">
        <v>180</v>
      </c>
      <c r="H52" s="23" t="s">
        <v>63</v>
      </c>
    </row>
    <row r="53" spans="1:8" x14ac:dyDescent="0.35">
      <c r="A53" s="23" t="s">
        <v>700</v>
      </c>
      <c r="B53" s="24">
        <f>SUMIF('Raw Jan'!B:B,'TB 0125'!A53,'Raw Jan'!C:C)</f>
        <v>0</v>
      </c>
      <c r="C53" s="24">
        <f>SUMIF('Raw Jan'!B:B,'TB 0125'!A53,'Raw Jan'!D:D)</f>
        <v>0</v>
      </c>
      <c r="D53" s="24">
        <f>SUMIF('Raw Jan'!B:B,'TB 0125'!A53,'Raw Jan'!E:E)</f>
        <v>10800</v>
      </c>
      <c r="E53" s="24">
        <f t="shared" si="1"/>
        <v>-10800</v>
      </c>
      <c r="F53" s="24">
        <f t="shared" si="2"/>
        <v>-10.8</v>
      </c>
      <c r="G53" s="22" t="s">
        <v>180</v>
      </c>
      <c r="H53" s="23" t="s">
        <v>63</v>
      </c>
    </row>
    <row r="54" spans="1:8" x14ac:dyDescent="0.35">
      <c r="A54" s="23" t="s">
        <v>590</v>
      </c>
      <c r="B54" s="24">
        <f>SUMIF('Raw Jan'!B:B,'TB 0125'!A54,'Raw Jan'!C:C)</f>
        <v>-10</v>
      </c>
      <c r="C54" s="24">
        <f>SUMIF('Raw Jan'!B:B,'TB 0125'!A54,'Raw Jan'!D:D)</f>
        <v>0</v>
      </c>
      <c r="D54" s="24">
        <f>SUMIF('Raw Jan'!B:B,'TB 0125'!A54,'Raw Jan'!E:E)</f>
        <v>0</v>
      </c>
      <c r="E54" s="24">
        <f t="shared" si="1"/>
        <v>-10</v>
      </c>
      <c r="F54" s="24">
        <f t="shared" si="2"/>
        <v>-0.01</v>
      </c>
      <c r="G54" s="22" t="s">
        <v>180</v>
      </c>
      <c r="H54" s="23" t="s">
        <v>63</v>
      </c>
    </row>
    <row r="55" spans="1:8" x14ac:dyDescent="0.35">
      <c r="A55" s="23" t="s">
        <v>591</v>
      </c>
      <c r="B55" s="24">
        <f>SUMIF('Raw Jan'!B:B,'TB 0125'!A55,'Raw Jan'!C:C)</f>
        <v>-4207000</v>
      </c>
      <c r="C55" s="24">
        <f>SUMIF('Raw Jan'!B:B,'TB 0125'!A55,'Raw Jan'!D:D)</f>
        <v>0</v>
      </c>
      <c r="D55" s="24">
        <f>SUMIF('Raw Jan'!B:B,'TB 0125'!A55,'Raw Jan'!E:E)</f>
        <v>919000</v>
      </c>
      <c r="E55" s="24">
        <f t="shared" si="1"/>
        <v>-5126000</v>
      </c>
      <c r="F55" s="24">
        <f t="shared" si="2"/>
        <v>-5126</v>
      </c>
      <c r="G55" s="22" t="s">
        <v>180</v>
      </c>
      <c r="H55" s="23" t="s">
        <v>63</v>
      </c>
    </row>
    <row r="56" spans="1:8" x14ac:dyDescent="0.35">
      <c r="A56" s="23" t="s">
        <v>701</v>
      </c>
      <c r="B56" s="24">
        <f>SUMIF('Raw Jan'!B:B,'TB 0125'!A56,'Raw Jan'!C:C)</f>
        <v>0</v>
      </c>
      <c r="C56" s="24">
        <f>SUMIF('Raw Jan'!B:B,'TB 0125'!A56,'Raw Jan'!D:D)</f>
        <v>0</v>
      </c>
      <c r="D56" s="24">
        <f>SUMIF('Raw Jan'!B:B,'TB 0125'!A56,'Raw Jan'!E:E)</f>
        <v>16200</v>
      </c>
      <c r="E56" s="24">
        <f t="shared" si="1"/>
        <v>-16200</v>
      </c>
      <c r="F56" s="24">
        <f t="shared" si="2"/>
        <v>-16.2</v>
      </c>
      <c r="G56" s="22" t="s">
        <v>180</v>
      </c>
      <c r="H56" s="23" t="s">
        <v>63</v>
      </c>
    </row>
    <row r="57" spans="1:8" x14ac:dyDescent="0.35">
      <c r="A57" s="23" t="s">
        <v>702</v>
      </c>
      <c r="B57" s="24">
        <f>SUMIF('Raw Jan'!B:B,'TB 0125'!A57,'Raw Jan'!C:C)</f>
        <v>0</v>
      </c>
      <c r="C57" s="24">
        <f>SUMIF('Raw Jan'!B:B,'TB 0125'!A57,'Raw Jan'!D:D)</f>
        <v>499433</v>
      </c>
      <c r="D57" s="24">
        <f>SUMIF('Raw Jan'!B:B,'TB 0125'!A57,'Raw Jan'!E:E)</f>
        <v>504833</v>
      </c>
      <c r="E57" s="24">
        <f t="shared" si="1"/>
        <v>-5400</v>
      </c>
      <c r="F57" s="24">
        <f t="shared" si="2"/>
        <v>-5.4</v>
      </c>
      <c r="G57" s="22" t="s">
        <v>180</v>
      </c>
      <c r="H57" s="23" t="s">
        <v>63</v>
      </c>
    </row>
    <row r="58" spans="1:8" x14ac:dyDescent="0.35">
      <c r="A58" s="23" t="s">
        <v>703</v>
      </c>
      <c r="B58" s="24">
        <f>SUMIF('Raw Jan'!B:B,'TB 0125'!A58,'Raw Jan'!C:C)</f>
        <v>0</v>
      </c>
      <c r="C58" s="24">
        <f>SUMIF('Raw Jan'!B:B,'TB 0125'!A58,'Raw Jan'!D:D)</f>
        <v>0</v>
      </c>
      <c r="D58" s="24">
        <f>SUMIF('Raw Jan'!B:B,'TB 0125'!A58,'Raw Jan'!E:E)</f>
        <v>37800</v>
      </c>
      <c r="E58" s="24">
        <f t="shared" si="1"/>
        <v>-37800</v>
      </c>
      <c r="F58" s="24">
        <f t="shared" si="2"/>
        <v>-37.799999999999997</v>
      </c>
      <c r="G58" s="22" t="s">
        <v>180</v>
      </c>
      <c r="H58" s="23" t="s">
        <v>63</v>
      </c>
    </row>
    <row r="59" spans="1:8" x14ac:dyDescent="0.35">
      <c r="A59" s="23" t="s">
        <v>592</v>
      </c>
      <c r="B59" s="24">
        <f>SUMIF('Raw Jan'!B:B,'TB 0125'!A59,'Raw Jan'!C:C)</f>
        <v>-75792961.200000003</v>
      </c>
      <c r="C59" s="24">
        <f>SUMIF('Raw Jan'!B:B,'TB 0125'!A59,'Raw Jan'!D:D)</f>
        <v>0</v>
      </c>
      <c r="D59" s="24">
        <f>SUMIF('Raw Jan'!B:B,'TB 0125'!A59,'Raw Jan'!E:E)</f>
        <v>469844708.56</v>
      </c>
      <c r="E59" s="24">
        <f t="shared" si="1"/>
        <v>-545637669.75999999</v>
      </c>
      <c r="F59" s="24">
        <f t="shared" si="2"/>
        <v>-545637.66975999996</v>
      </c>
      <c r="G59" s="22" t="s">
        <v>180</v>
      </c>
      <c r="H59" s="23" t="s">
        <v>64</v>
      </c>
    </row>
    <row r="60" spans="1:8" x14ac:dyDescent="0.35">
      <c r="A60" s="23" t="s">
        <v>704</v>
      </c>
      <c r="B60" s="24">
        <f>SUMIF('Raw Jan'!B:B,'TB 0125'!A60,'Raw Jan'!C:C)</f>
        <v>0</v>
      </c>
      <c r="C60" s="24">
        <f>SUMIF('Raw Jan'!B:B,'TB 0125'!A60,'Raw Jan'!D:D)</f>
        <v>499433.04</v>
      </c>
      <c r="D60" s="24">
        <f>SUMIF('Raw Jan'!B:B,'TB 0125'!A60,'Raw Jan'!E:E)</f>
        <v>504833.04</v>
      </c>
      <c r="E60" s="24">
        <f t="shared" si="1"/>
        <v>-5400</v>
      </c>
      <c r="F60" s="24">
        <f t="shared" si="2"/>
        <v>-5.4</v>
      </c>
      <c r="G60" s="22" t="s">
        <v>180</v>
      </c>
      <c r="H60" s="23" t="s">
        <v>63</v>
      </c>
    </row>
    <row r="61" spans="1:8" x14ac:dyDescent="0.35">
      <c r="A61" s="23" t="s">
        <v>705</v>
      </c>
      <c r="B61" s="24">
        <f>SUMIF('Raw Jan'!B:B,'TB 0125'!A61,'Raw Jan'!C:C)</f>
        <v>0</v>
      </c>
      <c r="C61" s="24">
        <f>SUMIF('Raw Jan'!B:B,'TB 0125'!A61,'Raw Jan'!D:D)</f>
        <v>0</v>
      </c>
      <c r="D61" s="24">
        <f>SUMIF('Raw Jan'!B:B,'TB 0125'!A61,'Raw Jan'!E:E)</f>
        <v>5400</v>
      </c>
      <c r="E61" s="24">
        <f t="shared" si="1"/>
        <v>-5400</v>
      </c>
      <c r="F61" s="24">
        <f t="shared" si="2"/>
        <v>-5.4</v>
      </c>
      <c r="G61" s="22" t="s">
        <v>180</v>
      </c>
      <c r="H61" s="23" t="s">
        <v>63</v>
      </c>
    </row>
    <row r="62" spans="1:8" x14ac:dyDescent="0.35">
      <c r="A62" s="23" t="s">
        <v>706</v>
      </c>
      <c r="B62" s="24">
        <f>SUMIF('Raw Jan'!B:B,'TB 0125'!A62,'Raw Jan'!C:C)</f>
        <v>0</v>
      </c>
      <c r="C62" s="24">
        <f>SUMIF('Raw Jan'!B:B,'TB 0125'!A62,'Raw Jan'!D:D)</f>
        <v>499433.04</v>
      </c>
      <c r="D62" s="24">
        <f>SUMIF('Raw Jan'!B:B,'TB 0125'!A62,'Raw Jan'!E:E)</f>
        <v>504833.04</v>
      </c>
      <c r="E62" s="24">
        <f t="shared" si="1"/>
        <v>-5400</v>
      </c>
      <c r="F62" s="24">
        <f t="shared" si="2"/>
        <v>-5.4</v>
      </c>
      <c r="G62" s="22" t="s">
        <v>180</v>
      </c>
      <c r="H62" s="23" t="s">
        <v>63</v>
      </c>
    </row>
    <row r="63" spans="1:8" x14ac:dyDescent="0.35">
      <c r="A63" s="23" t="s">
        <v>707</v>
      </c>
      <c r="B63" s="24">
        <f>SUMIF('Raw Jan'!B:B,'TB 0125'!A63,'Raw Jan'!C:C)</f>
        <v>0</v>
      </c>
      <c r="C63" s="24">
        <f>SUMIF('Raw Jan'!B:B,'TB 0125'!A63,'Raw Jan'!D:D)</f>
        <v>0</v>
      </c>
      <c r="D63" s="24">
        <f>SUMIF('Raw Jan'!B:B,'TB 0125'!A63,'Raw Jan'!E:E)</f>
        <v>37800</v>
      </c>
      <c r="E63" s="24">
        <f t="shared" si="1"/>
        <v>-37800</v>
      </c>
      <c r="F63" s="24">
        <f t="shared" si="2"/>
        <v>-37.799999999999997</v>
      </c>
      <c r="G63" s="22" t="s">
        <v>180</v>
      </c>
      <c r="H63" s="23" t="s">
        <v>63</v>
      </c>
    </row>
    <row r="64" spans="1:8" x14ac:dyDescent="0.35">
      <c r="A64" s="23" t="s">
        <v>593</v>
      </c>
      <c r="B64" s="24">
        <f>SUMIF('Raw Jan'!B:B,'TB 0125'!A64,'Raw Jan'!C:C)</f>
        <v>1905743.9</v>
      </c>
      <c r="C64" s="24">
        <f>SUMIF('Raw Jan'!B:B,'TB 0125'!A64,'Raw Jan'!D:D)</f>
        <v>0</v>
      </c>
      <c r="D64" s="24">
        <f>SUMIF('Raw Jan'!B:B,'TB 0125'!A64,'Raw Jan'!E:E)</f>
        <v>0</v>
      </c>
      <c r="E64" s="24">
        <f t="shared" si="1"/>
        <v>1905743.9</v>
      </c>
      <c r="F64" s="24">
        <f t="shared" si="2"/>
        <v>1905.7438999999999</v>
      </c>
      <c r="G64" s="22" t="s">
        <v>180</v>
      </c>
      <c r="H64" s="23" t="s">
        <v>64</v>
      </c>
    </row>
    <row r="65" spans="1:8" hidden="1" x14ac:dyDescent="0.35">
      <c r="A65" s="23" t="s">
        <v>295</v>
      </c>
      <c r="B65" s="24">
        <f>SUMIF('Raw Jan'!B:B,'TB 0125'!A65,'Raw Jan'!C:C)</f>
        <v>0</v>
      </c>
      <c r="C65" s="24">
        <f>SUMIF('Raw Jan'!B:B,'TB 0125'!A65,'Raw Jan'!D:D)</f>
        <v>0</v>
      </c>
      <c r="D65" s="24">
        <f>SUMIF('Raw Jan'!B:B,'TB 0125'!A65,'Raw Jan'!E:E)</f>
        <v>326410.67</v>
      </c>
      <c r="E65" s="24">
        <f t="shared" si="1"/>
        <v>-326410.67</v>
      </c>
      <c r="F65" s="24">
        <f t="shared" si="2"/>
        <v>-326.41066999999998</v>
      </c>
      <c r="G65" s="22" t="s">
        <v>184</v>
      </c>
      <c r="H65" s="23" t="s">
        <v>25</v>
      </c>
    </row>
    <row r="66" spans="1:8" hidden="1" x14ac:dyDescent="0.35">
      <c r="A66" s="23" t="s">
        <v>316</v>
      </c>
      <c r="B66" s="24">
        <f>SUMIF('Raw Jan'!B:B,'TB 0125'!A66,'Raw Jan'!C:C)</f>
        <v>0</v>
      </c>
      <c r="C66" s="24">
        <f>SUMIF('Raw Jan'!B:B,'TB 0125'!A66,'Raw Jan'!D:D)</f>
        <v>127279</v>
      </c>
      <c r="D66" s="24">
        <f>SUMIF('Raw Jan'!B:B,'TB 0125'!A66,'Raw Jan'!E:E)</f>
        <v>0</v>
      </c>
      <c r="E66" s="24">
        <f t="shared" si="1"/>
        <v>127279</v>
      </c>
      <c r="F66" s="24">
        <f t="shared" si="2"/>
        <v>127.279</v>
      </c>
      <c r="G66" s="22" t="s">
        <v>184</v>
      </c>
    </row>
    <row r="67" spans="1:8" hidden="1" x14ac:dyDescent="0.35">
      <c r="A67" s="23" t="s">
        <v>594</v>
      </c>
      <c r="B67" s="24">
        <f>SUMIF('Raw Jan'!B:B,'TB 0125'!A67,'Raw Jan'!C:C)</f>
        <v>0</v>
      </c>
      <c r="C67" s="24">
        <f>SUMIF('Raw Jan'!B:B,'TB 0125'!A67,'Raw Jan'!D:D)</f>
        <v>201390.41</v>
      </c>
      <c r="D67" s="24">
        <f>SUMIF('Raw Jan'!B:B,'TB 0125'!A67,'Raw Jan'!E:E)</f>
        <v>731828</v>
      </c>
      <c r="E67" s="24">
        <f t="shared" si="1"/>
        <v>-530437.59</v>
      </c>
      <c r="F67" s="24">
        <f t="shared" si="2"/>
        <v>-530.43759</v>
      </c>
      <c r="G67" s="22" t="s">
        <v>184</v>
      </c>
      <c r="H67" s="23" t="s">
        <v>49</v>
      </c>
    </row>
    <row r="68" spans="1:8" hidden="1" x14ac:dyDescent="0.35">
      <c r="A68" s="23" t="s">
        <v>303</v>
      </c>
      <c r="B68" s="24">
        <f>SUMIF('Raw Jan'!B:B,'TB 0125'!A68,'Raw Jan'!C:C)</f>
        <v>0</v>
      </c>
      <c r="C68" s="24">
        <f>SUMIF('Raw Jan'!B:B,'TB 0125'!A68,'Raw Jan'!D:D)</f>
        <v>0</v>
      </c>
      <c r="D68" s="24">
        <f>SUMIF('Raw Jan'!B:B,'TB 0125'!A68,'Raw Jan'!E:E)</f>
        <v>1247548.99</v>
      </c>
      <c r="E68" s="24">
        <f t="shared" ref="E68:E89" si="4">B68+C68-D68</f>
        <v>-1247548.99</v>
      </c>
      <c r="F68" s="24">
        <f t="shared" ref="F68:F89" si="5">E68/1000</f>
        <v>-1247.54899</v>
      </c>
      <c r="G68" s="22" t="s">
        <v>184</v>
      </c>
      <c r="H68" s="23" t="s">
        <v>25</v>
      </c>
    </row>
    <row r="69" spans="1:8" hidden="1" x14ac:dyDescent="0.35">
      <c r="A69" s="23" t="s">
        <v>287</v>
      </c>
      <c r="B69" s="24">
        <f>SUMIF('Raw Jan'!B:B,'TB 0125'!A69,'Raw Jan'!C:C)</f>
        <v>0</v>
      </c>
      <c r="C69" s="24">
        <f>SUMIF('Raw Jan'!B:B,'TB 0125'!A69,'Raw Jan'!D:D)</f>
        <v>70000</v>
      </c>
      <c r="D69" s="24">
        <f>SUMIF('Raw Jan'!B:B,'TB 0125'!A69,'Raw Jan'!E:E)</f>
        <v>0</v>
      </c>
      <c r="E69" s="24">
        <f t="shared" si="4"/>
        <v>70000</v>
      </c>
      <c r="F69" s="24">
        <f t="shared" si="5"/>
        <v>70</v>
      </c>
      <c r="G69" s="22" t="s">
        <v>182</v>
      </c>
      <c r="H69" s="23" t="s">
        <v>41</v>
      </c>
    </row>
    <row r="70" spans="1:8" hidden="1" x14ac:dyDescent="0.35">
      <c r="A70" s="23" t="s">
        <v>595</v>
      </c>
      <c r="B70" s="24">
        <f>SUMIF('Raw Jan'!B:B,'TB 0125'!A70,'Raw Jan'!C:C)</f>
        <v>0</v>
      </c>
      <c r="C70" s="24">
        <f>SUMIF('Raw Jan'!B:B,'TB 0125'!A70,'Raw Jan'!D:D)</f>
        <v>118</v>
      </c>
      <c r="D70" s="24">
        <f>SUMIF('Raw Jan'!B:B,'TB 0125'!A70,'Raw Jan'!E:E)</f>
        <v>0</v>
      </c>
      <c r="E70" s="24">
        <f t="shared" si="4"/>
        <v>118</v>
      </c>
      <c r="F70" s="24">
        <f t="shared" si="5"/>
        <v>0.11799999999999999</v>
      </c>
      <c r="G70" s="22" t="s">
        <v>182</v>
      </c>
      <c r="H70" s="23" t="s">
        <v>43</v>
      </c>
    </row>
    <row r="71" spans="1:8" hidden="1" x14ac:dyDescent="0.35">
      <c r="A71" s="23" t="s">
        <v>38</v>
      </c>
      <c r="B71" s="24">
        <f>SUMIF('Raw Jan'!B:B,'TB 0125'!A71,'Raw Jan'!C:C)</f>
        <v>0</v>
      </c>
      <c r="C71" s="24">
        <f>SUMIF('Raw Jan'!B:B,'TB 0125'!A71,'Raw Jan'!D:D)</f>
        <v>81590</v>
      </c>
      <c r="D71" s="24">
        <f>SUMIF('Raw Jan'!B:B,'TB 0125'!A71,'Raw Jan'!E:E)</f>
        <v>0</v>
      </c>
      <c r="E71" s="24">
        <f t="shared" si="4"/>
        <v>81590</v>
      </c>
      <c r="F71" s="24">
        <f t="shared" si="5"/>
        <v>81.59</v>
      </c>
      <c r="G71" s="22" t="s">
        <v>182</v>
      </c>
      <c r="H71" s="23" t="s">
        <v>38</v>
      </c>
    </row>
    <row r="72" spans="1:8" hidden="1" x14ac:dyDescent="0.35">
      <c r="A72" s="23" t="s">
        <v>296</v>
      </c>
      <c r="B72" s="24">
        <f>SUMIF('Raw Jan'!B:B,'TB 0125'!A72,'Raw Jan'!C:C)</f>
        <v>0</v>
      </c>
      <c r="C72" s="24">
        <f>SUMIF('Raw Jan'!B:B,'TB 0125'!A72,'Raw Jan'!D:D)</f>
        <v>584579.73</v>
      </c>
      <c r="D72" s="24">
        <f>SUMIF('Raw Jan'!B:B,'TB 0125'!A72,'Raw Jan'!E:E)</f>
        <v>3000</v>
      </c>
      <c r="E72" s="24">
        <f t="shared" si="4"/>
        <v>581579.73</v>
      </c>
      <c r="F72" s="24">
        <f t="shared" si="5"/>
        <v>581.57972999999993</v>
      </c>
      <c r="G72" s="22" t="s">
        <v>182</v>
      </c>
      <c r="H72" s="23" t="s">
        <v>37</v>
      </c>
    </row>
    <row r="73" spans="1:8" hidden="1" x14ac:dyDescent="0.35">
      <c r="A73" s="23" t="s">
        <v>596</v>
      </c>
      <c r="B73" s="24">
        <f>SUMIF('Raw Jan'!B:B,'TB 0125'!A73,'Raw Jan'!C:C)</f>
        <v>0</v>
      </c>
      <c r="C73" s="24">
        <f>SUMIF('Raw Jan'!B:B,'TB 0125'!A73,'Raw Jan'!D:D)</f>
        <v>68039</v>
      </c>
      <c r="D73" s="24">
        <f>SUMIF('Raw Jan'!B:B,'TB 0125'!A73,'Raw Jan'!E:E)</f>
        <v>0</v>
      </c>
      <c r="E73" s="24">
        <f t="shared" si="4"/>
        <v>68039</v>
      </c>
      <c r="F73" s="24">
        <f t="shared" si="5"/>
        <v>68.039000000000001</v>
      </c>
      <c r="G73" s="22" t="s">
        <v>182</v>
      </c>
      <c r="H73" s="23" t="s">
        <v>48</v>
      </c>
    </row>
    <row r="74" spans="1:8" hidden="1" x14ac:dyDescent="0.35">
      <c r="A74" s="23" t="s">
        <v>708</v>
      </c>
      <c r="B74" s="24">
        <f>SUMIF('Raw Jan'!B:B,'TB 0125'!A74,'Raw Jan'!C:C)</f>
        <v>0</v>
      </c>
      <c r="C74" s="24">
        <f>SUMIF('Raw Jan'!B:B,'TB 0125'!A74,'Raw Jan'!D:D)</f>
        <v>4035.6</v>
      </c>
      <c r="D74" s="24">
        <f>SUMIF('Raw Jan'!B:B,'TB 0125'!A74,'Raw Jan'!E:E)</f>
        <v>0</v>
      </c>
      <c r="E74" s="24">
        <f t="shared" si="4"/>
        <v>4035.6</v>
      </c>
      <c r="F74" s="24">
        <f t="shared" si="5"/>
        <v>4.0355999999999996</v>
      </c>
      <c r="G74" s="22" t="s">
        <v>182</v>
      </c>
      <c r="H74" s="23" t="s">
        <v>31</v>
      </c>
    </row>
    <row r="75" spans="1:8" hidden="1" x14ac:dyDescent="0.35">
      <c r="A75" s="23" t="s">
        <v>109</v>
      </c>
      <c r="B75" s="24">
        <f>SUMIF('Raw Jan'!B:B,'TB 0125'!A75,'Raw Jan'!C:C)</f>
        <v>0</v>
      </c>
      <c r="C75" s="24">
        <f>SUMIF('Raw Jan'!B:B,'TB 0125'!A75,'Raw Jan'!D:D)</f>
        <v>49099</v>
      </c>
      <c r="D75" s="24">
        <f>SUMIF('Raw Jan'!B:B,'TB 0125'!A75,'Raw Jan'!E:E)</f>
        <v>0</v>
      </c>
      <c r="E75" s="24">
        <f t="shared" si="4"/>
        <v>49099</v>
      </c>
      <c r="F75" s="24">
        <f t="shared" si="5"/>
        <v>49.098999999999997</v>
      </c>
      <c r="G75" s="22" t="s">
        <v>182</v>
      </c>
      <c r="H75" s="23" t="s">
        <v>417</v>
      </c>
    </row>
    <row r="76" spans="1:8" hidden="1" x14ac:dyDescent="0.35">
      <c r="A76" s="23" t="s">
        <v>597</v>
      </c>
      <c r="B76" s="24">
        <f>SUMIF('Raw Jan'!B:B,'TB 0125'!A76,'Raw Jan'!C:C)</f>
        <v>0</v>
      </c>
      <c r="C76" s="24">
        <f>SUMIF('Raw Jan'!B:B,'TB 0125'!A76,'Raw Jan'!D:D)</f>
        <v>3450</v>
      </c>
      <c r="D76" s="24">
        <f>SUMIF('Raw Jan'!B:B,'TB 0125'!A76,'Raw Jan'!E:E)</f>
        <v>0</v>
      </c>
      <c r="E76" s="24">
        <f t="shared" si="4"/>
        <v>3450</v>
      </c>
      <c r="F76" s="24">
        <f t="shared" si="5"/>
        <v>3.45</v>
      </c>
      <c r="G76" s="22" t="s">
        <v>182</v>
      </c>
      <c r="H76" s="23" t="s">
        <v>417</v>
      </c>
    </row>
    <row r="77" spans="1:8" hidden="1" x14ac:dyDescent="0.35">
      <c r="A77" s="23" t="s">
        <v>598</v>
      </c>
      <c r="B77" s="24">
        <f>SUMIF('Raw Jan'!B:B,'TB 0125'!A77,'Raw Jan'!C:C)</f>
        <v>0</v>
      </c>
      <c r="C77" s="24">
        <f>SUMIF('Raw Jan'!B:B,'TB 0125'!A77,'Raw Jan'!D:D)</f>
        <v>394941.25</v>
      </c>
      <c r="D77" s="24">
        <f>SUMIF('Raw Jan'!B:B,'TB 0125'!A77,'Raw Jan'!E:E)</f>
        <v>41788</v>
      </c>
      <c r="E77" s="24">
        <f t="shared" si="4"/>
        <v>353153.25</v>
      </c>
      <c r="F77" s="24">
        <f t="shared" si="5"/>
        <v>353.15325000000001</v>
      </c>
      <c r="G77" s="22" t="s">
        <v>182</v>
      </c>
      <c r="H77" s="23" t="s">
        <v>417</v>
      </c>
    </row>
    <row r="78" spans="1:8" hidden="1" x14ac:dyDescent="0.35">
      <c r="A78" s="23" t="s">
        <v>600</v>
      </c>
      <c r="B78" s="24">
        <f>SUMIF('Raw Jan'!B:B,'TB 0125'!A78,'Raw Jan'!C:C)</f>
        <v>0</v>
      </c>
      <c r="C78" s="24">
        <f>SUMIF('Raw Jan'!B:B,'TB 0125'!A78,'Raw Jan'!D:D)</f>
        <v>1200500</v>
      </c>
      <c r="D78" s="24">
        <f>SUMIF('Raw Jan'!B:B,'TB 0125'!A78,'Raw Jan'!E:E)</f>
        <v>0</v>
      </c>
      <c r="E78" s="24">
        <f t="shared" si="4"/>
        <v>1200500</v>
      </c>
      <c r="F78" s="24">
        <f t="shared" si="5"/>
        <v>1200.5</v>
      </c>
      <c r="G78" s="22" t="s">
        <v>182</v>
      </c>
      <c r="H78" s="23" t="s">
        <v>46</v>
      </c>
    </row>
    <row r="79" spans="1:8" hidden="1" x14ac:dyDescent="0.35">
      <c r="A79" s="23" t="s">
        <v>602</v>
      </c>
      <c r="B79" s="24">
        <f>SUMIF('Raw Jan'!B:B,'TB 0125'!A79,'Raw Jan'!C:C)</f>
        <v>0</v>
      </c>
      <c r="C79" s="24">
        <f>SUMIF('Raw Jan'!B:B,'TB 0125'!A79,'Raw Jan'!D:D)</f>
        <v>7000</v>
      </c>
      <c r="D79" s="24">
        <f>SUMIF('Raw Jan'!B:B,'TB 0125'!A79,'Raw Jan'!E:E)</f>
        <v>6</v>
      </c>
      <c r="E79" s="24">
        <f t="shared" si="4"/>
        <v>6994</v>
      </c>
      <c r="F79" s="24">
        <f t="shared" si="5"/>
        <v>6.9939999999999998</v>
      </c>
      <c r="G79" s="22" t="s">
        <v>182</v>
      </c>
      <c r="H79" s="23" t="s">
        <v>42</v>
      </c>
    </row>
    <row r="80" spans="1:8" hidden="1" x14ac:dyDescent="0.35">
      <c r="A80" s="23" t="s">
        <v>603</v>
      </c>
      <c r="B80" s="24">
        <f>SUMIF('Raw Jan'!B:B,'TB 0125'!A80,'Raw Jan'!C:C)</f>
        <v>0</v>
      </c>
      <c r="C80" s="24">
        <f>SUMIF('Raw Jan'!B:B,'TB 0125'!A80,'Raw Jan'!D:D)</f>
        <v>289000</v>
      </c>
      <c r="D80" s="24">
        <f>SUMIF('Raw Jan'!B:B,'TB 0125'!A80,'Raw Jan'!E:E)</f>
        <v>0</v>
      </c>
      <c r="E80" s="24">
        <f t="shared" si="4"/>
        <v>289000</v>
      </c>
      <c r="F80" s="24">
        <f t="shared" si="5"/>
        <v>289</v>
      </c>
      <c r="G80" s="22" t="s">
        <v>182</v>
      </c>
      <c r="H80" s="23" t="s">
        <v>42</v>
      </c>
    </row>
    <row r="81" spans="1:8" hidden="1" x14ac:dyDescent="0.35">
      <c r="A81" s="23" t="s">
        <v>604</v>
      </c>
      <c r="B81" s="24">
        <f>SUMIF('Raw Jan'!B:B,'TB 0125'!A81,'Raw Jan'!C:C)</f>
        <v>0</v>
      </c>
      <c r="C81" s="24">
        <f>SUMIF('Raw Jan'!B:B,'TB 0125'!A81,'Raw Jan'!D:D)</f>
        <v>109875.5</v>
      </c>
      <c r="D81" s="24">
        <f>SUMIF('Raw Jan'!B:B,'TB 0125'!A81,'Raw Jan'!E:E)</f>
        <v>28052</v>
      </c>
      <c r="E81" s="24">
        <f t="shared" si="4"/>
        <v>81823.5</v>
      </c>
      <c r="F81" s="24">
        <f t="shared" si="5"/>
        <v>81.823499999999996</v>
      </c>
      <c r="G81" s="22" t="s">
        <v>182</v>
      </c>
      <c r="H81" s="23" t="s">
        <v>43</v>
      </c>
    </row>
    <row r="82" spans="1:8" hidden="1" x14ac:dyDescent="0.35">
      <c r="A82" s="23" t="s">
        <v>605</v>
      </c>
      <c r="B82" s="24">
        <f>SUMIF('Raw Jan'!B:B,'TB 0125'!A82,'Raw Jan'!C:C)</f>
        <v>0</v>
      </c>
      <c r="C82" s="24">
        <f>SUMIF('Raw Jan'!B:B,'TB 0125'!A82,'Raw Jan'!D:D)</f>
        <v>0.93</v>
      </c>
      <c r="D82" s="24">
        <f>SUMIF('Raw Jan'!B:B,'TB 0125'!A82,'Raw Jan'!E:E)</f>
        <v>0.83</v>
      </c>
      <c r="E82" s="24">
        <f t="shared" si="4"/>
        <v>0.10000000000000009</v>
      </c>
      <c r="F82" s="24">
        <f t="shared" si="5"/>
        <v>1.0000000000000009E-4</v>
      </c>
      <c r="G82" s="22" t="s">
        <v>182</v>
      </c>
      <c r="H82" s="23" t="s">
        <v>43</v>
      </c>
    </row>
    <row r="83" spans="1:8" hidden="1" x14ac:dyDescent="0.35">
      <c r="A83" s="23" t="s">
        <v>41</v>
      </c>
      <c r="B83" s="24">
        <f>SUMIF('Raw Jan'!B:B,'TB 0125'!A83,'Raw Jan'!C:C)</f>
        <v>0</v>
      </c>
      <c r="C83" s="24">
        <f>SUMIF('Raw Jan'!B:B,'TB 0125'!A83,'Raw Jan'!D:D)</f>
        <v>39000</v>
      </c>
      <c r="D83" s="24">
        <f>SUMIF('Raw Jan'!B:B,'TB 0125'!A83,'Raw Jan'!E:E)</f>
        <v>0</v>
      </c>
      <c r="E83" s="24">
        <f t="shared" si="4"/>
        <v>39000</v>
      </c>
      <c r="F83" s="24">
        <f t="shared" si="5"/>
        <v>39</v>
      </c>
      <c r="G83" s="22" t="s">
        <v>182</v>
      </c>
      <c r="H83" s="23" t="s">
        <v>41</v>
      </c>
    </row>
    <row r="84" spans="1:8" hidden="1" x14ac:dyDescent="0.35">
      <c r="A84" s="23" t="s">
        <v>239</v>
      </c>
      <c r="B84" s="24">
        <f>SUMIF('Raw Jan'!B:B,'TB 0125'!A84,'Raw Jan'!C:C)</f>
        <v>0</v>
      </c>
      <c r="C84" s="24">
        <f>SUMIF('Raw Jan'!B:B,'TB 0125'!A84,'Raw Jan'!D:D)</f>
        <v>15000</v>
      </c>
      <c r="D84" s="24">
        <f>SUMIF('Raw Jan'!B:B,'TB 0125'!A84,'Raw Jan'!E:E)</f>
        <v>0</v>
      </c>
      <c r="E84" s="24">
        <f t="shared" si="4"/>
        <v>15000</v>
      </c>
      <c r="F84" s="24">
        <f t="shared" si="5"/>
        <v>15</v>
      </c>
      <c r="G84" s="22" t="s">
        <v>182</v>
      </c>
      <c r="H84" s="23" t="s">
        <v>417</v>
      </c>
    </row>
    <row r="85" spans="1:8" hidden="1" x14ac:dyDescent="0.35">
      <c r="A85" s="23" t="s">
        <v>607</v>
      </c>
      <c r="B85" s="24">
        <f>SUMIF('Raw Jan'!B:B,'TB 0125'!A85,'Raw Jan'!C:C)</f>
        <v>0</v>
      </c>
      <c r="C85" s="24">
        <f>SUMIF('Raw Jan'!B:B,'TB 0125'!A85,'Raw Jan'!D:D)</f>
        <v>3024735.86</v>
      </c>
      <c r="D85" s="24">
        <f>SUMIF('Raw Jan'!B:B,'TB 0125'!A85,'Raw Jan'!E:E)</f>
        <v>0</v>
      </c>
      <c r="E85" s="24">
        <f t="shared" si="4"/>
        <v>3024735.86</v>
      </c>
      <c r="F85" s="24">
        <f t="shared" si="5"/>
        <v>3024.7358599999998</v>
      </c>
      <c r="G85" s="22" t="s">
        <v>182</v>
      </c>
    </row>
    <row r="86" spans="1:8" hidden="1" x14ac:dyDescent="0.35">
      <c r="A86" s="23" t="s">
        <v>608</v>
      </c>
      <c r="B86" s="24">
        <f>SUMIF('Raw Jan'!B:B,'TB 0125'!A86,'Raw Jan'!C:C)</f>
        <v>0</v>
      </c>
      <c r="C86" s="24">
        <f>SUMIF('Raw Jan'!B:B,'TB 0125'!A86,'Raw Jan'!D:D)</f>
        <v>909168.72</v>
      </c>
      <c r="D86" s="24">
        <f>SUMIF('Raw Jan'!B:B,'TB 0125'!A86,'Raw Jan'!E:E)</f>
        <v>535910</v>
      </c>
      <c r="E86" s="24">
        <f t="shared" si="4"/>
        <v>373258.72</v>
      </c>
      <c r="F86" s="24">
        <f t="shared" si="5"/>
        <v>373.25871999999998</v>
      </c>
      <c r="G86" s="22" t="s">
        <v>182</v>
      </c>
      <c r="H86" s="23" t="s">
        <v>39</v>
      </c>
    </row>
    <row r="87" spans="1:8" hidden="1" x14ac:dyDescent="0.35">
      <c r="A87" s="23" t="s">
        <v>609</v>
      </c>
      <c r="B87" s="24">
        <f>SUMIF('Raw Jan'!B:B,'TB 0125'!A87,'Raw Jan'!C:C)</f>
        <v>0</v>
      </c>
      <c r="C87" s="24">
        <f>SUMIF('Raw Jan'!B:B,'TB 0125'!A87,'Raw Jan'!D:D)</f>
        <v>156383.91</v>
      </c>
      <c r="D87" s="24">
        <f>SUMIF('Raw Jan'!B:B,'TB 0125'!A87,'Raw Jan'!E:E)</f>
        <v>0</v>
      </c>
      <c r="E87" s="24">
        <f t="shared" si="4"/>
        <v>156383.91</v>
      </c>
      <c r="F87" s="24">
        <f t="shared" si="5"/>
        <v>156.38391000000001</v>
      </c>
      <c r="G87" s="22" t="s">
        <v>182</v>
      </c>
      <c r="H87" s="23" t="s">
        <v>33</v>
      </c>
    </row>
    <row r="88" spans="1:8" hidden="1" x14ac:dyDescent="0.35">
      <c r="A88" s="23" t="s">
        <v>610</v>
      </c>
      <c r="B88" s="24">
        <f>SUMIF('Raw Jan'!B:B,'TB 0125'!A88,'Raw Jan'!C:C)</f>
        <v>0</v>
      </c>
      <c r="C88" s="24">
        <f>SUMIF('Raw Jan'!B:B,'TB 0125'!A88,'Raw Jan'!D:D)</f>
        <v>1228142.93</v>
      </c>
      <c r="D88" s="24">
        <f>SUMIF('Raw Jan'!B:B,'TB 0125'!A88,'Raw Jan'!E:E)</f>
        <v>1142084.8</v>
      </c>
      <c r="E88" s="24">
        <f t="shared" si="4"/>
        <v>86058.129999999888</v>
      </c>
      <c r="F88" s="24">
        <f t="shared" si="5"/>
        <v>86.058129999999892</v>
      </c>
      <c r="G88" s="22" t="s">
        <v>182</v>
      </c>
      <c r="H88" s="23" t="s">
        <v>31</v>
      </c>
    </row>
    <row r="89" spans="1:8" hidden="1" x14ac:dyDescent="0.35">
      <c r="A89" s="23" t="s">
        <v>611</v>
      </c>
      <c r="B89" s="24">
        <f>SUMIF('Raw Jan'!B:B,'TB 0125'!A89,'Raw Jan'!C:C)</f>
        <v>0</v>
      </c>
      <c r="C89" s="24">
        <f>SUMIF('Raw Jan'!B:B,'TB 0125'!A89,'Raw Jan'!D:D)</f>
        <v>43333.33</v>
      </c>
      <c r="D89" s="24">
        <f>SUMIF('Raw Jan'!B:B,'TB 0125'!A89,'Raw Jan'!E:E)</f>
        <v>0</v>
      </c>
      <c r="E89" s="24">
        <f t="shared" si="4"/>
        <v>43333.33</v>
      </c>
      <c r="F89" s="24">
        <f t="shared" si="5"/>
        <v>43.333330000000004</v>
      </c>
      <c r="G89" s="22" t="s">
        <v>182</v>
      </c>
      <c r="H89" s="23" t="s">
        <v>31</v>
      </c>
    </row>
    <row r="90" spans="1:8" hidden="1" x14ac:dyDescent="0.35">
      <c r="A90" s="23" t="s">
        <v>119</v>
      </c>
      <c r="B90" s="24">
        <f>SUMIF('Raw Jan'!B:B,'TB 0125'!A90,'Raw Jan'!C:C)</f>
        <v>0</v>
      </c>
      <c r="C90" s="24">
        <f>SUMIF('Raw Jan'!B:B,'TB 0125'!A90,'Raw Jan'!D:D)</f>
        <v>554.01</v>
      </c>
      <c r="D90" s="24">
        <f>SUMIF('Raw Jan'!B:B,'TB 0125'!A90,'Raw Jan'!E:E)</f>
        <v>0</v>
      </c>
      <c r="E90" s="24">
        <f t="shared" ref="E90:E101" si="6">B90+C90-D90</f>
        <v>554.01</v>
      </c>
      <c r="F90" s="24">
        <f t="shared" ref="F90:F101" si="7">E90/1000</f>
        <v>0.55401</v>
      </c>
      <c r="G90" s="22" t="s">
        <v>182</v>
      </c>
      <c r="H90" s="23" t="s">
        <v>43</v>
      </c>
    </row>
    <row r="91" spans="1:8" hidden="1" x14ac:dyDescent="0.35">
      <c r="A91" s="23" t="s">
        <v>29</v>
      </c>
      <c r="B91" s="24">
        <f>SUMIF('Raw Jan'!B:B,'TB 0125'!A91,'Raw Jan'!C:C)</f>
        <v>0</v>
      </c>
      <c r="C91" s="24">
        <f>SUMIF('Raw Jan'!B:B,'TB 0125'!A91,'Raw Jan'!D:D)</f>
        <v>18290.68</v>
      </c>
      <c r="D91" s="24">
        <f>SUMIF('Raw Jan'!B:B,'TB 0125'!A91,'Raw Jan'!E:E)</f>
        <v>0</v>
      </c>
      <c r="E91" s="24">
        <f t="shared" si="6"/>
        <v>18290.68</v>
      </c>
      <c r="F91" s="24">
        <f t="shared" si="7"/>
        <v>18.290680000000002</v>
      </c>
      <c r="G91" s="22" t="s">
        <v>182</v>
      </c>
      <c r="H91" s="23" t="s">
        <v>29</v>
      </c>
    </row>
    <row r="92" spans="1:8" hidden="1" x14ac:dyDescent="0.35">
      <c r="A92" s="23" t="s">
        <v>26</v>
      </c>
      <c r="B92" s="24">
        <f>SUMIF('Raw Jan'!B:B,'TB 0125'!A92,'Raw Jan'!C:C)</f>
        <v>0</v>
      </c>
      <c r="C92" s="24">
        <f>SUMIF('Raw Jan'!B:B,'TB 0125'!A92,'Raw Jan'!D:D)</f>
        <v>1316766.75</v>
      </c>
      <c r="D92" s="24">
        <f>SUMIF('Raw Jan'!B:B,'TB 0125'!A92,'Raw Jan'!E:E)</f>
        <v>0</v>
      </c>
      <c r="E92" s="24">
        <f t="shared" si="6"/>
        <v>1316766.75</v>
      </c>
      <c r="F92" s="24">
        <f t="shared" si="7"/>
        <v>1316.76675</v>
      </c>
      <c r="G92" s="22" t="s">
        <v>182</v>
      </c>
      <c r="H92" s="23" t="s">
        <v>26</v>
      </c>
    </row>
    <row r="93" spans="1:8" hidden="1" x14ac:dyDescent="0.35">
      <c r="A93" s="23" t="s">
        <v>714</v>
      </c>
      <c r="B93" s="24">
        <f>SUMIF('Raw Jan'!B:B,'TB 0125'!A93,'Raw Jan'!C:C)</f>
        <v>0</v>
      </c>
      <c r="C93" s="24">
        <f>SUMIF('Raw Jan'!B:B,'TB 0125'!A93,'Raw Jan'!D:D)</f>
        <v>150050000</v>
      </c>
      <c r="D93" s="24">
        <f>SUMIF('Raw Jan'!B:B,'TB 0125'!A93,'Raw Jan'!E:E)</f>
        <v>150000000</v>
      </c>
      <c r="E93" s="24">
        <f t="shared" si="6"/>
        <v>50000</v>
      </c>
      <c r="F93" s="24">
        <f t="shared" si="7"/>
        <v>50</v>
      </c>
      <c r="G93" s="22" t="s">
        <v>181</v>
      </c>
      <c r="H93" s="23" t="s">
        <v>78</v>
      </c>
    </row>
    <row r="94" spans="1:8" hidden="1" x14ac:dyDescent="0.35">
      <c r="A94" s="23" t="s">
        <v>715</v>
      </c>
      <c r="B94" s="24">
        <f>SUMIF('Raw Jan'!B:B,'TB 0125'!A94,'Raw Jan'!C:C)</f>
        <v>0</v>
      </c>
      <c r="C94" s="24">
        <f>SUMIF('Raw Jan'!B:B,'TB 0125'!A94,'Raw Jan'!D:D)</f>
        <v>50000</v>
      </c>
      <c r="D94" s="24">
        <f>SUMIF('Raw Jan'!B:B,'TB 0125'!A94,'Raw Jan'!E:E)</f>
        <v>0</v>
      </c>
      <c r="E94" s="24">
        <f t="shared" si="6"/>
        <v>50000</v>
      </c>
      <c r="F94" s="24">
        <f t="shared" si="7"/>
        <v>50</v>
      </c>
      <c r="G94" s="22" t="s">
        <v>181</v>
      </c>
      <c r="H94" s="23" t="s">
        <v>78</v>
      </c>
    </row>
    <row r="95" spans="1:8" hidden="1" x14ac:dyDescent="0.35">
      <c r="A95" s="23" t="s">
        <v>718</v>
      </c>
      <c r="B95" s="24">
        <f>SUMIF('Raw Jan'!B:B,'TB 0125'!A95,'Raw Jan'!C:C)</f>
        <v>0</v>
      </c>
      <c r="C95" s="24">
        <f>SUMIF('Raw Jan'!B:B,'TB 0125'!A95,'Raw Jan'!D:D)</f>
        <v>45000000</v>
      </c>
      <c r="D95" s="24">
        <f>SUMIF('Raw Jan'!B:B,'TB 0125'!A95,'Raw Jan'!E:E)</f>
        <v>0</v>
      </c>
      <c r="E95" s="24">
        <f t="shared" si="6"/>
        <v>45000000</v>
      </c>
      <c r="F95" s="24">
        <f t="shared" si="7"/>
        <v>45000</v>
      </c>
      <c r="G95" s="22" t="s">
        <v>181</v>
      </c>
      <c r="H95" s="23" t="s">
        <v>76</v>
      </c>
    </row>
    <row r="96" spans="1:8" hidden="1" x14ac:dyDescent="0.35">
      <c r="A96" s="23" t="s">
        <v>719</v>
      </c>
      <c r="B96" s="24">
        <f>SUMIF('Raw Jan'!B:B,'TB 0125'!A96,'Raw Jan'!C:C)</f>
        <v>0</v>
      </c>
      <c r="C96" s="24">
        <f>SUMIF('Raw Jan'!B:B,'TB 0125'!A96,'Raw Jan'!D:D)</f>
        <v>30000000</v>
      </c>
      <c r="D96" s="24">
        <f>SUMIF('Raw Jan'!B:B,'TB 0125'!A96,'Raw Jan'!E:E)</f>
        <v>0</v>
      </c>
      <c r="E96" s="24">
        <f t="shared" si="6"/>
        <v>30000000</v>
      </c>
      <c r="F96" s="24">
        <f t="shared" si="7"/>
        <v>30000</v>
      </c>
      <c r="G96" s="22" t="s">
        <v>181</v>
      </c>
      <c r="H96" s="23" t="s">
        <v>76</v>
      </c>
    </row>
    <row r="97" spans="1:8" hidden="1" x14ac:dyDescent="0.35">
      <c r="A97" s="23" t="s">
        <v>599</v>
      </c>
      <c r="B97" s="24">
        <f>SUMIF('Raw Jan'!B:B,'TB 0125'!A97,'Raw Jan'!C:C)</f>
        <v>0</v>
      </c>
      <c r="C97" s="24">
        <f>SUMIF('Raw Jan'!B:B,'TB 0125'!A97,'Raw Jan'!D:D)</f>
        <v>20653</v>
      </c>
      <c r="D97" s="24">
        <f>SUMIF('Raw Jan'!B:B,'TB 0125'!A97,'Raw Jan'!E:E)</f>
        <v>0</v>
      </c>
      <c r="E97" s="24">
        <f t="shared" si="6"/>
        <v>20653</v>
      </c>
      <c r="F97" s="24">
        <f t="shared" si="7"/>
        <v>20.652999999999999</v>
      </c>
      <c r="G97" s="22" t="s">
        <v>182</v>
      </c>
      <c r="H97" s="23" t="s">
        <v>417</v>
      </c>
    </row>
    <row r="98" spans="1:8" hidden="1" x14ac:dyDescent="0.35">
      <c r="A98" s="23" t="s">
        <v>619</v>
      </c>
      <c r="B98" s="24">
        <f>SUMIF('Raw Jan'!B:B,'TB 0125'!A98,'Raw Jan'!C:C)</f>
        <v>0</v>
      </c>
      <c r="C98" s="24">
        <f>SUMIF('Raw Jan'!B:B,'TB 0125'!A98,'Raw Jan'!D:D)</f>
        <v>103209</v>
      </c>
      <c r="D98" s="24">
        <f>SUMIF('Raw Jan'!B:B,'TB 0125'!A98,'Raw Jan'!E:E)</f>
        <v>0</v>
      </c>
      <c r="E98" s="24">
        <f t="shared" si="6"/>
        <v>103209</v>
      </c>
      <c r="F98" s="24">
        <f t="shared" si="7"/>
        <v>103.209</v>
      </c>
      <c r="G98" s="22" t="s">
        <v>182</v>
      </c>
      <c r="H98" s="23" t="s">
        <v>61</v>
      </c>
    </row>
    <row r="99" spans="1:8" hidden="1" x14ac:dyDescent="0.35">
      <c r="A99" s="23" t="s">
        <v>721</v>
      </c>
      <c r="B99" s="24">
        <f>SUMIF('Raw Jan'!B:B,'TB 0125'!A99,'Raw Jan'!C:C)</f>
        <v>0</v>
      </c>
      <c r="C99" s="24">
        <f>SUMIF('Raw Jan'!B:B,'TB 0125'!A99,'Raw Jan'!D:D)</f>
        <v>0</v>
      </c>
      <c r="D99" s="24">
        <f>SUMIF('Raw Jan'!B:B,'TB 0125'!A99,'Raw Jan'!E:E)</f>
        <v>0</v>
      </c>
      <c r="E99" s="24">
        <f t="shared" si="6"/>
        <v>0</v>
      </c>
      <c r="F99" s="24">
        <f t="shared" si="7"/>
        <v>0</v>
      </c>
      <c r="G99" s="22" t="s">
        <v>182</v>
      </c>
      <c r="H99" s="23" t="s">
        <v>721</v>
      </c>
    </row>
    <row r="100" spans="1:8" hidden="1" x14ac:dyDescent="0.35">
      <c r="A100" s="23" t="s">
        <v>622</v>
      </c>
      <c r="B100" s="24">
        <f>SUMIF('Raw Jan'!B:B,'TB 0125'!A100,'Raw Jan'!C:C)</f>
        <v>0</v>
      </c>
      <c r="C100" s="24">
        <f>SUMIF('Raw Jan'!B:B,'TB 0125'!A100,'Raw Jan'!D:D)</f>
        <v>0</v>
      </c>
      <c r="D100" s="24">
        <f>SUMIF('Raw Jan'!B:B,'TB 0125'!A100,'Raw Jan'!E:E)</f>
        <v>79650</v>
      </c>
      <c r="E100" s="24">
        <f t="shared" si="6"/>
        <v>-79650</v>
      </c>
      <c r="F100" s="24">
        <f t="shared" si="7"/>
        <v>-79.650000000000006</v>
      </c>
      <c r="G100" s="22" t="s">
        <v>180</v>
      </c>
      <c r="H100" s="23" t="s">
        <v>68</v>
      </c>
    </row>
    <row r="101" spans="1:8" hidden="1" x14ac:dyDescent="0.35">
      <c r="A101" s="23" t="s">
        <v>723</v>
      </c>
      <c r="B101" s="24">
        <f>SUMIF('Raw Jan'!B:B,'TB 0125'!A101,'Raw Jan'!C:C)</f>
        <v>0</v>
      </c>
      <c r="C101" s="24">
        <f>SUMIF('Raw Jan'!B:B,'TB 0125'!A101,'Raw Jan'!D:D)</f>
        <v>1137250</v>
      </c>
      <c r="D101" s="24">
        <f>SUMIF('Raw Jan'!B:B,'TB 0125'!A101,'Raw Jan'!E:E)</f>
        <v>0</v>
      </c>
      <c r="E101" s="24">
        <f t="shared" si="6"/>
        <v>1137250</v>
      </c>
      <c r="F101" s="24">
        <f t="shared" si="7"/>
        <v>1137.25</v>
      </c>
      <c r="G101" s="22" t="s">
        <v>181</v>
      </c>
      <c r="H101" s="23" t="s">
        <v>71</v>
      </c>
    </row>
  </sheetData>
  <autoFilter ref="A2:R101" xr:uid="{00000000-0009-0000-0000-000015000000}">
    <filterColumn colId="7">
      <filters>
        <filter val="Reserves &amp; Surplus"/>
        <filter val="Share Capital"/>
      </filters>
    </filterColumn>
  </autoFilter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4"/>
  <sheetViews>
    <sheetView topLeftCell="B1" workbookViewId="0">
      <selection activeCell="G3" sqref="G3"/>
    </sheetView>
  </sheetViews>
  <sheetFormatPr defaultRowHeight="14.5" x14ac:dyDescent="0.35"/>
  <cols>
    <col min="1" max="1" width="48.81640625" bestFit="1" customWidth="1"/>
    <col min="2" max="2" width="43.453125" bestFit="1" customWidth="1"/>
    <col min="3" max="3" width="18.36328125" bestFit="1" customWidth="1"/>
    <col min="4" max="4" width="21.36328125" customWidth="1"/>
    <col min="5" max="5" width="21" bestFit="1" customWidth="1"/>
    <col min="6" max="6" width="19.36328125" bestFit="1" customWidth="1"/>
    <col min="7" max="7" width="43.453125" bestFit="1" customWidth="1"/>
  </cols>
  <sheetData>
    <row r="1" spans="1:7" x14ac:dyDescent="0.35">
      <c r="A1" s="168" t="s">
        <v>464</v>
      </c>
      <c r="B1" s="168"/>
      <c r="C1" s="168" t="s">
        <v>498</v>
      </c>
      <c r="D1" s="168" t="s">
        <v>465</v>
      </c>
      <c r="E1" s="168" t="s">
        <v>466</v>
      </c>
      <c r="F1" s="168" t="s">
        <v>499</v>
      </c>
      <c r="G1" s="169" t="s">
        <v>433</v>
      </c>
    </row>
    <row r="3" spans="1:7" x14ac:dyDescent="0.35">
      <c r="A3" s="160" t="s">
        <v>70</v>
      </c>
      <c r="B3" s="166"/>
      <c r="C3" t="s">
        <v>85</v>
      </c>
      <c r="D3" t="s">
        <v>85</v>
      </c>
      <c r="E3" t="s">
        <v>85</v>
      </c>
      <c r="F3" t="s">
        <v>85</v>
      </c>
    </row>
    <row r="4" spans="1:7" x14ac:dyDescent="0.35">
      <c r="A4" s="160" t="s">
        <v>500</v>
      </c>
      <c r="B4" s="153" t="str">
        <f>TRIM(A4)</f>
        <v>Accounts Receivable</v>
      </c>
      <c r="C4" s="163">
        <v>1219987.22</v>
      </c>
      <c r="D4" s="163">
        <v>1558121.66</v>
      </c>
      <c r="E4" s="163">
        <v>128844</v>
      </c>
      <c r="F4" s="163">
        <v>2649264.88</v>
      </c>
      <c r="G4" t="str">
        <f>VLOOKUP(B4,'TB 0125'!A:A,1,0)</f>
        <v>Accounts Receivable</v>
      </c>
    </row>
    <row r="5" spans="1:7" x14ac:dyDescent="0.35">
      <c r="A5" s="160" t="s">
        <v>501</v>
      </c>
      <c r="B5" s="153" t="str">
        <f t="shared" ref="B5:B74" si="0">TRIM(A5)</f>
        <v>Accrued Interest</v>
      </c>
      <c r="C5" s="163">
        <v>201390.41</v>
      </c>
      <c r="D5" s="163">
        <v>643425</v>
      </c>
      <c r="E5" s="163">
        <v>201390.41</v>
      </c>
      <c r="F5" s="163">
        <v>643425</v>
      </c>
      <c r="G5" t="str">
        <f>VLOOKUP(B5,'TB 0125'!A:A,1,0)</f>
        <v>Accrued Interest</v>
      </c>
    </row>
    <row r="6" spans="1:7" x14ac:dyDescent="0.35">
      <c r="A6" s="160" t="s">
        <v>502</v>
      </c>
      <c r="B6" s="153" t="str">
        <f t="shared" si="0"/>
        <v>Accumulated Amortization on Intangible Asset</v>
      </c>
      <c r="C6" s="163">
        <v>-79732</v>
      </c>
      <c r="D6" s="163">
        <v>0</v>
      </c>
      <c r="E6" s="163">
        <v>12810</v>
      </c>
      <c r="F6" s="163">
        <v>-92542</v>
      </c>
      <c r="G6" t="str">
        <f>VLOOKUP(B6,'TB 0125'!A:A,1,0)</f>
        <v>Accumulated Amortization on Intangible Asset</v>
      </c>
    </row>
    <row r="7" spans="1:7" x14ac:dyDescent="0.35">
      <c r="A7" s="160" t="s">
        <v>503</v>
      </c>
      <c r="B7" s="153" t="str">
        <f t="shared" si="0"/>
        <v>Accumulated Depreciation on Computer and Laptops</v>
      </c>
      <c r="C7" s="163">
        <v>-281673</v>
      </c>
      <c r="D7" s="163">
        <v>0</v>
      </c>
      <c r="E7" s="163">
        <v>53131</v>
      </c>
      <c r="F7" s="163">
        <v>-334804</v>
      </c>
      <c r="G7" t="str">
        <f>VLOOKUP(B7,'TB 0125'!A:A,1,0)</f>
        <v>Accumulated Depreciation on Computer and Laptops</v>
      </c>
    </row>
    <row r="8" spans="1:7" x14ac:dyDescent="0.35">
      <c r="A8" s="160" t="s">
        <v>504</v>
      </c>
      <c r="B8" s="153" t="str">
        <f t="shared" si="0"/>
        <v>Accumulated Depreciation on Office Equipment</v>
      </c>
      <c r="C8" s="163">
        <v>-15419</v>
      </c>
      <c r="D8" s="163">
        <v>0</v>
      </c>
      <c r="E8" s="163">
        <v>2098</v>
      </c>
      <c r="F8" s="163">
        <v>-17517</v>
      </c>
      <c r="G8" t="str">
        <f>VLOOKUP(B8,'TB 0125'!A:A,1,0)</f>
        <v>Accumulated Depreciation on Office Equipment</v>
      </c>
    </row>
    <row r="9" spans="1:7" x14ac:dyDescent="0.35">
      <c r="A9" s="160" t="s">
        <v>505</v>
      </c>
      <c r="B9" s="153" t="str">
        <f t="shared" si="0"/>
        <v>Amazon Wallet</v>
      </c>
      <c r="C9" s="163">
        <v>305.98</v>
      </c>
      <c r="D9" s="163">
        <v>0</v>
      </c>
      <c r="E9" s="163">
        <v>0</v>
      </c>
      <c r="F9" s="163">
        <v>305.98</v>
      </c>
      <c r="G9" t="str">
        <f>VLOOKUP(B9,'TB 0125'!A:A,1,0)</f>
        <v>Amazon Wallet</v>
      </c>
    </row>
    <row r="10" spans="1:7" x14ac:dyDescent="0.35">
      <c r="A10" s="160" t="s">
        <v>506</v>
      </c>
      <c r="B10" s="153" t="str">
        <f t="shared" si="0"/>
        <v>Axis Bank 1655</v>
      </c>
      <c r="C10" s="163">
        <v>12990.34</v>
      </c>
      <c r="D10" s="163">
        <v>0</v>
      </c>
      <c r="E10" s="163">
        <v>118</v>
      </c>
      <c r="F10" s="163">
        <v>12872.34</v>
      </c>
      <c r="G10" t="str">
        <f>VLOOKUP(B10,'TB 0125'!A:A,1,0)</f>
        <v>Axis Bank 1655</v>
      </c>
    </row>
    <row r="11" spans="1:7" x14ac:dyDescent="0.35">
      <c r="A11" s="160" t="s">
        <v>507</v>
      </c>
      <c r="B11" s="153" t="str">
        <f t="shared" si="0"/>
        <v>Computer and Laptops</v>
      </c>
      <c r="C11" s="163">
        <v>981398.31</v>
      </c>
      <c r="D11" s="163">
        <v>28050</v>
      </c>
      <c r="E11" s="163">
        <v>0</v>
      </c>
      <c r="F11" s="163">
        <v>1009448.31</v>
      </c>
      <c r="G11" t="str">
        <f>VLOOKUP(B11,'TB 0125'!A:A,1,0)</f>
        <v>Computer and Laptops</v>
      </c>
    </row>
    <row r="12" spans="1:7" x14ac:dyDescent="0.35">
      <c r="A12" s="160" t="s">
        <v>678</v>
      </c>
      <c r="B12" s="153" t="str">
        <f t="shared" si="0"/>
        <v>Furniture and Equipment</v>
      </c>
      <c r="C12" s="163">
        <v>0</v>
      </c>
      <c r="D12" s="163">
        <v>272931.34000000003</v>
      </c>
      <c r="E12" s="163">
        <v>0</v>
      </c>
      <c r="F12" s="163">
        <v>272931.34000000003</v>
      </c>
      <c r="G12" t="str">
        <f>VLOOKUP(B12,'TB 0125'!A:A,1,0)</f>
        <v>Furniture and Equipment</v>
      </c>
    </row>
    <row r="13" spans="1:7" x14ac:dyDescent="0.35">
      <c r="A13" s="160" t="s">
        <v>712</v>
      </c>
      <c r="B13" s="153" t="str">
        <f t="shared" si="0"/>
        <v>HDFC Bank 6899</v>
      </c>
      <c r="C13" s="163">
        <v>0</v>
      </c>
      <c r="D13" s="163">
        <v>150050000</v>
      </c>
      <c r="E13" s="163">
        <v>150000000</v>
      </c>
      <c r="F13" s="163">
        <v>50000</v>
      </c>
      <c r="G13" t="str">
        <f>VLOOKUP(B13,'TB 0125'!A:A,1,0)</f>
        <v>HDFC Bank 6899</v>
      </c>
    </row>
    <row r="14" spans="1:7" x14ac:dyDescent="0.35">
      <c r="A14" s="160" t="s">
        <v>713</v>
      </c>
      <c r="B14" s="153" t="str">
        <f t="shared" si="0"/>
        <v>HDFC Bank 9531</v>
      </c>
      <c r="C14" s="163">
        <v>0</v>
      </c>
      <c r="D14" s="163">
        <v>50000</v>
      </c>
      <c r="E14" s="163">
        <v>0</v>
      </c>
      <c r="F14" s="163">
        <v>50000</v>
      </c>
      <c r="G14" t="str">
        <f>VLOOKUP(B14,'TB 0125'!A:A,1,0)</f>
        <v>HDFC Bank 9531</v>
      </c>
    </row>
    <row r="15" spans="1:7" x14ac:dyDescent="0.35">
      <c r="A15" s="160" t="s">
        <v>508</v>
      </c>
      <c r="B15" s="153"/>
      <c r="C15" s="163">
        <v>0</v>
      </c>
      <c r="D15" s="163">
        <v>0</v>
      </c>
      <c r="E15" s="163">
        <v>0</v>
      </c>
      <c r="F15" s="163">
        <v>0</v>
      </c>
    </row>
    <row r="16" spans="1:7" x14ac:dyDescent="0.35">
      <c r="A16" s="160" t="s">
        <v>509</v>
      </c>
      <c r="B16" s="153" t="str">
        <f t="shared" si="0"/>
        <v>Input CGST</v>
      </c>
      <c r="C16" s="163">
        <v>569167.96</v>
      </c>
      <c r="D16" s="163">
        <v>162414.10999999999</v>
      </c>
      <c r="E16" s="163">
        <v>0</v>
      </c>
      <c r="F16" s="163">
        <v>731582.07</v>
      </c>
      <c r="G16" t="str">
        <f>VLOOKUP(B16,'TB 0125'!A:A,1,0)</f>
        <v>Input CGST</v>
      </c>
    </row>
    <row r="17" spans="1:7" x14ac:dyDescent="0.35">
      <c r="A17" s="160" t="s">
        <v>510</v>
      </c>
      <c r="B17" s="153" t="str">
        <f t="shared" si="0"/>
        <v>Input IGST</v>
      </c>
      <c r="C17" s="163">
        <v>116747.29</v>
      </c>
      <c r="D17" s="163">
        <v>121617.66</v>
      </c>
      <c r="E17" s="163">
        <v>0</v>
      </c>
      <c r="F17" s="163">
        <v>238364.95</v>
      </c>
      <c r="G17" t="str">
        <f>VLOOKUP(B17,'TB 0125'!A:A,1,0)</f>
        <v>Input IGST</v>
      </c>
    </row>
    <row r="18" spans="1:7" x14ac:dyDescent="0.35">
      <c r="A18" s="160" t="s">
        <v>511</v>
      </c>
      <c r="B18" s="153" t="str">
        <f t="shared" si="0"/>
        <v>Input SGST</v>
      </c>
      <c r="C18" s="163">
        <v>569167.98</v>
      </c>
      <c r="D18" s="163">
        <v>162414.10999999999</v>
      </c>
      <c r="E18" s="163">
        <v>0</v>
      </c>
      <c r="F18" s="163">
        <v>731582.09</v>
      </c>
      <c r="G18" t="str">
        <f>VLOOKUP(B18,'TB 0125'!A:A,1,0)</f>
        <v>Input SGST</v>
      </c>
    </row>
    <row r="19" spans="1:7" ht="15.5" x14ac:dyDescent="0.35">
      <c r="A19" s="162" t="s">
        <v>512</v>
      </c>
      <c r="B19" s="153"/>
      <c r="C19" s="164">
        <v>1255083.23</v>
      </c>
      <c r="D19" s="164">
        <v>446445.88</v>
      </c>
      <c r="E19" s="164">
        <v>0</v>
      </c>
      <c r="F19" s="164">
        <v>1701529.11</v>
      </c>
    </row>
    <row r="20" spans="1:7" x14ac:dyDescent="0.35">
      <c r="B20" s="153" t="str">
        <f t="shared" si="0"/>
        <v/>
      </c>
      <c r="C20" s="74"/>
      <c r="D20" s="74"/>
      <c r="E20" s="74"/>
      <c r="F20" s="74"/>
    </row>
    <row r="21" spans="1:7" x14ac:dyDescent="0.35">
      <c r="A21" s="160" t="s">
        <v>513</v>
      </c>
      <c r="B21" s="153" t="str">
        <f t="shared" si="0"/>
        <v>Intangible Asset</v>
      </c>
      <c r="C21" s="163">
        <v>1537167.67</v>
      </c>
      <c r="D21" s="163">
        <v>0</v>
      </c>
      <c r="E21" s="163">
        <v>0</v>
      </c>
      <c r="F21" s="163">
        <v>1537167.67</v>
      </c>
      <c r="G21" t="str">
        <f>VLOOKUP(B21,'TB 0125'!A:A,1,0)</f>
        <v>Intangible Asset</v>
      </c>
    </row>
    <row r="22" spans="1:7" x14ac:dyDescent="0.35">
      <c r="A22" s="160" t="s">
        <v>514</v>
      </c>
      <c r="B22" s="153"/>
      <c r="C22" s="163">
        <v>0</v>
      </c>
      <c r="D22" s="163">
        <v>0</v>
      </c>
      <c r="E22" s="163">
        <v>0</v>
      </c>
      <c r="F22" s="163">
        <v>0</v>
      </c>
    </row>
    <row r="23" spans="1:7" x14ac:dyDescent="0.35">
      <c r="A23" s="160" t="s">
        <v>716</v>
      </c>
      <c r="B23" s="153" t="str">
        <f t="shared" si="0"/>
        <v>Fixed Deposit 50301104821591</v>
      </c>
      <c r="C23" s="163">
        <v>0</v>
      </c>
      <c r="D23" s="163">
        <v>45000000</v>
      </c>
      <c r="E23" s="163">
        <v>0</v>
      </c>
      <c r="F23" s="163">
        <v>45000000</v>
      </c>
      <c r="G23" t="str">
        <f>VLOOKUP(B23,'TB 0125'!A:A,1,0)</f>
        <v>Fixed Deposit 50301104821591</v>
      </c>
    </row>
    <row r="24" spans="1:7" x14ac:dyDescent="0.35">
      <c r="A24" s="160" t="s">
        <v>717</v>
      </c>
      <c r="B24" s="153" t="str">
        <f t="shared" si="0"/>
        <v>Fixed Deposit 50301104822249</v>
      </c>
      <c r="C24" s="163">
        <v>0</v>
      </c>
      <c r="D24" s="163">
        <v>30000000</v>
      </c>
      <c r="E24" s="163">
        <v>0</v>
      </c>
      <c r="F24" s="163">
        <v>30000000</v>
      </c>
      <c r="G24" t="str">
        <f>VLOOKUP(B24,'TB 0125'!A:A,1,0)</f>
        <v>Fixed Deposit 50301104822249</v>
      </c>
    </row>
    <row r="25" spans="1:7" x14ac:dyDescent="0.35">
      <c r="A25" s="160" t="s">
        <v>517</v>
      </c>
      <c r="B25" s="153" t="str">
        <f t="shared" si="0"/>
        <v>Fixed Deposit 9349736649</v>
      </c>
      <c r="C25" s="163">
        <v>38000000</v>
      </c>
      <c r="D25" s="163">
        <v>0</v>
      </c>
      <c r="E25" s="163">
        <v>0</v>
      </c>
      <c r="F25" s="163">
        <v>38000000</v>
      </c>
      <c r="G25" t="str">
        <f>VLOOKUP(B25,'TB 0125'!A:A,1,0)</f>
        <v>Fixed Deposit 9349736649</v>
      </c>
    </row>
    <row r="26" spans="1:7" x14ac:dyDescent="0.35">
      <c r="A26" s="160" t="s">
        <v>629</v>
      </c>
      <c r="B26" s="153" t="str">
        <f t="shared" si="0"/>
        <v>Fixed Deposit 9349770858</v>
      </c>
      <c r="C26" s="163">
        <v>6000000</v>
      </c>
      <c r="D26" s="163">
        <v>0</v>
      </c>
      <c r="E26" s="163">
        <v>0</v>
      </c>
      <c r="F26" s="163">
        <v>6000000</v>
      </c>
      <c r="G26" t="str">
        <f>VLOOKUP(B26,'TB 0125'!A:A,1,0)</f>
        <v>Fixed Deposit 9349770858</v>
      </c>
    </row>
    <row r="27" spans="1:7" x14ac:dyDescent="0.35">
      <c r="A27" s="160" t="s">
        <v>630</v>
      </c>
      <c r="B27" s="153" t="str">
        <f t="shared" si="0"/>
        <v>Fixed Deposit 9349770889</v>
      </c>
      <c r="C27" s="163">
        <v>2000000</v>
      </c>
      <c r="D27" s="163">
        <v>0</v>
      </c>
      <c r="E27" s="163">
        <v>2000000</v>
      </c>
      <c r="F27" s="163">
        <v>0</v>
      </c>
      <c r="G27" t="str">
        <f>VLOOKUP(B27,'TB 0125'!A:A,1,0)</f>
        <v>Fixed Deposit 9349770889</v>
      </c>
    </row>
    <row r="28" spans="1:7" x14ac:dyDescent="0.35">
      <c r="A28" s="160" t="s">
        <v>631</v>
      </c>
      <c r="B28" s="153" t="str">
        <f t="shared" si="0"/>
        <v>Fixed Deposit 9349775761</v>
      </c>
      <c r="C28" s="163">
        <v>1000000</v>
      </c>
      <c r="D28" s="163">
        <v>0</v>
      </c>
      <c r="E28" s="163">
        <v>1000000</v>
      </c>
      <c r="F28" s="163">
        <v>0</v>
      </c>
      <c r="G28" t="str">
        <f>VLOOKUP(B28,'TB 0125'!A:A,1,0)</f>
        <v>Fixed Deposit 9349775761</v>
      </c>
    </row>
    <row r="29" spans="1:7" x14ac:dyDescent="0.35">
      <c r="A29" s="160" t="s">
        <v>679</v>
      </c>
      <c r="B29" s="153" t="str">
        <f t="shared" si="0"/>
        <v>Fixed Deposit 9349809046</v>
      </c>
      <c r="C29" s="163">
        <v>0</v>
      </c>
      <c r="D29" s="163">
        <v>7500000</v>
      </c>
      <c r="E29" s="163">
        <v>0</v>
      </c>
      <c r="F29" s="163">
        <v>7500000</v>
      </c>
      <c r="G29" t="str">
        <f>VLOOKUP(B29,'TB 0125'!A:A,1,0)</f>
        <v>Fixed Deposit 9349809046</v>
      </c>
    </row>
    <row r="30" spans="1:7" x14ac:dyDescent="0.35">
      <c r="A30" s="160" t="s">
        <v>680</v>
      </c>
      <c r="B30" s="153" t="str">
        <f t="shared" si="0"/>
        <v>Fixed Deposit 9349809145</v>
      </c>
      <c r="C30" s="163">
        <v>0</v>
      </c>
      <c r="D30" s="163">
        <v>350000000</v>
      </c>
      <c r="E30" s="163">
        <v>0</v>
      </c>
      <c r="F30" s="163">
        <v>350000000</v>
      </c>
      <c r="G30" t="str">
        <f>VLOOKUP(B30,'TB 0125'!A:A,1,0)</f>
        <v>Fixed Deposit 9349809145</v>
      </c>
    </row>
    <row r="31" spans="1:7" x14ac:dyDescent="0.35">
      <c r="A31" s="160" t="s">
        <v>681</v>
      </c>
      <c r="B31" s="153" t="str">
        <f t="shared" si="0"/>
        <v>Fixed Deposit 9349809183</v>
      </c>
      <c r="C31" s="163">
        <v>0</v>
      </c>
      <c r="D31" s="163">
        <v>35000000</v>
      </c>
      <c r="E31" s="163">
        <v>0</v>
      </c>
      <c r="F31" s="163">
        <v>35000000</v>
      </c>
      <c r="G31" t="str">
        <f>VLOOKUP(B31,'TB 0125'!A:A,1,0)</f>
        <v>Fixed Deposit 9349809183</v>
      </c>
    </row>
    <row r="32" spans="1:7" ht="15.5" x14ac:dyDescent="0.35">
      <c r="A32" s="162" t="s">
        <v>521</v>
      </c>
      <c r="B32" s="153"/>
      <c r="C32" s="164">
        <v>47000000</v>
      </c>
      <c r="D32" s="164">
        <v>467500000</v>
      </c>
      <c r="E32" s="164">
        <v>3000000</v>
      </c>
      <c r="F32" s="164">
        <v>511500000</v>
      </c>
    </row>
    <row r="33" spans="1:7" x14ac:dyDescent="0.35">
      <c r="B33" s="153" t="str">
        <f t="shared" si="0"/>
        <v/>
      </c>
      <c r="C33" s="74"/>
      <c r="D33" s="74"/>
      <c r="E33" s="74"/>
      <c r="F33" s="74"/>
    </row>
    <row r="34" spans="1:7" x14ac:dyDescent="0.35">
      <c r="A34" s="160" t="s">
        <v>682</v>
      </c>
      <c r="B34" s="153" t="str">
        <f t="shared" si="0"/>
        <v>Kotak Mahindra Bank 0429</v>
      </c>
      <c r="C34" s="163">
        <v>0</v>
      </c>
      <c r="D34" s="163">
        <v>476477617.63999999</v>
      </c>
      <c r="E34" s="163">
        <v>476477617.63999999</v>
      </c>
      <c r="F34" s="163">
        <v>0</v>
      </c>
      <c r="G34" t="str">
        <f>VLOOKUP(B34,'TB 0125'!A:A,1,0)</f>
        <v>Kotak Mahindra Bank 0429</v>
      </c>
    </row>
    <row r="35" spans="1:7" x14ac:dyDescent="0.35">
      <c r="A35" s="160" t="s">
        <v>522</v>
      </c>
      <c r="B35" s="153" t="str">
        <f t="shared" si="0"/>
        <v>Kotak Mahindra Bank 9942</v>
      </c>
      <c r="C35" s="163">
        <v>1435986.2</v>
      </c>
      <c r="D35" s="163">
        <v>552982749.55999994</v>
      </c>
      <c r="E35" s="163">
        <v>554200000</v>
      </c>
      <c r="F35" s="163">
        <v>218735.76</v>
      </c>
      <c r="G35" t="str">
        <f>VLOOKUP(B35,'TB 0125'!A:A,1,0)</f>
        <v>Kotak Mahindra Bank 9942</v>
      </c>
    </row>
    <row r="36" spans="1:7" x14ac:dyDescent="0.35">
      <c r="A36" s="160" t="s">
        <v>523</v>
      </c>
      <c r="B36" s="153" t="str">
        <f t="shared" si="0"/>
        <v>Kotak Mahindra Bank 9966</v>
      </c>
      <c r="C36" s="163">
        <v>162735.60999999999</v>
      </c>
      <c r="D36" s="163">
        <v>13249393.859999999</v>
      </c>
      <c r="E36" s="163">
        <v>10418590.02</v>
      </c>
      <c r="F36" s="163">
        <v>2993539.45</v>
      </c>
      <c r="G36" t="str">
        <f>VLOOKUP(B36,'TB 0125'!A:A,1,0)</f>
        <v>Kotak Mahindra Bank 9966</v>
      </c>
    </row>
    <row r="37" spans="1:7" x14ac:dyDescent="0.35">
      <c r="A37" s="160" t="s">
        <v>722</v>
      </c>
      <c r="B37" s="153" t="str">
        <f t="shared" si="0"/>
        <v>Leasehold Improvement</v>
      </c>
      <c r="C37" s="163">
        <v>0</v>
      </c>
      <c r="D37" s="163">
        <v>1137250</v>
      </c>
      <c r="E37" s="163">
        <v>0</v>
      </c>
      <c r="F37" s="163">
        <v>1137250</v>
      </c>
      <c r="G37" t="str">
        <f>VLOOKUP(B37,'TB 0125'!A:A,1,0)</f>
        <v>Leasehold Improvement</v>
      </c>
    </row>
    <row r="38" spans="1:7" x14ac:dyDescent="0.35">
      <c r="A38" s="160" t="s">
        <v>524</v>
      </c>
      <c r="B38" s="153" t="str">
        <f t="shared" si="0"/>
        <v>Office Equipment</v>
      </c>
      <c r="C38" s="163">
        <v>55864.5</v>
      </c>
      <c r="D38" s="163">
        <v>0</v>
      </c>
      <c r="E38" s="163">
        <v>0</v>
      </c>
      <c r="F38" s="163">
        <v>55864.5</v>
      </c>
      <c r="G38" t="str">
        <f>VLOOKUP(B38,'TB 0125'!A:A,1,0)</f>
        <v>Office Equipment</v>
      </c>
    </row>
    <row r="39" spans="1:7" x14ac:dyDescent="0.35">
      <c r="A39" s="160" t="s">
        <v>525</v>
      </c>
      <c r="B39" s="153" t="str">
        <f t="shared" si="0"/>
        <v>Petty Cash</v>
      </c>
      <c r="C39" s="163">
        <v>0</v>
      </c>
      <c r="D39" s="163">
        <v>10000</v>
      </c>
      <c r="E39" s="163">
        <v>10000</v>
      </c>
      <c r="F39" s="163">
        <v>0</v>
      </c>
      <c r="G39" t="str">
        <f>VLOOKUP(B39,'TB 0125'!A:A,1,0)</f>
        <v>Petty Cash</v>
      </c>
    </row>
    <row r="40" spans="1:7" x14ac:dyDescent="0.35">
      <c r="A40" s="160" t="s">
        <v>526</v>
      </c>
      <c r="B40" s="153" t="str">
        <f t="shared" si="0"/>
        <v>Prepaid Expense - Asset</v>
      </c>
      <c r="C40" s="163">
        <v>76125.59</v>
      </c>
      <c r="D40" s="163">
        <v>500000</v>
      </c>
      <c r="E40" s="163">
        <v>45192.25</v>
      </c>
      <c r="F40" s="163">
        <v>530933.34</v>
      </c>
      <c r="G40" t="str">
        <f>VLOOKUP(B40,'TB 0125'!A:A,1,0)</f>
        <v>Prepaid Expense - Asset</v>
      </c>
    </row>
    <row r="41" spans="1:7" x14ac:dyDescent="0.35">
      <c r="A41" s="160" t="s">
        <v>527</v>
      </c>
      <c r="B41" s="153" t="str">
        <f t="shared" si="0"/>
        <v>Prepaid Expenses</v>
      </c>
      <c r="C41" s="163">
        <v>42586.12</v>
      </c>
      <c r="D41" s="163">
        <v>492183</v>
      </c>
      <c r="E41" s="163">
        <v>472557.55</v>
      </c>
      <c r="F41" s="163">
        <v>62211.57</v>
      </c>
      <c r="G41" t="str">
        <f>VLOOKUP(B41,'TB 0125'!A:A,1,0)</f>
        <v>Prepaid Expenses</v>
      </c>
    </row>
    <row r="42" spans="1:7" x14ac:dyDescent="0.35">
      <c r="A42" s="160" t="s">
        <v>528</v>
      </c>
      <c r="B42" s="153" t="str">
        <f t="shared" si="0"/>
        <v>Receipt from Customers</v>
      </c>
      <c r="C42" s="163">
        <v>-1166804.24</v>
      </c>
      <c r="D42" s="163">
        <v>97081</v>
      </c>
      <c r="E42" s="163">
        <v>1521796.71</v>
      </c>
      <c r="F42" s="163">
        <v>-2591519.9500000002</v>
      </c>
      <c r="G42" t="str">
        <f>VLOOKUP(B42,'TB 0125'!A:A,1,0)</f>
        <v>Receipt from Customers</v>
      </c>
    </row>
    <row r="43" spans="1:7" x14ac:dyDescent="0.35">
      <c r="A43" s="160" t="s">
        <v>529</v>
      </c>
      <c r="B43" s="153" t="str">
        <f t="shared" si="0"/>
        <v>Reverse Charge Tax Input but not due</v>
      </c>
      <c r="C43" s="163">
        <v>275682.96000000002</v>
      </c>
      <c r="D43" s="163">
        <v>14263.62</v>
      </c>
      <c r="E43" s="163">
        <v>0</v>
      </c>
      <c r="F43" s="163">
        <v>289946.58</v>
      </c>
      <c r="G43" t="str">
        <f>VLOOKUP(B43,'TB 0125'!A:A,1,0)</f>
        <v>Reverse Charge Tax Input but not due</v>
      </c>
    </row>
    <row r="44" spans="1:7" x14ac:dyDescent="0.35">
      <c r="A44" s="160" t="s">
        <v>530</v>
      </c>
      <c r="B44" s="153" t="str">
        <f t="shared" si="0"/>
        <v>Security Deposit</v>
      </c>
      <c r="C44" s="163">
        <v>1080000</v>
      </c>
      <c r="D44" s="163">
        <v>600000</v>
      </c>
      <c r="E44" s="163">
        <v>0</v>
      </c>
      <c r="F44" s="163">
        <v>1680000</v>
      </c>
      <c r="G44" t="str">
        <f>VLOOKUP(B44,'TB 0125'!A:A,1,0)</f>
        <v>Security Deposit</v>
      </c>
    </row>
    <row r="45" spans="1:7" x14ac:dyDescent="0.35">
      <c r="A45" s="160" t="s">
        <v>531</v>
      </c>
      <c r="B45" s="153" t="str">
        <f t="shared" si="0"/>
        <v>TDS Receivable</v>
      </c>
      <c r="C45" s="163">
        <v>116633</v>
      </c>
      <c r="D45" s="163">
        <v>84972</v>
      </c>
      <c r="E45" s="163">
        <v>0</v>
      </c>
      <c r="F45" s="163">
        <v>201605</v>
      </c>
      <c r="G45" t="str">
        <f>VLOOKUP(B45,'TB 0125'!A:A,1,0)</f>
        <v>TDS Receivable</v>
      </c>
    </row>
    <row r="46" spans="1:7" x14ac:dyDescent="0.35">
      <c r="A46" s="160" t="s">
        <v>532</v>
      </c>
      <c r="B46" s="153"/>
      <c r="C46" s="165" t="s">
        <v>85</v>
      </c>
      <c r="D46" s="165" t="s">
        <v>85</v>
      </c>
      <c r="E46" s="165" t="s">
        <v>85</v>
      </c>
      <c r="F46" s="165" t="s">
        <v>85</v>
      </c>
    </row>
    <row r="47" spans="1:7" x14ac:dyDescent="0.35">
      <c r="A47" s="160" t="s">
        <v>533</v>
      </c>
      <c r="B47" s="153" t="str">
        <f t="shared" si="0"/>
        <v>Accounts Payable</v>
      </c>
      <c r="C47" s="163">
        <v>-1406951.52</v>
      </c>
      <c r="D47" s="163">
        <v>10005514.57</v>
      </c>
      <c r="E47" s="163">
        <v>10329028.869999999</v>
      </c>
      <c r="F47" s="163">
        <v>-1730465.8199999984</v>
      </c>
      <c r="G47" t="str">
        <f>VLOOKUP(B47,'TB 0125'!A:A,1,0)</f>
        <v>Accounts Payable</v>
      </c>
    </row>
    <row r="48" spans="1:7" x14ac:dyDescent="0.35">
      <c r="A48" s="160" t="s">
        <v>534</v>
      </c>
      <c r="B48" s="153" t="str">
        <f t="shared" si="0"/>
        <v>App Wallet</v>
      </c>
      <c r="C48" s="163">
        <v>-141295.26999999999</v>
      </c>
      <c r="D48" s="163">
        <v>25635</v>
      </c>
      <c r="E48" s="163">
        <v>97081</v>
      </c>
      <c r="F48" s="163">
        <v>-212741.27</v>
      </c>
      <c r="G48" t="str">
        <f>VLOOKUP(B48,'TB 0125'!A:A,1,0)</f>
        <v>App Wallet</v>
      </c>
    </row>
    <row r="49" spans="1:7" x14ac:dyDescent="0.35">
      <c r="A49" s="160" t="s">
        <v>535</v>
      </c>
      <c r="B49" s="153" t="str">
        <f t="shared" si="0"/>
        <v>Employee Reimbursements</v>
      </c>
      <c r="C49" s="163">
        <v>-36208</v>
      </c>
      <c r="D49" s="163">
        <v>36208</v>
      </c>
      <c r="E49" s="163">
        <v>79600</v>
      </c>
      <c r="F49" s="163">
        <v>-79600</v>
      </c>
      <c r="G49" t="str">
        <f>VLOOKUP(B49,'TB 0125'!A:A,1,0)</f>
        <v>Employee Reimbursements</v>
      </c>
    </row>
    <row r="50" spans="1:7" x14ac:dyDescent="0.35">
      <c r="A50" s="160" t="s">
        <v>622</v>
      </c>
      <c r="B50" s="153" t="str">
        <f t="shared" si="0"/>
        <v>Employee Salaries Payable</v>
      </c>
      <c r="C50" s="163">
        <v>0</v>
      </c>
      <c r="D50" s="163">
        <v>0</v>
      </c>
      <c r="E50" s="163">
        <v>79650</v>
      </c>
      <c r="F50" s="163">
        <v>-79650</v>
      </c>
      <c r="G50" t="str">
        <f>VLOOKUP(B50,'TB 0125'!A:A,1,0)</f>
        <v>Employee Salaries Payable</v>
      </c>
    </row>
    <row r="51" spans="1:7" x14ac:dyDescent="0.35">
      <c r="A51" s="160" t="s">
        <v>536</v>
      </c>
      <c r="B51" s="153" t="str">
        <f t="shared" si="0"/>
        <v>GST Payable</v>
      </c>
      <c r="C51" s="163">
        <v>0</v>
      </c>
      <c r="D51" s="163">
        <v>0</v>
      </c>
      <c r="E51" s="163">
        <v>0</v>
      </c>
      <c r="F51" s="163">
        <v>0</v>
      </c>
    </row>
    <row r="52" spans="1:7" x14ac:dyDescent="0.35">
      <c r="A52" s="160" t="s">
        <v>537</v>
      </c>
      <c r="B52" s="153" t="str">
        <f t="shared" si="0"/>
        <v>Output CGST</v>
      </c>
      <c r="C52" s="163">
        <v>-55123.18</v>
      </c>
      <c r="D52" s="163">
        <v>27631</v>
      </c>
      <c r="E52" s="163">
        <v>59620.5</v>
      </c>
      <c r="F52" s="163">
        <v>-87112.68</v>
      </c>
      <c r="G52" t="str">
        <f>VLOOKUP(B52,'TB 0125'!A:A,1,0)</f>
        <v>Output CGST</v>
      </c>
    </row>
    <row r="53" spans="1:7" x14ac:dyDescent="0.35">
      <c r="A53" s="160" t="s">
        <v>538</v>
      </c>
      <c r="B53" s="153" t="str">
        <f t="shared" si="0"/>
        <v>Output IGST</v>
      </c>
      <c r="C53" s="163">
        <v>-4807.96</v>
      </c>
      <c r="D53" s="163">
        <v>4808</v>
      </c>
      <c r="E53" s="163">
        <v>6463.62</v>
      </c>
      <c r="F53" s="163">
        <v>-6463.58</v>
      </c>
      <c r="G53" t="str">
        <f>VLOOKUP(B53,'TB 0125'!A:A,1,0)</f>
        <v>Output IGST</v>
      </c>
    </row>
    <row r="54" spans="1:7" x14ac:dyDescent="0.35">
      <c r="A54" s="160" t="s">
        <v>539</v>
      </c>
      <c r="B54" s="153" t="str">
        <f t="shared" si="0"/>
        <v>Output SGST</v>
      </c>
      <c r="C54" s="163">
        <v>-55123.18</v>
      </c>
      <c r="D54" s="163">
        <v>27631</v>
      </c>
      <c r="E54" s="163">
        <v>59620.5</v>
      </c>
      <c r="F54" s="163">
        <v>-87112.68</v>
      </c>
      <c r="G54" t="str">
        <f>VLOOKUP(B54,'TB 0125'!A:A,1,0)</f>
        <v>Output SGST</v>
      </c>
    </row>
    <row r="55" spans="1:7" ht="15.5" x14ac:dyDescent="0.35">
      <c r="A55" s="162" t="s">
        <v>540</v>
      </c>
      <c r="B55" s="153"/>
      <c r="C55" s="164">
        <v>-115054.32</v>
      </c>
      <c r="D55" s="164">
        <v>60070</v>
      </c>
      <c r="E55" s="164">
        <v>125704.62</v>
      </c>
      <c r="F55" s="164">
        <v>-180688.94</v>
      </c>
    </row>
    <row r="56" spans="1:7" x14ac:dyDescent="0.35">
      <c r="B56" s="153" t="str">
        <f t="shared" si="0"/>
        <v/>
      </c>
      <c r="C56" s="74"/>
      <c r="D56" s="74"/>
      <c r="E56" s="74"/>
      <c r="F56" s="74"/>
    </row>
    <row r="57" spans="1:7" x14ac:dyDescent="0.35">
      <c r="A57" s="160" t="s">
        <v>632</v>
      </c>
      <c r="B57" s="153" t="str">
        <f t="shared" si="0"/>
        <v>Labour Welfare Fund</v>
      </c>
      <c r="C57" s="163">
        <v>-575</v>
      </c>
      <c r="D57" s="163">
        <v>2320.35</v>
      </c>
      <c r="E57" s="163">
        <v>1745.35</v>
      </c>
      <c r="F57" s="163">
        <v>0</v>
      </c>
      <c r="G57" t="str">
        <f>VLOOKUP(B57,'TB 0125'!A:A,1,0)</f>
        <v>Labour Welfare Fund</v>
      </c>
    </row>
    <row r="58" spans="1:7" x14ac:dyDescent="0.35">
      <c r="A58" s="160" t="s">
        <v>541</v>
      </c>
      <c r="B58" s="153" t="str">
        <f t="shared" si="0"/>
        <v>Professional Tax</v>
      </c>
      <c r="C58" s="163">
        <v>-4200</v>
      </c>
      <c r="D58" s="163">
        <v>4200</v>
      </c>
      <c r="E58" s="163">
        <v>5000</v>
      </c>
      <c r="F58" s="163">
        <v>-5000</v>
      </c>
      <c r="G58" t="str">
        <f>VLOOKUP(B58,'TB 0125'!A:A,1,0)</f>
        <v>Professional Tax</v>
      </c>
    </row>
    <row r="59" spans="1:7" x14ac:dyDescent="0.35">
      <c r="A59" s="160" t="s">
        <v>542</v>
      </c>
      <c r="B59" s="153"/>
      <c r="C59" s="163">
        <v>0</v>
      </c>
      <c r="D59" s="163">
        <v>0</v>
      </c>
      <c r="E59" s="163">
        <v>0</v>
      </c>
      <c r="F59" s="163">
        <v>0</v>
      </c>
    </row>
    <row r="60" spans="1:7" x14ac:dyDescent="0.35">
      <c r="A60" s="160" t="s">
        <v>543</v>
      </c>
      <c r="B60" s="153" t="str">
        <f t="shared" si="0"/>
        <v>Provident Fund - Employee</v>
      </c>
      <c r="C60" s="163">
        <v>-41400</v>
      </c>
      <c r="D60" s="163">
        <v>41400</v>
      </c>
      <c r="E60" s="163">
        <v>49099</v>
      </c>
      <c r="F60" s="163">
        <v>-49099</v>
      </c>
      <c r="G60" t="str">
        <f>VLOOKUP(B60,'TB 0125'!A:A,1,0)</f>
        <v>Provident Fund - Employee</v>
      </c>
    </row>
    <row r="61" spans="1:7" x14ac:dyDescent="0.35">
      <c r="A61" s="160" t="s">
        <v>544</v>
      </c>
      <c r="B61" s="153" t="str">
        <f t="shared" si="0"/>
        <v>Provident Fund - Employer</v>
      </c>
      <c r="C61" s="163">
        <v>-41400</v>
      </c>
      <c r="D61" s="163">
        <v>41400</v>
      </c>
      <c r="E61" s="163">
        <v>49099</v>
      </c>
      <c r="F61" s="163">
        <v>-49099</v>
      </c>
      <c r="G61" t="str">
        <f>VLOOKUP(B61,'TB 0125'!A:A,1,0)</f>
        <v>Provident Fund - Employer</v>
      </c>
    </row>
    <row r="62" spans="1:7" ht="15.5" x14ac:dyDescent="0.35">
      <c r="A62" s="162" t="s">
        <v>545</v>
      </c>
      <c r="B62" s="153"/>
      <c r="C62" s="164">
        <v>-82800</v>
      </c>
      <c r="D62" s="164">
        <v>82800</v>
      </c>
      <c r="E62" s="164">
        <v>98198</v>
      </c>
      <c r="F62" s="164">
        <v>-98198</v>
      </c>
    </row>
    <row r="63" spans="1:7" x14ac:dyDescent="0.35">
      <c r="B63" s="153" t="str">
        <f t="shared" si="0"/>
        <v/>
      </c>
      <c r="C63" s="74"/>
      <c r="D63" s="74"/>
      <c r="E63" s="74"/>
      <c r="F63" s="74"/>
    </row>
    <row r="64" spans="1:7" x14ac:dyDescent="0.35">
      <c r="A64" s="160" t="s">
        <v>633</v>
      </c>
      <c r="B64" s="153" t="str">
        <f t="shared" si="0"/>
        <v>Provision for Electricity Expense</v>
      </c>
      <c r="C64" s="163">
        <v>-4035.6</v>
      </c>
      <c r="D64" s="163">
        <v>4035.6</v>
      </c>
      <c r="E64" s="163">
        <v>0</v>
      </c>
      <c r="F64" s="163">
        <v>0</v>
      </c>
      <c r="G64" t="str">
        <f>VLOOKUP(B64,'TB 0125'!A:A,1,0)</f>
        <v>Provision for Electricity Expense</v>
      </c>
    </row>
    <row r="65" spans="1:7" x14ac:dyDescent="0.35">
      <c r="A65" s="160" t="s">
        <v>547</v>
      </c>
      <c r="B65" s="153" t="str">
        <f t="shared" si="0"/>
        <v>Provision for Other Cost</v>
      </c>
      <c r="C65" s="163">
        <v>-15700</v>
      </c>
      <c r="D65" s="163">
        <v>15700</v>
      </c>
      <c r="E65" s="163">
        <v>21177</v>
      </c>
      <c r="F65" s="163">
        <v>-21177</v>
      </c>
      <c r="G65" t="str">
        <f>VLOOKUP(B65,'TB 0125'!A:A,1,0)</f>
        <v>Provision for Other Cost</v>
      </c>
    </row>
    <row r="66" spans="1:7" x14ac:dyDescent="0.35">
      <c r="A66" s="160" t="s">
        <v>549</v>
      </c>
      <c r="B66" s="153" t="str">
        <f t="shared" si="0"/>
        <v>Provision for Software Expense</v>
      </c>
      <c r="C66" s="163">
        <v>-35910</v>
      </c>
      <c r="D66" s="163">
        <v>35910</v>
      </c>
      <c r="E66" s="163">
        <v>0</v>
      </c>
      <c r="F66" s="163">
        <v>0</v>
      </c>
      <c r="G66" t="str">
        <f>VLOOKUP(B66,'TB 0125'!A:A,1,0)</f>
        <v>Provision for Software Expense</v>
      </c>
    </row>
    <row r="67" spans="1:7" x14ac:dyDescent="0.35">
      <c r="A67" s="160" t="s">
        <v>550</v>
      </c>
      <c r="B67" s="153" t="str">
        <f t="shared" si="0"/>
        <v>TDS Payable</v>
      </c>
      <c r="C67" s="163">
        <v>-229673.78</v>
      </c>
      <c r="D67" s="163">
        <v>245281</v>
      </c>
      <c r="E67" s="163">
        <v>340364.42</v>
      </c>
      <c r="F67" s="163">
        <v>-324757.2</v>
      </c>
      <c r="G67" t="str">
        <f>VLOOKUP(B67,'TB 0125'!A:A,1,0)</f>
        <v>TDS Payable</v>
      </c>
    </row>
    <row r="68" spans="1:7" x14ac:dyDescent="0.35">
      <c r="A68" s="160" t="s">
        <v>551</v>
      </c>
      <c r="B68" s="153" t="str">
        <f t="shared" si="0"/>
        <v>Variable Salary Payable</v>
      </c>
      <c r="C68" s="163">
        <v>-58153</v>
      </c>
      <c r="D68" s="163">
        <v>0</v>
      </c>
      <c r="E68" s="163">
        <v>20653</v>
      </c>
      <c r="F68" s="163">
        <v>-78806</v>
      </c>
      <c r="G68" t="str">
        <f>VLOOKUP(B68,'TB 0125'!A:A,1,0)</f>
        <v>Variable Salary Payable</v>
      </c>
    </row>
    <row r="69" spans="1:7" x14ac:dyDescent="0.35">
      <c r="A69" s="160" t="s">
        <v>552</v>
      </c>
      <c r="B69" s="153"/>
      <c r="C69" s="165" t="s">
        <v>85</v>
      </c>
      <c r="D69" s="165" t="s">
        <v>85</v>
      </c>
      <c r="E69" s="165" t="s">
        <v>85</v>
      </c>
      <c r="F69" s="165" t="s">
        <v>85</v>
      </c>
    </row>
    <row r="70" spans="1:7" x14ac:dyDescent="0.35">
      <c r="A70" s="160" t="s">
        <v>553</v>
      </c>
      <c r="B70" s="153" t="str">
        <f t="shared" si="0"/>
        <v>Current Year Earnings</v>
      </c>
      <c r="C70" s="163">
        <v>26414474.890000001</v>
      </c>
      <c r="D70" s="163">
        <v>0</v>
      </c>
      <c r="E70" s="163">
        <v>0</v>
      </c>
      <c r="F70" s="163">
        <v>26414474.890000001</v>
      </c>
      <c r="G70" t="str">
        <f>VLOOKUP(B70,'TB 0125'!A:A,1,0)</f>
        <v>Current Year Earnings</v>
      </c>
    </row>
    <row r="71" spans="1:7" x14ac:dyDescent="0.35">
      <c r="A71" s="160" t="s">
        <v>554</v>
      </c>
      <c r="B71" s="153" t="str">
        <f t="shared" si="0"/>
        <v>Owner's Equity</v>
      </c>
      <c r="C71" s="163">
        <v>-100000</v>
      </c>
      <c r="D71" s="163">
        <v>0</v>
      </c>
      <c r="E71" s="163">
        <v>0</v>
      </c>
      <c r="F71" s="163">
        <v>-100000</v>
      </c>
      <c r="G71" t="str">
        <f>VLOOKUP(B71,'TB 0125'!A:A,1,0)</f>
        <v>Owner's Equity</v>
      </c>
    </row>
    <row r="72" spans="1:7" x14ac:dyDescent="0.35">
      <c r="A72" s="160" t="s">
        <v>683</v>
      </c>
      <c r="B72" s="153" t="str">
        <f t="shared" si="0"/>
        <v>Elevation Capital III Limited ESC</v>
      </c>
      <c r="C72" s="163">
        <v>0</v>
      </c>
      <c r="D72" s="163">
        <v>0</v>
      </c>
      <c r="E72" s="163">
        <v>10</v>
      </c>
      <c r="F72" s="163">
        <v>-10</v>
      </c>
      <c r="G72" t="str">
        <f>VLOOKUP(B72,'TB 0125'!A:A,1,0)</f>
        <v>Elevation Capital III Limited ESC</v>
      </c>
    </row>
    <row r="73" spans="1:7" x14ac:dyDescent="0.35">
      <c r="A73" s="160" t="s">
        <v>684</v>
      </c>
      <c r="B73" s="153" t="str">
        <f t="shared" si="0"/>
        <v>Elevation Capital III Limited PSC</v>
      </c>
      <c r="C73" s="163">
        <v>0</v>
      </c>
      <c r="D73" s="163">
        <v>0</v>
      </c>
      <c r="E73" s="163">
        <v>4091400</v>
      </c>
      <c r="F73" s="163">
        <v>-4091400</v>
      </c>
      <c r="G73" t="str">
        <f>VLOOKUP(B73,'TB 0125'!A:A,1,0)</f>
        <v>Elevation Capital III Limited PSC</v>
      </c>
    </row>
    <row r="74" spans="1:7" x14ac:dyDescent="0.35">
      <c r="A74" s="160" t="s">
        <v>685</v>
      </c>
      <c r="B74" s="153" t="str">
        <f t="shared" si="0"/>
        <v>Gaurav Munjal</v>
      </c>
      <c r="C74" s="163">
        <v>0</v>
      </c>
      <c r="D74" s="163">
        <v>0</v>
      </c>
      <c r="E74" s="163">
        <v>10800</v>
      </c>
      <c r="F74" s="163">
        <v>-10800</v>
      </c>
      <c r="G74" t="str">
        <f>VLOOKUP(B74,'TB 0125'!A:A,1,0)</f>
        <v>Gaurav Munjal</v>
      </c>
    </row>
    <row r="75" spans="1:7" x14ac:dyDescent="0.35">
      <c r="A75" s="160" t="s">
        <v>555</v>
      </c>
      <c r="B75" s="153" t="str">
        <f t="shared" ref="B75:B123" si="1">TRIM(A75)</f>
        <v>Nexus Ventures VII Holdings LLC ESC</v>
      </c>
      <c r="C75" s="163">
        <v>-10</v>
      </c>
      <c r="D75" s="163">
        <v>0</v>
      </c>
      <c r="E75" s="163">
        <v>0</v>
      </c>
      <c r="F75" s="163">
        <v>-10</v>
      </c>
      <c r="G75" t="str">
        <f>VLOOKUP(B75,'TB 0125'!A:A,1,0)</f>
        <v>Nexus Ventures VII Holdings LLC ESC</v>
      </c>
    </row>
    <row r="76" spans="1:7" x14ac:dyDescent="0.35">
      <c r="A76" s="160" t="s">
        <v>556</v>
      </c>
      <c r="B76" s="153" t="str">
        <f t="shared" si="1"/>
        <v>Nexus Ventures VII Holdings LLC PSC</v>
      </c>
      <c r="C76" s="163">
        <v>-4207000</v>
      </c>
      <c r="D76" s="163">
        <v>0</v>
      </c>
      <c r="E76" s="163">
        <v>919000</v>
      </c>
      <c r="F76" s="163">
        <v>-5126000</v>
      </c>
      <c r="G76" t="str">
        <f>VLOOKUP(B76,'TB 0125'!A:A,1,0)</f>
        <v>Nexus Ventures VII Holdings LLC PSC</v>
      </c>
    </row>
    <row r="77" spans="1:7" x14ac:dyDescent="0.35">
      <c r="A77" s="160" t="s">
        <v>686</v>
      </c>
      <c r="B77" s="153" t="str">
        <f t="shared" si="1"/>
        <v>Niraj Singh</v>
      </c>
      <c r="C77" s="163">
        <v>0</v>
      </c>
      <c r="D77" s="163">
        <v>0</v>
      </c>
      <c r="E77" s="163">
        <v>16200</v>
      </c>
      <c r="F77" s="163">
        <v>-16200</v>
      </c>
      <c r="G77" t="str">
        <f>VLOOKUP(B77,'TB 0125'!A:A,1,0)</f>
        <v>Niraj Singh</v>
      </c>
    </row>
    <row r="78" spans="1:7" x14ac:dyDescent="0.35">
      <c r="A78" s="160" t="s">
        <v>687</v>
      </c>
      <c r="B78" s="153" t="str">
        <f t="shared" si="1"/>
        <v>Pranav Goenka</v>
      </c>
      <c r="C78" s="163">
        <v>0</v>
      </c>
      <c r="D78" s="163">
        <v>499433</v>
      </c>
      <c r="E78" s="163">
        <v>504833</v>
      </c>
      <c r="F78" s="163">
        <v>-5400</v>
      </c>
      <c r="G78" t="str">
        <f>VLOOKUP(B78,'TB 0125'!A:A,1,0)</f>
        <v>Pranav Goenka</v>
      </c>
    </row>
    <row r="79" spans="1:7" x14ac:dyDescent="0.35">
      <c r="A79" s="160" t="s">
        <v>688</v>
      </c>
      <c r="B79" s="153" t="str">
        <f t="shared" si="1"/>
        <v>Sanjeev Kumar</v>
      </c>
      <c r="C79" s="163">
        <v>0</v>
      </c>
      <c r="D79" s="163">
        <v>0</v>
      </c>
      <c r="E79" s="163">
        <v>37800</v>
      </c>
      <c r="F79" s="163">
        <v>-37800</v>
      </c>
      <c r="G79" t="str">
        <f>VLOOKUP(B79,'TB 0125'!A:A,1,0)</f>
        <v>Sanjeev Kumar</v>
      </c>
    </row>
    <row r="80" spans="1:7" x14ac:dyDescent="0.35">
      <c r="A80" s="160" t="s">
        <v>557</v>
      </c>
      <c r="B80" s="153" t="str">
        <f t="shared" si="1"/>
        <v>Securities Premium</v>
      </c>
      <c r="C80" s="163">
        <v>-75792961.200000003</v>
      </c>
      <c r="D80" s="163">
        <v>0</v>
      </c>
      <c r="E80" s="163">
        <v>469844708.56</v>
      </c>
      <c r="F80" s="163">
        <v>-545637669.75999999</v>
      </c>
      <c r="G80" t="str">
        <f>VLOOKUP(B80,'TB 0125'!A:A,1,0)</f>
        <v>Securities Premium</v>
      </c>
    </row>
    <row r="81" spans="1:7" x14ac:dyDescent="0.35">
      <c r="A81" s="160" t="s">
        <v>689</v>
      </c>
      <c r="B81" s="153" t="str">
        <f t="shared" si="1"/>
        <v>Shantam Jain</v>
      </c>
      <c r="C81" s="163">
        <v>0</v>
      </c>
      <c r="D81" s="163">
        <v>499433.04</v>
      </c>
      <c r="E81" s="163">
        <v>504833.04</v>
      </c>
      <c r="F81" s="163">
        <v>-5400</v>
      </c>
      <c r="G81" t="str">
        <f>VLOOKUP(B81,'TB 0125'!A:A,1,0)</f>
        <v>Shantam Jain</v>
      </c>
    </row>
    <row r="82" spans="1:7" x14ac:dyDescent="0.35">
      <c r="A82" s="160" t="s">
        <v>690</v>
      </c>
      <c r="B82" s="153" t="str">
        <f t="shared" si="1"/>
        <v>Siddhartha Kochar</v>
      </c>
      <c r="C82" s="163">
        <v>0</v>
      </c>
      <c r="D82" s="163">
        <v>0</v>
      </c>
      <c r="E82" s="163">
        <v>5400</v>
      </c>
      <c r="F82" s="163">
        <v>-5400</v>
      </c>
      <c r="G82" t="str">
        <f>VLOOKUP(B82,'TB 0125'!A:A,1,0)</f>
        <v>Siddhartha Kochar</v>
      </c>
    </row>
    <row r="83" spans="1:7" x14ac:dyDescent="0.35">
      <c r="A83" s="160" t="s">
        <v>691</v>
      </c>
      <c r="B83" s="153" t="str">
        <f t="shared" si="1"/>
        <v>Unnat SK Bajoria</v>
      </c>
      <c r="C83" s="163">
        <v>0</v>
      </c>
      <c r="D83" s="163">
        <v>499433.04</v>
      </c>
      <c r="E83" s="163">
        <v>504833.04</v>
      </c>
      <c r="F83" s="163">
        <v>-5400</v>
      </c>
      <c r="G83" t="str">
        <f>VLOOKUP(B83,'TB 0125'!A:A,1,0)</f>
        <v>Unnat SK Bajoria</v>
      </c>
    </row>
    <row r="84" spans="1:7" x14ac:dyDescent="0.35">
      <c r="A84" s="160" t="s">
        <v>692</v>
      </c>
      <c r="B84" s="153" t="str">
        <f t="shared" si="1"/>
        <v>Vidit Aatrey</v>
      </c>
      <c r="C84" s="163">
        <v>0</v>
      </c>
      <c r="D84" s="163">
        <v>0</v>
      </c>
      <c r="E84" s="163">
        <v>37800</v>
      </c>
      <c r="F84" s="163">
        <v>-37800</v>
      </c>
      <c r="G84" t="str">
        <f>VLOOKUP(B84,'TB 0125'!A:A,1,0)</f>
        <v>Vidit Aatrey</v>
      </c>
    </row>
    <row r="85" spans="1:7" ht="15.5" x14ac:dyDescent="0.35">
      <c r="A85" s="162" t="s">
        <v>558</v>
      </c>
      <c r="B85" s="153"/>
      <c r="C85" s="164">
        <v>-80099971.200000003</v>
      </c>
      <c r="D85" s="164">
        <v>1498299.08</v>
      </c>
      <c r="E85" s="164">
        <v>476477617.63999999</v>
      </c>
      <c r="F85" s="164">
        <v>-555079289.75999999</v>
      </c>
    </row>
    <row r="86" spans="1:7" x14ac:dyDescent="0.35">
      <c r="B86" s="153" t="str">
        <f t="shared" si="1"/>
        <v/>
      </c>
      <c r="C86" s="74"/>
      <c r="D86" s="74"/>
      <c r="E86" s="74"/>
      <c r="F86" s="74"/>
    </row>
    <row r="87" spans="1:7" x14ac:dyDescent="0.35">
      <c r="A87" s="160" t="s">
        <v>559</v>
      </c>
      <c r="B87" s="153" t="str">
        <f t="shared" si="1"/>
        <v>Retained Earnings</v>
      </c>
      <c r="C87" s="163">
        <v>1905743.9</v>
      </c>
      <c r="D87" s="163">
        <v>0</v>
      </c>
      <c r="E87" s="163">
        <v>0</v>
      </c>
      <c r="F87" s="163">
        <v>1905743.9</v>
      </c>
      <c r="G87" t="str">
        <f>VLOOKUP(B87,'TB 0125'!A:A,1,0)</f>
        <v>Retained Earnings</v>
      </c>
    </row>
    <row r="88" spans="1:7" x14ac:dyDescent="0.35">
      <c r="A88" s="160" t="s">
        <v>467</v>
      </c>
      <c r="B88" s="153"/>
      <c r="C88" s="165" t="s">
        <v>85</v>
      </c>
      <c r="D88" s="165" t="s">
        <v>85</v>
      </c>
      <c r="E88" s="165" t="s">
        <v>85</v>
      </c>
      <c r="F88" s="165" t="s">
        <v>85</v>
      </c>
    </row>
    <row r="89" spans="1:7" x14ac:dyDescent="0.35">
      <c r="A89" s="160" t="s">
        <v>468</v>
      </c>
      <c r="B89" s="153" t="str">
        <f t="shared" si="1"/>
        <v>Convenience and Platform Fee</v>
      </c>
      <c r="C89" s="163">
        <v>0</v>
      </c>
      <c r="D89" s="163">
        <v>0</v>
      </c>
      <c r="E89" s="163">
        <v>326410.67</v>
      </c>
      <c r="F89" s="163">
        <v>-326410.67</v>
      </c>
      <c r="G89" t="str">
        <f>VLOOKUP(B89,'TB 0125'!A:A,1,0)</f>
        <v>Convenience and Platform Fee</v>
      </c>
    </row>
    <row r="90" spans="1:7" x14ac:dyDescent="0.35">
      <c r="A90" s="160" t="s">
        <v>469</v>
      </c>
      <c r="B90" s="153" t="str">
        <f t="shared" si="1"/>
        <v>Discount</v>
      </c>
      <c r="C90" s="163">
        <v>0</v>
      </c>
      <c r="D90" s="163">
        <v>127279</v>
      </c>
      <c r="E90" s="163">
        <v>0</v>
      </c>
      <c r="F90" s="163">
        <v>127279</v>
      </c>
      <c r="G90" t="str">
        <f>VLOOKUP(B90,'TB 0125'!A:A,1,0)</f>
        <v>Discount</v>
      </c>
    </row>
    <row r="91" spans="1:7" x14ac:dyDescent="0.35">
      <c r="A91" s="160" t="s">
        <v>470</v>
      </c>
      <c r="B91" s="153" t="str">
        <f t="shared" si="1"/>
        <v>FD Interest Income</v>
      </c>
      <c r="C91" s="163">
        <v>0</v>
      </c>
      <c r="D91" s="163">
        <v>201390.41</v>
      </c>
      <c r="E91" s="163">
        <v>731828</v>
      </c>
      <c r="F91" s="163">
        <v>-530437.59</v>
      </c>
      <c r="G91" t="str">
        <f>VLOOKUP(B91,'TB 0125'!A:A,1,0)</f>
        <v>FD Interest Income</v>
      </c>
    </row>
    <row r="92" spans="1:7" x14ac:dyDescent="0.35">
      <c r="A92" s="160" t="s">
        <v>471</v>
      </c>
      <c r="B92" s="153" t="str">
        <f t="shared" si="1"/>
        <v>Maestro Revenue</v>
      </c>
      <c r="C92" s="163">
        <v>0</v>
      </c>
      <c r="D92" s="163">
        <v>0</v>
      </c>
      <c r="E92" s="163">
        <v>1247548.99</v>
      </c>
      <c r="F92" s="163">
        <v>-1247548.99</v>
      </c>
      <c r="G92" t="str">
        <f>VLOOKUP(B92,'TB 0125'!A:A,1,0)</f>
        <v>Maestro Revenue</v>
      </c>
    </row>
    <row r="93" spans="1:7" x14ac:dyDescent="0.35">
      <c r="A93" s="160" t="s">
        <v>472</v>
      </c>
      <c r="B93" s="153"/>
      <c r="C93" s="165" t="s">
        <v>85</v>
      </c>
      <c r="D93" s="165" t="s">
        <v>85</v>
      </c>
      <c r="E93" s="165" t="s">
        <v>85</v>
      </c>
      <c r="F93" s="165" t="s">
        <v>85</v>
      </c>
    </row>
    <row r="94" spans="1:7" x14ac:dyDescent="0.35">
      <c r="A94" s="160" t="s">
        <v>473</v>
      </c>
      <c r="B94" s="153" t="str">
        <f t="shared" si="1"/>
        <v>Accounting Services</v>
      </c>
      <c r="C94" s="163">
        <v>0</v>
      </c>
      <c r="D94" s="163">
        <v>70000</v>
      </c>
      <c r="E94" s="163">
        <v>0</v>
      </c>
      <c r="F94" s="163">
        <v>70000</v>
      </c>
      <c r="G94" t="str">
        <f>VLOOKUP(B94,'TB 0125'!A:A,1,0)</f>
        <v>Accounting Services</v>
      </c>
    </row>
    <row r="95" spans="1:7" x14ac:dyDescent="0.35">
      <c r="A95" s="160" t="s">
        <v>474</v>
      </c>
      <c r="B95" s="153" t="str">
        <f t="shared" si="1"/>
        <v>Bank Fees and Charges</v>
      </c>
      <c r="C95" s="163">
        <v>0</v>
      </c>
      <c r="D95" s="163">
        <v>118</v>
      </c>
      <c r="E95" s="163">
        <v>0</v>
      </c>
      <c r="F95" s="163">
        <v>118</v>
      </c>
      <c r="G95" t="str">
        <f>VLOOKUP(B95,'TB 0125'!A:A,1,0)</f>
        <v>Bank Fees and Charges</v>
      </c>
    </row>
    <row r="96" spans="1:7" x14ac:dyDescent="0.35">
      <c r="A96" s="160" t="s">
        <v>475</v>
      </c>
      <c r="B96" s="153" t="str">
        <f t="shared" si="1"/>
        <v>Branding Expense</v>
      </c>
      <c r="C96" s="163">
        <v>0</v>
      </c>
      <c r="D96" s="163">
        <v>81590</v>
      </c>
      <c r="E96" s="163">
        <v>0</v>
      </c>
      <c r="F96" s="163">
        <v>81590</v>
      </c>
      <c r="G96" t="str">
        <f>VLOOKUP(B96,'TB 0125'!A:A,1,0)</f>
        <v>Branding Expense</v>
      </c>
    </row>
    <row r="97" spans="1:7" x14ac:dyDescent="0.35">
      <c r="A97" s="160" t="s">
        <v>476</v>
      </c>
      <c r="B97" s="153" t="str">
        <f t="shared" si="1"/>
        <v>Customer Acquisition Cost</v>
      </c>
      <c r="C97" s="163">
        <v>0</v>
      </c>
      <c r="D97" s="163">
        <v>584579.73</v>
      </c>
      <c r="E97" s="163">
        <v>3000</v>
      </c>
      <c r="F97" s="163">
        <v>581579.73</v>
      </c>
      <c r="G97" t="str">
        <f>VLOOKUP(B97,'TB 0125'!A:A,1,0)</f>
        <v>Customer Acquisition Cost</v>
      </c>
    </row>
    <row r="98" spans="1:7" x14ac:dyDescent="0.35">
      <c r="A98" s="160" t="s">
        <v>477</v>
      </c>
      <c r="B98" s="153" t="str">
        <f t="shared" si="1"/>
        <v>Depreciation and Amortization</v>
      </c>
      <c r="C98" s="163">
        <v>0</v>
      </c>
      <c r="D98" s="163">
        <v>68039</v>
      </c>
      <c r="E98" s="163">
        <v>0</v>
      </c>
      <c r="F98" s="163">
        <v>68039</v>
      </c>
      <c r="G98" t="str">
        <f>VLOOKUP(B98,'TB 0125'!A:A,1,0)</f>
        <v>Depreciation and Amortization</v>
      </c>
    </row>
    <row r="99" spans="1:7" x14ac:dyDescent="0.35">
      <c r="A99" s="160" t="s">
        <v>646</v>
      </c>
      <c r="B99" s="153" t="str">
        <f t="shared" si="1"/>
        <v>Electricity Expense</v>
      </c>
      <c r="C99" s="163">
        <v>0</v>
      </c>
      <c r="D99" s="163">
        <v>4035.6</v>
      </c>
      <c r="E99" s="163">
        <v>0</v>
      </c>
      <c r="F99" s="163">
        <v>4035.6</v>
      </c>
      <c r="G99" t="str">
        <f>VLOOKUP(B99,'TB 0125'!A:A,1,0)</f>
        <v>Electricity Expense</v>
      </c>
    </row>
    <row r="100" spans="1:7" x14ac:dyDescent="0.35">
      <c r="A100" s="160" t="s">
        <v>478</v>
      </c>
      <c r="B100" s="153" t="str">
        <f t="shared" si="1"/>
        <v>Employee Benefit Expense</v>
      </c>
      <c r="C100" s="163">
        <v>0</v>
      </c>
      <c r="D100" s="163">
        <v>0</v>
      </c>
      <c r="E100" s="163">
        <v>0</v>
      </c>
      <c r="F100" s="163">
        <v>0</v>
      </c>
    </row>
    <row r="101" spans="1:7" x14ac:dyDescent="0.35">
      <c r="A101" s="160" t="s">
        <v>479</v>
      </c>
      <c r="B101" s="153" t="str">
        <f t="shared" si="1"/>
        <v>Employer PF Expense</v>
      </c>
      <c r="C101" s="163">
        <v>0</v>
      </c>
      <c r="D101" s="163">
        <v>49099</v>
      </c>
      <c r="E101" s="163">
        <v>0</v>
      </c>
      <c r="F101" s="163">
        <v>49099</v>
      </c>
      <c r="G101" t="str">
        <f>VLOOKUP(B101,'TB 0125'!A:A,1,0)</f>
        <v>Employer PF Expense</v>
      </c>
    </row>
    <row r="102" spans="1:7" x14ac:dyDescent="0.35">
      <c r="A102" s="160" t="s">
        <v>480</v>
      </c>
      <c r="B102" s="153" t="str">
        <f t="shared" si="1"/>
        <v>PF Admin Expense</v>
      </c>
      <c r="C102" s="163">
        <v>0</v>
      </c>
      <c r="D102" s="163">
        <v>3450</v>
      </c>
      <c r="E102" s="163">
        <v>0</v>
      </c>
      <c r="F102" s="163">
        <v>3450</v>
      </c>
      <c r="G102" t="str">
        <f>VLOOKUP(B102,'TB 0125'!A:A,1,0)</f>
        <v>PF Admin Expense</v>
      </c>
    </row>
    <row r="103" spans="1:7" x14ac:dyDescent="0.35">
      <c r="A103" s="160" t="s">
        <v>481</v>
      </c>
      <c r="B103" s="153" t="str">
        <f t="shared" si="1"/>
        <v>Staff Welfare Expense</v>
      </c>
      <c r="C103" s="163">
        <v>0</v>
      </c>
      <c r="D103" s="163">
        <v>394941.25</v>
      </c>
      <c r="E103" s="163">
        <v>41788</v>
      </c>
      <c r="F103" s="163">
        <v>353153.25</v>
      </c>
      <c r="G103" t="str">
        <f>VLOOKUP(B103,'TB 0125'!A:A,1,0)</f>
        <v>Staff Welfare Expense</v>
      </c>
    </row>
    <row r="104" spans="1:7" x14ac:dyDescent="0.35">
      <c r="A104" s="160" t="s">
        <v>482</v>
      </c>
      <c r="B104" s="153" t="str">
        <f t="shared" si="1"/>
        <v>Variable Salary</v>
      </c>
      <c r="C104" s="163">
        <v>0</v>
      </c>
      <c r="D104" s="163">
        <v>20653</v>
      </c>
      <c r="E104" s="163">
        <v>0</v>
      </c>
      <c r="F104" s="163">
        <v>20653</v>
      </c>
      <c r="G104" t="str">
        <f>VLOOKUP(B104,'TB 0125'!A:A,1,0)</f>
        <v>Variable Salary</v>
      </c>
    </row>
    <row r="105" spans="1:7" ht="15.5" x14ac:dyDescent="0.35">
      <c r="A105" s="162" t="s">
        <v>483</v>
      </c>
      <c r="B105" s="153"/>
      <c r="C105" s="164">
        <v>0</v>
      </c>
      <c r="D105" s="164">
        <v>468143.25</v>
      </c>
      <c r="E105" s="164">
        <v>41788</v>
      </c>
      <c r="F105" s="164">
        <v>426355.25</v>
      </c>
    </row>
    <row r="106" spans="1:7" x14ac:dyDescent="0.35">
      <c r="B106" s="153" t="str">
        <f t="shared" si="1"/>
        <v/>
      </c>
      <c r="C106" s="74"/>
      <c r="D106" s="74"/>
      <c r="E106" s="74"/>
      <c r="F106" s="74"/>
    </row>
    <row r="107" spans="1:7" x14ac:dyDescent="0.35">
      <c r="A107" s="160" t="s">
        <v>484</v>
      </c>
      <c r="B107" s="153" t="str">
        <f t="shared" si="1"/>
        <v>Fund Raising Expense</v>
      </c>
      <c r="C107" s="163">
        <v>0</v>
      </c>
      <c r="D107" s="163">
        <v>1200500</v>
      </c>
      <c r="E107" s="163">
        <v>0</v>
      </c>
      <c r="F107" s="163">
        <v>1200500</v>
      </c>
      <c r="G107" t="str">
        <f>VLOOKUP(B107,'TB 0125'!A:A,1,0)</f>
        <v>Fund Raising Expense</v>
      </c>
    </row>
    <row r="108" spans="1:7" x14ac:dyDescent="0.35">
      <c r="A108" s="160" t="s">
        <v>711</v>
      </c>
      <c r="B108" s="153" t="str">
        <f t="shared" si="1"/>
        <v>Interest on TDS</v>
      </c>
      <c r="C108" s="163">
        <v>0</v>
      </c>
      <c r="D108" s="163">
        <v>554.01</v>
      </c>
      <c r="E108" s="163">
        <v>0</v>
      </c>
      <c r="F108" s="163">
        <v>554.01</v>
      </c>
      <c r="G108" t="str">
        <f>VLOOKUP(B108,'TB 0125'!A:A,1,0)</f>
        <v>Interest on TDS</v>
      </c>
    </row>
    <row r="109" spans="1:7" x14ac:dyDescent="0.35">
      <c r="A109" s="160" t="s">
        <v>618</v>
      </c>
      <c r="B109" s="153" t="str">
        <f t="shared" si="1"/>
        <v>New User Discount</v>
      </c>
      <c r="C109" s="163">
        <v>0</v>
      </c>
      <c r="D109" s="163">
        <v>103209</v>
      </c>
      <c r="E109" s="163">
        <v>0</v>
      </c>
      <c r="F109" s="163">
        <v>103209</v>
      </c>
      <c r="G109" t="str">
        <f>VLOOKUP(B109,'TB 0125'!A:A,1,0)</f>
        <v>New User Discount</v>
      </c>
    </row>
    <row r="110" spans="1:7" x14ac:dyDescent="0.35">
      <c r="A110" s="160" t="s">
        <v>486</v>
      </c>
      <c r="B110" s="153" t="str">
        <f t="shared" si="1"/>
        <v>Office and Admin Expense</v>
      </c>
      <c r="C110" s="163">
        <v>0</v>
      </c>
      <c r="D110" s="163">
        <v>7000</v>
      </c>
      <c r="E110" s="163">
        <v>6</v>
      </c>
      <c r="F110" s="163">
        <v>6994</v>
      </c>
      <c r="G110" t="str">
        <f>VLOOKUP(B110,'TB 0125'!A:A,1,0)</f>
        <v>Office and Admin Expense</v>
      </c>
    </row>
    <row r="111" spans="1:7" x14ac:dyDescent="0.35">
      <c r="A111" s="160" t="s">
        <v>487</v>
      </c>
      <c r="B111" s="153" t="str">
        <f t="shared" si="1"/>
        <v>Office Rent Expense</v>
      </c>
      <c r="C111" s="163">
        <v>0</v>
      </c>
      <c r="D111" s="163">
        <v>289000</v>
      </c>
      <c r="E111" s="163">
        <v>0</v>
      </c>
      <c r="F111" s="163">
        <v>289000</v>
      </c>
      <c r="G111" t="str">
        <f>VLOOKUP(B111,'TB 0125'!A:A,1,0)</f>
        <v>Office Rent Expense</v>
      </c>
    </row>
    <row r="112" spans="1:7" x14ac:dyDescent="0.35">
      <c r="A112" s="160" t="s">
        <v>488</v>
      </c>
      <c r="B112" s="153" t="str">
        <f t="shared" si="1"/>
        <v>Other Cost</v>
      </c>
      <c r="C112" s="163">
        <v>0</v>
      </c>
      <c r="D112" s="163">
        <v>109875.5</v>
      </c>
      <c r="E112" s="163">
        <v>28052</v>
      </c>
      <c r="F112" s="163">
        <v>71823.5</v>
      </c>
      <c r="G112" t="str">
        <f>VLOOKUP(B112,'TB 0125'!A:A,1,0)</f>
        <v>Other Cost</v>
      </c>
    </row>
    <row r="113" spans="1:7" x14ac:dyDescent="0.35">
      <c r="A113" s="160" t="s">
        <v>489</v>
      </c>
      <c r="B113" s="153" t="str">
        <f t="shared" si="1"/>
        <v>Other Expenses</v>
      </c>
      <c r="C113" s="163">
        <v>0</v>
      </c>
      <c r="D113" s="163">
        <v>0.93</v>
      </c>
      <c r="E113" s="163">
        <v>0.83</v>
      </c>
      <c r="F113" s="163">
        <v>0.1</v>
      </c>
      <c r="G113" t="str">
        <f>VLOOKUP(B113,'TB 0125'!A:A,1,0)</f>
        <v>Other Expenses</v>
      </c>
    </row>
    <row r="114" spans="1:7" x14ac:dyDescent="0.35">
      <c r="A114" s="160" t="s">
        <v>560</v>
      </c>
      <c r="B114" s="153" t="str">
        <f t="shared" si="1"/>
        <v>Payment Gateway Cost</v>
      </c>
      <c r="C114" s="163">
        <v>0</v>
      </c>
      <c r="D114" s="163">
        <v>18290.68</v>
      </c>
      <c r="E114" s="163">
        <v>0</v>
      </c>
      <c r="F114" s="163">
        <v>18290.68</v>
      </c>
      <c r="G114" t="str">
        <f>VLOOKUP(B114,'TB 0125'!A:A,1,0)</f>
        <v>Payment Gateway Cost</v>
      </c>
    </row>
    <row r="115" spans="1:7" x14ac:dyDescent="0.35">
      <c r="A115" s="160" t="s">
        <v>490</v>
      </c>
      <c r="B115" s="153" t="str">
        <f t="shared" si="1"/>
        <v>Professional Fees</v>
      </c>
      <c r="C115" s="163">
        <v>0</v>
      </c>
      <c r="D115" s="163">
        <v>39000</v>
      </c>
      <c r="E115" s="163">
        <v>0</v>
      </c>
      <c r="F115" s="163">
        <v>39000</v>
      </c>
      <c r="G115" t="str">
        <f>VLOOKUP(B115,'TB 0125'!A:A,1,0)</f>
        <v>Professional Fees</v>
      </c>
    </row>
    <row r="116" spans="1:7" x14ac:dyDescent="0.35">
      <c r="A116" s="160" t="s">
        <v>638</v>
      </c>
      <c r="B116" s="153" t="str">
        <f t="shared" si="1"/>
        <v>Recruitment Charges</v>
      </c>
      <c r="C116" s="163">
        <v>0</v>
      </c>
      <c r="D116" s="163">
        <v>15000</v>
      </c>
      <c r="E116" s="163">
        <v>0</v>
      </c>
      <c r="F116" s="163">
        <v>15000</v>
      </c>
      <c r="G116" t="str">
        <f>VLOOKUP(B116,'TB 0125'!A:A,1,0)</f>
        <v>Recruitment Charges</v>
      </c>
    </row>
    <row r="117" spans="1:7" x14ac:dyDescent="0.35">
      <c r="A117" s="160" t="s">
        <v>492</v>
      </c>
      <c r="B117" s="153" t="str">
        <f t="shared" si="1"/>
        <v>Salaries and Employee Wages</v>
      </c>
      <c r="C117" s="163">
        <v>0</v>
      </c>
      <c r="D117" s="163">
        <v>3024735.86</v>
      </c>
      <c r="E117" s="163">
        <v>0</v>
      </c>
      <c r="F117" s="163">
        <v>3024735.86</v>
      </c>
      <c r="G117" t="str">
        <f>VLOOKUP(B117,'TB 0125'!A:A,1,0)</f>
        <v>Salaries and Employee Wages</v>
      </c>
    </row>
    <row r="118" spans="1:7" x14ac:dyDescent="0.35">
      <c r="A118" s="160" t="s">
        <v>615</v>
      </c>
      <c r="B118" s="153" t="str">
        <f t="shared" si="1"/>
        <v>Service Cost</v>
      </c>
      <c r="C118" s="163">
        <v>0</v>
      </c>
      <c r="D118" s="163">
        <v>1316766.75</v>
      </c>
      <c r="E118" s="163">
        <v>0</v>
      </c>
      <c r="F118" s="163">
        <v>1316766.75</v>
      </c>
      <c r="G118" t="str">
        <f>VLOOKUP(B118,'TB 0125'!A:A,1,0)</f>
        <v>Service Cost</v>
      </c>
    </row>
    <row r="119" spans="1:7" x14ac:dyDescent="0.35">
      <c r="A119" s="160" t="s">
        <v>493</v>
      </c>
      <c r="B119" s="153" t="str">
        <f t="shared" si="1"/>
        <v>Software Expense</v>
      </c>
      <c r="C119" s="163">
        <v>0</v>
      </c>
      <c r="D119" s="163">
        <v>909168.72</v>
      </c>
      <c r="E119" s="163">
        <v>535910</v>
      </c>
      <c r="F119" s="163">
        <v>373258.72</v>
      </c>
      <c r="G119" t="str">
        <f>VLOOKUP(B119,'TB 0125'!A:A,1,0)</f>
        <v>Software Expense</v>
      </c>
    </row>
    <row r="120" spans="1:7" x14ac:dyDescent="0.35">
      <c r="A120" s="160" t="s">
        <v>494</v>
      </c>
      <c r="B120" s="153" t="str">
        <f t="shared" si="1"/>
        <v>Sourcing and Onboarding Expense</v>
      </c>
      <c r="C120" s="163">
        <v>0</v>
      </c>
      <c r="D120" s="163">
        <v>156383.91</v>
      </c>
      <c r="E120" s="163">
        <v>0</v>
      </c>
      <c r="F120" s="163">
        <v>156383.91</v>
      </c>
      <c r="G120" t="str">
        <f>VLOOKUP(B120,'TB 0125'!A:A,1,0)</f>
        <v>Sourcing and Onboarding Expense</v>
      </c>
    </row>
    <row r="121" spans="1:7" x14ac:dyDescent="0.35">
      <c r="A121" s="160" t="s">
        <v>720</v>
      </c>
      <c r="B121" s="153" t="str">
        <f t="shared" si="1"/>
        <v>Training Centre Development Cost</v>
      </c>
      <c r="C121" s="163">
        <v>0</v>
      </c>
      <c r="D121" s="163">
        <v>0</v>
      </c>
      <c r="E121" s="163">
        <v>0</v>
      </c>
      <c r="F121" s="163">
        <v>0</v>
      </c>
      <c r="G121" t="str">
        <f>VLOOKUP(B121,'TB 0125'!A:A,1,0)</f>
        <v>Training Centre Development Cost</v>
      </c>
    </row>
    <row r="122" spans="1:7" x14ac:dyDescent="0.35">
      <c r="A122" s="160" t="s">
        <v>495</v>
      </c>
      <c r="B122" s="153" t="str">
        <f t="shared" si="1"/>
        <v>Training Centre Expense</v>
      </c>
      <c r="C122" s="163">
        <v>0</v>
      </c>
      <c r="D122" s="163">
        <v>1228142.93</v>
      </c>
      <c r="E122" s="163">
        <v>1142084.8</v>
      </c>
      <c r="F122" s="163">
        <v>86058.13</v>
      </c>
      <c r="G122" t="str">
        <f>VLOOKUP(B122,'TB 0125'!A:A,1,0)</f>
        <v>Training Centre Expense</v>
      </c>
    </row>
    <row r="123" spans="1:7" x14ac:dyDescent="0.35">
      <c r="A123" s="160" t="s">
        <v>496</v>
      </c>
      <c r="B123" s="153" t="str">
        <f t="shared" si="1"/>
        <v>Training Centre Rent Expense</v>
      </c>
      <c r="C123" s="163">
        <v>0</v>
      </c>
      <c r="D123" s="163">
        <v>43333.33</v>
      </c>
      <c r="E123" s="163">
        <v>0</v>
      </c>
      <c r="F123" s="163">
        <v>43333.33</v>
      </c>
      <c r="G123" t="str">
        <f>VLOOKUP(B123,'TB 0125'!A:A,1,0)</f>
        <v>Training Centre Rent Expense</v>
      </c>
    </row>
    <row r="124" spans="1:7" ht="15.5" x14ac:dyDescent="0.35">
      <c r="A124" s="162" t="s">
        <v>639</v>
      </c>
      <c r="B124" s="153"/>
      <c r="C124" s="164"/>
      <c r="D124" s="164">
        <v>1688022372.77</v>
      </c>
      <c r="E124" s="164">
        <v>1688022372.77</v>
      </c>
      <c r="F124" s="164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D6A7-722E-43B9-AA7E-E89CE3546CD4}">
  <dimension ref="A1:G124"/>
  <sheetViews>
    <sheetView topLeftCell="B1" workbookViewId="0">
      <selection activeCell="G1" sqref="G1"/>
    </sheetView>
  </sheetViews>
  <sheetFormatPr defaultColWidth="8.81640625" defaultRowHeight="14.5" x14ac:dyDescent="0.35"/>
  <cols>
    <col min="1" max="1" width="54.36328125" style="23" bestFit="1" customWidth="1"/>
    <col min="2" max="2" width="48.453125" style="23" bestFit="1" customWidth="1"/>
    <col min="3" max="3" width="19.36328125" style="24" bestFit="1" customWidth="1"/>
    <col min="4" max="5" width="18.453125" style="24" bestFit="1" customWidth="1"/>
    <col min="6" max="6" width="19.36328125" style="24" bestFit="1" customWidth="1"/>
    <col min="7" max="7" width="44.453125" style="23" bestFit="1" customWidth="1"/>
    <col min="8" max="16384" width="8.81640625" style="23"/>
  </cols>
  <sheetData>
    <row r="1" spans="1:7" x14ac:dyDescent="0.35">
      <c r="A1" s="171" t="s">
        <v>464</v>
      </c>
      <c r="B1" s="171"/>
      <c r="C1" s="172" t="s">
        <v>498</v>
      </c>
      <c r="D1" s="172" t="s">
        <v>465</v>
      </c>
      <c r="E1" s="172" t="s">
        <v>466</v>
      </c>
      <c r="F1" s="172" t="s">
        <v>499</v>
      </c>
      <c r="G1" s="173" t="s">
        <v>433</v>
      </c>
    </row>
    <row r="3" spans="1:7" x14ac:dyDescent="0.35">
      <c r="A3" s="174" t="s">
        <v>70</v>
      </c>
      <c r="B3" s="175"/>
      <c r="C3" s="24" t="s">
        <v>85</v>
      </c>
      <c r="D3" s="24" t="s">
        <v>85</v>
      </c>
      <c r="E3" s="24" t="s">
        <v>85</v>
      </c>
      <c r="F3" s="24" t="s">
        <v>85</v>
      </c>
    </row>
    <row r="4" spans="1:7" x14ac:dyDescent="0.35">
      <c r="A4" s="174" t="s">
        <v>500</v>
      </c>
      <c r="B4" s="174" t="str">
        <f>TRIM(A4)</f>
        <v>Accounts Receivable</v>
      </c>
      <c r="C4" s="176">
        <v>2649264.9500000002</v>
      </c>
      <c r="D4" s="176">
        <v>1501326.32</v>
      </c>
      <c r="E4" s="176">
        <v>153064</v>
      </c>
      <c r="F4" s="176">
        <v>3997527.27</v>
      </c>
      <c r="G4" s="23" t="str">
        <f>VLOOKUP(B4,'TB 0225'!A:A,1,0)</f>
        <v>Accounts Receivable</v>
      </c>
    </row>
    <row r="5" spans="1:7" x14ac:dyDescent="0.35">
      <c r="A5" s="174" t="s">
        <v>501</v>
      </c>
      <c r="B5" s="174" t="str">
        <f t="shared" ref="B5:B68" si="0">TRIM(A5)</f>
        <v>Accrued Interest</v>
      </c>
      <c r="C5" s="176">
        <v>643425</v>
      </c>
      <c r="D5" s="176">
        <v>2393479</v>
      </c>
      <c r="E5" s="176">
        <v>643425</v>
      </c>
      <c r="F5" s="176">
        <v>2393479</v>
      </c>
      <c r="G5" s="23" t="str">
        <f>VLOOKUP(B5,'TB 0225'!A:A,1,0)</f>
        <v>Accrued Interest</v>
      </c>
    </row>
    <row r="6" spans="1:7" x14ac:dyDescent="0.35">
      <c r="A6" s="174" t="s">
        <v>502</v>
      </c>
      <c r="B6" s="174" t="str">
        <f t="shared" si="0"/>
        <v>Accumulated Amortization on Intangible Asset</v>
      </c>
      <c r="C6" s="176">
        <v>-92542</v>
      </c>
      <c r="D6" s="176">
        <v>0</v>
      </c>
      <c r="E6" s="176">
        <v>12810</v>
      </c>
      <c r="F6" s="176">
        <v>-105352</v>
      </c>
      <c r="G6" s="23" t="str">
        <f>VLOOKUP(B6,'TB 0225'!A:A,1,0)</f>
        <v>Accumulated Amortization on Intangible Asset</v>
      </c>
    </row>
    <row r="7" spans="1:7" x14ac:dyDescent="0.35">
      <c r="A7" s="174" t="s">
        <v>503</v>
      </c>
      <c r="B7" s="174" t="str">
        <f t="shared" si="0"/>
        <v>Accumulated Depreciation on Computer and Laptops</v>
      </c>
      <c r="C7" s="176">
        <v>-334804</v>
      </c>
      <c r="D7" s="176">
        <v>0</v>
      </c>
      <c r="E7" s="176">
        <v>63024</v>
      </c>
      <c r="F7" s="176">
        <v>-397828</v>
      </c>
      <c r="G7" s="23" t="str">
        <f>VLOOKUP(B7,'TB 0225'!A:A,1,0)</f>
        <v>Accumulated Depreciation on Computer and Laptops</v>
      </c>
    </row>
    <row r="8" spans="1:7" x14ac:dyDescent="0.35">
      <c r="A8" s="174" t="s">
        <v>504</v>
      </c>
      <c r="B8" s="174" t="str">
        <f t="shared" si="0"/>
        <v>Accumulated Depreciation on Office Equipment</v>
      </c>
      <c r="C8" s="176">
        <v>-17517</v>
      </c>
      <c r="D8" s="176">
        <v>0</v>
      </c>
      <c r="E8" s="176">
        <v>2098</v>
      </c>
      <c r="F8" s="176">
        <v>-19615</v>
      </c>
      <c r="G8" s="23" t="str">
        <f>VLOOKUP(B8,'TB 0225'!A:A,1,0)</f>
        <v>Accumulated Depreciation on Office Equipment</v>
      </c>
    </row>
    <row r="9" spans="1:7" x14ac:dyDescent="0.35">
      <c r="A9" s="174" t="s">
        <v>505</v>
      </c>
      <c r="B9" s="174" t="str">
        <f t="shared" si="0"/>
        <v>Amazon Wallet</v>
      </c>
      <c r="C9" s="176">
        <v>305.98</v>
      </c>
      <c r="D9" s="176">
        <v>0</v>
      </c>
      <c r="E9" s="176">
        <v>0</v>
      </c>
      <c r="F9" s="176">
        <v>305.98</v>
      </c>
      <c r="G9" s="23" t="str">
        <f>VLOOKUP(B9,'TB 0225'!A:A,1,0)</f>
        <v>Amazon Wallet</v>
      </c>
    </row>
    <row r="10" spans="1:7" x14ac:dyDescent="0.35">
      <c r="A10" s="174" t="s">
        <v>506</v>
      </c>
      <c r="B10" s="174" t="str">
        <f t="shared" si="0"/>
        <v>Axis Bank 1655</v>
      </c>
      <c r="C10" s="176">
        <v>12872.34</v>
      </c>
      <c r="D10" s="176">
        <v>0</v>
      </c>
      <c r="E10" s="176">
        <v>118</v>
      </c>
      <c r="F10" s="176">
        <v>12754.34</v>
      </c>
      <c r="G10" s="23" t="str">
        <f>VLOOKUP(B10,'TB 0225'!A:A,1,0)</f>
        <v>Axis Bank 1655</v>
      </c>
    </row>
    <row r="11" spans="1:7" x14ac:dyDescent="0.35">
      <c r="A11" s="174" t="s">
        <v>507</v>
      </c>
      <c r="B11" s="174" t="str">
        <f t="shared" si="0"/>
        <v>Computer and Laptops</v>
      </c>
      <c r="C11" s="176">
        <v>1009448.31</v>
      </c>
      <c r="D11" s="176">
        <v>528964</v>
      </c>
      <c r="E11" s="176">
        <v>0</v>
      </c>
      <c r="F11" s="176">
        <v>1538412.31</v>
      </c>
      <c r="G11" s="23" t="str">
        <f>VLOOKUP(B11,'TB 0225'!A:A,1,0)</f>
        <v>Computer and Laptops</v>
      </c>
    </row>
    <row r="12" spans="1:7" x14ac:dyDescent="0.35">
      <c r="A12" s="174" t="s">
        <v>678</v>
      </c>
      <c r="B12" s="174" t="str">
        <f t="shared" si="0"/>
        <v>Furniture and Equipment</v>
      </c>
      <c r="C12" s="176">
        <v>272931.34000000003</v>
      </c>
      <c r="D12" s="176">
        <v>65300</v>
      </c>
      <c r="E12" s="176">
        <v>0</v>
      </c>
      <c r="F12" s="176">
        <v>338231.34</v>
      </c>
      <c r="G12" s="23" t="str">
        <f>VLOOKUP(B12,'TB 0225'!A:A,1,0)</f>
        <v>Furniture and Equipment</v>
      </c>
    </row>
    <row r="13" spans="1:7" x14ac:dyDescent="0.35">
      <c r="A13" s="174" t="s">
        <v>712</v>
      </c>
      <c r="B13" s="174" t="str">
        <f t="shared" si="0"/>
        <v>HDFC Bank 6899</v>
      </c>
      <c r="C13" s="176">
        <v>50000</v>
      </c>
      <c r="D13" s="176">
        <v>0</v>
      </c>
      <c r="E13" s="176">
        <v>0</v>
      </c>
      <c r="F13" s="176">
        <v>50000</v>
      </c>
      <c r="G13" s="23" t="str">
        <f>VLOOKUP(B13,'TB 0225'!A:A,1,0)</f>
        <v>HDFC Bank 6899</v>
      </c>
    </row>
    <row r="14" spans="1:7" x14ac:dyDescent="0.35">
      <c r="A14" s="174" t="s">
        <v>713</v>
      </c>
      <c r="B14" s="174" t="str">
        <f t="shared" si="0"/>
        <v>HDFC Bank 9531</v>
      </c>
      <c r="C14" s="176">
        <v>50000</v>
      </c>
      <c r="D14" s="176">
        <v>450282.87</v>
      </c>
      <c r="E14" s="176">
        <v>345238.73</v>
      </c>
      <c r="F14" s="176">
        <v>155044.14000000001</v>
      </c>
      <c r="G14" s="23" t="str">
        <f>VLOOKUP(B14,'TB 0225'!A:A,1,0)</f>
        <v>HDFC Bank 9531</v>
      </c>
    </row>
    <row r="15" spans="1:7" x14ac:dyDescent="0.35">
      <c r="A15" s="174" t="s">
        <v>508</v>
      </c>
      <c r="B15" s="174"/>
      <c r="C15" s="176">
        <v>0</v>
      </c>
      <c r="D15" s="176">
        <v>0</v>
      </c>
      <c r="E15" s="176">
        <v>0</v>
      </c>
      <c r="F15" s="176">
        <v>0</v>
      </c>
    </row>
    <row r="16" spans="1:7" x14ac:dyDescent="0.35">
      <c r="A16" s="174" t="s">
        <v>509</v>
      </c>
      <c r="B16" s="174" t="str">
        <f t="shared" si="0"/>
        <v>Input CGST</v>
      </c>
      <c r="C16" s="176">
        <v>731582.07</v>
      </c>
      <c r="D16" s="176">
        <v>256065.49</v>
      </c>
      <c r="E16" s="176">
        <v>45000</v>
      </c>
      <c r="F16" s="176">
        <v>942647.56</v>
      </c>
      <c r="G16" s="23" t="str">
        <f>VLOOKUP(B16,'TB 0225'!A:A,1,0)</f>
        <v>Input CGST</v>
      </c>
    </row>
    <row r="17" spans="1:7" x14ac:dyDescent="0.35">
      <c r="A17" s="174" t="s">
        <v>510</v>
      </c>
      <c r="B17" s="174" t="str">
        <f t="shared" si="0"/>
        <v>Input IGST</v>
      </c>
      <c r="C17" s="176">
        <v>188776.95</v>
      </c>
      <c r="D17" s="176">
        <v>467332.18</v>
      </c>
      <c r="E17" s="176">
        <v>59606</v>
      </c>
      <c r="F17" s="176">
        <v>596503.13</v>
      </c>
      <c r="G17" s="23" t="str">
        <f>VLOOKUP(B17,'TB 0225'!A:A,1,0)</f>
        <v>Input IGST</v>
      </c>
    </row>
    <row r="18" spans="1:7" x14ac:dyDescent="0.35">
      <c r="A18" s="174" t="s">
        <v>511</v>
      </c>
      <c r="B18" s="174" t="str">
        <f t="shared" si="0"/>
        <v>Input SGST</v>
      </c>
      <c r="C18" s="176">
        <v>731582.09</v>
      </c>
      <c r="D18" s="176">
        <v>256065.52</v>
      </c>
      <c r="E18" s="176">
        <v>45000</v>
      </c>
      <c r="F18" s="176">
        <v>942647.61</v>
      </c>
      <c r="G18" s="23" t="str">
        <f>VLOOKUP(B18,'TB 0225'!A:A,1,0)</f>
        <v>Input SGST</v>
      </c>
    </row>
    <row r="19" spans="1:7" ht="15.5" x14ac:dyDescent="0.35">
      <c r="A19" s="177" t="s">
        <v>512</v>
      </c>
      <c r="B19" s="174"/>
      <c r="C19" s="178">
        <v>1651941.11</v>
      </c>
      <c r="D19" s="178">
        <v>979463.19</v>
      </c>
      <c r="E19" s="178">
        <v>149606</v>
      </c>
      <c r="F19" s="178">
        <v>2481798.2999999998</v>
      </c>
    </row>
    <row r="20" spans="1:7" x14ac:dyDescent="0.35">
      <c r="B20" s="174" t="str">
        <f t="shared" si="0"/>
        <v/>
      </c>
    </row>
    <row r="21" spans="1:7" x14ac:dyDescent="0.35">
      <c r="A21" s="174" t="s">
        <v>513</v>
      </c>
      <c r="B21" s="174" t="str">
        <f t="shared" si="0"/>
        <v>Intangible Asset</v>
      </c>
      <c r="C21" s="176">
        <v>1537167.67</v>
      </c>
      <c r="D21" s="176">
        <v>0</v>
      </c>
      <c r="E21" s="176">
        <v>0</v>
      </c>
      <c r="F21" s="176">
        <v>1537167.67</v>
      </c>
      <c r="G21" s="23" t="str">
        <f>VLOOKUP(B21,'TB 0225'!A:A,1,0)</f>
        <v>Intangible Asset</v>
      </c>
    </row>
    <row r="22" spans="1:7" x14ac:dyDescent="0.35">
      <c r="A22" s="174" t="s">
        <v>514</v>
      </c>
      <c r="B22" s="174"/>
      <c r="C22" s="176">
        <v>0</v>
      </c>
      <c r="D22" s="176">
        <v>0</v>
      </c>
      <c r="E22" s="176">
        <v>0</v>
      </c>
      <c r="F22" s="176">
        <v>0</v>
      </c>
    </row>
    <row r="23" spans="1:7" x14ac:dyDescent="0.35">
      <c r="A23" s="174" t="s">
        <v>716</v>
      </c>
      <c r="B23" s="174" t="str">
        <f t="shared" si="0"/>
        <v>Fixed Deposit 50301104821591</v>
      </c>
      <c r="C23" s="176">
        <v>45000000</v>
      </c>
      <c r="D23" s="176">
        <v>0</v>
      </c>
      <c r="E23" s="176">
        <v>0</v>
      </c>
      <c r="F23" s="176">
        <v>45000000</v>
      </c>
      <c r="G23" s="23" t="str">
        <f>VLOOKUP(B23,'TB 0225'!A:A,1,0)</f>
        <v>Fixed Deposit 50301104821591</v>
      </c>
    </row>
    <row r="24" spans="1:7" x14ac:dyDescent="0.35">
      <c r="A24" s="174" t="s">
        <v>717</v>
      </c>
      <c r="B24" s="174" t="str">
        <f t="shared" si="0"/>
        <v>Fixed Deposit 50301104822249</v>
      </c>
      <c r="C24" s="176">
        <v>30000000</v>
      </c>
      <c r="D24" s="176">
        <v>0</v>
      </c>
      <c r="E24" s="176">
        <v>0</v>
      </c>
      <c r="F24" s="176">
        <v>30000000</v>
      </c>
      <c r="G24" s="23" t="str">
        <f>VLOOKUP(B24,'TB 0225'!A:A,1,0)</f>
        <v>Fixed Deposit 50301104822249</v>
      </c>
    </row>
    <row r="25" spans="1:7" x14ac:dyDescent="0.35">
      <c r="A25" s="174" t="s">
        <v>517</v>
      </c>
      <c r="B25" s="174" t="str">
        <f t="shared" si="0"/>
        <v>Fixed Deposit 9349736649</v>
      </c>
      <c r="C25" s="176">
        <v>38000000</v>
      </c>
      <c r="D25" s="176">
        <v>0</v>
      </c>
      <c r="E25" s="176">
        <v>38000000</v>
      </c>
      <c r="F25" s="176">
        <v>0</v>
      </c>
      <c r="G25" s="23" t="str">
        <f>VLOOKUP(B25,'TB 0225'!A:A,1,0)</f>
        <v>Fixed Deposit 9349736649</v>
      </c>
    </row>
    <row r="26" spans="1:7" x14ac:dyDescent="0.35">
      <c r="A26" s="174" t="s">
        <v>629</v>
      </c>
      <c r="B26" s="174" t="str">
        <f t="shared" si="0"/>
        <v>Fixed Deposit 9349770858</v>
      </c>
      <c r="C26" s="176">
        <v>6000000</v>
      </c>
      <c r="D26" s="176">
        <v>0</v>
      </c>
      <c r="E26" s="176">
        <v>0</v>
      </c>
      <c r="F26" s="176">
        <v>6000000</v>
      </c>
      <c r="G26" s="23" t="str">
        <f>VLOOKUP(B26,'TB 0225'!A:A,1,0)</f>
        <v>Fixed Deposit 9349770858</v>
      </c>
    </row>
    <row r="27" spans="1:7" x14ac:dyDescent="0.35">
      <c r="A27" s="174" t="s">
        <v>679</v>
      </c>
      <c r="B27" s="174" t="str">
        <f t="shared" si="0"/>
        <v>Fixed Deposit 9349809046</v>
      </c>
      <c r="C27" s="176">
        <v>7500000</v>
      </c>
      <c r="D27" s="176">
        <v>0</v>
      </c>
      <c r="E27" s="176">
        <v>7500000</v>
      </c>
      <c r="F27" s="176">
        <v>0</v>
      </c>
      <c r="G27" s="23" t="str">
        <f>VLOOKUP(B27,'TB 0225'!A:A,1,0)</f>
        <v>Fixed Deposit 9349809046</v>
      </c>
    </row>
    <row r="28" spans="1:7" x14ac:dyDescent="0.35">
      <c r="A28" s="174" t="s">
        <v>680</v>
      </c>
      <c r="B28" s="174" t="str">
        <f t="shared" si="0"/>
        <v>Fixed Deposit 9349809145</v>
      </c>
      <c r="C28" s="176">
        <v>350000000</v>
      </c>
      <c r="D28" s="176">
        <v>0</v>
      </c>
      <c r="E28" s="176">
        <v>0</v>
      </c>
      <c r="F28" s="176">
        <v>350000000</v>
      </c>
      <c r="G28" s="23" t="str">
        <f>VLOOKUP(B28,'TB 0225'!A:A,1,0)</f>
        <v>Fixed Deposit 9349809145</v>
      </c>
    </row>
    <row r="29" spans="1:7" x14ac:dyDescent="0.35">
      <c r="A29" s="174" t="s">
        <v>681</v>
      </c>
      <c r="B29" s="174" t="str">
        <f t="shared" si="0"/>
        <v>Fixed Deposit 9349809183</v>
      </c>
      <c r="C29" s="176">
        <v>35000000</v>
      </c>
      <c r="D29" s="176">
        <v>0</v>
      </c>
      <c r="E29" s="176">
        <v>35000000</v>
      </c>
      <c r="F29" s="176">
        <v>0</v>
      </c>
      <c r="G29" s="23" t="str">
        <f>VLOOKUP(B29,'TB 0225'!A:A,1,0)</f>
        <v>Fixed Deposit 9349809183</v>
      </c>
    </row>
    <row r="30" spans="1:7" x14ac:dyDescent="0.35">
      <c r="A30" s="174" t="s">
        <v>749</v>
      </c>
      <c r="B30" s="174" t="str">
        <f t="shared" si="0"/>
        <v>Fixed Deposit 9349846355</v>
      </c>
      <c r="C30" s="176">
        <v>0</v>
      </c>
      <c r="D30" s="176">
        <v>35000000</v>
      </c>
      <c r="E30" s="176">
        <v>0</v>
      </c>
      <c r="F30" s="176">
        <v>35000000</v>
      </c>
      <c r="G30" s="23" t="str">
        <f>VLOOKUP(B30,'TB 0225'!A:A,1,0)</f>
        <v>Fixed Deposit 9349846355</v>
      </c>
    </row>
    <row r="31" spans="1:7" x14ac:dyDescent="0.35">
      <c r="A31" s="174" t="s">
        <v>750</v>
      </c>
      <c r="B31" s="174" t="str">
        <f t="shared" si="0"/>
        <v>Fixed Deposit 9349848809</v>
      </c>
      <c r="C31" s="176">
        <v>0</v>
      </c>
      <c r="D31" s="176">
        <v>30000000</v>
      </c>
      <c r="E31" s="176">
        <v>0</v>
      </c>
      <c r="F31" s="176">
        <v>30000000</v>
      </c>
      <c r="G31" s="23" t="str">
        <f>VLOOKUP(B31,'TB 0225'!A:A,1,0)</f>
        <v>Fixed Deposit 9349848809</v>
      </c>
    </row>
    <row r="32" spans="1:7" x14ac:dyDescent="0.35">
      <c r="A32" s="174" t="s">
        <v>751</v>
      </c>
      <c r="B32" s="174" t="str">
        <f t="shared" si="0"/>
        <v>Fixed Deposit 9349848823</v>
      </c>
      <c r="C32" s="176">
        <v>0</v>
      </c>
      <c r="D32" s="176">
        <v>2000000</v>
      </c>
      <c r="E32" s="176">
        <v>0</v>
      </c>
      <c r="F32" s="176">
        <v>2000000</v>
      </c>
      <c r="G32" s="23" t="str">
        <f>VLOOKUP(B32,'TB 0225'!A:A,1,0)</f>
        <v>Fixed Deposit 9349848823</v>
      </c>
    </row>
    <row r="33" spans="1:7" ht="15.5" x14ac:dyDescent="0.35">
      <c r="A33" s="177" t="s">
        <v>521</v>
      </c>
      <c r="B33" s="174"/>
      <c r="C33" s="178">
        <v>511500000</v>
      </c>
      <c r="D33" s="178">
        <v>67000000</v>
      </c>
      <c r="E33" s="178">
        <v>80500000</v>
      </c>
      <c r="F33" s="178">
        <v>498000000</v>
      </c>
    </row>
    <row r="34" spans="1:7" x14ac:dyDescent="0.35">
      <c r="B34" s="174" t="str">
        <f t="shared" si="0"/>
        <v/>
      </c>
    </row>
    <row r="35" spans="1:7" x14ac:dyDescent="0.35">
      <c r="A35" s="174" t="s">
        <v>522</v>
      </c>
      <c r="B35" s="174" t="str">
        <f t="shared" si="0"/>
        <v>Kotak Mahindra Bank 9942</v>
      </c>
      <c r="C35" s="176">
        <v>218735.76</v>
      </c>
      <c r="D35" s="176">
        <v>81153161</v>
      </c>
      <c r="E35" s="176">
        <v>81000000</v>
      </c>
      <c r="F35" s="176">
        <v>371896.76</v>
      </c>
      <c r="G35" s="23" t="str">
        <f>VLOOKUP(B35,'TB 0225'!A:A,1,0)</f>
        <v>Kotak Mahindra Bank 9942</v>
      </c>
    </row>
    <row r="36" spans="1:7" x14ac:dyDescent="0.35">
      <c r="A36" s="174" t="s">
        <v>523</v>
      </c>
      <c r="B36" s="174" t="str">
        <f t="shared" si="0"/>
        <v>Kotak Mahindra Bank 9966</v>
      </c>
      <c r="C36" s="176">
        <v>2993539.45</v>
      </c>
      <c r="D36" s="176">
        <v>15499257.949999999</v>
      </c>
      <c r="E36" s="176">
        <v>13280933.92</v>
      </c>
      <c r="F36" s="176">
        <v>5211863.4800000004</v>
      </c>
      <c r="G36" s="23" t="str">
        <f>VLOOKUP(B36,'TB 0225'!A:A,1,0)</f>
        <v>Kotak Mahindra Bank 9966</v>
      </c>
    </row>
    <row r="37" spans="1:7" x14ac:dyDescent="0.35">
      <c r="A37" s="174" t="s">
        <v>722</v>
      </c>
      <c r="B37" s="174" t="str">
        <f t="shared" si="0"/>
        <v>Leasehold Improvement</v>
      </c>
      <c r="C37" s="176">
        <v>1137250</v>
      </c>
      <c r="D37" s="176">
        <v>1780989</v>
      </c>
      <c r="E37" s="176">
        <v>0</v>
      </c>
      <c r="F37" s="176">
        <v>2918239</v>
      </c>
      <c r="G37" s="23" t="str">
        <f>VLOOKUP(B37,'TB 0225'!A:A,1,0)</f>
        <v>Leasehold Improvement</v>
      </c>
    </row>
    <row r="38" spans="1:7" x14ac:dyDescent="0.35">
      <c r="A38" s="174" t="s">
        <v>524</v>
      </c>
      <c r="B38" s="174" t="str">
        <f t="shared" si="0"/>
        <v>Office Equipment</v>
      </c>
      <c r="C38" s="176">
        <v>55864.5</v>
      </c>
      <c r="D38" s="176">
        <v>0</v>
      </c>
      <c r="E38" s="176">
        <v>0</v>
      </c>
      <c r="F38" s="176">
        <v>55864.5</v>
      </c>
      <c r="G38" s="23" t="str">
        <f>VLOOKUP(B38,'TB 0225'!A:A,1,0)</f>
        <v>Office Equipment</v>
      </c>
    </row>
    <row r="39" spans="1:7" x14ac:dyDescent="0.35">
      <c r="A39" s="174" t="s">
        <v>525</v>
      </c>
      <c r="B39" s="174" t="str">
        <f t="shared" si="0"/>
        <v>Petty Cash</v>
      </c>
      <c r="C39" s="176">
        <v>0</v>
      </c>
      <c r="D39" s="176">
        <v>40000</v>
      </c>
      <c r="E39" s="176">
        <v>40000</v>
      </c>
      <c r="F39" s="176">
        <v>0</v>
      </c>
      <c r="G39" s="23" t="str">
        <f>VLOOKUP(B39,'TB 0225'!A:A,1,0)</f>
        <v>Petty Cash</v>
      </c>
    </row>
    <row r="40" spans="1:7" x14ac:dyDescent="0.35">
      <c r="A40" s="174" t="s">
        <v>526</v>
      </c>
      <c r="B40" s="174" t="str">
        <f t="shared" si="0"/>
        <v>Prepaid Expense - Asset</v>
      </c>
      <c r="C40" s="176">
        <v>530933.34</v>
      </c>
      <c r="D40" s="176">
        <v>146900.17000000001</v>
      </c>
      <c r="E40" s="176">
        <v>507733.33</v>
      </c>
      <c r="F40" s="176">
        <v>170100.18</v>
      </c>
      <c r="G40" s="23" t="str">
        <f>VLOOKUP(B40,'TB 0225'!A:A,1,0)</f>
        <v>Prepaid Expense - Asset</v>
      </c>
    </row>
    <row r="41" spans="1:7" x14ac:dyDescent="0.35">
      <c r="A41" s="174" t="s">
        <v>527</v>
      </c>
      <c r="B41" s="174" t="str">
        <f t="shared" si="0"/>
        <v>Prepaid Expenses</v>
      </c>
      <c r="C41" s="176">
        <v>62211.57</v>
      </c>
      <c r="D41" s="176">
        <v>896191.03</v>
      </c>
      <c r="E41" s="176">
        <v>895886.27</v>
      </c>
      <c r="F41" s="176">
        <v>62516.33</v>
      </c>
      <c r="G41" s="23" t="str">
        <f>VLOOKUP(B41,'TB 0225'!A:A,1,0)</f>
        <v>Prepaid Expenses</v>
      </c>
    </row>
    <row r="42" spans="1:7" x14ac:dyDescent="0.35">
      <c r="A42" s="174" t="s">
        <v>528</v>
      </c>
      <c r="B42" s="174" t="str">
        <f t="shared" si="0"/>
        <v>Receipt from Customers</v>
      </c>
      <c r="C42" s="176">
        <v>-2591519.9500000002</v>
      </c>
      <c r="D42" s="176">
        <v>112618</v>
      </c>
      <c r="E42" s="176">
        <v>1459589</v>
      </c>
      <c r="F42" s="176">
        <v>-3938490.95</v>
      </c>
      <c r="G42" s="23" t="str">
        <f>VLOOKUP(B42,'TB 0225'!A:A,1,0)</f>
        <v>Receipt from Customers</v>
      </c>
    </row>
    <row r="43" spans="1:7" x14ac:dyDescent="0.35">
      <c r="A43" s="174" t="s">
        <v>529</v>
      </c>
      <c r="B43" s="174" t="str">
        <f t="shared" si="0"/>
        <v>Reverse Charge Tax Input but not due</v>
      </c>
      <c r="C43" s="176">
        <v>289946.58</v>
      </c>
      <c r="D43" s="176">
        <v>42739.72</v>
      </c>
      <c r="E43" s="176">
        <v>0</v>
      </c>
      <c r="F43" s="176">
        <v>332686.3</v>
      </c>
      <c r="G43" s="23" t="str">
        <f>VLOOKUP(B43,'TB 0225'!A:A,1,0)</f>
        <v>Reverse Charge Tax Input but not due</v>
      </c>
    </row>
    <row r="44" spans="1:7" x14ac:dyDescent="0.35">
      <c r="A44" s="174" t="s">
        <v>530</v>
      </c>
      <c r="B44" s="174" t="str">
        <f t="shared" si="0"/>
        <v>Security Deposit</v>
      </c>
      <c r="C44" s="176">
        <v>1680000</v>
      </c>
      <c r="D44" s="176">
        <v>0</v>
      </c>
      <c r="E44" s="176">
        <v>0</v>
      </c>
      <c r="F44" s="176">
        <v>1680000</v>
      </c>
      <c r="G44" s="23" t="str">
        <f>VLOOKUP(B44,'TB 0225'!A:A,1,0)</f>
        <v>Security Deposit</v>
      </c>
    </row>
    <row r="45" spans="1:7" x14ac:dyDescent="0.35">
      <c r="A45" s="174" t="s">
        <v>531</v>
      </c>
      <c r="B45" s="174" t="str">
        <f t="shared" si="0"/>
        <v>TDS Receivable</v>
      </c>
      <c r="C45" s="176">
        <v>201605</v>
      </c>
      <c r="D45" s="176">
        <v>72574</v>
      </c>
      <c r="E45" s="176">
        <v>0</v>
      </c>
      <c r="F45" s="176">
        <v>274179</v>
      </c>
      <c r="G45" s="23" t="str">
        <f>VLOOKUP(B45,'TB 0225'!A:A,1,0)</f>
        <v>TDS Receivable</v>
      </c>
    </row>
    <row r="46" spans="1:7" x14ac:dyDescent="0.35">
      <c r="A46" s="174" t="s">
        <v>532</v>
      </c>
      <c r="B46" s="174"/>
      <c r="C46" s="24" t="s">
        <v>85</v>
      </c>
      <c r="D46" s="24" t="s">
        <v>85</v>
      </c>
      <c r="E46" s="24" t="s">
        <v>85</v>
      </c>
      <c r="F46" s="24" t="s">
        <v>85</v>
      </c>
    </row>
    <row r="47" spans="1:7" x14ac:dyDescent="0.35">
      <c r="A47" s="174" t="s">
        <v>533</v>
      </c>
      <c r="B47" s="174" t="str">
        <f t="shared" si="0"/>
        <v>Accounts Payable</v>
      </c>
      <c r="C47" s="176">
        <v>-1730465.82</v>
      </c>
      <c r="D47" s="176">
        <v>13402409.550000001</v>
      </c>
      <c r="E47" s="176">
        <v>15236381.82</v>
      </c>
      <c r="F47" s="176">
        <v>-3564438.09</v>
      </c>
      <c r="G47" s="23" t="str">
        <f>VLOOKUP(B47,'TB 0225'!A:A,1,0)</f>
        <v>Accounts Payable</v>
      </c>
    </row>
    <row r="48" spans="1:7" x14ac:dyDescent="0.35">
      <c r="A48" s="174" t="s">
        <v>534</v>
      </c>
      <c r="B48" s="174" t="str">
        <f t="shared" si="0"/>
        <v>App Wallet</v>
      </c>
      <c r="C48" s="176">
        <v>-212741.27</v>
      </c>
      <c r="D48" s="176">
        <v>34777</v>
      </c>
      <c r="E48" s="176">
        <v>112618</v>
      </c>
      <c r="F48" s="176">
        <v>-290582.27</v>
      </c>
      <c r="G48" s="23" t="str">
        <f>VLOOKUP(B48,'TB 0225'!A:A,1,0)</f>
        <v>App Wallet</v>
      </c>
    </row>
    <row r="49" spans="1:7" x14ac:dyDescent="0.35">
      <c r="A49" s="174" t="s">
        <v>535</v>
      </c>
      <c r="B49" s="174" t="str">
        <f t="shared" si="0"/>
        <v>Employee Reimbursements</v>
      </c>
      <c r="C49" s="176">
        <v>-79600</v>
      </c>
      <c r="D49" s="176">
        <v>79600</v>
      </c>
      <c r="E49" s="176">
        <v>152893</v>
      </c>
      <c r="F49" s="176">
        <v>-152893</v>
      </c>
      <c r="G49" s="23" t="str">
        <f>VLOOKUP(B49,'TB 0225'!A:A,1,0)</f>
        <v>Employee Reimbursements</v>
      </c>
    </row>
    <row r="50" spans="1:7" x14ac:dyDescent="0.35">
      <c r="A50" s="174" t="s">
        <v>621</v>
      </c>
      <c r="B50" s="174" t="str">
        <f t="shared" si="0"/>
        <v>Employee Salaries Payable</v>
      </c>
      <c r="C50" s="176">
        <v>-79650</v>
      </c>
      <c r="D50" s="176">
        <v>79650</v>
      </c>
      <c r="E50" s="176">
        <v>44756</v>
      </c>
      <c r="F50" s="176">
        <v>-44756</v>
      </c>
      <c r="G50" s="23" t="str">
        <f>VLOOKUP(B50,'TB 0225'!A:A,1,0)</f>
        <v>Employee Salaries Payable</v>
      </c>
    </row>
    <row r="51" spans="1:7" x14ac:dyDescent="0.35">
      <c r="A51" s="174" t="s">
        <v>536</v>
      </c>
      <c r="B51" s="174"/>
      <c r="C51" s="176">
        <v>0</v>
      </c>
      <c r="D51" s="176">
        <v>0</v>
      </c>
      <c r="E51" s="176">
        <v>0</v>
      </c>
      <c r="F51" s="176">
        <v>0</v>
      </c>
    </row>
    <row r="52" spans="1:7" x14ac:dyDescent="0.35">
      <c r="A52" s="174" t="s">
        <v>537</v>
      </c>
      <c r="B52" s="174" t="str">
        <f t="shared" si="0"/>
        <v>Output CGST</v>
      </c>
      <c r="C52" s="176">
        <v>-63124.639999999999</v>
      </c>
      <c r="D52" s="176">
        <v>62346</v>
      </c>
      <c r="E52" s="176">
        <v>64616.2</v>
      </c>
      <c r="F52" s="176">
        <v>-65394.84</v>
      </c>
      <c r="G52" s="23" t="str">
        <f>VLOOKUP(B52,'TB 0225'!A:A,1,0)</f>
        <v>Output CGST</v>
      </c>
    </row>
    <row r="53" spans="1:7" x14ac:dyDescent="0.35">
      <c r="A53" s="174" t="s">
        <v>538</v>
      </c>
      <c r="B53" s="174" t="str">
        <f t="shared" si="0"/>
        <v>Output IGST</v>
      </c>
      <c r="C53" s="176">
        <v>-6463.58</v>
      </c>
      <c r="D53" s="176">
        <v>6464</v>
      </c>
      <c r="E53" s="176">
        <v>20664</v>
      </c>
      <c r="F53" s="176">
        <v>-20663.580000000002</v>
      </c>
      <c r="G53" s="23" t="str">
        <f>VLOOKUP(B53,'TB 0225'!A:A,1,0)</f>
        <v>Output IGST</v>
      </c>
    </row>
    <row r="54" spans="1:7" x14ac:dyDescent="0.35">
      <c r="A54" s="174" t="s">
        <v>539</v>
      </c>
      <c r="B54" s="174" t="str">
        <f t="shared" si="0"/>
        <v>Output SGST</v>
      </c>
      <c r="C54" s="176">
        <v>-63124.639999999999</v>
      </c>
      <c r="D54" s="176">
        <v>62346</v>
      </c>
      <c r="E54" s="176">
        <v>64616.2</v>
      </c>
      <c r="F54" s="176">
        <v>-65394.84</v>
      </c>
      <c r="G54" s="23" t="str">
        <f>VLOOKUP(B54,'TB 0225'!A:A,1,0)</f>
        <v>Output SGST</v>
      </c>
    </row>
    <row r="55" spans="1:7" ht="15.5" x14ac:dyDescent="0.35">
      <c r="A55" s="177" t="s">
        <v>540</v>
      </c>
      <c r="B55" s="174"/>
      <c r="C55" s="178">
        <v>-132712.85999999999</v>
      </c>
      <c r="D55" s="178">
        <v>131156</v>
      </c>
      <c r="E55" s="178">
        <v>149896.4</v>
      </c>
      <c r="F55" s="178">
        <v>-151453.26</v>
      </c>
    </row>
    <row r="56" spans="1:7" x14ac:dyDescent="0.35">
      <c r="B56" s="174" t="str">
        <f t="shared" si="0"/>
        <v/>
      </c>
    </row>
    <row r="57" spans="1:7" x14ac:dyDescent="0.35">
      <c r="A57" s="174" t="s">
        <v>541</v>
      </c>
      <c r="B57" s="174" t="str">
        <f t="shared" si="0"/>
        <v>Professional Tax</v>
      </c>
      <c r="C57" s="176">
        <v>-5000</v>
      </c>
      <c r="D57" s="176">
        <v>5000</v>
      </c>
      <c r="E57" s="176">
        <v>10675</v>
      </c>
      <c r="F57" s="176">
        <v>-10675</v>
      </c>
      <c r="G57" s="23" t="str">
        <f>VLOOKUP(B57,'TB 0225'!A:A,1,0)</f>
        <v>Professional Tax</v>
      </c>
    </row>
    <row r="58" spans="1:7" x14ac:dyDescent="0.35">
      <c r="A58" s="174" t="s">
        <v>542</v>
      </c>
      <c r="B58" s="174" t="str">
        <f t="shared" si="0"/>
        <v>Provident Fund</v>
      </c>
      <c r="C58" s="176">
        <v>0</v>
      </c>
      <c r="D58" s="176">
        <v>0</v>
      </c>
      <c r="E58" s="176">
        <v>0</v>
      </c>
      <c r="F58" s="176">
        <v>0</v>
      </c>
    </row>
    <row r="59" spans="1:7" x14ac:dyDescent="0.35">
      <c r="A59" s="174" t="s">
        <v>543</v>
      </c>
      <c r="B59" s="174" t="str">
        <f t="shared" si="0"/>
        <v>Provident Fund - Employee</v>
      </c>
      <c r="C59" s="176">
        <v>-49099</v>
      </c>
      <c r="D59" s="176">
        <v>49099</v>
      </c>
      <c r="E59" s="176">
        <v>70891</v>
      </c>
      <c r="F59" s="176">
        <v>-70891</v>
      </c>
      <c r="G59" s="23" t="str">
        <f>VLOOKUP(B59,'TB 0225'!A:A,1,0)</f>
        <v>Provident Fund - Employee</v>
      </c>
    </row>
    <row r="60" spans="1:7" x14ac:dyDescent="0.35">
      <c r="A60" s="174" t="s">
        <v>544</v>
      </c>
      <c r="B60" s="174" t="str">
        <f t="shared" si="0"/>
        <v>Provident Fund - Employer</v>
      </c>
      <c r="C60" s="176">
        <v>-49099</v>
      </c>
      <c r="D60" s="176">
        <v>49099</v>
      </c>
      <c r="E60" s="176">
        <v>70891</v>
      </c>
      <c r="F60" s="176">
        <v>-70891</v>
      </c>
      <c r="G60" s="23" t="str">
        <f>VLOOKUP(B60,'TB 0225'!A:A,1,0)</f>
        <v>Provident Fund - Employer</v>
      </c>
    </row>
    <row r="61" spans="1:7" ht="15.5" x14ac:dyDescent="0.35">
      <c r="A61" s="177" t="s">
        <v>545</v>
      </c>
      <c r="B61" s="174"/>
      <c r="C61" s="178">
        <v>-98198</v>
      </c>
      <c r="D61" s="178">
        <v>98198</v>
      </c>
      <c r="E61" s="178">
        <v>141782</v>
      </c>
      <c r="F61" s="178">
        <v>-141782</v>
      </c>
    </row>
    <row r="62" spans="1:7" x14ac:dyDescent="0.35">
      <c r="B62" s="174" t="str">
        <f t="shared" si="0"/>
        <v/>
      </c>
    </row>
    <row r="63" spans="1:7" x14ac:dyDescent="0.35">
      <c r="A63" s="174" t="s">
        <v>547</v>
      </c>
      <c r="B63" s="174" t="str">
        <f t="shared" si="0"/>
        <v>Provision for Other Cost</v>
      </c>
      <c r="C63" s="176">
        <v>-21177</v>
      </c>
      <c r="D63" s="176">
        <v>21177</v>
      </c>
      <c r="E63" s="176">
        <v>19200</v>
      </c>
      <c r="F63" s="176">
        <v>-19200</v>
      </c>
      <c r="G63" s="23" t="str">
        <f>VLOOKUP(B63,'TB 0225'!A:A,1,0)</f>
        <v>Provision for Other Cost</v>
      </c>
    </row>
    <row r="64" spans="1:7" x14ac:dyDescent="0.35">
      <c r="A64" s="174" t="s">
        <v>550</v>
      </c>
      <c r="B64" s="174" t="str">
        <f t="shared" si="0"/>
        <v>TDS Payable</v>
      </c>
      <c r="C64" s="176">
        <v>-324757.2</v>
      </c>
      <c r="D64" s="176">
        <v>327665</v>
      </c>
      <c r="E64" s="176">
        <v>728181.61</v>
      </c>
      <c r="F64" s="176">
        <v>-725273.81</v>
      </c>
      <c r="G64" s="23" t="str">
        <f>VLOOKUP(B64,'TB 0225'!A:A,1,0)</f>
        <v>TDS Payable</v>
      </c>
    </row>
    <row r="65" spans="1:7" x14ac:dyDescent="0.35">
      <c r="A65" s="174" t="s">
        <v>551</v>
      </c>
      <c r="B65" s="174" t="str">
        <f t="shared" si="0"/>
        <v>Variable Salary Payable</v>
      </c>
      <c r="C65" s="176">
        <v>-78806</v>
      </c>
      <c r="D65" s="176">
        <v>0</v>
      </c>
      <c r="E65" s="176">
        <v>53987</v>
      </c>
      <c r="F65" s="176">
        <v>-132793</v>
      </c>
      <c r="G65" s="23" t="str">
        <f>VLOOKUP(B65,'TB 0225'!A:A,1,0)</f>
        <v>Variable Salary Payable</v>
      </c>
    </row>
    <row r="66" spans="1:7" x14ac:dyDescent="0.35">
      <c r="A66" s="174" t="s">
        <v>552</v>
      </c>
      <c r="B66" s="174"/>
      <c r="C66" s="24" t="s">
        <v>85</v>
      </c>
      <c r="D66" s="24" t="s">
        <v>85</v>
      </c>
      <c r="E66" s="24" t="s">
        <v>85</v>
      </c>
      <c r="F66" s="24" t="s">
        <v>85</v>
      </c>
    </row>
    <row r="67" spans="1:7" x14ac:dyDescent="0.35">
      <c r="A67" s="174" t="s">
        <v>553</v>
      </c>
      <c r="B67" s="174" t="str">
        <f t="shared" si="0"/>
        <v>Current Year Earnings</v>
      </c>
      <c r="C67" s="176">
        <v>32425594.059999999</v>
      </c>
      <c r="D67" s="176">
        <v>0</v>
      </c>
      <c r="E67" s="176">
        <v>0</v>
      </c>
      <c r="F67" s="176">
        <v>32425594.059999999</v>
      </c>
      <c r="G67" s="23" t="str">
        <f>VLOOKUP(B67,'TB 0225'!A:A,1,0)</f>
        <v>Current Year Earnings</v>
      </c>
    </row>
    <row r="68" spans="1:7" x14ac:dyDescent="0.35">
      <c r="A68" s="174" t="s">
        <v>554</v>
      </c>
      <c r="B68" s="174" t="str">
        <f t="shared" si="0"/>
        <v>Owner's Equity</v>
      </c>
      <c r="C68" s="176">
        <v>-100000</v>
      </c>
      <c r="D68" s="176">
        <v>0</v>
      </c>
      <c r="E68" s="176">
        <v>0</v>
      </c>
      <c r="F68" s="176">
        <v>-100000</v>
      </c>
      <c r="G68" s="23" t="str">
        <f>VLOOKUP(B68,'TB 0225'!A:A,1,0)</f>
        <v>Owner's Equity</v>
      </c>
    </row>
    <row r="69" spans="1:7" x14ac:dyDescent="0.35">
      <c r="A69" s="174" t="s">
        <v>683</v>
      </c>
      <c r="B69" s="174" t="str">
        <f t="shared" ref="B69:B122" si="1">TRIM(A69)</f>
        <v>Elevation Capital III Limited ESC</v>
      </c>
      <c r="C69" s="176">
        <v>-10</v>
      </c>
      <c r="D69" s="176">
        <v>0</v>
      </c>
      <c r="E69" s="176">
        <v>0</v>
      </c>
      <c r="F69" s="176">
        <v>-10</v>
      </c>
      <c r="G69" s="23" t="str">
        <f>VLOOKUP(B69,'TB 0225'!A:A,1,0)</f>
        <v>Elevation Capital III Limited ESC</v>
      </c>
    </row>
    <row r="70" spans="1:7" x14ac:dyDescent="0.35">
      <c r="A70" s="174" t="s">
        <v>684</v>
      </c>
      <c r="B70" s="174" t="str">
        <f t="shared" si="1"/>
        <v>Elevation Capital III Limited PSC</v>
      </c>
      <c r="C70" s="176">
        <v>-4091400</v>
      </c>
      <c r="D70" s="176">
        <v>0</v>
      </c>
      <c r="E70" s="176">
        <v>0</v>
      </c>
      <c r="F70" s="176">
        <v>-4091400</v>
      </c>
      <c r="G70" s="23" t="str">
        <f>VLOOKUP(B70,'TB 0225'!A:A,1,0)</f>
        <v>Elevation Capital III Limited PSC</v>
      </c>
    </row>
    <row r="71" spans="1:7" x14ac:dyDescent="0.35">
      <c r="A71" s="174" t="s">
        <v>685</v>
      </c>
      <c r="B71" s="174" t="str">
        <f t="shared" si="1"/>
        <v>Gaurav Munjal</v>
      </c>
      <c r="C71" s="176">
        <v>-10800</v>
      </c>
      <c r="D71" s="176">
        <v>0</v>
      </c>
      <c r="E71" s="176">
        <v>0</v>
      </c>
      <c r="F71" s="176">
        <v>-10800</v>
      </c>
      <c r="G71" s="23" t="str">
        <f>VLOOKUP(B71,'TB 0225'!A:A,1,0)</f>
        <v>Gaurav Munjal</v>
      </c>
    </row>
    <row r="72" spans="1:7" x14ac:dyDescent="0.35">
      <c r="A72" s="174" t="s">
        <v>555</v>
      </c>
      <c r="B72" s="174" t="str">
        <f t="shared" si="1"/>
        <v>Nexus Ventures VII Holdings LLC ESC</v>
      </c>
      <c r="C72" s="176">
        <v>-10</v>
      </c>
      <c r="D72" s="176">
        <v>0</v>
      </c>
      <c r="E72" s="176">
        <v>0</v>
      </c>
      <c r="F72" s="176">
        <v>-10</v>
      </c>
      <c r="G72" s="23" t="str">
        <f>VLOOKUP(B72,'TB 0225'!A:A,1,0)</f>
        <v>Nexus Ventures VII Holdings LLC ESC</v>
      </c>
    </row>
    <row r="73" spans="1:7" x14ac:dyDescent="0.35">
      <c r="A73" s="174" t="s">
        <v>556</v>
      </c>
      <c r="B73" s="174" t="str">
        <f t="shared" si="1"/>
        <v>Nexus Ventures VII Holdings LLC PSC</v>
      </c>
      <c r="C73" s="176">
        <v>-5126000</v>
      </c>
      <c r="D73" s="176">
        <v>0</v>
      </c>
      <c r="E73" s="176">
        <v>0</v>
      </c>
      <c r="F73" s="176">
        <v>-5126000</v>
      </c>
      <c r="G73" s="23" t="str">
        <f>VLOOKUP(B73,'TB 0225'!A:A,1,0)</f>
        <v>Nexus Ventures VII Holdings LLC PSC</v>
      </c>
    </row>
    <row r="74" spans="1:7" x14ac:dyDescent="0.35">
      <c r="A74" s="174" t="s">
        <v>686</v>
      </c>
      <c r="B74" s="174" t="str">
        <f t="shared" si="1"/>
        <v>Niraj Singh</v>
      </c>
      <c r="C74" s="176">
        <v>-16200</v>
      </c>
      <c r="D74" s="176">
        <v>0</v>
      </c>
      <c r="E74" s="176">
        <v>0</v>
      </c>
      <c r="F74" s="176">
        <v>-16200</v>
      </c>
      <c r="G74" s="23" t="str">
        <f>VLOOKUP(B74,'TB 0225'!A:A,1,0)</f>
        <v>Niraj Singh</v>
      </c>
    </row>
    <row r="75" spans="1:7" x14ac:dyDescent="0.35">
      <c r="A75" s="174" t="s">
        <v>687</v>
      </c>
      <c r="B75" s="174" t="str">
        <f t="shared" si="1"/>
        <v>Pranav Goenka</v>
      </c>
      <c r="C75" s="176">
        <v>-5400</v>
      </c>
      <c r="D75" s="176">
        <v>0</v>
      </c>
      <c r="E75" s="176">
        <v>0</v>
      </c>
      <c r="F75" s="176">
        <v>-5400</v>
      </c>
      <c r="G75" s="23" t="str">
        <f>VLOOKUP(B75,'TB 0225'!A:A,1,0)</f>
        <v>Pranav Goenka</v>
      </c>
    </row>
    <row r="76" spans="1:7" x14ac:dyDescent="0.35">
      <c r="A76" s="174" t="s">
        <v>688</v>
      </c>
      <c r="B76" s="174" t="str">
        <f t="shared" si="1"/>
        <v>Sanjeev Kumar</v>
      </c>
      <c r="C76" s="176">
        <v>-37800</v>
      </c>
      <c r="D76" s="176">
        <v>0</v>
      </c>
      <c r="E76" s="176">
        <v>0</v>
      </c>
      <c r="F76" s="176">
        <v>-37800</v>
      </c>
      <c r="G76" s="23" t="str">
        <f>VLOOKUP(B76,'TB 0225'!A:A,1,0)</f>
        <v>Sanjeev Kumar</v>
      </c>
    </row>
    <row r="77" spans="1:7" x14ac:dyDescent="0.35">
      <c r="A77" s="174" t="s">
        <v>557</v>
      </c>
      <c r="B77" s="174" t="str">
        <f t="shared" si="1"/>
        <v>Securities Premium</v>
      </c>
      <c r="C77" s="176">
        <v>-545637669.75999999</v>
      </c>
      <c r="D77" s="176">
        <v>0</v>
      </c>
      <c r="E77" s="176">
        <v>0</v>
      </c>
      <c r="F77" s="176">
        <v>-545637669.75999999</v>
      </c>
      <c r="G77" s="23" t="str">
        <f>VLOOKUP(B77,'TB 0225'!A:A,1,0)</f>
        <v>Securities Premium</v>
      </c>
    </row>
    <row r="78" spans="1:7" x14ac:dyDescent="0.35">
      <c r="A78" s="174" t="s">
        <v>689</v>
      </c>
      <c r="B78" s="174" t="str">
        <f t="shared" si="1"/>
        <v>Shantam Jain</v>
      </c>
      <c r="C78" s="176">
        <v>-5400</v>
      </c>
      <c r="D78" s="176">
        <v>0</v>
      </c>
      <c r="E78" s="176">
        <v>0</v>
      </c>
      <c r="F78" s="176">
        <v>-5400</v>
      </c>
      <c r="G78" s="23" t="str">
        <f>VLOOKUP(B78,'TB 0225'!A:A,1,0)</f>
        <v>Shantam Jain</v>
      </c>
    </row>
    <row r="79" spans="1:7" x14ac:dyDescent="0.35">
      <c r="A79" s="174" t="s">
        <v>690</v>
      </c>
      <c r="B79" s="174" t="str">
        <f t="shared" si="1"/>
        <v>Siddhartha Kochar</v>
      </c>
      <c r="C79" s="176">
        <v>-5400</v>
      </c>
      <c r="D79" s="176">
        <v>0</v>
      </c>
      <c r="E79" s="176">
        <v>0</v>
      </c>
      <c r="F79" s="176">
        <v>-5400</v>
      </c>
      <c r="G79" s="23" t="str">
        <f>VLOOKUP(B79,'TB 0225'!A:A,1,0)</f>
        <v>Siddhartha Kochar</v>
      </c>
    </row>
    <row r="80" spans="1:7" x14ac:dyDescent="0.35">
      <c r="A80" s="174" t="s">
        <v>691</v>
      </c>
      <c r="B80" s="174" t="str">
        <f t="shared" si="1"/>
        <v>Unnat SK Bajoria</v>
      </c>
      <c r="C80" s="176">
        <v>-5400</v>
      </c>
      <c r="D80" s="176">
        <v>0</v>
      </c>
      <c r="E80" s="176">
        <v>0</v>
      </c>
      <c r="F80" s="176">
        <v>-5400</v>
      </c>
      <c r="G80" s="23" t="str">
        <f>VLOOKUP(B80,'TB 0225'!A:A,1,0)</f>
        <v>Unnat SK Bajoria</v>
      </c>
    </row>
    <row r="81" spans="1:7" x14ac:dyDescent="0.35">
      <c r="A81" s="174" t="s">
        <v>692</v>
      </c>
      <c r="B81" s="174" t="str">
        <f t="shared" si="1"/>
        <v>Vidit Aatrey</v>
      </c>
      <c r="C81" s="176">
        <v>-37800</v>
      </c>
      <c r="D81" s="176">
        <v>0</v>
      </c>
      <c r="E81" s="176">
        <v>0</v>
      </c>
      <c r="F81" s="176">
        <v>-37800</v>
      </c>
      <c r="G81" s="23" t="str">
        <f>VLOOKUP(B81,'TB 0225'!A:A,1,0)</f>
        <v>Vidit Aatrey</v>
      </c>
    </row>
    <row r="82" spans="1:7" ht="15.5" x14ac:dyDescent="0.35">
      <c r="A82" s="177" t="s">
        <v>558</v>
      </c>
      <c r="B82" s="174"/>
      <c r="C82" s="178">
        <v>-555079289.75999999</v>
      </c>
      <c r="D82" s="178">
        <v>0</v>
      </c>
      <c r="E82" s="178">
        <v>0</v>
      </c>
      <c r="F82" s="178">
        <v>-555079289.75999999</v>
      </c>
    </row>
    <row r="83" spans="1:7" x14ac:dyDescent="0.35">
      <c r="B83" s="174" t="str">
        <f t="shared" si="1"/>
        <v/>
      </c>
    </row>
    <row r="84" spans="1:7" x14ac:dyDescent="0.35">
      <c r="A84" s="174" t="s">
        <v>559</v>
      </c>
      <c r="B84" s="174" t="str">
        <f t="shared" si="1"/>
        <v>Retained Earnings</v>
      </c>
      <c r="C84" s="176">
        <v>1905743.9</v>
      </c>
      <c r="D84" s="176">
        <v>0</v>
      </c>
      <c r="E84" s="176">
        <v>0</v>
      </c>
      <c r="F84" s="176">
        <v>1905743.9</v>
      </c>
      <c r="G84" s="23" t="str">
        <f>VLOOKUP(B84,'TB 0225'!A:A,1,0)</f>
        <v>Retained Earnings</v>
      </c>
    </row>
    <row r="85" spans="1:7" x14ac:dyDescent="0.35">
      <c r="A85" s="174" t="s">
        <v>467</v>
      </c>
      <c r="B85" s="174"/>
      <c r="C85" s="24" t="s">
        <v>85</v>
      </c>
      <c r="D85" s="24" t="s">
        <v>85</v>
      </c>
      <c r="E85" s="24" t="s">
        <v>85</v>
      </c>
      <c r="F85" s="24" t="s">
        <v>85</v>
      </c>
    </row>
    <row r="86" spans="1:7" x14ac:dyDescent="0.35">
      <c r="A86" s="174" t="s">
        <v>468</v>
      </c>
      <c r="B86" s="174" t="str">
        <f t="shared" si="1"/>
        <v>Convenience and Platform Fee</v>
      </c>
      <c r="C86" s="176">
        <v>0</v>
      </c>
      <c r="D86" s="176">
        <v>0</v>
      </c>
      <c r="E86" s="176">
        <v>338431.25</v>
      </c>
      <c r="F86" s="176">
        <v>-338431.25</v>
      </c>
      <c r="G86" s="23" t="str">
        <f>VLOOKUP(B86,'TB 0225'!A:A,1,0)</f>
        <v>Convenience and Platform Fee</v>
      </c>
    </row>
    <row r="87" spans="1:7" x14ac:dyDescent="0.35">
      <c r="A87" s="174" t="s">
        <v>469</v>
      </c>
      <c r="B87" s="174" t="str">
        <f t="shared" si="1"/>
        <v>Discount</v>
      </c>
      <c r="C87" s="176">
        <v>0</v>
      </c>
      <c r="D87" s="176">
        <v>251441</v>
      </c>
      <c r="E87" s="176">
        <v>0</v>
      </c>
      <c r="F87" s="176">
        <v>251441</v>
      </c>
      <c r="G87" s="23" t="str">
        <f>VLOOKUP(B87,'TB 0225'!A:A,1,0)</f>
        <v>Discount</v>
      </c>
    </row>
    <row r="88" spans="1:7" x14ac:dyDescent="0.35">
      <c r="A88" s="174" t="s">
        <v>470</v>
      </c>
      <c r="B88" s="174" t="str">
        <f t="shared" si="1"/>
        <v>FD Interest Income</v>
      </c>
      <c r="C88" s="176">
        <v>0</v>
      </c>
      <c r="D88" s="176">
        <v>643425</v>
      </c>
      <c r="E88" s="176">
        <v>3119214</v>
      </c>
      <c r="F88" s="176">
        <v>-2475789</v>
      </c>
      <c r="G88" s="23" t="str">
        <f>VLOOKUP(B88,'TB 0225'!A:A,1,0)</f>
        <v>FD Interest Income</v>
      </c>
    </row>
    <row r="89" spans="1:7" x14ac:dyDescent="0.35">
      <c r="A89" s="174" t="s">
        <v>471</v>
      </c>
      <c r="B89" s="174" t="str">
        <f t="shared" si="1"/>
        <v>Maestro Revenue</v>
      </c>
      <c r="C89" s="176">
        <v>0</v>
      </c>
      <c r="D89" s="176">
        <v>0</v>
      </c>
      <c r="E89" s="176">
        <v>1307179.3899999999</v>
      </c>
      <c r="F89" s="176">
        <v>-1307179.3899999999</v>
      </c>
      <c r="G89" s="23" t="str">
        <f>VLOOKUP(B89,'TB 0225'!A:A,1,0)</f>
        <v>Maestro Revenue</v>
      </c>
    </row>
    <row r="90" spans="1:7" x14ac:dyDescent="0.35">
      <c r="A90" s="174" t="s">
        <v>472</v>
      </c>
      <c r="B90" s="174"/>
      <c r="C90" s="24" t="s">
        <v>85</v>
      </c>
      <c r="D90" s="24" t="s">
        <v>85</v>
      </c>
      <c r="E90" s="24" t="s">
        <v>85</v>
      </c>
      <c r="F90" s="24" t="s">
        <v>85</v>
      </c>
    </row>
    <row r="91" spans="1:7" x14ac:dyDescent="0.35">
      <c r="A91" s="174" t="s">
        <v>473</v>
      </c>
      <c r="B91" s="174" t="str">
        <f t="shared" si="1"/>
        <v>Accounting Services</v>
      </c>
      <c r="C91" s="176">
        <v>0</v>
      </c>
      <c r="D91" s="176">
        <v>70000</v>
      </c>
      <c r="E91" s="176">
        <v>0</v>
      </c>
      <c r="F91" s="176">
        <v>70000</v>
      </c>
      <c r="G91" s="23" t="str">
        <f>VLOOKUP(B91,'TB 0225'!A:A,1,0)</f>
        <v>Accounting Services</v>
      </c>
    </row>
    <row r="92" spans="1:7" x14ac:dyDescent="0.35">
      <c r="A92" s="174" t="s">
        <v>474</v>
      </c>
      <c r="B92" s="174" t="str">
        <f t="shared" si="1"/>
        <v>Bank Fees and Charges</v>
      </c>
      <c r="C92" s="176">
        <v>0</v>
      </c>
      <c r="D92" s="176">
        <v>118</v>
      </c>
      <c r="E92" s="176">
        <v>0</v>
      </c>
      <c r="F92" s="176">
        <v>118</v>
      </c>
      <c r="G92" s="23" t="str">
        <f>VLOOKUP(B92,'TB 0225'!A:A,1,0)</f>
        <v>Bank Fees and Charges</v>
      </c>
    </row>
    <row r="93" spans="1:7" x14ac:dyDescent="0.35">
      <c r="A93" s="174" t="s">
        <v>475</v>
      </c>
      <c r="B93" s="174" t="str">
        <f t="shared" si="1"/>
        <v>Branding Expense</v>
      </c>
      <c r="C93" s="176">
        <v>0</v>
      </c>
      <c r="D93" s="176">
        <v>351670</v>
      </c>
      <c r="E93" s="176">
        <v>0</v>
      </c>
      <c r="F93" s="176">
        <v>351670</v>
      </c>
      <c r="G93" s="23" t="str">
        <f>VLOOKUP(B93,'TB 0225'!A:A,1,0)</f>
        <v>Branding Expense</v>
      </c>
    </row>
    <row r="94" spans="1:7" x14ac:dyDescent="0.35">
      <c r="A94" s="174" t="s">
        <v>726</v>
      </c>
      <c r="B94" s="174" t="str">
        <f t="shared" si="1"/>
        <v>Brokerage Charges</v>
      </c>
      <c r="C94" s="176">
        <v>0</v>
      </c>
      <c r="D94" s="176">
        <v>200000</v>
      </c>
      <c r="E94" s="176">
        <v>0</v>
      </c>
      <c r="F94" s="176">
        <v>200000</v>
      </c>
      <c r="G94" s="23" t="str">
        <f>VLOOKUP(B94,'TB 0225'!A:A,1,0)</f>
        <v>Brokerage Charges</v>
      </c>
    </row>
    <row r="95" spans="1:7" x14ac:dyDescent="0.35">
      <c r="A95" s="174" t="s">
        <v>476</v>
      </c>
      <c r="B95" s="174" t="str">
        <f t="shared" si="1"/>
        <v>Customer Acquisition Cost</v>
      </c>
      <c r="C95" s="176">
        <v>0</v>
      </c>
      <c r="D95" s="176">
        <v>639625</v>
      </c>
      <c r="E95" s="176">
        <v>0</v>
      </c>
      <c r="F95" s="176">
        <v>639625</v>
      </c>
      <c r="G95" s="23" t="str">
        <f>VLOOKUP(B95,'TB 0225'!A:A,1,0)</f>
        <v>Customer Acquisition Cost</v>
      </c>
    </row>
    <row r="96" spans="1:7" x14ac:dyDescent="0.35">
      <c r="A96" s="174" t="s">
        <v>477</v>
      </c>
      <c r="B96" s="174" t="str">
        <f t="shared" si="1"/>
        <v>Depreciation and Amortization</v>
      </c>
      <c r="C96" s="176">
        <v>0</v>
      </c>
      <c r="D96" s="176">
        <v>77932</v>
      </c>
      <c r="E96" s="176">
        <v>0</v>
      </c>
      <c r="F96" s="176">
        <v>77932</v>
      </c>
      <c r="G96" s="23" t="str">
        <f>VLOOKUP(B96,'TB 0225'!A:A,1,0)</f>
        <v>Depreciation and Amortization</v>
      </c>
    </row>
    <row r="97" spans="1:7" x14ac:dyDescent="0.35">
      <c r="A97" s="174" t="s">
        <v>478</v>
      </c>
      <c r="B97" s="174" t="str">
        <f t="shared" si="1"/>
        <v>Employee Benefit Expense</v>
      </c>
      <c r="C97" s="176">
        <v>0</v>
      </c>
      <c r="D97" s="176">
        <v>0</v>
      </c>
      <c r="E97" s="176">
        <v>0</v>
      </c>
      <c r="F97" s="176">
        <v>0</v>
      </c>
    </row>
    <row r="98" spans="1:7" x14ac:dyDescent="0.35">
      <c r="A98" s="174" t="s">
        <v>479</v>
      </c>
      <c r="B98" s="174" t="str">
        <f t="shared" si="1"/>
        <v>Employer PF Expense</v>
      </c>
      <c r="C98" s="176">
        <v>0</v>
      </c>
      <c r="D98" s="176">
        <v>70891</v>
      </c>
      <c r="E98" s="176">
        <v>0</v>
      </c>
      <c r="F98" s="176">
        <v>70891</v>
      </c>
      <c r="G98" s="23" t="str">
        <f>VLOOKUP(B98,'TB 0225'!A:A,1,0)</f>
        <v>Employer PF Expense</v>
      </c>
    </row>
    <row r="99" spans="1:7" x14ac:dyDescent="0.35">
      <c r="A99" s="174" t="s">
        <v>480</v>
      </c>
      <c r="B99" s="174" t="str">
        <f t="shared" si="1"/>
        <v>PF Admin Expense</v>
      </c>
      <c r="C99" s="176">
        <v>0</v>
      </c>
      <c r="D99" s="176">
        <v>4092</v>
      </c>
      <c r="E99" s="176">
        <v>0</v>
      </c>
      <c r="F99" s="176">
        <v>4092</v>
      </c>
      <c r="G99" s="23" t="str">
        <f>VLOOKUP(B99,'TB 0225'!A:A,1,0)</f>
        <v>PF Admin Expense</v>
      </c>
    </row>
    <row r="100" spans="1:7" x14ac:dyDescent="0.35">
      <c r="A100" s="174" t="s">
        <v>481</v>
      </c>
      <c r="B100" s="174" t="str">
        <f t="shared" si="1"/>
        <v>Staff Welfare Expense</v>
      </c>
      <c r="C100" s="176">
        <v>0</v>
      </c>
      <c r="D100" s="176">
        <v>300826.05</v>
      </c>
      <c r="E100" s="176">
        <v>245.51</v>
      </c>
      <c r="F100" s="176">
        <v>300580.53999999998</v>
      </c>
      <c r="G100" s="23" t="str">
        <f>VLOOKUP(B100,'TB 0225'!A:A,1,0)</f>
        <v>Staff Welfare Expense</v>
      </c>
    </row>
    <row r="101" spans="1:7" x14ac:dyDescent="0.35">
      <c r="A101" s="175" t="s">
        <v>482</v>
      </c>
      <c r="B101" s="174" t="str">
        <f t="shared" si="1"/>
        <v>Variable Salary</v>
      </c>
      <c r="C101" s="187">
        <v>0</v>
      </c>
      <c r="D101" s="187">
        <v>53987</v>
      </c>
      <c r="E101" s="187">
        <v>0</v>
      </c>
      <c r="F101" s="187">
        <v>53987</v>
      </c>
      <c r="G101" s="23" t="str">
        <f>VLOOKUP(B101,'TB 0225'!A:A,1,0)</f>
        <v>Variable Salary</v>
      </c>
    </row>
    <row r="102" spans="1:7" ht="15.5" x14ac:dyDescent="0.35">
      <c r="A102" s="185" t="s">
        <v>483</v>
      </c>
      <c r="B102" s="175"/>
      <c r="C102" s="186">
        <v>0</v>
      </c>
      <c r="D102" s="186">
        <v>429796.05</v>
      </c>
      <c r="E102" s="186">
        <v>245.51</v>
      </c>
      <c r="F102" s="186">
        <v>429550.54</v>
      </c>
    </row>
    <row r="103" spans="1:7" x14ac:dyDescent="0.35">
      <c r="B103" s="174" t="str">
        <f t="shared" si="1"/>
        <v/>
      </c>
    </row>
    <row r="104" spans="1:7" x14ac:dyDescent="0.35">
      <c r="A104" s="23" t="s">
        <v>758</v>
      </c>
      <c r="B104" s="174" t="str">
        <f t="shared" si="1"/>
        <v>Expert Retention Bonus</v>
      </c>
      <c r="C104" s="24">
        <v>0</v>
      </c>
      <c r="D104" s="24">
        <v>410000</v>
      </c>
      <c r="E104" s="24">
        <v>0</v>
      </c>
      <c r="F104" s="24">
        <v>410000</v>
      </c>
      <c r="G104" s="23" t="str">
        <f>VLOOKUP(B104,'TB 0225'!A:A,1,0)</f>
        <v>Expert Retention Bonus</v>
      </c>
    </row>
    <row r="105" spans="1:7" x14ac:dyDescent="0.35">
      <c r="A105" s="174" t="s">
        <v>484</v>
      </c>
      <c r="B105" s="174" t="str">
        <f t="shared" si="1"/>
        <v>Fund Raising Expense</v>
      </c>
      <c r="C105" s="176">
        <v>0</v>
      </c>
      <c r="D105" s="176">
        <v>502260</v>
      </c>
      <c r="E105" s="176">
        <v>0</v>
      </c>
      <c r="F105" s="176">
        <v>502260</v>
      </c>
      <c r="G105" s="23" t="str">
        <f>VLOOKUP(B105,'TB 0225'!A:A,1,0)</f>
        <v>Fund Raising Expense</v>
      </c>
    </row>
    <row r="106" spans="1:7" x14ac:dyDescent="0.35">
      <c r="A106" s="174" t="s">
        <v>724</v>
      </c>
      <c r="B106" s="174" t="str">
        <f t="shared" si="1"/>
        <v>Insurance Expense</v>
      </c>
      <c r="C106" s="176">
        <v>0</v>
      </c>
      <c r="D106" s="176">
        <v>76182</v>
      </c>
      <c r="E106" s="176">
        <v>0</v>
      </c>
      <c r="F106" s="176">
        <v>76182</v>
      </c>
      <c r="G106" s="23" t="str">
        <f>VLOOKUP(B106,'TB 0225'!A:A,1,0)</f>
        <v>Insurance Expense</v>
      </c>
    </row>
    <row r="107" spans="1:7" x14ac:dyDescent="0.35">
      <c r="A107" s="174" t="s">
        <v>618</v>
      </c>
      <c r="B107" s="174" t="str">
        <f t="shared" si="1"/>
        <v>New User Discount</v>
      </c>
      <c r="C107" s="176">
        <v>0</v>
      </c>
      <c r="D107" s="176">
        <v>118287</v>
      </c>
      <c r="E107" s="176">
        <v>0</v>
      </c>
      <c r="F107" s="176">
        <v>118287</v>
      </c>
      <c r="G107" s="23" t="str">
        <f>VLOOKUP(B107,'TB 0225'!A:A,1,0)</f>
        <v>New User Discount</v>
      </c>
    </row>
    <row r="108" spans="1:7" x14ac:dyDescent="0.35">
      <c r="A108" s="174" t="s">
        <v>486</v>
      </c>
      <c r="B108" s="174" t="str">
        <f t="shared" si="1"/>
        <v>Office and Admin Expense</v>
      </c>
      <c r="C108" s="176">
        <v>0</v>
      </c>
      <c r="D108" s="176">
        <v>264.08</v>
      </c>
      <c r="E108" s="176">
        <v>13.08</v>
      </c>
      <c r="F108" s="176">
        <v>251</v>
      </c>
      <c r="G108" s="23" t="str">
        <f>VLOOKUP(B108,'TB 0225'!A:A,1,0)</f>
        <v>Office and Admin Expense</v>
      </c>
    </row>
    <row r="109" spans="1:7" x14ac:dyDescent="0.35">
      <c r="A109" s="174" t="s">
        <v>487</v>
      </c>
      <c r="B109" s="174" t="str">
        <f t="shared" si="1"/>
        <v>Office Rent Expense</v>
      </c>
      <c r="C109" s="176">
        <v>0</v>
      </c>
      <c r="D109" s="176">
        <v>301000</v>
      </c>
      <c r="E109" s="176">
        <v>0</v>
      </c>
      <c r="F109" s="176">
        <v>301000</v>
      </c>
      <c r="G109" s="23" t="str">
        <f>VLOOKUP(B109,'TB 0225'!A:A,1,0)</f>
        <v>Office Rent Expense</v>
      </c>
    </row>
    <row r="110" spans="1:7" x14ac:dyDescent="0.35">
      <c r="A110" s="174" t="s">
        <v>488</v>
      </c>
      <c r="B110" s="174" t="str">
        <f t="shared" si="1"/>
        <v>Other Cost</v>
      </c>
      <c r="C110" s="176">
        <v>0</v>
      </c>
      <c r="D110" s="176">
        <v>44049</v>
      </c>
      <c r="E110" s="176">
        <v>21201.279999999999</v>
      </c>
      <c r="F110" s="176">
        <v>22847.72</v>
      </c>
      <c r="G110" s="23" t="str">
        <f>VLOOKUP(B110,'TB 0225'!A:A,1,0)</f>
        <v>Other Cost</v>
      </c>
    </row>
    <row r="111" spans="1:7" x14ac:dyDescent="0.35">
      <c r="A111" s="174" t="s">
        <v>489</v>
      </c>
      <c r="B111" s="174" t="str">
        <f t="shared" si="1"/>
        <v>Other Expenses</v>
      </c>
      <c r="C111" s="176">
        <v>0</v>
      </c>
      <c r="D111" s="176">
        <v>0.87</v>
      </c>
      <c r="E111" s="176">
        <v>2.19</v>
      </c>
      <c r="F111" s="176">
        <v>-1.32</v>
      </c>
      <c r="G111" s="23" t="str">
        <f>VLOOKUP(B111,'TB 0225'!A:A,1,0)</f>
        <v>Other Expenses</v>
      </c>
    </row>
    <row r="112" spans="1:7" x14ac:dyDescent="0.35">
      <c r="A112" s="174" t="s">
        <v>29</v>
      </c>
      <c r="B112" s="174" t="str">
        <f t="shared" si="1"/>
        <v>Payment Gateway Cost</v>
      </c>
      <c r="C112" s="176">
        <v>0</v>
      </c>
      <c r="D112" s="176">
        <v>17087.84</v>
      </c>
      <c r="E112" s="176">
        <v>0</v>
      </c>
      <c r="F112" s="176">
        <v>17087.84</v>
      </c>
      <c r="G112" s="23" t="str">
        <f>VLOOKUP(B112,'TB 0225'!A:A,1,0)</f>
        <v>Payment Gateway Cost</v>
      </c>
    </row>
    <row r="113" spans="1:7" x14ac:dyDescent="0.35">
      <c r="A113" s="174" t="s">
        <v>725</v>
      </c>
      <c r="B113" s="174" t="str">
        <f t="shared" si="1"/>
        <v>Printing and Stationery</v>
      </c>
      <c r="C113" s="176">
        <v>0</v>
      </c>
      <c r="D113" s="176">
        <v>2247</v>
      </c>
      <c r="E113" s="176">
        <v>0</v>
      </c>
      <c r="F113" s="176">
        <v>2247</v>
      </c>
      <c r="G113" s="23" t="str">
        <f>VLOOKUP(B113,'TB 0225'!A:A,1,0)</f>
        <v>Printing and Stationery</v>
      </c>
    </row>
    <row r="114" spans="1:7" x14ac:dyDescent="0.35">
      <c r="A114" s="174" t="s">
        <v>490</v>
      </c>
      <c r="B114" s="174" t="str">
        <f t="shared" si="1"/>
        <v>Professional Fees</v>
      </c>
      <c r="C114" s="176">
        <v>0</v>
      </c>
      <c r="D114" s="176">
        <v>39000</v>
      </c>
      <c r="E114" s="176">
        <v>0</v>
      </c>
      <c r="F114" s="176">
        <v>39000</v>
      </c>
      <c r="G114" s="23" t="str">
        <f>VLOOKUP(B114,'TB 0225'!A:A,1,0)</f>
        <v>Professional Fees</v>
      </c>
    </row>
    <row r="115" spans="1:7" x14ac:dyDescent="0.35">
      <c r="A115" s="174" t="s">
        <v>638</v>
      </c>
      <c r="B115" s="174" t="str">
        <f t="shared" si="1"/>
        <v>Recruitment Charges</v>
      </c>
      <c r="C115" s="176">
        <v>0</v>
      </c>
      <c r="D115" s="176">
        <v>2074000</v>
      </c>
      <c r="E115" s="176">
        <v>0</v>
      </c>
      <c r="F115" s="176">
        <v>2074000</v>
      </c>
      <c r="G115" s="23" t="str">
        <f>VLOOKUP(B115,'TB 0225'!A:A,1,0)</f>
        <v>Recruitment Charges</v>
      </c>
    </row>
    <row r="116" spans="1:7" x14ac:dyDescent="0.35">
      <c r="A116" s="174" t="s">
        <v>492</v>
      </c>
      <c r="B116" s="174" t="str">
        <f t="shared" si="1"/>
        <v>Salaries and Employee Wages</v>
      </c>
      <c r="C116" s="176">
        <v>0</v>
      </c>
      <c r="D116" s="176">
        <v>4610402.5599999996</v>
      </c>
      <c r="E116" s="176">
        <v>0</v>
      </c>
      <c r="F116" s="176">
        <v>4610402.5599999996</v>
      </c>
      <c r="G116" s="23" t="str">
        <f>VLOOKUP(B116,'TB 0225'!A:A,1,0)</f>
        <v>Salaries and Employee Wages</v>
      </c>
    </row>
    <row r="117" spans="1:7" x14ac:dyDescent="0.35">
      <c r="A117" s="174" t="s">
        <v>615</v>
      </c>
      <c r="B117" s="174" t="str">
        <f t="shared" si="1"/>
        <v>Service Cost</v>
      </c>
      <c r="C117" s="176">
        <v>0</v>
      </c>
      <c r="D117" s="176">
        <v>1398556.25</v>
      </c>
      <c r="E117" s="176">
        <v>0</v>
      </c>
      <c r="F117" s="176">
        <v>1398556.25</v>
      </c>
      <c r="G117" s="23" t="str">
        <f>VLOOKUP(B117,'TB 0225'!A:A,1,0)</f>
        <v>Service Cost</v>
      </c>
    </row>
    <row r="118" spans="1:7" x14ac:dyDescent="0.35">
      <c r="A118" s="174" t="s">
        <v>493</v>
      </c>
      <c r="B118" s="174" t="str">
        <f t="shared" si="1"/>
        <v>Software Expense</v>
      </c>
      <c r="C118" s="176">
        <v>0</v>
      </c>
      <c r="D118" s="176">
        <v>1063743.32</v>
      </c>
      <c r="E118" s="176">
        <v>545066.67000000004</v>
      </c>
      <c r="F118" s="176">
        <v>518676.65</v>
      </c>
      <c r="G118" s="23" t="str">
        <f>VLOOKUP(B118,'TB 0225'!A:A,1,0)</f>
        <v>Software Expense</v>
      </c>
    </row>
    <row r="119" spans="1:7" x14ac:dyDescent="0.35">
      <c r="A119" s="174" t="s">
        <v>494</v>
      </c>
      <c r="B119" s="174" t="str">
        <f t="shared" si="1"/>
        <v>Sourcing and Onboarding Expense</v>
      </c>
      <c r="C119" s="176">
        <v>0</v>
      </c>
      <c r="D119" s="176">
        <v>438459.85</v>
      </c>
      <c r="E119" s="176">
        <v>101833.5</v>
      </c>
      <c r="F119" s="176">
        <v>336626.35</v>
      </c>
      <c r="G119" s="23" t="str">
        <f>VLOOKUP(B119,'TB 0225'!A:A,1,0)</f>
        <v>Sourcing and Onboarding Expense</v>
      </c>
    </row>
    <row r="120" spans="1:7" x14ac:dyDescent="0.35">
      <c r="A120" s="174" t="s">
        <v>720</v>
      </c>
      <c r="B120" s="174" t="str">
        <f t="shared" si="1"/>
        <v>Training Centre Development Cost</v>
      </c>
      <c r="C120" s="176">
        <v>0</v>
      </c>
      <c r="D120" s="176">
        <v>296348.12</v>
      </c>
      <c r="E120" s="176">
        <v>0</v>
      </c>
      <c r="F120" s="176">
        <v>296348.12</v>
      </c>
      <c r="G120" s="23" t="str">
        <f>VLOOKUP(B120,'TB 0225'!A:A,1,0)</f>
        <v>Training Centre Development Cost</v>
      </c>
    </row>
    <row r="121" spans="1:7" x14ac:dyDescent="0.35">
      <c r="A121" s="174" t="s">
        <v>495</v>
      </c>
      <c r="B121" s="174" t="str">
        <f t="shared" si="1"/>
        <v>Training Centre Expense</v>
      </c>
      <c r="C121" s="176">
        <v>0</v>
      </c>
      <c r="D121" s="176">
        <v>115667.41</v>
      </c>
      <c r="E121" s="176">
        <v>0</v>
      </c>
      <c r="F121" s="176">
        <v>115667.41</v>
      </c>
      <c r="G121" s="23" t="str">
        <f>VLOOKUP(B121,'TB 0225'!A:A,1,0)</f>
        <v>Training Centre Expense</v>
      </c>
    </row>
    <row r="122" spans="1:7" x14ac:dyDescent="0.35">
      <c r="A122" s="174" t="s">
        <v>496</v>
      </c>
      <c r="B122" s="174" t="str">
        <f t="shared" si="1"/>
        <v>Training Centre Rent Expense</v>
      </c>
      <c r="C122" s="176">
        <v>0</v>
      </c>
      <c r="D122" s="176">
        <v>122642.8</v>
      </c>
      <c r="E122" s="176">
        <v>0</v>
      </c>
      <c r="F122" s="176">
        <v>122642.8</v>
      </c>
      <c r="G122" s="23" t="str">
        <f>VLOOKUP(B122,'TB 0225'!A:A,1,0)</f>
        <v>Training Centre Rent Expense</v>
      </c>
    </row>
    <row r="123" spans="1:7" ht="15.5" x14ac:dyDescent="0.35">
      <c r="A123" s="177" t="s">
        <v>639</v>
      </c>
      <c r="B123" s="174"/>
      <c r="C123" s="178"/>
      <c r="D123" s="178">
        <v>201143083.94999999</v>
      </c>
      <c r="E123" s="178">
        <v>201143083.94999999</v>
      </c>
      <c r="F123" s="178"/>
    </row>
    <row r="124" spans="1:7" x14ac:dyDescent="0.35">
      <c r="A124" s="179" t="s">
        <v>85</v>
      </c>
      <c r="B124" s="180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3741-5F11-4281-8013-E2E4B584ECC8}">
  <dimension ref="A1:P101"/>
  <sheetViews>
    <sheetView topLeftCell="B2" workbookViewId="0">
      <selection activeCell="H2" sqref="H2"/>
    </sheetView>
  </sheetViews>
  <sheetFormatPr defaultColWidth="8.81640625" defaultRowHeight="14.5" x14ac:dyDescent="0.35"/>
  <cols>
    <col min="1" max="1" width="44.453125" style="23" bestFit="1" customWidth="1"/>
    <col min="2" max="6" width="17.453125" style="24" customWidth="1"/>
    <col min="7" max="7" width="8.81640625" style="23"/>
    <col min="8" max="8" width="58.453125" style="23" bestFit="1" customWidth="1"/>
    <col min="9" max="9" width="8.81640625" style="23"/>
    <col min="10" max="10" width="25.453125" style="23" bestFit="1" customWidth="1"/>
    <col min="11" max="11" width="11.36328125" style="23" bestFit="1" customWidth="1"/>
    <col min="12" max="12" width="8.81640625" style="23"/>
    <col min="13" max="13" width="15.36328125" style="23" bestFit="1" customWidth="1"/>
    <col min="14" max="14" width="8.81640625" style="23"/>
    <col min="15" max="15" width="15.36328125" style="23" bestFit="1" customWidth="1"/>
    <col min="16" max="16384" width="8.81640625" style="23"/>
  </cols>
  <sheetData>
    <row r="1" spans="1:16" x14ac:dyDescent="0.35">
      <c r="B1" s="24">
        <f>SUBTOTAL(9,B3:B101)</f>
        <v>2.3748725652694702E-8</v>
      </c>
      <c r="C1" s="24">
        <f>SUBTOTAL(9,C3:C101)</f>
        <v>201137083.95000002</v>
      </c>
      <c r="D1" s="24">
        <f>SUBTOTAL(9,D3:D101)</f>
        <v>201137083.94999996</v>
      </c>
      <c r="E1" s="24">
        <f>SUBTOTAL(9,E3:E101)</f>
        <v>1.7060665413737297E-7</v>
      </c>
      <c r="F1" s="24">
        <f>SUBTOTAL(9,F3:F101)</f>
        <v>4.3428372009657323E-11</v>
      </c>
    </row>
    <row r="2" spans="1:16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</row>
    <row r="3" spans="1:16" x14ac:dyDescent="0.35">
      <c r="A3" s="23" t="s">
        <v>561</v>
      </c>
      <c r="B3" s="24">
        <f>SUMIF('Raw Feb'!B:B,'TB 0225'!A3,'Raw Feb'!C:C)</f>
        <v>2649264.9500000002</v>
      </c>
      <c r="C3" s="24">
        <f>SUMIF('Raw Feb'!B:B,'TB 0225'!A3,'Raw Feb'!D:D)</f>
        <v>1501326.32</v>
      </c>
      <c r="D3" s="24">
        <f>SUMIF('Raw Feb'!B:B,'TB 0225'!A3,'Raw Feb'!E:E)</f>
        <v>153064</v>
      </c>
      <c r="E3" s="24">
        <f>B3+C3-D3</f>
        <v>3997527.2700000005</v>
      </c>
      <c r="F3" s="24">
        <f>E3/1000</f>
        <v>3997.5272700000005</v>
      </c>
      <c r="G3" s="22" t="s">
        <v>181</v>
      </c>
      <c r="H3" s="23" t="s">
        <v>77</v>
      </c>
      <c r="J3" s="23" t="s">
        <v>659</v>
      </c>
      <c r="K3" s="123">
        <v>21001</v>
      </c>
      <c r="L3" s="123">
        <f>K3/1000</f>
        <v>21.001000000000001</v>
      </c>
      <c r="M3" s="23" t="s">
        <v>268</v>
      </c>
      <c r="O3" s="23" t="s">
        <v>192</v>
      </c>
      <c r="P3" s="24">
        <f t="shared" ref="P3:P8" si="0">SUMIF(M:M,O3,L:L)</f>
        <v>4102.6895599999989</v>
      </c>
    </row>
    <row r="4" spans="1:16" x14ac:dyDescent="0.35">
      <c r="A4" s="23" t="s">
        <v>288</v>
      </c>
      <c r="B4" s="24">
        <f>SUMIF('Raw Feb'!B:B,'TB 0225'!A4,'Raw Feb'!C:C)</f>
        <v>643425</v>
      </c>
      <c r="C4" s="24">
        <f>SUMIF('Raw Feb'!B:B,'TB 0225'!A4,'Raw Feb'!D:D)</f>
        <v>2393479</v>
      </c>
      <c r="D4" s="24">
        <f>SUMIF('Raw Feb'!B:B,'TB 0225'!A4,'Raw Feb'!E:E)</f>
        <v>643425</v>
      </c>
      <c r="E4" s="24">
        <f t="shared" ref="E4:E53" si="1">B4+C4-D4</f>
        <v>2393479</v>
      </c>
      <c r="F4" s="24">
        <f t="shared" ref="F4:F66" si="2">E4/1000</f>
        <v>2393.4789999999998</v>
      </c>
      <c r="G4" s="22" t="s">
        <v>181</v>
      </c>
      <c r="H4" s="23" t="s">
        <v>79</v>
      </c>
      <c r="J4" s="23" t="s">
        <v>665</v>
      </c>
      <c r="K4" s="123">
        <v>21001</v>
      </c>
      <c r="L4" s="123">
        <f t="shared" ref="L4:L54" si="3">K4/1000</f>
        <v>21.001000000000001</v>
      </c>
      <c r="M4" s="23" t="s">
        <v>677</v>
      </c>
      <c r="O4" s="23" t="s">
        <v>188</v>
      </c>
      <c r="P4" s="24">
        <f t="shared" si="0"/>
        <v>249.68100000000001</v>
      </c>
    </row>
    <row r="5" spans="1:16" x14ac:dyDescent="0.35">
      <c r="A5" s="23" t="s">
        <v>289</v>
      </c>
      <c r="B5" s="24">
        <f>SUMIF('Raw Feb'!B:B,'TB 0225'!A5,'Raw Feb'!C:C)</f>
        <v>-92542</v>
      </c>
      <c r="C5" s="24">
        <f>SUMIF('Raw Feb'!B:B,'TB 0225'!A5,'Raw Feb'!D:D)</f>
        <v>0</v>
      </c>
      <c r="D5" s="24">
        <f>SUMIF('Raw Feb'!B:B,'TB 0225'!A5,'Raw Feb'!E:E)</f>
        <v>12810</v>
      </c>
      <c r="E5" s="24">
        <f t="shared" si="1"/>
        <v>-105352</v>
      </c>
      <c r="F5" s="24">
        <f t="shared" si="2"/>
        <v>-105.352</v>
      </c>
      <c r="G5" s="22" t="s">
        <v>181</v>
      </c>
      <c r="H5" s="23" t="s">
        <v>72</v>
      </c>
      <c r="J5" s="23" t="s">
        <v>729</v>
      </c>
      <c r="K5" s="123">
        <v>22367</v>
      </c>
      <c r="L5" s="123">
        <f t="shared" si="3"/>
        <v>22.367000000000001</v>
      </c>
      <c r="M5" s="23" t="s">
        <v>268</v>
      </c>
      <c r="O5" s="23" t="s">
        <v>352</v>
      </c>
      <c r="P5" s="24">
        <f t="shared" si="0"/>
        <v>30.2</v>
      </c>
    </row>
    <row r="6" spans="1:16" x14ac:dyDescent="0.35">
      <c r="A6" s="23" t="s">
        <v>562</v>
      </c>
      <c r="B6" s="24">
        <f>SUMIF('Raw Feb'!B:B,'TB 0225'!A6,'Raw Feb'!C:C)</f>
        <v>-334804</v>
      </c>
      <c r="C6" s="24">
        <f>SUMIF('Raw Feb'!B:B,'TB 0225'!A6,'Raw Feb'!D:D)</f>
        <v>0</v>
      </c>
      <c r="D6" s="24">
        <f>SUMIF('Raw Feb'!B:B,'TB 0225'!A6,'Raw Feb'!E:E)</f>
        <v>63024</v>
      </c>
      <c r="E6" s="24">
        <f t="shared" si="1"/>
        <v>-397828</v>
      </c>
      <c r="F6" s="24">
        <f t="shared" si="2"/>
        <v>-397.82799999999997</v>
      </c>
      <c r="G6" s="22" t="s">
        <v>181</v>
      </c>
      <c r="H6" s="23" t="s">
        <v>71</v>
      </c>
      <c r="J6" s="23" t="s">
        <v>730</v>
      </c>
      <c r="K6" s="123">
        <v>19996</v>
      </c>
      <c r="L6" s="123">
        <f t="shared" si="3"/>
        <v>19.995999999999999</v>
      </c>
      <c r="M6" s="23" t="s">
        <v>268</v>
      </c>
      <c r="O6" s="23" t="s">
        <v>190</v>
      </c>
      <c r="P6" s="24">
        <f t="shared" si="0"/>
        <v>54</v>
      </c>
    </row>
    <row r="7" spans="1:16" x14ac:dyDescent="0.35">
      <c r="A7" s="23" t="s">
        <v>198</v>
      </c>
      <c r="B7" s="24">
        <f>SUMIF('Raw Feb'!B:B,'TB 0225'!A7,'Raw Feb'!C:C)</f>
        <v>-17517</v>
      </c>
      <c r="C7" s="24">
        <f>SUMIF('Raw Feb'!B:B,'TB 0225'!A7,'Raw Feb'!D:D)</f>
        <v>0</v>
      </c>
      <c r="D7" s="24">
        <f>SUMIF('Raw Feb'!B:B,'TB 0225'!A7,'Raw Feb'!E:E)</f>
        <v>2098</v>
      </c>
      <c r="E7" s="24">
        <f t="shared" si="1"/>
        <v>-19615</v>
      </c>
      <c r="F7" s="24">
        <f t="shared" si="2"/>
        <v>-19.614999999999998</v>
      </c>
      <c r="G7" s="22" t="s">
        <v>181</v>
      </c>
      <c r="H7" s="23" t="s">
        <v>71</v>
      </c>
      <c r="J7" s="23" t="s">
        <v>738</v>
      </c>
      <c r="K7" s="123">
        <v>14915</v>
      </c>
      <c r="L7" s="123">
        <f t="shared" si="3"/>
        <v>14.914999999999999</v>
      </c>
      <c r="M7" s="23" t="s">
        <v>268</v>
      </c>
      <c r="O7" s="23" t="s">
        <v>268</v>
      </c>
      <c r="P7" s="24">
        <f t="shared" si="0"/>
        <v>152.83099999999999</v>
      </c>
    </row>
    <row r="8" spans="1:16" x14ac:dyDescent="0.35">
      <c r="A8" s="23" t="s">
        <v>365</v>
      </c>
      <c r="B8" s="24">
        <f>SUMIF('Raw Feb'!B:B,'TB 0225'!A8,'Raw Feb'!C:C)</f>
        <v>305.98</v>
      </c>
      <c r="C8" s="24">
        <f>SUMIF('Raw Feb'!B:B,'TB 0225'!A8,'Raw Feb'!D:D)</f>
        <v>0</v>
      </c>
      <c r="D8" s="24">
        <f>SUMIF('Raw Feb'!B:B,'TB 0225'!A8,'Raw Feb'!E:E)</f>
        <v>0</v>
      </c>
      <c r="E8" s="24">
        <f t="shared" si="1"/>
        <v>305.98</v>
      </c>
      <c r="F8" s="24">
        <f t="shared" si="2"/>
        <v>0.30598000000000003</v>
      </c>
      <c r="G8" s="22" t="s">
        <v>181</v>
      </c>
      <c r="H8" s="23" t="s">
        <v>79</v>
      </c>
      <c r="J8" s="23" t="s">
        <v>743</v>
      </c>
      <c r="K8" s="123">
        <v>8796</v>
      </c>
      <c r="L8" s="123">
        <f t="shared" si="3"/>
        <v>8.7959999999999994</v>
      </c>
      <c r="M8" s="23" t="s">
        <v>268</v>
      </c>
      <c r="O8" s="23" t="s">
        <v>677</v>
      </c>
      <c r="P8" s="24">
        <f t="shared" si="0"/>
        <v>21.001000000000001</v>
      </c>
    </row>
    <row r="9" spans="1:16" x14ac:dyDescent="0.35">
      <c r="A9" s="23" t="s">
        <v>563</v>
      </c>
      <c r="B9" s="24">
        <f>SUMIF('Raw Feb'!B:B,'TB 0225'!A9,'Raw Feb'!C:C)</f>
        <v>12872.34</v>
      </c>
      <c r="C9" s="24">
        <f>SUMIF('Raw Feb'!B:B,'TB 0225'!A9,'Raw Feb'!D:D)</f>
        <v>0</v>
      </c>
      <c r="D9" s="24">
        <f>SUMIF('Raw Feb'!B:B,'TB 0225'!A9,'Raw Feb'!E:E)</f>
        <v>118</v>
      </c>
      <c r="E9" s="24">
        <f t="shared" si="1"/>
        <v>12754.34</v>
      </c>
      <c r="F9" s="24">
        <f t="shared" si="2"/>
        <v>12.754340000000001</v>
      </c>
      <c r="G9" s="22" t="s">
        <v>181</v>
      </c>
      <c r="H9" s="23" t="s">
        <v>78</v>
      </c>
      <c r="J9" s="23" t="s">
        <v>669</v>
      </c>
      <c r="K9" s="123">
        <v>55000</v>
      </c>
      <c r="L9" s="123">
        <f t="shared" si="3"/>
        <v>55</v>
      </c>
      <c r="M9" s="23" t="s">
        <v>192</v>
      </c>
      <c r="P9" s="24">
        <f>SUM(P3:P8)</f>
        <v>4610.4025599999986</v>
      </c>
    </row>
    <row r="10" spans="1:16" x14ac:dyDescent="0.35">
      <c r="A10" s="23" t="s">
        <v>564</v>
      </c>
      <c r="B10" s="24">
        <f>SUMIF('Raw Feb'!B:B,'TB 0225'!A10,'Raw Feb'!C:C)</f>
        <v>1009448.31</v>
      </c>
      <c r="C10" s="24">
        <f>SUMIF('Raw Feb'!B:B,'TB 0225'!A10,'Raw Feb'!D:D)</f>
        <v>528964</v>
      </c>
      <c r="D10" s="24">
        <f>SUMIF('Raw Feb'!B:B,'TB 0225'!A10,'Raw Feb'!E:E)</f>
        <v>0</v>
      </c>
      <c r="E10" s="24">
        <f t="shared" si="1"/>
        <v>1538412.31</v>
      </c>
      <c r="F10" s="24">
        <f t="shared" si="2"/>
        <v>1538.4123100000002</v>
      </c>
      <c r="G10" s="22" t="s">
        <v>181</v>
      </c>
      <c r="H10" s="23" t="s">
        <v>71</v>
      </c>
      <c r="J10" s="23" t="s">
        <v>670</v>
      </c>
      <c r="K10" s="123">
        <v>100000</v>
      </c>
      <c r="L10" s="123">
        <f t="shared" si="3"/>
        <v>100</v>
      </c>
      <c r="M10" s="23" t="s">
        <v>192</v>
      </c>
    </row>
    <row r="11" spans="1:16" x14ac:dyDescent="0.35">
      <c r="A11" s="23" t="s">
        <v>693</v>
      </c>
      <c r="B11" s="24">
        <f>SUMIF('Raw Feb'!B:B,'TB 0225'!A11,'Raw Feb'!C:C)</f>
        <v>272931.34000000003</v>
      </c>
      <c r="C11" s="24">
        <f>SUMIF('Raw Feb'!B:B,'TB 0225'!A11,'Raw Feb'!D:D)</f>
        <v>65300</v>
      </c>
      <c r="D11" s="24">
        <f>SUMIF('Raw Feb'!B:B,'TB 0225'!A11,'Raw Feb'!E:E)</f>
        <v>0</v>
      </c>
      <c r="E11" s="24">
        <f t="shared" si="1"/>
        <v>338231.34</v>
      </c>
      <c r="F11" s="24">
        <f t="shared" si="2"/>
        <v>338.23134000000005</v>
      </c>
      <c r="G11" s="22" t="s">
        <v>181</v>
      </c>
      <c r="H11" s="23" t="s">
        <v>71</v>
      </c>
      <c r="J11" s="23" t="s">
        <v>671</v>
      </c>
      <c r="K11" s="123">
        <v>21000</v>
      </c>
      <c r="L11" s="123">
        <f t="shared" si="3"/>
        <v>21</v>
      </c>
      <c r="M11" s="23" t="s">
        <v>192</v>
      </c>
    </row>
    <row r="12" spans="1:16" x14ac:dyDescent="0.35">
      <c r="A12" s="23" t="s">
        <v>714</v>
      </c>
      <c r="B12" s="24">
        <f>SUMIF('Raw Feb'!B:B,'TB 0225'!A12,'Raw Feb'!C:C)</f>
        <v>50000</v>
      </c>
      <c r="C12" s="24">
        <f>SUMIF('Raw Feb'!B:B,'TB 0225'!A12,'Raw Feb'!D:D)</f>
        <v>0</v>
      </c>
      <c r="D12" s="24">
        <f>SUMIF('Raw Feb'!B:B,'TB 0225'!A12,'Raw Feb'!E:E)</f>
        <v>0</v>
      </c>
      <c r="E12" s="24">
        <f t="shared" si="1"/>
        <v>50000</v>
      </c>
      <c r="F12" s="24">
        <f t="shared" si="2"/>
        <v>50</v>
      </c>
      <c r="G12" s="22" t="s">
        <v>181</v>
      </c>
      <c r="H12" s="23" t="s">
        <v>78</v>
      </c>
      <c r="J12" s="23" t="s">
        <v>746</v>
      </c>
      <c r="K12" s="123">
        <v>15535.71</v>
      </c>
      <c r="L12" s="123">
        <f t="shared" si="3"/>
        <v>15.53571</v>
      </c>
      <c r="M12" s="23" t="s">
        <v>192</v>
      </c>
    </row>
    <row r="13" spans="1:16" x14ac:dyDescent="0.35">
      <c r="A13" s="23" t="s">
        <v>715</v>
      </c>
      <c r="B13" s="24">
        <f>SUMIF('Raw Feb'!B:B,'TB 0225'!A13,'Raw Feb'!C:C)</f>
        <v>50000</v>
      </c>
      <c r="C13" s="24">
        <f>SUMIF('Raw Feb'!B:B,'TB 0225'!A13,'Raw Feb'!D:D)</f>
        <v>450282.87</v>
      </c>
      <c r="D13" s="24">
        <f>SUMIF('Raw Feb'!B:B,'TB 0225'!A13,'Raw Feb'!E:E)</f>
        <v>345238.73</v>
      </c>
      <c r="E13" s="24">
        <f t="shared" si="1"/>
        <v>155044.14000000001</v>
      </c>
      <c r="F13" s="24">
        <f t="shared" si="2"/>
        <v>155.04414000000003</v>
      </c>
      <c r="G13" s="22" t="s">
        <v>181</v>
      </c>
      <c r="H13" s="23" t="s">
        <v>78</v>
      </c>
      <c r="J13" s="23" t="s">
        <v>747</v>
      </c>
      <c r="K13" s="123">
        <v>128571.43</v>
      </c>
      <c r="L13" s="123">
        <f t="shared" si="3"/>
        <v>128.57142999999999</v>
      </c>
      <c r="M13" s="23" t="s">
        <v>192</v>
      </c>
    </row>
    <row r="14" spans="1:16" x14ac:dyDescent="0.35">
      <c r="A14" s="23" t="s">
        <v>565</v>
      </c>
      <c r="B14" s="24">
        <f>SUMIF('Raw Feb'!B:B,'TB 0225'!A14,'Raw Feb'!C:C)</f>
        <v>731582.07</v>
      </c>
      <c r="C14" s="24">
        <f>SUMIF('Raw Feb'!B:B,'TB 0225'!A14,'Raw Feb'!D:D)</f>
        <v>256065.49</v>
      </c>
      <c r="D14" s="24">
        <f>SUMIF('Raw Feb'!B:B,'TB 0225'!A14,'Raw Feb'!E:E)</f>
        <v>45000</v>
      </c>
      <c r="E14" s="24">
        <f t="shared" si="1"/>
        <v>942647.55999999994</v>
      </c>
      <c r="F14" s="24">
        <f t="shared" si="2"/>
        <v>942.64755999999988</v>
      </c>
      <c r="G14" s="22" t="s">
        <v>181</v>
      </c>
      <c r="H14" s="23" t="s">
        <v>79</v>
      </c>
      <c r="J14" s="23" t="s">
        <v>672</v>
      </c>
      <c r="K14" s="123">
        <v>6428.57</v>
      </c>
      <c r="L14" s="123">
        <f t="shared" si="3"/>
        <v>6.4285699999999997</v>
      </c>
      <c r="M14" s="23" t="s">
        <v>192</v>
      </c>
    </row>
    <row r="15" spans="1:16" x14ac:dyDescent="0.35">
      <c r="A15" s="23" t="s">
        <v>566</v>
      </c>
      <c r="B15" s="24">
        <f>SUMIF('Raw Feb'!B:B,'TB 0225'!A15,'Raw Feb'!C:C)</f>
        <v>188776.95</v>
      </c>
      <c r="C15" s="24">
        <f>SUMIF('Raw Feb'!B:B,'TB 0225'!A15,'Raw Feb'!D:D)</f>
        <v>467332.18</v>
      </c>
      <c r="D15" s="24">
        <f>SUMIF('Raw Feb'!B:B,'TB 0225'!A15,'Raw Feb'!E:E)</f>
        <v>59606</v>
      </c>
      <c r="E15" s="24">
        <f t="shared" si="1"/>
        <v>596503.13</v>
      </c>
      <c r="F15" s="24">
        <f t="shared" si="2"/>
        <v>596.50313000000006</v>
      </c>
      <c r="G15" s="22" t="s">
        <v>181</v>
      </c>
      <c r="H15" s="23" t="s">
        <v>79</v>
      </c>
      <c r="J15" s="23" t="s">
        <v>673</v>
      </c>
      <c r="K15" s="123">
        <v>25000</v>
      </c>
      <c r="L15" s="123">
        <f t="shared" si="3"/>
        <v>25</v>
      </c>
      <c r="M15" s="23" t="s">
        <v>192</v>
      </c>
    </row>
    <row r="16" spans="1:16" x14ac:dyDescent="0.35">
      <c r="A16" s="23" t="s">
        <v>567</v>
      </c>
      <c r="B16" s="24">
        <f>SUMIF('Raw Feb'!B:B,'TB 0225'!A16,'Raw Feb'!C:C)</f>
        <v>731582.09</v>
      </c>
      <c r="C16" s="24">
        <f>SUMIF('Raw Feb'!B:B,'TB 0225'!A16,'Raw Feb'!D:D)</f>
        <v>256065.52</v>
      </c>
      <c r="D16" s="24">
        <f>SUMIF('Raw Feb'!B:B,'TB 0225'!A16,'Raw Feb'!E:E)</f>
        <v>45000</v>
      </c>
      <c r="E16" s="24">
        <f t="shared" si="1"/>
        <v>942647.61</v>
      </c>
      <c r="F16" s="24">
        <f t="shared" si="2"/>
        <v>942.64760999999999</v>
      </c>
      <c r="G16" s="22" t="s">
        <v>181</v>
      </c>
      <c r="H16" s="23" t="s">
        <v>79</v>
      </c>
      <c r="J16" s="23" t="s">
        <v>710</v>
      </c>
      <c r="K16" s="123">
        <v>21000</v>
      </c>
      <c r="L16" s="123">
        <f t="shared" si="3"/>
        <v>21</v>
      </c>
      <c r="M16" s="23" t="s">
        <v>192</v>
      </c>
    </row>
    <row r="17" spans="1:13" x14ac:dyDescent="0.35">
      <c r="A17" s="23" t="s">
        <v>300</v>
      </c>
      <c r="B17" s="24">
        <f>SUMIF('Raw Feb'!B:B,'TB 0225'!A17,'Raw Feb'!C:C)</f>
        <v>1537167.67</v>
      </c>
      <c r="C17" s="24">
        <f>SUMIF('Raw Feb'!B:B,'TB 0225'!A17,'Raw Feb'!D:D)</f>
        <v>0</v>
      </c>
      <c r="D17" s="24">
        <f>SUMIF('Raw Feb'!B:B,'TB 0225'!A17,'Raw Feb'!E:E)</f>
        <v>0</v>
      </c>
      <c r="E17" s="24">
        <f t="shared" si="1"/>
        <v>1537167.67</v>
      </c>
      <c r="F17" s="24">
        <f t="shared" si="2"/>
        <v>1537.1676699999998</v>
      </c>
      <c r="G17" s="22" t="s">
        <v>181</v>
      </c>
      <c r="H17" s="23" t="s">
        <v>72</v>
      </c>
      <c r="J17" s="23" t="s">
        <v>748</v>
      </c>
      <c r="K17" s="123">
        <v>14285.71</v>
      </c>
      <c r="L17" s="123">
        <f t="shared" si="3"/>
        <v>14.28571</v>
      </c>
      <c r="M17" s="23" t="s">
        <v>192</v>
      </c>
    </row>
    <row r="18" spans="1:13" x14ac:dyDescent="0.35">
      <c r="A18" s="23" t="s">
        <v>718</v>
      </c>
      <c r="B18" s="24">
        <f>SUMIF('Raw Feb'!B:B,'TB 0225'!A18,'Raw Feb'!C:C)</f>
        <v>45000000</v>
      </c>
      <c r="C18" s="24">
        <f>SUMIF('Raw Feb'!B:B,'TB 0225'!A18,'Raw Feb'!D:D)</f>
        <v>0</v>
      </c>
      <c r="D18" s="24">
        <f>SUMIF('Raw Feb'!B:B,'TB 0225'!A18,'Raw Feb'!E:E)</f>
        <v>0</v>
      </c>
      <c r="E18" s="24">
        <f t="shared" si="1"/>
        <v>45000000</v>
      </c>
      <c r="F18" s="24">
        <f t="shared" si="2"/>
        <v>45000</v>
      </c>
      <c r="G18" s="22" t="s">
        <v>181</v>
      </c>
      <c r="H18" s="23" t="s">
        <v>76</v>
      </c>
      <c r="J18" s="23" t="s">
        <v>652</v>
      </c>
      <c r="K18" s="123">
        <v>98200</v>
      </c>
      <c r="L18" s="123">
        <f t="shared" si="3"/>
        <v>98.2</v>
      </c>
      <c r="M18" s="23" t="s">
        <v>192</v>
      </c>
    </row>
    <row r="19" spans="1:13" x14ac:dyDescent="0.35">
      <c r="A19" s="23" t="s">
        <v>719</v>
      </c>
      <c r="B19" s="24">
        <f>SUMIF('Raw Feb'!B:B,'TB 0225'!A19,'Raw Feb'!C:C)</f>
        <v>30000000</v>
      </c>
      <c r="C19" s="24">
        <f>SUMIF('Raw Feb'!B:B,'TB 0225'!A19,'Raw Feb'!D:D)</f>
        <v>0</v>
      </c>
      <c r="D19" s="24">
        <f>SUMIF('Raw Feb'!B:B,'TB 0225'!A19,'Raw Feb'!E:E)</f>
        <v>0</v>
      </c>
      <c r="E19" s="24">
        <f t="shared" si="1"/>
        <v>30000000</v>
      </c>
      <c r="F19" s="24">
        <f t="shared" si="2"/>
        <v>30000</v>
      </c>
      <c r="G19" s="22" t="s">
        <v>181</v>
      </c>
      <c r="H19" s="23" t="s">
        <v>76</v>
      </c>
      <c r="J19" s="23" t="s">
        <v>442</v>
      </c>
      <c r="K19" s="123">
        <v>28200</v>
      </c>
      <c r="L19" s="123">
        <f t="shared" si="3"/>
        <v>28.2</v>
      </c>
      <c r="M19" s="23" t="s">
        <v>192</v>
      </c>
    </row>
    <row r="20" spans="1:13" x14ac:dyDescent="0.35">
      <c r="A20" s="23" t="s">
        <v>570</v>
      </c>
      <c r="B20" s="24">
        <f>SUMIF('Raw Feb'!B:B,'TB 0225'!A20,'Raw Feb'!C:C)</f>
        <v>38000000</v>
      </c>
      <c r="C20" s="24">
        <f>SUMIF('Raw Feb'!B:B,'TB 0225'!A20,'Raw Feb'!D:D)</f>
        <v>0</v>
      </c>
      <c r="D20" s="24">
        <f>SUMIF('Raw Feb'!B:B,'TB 0225'!A20,'Raw Feb'!E:E)</f>
        <v>38000000</v>
      </c>
      <c r="E20" s="24">
        <f t="shared" si="1"/>
        <v>0</v>
      </c>
      <c r="F20" s="24">
        <f t="shared" si="2"/>
        <v>0</v>
      </c>
      <c r="G20" s="22" t="s">
        <v>181</v>
      </c>
      <c r="H20" s="23" t="s">
        <v>76</v>
      </c>
      <c r="J20" s="23" t="s">
        <v>654</v>
      </c>
      <c r="K20" s="123">
        <v>23800</v>
      </c>
      <c r="L20" s="123">
        <f t="shared" si="3"/>
        <v>23.8</v>
      </c>
      <c r="M20" s="23" t="s">
        <v>192</v>
      </c>
    </row>
    <row r="21" spans="1:13" x14ac:dyDescent="0.35">
      <c r="A21" s="23" t="s">
        <v>642</v>
      </c>
      <c r="B21" s="24">
        <f>SUMIF('Raw Feb'!B:B,'TB 0225'!A21,'Raw Feb'!C:C)</f>
        <v>6000000</v>
      </c>
      <c r="C21" s="24">
        <f>SUMIF('Raw Feb'!B:B,'TB 0225'!A21,'Raw Feb'!D:D)</f>
        <v>0</v>
      </c>
      <c r="D21" s="24">
        <f>SUMIF('Raw Feb'!B:B,'TB 0225'!A21,'Raw Feb'!E:E)</f>
        <v>0</v>
      </c>
      <c r="E21" s="24">
        <f t="shared" si="1"/>
        <v>6000000</v>
      </c>
      <c r="F21" s="24">
        <f t="shared" si="2"/>
        <v>6000</v>
      </c>
      <c r="G21" s="22" t="s">
        <v>181</v>
      </c>
      <c r="H21" s="23" t="s">
        <v>76</v>
      </c>
      <c r="J21" s="23" t="s">
        <v>439</v>
      </c>
      <c r="K21" s="123">
        <v>248200</v>
      </c>
      <c r="L21" s="123">
        <f t="shared" si="3"/>
        <v>248.2</v>
      </c>
      <c r="M21" s="23" t="s">
        <v>192</v>
      </c>
    </row>
    <row r="22" spans="1:13" x14ac:dyDescent="0.35">
      <c r="A22" s="23" t="s">
        <v>694</v>
      </c>
      <c r="B22" s="24">
        <f>SUMIF('Raw Feb'!B:B,'TB 0225'!A22,'Raw Feb'!C:C)</f>
        <v>7500000</v>
      </c>
      <c r="C22" s="24">
        <f>SUMIF('Raw Feb'!B:B,'TB 0225'!A22,'Raw Feb'!D:D)</f>
        <v>0</v>
      </c>
      <c r="D22" s="24">
        <f>SUMIF('Raw Feb'!B:B,'TB 0225'!A22,'Raw Feb'!E:E)</f>
        <v>7500000</v>
      </c>
      <c r="E22" s="24">
        <f t="shared" si="1"/>
        <v>0</v>
      </c>
      <c r="F22" s="24">
        <f t="shared" si="2"/>
        <v>0</v>
      </c>
      <c r="G22" s="22" t="s">
        <v>181</v>
      </c>
      <c r="H22" s="23" t="s">
        <v>76</v>
      </c>
      <c r="J22" s="23" t="s">
        <v>443</v>
      </c>
      <c r="K22" s="123">
        <v>30200</v>
      </c>
      <c r="L22" s="123">
        <f t="shared" si="3"/>
        <v>30.2</v>
      </c>
      <c r="M22" s="23" t="s">
        <v>352</v>
      </c>
    </row>
    <row r="23" spans="1:13" x14ac:dyDescent="0.35">
      <c r="A23" s="23" t="s">
        <v>695</v>
      </c>
      <c r="B23" s="24">
        <f>SUMIF('Raw Feb'!B:B,'TB 0225'!A23,'Raw Feb'!C:C)</f>
        <v>350000000</v>
      </c>
      <c r="C23" s="24">
        <f>SUMIF('Raw Feb'!B:B,'TB 0225'!A23,'Raw Feb'!D:D)</f>
        <v>0</v>
      </c>
      <c r="D23" s="24">
        <f>SUMIF('Raw Feb'!B:B,'TB 0225'!A23,'Raw Feb'!E:E)</f>
        <v>0</v>
      </c>
      <c r="E23" s="24">
        <f t="shared" si="1"/>
        <v>350000000</v>
      </c>
      <c r="F23" s="24">
        <f t="shared" si="2"/>
        <v>350000</v>
      </c>
      <c r="G23" s="22" t="s">
        <v>181</v>
      </c>
      <c r="H23" s="23" t="s">
        <v>76</v>
      </c>
      <c r="J23" s="23" t="s">
        <v>655</v>
      </c>
      <c r="K23" s="123">
        <v>389867</v>
      </c>
      <c r="L23" s="123">
        <f t="shared" si="3"/>
        <v>389.86700000000002</v>
      </c>
      <c r="M23" s="23" t="s">
        <v>192</v>
      </c>
    </row>
    <row r="24" spans="1:13" x14ac:dyDescent="0.35">
      <c r="A24" s="23" t="s">
        <v>696</v>
      </c>
      <c r="B24" s="24">
        <f>SUMIF('Raw Feb'!B:B,'TB 0225'!A24,'Raw Feb'!C:C)</f>
        <v>35000000</v>
      </c>
      <c r="C24" s="24">
        <f>SUMIF('Raw Feb'!B:B,'TB 0225'!A24,'Raw Feb'!D:D)</f>
        <v>0</v>
      </c>
      <c r="D24" s="24">
        <f>SUMIF('Raw Feb'!B:B,'TB 0225'!A24,'Raw Feb'!E:E)</f>
        <v>35000000</v>
      </c>
      <c r="E24" s="24">
        <f t="shared" si="1"/>
        <v>0</v>
      </c>
      <c r="F24" s="24">
        <f t="shared" si="2"/>
        <v>0</v>
      </c>
      <c r="G24" s="22" t="s">
        <v>181</v>
      </c>
      <c r="H24" s="23" t="s">
        <v>76</v>
      </c>
      <c r="J24" s="23" t="s">
        <v>656</v>
      </c>
      <c r="K24" s="123">
        <v>164867</v>
      </c>
      <c r="L24" s="123">
        <f t="shared" si="3"/>
        <v>164.86699999999999</v>
      </c>
      <c r="M24" s="23" t="s">
        <v>192</v>
      </c>
    </row>
    <row r="25" spans="1:13" x14ac:dyDescent="0.35">
      <c r="A25" s="23" t="s">
        <v>752</v>
      </c>
      <c r="B25" s="24">
        <f>SUMIF('Raw Feb'!B:B,'TB 0225'!A25,'Raw Feb'!C:C)</f>
        <v>0</v>
      </c>
      <c r="C25" s="24">
        <f>SUMIF('Raw Feb'!B:B,'TB 0225'!A25,'Raw Feb'!D:D)</f>
        <v>35000000</v>
      </c>
      <c r="D25" s="24">
        <f>SUMIF('Raw Feb'!B:B,'TB 0225'!A25,'Raw Feb'!E:E)</f>
        <v>0</v>
      </c>
      <c r="E25" s="24">
        <f t="shared" si="1"/>
        <v>35000000</v>
      </c>
      <c r="F25" s="24">
        <f t="shared" si="2"/>
        <v>35000</v>
      </c>
      <c r="G25" s="22" t="s">
        <v>181</v>
      </c>
      <c r="H25" s="23" t="s">
        <v>76</v>
      </c>
      <c r="J25" s="23" t="s">
        <v>657</v>
      </c>
      <c r="K25" s="123">
        <v>26200</v>
      </c>
      <c r="L25" s="123">
        <f t="shared" si="3"/>
        <v>26.2</v>
      </c>
      <c r="M25" s="23" t="s">
        <v>190</v>
      </c>
    </row>
    <row r="26" spans="1:13" x14ac:dyDescent="0.35">
      <c r="A26" s="23" t="s">
        <v>753</v>
      </c>
      <c r="B26" s="24">
        <f>SUMIF('Raw Feb'!B:B,'TB 0225'!A26,'Raw Feb'!C:C)</f>
        <v>0</v>
      </c>
      <c r="C26" s="24">
        <f>SUMIF('Raw Feb'!B:B,'TB 0225'!A26,'Raw Feb'!D:D)</f>
        <v>30000000</v>
      </c>
      <c r="D26" s="24">
        <f>SUMIF('Raw Feb'!B:B,'TB 0225'!A26,'Raw Feb'!E:E)</f>
        <v>0</v>
      </c>
      <c r="E26" s="24">
        <f t="shared" si="1"/>
        <v>30000000</v>
      </c>
      <c r="F26" s="24">
        <f t="shared" si="2"/>
        <v>30000</v>
      </c>
      <c r="G26" s="22" t="s">
        <v>181</v>
      </c>
      <c r="H26" s="23" t="s">
        <v>76</v>
      </c>
      <c r="J26" s="23" t="s">
        <v>450</v>
      </c>
      <c r="K26" s="123">
        <v>73200</v>
      </c>
      <c r="L26" s="123">
        <f t="shared" si="3"/>
        <v>73.2</v>
      </c>
      <c r="M26" s="23" t="s">
        <v>188</v>
      </c>
    </row>
    <row r="27" spans="1:13" x14ac:dyDescent="0.35">
      <c r="A27" s="23" t="s">
        <v>754</v>
      </c>
      <c r="B27" s="24">
        <f>SUMIF('Raw Feb'!B:B,'TB 0225'!A27,'Raw Feb'!C:C)</f>
        <v>0</v>
      </c>
      <c r="C27" s="24">
        <f>SUMIF('Raw Feb'!B:B,'TB 0225'!A27,'Raw Feb'!D:D)</f>
        <v>2000000</v>
      </c>
      <c r="D27" s="24">
        <f>SUMIF('Raw Feb'!B:B,'TB 0225'!A27,'Raw Feb'!E:E)</f>
        <v>0</v>
      </c>
      <c r="E27" s="24">
        <f t="shared" si="1"/>
        <v>2000000</v>
      </c>
      <c r="F27" s="24">
        <f t="shared" si="2"/>
        <v>2000</v>
      </c>
      <c r="G27" s="22" t="s">
        <v>181</v>
      </c>
      <c r="H27" s="23" t="s">
        <v>76</v>
      </c>
      <c r="J27" s="23" t="s">
        <v>451</v>
      </c>
      <c r="K27" s="123">
        <v>248200</v>
      </c>
      <c r="L27" s="123">
        <f t="shared" si="3"/>
        <v>248.2</v>
      </c>
      <c r="M27" s="23" t="s">
        <v>192</v>
      </c>
    </row>
    <row r="28" spans="1:13" x14ac:dyDescent="0.35">
      <c r="A28" s="23" t="s">
        <v>572</v>
      </c>
      <c r="B28" s="24">
        <f>SUMIF('Raw Feb'!B:B,'TB 0225'!A28,'Raw Feb'!C:C)</f>
        <v>218735.76</v>
      </c>
      <c r="C28" s="24">
        <f>SUMIF('Raw Feb'!B:B,'TB 0225'!A28,'Raw Feb'!D:D)</f>
        <v>81153161</v>
      </c>
      <c r="D28" s="24">
        <f>SUMIF('Raw Feb'!B:B,'TB 0225'!A28,'Raw Feb'!E:E)</f>
        <v>81000000</v>
      </c>
      <c r="E28" s="24">
        <f t="shared" si="1"/>
        <v>371896.76000000536</v>
      </c>
      <c r="F28" s="24">
        <f t="shared" si="2"/>
        <v>371.89676000000537</v>
      </c>
      <c r="G28" s="22" t="s">
        <v>181</v>
      </c>
      <c r="H28" s="23" t="s">
        <v>78</v>
      </c>
      <c r="J28" s="23" t="s">
        <v>446</v>
      </c>
      <c r="K28" s="123">
        <v>26800</v>
      </c>
      <c r="L28" s="123">
        <f t="shared" si="3"/>
        <v>26.8</v>
      </c>
      <c r="M28" s="23" t="s">
        <v>188</v>
      </c>
    </row>
    <row r="29" spans="1:13" x14ac:dyDescent="0.35">
      <c r="A29" s="23" t="s">
        <v>573</v>
      </c>
      <c r="B29" s="24">
        <f>SUMIF('Raw Feb'!B:B,'TB 0225'!A29,'Raw Feb'!C:C)</f>
        <v>2993539.45</v>
      </c>
      <c r="C29" s="24">
        <f>SUMIF('Raw Feb'!B:B,'TB 0225'!A29,'Raw Feb'!D:D)</f>
        <v>15499257.949999999</v>
      </c>
      <c r="D29" s="24">
        <f>SUMIF('Raw Feb'!B:B,'TB 0225'!A29,'Raw Feb'!E:E)</f>
        <v>13280933.92</v>
      </c>
      <c r="E29" s="24">
        <f t="shared" si="1"/>
        <v>5211863.4799999986</v>
      </c>
      <c r="F29" s="24">
        <f t="shared" si="2"/>
        <v>5211.8634799999982</v>
      </c>
      <c r="G29" s="22" t="s">
        <v>181</v>
      </c>
      <c r="H29" s="23" t="s">
        <v>78</v>
      </c>
      <c r="J29" s="23" t="s">
        <v>658</v>
      </c>
      <c r="K29" s="123">
        <v>373200</v>
      </c>
      <c r="L29" s="123">
        <f t="shared" si="3"/>
        <v>373.2</v>
      </c>
      <c r="M29" s="23" t="s">
        <v>192</v>
      </c>
    </row>
    <row r="30" spans="1:13" x14ac:dyDescent="0.35">
      <c r="A30" s="23" t="s">
        <v>723</v>
      </c>
      <c r="B30" s="24">
        <f>SUMIF('Raw Feb'!B:B,'TB 0225'!A30,'Raw Feb'!C:C)</f>
        <v>1137250</v>
      </c>
      <c r="C30" s="24">
        <f>SUMIF('Raw Feb'!B:B,'TB 0225'!A30,'Raw Feb'!D:D)</f>
        <v>1780989</v>
      </c>
      <c r="D30" s="24">
        <f>SUMIF('Raw Feb'!B:B,'TB 0225'!A30,'Raw Feb'!E:E)</f>
        <v>0</v>
      </c>
      <c r="E30" s="24">
        <f t="shared" si="1"/>
        <v>2918239</v>
      </c>
      <c r="F30" s="24">
        <f t="shared" si="2"/>
        <v>2918.239</v>
      </c>
      <c r="G30" s="22" t="s">
        <v>181</v>
      </c>
      <c r="H30" s="23" t="s">
        <v>71</v>
      </c>
      <c r="J30" s="23" t="s">
        <v>454</v>
      </c>
      <c r="K30" s="123">
        <v>27800</v>
      </c>
      <c r="L30" s="123">
        <f t="shared" si="3"/>
        <v>27.8</v>
      </c>
      <c r="M30" s="23" t="s">
        <v>190</v>
      </c>
    </row>
    <row r="31" spans="1:13" x14ac:dyDescent="0.35">
      <c r="A31" s="23" t="s">
        <v>231</v>
      </c>
      <c r="B31" s="24">
        <f>SUMIF('Raw Feb'!B:B,'TB 0225'!A31,'Raw Feb'!C:C)</f>
        <v>55864.5</v>
      </c>
      <c r="C31" s="24">
        <f>SUMIF('Raw Feb'!B:B,'TB 0225'!A31,'Raw Feb'!D:D)</f>
        <v>0</v>
      </c>
      <c r="D31" s="24">
        <f>SUMIF('Raw Feb'!B:B,'TB 0225'!A31,'Raw Feb'!E:E)</f>
        <v>0</v>
      </c>
      <c r="E31" s="24">
        <f t="shared" si="1"/>
        <v>55864.5</v>
      </c>
      <c r="F31" s="24">
        <f t="shared" si="2"/>
        <v>55.8645</v>
      </c>
      <c r="G31" s="22" t="s">
        <v>181</v>
      </c>
      <c r="H31" s="23" t="s">
        <v>71</v>
      </c>
      <c r="J31" s="23" t="s">
        <v>661</v>
      </c>
      <c r="K31" s="123">
        <v>73381</v>
      </c>
      <c r="L31" s="123">
        <f t="shared" si="3"/>
        <v>73.381</v>
      </c>
      <c r="M31" s="23" t="s">
        <v>192</v>
      </c>
    </row>
    <row r="32" spans="1:13" x14ac:dyDescent="0.35">
      <c r="A32" s="23" t="s">
        <v>574</v>
      </c>
      <c r="B32" s="24">
        <f>SUMIF('Raw Feb'!B:B,'TB 0225'!A32,'Raw Feb'!C:C)</f>
        <v>0</v>
      </c>
      <c r="C32" s="24">
        <f>SUMIF('Raw Feb'!B:B,'TB 0225'!A32,'Raw Feb'!D:D)</f>
        <v>40000</v>
      </c>
      <c r="D32" s="24">
        <f>SUMIF('Raw Feb'!B:B,'TB 0225'!A32,'Raw Feb'!E:E)</f>
        <v>40000</v>
      </c>
      <c r="E32" s="24">
        <f t="shared" si="1"/>
        <v>0</v>
      </c>
      <c r="F32" s="24">
        <f t="shared" si="2"/>
        <v>0</v>
      </c>
      <c r="G32" s="22" t="s">
        <v>181</v>
      </c>
      <c r="H32" s="23" t="s">
        <v>78</v>
      </c>
      <c r="J32" s="23" t="s">
        <v>444</v>
      </c>
      <c r="K32" s="123">
        <v>46856</v>
      </c>
      <c r="L32" s="123">
        <f t="shared" si="3"/>
        <v>46.856000000000002</v>
      </c>
      <c r="M32" s="23" t="s">
        <v>192</v>
      </c>
    </row>
    <row r="33" spans="1:13" x14ac:dyDescent="0.35">
      <c r="A33" s="23" t="s">
        <v>575</v>
      </c>
      <c r="B33" s="24">
        <f>SUMIF('Raw Feb'!B:B,'TB 0225'!A33,'Raw Feb'!C:C)</f>
        <v>530933.34</v>
      </c>
      <c r="C33" s="24">
        <f>SUMIF('Raw Feb'!B:B,'TB 0225'!A33,'Raw Feb'!D:D)</f>
        <v>146900.17000000001</v>
      </c>
      <c r="D33" s="24">
        <f>SUMIF('Raw Feb'!B:B,'TB 0225'!A33,'Raw Feb'!E:E)</f>
        <v>507733.33</v>
      </c>
      <c r="E33" s="24">
        <f t="shared" si="1"/>
        <v>170100.18</v>
      </c>
      <c r="F33" s="24">
        <f t="shared" si="2"/>
        <v>170.10017999999999</v>
      </c>
      <c r="G33" s="22" t="s">
        <v>181</v>
      </c>
      <c r="H33" s="23" t="s">
        <v>79</v>
      </c>
      <c r="J33" s="23" t="s">
        <v>675</v>
      </c>
      <c r="K33" s="123">
        <v>223200</v>
      </c>
      <c r="L33" s="123">
        <f t="shared" si="3"/>
        <v>223.2</v>
      </c>
      <c r="M33" s="23" t="s">
        <v>192</v>
      </c>
    </row>
    <row r="34" spans="1:13" x14ac:dyDescent="0.35">
      <c r="A34" s="23" t="s">
        <v>376</v>
      </c>
      <c r="B34" s="24">
        <f>SUMIF('Raw Feb'!B:B,'TB 0225'!A34,'Raw Feb'!C:C)</f>
        <v>62211.57</v>
      </c>
      <c r="C34" s="24">
        <f>SUMIF('Raw Feb'!B:B,'TB 0225'!A34,'Raw Feb'!D:D)</f>
        <v>896191.03</v>
      </c>
      <c r="D34" s="24">
        <f>SUMIF('Raw Feb'!B:B,'TB 0225'!A34,'Raw Feb'!E:E)</f>
        <v>895886.27</v>
      </c>
      <c r="E34" s="24">
        <f t="shared" si="1"/>
        <v>62516.329999999958</v>
      </c>
      <c r="F34" s="24">
        <f t="shared" si="2"/>
        <v>62.516329999999961</v>
      </c>
      <c r="G34" s="22" t="s">
        <v>180</v>
      </c>
      <c r="H34" s="23" t="s">
        <v>67</v>
      </c>
      <c r="J34" s="23" t="s">
        <v>662</v>
      </c>
      <c r="K34" s="123">
        <v>47143</v>
      </c>
      <c r="L34" s="123">
        <f t="shared" si="3"/>
        <v>47.143000000000001</v>
      </c>
      <c r="M34" s="23" t="s">
        <v>192</v>
      </c>
    </row>
    <row r="35" spans="1:13" x14ac:dyDescent="0.35">
      <c r="A35" s="23" t="s">
        <v>576</v>
      </c>
      <c r="B35" s="24">
        <f>SUMIF('Raw Feb'!B:B,'TB 0225'!A35,'Raw Feb'!C:C)</f>
        <v>-2591519.9500000002</v>
      </c>
      <c r="C35" s="24">
        <f>SUMIF('Raw Feb'!B:B,'TB 0225'!A35,'Raw Feb'!D:D)</f>
        <v>112618</v>
      </c>
      <c r="D35" s="24">
        <f>SUMIF('Raw Feb'!B:B,'TB 0225'!A35,'Raw Feb'!E:E)</f>
        <v>1459589</v>
      </c>
      <c r="E35" s="24">
        <f t="shared" si="1"/>
        <v>-3938490.95</v>
      </c>
      <c r="F35" s="24">
        <f t="shared" si="2"/>
        <v>-3938.4909500000003</v>
      </c>
      <c r="G35" s="22" t="s">
        <v>181</v>
      </c>
      <c r="H35" s="23" t="s">
        <v>77</v>
      </c>
      <c r="J35" s="23" t="s">
        <v>445</v>
      </c>
      <c r="K35" s="123">
        <v>25000</v>
      </c>
      <c r="L35" s="123">
        <f t="shared" si="3"/>
        <v>25</v>
      </c>
      <c r="M35" s="23" t="s">
        <v>188</v>
      </c>
    </row>
    <row r="36" spans="1:13" x14ac:dyDescent="0.35">
      <c r="A36" s="23" t="s">
        <v>577</v>
      </c>
      <c r="B36" s="24">
        <f>SUMIF('Raw Feb'!B:B,'TB 0225'!A36,'Raw Feb'!C:C)</f>
        <v>289946.58</v>
      </c>
      <c r="C36" s="24">
        <f>SUMIF('Raw Feb'!B:B,'TB 0225'!A36,'Raw Feb'!D:D)</f>
        <v>42739.72</v>
      </c>
      <c r="D36" s="24">
        <f>SUMIF('Raw Feb'!B:B,'TB 0225'!A36,'Raw Feb'!E:E)</f>
        <v>0</v>
      </c>
      <c r="E36" s="24">
        <f t="shared" si="1"/>
        <v>332686.30000000005</v>
      </c>
      <c r="F36" s="24">
        <f t="shared" si="2"/>
        <v>332.68630000000007</v>
      </c>
      <c r="G36" s="22" t="s">
        <v>181</v>
      </c>
      <c r="H36" s="23" t="s">
        <v>79</v>
      </c>
      <c r="J36" s="23" t="s">
        <v>727</v>
      </c>
      <c r="K36" s="123">
        <v>235700</v>
      </c>
      <c r="L36" s="123">
        <f t="shared" si="3"/>
        <v>235.7</v>
      </c>
      <c r="M36" s="23" t="s">
        <v>192</v>
      </c>
    </row>
    <row r="37" spans="1:13" x14ac:dyDescent="0.35">
      <c r="A37" s="23" t="s">
        <v>146</v>
      </c>
      <c r="B37" s="24">
        <f>SUMIF('Raw Feb'!B:B,'TB 0225'!A37,'Raw Feb'!C:C)</f>
        <v>1680000</v>
      </c>
      <c r="C37" s="24">
        <f>SUMIF('Raw Feb'!B:B,'TB 0225'!A37,'Raw Feb'!D:D)</f>
        <v>0</v>
      </c>
      <c r="D37" s="24">
        <f>SUMIF('Raw Feb'!B:B,'TB 0225'!A37,'Raw Feb'!E:E)</f>
        <v>0</v>
      </c>
      <c r="E37" s="24">
        <f t="shared" si="1"/>
        <v>1680000</v>
      </c>
      <c r="F37" s="24">
        <f t="shared" si="2"/>
        <v>1680</v>
      </c>
      <c r="G37" s="22" t="s">
        <v>181</v>
      </c>
      <c r="H37" s="23" t="s">
        <v>73</v>
      </c>
      <c r="J37" s="23" t="s">
        <v>728</v>
      </c>
      <c r="K37" s="123">
        <v>79579</v>
      </c>
      <c r="L37" s="123">
        <f t="shared" si="3"/>
        <v>79.578999999999994</v>
      </c>
      <c r="M37" s="23" t="s">
        <v>192</v>
      </c>
    </row>
    <row r="38" spans="1:13" x14ac:dyDescent="0.35">
      <c r="A38" s="23" t="s">
        <v>345</v>
      </c>
      <c r="B38" s="24">
        <f>SUMIF('Raw Feb'!B:B,'TB 0225'!A38,'Raw Feb'!C:C)</f>
        <v>201605</v>
      </c>
      <c r="C38" s="24">
        <f>SUMIF('Raw Feb'!B:B,'TB 0225'!A38,'Raw Feb'!D:D)</f>
        <v>72574</v>
      </c>
      <c r="D38" s="24">
        <f>SUMIF('Raw Feb'!B:B,'TB 0225'!A38,'Raw Feb'!E:E)</f>
        <v>0</v>
      </c>
      <c r="E38" s="24">
        <f t="shared" si="1"/>
        <v>274179</v>
      </c>
      <c r="F38" s="24">
        <f t="shared" si="2"/>
        <v>274.17899999999997</v>
      </c>
      <c r="G38" s="22" t="s">
        <v>181</v>
      </c>
      <c r="H38" s="23" t="s">
        <v>79</v>
      </c>
      <c r="J38" s="23" t="s">
        <v>650</v>
      </c>
      <c r="K38" s="123">
        <v>381567</v>
      </c>
      <c r="L38" s="123">
        <f t="shared" si="3"/>
        <v>381.56700000000001</v>
      </c>
      <c r="M38" s="23" t="s">
        <v>192</v>
      </c>
    </row>
    <row r="39" spans="1:13" x14ac:dyDescent="0.35">
      <c r="A39" s="23" t="s">
        <v>427</v>
      </c>
      <c r="B39" s="24">
        <f>SUMIF('Raw Feb'!B:B,'TB 0225'!A39,'Raw Feb'!C:C)</f>
        <v>-1730465.82</v>
      </c>
      <c r="C39" s="24">
        <f>SUMIF('Raw Feb'!B:B,'TB 0225'!A39,'Raw Feb'!D:D)</f>
        <v>13402409.550000001</v>
      </c>
      <c r="D39" s="24">
        <f>SUMIF('Raw Feb'!B:B,'TB 0225'!A39,'Raw Feb'!E:E)</f>
        <v>15236381.82</v>
      </c>
      <c r="E39" s="24">
        <f t="shared" si="1"/>
        <v>-3564438.09</v>
      </c>
      <c r="F39" s="24">
        <f t="shared" si="2"/>
        <v>-3564.4380899999996</v>
      </c>
      <c r="G39" s="22" t="s">
        <v>180</v>
      </c>
      <c r="H39" s="23" t="s">
        <v>67</v>
      </c>
      <c r="J39" s="23" t="s">
        <v>666</v>
      </c>
      <c r="K39" s="123">
        <v>664867</v>
      </c>
      <c r="L39" s="123">
        <f t="shared" si="3"/>
        <v>664.86699999999996</v>
      </c>
      <c r="M39" s="23" t="s">
        <v>192</v>
      </c>
    </row>
    <row r="40" spans="1:13" x14ac:dyDescent="0.35">
      <c r="A40" s="23" t="s">
        <v>423</v>
      </c>
      <c r="B40" s="24">
        <f>SUMIF('Raw Feb'!B:B,'TB 0225'!A40,'Raw Feb'!C:C)</f>
        <v>-212741.27</v>
      </c>
      <c r="C40" s="24">
        <f>SUMIF('Raw Feb'!B:B,'TB 0225'!A40,'Raw Feb'!D:D)</f>
        <v>34777</v>
      </c>
      <c r="D40" s="24">
        <f>SUMIF('Raw Feb'!B:B,'TB 0225'!A40,'Raw Feb'!E:E)</f>
        <v>112618</v>
      </c>
      <c r="E40" s="24">
        <f t="shared" si="1"/>
        <v>-290582.27</v>
      </c>
      <c r="F40" s="24">
        <f t="shared" si="2"/>
        <v>-290.58226999999999</v>
      </c>
      <c r="G40" s="22" t="s">
        <v>180</v>
      </c>
      <c r="H40" s="23" t="s">
        <v>68</v>
      </c>
      <c r="J40" s="23" t="s">
        <v>667</v>
      </c>
      <c r="K40" s="123">
        <v>24000</v>
      </c>
      <c r="L40" s="123">
        <f t="shared" si="3"/>
        <v>24</v>
      </c>
      <c r="M40" s="23" t="s">
        <v>188</v>
      </c>
    </row>
    <row r="41" spans="1:13" x14ac:dyDescent="0.35">
      <c r="A41" s="23" t="s">
        <v>578</v>
      </c>
      <c r="B41" s="24">
        <f>SUMIF('Raw Feb'!B:B,'TB 0225'!A41,'Raw Feb'!C:C)</f>
        <v>-79600</v>
      </c>
      <c r="C41" s="24">
        <f>SUMIF('Raw Feb'!B:B,'TB 0225'!A41,'Raw Feb'!D:D)</f>
        <v>79600</v>
      </c>
      <c r="D41" s="24">
        <f>SUMIF('Raw Feb'!B:B,'TB 0225'!A41,'Raw Feb'!E:E)</f>
        <v>152893</v>
      </c>
      <c r="E41" s="24">
        <f t="shared" si="1"/>
        <v>-152893</v>
      </c>
      <c r="F41" s="24">
        <f t="shared" si="2"/>
        <v>-152.893</v>
      </c>
      <c r="G41" s="22" t="s">
        <v>180</v>
      </c>
      <c r="H41" s="23" t="s">
        <v>68</v>
      </c>
      <c r="J41" s="23" t="s">
        <v>668</v>
      </c>
      <c r="K41" s="123">
        <v>24000</v>
      </c>
      <c r="L41" s="123">
        <f t="shared" si="3"/>
        <v>24</v>
      </c>
      <c r="M41" s="23" t="s">
        <v>188</v>
      </c>
    </row>
    <row r="42" spans="1:13" x14ac:dyDescent="0.35">
      <c r="A42" s="23" t="s">
        <v>622</v>
      </c>
      <c r="B42" s="24">
        <f>SUMIF('Raw Feb'!B:B,'TB 0225'!A42,'Raw Feb'!C:C)</f>
        <v>-79650</v>
      </c>
      <c r="C42" s="24">
        <f>SUMIF('Raw Feb'!B:B,'TB 0225'!A42,'Raw Feb'!D:D)</f>
        <v>79650</v>
      </c>
      <c r="D42" s="24">
        <f>SUMIF('Raw Feb'!B:B,'TB 0225'!A42,'Raw Feb'!E:E)</f>
        <v>44756</v>
      </c>
      <c r="E42" s="24">
        <f t="shared" si="1"/>
        <v>-44756</v>
      </c>
      <c r="F42" s="24">
        <f t="shared" si="2"/>
        <v>-44.756</v>
      </c>
      <c r="G42" s="22" t="s">
        <v>180</v>
      </c>
      <c r="H42" s="23" t="s">
        <v>68</v>
      </c>
      <c r="J42" s="23" t="s">
        <v>731</v>
      </c>
      <c r="K42" s="123">
        <v>80664</v>
      </c>
      <c r="L42" s="123">
        <f t="shared" si="3"/>
        <v>80.664000000000001</v>
      </c>
      <c r="M42" s="23" t="s">
        <v>192</v>
      </c>
    </row>
    <row r="43" spans="1:13" x14ac:dyDescent="0.35">
      <c r="A43" s="23" t="s">
        <v>579</v>
      </c>
      <c r="B43" s="24">
        <f>SUMIF('Raw Feb'!B:B,'TB 0225'!A43,'Raw Feb'!C:C)</f>
        <v>-63124.639999999999</v>
      </c>
      <c r="C43" s="24">
        <f>SUMIF('Raw Feb'!B:B,'TB 0225'!A43,'Raw Feb'!D:D)</f>
        <v>62346</v>
      </c>
      <c r="D43" s="24">
        <f>SUMIF('Raw Feb'!B:B,'TB 0225'!A43,'Raw Feb'!E:E)</f>
        <v>64616.2</v>
      </c>
      <c r="E43" s="24">
        <f t="shared" si="1"/>
        <v>-65394.84</v>
      </c>
      <c r="F43" s="24">
        <f t="shared" si="2"/>
        <v>-65.394840000000002</v>
      </c>
      <c r="G43" s="22" t="s">
        <v>181</v>
      </c>
      <c r="H43" s="23" t="s">
        <v>79</v>
      </c>
      <c r="J43" s="23" t="s">
        <v>732</v>
      </c>
      <c r="K43" s="123">
        <v>43015</v>
      </c>
      <c r="L43" s="123">
        <f t="shared" si="3"/>
        <v>43.015000000000001</v>
      </c>
      <c r="M43" s="23" t="s">
        <v>192</v>
      </c>
    </row>
    <row r="44" spans="1:13" x14ac:dyDescent="0.35">
      <c r="A44" s="23" t="s">
        <v>580</v>
      </c>
      <c r="B44" s="24">
        <f>SUMIF('Raw Feb'!B:B,'TB 0225'!A44,'Raw Feb'!C:C)</f>
        <v>-6463.58</v>
      </c>
      <c r="C44" s="24">
        <f>SUMIF('Raw Feb'!B:B,'TB 0225'!A44,'Raw Feb'!D:D)</f>
        <v>6464</v>
      </c>
      <c r="D44" s="24">
        <f>SUMIF('Raw Feb'!B:B,'TB 0225'!A44,'Raw Feb'!E:E)</f>
        <v>20664</v>
      </c>
      <c r="E44" s="24">
        <f t="shared" si="1"/>
        <v>-20663.580000000002</v>
      </c>
      <c r="F44" s="24">
        <f t="shared" si="2"/>
        <v>-20.663580000000003</v>
      </c>
      <c r="G44" s="22" t="s">
        <v>181</v>
      </c>
      <c r="H44" s="23" t="s">
        <v>79</v>
      </c>
      <c r="J44" s="23" t="s">
        <v>733</v>
      </c>
      <c r="K44" s="123">
        <v>41146</v>
      </c>
      <c r="L44" s="123">
        <f t="shared" si="3"/>
        <v>41.146000000000001</v>
      </c>
      <c r="M44" s="23" t="s">
        <v>188</v>
      </c>
    </row>
    <row r="45" spans="1:13" x14ac:dyDescent="0.35">
      <c r="A45" s="23" t="s">
        <v>581</v>
      </c>
      <c r="B45" s="24">
        <f>SUMIF('Raw Feb'!B:B,'TB 0225'!A45,'Raw Feb'!C:C)</f>
        <v>-63124.639999999999</v>
      </c>
      <c r="C45" s="24">
        <f>SUMIF('Raw Feb'!B:B,'TB 0225'!A45,'Raw Feb'!D:D)</f>
        <v>62346</v>
      </c>
      <c r="D45" s="24">
        <f>SUMIF('Raw Feb'!B:B,'TB 0225'!A45,'Raw Feb'!E:E)</f>
        <v>64616.2</v>
      </c>
      <c r="E45" s="24">
        <f t="shared" si="1"/>
        <v>-65394.84</v>
      </c>
      <c r="F45" s="24">
        <f t="shared" si="2"/>
        <v>-65.394840000000002</v>
      </c>
      <c r="G45" s="22" t="s">
        <v>181</v>
      </c>
      <c r="H45" s="23" t="s">
        <v>79</v>
      </c>
      <c r="J45" s="23" t="s">
        <v>734</v>
      </c>
      <c r="K45" s="123">
        <v>21776</v>
      </c>
      <c r="L45" s="123">
        <f t="shared" si="3"/>
        <v>21.776</v>
      </c>
      <c r="M45" s="23" t="s">
        <v>268</v>
      </c>
    </row>
    <row r="46" spans="1:13" x14ac:dyDescent="0.35">
      <c r="A46" s="23" t="s">
        <v>582</v>
      </c>
      <c r="B46" s="24">
        <f>SUMIF('Raw Feb'!B:B,'TB 0225'!A46,'Raw Feb'!C:C)</f>
        <v>-5000</v>
      </c>
      <c r="C46" s="24">
        <f>SUMIF('Raw Feb'!B:B,'TB 0225'!A46,'Raw Feb'!D:D)</f>
        <v>5000</v>
      </c>
      <c r="D46" s="24">
        <f>SUMIF('Raw Feb'!B:B,'TB 0225'!A46,'Raw Feb'!E:E)</f>
        <v>10675</v>
      </c>
      <c r="E46" s="24">
        <f t="shared" si="1"/>
        <v>-10675</v>
      </c>
      <c r="F46" s="24">
        <f t="shared" si="2"/>
        <v>-10.675000000000001</v>
      </c>
      <c r="G46" s="22" t="s">
        <v>180</v>
      </c>
      <c r="H46" s="23" t="s">
        <v>68</v>
      </c>
      <c r="J46" s="23" t="s">
        <v>735</v>
      </c>
      <c r="K46" s="123">
        <v>52499</v>
      </c>
      <c r="L46" s="123">
        <f t="shared" si="3"/>
        <v>52.499000000000002</v>
      </c>
      <c r="M46" s="23" t="s">
        <v>192</v>
      </c>
    </row>
    <row r="47" spans="1:13" x14ac:dyDescent="0.35">
      <c r="A47" s="23" t="s">
        <v>583</v>
      </c>
      <c r="B47" s="24">
        <f>SUMIF('Raw Feb'!B:B,'TB 0225'!A47,'Raw Feb'!C:C)</f>
        <v>-49099</v>
      </c>
      <c r="C47" s="24">
        <f>SUMIF('Raw Feb'!B:B,'TB 0225'!A47,'Raw Feb'!D:D)</f>
        <v>49099</v>
      </c>
      <c r="D47" s="24">
        <f>SUMIF('Raw Feb'!B:B,'TB 0225'!A47,'Raw Feb'!E:E)</f>
        <v>70891</v>
      </c>
      <c r="E47" s="24">
        <f t="shared" si="1"/>
        <v>-70891</v>
      </c>
      <c r="F47" s="24">
        <f t="shared" si="2"/>
        <v>-70.891000000000005</v>
      </c>
      <c r="G47" s="22" t="s">
        <v>180</v>
      </c>
      <c r="H47" s="23" t="s">
        <v>68</v>
      </c>
      <c r="J47" s="23" t="s">
        <v>736</v>
      </c>
      <c r="K47" s="123">
        <v>35535</v>
      </c>
      <c r="L47" s="123">
        <f t="shared" si="3"/>
        <v>35.534999999999997</v>
      </c>
      <c r="M47" s="23" t="s">
        <v>188</v>
      </c>
    </row>
    <row r="48" spans="1:13" x14ac:dyDescent="0.35">
      <c r="A48" s="23" t="s">
        <v>584</v>
      </c>
      <c r="B48" s="24">
        <f>SUMIF('Raw Feb'!B:B,'TB 0225'!A48,'Raw Feb'!C:C)</f>
        <v>-49099</v>
      </c>
      <c r="C48" s="24">
        <f>SUMIF('Raw Feb'!B:B,'TB 0225'!A48,'Raw Feb'!D:D)</f>
        <v>49099</v>
      </c>
      <c r="D48" s="24">
        <f>SUMIF('Raw Feb'!B:B,'TB 0225'!A48,'Raw Feb'!E:E)</f>
        <v>70891</v>
      </c>
      <c r="E48" s="24">
        <f t="shared" si="1"/>
        <v>-70891</v>
      </c>
      <c r="F48" s="24">
        <f t="shared" si="2"/>
        <v>-70.891000000000005</v>
      </c>
      <c r="G48" s="22" t="s">
        <v>180</v>
      </c>
      <c r="H48" s="23" t="s">
        <v>68</v>
      </c>
      <c r="J48" s="23" t="s">
        <v>737</v>
      </c>
      <c r="K48" s="123">
        <v>60449</v>
      </c>
      <c r="L48" s="123">
        <f t="shared" si="3"/>
        <v>60.448999999999998</v>
      </c>
      <c r="M48" s="23" t="s">
        <v>192</v>
      </c>
    </row>
    <row r="49" spans="1:13" x14ac:dyDescent="0.35">
      <c r="A49" s="23" t="s">
        <v>585</v>
      </c>
      <c r="B49" s="24">
        <f>SUMIF('Raw Feb'!B:B,'TB 0225'!A49,'Raw Feb'!C:C)</f>
        <v>-21177</v>
      </c>
      <c r="C49" s="24">
        <f>SUMIF('Raw Feb'!B:B,'TB 0225'!A49,'Raw Feb'!D:D)</f>
        <v>21177</v>
      </c>
      <c r="D49" s="24">
        <f>SUMIF('Raw Feb'!B:B,'TB 0225'!A49,'Raw Feb'!E:E)</f>
        <v>19200</v>
      </c>
      <c r="E49" s="24">
        <f t="shared" si="1"/>
        <v>-19200</v>
      </c>
      <c r="F49" s="24">
        <f t="shared" si="2"/>
        <v>-19.2</v>
      </c>
      <c r="G49" s="22" t="s">
        <v>180</v>
      </c>
      <c r="H49" s="23" t="s">
        <v>69</v>
      </c>
      <c r="J49" s="23" t="s">
        <v>739</v>
      </c>
      <c r="K49" s="123">
        <v>30357.14</v>
      </c>
      <c r="L49" s="123">
        <f t="shared" si="3"/>
        <v>30.357140000000001</v>
      </c>
      <c r="M49" s="23" t="s">
        <v>192</v>
      </c>
    </row>
    <row r="50" spans="1:13" x14ac:dyDescent="0.35">
      <c r="A50" s="23" t="s">
        <v>425</v>
      </c>
      <c r="B50" s="24">
        <f>SUMIF('Raw Feb'!B:B,'TB 0225'!A50,'Raw Feb'!C:C)</f>
        <v>-324757.2</v>
      </c>
      <c r="C50" s="24">
        <f>SUMIF('Raw Feb'!B:B,'TB 0225'!A50,'Raw Feb'!D:D)</f>
        <v>327665</v>
      </c>
      <c r="D50" s="24">
        <f>SUMIF('Raw Feb'!B:B,'TB 0225'!A50,'Raw Feb'!E:E)</f>
        <v>728181.61</v>
      </c>
      <c r="E50" s="24">
        <f t="shared" si="1"/>
        <v>-725273.81</v>
      </c>
      <c r="F50" s="24">
        <f t="shared" si="2"/>
        <v>-725.27381000000003</v>
      </c>
      <c r="G50" s="22" t="s">
        <v>180</v>
      </c>
      <c r="H50" s="23" t="s">
        <v>68</v>
      </c>
      <c r="J50" s="23" t="s">
        <v>740</v>
      </c>
      <c r="K50" s="123">
        <v>14660</v>
      </c>
      <c r="L50" s="123">
        <f t="shared" si="3"/>
        <v>14.66</v>
      </c>
      <c r="M50" s="23" t="s">
        <v>268</v>
      </c>
    </row>
    <row r="51" spans="1:13" x14ac:dyDescent="0.35">
      <c r="A51" s="23" t="s">
        <v>587</v>
      </c>
      <c r="B51" s="24">
        <f>SUMIF('Raw Feb'!B:B,'TB 0225'!A51,'Raw Feb'!C:C)</f>
        <v>-78806</v>
      </c>
      <c r="C51" s="24">
        <f>SUMIF('Raw Feb'!B:B,'TB 0225'!A51,'Raw Feb'!D:D)</f>
        <v>0</v>
      </c>
      <c r="D51" s="24">
        <f>SUMIF('Raw Feb'!B:B,'TB 0225'!A51,'Raw Feb'!E:E)</f>
        <v>53987</v>
      </c>
      <c r="E51" s="24">
        <f t="shared" si="1"/>
        <v>-132793</v>
      </c>
      <c r="F51" s="24">
        <f t="shared" si="2"/>
        <v>-132.79300000000001</v>
      </c>
      <c r="G51" s="22" t="s">
        <v>180</v>
      </c>
      <c r="H51" s="23" t="s">
        <v>68</v>
      </c>
      <c r="J51" s="23" t="s">
        <v>741</v>
      </c>
      <c r="K51" s="123">
        <v>14660</v>
      </c>
      <c r="L51" s="123">
        <f t="shared" si="3"/>
        <v>14.66</v>
      </c>
      <c r="M51" s="23" t="s">
        <v>268</v>
      </c>
    </row>
    <row r="52" spans="1:13" x14ac:dyDescent="0.35">
      <c r="A52" s="23" t="s">
        <v>588</v>
      </c>
      <c r="B52" s="24">
        <f>SUMIF('Raw Feb'!B:B,'TB 0225'!A52,'Raw Feb'!C:C)</f>
        <v>32425594.059999999</v>
      </c>
      <c r="C52" s="24">
        <f>SUMIF('Raw Feb'!B:B,'TB 0225'!A52,'Raw Feb'!D:D)</f>
        <v>0</v>
      </c>
      <c r="D52" s="24">
        <f>SUMIF('Raw Feb'!B:B,'TB 0225'!A52,'Raw Feb'!E:E)</f>
        <v>0</v>
      </c>
      <c r="E52" s="24">
        <f t="shared" si="1"/>
        <v>32425594.059999999</v>
      </c>
      <c r="F52" s="24">
        <f t="shared" si="2"/>
        <v>32425.594059999999</v>
      </c>
      <c r="G52" s="22" t="s">
        <v>180</v>
      </c>
      <c r="H52" s="23" t="s">
        <v>64</v>
      </c>
      <c r="J52" s="23" t="s">
        <v>742</v>
      </c>
      <c r="K52" s="123">
        <v>14660</v>
      </c>
      <c r="L52" s="123">
        <f t="shared" si="3"/>
        <v>14.66</v>
      </c>
      <c r="M52" s="23" t="s">
        <v>268</v>
      </c>
    </row>
    <row r="53" spans="1:13" x14ac:dyDescent="0.35">
      <c r="A53" s="23" t="s">
        <v>589</v>
      </c>
      <c r="B53" s="24">
        <f>SUMIF('Raw Feb'!B:B,'TB 0225'!A53,'Raw Feb'!C:C)</f>
        <v>-100000</v>
      </c>
      <c r="C53" s="24">
        <f>SUMIF('Raw Feb'!B:B,'TB 0225'!A53,'Raw Feb'!D:D)</f>
        <v>0</v>
      </c>
      <c r="D53" s="24">
        <f>SUMIF('Raw Feb'!B:B,'TB 0225'!A53,'Raw Feb'!E:E)</f>
        <v>0</v>
      </c>
      <c r="E53" s="24">
        <f t="shared" si="1"/>
        <v>-100000</v>
      </c>
      <c r="F53" s="24">
        <f t="shared" si="2"/>
        <v>-100</v>
      </c>
      <c r="G53" s="22" t="s">
        <v>180</v>
      </c>
      <c r="H53" s="23" t="s">
        <v>63</v>
      </c>
      <c r="J53" s="23" t="s">
        <v>744</v>
      </c>
      <c r="K53" s="123">
        <v>78057</v>
      </c>
      <c r="L53" s="123">
        <f t="shared" si="3"/>
        <v>78.057000000000002</v>
      </c>
      <c r="M53" s="23" t="s">
        <v>192</v>
      </c>
    </row>
    <row r="54" spans="1:13" x14ac:dyDescent="0.35">
      <c r="A54" s="23" t="s">
        <v>698</v>
      </c>
      <c r="B54" s="24">
        <f>SUMIF('Raw Feb'!B:B,'TB 0225'!A54,'Raw Feb'!C:C)</f>
        <v>-10</v>
      </c>
      <c r="C54" s="24">
        <f>SUMIF('Raw Feb'!B:B,'TB 0225'!A54,'Raw Feb'!D:D)</f>
        <v>0</v>
      </c>
      <c r="D54" s="24">
        <f>SUMIF('Raw Feb'!B:B,'TB 0225'!A54,'Raw Feb'!E:E)</f>
        <v>0</v>
      </c>
      <c r="E54" s="24">
        <f t="shared" ref="E54:E82" si="4">B54+C54-D54</f>
        <v>-10</v>
      </c>
      <c r="F54" s="24">
        <f t="shared" si="2"/>
        <v>-0.01</v>
      </c>
      <c r="G54" s="22" t="s">
        <v>180</v>
      </c>
      <c r="H54" s="23" t="s">
        <v>63</v>
      </c>
      <c r="J54" s="23" t="s">
        <v>745</v>
      </c>
      <c r="K54" s="123">
        <v>44000</v>
      </c>
      <c r="L54" s="123">
        <f t="shared" si="3"/>
        <v>44</v>
      </c>
      <c r="M54" s="23" t="s">
        <v>192</v>
      </c>
    </row>
    <row r="55" spans="1:13" x14ac:dyDescent="0.35">
      <c r="A55" s="23" t="s">
        <v>699</v>
      </c>
      <c r="B55" s="24">
        <f>SUMIF('Raw Feb'!B:B,'TB 0225'!A55,'Raw Feb'!C:C)</f>
        <v>-4091400</v>
      </c>
      <c r="C55" s="24">
        <f>SUMIF('Raw Feb'!B:B,'TB 0225'!A55,'Raw Feb'!D:D)</f>
        <v>0</v>
      </c>
      <c r="D55" s="24">
        <f>SUMIF('Raw Feb'!B:B,'TB 0225'!A55,'Raw Feb'!E:E)</f>
        <v>0</v>
      </c>
      <c r="E55" s="24">
        <f t="shared" si="4"/>
        <v>-4091400</v>
      </c>
      <c r="F55" s="24">
        <f t="shared" si="2"/>
        <v>-4091.4</v>
      </c>
      <c r="G55" s="22" t="s">
        <v>180</v>
      </c>
      <c r="H55" s="23" t="s">
        <v>63</v>
      </c>
      <c r="K55" s="161">
        <f>SUM(K3:K54)</f>
        <v>4610402.5599999996</v>
      </c>
      <c r="L55" s="161">
        <f>SUM(L3:L54)</f>
        <v>4610.4025599999986</v>
      </c>
    </row>
    <row r="56" spans="1:13" x14ac:dyDescent="0.35">
      <c r="A56" s="23" t="s">
        <v>700</v>
      </c>
      <c r="B56" s="24">
        <f>SUMIF('Raw Feb'!B:B,'TB 0225'!A56,'Raw Feb'!C:C)</f>
        <v>-10800</v>
      </c>
      <c r="C56" s="24">
        <f>SUMIF('Raw Feb'!B:B,'TB 0225'!A56,'Raw Feb'!D:D)</f>
        <v>0</v>
      </c>
      <c r="D56" s="24">
        <f>SUMIF('Raw Feb'!B:B,'TB 0225'!A56,'Raw Feb'!E:E)</f>
        <v>0</v>
      </c>
      <c r="E56" s="24">
        <f t="shared" si="4"/>
        <v>-10800</v>
      </c>
      <c r="F56" s="24">
        <f t="shared" si="2"/>
        <v>-10.8</v>
      </c>
      <c r="G56" s="22" t="s">
        <v>180</v>
      </c>
      <c r="H56" s="23" t="s">
        <v>63</v>
      </c>
    </row>
    <row r="57" spans="1:13" x14ac:dyDescent="0.35">
      <c r="A57" s="23" t="s">
        <v>590</v>
      </c>
      <c r="B57" s="24">
        <f>SUMIF('Raw Feb'!B:B,'TB 0225'!A57,'Raw Feb'!C:C)</f>
        <v>-10</v>
      </c>
      <c r="C57" s="24">
        <f>SUMIF('Raw Feb'!B:B,'TB 0225'!A57,'Raw Feb'!D:D)</f>
        <v>0</v>
      </c>
      <c r="D57" s="24">
        <f>SUMIF('Raw Feb'!B:B,'TB 0225'!A57,'Raw Feb'!E:E)</f>
        <v>0</v>
      </c>
      <c r="E57" s="24">
        <f t="shared" si="4"/>
        <v>-10</v>
      </c>
      <c r="F57" s="24">
        <f t="shared" si="2"/>
        <v>-0.01</v>
      </c>
      <c r="G57" s="22" t="s">
        <v>180</v>
      </c>
      <c r="H57" s="23" t="s">
        <v>63</v>
      </c>
    </row>
    <row r="58" spans="1:13" x14ac:dyDescent="0.35">
      <c r="A58" s="23" t="s">
        <v>591</v>
      </c>
      <c r="B58" s="24">
        <f>SUMIF('Raw Feb'!B:B,'TB 0225'!A58,'Raw Feb'!C:C)</f>
        <v>-5126000</v>
      </c>
      <c r="C58" s="24">
        <f>SUMIF('Raw Feb'!B:B,'TB 0225'!A58,'Raw Feb'!D:D)</f>
        <v>0</v>
      </c>
      <c r="D58" s="24">
        <f>SUMIF('Raw Feb'!B:B,'TB 0225'!A58,'Raw Feb'!E:E)</f>
        <v>0</v>
      </c>
      <c r="E58" s="24">
        <f t="shared" si="4"/>
        <v>-5126000</v>
      </c>
      <c r="F58" s="24">
        <f t="shared" si="2"/>
        <v>-5126</v>
      </c>
      <c r="G58" s="22" t="s">
        <v>180</v>
      </c>
      <c r="H58" s="23" t="s">
        <v>63</v>
      </c>
    </row>
    <row r="59" spans="1:13" x14ac:dyDescent="0.35">
      <c r="A59" s="23" t="s">
        <v>701</v>
      </c>
      <c r="B59" s="24">
        <f>SUMIF('Raw Feb'!B:B,'TB 0225'!A59,'Raw Feb'!C:C)</f>
        <v>-16200</v>
      </c>
      <c r="C59" s="24">
        <f>SUMIF('Raw Feb'!B:B,'TB 0225'!A59,'Raw Feb'!D:D)</f>
        <v>0</v>
      </c>
      <c r="D59" s="24">
        <f>SUMIF('Raw Feb'!B:B,'TB 0225'!A59,'Raw Feb'!E:E)</f>
        <v>0</v>
      </c>
      <c r="E59" s="24">
        <f t="shared" si="4"/>
        <v>-16200</v>
      </c>
      <c r="F59" s="24">
        <f t="shared" si="2"/>
        <v>-16.2</v>
      </c>
      <c r="G59" s="22" t="s">
        <v>180</v>
      </c>
      <c r="H59" s="23" t="s">
        <v>63</v>
      </c>
    </row>
    <row r="60" spans="1:13" x14ac:dyDescent="0.35">
      <c r="A60" s="23" t="s">
        <v>702</v>
      </c>
      <c r="B60" s="24">
        <f>SUMIF('Raw Feb'!B:B,'TB 0225'!A60,'Raw Feb'!C:C)</f>
        <v>-5400</v>
      </c>
      <c r="C60" s="24">
        <f>SUMIF('Raw Feb'!B:B,'TB 0225'!A60,'Raw Feb'!D:D)</f>
        <v>0</v>
      </c>
      <c r="D60" s="24">
        <f>SUMIF('Raw Feb'!B:B,'TB 0225'!A60,'Raw Feb'!E:E)</f>
        <v>0</v>
      </c>
      <c r="E60" s="24">
        <f t="shared" si="4"/>
        <v>-5400</v>
      </c>
      <c r="F60" s="24">
        <f t="shared" si="2"/>
        <v>-5.4</v>
      </c>
      <c r="G60" s="22" t="s">
        <v>180</v>
      </c>
      <c r="H60" s="23" t="s">
        <v>63</v>
      </c>
    </row>
    <row r="61" spans="1:13" x14ac:dyDescent="0.35">
      <c r="A61" s="23" t="s">
        <v>703</v>
      </c>
      <c r="B61" s="24">
        <f>SUMIF('Raw Feb'!B:B,'TB 0225'!A61,'Raw Feb'!C:C)</f>
        <v>-37800</v>
      </c>
      <c r="C61" s="24">
        <f>SUMIF('Raw Feb'!B:B,'TB 0225'!A61,'Raw Feb'!D:D)</f>
        <v>0</v>
      </c>
      <c r="D61" s="24">
        <f>SUMIF('Raw Feb'!B:B,'TB 0225'!A61,'Raw Feb'!E:E)</f>
        <v>0</v>
      </c>
      <c r="E61" s="24">
        <f t="shared" si="4"/>
        <v>-37800</v>
      </c>
      <c r="F61" s="24">
        <f t="shared" si="2"/>
        <v>-37.799999999999997</v>
      </c>
      <c r="G61" s="22" t="s">
        <v>180</v>
      </c>
      <c r="H61" s="23" t="s">
        <v>63</v>
      </c>
    </row>
    <row r="62" spans="1:13" x14ac:dyDescent="0.35">
      <c r="A62" s="23" t="s">
        <v>592</v>
      </c>
      <c r="B62" s="24">
        <f>SUMIF('Raw Feb'!B:B,'TB 0225'!A62,'Raw Feb'!C:C)</f>
        <v>-545637669.75999999</v>
      </c>
      <c r="C62" s="24">
        <f>SUMIF('Raw Feb'!B:B,'TB 0225'!A62,'Raw Feb'!D:D)</f>
        <v>0</v>
      </c>
      <c r="D62" s="24">
        <f>SUMIF('Raw Feb'!B:B,'TB 0225'!A62,'Raw Feb'!E:E)</f>
        <v>0</v>
      </c>
      <c r="E62" s="24">
        <f t="shared" si="4"/>
        <v>-545637669.75999999</v>
      </c>
      <c r="F62" s="24">
        <f t="shared" si="2"/>
        <v>-545637.66975999996</v>
      </c>
      <c r="G62" s="22" t="s">
        <v>180</v>
      </c>
      <c r="H62" s="23" t="s">
        <v>64</v>
      </c>
    </row>
    <row r="63" spans="1:13" x14ac:dyDescent="0.35">
      <c r="A63" s="23" t="s">
        <v>704</v>
      </c>
      <c r="B63" s="24">
        <f>SUMIF('Raw Feb'!B:B,'TB 0225'!A63,'Raw Feb'!C:C)</f>
        <v>-5400</v>
      </c>
      <c r="C63" s="24">
        <f>SUMIF('Raw Feb'!B:B,'TB 0225'!A63,'Raw Feb'!D:D)</f>
        <v>0</v>
      </c>
      <c r="D63" s="24">
        <f>SUMIF('Raw Feb'!B:B,'TB 0225'!A63,'Raw Feb'!E:E)</f>
        <v>0</v>
      </c>
      <c r="E63" s="24">
        <f t="shared" si="4"/>
        <v>-5400</v>
      </c>
      <c r="F63" s="24">
        <f t="shared" si="2"/>
        <v>-5.4</v>
      </c>
      <c r="G63" s="22" t="s">
        <v>180</v>
      </c>
      <c r="H63" s="23" t="s">
        <v>63</v>
      </c>
    </row>
    <row r="64" spans="1:13" x14ac:dyDescent="0.35">
      <c r="A64" s="23" t="s">
        <v>705</v>
      </c>
      <c r="B64" s="24">
        <f>SUMIF('Raw Feb'!B:B,'TB 0225'!A64,'Raw Feb'!C:C)</f>
        <v>-5400</v>
      </c>
      <c r="C64" s="24">
        <f>SUMIF('Raw Feb'!B:B,'TB 0225'!A64,'Raw Feb'!D:D)</f>
        <v>0</v>
      </c>
      <c r="D64" s="24">
        <f>SUMIF('Raw Feb'!B:B,'TB 0225'!A64,'Raw Feb'!E:E)</f>
        <v>0</v>
      </c>
      <c r="E64" s="24">
        <f t="shared" si="4"/>
        <v>-5400</v>
      </c>
      <c r="F64" s="24">
        <f t="shared" si="2"/>
        <v>-5.4</v>
      </c>
      <c r="G64" s="22" t="s">
        <v>180</v>
      </c>
      <c r="H64" s="23" t="s">
        <v>63</v>
      </c>
    </row>
    <row r="65" spans="1:8" x14ac:dyDescent="0.35">
      <c r="A65" s="23" t="s">
        <v>706</v>
      </c>
      <c r="B65" s="24">
        <f>SUMIF('Raw Feb'!B:B,'TB 0225'!A65,'Raw Feb'!C:C)</f>
        <v>-5400</v>
      </c>
      <c r="C65" s="24">
        <f>SUMIF('Raw Feb'!B:B,'TB 0225'!A65,'Raw Feb'!D:D)</f>
        <v>0</v>
      </c>
      <c r="D65" s="24">
        <f>SUMIF('Raw Feb'!B:B,'TB 0225'!A65,'Raw Feb'!E:E)</f>
        <v>0</v>
      </c>
      <c r="E65" s="24">
        <f t="shared" si="4"/>
        <v>-5400</v>
      </c>
      <c r="F65" s="24">
        <f t="shared" si="2"/>
        <v>-5.4</v>
      </c>
      <c r="G65" s="22" t="s">
        <v>180</v>
      </c>
      <c r="H65" s="23" t="s">
        <v>63</v>
      </c>
    </row>
    <row r="66" spans="1:8" x14ac:dyDescent="0.35">
      <c r="A66" s="23" t="s">
        <v>707</v>
      </c>
      <c r="B66" s="24">
        <f>SUMIF('Raw Feb'!B:B,'TB 0225'!A66,'Raw Feb'!C:C)</f>
        <v>-37800</v>
      </c>
      <c r="C66" s="24">
        <f>SUMIF('Raw Feb'!B:B,'TB 0225'!A66,'Raw Feb'!D:D)</f>
        <v>0</v>
      </c>
      <c r="D66" s="24">
        <f>SUMIF('Raw Feb'!B:B,'TB 0225'!A66,'Raw Feb'!E:E)</f>
        <v>0</v>
      </c>
      <c r="E66" s="24">
        <f t="shared" si="4"/>
        <v>-37800</v>
      </c>
      <c r="F66" s="24">
        <f t="shared" si="2"/>
        <v>-37.799999999999997</v>
      </c>
      <c r="G66" s="22" t="s">
        <v>180</v>
      </c>
      <c r="H66" s="23" t="s">
        <v>63</v>
      </c>
    </row>
    <row r="67" spans="1:8" x14ac:dyDescent="0.35">
      <c r="A67" s="23" t="s">
        <v>593</v>
      </c>
      <c r="B67" s="24">
        <f>SUMIF('Raw Feb'!B:B,'TB 0225'!A67,'Raw Feb'!C:C)</f>
        <v>1905743.9</v>
      </c>
      <c r="C67" s="24">
        <f>SUMIF('Raw Feb'!B:B,'TB 0225'!A67,'Raw Feb'!D:D)</f>
        <v>0</v>
      </c>
      <c r="D67" s="24">
        <f>SUMIF('Raw Feb'!B:B,'TB 0225'!A67,'Raw Feb'!E:E)</f>
        <v>0</v>
      </c>
      <c r="E67" s="24">
        <f t="shared" si="4"/>
        <v>1905743.9</v>
      </c>
      <c r="F67" s="24">
        <f t="shared" ref="F67:F96" si="5">E67/1000</f>
        <v>1905.7438999999999</v>
      </c>
      <c r="G67" s="22" t="s">
        <v>180</v>
      </c>
      <c r="H67" s="23" t="s">
        <v>64</v>
      </c>
    </row>
    <row r="68" spans="1:8" x14ac:dyDescent="0.35">
      <c r="A68" s="23" t="s">
        <v>295</v>
      </c>
      <c r="B68" s="24">
        <f>SUMIF('Raw Feb'!B:B,'TB 0225'!A68,'Raw Feb'!C:C)</f>
        <v>0</v>
      </c>
      <c r="C68" s="24">
        <f>SUMIF('Raw Feb'!B:B,'TB 0225'!A68,'Raw Feb'!D:D)</f>
        <v>0</v>
      </c>
      <c r="D68" s="24">
        <f>SUMIF('Raw Feb'!B:B,'TB 0225'!A68,'Raw Feb'!E:E)</f>
        <v>338431.25</v>
      </c>
      <c r="E68" s="24">
        <f t="shared" si="4"/>
        <v>-338431.25</v>
      </c>
      <c r="F68" s="24">
        <f t="shared" si="5"/>
        <v>-338.43124999999998</v>
      </c>
      <c r="G68" s="22" t="s">
        <v>184</v>
      </c>
      <c r="H68" s="23" t="s">
        <v>25</v>
      </c>
    </row>
    <row r="69" spans="1:8" x14ac:dyDescent="0.35">
      <c r="A69" s="23" t="s">
        <v>316</v>
      </c>
      <c r="B69" s="24">
        <f>SUMIF('Raw Feb'!B:B,'TB 0225'!A69,'Raw Feb'!C:C)</f>
        <v>0</v>
      </c>
      <c r="C69" s="24">
        <f>SUMIF('Raw Feb'!B:B,'TB 0225'!A69,'Raw Feb'!D:D)</f>
        <v>251441</v>
      </c>
      <c r="D69" s="24">
        <f>SUMIF('Raw Feb'!B:B,'TB 0225'!A69,'Raw Feb'!E:E)</f>
        <v>0</v>
      </c>
      <c r="E69" s="24">
        <f t="shared" si="4"/>
        <v>251441</v>
      </c>
      <c r="F69" s="24">
        <f t="shared" si="5"/>
        <v>251.441</v>
      </c>
      <c r="G69" s="22" t="s">
        <v>184</v>
      </c>
    </row>
    <row r="70" spans="1:8" x14ac:dyDescent="0.35">
      <c r="A70" s="23" t="s">
        <v>594</v>
      </c>
      <c r="B70" s="24">
        <f>SUMIF('Raw Feb'!B:B,'TB 0225'!A70,'Raw Feb'!C:C)</f>
        <v>0</v>
      </c>
      <c r="C70" s="24">
        <f>SUMIF('Raw Feb'!B:B,'TB 0225'!A70,'Raw Feb'!D:D)</f>
        <v>643425</v>
      </c>
      <c r="D70" s="24">
        <f>SUMIF('Raw Feb'!B:B,'TB 0225'!A70,'Raw Feb'!E:E)</f>
        <v>3119214</v>
      </c>
      <c r="E70" s="24">
        <f t="shared" si="4"/>
        <v>-2475789</v>
      </c>
      <c r="F70" s="24">
        <f t="shared" si="5"/>
        <v>-2475.7890000000002</v>
      </c>
      <c r="G70" s="22" t="s">
        <v>184</v>
      </c>
      <c r="H70" s="23" t="s">
        <v>49</v>
      </c>
    </row>
    <row r="71" spans="1:8" x14ac:dyDescent="0.35">
      <c r="A71" s="23" t="s">
        <v>303</v>
      </c>
      <c r="B71" s="24">
        <f>SUMIF('Raw Feb'!B:B,'TB 0225'!A71,'Raw Feb'!C:C)</f>
        <v>0</v>
      </c>
      <c r="C71" s="24">
        <f>SUMIF('Raw Feb'!B:B,'TB 0225'!A71,'Raw Feb'!D:D)</f>
        <v>0</v>
      </c>
      <c r="D71" s="24">
        <f>SUMIF('Raw Feb'!B:B,'TB 0225'!A71,'Raw Feb'!E:E)</f>
        <v>1307179.3899999999</v>
      </c>
      <c r="E71" s="24">
        <f t="shared" si="4"/>
        <v>-1307179.3899999999</v>
      </c>
      <c r="F71" s="24">
        <f t="shared" si="5"/>
        <v>-1307.1793899999998</v>
      </c>
      <c r="G71" s="22" t="s">
        <v>184</v>
      </c>
      <c r="H71" s="23" t="s">
        <v>25</v>
      </c>
    </row>
    <row r="72" spans="1:8" x14ac:dyDescent="0.35">
      <c r="A72" s="23" t="s">
        <v>287</v>
      </c>
      <c r="B72" s="24">
        <f>SUMIF('Raw Feb'!B:B,'TB 0225'!A72,'Raw Feb'!C:C)</f>
        <v>0</v>
      </c>
      <c r="C72" s="24">
        <f>SUMIF('Raw Feb'!B:B,'TB 0225'!A72,'Raw Feb'!D:D)</f>
        <v>70000</v>
      </c>
      <c r="D72" s="24">
        <f>SUMIF('Raw Feb'!B:B,'TB 0225'!A72,'Raw Feb'!E:E)</f>
        <v>0</v>
      </c>
      <c r="E72" s="24">
        <f t="shared" si="4"/>
        <v>70000</v>
      </c>
      <c r="F72" s="24">
        <f t="shared" si="5"/>
        <v>70</v>
      </c>
      <c r="G72" s="22" t="s">
        <v>182</v>
      </c>
      <c r="H72" s="23" t="s">
        <v>41</v>
      </c>
    </row>
    <row r="73" spans="1:8" x14ac:dyDescent="0.35">
      <c r="A73" s="23" t="s">
        <v>595</v>
      </c>
      <c r="B73" s="24">
        <f>SUMIF('Raw Feb'!B:B,'TB 0225'!A73,'Raw Feb'!C:C)</f>
        <v>0</v>
      </c>
      <c r="C73" s="24">
        <f>SUMIF('Raw Feb'!B:B,'TB 0225'!A73,'Raw Feb'!D:D)</f>
        <v>118</v>
      </c>
      <c r="D73" s="24">
        <f>SUMIF('Raw Feb'!B:B,'TB 0225'!A73,'Raw Feb'!E:E)</f>
        <v>0</v>
      </c>
      <c r="E73" s="24">
        <f t="shared" si="4"/>
        <v>118</v>
      </c>
      <c r="F73" s="24">
        <f t="shared" si="5"/>
        <v>0.11799999999999999</v>
      </c>
      <c r="G73" s="22" t="s">
        <v>182</v>
      </c>
      <c r="H73" s="23" t="s">
        <v>43</v>
      </c>
    </row>
    <row r="74" spans="1:8" x14ac:dyDescent="0.35">
      <c r="A74" s="23" t="s">
        <v>38</v>
      </c>
      <c r="B74" s="24">
        <f>SUMIF('Raw Feb'!B:B,'TB 0225'!A74,'Raw Feb'!C:C)</f>
        <v>0</v>
      </c>
      <c r="C74" s="24">
        <f>SUMIF('Raw Feb'!B:B,'TB 0225'!A74,'Raw Feb'!D:D)</f>
        <v>351670</v>
      </c>
      <c r="D74" s="24">
        <f>SUMIF('Raw Feb'!B:B,'TB 0225'!A74,'Raw Feb'!E:E)</f>
        <v>0</v>
      </c>
      <c r="E74" s="24">
        <f t="shared" si="4"/>
        <v>351670</v>
      </c>
      <c r="F74" s="24">
        <f t="shared" si="5"/>
        <v>351.67</v>
      </c>
      <c r="G74" s="22" t="s">
        <v>182</v>
      </c>
      <c r="H74" s="23" t="s">
        <v>38</v>
      </c>
    </row>
    <row r="75" spans="1:8" x14ac:dyDescent="0.35">
      <c r="A75" s="23" t="s">
        <v>409</v>
      </c>
      <c r="B75" s="24">
        <f>SUMIF('Raw Feb'!B:B,'TB 0225'!A75,'Raw Feb'!C:C)</f>
        <v>0</v>
      </c>
      <c r="C75" s="24">
        <f>SUMIF('Raw Feb'!B:B,'TB 0225'!A75,'Raw Feb'!D:D)</f>
        <v>200000</v>
      </c>
      <c r="D75" s="24">
        <f>SUMIF('Raw Feb'!B:B,'TB 0225'!A75,'Raw Feb'!E:E)</f>
        <v>0</v>
      </c>
      <c r="E75" s="24">
        <f t="shared" si="4"/>
        <v>200000</v>
      </c>
      <c r="F75" s="24">
        <f t="shared" si="5"/>
        <v>200</v>
      </c>
      <c r="G75" s="22" t="s">
        <v>182</v>
      </c>
      <c r="H75" s="23" t="s">
        <v>43</v>
      </c>
    </row>
    <row r="76" spans="1:8" x14ac:dyDescent="0.35">
      <c r="A76" s="23" t="s">
        <v>296</v>
      </c>
      <c r="B76" s="24">
        <f>SUMIF('Raw Feb'!B:B,'TB 0225'!A76,'Raw Feb'!C:C)</f>
        <v>0</v>
      </c>
      <c r="C76" s="24">
        <f>SUMIF('Raw Feb'!B:B,'TB 0225'!A76,'Raw Feb'!D:D)</f>
        <v>639625</v>
      </c>
      <c r="D76" s="24">
        <f>SUMIF('Raw Feb'!B:B,'TB 0225'!A76,'Raw Feb'!E:E)</f>
        <v>0</v>
      </c>
      <c r="E76" s="24">
        <f t="shared" si="4"/>
        <v>639625</v>
      </c>
      <c r="F76" s="24">
        <f t="shared" si="5"/>
        <v>639.625</v>
      </c>
      <c r="G76" s="22" t="s">
        <v>182</v>
      </c>
      <c r="H76" s="23" t="s">
        <v>37</v>
      </c>
    </row>
    <row r="77" spans="1:8" x14ac:dyDescent="0.35">
      <c r="A77" s="23" t="s">
        <v>596</v>
      </c>
      <c r="B77" s="24">
        <f>SUMIF('Raw Feb'!B:B,'TB 0225'!A77,'Raw Feb'!C:C)</f>
        <v>0</v>
      </c>
      <c r="C77" s="24">
        <f>SUMIF('Raw Feb'!B:B,'TB 0225'!A77,'Raw Feb'!D:D)</f>
        <v>77932</v>
      </c>
      <c r="D77" s="24">
        <f>SUMIF('Raw Feb'!B:B,'TB 0225'!A77,'Raw Feb'!E:E)</f>
        <v>0</v>
      </c>
      <c r="E77" s="24">
        <f t="shared" si="4"/>
        <v>77932</v>
      </c>
      <c r="F77" s="24">
        <f t="shared" si="5"/>
        <v>77.932000000000002</v>
      </c>
      <c r="G77" s="22" t="s">
        <v>182</v>
      </c>
      <c r="H77" s="23" t="s">
        <v>48</v>
      </c>
    </row>
    <row r="78" spans="1:8" x14ac:dyDescent="0.35">
      <c r="A78" s="23" t="s">
        <v>109</v>
      </c>
      <c r="B78" s="24">
        <f>SUMIF('Raw Feb'!B:B,'TB 0225'!A78,'Raw Feb'!C:C)</f>
        <v>0</v>
      </c>
      <c r="C78" s="24">
        <f>SUMIF('Raw Feb'!B:B,'TB 0225'!A78,'Raw Feb'!D:D)</f>
        <v>70891</v>
      </c>
      <c r="D78" s="24">
        <f>SUMIF('Raw Feb'!B:B,'TB 0225'!A78,'Raw Feb'!E:E)</f>
        <v>0</v>
      </c>
      <c r="E78" s="24">
        <f t="shared" si="4"/>
        <v>70891</v>
      </c>
      <c r="F78" s="24">
        <f t="shared" si="5"/>
        <v>70.891000000000005</v>
      </c>
      <c r="G78" s="22" t="s">
        <v>182</v>
      </c>
      <c r="H78" s="23" t="s">
        <v>417</v>
      </c>
    </row>
    <row r="79" spans="1:8" x14ac:dyDescent="0.35">
      <c r="A79" s="23" t="s">
        <v>597</v>
      </c>
      <c r="B79" s="24">
        <f>SUMIF('Raw Feb'!B:B,'TB 0225'!A79,'Raw Feb'!C:C)</f>
        <v>0</v>
      </c>
      <c r="C79" s="24">
        <f>SUMIF('Raw Feb'!B:B,'TB 0225'!A79,'Raw Feb'!D:D)</f>
        <v>4092</v>
      </c>
      <c r="D79" s="24">
        <f>SUMIF('Raw Feb'!B:B,'TB 0225'!A79,'Raw Feb'!E:E)</f>
        <v>0</v>
      </c>
      <c r="E79" s="24">
        <f t="shared" si="4"/>
        <v>4092</v>
      </c>
      <c r="F79" s="24">
        <f t="shared" si="5"/>
        <v>4.0919999999999996</v>
      </c>
      <c r="G79" s="22" t="s">
        <v>182</v>
      </c>
      <c r="H79" s="23" t="s">
        <v>417</v>
      </c>
    </row>
    <row r="80" spans="1:8" x14ac:dyDescent="0.35">
      <c r="A80" s="23" t="s">
        <v>598</v>
      </c>
      <c r="B80" s="24">
        <f>SUMIF('Raw Feb'!B:B,'TB 0225'!A80,'Raw Feb'!C:C)</f>
        <v>0</v>
      </c>
      <c r="C80" s="24">
        <f>SUMIF('Raw Feb'!B:B,'TB 0225'!A80,'Raw Feb'!D:D)</f>
        <v>300826.05</v>
      </c>
      <c r="D80" s="24">
        <f>SUMIF('Raw Feb'!B:B,'TB 0225'!A80,'Raw Feb'!E:E)</f>
        <v>245.51</v>
      </c>
      <c r="E80" s="24">
        <f t="shared" si="4"/>
        <v>300580.53999999998</v>
      </c>
      <c r="F80" s="24">
        <f t="shared" si="5"/>
        <v>300.58053999999998</v>
      </c>
      <c r="G80" s="22" t="s">
        <v>182</v>
      </c>
      <c r="H80" s="23" t="s">
        <v>417</v>
      </c>
    </row>
    <row r="81" spans="1:8" x14ac:dyDescent="0.35">
      <c r="A81" s="23" t="s">
        <v>600</v>
      </c>
      <c r="B81" s="24">
        <f>SUMIF('Raw Feb'!B:B,'TB 0225'!A81,'Raw Feb'!C:C)</f>
        <v>0</v>
      </c>
      <c r="C81" s="24">
        <f>SUMIF('Raw Feb'!B:B,'TB 0225'!A81,'Raw Feb'!D:D)</f>
        <v>502260</v>
      </c>
      <c r="D81" s="24">
        <f>SUMIF('Raw Feb'!B:B,'TB 0225'!A81,'Raw Feb'!E:E)</f>
        <v>0</v>
      </c>
      <c r="E81" s="24">
        <f t="shared" si="4"/>
        <v>502260</v>
      </c>
      <c r="F81" s="24">
        <f t="shared" si="5"/>
        <v>502.26</v>
      </c>
      <c r="G81" s="22" t="s">
        <v>182</v>
      </c>
      <c r="H81" s="23" t="s">
        <v>46</v>
      </c>
    </row>
    <row r="82" spans="1:8" x14ac:dyDescent="0.35">
      <c r="A82" s="23" t="s">
        <v>755</v>
      </c>
      <c r="B82" s="24">
        <f>SUMIF('Raw Feb'!B:B,'TB 0225'!A82,'Raw Feb'!C:C)</f>
        <v>0</v>
      </c>
      <c r="C82" s="24">
        <f>SUMIF('Raw Feb'!B:B,'TB 0225'!A82,'Raw Feb'!D:D)</f>
        <v>76182</v>
      </c>
      <c r="D82" s="24">
        <f>SUMIF('Raw Feb'!B:B,'TB 0225'!A82,'Raw Feb'!E:E)</f>
        <v>0</v>
      </c>
      <c r="E82" s="24">
        <f t="shared" si="4"/>
        <v>76182</v>
      </c>
      <c r="F82" s="24">
        <f t="shared" si="5"/>
        <v>76.182000000000002</v>
      </c>
      <c r="G82" s="22" t="s">
        <v>182</v>
      </c>
      <c r="H82" s="23" t="s">
        <v>43</v>
      </c>
    </row>
    <row r="83" spans="1:8" x14ac:dyDescent="0.35">
      <c r="A83" s="23" t="s">
        <v>602</v>
      </c>
      <c r="B83" s="24">
        <f>SUMIF('Raw Feb'!B:B,'TB 0225'!A83,'Raw Feb'!C:C)</f>
        <v>0</v>
      </c>
      <c r="C83" s="24">
        <f>SUMIF('Raw Feb'!B:B,'TB 0225'!A83,'Raw Feb'!D:D)</f>
        <v>264.08</v>
      </c>
      <c r="D83" s="24">
        <f>SUMIF('Raw Feb'!B:B,'TB 0225'!A83,'Raw Feb'!E:E)</f>
        <v>13.08</v>
      </c>
      <c r="E83" s="24">
        <f t="shared" ref="E83:E96" si="6">B83+C83-D83</f>
        <v>250.99999999999997</v>
      </c>
      <c r="F83" s="24">
        <f t="shared" si="5"/>
        <v>0.25099999999999995</v>
      </c>
      <c r="G83" s="22" t="s">
        <v>182</v>
      </c>
      <c r="H83" s="23" t="s">
        <v>42</v>
      </c>
    </row>
    <row r="84" spans="1:8" x14ac:dyDescent="0.35">
      <c r="A84" s="23" t="s">
        <v>603</v>
      </c>
      <c r="B84" s="24">
        <f>SUMIF('Raw Feb'!B:B,'TB 0225'!A84,'Raw Feb'!C:C)</f>
        <v>0</v>
      </c>
      <c r="C84" s="24">
        <f>SUMIF('Raw Feb'!B:B,'TB 0225'!A84,'Raw Feb'!D:D)</f>
        <v>301000</v>
      </c>
      <c r="D84" s="24">
        <f>SUMIF('Raw Feb'!B:B,'TB 0225'!A84,'Raw Feb'!E:E)</f>
        <v>0</v>
      </c>
      <c r="E84" s="24">
        <f t="shared" si="6"/>
        <v>301000</v>
      </c>
      <c r="F84" s="24">
        <f t="shared" si="5"/>
        <v>301</v>
      </c>
      <c r="G84" s="22" t="s">
        <v>182</v>
      </c>
      <c r="H84" s="23" t="s">
        <v>42</v>
      </c>
    </row>
    <row r="85" spans="1:8" x14ac:dyDescent="0.35">
      <c r="A85" s="23" t="s">
        <v>604</v>
      </c>
      <c r="B85" s="24">
        <f>SUMIF('Raw Feb'!B:B,'TB 0225'!A85,'Raw Feb'!C:C)</f>
        <v>0</v>
      </c>
      <c r="C85" s="24">
        <f>SUMIF('Raw Feb'!B:B,'TB 0225'!A85,'Raw Feb'!D:D)</f>
        <v>44049</v>
      </c>
      <c r="D85" s="24">
        <f>SUMIF('Raw Feb'!B:B,'TB 0225'!A85,'Raw Feb'!E:E)</f>
        <v>21201.279999999999</v>
      </c>
      <c r="E85" s="24">
        <f t="shared" si="6"/>
        <v>22847.72</v>
      </c>
      <c r="F85" s="24">
        <f t="shared" si="5"/>
        <v>22.847720000000002</v>
      </c>
      <c r="G85" s="22" t="s">
        <v>182</v>
      </c>
      <c r="H85" s="23" t="s">
        <v>43</v>
      </c>
    </row>
    <row r="86" spans="1:8" x14ac:dyDescent="0.35">
      <c r="A86" s="23" t="s">
        <v>605</v>
      </c>
      <c r="B86" s="24">
        <f>SUMIF('Raw Feb'!B:B,'TB 0225'!A86,'Raw Feb'!C:C)</f>
        <v>0</v>
      </c>
      <c r="C86" s="24">
        <f>SUMIF('Raw Feb'!B:B,'TB 0225'!A86,'Raw Feb'!D:D)</f>
        <v>0.87</v>
      </c>
      <c r="D86" s="24">
        <f>SUMIF('Raw Feb'!B:B,'TB 0225'!A86,'Raw Feb'!E:E)</f>
        <v>2.19</v>
      </c>
      <c r="E86" s="24">
        <f t="shared" si="6"/>
        <v>-1.3199999999999998</v>
      </c>
      <c r="F86" s="24">
        <f t="shared" si="5"/>
        <v>-1.3199999999999998E-3</v>
      </c>
      <c r="G86" s="22" t="s">
        <v>182</v>
      </c>
      <c r="H86" s="23" t="s">
        <v>43</v>
      </c>
    </row>
    <row r="87" spans="1:8" x14ac:dyDescent="0.35">
      <c r="A87" s="23" t="s">
        <v>756</v>
      </c>
      <c r="B87" s="24">
        <f>SUMIF('Raw Feb'!B:B,'TB 0225'!A87,'Raw Feb'!C:C)</f>
        <v>0</v>
      </c>
      <c r="C87" s="24">
        <f>SUMIF('Raw Feb'!B:B,'TB 0225'!A87,'Raw Feb'!D:D)</f>
        <v>2247</v>
      </c>
      <c r="D87" s="24">
        <f>SUMIF('Raw Feb'!B:B,'TB 0225'!A87,'Raw Feb'!E:E)</f>
        <v>0</v>
      </c>
      <c r="E87" s="24">
        <f t="shared" si="6"/>
        <v>2247</v>
      </c>
      <c r="F87" s="24">
        <f t="shared" si="5"/>
        <v>2.2469999999999999</v>
      </c>
      <c r="G87" s="22" t="s">
        <v>182</v>
      </c>
      <c r="H87" s="23" t="s">
        <v>43</v>
      </c>
    </row>
    <row r="88" spans="1:8" x14ac:dyDescent="0.35">
      <c r="A88" s="23" t="s">
        <v>41</v>
      </c>
      <c r="B88" s="24">
        <f>SUMIF('Raw Feb'!B:B,'TB 0225'!A88,'Raw Feb'!C:C)</f>
        <v>0</v>
      </c>
      <c r="C88" s="24">
        <f>SUMIF('Raw Feb'!B:B,'TB 0225'!A88,'Raw Feb'!D:D)</f>
        <v>39000</v>
      </c>
      <c r="D88" s="24">
        <f>SUMIF('Raw Feb'!B:B,'TB 0225'!A88,'Raw Feb'!E:E)</f>
        <v>0</v>
      </c>
      <c r="E88" s="24">
        <f t="shared" si="6"/>
        <v>39000</v>
      </c>
      <c r="F88" s="24">
        <f t="shared" si="5"/>
        <v>39</v>
      </c>
      <c r="G88" s="22" t="s">
        <v>182</v>
      </c>
      <c r="H88" s="23" t="s">
        <v>41</v>
      </c>
    </row>
    <row r="89" spans="1:8" x14ac:dyDescent="0.35">
      <c r="A89" s="23" t="s">
        <v>239</v>
      </c>
      <c r="B89" s="24">
        <f>SUMIF('Raw Feb'!B:B,'TB 0225'!A89,'Raw Feb'!C:C)</f>
        <v>0</v>
      </c>
      <c r="C89" s="24">
        <f>SUMIF('Raw Feb'!B:B,'TB 0225'!A89,'Raw Feb'!D:D)</f>
        <v>2074000</v>
      </c>
      <c r="D89" s="24">
        <f>SUMIF('Raw Feb'!B:B,'TB 0225'!A89,'Raw Feb'!E:E)</f>
        <v>0</v>
      </c>
      <c r="E89" s="24">
        <f t="shared" si="6"/>
        <v>2074000</v>
      </c>
      <c r="F89" s="24">
        <f t="shared" si="5"/>
        <v>2074</v>
      </c>
      <c r="G89" s="22" t="s">
        <v>182</v>
      </c>
      <c r="H89" s="23" t="s">
        <v>263</v>
      </c>
    </row>
    <row r="90" spans="1:8" x14ac:dyDescent="0.35">
      <c r="A90" s="23" t="s">
        <v>607</v>
      </c>
      <c r="B90" s="24">
        <f>SUMIF('Raw Feb'!B:B,'TB 0225'!A90,'Raw Feb'!C:C)</f>
        <v>0</v>
      </c>
      <c r="C90" s="24">
        <f>SUMIF('Raw Feb'!B:B,'TB 0225'!A90,'Raw Feb'!D:D)</f>
        <v>4610402.5599999996</v>
      </c>
      <c r="D90" s="24">
        <f>SUMIF('Raw Feb'!B:B,'TB 0225'!A90,'Raw Feb'!E:E)</f>
        <v>0</v>
      </c>
      <c r="E90" s="24">
        <f t="shared" si="6"/>
        <v>4610402.5599999996</v>
      </c>
      <c r="F90" s="24">
        <f t="shared" si="5"/>
        <v>4610.4025599999995</v>
      </c>
      <c r="G90" s="22" t="s">
        <v>182</v>
      </c>
    </row>
    <row r="91" spans="1:8" x14ac:dyDescent="0.35">
      <c r="A91" s="23" t="s">
        <v>26</v>
      </c>
      <c r="B91" s="24">
        <f>SUMIF('Raw Feb'!B:B,'TB 0225'!A91,'Raw Feb'!C:C)</f>
        <v>0</v>
      </c>
      <c r="C91" s="24">
        <f>SUMIF('Raw Feb'!B:B,'TB 0225'!A91,'Raw Feb'!D:D)</f>
        <v>1398556.25</v>
      </c>
      <c r="D91" s="24">
        <f>SUMIF('Raw Feb'!B:B,'TB 0225'!A91,'Raw Feb'!E:E)</f>
        <v>0</v>
      </c>
      <c r="E91" s="24">
        <f t="shared" si="6"/>
        <v>1398556.25</v>
      </c>
      <c r="F91" s="24">
        <f t="shared" si="5"/>
        <v>1398.5562500000001</v>
      </c>
      <c r="G91" s="22" t="s">
        <v>182</v>
      </c>
      <c r="H91" s="23" t="s">
        <v>26</v>
      </c>
    </row>
    <row r="92" spans="1:8" x14ac:dyDescent="0.35">
      <c r="A92" s="23" t="s">
        <v>608</v>
      </c>
      <c r="B92" s="24">
        <f>SUMIF('Raw Feb'!B:B,'TB 0225'!A92,'Raw Feb'!C:C)</f>
        <v>0</v>
      </c>
      <c r="C92" s="24">
        <f>SUMIF('Raw Feb'!B:B,'TB 0225'!A92,'Raw Feb'!D:D)</f>
        <v>1063743.32</v>
      </c>
      <c r="D92" s="24">
        <f>SUMIF('Raw Feb'!B:B,'TB 0225'!A92,'Raw Feb'!E:E)</f>
        <v>545066.67000000004</v>
      </c>
      <c r="E92" s="24">
        <f t="shared" si="6"/>
        <v>518676.65</v>
      </c>
      <c r="F92" s="24">
        <f t="shared" si="5"/>
        <v>518.67665</v>
      </c>
      <c r="G92" s="22" t="s">
        <v>182</v>
      </c>
      <c r="H92" s="23" t="s">
        <v>39</v>
      </c>
    </row>
    <row r="93" spans="1:8" x14ac:dyDescent="0.35">
      <c r="A93" s="23" t="s">
        <v>609</v>
      </c>
      <c r="B93" s="24">
        <f>SUMIF('Raw Feb'!B:B,'TB 0225'!A93,'Raw Feb'!C:C)</f>
        <v>0</v>
      </c>
      <c r="C93" s="24">
        <f>SUMIF('Raw Feb'!B:B,'TB 0225'!A93,'Raw Feb'!D:D)</f>
        <v>438459.85</v>
      </c>
      <c r="D93" s="24">
        <f>SUMIF('Raw Feb'!B:B,'TB 0225'!A93,'Raw Feb'!E:E)</f>
        <v>101833.5</v>
      </c>
      <c r="E93" s="24">
        <f t="shared" si="6"/>
        <v>336626.35</v>
      </c>
      <c r="F93" s="24">
        <f t="shared" si="5"/>
        <v>336.62635</v>
      </c>
      <c r="G93" s="22" t="s">
        <v>182</v>
      </c>
      <c r="H93" s="23" t="s">
        <v>33</v>
      </c>
    </row>
    <row r="94" spans="1:8" x14ac:dyDescent="0.35">
      <c r="A94" s="23" t="s">
        <v>721</v>
      </c>
      <c r="B94" s="24">
        <f>SUMIF('Raw Feb'!B:B,'TB 0225'!A94,'Raw Feb'!C:C)</f>
        <v>0</v>
      </c>
      <c r="C94" s="24">
        <f>SUMIF('Raw Feb'!B:B,'TB 0225'!A94,'Raw Feb'!D:D)</f>
        <v>296348.12</v>
      </c>
      <c r="D94" s="24">
        <f>SUMIF('Raw Feb'!B:B,'TB 0225'!A94,'Raw Feb'!E:E)</f>
        <v>0</v>
      </c>
      <c r="E94" s="24">
        <f t="shared" si="6"/>
        <v>296348.12</v>
      </c>
      <c r="F94" s="24">
        <f t="shared" si="5"/>
        <v>296.34811999999999</v>
      </c>
      <c r="G94" s="22" t="s">
        <v>182</v>
      </c>
      <c r="H94" s="23" t="s">
        <v>31</v>
      </c>
    </row>
    <row r="95" spans="1:8" x14ac:dyDescent="0.35">
      <c r="A95" s="23" t="s">
        <v>610</v>
      </c>
      <c r="B95" s="24">
        <f>SUMIF('Raw Feb'!B:B,'TB 0225'!A95,'Raw Feb'!C:C)</f>
        <v>0</v>
      </c>
      <c r="C95" s="24">
        <f>SUMIF('Raw Feb'!B:B,'TB 0225'!A95,'Raw Feb'!D:D)</f>
        <v>115667.41</v>
      </c>
      <c r="D95" s="24">
        <f>SUMIF('Raw Feb'!B:B,'TB 0225'!A95,'Raw Feb'!E:E)</f>
        <v>0</v>
      </c>
      <c r="E95" s="24">
        <f t="shared" si="6"/>
        <v>115667.41</v>
      </c>
      <c r="F95" s="24">
        <f t="shared" si="5"/>
        <v>115.66741</v>
      </c>
      <c r="G95" s="22" t="s">
        <v>182</v>
      </c>
      <c r="H95" s="23" t="s">
        <v>31</v>
      </c>
    </row>
    <row r="96" spans="1:8" x14ac:dyDescent="0.35">
      <c r="A96" s="23" t="s">
        <v>611</v>
      </c>
      <c r="B96" s="24">
        <f>SUMIF('Raw Feb'!B:B,'TB 0225'!A96,'Raw Feb'!C:C)</f>
        <v>0</v>
      </c>
      <c r="C96" s="24">
        <f>SUMIF('Raw Feb'!B:B,'TB 0225'!A96,'Raw Feb'!D:D)</f>
        <v>122642.8</v>
      </c>
      <c r="D96" s="24">
        <f>SUMIF('Raw Feb'!B:B,'TB 0225'!A96,'Raw Feb'!E:E)</f>
        <v>0</v>
      </c>
      <c r="E96" s="24">
        <f t="shared" si="6"/>
        <v>122642.8</v>
      </c>
      <c r="F96" s="24">
        <f t="shared" si="5"/>
        <v>122.64280000000001</v>
      </c>
      <c r="G96" s="22" t="s">
        <v>182</v>
      </c>
      <c r="H96" s="23" t="s">
        <v>31</v>
      </c>
    </row>
    <row r="97" spans="1:8" x14ac:dyDescent="0.35">
      <c r="A97" s="23" t="s">
        <v>619</v>
      </c>
      <c r="B97" s="24">
        <f>SUMIF('Raw Feb'!B:B,'TB 0225'!A97,'Raw Feb'!C:C)</f>
        <v>0</v>
      </c>
      <c r="C97" s="24">
        <f>SUMIF('Raw Feb'!B:B,'TB 0225'!A97,'Raw Feb'!D:D)</f>
        <v>118287</v>
      </c>
      <c r="D97" s="24">
        <f>SUMIF('Raw Feb'!B:B,'TB 0225'!A97,'Raw Feb'!E:E)</f>
        <v>0</v>
      </c>
      <c r="E97" s="24">
        <f>B97+C97-D97</f>
        <v>118287</v>
      </c>
      <c r="F97" s="24">
        <f>E97/1000</f>
        <v>118.28700000000001</v>
      </c>
      <c r="G97" s="22" t="s">
        <v>182</v>
      </c>
      <c r="H97" s="23" t="s">
        <v>61</v>
      </c>
    </row>
    <row r="98" spans="1:8" x14ac:dyDescent="0.35">
      <c r="A98" s="23" t="s">
        <v>599</v>
      </c>
      <c r="B98" s="24">
        <f>SUMIF('Raw Feb'!B:B,'TB 0225'!A98,'Raw Feb'!C:C)</f>
        <v>0</v>
      </c>
      <c r="C98" s="24">
        <f>SUMIF('Raw Feb'!B:B,'TB 0225'!A98,'Raw Feb'!D:D)</f>
        <v>53987</v>
      </c>
      <c r="D98" s="24">
        <f>SUMIF('Raw Feb'!B:B,'TB 0225'!A98,'Raw Feb'!E:E)</f>
        <v>0</v>
      </c>
      <c r="E98" s="24">
        <f>B98+C98-D98</f>
        <v>53987</v>
      </c>
      <c r="F98" s="24">
        <f>E98/1000</f>
        <v>53.987000000000002</v>
      </c>
      <c r="G98" s="22" t="s">
        <v>182</v>
      </c>
      <c r="H98" s="23" t="s">
        <v>417</v>
      </c>
    </row>
    <row r="99" spans="1:8" x14ac:dyDescent="0.35">
      <c r="A99" s="23" t="s">
        <v>29</v>
      </c>
      <c r="B99" s="24">
        <f>SUMIF('Raw Feb'!B:B,'TB 0225'!A99,'Raw Feb'!C:C)</f>
        <v>0</v>
      </c>
      <c r="C99" s="24">
        <f>SUMIF('Raw Feb'!B:B,'TB 0225'!A99,'Raw Feb'!D:D)</f>
        <v>17087.84</v>
      </c>
      <c r="D99" s="24">
        <f>SUMIF('Raw Feb'!B:B,'TB 0225'!A99,'Raw Feb'!E:E)</f>
        <v>0</v>
      </c>
      <c r="E99" s="24">
        <f>B99+C99-D99</f>
        <v>17087.84</v>
      </c>
      <c r="F99" s="24">
        <f>E99/1000</f>
        <v>17.08784</v>
      </c>
      <c r="G99" s="22" t="s">
        <v>182</v>
      </c>
      <c r="H99" s="23" t="s">
        <v>29</v>
      </c>
    </row>
    <row r="100" spans="1:8" x14ac:dyDescent="0.35">
      <c r="A100" s="23" t="s">
        <v>434</v>
      </c>
      <c r="B100" s="24">
        <f>SUMIF('Raw Feb'!B:B,'TB 0225'!A100,'Raw Feb'!C:C)</f>
        <v>0</v>
      </c>
      <c r="C100" s="24">
        <f>SUMIF('Raw Feb'!B:B,'TB 0225'!A100,'Raw Feb'!D:D)</f>
        <v>0</v>
      </c>
      <c r="D100" s="24">
        <f>SUMIF('Raw Feb'!B:B,'TB 0225'!A100,'Raw Feb'!E:E)</f>
        <v>0</v>
      </c>
      <c r="E100" s="24">
        <f>B100+C100-D100</f>
        <v>0</v>
      </c>
      <c r="F100" s="24">
        <f>E100/1000</f>
        <v>0</v>
      </c>
      <c r="G100" s="22" t="s">
        <v>180</v>
      </c>
      <c r="H100" s="23" t="s">
        <v>69</v>
      </c>
    </row>
    <row r="101" spans="1:8" x14ac:dyDescent="0.35">
      <c r="A101" s="23" t="s">
        <v>759</v>
      </c>
      <c r="B101" s="24">
        <f>SUMIF('Raw Feb'!B:B,'TB 0225'!A101,'Raw Feb'!C:C)</f>
        <v>0</v>
      </c>
      <c r="C101" s="24">
        <f>SUMIF('Raw Feb'!B:B,'TB 0225'!A101,'Raw Feb'!D:D)</f>
        <v>410000</v>
      </c>
      <c r="D101" s="24">
        <f>SUMIF('Raw Feb'!B:B,'TB 0225'!A101,'Raw Feb'!E:E)</f>
        <v>0</v>
      </c>
      <c r="E101" s="24">
        <f>B101+C101-D101</f>
        <v>410000</v>
      </c>
      <c r="F101" s="24">
        <f>E101/1000</f>
        <v>410</v>
      </c>
      <c r="G101" s="22" t="s">
        <v>182</v>
      </c>
      <c r="H101" s="23" t="s">
        <v>757</v>
      </c>
    </row>
  </sheetData>
  <autoFilter ref="A2:P101" xr:uid="{C17C3741-5F11-4281-8013-E2E4B584ECC8}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9847-274F-4AE4-9D99-40A391D3D16D}">
  <dimension ref="A1:Q117"/>
  <sheetViews>
    <sheetView topLeftCell="A83" workbookViewId="0">
      <selection activeCell="G2" sqref="G2"/>
    </sheetView>
  </sheetViews>
  <sheetFormatPr defaultColWidth="8.81640625" defaultRowHeight="14.5" x14ac:dyDescent="0.35"/>
  <cols>
    <col min="1" max="1" width="59.08984375" style="23" bestFit="1" customWidth="1"/>
    <col min="2" max="6" width="17.453125" style="24" customWidth="1"/>
    <col min="7" max="7" width="8.81640625" style="23"/>
    <col min="8" max="8" width="58.453125" style="23" bestFit="1" customWidth="1"/>
    <col min="9" max="10" width="8.81640625" style="23"/>
    <col min="11" max="11" width="26.36328125" style="23" bestFit="1" customWidth="1"/>
    <col min="12" max="12" width="10.08984375" style="23" bestFit="1" customWidth="1"/>
    <col min="13" max="13" width="16.36328125" style="23" bestFit="1" customWidth="1"/>
    <col min="14" max="14" width="8.81640625" style="23"/>
    <col min="15" max="15" width="15.36328125" style="23" bestFit="1" customWidth="1"/>
    <col min="16" max="16" width="8.81640625" style="23"/>
    <col min="17" max="17" width="11.36328125" style="23" bestFit="1" customWidth="1"/>
    <col min="18" max="16384" width="8.81640625" style="23"/>
  </cols>
  <sheetData>
    <row r="1" spans="1:17" x14ac:dyDescent="0.35">
      <c r="B1" s="24">
        <f>SUBTOTAL(9,B3:B107)</f>
        <v>-990.31999990949407</v>
      </c>
      <c r="C1" s="24">
        <f>SUBTOTAL(9,C3:C107)</f>
        <v>169577572.53000006</v>
      </c>
      <c r="D1" s="24">
        <f>SUBTOTAL(9,D3:D107)</f>
        <v>169576582.21000007</v>
      </c>
      <c r="E1" s="24">
        <f>SUBTOTAL(9,E3:E107)</f>
        <v>4.4815237743023317E-8</v>
      </c>
      <c r="F1" s="24">
        <f>SUBTOTAL(9,F3:F107)</f>
        <v>-4.6600834302523708E-11</v>
      </c>
    </row>
    <row r="2" spans="1:17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  <c r="K2" s="109" t="s">
        <v>847</v>
      </c>
      <c r="L2" s="109" t="s">
        <v>186</v>
      </c>
      <c r="M2" s="109" t="s">
        <v>848</v>
      </c>
      <c r="O2" s="109" t="s">
        <v>849</v>
      </c>
    </row>
    <row r="3" spans="1:17" x14ac:dyDescent="0.35">
      <c r="A3" s="23" t="s">
        <v>561</v>
      </c>
      <c r="B3" s="24">
        <f>SUMIF('Raw March'!B:B,'TB 0325'!A3,'Raw March'!C:C)</f>
        <v>3997527.3</v>
      </c>
      <c r="C3" s="24">
        <f>SUMIF('Raw March'!B:B,'TB 0325'!A3,'Raw March'!D:D)</f>
        <v>2025655.26</v>
      </c>
      <c r="D3" s="24">
        <f>SUMIF('Raw March'!B:B,'TB 0325'!A3,'Raw March'!E:E)</f>
        <v>361470.78</v>
      </c>
      <c r="E3" s="24">
        <f>B3+C3-D3</f>
        <v>5661711.7799999993</v>
      </c>
      <c r="F3" s="24">
        <f t="shared" ref="F3:F47" si="0">E3/1000</f>
        <v>5661.7117799999996</v>
      </c>
      <c r="G3" s="22" t="s">
        <v>181</v>
      </c>
      <c r="H3" s="23" t="s">
        <v>77</v>
      </c>
      <c r="K3" s="23" t="s">
        <v>442</v>
      </c>
      <c r="L3" s="24">
        <v>30.928999999999998</v>
      </c>
      <c r="M3" s="123" t="s">
        <v>192</v>
      </c>
      <c r="O3" s="23" t="s">
        <v>188</v>
      </c>
      <c r="P3" s="24">
        <f t="shared" ref="P3:P8" si="1">SUMIF(M:M,O3,L:L)</f>
        <v>436.97700000000003</v>
      </c>
    </row>
    <row r="4" spans="1:17" x14ac:dyDescent="0.35">
      <c r="A4" s="23" t="s">
        <v>288</v>
      </c>
      <c r="B4" s="24">
        <f>SUMIF('Raw March'!B:B,'TB 0325'!A4,'Raw March'!C:C)</f>
        <v>2393479</v>
      </c>
      <c r="C4" s="24">
        <f>SUMIF('Raw March'!B:B,'TB 0325'!A4,'Raw March'!D:D)</f>
        <v>5458822</v>
      </c>
      <c r="D4" s="24">
        <f>SUMIF('Raw March'!B:B,'TB 0325'!A4,'Raw March'!E:E)</f>
        <v>2393479</v>
      </c>
      <c r="E4" s="24">
        <f t="shared" ref="E4:E67" si="2">B4+C4-D4</f>
        <v>5458822</v>
      </c>
      <c r="F4" s="24">
        <f t="shared" si="0"/>
        <v>5458.8220000000001</v>
      </c>
      <c r="G4" s="22" t="s">
        <v>181</v>
      </c>
      <c r="H4" s="23" t="s">
        <v>79</v>
      </c>
      <c r="K4" s="23" t="s">
        <v>654</v>
      </c>
      <c r="L4" s="24">
        <v>25.335000000000001</v>
      </c>
      <c r="M4" s="123" t="s">
        <v>192</v>
      </c>
      <c r="O4" s="23" t="s">
        <v>352</v>
      </c>
      <c r="P4" s="24">
        <f t="shared" si="1"/>
        <v>37.200000000000003</v>
      </c>
    </row>
    <row r="5" spans="1:17" x14ac:dyDescent="0.35">
      <c r="A5" s="23" t="s">
        <v>289</v>
      </c>
      <c r="B5" s="24">
        <f>SUMIF('Raw March'!B:B,'TB 0325'!A5,'Raw March'!C:C)</f>
        <v>-105352</v>
      </c>
      <c r="C5" s="24">
        <f>SUMIF('Raw March'!B:B,'TB 0325'!A5,'Raw March'!D:D)</f>
        <v>118162</v>
      </c>
      <c r="D5" s="24">
        <f>SUMIF('Raw March'!B:B,'TB 0325'!A5,'Raw March'!E:E)</f>
        <v>124958.74</v>
      </c>
      <c r="E5" s="24">
        <f t="shared" si="2"/>
        <v>-112148.74</v>
      </c>
      <c r="F5" s="24">
        <f t="shared" si="0"/>
        <v>-112.14874</v>
      </c>
      <c r="G5" s="22" t="s">
        <v>181</v>
      </c>
      <c r="H5" s="23" t="s">
        <v>72</v>
      </c>
      <c r="K5" s="23" t="s">
        <v>443</v>
      </c>
      <c r="L5" s="24">
        <v>37.200000000000003</v>
      </c>
      <c r="M5" s="123" t="s">
        <v>352</v>
      </c>
      <c r="O5" s="23" t="s">
        <v>190</v>
      </c>
      <c r="P5" s="24">
        <f t="shared" si="1"/>
        <v>214.423</v>
      </c>
    </row>
    <row r="6" spans="1:17" x14ac:dyDescent="0.35">
      <c r="A6" s="23" t="s">
        <v>562</v>
      </c>
      <c r="B6" s="24">
        <f>SUMIF('Raw March'!B:B,'TB 0325'!A6,'Raw March'!C:C)</f>
        <v>-397828</v>
      </c>
      <c r="C6" s="24">
        <f>SUMIF('Raw March'!B:B,'TB 0325'!A6,'Raw March'!D:D)</f>
        <v>533115</v>
      </c>
      <c r="D6" s="24">
        <f>SUMIF('Raw March'!B:B,'TB 0325'!A6,'Raw March'!E:E)</f>
        <v>670172.31000000006</v>
      </c>
      <c r="E6" s="24">
        <f t="shared" si="2"/>
        <v>-534885.31000000006</v>
      </c>
      <c r="F6" s="24">
        <f t="shared" si="0"/>
        <v>-534.88531</v>
      </c>
      <c r="G6" s="22" t="s">
        <v>181</v>
      </c>
      <c r="H6" s="23" t="s">
        <v>71</v>
      </c>
      <c r="K6" s="23" t="s">
        <v>656</v>
      </c>
      <c r="L6" s="24">
        <v>164.86699999999999</v>
      </c>
      <c r="M6" s="123" t="s">
        <v>192</v>
      </c>
      <c r="O6" s="23" t="s">
        <v>268</v>
      </c>
      <c r="P6" s="24">
        <f t="shared" si="1"/>
        <v>399.55599999999993</v>
      </c>
      <c r="Q6" s="206">
        <f>P6*1000</f>
        <v>399555.99999999994</v>
      </c>
    </row>
    <row r="7" spans="1:17" x14ac:dyDescent="0.35">
      <c r="A7" s="23" t="s">
        <v>772</v>
      </c>
      <c r="B7" s="24">
        <f>SUMIF('Raw March'!B:B,'TB 0325'!A7,'Raw March'!C:C)</f>
        <v>0</v>
      </c>
      <c r="C7" s="24">
        <f>SUMIF('Raw March'!B:B,'TB 0325'!A7,'Raw March'!D:D)</f>
        <v>12703</v>
      </c>
      <c r="D7" s="24">
        <f>SUMIF('Raw March'!B:B,'TB 0325'!A7,'Raw March'!E:E)</f>
        <v>25232.37</v>
      </c>
      <c r="E7" s="24">
        <f t="shared" si="2"/>
        <v>-12529.369999999999</v>
      </c>
      <c r="F7" s="24">
        <f t="shared" si="0"/>
        <v>-12.529369999999998</v>
      </c>
      <c r="G7" s="22" t="s">
        <v>181</v>
      </c>
      <c r="H7" s="23" t="s">
        <v>71</v>
      </c>
      <c r="K7" s="23" t="s">
        <v>657</v>
      </c>
      <c r="L7" s="24">
        <v>36.616</v>
      </c>
      <c r="M7" s="123" t="s">
        <v>190</v>
      </c>
      <c r="O7" s="23" t="s">
        <v>677</v>
      </c>
      <c r="P7" s="24">
        <f t="shared" si="1"/>
        <v>43.195999999999998</v>
      </c>
    </row>
    <row r="8" spans="1:17" x14ac:dyDescent="0.35">
      <c r="A8" s="23" t="s">
        <v>198</v>
      </c>
      <c r="B8" s="24">
        <f>SUMIF('Raw March'!B:B,'TB 0325'!A8,'Raw March'!C:C)</f>
        <v>-19615</v>
      </c>
      <c r="C8" s="24">
        <f>SUMIF('Raw March'!B:B,'TB 0325'!A8,'Raw March'!D:D)</f>
        <v>23926</v>
      </c>
      <c r="D8" s="24">
        <f>SUMIF('Raw March'!B:B,'TB 0325'!A8,'Raw March'!E:E)</f>
        <v>27715.91</v>
      </c>
      <c r="E8" s="24">
        <f t="shared" si="2"/>
        <v>-23404.91</v>
      </c>
      <c r="F8" s="24">
        <f t="shared" si="0"/>
        <v>-23.404910000000001</v>
      </c>
      <c r="G8" s="22" t="s">
        <v>181</v>
      </c>
      <c r="H8" s="23" t="s">
        <v>71</v>
      </c>
      <c r="K8" s="23" t="s">
        <v>450</v>
      </c>
      <c r="L8" s="24">
        <v>35.42</v>
      </c>
      <c r="M8" s="123" t="s">
        <v>188</v>
      </c>
      <c r="O8" s="23" t="s">
        <v>192</v>
      </c>
      <c r="P8" s="24">
        <f t="shared" si="1"/>
        <v>8027.6537799999969</v>
      </c>
    </row>
    <row r="9" spans="1:17" x14ac:dyDescent="0.35">
      <c r="A9" s="23" t="s">
        <v>365</v>
      </c>
      <c r="B9" s="24">
        <f>SUMIF('Raw March'!B:B,'TB 0325'!A9,'Raw March'!C:C)</f>
        <v>305.98</v>
      </c>
      <c r="C9" s="24">
        <f>SUMIF('Raw March'!B:B,'TB 0325'!A9,'Raw March'!D:D)</f>
        <v>0</v>
      </c>
      <c r="D9" s="24">
        <f>SUMIF('Raw March'!B:B,'TB 0325'!A9,'Raw March'!E:E)</f>
        <v>0</v>
      </c>
      <c r="E9" s="24">
        <f t="shared" si="2"/>
        <v>305.98</v>
      </c>
      <c r="F9" s="24">
        <f t="shared" si="0"/>
        <v>0.30598000000000003</v>
      </c>
      <c r="G9" s="22" t="s">
        <v>181</v>
      </c>
      <c r="H9" s="23" t="s">
        <v>79</v>
      </c>
      <c r="K9" s="23" t="s">
        <v>454</v>
      </c>
      <c r="L9" s="24">
        <v>38.116</v>
      </c>
      <c r="M9" s="123" t="s">
        <v>190</v>
      </c>
      <c r="P9" s="198">
        <f>SUM(P3:P8)</f>
        <v>9159.0057799999959</v>
      </c>
    </row>
    <row r="10" spans="1:17" x14ac:dyDescent="0.35">
      <c r="A10" s="23" t="s">
        <v>563</v>
      </c>
      <c r="B10" s="24">
        <f>SUMIF('Raw March'!B:B,'TB 0325'!A10,'Raw March'!C:C)</f>
        <v>12754.34</v>
      </c>
      <c r="C10" s="24">
        <f>SUMIF('Raw March'!B:B,'TB 0325'!A10,'Raw March'!D:D)</f>
        <v>0</v>
      </c>
      <c r="D10" s="24">
        <f>SUMIF('Raw March'!B:B,'TB 0325'!A10,'Raw March'!E:E)</f>
        <v>118</v>
      </c>
      <c r="E10" s="24">
        <f t="shared" si="2"/>
        <v>12636.34</v>
      </c>
      <c r="F10" s="24">
        <f t="shared" si="0"/>
        <v>12.636340000000001</v>
      </c>
      <c r="G10" s="22" t="s">
        <v>181</v>
      </c>
      <c r="H10" s="23" t="s">
        <v>78</v>
      </c>
      <c r="K10" s="23" t="s">
        <v>661</v>
      </c>
      <c r="L10" s="24">
        <v>73.381</v>
      </c>
      <c r="M10" s="123" t="s">
        <v>192</v>
      </c>
    </row>
    <row r="11" spans="1:17" x14ac:dyDescent="0.35">
      <c r="A11" s="23" t="s">
        <v>564</v>
      </c>
      <c r="B11" s="24">
        <f>SUMIF('Raw March'!B:B,'TB 0325'!A11,'Raw March'!C:C)</f>
        <v>1538412.31</v>
      </c>
      <c r="C11" s="24">
        <f>SUMIF('Raw March'!B:B,'TB 0325'!A11,'Raw March'!D:D)</f>
        <v>2094742.72</v>
      </c>
      <c r="D11" s="24">
        <f>SUMIF('Raw March'!B:B,'TB 0325'!A11,'Raw March'!E:E)</f>
        <v>0</v>
      </c>
      <c r="E11" s="24">
        <f t="shared" si="2"/>
        <v>3633155.0300000003</v>
      </c>
      <c r="F11" s="24">
        <f t="shared" si="0"/>
        <v>3633.1550300000004</v>
      </c>
      <c r="G11" s="22" t="s">
        <v>181</v>
      </c>
      <c r="H11" s="23" t="s">
        <v>71</v>
      </c>
      <c r="I11" s="23" t="s">
        <v>1397</v>
      </c>
      <c r="K11" s="23" t="s">
        <v>675</v>
      </c>
      <c r="L11" s="24">
        <v>223.2</v>
      </c>
      <c r="M11" s="123" t="s">
        <v>192</v>
      </c>
    </row>
    <row r="12" spans="1:17" x14ac:dyDescent="0.35">
      <c r="A12" s="23" t="s">
        <v>693</v>
      </c>
      <c r="B12" s="24">
        <f>SUMIF('Raw March'!B:B,'TB 0325'!A12,'Raw March'!C:C)</f>
        <v>338231.34</v>
      </c>
      <c r="C12" s="24">
        <f>SUMIF('Raw March'!B:B,'TB 0325'!A12,'Raw March'!D:D)</f>
        <v>0</v>
      </c>
      <c r="D12" s="24">
        <f>SUMIF('Raw March'!B:B,'TB 0325'!A12,'Raw March'!E:E)</f>
        <v>0</v>
      </c>
      <c r="E12" s="24">
        <f t="shared" si="2"/>
        <v>338231.34</v>
      </c>
      <c r="F12" s="24">
        <f t="shared" si="0"/>
        <v>338.23134000000005</v>
      </c>
      <c r="G12" s="22" t="s">
        <v>181</v>
      </c>
      <c r="H12" s="23" t="s">
        <v>71</v>
      </c>
      <c r="I12" s="23" t="s">
        <v>1397</v>
      </c>
      <c r="K12" s="23" t="s">
        <v>445</v>
      </c>
      <c r="L12" s="24">
        <v>25</v>
      </c>
      <c r="M12" s="123" t="s">
        <v>188</v>
      </c>
    </row>
    <row r="13" spans="1:17" x14ac:dyDescent="0.35">
      <c r="A13" s="23" t="s">
        <v>714</v>
      </c>
      <c r="B13" s="24">
        <f>SUMIF('Raw March'!B:B,'TB 0325'!A13,'Raw March'!C:C)</f>
        <v>50000</v>
      </c>
      <c r="C13" s="24">
        <f>SUMIF('Raw March'!B:B,'TB 0325'!A13,'Raw March'!D:D)</f>
        <v>0</v>
      </c>
      <c r="D13" s="24">
        <f>SUMIF('Raw March'!B:B,'TB 0325'!A13,'Raw March'!E:E)</f>
        <v>0</v>
      </c>
      <c r="E13" s="24">
        <f t="shared" si="2"/>
        <v>50000</v>
      </c>
      <c r="F13" s="24">
        <f t="shared" si="0"/>
        <v>50</v>
      </c>
      <c r="G13" s="22" t="s">
        <v>181</v>
      </c>
      <c r="H13" s="23" t="s">
        <v>78</v>
      </c>
      <c r="K13" s="23" t="s">
        <v>727</v>
      </c>
      <c r="L13" s="24">
        <v>235.7</v>
      </c>
      <c r="M13" s="123" t="s">
        <v>192</v>
      </c>
    </row>
    <row r="14" spans="1:17" x14ac:dyDescent="0.35">
      <c r="A14" s="23" t="s">
        <v>715</v>
      </c>
      <c r="B14" s="24">
        <f>SUMIF('Raw March'!B:B,'TB 0325'!A14,'Raw March'!C:C)</f>
        <v>155044.14000000001</v>
      </c>
      <c r="C14" s="24">
        <f>SUMIF('Raw March'!B:B,'TB 0325'!A14,'Raw March'!D:D)</f>
        <v>1009634.36</v>
      </c>
      <c r="D14" s="24">
        <f>SUMIF('Raw March'!B:B,'TB 0325'!A14,'Raw March'!E:E)</f>
        <v>833332.56</v>
      </c>
      <c r="E14" s="24">
        <f t="shared" si="2"/>
        <v>331345.93999999994</v>
      </c>
      <c r="F14" s="24">
        <f t="shared" si="0"/>
        <v>331.34593999999993</v>
      </c>
      <c r="G14" s="22" t="s">
        <v>181</v>
      </c>
      <c r="H14" s="23" t="s">
        <v>78</v>
      </c>
      <c r="K14" s="23" t="s">
        <v>728</v>
      </c>
      <c r="L14" s="24">
        <v>85.7</v>
      </c>
      <c r="M14" s="123" t="s">
        <v>192</v>
      </c>
    </row>
    <row r="15" spans="1:17" x14ac:dyDescent="0.35">
      <c r="A15" s="23" t="s">
        <v>565</v>
      </c>
      <c r="B15" s="24">
        <f>SUMIF('Raw March'!B:B,'TB 0325'!A15,'Raw March'!C:C)</f>
        <v>942647.56</v>
      </c>
      <c r="C15" s="24">
        <f>SUMIF('Raw March'!B:B,'TB 0325'!A15,'Raw March'!D:D)</f>
        <v>385232.49</v>
      </c>
      <c r="D15" s="24">
        <f>SUMIF('Raw March'!B:B,'TB 0325'!A15,'Raw March'!E:E)</f>
        <v>0</v>
      </c>
      <c r="E15" s="24">
        <f t="shared" si="2"/>
        <v>1327880.05</v>
      </c>
      <c r="F15" s="24">
        <f t="shared" si="0"/>
        <v>1327.88005</v>
      </c>
      <c r="G15" s="22" t="s">
        <v>181</v>
      </c>
      <c r="H15" s="23" t="s">
        <v>79</v>
      </c>
      <c r="K15" s="23" t="s">
        <v>665</v>
      </c>
      <c r="L15" s="24">
        <v>21.001000000000001</v>
      </c>
      <c r="M15" s="123" t="s">
        <v>677</v>
      </c>
    </row>
    <row r="16" spans="1:17" x14ac:dyDescent="0.35">
      <c r="A16" s="23" t="s">
        <v>566</v>
      </c>
      <c r="B16" s="24">
        <f>SUMIF('Raw March'!B:B,'TB 0325'!A16,'Raw March'!C:C)</f>
        <v>586694.94999999995</v>
      </c>
      <c r="C16" s="24">
        <f>SUMIF('Raw March'!B:B,'TB 0325'!A16,'Raw March'!D:D)</f>
        <v>143619.79999999999</v>
      </c>
      <c r="D16" s="24">
        <f>SUMIF('Raw March'!B:B,'TB 0325'!A16,'Raw March'!E:E)</f>
        <v>53010</v>
      </c>
      <c r="E16" s="24">
        <f t="shared" si="2"/>
        <v>677304.75</v>
      </c>
      <c r="F16" s="24">
        <f t="shared" si="0"/>
        <v>677.30475000000001</v>
      </c>
      <c r="G16" s="22" t="s">
        <v>181</v>
      </c>
      <c r="H16" s="23" t="s">
        <v>79</v>
      </c>
      <c r="K16" s="23" t="s">
        <v>667</v>
      </c>
      <c r="L16" s="24">
        <v>24</v>
      </c>
      <c r="M16" s="123" t="s">
        <v>188</v>
      </c>
    </row>
    <row r="17" spans="1:13" x14ac:dyDescent="0.35">
      <c r="A17" s="23" t="s">
        <v>567</v>
      </c>
      <c r="B17" s="24">
        <f>SUMIF('Raw March'!B:B,'TB 0325'!A17,'Raw March'!C:C)</f>
        <v>942647.61</v>
      </c>
      <c r="C17" s="24">
        <f>SUMIF('Raw March'!B:B,'TB 0325'!A17,'Raw March'!D:D)</f>
        <v>385232.49</v>
      </c>
      <c r="D17" s="24">
        <f>SUMIF('Raw March'!B:B,'TB 0325'!A17,'Raw March'!E:E)</f>
        <v>0</v>
      </c>
      <c r="E17" s="24">
        <f t="shared" si="2"/>
        <v>1327880.1000000001</v>
      </c>
      <c r="F17" s="24">
        <f t="shared" si="0"/>
        <v>1327.8801000000001</v>
      </c>
      <c r="G17" s="22" t="s">
        <v>181</v>
      </c>
      <c r="H17" s="23" t="s">
        <v>79</v>
      </c>
      <c r="K17" s="23" t="s">
        <v>730</v>
      </c>
      <c r="L17" s="24">
        <v>21.533000000000001</v>
      </c>
      <c r="M17" s="123" t="s">
        <v>268</v>
      </c>
    </row>
    <row r="18" spans="1:13" x14ac:dyDescent="0.35">
      <c r="A18" s="23" t="s">
        <v>300</v>
      </c>
      <c r="B18" s="24">
        <f>SUMIF('Raw March'!B:B,'TB 0325'!A18,'Raw March'!C:C)</f>
        <v>1537167.67</v>
      </c>
      <c r="C18" s="24">
        <f>SUMIF('Raw March'!B:B,'TB 0325'!A18,'Raw March'!D:D)</f>
        <v>0</v>
      </c>
      <c r="D18" s="24">
        <f>SUMIF('Raw March'!B:B,'TB 0325'!A18,'Raw March'!E:E)</f>
        <v>0</v>
      </c>
      <c r="E18" s="24">
        <f t="shared" si="2"/>
        <v>1537167.67</v>
      </c>
      <c r="F18" s="24">
        <f t="shared" si="0"/>
        <v>1537.1676699999998</v>
      </c>
      <c r="G18" s="22" t="s">
        <v>181</v>
      </c>
      <c r="H18" s="23" t="s">
        <v>72</v>
      </c>
      <c r="K18" s="23" t="s">
        <v>731</v>
      </c>
      <c r="L18" s="24">
        <v>98.2</v>
      </c>
      <c r="M18" s="123" t="s">
        <v>192</v>
      </c>
    </row>
    <row r="19" spans="1:13" x14ac:dyDescent="0.35">
      <c r="A19" s="23" t="s">
        <v>718</v>
      </c>
      <c r="B19" s="24">
        <f>SUMIF('Raw March'!B:B,'TB 0325'!A19,'Raw March'!C:C)</f>
        <v>45000000</v>
      </c>
      <c r="C19" s="24">
        <f>SUMIF('Raw March'!B:B,'TB 0325'!A19,'Raw March'!D:D)</f>
        <v>0</v>
      </c>
      <c r="D19" s="24">
        <f>SUMIF('Raw March'!B:B,'TB 0325'!A19,'Raw March'!E:E)</f>
        <v>0</v>
      </c>
      <c r="E19" s="24">
        <f t="shared" si="2"/>
        <v>45000000</v>
      </c>
      <c r="F19" s="24">
        <f t="shared" si="0"/>
        <v>45000</v>
      </c>
      <c r="G19" s="22" t="s">
        <v>181</v>
      </c>
      <c r="H19" s="23" t="s">
        <v>76</v>
      </c>
      <c r="K19" s="23" t="s">
        <v>732</v>
      </c>
      <c r="L19" s="24">
        <v>11.824</v>
      </c>
      <c r="M19" s="123" t="s">
        <v>192</v>
      </c>
    </row>
    <row r="20" spans="1:13" x14ac:dyDescent="0.35">
      <c r="A20" s="23" t="s">
        <v>719</v>
      </c>
      <c r="B20" s="24">
        <f>SUMIF('Raw March'!B:B,'TB 0325'!A20,'Raw March'!C:C)</f>
        <v>30000000</v>
      </c>
      <c r="C20" s="24">
        <f>SUMIF('Raw March'!B:B,'TB 0325'!A20,'Raw March'!D:D)</f>
        <v>0</v>
      </c>
      <c r="D20" s="24">
        <f>SUMIF('Raw March'!B:B,'TB 0325'!A20,'Raw March'!E:E)</f>
        <v>0</v>
      </c>
      <c r="E20" s="24">
        <f t="shared" si="2"/>
        <v>30000000</v>
      </c>
      <c r="F20" s="24">
        <f t="shared" si="0"/>
        <v>30000</v>
      </c>
      <c r="G20" s="22" t="s">
        <v>181</v>
      </c>
      <c r="H20" s="23" t="s">
        <v>76</v>
      </c>
      <c r="K20" s="23" t="s">
        <v>733</v>
      </c>
      <c r="L20" s="24">
        <v>52.366999999999997</v>
      </c>
      <c r="M20" s="123" t="s">
        <v>188</v>
      </c>
    </row>
    <row r="21" spans="1:13" x14ac:dyDescent="0.35">
      <c r="A21" s="23" t="s">
        <v>642</v>
      </c>
      <c r="B21" s="24">
        <f>SUMIF('Raw March'!B:B,'TB 0325'!A21,'Raw March'!C:C)</f>
        <v>6000000</v>
      </c>
      <c r="C21" s="24">
        <f>SUMIF('Raw March'!B:B,'TB 0325'!A21,'Raw March'!D:D)</f>
        <v>0</v>
      </c>
      <c r="D21" s="24">
        <f>SUMIF('Raw March'!B:B,'TB 0325'!A21,'Raw March'!E:E)</f>
        <v>0</v>
      </c>
      <c r="E21" s="24">
        <f t="shared" si="2"/>
        <v>6000000</v>
      </c>
      <c r="F21" s="24">
        <f t="shared" si="0"/>
        <v>6000</v>
      </c>
      <c r="G21" s="22" t="s">
        <v>181</v>
      </c>
      <c r="H21" s="23" t="s">
        <v>76</v>
      </c>
      <c r="K21" s="23" t="s">
        <v>734</v>
      </c>
      <c r="L21" s="24">
        <v>29.033000000000001</v>
      </c>
      <c r="M21" s="123" t="s">
        <v>268</v>
      </c>
    </row>
    <row r="22" spans="1:13" x14ac:dyDescent="0.35">
      <c r="A22" s="23" t="s">
        <v>695</v>
      </c>
      <c r="B22" s="24">
        <f>SUMIF('Raw March'!B:B,'TB 0325'!A22,'Raw March'!C:C)</f>
        <v>350000000</v>
      </c>
      <c r="C22" s="24">
        <f>SUMIF('Raw March'!B:B,'TB 0325'!A22,'Raw March'!D:D)</f>
        <v>0</v>
      </c>
      <c r="D22" s="24">
        <f>SUMIF('Raw March'!B:B,'TB 0325'!A22,'Raw March'!E:E)</f>
        <v>0</v>
      </c>
      <c r="E22" s="24">
        <f t="shared" si="2"/>
        <v>350000000</v>
      </c>
      <c r="F22" s="24">
        <f t="shared" si="0"/>
        <v>350000</v>
      </c>
      <c r="G22" s="22" t="s">
        <v>181</v>
      </c>
      <c r="H22" s="23" t="s">
        <v>76</v>
      </c>
      <c r="K22" s="23" t="s">
        <v>735</v>
      </c>
      <c r="L22" s="24">
        <v>77.367000000000004</v>
      </c>
      <c r="M22" s="123" t="s">
        <v>192</v>
      </c>
    </row>
    <row r="23" spans="1:13" x14ac:dyDescent="0.35">
      <c r="A23" s="23" t="s">
        <v>752</v>
      </c>
      <c r="B23" s="24">
        <f>SUMIF('Raw March'!B:B,'TB 0325'!A23,'Raw March'!C:C)</f>
        <v>35000000</v>
      </c>
      <c r="C23" s="24">
        <f>SUMIF('Raw March'!B:B,'TB 0325'!A23,'Raw March'!D:D)</f>
        <v>0</v>
      </c>
      <c r="D23" s="24">
        <f>SUMIF('Raw March'!B:B,'TB 0325'!A23,'Raw March'!E:E)</f>
        <v>0</v>
      </c>
      <c r="E23" s="24">
        <f t="shared" si="2"/>
        <v>35000000</v>
      </c>
      <c r="F23" s="24">
        <f t="shared" si="0"/>
        <v>35000</v>
      </c>
      <c r="G23" s="22" t="s">
        <v>181</v>
      </c>
      <c r="H23" s="23" t="s">
        <v>76</v>
      </c>
      <c r="K23" s="23" t="s">
        <v>736</v>
      </c>
      <c r="L23" s="24">
        <v>52.366999999999997</v>
      </c>
      <c r="M23" s="123" t="s">
        <v>188</v>
      </c>
    </row>
    <row r="24" spans="1:13" x14ac:dyDescent="0.35">
      <c r="A24" s="23" t="s">
        <v>753</v>
      </c>
      <c r="B24" s="24">
        <f>SUMIF('Raw March'!B:B,'TB 0325'!A24,'Raw March'!C:C)</f>
        <v>30000000</v>
      </c>
      <c r="C24" s="24">
        <f>SUMIF('Raw March'!B:B,'TB 0325'!A24,'Raw March'!D:D)</f>
        <v>0</v>
      </c>
      <c r="D24" s="24">
        <f>SUMIF('Raw March'!B:B,'TB 0325'!A24,'Raw March'!E:E)</f>
        <v>30000000</v>
      </c>
      <c r="E24" s="24">
        <f t="shared" si="2"/>
        <v>0</v>
      </c>
      <c r="F24" s="24">
        <f t="shared" si="0"/>
        <v>0</v>
      </c>
      <c r="G24" s="22" t="s">
        <v>181</v>
      </c>
      <c r="H24" s="23" t="s">
        <v>76</v>
      </c>
      <c r="K24" s="23" t="s">
        <v>737</v>
      </c>
      <c r="L24" s="24">
        <v>94.033000000000001</v>
      </c>
      <c r="M24" s="123" t="s">
        <v>192</v>
      </c>
    </row>
    <row r="25" spans="1:13" x14ac:dyDescent="0.35">
      <c r="A25" s="23" t="s">
        <v>754</v>
      </c>
      <c r="B25" s="24">
        <f>SUMIF('Raw March'!B:B,'TB 0325'!A25,'Raw March'!C:C)</f>
        <v>2000000</v>
      </c>
      <c r="C25" s="24">
        <f>SUMIF('Raw March'!B:B,'TB 0325'!A25,'Raw March'!D:D)</f>
        <v>0</v>
      </c>
      <c r="D25" s="24">
        <f>SUMIF('Raw March'!B:B,'TB 0325'!A25,'Raw March'!E:E)</f>
        <v>0</v>
      </c>
      <c r="E25" s="24">
        <f t="shared" si="2"/>
        <v>2000000</v>
      </c>
      <c r="F25" s="24">
        <f t="shared" si="0"/>
        <v>2000</v>
      </c>
      <c r="G25" s="22" t="s">
        <v>181</v>
      </c>
      <c r="H25" s="23" t="s">
        <v>76</v>
      </c>
      <c r="K25" s="23" t="s">
        <v>738</v>
      </c>
      <c r="L25" s="24">
        <v>23.2</v>
      </c>
      <c r="M25" s="123" t="s">
        <v>268</v>
      </c>
    </row>
    <row r="26" spans="1:13" x14ac:dyDescent="0.35">
      <c r="A26" s="23" t="s">
        <v>773</v>
      </c>
      <c r="B26" s="24">
        <f>SUMIF('Raw March'!B:B,'TB 0325'!A26,'Raw March'!C:C)</f>
        <v>0</v>
      </c>
      <c r="C26" s="24">
        <f>SUMIF('Raw March'!B:B,'TB 0325'!A26,'Raw March'!D:D)</f>
        <v>24000000</v>
      </c>
      <c r="D26" s="24">
        <f>SUMIF('Raw March'!B:B,'TB 0325'!A26,'Raw March'!E:E)</f>
        <v>24000000</v>
      </c>
      <c r="E26" s="24">
        <f t="shared" si="2"/>
        <v>0</v>
      </c>
      <c r="F26" s="24">
        <f t="shared" si="0"/>
        <v>0</v>
      </c>
      <c r="G26" s="22" t="s">
        <v>181</v>
      </c>
      <c r="H26" s="23" t="s">
        <v>76</v>
      </c>
      <c r="K26" s="23" t="s">
        <v>740</v>
      </c>
      <c r="L26" s="24">
        <v>27.367000000000001</v>
      </c>
      <c r="M26" s="123" t="s">
        <v>268</v>
      </c>
    </row>
    <row r="27" spans="1:13" x14ac:dyDescent="0.35">
      <c r="A27" s="23" t="s">
        <v>774</v>
      </c>
      <c r="B27" s="24">
        <f>SUMIF('Raw March'!B:B,'TB 0325'!A27,'Raw March'!C:C)</f>
        <v>0</v>
      </c>
      <c r="C27" s="24">
        <f>SUMIF('Raw March'!B:B,'TB 0325'!A27,'Raw March'!D:D)</f>
        <v>10000000</v>
      </c>
      <c r="D27" s="24">
        <f>SUMIF('Raw March'!B:B,'TB 0325'!A27,'Raw March'!E:E)</f>
        <v>0</v>
      </c>
      <c r="E27" s="24">
        <f t="shared" si="2"/>
        <v>10000000</v>
      </c>
      <c r="F27" s="24">
        <f t="shared" si="0"/>
        <v>10000</v>
      </c>
      <c r="G27" s="22" t="s">
        <v>181</v>
      </c>
      <c r="H27" s="23" t="s">
        <v>76</v>
      </c>
      <c r="K27" s="23" t="s">
        <v>741</v>
      </c>
      <c r="L27" s="24">
        <v>27.367000000000001</v>
      </c>
      <c r="M27" s="123" t="s">
        <v>268</v>
      </c>
    </row>
    <row r="28" spans="1:13" x14ac:dyDescent="0.35">
      <c r="A28" s="23" t="s">
        <v>572</v>
      </c>
      <c r="B28" s="24">
        <f>SUMIF('Raw March'!B:B,'TB 0325'!A28,'Raw March'!C:C)</f>
        <v>371896.76</v>
      </c>
      <c r="C28" s="24">
        <f>SUMIF('Raw March'!B:B,'TB 0325'!A28,'Raw March'!D:D)</f>
        <v>54062137</v>
      </c>
      <c r="D28" s="24">
        <f>SUMIF('Raw March'!B:B,'TB 0325'!A28,'Raw March'!E:E)</f>
        <v>54300000</v>
      </c>
      <c r="E28" s="24">
        <f t="shared" si="2"/>
        <v>134033.75999999791</v>
      </c>
      <c r="F28" s="24">
        <f t="shared" si="0"/>
        <v>134.03375999999793</v>
      </c>
      <c r="G28" s="22" t="s">
        <v>181</v>
      </c>
      <c r="H28" s="23" t="s">
        <v>78</v>
      </c>
      <c r="K28" s="23" t="s">
        <v>742</v>
      </c>
      <c r="L28" s="24">
        <v>27.367000000000001</v>
      </c>
      <c r="M28" s="123" t="s">
        <v>268</v>
      </c>
    </row>
    <row r="29" spans="1:13" x14ac:dyDescent="0.35">
      <c r="A29" s="23" t="s">
        <v>573</v>
      </c>
      <c r="B29" s="24">
        <f>SUMIF('Raw March'!B:B,'TB 0325'!A29,'Raw March'!C:C)</f>
        <v>5211863.4800000004</v>
      </c>
      <c r="C29" s="24">
        <f>SUMIF('Raw March'!B:B,'TB 0325'!A29,'Raw March'!D:D)</f>
        <v>21755951.280000001</v>
      </c>
      <c r="D29" s="24">
        <f>SUMIF('Raw March'!B:B,'TB 0325'!A29,'Raw March'!E:E)</f>
        <v>20161078.25</v>
      </c>
      <c r="E29" s="24">
        <f t="shared" si="2"/>
        <v>6806736.5100000016</v>
      </c>
      <c r="F29" s="24">
        <f t="shared" si="0"/>
        <v>6806.7365100000015</v>
      </c>
      <c r="G29" s="22" t="s">
        <v>181</v>
      </c>
      <c r="H29" s="23" t="s">
        <v>78</v>
      </c>
      <c r="K29" s="23" t="s">
        <v>744</v>
      </c>
      <c r="L29" s="24">
        <v>273.2</v>
      </c>
      <c r="M29" s="123" t="s">
        <v>192</v>
      </c>
    </row>
    <row r="30" spans="1:13" x14ac:dyDescent="0.35">
      <c r="A30" s="23" t="s">
        <v>723</v>
      </c>
      <c r="B30" s="24">
        <f>SUMIF('Raw March'!B:B,'TB 0325'!A30,'Raw March'!C:C)</f>
        <v>2918239</v>
      </c>
      <c r="C30" s="24">
        <f>SUMIF('Raw March'!B:B,'TB 0325'!A30,'Raw March'!D:D)</f>
        <v>228700</v>
      </c>
      <c r="D30" s="24">
        <f>SUMIF('Raw March'!B:B,'TB 0325'!A30,'Raw March'!E:E)</f>
        <v>0</v>
      </c>
      <c r="E30" s="24">
        <f t="shared" si="2"/>
        <v>3146939</v>
      </c>
      <c r="F30" s="24">
        <f t="shared" si="0"/>
        <v>3146.9389999999999</v>
      </c>
      <c r="G30" s="22" t="s">
        <v>181</v>
      </c>
      <c r="H30" s="23" t="s">
        <v>71</v>
      </c>
      <c r="I30" s="23" t="s">
        <v>1397</v>
      </c>
      <c r="K30" s="23" t="s">
        <v>439</v>
      </c>
      <c r="L30" s="24">
        <v>248.2</v>
      </c>
      <c r="M30" s="123" t="s">
        <v>192</v>
      </c>
    </row>
    <row r="31" spans="1:13" x14ac:dyDescent="0.35">
      <c r="A31" s="23" t="s">
        <v>231</v>
      </c>
      <c r="B31" s="24">
        <f>SUMIF('Raw March'!B:B,'TB 0325'!A31,'Raw March'!C:C)</f>
        <v>55864.5</v>
      </c>
      <c r="C31" s="24">
        <f>SUMIF('Raw March'!B:B,'TB 0325'!A31,'Raw March'!D:D)</f>
        <v>87480.54</v>
      </c>
      <c r="D31" s="24">
        <f>SUMIF('Raw March'!B:B,'TB 0325'!A31,'Raw March'!E:E)</f>
        <v>0</v>
      </c>
      <c r="E31" s="24">
        <f t="shared" si="2"/>
        <v>143345.03999999998</v>
      </c>
      <c r="F31" s="24">
        <f t="shared" si="0"/>
        <v>143.34503999999998</v>
      </c>
      <c r="G31" s="22" t="s">
        <v>181</v>
      </c>
      <c r="H31" s="23" t="s">
        <v>71</v>
      </c>
      <c r="I31" s="23" t="s">
        <v>1397</v>
      </c>
      <c r="K31" s="23" t="s">
        <v>652</v>
      </c>
      <c r="L31" s="24">
        <v>98.2</v>
      </c>
      <c r="M31" s="123" t="s">
        <v>192</v>
      </c>
    </row>
    <row r="32" spans="1:13" x14ac:dyDescent="0.35">
      <c r="A32" s="23" t="s">
        <v>575</v>
      </c>
      <c r="B32" s="24">
        <f>SUMIF('Raw March'!B:B,'TB 0325'!A32,'Raw March'!C:C)</f>
        <v>170100.18</v>
      </c>
      <c r="C32" s="24">
        <f>SUMIF('Raw March'!B:B,'TB 0325'!A32,'Raw March'!D:D)</f>
        <v>0</v>
      </c>
      <c r="D32" s="24">
        <f>SUMIF('Raw March'!B:B,'TB 0325'!A32,'Raw March'!E:E)</f>
        <v>71350.16</v>
      </c>
      <c r="E32" s="24">
        <f t="shared" si="2"/>
        <v>98750.01999999999</v>
      </c>
      <c r="F32" s="24">
        <f t="shared" si="0"/>
        <v>98.750019999999992</v>
      </c>
      <c r="G32" s="22" t="s">
        <v>181</v>
      </c>
      <c r="H32" s="23" t="s">
        <v>79</v>
      </c>
      <c r="K32" s="23" t="s">
        <v>655</v>
      </c>
      <c r="L32" s="24">
        <v>389.86700000000002</v>
      </c>
      <c r="M32" s="123" t="s">
        <v>192</v>
      </c>
    </row>
    <row r="33" spans="1:13" x14ac:dyDescent="0.35">
      <c r="A33" s="23" t="s">
        <v>376</v>
      </c>
      <c r="B33" s="24">
        <f>SUMIF('Raw March'!B:B,'TB 0325'!A33,'Raw March'!C:C)</f>
        <v>77166.33</v>
      </c>
      <c r="C33" s="24">
        <f>SUMIF('Raw March'!B:B,'TB 0325'!A33,'Raw March'!D:D)</f>
        <v>2136973.31</v>
      </c>
      <c r="D33" s="24">
        <f>SUMIF('Raw March'!B:B,'TB 0325'!A33,'Raw March'!E:E)</f>
        <v>2062064.39</v>
      </c>
      <c r="E33" s="24">
        <f t="shared" si="2"/>
        <v>152075.25000000023</v>
      </c>
      <c r="F33" s="24">
        <f t="shared" si="0"/>
        <v>152.07525000000024</v>
      </c>
      <c r="G33" s="22" t="s">
        <v>181</v>
      </c>
      <c r="H33" s="23" t="s">
        <v>67</v>
      </c>
      <c r="K33" s="23" t="s">
        <v>451</v>
      </c>
      <c r="L33" s="24">
        <v>248.2</v>
      </c>
      <c r="M33" s="123" t="s">
        <v>192</v>
      </c>
    </row>
    <row r="34" spans="1:13" x14ac:dyDescent="0.35">
      <c r="A34" s="23" t="s">
        <v>576</v>
      </c>
      <c r="B34" s="24">
        <f>SUMIF('Raw March'!B:B,'TB 0325'!A34,'Raw March'!C:C)</f>
        <v>-3938490.95</v>
      </c>
      <c r="C34" s="24">
        <f>SUMIF('Raw March'!B:B,'TB 0325'!A34,'Raw March'!D:D)</f>
        <v>64997</v>
      </c>
      <c r="D34" s="24">
        <f>SUMIF('Raw March'!B:B,'TB 0325'!A34,'Raw March'!E:E)</f>
        <v>1658997.15</v>
      </c>
      <c r="E34" s="24">
        <f t="shared" si="2"/>
        <v>-5532491.0999999996</v>
      </c>
      <c r="F34" s="24">
        <f t="shared" si="0"/>
        <v>-5532.4910999999993</v>
      </c>
      <c r="G34" s="22" t="s">
        <v>181</v>
      </c>
      <c r="H34" s="23" t="s">
        <v>77</v>
      </c>
      <c r="K34" s="23" t="s">
        <v>658</v>
      </c>
      <c r="L34" s="24">
        <v>373.2</v>
      </c>
      <c r="M34" s="123" t="s">
        <v>192</v>
      </c>
    </row>
    <row r="35" spans="1:13" x14ac:dyDescent="0.35">
      <c r="A35" s="23" t="s">
        <v>577</v>
      </c>
      <c r="B35" s="24">
        <f>SUMIF('Raw March'!B:B,'TB 0325'!A35,'Raw March'!C:C)</f>
        <v>332686.3</v>
      </c>
      <c r="C35" s="24">
        <f>SUMIF('Raw March'!B:B,'TB 0325'!A35,'Raw March'!D:D)</f>
        <v>296990.3</v>
      </c>
      <c r="D35" s="24">
        <f>SUMIF('Raw March'!B:B,'TB 0325'!A35,'Raw March'!E:E)</f>
        <v>0</v>
      </c>
      <c r="E35" s="24">
        <f t="shared" si="2"/>
        <v>629676.6</v>
      </c>
      <c r="F35" s="24">
        <f t="shared" si="0"/>
        <v>629.67660000000001</v>
      </c>
      <c r="G35" s="22" t="s">
        <v>181</v>
      </c>
      <c r="H35" s="23" t="s">
        <v>79</v>
      </c>
      <c r="K35" s="23" t="s">
        <v>650</v>
      </c>
      <c r="L35" s="24">
        <v>381.56700000000001</v>
      </c>
      <c r="M35" s="123" t="s">
        <v>192</v>
      </c>
    </row>
    <row r="36" spans="1:13" x14ac:dyDescent="0.35">
      <c r="A36" s="23" t="s">
        <v>146</v>
      </c>
      <c r="B36" s="24">
        <f>SUMIF('Raw March'!B:B,'TB 0325'!A36,'Raw March'!C:C)</f>
        <v>1680000</v>
      </c>
      <c r="C36" s="24">
        <f>SUMIF('Raw March'!B:B,'TB 0325'!A36,'Raw March'!D:D)</f>
        <v>2516000</v>
      </c>
      <c r="D36" s="24">
        <f>SUMIF('Raw March'!B:B,'TB 0325'!A36,'Raw March'!E:E)</f>
        <v>0</v>
      </c>
      <c r="E36" s="24">
        <f t="shared" si="2"/>
        <v>4196000</v>
      </c>
      <c r="F36" s="24">
        <f t="shared" si="0"/>
        <v>4196</v>
      </c>
      <c r="G36" s="22" t="s">
        <v>181</v>
      </c>
      <c r="H36" s="23" t="s">
        <v>73</v>
      </c>
      <c r="K36" s="23" t="s">
        <v>666</v>
      </c>
      <c r="L36" s="24">
        <v>664.86699999999996</v>
      </c>
      <c r="M36" s="123" t="s">
        <v>192</v>
      </c>
    </row>
    <row r="37" spans="1:13" x14ac:dyDescent="0.35">
      <c r="A37" s="23" t="s">
        <v>345</v>
      </c>
      <c r="B37" s="24">
        <f>SUMIF('Raw March'!B:B,'TB 0325'!A37,'Raw March'!C:C)</f>
        <v>274179</v>
      </c>
      <c r="C37" s="24">
        <f>SUMIF('Raw March'!B:B,'TB 0325'!A37,'Raw March'!D:D)</f>
        <v>22260</v>
      </c>
      <c r="D37" s="24">
        <f>SUMIF('Raw March'!B:B,'TB 0325'!A37,'Raw March'!E:E)</f>
        <v>0</v>
      </c>
      <c r="E37" s="24">
        <f t="shared" si="2"/>
        <v>296439</v>
      </c>
      <c r="F37" s="24">
        <f t="shared" si="0"/>
        <v>296.43900000000002</v>
      </c>
      <c r="G37" s="22" t="s">
        <v>181</v>
      </c>
      <c r="H37" s="23" t="s">
        <v>79</v>
      </c>
      <c r="K37" s="23" t="s">
        <v>446</v>
      </c>
      <c r="L37" s="24">
        <v>12.103999999999999</v>
      </c>
      <c r="M37" s="123" t="s">
        <v>188</v>
      </c>
    </row>
    <row r="38" spans="1:13" x14ac:dyDescent="0.35">
      <c r="A38" s="23" t="s">
        <v>427</v>
      </c>
      <c r="B38" s="24">
        <f>SUMIF('Raw March'!B:B,'TB 0325'!A38,'Raw March'!C:C)</f>
        <v>-3579088.09</v>
      </c>
      <c r="C38" s="24">
        <f>SUMIF('Raw March'!B:B,'TB 0325'!A38,'Raw March'!D:D)</f>
        <v>19196009.530000001</v>
      </c>
      <c r="D38" s="24">
        <f>SUMIF('Raw March'!B:B,'TB 0325'!A38,'Raw March'!E:E)</f>
        <v>21935395.719999999</v>
      </c>
      <c r="E38" s="24">
        <f t="shared" si="2"/>
        <v>-6318474.2799999975</v>
      </c>
      <c r="F38" s="24">
        <f t="shared" si="0"/>
        <v>-6318.4742799999976</v>
      </c>
      <c r="G38" s="22" t="s">
        <v>180</v>
      </c>
      <c r="H38" s="23" t="s">
        <v>67</v>
      </c>
      <c r="K38" s="23" t="s">
        <v>659</v>
      </c>
      <c r="L38" s="24">
        <v>20.661999999999999</v>
      </c>
      <c r="M38" s="123" t="s">
        <v>268</v>
      </c>
    </row>
    <row r="39" spans="1:13" x14ac:dyDescent="0.35">
      <c r="A39" s="23" t="s">
        <v>423</v>
      </c>
      <c r="B39" s="24">
        <f>SUMIF('Raw March'!B:B,'TB 0325'!A39,'Raw March'!C:C)</f>
        <v>-290582.27</v>
      </c>
      <c r="C39" s="24">
        <f>SUMIF('Raw March'!B:B,'TB 0325'!A39,'Raw March'!D:D)</f>
        <v>96801</v>
      </c>
      <c r="D39" s="24">
        <f>SUMIF('Raw March'!B:B,'TB 0325'!A39,'Raw March'!E:E)</f>
        <v>64997</v>
      </c>
      <c r="E39" s="24">
        <f t="shared" si="2"/>
        <v>-258778.27000000002</v>
      </c>
      <c r="F39" s="24">
        <f t="shared" si="0"/>
        <v>-258.77827000000002</v>
      </c>
      <c r="G39" s="22" t="s">
        <v>180</v>
      </c>
      <c r="H39" s="23" t="s">
        <v>68</v>
      </c>
      <c r="K39" s="23" t="s">
        <v>668</v>
      </c>
      <c r="L39" s="24">
        <v>23.225000000000001</v>
      </c>
      <c r="M39" s="123" t="s">
        <v>188</v>
      </c>
    </row>
    <row r="40" spans="1:13" x14ac:dyDescent="0.35">
      <c r="A40" s="23" t="s">
        <v>578</v>
      </c>
      <c r="B40" s="24">
        <f>SUMIF('Raw March'!B:B,'TB 0325'!A40,'Raw March'!C:C)</f>
        <v>-152893</v>
      </c>
      <c r="C40" s="24">
        <f>SUMIF('Raw March'!B:B,'TB 0325'!A40,'Raw March'!D:D)</f>
        <v>152893</v>
      </c>
      <c r="D40" s="24">
        <f>SUMIF('Raw March'!B:B,'TB 0325'!A40,'Raw March'!E:E)</f>
        <v>123277.59</v>
      </c>
      <c r="E40" s="24">
        <f t="shared" si="2"/>
        <v>-123277.59</v>
      </c>
      <c r="F40" s="24">
        <f t="shared" si="0"/>
        <v>-123.27759</v>
      </c>
      <c r="G40" s="22" t="s">
        <v>180</v>
      </c>
      <c r="H40" s="23" t="s">
        <v>68</v>
      </c>
      <c r="K40" s="23" t="s">
        <v>743</v>
      </c>
      <c r="L40" s="24">
        <v>26.484000000000002</v>
      </c>
      <c r="M40" s="123" t="s">
        <v>268</v>
      </c>
    </row>
    <row r="41" spans="1:13" x14ac:dyDescent="0.35">
      <c r="A41" s="23" t="s">
        <v>622</v>
      </c>
      <c r="B41" s="24">
        <f>SUMIF('Raw March'!B:B,'TB 0325'!A41,'Raw March'!C:C)</f>
        <v>-44756</v>
      </c>
      <c r="C41" s="24">
        <f>SUMIF('Raw March'!B:B,'TB 0325'!A41,'Raw March'!D:D)</f>
        <v>44756</v>
      </c>
      <c r="D41" s="24">
        <f>SUMIF('Raw March'!B:B,'TB 0325'!A41,'Raw March'!E:E)</f>
        <v>106847</v>
      </c>
      <c r="E41" s="24">
        <f t="shared" si="2"/>
        <v>-106847</v>
      </c>
      <c r="F41" s="24">
        <f t="shared" si="0"/>
        <v>-106.84699999999999</v>
      </c>
      <c r="G41" s="22" t="s">
        <v>180</v>
      </c>
      <c r="H41" s="23" t="s">
        <v>68</v>
      </c>
      <c r="K41" s="23" t="s">
        <v>781</v>
      </c>
      <c r="L41" s="24">
        <v>127.959</v>
      </c>
      <c r="M41" s="123" t="s">
        <v>192</v>
      </c>
    </row>
    <row r="42" spans="1:13" x14ac:dyDescent="0.35">
      <c r="A42" s="23" t="s">
        <v>775</v>
      </c>
      <c r="B42" s="24">
        <f>SUMIF('Raw March'!B:B,'TB 0325'!A42,'Raw March'!C:C)</f>
        <v>0</v>
      </c>
      <c r="C42" s="24">
        <f>SUMIF('Raw March'!B:B,'TB 0325'!A42,'Raw March'!D:D)</f>
        <v>0</v>
      </c>
      <c r="D42" s="24">
        <f>SUMIF('Raw March'!B:B,'TB 0325'!A42,'Raw March'!E:E)</f>
        <v>118</v>
      </c>
      <c r="E42" s="24">
        <f t="shared" si="2"/>
        <v>-118</v>
      </c>
      <c r="F42" s="24">
        <f>E42/1000</f>
        <v>-0.11799999999999999</v>
      </c>
      <c r="G42" s="22" t="s">
        <v>180</v>
      </c>
      <c r="H42" s="23" t="s">
        <v>68</v>
      </c>
      <c r="K42" s="23" t="s">
        <v>782</v>
      </c>
      <c r="L42" s="24">
        <v>59.540999999999997</v>
      </c>
      <c r="M42" s="123" t="s">
        <v>188</v>
      </c>
    </row>
    <row r="43" spans="1:13" x14ac:dyDescent="0.35">
      <c r="A43" s="23" t="s">
        <v>776</v>
      </c>
      <c r="B43" s="24">
        <f>SUMIF('Raw March'!B:B,'TB 0325'!A43,'Raw March'!C:C)</f>
        <v>0</v>
      </c>
      <c r="C43" s="24">
        <f>SUMIF('Raw March'!B:B,'TB 0325'!A43,'Raw March'!D:D)</f>
        <v>0</v>
      </c>
      <c r="D43" s="24">
        <f>SUMIF('Raw March'!B:B,'TB 0325'!A43,'Raw March'!E:E)</f>
        <v>507</v>
      </c>
      <c r="E43" s="24">
        <f t="shared" si="2"/>
        <v>-507</v>
      </c>
      <c r="F43" s="24">
        <f>E43/1000</f>
        <v>-0.50700000000000001</v>
      </c>
      <c r="G43" s="22" t="s">
        <v>180</v>
      </c>
      <c r="H43" s="23" t="s">
        <v>68</v>
      </c>
      <c r="K43" s="23" t="s">
        <v>783</v>
      </c>
      <c r="L43" s="24">
        <v>28.722000000000001</v>
      </c>
      <c r="M43" s="123" t="s">
        <v>268</v>
      </c>
    </row>
    <row r="44" spans="1:13" x14ac:dyDescent="0.35">
      <c r="A44" s="23" t="s">
        <v>579</v>
      </c>
      <c r="B44" s="24">
        <f>SUMIF('Raw March'!B:B,'TB 0325'!A44,'Raw March'!C:C)</f>
        <v>-63525.2</v>
      </c>
      <c r="C44" s="24">
        <f>SUMIF('Raw March'!B:B,'TB 0325'!A44,'Raw March'!D:D)</f>
        <v>65194</v>
      </c>
      <c r="D44" s="24">
        <f>SUMIF('Raw March'!B:B,'TB 0325'!A44,'Raw March'!E:E)</f>
        <v>79120.19</v>
      </c>
      <c r="E44" s="24">
        <f t="shared" si="2"/>
        <v>-77451.39</v>
      </c>
      <c r="F44" s="24">
        <f t="shared" si="0"/>
        <v>-77.451390000000004</v>
      </c>
      <c r="G44" s="22" t="s">
        <v>180</v>
      </c>
      <c r="H44" s="23" t="s">
        <v>79</v>
      </c>
      <c r="K44" s="23" t="s">
        <v>784</v>
      </c>
      <c r="L44" s="24">
        <v>32.253999999999998</v>
      </c>
      <c r="M44" s="123" t="s">
        <v>192</v>
      </c>
    </row>
    <row r="45" spans="1:13" x14ac:dyDescent="0.35">
      <c r="A45" s="23" t="s">
        <v>580</v>
      </c>
      <c r="B45" s="24">
        <f>SUMIF('Raw March'!B:B,'TB 0325'!A45,'Raw March'!C:C)</f>
        <v>-20663.580000000002</v>
      </c>
      <c r="C45" s="24">
        <f>SUMIF('Raw March'!B:B,'TB 0325'!A45,'Raw March'!D:D)</f>
        <v>20664</v>
      </c>
      <c r="D45" s="24">
        <f>SUMIF('Raw March'!B:B,'TB 0325'!A45,'Raw March'!E:E)</f>
        <v>285650.3</v>
      </c>
      <c r="E45" s="24">
        <f t="shared" si="2"/>
        <v>-285649.88</v>
      </c>
      <c r="F45" s="24">
        <f t="shared" si="0"/>
        <v>-285.64988</v>
      </c>
      <c r="G45" s="22" t="s">
        <v>180</v>
      </c>
      <c r="H45" s="23" t="s">
        <v>79</v>
      </c>
      <c r="K45" s="23" t="s">
        <v>785</v>
      </c>
      <c r="L45" s="24">
        <v>33.137</v>
      </c>
      <c r="M45" s="123" t="s">
        <v>190</v>
      </c>
    </row>
    <row r="46" spans="1:13" x14ac:dyDescent="0.35">
      <c r="A46" s="23" t="s">
        <v>581</v>
      </c>
      <c r="B46" s="24">
        <f>SUMIF('Raw March'!B:B,'TB 0325'!A46,'Raw March'!C:C)</f>
        <v>-63525.2</v>
      </c>
      <c r="C46" s="24">
        <f>SUMIF('Raw March'!B:B,'TB 0325'!A46,'Raw March'!D:D)</f>
        <v>65194</v>
      </c>
      <c r="D46" s="24">
        <f>SUMIF('Raw March'!B:B,'TB 0325'!A46,'Raw March'!E:E)</f>
        <v>79120.19</v>
      </c>
      <c r="E46" s="24">
        <f t="shared" si="2"/>
        <v>-77451.39</v>
      </c>
      <c r="F46" s="24">
        <f t="shared" si="0"/>
        <v>-77.451390000000004</v>
      </c>
      <c r="G46" s="22" t="s">
        <v>180</v>
      </c>
      <c r="H46" s="23" t="s">
        <v>79</v>
      </c>
      <c r="K46" s="23" t="s">
        <v>786</v>
      </c>
      <c r="L46" s="24">
        <v>26.361999999999998</v>
      </c>
      <c r="M46" s="123" t="s">
        <v>190</v>
      </c>
    </row>
    <row r="47" spans="1:13" x14ac:dyDescent="0.35">
      <c r="A47" s="23" t="s">
        <v>582</v>
      </c>
      <c r="B47" s="24">
        <f>SUMIF('Raw March'!B:B,'TB 0325'!A47,'Raw March'!C:C)</f>
        <v>-10675</v>
      </c>
      <c r="C47" s="24">
        <f>SUMIF('Raw March'!B:B,'TB 0325'!A47,'Raw March'!D:D)</f>
        <v>10675</v>
      </c>
      <c r="D47" s="24">
        <f>SUMIF('Raw March'!B:B,'TB 0325'!A47,'Raw March'!E:E)</f>
        <v>16200</v>
      </c>
      <c r="E47" s="24">
        <f t="shared" si="2"/>
        <v>-16200</v>
      </c>
      <c r="F47" s="24">
        <f t="shared" si="0"/>
        <v>-16.2</v>
      </c>
      <c r="G47" s="22" t="s">
        <v>180</v>
      </c>
      <c r="H47" s="23" t="s">
        <v>68</v>
      </c>
      <c r="K47" s="23" t="s">
        <v>787</v>
      </c>
      <c r="L47" s="24">
        <v>53.792999999999999</v>
      </c>
      <c r="M47" s="123" t="s">
        <v>192</v>
      </c>
    </row>
    <row r="48" spans="1:13" x14ac:dyDescent="0.35">
      <c r="A48" s="23" t="s">
        <v>583</v>
      </c>
      <c r="B48" s="24">
        <f>SUMIF('Raw March'!B:B,'TB 0325'!A48,'Raw March'!C:C)</f>
        <v>-70891</v>
      </c>
      <c r="C48" s="24">
        <f>SUMIF('Raw March'!B:B,'TB 0325'!A48,'Raw March'!D:D)</f>
        <v>70891</v>
      </c>
      <c r="D48" s="24">
        <f>SUMIF('Raw March'!B:B,'TB 0325'!A48,'Raw March'!E:E)</f>
        <v>175892</v>
      </c>
      <c r="E48" s="24">
        <f t="shared" si="2"/>
        <v>-175892</v>
      </c>
      <c r="F48" s="24">
        <f t="shared" ref="F48:F78" si="3">E48/1000</f>
        <v>-175.892</v>
      </c>
      <c r="G48" s="22" t="s">
        <v>180</v>
      </c>
      <c r="H48" s="23" t="s">
        <v>68</v>
      </c>
      <c r="K48" s="23" t="s">
        <v>788</v>
      </c>
      <c r="L48" s="24">
        <v>26.515000000000001</v>
      </c>
      <c r="M48" s="123" t="s">
        <v>268</v>
      </c>
    </row>
    <row r="49" spans="1:13" x14ac:dyDescent="0.35">
      <c r="A49" s="23" t="s">
        <v>584</v>
      </c>
      <c r="B49" s="24">
        <f>SUMIF('Raw March'!B:B,'TB 0325'!A49,'Raw March'!C:C)</f>
        <v>-70891</v>
      </c>
      <c r="C49" s="24">
        <f>SUMIF('Raw March'!B:B,'TB 0325'!A49,'Raw March'!D:D)</f>
        <v>70891</v>
      </c>
      <c r="D49" s="24">
        <f>SUMIF('Raw March'!B:B,'TB 0325'!A49,'Raw March'!E:E)</f>
        <v>175892</v>
      </c>
      <c r="E49" s="24">
        <f t="shared" si="2"/>
        <v>-175892</v>
      </c>
      <c r="F49" s="24">
        <f t="shared" si="3"/>
        <v>-175.892</v>
      </c>
      <c r="G49" s="22" t="s">
        <v>180</v>
      </c>
      <c r="H49" s="23" t="s">
        <v>68</v>
      </c>
      <c r="K49" s="23" t="s">
        <v>789</v>
      </c>
      <c r="L49" s="24">
        <v>52.073</v>
      </c>
      <c r="M49" s="123" t="s">
        <v>192</v>
      </c>
    </row>
    <row r="50" spans="1:13" x14ac:dyDescent="0.35">
      <c r="A50" s="23" t="s">
        <v>585</v>
      </c>
      <c r="B50" s="24">
        <f>SUMIF('Raw March'!B:B,'TB 0325'!A50,'Raw March'!C:C)</f>
        <v>-19200</v>
      </c>
      <c r="C50" s="24">
        <f>SUMIF('Raw March'!B:B,'TB 0325'!A50,'Raw March'!D:D)</f>
        <v>19200</v>
      </c>
      <c r="D50" s="24">
        <f>SUMIF('Raw March'!B:B,'TB 0325'!A50,'Raw March'!E:E)</f>
        <v>31600</v>
      </c>
      <c r="E50" s="24">
        <f t="shared" si="2"/>
        <v>-31600</v>
      </c>
      <c r="F50" s="24">
        <f t="shared" si="3"/>
        <v>-31.6</v>
      </c>
      <c r="G50" s="22" t="s">
        <v>180</v>
      </c>
      <c r="H50" s="23" t="s">
        <v>69</v>
      </c>
      <c r="K50" s="23" t="s">
        <v>790</v>
      </c>
      <c r="L50" s="24">
        <v>75.814999999999998</v>
      </c>
      <c r="M50" s="123" t="s">
        <v>192</v>
      </c>
    </row>
    <row r="51" spans="1:13" x14ac:dyDescent="0.35">
      <c r="A51" s="23" t="s">
        <v>425</v>
      </c>
      <c r="B51" s="24">
        <f>SUMIF('Raw March'!B:B,'TB 0325'!A51,'Raw March'!C:C)</f>
        <v>-725273.81</v>
      </c>
      <c r="C51" s="24">
        <f>SUMIF('Raw March'!B:B,'TB 0325'!A51,'Raw March'!D:D)</f>
        <v>728182</v>
      </c>
      <c r="D51" s="24">
        <f>SUMIF('Raw March'!B:B,'TB 0325'!A51,'Raw March'!E:E)</f>
        <v>795368.8</v>
      </c>
      <c r="E51" s="24">
        <f t="shared" si="2"/>
        <v>-792460.6100000001</v>
      </c>
      <c r="F51" s="24">
        <f t="shared" si="3"/>
        <v>-792.46061000000009</v>
      </c>
      <c r="G51" s="22" t="s">
        <v>180</v>
      </c>
      <c r="H51" s="23" t="s">
        <v>68</v>
      </c>
      <c r="K51" s="23" t="s">
        <v>791</v>
      </c>
      <c r="L51" s="24">
        <v>64.007999999999996</v>
      </c>
      <c r="M51" s="123" t="s">
        <v>192</v>
      </c>
    </row>
    <row r="52" spans="1:13" x14ac:dyDescent="0.35">
      <c r="A52" s="23" t="s">
        <v>587</v>
      </c>
      <c r="B52" s="24">
        <f>SUMIF('Raw March'!B:B,'TB 0325'!A52,'Raw March'!C:C)</f>
        <v>-132793</v>
      </c>
      <c r="C52" s="24">
        <f>SUMIF('Raw March'!B:B,'TB 0325'!A52,'Raw March'!D:D)</f>
        <v>87500</v>
      </c>
      <c r="D52" s="24">
        <f>SUMIF('Raw March'!B:B,'TB 0325'!A52,'Raw March'!E:E)</f>
        <v>53987</v>
      </c>
      <c r="E52" s="24">
        <f t="shared" si="2"/>
        <v>-99280</v>
      </c>
      <c r="F52" s="24">
        <f t="shared" si="3"/>
        <v>-99.28</v>
      </c>
      <c r="G52" s="22" t="s">
        <v>180</v>
      </c>
      <c r="H52" s="23" t="s">
        <v>68</v>
      </c>
      <c r="K52" s="23" t="s">
        <v>792</v>
      </c>
      <c r="L52" s="24">
        <v>24.856999999999999</v>
      </c>
      <c r="M52" s="123" t="s">
        <v>268</v>
      </c>
    </row>
    <row r="53" spans="1:13" x14ac:dyDescent="0.35">
      <c r="A53" s="23" t="s">
        <v>588</v>
      </c>
      <c r="B53" s="24">
        <f>SUMIF('Raw March'!B:B,'TB 0325'!A53,'Raw March'!C:C)</f>
        <v>41291690.890000001</v>
      </c>
      <c r="C53" s="24">
        <f>SUMIF('Raw March'!B:B,'TB 0325'!A53,'Raw March'!D:D)</f>
        <v>0</v>
      </c>
      <c r="D53" s="24">
        <f>SUMIF('Raw March'!B:B,'TB 0325'!A53,'Raw March'!E:E)</f>
        <v>0</v>
      </c>
      <c r="E53" s="24">
        <f t="shared" si="2"/>
        <v>41291690.890000001</v>
      </c>
      <c r="F53" s="24">
        <f t="shared" si="3"/>
        <v>41291.690889999998</v>
      </c>
      <c r="G53" s="22" t="s">
        <v>180</v>
      </c>
      <c r="H53" s="23" t="s">
        <v>64</v>
      </c>
      <c r="K53" s="23" t="s">
        <v>793</v>
      </c>
      <c r="L53" s="24">
        <v>27.367000000000001</v>
      </c>
      <c r="M53" s="123" t="s">
        <v>188</v>
      </c>
    </row>
    <row r="54" spans="1:13" x14ac:dyDescent="0.35">
      <c r="A54" s="23" t="s">
        <v>589</v>
      </c>
      <c r="B54" s="24">
        <f>SUMIF('Raw March'!B:B,'TB 0325'!A54,'Raw March'!C:C)</f>
        <v>-100000</v>
      </c>
      <c r="C54" s="24">
        <f>SUMIF('Raw March'!B:B,'TB 0325'!A54,'Raw March'!D:D)</f>
        <v>0</v>
      </c>
      <c r="D54" s="24">
        <f>SUMIF('Raw March'!B:B,'TB 0325'!A54,'Raw March'!E:E)</f>
        <v>0</v>
      </c>
      <c r="E54" s="24">
        <f t="shared" si="2"/>
        <v>-100000</v>
      </c>
      <c r="F54" s="24">
        <f t="shared" si="3"/>
        <v>-100</v>
      </c>
      <c r="G54" s="22" t="s">
        <v>180</v>
      </c>
      <c r="H54" s="23" t="s">
        <v>63</v>
      </c>
      <c r="K54" s="23" t="s">
        <v>794</v>
      </c>
      <c r="L54" s="24">
        <v>106.533</v>
      </c>
      <c r="M54" s="123" t="s">
        <v>192</v>
      </c>
    </row>
    <row r="55" spans="1:13" x14ac:dyDescent="0.35">
      <c r="A55" s="23" t="s">
        <v>698</v>
      </c>
      <c r="B55" s="24">
        <f>SUMIF('Raw March'!B:B,'TB 0325'!A55,'Raw March'!C:C)</f>
        <v>-10</v>
      </c>
      <c r="C55" s="24">
        <f>SUMIF('Raw March'!B:B,'TB 0325'!A55,'Raw March'!D:D)</f>
        <v>0</v>
      </c>
      <c r="D55" s="24">
        <f>SUMIF('Raw March'!B:B,'TB 0325'!A55,'Raw March'!E:E)</f>
        <v>0</v>
      </c>
      <c r="E55" s="24">
        <f t="shared" si="2"/>
        <v>-10</v>
      </c>
      <c r="F55" s="24">
        <f t="shared" si="3"/>
        <v>-0.01</v>
      </c>
      <c r="G55" s="22" t="s">
        <v>180</v>
      </c>
      <c r="H55" s="23" t="s">
        <v>63</v>
      </c>
      <c r="K55" s="23" t="s">
        <v>672</v>
      </c>
      <c r="L55" s="24">
        <v>48.2</v>
      </c>
      <c r="M55" s="123" t="s">
        <v>192</v>
      </c>
    </row>
    <row r="56" spans="1:13" x14ac:dyDescent="0.35">
      <c r="A56" s="23" t="s">
        <v>699</v>
      </c>
      <c r="B56" s="24">
        <f>SUMIF('Raw March'!B:B,'TB 0325'!A56,'Raw March'!C:C)</f>
        <v>-4091400</v>
      </c>
      <c r="C56" s="24">
        <f>SUMIF('Raw March'!B:B,'TB 0325'!A56,'Raw March'!D:D)</f>
        <v>0</v>
      </c>
      <c r="D56" s="24">
        <f>SUMIF('Raw March'!B:B,'TB 0325'!A56,'Raw March'!E:E)</f>
        <v>0</v>
      </c>
      <c r="E56" s="24">
        <f t="shared" si="2"/>
        <v>-4091400</v>
      </c>
      <c r="F56" s="24">
        <f t="shared" si="3"/>
        <v>-4091.4</v>
      </c>
      <c r="G56" s="22" t="s">
        <v>180</v>
      </c>
      <c r="H56" s="23" t="s">
        <v>63</v>
      </c>
      <c r="K56" s="23" t="s">
        <v>795</v>
      </c>
      <c r="L56" s="24">
        <v>27.367000000000001</v>
      </c>
      <c r="M56" s="123" t="s">
        <v>188</v>
      </c>
    </row>
    <row r="57" spans="1:13" x14ac:dyDescent="0.35">
      <c r="A57" s="23" t="s">
        <v>700</v>
      </c>
      <c r="B57" s="24">
        <f>SUMIF('Raw March'!B:B,'TB 0325'!A57,'Raw March'!C:C)</f>
        <v>-10800</v>
      </c>
      <c r="C57" s="24">
        <f>SUMIF('Raw March'!B:B,'TB 0325'!A57,'Raw March'!D:D)</f>
        <v>0</v>
      </c>
      <c r="D57" s="24">
        <f>SUMIF('Raw March'!B:B,'TB 0325'!A57,'Raw March'!E:E)</f>
        <v>0</v>
      </c>
      <c r="E57" s="24">
        <f t="shared" si="2"/>
        <v>-10800</v>
      </c>
      <c r="F57" s="24">
        <f t="shared" si="3"/>
        <v>-10.8</v>
      </c>
      <c r="G57" s="22" t="s">
        <v>180</v>
      </c>
      <c r="H57" s="23" t="s">
        <v>63</v>
      </c>
      <c r="K57" s="23" t="s">
        <v>796</v>
      </c>
      <c r="L57" s="24">
        <v>115.252</v>
      </c>
      <c r="M57" s="123" t="s">
        <v>192</v>
      </c>
    </row>
    <row r="58" spans="1:13" x14ac:dyDescent="0.35">
      <c r="A58" s="23" t="s">
        <v>590</v>
      </c>
      <c r="B58" s="24">
        <f>SUMIF('Raw March'!B:B,'TB 0325'!A58,'Raw March'!C:C)</f>
        <v>-10</v>
      </c>
      <c r="C58" s="24">
        <f>SUMIF('Raw March'!B:B,'TB 0325'!A58,'Raw March'!D:D)</f>
        <v>0</v>
      </c>
      <c r="D58" s="24">
        <f>SUMIF('Raw March'!B:B,'TB 0325'!A58,'Raw March'!E:E)</f>
        <v>0</v>
      </c>
      <c r="E58" s="24">
        <f t="shared" si="2"/>
        <v>-10</v>
      </c>
      <c r="F58" s="24">
        <f t="shared" si="3"/>
        <v>-0.01</v>
      </c>
      <c r="G58" s="22" t="s">
        <v>180</v>
      </c>
      <c r="H58" s="23" t="s">
        <v>63</v>
      </c>
      <c r="K58" s="23" t="s">
        <v>797</v>
      </c>
      <c r="L58" s="24">
        <v>26.484999999999999</v>
      </c>
      <c r="M58" s="123" t="s">
        <v>190</v>
      </c>
    </row>
    <row r="59" spans="1:13" x14ac:dyDescent="0.35">
      <c r="A59" s="23" t="s">
        <v>591</v>
      </c>
      <c r="B59" s="24">
        <f>SUMIF('Raw March'!B:B,'TB 0325'!A59,'Raw March'!C:C)</f>
        <v>-5126000</v>
      </c>
      <c r="C59" s="24">
        <f>SUMIF('Raw March'!B:B,'TB 0325'!A59,'Raw March'!D:D)</f>
        <v>0</v>
      </c>
      <c r="D59" s="24">
        <f>SUMIF('Raw March'!B:B,'TB 0325'!A59,'Raw March'!E:E)</f>
        <v>0</v>
      </c>
      <c r="E59" s="24">
        <f t="shared" si="2"/>
        <v>-5126000</v>
      </c>
      <c r="F59" s="24">
        <f t="shared" si="3"/>
        <v>-5126</v>
      </c>
      <c r="G59" s="22" t="s">
        <v>180</v>
      </c>
      <c r="H59" s="23" t="s">
        <v>63</v>
      </c>
      <c r="K59" s="23" t="s">
        <v>798</v>
      </c>
      <c r="L59" s="24">
        <v>25.602</v>
      </c>
      <c r="M59" s="123" t="s">
        <v>188</v>
      </c>
    </row>
    <row r="60" spans="1:13" x14ac:dyDescent="0.35">
      <c r="A60" s="23" t="s">
        <v>701</v>
      </c>
      <c r="B60" s="24">
        <f>SUMIF('Raw March'!B:B,'TB 0325'!A60,'Raw March'!C:C)</f>
        <v>-16200</v>
      </c>
      <c r="C60" s="24">
        <f>SUMIF('Raw March'!B:B,'TB 0325'!A60,'Raw March'!D:D)</f>
        <v>0</v>
      </c>
      <c r="D60" s="24">
        <f>SUMIF('Raw March'!B:B,'TB 0325'!A60,'Raw March'!E:E)</f>
        <v>0</v>
      </c>
      <c r="E60" s="24">
        <f t="shared" si="2"/>
        <v>-16200</v>
      </c>
      <c r="F60" s="24">
        <f t="shared" si="3"/>
        <v>-16.2</v>
      </c>
      <c r="G60" s="22" t="s">
        <v>180</v>
      </c>
      <c r="H60" s="23" t="s">
        <v>63</v>
      </c>
      <c r="K60" s="23" t="s">
        <v>799</v>
      </c>
      <c r="L60" s="24">
        <v>84.07</v>
      </c>
      <c r="M60" s="123" t="s">
        <v>192</v>
      </c>
    </row>
    <row r="61" spans="1:13" x14ac:dyDescent="0.35">
      <c r="A61" s="23" t="s">
        <v>702</v>
      </c>
      <c r="B61" s="24">
        <f>SUMIF('Raw March'!B:B,'TB 0325'!A61,'Raw March'!C:C)</f>
        <v>-5400</v>
      </c>
      <c r="C61" s="24">
        <f>SUMIF('Raw March'!B:B,'TB 0325'!A61,'Raw March'!D:D)</f>
        <v>0</v>
      </c>
      <c r="D61" s="24">
        <f>SUMIF('Raw March'!B:B,'TB 0325'!A61,'Raw March'!E:E)</f>
        <v>0</v>
      </c>
      <c r="E61" s="24">
        <f t="shared" si="2"/>
        <v>-5400</v>
      </c>
      <c r="F61" s="24">
        <f t="shared" si="3"/>
        <v>-5.4</v>
      </c>
      <c r="G61" s="22" t="s">
        <v>180</v>
      </c>
      <c r="H61" s="23" t="s">
        <v>63</v>
      </c>
      <c r="K61" s="23" t="s">
        <v>800</v>
      </c>
      <c r="L61" s="24">
        <v>25.602</v>
      </c>
      <c r="M61" s="123" t="s">
        <v>188</v>
      </c>
    </row>
    <row r="62" spans="1:13" x14ac:dyDescent="0.35">
      <c r="A62" s="23" t="s">
        <v>703</v>
      </c>
      <c r="B62" s="24">
        <f>SUMIF('Raw March'!B:B,'TB 0325'!A62,'Raw March'!C:C)</f>
        <v>-37800</v>
      </c>
      <c r="C62" s="24">
        <f>SUMIF('Raw March'!B:B,'TB 0325'!A62,'Raw March'!D:D)</f>
        <v>0</v>
      </c>
      <c r="D62" s="24">
        <f>SUMIF('Raw March'!B:B,'TB 0325'!A62,'Raw March'!E:E)</f>
        <v>0</v>
      </c>
      <c r="E62" s="24">
        <f t="shared" si="2"/>
        <v>-37800</v>
      </c>
      <c r="F62" s="24">
        <f t="shared" si="3"/>
        <v>-37.799999999999997</v>
      </c>
      <c r="G62" s="22" t="s">
        <v>180</v>
      </c>
      <c r="H62" s="23" t="s">
        <v>63</v>
      </c>
      <c r="K62" s="23" t="s">
        <v>801</v>
      </c>
      <c r="L62" s="24">
        <v>299.44900000000001</v>
      </c>
      <c r="M62" s="123" t="s">
        <v>192</v>
      </c>
    </row>
    <row r="63" spans="1:13" x14ac:dyDescent="0.35">
      <c r="A63" s="23" t="s">
        <v>592</v>
      </c>
      <c r="B63" s="24">
        <f>SUMIF('Raw March'!B:B,'TB 0325'!A63,'Raw March'!C:C)</f>
        <v>-545637669.75999999</v>
      </c>
      <c r="C63" s="24">
        <f>SUMIF('Raw March'!B:B,'TB 0325'!A63,'Raw March'!D:D)</f>
        <v>0</v>
      </c>
      <c r="D63" s="24">
        <f>SUMIF('Raw March'!B:B,'TB 0325'!A63,'Raw March'!E:E)</f>
        <v>0</v>
      </c>
      <c r="E63" s="24">
        <f t="shared" si="2"/>
        <v>-545637669.75999999</v>
      </c>
      <c r="F63" s="24">
        <f t="shared" si="3"/>
        <v>-545637.66975999996</v>
      </c>
      <c r="G63" s="22" t="s">
        <v>180</v>
      </c>
      <c r="H63" s="23" t="s">
        <v>64</v>
      </c>
      <c r="K63" s="23" t="s">
        <v>802</v>
      </c>
      <c r="L63" s="24">
        <v>24.719000000000001</v>
      </c>
      <c r="M63" s="123" t="s">
        <v>192</v>
      </c>
    </row>
    <row r="64" spans="1:13" x14ac:dyDescent="0.35">
      <c r="A64" s="23" t="s">
        <v>704</v>
      </c>
      <c r="B64" s="24">
        <f>SUMIF('Raw March'!B:B,'TB 0325'!A64,'Raw March'!C:C)</f>
        <v>-5400</v>
      </c>
      <c r="C64" s="24">
        <f>SUMIF('Raw March'!B:B,'TB 0325'!A64,'Raw March'!D:D)</f>
        <v>0</v>
      </c>
      <c r="D64" s="24">
        <f>SUMIF('Raw March'!B:B,'TB 0325'!A64,'Raw March'!E:E)</f>
        <v>0</v>
      </c>
      <c r="E64" s="24">
        <f t="shared" si="2"/>
        <v>-5400</v>
      </c>
      <c r="F64" s="24">
        <f t="shared" si="3"/>
        <v>-5.4</v>
      </c>
      <c r="G64" s="22" t="s">
        <v>180</v>
      </c>
      <c r="H64" s="23" t="s">
        <v>63</v>
      </c>
      <c r="K64" s="23" t="s">
        <v>803</v>
      </c>
      <c r="L64" s="24">
        <v>51.415999999999997</v>
      </c>
      <c r="M64" s="123" t="s">
        <v>192</v>
      </c>
    </row>
    <row r="65" spans="1:13" x14ac:dyDescent="0.35">
      <c r="A65" s="23" t="s">
        <v>705</v>
      </c>
      <c r="B65" s="24">
        <f>SUMIF('Raw March'!B:B,'TB 0325'!A65,'Raw March'!C:C)</f>
        <v>-5400</v>
      </c>
      <c r="C65" s="24">
        <f>SUMIF('Raw March'!B:B,'TB 0325'!A65,'Raw March'!D:D)</f>
        <v>0</v>
      </c>
      <c r="D65" s="24">
        <f>SUMIF('Raw March'!B:B,'TB 0325'!A65,'Raw March'!E:E)</f>
        <v>0</v>
      </c>
      <c r="E65" s="24">
        <f t="shared" si="2"/>
        <v>-5400</v>
      </c>
      <c r="F65" s="24">
        <f t="shared" si="3"/>
        <v>-5.4</v>
      </c>
      <c r="G65" s="22" t="s">
        <v>180</v>
      </c>
      <c r="H65" s="23" t="s">
        <v>63</v>
      </c>
      <c r="K65" s="23" t="s">
        <v>804</v>
      </c>
      <c r="L65" s="24">
        <v>26.323</v>
      </c>
      <c r="M65" s="123" t="s">
        <v>268</v>
      </c>
    </row>
    <row r="66" spans="1:13" x14ac:dyDescent="0.35">
      <c r="A66" s="23" t="s">
        <v>706</v>
      </c>
      <c r="B66" s="24">
        <f>SUMIF('Raw March'!B:B,'TB 0325'!A66,'Raw March'!C:C)</f>
        <v>-5400</v>
      </c>
      <c r="C66" s="24">
        <f>SUMIF('Raw March'!B:B,'TB 0325'!A66,'Raw March'!D:D)</f>
        <v>0</v>
      </c>
      <c r="D66" s="24">
        <f>SUMIF('Raw March'!B:B,'TB 0325'!A66,'Raw March'!E:E)</f>
        <v>0</v>
      </c>
      <c r="E66" s="24">
        <f t="shared" si="2"/>
        <v>-5400</v>
      </c>
      <c r="F66" s="24">
        <f t="shared" si="3"/>
        <v>-5.4</v>
      </c>
      <c r="G66" s="22" t="s">
        <v>180</v>
      </c>
      <c r="H66" s="23" t="s">
        <v>63</v>
      </c>
      <c r="K66" s="23" t="s">
        <v>805</v>
      </c>
      <c r="L66" s="24">
        <v>47.807000000000002</v>
      </c>
      <c r="M66" s="123" t="s">
        <v>192</v>
      </c>
    </row>
    <row r="67" spans="1:13" x14ac:dyDescent="0.35">
      <c r="A67" s="23" t="s">
        <v>707</v>
      </c>
      <c r="B67" s="24">
        <f>SUMIF('Raw March'!B:B,'TB 0325'!A67,'Raw March'!C:C)</f>
        <v>-37800</v>
      </c>
      <c r="C67" s="24">
        <f>SUMIF('Raw March'!B:B,'TB 0325'!A67,'Raw March'!D:D)</f>
        <v>0</v>
      </c>
      <c r="D67" s="24">
        <f>SUMIF('Raw March'!B:B,'TB 0325'!A67,'Raw March'!E:E)</f>
        <v>0</v>
      </c>
      <c r="E67" s="24">
        <f t="shared" si="2"/>
        <v>-37800</v>
      </c>
      <c r="F67" s="24">
        <f t="shared" si="3"/>
        <v>-37.799999999999997</v>
      </c>
      <c r="G67" s="22" t="s">
        <v>180</v>
      </c>
      <c r="H67" s="23" t="s">
        <v>63</v>
      </c>
      <c r="K67" s="23" t="s">
        <v>806</v>
      </c>
      <c r="L67" s="24">
        <v>31.129000000000001</v>
      </c>
      <c r="M67" s="123" t="s">
        <v>192</v>
      </c>
    </row>
    <row r="68" spans="1:13" x14ac:dyDescent="0.35">
      <c r="A68" s="23" t="s">
        <v>593</v>
      </c>
      <c r="B68" s="24">
        <f>SUMIF('Raw March'!B:B,'TB 0325'!A68,'Raw March'!C:C)</f>
        <v>1905743.9</v>
      </c>
      <c r="C68" s="24">
        <f>SUMIF('Raw March'!B:B,'TB 0325'!A68,'Raw March'!D:D)</f>
        <v>0</v>
      </c>
      <c r="D68" s="24">
        <f>SUMIF('Raw March'!B:B,'TB 0325'!A68,'Raw March'!E:E)</f>
        <v>0</v>
      </c>
      <c r="E68" s="24">
        <f t="shared" ref="E68:E102" si="4">B68+C68-D68</f>
        <v>1905743.9</v>
      </c>
      <c r="F68" s="24">
        <f t="shared" si="3"/>
        <v>1905.7438999999999</v>
      </c>
      <c r="G68" s="22" t="s">
        <v>180</v>
      </c>
      <c r="H68" s="23" t="s">
        <v>64</v>
      </c>
      <c r="K68" s="23" t="s">
        <v>670</v>
      </c>
      <c r="L68" s="24">
        <v>199.797</v>
      </c>
      <c r="M68" s="123" t="s">
        <v>192</v>
      </c>
    </row>
    <row r="69" spans="1:13" x14ac:dyDescent="0.35">
      <c r="A69" s="23" t="s">
        <v>295</v>
      </c>
      <c r="B69" s="24">
        <f>SUMIF('Raw March'!B:B,'TB 0325'!A69,'Raw March'!C:C)</f>
        <v>0</v>
      </c>
      <c r="C69" s="24">
        <f>SUMIF('Raw March'!B:B,'TB 0325'!A69,'Raw March'!D:D)</f>
        <v>0</v>
      </c>
      <c r="D69" s="24">
        <f>SUMIF('Raw March'!B:B,'TB 0325'!A69,'Raw March'!E:E)</f>
        <v>483724.79999999999</v>
      </c>
      <c r="E69" s="24">
        <f t="shared" si="4"/>
        <v>-483724.79999999999</v>
      </c>
      <c r="F69" s="24">
        <f t="shared" si="3"/>
        <v>-483.72480000000002</v>
      </c>
      <c r="G69" s="22" t="s">
        <v>184</v>
      </c>
      <c r="H69" s="23" t="s">
        <v>25</v>
      </c>
      <c r="K69" s="23" t="s">
        <v>807</v>
      </c>
      <c r="L69" s="24">
        <v>108.131</v>
      </c>
      <c r="M69" s="123" t="s">
        <v>192</v>
      </c>
    </row>
    <row r="70" spans="1:13" x14ac:dyDescent="0.35">
      <c r="A70" s="23" t="s">
        <v>316</v>
      </c>
      <c r="G70" s="22"/>
      <c r="K70" s="23" t="s">
        <v>808</v>
      </c>
      <c r="L70" s="24">
        <v>19.295999999999999</v>
      </c>
      <c r="M70" s="123" t="s">
        <v>190</v>
      </c>
    </row>
    <row r="71" spans="1:13" s="202" customFormat="1" x14ac:dyDescent="0.35">
      <c r="A71" s="199" t="s">
        <v>62</v>
      </c>
      <c r="B71" s="200"/>
      <c r="C71" s="200">
        <v>21936</v>
      </c>
      <c r="D71" s="200"/>
      <c r="E71" s="24">
        <f t="shared" si="4"/>
        <v>21936</v>
      </c>
      <c r="F71" s="24">
        <f t="shared" si="3"/>
        <v>21.936</v>
      </c>
      <c r="G71" s="201"/>
      <c r="H71" s="202" t="s">
        <v>62</v>
      </c>
      <c r="L71" s="200"/>
      <c r="M71" s="203"/>
    </row>
    <row r="72" spans="1:13" s="202" customFormat="1" x14ac:dyDescent="0.35">
      <c r="A72" s="199" t="s">
        <v>61</v>
      </c>
      <c r="B72" s="200"/>
      <c r="C72" s="200">
        <v>407386</v>
      </c>
      <c r="D72" s="200"/>
      <c r="E72" s="24">
        <f t="shared" si="4"/>
        <v>407386</v>
      </c>
      <c r="F72" s="24">
        <f t="shared" si="3"/>
        <v>407.38600000000002</v>
      </c>
      <c r="G72" s="201"/>
      <c r="H72" s="202" t="s">
        <v>61</v>
      </c>
      <c r="L72" s="200"/>
      <c r="M72" s="203"/>
    </row>
    <row r="73" spans="1:13" x14ac:dyDescent="0.35">
      <c r="A73" s="23" t="s">
        <v>594</v>
      </c>
      <c r="B73" s="24">
        <f>SUMIF('Raw March'!B:B,'TB 0325'!A73,'Raw March'!C:C)</f>
        <v>0</v>
      </c>
      <c r="C73" s="24">
        <f>SUMIF('Raw March'!B:B,'TB 0325'!A73,'Raw March'!D:D)</f>
        <v>2393479</v>
      </c>
      <c r="D73" s="24">
        <f>SUMIF('Raw March'!B:B,'TB 0325'!A73,'Raw March'!E:E)</f>
        <v>5543219</v>
      </c>
      <c r="E73" s="24">
        <f t="shared" si="4"/>
        <v>-3149740</v>
      </c>
      <c r="F73" s="24">
        <f t="shared" si="3"/>
        <v>-3149.74</v>
      </c>
      <c r="G73" s="22" t="s">
        <v>184</v>
      </c>
      <c r="H73" s="23" t="s">
        <v>49</v>
      </c>
      <c r="K73" s="23" t="s">
        <v>809</v>
      </c>
      <c r="L73" s="24">
        <v>44.26</v>
      </c>
      <c r="M73" s="123" t="s">
        <v>192</v>
      </c>
    </row>
    <row r="74" spans="1:13" x14ac:dyDescent="0.35">
      <c r="A74" s="23" t="s">
        <v>303</v>
      </c>
      <c r="B74" s="24">
        <f>SUMIF('Raw March'!B:B,'TB 0325'!A74,'Raw March'!C:C)</f>
        <v>0</v>
      </c>
      <c r="C74" s="24">
        <f>SUMIF('Raw March'!B:B,'TB 0325'!A74,'Raw March'!D:D)</f>
        <v>0</v>
      </c>
      <c r="D74" s="24">
        <f>SUMIF('Raw March'!B:B,'TB 0325'!A74,'Raw March'!E:E)</f>
        <v>1825548.68</v>
      </c>
      <c r="E74" s="24">
        <f t="shared" si="4"/>
        <v>-1825548.68</v>
      </c>
      <c r="F74" s="24">
        <f t="shared" si="3"/>
        <v>-1825.5486799999999</v>
      </c>
      <c r="G74" s="22" t="s">
        <v>184</v>
      </c>
      <c r="H74" s="23" t="s">
        <v>25</v>
      </c>
      <c r="K74" s="23" t="s">
        <v>810</v>
      </c>
      <c r="L74" s="24">
        <v>117.003</v>
      </c>
      <c r="M74" s="123" t="s">
        <v>192</v>
      </c>
    </row>
    <row r="75" spans="1:13" x14ac:dyDescent="0.35">
      <c r="A75" s="23" t="s">
        <v>287</v>
      </c>
      <c r="B75" s="24">
        <f>SUMIF('Raw March'!B:B,'TB 0325'!A75,'Raw March'!C:C)</f>
        <v>0</v>
      </c>
      <c r="C75" s="24">
        <f>SUMIF('Raw March'!B:B,'TB 0325'!A75,'Raw March'!D:D)</f>
        <v>70000</v>
      </c>
      <c r="D75" s="24">
        <f>SUMIF('Raw March'!B:B,'TB 0325'!A75,'Raw March'!E:E)</f>
        <v>0</v>
      </c>
      <c r="E75" s="24">
        <f t="shared" si="4"/>
        <v>70000</v>
      </c>
      <c r="F75" s="24">
        <f t="shared" si="3"/>
        <v>70</v>
      </c>
      <c r="G75" s="22" t="s">
        <v>182</v>
      </c>
      <c r="H75" s="23" t="s">
        <v>41</v>
      </c>
      <c r="K75" s="23" t="s">
        <v>811</v>
      </c>
      <c r="L75" s="24">
        <v>353.56099999999998</v>
      </c>
      <c r="M75" s="123" t="s">
        <v>192</v>
      </c>
    </row>
    <row r="76" spans="1:13" x14ac:dyDescent="0.35">
      <c r="A76" s="23" t="s">
        <v>595</v>
      </c>
      <c r="B76" s="24">
        <f>SUMIF('Raw March'!B:B,'TB 0325'!A76,'Raw March'!C:C)</f>
        <v>0</v>
      </c>
      <c r="C76" s="24">
        <f>SUMIF('Raw March'!B:B,'TB 0325'!A76,'Raw March'!D:D)</f>
        <v>365.2</v>
      </c>
      <c r="D76" s="24">
        <f>SUMIF('Raw March'!B:B,'TB 0325'!A76,'Raw March'!E:E)</f>
        <v>0</v>
      </c>
      <c r="E76" s="24">
        <f t="shared" si="4"/>
        <v>365.2</v>
      </c>
      <c r="F76" s="24">
        <f t="shared" si="3"/>
        <v>0.36519999999999997</v>
      </c>
      <c r="G76" s="22" t="s">
        <v>182</v>
      </c>
      <c r="H76" s="23" t="s">
        <v>43</v>
      </c>
      <c r="K76" s="23" t="s">
        <v>812</v>
      </c>
      <c r="L76" s="24">
        <v>34.796999999999997</v>
      </c>
      <c r="M76" s="123" t="s">
        <v>192</v>
      </c>
    </row>
    <row r="77" spans="1:13" x14ac:dyDescent="0.35">
      <c r="A77" s="23" t="s">
        <v>38</v>
      </c>
      <c r="B77" s="24">
        <f>SUMIF('Raw March'!B:B,'TB 0325'!A77,'Raw March'!C:C)</f>
        <v>0</v>
      </c>
      <c r="C77" s="24">
        <f>SUMIF('Raw March'!B:B,'TB 0325'!A77,'Raw March'!D:D)</f>
        <v>68026.36</v>
      </c>
      <c r="D77" s="24">
        <f>SUMIF('Raw March'!B:B,'TB 0325'!A77,'Raw March'!E:E)</f>
        <v>0</v>
      </c>
      <c r="E77" s="24">
        <f t="shared" si="4"/>
        <v>68026.36</v>
      </c>
      <c r="F77" s="24">
        <f t="shared" si="3"/>
        <v>68.026359999999997</v>
      </c>
      <c r="G77" s="22" t="s">
        <v>182</v>
      </c>
      <c r="H77" s="23" t="s">
        <v>38</v>
      </c>
      <c r="K77" s="23" t="s">
        <v>813</v>
      </c>
      <c r="L77" s="24">
        <v>39.988999999999997</v>
      </c>
      <c r="M77" s="123" t="s">
        <v>192</v>
      </c>
    </row>
    <row r="78" spans="1:13" x14ac:dyDescent="0.35">
      <c r="A78" s="23" t="s">
        <v>296</v>
      </c>
      <c r="B78" s="24">
        <f>SUMIF('Raw March'!B:B,'TB 0325'!A78,'Raw March'!C:C)</f>
        <v>0</v>
      </c>
      <c r="C78" s="24">
        <f>SUMIF('Raw March'!B:B,'TB 0325'!A78,'Raw March'!D:D)</f>
        <v>827441</v>
      </c>
      <c r="D78" s="24">
        <f>SUMIF('Raw March'!B:B,'TB 0325'!A78,'Raw March'!E:E)</f>
        <v>1000</v>
      </c>
      <c r="E78" s="24">
        <f t="shared" si="4"/>
        <v>826441</v>
      </c>
      <c r="F78" s="24">
        <f t="shared" si="3"/>
        <v>826.44100000000003</v>
      </c>
      <c r="G78" s="22" t="s">
        <v>182</v>
      </c>
      <c r="H78" s="23" t="s">
        <v>37</v>
      </c>
      <c r="K78" s="23" t="s">
        <v>814</v>
      </c>
      <c r="L78" s="24">
        <v>60.878</v>
      </c>
      <c r="M78" s="123" t="s">
        <v>192</v>
      </c>
    </row>
    <row r="79" spans="1:13" x14ac:dyDescent="0.35">
      <c r="A79" s="23" t="s">
        <v>596</v>
      </c>
      <c r="B79" s="24">
        <f>SUMIF('Raw March'!B:B,'TB 0325'!A79,'Raw March'!C:C)</f>
        <v>0</v>
      </c>
      <c r="C79" s="24">
        <f>SUMIF('Raw March'!B:B,'TB 0325'!A79,'Raw March'!D:D)</f>
        <v>848079.33</v>
      </c>
      <c r="D79" s="24">
        <f>SUMIF('Raw March'!B:B,'TB 0325'!A79,'Raw March'!E:E)</f>
        <v>687906</v>
      </c>
      <c r="E79" s="24">
        <f t="shared" si="4"/>
        <v>160173.32999999996</v>
      </c>
      <c r="F79" s="24">
        <f t="shared" ref="F79:F99" si="5">E79/1000</f>
        <v>160.17332999999996</v>
      </c>
      <c r="G79" s="22" t="s">
        <v>182</v>
      </c>
      <c r="H79" s="23" t="s">
        <v>48</v>
      </c>
      <c r="K79" s="23" t="s">
        <v>815</v>
      </c>
      <c r="L79" s="24">
        <v>17.635999999999999</v>
      </c>
      <c r="M79" s="123" t="s">
        <v>190</v>
      </c>
    </row>
    <row r="80" spans="1:13" x14ac:dyDescent="0.35">
      <c r="A80" s="23" t="s">
        <v>777</v>
      </c>
      <c r="B80" s="24">
        <f>SUMIF('Raw March'!B:B,'TB 0325'!A80,'Raw March'!C:C)</f>
        <v>0</v>
      </c>
      <c r="C80" s="24">
        <f>SUMIF('Raw March'!B:B,'TB 0325'!A80,'Raw March'!D:D)</f>
        <v>507</v>
      </c>
      <c r="D80" s="24">
        <f>SUMIF('Raw March'!B:B,'TB 0325'!A80,'Raw March'!E:E)</f>
        <v>0</v>
      </c>
      <c r="E80" s="24">
        <f t="shared" si="4"/>
        <v>507</v>
      </c>
      <c r="F80" s="24">
        <f t="shared" si="5"/>
        <v>0.50700000000000001</v>
      </c>
      <c r="G80" s="22" t="s">
        <v>182</v>
      </c>
      <c r="H80" s="23" t="s">
        <v>417</v>
      </c>
      <c r="K80" s="23" t="s">
        <v>816</v>
      </c>
      <c r="L80" s="24">
        <v>18.291</v>
      </c>
      <c r="M80" s="123" t="s">
        <v>188</v>
      </c>
    </row>
    <row r="81" spans="1:13" x14ac:dyDescent="0.35">
      <c r="A81" s="23" t="s">
        <v>109</v>
      </c>
      <c r="B81" s="24">
        <f>SUMIF('Raw March'!B:B,'TB 0325'!A81,'Raw March'!C:C)</f>
        <v>0</v>
      </c>
      <c r="C81" s="24">
        <f>SUMIF('Raw March'!B:B,'TB 0325'!A81,'Raw March'!D:D)</f>
        <v>175892</v>
      </c>
      <c r="D81" s="24">
        <f>SUMIF('Raw March'!B:B,'TB 0325'!A81,'Raw March'!E:E)</f>
        <v>0</v>
      </c>
      <c r="E81" s="24">
        <f t="shared" si="4"/>
        <v>175892</v>
      </c>
      <c r="F81" s="24">
        <f t="shared" si="5"/>
        <v>175.892</v>
      </c>
      <c r="G81" s="22" t="s">
        <v>182</v>
      </c>
      <c r="H81" s="23" t="s">
        <v>417</v>
      </c>
      <c r="K81" s="23" t="s">
        <v>817</v>
      </c>
      <c r="L81" s="24">
        <v>20.882999999999999</v>
      </c>
      <c r="M81" s="123" t="s">
        <v>268</v>
      </c>
    </row>
    <row r="82" spans="1:13" x14ac:dyDescent="0.35">
      <c r="A82" s="23" t="s">
        <v>597</v>
      </c>
      <c r="B82" s="24">
        <f>SUMIF('Raw March'!B:B,'TB 0325'!A82,'Raw March'!C:C)</f>
        <v>0</v>
      </c>
      <c r="C82" s="24">
        <f>SUMIF('Raw March'!B:B,'TB 0325'!A82,'Raw March'!D:D)</f>
        <v>5908</v>
      </c>
      <c r="D82" s="24">
        <f>SUMIF('Raw March'!B:B,'TB 0325'!A82,'Raw March'!E:E)</f>
        <v>0</v>
      </c>
      <c r="E82" s="24">
        <f t="shared" si="4"/>
        <v>5908</v>
      </c>
      <c r="F82" s="24">
        <f t="shared" si="5"/>
        <v>5.9080000000000004</v>
      </c>
      <c r="G82" s="22" t="s">
        <v>182</v>
      </c>
      <c r="H82" s="23" t="s">
        <v>417</v>
      </c>
      <c r="K82" s="23" t="s">
        <v>818</v>
      </c>
      <c r="L82" s="24">
        <v>16.771999999999998</v>
      </c>
      <c r="M82" s="123" t="s">
        <v>192</v>
      </c>
    </row>
    <row r="83" spans="1:13" x14ac:dyDescent="0.35">
      <c r="A83" s="23" t="s">
        <v>598</v>
      </c>
      <c r="B83" s="24">
        <f>SUMIF('Raw March'!B:B,'TB 0325'!A83,'Raw March'!C:C)</f>
        <v>0</v>
      </c>
      <c r="C83" s="24">
        <f>SUMIF('Raw March'!B:B,'TB 0325'!A83,'Raw March'!D:D)</f>
        <v>948909.49</v>
      </c>
      <c r="D83" s="24">
        <f>SUMIF('Raw March'!B:B,'TB 0325'!A83,'Raw March'!E:E)</f>
        <v>160229.43</v>
      </c>
      <c r="E83" s="24">
        <f t="shared" si="4"/>
        <v>788680.06</v>
      </c>
      <c r="F83" s="24">
        <f t="shared" si="5"/>
        <v>788.68006000000003</v>
      </c>
      <c r="G83" s="22" t="s">
        <v>182</v>
      </c>
      <c r="H83" s="23" t="s">
        <v>417</v>
      </c>
      <c r="K83" s="23" t="s">
        <v>819</v>
      </c>
      <c r="L83" s="24">
        <v>14.709</v>
      </c>
      <c r="M83" s="123" t="s">
        <v>268</v>
      </c>
    </row>
    <row r="84" spans="1:13" x14ac:dyDescent="0.35">
      <c r="A84" s="23" t="s">
        <v>599</v>
      </c>
      <c r="B84" s="24">
        <f>SUMIF('Raw March'!B:B,'TB 0325'!A84,'Raw March'!C:C)</f>
        <v>0</v>
      </c>
      <c r="C84" s="24">
        <f>SUMIF('Raw March'!B:B,'TB 0325'!A84,'Raw March'!D:D)</f>
        <v>53987</v>
      </c>
      <c r="D84" s="24">
        <f>SUMIF('Raw March'!B:B,'TB 0325'!A84,'Raw March'!E:E)</f>
        <v>87500</v>
      </c>
      <c r="E84" s="24">
        <f t="shared" si="4"/>
        <v>-33513</v>
      </c>
      <c r="F84" s="24">
        <f t="shared" si="5"/>
        <v>-33.512999999999998</v>
      </c>
      <c r="G84" s="22" t="s">
        <v>182</v>
      </c>
      <c r="H84" s="23" t="s">
        <v>417</v>
      </c>
      <c r="K84" s="23" t="s">
        <v>820</v>
      </c>
      <c r="L84" s="24">
        <v>16.774999999999999</v>
      </c>
      <c r="M84" s="123" t="s">
        <v>190</v>
      </c>
    </row>
    <row r="85" spans="1:13" x14ac:dyDescent="0.35">
      <c r="A85" s="23" t="s">
        <v>778</v>
      </c>
      <c r="B85" s="24">
        <f>SUMIF('Raw March'!B:B,'TB 0325'!A85,'Raw March'!C:C)</f>
        <v>0</v>
      </c>
      <c r="C85" s="24">
        <f>SUMIF('Raw March'!B:B,'TB 0325'!A85,'Raw March'!D:D)</f>
        <v>116654</v>
      </c>
      <c r="D85" s="24">
        <f>SUMIF('Raw March'!B:B,'TB 0325'!A85,'Raw March'!E:E)</f>
        <v>0</v>
      </c>
      <c r="E85" s="24">
        <f t="shared" si="4"/>
        <v>116654</v>
      </c>
      <c r="F85" s="24">
        <f t="shared" si="5"/>
        <v>116.654</v>
      </c>
      <c r="G85" s="22" t="s">
        <v>182</v>
      </c>
      <c r="H85" s="23" t="s">
        <v>26</v>
      </c>
      <c r="K85" s="23" t="s">
        <v>821</v>
      </c>
      <c r="L85" s="24">
        <v>45.625</v>
      </c>
      <c r="M85" s="123" t="s">
        <v>192</v>
      </c>
    </row>
    <row r="86" spans="1:13" x14ac:dyDescent="0.35">
      <c r="A86" s="23" t="s">
        <v>600</v>
      </c>
      <c r="B86" s="24">
        <f>SUMIF('Raw March'!B:B,'TB 0325'!A86,'Raw March'!C:C)</f>
        <v>0</v>
      </c>
      <c r="C86" s="24">
        <f>SUMIF('Raw March'!B:B,'TB 0325'!A86,'Raw March'!D:D)</f>
        <v>1515000</v>
      </c>
      <c r="D86" s="24">
        <f>SUMIF('Raw March'!B:B,'TB 0325'!A86,'Raw March'!E:E)</f>
        <v>0</v>
      </c>
      <c r="E86" s="24">
        <f t="shared" si="4"/>
        <v>1515000</v>
      </c>
      <c r="F86" s="24">
        <f t="shared" si="5"/>
        <v>1515</v>
      </c>
      <c r="G86" s="22" t="s">
        <v>182</v>
      </c>
      <c r="H86" s="23" t="s">
        <v>46</v>
      </c>
      <c r="K86" s="23" t="s">
        <v>822</v>
      </c>
      <c r="L86" s="24">
        <v>39</v>
      </c>
      <c r="M86" s="123" t="s">
        <v>192</v>
      </c>
    </row>
    <row r="87" spans="1:13" x14ac:dyDescent="0.35">
      <c r="A87" s="23" t="s">
        <v>779</v>
      </c>
      <c r="B87" s="24">
        <f>SUMIF('Raw March'!B:B,'TB 0325'!A87,'Raw March'!C:C)</f>
        <v>0</v>
      </c>
      <c r="C87" s="24">
        <f>SUMIF('Raw March'!B:B,'TB 0325'!A87,'Raw March'!D:D)</f>
        <v>9167</v>
      </c>
      <c r="D87" s="24">
        <f>SUMIF('Raw March'!B:B,'TB 0325'!A87,'Raw March'!E:E)</f>
        <v>0</v>
      </c>
      <c r="E87" s="24">
        <f t="shared" si="4"/>
        <v>9167</v>
      </c>
      <c r="F87" s="24">
        <f t="shared" si="5"/>
        <v>9.1669999999999998</v>
      </c>
      <c r="G87" s="22" t="s">
        <v>182</v>
      </c>
      <c r="H87" s="23" t="s">
        <v>42</v>
      </c>
      <c r="K87" s="23" t="s">
        <v>823</v>
      </c>
      <c r="L87" s="24">
        <v>168.1</v>
      </c>
      <c r="M87" s="123" t="s">
        <v>192</v>
      </c>
    </row>
    <row r="88" spans="1:13" x14ac:dyDescent="0.35">
      <c r="A88" s="23" t="s">
        <v>780</v>
      </c>
      <c r="B88" s="24">
        <f>SUMIF('Raw March'!B:B,'TB 0325'!A88,'Raw March'!C:C)</f>
        <v>0</v>
      </c>
      <c r="C88" s="24">
        <f>SUMIF('Raw March'!B:B,'TB 0325'!A88,'Raw March'!D:D)</f>
        <v>288</v>
      </c>
      <c r="D88" s="24">
        <f>SUMIF('Raw March'!B:B,'TB 0325'!A88,'Raw March'!E:E)</f>
        <v>0</v>
      </c>
      <c r="E88" s="24">
        <f t="shared" si="4"/>
        <v>288</v>
      </c>
      <c r="F88" s="24">
        <f t="shared" si="5"/>
        <v>0.28799999999999998</v>
      </c>
      <c r="G88" s="22" t="s">
        <v>182</v>
      </c>
      <c r="H88" s="23" t="s">
        <v>43</v>
      </c>
      <c r="K88" s="23" t="s">
        <v>824</v>
      </c>
      <c r="L88" s="24">
        <v>53.851999999999997</v>
      </c>
      <c r="M88" s="123" t="s">
        <v>192</v>
      </c>
    </row>
    <row r="89" spans="1:13" x14ac:dyDescent="0.35">
      <c r="A89" s="23" t="s">
        <v>220</v>
      </c>
      <c r="B89" s="24">
        <f>SUMIF('Raw March'!B:B,'TB 0325'!A89,'Raw March'!C:C)</f>
        <v>0</v>
      </c>
      <c r="C89" s="24">
        <f>SUMIF('Raw March'!B:B,'TB 0325'!A89,'Raw March'!D:D)</f>
        <v>10000</v>
      </c>
      <c r="D89" s="24">
        <f>SUMIF('Raw March'!B:B,'TB 0325'!A89,'Raw March'!E:E)</f>
        <v>0</v>
      </c>
      <c r="E89" s="24">
        <f t="shared" si="4"/>
        <v>10000</v>
      </c>
      <c r="F89" s="24">
        <f t="shared" si="5"/>
        <v>10</v>
      </c>
      <c r="G89" s="22" t="s">
        <v>182</v>
      </c>
      <c r="H89" s="23" t="s">
        <v>41</v>
      </c>
      <c r="K89" s="23" t="s">
        <v>825</v>
      </c>
      <c r="L89" s="24">
        <v>81.271000000000001</v>
      </c>
      <c r="M89" s="123" t="s">
        <v>192</v>
      </c>
    </row>
    <row r="90" spans="1:13" x14ac:dyDescent="0.35">
      <c r="A90" s="23" t="s">
        <v>602</v>
      </c>
      <c r="B90" s="24">
        <f>SUMIF('Raw March'!B:B,'TB 0325'!A90,'Raw March'!C:C)</f>
        <v>0</v>
      </c>
      <c r="C90" s="24">
        <f>SUMIF('Raw March'!B:B,'TB 0325'!A90,'Raw March'!D:D)</f>
        <v>8362.02</v>
      </c>
      <c r="D90" s="24">
        <f>SUMIF('Raw March'!B:B,'TB 0325'!A90,'Raw March'!E:E)</f>
        <v>4.0599999999999996</v>
      </c>
      <c r="E90" s="24">
        <f t="shared" si="4"/>
        <v>8357.9600000000009</v>
      </c>
      <c r="F90" s="24">
        <f t="shared" si="5"/>
        <v>8.3579600000000003</v>
      </c>
      <c r="G90" s="22" t="s">
        <v>182</v>
      </c>
      <c r="H90" s="23" t="s">
        <v>42</v>
      </c>
      <c r="K90" s="23" t="s">
        <v>826</v>
      </c>
      <c r="L90" s="24">
        <v>12.904</v>
      </c>
      <c r="M90" s="123" t="s">
        <v>677</v>
      </c>
    </row>
    <row r="91" spans="1:13" x14ac:dyDescent="0.35">
      <c r="A91" s="23" t="s">
        <v>603</v>
      </c>
      <c r="B91" s="24">
        <f>SUMIF('Raw March'!B:B,'TB 0325'!A91,'Raw March'!C:C)</f>
        <v>0</v>
      </c>
      <c r="C91" s="24">
        <f>SUMIF('Raw March'!B:B,'TB 0325'!A91,'Raw March'!D:D)</f>
        <v>568900</v>
      </c>
      <c r="D91" s="24">
        <f>SUMIF('Raw March'!B:B,'TB 0325'!A91,'Raw March'!E:E)</f>
        <v>0</v>
      </c>
      <c r="E91" s="24">
        <f t="shared" si="4"/>
        <v>568900</v>
      </c>
      <c r="F91" s="24">
        <f t="shared" si="5"/>
        <v>568.9</v>
      </c>
      <c r="G91" s="22" t="s">
        <v>182</v>
      </c>
      <c r="H91" s="23" t="s">
        <v>42</v>
      </c>
      <c r="K91" s="23" t="s">
        <v>827</v>
      </c>
      <c r="L91" s="24">
        <v>15.66</v>
      </c>
      <c r="M91" s="123" t="s">
        <v>188</v>
      </c>
    </row>
    <row r="92" spans="1:13" x14ac:dyDescent="0.35">
      <c r="A92" s="23" t="s">
        <v>604</v>
      </c>
      <c r="B92" s="24">
        <f>SUMIF('Raw March'!B:B,'TB 0325'!A92,'Raw March'!C:C)</f>
        <v>0</v>
      </c>
      <c r="C92" s="24">
        <f>SUMIF('Raw March'!B:B,'TB 0325'!A92,'Raw March'!D:D)</f>
        <v>55655</v>
      </c>
      <c r="D92" s="24">
        <f>SUMIF('Raw March'!B:B,'TB 0325'!A92,'Raw March'!E:E)</f>
        <v>20262.93</v>
      </c>
      <c r="E92" s="24">
        <f t="shared" si="4"/>
        <v>35392.07</v>
      </c>
      <c r="F92" s="24">
        <f t="shared" si="5"/>
        <v>35.392069999999997</v>
      </c>
      <c r="G92" s="22" t="s">
        <v>182</v>
      </c>
      <c r="H92" s="23" t="s">
        <v>43</v>
      </c>
      <c r="K92" s="23" t="s">
        <v>828</v>
      </c>
      <c r="L92" s="24">
        <v>25.741</v>
      </c>
      <c r="M92" s="123" t="s">
        <v>192</v>
      </c>
    </row>
    <row r="93" spans="1:13" x14ac:dyDescent="0.35">
      <c r="A93" s="23" t="s">
        <v>605</v>
      </c>
      <c r="B93" s="24">
        <f>SUMIF('Raw March'!B:B,'TB 0325'!A93,'Raw March'!C:C)</f>
        <v>0</v>
      </c>
      <c r="C93" s="24">
        <f>SUMIF('Raw March'!B:B,'TB 0325'!A93,'Raw March'!D:D)</f>
        <v>404.93</v>
      </c>
      <c r="D93" s="24">
        <f>SUMIF('Raw March'!B:B,'TB 0325'!A93,'Raw March'!E:E)</f>
        <v>1.9</v>
      </c>
      <c r="E93" s="24">
        <f t="shared" si="4"/>
        <v>403.03000000000003</v>
      </c>
      <c r="F93" s="24">
        <f t="shared" si="5"/>
        <v>0.40303000000000005</v>
      </c>
      <c r="G93" s="22" t="s">
        <v>182</v>
      </c>
      <c r="H93" s="23" t="s">
        <v>43</v>
      </c>
      <c r="K93" s="23" t="s">
        <v>829</v>
      </c>
      <c r="L93" s="24">
        <v>13.064</v>
      </c>
      <c r="M93" s="123" t="s">
        <v>188</v>
      </c>
    </row>
    <row r="94" spans="1:13" x14ac:dyDescent="0.35">
      <c r="A94" s="23" t="s">
        <v>41</v>
      </c>
      <c r="B94" s="24">
        <f>SUMIF('Raw March'!B:B,'TB 0325'!A94,'Raw March'!C:C)</f>
        <v>0</v>
      </c>
      <c r="C94" s="24">
        <f>SUMIF('Raw March'!B:B,'TB 0325'!A94,'Raw March'!D:D)</f>
        <v>57580</v>
      </c>
      <c r="D94" s="24">
        <f>SUMIF('Raw March'!B:B,'TB 0325'!A94,'Raw March'!E:E)</f>
        <v>0</v>
      </c>
      <c r="E94" s="24">
        <f t="shared" si="4"/>
        <v>57580</v>
      </c>
      <c r="F94" s="24">
        <f t="shared" si="5"/>
        <v>57.58</v>
      </c>
      <c r="G94" s="22" t="s">
        <v>182</v>
      </c>
      <c r="H94" s="23" t="s">
        <v>41</v>
      </c>
      <c r="K94" s="23" t="s">
        <v>830</v>
      </c>
      <c r="L94" s="24">
        <v>13.548</v>
      </c>
      <c r="M94" s="123" t="s">
        <v>268</v>
      </c>
    </row>
    <row r="95" spans="1:13" x14ac:dyDescent="0.35">
      <c r="A95" s="23" t="s">
        <v>239</v>
      </c>
      <c r="B95" s="24">
        <f>SUMIF('Raw March'!B:B,'TB 0325'!A95,'Raw March'!C:C)</f>
        <v>0</v>
      </c>
      <c r="C95" s="24">
        <f>SUMIF('Raw March'!B:B,'TB 0325'!A95,'Raw March'!D:D)</f>
        <v>176933</v>
      </c>
      <c r="D95" s="24">
        <f>SUMIF('Raw March'!B:B,'TB 0325'!A95,'Raw March'!E:E)</f>
        <v>0</v>
      </c>
      <c r="E95" s="24">
        <f t="shared" si="4"/>
        <v>176933</v>
      </c>
      <c r="F95" s="24">
        <f t="shared" si="5"/>
        <v>176.93299999999999</v>
      </c>
      <c r="G95" s="22" t="s">
        <v>182</v>
      </c>
      <c r="H95" s="23" t="s">
        <v>263</v>
      </c>
      <c r="K95" s="23" t="s">
        <v>831</v>
      </c>
      <c r="L95" s="24">
        <v>140.25899999999999</v>
      </c>
      <c r="M95" s="123" t="s">
        <v>192</v>
      </c>
    </row>
    <row r="96" spans="1:13" x14ac:dyDescent="0.35">
      <c r="A96" s="23" t="s">
        <v>607</v>
      </c>
      <c r="B96" s="24">
        <f>SUMIF('Raw March'!B:B,'TB 0325'!A96,'Raw March'!C:C)</f>
        <v>0</v>
      </c>
      <c r="C96" s="24">
        <f>SUMIF('Raw March'!B:B,'TB 0325'!A96,'Raw March'!D:D)</f>
        <v>9159005.7799999993</v>
      </c>
      <c r="D96" s="24">
        <f>SUMIF('Raw March'!B:B,'TB 0325'!A96,'Raw March'!E:E)</f>
        <v>0</v>
      </c>
      <c r="E96" s="24">
        <f t="shared" si="4"/>
        <v>9159005.7799999993</v>
      </c>
      <c r="F96" s="24">
        <f t="shared" si="5"/>
        <v>9159.0057799999995</v>
      </c>
      <c r="G96" s="22" t="s">
        <v>182</v>
      </c>
      <c r="K96" s="23" t="s">
        <v>832</v>
      </c>
      <c r="L96" s="24">
        <v>362.03199999999998</v>
      </c>
      <c r="M96" s="123" t="s">
        <v>192</v>
      </c>
    </row>
    <row r="97" spans="1:13" x14ac:dyDescent="0.35">
      <c r="A97" s="23" t="s">
        <v>26</v>
      </c>
      <c r="B97" s="24">
        <f>SUMIF('Raw March'!B:B,'TB 0325'!A97,'Raw March'!C:C)</f>
        <v>0</v>
      </c>
      <c r="C97" s="24">
        <f>SUMIF('Raw March'!B:B,'TB 0325'!A97,'Raw March'!D:D)</f>
        <v>2261018.46</v>
      </c>
      <c r="D97" s="24">
        <f>SUMIF('Raw March'!B:B,'TB 0325'!A97,'Raw March'!E:E)</f>
        <v>0</v>
      </c>
      <c r="E97" s="24">
        <f t="shared" si="4"/>
        <v>2261018.46</v>
      </c>
      <c r="F97" s="24">
        <f t="shared" si="5"/>
        <v>2261.0184599999998</v>
      </c>
      <c r="G97" s="22" t="s">
        <v>182</v>
      </c>
      <c r="H97" s="23" t="s">
        <v>26</v>
      </c>
      <c r="K97" s="23" t="s">
        <v>833</v>
      </c>
      <c r="L97" s="24">
        <v>13.548</v>
      </c>
      <c r="M97" s="123" t="s">
        <v>268</v>
      </c>
    </row>
    <row r="98" spans="1:13" x14ac:dyDescent="0.35">
      <c r="A98" s="23" t="s">
        <v>608</v>
      </c>
      <c r="B98" s="24">
        <f>SUMIF('Raw March'!B:B,'TB 0325'!A98,'Raw March'!C:C)</f>
        <v>0</v>
      </c>
      <c r="C98" s="24">
        <f>SUMIF('Raw March'!B:B,'TB 0325'!A98,'Raw March'!D:D)</f>
        <v>549930.01</v>
      </c>
      <c r="D98" s="24">
        <f>SUMIF('Raw March'!B:B,'TB 0325'!A98,'Raw March'!E:E)</f>
        <v>0</v>
      </c>
      <c r="E98" s="24">
        <f t="shared" si="4"/>
        <v>549930.01</v>
      </c>
      <c r="F98" s="24">
        <f t="shared" si="5"/>
        <v>549.93001000000004</v>
      </c>
      <c r="G98" s="22" t="s">
        <v>182</v>
      </c>
      <c r="H98" s="23" t="s">
        <v>39</v>
      </c>
      <c r="K98" s="23" t="s">
        <v>834</v>
      </c>
      <c r="L98" s="24">
        <v>32.290999999999997</v>
      </c>
      <c r="M98" s="123" t="s">
        <v>192</v>
      </c>
    </row>
    <row r="99" spans="1:13" x14ac:dyDescent="0.35">
      <c r="A99" s="23" t="s">
        <v>609</v>
      </c>
      <c r="B99" s="24">
        <f>SUMIF('Raw March'!B:B,'TB 0325'!A99,'Raw March'!C:C)</f>
        <v>0</v>
      </c>
      <c r="C99" s="24">
        <f>SUMIF('Raw March'!B:B,'TB 0325'!A99,'Raw March'!D:D)</f>
        <v>569044.79</v>
      </c>
      <c r="D99" s="24">
        <f>SUMIF('Raw March'!B:B,'TB 0325'!A99,'Raw March'!E:E)</f>
        <v>0</v>
      </c>
      <c r="E99" s="24">
        <f t="shared" si="4"/>
        <v>569044.79</v>
      </c>
      <c r="F99" s="24">
        <f t="shared" si="5"/>
        <v>569.04479000000003</v>
      </c>
      <c r="G99" s="22" t="s">
        <v>182</v>
      </c>
      <c r="H99" s="23" t="s">
        <v>33</v>
      </c>
      <c r="K99" s="23" t="s">
        <v>835</v>
      </c>
      <c r="L99" s="24">
        <v>11.824999999999999</v>
      </c>
      <c r="M99" s="123" t="s">
        <v>268</v>
      </c>
    </row>
    <row r="100" spans="1:13" x14ac:dyDescent="0.35">
      <c r="A100" s="23" t="s">
        <v>721</v>
      </c>
      <c r="B100" s="24">
        <f>SUMIF('Raw March'!B:B,'TB 0325'!A100,'Raw March'!C:C)</f>
        <v>0</v>
      </c>
      <c r="C100" s="24">
        <f>SUMIF('Raw March'!B:B,'TB 0325'!A100,'Raw March'!D:D)</f>
        <v>4310.08</v>
      </c>
      <c r="D100" s="24">
        <f>SUMIF('Raw March'!B:B,'TB 0325'!A100,'Raw March'!E:E)</f>
        <v>0</v>
      </c>
      <c r="E100" s="24">
        <f t="shared" si="4"/>
        <v>4310.08</v>
      </c>
      <c r="F100" s="24">
        <f t="shared" ref="F100:F107" si="6">E100/1000</f>
        <v>4.3100800000000001</v>
      </c>
      <c r="G100" s="22" t="s">
        <v>182</v>
      </c>
      <c r="H100" s="23" t="s">
        <v>31</v>
      </c>
      <c r="K100" s="23" t="s">
        <v>836</v>
      </c>
      <c r="L100" s="24">
        <v>321.88400000000001</v>
      </c>
      <c r="M100" s="123" t="s">
        <v>192</v>
      </c>
    </row>
    <row r="101" spans="1:13" x14ac:dyDescent="0.35">
      <c r="A101" s="23" t="s">
        <v>610</v>
      </c>
      <c r="B101" s="24">
        <f>SUMIF('Raw March'!B:B,'TB 0325'!A101,'Raw March'!C:C)</f>
        <v>0</v>
      </c>
      <c r="C101" s="24">
        <f>SUMIF('Raw March'!B:B,'TB 0325'!A101,'Raw March'!D:D)</f>
        <v>73822.86</v>
      </c>
      <c r="D101" s="24">
        <f>SUMIF('Raw March'!B:B,'TB 0325'!A101,'Raw March'!E:E)</f>
        <v>233</v>
      </c>
      <c r="E101" s="24">
        <f t="shared" si="4"/>
        <v>73589.86</v>
      </c>
      <c r="F101" s="24">
        <f t="shared" si="6"/>
        <v>73.589860000000002</v>
      </c>
      <c r="G101" s="22" t="s">
        <v>182</v>
      </c>
      <c r="H101" s="23" t="s">
        <v>31</v>
      </c>
      <c r="K101" s="23" t="s">
        <v>837</v>
      </c>
      <c r="L101" s="24">
        <v>9.2910000000000004</v>
      </c>
      <c r="M101" s="123" t="s">
        <v>677</v>
      </c>
    </row>
    <row r="102" spans="1:13" x14ac:dyDescent="0.35">
      <c r="A102" s="23" t="s">
        <v>611</v>
      </c>
      <c r="B102" s="24">
        <f>SUMIF('Raw March'!B:B,'TB 0325'!A102,'Raw March'!C:C)</f>
        <v>0</v>
      </c>
      <c r="C102" s="24">
        <f>SUMIF('Raw March'!B:B,'TB 0325'!A102,'Raw March'!D:D)</f>
        <v>257500</v>
      </c>
      <c r="D102" s="24">
        <f>SUMIF('Raw March'!B:B,'TB 0325'!A102,'Raw March'!E:E)</f>
        <v>0</v>
      </c>
      <c r="E102" s="24">
        <f t="shared" si="4"/>
        <v>257500</v>
      </c>
      <c r="F102" s="24">
        <f t="shared" si="6"/>
        <v>257.5</v>
      </c>
      <c r="G102" s="22" t="s">
        <v>182</v>
      </c>
      <c r="H102" s="23" t="s">
        <v>31</v>
      </c>
      <c r="K102" s="23" t="s">
        <v>838</v>
      </c>
      <c r="L102" s="24">
        <v>15.613</v>
      </c>
      <c r="M102" s="123" t="s">
        <v>268</v>
      </c>
    </row>
    <row r="103" spans="1:13" x14ac:dyDescent="0.35">
      <c r="A103" s="23" t="s">
        <v>29</v>
      </c>
      <c r="B103" s="24">
        <f>SUMIF('Raw March'!B:B,'TB 0325'!A103,'Raw March'!C:C)</f>
        <v>0</v>
      </c>
      <c r="C103" s="24">
        <f>SUMIF('Raw March'!B:B,'TB 0325'!A103,'Raw March'!D:D)</f>
        <v>21413.01</v>
      </c>
      <c r="D103" s="24">
        <f>SUMIF('Raw March'!B:B,'TB 0325'!A103,'Raw March'!E:E)</f>
        <v>0</v>
      </c>
      <c r="E103" s="24">
        <f>B103+C103-D103</f>
        <v>21413.01</v>
      </c>
      <c r="F103" s="24">
        <f t="shared" si="6"/>
        <v>21.41301</v>
      </c>
      <c r="G103" s="22" t="s">
        <v>182</v>
      </c>
      <c r="H103" s="23" t="s">
        <v>29</v>
      </c>
      <c r="K103" s="23" t="s">
        <v>673</v>
      </c>
      <c r="L103" s="24">
        <v>25</v>
      </c>
      <c r="M103" s="123" t="s">
        <v>192</v>
      </c>
    </row>
    <row r="104" spans="1:13" x14ac:dyDescent="0.35">
      <c r="A104" s="23" t="s">
        <v>619</v>
      </c>
      <c r="B104" s="24">
        <f>SUMIF('Raw March'!B:B,'TB 0325'!A104,'Raw March'!C:C)</f>
        <v>0</v>
      </c>
      <c r="C104" s="24">
        <f>SUMIF('Raw March'!B:B,'TB 0325'!A104,'Raw March'!D:D)</f>
        <v>248981</v>
      </c>
      <c r="D104" s="24">
        <f>SUMIF('Raw March'!B:B,'TB 0325'!A104,'Raw March'!E:E)</f>
        <v>0</v>
      </c>
      <c r="E104" s="24">
        <f>B104+C104-D104</f>
        <v>248981</v>
      </c>
      <c r="F104" s="24">
        <f t="shared" si="6"/>
        <v>248.98099999999999</v>
      </c>
      <c r="G104" s="22" t="s">
        <v>182</v>
      </c>
      <c r="H104" s="23" t="s">
        <v>61</v>
      </c>
      <c r="K104" s="23" t="s">
        <v>710</v>
      </c>
      <c r="L104" s="24">
        <v>33</v>
      </c>
      <c r="M104" s="123" t="s">
        <v>192</v>
      </c>
    </row>
    <row r="105" spans="1:13" x14ac:dyDescent="0.35">
      <c r="A105" s="23" t="s">
        <v>408</v>
      </c>
      <c r="B105" s="24">
        <f>SUMIF('Raw March'!B:B,'TB 0325'!A105,'Raw March'!C:C)</f>
        <v>0</v>
      </c>
      <c r="C105" s="24">
        <f>SUMIF('Raw March'!B:B,'TB 0325'!A105,'Raw March'!D:D)</f>
        <v>100000</v>
      </c>
      <c r="D105" s="24">
        <f>SUMIF('Raw March'!B:B,'TB 0325'!A105,'Raw March'!E:E)</f>
        <v>0</v>
      </c>
      <c r="E105" s="24">
        <f>B105+C105-D105</f>
        <v>100000</v>
      </c>
      <c r="F105" s="24">
        <f t="shared" si="6"/>
        <v>100</v>
      </c>
      <c r="G105" s="22" t="s">
        <v>182</v>
      </c>
      <c r="H105" s="23" t="s">
        <v>41</v>
      </c>
      <c r="K105" s="23" t="s">
        <v>748</v>
      </c>
      <c r="L105" s="24">
        <v>25</v>
      </c>
      <c r="M105" s="123" t="s">
        <v>192</v>
      </c>
    </row>
    <row r="106" spans="1:13" x14ac:dyDescent="0.35">
      <c r="A106" s="23" t="s">
        <v>138</v>
      </c>
      <c r="B106" s="24">
        <f>SUMIF('Raw March'!B:B,'TB 0325'!A106,'Raw March'!C:C)</f>
        <v>0</v>
      </c>
      <c r="C106" s="24">
        <f>SUMIF('Raw March'!B:B,'TB 0325'!A106,'Raw March'!D:D)</f>
        <v>0</v>
      </c>
      <c r="D106" s="24">
        <f>SUMIF('Raw March'!B:B,'TB 0325'!A106,'Raw March'!E:E)</f>
        <v>100000</v>
      </c>
      <c r="E106" s="24">
        <f>B106+C106-D106</f>
        <v>-100000</v>
      </c>
      <c r="F106" s="24">
        <f t="shared" si="6"/>
        <v>-100</v>
      </c>
      <c r="G106" s="22" t="s">
        <v>180</v>
      </c>
      <c r="H106" s="23" t="s">
        <v>69</v>
      </c>
      <c r="K106" s="23" t="s">
        <v>839</v>
      </c>
      <c r="L106" s="24">
        <v>20.580650000000002</v>
      </c>
      <c r="M106" s="123" t="s">
        <v>192</v>
      </c>
    </row>
    <row r="107" spans="1:13" x14ac:dyDescent="0.35">
      <c r="A107" s="23" t="s">
        <v>119</v>
      </c>
      <c r="B107" s="24">
        <f>SUMIF('Raw March'!B:B,'TB 0325'!A107,'Raw March'!C:C)</f>
        <v>0</v>
      </c>
      <c r="C107" s="24">
        <f>SUMIF('Raw March'!B:B,'TB 0325'!A107,'Raw March'!D:D)</f>
        <v>501.13</v>
      </c>
      <c r="D107" s="24">
        <f>SUMIF('Raw March'!B:B,'TB 0325'!A107,'Raw March'!E:E)</f>
        <v>0</v>
      </c>
      <c r="E107" s="24">
        <f>B107+C107-D107</f>
        <v>501.13</v>
      </c>
      <c r="F107" s="24">
        <f t="shared" si="6"/>
        <v>0.50112999999999996</v>
      </c>
      <c r="G107" s="22" t="s">
        <v>182</v>
      </c>
      <c r="H107" s="23" t="s">
        <v>43</v>
      </c>
      <c r="K107" s="23" t="s">
        <v>840</v>
      </c>
      <c r="L107" s="24">
        <v>25</v>
      </c>
      <c r="M107" s="123" t="s">
        <v>192</v>
      </c>
    </row>
    <row r="108" spans="1:13" x14ac:dyDescent="0.35">
      <c r="K108" s="23" t="s">
        <v>841</v>
      </c>
      <c r="L108" s="24">
        <v>25</v>
      </c>
      <c r="M108" s="123" t="s">
        <v>192</v>
      </c>
    </row>
    <row r="109" spans="1:13" x14ac:dyDescent="0.35">
      <c r="C109" s="24">
        <v>43162.3</v>
      </c>
      <c r="K109" s="23" t="s">
        <v>669</v>
      </c>
      <c r="L109" s="24">
        <v>55</v>
      </c>
      <c r="M109" s="123" t="s">
        <v>192</v>
      </c>
    </row>
    <row r="110" spans="1:13" x14ac:dyDescent="0.35">
      <c r="C110" s="24">
        <f>C109-C103</f>
        <v>21749.290000000005</v>
      </c>
      <c r="K110" s="23" t="s">
        <v>670</v>
      </c>
      <c r="L110" s="24">
        <v>29.032259999999997</v>
      </c>
      <c r="M110" s="123" t="s">
        <v>192</v>
      </c>
    </row>
    <row r="111" spans="1:13" x14ac:dyDescent="0.35">
      <c r="K111" s="23" t="s">
        <v>746</v>
      </c>
      <c r="L111" s="24">
        <v>15</v>
      </c>
      <c r="M111" s="123" t="s">
        <v>192</v>
      </c>
    </row>
    <row r="112" spans="1:13" x14ac:dyDescent="0.35">
      <c r="K112" s="23" t="s">
        <v>747</v>
      </c>
      <c r="L112" s="24">
        <v>283.87097</v>
      </c>
      <c r="M112" s="123" t="s">
        <v>192</v>
      </c>
    </row>
    <row r="113" spans="11:13" x14ac:dyDescent="0.35">
      <c r="K113" s="23" t="s">
        <v>842</v>
      </c>
      <c r="L113" s="24">
        <v>50</v>
      </c>
      <c r="M113" s="123" t="s">
        <v>192</v>
      </c>
    </row>
    <row r="114" spans="11:13" x14ac:dyDescent="0.35">
      <c r="K114" s="23" t="s">
        <v>843</v>
      </c>
      <c r="L114" s="24">
        <v>110</v>
      </c>
      <c r="M114" s="123" t="s">
        <v>192</v>
      </c>
    </row>
    <row r="115" spans="11:13" x14ac:dyDescent="0.35">
      <c r="K115" s="23" t="s">
        <v>844</v>
      </c>
      <c r="L115" s="24">
        <v>28.451610000000002</v>
      </c>
      <c r="M115" s="123" t="s">
        <v>192</v>
      </c>
    </row>
    <row r="116" spans="11:13" x14ac:dyDescent="0.35">
      <c r="K116" s="23" t="s">
        <v>845</v>
      </c>
      <c r="L116" s="24">
        <v>17.74194</v>
      </c>
      <c r="M116" s="123" t="s">
        <v>192</v>
      </c>
    </row>
    <row r="117" spans="11:13" x14ac:dyDescent="0.35">
      <c r="K117" s="23" t="s">
        <v>846</v>
      </c>
      <c r="L117" s="24">
        <v>27.419349999999998</v>
      </c>
      <c r="M117" s="123" t="s">
        <v>192</v>
      </c>
    </row>
  </sheetData>
  <autoFilter ref="A2:Q107" xr:uid="{E7A29847-274F-4AE4-9D99-40A391D3D16D}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9BA6-1590-49F5-9F83-061E71D3FC15}">
  <dimension ref="A1:K132"/>
  <sheetViews>
    <sheetView topLeftCell="A27" workbookViewId="0">
      <selection activeCell="F46" sqref="F46"/>
    </sheetView>
  </sheetViews>
  <sheetFormatPr defaultColWidth="8.81640625" defaultRowHeight="14.5" x14ac:dyDescent="0.35"/>
  <cols>
    <col min="1" max="1" width="49.36328125" style="191" bestFit="1" customWidth="1"/>
    <col min="2" max="2" width="44.81640625" style="191" bestFit="1" customWidth="1"/>
    <col min="3" max="3" width="17.36328125" style="197" bestFit="1" customWidth="1"/>
    <col min="4" max="5" width="16.453125" style="197" bestFit="1" customWidth="1"/>
    <col min="6" max="6" width="17.36328125" style="197" bestFit="1" customWidth="1"/>
    <col min="7" max="7" width="44.81640625" style="191" bestFit="1" customWidth="1"/>
    <col min="8" max="8" width="11.453125" style="191" bestFit="1" customWidth="1"/>
    <col min="9" max="11" width="12" style="191" bestFit="1" customWidth="1"/>
    <col min="12" max="16384" width="8.81640625" style="191"/>
  </cols>
  <sheetData>
    <row r="1" spans="1:7" x14ac:dyDescent="0.35">
      <c r="A1" s="189" t="s">
        <v>464</v>
      </c>
      <c r="B1" s="189"/>
      <c r="C1" s="190" t="s">
        <v>498</v>
      </c>
      <c r="D1" s="190" t="s">
        <v>465</v>
      </c>
      <c r="E1" s="190" t="s">
        <v>466</v>
      </c>
      <c r="F1" s="190" t="s">
        <v>499</v>
      </c>
      <c r="G1" s="173" t="s">
        <v>433</v>
      </c>
    </row>
    <row r="2" spans="1:7" x14ac:dyDescent="0.35">
      <c r="C2" s="211"/>
      <c r="D2" s="211"/>
      <c r="E2" s="211"/>
      <c r="F2" s="211"/>
    </row>
    <row r="3" spans="1:7" x14ac:dyDescent="0.35">
      <c r="A3" s="192" t="s">
        <v>70</v>
      </c>
      <c r="B3" s="195" t="str">
        <f>TRIM(A3)</f>
        <v>Assets</v>
      </c>
      <c r="C3" s="191"/>
      <c r="D3" s="191"/>
      <c r="E3" s="191"/>
      <c r="F3" s="191"/>
    </row>
    <row r="4" spans="1:7" x14ac:dyDescent="0.35">
      <c r="A4" s="192" t="s">
        <v>500</v>
      </c>
      <c r="B4" s="195" t="str">
        <f t="shared" ref="B4:B68" si="0">TRIM(A4)</f>
        <v>Accounts Receivable</v>
      </c>
      <c r="C4" s="176">
        <v>3997527.3</v>
      </c>
      <c r="D4" s="176">
        <v>2025655.26</v>
      </c>
      <c r="E4" s="176">
        <v>361470.78</v>
      </c>
      <c r="F4" s="176">
        <v>5661711.7799999993</v>
      </c>
      <c r="G4" s="191" t="str">
        <f>VLOOKUP(B4,'TB 0325'!A:A,1,0)</f>
        <v>Accounts Receivable</v>
      </c>
    </row>
    <row r="5" spans="1:7" x14ac:dyDescent="0.35">
      <c r="A5" s="192" t="s">
        <v>501</v>
      </c>
      <c r="B5" s="195" t="str">
        <f t="shared" si="0"/>
        <v>Accrued Interest</v>
      </c>
      <c r="C5" s="176">
        <v>2393479</v>
      </c>
      <c r="D5" s="176">
        <v>5458822</v>
      </c>
      <c r="E5" s="176">
        <v>2393479</v>
      </c>
      <c r="F5" s="176">
        <v>5458822</v>
      </c>
      <c r="G5" s="191" t="str">
        <f>VLOOKUP(B5,'TB 0325'!A:A,1,0)</f>
        <v>Accrued Interest</v>
      </c>
    </row>
    <row r="6" spans="1:7" x14ac:dyDescent="0.35">
      <c r="A6" s="192" t="s">
        <v>502</v>
      </c>
      <c r="B6" s="195" t="str">
        <f t="shared" si="0"/>
        <v>Accumulated Amortization on Intangible Asset</v>
      </c>
      <c r="C6" s="176">
        <v>-105352</v>
      </c>
      <c r="D6" s="176">
        <v>118162</v>
      </c>
      <c r="E6" s="176">
        <v>124958.74</v>
      </c>
      <c r="F6" s="176">
        <v>-112148.74</v>
      </c>
      <c r="G6" s="191" t="str">
        <f>VLOOKUP(B6,'TB 0325'!A:A,1,0)</f>
        <v>Accumulated Amortization on Intangible Asset</v>
      </c>
    </row>
    <row r="7" spans="1:7" x14ac:dyDescent="0.35">
      <c r="A7" s="192" t="s">
        <v>503</v>
      </c>
      <c r="B7" s="195" t="str">
        <f t="shared" si="0"/>
        <v>Accumulated Depreciation on Computer and Laptops</v>
      </c>
      <c r="C7" s="176">
        <v>-397828</v>
      </c>
      <c r="D7" s="176">
        <v>533115</v>
      </c>
      <c r="E7" s="176">
        <v>670172.31000000006</v>
      </c>
      <c r="F7" s="176">
        <v>-534885.31000000006</v>
      </c>
      <c r="G7" s="191" t="str">
        <f>VLOOKUP(B7,'TB 0325'!A:A,1,0)</f>
        <v>Accumulated Depreciation on Computer and Laptops</v>
      </c>
    </row>
    <row r="8" spans="1:7" x14ac:dyDescent="0.35">
      <c r="A8" s="192" t="s">
        <v>760</v>
      </c>
      <c r="B8" s="195" t="str">
        <f t="shared" si="0"/>
        <v>Accumulated Depreciation on Furniture &amp; Equipment</v>
      </c>
      <c r="C8" s="176">
        <v>0</v>
      </c>
      <c r="D8" s="176">
        <v>12703</v>
      </c>
      <c r="E8" s="176">
        <v>25232.37</v>
      </c>
      <c r="F8" s="176">
        <v>-12529.37</v>
      </c>
      <c r="G8" s="191" t="str">
        <f>VLOOKUP(B8,'TB 0325'!A:A,1,0)</f>
        <v>Accumulated Depreciation on Furniture &amp; Equipment</v>
      </c>
    </row>
    <row r="9" spans="1:7" x14ac:dyDescent="0.35">
      <c r="A9" s="192" t="s">
        <v>504</v>
      </c>
      <c r="B9" s="195" t="str">
        <f t="shared" si="0"/>
        <v>Accumulated Depreciation on Office Equipment</v>
      </c>
      <c r="C9" s="176">
        <v>-19615</v>
      </c>
      <c r="D9" s="176">
        <v>23926</v>
      </c>
      <c r="E9" s="176">
        <v>27715.91</v>
      </c>
      <c r="F9" s="176">
        <v>-23404.91</v>
      </c>
      <c r="G9" s="191" t="str">
        <f>VLOOKUP(B9,'TB 0325'!A:A,1,0)</f>
        <v>Accumulated Depreciation on Office Equipment</v>
      </c>
    </row>
    <row r="10" spans="1:7" x14ac:dyDescent="0.35">
      <c r="A10" s="192" t="s">
        <v>505</v>
      </c>
      <c r="B10" s="195" t="str">
        <f t="shared" si="0"/>
        <v>Amazon Wallet</v>
      </c>
      <c r="C10" s="176">
        <v>305.98</v>
      </c>
      <c r="D10" s="176">
        <v>0</v>
      </c>
      <c r="E10" s="176">
        <v>0</v>
      </c>
      <c r="F10" s="176">
        <v>305.98</v>
      </c>
      <c r="G10" s="191" t="str">
        <f>VLOOKUP(B10,'TB 0325'!A:A,1,0)</f>
        <v>Amazon Wallet</v>
      </c>
    </row>
    <row r="11" spans="1:7" x14ac:dyDescent="0.35">
      <c r="A11" s="192" t="s">
        <v>506</v>
      </c>
      <c r="B11" s="195" t="str">
        <f t="shared" si="0"/>
        <v>Axis Bank 1655</v>
      </c>
      <c r="C11" s="176">
        <v>12754.34</v>
      </c>
      <c r="D11" s="176">
        <v>0</v>
      </c>
      <c r="E11" s="176">
        <v>118</v>
      </c>
      <c r="F11" s="176">
        <v>12636.34</v>
      </c>
      <c r="G11" s="191" t="str">
        <f>VLOOKUP(B11,'TB 0325'!A:A,1,0)</f>
        <v>Axis Bank 1655</v>
      </c>
    </row>
    <row r="12" spans="1:7" x14ac:dyDescent="0.35">
      <c r="A12" s="192" t="s">
        <v>507</v>
      </c>
      <c r="B12" s="195" t="str">
        <f t="shared" si="0"/>
        <v>Computer and Laptops</v>
      </c>
      <c r="C12" s="176">
        <v>1538412.31</v>
      </c>
      <c r="D12" s="176">
        <v>2094742.72</v>
      </c>
      <c r="E12" s="176">
        <v>0</v>
      </c>
      <c r="F12" s="176">
        <v>3633155.03</v>
      </c>
      <c r="G12" s="191" t="str">
        <f>VLOOKUP(B12,'TB 0325'!A:A,1,0)</f>
        <v>Computer and Laptops</v>
      </c>
    </row>
    <row r="13" spans="1:7" x14ac:dyDescent="0.35">
      <c r="A13" s="192" t="s">
        <v>678</v>
      </c>
      <c r="B13" s="195" t="str">
        <f t="shared" si="0"/>
        <v>Furniture and Equipment</v>
      </c>
      <c r="C13" s="176">
        <v>338231.34</v>
      </c>
      <c r="D13" s="176">
        <v>0</v>
      </c>
      <c r="E13" s="176">
        <v>0</v>
      </c>
      <c r="F13" s="176">
        <v>338231.34</v>
      </c>
      <c r="G13" s="191" t="str">
        <f>VLOOKUP(B13,'TB 0325'!A:A,1,0)</f>
        <v>Furniture and Equipment</v>
      </c>
    </row>
    <row r="14" spans="1:7" x14ac:dyDescent="0.35">
      <c r="A14" s="192" t="s">
        <v>712</v>
      </c>
      <c r="B14" s="195" t="str">
        <f t="shared" si="0"/>
        <v>HDFC Bank 6899</v>
      </c>
      <c r="C14" s="176">
        <v>50000</v>
      </c>
      <c r="D14" s="176">
        <v>0</v>
      </c>
      <c r="E14" s="176">
        <v>0</v>
      </c>
      <c r="F14" s="176">
        <v>50000</v>
      </c>
      <c r="G14" s="191" t="str">
        <f>VLOOKUP(B14,'TB 0325'!A:A,1,0)</f>
        <v>HDFC Bank 6899</v>
      </c>
    </row>
    <row r="15" spans="1:7" x14ac:dyDescent="0.35">
      <c r="A15" s="192" t="s">
        <v>713</v>
      </c>
      <c r="B15" s="195" t="str">
        <f t="shared" si="0"/>
        <v>HDFC Bank 9531</v>
      </c>
      <c r="C15" s="176">
        <v>155044.14000000001</v>
      </c>
      <c r="D15" s="176">
        <v>1009634.36</v>
      </c>
      <c r="E15" s="176">
        <v>833332.56</v>
      </c>
      <c r="F15" s="176">
        <v>331345.94</v>
      </c>
      <c r="G15" s="191" t="str">
        <f>VLOOKUP(B15,'TB 0325'!A:A,1,0)</f>
        <v>HDFC Bank 9531</v>
      </c>
    </row>
    <row r="16" spans="1:7" x14ac:dyDescent="0.35">
      <c r="A16" s="192" t="s">
        <v>508</v>
      </c>
      <c r="B16" s="195" t="str">
        <f t="shared" si="0"/>
        <v>Input Tax Credits</v>
      </c>
      <c r="C16" s="176">
        <v>0</v>
      </c>
      <c r="D16" s="176">
        <v>0</v>
      </c>
      <c r="E16" s="176">
        <v>0</v>
      </c>
      <c r="F16" s="176">
        <v>0</v>
      </c>
    </row>
    <row r="17" spans="1:7" x14ac:dyDescent="0.35">
      <c r="A17" s="192" t="s">
        <v>509</v>
      </c>
      <c r="B17" s="195" t="str">
        <f t="shared" si="0"/>
        <v>Input CGST</v>
      </c>
      <c r="C17" s="176">
        <v>942647.56</v>
      </c>
      <c r="D17" s="176">
        <v>385232.49</v>
      </c>
      <c r="E17" s="176">
        <v>0</v>
      </c>
      <c r="F17" s="176">
        <v>1327880.05</v>
      </c>
      <c r="G17" s="191" t="str">
        <f>VLOOKUP(B17,'TB 0325'!A:A,1,0)</f>
        <v>Input CGST</v>
      </c>
    </row>
    <row r="18" spans="1:7" x14ac:dyDescent="0.35">
      <c r="A18" s="192" t="s">
        <v>510</v>
      </c>
      <c r="B18" s="195" t="str">
        <f t="shared" si="0"/>
        <v>Input IGST</v>
      </c>
      <c r="C18" s="176">
        <v>586694.94999999995</v>
      </c>
      <c r="D18" s="176">
        <v>143619.79999999999</v>
      </c>
      <c r="E18" s="176">
        <v>53010</v>
      </c>
      <c r="F18" s="176">
        <v>677304.75</v>
      </c>
      <c r="G18" s="191" t="str">
        <f>VLOOKUP(B18,'TB 0325'!A:A,1,0)</f>
        <v>Input IGST</v>
      </c>
    </row>
    <row r="19" spans="1:7" x14ac:dyDescent="0.35">
      <c r="A19" s="192" t="s">
        <v>511</v>
      </c>
      <c r="B19" s="195" t="str">
        <f t="shared" si="0"/>
        <v>Input SGST</v>
      </c>
      <c r="C19" s="176">
        <v>942647.61</v>
      </c>
      <c r="D19" s="176">
        <v>385232.49</v>
      </c>
      <c r="E19" s="176">
        <v>0</v>
      </c>
      <c r="F19" s="176">
        <v>1327880.1000000001</v>
      </c>
      <c r="G19" s="191" t="str">
        <f>VLOOKUP(B19,'TB 0325'!A:A,1,0)</f>
        <v>Input SGST</v>
      </c>
    </row>
    <row r="20" spans="1:7" ht="15.5" x14ac:dyDescent="0.35">
      <c r="A20" s="193" t="s">
        <v>512</v>
      </c>
      <c r="B20" s="195" t="str">
        <f t="shared" si="0"/>
        <v>Total for Input Tax Credits</v>
      </c>
      <c r="C20" s="178">
        <v>2481798.12</v>
      </c>
      <c r="D20" s="178">
        <v>889149.64</v>
      </c>
      <c r="E20" s="178">
        <v>0</v>
      </c>
      <c r="F20" s="178">
        <v>3370947.76</v>
      </c>
    </row>
    <row r="21" spans="1:7" x14ac:dyDescent="0.35">
      <c r="B21" s="195" t="str">
        <f t="shared" si="0"/>
        <v/>
      </c>
    </row>
    <row r="22" spans="1:7" x14ac:dyDescent="0.35">
      <c r="A22" s="192" t="s">
        <v>513</v>
      </c>
      <c r="B22" s="195" t="str">
        <f t="shared" si="0"/>
        <v>Intangible Asset</v>
      </c>
      <c r="C22" s="176">
        <v>1537167.67</v>
      </c>
      <c r="D22" s="176">
        <v>0</v>
      </c>
      <c r="E22" s="176">
        <v>0</v>
      </c>
      <c r="F22" s="176">
        <v>1537167.67</v>
      </c>
      <c r="G22" s="191" t="str">
        <f>VLOOKUP(B22,'TB 0325'!A:A,1,0)</f>
        <v>Intangible Asset</v>
      </c>
    </row>
    <row r="23" spans="1:7" x14ac:dyDescent="0.35">
      <c r="A23" s="192" t="s">
        <v>514</v>
      </c>
      <c r="B23" s="195" t="str">
        <f t="shared" si="0"/>
        <v>Investments</v>
      </c>
      <c r="C23" s="176">
        <v>0</v>
      </c>
      <c r="D23" s="176">
        <v>0</v>
      </c>
      <c r="E23" s="176">
        <v>0</v>
      </c>
      <c r="F23" s="176">
        <v>0</v>
      </c>
    </row>
    <row r="24" spans="1:7" x14ac:dyDescent="0.35">
      <c r="A24" s="192" t="s">
        <v>716</v>
      </c>
      <c r="B24" s="195" t="str">
        <f t="shared" si="0"/>
        <v>Fixed Deposit 50301104821591</v>
      </c>
      <c r="C24" s="176">
        <v>45000000</v>
      </c>
      <c r="D24" s="176">
        <v>0</v>
      </c>
      <c r="E24" s="176">
        <v>0</v>
      </c>
      <c r="F24" s="176">
        <v>45000000</v>
      </c>
      <c r="G24" s="191" t="str">
        <f>VLOOKUP(B24,'TB 0325'!A:A,1,0)</f>
        <v>Fixed Deposit 50301104821591</v>
      </c>
    </row>
    <row r="25" spans="1:7" x14ac:dyDescent="0.35">
      <c r="A25" s="192" t="s">
        <v>717</v>
      </c>
      <c r="B25" s="195" t="str">
        <f t="shared" si="0"/>
        <v>Fixed Deposit 50301104822249</v>
      </c>
      <c r="C25" s="176">
        <v>30000000</v>
      </c>
      <c r="D25" s="176">
        <v>0</v>
      </c>
      <c r="E25" s="176">
        <v>0</v>
      </c>
      <c r="F25" s="176">
        <v>30000000</v>
      </c>
      <c r="G25" s="191" t="str">
        <f>VLOOKUP(B25,'TB 0325'!A:A,1,0)</f>
        <v>Fixed Deposit 50301104822249</v>
      </c>
    </row>
    <row r="26" spans="1:7" x14ac:dyDescent="0.35">
      <c r="A26" s="192" t="s">
        <v>629</v>
      </c>
      <c r="B26" s="195" t="str">
        <f t="shared" si="0"/>
        <v>Fixed Deposit 9349770858</v>
      </c>
      <c r="C26" s="176">
        <v>6000000</v>
      </c>
      <c r="D26" s="176">
        <v>0</v>
      </c>
      <c r="E26" s="176">
        <v>0</v>
      </c>
      <c r="F26" s="176">
        <v>6000000</v>
      </c>
      <c r="G26" s="191" t="str">
        <f>VLOOKUP(B26,'TB 0325'!A:A,1,0)</f>
        <v>Fixed Deposit 9349770858</v>
      </c>
    </row>
    <row r="27" spans="1:7" x14ac:dyDescent="0.35">
      <c r="A27" s="192" t="s">
        <v>680</v>
      </c>
      <c r="B27" s="195" t="str">
        <f t="shared" si="0"/>
        <v>Fixed Deposit 9349809145</v>
      </c>
      <c r="C27" s="176">
        <v>350000000</v>
      </c>
      <c r="D27" s="176">
        <v>0</v>
      </c>
      <c r="E27" s="176">
        <v>0</v>
      </c>
      <c r="F27" s="176">
        <v>350000000</v>
      </c>
      <c r="G27" s="191" t="str">
        <f>VLOOKUP(B27,'TB 0325'!A:A,1,0)</f>
        <v>Fixed Deposit 9349809145</v>
      </c>
    </row>
    <row r="28" spans="1:7" x14ac:dyDescent="0.35">
      <c r="A28" s="192" t="s">
        <v>749</v>
      </c>
      <c r="B28" s="195" t="str">
        <f t="shared" si="0"/>
        <v>Fixed Deposit 9349846355</v>
      </c>
      <c r="C28" s="176">
        <v>35000000</v>
      </c>
      <c r="D28" s="176">
        <v>0</v>
      </c>
      <c r="E28" s="176">
        <v>0</v>
      </c>
      <c r="F28" s="176">
        <v>35000000</v>
      </c>
      <c r="G28" s="191" t="str">
        <f>VLOOKUP(B28,'TB 0325'!A:A,1,0)</f>
        <v>Fixed Deposit 9349846355</v>
      </c>
    </row>
    <row r="29" spans="1:7" x14ac:dyDescent="0.35">
      <c r="A29" s="192" t="s">
        <v>750</v>
      </c>
      <c r="B29" s="195" t="str">
        <f t="shared" si="0"/>
        <v>Fixed Deposit 9349848809</v>
      </c>
      <c r="C29" s="176">
        <v>30000000</v>
      </c>
      <c r="D29" s="176">
        <v>0</v>
      </c>
      <c r="E29" s="176">
        <v>30000000</v>
      </c>
      <c r="F29" s="176">
        <v>0</v>
      </c>
      <c r="G29" s="191" t="str">
        <f>VLOOKUP(B29,'TB 0325'!A:A,1,0)</f>
        <v>Fixed Deposit 9349848809</v>
      </c>
    </row>
    <row r="30" spans="1:7" x14ac:dyDescent="0.35">
      <c r="A30" s="192" t="s">
        <v>751</v>
      </c>
      <c r="B30" s="195" t="str">
        <f t="shared" si="0"/>
        <v>Fixed Deposit 9349848823</v>
      </c>
      <c r="C30" s="176">
        <v>2000000</v>
      </c>
      <c r="D30" s="176">
        <v>0</v>
      </c>
      <c r="E30" s="176">
        <v>0</v>
      </c>
      <c r="F30" s="176">
        <v>2000000</v>
      </c>
      <c r="G30" s="191" t="str">
        <f>VLOOKUP(B30,'TB 0325'!A:A,1,0)</f>
        <v>Fixed Deposit 9349848823</v>
      </c>
    </row>
    <row r="31" spans="1:7" x14ac:dyDescent="0.35">
      <c r="A31" s="192" t="s">
        <v>761</v>
      </c>
      <c r="B31" s="195" t="str">
        <f t="shared" si="0"/>
        <v>Fixed Deposit 9349866506</v>
      </c>
      <c r="C31" s="176">
        <v>0</v>
      </c>
      <c r="D31" s="176">
        <v>24000000</v>
      </c>
      <c r="E31" s="176">
        <v>24000000</v>
      </c>
      <c r="F31" s="176">
        <v>0</v>
      </c>
      <c r="G31" s="191" t="str">
        <f>VLOOKUP(B31,'TB 0325'!A:A,1,0)</f>
        <v>Fixed Deposit 9349866506</v>
      </c>
    </row>
    <row r="32" spans="1:7" x14ac:dyDescent="0.35">
      <c r="A32" s="192" t="s">
        <v>762</v>
      </c>
      <c r="B32" s="195" t="str">
        <f t="shared" si="0"/>
        <v>Fixed Deposit 9349886610</v>
      </c>
      <c r="C32" s="176">
        <v>0</v>
      </c>
      <c r="D32" s="176">
        <v>10000000</v>
      </c>
      <c r="E32" s="176">
        <v>0</v>
      </c>
      <c r="F32" s="176">
        <v>10000000</v>
      </c>
      <c r="G32" s="191" t="str">
        <f>VLOOKUP(B32,'TB 0325'!A:A,1,0)</f>
        <v>Fixed Deposit 9349886610</v>
      </c>
    </row>
    <row r="33" spans="1:11" ht="15.5" x14ac:dyDescent="0.35">
      <c r="A33" s="193" t="s">
        <v>521</v>
      </c>
      <c r="B33" s="195" t="str">
        <f t="shared" si="0"/>
        <v>Total for Investments</v>
      </c>
      <c r="C33" s="178">
        <v>498000000</v>
      </c>
      <c r="D33" s="178">
        <v>34000000</v>
      </c>
      <c r="E33" s="178">
        <v>54000000</v>
      </c>
      <c r="F33" s="178">
        <v>478000000</v>
      </c>
    </row>
    <row r="34" spans="1:11" x14ac:dyDescent="0.35">
      <c r="B34" s="195" t="str">
        <f t="shared" si="0"/>
        <v/>
      </c>
    </row>
    <row r="35" spans="1:11" x14ac:dyDescent="0.35">
      <c r="A35" s="192" t="s">
        <v>522</v>
      </c>
      <c r="B35" s="195" t="str">
        <f t="shared" si="0"/>
        <v>Kotak Mahindra Bank 9942</v>
      </c>
      <c r="C35" s="176">
        <v>371896.76</v>
      </c>
      <c r="D35" s="176">
        <v>54062137</v>
      </c>
      <c r="E35" s="176">
        <v>54300000</v>
      </c>
      <c r="F35" s="176">
        <v>134033.76</v>
      </c>
      <c r="G35" s="191" t="str">
        <f>VLOOKUP(B35,'TB 0325'!A:A,1,0)</f>
        <v>Kotak Mahindra Bank 9942</v>
      </c>
    </row>
    <row r="36" spans="1:11" x14ac:dyDescent="0.35">
      <c r="A36" s="192" t="s">
        <v>523</v>
      </c>
      <c r="B36" s="195" t="str">
        <f t="shared" si="0"/>
        <v>Kotak Mahindra Bank 9966</v>
      </c>
      <c r="C36" s="176">
        <v>5211863.4800000004</v>
      </c>
      <c r="D36" s="176">
        <v>21755951.280000001</v>
      </c>
      <c r="E36" s="176">
        <v>20161078.25</v>
      </c>
      <c r="F36" s="176">
        <v>6806736.5099999998</v>
      </c>
      <c r="G36" s="191" t="str">
        <f>VLOOKUP(B36,'TB 0325'!A:A,1,0)</f>
        <v>Kotak Mahindra Bank 9966</v>
      </c>
    </row>
    <row r="37" spans="1:11" x14ac:dyDescent="0.35">
      <c r="A37" s="192" t="s">
        <v>722</v>
      </c>
      <c r="B37" s="195" t="str">
        <f t="shared" si="0"/>
        <v>Leasehold Improvement</v>
      </c>
      <c r="C37" s="176">
        <v>2918239</v>
      </c>
      <c r="D37" s="176">
        <v>228700</v>
      </c>
      <c r="E37" s="176">
        <v>0</v>
      </c>
      <c r="F37" s="176">
        <v>3146939</v>
      </c>
      <c r="G37" s="191" t="str">
        <f>VLOOKUP(B37,'TB 0325'!A:A,1,0)</f>
        <v>Leasehold Improvement</v>
      </c>
    </row>
    <row r="38" spans="1:11" x14ac:dyDescent="0.35">
      <c r="A38" s="192" t="s">
        <v>524</v>
      </c>
      <c r="B38" s="195" t="str">
        <f t="shared" si="0"/>
        <v>Office Equipment</v>
      </c>
      <c r="C38" s="176">
        <v>55864.5</v>
      </c>
      <c r="D38" s="176">
        <v>87480.54</v>
      </c>
      <c r="E38" s="176">
        <v>0</v>
      </c>
      <c r="F38" s="176">
        <v>143345.04</v>
      </c>
      <c r="G38" s="191" t="str">
        <f>VLOOKUP(B38,'TB 0325'!A:A,1,0)</f>
        <v>Office Equipment</v>
      </c>
    </row>
    <row r="39" spans="1:11" x14ac:dyDescent="0.35">
      <c r="A39" s="192" t="s">
        <v>526</v>
      </c>
      <c r="B39" s="195" t="str">
        <f t="shared" si="0"/>
        <v>Prepaid Expense - Asset</v>
      </c>
      <c r="C39" s="176">
        <v>170100.18</v>
      </c>
      <c r="D39" s="176">
        <v>0</v>
      </c>
      <c r="E39" s="176">
        <v>71350.16</v>
      </c>
      <c r="F39" s="176">
        <v>98750.02</v>
      </c>
      <c r="G39" s="191" t="str">
        <f>VLOOKUP(B39,'TB 0325'!A:A,1,0)</f>
        <v>Prepaid Expense - Asset</v>
      </c>
    </row>
    <row r="40" spans="1:11" x14ac:dyDescent="0.35">
      <c r="A40" s="192" t="s">
        <v>527</v>
      </c>
      <c r="B40" s="195" t="str">
        <f t="shared" si="0"/>
        <v>Prepaid Expenses</v>
      </c>
      <c r="C40" s="176">
        <v>77166.33</v>
      </c>
      <c r="D40" s="176">
        <v>2136973.31</v>
      </c>
      <c r="E40" s="176">
        <v>2062064.39</v>
      </c>
      <c r="F40" s="176">
        <v>152075.25</v>
      </c>
      <c r="G40" s="191" t="str">
        <f>VLOOKUP(B40,'TB 0325'!A:A,1,0)</f>
        <v>Prepaid Expenses</v>
      </c>
    </row>
    <row r="41" spans="1:11" x14ac:dyDescent="0.35">
      <c r="A41" s="192" t="s">
        <v>528</v>
      </c>
      <c r="B41" s="195" t="str">
        <f t="shared" si="0"/>
        <v>Receipt from Customers</v>
      </c>
      <c r="C41" s="176">
        <v>-3938490.95</v>
      </c>
      <c r="D41" s="176">
        <v>64997</v>
      </c>
      <c r="E41" s="176">
        <v>1658997.15</v>
      </c>
      <c r="F41" s="176">
        <v>-5532491.0999999996</v>
      </c>
      <c r="G41" s="191" t="str">
        <f>VLOOKUP(B41,'TB 0325'!A:A,1,0)</f>
        <v>Receipt from Customers</v>
      </c>
    </row>
    <row r="42" spans="1:11" x14ac:dyDescent="0.35">
      <c r="A42" s="192" t="s">
        <v>529</v>
      </c>
      <c r="B42" s="195" t="str">
        <f t="shared" si="0"/>
        <v>Reverse Charge Tax Input but not due</v>
      </c>
      <c r="C42" s="176">
        <v>332686.3</v>
      </c>
      <c r="D42" s="176">
        <v>296990.3</v>
      </c>
      <c r="E42" s="176">
        <v>0</v>
      </c>
      <c r="F42" s="176">
        <v>629676.6</v>
      </c>
      <c r="G42" s="191" t="str">
        <f>VLOOKUP(B42,'TB 0325'!A:A,1,0)</f>
        <v>Reverse Charge Tax Input but not due</v>
      </c>
    </row>
    <row r="43" spans="1:11" x14ac:dyDescent="0.35">
      <c r="A43" s="192" t="s">
        <v>530</v>
      </c>
      <c r="B43" s="195" t="str">
        <f t="shared" si="0"/>
        <v>Security Deposit</v>
      </c>
      <c r="C43" s="176">
        <v>1680000</v>
      </c>
      <c r="D43" s="176">
        <v>2516000</v>
      </c>
      <c r="E43" s="176">
        <v>0</v>
      </c>
      <c r="F43" s="176">
        <v>4196000</v>
      </c>
      <c r="G43" s="191" t="str">
        <f>VLOOKUP(B43,'TB 0325'!A:A,1,0)</f>
        <v>Security Deposit</v>
      </c>
      <c r="I43" s="211">
        <f>I45-I44</f>
        <v>9895.2399999989575</v>
      </c>
      <c r="J43" s="211">
        <f>J45-J44</f>
        <v>27770.800000001342</v>
      </c>
      <c r="K43" s="211">
        <f>I43-J43</f>
        <v>-17875.560000002384</v>
      </c>
    </row>
    <row r="44" spans="1:11" x14ac:dyDescent="0.35">
      <c r="A44" s="192" t="s">
        <v>531</v>
      </c>
      <c r="B44" s="195" t="str">
        <f t="shared" si="0"/>
        <v>TDS Receivable</v>
      </c>
      <c r="C44" s="176">
        <v>274179</v>
      </c>
      <c r="D44" s="176">
        <v>22260</v>
      </c>
      <c r="E44" s="176">
        <v>0</v>
      </c>
      <c r="F44" s="176">
        <v>296439</v>
      </c>
      <c r="G44" s="191" t="str">
        <f>VLOOKUP(B44,'TB 0325'!A:A,1,0)</f>
        <v>TDS Receivable</v>
      </c>
      <c r="I44" s="191">
        <v>7844.39</v>
      </c>
      <c r="J44" s="191">
        <v>7844.39</v>
      </c>
    </row>
    <row r="45" spans="1:11" x14ac:dyDescent="0.35">
      <c r="A45" s="192" t="s">
        <v>532</v>
      </c>
      <c r="B45" s="195" t="str">
        <f t="shared" si="0"/>
        <v>Liabilities</v>
      </c>
      <c r="C45" s="197" t="s">
        <v>85</v>
      </c>
      <c r="D45" s="197" t="s">
        <v>85</v>
      </c>
      <c r="E45" s="197" t="s">
        <v>85</v>
      </c>
      <c r="F45" s="197" t="s">
        <v>85</v>
      </c>
      <c r="H45" s="211">
        <f>H46-C46</f>
        <v>0</v>
      </c>
      <c r="I45" s="211">
        <f>I46-D46</f>
        <v>17739.629999998957</v>
      </c>
      <c r="J45" s="211">
        <f>J46-E46</f>
        <v>35615.190000001341</v>
      </c>
      <c r="K45" s="211">
        <f>K46-F46</f>
        <v>-17875.560000002384</v>
      </c>
    </row>
    <row r="46" spans="1:11" x14ac:dyDescent="0.35">
      <c r="A46" s="192" t="s">
        <v>533</v>
      </c>
      <c r="B46" s="195" t="str">
        <f t="shared" si="0"/>
        <v>Accounts Payable</v>
      </c>
      <c r="C46" s="176">
        <v>-3579088.09</v>
      </c>
      <c r="D46" s="176">
        <v>19196009.530000001</v>
      </c>
      <c r="E46" s="176">
        <v>21935395.719999999</v>
      </c>
      <c r="F46" s="176">
        <v>-6318474.2799999975</v>
      </c>
      <c r="G46" s="191" t="str">
        <f>VLOOKUP(B46,'TB 0325'!A:A,1,0)</f>
        <v>Accounts Payable</v>
      </c>
      <c r="H46" s="191">
        <v>-3579088.09</v>
      </c>
      <c r="I46" s="191">
        <v>19213749.16</v>
      </c>
      <c r="J46" s="191">
        <v>21971010.91</v>
      </c>
      <c r="K46" s="191">
        <v>-6336349.8399999999</v>
      </c>
    </row>
    <row r="47" spans="1:11" x14ac:dyDescent="0.35">
      <c r="A47" s="192" t="s">
        <v>534</v>
      </c>
      <c r="B47" s="195" t="str">
        <f t="shared" si="0"/>
        <v>App Wallet</v>
      </c>
      <c r="C47" s="176">
        <v>-290582.27</v>
      </c>
      <c r="D47" s="176">
        <v>96801</v>
      </c>
      <c r="E47" s="176">
        <v>64997</v>
      </c>
      <c r="F47" s="176">
        <v>-258778.27</v>
      </c>
      <c r="G47" s="191" t="str">
        <f>VLOOKUP(B47,'TB 0325'!A:A,1,0)</f>
        <v>App Wallet</v>
      </c>
    </row>
    <row r="48" spans="1:11" x14ac:dyDescent="0.35">
      <c r="A48" s="192" t="s">
        <v>535</v>
      </c>
      <c r="B48" s="195" t="str">
        <f t="shared" si="0"/>
        <v>Employee Reimbursements</v>
      </c>
      <c r="C48" s="176">
        <v>-152893</v>
      </c>
      <c r="D48" s="176">
        <v>152893</v>
      </c>
      <c r="E48" s="176">
        <v>123277.59</v>
      </c>
      <c r="F48" s="176">
        <v>-123277.59</v>
      </c>
      <c r="G48" s="191" t="str">
        <f>VLOOKUP(B48,'TB 0325'!A:A,1,0)</f>
        <v>Employee Reimbursements</v>
      </c>
    </row>
    <row r="49" spans="1:7" x14ac:dyDescent="0.35">
      <c r="A49" s="192" t="s">
        <v>621</v>
      </c>
      <c r="B49" s="195" t="str">
        <f t="shared" si="0"/>
        <v>Employee Salaries Payable</v>
      </c>
      <c r="C49" s="176">
        <v>-44756</v>
      </c>
      <c r="D49" s="176">
        <v>44756</v>
      </c>
      <c r="E49" s="176">
        <v>106847</v>
      </c>
      <c r="F49" s="176">
        <v>-106847</v>
      </c>
      <c r="G49" s="191" t="str">
        <f>VLOOKUP(B49,'TB 0325'!A:A,1,0)</f>
        <v>Employee Salaries Payable</v>
      </c>
    </row>
    <row r="50" spans="1:7" x14ac:dyDescent="0.35">
      <c r="A50" s="192" t="s">
        <v>763</v>
      </c>
      <c r="B50" s="195" t="str">
        <f t="shared" si="0"/>
        <v>Employees State Insurance</v>
      </c>
      <c r="C50" s="176">
        <v>0</v>
      </c>
      <c r="D50" s="176">
        <v>0</v>
      </c>
      <c r="E50" s="176">
        <v>0</v>
      </c>
      <c r="F50" s="176">
        <v>0</v>
      </c>
    </row>
    <row r="51" spans="1:7" x14ac:dyDescent="0.35">
      <c r="A51" s="192" t="s">
        <v>764</v>
      </c>
      <c r="B51" s="195" t="str">
        <f t="shared" si="0"/>
        <v>ESI - Employee</v>
      </c>
      <c r="C51" s="176">
        <v>0</v>
      </c>
      <c r="D51" s="176">
        <v>0</v>
      </c>
      <c r="E51" s="176">
        <v>118</v>
      </c>
      <c r="F51" s="176">
        <v>-118</v>
      </c>
      <c r="G51" s="191" t="str">
        <f>VLOOKUP(B51,'TB 0325'!A:A,1,0)</f>
        <v>ESI - Employee</v>
      </c>
    </row>
    <row r="52" spans="1:7" x14ac:dyDescent="0.35">
      <c r="A52" s="192" t="s">
        <v>765</v>
      </c>
      <c r="B52" s="195" t="str">
        <f t="shared" si="0"/>
        <v>ESI - Employer</v>
      </c>
      <c r="C52" s="176">
        <v>0</v>
      </c>
      <c r="D52" s="176">
        <v>0</v>
      </c>
      <c r="E52" s="176">
        <v>507</v>
      </c>
      <c r="F52" s="176">
        <v>-507</v>
      </c>
      <c r="G52" s="191" t="str">
        <f>VLOOKUP(B52,'TB 0325'!A:A,1,0)</f>
        <v>ESI - Employer</v>
      </c>
    </row>
    <row r="53" spans="1:7" ht="15.5" x14ac:dyDescent="0.35">
      <c r="A53" s="193" t="s">
        <v>766</v>
      </c>
      <c r="B53" s="195" t="str">
        <f t="shared" si="0"/>
        <v>Total for Employees State Insurance</v>
      </c>
      <c r="C53" s="178">
        <v>0</v>
      </c>
      <c r="D53" s="178">
        <v>0</v>
      </c>
      <c r="E53" s="178">
        <v>625</v>
      </c>
      <c r="F53" s="178">
        <v>-625</v>
      </c>
    </row>
    <row r="54" spans="1:7" x14ac:dyDescent="0.35">
      <c r="B54" s="195" t="str">
        <f t="shared" si="0"/>
        <v/>
      </c>
    </row>
    <row r="55" spans="1:7" x14ac:dyDescent="0.35">
      <c r="A55" s="192" t="s">
        <v>536</v>
      </c>
      <c r="B55" s="195" t="str">
        <f t="shared" si="0"/>
        <v>GST Payable</v>
      </c>
      <c r="C55" s="176">
        <v>0</v>
      </c>
      <c r="D55" s="176">
        <v>0</v>
      </c>
      <c r="E55" s="176">
        <v>0</v>
      </c>
      <c r="F55" s="176">
        <v>0</v>
      </c>
    </row>
    <row r="56" spans="1:7" x14ac:dyDescent="0.35">
      <c r="A56" s="192" t="s">
        <v>537</v>
      </c>
      <c r="B56" s="195" t="str">
        <f t="shared" si="0"/>
        <v>Output CGST</v>
      </c>
      <c r="C56" s="176">
        <v>-63525.2</v>
      </c>
      <c r="D56" s="176">
        <v>65194</v>
      </c>
      <c r="E56" s="176">
        <v>79120.19</v>
      </c>
      <c r="F56" s="176">
        <v>-107766.93</v>
      </c>
      <c r="G56" s="191" t="str">
        <f>VLOOKUP(B56,'TB 0325'!A:A,1,0)</f>
        <v>Output CGST</v>
      </c>
    </row>
    <row r="57" spans="1:7" x14ac:dyDescent="0.35">
      <c r="A57" s="192" t="s">
        <v>538</v>
      </c>
      <c r="B57" s="195" t="str">
        <f t="shared" si="0"/>
        <v>Output IGST</v>
      </c>
      <c r="C57" s="176">
        <v>-20663.580000000002</v>
      </c>
      <c r="D57" s="176">
        <v>20664</v>
      </c>
      <c r="E57" s="176">
        <v>285650.3</v>
      </c>
      <c r="F57" s="176">
        <v>-284929.34999999998</v>
      </c>
      <c r="G57" s="191" t="str">
        <f>VLOOKUP(B57,'TB 0325'!A:A,1,0)</f>
        <v>Output IGST</v>
      </c>
    </row>
    <row r="58" spans="1:7" x14ac:dyDescent="0.35">
      <c r="A58" s="192" t="s">
        <v>539</v>
      </c>
      <c r="B58" s="195" t="str">
        <f t="shared" si="0"/>
        <v>Output SGST</v>
      </c>
      <c r="C58" s="176">
        <v>-63525.2</v>
      </c>
      <c r="D58" s="176">
        <v>65194</v>
      </c>
      <c r="E58" s="176">
        <v>79120.19</v>
      </c>
      <c r="F58" s="176">
        <v>-107766.93</v>
      </c>
      <c r="G58" s="191" t="str">
        <f>VLOOKUP(B58,'TB 0325'!A:A,1,0)</f>
        <v>Output SGST</v>
      </c>
    </row>
    <row r="59" spans="1:7" ht="15.5" x14ac:dyDescent="0.35">
      <c r="A59" s="193" t="s">
        <v>540</v>
      </c>
      <c r="B59" s="195" t="str">
        <f t="shared" si="0"/>
        <v>Total for GST Payable</v>
      </c>
      <c r="C59" s="178">
        <v>-156531.66</v>
      </c>
      <c r="D59" s="178">
        <v>98042</v>
      </c>
      <c r="E59" s="178">
        <v>441973.55</v>
      </c>
      <c r="F59" s="178">
        <v>-500463.21</v>
      </c>
    </row>
    <row r="60" spans="1:7" x14ac:dyDescent="0.35">
      <c r="B60" s="195" t="str">
        <f t="shared" si="0"/>
        <v/>
      </c>
    </row>
    <row r="61" spans="1:7" x14ac:dyDescent="0.35">
      <c r="A61" s="192" t="s">
        <v>541</v>
      </c>
      <c r="B61" s="195" t="str">
        <f t="shared" si="0"/>
        <v>Professional Tax</v>
      </c>
      <c r="C61" s="176">
        <v>-10675</v>
      </c>
      <c r="D61" s="176">
        <v>10675</v>
      </c>
      <c r="E61" s="176">
        <v>16200</v>
      </c>
      <c r="F61" s="176">
        <v>-16200</v>
      </c>
      <c r="G61" s="191" t="str">
        <f>VLOOKUP(B61,'TB 0325'!A:A,1,0)</f>
        <v>Professional Tax</v>
      </c>
    </row>
    <row r="62" spans="1:7" x14ac:dyDescent="0.35">
      <c r="A62" s="192" t="s">
        <v>542</v>
      </c>
      <c r="B62" s="195" t="str">
        <f t="shared" si="0"/>
        <v>Provident Fund</v>
      </c>
      <c r="C62" s="176">
        <v>0</v>
      </c>
      <c r="D62" s="176">
        <v>0</v>
      </c>
      <c r="E62" s="176">
        <v>0</v>
      </c>
      <c r="F62" s="176">
        <v>0</v>
      </c>
    </row>
    <row r="63" spans="1:7" x14ac:dyDescent="0.35">
      <c r="A63" s="192" t="s">
        <v>543</v>
      </c>
      <c r="B63" s="195" t="str">
        <f t="shared" si="0"/>
        <v>Provident Fund - Employee</v>
      </c>
      <c r="C63" s="176">
        <v>-70891</v>
      </c>
      <c r="D63" s="176">
        <v>70891</v>
      </c>
      <c r="E63" s="176">
        <v>175892</v>
      </c>
      <c r="F63" s="176">
        <v>-175892</v>
      </c>
      <c r="G63" s="191" t="str">
        <f>VLOOKUP(B63,'TB 0325'!A:A,1,0)</f>
        <v>Provident Fund - Employee</v>
      </c>
    </row>
    <row r="64" spans="1:7" x14ac:dyDescent="0.35">
      <c r="A64" s="192" t="s">
        <v>544</v>
      </c>
      <c r="B64" s="195" t="str">
        <f t="shared" si="0"/>
        <v>Provident Fund - Employer</v>
      </c>
      <c r="C64" s="176">
        <v>-70891</v>
      </c>
      <c r="D64" s="176">
        <v>70891</v>
      </c>
      <c r="E64" s="176">
        <v>175892</v>
      </c>
      <c r="F64" s="176">
        <v>-175892</v>
      </c>
      <c r="G64" s="191" t="str">
        <f>VLOOKUP(B64,'TB 0325'!A:A,1,0)</f>
        <v>Provident Fund - Employer</v>
      </c>
    </row>
    <row r="65" spans="1:7" ht="15.5" x14ac:dyDescent="0.35">
      <c r="A65" s="193" t="s">
        <v>545</v>
      </c>
      <c r="B65" s="195" t="str">
        <f t="shared" si="0"/>
        <v>Total for Provident Fund</v>
      </c>
      <c r="C65" s="178">
        <v>-141782</v>
      </c>
      <c r="D65" s="178">
        <v>141782</v>
      </c>
      <c r="E65" s="178">
        <v>351784</v>
      </c>
      <c r="F65" s="178">
        <v>-351784</v>
      </c>
    </row>
    <row r="66" spans="1:7" x14ac:dyDescent="0.35">
      <c r="B66" s="195" t="str">
        <f t="shared" si="0"/>
        <v/>
      </c>
    </row>
    <row r="67" spans="1:7" x14ac:dyDescent="0.35">
      <c r="A67" s="192" t="s">
        <v>546</v>
      </c>
      <c r="B67" s="195" t="str">
        <f t="shared" si="0"/>
        <v>Provision for Audit Fees</v>
      </c>
      <c r="C67" s="197">
        <v>0</v>
      </c>
      <c r="D67" s="197">
        <v>0</v>
      </c>
      <c r="E67" s="197">
        <v>100000</v>
      </c>
      <c r="F67" s="197">
        <v>-100000</v>
      </c>
      <c r="G67" s="191" t="str">
        <f>VLOOKUP(B67,'TB 0325'!A:A,1,0)</f>
        <v>Provision for Audit Fees</v>
      </c>
    </row>
    <row r="68" spans="1:7" x14ac:dyDescent="0.35">
      <c r="A68" s="192" t="s">
        <v>547</v>
      </c>
      <c r="B68" s="195" t="str">
        <f t="shared" si="0"/>
        <v>Provision for Other Cost</v>
      </c>
      <c r="C68" s="176">
        <v>-19200</v>
      </c>
      <c r="D68" s="176">
        <v>19200</v>
      </c>
      <c r="E68" s="176">
        <v>31600</v>
      </c>
      <c r="F68" s="176">
        <v>-31600</v>
      </c>
      <c r="G68" s="191" t="str">
        <f>VLOOKUP(B68,'TB 0325'!A:A,1,0)</f>
        <v>Provision for Other Cost</v>
      </c>
    </row>
    <row r="69" spans="1:7" x14ac:dyDescent="0.35">
      <c r="A69" s="192" t="s">
        <v>550</v>
      </c>
      <c r="B69" s="195" t="str">
        <f t="shared" ref="B69:B131" si="1">TRIM(A69)</f>
        <v>TDS Payable</v>
      </c>
      <c r="C69" s="176">
        <v>-725273.81</v>
      </c>
      <c r="D69" s="176">
        <v>728182</v>
      </c>
      <c r="E69" s="176">
        <v>795368.8</v>
      </c>
      <c r="F69" s="176">
        <v>-792460.61</v>
      </c>
      <c r="G69" s="191" t="str">
        <f>VLOOKUP(B69,'TB 0325'!A:A,1,0)</f>
        <v>TDS Payable</v>
      </c>
    </row>
    <row r="70" spans="1:7" x14ac:dyDescent="0.35">
      <c r="A70" s="192" t="s">
        <v>551</v>
      </c>
      <c r="B70" s="195" t="str">
        <f t="shared" si="1"/>
        <v>Variable Salary Payable</v>
      </c>
      <c r="C70" s="176">
        <v>-132793</v>
      </c>
      <c r="D70" s="176">
        <v>87500</v>
      </c>
      <c r="E70" s="176">
        <v>53987</v>
      </c>
      <c r="F70" s="176">
        <v>-99280</v>
      </c>
      <c r="G70" s="191" t="str">
        <f>VLOOKUP(B70,'TB 0325'!A:A,1,0)</f>
        <v>Variable Salary Payable</v>
      </c>
    </row>
    <row r="71" spans="1:7" x14ac:dyDescent="0.35">
      <c r="A71" s="192" t="s">
        <v>552</v>
      </c>
      <c r="B71" s="195" t="str">
        <f t="shared" si="1"/>
        <v>Equities</v>
      </c>
      <c r="C71" s="197" t="s">
        <v>85</v>
      </c>
      <c r="D71" s="197" t="s">
        <v>85</v>
      </c>
      <c r="E71" s="197" t="s">
        <v>85</v>
      </c>
      <c r="F71" s="197" t="s">
        <v>85</v>
      </c>
    </row>
    <row r="72" spans="1:7" x14ac:dyDescent="0.35">
      <c r="A72" s="192" t="s">
        <v>553</v>
      </c>
      <c r="B72" s="195" t="str">
        <f t="shared" si="1"/>
        <v>Current Year Earnings</v>
      </c>
      <c r="C72" s="176">
        <v>41291690.890000001</v>
      </c>
      <c r="D72" s="176">
        <v>0</v>
      </c>
      <c r="E72" s="176">
        <v>0</v>
      </c>
      <c r="F72" s="176">
        <v>41291690.890000001</v>
      </c>
      <c r="G72" s="191" t="str">
        <f>VLOOKUP(B72,'TB 0325'!A:A,1,0)</f>
        <v>Current Year Earnings</v>
      </c>
    </row>
    <row r="73" spans="1:7" x14ac:dyDescent="0.35">
      <c r="A73" s="192" t="s">
        <v>554</v>
      </c>
      <c r="B73" s="195" t="str">
        <f t="shared" si="1"/>
        <v>Owner's Equity</v>
      </c>
      <c r="C73" s="176">
        <v>-100000</v>
      </c>
      <c r="D73" s="176">
        <v>0</v>
      </c>
      <c r="E73" s="176">
        <v>0</v>
      </c>
      <c r="F73" s="176">
        <v>-100000</v>
      </c>
      <c r="G73" s="191" t="str">
        <f>VLOOKUP(B73,'TB 0325'!A:A,1,0)</f>
        <v>Owner's Equity</v>
      </c>
    </row>
    <row r="74" spans="1:7" x14ac:dyDescent="0.35">
      <c r="A74" s="192" t="s">
        <v>683</v>
      </c>
      <c r="B74" s="195" t="str">
        <f t="shared" si="1"/>
        <v>Elevation Capital III Limited ESC</v>
      </c>
      <c r="C74" s="176">
        <v>-10</v>
      </c>
      <c r="D74" s="176">
        <v>0</v>
      </c>
      <c r="E74" s="176">
        <v>0</v>
      </c>
      <c r="F74" s="176">
        <v>-10</v>
      </c>
      <c r="G74" s="191" t="str">
        <f>VLOOKUP(B74,'TB 0325'!A:A,1,0)</f>
        <v>Elevation Capital III Limited ESC</v>
      </c>
    </row>
    <row r="75" spans="1:7" x14ac:dyDescent="0.35">
      <c r="A75" s="192" t="s">
        <v>684</v>
      </c>
      <c r="B75" s="195" t="str">
        <f t="shared" si="1"/>
        <v>Elevation Capital III Limited PSC</v>
      </c>
      <c r="C75" s="176">
        <v>-4091400</v>
      </c>
      <c r="D75" s="176">
        <v>0</v>
      </c>
      <c r="E75" s="176">
        <v>0</v>
      </c>
      <c r="F75" s="176">
        <v>-4091400</v>
      </c>
      <c r="G75" s="191" t="str">
        <f>VLOOKUP(B75,'TB 0325'!A:A,1,0)</f>
        <v>Elevation Capital III Limited PSC</v>
      </c>
    </row>
    <row r="76" spans="1:7" x14ac:dyDescent="0.35">
      <c r="A76" s="192" t="s">
        <v>685</v>
      </c>
      <c r="B76" s="195" t="str">
        <f t="shared" si="1"/>
        <v>Gaurav Munjal</v>
      </c>
      <c r="C76" s="176">
        <v>-10800</v>
      </c>
      <c r="D76" s="176">
        <v>0</v>
      </c>
      <c r="E76" s="176">
        <v>0</v>
      </c>
      <c r="F76" s="176">
        <v>-10800</v>
      </c>
      <c r="G76" s="191" t="str">
        <f>VLOOKUP(B76,'TB 0325'!A:A,1,0)</f>
        <v>Gaurav Munjal</v>
      </c>
    </row>
    <row r="77" spans="1:7" x14ac:dyDescent="0.35">
      <c r="A77" s="192" t="s">
        <v>555</v>
      </c>
      <c r="B77" s="195" t="str">
        <f t="shared" si="1"/>
        <v>Nexus Ventures VII Holdings LLC ESC</v>
      </c>
      <c r="C77" s="176">
        <v>-10</v>
      </c>
      <c r="D77" s="176">
        <v>0</v>
      </c>
      <c r="E77" s="176">
        <v>0</v>
      </c>
      <c r="F77" s="176">
        <v>-10</v>
      </c>
      <c r="G77" s="191" t="str">
        <f>VLOOKUP(B77,'TB 0325'!A:A,1,0)</f>
        <v>Nexus Ventures VII Holdings LLC ESC</v>
      </c>
    </row>
    <row r="78" spans="1:7" x14ac:dyDescent="0.35">
      <c r="A78" s="192" t="s">
        <v>556</v>
      </c>
      <c r="B78" s="195" t="str">
        <f t="shared" si="1"/>
        <v>Nexus Ventures VII Holdings LLC PSC</v>
      </c>
      <c r="C78" s="176">
        <v>-5126000</v>
      </c>
      <c r="D78" s="176">
        <v>0</v>
      </c>
      <c r="E78" s="176">
        <v>0</v>
      </c>
      <c r="F78" s="176">
        <v>-5126000</v>
      </c>
      <c r="G78" s="191" t="str">
        <f>VLOOKUP(B78,'TB 0325'!A:A,1,0)</f>
        <v>Nexus Ventures VII Holdings LLC PSC</v>
      </c>
    </row>
    <row r="79" spans="1:7" x14ac:dyDescent="0.35">
      <c r="A79" s="192" t="s">
        <v>686</v>
      </c>
      <c r="B79" s="195" t="str">
        <f t="shared" si="1"/>
        <v>Niraj Singh</v>
      </c>
      <c r="C79" s="176">
        <v>-16200</v>
      </c>
      <c r="D79" s="176">
        <v>0</v>
      </c>
      <c r="E79" s="176">
        <v>0</v>
      </c>
      <c r="F79" s="176">
        <v>-16200</v>
      </c>
      <c r="G79" s="191" t="str">
        <f>VLOOKUP(B79,'TB 0325'!A:A,1,0)</f>
        <v>Niraj Singh</v>
      </c>
    </row>
    <row r="80" spans="1:7" x14ac:dyDescent="0.35">
      <c r="A80" s="192" t="s">
        <v>687</v>
      </c>
      <c r="B80" s="195" t="str">
        <f t="shared" si="1"/>
        <v>Pranav Goenka</v>
      </c>
      <c r="C80" s="176">
        <v>-5400</v>
      </c>
      <c r="D80" s="176">
        <v>0</v>
      </c>
      <c r="E80" s="176">
        <v>0</v>
      </c>
      <c r="F80" s="176">
        <v>-5400</v>
      </c>
      <c r="G80" s="191" t="str">
        <f>VLOOKUP(B80,'TB 0325'!A:A,1,0)</f>
        <v>Pranav Goenka</v>
      </c>
    </row>
    <row r="81" spans="1:7" x14ac:dyDescent="0.35">
      <c r="A81" s="192" t="s">
        <v>688</v>
      </c>
      <c r="B81" s="195" t="str">
        <f t="shared" si="1"/>
        <v>Sanjeev Kumar</v>
      </c>
      <c r="C81" s="176">
        <v>-37800</v>
      </c>
      <c r="D81" s="176">
        <v>0</v>
      </c>
      <c r="E81" s="176">
        <v>0</v>
      </c>
      <c r="F81" s="176">
        <v>-37800</v>
      </c>
      <c r="G81" s="191" t="str">
        <f>VLOOKUP(B81,'TB 0325'!A:A,1,0)</f>
        <v>Sanjeev Kumar</v>
      </c>
    </row>
    <row r="82" spans="1:7" x14ac:dyDescent="0.35">
      <c r="A82" s="192" t="s">
        <v>557</v>
      </c>
      <c r="B82" s="195" t="str">
        <f t="shared" si="1"/>
        <v>Securities Premium</v>
      </c>
      <c r="C82" s="176">
        <v>-545637669.75999999</v>
      </c>
      <c r="D82" s="176">
        <v>0</v>
      </c>
      <c r="E82" s="176">
        <v>0</v>
      </c>
      <c r="F82" s="176">
        <v>-545637669.75999999</v>
      </c>
      <c r="G82" s="191" t="str">
        <f>VLOOKUP(B82,'TB 0325'!A:A,1,0)</f>
        <v>Securities Premium</v>
      </c>
    </row>
    <row r="83" spans="1:7" x14ac:dyDescent="0.35">
      <c r="A83" s="192" t="s">
        <v>689</v>
      </c>
      <c r="B83" s="195" t="str">
        <f t="shared" si="1"/>
        <v>Shantam Jain</v>
      </c>
      <c r="C83" s="176">
        <v>-5400</v>
      </c>
      <c r="D83" s="176">
        <v>0</v>
      </c>
      <c r="E83" s="176">
        <v>0</v>
      </c>
      <c r="F83" s="176">
        <v>-5400</v>
      </c>
      <c r="G83" s="191" t="str">
        <f>VLOOKUP(B83,'TB 0325'!A:A,1,0)</f>
        <v>Shantam Jain</v>
      </c>
    </row>
    <row r="84" spans="1:7" x14ac:dyDescent="0.35">
      <c r="A84" s="192" t="s">
        <v>690</v>
      </c>
      <c r="B84" s="195" t="str">
        <f t="shared" si="1"/>
        <v>Siddhartha Kochar</v>
      </c>
      <c r="C84" s="176">
        <v>-5400</v>
      </c>
      <c r="D84" s="176">
        <v>0</v>
      </c>
      <c r="E84" s="176">
        <v>0</v>
      </c>
      <c r="F84" s="176">
        <v>-5400</v>
      </c>
      <c r="G84" s="191" t="str">
        <f>VLOOKUP(B84,'TB 0325'!A:A,1,0)</f>
        <v>Siddhartha Kochar</v>
      </c>
    </row>
    <row r="85" spans="1:7" x14ac:dyDescent="0.35">
      <c r="A85" s="192" t="s">
        <v>691</v>
      </c>
      <c r="B85" s="195" t="str">
        <f t="shared" si="1"/>
        <v>Unnat SK Bajoria</v>
      </c>
      <c r="C85" s="176">
        <v>-5400</v>
      </c>
      <c r="D85" s="176">
        <v>0</v>
      </c>
      <c r="E85" s="176">
        <v>0</v>
      </c>
      <c r="F85" s="176">
        <v>-5400</v>
      </c>
      <c r="G85" s="191" t="str">
        <f>VLOOKUP(B85,'TB 0325'!A:A,1,0)</f>
        <v>Unnat SK Bajoria</v>
      </c>
    </row>
    <row r="86" spans="1:7" x14ac:dyDescent="0.35">
      <c r="A86" s="192" t="s">
        <v>692</v>
      </c>
      <c r="B86" s="195" t="str">
        <f t="shared" si="1"/>
        <v>Vidit Aatrey</v>
      </c>
      <c r="C86" s="176">
        <v>-37800</v>
      </c>
      <c r="D86" s="176">
        <v>0</v>
      </c>
      <c r="E86" s="176">
        <v>0</v>
      </c>
      <c r="F86" s="176">
        <v>-37800</v>
      </c>
      <c r="G86" s="191" t="str">
        <f>VLOOKUP(B86,'TB 0325'!A:A,1,0)</f>
        <v>Vidit Aatrey</v>
      </c>
    </row>
    <row r="87" spans="1:7" ht="15.5" x14ac:dyDescent="0.35">
      <c r="A87" s="193" t="s">
        <v>558</v>
      </c>
      <c r="B87" s="195" t="str">
        <f t="shared" si="1"/>
        <v>Total for Owner's Equity</v>
      </c>
      <c r="C87" s="178">
        <v>-555079289.75999999</v>
      </c>
      <c r="D87" s="178">
        <v>0</v>
      </c>
      <c r="E87" s="178">
        <v>0</v>
      </c>
      <c r="F87" s="178">
        <v>-555079289.75999999</v>
      </c>
    </row>
    <row r="88" spans="1:7" x14ac:dyDescent="0.35">
      <c r="B88" s="195" t="str">
        <f t="shared" si="1"/>
        <v/>
      </c>
    </row>
    <row r="89" spans="1:7" x14ac:dyDescent="0.35">
      <c r="A89" s="192" t="s">
        <v>559</v>
      </c>
      <c r="B89" s="195" t="str">
        <f t="shared" si="1"/>
        <v>Retained Earnings</v>
      </c>
      <c r="C89" s="176">
        <v>1905743.9</v>
      </c>
      <c r="D89" s="176">
        <v>0</v>
      </c>
      <c r="E89" s="176">
        <v>0</v>
      </c>
      <c r="F89" s="176">
        <v>1905743.9</v>
      </c>
      <c r="G89" s="191" t="str">
        <f>VLOOKUP(B89,'TB 0325'!A:A,1,0)</f>
        <v>Retained Earnings</v>
      </c>
    </row>
    <row r="90" spans="1:7" x14ac:dyDescent="0.35">
      <c r="A90" s="192" t="s">
        <v>467</v>
      </c>
      <c r="B90" s="195"/>
      <c r="C90" s="197" t="s">
        <v>85</v>
      </c>
      <c r="D90" s="197" t="s">
        <v>85</v>
      </c>
      <c r="E90" s="197" t="s">
        <v>85</v>
      </c>
      <c r="F90" s="197" t="s">
        <v>85</v>
      </c>
    </row>
    <row r="91" spans="1:7" x14ac:dyDescent="0.35">
      <c r="A91" s="192" t="s">
        <v>468</v>
      </c>
      <c r="B91" s="195" t="str">
        <f t="shared" si="1"/>
        <v>Convenience and Platform Fee</v>
      </c>
      <c r="C91" s="176">
        <v>0</v>
      </c>
      <c r="D91" s="176">
        <v>0</v>
      </c>
      <c r="E91" s="176">
        <v>483724.79999999999</v>
      </c>
      <c r="F91" s="176">
        <v>-483724.79999999999</v>
      </c>
      <c r="G91" s="191" t="str">
        <f>VLOOKUP(B91,'TB 0325'!A:A,1,0)</f>
        <v>Convenience and Platform Fee</v>
      </c>
    </row>
    <row r="92" spans="1:7" x14ac:dyDescent="0.35">
      <c r="A92" s="192" t="s">
        <v>469</v>
      </c>
      <c r="B92" s="195" t="str">
        <f t="shared" si="1"/>
        <v>Discount</v>
      </c>
      <c r="C92" s="176">
        <v>0</v>
      </c>
      <c r="D92" s="176">
        <v>429322</v>
      </c>
      <c r="E92" s="176">
        <v>0</v>
      </c>
      <c r="F92" s="176">
        <v>429322</v>
      </c>
      <c r="G92" s="191" t="str">
        <f>VLOOKUP(B92,'TB 0325'!A:A,1,0)</f>
        <v>Discount</v>
      </c>
    </row>
    <row r="93" spans="1:7" x14ac:dyDescent="0.35">
      <c r="A93" s="192" t="s">
        <v>470</v>
      </c>
      <c r="B93" s="195" t="str">
        <f t="shared" si="1"/>
        <v>FD Interest Income</v>
      </c>
      <c r="C93" s="176">
        <v>0</v>
      </c>
      <c r="D93" s="176">
        <v>2393479</v>
      </c>
      <c r="E93" s="176">
        <v>5543219</v>
      </c>
      <c r="F93" s="176">
        <v>-3149740</v>
      </c>
      <c r="G93" s="191" t="str">
        <f>VLOOKUP(B93,'TB 0325'!A:A,1,0)</f>
        <v>FD Interest Income</v>
      </c>
    </row>
    <row r="94" spans="1:7" x14ac:dyDescent="0.35">
      <c r="A94" s="192" t="s">
        <v>471</v>
      </c>
      <c r="B94" s="195" t="str">
        <f t="shared" si="1"/>
        <v>Maestro Revenue</v>
      </c>
      <c r="C94" s="176">
        <v>0</v>
      </c>
      <c r="D94" s="176">
        <v>0</v>
      </c>
      <c r="E94" s="176">
        <v>1825548.68</v>
      </c>
      <c r="F94" s="176">
        <v>-1825548.68</v>
      </c>
      <c r="G94" s="191" t="str">
        <f>VLOOKUP(B94,'TB 0325'!A:A,1,0)</f>
        <v>Maestro Revenue</v>
      </c>
    </row>
    <row r="95" spans="1:7" x14ac:dyDescent="0.35">
      <c r="A95" s="192" t="s">
        <v>472</v>
      </c>
      <c r="B95" s="195" t="str">
        <f t="shared" si="1"/>
        <v>Expense</v>
      </c>
      <c r="C95" s="197" t="s">
        <v>85</v>
      </c>
      <c r="D95" s="197" t="s">
        <v>85</v>
      </c>
      <c r="E95" s="197" t="s">
        <v>85</v>
      </c>
      <c r="F95" s="197" t="s">
        <v>85</v>
      </c>
    </row>
    <row r="96" spans="1:7" x14ac:dyDescent="0.35">
      <c r="A96" s="192" t="s">
        <v>473</v>
      </c>
      <c r="B96" s="195" t="str">
        <f t="shared" si="1"/>
        <v>Accounting Services</v>
      </c>
      <c r="C96" s="176">
        <v>0</v>
      </c>
      <c r="D96" s="176">
        <v>70000</v>
      </c>
      <c r="E96" s="176">
        <v>0</v>
      </c>
      <c r="F96" s="176">
        <v>70000</v>
      </c>
      <c r="G96" s="191" t="str">
        <f>VLOOKUP(B96,'TB 0325'!A:A,1,0)</f>
        <v>Accounting Services</v>
      </c>
    </row>
    <row r="97" spans="1:7" x14ac:dyDescent="0.35">
      <c r="A97" s="192" t="s">
        <v>635</v>
      </c>
      <c r="B97" s="195" t="str">
        <f t="shared" si="1"/>
        <v>Audit Fees</v>
      </c>
      <c r="C97" s="176">
        <v>0</v>
      </c>
      <c r="D97" s="176">
        <v>100000</v>
      </c>
      <c r="E97" s="176">
        <v>0</v>
      </c>
      <c r="F97" s="176">
        <v>100000</v>
      </c>
      <c r="G97" s="191" t="str">
        <f>VLOOKUP(B97,'TB 0325'!A:A,1,0)</f>
        <v>Audit Fees</v>
      </c>
    </row>
    <row r="98" spans="1:7" x14ac:dyDescent="0.35">
      <c r="A98" s="192" t="s">
        <v>474</v>
      </c>
      <c r="B98" s="195" t="str">
        <f t="shared" si="1"/>
        <v>Bank Fees and Charges</v>
      </c>
      <c r="C98" s="176">
        <v>0</v>
      </c>
      <c r="D98" s="176">
        <v>365.2</v>
      </c>
      <c r="E98" s="176">
        <v>0</v>
      </c>
      <c r="F98" s="176">
        <v>365.2</v>
      </c>
      <c r="G98" s="191" t="str">
        <f>VLOOKUP(B98,'TB 0325'!A:A,1,0)</f>
        <v>Bank Fees and Charges</v>
      </c>
    </row>
    <row r="99" spans="1:7" x14ac:dyDescent="0.35">
      <c r="A99" s="192" t="s">
        <v>475</v>
      </c>
      <c r="B99" s="195" t="str">
        <f t="shared" si="1"/>
        <v>Branding Expense</v>
      </c>
      <c r="C99" s="176">
        <v>0</v>
      </c>
      <c r="D99" s="176">
        <v>68026.36</v>
      </c>
      <c r="E99" s="176">
        <v>0</v>
      </c>
      <c r="F99" s="176">
        <v>68026.36</v>
      </c>
      <c r="G99" s="191" t="str">
        <f>VLOOKUP(B99,'TB 0325'!A:A,1,0)</f>
        <v>Branding Expense</v>
      </c>
    </row>
    <row r="100" spans="1:7" x14ac:dyDescent="0.35">
      <c r="A100" s="192" t="s">
        <v>476</v>
      </c>
      <c r="B100" s="195" t="str">
        <f t="shared" si="1"/>
        <v>Customer Acquisition Cost</v>
      </c>
      <c r="C100" s="176">
        <v>0</v>
      </c>
      <c r="D100" s="176">
        <v>827441</v>
      </c>
      <c r="E100" s="176">
        <v>1000</v>
      </c>
      <c r="F100" s="176">
        <v>826441</v>
      </c>
      <c r="G100" s="191" t="str">
        <f>VLOOKUP(B100,'TB 0325'!A:A,1,0)</f>
        <v>Customer Acquisition Cost</v>
      </c>
    </row>
    <row r="101" spans="1:7" x14ac:dyDescent="0.35">
      <c r="A101" s="192" t="s">
        <v>477</v>
      </c>
      <c r="B101" s="195" t="str">
        <f t="shared" si="1"/>
        <v>Depreciation and Amortization</v>
      </c>
      <c r="C101" s="176">
        <v>0</v>
      </c>
      <c r="D101" s="176">
        <v>848079.33</v>
      </c>
      <c r="E101" s="176">
        <v>687906</v>
      </c>
      <c r="F101" s="176">
        <v>160173.32999999996</v>
      </c>
      <c r="G101" s="191" t="str">
        <f>VLOOKUP(B101,'TB 0325'!A:A,1,0)</f>
        <v>Depreciation and Amortization</v>
      </c>
    </row>
    <row r="102" spans="1:7" x14ac:dyDescent="0.35">
      <c r="A102" s="192" t="s">
        <v>478</v>
      </c>
      <c r="B102" s="195" t="str">
        <f t="shared" si="1"/>
        <v>Employee Benefit Expense</v>
      </c>
      <c r="C102" s="176">
        <v>0</v>
      </c>
      <c r="D102" s="176">
        <v>0</v>
      </c>
      <c r="E102" s="176">
        <v>0</v>
      </c>
      <c r="F102" s="176">
        <v>0</v>
      </c>
    </row>
    <row r="103" spans="1:7" x14ac:dyDescent="0.35">
      <c r="A103" s="192" t="s">
        <v>767</v>
      </c>
      <c r="B103" s="195" t="str">
        <f t="shared" si="1"/>
        <v>Employer ESI Expense</v>
      </c>
      <c r="C103" s="176">
        <v>0</v>
      </c>
      <c r="D103" s="176">
        <v>507</v>
      </c>
      <c r="E103" s="176">
        <v>0</v>
      </c>
      <c r="F103" s="176">
        <v>507</v>
      </c>
      <c r="G103" s="191" t="str">
        <f>VLOOKUP(B103,'TB 0325'!A:A,1,0)</f>
        <v>Employer ESI Expense</v>
      </c>
    </row>
    <row r="104" spans="1:7" x14ac:dyDescent="0.35">
      <c r="A104" s="192" t="s">
        <v>479</v>
      </c>
      <c r="B104" s="195" t="str">
        <f t="shared" si="1"/>
        <v>Employer PF Expense</v>
      </c>
      <c r="C104" s="176">
        <v>0</v>
      </c>
      <c r="D104" s="176">
        <v>175892</v>
      </c>
      <c r="E104" s="176">
        <v>0</v>
      </c>
      <c r="F104" s="176">
        <v>175892</v>
      </c>
      <c r="G104" s="191" t="str">
        <f>VLOOKUP(B104,'TB 0325'!A:A,1,0)</f>
        <v>Employer PF Expense</v>
      </c>
    </row>
    <row r="105" spans="1:7" x14ac:dyDescent="0.35">
      <c r="A105" s="192" t="s">
        <v>480</v>
      </c>
      <c r="B105" s="195" t="str">
        <f t="shared" si="1"/>
        <v>PF Admin Expense</v>
      </c>
      <c r="C105" s="176">
        <v>0</v>
      </c>
      <c r="D105" s="176">
        <v>5908</v>
      </c>
      <c r="E105" s="176">
        <v>0</v>
      </c>
      <c r="F105" s="176">
        <v>5908</v>
      </c>
      <c r="G105" s="191" t="str">
        <f>VLOOKUP(B105,'TB 0325'!A:A,1,0)</f>
        <v>PF Admin Expense</v>
      </c>
    </row>
    <row r="106" spans="1:7" x14ac:dyDescent="0.35">
      <c r="A106" s="192" t="s">
        <v>481</v>
      </c>
      <c r="B106" s="195" t="str">
        <f t="shared" si="1"/>
        <v>Staff Welfare Expense</v>
      </c>
      <c r="C106" s="176">
        <v>0</v>
      </c>
      <c r="D106" s="176">
        <v>948909.49</v>
      </c>
      <c r="E106" s="176">
        <v>160229.43</v>
      </c>
      <c r="F106" s="176">
        <f>C106+D106-E106</f>
        <v>788680.06</v>
      </c>
      <c r="G106" s="191" t="str">
        <f>VLOOKUP(B106,'TB 0325'!A:A,1,0)</f>
        <v>Staff Welfare Expense</v>
      </c>
    </row>
    <row r="107" spans="1:7" x14ac:dyDescent="0.35">
      <c r="A107" s="192" t="s">
        <v>482</v>
      </c>
      <c r="B107" s="195" t="str">
        <f t="shared" si="1"/>
        <v>Variable Salary</v>
      </c>
      <c r="C107" s="176">
        <v>0</v>
      </c>
      <c r="D107" s="176">
        <v>53987</v>
      </c>
      <c r="E107" s="176">
        <v>87500</v>
      </c>
      <c r="F107" s="176">
        <v>-33513</v>
      </c>
      <c r="G107" s="191" t="str">
        <f>VLOOKUP(B107,'TB 0325'!A:A,1,0)</f>
        <v>Variable Salary</v>
      </c>
    </row>
    <row r="108" spans="1:7" ht="15.5" x14ac:dyDescent="0.35">
      <c r="A108" s="193" t="s">
        <v>483</v>
      </c>
      <c r="B108" s="195" t="str">
        <f t="shared" si="1"/>
        <v>Total for Employee Benefit Expense</v>
      </c>
      <c r="C108" s="178">
        <v>0</v>
      </c>
      <c r="D108" s="178">
        <v>1187303.49</v>
      </c>
      <c r="E108" s="178">
        <v>247729.43</v>
      </c>
      <c r="F108" s="178">
        <v>939574.06</v>
      </c>
    </row>
    <row r="109" spans="1:7" x14ac:dyDescent="0.35">
      <c r="B109" s="195" t="str">
        <f t="shared" si="1"/>
        <v/>
      </c>
    </row>
    <row r="110" spans="1:7" x14ac:dyDescent="0.35">
      <c r="A110" s="192" t="s">
        <v>768</v>
      </c>
      <c r="B110" s="195" t="str">
        <f t="shared" si="1"/>
        <v>Expert Welfare Cost</v>
      </c>
      <c r="C110" s="176">
        <v>0</v>
      </c>
      <c r="D110" s="176">
        <v>116654</v>
      </c>
      <c r="E110" s="176">
        <v>0</v>
      </c>
      <c r="F110" s="176">
        <v>116654</v>
      </c>
      <c r="G110" s="191" t="str">
        <f>VLOOKUP(B110,'TB 0325'!A:A,1,0)</f>
        <v>Expert Welfare Cost</v>
      </c>
    </row>
    <row r="111" spans="1:7" x14ac:dyDescent="0.35">
      <c r="A111" s="192" t="s">
        <v>484</v>
      </c>
      <c r="B111" s="195" t="str">
        <f t="shared" si="1"/>
        <v>Fund Raising Expense</v>
      </c>
      <c r="C111" s="176">
        <v>0</v>
      </c>
      <c r="D111" s="176">
        <v>1515000</v>
      </c>
      <c r="E111" s="176">
        <v>0</v>
      </c>
      <c r="F111" s="176">
        <v>1515000</v>
      </c>
      <c r="G111" s="191" t="str">
        <f>VLOOKUP(B111,'TB 0325'!A:A,1,0)</f>
        <v>Fund Raising Expense</v>
      </c>
    </row>
    <row r="112" spans="1:7" x14ac:dyDescent="0.35">
      <c r="A112" s="192" t="s">
        <v>769</v>
      </c>
      <c r="B112" s="195" t="str">
        <f t="shared" si="1"/>
        <v>Hotspot Rent Expense</v>
      </c>
      <c r="C112" s="176">
        <v>0</v>
      </c>
      <c r="D112" s="176">
        <v>9167</v>
      </c>
      <c r="E112" s="176">
        <v>0</v>
      </c>
      <c r="F112" s="176">
        <v>9167</v>
      </c>
      <c r="G112" s="191" t="str">
        <f>VLOOKUP(B112,'TB 0325'!A:A,1,0)</f>
        <v>Hotspot Rent Expense</v>
      </c>
    </row>
    <row r="113" spans="1:7" x14ac:dyDescent="0.35">
      <c r="A113" s="192" t="s">
        <v>770</v>
      </c>
      <c r="B113" s="195" t="str">
        <f t="shared" si="1"/>
        <v>Interest on GST</v>
      </c>
      <c r="C113" s="176">
        <v>0</v>
      </c>
      <c r="D113" s="176">
        <v>288</v>
      </c>
      <c r="E113" s="176">
        <v>0</v>
      </c>
      <c r="F113" s="176">
        <v>288</v>
      </c>
      <c r="G113" s="191" t="str">
        <f>VLOOKUP(B113,'TB 0325'!A:A,1,0)</f>
        <v>Interest on GST</v>
      </c>
    </row>
    <row r="114" spans="1:7" x14ac:dyDescent="0.35">
      <c r="A114" s="192" t="s">
        <v>711</v>
      </c>
      <c r="B114" s="195" t="str">
        <f t="shared" si="1"/>
        <v>Interest on TDS</v>
      </c>
      <c r="C114" s="176">
        <v>0</v>
      </c>
      <c r="D114" s="176">
        <v>501.13</v>
      </c>
      <c r="E114" s="176">
        <v>0</v>
      </c>
      <c r="F114" s="176">
        <v>501.13</v>
      </c>
      <c r="G114" s="191" t="str">
        <f>VLOOKUP(B114,'TB 0325'!A:A,1,0)</f>
        <v>Interest on TDS</v>
      </c>
    </row>
    <row r="115" spans="1:7" x14ac:dyDescent="0.35">
      <c r="A115" s="192" t="s">
        <v>771</v>
      </c>
      <c r="B115" s="195" t="str">
        <f t="shared" si="1"/>
        <v>Legal Fees</v>
      </c>
      <c r="C115" s="176">
        <v>0</v>
      </c>
      <c r="D115" s="176">
        <v>10000</v>
      </c>
      <c r="E115" s="176">
        <v>0</v>
      </c>
      <c r="F115" s="176">
        <v>10000</v>
      </c>
      <c r="G115" s="191" t="str">
        <f>VLOOKUP(B115,'TB 0325'!A:A,1,0)</f>
        <v>Legal Fees</v>
      </c>
    </row>
    <row r="116" spans="1:7" x14ac:dyDescent="0.35">
      <c r="A116" s="192" t="s">
        <v>618</v>
      </c>
      <c r="B116" s="195" t="str">
        <f t="shared" si="1"/>
        <v>New User Discount</v>
      </c>
      <c r="C116" s="176">
        <v>0</v>
      </c>
      <c r="D116" s="176">
        <v>248981</v>
      </c>
      <c r="E116" s="176">
        <v>0</v>
      </c>
      <c r="F116" s="176">
        <v>282462</v>
      </c>
      <c r="G116" s="191" t="str">
        <f>VLOOKUP(B116,'TB 0325'!A:A,1,0)</f>
        <v>New User Discount</v>
      </c>
    </row>
    <row r="117" spans="1:7" x14ac:dyDescent="0.35">
      <c r="A117" s="192" t="s">
        <v>486</v>
      </c>
      <c r="B117" s="195" t="str">
        <f t="shared" si="1"/>
        <v>Office and Admin Expense</v>
      </c>
      <c r="C117" s="176">
        <v>0</v>
      </c>
      <c r="D117" s="176">
        <v>8362.02</v>
      </c>
      <c r="E117" s="176">
        <v>4.0599999999999996</v>
      </c>
      <c r="F117" s="176">
        <v>8357.9599999999991</v>
      </c>
      <c r="G117" s="191" t="str">
        <f>VLOOKUP(B117,'TB 0325'!A:A,1,0)</f>
        <v>Office and Admin Expense</v>
      </c>
    </row>
    <row r="118" spans="1:7" x14ac:dyDescent="0.35">
      <c r="A118" s="192" t="s">
        <v>487</v>
      </c>
      <c r="B118" s="195" t="str">
        <f t="shared" si="1"/>
        <v>Office Rent Expense</v>
      </c>
      <c r="C118" s="176">
        <v>0</v>
      </c>
      <c r="D118" s="176">
        <v>568900</v>
      </c>
      <c r="E118" s="176">
        <v>0</v>
      </c>
      <c r="F118" s="176">
        <v>568900</v>
      </c>
      <c r="G118" s="191" t="str">
        <f>VLOOKUP(B118,'TB 0325'!A:A,1,0)</f>
        <v>Office Rent Expense</v>
      </c>
    </row>
    <row r="119" spans="1:7" x14ac:dyDescent="0.35">
      <c r="A119" s="192" t="s">
        <v>488</v>
      </c>
      <c r="B119" s="195" t="str">
        <f t="shared" si="1"/>
        <v>Other Cost</v>
      </c>
      <c r="C119" s="176">
        <v>0</v>
      </c>
      <c r="D119" s="176">
        <v>55655</v>
      </c>
      <c r="E119" s="176">
        <v>20262.93</v>
      </c>
      <c r="F119" s="176">
        <v>35392.07</v>
      </c>
      <c r="G119" s="191" t="str">
        <f>VLOOKUP(B119,'TB 0325'!A:A,1,0)</f>
        <v>Other Cost</v>
      </c>
    </row>
    <row r="120" spans="1:7" x14ac:dyDescent="0.35">
      <c r="A120" s="192" t="s">
        <v>489</v>
      </c>
      <c r="B120" s="195" t="str">
        <f t="shared" si="1"/>
        <v>Other Expenses</v>
      </c>
      <c r="C120" s="176">
        <v>0</v>
      </c>
      <c r="D120" s="176">
        <v>404.93</v>
      </c>
      <c r="E120" s="176">
        <v>1.9</v>
      </c>
      <c r="F120" s="176">
        <v>403.03</v>
      </c>
      <c r="G120" s="191" t="str">
        <f>VLOOKUP(B120,'TB 0325'!A:A,1,0)</f>
        <v>Other Expenses</v>
      </c>
    </row>
    <row r="121" spans="1:7" x14ac:dyDescent="0.35">
      <c r="A121" s="192" t="s">
        <v>560</v>
      </c>
      <c r="B121" s="195" t="str">
        <f t="shared" si="1"/>
        <v>Payment Gateway Cost</v>
      </c>
      <c r="C121" s="176">
        <v>0</v>
      </c>
      <c r="D121" s="176">
        <v>21413.01</v>
      </c>
      <c r="E121" s="176">
        <v>0</v>
      </c>
      <c r="F121" s="176">
        <v>21413.01</v>
      </c>
      <c r="G121" s="191" t="str">
        <f>VLOOKUP(B121,'TB 0325'!A:A,1,0)</f>
        <v>Payment Gateway Cost</v>
      </c>
    </row>
    <row r="122" spans="1:7" x14ac:dyDescent="0.35">
      <c r="A122" s="192" t="s">
        <v>490</v>
      </c>
      <c r="B122" s="195" t="str">
        <f t="shared" si="1"/>
        <v>Professional Fees</v>
      </c>
      <c r="C122" s="176">
        <v>0</v>
      </c>
      <c r="D122" s="176">
        <v>57580</v>
      </c>
      <c r="E122" s="176">
        <v>0</v>
      </c>
      <c r="F122" s="176">
        <v>57580</v>
      </c>
      <c r="G122" s="191" t="str">
        <f>VLOOKUP(B122,'TB 0325'!A:A,1,0)</f>
        <v>Professional Fees</v>
      </c>
    </row>
    <row r="123" spans="1:7" x14ac:dyDescent="0.35">
      <c r="A123" s="192" t="s">
        <v>638</v>
      </c>
      <c r="B123" s="195" t="str">
        <f t="shared" si="1"/>
        <v>Recruitment Charges</v>
      </c>
      <c r="C123" s="176">
        <v>0</v>
      </c>
      <c r="D123" s="176">
        <v>176933</v>
      </c>
      <c r="E123" s="176">
        <v>0</v>
      </c>
      <c r="F123" s="176">
        <v>196933</v>
      </c>
      <c r="G123" s="191" t="str">
        <f>VLOOKUP(B123,'TB 0325'!A:A,1,0)</f>
        <v>Recruitment Charges</v>
      </c>
    </row>
    <row r="124" spans="1:7" x14ac:dyDescent="0.35">
      <c r="A124" s="192" t="s">
        <v>492</v>
      </c>
      <c r="B124" s="195" t="str">
        <f t="shared" si="1"/>
        <v>Salaries and Employee Wages</v>
      </c>
      <c r="C124" s="176">
        <v>0</v>
      </c>
      <c r="D124" s="176">
        <v>9159005.7799999993</v>
      </c>
      <c r="E124" s="176">
        <v>0</v>
      </c>
      <c r="F124" s="176">
        <v>9159005.7799999993</v>
      </c>
      <c r="G124" s="191" t="str">
        <f>VLOOKUP(B124,'TB 0325'!A:A,1,0)</f>
        <v>Salaries and Employee Wages</v>
      </c>
    </row>
    <row r="125" spans="1:7" x14ac:dyDescent="0.35">
      <c r="A125" s="192" t="s">
        <v>615</v>
      </c>
      <c r="B125" s="195" t="str">
        <f t="shared" si="1"/>
        <v>Service Cost</v>
      </c>
      <c r="C125" s="176">
        <v>0</v>
      </c>
      <c r="D125" s="176">
        <v>2261018.46</v>
      </c>
      <c r="E125" s="176">
        <v>0</v>
      </c>
      <c r="F125" s="176">
        <v>2261018.46</v>
      </c>
      <c r="G125" s="191" t="str">
        <f>VLOOKUP(B125,'TB 0325'!A:A,1,0)</f>
        <v>Service Cost</v>
      </c>
    </row>
    <row r="126" spans="1:7" x14ac:dyDescent="0.35">
      <c r="A126" s="192" t="s">
        <v>493</v>
      </c>
      <c r="B126" s="195" t="str">
        <f t="shared" si="1"/>
        <v>Software Expense</v>
      </c>
      <c r="C126" s="176">
        <v>0</v>
      </c>
      <c r="D126" s="176">
        <v>549930.01</v>
      </c>
      <c r="E126" s="176">
        <v>0</v>
      </c>
      <c r="F126" s="176">
        <v>549930.01</v>
      </c>
      <c r="G126" s="191" t="str">
        <f>VLOOKUP(B126,'TB 0325'!A:A,1,0)</f>
        <v>Software Expense</v>
      </c>
    </row>
    <row r="127" spans="1:7" x14ac:dyDescent="0.35">
      <c r="A127" s="192" t="s">
        <v>494</v>
      </c>
      <c r="B127" s="195" t="str">
        <f t="shared" si="1"/>
        <v>Sourcing and Onboarding Expense</v>
      </c>
      <c r="C127" s="176">
        <v>0</v>
      </c>
      <c r="D127" s="176">
        <v>569044.79</v>
      </c>
      <c r="E127" s="176">
        <v>0</v>
      </c>
      <c r="F127" s="176">
        <v>569044.79</v>
      </c>
      <c r="G127" s="191" t="str">
        <f>VLOOKUP(B127,'TB 0325'!A:A,1,0)</f>
        <v>Sourcing and Onboarding Expense</v>
      </c>
    </row>
    <row r="128" spans="1:7" x14ac:dyDescent="0.35">
      <c r="A128" s="192" t="s">
        <v>720</v>
      </c>
      <c r="B128" s="195" t="str">
        <f t="shared" si="1"/>
        <v>Training Centre Development Cost</v>
      </c>
      <c r="C128" s="176">
        <v>0</v>
      </c>
      <c r="D128" s="176">
        <v>4310.08</v>
      </c>
      <c r="E128" s="176">
        <v>0</v>
      </c>
      <c r="F128" s="176">
        <v>4310.08</v>
      </c>
      <c r="G128" s="191" t="str">
        <f>VLOOKUP(B128,'TB 0325'!A:A,1,0)</f>
        <v>Training Centre Development Cost</v>
      </c>
    </row>
    <row r="129" spans="1:7" x14ac:dyDescent="0.35">
      <c r="A129" s="192" t="s">
        <v>495</v>
      </c>
      <c r="B129" s="195" t="str">
        <f t="shared" si="1"/>
        <v>Training Centre Expense</v>
      </c>
      <c r="C129" s="176">
        <v>0</v>
      </c>
      <c r="D129" s="176">
        <v>73822.86</v>
      </c>
      <c r="E129" s="176">
        <v>233</v>
      </c>
      <c r="F129" s="176">
        <v>73589.86</v>
      </c>
      <c r="G129" s="191" t="str">
        <f>VLOOKUP(B129,'TB 0325'!A:A,1,0)</f>
        <v>Training Centre Expense</v>
      </c>
    </row>
    <row r="130" spans="1:7" x14ac:dyDescent="0.35">
      <c r="A130" s="192" t="s">
        <v>496</v>
      </c>
      <c r="B130" s="195" t="str">
        <f t="shared" si="1"/>
        <v>Training Centre Rent Expense</v>
      </c>
      <c r="C130" s="176">
        <v>0</v>
      </c>
      <c r="D130" s="176">
        <v>257500</v>
      </c>
      <c r="E130" s="176">
        <v>0</v>
      </c>
      <c r="F130" s="176">
        <v>257500</v>
      </c>
      <c r="G130" s="191" t="str">
        <f>VLOOKUP(B130,'TB 0325'!A:A,1,0)</f>
        <v>Training Centre Rent Expense</v>
      </c>
    </row>
    <row r="131" spans="1:7" ht="15.5" x14ac:dyDescent="0.35">
      <c r="A131" s="193" t="s">
        <v>639</v>
      </c>
      <c r="B131" s="195" t="str">
        <f t="shared" si="1"/>
        <v>Total for Trial Balance</v>
      </c>
      <c r="C131" s="178"/>
      <c r="D131" s="178">
        <v>167793984.52000001</v>
      </c>
      <c r="E131" s="178">
        <v>167793984.52000001</v>
      </c>
      <c r="F131" s="178"/>
    </row>
    <row r="132" spans="1:7" x14ac:dyDescent="0.35">
      <c r="A132" s="194" t="s">
        <v>85</v>
      </c>
      <c r="B132" s="196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0D26-BC8B-4DE8-B405-6C2F0572CC52}">
  <dimension ref="A1:R180"/>
  <sheetViews>
    <sheetView topLeftCell="I1" workbookViewId="0">
      <selection activeCell="R5" sqref="R5"/>
    </sheetView>
  </sheetViews>
  <sheetFormatPr defaultColWidth="8.81640625" defaultRowHeight="14.5" x14ac:dyDescent="0.35"/>
  <cols>
    <col min="1" max="1" width="44.81640625" style="23" bestFit="1" customWidth="1"/>
    <col min="2" max="6" width="15.81640625" style="23" customWidth="1"/>
    <col min="7" max="7" width="10.81640625" style="22" customWidth="1"/>
    <col min="8" max="8" width="58.453125" style="23" bestFit="1" customWidth="1"/>
    <col min="9" max="9" width="44.81640625" style="23" bestFit="1" customWidth="1"/>
    <col min="10" max="12" width="8.81640625" style="23"/>
    <col min="13" max="13" width="36.453125" style="23" bestFit="1" customWidth="1"/>
    <col min="14" max="14" width="11.36328125" style="23" bestFit="1" customWidth="1"/>
    <col min="15" max="15" width="16.36328125" style="23" bestFit="1" customWidth="1"/>
    <col min="16" max="16" width="8.81640625" style="23"/>
    <col min="17" max="17" width="15.453125" style="23" bestFit="1" customWidth="1"/>
    <col min="18" max="18" width="9.81640625" style="24" bestFit="1" customWidth="1"/>
    <col min="19" max="19" width="11.36328125" style="23" bestFit="1" customWidth="1"/>
    <col min="20" max="16384" width="8.81640625" style="23"/>
  </cols>
  <sheetData>
    <row r="1" spans="1:18" x14ac:dyDescent="0.35">
      <c r="B1" s="24">
        <f>SUBTOTAL(9,B3:B120)</f>
        <v>5.8207660913467407E-8</v>
      </c>
      <c r="C1" s="24">
        <f>SUBTOTAL(9,C3:C120)</f>
        <v>349090663.29999995</v>
      </c>
      <c r="D1" s="24">
        <f>SUBTOTAL(9,D3:D120)</f>
        <v>349090663.30000007</v>
      </c>
      <c r="E1" s="24">
        <f>SUBTOTAL(9,E3:E120)</f>
        <v>4.0046870708465576E-8</v>
      </c>
      <c r="F1" s="24">
        <f>SUBTOTAL(9,F3:F120)</f>
        <v>1.0004441719502211E-11</v>
      </c>
      <c r="G1" s="23"/>
      <c r="H1" s="206"/>
    </row>
    <row r="2" spans="1:18" s="109" customFormat="1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  <c r="I2" s="109" t="s">
        <v>945</v>
      </c>
      <c r="M2" s="109" t="s">
        <v>847</v>
      </c>
      <c r="N2" s="109" t="s">
        <v>186</v>
      </c>
      <c r="O2" s="109" t="s">
        <v>848</v>
      </c>
      <c r="Q2" s="109" t="s">
        <v>849</v>
      </c>
      <c r="R2" s="210"/>
    </row>
    <row r="3" spans="1:18" x14ac:dyDescent="0.35">
      <c r="A3" s="23" t="s">
        <v>561</v>
      </c>
      <c r="B3" s="24">
        <f>SUMIF('Raw April'!G:G,'TB 0425'!A3,'Raw April'!C:C)</f>
        <v>0</v>
      </c>
      <c r="C3" s="24">
        <f>SUMIF('Raw April'!G:G,'TB 0425'!A3,'Raw April'!D:D)</f>
        <v>2912608.64</v>
      </c>
      <c r="D3" s="24">
        <f>SUMIF('Raw April'!G:G,'TB 0425'!A3,'Raw April'!E:E)</f>
        <v>2826742.59</v>
      </c>
      <c r="E3" s="24">
        <f t="shared" ref="E3:E34" si="0">B3+C3-D3</f>
        <v>85866.050000000279</v>
      </c>
      <c r="F3" s="24">
        <f t="shared" ref="F3:F34" si="1">E3/1000</f>
        <v>85.866050000000286</v>
      </c>
      <c r="G3" s="209" t="s">
        <v>181</v>
      </c>
      <c r="H3" s="23" t="s">
        <v>77</v>
      </c>
      <c r="I3" s="23" t="s">
        <v>202</v>
      </c>
      <c r="M3" s="23" t="s">
        <v>868</v>
      </c>
      <c r="N3" s="24">
        <v>45.832999999999998</v>
      </c>
      <c r="O3" s="206" t="s">
        <v>192</v>
      </c>
      <c r="Q3" s="23" t="s">
        <v>188</v>
      </c>
      <c r="R3" s="24">
        <f t="shared" ref="R3:R8" si="2">SUMIF(O:O,Q3,N:N)</f>
        <v>913.94600000000003</v>
      </c>
    </row>
    <row r="4" spans="1:18" x14ac:dyDescent="0.35">
      <c r="A4" s="23" t="s">
        <v>288</v>
      </c>
      <c r="B4" s="24">
        <f>SUMIF('Raw April'!G:G,'TB 0425'!A4,'Raw April'!C:C)</f>
        <v>4912939.8099999996</v>
      </c>
      <c r="C4" s="24">
        <f>SUMIF('Raw April'!G:G,'TB 0425'!A4,'Raw April'!D:D)</f>
        <v>7394746.1900000004</v>
      </c>
      <c r="D4" s="24">
        <f>SUMIF('Raw April'!G:G,'TB 0425'!A4,'Raw April'!E:E)</f>
        <v>5458822</v>
      </c>
      <c r="E4" s="24">
        <f t="shared" si="0"/>
        <v>6848864</v>
      </c>
      <c r="F4" s="24">
        <f t="shared" si="1"/>
        <v>6848.8639999999996</v>
      </c>
      <c r="G4" s="209" t="s">
        <v>181</v>
      </c>
      <c r="H4" s="23" t="s">
        <v>79</v>
      </c>
      <c r="I4" s="23" t="s">
        <v>288</v>
      </c>
      <c r="M4" s="23" t="s">
        <v>740</v>
      </c>
      <c r="N4" s="24">
        <v>4.5599999999999996</v>
      </c>
      <c r="O4" s="206" t="s">
        <v>268</v>
      </c>
      <c r="Q4" s="23" t="s">
        <v>352</v>
      </c>
      <c r="R4" s="24">
        <f t="shared" si="2"/>
        <v>124.34200000000001</v>
      </c>
    </row>
    <row r="5" spans="1:18" x14ac:dyDescent="0.35">
      <c r="A5" s="23" t="s">
        <v>1433</v>
      </c>
      <c r="B5" s="24">
        <f>SUMIF('Raw April'!G:G,'TB 0425'!A5,'Raw April'!C:C)</f>
        <v>-81587.31</v>
      </c>
      <c r="C5" s="24">
        <f>SUMIF('Raw April'!G:G,'TB 0425'!A5,'Raw April'!D:D)</f>
        <v>0</v>
      </c>
      <c r="D5" s="24">
        <f>SUMIF('Raw April'!G:G,'TB 0425'!A5,'Raw April'!E:E)</f>
        <v>92980.01</v>
      </c>
      <c r="E5" s="24">
        <f t="shared" si="0"/>
        <v>-174567.32</v>
      </c>
      <c r="F5" s="24">
        <f t="shared" si="1"/>
        <v>-174.56732</v>
      </c>
      <c r="G5" s="209" t="s">
        <v>181</v>
      </c>
      <c r="H5" s="23" t="s">
        <v>71</v>
      </c>
      <c r="I5" s="23" t="s">
        <v>950</v>
      </c>
      <c r="M5" s="23" t="s">
        <v>869</v>
      </c>
      <c r="N5" s="24">
        <v>21.6</v>
      </c>
      <c r="O5" s="206" t="s">
        <v>268</v>
      </c>
      <c r="Q5" s="23" t="s">
        <v>190</v>
      </c>
      <c r="R5" s="24">
        <f t="shared" si="2"/>
        <v>345.452</v>
      </c>
    </row>
    <row r="6" spans="1:18" x14ac:dyDescent="0.35">
      <c r="A6" s="23" t="s">
        <v>562</v>
      </c>
      <c r="B6" s="24">
        <f>SUMIF('Raw April'!G:G,'TB 0425'!A6,'Raw April'!C:C)</f>
        <v>-265436.90000000002</v>
      </c>
      <c r="C6" s="24">
        <f>SUMIF('Raw April'!G:G,'TB 0425'!A6,'Raw April'!D:D)</f>
        <v>0</v>
      </c>
      <c r="D6" s="24">
        <f>SUMIF('Raw April'!G:G,'TB 0425'!A6,'Raw April'!E:E)</f>
        <v>106644.93</v>
      </c>
      <c r="E6" s="24">
        <f t="shared" si="0"/>
        <v>-372081.83</v>
      </c>
      <c r="F6" s="24">
        <f t="shared" si="1"/>
        <v>-372.08183000000002</v>
      </c>
      <c r="G6" s="209" t="s">
        <v>181</v>
      </c>
      <c r="H6" s="23" t="s">
        <v>71</v>
      </c>
      <c r="I6" s="23" t="s">
        <v>949</v>
      </c>
      <c r="M6" s="23" t="s">
        <v>870</v>
      </c>
      <c r="N6" s="24">
        <v>37.020000000000003</v>
      </c>
      <c r="O6" s="206" t="s">
        <v>677</v>
      </c>
      <c r="Q6" s="23" t="s">
        <v>268</v>
      </c>
      <c r="R6" s="24">
        <f t="shared" si="2"/>
        <v>868.29899999999998</v>
      </c>
    </row>
    <row r="7" spans="1:18" x14ac:dyDescent="0.35">
      <c r="A7" s="23" t="s">
        <v>772</v>
      </c>
      <c r="B7" s="24">
        <f>SUMIF('Raw April'!G:G,'TB 0425'!A7,'Raw April'!C:C)</f>
        <v>-10354.68</v>
      </c>
      <c r="C7" s="24">
        <f>SUMIF('Raw April'!G:G,'TB 0425'!A7,'Raw April'!D:D)</f>
        <v>0</v>
      </c>
      <c r="D7" s="24">
        <f>SUMIF('Raw April'!G:G,'TB 0425'!A7,'Raw April'!E:E)</f>
        <v>9528.14</v>
      </c>
      <c r="E7" s="24">
        <f t="shared" si="0"/>
        <v>-19882.82</v>
      </c>
      <c r="F7" s="24">
        <f t="shared" si="1"/>
        <v>-19.882819999999999</v>
      </c>
      <c r="G7" s="209" t="s">
        <v>181</v>
      </c>
      <c r="H7" s="23" t="s">
        <v>71</v>
      </c>
      <c r="I7" s="23" t="s">
        <v>949</v>
      </c>
      <c r="M7" s="23" t="s">
        <v>781</v>
      </c>
      <c r="N7" s="24">
        <v>102.367</v>
      </c>
      <c r="O7" s="206" t="s">
        <v>192</v>
      </c>
      <c r="Q7" s="23" t="s">
        <v>677</v>
      </c>
      <c r="R7" s="24">
        <f t="shared" si="2"/>
        <v>548.66499999999996</v>
      </c>
    </row>
    <row r="8" spans="1:18" x14ac:dyDescent="0.35">
      <c r="A8" s="23" t="s">
        <v>198</v>
      </c>
      <c r="B8" s="24">
        <f>SUMIF('Raw April'!G:G,'TB 0425'!A8,'Raw April'!C:C)</f>
        <v>-16444.54</v>
      </c>
      <c r="C8" s="24">
        <f>SUMIF('Raw April'!G:G,'TB 0425'!A8,'Raw April'!D:D)</f>
        <v>0</v>
      </c>
      <c r="D8" s="24">
        <f>SUMIF('Raw April'!G:G,'TB 0425'!A8,'Raw April'!E:E)</f>
        <v>3945.07</v>
      </c>
      <c r="E8" s="24">
        <f t="shared" si="0"/>
        <v>-20389.61</v>
      </c>
      <c r="F8" s="24">
        <f t="shared" si="1"/>
        <v>-20.389610000000001</v>
      </c>
      <c r="G8" s="209" t="s">
        <v>181</v>
      </c>
      <c r="H8" s="23" t="s">
        <v>71</v>
      </c>
      <c r="I8" s="23" t="s">
        <v>949</v>
      </c>
      <c r="M8" s="23" t="s">
        <v>822</v>
      </c>
      <c r="N8" s="24">
        <v>71.116</v>
      </c>
      <c r="O8" s="206" t="s">
        <v>192</v>
      </c>
      <c r="Q8" s="23" t="s">
        <v>192</v>
      </c>
      <c r="R8" s="24">
        <f t="shared" si="2"/>
        <v>11439.706340000001</v>
      </c>
    </row>
    <row r="9" spans="1:18" x14ac:dyDescent="0.35">
      <c r="A9" s="23" t="s">
        <v>365</v>
      </c>
      <c r="B9" s="24">
        <f>SUMIF('Raw April'!G:G,'TB 0425'!A9,'Raw April'!C:C)</f>
        <v>305.98</v>
      </c>
      <c r="C9" s="24">
        <f>SUMIF('Raw April'!G:G,'TB 0425'!A9,'Raw April'!D:D)</f>
        <v>0</v>
      </c>
      <c r="D9" s="24">
        <f>SUMIF('Raw April'!G:G,'TB 0425'!A9,'Raw April'!E:E)</f>
        <v>0</v>
      </c>
      <c r="E9" s="24">
        <f t="shared" si="0"/>
        <v>305.98</v>
      </c>
      <c r="F9" s="24">
        <f t="shared" si="1"/>
        <v>0.30598000000000003</v>
      </c>
      <c r="G9" s="209" t="s">
        <v>181</v>
      </c>
      <c r="H9" s="23" t="s">
        <v>79</v>
      </c>
      <c r="I9" s="23" t="s">
        <v>288</v>
      </c>
      <c r="M9" s="23" t="s">
        <v>442</v>
      </c>
      <c r="N9" s="24">
        <v>36.799999999999997</v>
      </c>
      <c r="O9" s="206" t="s">
        <v>192</v>
      </c>
      <c r="R9" s="210">
        <f>SUM(R3:R8)</f>
        <v>14240.41034</v>
      </c>
    </row>
    <row r="10" spans="1:18" x14ac:dyDescent="0.35">
      <c r="A10" s="23" t="s">
        <v>563</v>
      </c>
      <c r="B10" s="24">
        <f>SUMIF('Raw April'!G:G,'TB 0425'!A10,'Raw April'!C:C)</f>
        <v>12636.34</v>
      </c>
      <c r="C10" s="24">
        <f>SUMIF('Raw April'!G:G,'TB 0425'!A10,'Raw April'!D:D)</f>
        <v>0</v>
      </c>
      <c r="D10" s="24">
        <f>SUMIF('Raw April'!G:G,'TB 0425'!A10,'Raw April'!E:E)</f>
        <v>118</v>
      </c>
      <c r="E10" s="24">
        <f t="shared" si="0"/>
        <v>12518.34</v>
      </c>
      <c r="F10" s="24">
        <f t="shared" si="1"/>
        <v>12.51834</v>
      </c>
      <c r="G10" s="209" t="s">
        <v>181</v>
      </c>
      <c r="H10" s="23" t="s">
        <v>78</v>
      </c>
      <c r="I10" s="23" t="s">
        <v>953</v>
      </c>
      <c r="M10" s="23" t="s">
        <v>830</v>
      </c>
      <c r="N10" s="24">
        <v>28</v>
      </c>
      <c r="O10" s="206" t="s">
        <v>268</v>
      </c>
    </row>
    <row r="11" spans="1:18" x14ac:dyDescent="0.35">
      <c r="A11" s="23" t="s">
        <v>564</v>
      </c>
      <c r="B11" s="24">
        <f>SUMIF('Raw April'!G:G,'TB 0425'!A11,'Raw April'!C:C)</f>
        <v>3633155.03</v>
      </c>
      <c r="C11" s="24">
        <f>SUMIF('Raw April'!G:G,'TB 0425'!A11,'Raw April'!D:D)</f>
        <v>750904</v>
      </c>
      <c r="D11" s="24">
        <f>SUMIF('Raw April'!G:G,'TB 0425'!A11,'Raw April'!E:E)</f>
        <v>0</v>
      </c>
      <c r="E11" s="24">
        <f t="shared" si="0"/>
        <v>4384059.0299999993</v>
      </c>
      <c r="F11" s="24">
        <f t="shared" si="1"/>
        <v>4384.0590299999994</v>
      </c>
      <c r="G11" s="209" t="s">
        <v>181</v>
      </c>
      <c r="H11" s="23" t="s">
        <v>71</v>
      </c>
      <c r="I11" s="23" t="s">
        <v>564</v>
      </c>
      <c r="J11" s="23" t="s">
        <v>1397</v>
      </c>
      <c r="M11" s="23" t="s">
        <v>786</v>
      </c>
      <c r="N11" s="24">
        <v>22.367000000000001</v>
      </c>
      <c r="O11" s="206" t="s">
        <v>190</v>
      </c>
    </row>
    <row r="12" spans="1:18" x14ac:dyDescent="0.35">
      <c r="A12" s="23" t="s">
        <v>693</v>
      </c>
      <c r="B12" s="24">
        <f>SUMIF('Raw April'!G:G,'TB 0425'!A12,'Raw April'!C:C)</f>
        <v>338231.34</v>
      </c>
      <c r="C12" s="24">
        <f>SUMIF('Raw April'!G:G,'TB 0425'!A12,'Raw April'!D:D)</f>
        <v>339880</v>
      </c>
      <c r="D12" s="24">
        <f>SUMIF('Raw April'!G:G,'TB 0425'!A12,'Raw April'!E:E)</f>
        <v>0</v>
      </c>
      <c r="E12" s="24">
        <f t="shared" si="0"/>
        <v>678111.34000000008</v>
      </c>
      <c r="F12" s="24">
        <f t="shared" si="1"/>
        <v>678.11134000000004</v>
      </c>
      <c r="G12" s="209" t="s">
        <v>181</v>
      </c>
      <c r="H12" s="23" t="s">
        <v>71</v>
      </c>
      <c r="I12" s="23" t="s">
        <v>693</v>
      </c>
      <c r="J12" s="23" t="s">
        <v>1397</v>
      </c>
      <c r="M12" s="23" t="s">
        <v>871</v>
      </c>
      <c r="N12" s="24">
        <v>135.084</v>
      </c>
      <c r="O12" s="206" t="s">
        <v>192</v>
      </c>
    </row>
    <row r="13" spans="1:18" x14ac:dyDescent="0.35">
      <c r="A13" s="23" t="s">
        <v>714</v>
      </c>
      <c r="B13" s="24">
        <f>SUMIF('Raw April'!G:G,'TB 0425'!A13,'Raw April'!C:C)</f>
        <v>50000</v>
      </c>
      <c r="C13" s="24">
        <f>SUMIF('Raw April'!G:G,'TB 0425'!A13,'Raw April'!D:D)</f>
        <v>76081849.700000003</v>
      </c>
      <c r="D13" s="24">
        <f>SUMIF('Raw April'!G:G,'TB 0425'!A13,'Raw April'!E:E)</f>
        <v>76081849.700000003</v>
      </c>
      <c r="E13" s="24">
        <f t="shared" si="0"/>
        <v>50000</v>
      </c>
      <c r="F13" s="24">
        <f t="shared" si="1"/>
        <v>50</v>
      </c>
      <c r="G13" s="209" t="s">
        <v>181</v>
      </c>
      <c r="H13" s="23" t="s">
        <v>78</v>
      </c>
      <c r="I13" s="23" t="s">
        <v>953</v>
      </c>
      <c r="M13" s="23" t="s">
        <v>443</v>
      </c>
      <c r="N13" s="24">
        <v>37.200000000000003</v>
      </c>
      <c r="O13" s="206" t="s">
        <v>352</v>
      </c>
    </row>
    <row r="14" spans="1:18" x14ac:dyDescent="0.35">
      <c r="A14" s="23" t="s">
        <v>715</v>
      </c>
      <c r="B14" s="24">
        <f>SUMIF('Raw April'!G:G,'TB 0425'!A14,'Raw April'!C:C)</f>
        <v>331345.94</v>
      </c>
      <c r="C14" s="24">
        <f>SUMIF('Raw April'!G:G,'TB 0425'!A14,'Raw April'!D:D)</f>
        <v>1584501.84</v>
      </c>
      <c r="D14" s="24">
        <f>SUMIF('Raw April'!G:G,'TB 0425'!A14,'Raw April'!E:E)</f>
        <v>937504.3</v>
      </c>
      <c r="E14" s="24">
        <f t="shared" si="0"/>
        <v>978343.48</v>
      </c>
      <c r="F14" s="24">
        <f t="shared" si="1"/>
        <v>978.34348</v>
      </c>
      <c r="G14" s="209" t="s">
        <v>181</v>
      </c>
      <c r="H14" s="23" t="s">
        <v>78</v>
      </c>
      <c r="I14" s="23" t="s">
        <v>953</v>
      </c>
      <c r="M14" s="23" t="s">
        <v>872</v>
      </c>
      <c r="N14" s="24">
        <v>77</v>
      </c>
      <c r="O14" s="206" t="s">
        <v>192</v>
      </c>
    </row>
    <row r="15" spans="1:18" x14ac:dyDescent="0.35">
      <c r="A15" s="23" t="s">
        <v>565</v>
      </c>
      <c r="B15" s="24">
        <f>SUMIF('Raw April'!G:G,'TB 0425'!A15,'Raw April'!C:C)</f>
        <v>1327664.3899999999</v>
      </c>
      <c r="C15" s="24">
        <f>SUMIF('Raw April'!G:G,'TB 0425'!A15,'Raw April'!D:D)</f>
        <v>350112.01</v>
      </c>
      <c r="D15" s="24">
        <f>SUMIF('Raw April'!G:G,'TB 0425'!A15,'Raw April'!E:E)</f>
        <v>443</v>
      </c>
      <c r="E15" s="24">
        <f t="shared" si="0"/>
        <v>1677333.4</v>
      </c>
      <c r="F15" s="24">
        <f t="shared" si="1"/>
        <v>1677.3334</v>
      </c>
      <c r="G15" s="209" t="s">
        <v>181</v>
      </c>
      <c r="H15" s="23" t="s">
        <v>79</v>
      </c>
      <c r="I15" s="23" t="s">
        <v>172</v>
      </c>
      <c r="M15" s="23" t="s">
        <v>873</v>
      </c>
      <c r="N15" s="24">
        <v>27.870999999999999</v>
      </c>
      <c r="O15" s="206" t="s">
        <v>188</v>
      </c>
    </row>
    <row r="16" spans="1:18" x14ac:dyDescent="0.35">
      <c r="A16" s="23" t="s">
        <v>566</v>
      </c>
      <c r="B16" s="24">
        <f>SUMIF('Raw April'!G:G,'TB 0425'!A16,'Raw April'!C:C)</f>
        <v>681647.14</v>
      </c>
      <c r="C16" s="24">
        <f>SUMIF('Raw April'!G:G,'TB 0425'!A16,'Raw April'!D:D)</f>
        <v>199009.11</v>
      </c>
      <c r="D16" s="24">
        <f>SUMIF('Raw April'!G:G,'TB 0425'!A16,'Raw April'!E:E)</f>
        <v>71926</v>
      </c>
      <c r="E16" s="24">
        <f t="shared" si="0"/>
        <v>808730.25</v>
      </c>
      <c r="F16" s="24">
        <f t="shared" si="1"/>
        <v>808.73024999999996</v>
      </c>
      <c r="G16" s="209" t="s">
        <v>181</v>
      </c>
      <c r="H16" s="23" t="s">
        <v>79</v>
      </c>
      <c r="I16" s="23" t="s">
        <v>172</v>
      </c>
      <c r="M16" s="23" t="s">
        <v>874</v>
      </c>
      <c r="N16" s="24">
        <v>164.86699999999999</v>
      </c>
      <c r="O16" s="206" t="s">
        <v>677</v>
      </c>
    </row>
    <row r="17" spans="1:15" x14ac:dyDescent="0.35">
      <c r="A17" s="23" t="s">
        <v>567</v>
      </c>
      <c r="B17" s="24">
        <f>SUMIF('Raw April'!G:G,'TB 0425'!A17,'Raw April'!C:C)</f>
        <v>1327664.44</v>
      </c>
      <c r="C17" s="24">
        <f>SUMIF('Raw April'!G:G,'TB 0425'!A17,'Raw April'!D:D)</f>
        <v>350112.01</v>
      </c>
      <c r="D17" s="24">
        <f>SUMIF('Raw April'!G:G,'TB 0425'!A17,'Raw April'!E:E)</f>
        <v>443</v>
      </c>
      <c r="E17" s="24">
        <f t="shared" si="0"/>
        <v>1677333.45</v>
      </c>
      <c r="F17" s="24">
        <f t="shared" si="1"/>
        <v>1677.3334499999999</v>
      </c>
      <c r="G17" s="209" t="s">
        <v>181</v>
      </c>
      <c r="H17" s="23" t="s">
        <v>79</v>
      </c>
      <c r="I17" s="23" t="s">
        <v>172</v>
      </c>
      <c r="M17" s="23" t="s">
        <v>742</v>
      </c>
      <c r="N17" s="24">
        <v>27.367000000000001</v>
      </c>
      <c r="O17" s="206" t="s">
        <v>268</v>
      </c>
    </row>
    <row r="18" spans="1:15" x14ac:dyDescent="0.35">
      <c r="A18" s="23" t="s">
        <v>300</v>
      </c>
      <c r="B18" s="24">
        <f>SUMIF('Raw April'!G:G,'TB 0425'!A18,'Raw April'!C:C)</f>
        <v>0</v>
      </c>
      <c r="C18" s="24">
        <f>SUMIF('Raw April'!G:G,'TB 0425'!A18,'Raw April'!D:D)</f>
        <v>0</v>
      </c>
      <c r="D18" s="24">
        <f>SUMIF('Raw April'!G:G,'TB 0425'!A18,'Raw April'!E:E)</f>
        <v>0</v>
      </c>
      <c r="E18" s="24">
        <f t="shared" si="0"/>
        <v>0</v>
      </c>
      <c r="F18" s="24">
        <f t="shared" si="1"/>
        <v>0</v>
      </c>
      <c r="G18" s="209" t="s">
        <v>181</v>
      </c>
      <c r="H18" s="23" t="s">
        <v>72</v>
      </c>
      <c r="I18" s="23" t="s">
        <v>300</v>
      </c>
      <c r="M18" s="23" t="s">
        <v>737</v>
      </c>
      <c r="N18" s="24">
        <v>94.033000000000001</v>
      </c>
      <c r="O18" s="206" t="s">
        <v>192</v>
      </c>
    </row>
    <row r="19" spans="1:15" x14ac:dyDescent="0.35">
      <c r="A19" s="23" t="s">
        <v>718</v>
      </c>
      <c r="B19" s="24">
        <f>SUMIF('Raw April'!G:G,'TB 0425'!A19,'Raw April'!C:C)</f>
        <v>45000000</v>
      </c>
      <c r="C19" s="24">
        <f>SUMIF('Raw April'!G:G,'TB 0425'!A19,'Raw April'!D:D)</f>
        <v>0</v>
      </c>
      <c r="D19" s="24">
        <f>SUMIF('Raw April'!G:G,'TB 0425'!A19,'Raw April'!E:E)</f>
        <v>45000000</v>
      </c>
      <c r="E19" s="24">
        <f t="shared" si="0"/>
        <v>0</v>
      </c>
      <c r="F19" s="24">
        <f t="shared" si="1"/>
        <v>0</v>
      </c>
      <c r="G19" s="209" t="s">
        <v>181</v>
      </c>
      <c r="H19" s="23" t="s">
        <v>76</v>
      </c>
      <c r="I19" s="23" t="s">
        <v>952</v>
      </c>
      <c r="M19" s="23" t="s">
        <v>875</v>
      </c>
      <c r="N19" s="24">
        <v>33.658999999999999</v>
      </c>
      <c r="O19" s="206" t="s">
        <v>192</v>
      </c>
    </row>
    <row r="20" spans="1:15" x14ac:dyDescent="0.35">
      <c r="A20" s="23" t="s">
        <v>719</v>
      </c>
      <c r="B20" s="24">
        <f>SUMIF('Raw April'!G:G,'TB 0425'!A20,'Raw April'!C:C)</f>
        <v>30000000</v>
      </c>
      <c r="C20" s="24">
        <f>SUMIF('Raw April'!G:G,'TB 0425'!A20,'Raw April'!D:D)</f>
        <v>0</v>
      </c>
      <c r="D20" s="24">
        <f>SUMIF('Raw April'!G:G,'TB 0425'!A20,'Raw April'!E:E)</f>
        <v>30000000</v>
      </c>
      <c r="E20" s="24">
        <f t="shared" si="0"/>
        <v>0</v>
      </c>
      <c r="F20" s="24">
        <f t="shared" si="1"/>
        <v>0</v>
      </c>
      <c r="G20" s="209" t="s">
        <v>181</v>
      </c>
      <c r="H20" s="23" t="s">
        <v>76</v>
      </c>
      <c r="I20" s="23" t="s">
        <v>952</v>
      </c>
      <c r="M20" s="23" t="s">
        <v>876</v>
      </c>
      <c r="N20" s="24">
        <v>20</v>
      </c>
      <c r="O20" s="206" t="s">
        <v>190</v>
      </c>
    </row>
    <row r="21" spans="1:15" x14ac:dyDescent="0.35">
      <c r="A21" s="23" t="s">
        <v>859</v>
      </c>
      <c r="B21" s="24">
        <f>SUMIF('Raw April'!G:G,'TB 0425'!A21,'Raw April'!C:C)</f>
        <v>0</v>
      </c>
      <c r="C21" s="24">
        <f>SUMIF('Raw April'!G:G,'TB 0425'!A21,'Raw April'!D:D)</f>
        <v>30000000</v>
      </c>
      <c r="D21" s="24">
        <f>SUMIF('Raw April'!G:G,'TB 0425'!A21,'Raw April'!E:E)</f>
        <v>0</v>
      </c>
      <c r="E21" s="24">
        <f t="shared" si="0"/>
        <v>30000000</v>
      </c>
      <c r="F21" s="24">
        <f t="shared" si="1"/>
        <v>30000</v>
      </c>
      <c r="G21" s="209" t="s">
        <v>181</v>
      </c>
      <c r="H21" s="23" t="s">
        <v>76</v>
      </c>
      <c r="I21" s="23" t="s">
        <v>952</v>
      </c>
      <c r="M21" s="23" t="s">
        <v>791</v>
      </c>
      <c r="N21" s="24">
        <v>61.8</v>
      </c>
      <c r="O21" s="206" t="s">
        <v>192</v>
      </c>
    </row>
    <row r="22" spans="1:15" x14ac:dyDescent="0.35">
      <c r="A22" s="23" t="s">
        <v>860</v>
      </c>
      <c r="B22" s="24">
        <f>SUMIF('Raw April'!G:G,'TB 0425'!A22,'Raw April'!C:C)</f>
        <v>0</v>
      </c>
      <c r="C22" s="24">
        <f>SUMIF('Raw April'!G:G,'TB 0425'!A22,'Raw April'!D:D)</f>
        <v>45000000</v>
      </c>
      <c r="D22" s="24">
        <f>SUMIF('Raw April'!G:G,'TB 0425'!A22,'Raw April'!E:E)</f>
        <v>0</v>
      </c>
      <c r="E22" s="24">
        <f t="shared" si="0"/>
        <v>45000000</v>
      </c>
      <c r="F22" s="24">
        <f t="shared" si="1"/>
        <v>45000</v>
      </c>
      <c r="G22" s="209" t="s">
        <v>181</v>
      </c>
      <c r="H22" s="23" t="s">
        <v>76</v>
      </c>
      <c r="I22" s="23" t="s">
        <v>952</v>
      </c>
      <c r="M22" s="23" t="s">
        <v>735</v>
      </c>
      <c r="N22" s="24">
        <v>77.367000000000004</v>
      </c>
      <c r="O22" s="206" t="s">
        <v>192</v>
      </c>
    </row>
    <row r="23" spans="1:15" x14ac:dyDescent="0.35">
      <c r="A23" s="23" t="s">
        <v>642</v>
      </c>
      <c r="B23" s="24">
        <f>SUMIF('Raw April'!G:G,'TB 0425'!A23,'Raw April'!C:C)</f>
        <v>6000000</v>
      </c>
      <c r="C23" s="24">
        <f>SUMIF('Raw April'!G:G,'TB 0425'!A23,'Raw April'!D:D)</f>
        <v>0</v>
      </c>
      <c r="D23" s="24">
        <f>SUMIF('Raw April'!G:G,'TB 0425'!A23,'Raw April'!E:E)</f>
        <v>0</v>
      </c>
      <c r="E23" s="24">
        <f t="shared" si="0"/>
        <v>6000000</v>
      </c>
      <c r="F23" s="24">
        <f t="shared" si="1"/>
        <v>6000</v>
      </c>
      <c r="G23" s="209" t="s">
        <v>181</v>
      </c>
      <c r="H23" s="23" t="s">
        <v>76</v>
      </c>
      <c r="I23" s="23" t="s">
        <v>952</v>
      </c>
      <c r="M23" s="23" t="s">
        <v>805</v>
      </c>
      <c r="N23" s="24">
        <v>57</v>
      </c>
      <c r="O23" s="206" t="s">
        <v>192</v>
      </c>
    </row>
    <row r="24" spans="1:15" x14ac:dyDescent="0.35">
      <c r="A24" s="23" t="s">
        <v>695</v>
      </c>
      <c r="B24" s="24">
        <f>SUMIF('Raw April'!G:G,'TB 0425'!A24,'Raw April'!C:C)</f>
        <v>350000000</v>
      </c>
      <c r="C24" s="24">
        <f>SUMIF('Raw April'!G:G,'TB 0425'!A24,'Raw April'!D:D)</f>
        <v>0</v>
      </c>
      <c r="D24" s="24">
        <f>SUMIF('Raw April'!G:G,'TB 0425'!A24,'Raw April'!E:E)</f>
        <v>0</v>
      </c>
      <c r="E24" s="24">
        <f t="shared" si="0"/>
        <v>350000000</v>
      </c>
      <c r="F24" s="24">
        <f t="shared" si="1"/>
        <v>350000</v>
      </c>
      <c r="G24" s="209" t="s">
        <v>181</v>
      </c>
      <c r="H24" s="23" t="s">
        <v>76</v>
      </c>
      <c r="I24" s="23" t="s">
        <v>952</v>
      </c>
      <c r="M24" s="23" t="s">
        <v>806</v>
      </c>
      <c r="N24" s="24">
        <v>37.116</v>
      </c>
      <c r="O24" s="206" t="s">
        <v>192</v>
      </c>
    </row>
    <row r="25" spans="1:15" x14ac:dyDescent="0.35">
      <c r="A25" s="23" t="s">
        <v>752</v>
      </c>
      <c r="B25" s="24">
        <f>SUMIF('Raw April'!G:G,'TB 0425'!A25,'Raw April'!C:C)</f>
        <v>35133767</v>
      </c>
      <c r="C25" s="24">
        <f>SUMIF('Raw April'!G:G,'TB 0425'!A25,'Raw April'!D:D)</f>
        <v>0</v>
      </c>
      <c r="D25" s="24">
        <f>SUMIF('Raw April'!G:G,'TB 0425'!A25,'Raw April'!E:E)</f>
        <v>35133767</v>
      </c>
      <c r="E25" s="24">
        <f t="shared" si="0"/>
        <v>0</v>
      </c>
      <c r="F25" s="24">
        <f t="shared" si="1"/>
        <v>0</v>
      </c>
      <c r="G25" s="209" t="s">
        <v>181</v>
      </c>
      <c r="H25" s="23" t="s">
        <v>76</v>
      </c>
      <c r="I25" s="23" t="s">
        <v>952</v>
      </c>
      <c r="M25" s="23" t="s">
        <v>877</v>
      </c>
      <c r="N25" s="24">
        <v>30.484000000000002</v>
      </c>
      <c r="O25" s="206" t="s">
        <v>188</v>
      </c>
    </row>
    <row r="26" spans="1:15" x14ac:dyDescent="0.35">
      <c r="A26" s="23" t="s">
        <v>754</v>
      </c>
      <c r="B26" s="24">
        <f>SUMIF('Raw April'!G:G,'TB 0425'!A26,'Raw April'!C:C)</f>
        <v>2004441</v>
      </c>
      <c r="C26" s="24">
        <f>SUMIF('Raw April'!G:G,'TB 0425'!A26,'Raw April'!D:D)</f>
        <v>0</v>
      </c>
      <c r="D26" s="24">
        <f>SUMIF('Raw April'!G:G,'TB 0425'!A26,'Raw April'!E:E)</f>
        <v>2004441</v>
      </c>
      <c r="E26" s="24">
        <f t="shared" si="0"/>
        <v>0</v>
      </c>
      <c r="F26" s="24">
        <f t="shared" si="1"/>
        <v>0</v>
      </c>
      <c r="G26" s="209" t="s">
        <v>181</v>
      </c>
      <c r="H26" s="23" t="s">
        <v>76</v>
      </c>
      <c r="I26" s="23" t="s">
        <v>952</v>
      </c>
      <c r="M26" s="23" t="s">
        <v>878</v>
      </c>
      <c r="N26" s="24">
        <v>33.095999999999997</v>
      </c>
      <c r="O26" s="206" t="s">
        <v>192</v>
      </c>
    </row>
    <row r="27" spans="1:15" x14ac:dyDescent="0.35">
      <c r="A27" s="23" t="s">
        <v>774</v>
      </c>
      <c r="B27" s="24">
        <f>SUMIF('Raw April'!G:G,'TB 0425'!A27,'Raw April'!C:C)</f>
        <v>10000000</v>
      </c>
      <c r="C27" s="24">
        <f>SUMIF('Raw April'!G:G,'TB 0425'!A27,'Raw April'!D:D)</f>
        <v>0</v>
      </c>
      <c r="D27" s="24">
        <f>SUMIF('Raw April'!G:G,'TB 0425'!A27,'Raw April'!E:E)</f>
        <v>10000000</v>
      </c>
      <c r="E27" s="24">
        <f t="shared" si="0"/>
        <v>0</v>
      </c>
      <c r="F27" s="24">
        <f t="shared" si="1"/>
        <v>0</v>
      </c>
      <c r="G27" s="209" t="s">
        <v>181</v>
      </c>
      <c r="H27" s="23" t="s">
        <v>76</v>
      </c>
      <c r="I27" s="23" t="s">
        <v>952</v>
      </c>
      <c r="M27" s="23" t="s">
        <v>797</v>
      </c>
      <c r="N27" s="24">
        <v>27.367000000000001</v>
      </c>
      <c r="O27" s="206" t="s">
        <v>190</v>
      </c>
    </row>
    <row r="28" spans="1:15" x14ac:dyDescent="0.35">
      <c r="A28" s="23" t="s">
        <v>861</v>
      </c>
      <c r="B28" s="24">
        <f>SUMIF('Raw April'!G:G,'TB 0425'!A28,'Raw April'!C:C)</f>
        <v>0</v>
      </c>
      <c r="C28" s="24">
        <f>SUMIF('Raw April'!G:G,'TB 0425'!A28,'Raw April'!D:D)</f>
        <v>7500000</v>
      </c>
      <c r="D28" s="24">
        <f>SUMIF('Raw April'!G:G,'TB 0425'!A28,'Raw April'!E:E)</f>
        <v>7500000</v>
      </c>
      <c r="E28" s="24">
        <f t="shared" si="0"/>
        <v>0</v>
      </c>
      <c r="F28" s="24">
        <f t="shared" si="1"/>
        <v>0</v>
      </c>
      <c r="G28" s="209" t="s">
        <v>181</v>
      </c>
      <c r="H28" s="23" t="s">
        <v>76</v>
      </c>
      <c r="I28" s="23" t="s">
        <v>952</v>
      </c>
      <c r="M28" s="23" t="s">
        <v>879</v>
      </c>
      <c r="N28" s="24">
        <v>598.20000000000005</v>
      </c>
      <c r="O28" s="206" t="s">
        <v>192</v>
      </c>
    </row>
    <row r="29" spans="1:15" x14ac:dyDescent="0.35">
      <c r="A29" s="23" t="s">
        <v>862</v>
      </c>
      <c r="B29" s="24">
        <f>SUMIF('Raw April'!G:G,'TB 0425'!A29,'Raw April'!C:C)</f>
        <v>0</v>
      </c>
      <c r="C29" s="24">
        <f>SUMIF('Raw April'!G:G,'TB 0425'!A29,'Raw April'!D:D)</f>
        <v>15000000</v>
      </c>
      <c r="D29" s="24">
        <f>SUMIF('Raw April'!G:G,'TB 0425'!A29,'Raw April'!E:E)</f>
        <v>0</v>
      </c>
      <c r="E29" s="24">
        <f t="shared" si="0"/>
        <v>15000000</v>
      </c>
      <c r="F29" s="24">
        <f t="shared" si="1"/>
        <v>15000</v>
      </c>
      <c r="G29" s="209" t="s">
        <v>181</v>
      </c>
      <c r="H29" s="23" t="s">
        <v>76</v>
      </c>
      <c r="I29" s="23" t="s">
        <v>952</v>
      </c>
      <c r="M29" s="23" t="s">
        <v>880</v>
      </c>
      <c r="N29" s="24">
        <v>48.533000000000001</v>
      </c>
      <c r="O29" s="206" t="s">
        <v>677</v>
      </c>
    </row>
    <row r="30" spans="1:15" x14ac:dyDescent="0.35">
      <c r="A30" s="23" t="s">
        <v>863</v>
      </c>
      <c r="B30" s="24">
        <f>SUMIF('Raw April'!G:G,'TB 0425'!A30,'Raw April'!C:C)</f>
        <v>0</v>
      </c>
      <c r="C30" s="24">
        <f>SUMIF('Raw April'!G:G,'TB 0425'!A30,'Raw April'!D:D)</f>
        <v>6000000</v>
      </c>
      <c r="D30" s="24">
        <f>SUMIF('Raw April'!G:G,'TB 0425'!A30,'Raw April'!E:E)</f>
        <v>0</v>
      </c>
      <c r="E30" s="24">
        <f t="shared" si="0"/>
        <v>6000000</v>
      </c>
      <c r="F30" s="24">
        <f t="shared" si="1"/>
        <v>6000</v>
      </c>
      <c r="G30" s="209" t="s">
        <v>181</v>
      </c>
      <c r="H30" s="23" t="s">
        <v>76</v>
      </c>
      <c r="I30" s="23" t="s">
        <v>952</v>
      </c>
      <c r="M30" s="23" t="s">
        <v>736</v>
      </c>
      <c r="N30" s="24">
        <v>6.9829999999999997</v>
      </c>
      <c r="O30" s="206" t="s">
        <v>188</v>
      </c>
    </row>
    <row r="31" spans="1:15" x14ac:dyDescent="0.35">
      <c r="A31" s="23" t="s">
        <v>572</v>
      </c>
      <c r="B31" s="24">
        <f>SUMIF('Raw April'!G:G,'TB 0425'!A31,'Raw April'!C:C)</f>
        <v>134033.76</v>
      </c>
      <c r="C31" s="24">
        <f>SUMIF('Raw April'!G:G,'TB 0425'!A31,'Raw April'!D:D)</f>
        <v>54844131</v>
      </c>
      <c r="D31" s="24">
        <f>SUMIF('Raw April'!G:G,'TB 0425'!A31,'Raw April'!E:E)</f>
        <v>54550000</v>
      </c>
      <c r="E31" s="24">
        <f t="shared" si="0"/>
        <v>428164.75999999791</v>
      </c>
      <c r="F31" s="24">
        <f t="shared" si="1"/>
        <v>428.1647599999979</v>
      </c>
      <c r="G31" s="209" t="s">
        <v>181</v>
      </c>
      <c r="H31" s="23" t="s">
        <v>78</v>
      </c>
      <c r="I31" s="23" t="s">
        <v>953</v>
      </c>
      <c r="M31" s="23" t="s">
        <v>881</v>
      </c>
      <c r="N31" s="24">
        <v>57</v>
      </c>
      <c r="O31" s="206" t="s">
        <v>188</v>
      </c>
    </row>
    <row r="32" spans="1:15" x14ac:dyDescent="0.35">
      <c r="A32" s="23" t="s">
        <v>573</v>
      </c>
      <c r="B32" s="24">
        <f>SUMIF('Raw April'!G:G,'TB 0425'!A32,'Raw April'!C:C)</f>
        <v>6806736.5099999998</v>
      </c>
      <c r="C32" s="24">
        <f>SUMIF('Raw April'!G:G,'TB 0425'!A32,'Raw April'!D:D)</f>
        <v>35351253.109999999</v>
      </c>
      <c r="D32" s="24">
        <f>SUMIF('Raw April'!G:G,'TB 0425'!A32,'Raw April'!E:E)</f>
        <v>32314172.699999999</v>
      </c>
      <c r="E32" s="24">
        <f t="shared" si="0"/>
        <v>9843816.9199999981</v>
      </c>
      <c r="F32" s="24">
        <f t="shared" si="1"/>
        <v>9843.8169199999975</v>
      </c>
      <c r="G32" s="209" t="s">
        <v>181</v>
      </c>
      <c r="H32" s="23" t="s">
        <v>78</v>
      </c>
      <c r="I32" s="23" t="s">
        <v>953</v>
      </c>
      <c r="M32" s="23" t="s">
        <v>812</v>
      </c>
      <c r="N32" s="24">
        <v>49.033000000000001</v>
      </c>
      <c r="O32" s="206" t="s">
        <v>192</v>
      </c>
    </row>
    <row r="33" spans="1:15" x14ac:dyDescent="0.35">
      <c r="A33" s="23" t="s">
        <v>723</v>
      </c>
      <c r="B33" s="24">
        <f>SUMIF('Raw April'!G:G,'TB 0425'!A33,'Raw April'!C:C)</f>
        <v>3146939</v>
      </c>
      <c r="C33" s="24">
        <f>SUMIF('Raw April'!G:G,'TB 0425'!A33,'Raw April'!D:D)</f>
        <v>486659</v>
      </c>
      <c r="D33" s="24">
        <f>SUMIF('Raw April'!G:G,'TB 0425'!A33,'Raw April'!E:E)</f>
        <v>0</v>
      </c>
      <c r="E33" s="24">
        <f t="shared" si="0"/>
        <v>3633598</v>
      </c>
      <c r="F33" s="24">
        <f t="shared" si="1"/>
        <v>3633.598</v>
      </c>
      <c r="G33" s="209" t="s">
        <v>181</v>
      </c>
      <c r="H33" s="23" t="s">
        <v>71</v>
      </c>
      <c r="I33" s="23" t="s">
        <v>723</v>
      </c>
      <c r="J33" s="23" t="s">
        <v>1397</v>
      </c>
      <c r="M33" s="23" t="s">
        <v>882</v>
      </c>
      <c r="N33" s="24">
        <v>183.583</v>
      </c>
      <c r="O33" s="206" t="s">
        <v>192</v>
      </c>
    </row>
    <row r="34" spans="1:15" x14ac:dyDescent="0.35">
      <c r="A34" s="23" t="s">
        <v>231</v>
      </c>
      <c r="B34" s="24">
        <f>SUMIF('Raw April'!G:G,'TB 0425'!A34,'Raw April'!C:C)</f>
        <v>143345.04</v>
      </c>
      <c r="C34" s="24">
        <f>SUMIF('Raw April'!G:G,'TB 0425'!A34,'Raw April'!D:D)</f>
        <v>30859</v>
      </c>
      <c r="D34" s="24">
        <f>SUMIF('Raw April'!G:G,'TB 0425'!A34,'Raw April'!E:E)</f>
        <v>0</v>
      </c>
      <c r="E34" s="24">
        <f t="shared" si="0"/>
        <v>174204.04</v>
      </c>
      <c r="F34" s="24">
        <f t="shared" si="1"/>
        <v>174.20404000000002</v>
      </c>
      <c r="G34" s="209" t="s">
        <v>181</v>
      </c>
      <c r="H34" s="23" t="s">
        <v>71</v>
      </c>
      <c r="I34" s="23" t="s">
        <v>231</v>
      </c>
      <c r="J34" s="23" t="s">
        <v>1397</v>
      </c>
      <c r="M34" s="23" t="s">
        <v>784</v>
      </c>
      <c r="N34" s="24">
        <v>27.367000000000001</v>
      </c>
      <c r="O34" s="206" t="s">
        <v>192</v>
      </c>
    </row>
    <row r="35" spans="1:15" x14ac:dyDescent="0.35">
      <c r="A35" s="23" t="s">
        <v>575</v>
      </c>
      <c r="B35" s="24">
        <f>SUMIF('Raw April'!G:G,'TB 0425'!A35,'Raw April'!C:C)</f>
        <v>98750.02</v>
      </c>
      <c r="C35" s="24">
        <f>SUMIF('Raw April'!G:G,'TB 0425'!A35,'Raw April'!D:D)</f>
        <v>0</v>
      </c>
      <c r="D35" s="24">
        <f>SUMIF('Raw April'!G:G,'TB 0425'!A35,'Raw April'!E:E)</f>
        <v>50516.66</v>
      </c>
      <c r="E35" s="24">
        <f t="shared" ref="E35:E66" si="3">B35+C35-D35</f>
        <v>48233.36</v>
      </c>
      <c r="F35" s="24">
        <f t="shared" ref="F35:F66" si="4">E35/1000</f>
        <v>48.233359999999998</v>
      </c>
      <c r="G35" s="209" t="s">
        <v>181</v>
      </c>
      <c r="H35" s="23" t="s">
        <v>79</v>
      </c>
      <c r="I35" s="23" t="s">
        <v>954</v>
      </c>
      <c r="M35" s="23" t="s">
        <v>826</v>
      </c>
      <c r="N35" s="24">
        <v>16.667000000000002</v>
      </c>
      <c r="O35" s="206" t="s">
        <v>677</v>
      </c>
    </row>
    <row r="36" spans="1:15" x14ac:dyDescent="0.35">
      <c r="A36" s="23" t="s">
        <v>376</v>
      </c>
      <c r="B36" s="24">
        <f>SUMIF('Raw April'!G:G,'TB 0425'!A36,'Raw April'!C:C)</f>
        <v>0</v>
      </c>
      <c r="C36" s="24">
        <f>SUMIF('Raw April'!G:G,'TB 0425'!A36,'Raw April'!D:D)</f>
        <v>3090292.72</v>
      </c>
      <c r="D36" s="24">
        <f>SUMIF('Raw April'!G:G,'TB 0425'!A36,'Raw April'!E:E)</f>
        <v>2048389.74</v>
      </c>
      <c r="E36" s="24">
        <f t="shared" si="3"/>
        <v>1041902.9800000002</v>
      </c>
      <c r="F36" s="24">
        <f t="shared" si="4"/>
        <v>1041.9029800000003</v>
      </c>
      <c r="G36" s="209" t="s">
        <v>181</v>
      </c>
      <c r="H36" s="23" t="s">
        <v>67</v>
      </c>
      <c r="M36" s="23" t="s">
        <v>883</v>
      </c>
      <c r="N36" s="24">
        <v>45.6</v>
      </c>
      <c r="O36" s="206" t="s">
        <v>188</v>
      </c>
    </row>
    <row r="37" spans="1:15" x14ac:dyDescent="0.35">
      <c r="A37" s="23" t="s">
        <v>576</v>
      </c>
      <c r="B37" s="24">
        <f>SUMIF('Raw April'!G:G,'TB 0425'!A37,'Raw April'!C:C)</f>
        <v>0</v>
      </c>
      <c r="C37" s="24">
        <f>SUMIF('Raw April'!G:G,'TB 0425'!A37,'Raw April'!D:D)</f>
        <v>2650490.59</v>
      </c>
      <c r="D37" s="24">
        <f>SUMIF('Raw April'!G:G,'TB 0425'!A37,'Raw April'!E:E)</f>
        <v>2656782.4500000002</v>
      </c>
      <c r="E37" s="24">
        <f t="shared" si="3"/>
        <v>-6291.8600000003353</v>
      </c>
      <c r="F37" s="24">
        <f t="shared" si="4"/>
        <v>-6.2918600000003355</v>
      </c>
      <c r="G37" s="209" t="s">
        <v>181</v>
      </c>
      <c r="H37" s="23" t="s">
        <v>77</v>
      </c>
      <c r="I37" s="23" t="s">
        <v>202</v>
      </c>
      <c r="M37" s="23" t="s">
        <v>884</v>
      </c>
      <c r="N37" s="24">
        <v>30.709</v>
      </c>
      <c r="O37" s="206" t="s">
        <v>352</v>
      </c>
    </row>
    <row r="38" spans="1:15" x14ac:dyDescent="0.35">
      <c r="A38" s="23" t="s">
        <v>577</v>
      </c>
      <c r="B38" s="24">
        <f>SUMIF('Raw April'!G:G,'TB 0425'!A38,'Raw April'!C:C)</f>
        <v>649225.12</v>
      </c>
      <c r="C38" s="24">
        <f>SUMIF('Raw April'!G:G,'TB 0425'!A38,'Raw April'!D:D)</f>
        <v>188025.03</v>
      </c>
      <c r="D38" s="24">
        <f>SUMIF('Raw April'!G:G,'TB 0425'!A38,'Raw April'!E:E)</f>
        <v>0</v>
      </c>
      <c r="E38" s="24">
        <f t="shared" si="3"/>
        <v>837250.15</v>
      </c>
      <c r="F38" s="24">
        <f t="shared" si="4"/>
        <v>837.25015000000008</v>
      </c>
      <c r="G38" s="209" t="s">
        <v>181</v>
      </c>
      <c r="H38" s="23" t="s">
        <v>79</v>
      </c>
      <c r="I38" s="23" t="s">
        <v>172</v>
      </c>
      <c r="M38" s="23" t="s">
        <v>885</v>
      </c>
      <c r="N38" s="24">
        <v>69.870999999999995</v>
      </c>
      <c r="O38" s="206" t="s">
        <v>192</v>
      </c>
    </row>
    <row r="39" spans="1:15" x14ac:dyDescent="0.35">
      <c r="A39" s="23" t="s">
        <v>146</v>
      </c>
      <c r="B39" s="24">
        <f>SUMIF('Raw April'!G:G,'TB 0425'!A39,'Raw April'!C:C)</f>
        <v>4196000</v>
      </c>
      <c r="C39" s="24">
        <f>SUMIF('Raw April'!G:G,'TB 0425'!A39,'Raw April'!D:D)</f>
        <v>793000</v>
      </c>
      <c r="D39" s="24">
        <f>SUMIF('Raw April'!G:G,'TB 0425'!A39,'Raw April'!E:E)</f>
        <v>0</v>
      </c>
      <c r="E39" s="24">
        <f t="shared" si="3"/>
        <v>4989000</v>
      </c>
      <c r="F39" s="24">
        <f t="shared" si="4"/>
        <v>4989</v>
      </c>
      <c r="G39" s="209" t="s">
        <v>181</v>
      </c>
      <c r="H39" s="23" t="s">
        <v>74</v>
      </c>
      <c r="I39" s="23" t="s">
        <v>146</v>
      </c>
      <c r="M39" s="23" t="s">
        <v>793</v>
      </c>
      <c r="N39" s="24">
        <v>27.367000000000001</v>
      </c>
      <c r="O39" s="206" t="s">
        <v>188</v>
      </c>
    </row>
    <row r="40" spans="1:15" x14ac:dyDescent="0.35">
      <c r="A40" s="23" t="s">
        <v>345</v>
      </c>
      <c r="B40" s="24">
        <f>SUMIF('Raw April'!G:G,'TB 0425'!A40,'Raw April'!C:C)</f>
        <v>842321.19</v>
      </c>
      <c r="C40" s="24">
        <f>SUMIF('Raw April'!G:G,'TB 0425'!A40,'Raw April'!D:D)</f>
        <v>0</v>
      </c>
      <c r="D40" s="24">
        <f>SUMIF('Raw April'!G:G,'TB 0425'!A40,'Raw April'!E:E)</f>
        <v>545882.18999999994</v>
      </c>
      <c r="E40" s="24">
        <f t="shared" si="3"/>
        <v>296439</v>
      </c>
      <c r="F40" s="24">
        <f t="shared" si="4"/>
        <v>296.43900000000002</v>
      </c>
      <c r="G40" s="209" t="s">
        <v>181</v>
      </c>
      <c r="H40" s="23" t="s">
        <v>79</v>
      </c>
      <c r="I40" s="23" t="s">
        <v>345</v>
      </c>
      <c r="M40" s="23" t="s">
        <v>886</v>
      </c>
      <c r="N40" s="24">
        <v>24</v>
      </c>
      <c r="O40" s="23" t="s">
        <v>190</v>
      </c>
    </row>
    <row r="41" spans="1:15" x14ac:dyDescent="0.35">
      <c r="A41" s="23" t="s">
        <v>427</v>
      </c>
      <c r="B41" s="24">
        <f>SUMIF('Raw April'!G:G,'TB 0425'!A41,'Raw April'!C:C)</f>
        <v>-6183156.8099999996</v>
      </c>
      <c r="C41" s="24">
        <f>SUMIF('Raw April'!G:G,'TB 0425'!A41,'Raw April'!D:D)</f>
        <v>23518766.289999999</v>
      </c>
      <c r="D41" s="24">
        <f>SUMIF('Raw April'!G:G,'TB 0425'!A41,'Raw April'!E:E)</f>
        <v>26099233.25</v>
      </c>
      <c r="E41" s="24">
        <f t="shared" si="3"/>
        <v>-8763623.7699999996</v>
      </c>
      <c r="F41" s="24">
        <f t="shared" si="4"/>
        <v>-8763.6237700000001</v>
      </c>
      <c r="G41" s="209" t="s">
        <v>180</v>
      </c>
      <c r="H41" s="23" t="s">
        <v>67</v>
      </c>
      <c r="M41" s="23" t="s">
        <v>887</v>
      </c>
      <c r="N41" s="24">
        <v>28.327000000000002</v>
      </c>
      <c r="O41" s="206" t="s">
        <v>192</v>
      </c>
    </row>
    <row r="42" spans="1:15" x14ac:dyDescent="0.35">
      <c r="A42" s="23" t="s">
        <v>423</v>
      </c>
      <c r="B42" s="24">
        <f>SUMIF('Raw April'!G:G,'TB 0425'!A42,'Raw April'!C:C)</f>
        <v>-258778.27</v>
      </c>
      <c r="C42" s="24">
        <f>SUMIF('Raw April'!G:G,'TB 0425'!A42,'Raw April'!D:D)</f>
        <v>109544</v>
      </c>
      <c r="D42" s="24">
        <f>SUMIF('Raw April'!G:G,'TB 0425'!A42,'Raw April'!E:E)</f>
        <v>117900</v>
      </c>
      <c r="E42" s="24">
        <f t="shared" si="3"/>
        <v>-267134.27</v>
      </c>
      <c r="F42" s="24">
        <f t="shared" si="4"/>
        <v>-267.13427000000001</v>
      </c>
      <c r="G42" s="209" t="s">
        <v>180</v>
      </c>
      <c r="H42" s="23" t="s">
        <v>68</v>
      </c>
      <c r="I42" s="23" t="s">
        <v>946</v>
      </c>
      <c r="M42" s="23" t="s">
        <v>888</v>
      </c>
      <c r="N42" s="24">
        <v>18.8</v>
      </c>
      <c r="O42" s="206" t="s">
        <v>188</v>
      </c>
    </row>
    <row r="43" spans="1:15" x14ac:dyDescent="0.35">
      <c r="A43" s="23" t="s">
        <v>578</v>
      </c>
      <c r="B43" s="24">
        <f>SUMIF('Raw April'!G:G,'TB 0425'!A43,'Raw April'!C:C)</f>
        <v>-128980</v>
      </c>
      <c r="C43" s="24">
        <f>SUMIF('Raw April'!G:G,'TB 0425'!A43,'Raw April'!D:D)</f>
        <v>128980</v>
      </c>
      <c r="D43" s="24">
        <f>SUMIF('Raw April'!G:G,'TB 0425'!A43,'Raw April'!E:E)</f>
        <v>143152.32000000001</v>
      </c>
      <c r="E43" s="24">
        <f t="shared" si="3"/>
        <v>-143152.32000000001</v>
      </c>
      <c r="F43" s="24">
        <f t="shared" si="4"/>
        <v>-143.15232</v>
      </c>
      <c r="G43" s="209" t="s">
        <v>180</v>
      </c>
      <c r="H43" s="23" t="s">
        <v>68</v>
      </c>
      <c r="I43" s="23" t="s">
        <v>947</v>
      </c>
      <c r="M43" s="23" t="s">
        <v>889</v>
      </c>
      <c r="N43" s="24">
        <v>60.472000000000001</v>
      </c>
      <c r="O43" s="206" t="s">
        <v>188</v>
      </c>
    </row>
    <row r="44" spans="1:15" x14ac:dyDescent="0.35">
      <c r="A44" s="23" t="s">
        <v>622</v>
      </c>
      <c r="B44" s="24">
        <f>SUMIF('Raw April'!G:G,'TB 0425'!A44,'Raw April'!C:C)</f>
        <v>-175904</v>
      </c>
      <c r="C44" s="24">
        <f>SUMIF('Raw April'!G:G,'TB 0425'!A44,'Raw April'!D:D)</f>
        <v>68536</v>
      </c>
      <c r="D44" s="24">
        <f>SUMIF('Raw April'!G:G,'TB 0425'!A44,'Raw April'!E:E)</f>
        <v>56322</v>
      </c>
      <c r="E44" s="24">
        <f t="shared" si="3"/>
        <v>-163690</v>
      </c>
      <c r="F44" s="24">
        <f t="shared" si="4"/>
        <v>-163.69</v>
      </c>
      <c r="G44" s="209" t="s">
        <v>180</v>
      </c>
      <c r="H44" s="23" t="s">
        <v>68</v>
      </c>
      <c r="I44" s="23" t="s">
        <v>947</v>
      </c>
      <c r="M44" s="23" t="s">
        <v>734</v>
      </c>
      <c r="N44" s="24">
        <v>36.799999999999997</v>
      </c>
      <c r="O44" s="206" t="s">
        <v>268</v>
      </c>
    </row>
    <row r="45" spans="1:15" x14ac:dyDescent="0.35">
      <c r="A45" s="23" t="s">
        <v>775</v>
      </c>
      <c r="B45" s="24">
        <f>SUMIF('Raw April'!G:G,'TB 0425'!A45,'Raw April'!C:C)</f>
        <v>-118</v>
      </c>
      <c r="C45" s="24">
        <f>SUMIF('Raw April'!G:G,'TB 0425'!A45,'Raw April'!D:D)</f>
        <v>0</v>
      </c>
      <c r="D45" s="24">
        <f>SUMIF('Raw April'!G:G,'TB 0425'!A45,'Raw April'!E:E)</f>
        <v>190</v>
      </c>
      <c r="E45" s="24">
        <f t="shared" si="3"/>
        <v>-308</v>
      </c>
      <c r="F45" s="24">
        <f t="shared" si="4"/>
        <v>-0.308</v>
      </c>
      <c r="G45" s="209" t="s">
        <v>180</v>
      </c>
      <c r="H45" s="23" t="s">
        <v>68</v>
      </c>
      <c r="I45" s="23" t="s">
        <v>948</v>
      </c>
      <c r="M45" s="23" t="s">
        <v>789</v>
      </c>
      <c r="N45" s="24">
        <v>47.033000000000001</v>
      </c>
      <c r="O45" s="206" t="s">
        <v>192</v>
      </c>
    </row>
    <row r="46" spans="1:15" x14ac:dyDescent="0.35">
      <c r="A46" s="23" t="s">
        <v>776</v>
      </c>
      <c r="B46" s="24">
        <f>SUMIF('Raw April'!G:G,'TB 0425'!A46,'Raw April'!C:C)</f>
        <v>-507</v>
      </c>
      <c r="C46" s="24">
        <f>SUMIF('Raw April'!G:G,'TB 0425'!A46,'Raw April'!D:D)</f>
        <v>0</v>
      </c>
      <c r="D46" s="24">
        <f>SUMIF('Raw April'!G:G,'TB 0425'!A46,'Raw April'!E:E)</f>
        <v>820</v>
      </c>
      <c r="E46" s="24">
        <f t="shared" si="3"/>
        <v>-1327</v>
      </c>
      <c r="F46" s="24">
        <f t="shared" si="4"/>
        <v>-1.327</v>
      </c>
      <c r="G46" s="209" t="s">
        <v>180</v>
      </c>
      <c r="H46" s="23" t="s">
        <v>68</v>
      </c>
      <c r="I46" s="23" t="s">
        <v>948</v>
      </c>
      <c r="M46" s="23" t="s">
        <v>890</v>
      </c>
      <c r="N46" s="24">
        <v>22.709</v>
      </c>
      <c r="O46" s="206" t="s">
        <v>188</v>
      </c>
    </row>
    <row r="47" spans="1:15" x14ac:dyDescent="0.35">
      <c r="A47" s="23" t="s">
        <v>579</v>
      </c>
      <c r="B47" s="24">
        <f>SUMIF('Raw April'!G:G,'TB 0425'!A47,'Raw April'!C:C)</f>
        <v>222245.19</v>
      </c>
      <c r="C47" s="24">
        <f>SUMIF('Raw April'!G:G,'TB 0425'!A47,'Raw April'!D:D)</f>
        <v>79129</v>
      </c>
      <c r="D47" s="24">
        <f>SUMIF('Raw April'!G:G,'TB 0425'!A47,'Raw April'!E:E)</f>
        <v>127249.43</v>
      </c>
      <c r="E47" s="24">
        <f t="shared" si="3"/>
        <v>174124.76</v>
      </c>
      <c r="F47" s="24">
        <f t="shared" si="4"/>
        <v>174.12476000000001</v>
      </c>
      <c r="G47" s="209" t="s">
        <v>180</v>
      </c>
      <c r="H47" s="23" t="s">
        <v>79</v>
      </c>
      <c r="I47" s="23" t="s">
        <v>172</v>
      </c>
      <c r="M47" s="23" t="s">
        <v>891</v>
      </c>
      <c r="N47" s="24">
        <v>17.100000000000001</v>
      </c>
      <c r="O47" s="206" t="s">
        <v>268</v>
      </c>
    </row>
    <row r="48" spans="1:15" x14ac:dyDescent="0.35">
      <c r="A48" s="23" t="s">
        <v>580</v>
      </c>
      <c r="B48" s="24">
        <f>SUMIF('Raw April'!G:G,'TB 0425'!A48,'Raw April'!C:C)</f>
        <v>-262475.40000000002</v>
      </c>
      <c r="C48" s="24">
        <f>SUMIF('Raw April'!G:G,'TB 0425'!A48,'Raw April'!D:D)</f>
        <v>305199</v>
      </c>
      <c r="D48" s="24">
        <f>SUMIF('Raw April'!G:G,'TB 0425'!A48,'Raw April'!E:E)</f>
        <v>153314.97</v>
      </c>
      <c r="E48" s="24">
        <f t="shared" si="3"/>
        <v>-110591.37000000002</v>
      </c>
      <c r="F48" s="24">
        <f t="shared" si="4"/>
        <v>-110.59137000000003</v>
      </c>
      <c r="G48" s="209" t="s">
        <v>180</v>
      </c>
      <c r="H48" s="23" t="s">
        <v>79</v>
      </c>
      <c r="I48" s="23" t="s">
        <v>172</v>
      </c>
      <c r="M48" s="23" t="s">
        <v>728</v>
      </c>
      <c r="N48" s="24">
        <v>85.7</v>
      </c>
      <c r="O48" s="206" t="s">
        <v>192</v>
      </c>
    </row>
    <row r="49" spans="1:15" x14ac:dyDescent="0.35">
      <c r="A49" s="23" t="s">
        <v>581</v>
      </c>
      <c r="B49" s="24">
        <f>SUMIF('Raw April'!G:G,'TB 0425'!A49,'Raw April'!C:C)</f>
        <v>-40230.81</v>
      </c>
      <c r="C49" s="24">
        <f>SUMIF('Raw April'!G:G,'TB 0425'!A49,'Raw April'!D:D)</f>
        <v>79129</v>
      </c>
      <c r="D49" s="24">
        <f>SUMIF('Raw April'!G:G,'TB 0425'!A49,'Raw April'!E:E)</f>
        <v>127249.43</v>
      </c>
      <c r="E49" s="24">
        <f t="shared" si="3"/>
        <v>-88351.239999999991</v>
      </c>
      <c r="F49" s="24">
        <f t="shared" si="4"/>
        <v>-88.35123999999999</v>
      </c>
      <c r="G49" s="209" t="s">
        <v>180</v>
      </c>
      <c r="H49" s="23" t="s">
        <v>79</v>
      </c>
      <c r="I49" s="23" t="s">
        <v>172</v>
      </c>
      <c r="M49" s="23" t="s">
        <v>892</v>
      </c>
      <c r="N49" s="24">
        <v>17.100000000000001</v>
      </c>
      <c r="O49" s="206" t="s">
        <v>188</v>
      </c>
    </row>
    <row r="50" spans="1:15" x14ac:dyDescent="0.35">
      <c r="A50" s="23" t="s">
        <v>582</v>
      </c>
      <c r="B50" s="24">
        <f>SUMIF('Raw April'!G:G,'TB 0425'!A50,'Raw April'!C:C)</f>
        <v>-16200</v>
      </c>
      <c r="C50" s="24">
        <f>SUMIF('Raw April'!G:G,'TB 0425'!A50,'Raw April'!D:D)</f>
        <v>14800</v>
      </c>
      <c r="D50" s="24">
        <f>SUMIF('Raw April'!G:G,'TB 0425'!A50,'Raw April'!E:E)</f>
        <v>26600</v>
      </c>
      <c r="E50" s="24">
        <f t="shared" si="3"/>
        <v>-28000</v>
      </c>
      <c r="F50" s="24">
        <f t="shared" si="4"/>
        <v>-28</v>
      </c>
      <c r="G50" s="209" t="s">
        <v>180</v>
      </c>
      <c r="H50" s="23" t="s">
        <v>68</v>
      </c>
      <c r="I50" s="23" t="s">
        <v>582</v>
      </c>
      <c r="M50" s="23" t="s">
        <v>893</v>
      </c>
      <c r="N50" s="24">
        <v>26.666</v>
      </c>
      <c r="O50" s="206" t="s">
        <v>268</v>
      </c>
    </row>
    <row r="51" spans="1:15" x14ac:dyDescent="0.35">
      <c r="A51" s="23" t="s">
        <v>583</v>
      </c>
      <c r="B51" s="24">
        <f>SUMIF('Raw April'!G:G,'TB 0425'!A51,'Raw April'!C:C)</f>
        <v>-175892</v>
      </c>
      <c r="C51" s="24">
        <f>SUMIF('Raw April'!G:G,'TB 0425'!A51,'Raw April'!D:D)</f>
        <v>175892</v>
      </c>
      <c r="D51" s="24">
        <f>SUMIF('Raw April'!G:G,'TB 0425'!A51,'Raw April'!E:E)</f>
        <v>290717</v>
      </c>
      <c r="E51" s="24">
        <f t="shared" si="3"/>
        <v>-290717</v>
      </c>
      <c r="F51" s="24">
        <f t="shared" si="4"/>
        <v>-290.71699999999998</v>
      </c>
      <c r="G51" s="209" t="s">
        <v>180</v>
      </c>
      <c r="H51" s="23" t="s">
        <v>68</v>
      </c>
      <c r="I51" s="23" t="s">
        <v>177</v>
      </c>
      <c r="M51" s="23" t="s">
        <v>814</v>
      </c>
      <c r="N51" s="24">
        <v>89.867000000000004</v>
      </c>
      <c r="O51" s="206" t="s">
        <v>192</v>
      </c>
    </row>
    <row r="52" spans="1:15" x14ac:dyDescent="0.35">
      <c r="A52" s="23" t="s">
        <v>584</v>
      </c>
      <c r="B52" s="24">
        <f>SUMIF('Raw April'!G:G,'TB 0425'!A52,'Raw April'!C:C)</f>
        <v>-175892</v>
      </c>
      <c r="C52" s="24">
        <f>SUMIF('Raw April'!G:G,'TB 0425'!A52,'Raw April'!D:D)</f>
        <v>175892</v>
      </c>
      <c r="D52" s="24">
        <f>SUMIF('Raw April'!G:G,'TB 0425'!A52,'Raw April'!E:E)</f>
        <v>290717</v>
      </c>
      <c r="E52" s="24">
        <f t="shared" si="3"/>
        <v>-290717</v>
      </c>
      <c r="F52" s="24">
        <f t="shared" si="4"/>
        <v>-290.71699999999998</v>
      </c>
      <c r="G52" s="209" t="s">
        <v>180</v>
      </c>
      <c r="H52" s="23" t="s">
        <v>68</v>
      </c>
      <c r="I52" s="23" t="s">
        <v>177</v>
      </c>
      <c r="M52" s="23" t="s">
        <v>894</v>
      </c>
      <c r="N52" s="24">
        <v>18.367000000000001</v>
      </c>
      <c r="O52" s="206" t="s">
        <v>188</v>
      </c>
    </row>
    <row r="53" spans="1:15" x14ac:dyDescent="0.35">
      <c r="A53" s="23" t="s">
        <v>138</v>
      </c>
      <c r="B53" s="24">
        <f>SUMIF('Raw April'!G:G,'TB 0425'!A53,'Raw April'!C:C)</f>
        <v>-100000</v>
      </c>
      <c r="C53" s="24">
        <f>SUMIF('Raw April'!G:G,'TB 0425'!A53,'Raw April'!D:D)</f>
        <v>0</v>
      </c>
      <c r="D53" s="24">
        <f>SUMIF('Raw April'!G:G,'TB 0425'!A53,'Raw April'!E:E)</f>
        <v>0</v>
      </c>
      <c r="E53" s="24">
        <f t="shared" si="3"/>
        <v>-100000</v>
      </c>
      <c r="F53" s="24">
        <f t="shared" si="4"/>
        <v>-100</v>
      </c>
      <c r="G53" s="209" t="s">
        <v>180</v>
      </c>
      <c r="H53" s="23" t="s">
        <v>69</v>
      </c>
      <c r="I53" s="23" t="s">
        <v>138</v>
      </c>
      <c r="M53" s="23" t="s">
        <v>895</v>
      </c>
      <c r="N53" s="24">
        <v>20.3</v>
      </c>
      <c r="O53" s="206" t="s">
        <v>190</v>
      </c>
    </row>
    <row r="54" spans="1:15" x14ac:dyDescent="0.35">
      <c r="A54" s="23" t="s">
        <v>585</v>
      </c>
      <c r="B54" s="24">
        <f>SUMIF('Raw April'!G:G,'TB 0425'!A54,'Raw April'!C:C)</f>
        <v>-31600</v>
      </c>
      <c r="C54" s="24">
        <f>SUMIF('Raw April'!G:G,'TB 0425'!A54,'Raw April'!D:D)</f>
        <v>31600</v>
      </c>
      <c r="D54" s="24">
        <f>SUMIF('Raw April'!G:G,'TB 0425'!A54,'Raw April'!E:E)</f>
        <v>0</v>
      </c>
      <c r="E54" s="24">
        <f t="shared" si="3"/>
        <v>0</v>
      </c>
      <c r="F54" s="24">
        <f t="shared" si="4"/>
        <v>0</v>
      </c>
      <c r="G54" s="209" t="s">
        <v>180</v>
      </c>
      <c r="H54" s="23" t="s">
        <v>69</v>
      </c>
      <c r="I54" s="23" t="s">
        <v>585</v>
      </c>
      <c r="M54" s="23" t="s">
        <v>445</v>
      </c>
      <c r="N54" s="24">
        <v>25</v>
      </c>
      <c r="O54" s="206" t="s">
        <v>188</v>
      </c>
    </row>
    <row r="55" spans="1:15" x14ac:dyDescent="0.35">
      <c r="A55" s="23" t="s">
        <v>425</v>
      </c>
      <c r="B55" s="24">
        <f>SUMIF('Raw April'!G:G,'TB 0425'!A55,'Raw April'!C:C)</f>
        <v>-794970.32</v>
      </c>
      <c r="C55" s="24">
        <f>SUMIF('Raw April'!G:G,'TB 0425'!A55,'Raw April'!D:D)</f>
        <v>794868</v>
      </c>
      <c r="D55" s="24">
        <f>SUMIF('Raw April'!G:G,'TB 0425'!A55,'Raw April'!E:E)</f>
        <v>1924560.72</v>
      </c>
      <c r="E55" s="24">
        <f t="shared" si="3"/>
        <v>-1924663.04</v>
      </c>
      <c r="F55" s="24">
        <f t="shared" si="4"/>
        <v>-1924.6630400000001</v>
      </c>
      <c r="G55" s="209" t="s">
        <v>180</v>
      </c>
      <c r="H55" s="23" t="s">
        <v>68</v>
      </c>
      <c r="I55" s="23" t="s">
        <v>425</v>
      </c>
      <c r="M55" s="23" t="s">
        <v>821</v>
      </c>
      <c r="N55" s="24">
        <v>83.2</v>
      </c>
      <c r="O55" s="206" t="s">
        <v>192</v>
      </c>
    </row>
    <row r="56" spans="1:15" x14ac:dyDescent="0.35">
      <c r="A56" s="23" t="s">
        <v>587</v>
      </c>
      <c r="B56" s="24">
        <f>SUMIF('Raw April'!G:G,'TB 0425'!A56,'Raw April'!C:C)</f>
        <v>-99280</v>
      </c>
      <c r="C56" s="24">
        <f>SUMIF('Raw April'!G:G,'TB 0425'!A56,'Raw April'!D:D)</f>
        <v>0</v>
      </c>
      <c r="D56" s="24">
        <f>SUMIF('Raw April'!G:G,'TB 0425'!A56,'Raw April'!E:E)</f>
        <v>141486</v>
      </c>
      <c r="E56" s="24">
        <f t="shared" si="3"/>
        <v>-240766</v>
      </c>
      <c r="F56" s="24">
        <f t="shared" si="4"/>
        <v>-240.76599999999999</v>
      </c>
      <c r="G56" s="209" t="s">
        <v>180</v>
      </c>
      <c r="H56" s="23" t="s">
        <v>68</v>
      </c>
      <c r="I56" s="23" t="s">
        <v>947</v>
      </c>
      <c r="M56" s="23" t="s">
        <v>743</v>
      </c>
      <c r="N56" s="24">
        <v>12.771000000000001</v>
      </c>
      <c r="O56" s="206" t="s">
        <v>268</v>
      </c>
    </row>
    <row r="57" spans="1:15" x14ac:dyDescent="0.35">
      <c r="A57" s="23" t="s">
        <v>589</v>
      </c>
      <c r="B57" s="24">
        <f>SUMIF('Raw April'!G:G,'TB 0425'!A57,'Raw April'!C:C)</f>
        <v>-100000</v>
      </c>
      <c r="C57" s="24">
        <f>SUMIF('Raw April'!G:G,'TB 0425'!A57,'Raw April'!D:D)</f>
        <v>0</v>
      </c>
      <c r="D57" s="24">
        <f>SUMIF('Raw April'!G:G,'TB 0425'!A57,'Raw April'!E:E)</f>
        <v>0</v>
      </c>
      <c r="E57" s="24">
        <f t="shared" si="3"/>
        <v>-100000</v>
      </c>
      <c r="F57" s="24">
        <f t="shared" si="4"/>
        <v>-100</v>
      </c>
      <c r="G57" s="209" t="s">
        <v>180</v>
      </c>
      <c r="H57" s="23" t="s">
        <v>63</v>
      </c>
      <c r="I57" s="23" t="s">
        <v>63</v>
      </c>
      <c r="M57" s="23" t="s">
        <v>827</v>
      </c>
      <c r="N57" s="24">
        <v>32.366999999999997</v>
      </c>
      <c r="O57" s="206" t="s">
        <v>188</v>
      </c>
    </row>
    <row r="58" spans="1:15" x14ac:dyDescent="0.35">
      <c r="A58" s="23" t="s">
        <v>698</v>
      </c>
      <c r="B58" s="24">
        <f>SUMIF('Raw April'!G:G,'TB 0425'!A58,'Raw April'!C:C)</f>
        <v>-10</v>
      </c>
      <c r="C58" s="24">
        <f>SUMIF('Raw April'!G:G,'TB 0425'!A58,'Raw April'!D:D)</f>
        <v>0</v>
      </c>
      <c r="D58" s="24">
        <f>SUMIF('Raw April'!G:G,'TB 0425'!A58,'Raw April'!E:E)</f>
        <v>0</v>
      </c>
      <c r="E58" s="24">
        <f t="shared" si="3"/>
        <v>-10</v>
      </c>
      <c r="F58" s="24">
        <f t="shared" si="4"/>
        <v>-0.01</v>
      </c>
      <c r="G58" s="209" t="s">
        <v>180</v>
      </c>
      <c r="H58" s="23" t="s">
        <v>63</v>
      </c>
      <c r="I58" s="23" t="s">
        <v>63</v>
      </c>
      <c r="M58" s="23" t="s">
        <v>896</v>
      </c>
      <c r="N58" s="24">
        <v>33.095999999999997</v>
      </c>
      <c r="O58" s="206" t="s">
        <v>268</v>
      </c>
    </row>
    <row r="59" spans="1:15" x14ac:dyDescent="0.35">
      <c r="A59" s="23" t="s">
        <v>699</v>
      </c>
      <c r="B59" s="24">
        <f>SUMIF('Raw April'!G:G,'TB 0425'!A59,'Raw April'!C:C)</f>
        <v>-4091400</v>
      </c>
      <c r="C59" s="24">
        <f>SUMIF('Raw April'!G:G,'TB 0425'!A59,'Raw April'!D:D)</f>
        <v>0</v>
      </c>
      <c r="D59" s="24">
        <f>SUMIF('Raw April'!G:G,'TB 0425'!A59,'Raw April'!E:E)</f>
        <v>0</v>
      </c>
      <c r="E59" s="24">
        <f t="shared" si="3"/>
        <v>-4091400</v>
      </c>
      <c r="F59" s="24">
        <f t="shared" si="4"/>
        <v>-4091.4</v>
      </c>
      <c r="G59" s="209" t="s">
        <v>180</v>
      </c>
      <c r="H59" s="23" t="s">
        <v>63</v>
      </c>
      <c r="I59" s="23" t="s">
        <v>63</v>
      </c>
      <c r="M59" s="23" t="s">
        <v>897</v>
      </c>
      <c r="N59" s="24">
        <v>94.033000000000001</v>
      </c>
      <c r="O59" s="206" t="s">
        <v>192</v>
      </c>
    </row>
    <row r="60" spans="1:15" x14ac:dyDescent="0.35">
      <c r="A60" s="23" t="s">
        <v>700</v>
      </c>
      <c r="B60" s="24">
        <f>SUMIF('Raw April'!G:G,'TB 0425'!A60,'Raw April'!C:C)</f>
        <v>-10800</v>
      </c>
      <c r="C60" s="24">
        <f>SUMIF('Raw April'!G:G,'TB 0425'!A60,'Raw April'!D:D)</f>
        <v>0</v>
      </c>
      <c r="D60" s="24">
        <f>SUMIF('Raw April'!G:G,'TB 0425'!A60,'Raw April'!E:E)</f>
        <v>0</v>
      </c>
      <c r="E60" s="24">
        <f t="shared" si="3"/>
        <v>-10800</v>
      </c>
      <c r="F60" s="24">
        <f t="shared" si="4"/>
        <v>-10.8</v>
      </c>
      <c r="G60" s="209" t="s">
        <v>180</v>
      </c>
      <c r="H60" s="23" t="s">
        <v>63</v>
      </c>
      <c r="I60" s="23" t="s">
        <v>63</v>
      </c>
      <c r="M60" s="23" t="s">
        <v>828</v>
      </c>
      <c r="N60" s="24">
        <v>53.2</v>
      </c>
      <c r="O60" s="206" t="s">
        <v>192</v>
      </c>
    </row>
    <row r="61" spans="1:15" x14ac:dyDescent="0.35">
      <c r="A61" s="23" t="s">
        <v>590</v>
      </c>
      <c r="B61" s="24">
        <f>SUMIF('Raw April'!G:G,'TB 0425'!A61,'Raw April'!C:C)</f>
        <v>-10</v>
      </c>
      <c r="C61" s="24">
        <f>SUMIF('Raw April'!G:G,'TB 0425'!A61,'Raw April'!D:D)</f>
        <v>0</v>
      </c>
      <c r="D61" s="24">
        <f>SUMIF('Raw April'!G:G,'TB 0425'!A61,'Raw April'!E:E)</f>
        <v>0</v>
      </c>
      <c r="E61" s="24">
        <f t="shared" si="3"/>
        <v>-10</v>
      </c>
      <c r="F61" s="24">
        <f t="shared" si="4"/>
        <v>-0.01</v>
      </c>
      <c r="G61" s="209" t="s">
        <v>180</v>
      </c>
      <c r="H61" s="23" t="s">
        <v>63</v>
      </c>
      <c r="I61" s="23" t="s">
        <v>63</v>
      </c>
      <c r="M61" s="23" t="s">
        <v>667</v>
      </c>
      <c r="N61" s="24">
        <v>24</v>
      </c>
      <c r="O61" s="206" t="s">
        <v>188</v>
      </c>
    </row>
    <row r="62" spans="1:15" x14ac:dyDescent="0.35">
      <c r="A62" s="23" t="s">
        <v>591</v>
      </c>
      <c r="B62" s="24">
        <f>SUMIF('Raw April'!G:G,'TB 0425'!A62,'Raw April'!C:C)</f>
        <v>-5126000</v>
      </c>
      <c r="C62" s="24">
        <f>SUMIF('Raw April'!G:G,'TB 0425'!A62,'Raw April'!D:D)</f>
        <v>0</v>
      </c>
      <c r="D62" s="24">
        <f>SUMIF('Raw April'!G:G,'TB 0425'!A62,'Raw April'!E:E)</f>
        <v>0</v>
      </c>
      <c r="E62" s="24">
        <f t="shared" si="3"/>
        <v>-5126000</v>
      </c>
      <c r="F62" s="24">
        <f t="shared" si="4"/>
        <v>-5126</v>
      </c>
      <c r="G62" s="209" t="s">
        <v>180</v>
      </c>
      <c r="H62" s="23" t="s">
        <v>63</v>
      </c>
      <c r="I62" s="23" t="s">
        <v>63</v>
      </c>
      <c r="M62" s="23" t="s">
        <v>803</v>
      </c>
      <c r="N62" s="24">
        <v>59.033000000000001</v>
      </c>
      <c r="O62" s="206" t="s">
        <v>192</v>
      </c>
    </row>
    <row r="63" spans="1:15" x14ac:dyDescent="0.35">
      <c r="A63" s="23" t="s">
        <v>701</v>
      </c>
      <c r="B63" s="24">
        <f>SUMIF('Raw April'!G:G,'TB 0425'!A63,'Raw April'!C:C)</f>
        <v>-16200</v>
      </c>
      <c r="C63" s="24">
        <f>SUMIF('Raw April'!G:G,'TB 0425'!A63,'Raw April'!D:D)</f>
        <v>0</v>
      </c>
      <c r="D63" s="24">
        <f>SUMIF('Raw April'!G:G,'TB 0425'!A63,'Raw April'!E:E)</f>
        <v>0</v>
      </c>
      <c r="E63" s="24">
        <f t="shared" si="3"/>
        <v>-16200</v>
      </c>
      <c r="F63" s="24">
        <f t="shared" si="4"/>
        <v>-16.2</v>
      </c>
      <c r="G63" s="209" t="s">
        <v>180</v>
      </c>
      <c r="H63" s="23" t="s">
        <v>63</v>
      </c>
      <c r="I63" s="23" t="s">
        <v>63</v>
      </c>
      <c r="M63" s="23" t="s">
        <v>898</v>
      </c>
      <c r="N63" s="24">
        <v>35.709000000000003</v>
      </c>
      <c r="O63" s="206" t="s">
        <v>188</v>
      </c>
    </row>
    <row r="64" spans="1:15" x14ac:dyDescent="0.35">
      <c r="A64" s="23" t="s">
        <v>702</v>
      </c>
      <c r="B64" s="24">
        <f>SUMIF('Raw April'!G:G,'TB 0425'!A64,'Raw April'!C:C)</f>
        <v>-5400</v>
      </c>
      <c r="C64" s="24">
        <f>SUMIF('Raw April'!G:G,'TB 0425'!A64,'Raw April'!D:D)</f>
        <v>0</v>
      </c>
      <c r="D64" s="24">
        <f>SUMIF('Raw April'!G:G,'TB 0425'!A64,'Raw April'!E:E)</f>
        <v>0</v>
      </c>
      <c r="E64" s="24">
        <f t="shared" si="3"/>
        <v>-5400</v>
      </c>
      <c r="F64" s="24">
        <f t="shared" si="4"/>
        <v>-5.4</v>
      </c>
      <c r="G64" s="209" t="s">
        <v>180</v>
      </c>
      <c r="H64" s="23" t="s">
        <v>63</v>
      </c>
      <c r="I64" s="23" t="s">
        <v>63</v>
      </c>
      <c r="M64" s="23" t="s">
        <v>782</v>
      </c>
      <c r="N64" s="24">
        <v>49.033000000000001</v>
      </c>
      <c r="O64" s="206" t="s">
        <v>188</v>
      </c>
    </row>
    <row r="65" spans="1:15" x14ac:dyDescent="0.35">
      <c r="A65" s="23" t="s">
        <v>703</v>
      </c>
      <c r="B65" s="24">
        <f>SUMIF('Raw April'!G:G,'TB 0425'!A65,'Raw April'!C:C)</f>
        <v>-37800</v>
      </c>
      <c r="C65" s="24">
        <f>SUMIF('Raw April'!G:G,'TB 0425'!A65,'Raw April'!D:D)</f>
        <v>0</v>
      </c>
      <c r="D65" s="24">
        <f>SUMIF('Raw April'!G:G,'TB 0425'!A65,'Raw April'!E:E)</f>
        <v>0</v>
      </c>
      <c r="E65" s="24">
        <f t="shared" si="3"/>
        <v>-37800</v>
      </c>
      <c r="F65" s="24">
        <f t="shared" si="4"/>
        <v>-37.799999999999997</v>
      </c>
      <c r="G65" s="209" t="s">
        <v>180</v>
      </c>
      <c r="H65" s="23" t="s">
        <v>63</v>
      </c>
      <c r="I65" s="23" t="s">
        <v>63</v>
      </c>
      <c r="M65" s="23" t="s">
        <v>899</v>
      </c>
      <c r="N65" s="24">
        <v>45.348999999999997</v>
      </c>
      <c r="O65" s="206" t="s">
        <v>188</v>
      </c>
    </row>
    <row r="66" spans="1:15" x14ac:dyDescent="0.35">
      <c r="A66" s="23" t="s">
        <v>592</v>
      </c>
      <c r="B66" s="24">
        <f>SUMIF('Raw April'!G:G,'TB 0425'!A66,'Raw April'!C:C)</f>
        <v>-545637669.75999999</v>
      </c>
      <c r="C66" s="24">
        <f>SUMIF('Raw April'!G:G,'TB 0425'!A66,'Raw April'!D:D)</f>
        <v>0</v>
      </c>
      <c r="D66" s="24">
        <f>SUMIF('Raw April'!G:G,'TB 0425'!A66,'Raw April'!E:E)</f>
        <v>0</v>
      </c>
      <c r="E66" s="24">
        <f t="shared" si="3"/>
        <v>-545637669.75999999</v>
      </c>
      <c r="F66" s="24">
        <f t="shared" si="4"/>
        <v>-545637.66975999996</v>
      </c>
      <c r="G66" s="209" t="s">
        <v>180</v>
      </c>
      <c r="H66" s="23" t="s">
        <v>64</v>
      </c>
      <c r="I66" s="23" t="s">
        <v>63</v>
      </c>
      <c r="M66" s="23" t="s">
        <v>668</v>
      </c>
      <c r="N66" s="24">
        <v>24</v>
      </c>
      <c r="O66" s="206" t="s">
        <v>188</v>
      </c>
    </row>
    <row r="67" spans="1:15" x14ac:dyDescent="0.35">
      <c r="A67" s="23" t="s">
        <v>704</v>
      </c>
      <c r="B67" s="24">
        <f>SUMIF('Raw April'!G:G,'TB 0425'!A67,'Raw April'!C:C)</f>
        <v>-5400</v>
      </c>
      <c r="C67" s="24">
        <f>SUMIF('Raw April'!G:G,'TB 0425'!A67,'Raw April'!D:D)</f>
        <v>0</v>
      </c>
      <c r="D67" s="24">
        <f>SUMIF('Raw April'!G:G,'TB 0425'!A67,'Raw April'!E:E)</f>
        <v>0</v>
      </c>
      <c r="E67" s="24">
        <f t="shared" ref="E67:E98" si="5">B67+C67-D67</f>
        <v>-5400</v>
      </c>
      <c r="F67" s="24">
        <f t="shared" ref="F67:F98" si="6">E67/1000</f>
        <v>-5.4</v>
      </c>
      <c r="G67" s="209" t="s">
        <v>180</v>
      </c>
      <c r="H67" s="23" t="s">
        <v>63</v>
      </c>
      <c r="I67" s="23" t="s">
        <v>63</v>
      </c>
      <c r="M67" s="23" t="s">
        <v>900</v>
      </c>
      <c r="N67" s="24">
        <v>45.067</v>
      </c>
      <c r="O67" s="206" t="s">
        <v>188</v>
      </c>
    </row>
    <row r="68" spans="1:15" x14ac:dyDescent="0.35">
      <c r="A68" s="23" t="s">
        <v>705</v>
      </c>
      <c r="B68" s="24">
        <f>SUMIF('Raw April'!G:G,'TB 0425'!A68,'Raw April'!C:C)</f>
        <v>-5400</v>
      </c>
      <c r="C68" s="24">
        <f>SUMIF('Raw April'!G:G,'TB 0425'!A68,'Raw April'!D:D)</f>
        <v>0</v>
      </c>
      <c r="D68" s="24">
        <f>SUMIF('Raw April'!G:G,'TB 0425'!A68,'Raw April'!E:E)</f>
        <v>0</v>
      </c>
      <c r="E68" s="24">
        <f t="shared" si="5"/>
        <v>-5400</v>
      </c>
      <c r="F68" s="24">
        <f t="shared" si="6"/>
        <v>-5.4</v>
      </c>
      <c r="G68" s="209" t="s">
        <v>180</v>
      </c>
      <c r="H68" s="23" t="s">
        <v>63</v>
      </c>
      <c r="I68" s="23" t="s">
        <v>63</v>
      </c>
      <c r="M68" s="23" t="s">
        <v>794</v>
      </c>
      <c r="N68" s="24">
        <v>106.533</v>
      </c>
      <c r="O68" s="206" t="s">
        <v>192</v>
      </c>
    </row>
    <row r="69" spans="1:15" x14ac:dyDescent="0.35">
      <c r="A69" s="23" t="s">
        <v>706</v>
      </c>
      <c r="B69" s="24">
        <f>SUMIF('Raw April'!G:G,'TB 0425'!A69,'Raw April'!C:C)</f>
        <v>-5400</v>
      </c>
      <c r="C69" s="24">
        <f>SUMIF('Raw April'!G:G,'TB 0425'!A69,'Raw April'!D:D)</f>
        <v>0</v>
      </c>
      <c r="D69" s="24">
        <f>SUMIF('Raw April'!G:G,'TB 0425'!A69,'Raw April'!E:E)</f>
        <v>0</v>
      </c>
      <c r="E69" s="24">
        <f t="shared" si="5"/>
        <v>-5400</v>
      </c>
      <c r="F69" s="24">
        <f t="shared" si="6"/>
        <v>-5.4</v>
      </c>
      <c r="G69" s="209" t="s">
        <v>180</v>
      </c>
      <c r="H69" s="23" t="s">
        <v>63</v>
      </c>
      <c r="I69" s="23" t="s">
        <v>63</v>
      </c>
      <c r="M69" s="23" t="s">
        <v>901</v>
      </c>
      <c r="N69" s="24">
        <v>58.56</v>
      </c>
      <c r="O69" s="206" t="s">
        <v>192</v>
      </c>
    </row>
    <row r="70" spans="1:15" x14ac:dyDescent="0.35">
      <c r="A70" s="23" t="s">
        <v>707</v>
      </c>
      <c r="B70" s="24">
        <f>SUMIF('Raw April'!G:G,'TB 0425'!A70,'Raw April'!C:C)</f>
        <v>-37800</v>
      </c>
      <c r="C70" s="24">
        <f>SUMIF('Raw April'!G:G,'TB 0425'!A70,'Raw April'!D:D)</f>
        <v>0</v>
      </c>
      <c r="D70" s="24">
        <f>SUMIF('Raw April'!G:G,'TB 0425'!A70,'Raw April'!E:E)</f>
        <v>0</v>
      </c>
      <c r="E70" s="24">
        <f t="shared" si="5"/>
        <v>-37800</v>
      </c>
      <c r="F70" s="24">
        <f t="shared" si="6"/>
        <v>-37.799999999999997</v>
      </c>
      <c r="G70" s="209" t="s">
        <v>180</v>
      </c>
      <c r="H70" s="23" t="s">
        <v>63</v>
      </c>
      <c r="I70" s="23" t="s">
        <v>63</v>
      </c>
      <c r="M70" s="23" t="s">
        <v>902</v>
      </c>
      <c r="N70" s="24">
        <v>40.259</v>
      </c>
      <c r="O70" s="206" t="s">
        <v>192</v>
      </c>
    </row>
    <row r="71" spans="1:15" x14ac:dyDescent="0.35">
      <c r="A71" s="23" t="s">
        <v>593</v>
      </c>
      <c r="B71" s="24">
        <f>SUMIF('Raw April'!G:G,'TB 0425'!A71,'Raw April'!C:C)</f>
        <v>58903866.530000001</v>
      </c>
      <c r="C71" s="24">
        <f>SUMIF('Raw April'!G:G,'TB 0425'!A71,'Raw April'!D:D)</f>
        <v>0</v>
      </c>
      <c r="D71" s="24">
        <f>SUMIF('Raw April'!G:G,'TB 0425'!A71,'Raw April'!E:E)</f>
        <v>0</v>
      </c>
      <c r="E71" s="24">
        <f t="shared" si="5"/>
        <v>58903866.530000001</v>
      </c>
      <c r="F71" s="24">
        <f t="shared" si="6"/>
        <v>58903.866529999999</v>
      </c>
      <c r="G71" s="209" t="s">
        <v>180</v>
      </c>
      <c r="H71" s="23" t="s">
        <v>64</v>
      </c>
      <c r="I71" s="23" t="s">
        <v>64</v>
      </c>
      <c r="M71" s="23" t="s">
        <v>795</v>
      </c>
      <c r="N71" s="24">
        <v>27.367000000000001</v>
      </c>
      <c r="O71" s="206" t="s">
        <v>188</v>
      </c>
    </row>
    <row r="72" spans="1:15" x14ac:dyDescent="0.35">
      <c r="A72" s="23" t="s">
        <v>295</v>
      </c>
      <c r="B72" s="24">
        <f>SUMIF('Raw April'!G:G,'TB 0425'!A72,'Raw April'!C:C)</f>
        <v>0</v>
      </c>
      <c r="C72" s="24">
        <f>SUMIF('Raw April'!G:G,'TB 0425'!A72,'Raw April'!D:D)</f>
        <v>207730</v>
      </c>
      <c r="D72" s="24">
        <f>SUMIF('Raw April'!G:G,'TB 0425'!A72,'Raw April'!E:E)</f>
        <v>866022.42</v>
      </c>
      <c r="E72" s="24">
        <f t="shared" si="5"/>
        <v>-658292.42000000004</v>
      </c>
      <c r="F72" s="24">
        <f t="shared" si="6"/>
        <v>-658.29241999999999</v>
      </c>
      <c r="G72" s="209" t="s">
        <v>184</v>
      </c>
      <c r="H72" s="23" t="s">
        <v>25</v>
      </c>
      <c r="M72" s="23" t="s">
        <v>903</v>
      </c>
      <c r="N72" s="24">
        <v>17.100000000000001</v>
      </c>
      <c r="O72" s="206" t="s">
        <v>188</v>
      </c>
    </row>
    <row r="73" spans="1:15" x14ac:dyDescent="0.35">
      <c r="A73" s="23" t="s">
        <v>316</v>
      </c>
      <c r="B73" s="24">
        <f>SUMIF('Raw April'!G:G,'TB 0425'!A73,'Raw April'!C:C)</f>
        <v>0</v>
      </c>
      <c r="C73" s="24">
        <f>SUMIF('Raw April'!G:G,'TB 0425'!A73,'Raw April'!D:D)</f>
        <v>805190</v>
      </c>
      <c r="D73" s="24">
        <f>SUMIF('Raw April'!G:G,'TB 0425'!A73,'Raw April'!E:E)</f>
        <v>0</v>
      </c>
      <c r="E73" s="24">
        <f t="shared" si="5"/>
        <v>805190</v>
      </c>
      <c r="F73" s="24">
        <f t="shared" si="6"/>
        <v>805.19</v>
      </c>
      <c r="G73" s="209" t="s">
        <v>184</v>
      </c>
      <c r="M73" s="23" t="s">
        <v>904</v>
      </c>
      <c r="N73" s="24">
        <v>410.54300000000001</v>
      </c>
      <c r="O73" s="206" t="s">
        <v>192</v>
      </c>
    </row>
    <row r="74" spans="1:15" x14ac:dyDescent="0.35">
      <c r="A74" s="23" t="s">
        <v>594</v>
      </c>
      <c r="B74" s="24">
        <f>SUMIF('Raw April'!G:G,'TB 0425'!A74,'Raw April'!C:C)</f>
        <v>0</v>
      </c>
      <c r="C74" s="24">
        <f>SUMIF('Raw April'!G:G,'TB 0425'!A74,'Raw April'!D:D)</f>
        <v>5597030</v>
      </c>
      <c r="D74" s="24">
        <f>SUMIF('Raw April'!G:G,'TB 0425'!A74,'Raw April'!E:E)</f>
        <v>8224844.7000000002</v>
      </c>
      <c r="E74" s="24">
        <f t="shared" si="5"/>
        <v>-2627814.7000000002</v>
      </c>
      <c r="F74" s="24">
        <f t="shared" si="6"/>
        <v>-2627.8147000000004</v>
      </c>
      <c r="G74" s="209" t="s">
        <v>184</v>
      </c>
      <c r="H74" s="23" t="s">
        <v>49</v>
      </c>
      <c r="M74" s="23" t="s">
        <v>837</v>
      </c>
      <c r="N74" s="24">
        <v>21.6</v>
      </c>
      <c r="O74" s="206" t="s">
        <v>677</v>
      </c>
    </row>
    <row r="75" spans="1:15" x14ac:dyDescent="0.35">
      <c r="A75" s="23" t="s">
        <v>303</v>
      </c>
      <c r="B75" s="24">
        <f>SUMIF('Raw April'!G:G,'TB 0425'!A75,'Raw April'!C:C)</f>
        <v>0</v>
      </c>
      <c r="C75" s="24">
        <f>SUMIF('Raw April'!G:G,'TB 0425'!A75,'Raw April'!D:D)</f>
        <v>0</v>
      </c>
      <c r="D75" s="24">
        <f>SUMIF('Raw April'!G:G,'TB 0425'!A75,'Raw April'!E:E)</f>
        <v>2502447.35</v>
      </c>
      <c r="E75" s="24">
        <f t="shared" si="5"/>
        <v>-2502447.35</v>
      </c>
      <c r="F75" s="24">
        <f t="shared" si="6"/>
        <v>-2502.4473499999999</v>
      </c>
      <c r="G75" s="209" t="s">
        <v>184</v>
      </c>
      <c r="H75" s="23" t="s">
        <v>25</v>
      </c>
      <c r="M75" s="23" t="s">
        <v>905</v>
      </c>
      <c r="N75" s="24">
        <v>20.7</v>
      </c>
      <c r="O75" s="206" t="s">
        <v>188</v>
      </c>
    </row>
    <row r="76" spans="1:15" x14ac:dyDescent="0.35">
      <c r="A76" s="23" t="s">
        <v>595</v>
      </c>
      <c r="B76" s="24">
        <f>SUMIF('Raw April'!G:G,'TB 0425'!A76,'Raw April'!C:C)</f>
        <v>0</v>
      </c>
      <c r="C76" s="24">
        <f>SUMIF('Raw April'!G:G,'TB 0425'!A76,'Raw April'!D:D)</f>
        <v>1577.77</v>
      </c>
      <c r="D76" s="24">
        <f>SUMIF('Raw April'!G:G,'TB 0425'!A76,'Raw April'!E:E)</f>
        <v>0</v>
      </c>
      <c r="E76" s="24">
        <f t="shared" si="5"/>
        <v>1577.77</v>
      </c>
      <c r="F76" s="24">
        <f t="shared" si="6"/>
        <v>1.5777699999999999</v>
      </c>
      <c r="G76" s="209" t="s">
        <v>182</v>
      </c>
      <c r="H76" s="23" t="s">
        <v>43</v>
      </c>
      <c r="M76" s="23" t="s">
        <v>792</v>
      </c>
      <c r="N76" s="24">
        <v>24</v>
      </c>
      <c r="O76" s="206" t="s">
        <v>268</v>
      </c>
    </row>
    <row r="77" spans="1:15" x14ac:dyDescent="0.35">
      <c r="A77" s="23" t="s">
        <v>38</v>
      </c>
      <c r="B77" s="24">
        <f>SUMIF('Raw April'!G:G,'TB 0425'!A77,'Raw April'!C:C)</f>
        <v>0</v>
      </c>
      <c r="C77" s="24">
        <f>SUMIF('Raw April'!G:G,'TB 0425'!A77,'Raw April'!D:D)</f>
        <v>427385</v>
      </c>
      <c r="D77" s="24">
        <f>SUMIF('Raw April'!G:G,'TB 0425'!A77,'Raw April'!E:E)</f>
        <v>0</v>
      </c>
      <c r="E77" s="24">
        <f t="shared" si="5"/>
        <v>427385</v>
      </c>
      <c r="F77" s="24">
        <f t="shared" si="6"/>
        <v>427.38499999999999</v>
      </c>
      <c r="G77" s="209" t="s">
        <v>182</v>
      </c>
      <c r="H77" s="23" t="s">
        <v>38</v>
      </c>
      <c r="M77" s="23" t="s">
        <v>799</v>
      </c>
      <c r="N77" s="24">
        <v>89.867000000000004</v>
      </c>
      <c r="O77" s="206" t="s">
        <v>192</v>
      </c>
    </row>
    <row r="78" spans="1:15" x14ac:dyDescent="0.35">
      <c r="A78" s="23" t="s">
        <v>409</v>
      </c>
      <c r="B78" s="24">
        <f>SUMIF('Raw April'!G:G,'TB 0425'!A78,'Raw April'!C:C)</f>
        <v>0</v>
      </c>
      <c r="C78" s="24">
        <f>SUMIF('Raw April'!G:G,'TB 0425'!A78,'Raw April'!D:D)</f>
        <v>0</v>
      </c>
      <c r="D78" s="24">
        <f>SUMIF('Raw April'!G:G,'TB 0425'!A78,'Raw April'!E:E)</f>
        <v>0</v>
      </c>
      <c r="E78" s="24">
        <f t="shared" si="5"/>
        <v>0</v>
      </c>
      <c r="F78" s="24">
        <f t="shared" si="6"/>
        <v>0</v>
      </c>
      <c r="G78" s="209" t="s">
        <v>182</v>
      </c>
      <c r="H78" s="23" t="s">
        <v>31</v>
      </c>
      <c r="M78" s="23" t="s">
        <v>790</v>
      </c>
      <c r="N78" s="24">
        <v>73.2</v>
      </c>
      <c r="O78" s="206" t="s">
        <v>192</v>
      </c>
    </row>
    <row r="79" spans="1:15" x14ac:dyDescent="0.35">
      <c r="A79" s="23" t="s">
        <v>296</v>
      </c>
      <c r="B79" s="24">
        <f>SUMIF('Raw April'!G:G,'TB 0425'!A79,'Raw April'!C:C)</f>
        <v>0</v>
      </c>
      <c r="C79" s="24">
        <f>SUMIF('Raw April'!G:G,'TB 0425'!A79,'Raw April'!D:D)</f>
        <v>1215847.6100000001</v>
      </c>
      <c r="D79" s="24">
        <f>SUMIF('Raw April'!G:G,'TB 0425'!A79,'Raw April'!E:E)</f>
        <v>850</v>
      </c>
      <c r="E79" s="24">
        <f t="shared" si="5"/>
        <v>1214997.6100000001</v>
      </c>
      <c r="F79" s="24">
        <f t="shared" si="6"/>
        <v>1214.9976100000001</v>
      </c>
      <c r="G79" s="209" t="s">
        <v>182</v>
      </c>
      <c r="H79" s="23" t="s">
        <v>37</v>
      </c>
      <c r="M79" s="23" t="s">
        <v>834</v>
      </c>
      <c r="N79" s="24">
        <v>77</v>
      </c>
      <c r="O79" s="206" t="s">
        <v>192</v>
      </c>
    </row>
    <row r="80" spans="1:15" x14ac:dyDescent="0.35">
      <c r="A80" s="23" t="s">
        <v>34</v>
      </c>
      <c r="B80" s="24">
        <f>SUMIF('Raw April'!G:G,'TB 0425'!A80,'Raw April'!C:C)</f>
        <v>0</v>
      </c>
      <c r="C80" s="24">
        <f>SUMIF('Raw April'!G:G,'TB 0425'!A80,'Raw April'!D:D)</f>
        <v>5876</v>
      </c>
      <c r="D80" s="24">
        <f>SUMIF('Raw April'!G:G,'TB 0425'!A80,'Raw April'!E:E)</f>
        <v>0</v>
      </c>
      <c r="E80" s="24">
        <f t="shared" si="5"/>
        <v>5876</v>
      </c>
      <c r="F80" s="24">
        <f t="shared" si="6"/>
        <v>5.8760000000000003</v>
      </c>
      <c r="G80" s="209" t="s">
        <v>182</v>
      </c>
      <c r="H80" s="23" t="s">
        <v>34</v>
      </c>
      <c r="M80" s="23" t="s">
        <v>906</v>
      </c>
      <c r="N80" s="24">
        <v>15.3</v>
      </c>
      <c r="O80" s="206" t="s">
        <v>188</v>
      </c>
    </row>
    <row r="81" spans="1:15" x14ac:dyDescent="0.35">
      <c r="A81" s="23" t="s">
        <v>596</v>
      </c>
      <c r="B81" s="24">
        <f>SUMIF('Raw April'!G:G,'TB 0425'!A81,'Raw April'!C:C)</f>
        <v>0</v>
      </c>
      <c r="C81" s="24">
        <f>SUMIF('Raw April'!G:G,'TB 0425'!A81,'Raw April'!D:D)</f>
        <v>213098.15</v>
      </c>
      <c r="D81" s="24">
        <f>SUMIF('Raw April'!G:G,'TB 0425'!A81,'Raw April'!E:E)</f>
        <v>0</v>
      </c>
      <c r="E81" s="24">
        <f t="shared" si="5"/>
        <v>213098.15</v>
      </c>
      <c r="F81" s="24">
        <f t="shared" si="6"/>
        <v>213.09815</v>
      </c>
      <c r="G81" s="209" t="s">
        <v>182</v>
      </c>
      <c r="H81" s="23" t="s">
        <v>48</v>
      </c>
      <c r="M81" s="23" t="s">
        <v>815</v>
      </c>
      <c r="N81" s="24">
        <v>3.472</v>
      </c>
      <c r="O81" s="206" t="s">
        <v>190</v>
      </c>
    </row>
    <row r="82" spans="1:15" x14ac:dyDescent="0.35">
      <c r="A82" s="23" t="s">
        <v>777</v>
      </c>
      <c r="B82" s="24">
        <f>SUMIF('Raw April'!G:G,'TB 0425'!A82,'Raw April'!C:C)</f>
        <v>0</v>
      </c>
      <c r="C82" s="24">
        <f>SUMIF('Raw April'!G:G,'TB 0425'!A82,'Raw April'!D:D)</f>
        <v>820</v>
      </c>
      <c r="D82" s="24">
        <f>SUMIF('Raw April'!G:G,'TB 0425'!A82,'Raw April'!E:E)</f>
        <v>0</v>
      </c>
      <c r="E82" s="24">
        <f t="shared" si="5"/>
        <v>820</v>
      </c>
      <c r="F82" s="24">
        <f t="shared" si="6"/>
        <v>0.82</v>
      </c>
      <c r="G82" s="209" t="s">
        <v>182</v>
      </c>
      <c r="H82" s="23" t="s">
        <v>417</v>
      </c>
      <c r="M82" s="23" t="s">
        <v>907</v>
      </c>
      <c r="N82" s="24">
        <v>25.2</v>
      </c>
      <c r="O82" s="206" t="s">
        <v>352</v>
      </c>
    </row>
    <row r="83" spans="1:15" x14ac:dyDescent="0.35">
      <c r="A83" s="23" t="s">
        <v>109</v>
      </c>
      <c r="B83" s="24">
        <f>SUMIF('Raw April'!G:G,'TB 0425'!A83,'Raw April'!C:C)</f>
        <v>0</v>
      </c>
      <c r="C83" s="24">
        <f>SUMIF('Raw April'!G:G,'TB 0425'!A83,'Raw April'!D:D)</f>
        <v>290717</v>
      </c>
      <c r="D83" s="24">
        <f>SUMIF('Raw April'!G:G,'TB 0425'!A83,'Raw April'!E:E)</f>
        <v>0</v>
      </c>
      <c r="E83" s="24">
        <f t="shared" si="5"/>
        <v>290717</v>
      </c>
      <c r="F83" s="24">
        <f t="shared" si="6"/>
        <v>290.71699999999998</v>
      </c>
      <c r="G83" s="209" t="s">
        <v>182</v>
      </c>
      <c r="H83" s="23" t="s">
        <v>417</v>
      </c>
      <c r="M83" s="23" t="s">
        <v>908</v>
      </c>
      <c r="N83" s="24">
        <v>25.2</v>
      </c>
      <c r="O83" s="206" t="s">
        <v>268</v>
      </c>
    </row>
    <row r="84" spans="1:15" x14ac:dyDescent="0.35">
      <c r="A84" s="23" t="s">
        <v>597</v>
      </c>
      <c r="B84" s="24">
        <f>SUMIF('Raw April'!G:G,'TB 0425'!A84,'Raw April'!C:C)</f>
        <v>0</v>
      </c>
      <c r="C84" s="24">
        <f>SUMIF('Raw April'!G:G,'TB 0425'!A84,'Raw April'!D:D)</f>
        <v>14658</v>
      </c>
      <c r="D84" s="24">
        <f>SUMIF('Raw April'!G:G,'TB 0425'!A84,'Raw April'!E:E)</f>
        <v>0</v>
      </c>
      <c r="E84" s="24">
        <f t="shared" si="5"/>
        <v>14658</v>
      </c>
      <c r="F84" s="24">
        <f t="shared" si="6"/>
        <v>14.657999999999999</v>
      </c>
      <c r="G84" s="209" t="s">
        <v>182</v>
      </c>
      <c r="H84" s="23" t="s">
        <v>417</v>
      </c>
      <c r="M84" s="23" t="s">
        <v>909</v>
      </c>
      <c r="N84" s="24">
        <v>131.53299999999999</v>
      </c>
      <c r="O84" s="206" t="s">
        <v>192</v>
      </c>
    </row>
    <row r="85" spans="1:15" x14ac:dyDescent="0.35">
      <c r="A85" s="23" t="s">
        <v>598</v>
      </c>
      <c r="B85" s="24">
        <f>SUMIF('Raw April'!G:G,'TB 0425'!A85,'Raw April'!C:C)</f>
        <v>0</v>
      </c>
      <c r="C85" s="24">
        <f>SUMIF('Raw April'!G:G,'TB 0425'!A85,'Raw April'!D:D)</f>
        <v>815509.42</v>
      </c>
      <c r="D85" s="24">
        <f>SUMIF('Raw April'!G:G,'TB 0425'!A85,'Raw April'!E:E)</f>
        <v>103089.73</v>
      </c>
      <c r="E85" s="24">
        <f t="shared" si="5"/>
        <v>712419.69000000006</v>
      </c>
      <c r="F85" s="24">
        <f t="shared" si="6"/>
        <v>712.41969000000006</v>
      </c>
      <c r="G85" s="209" t="s">
        <v>182</v>
      </c>
      <c r="H85" s="23" t="s">
        <v>417</v>
      </c>
      <c r="M85" s="23" t="s">
        <v>835</v>
      </c>
      <c r="N85" s="24">
        <v>28.2</v>
      </c>
      <c r="O85" s="206" t="s">
        <v>268</v>
      </c>
    </row>
    <row r="86" spans="1:15" x14ac:dyDescent="0.35">
      <c r="A86" s="23" t="s">
        <v>599</v>
      </c>
      <c r="B86" s="24">
        <f>SUMIF('Raw April'!G:G,'TB 0425'!A86,'Raw April'!C:C)</f>
        <v>0</v>
      </c>
      <c r="C86" s="24">
        <f>SUMIF('Raw April'!G:G,'TB 0425'!A86,'Raw April'!D:D)</f>
        <v>141486</v>
      </c>
      <c r="D86" s="24">
        <f>SUMIF('Raw April'!G:G,'TB 0425'!A86,'Raw April'!E:E)</f>
        <v>0</v>
      </c>
      <c r="E86" s="24">
        <f t="shared" si="5"/>
        <v>141486</v>
      </c>
      <c r="F86" s="24">
        <f t="shared" si="6"/>
        <v>141.48599999999999</v>
      </c>
      <c r="G86" s="209" t="s">
        <v>182</v>
      </c>
      <c r="H86" s="23" t="s">
        <v>417</v>
      </c>
      <c r="M86" s="23" t="s">
        <v>910</v>
      </c>
      <c r="N86" s="24">
        <v>59.51</v>
      </c>
      <c r="O86" s="206" t="s">
        <v>192</v>
      </c>
    </row>
    <row r="87" spans="1:15" x14ac:dyDescent="0.35">
      <c r="A87" s="23" t="s">
        <v>778</v>
      </c>
      <c r="B87" s="24">
        <f>SUMIF('Raw April'!G:G,'TB 0425'!A87,'Raw April'!C:C)</f>
        <v>0</v>
      </c>
      <c r="C87" s="24">
        <f>SUMIF('Raw April'!G:G,'TB 0425'!A87,'Raw April'!D:D)</f>
        <v>78423.92</v>
      </c>
      <c r="D87" s="24">
        <f>SUMIF('Raw April'!G:G,'TB 0425'!A87,'Raw April'!E:E)</f>
        <v>0</v>
      </c>
      <c r="E87" s="24">
        <f t="shared" si="5"/>
        <v>78423.92</v>
      </c>
      <c r="F87" s="24">
        <f t="shared" si="6"/>
        <v>78.423919999999995</v>
      </c>
      <c r="G87" s="209" t="s">
        <v>182</v>
      </c>
      <c r="H87" s="23" t="s">
        <v>26</v>
      </c>
      <c r="M87" s="23" t="s">
        <v>911</v>
      </c>
      <c r="N87" s="24">
        <v>17.100000000000001</v>
      </c>
      <c r="O87" s="206" t="s">
        <v>188</v>
      </c>
    </row>
    <row r="88" spans="1:15" x14ac:dyDescent="0.35">
      <c r="A88" s="23" t="s">
        <v>600</v>
      </c>
      <c r="B88" s="24">
        <f>SUMIF('Raw April'!G:G,'TB 0425'!A88,'Raw April'!C:C)</f>
        <v>0</v>
      </c>
      <c r="C88" s="24">
        <f>SUMIF('Raw April'!G:G,'TB 0425'!A88,'Raw April'!D:D)</f>
        <v>601000</v>
      </c>
      <c r="D88" s="24">
        <f>SUMIF('Raw April'!G:G,'TB 0425'!A88,'Raw April'!E:E)</f>
        <v>0</v>
      </c>
      <c r="E88" s="24">
        <f t="shared" si="5"/>
        <v>601000</v>
      </c>
      <c r="F88" s="24">
        <f t="shared" si="6"/>
        <v>601</v>
      </c>
      <c r="G88" s="209" t="s">
        <v>182</v>
      </c>
      <c r="H88" s="23" t="s">
        <v>46</v>
      </c>
      <c r="M88" s="23" t="s">
        <v>819</v>
      </c>
      <c r="N88" s="24">
        <v>24</v>
      </c>
      <c r="O88" s="206" t="s">
        <v>268</v>
      </c>
    </row>
    <row r="89" spans="1:15" x14ac:dyDescent="0.35">
      <c r="A89" s="23" t="s">
        <v>864</v>
      </c>
      <c r="B89" s="24">
        <f>SUMIF('Raw April'!G:G,'TB 0425'!A89,'Raw April'!C:C)</f>
        <v>0</v>
      </c>
      <c r="C89" s="24">
        <f>SUMIF('Raw April'!G:G,'TB 0425'!A89,'Raw April'!D:D)</f>
        <v>20000</v>
      </c>
      <c r="D89" s="24">
        <f>SUMIF('Raw April'!G:G,'TB 0425'!A89,'Raw April'!E:E)</f>
        <v>0</v>
      </c>
      <c r="E89" s="24">
        <f t="shared" si="5"/>
        <v>20000</v>
      </c>
      <c r="F89" s="24">
        <f t="shared" si="6"/>
        <v>20</v>
      </c>
      <c r="G89" s="209" t="s">
        <v>182</v>
      </c>
      <c r="H89" s="23" t="s">
        <v>958</v>
      </c>
      <c r="M89" s="23" t="s">
        <v>741</v>
      </c>
      <c r="N89" s="24">
        <v>27.367000000000001</v>
      </c>
      <c r="O89" s="206" t="s">
        <v>268</v>
      </c>
    </row>
    <row r="90" spans="1:15" x14ac:dyDescent="0.35">
      <c r="A90" s="23" t="s">
        <v>779</v>
      </c>
      <c r="B90" s="24">
        <f>SUMIF('Raw April'!G:G,'TB 0425'!A90,'Raw April'!C:C)</f>
        <v>0</v>
      </c>
      <c r="C90" s="24">
        <f>SUMIF('Raw April'!G:G,'TB 0425'!A90,'Raw April'!D:D)</f>
        <v>16667</v>
      </c>
      <c r="D90" s="24">
        <f>SUMIF('Raw April'!G:G,'TB 0425'!A90,'Raw April'!E:E)</f>
        <v>0</v>
      </c>
      <c r="E90" s="24">
        <f t="shared" si="5"/>
        <v>16667</v>
      </c>
      <c r="F90" s="24">
        <f t="shared" si="6"/>
        <v>16.667000000000002</v>
      </c>
      <c r="G90" s="209" t="s">
        <v>182</v>
      </c>
      <c r="H90" s="23" t="s">
        <v>42</v>
      </c>
      <c r="M90" s="23" t="s">
        <v>829</v>
      </c>
      <c r="N90" s="24">
        <v>27</v>
      </c>
      <c r="O90" s="206" t="s">
        <v>188</v>
      </c>
    </row>
    <row r="91" spans="1:15" x14ac:dyDescent="0.35">
      <c r="A91" s="23" t="s">
        <v>119</v>
      </c>
      <c r="B91" s="24">
        <f>SUMIF('Raw April'!G:G,'TB 0425'!A91,'Raw April'!C:C)</f>
        <v>0</v>
      </c>
      <c r="C91" s="24">
        <f>SUMIF('Raw April'!G:G,'TB 0425'!A91,'Raw April'!D:D)</f>
        <v>501</v>
      </c>
      <c r="D91" s="24">
        <f>SUMIF('Raw April'!G:G,'TB 0425'!A91,'Raw April'!E:E)</f>
        <v>0</v>
      </c>
      <c r="E91" s="24">
        <f t="shared" si="5"/>
        <v>501</v>
      </c>
      <c r="F91" s="24">
        <f t="shared" si="6"/>
        <v>0.501</v>
      </c>
      <c r="G91" s="209" t="s">
        <v>182</v>
      </c>
      <c r="H91" s="23" t="s">
        <v>43</v>
      </c>
      <c r="M91" s="23" t="s">
        <v>912</v>
      </c>
      <c r="N91" s="24">
        <v>29</v>
      </c>
      <c r="O91" s="206" t="s">
        <v>268</v>
      </c>
    </row>
    <row r="92" spans="1:15" x14ac:dyDescent="0.35">
      <c r="A92" s="23" t="s">
        <v>865</v>
      </c>
      <c r="B92" s="24">
        <f>SUMIF('Raw April'!G:G,'TB 0425'!A92,'Raw April'!C:C)</f>
        <v>0</v>
      </c>
      <c r="C92" s="24">
        <f>SUMIF('Raw April'!G:G,'TB 0425'!A92,'Raw April'!D:D)</f>
        <v>6400</v>
      </c>
      <c r="D92" s="24">
        <f>SUMIF('Raw April'!G:G,'TB 0425'!A92,'Raw April'!E:E)</f>
        <v>0</v>
      </c>
      <c r="E92" s="24">
        <f t="shared" si="5"/>
        <v>6400</v>
      </c>
      <c r="F92" s="24">
        <f t="shared" si="6"/>
        <v>6.4</v>
      </c>
      <c r="G92" s="209" t="s">
        <v>182</v>
      </c>
      <c r="H92" s="23" t="s">
        <v>31</v>
      </c>
      <c r="M92" s="23" t="s">
        <v>817</v>
      </c>
      <c r="N92" s="24">
        <v>32.366999999999997</v>
      </c>
      <c r="O92" s="206" t="s">
        <v>268</v>
      </c>
    </row>
    <row r="93" spans="1:15" x14ac:dyDescent="0.35">
      <c r="A93" s="23" t="s">
        <v>602</v>
      </c>
      <c r="B93" s="24">
        <f>SUMIF('Raw April'!G:G,'TB 0425'!A93,'Raw April'!C:C)</f>
        <v>0</v>
      </c>
      <c r="C93" s="24">
        <f>SUMIF('Raw April'!G:G,'TB 0425'!A93,'Raw April'!D:D)</f>
        <v>36176.379999999997</v>
      </c>
      <c r="D93" s="24">
        <f>SUMIF('Raw April'!G:G,'TB 0425'!A93,'Raw April'!E:E)</f>
        <v>239.9</v>
      </c>
      <c r="E93" s="24">
        <f t="shared" si="5"/>
        <v>35936.479999999996</v>
      </c>
      <c r="F93" s="24">
        <f t="shared" si="6"/>
        <v>35.936479999999996</v>
      </c>
      <c r="G93" s="209" t="s">
        <v>182</v>
      </c>
      <c r="H93" s="23" t="s">
        <v>42</v>
      </c>
      <c r="M93" s="23" t="s">
        <v>913</v>
      </c>
      <c r="N93" s="24">
        <v>42</v>
      </c>
      <c r="O93" s="206" t="s">
        <v>188</v>
      </c>
    </row>
    <row r="94" spans="1:15" x14ac:dyDescent="0.35">
      <c r="A94" s="23" t="s">
        <v>603</v>
      </c>
      <c r="B94" s="24">
        <f>SUMIF('Raw April'!G:G,'TB 0425'!A94,'Raw April'!C:C)</f>
        <v>0</v>
      </c>
      <c r="C94" s="24">
        <f>SUMIF('Raw April'!G:G,'TB 0425'!A94,'Raw April'!D:D)</f>
        <v>414294.4</v>
      </c>
      <c r="D94" s="24">
        <f>SUMIF('Raw April'!G:G,'TB 0425'!A94,'Raw April'!E:E)</f>
        <v>0</v>
      </c>
      <c r="E94" s="24">
        <f t="shared" si="5"/>
        <v>414294.4</v>
      </c>
      <c r="F94" s="24">
        <f t="shared" si="6"/>
        <v>414.2944</v>
      </c>
      <c r="G94" s="209" t="s">
        <v>182</v>
      </c>
      <c r="H94" s="23" t="s">
        <v>42</v>
      </c>
      <c r="M94" s="23" t="s">
        <v>833</v>
      </c>
      <c r="N94" s="24">
        <v>28</v>
      </c>
      <c r="O94" s="206" t="s">
        <v>268</v>
      </c>
    </row>
    <row r="95" spans="1:15" x14ac:dyDescent="0.35">
      <c r="A95" s="23" t="s">
        <v>604</v>
      </c>
      <c r="B95" s="24">
        <f>SUMIF('Raw April'!G:G,'TB 0425'!A95,'Raw April'!C:C)</f>
        <v>0</v>
      </c>
      <c r="C95" s="24">
        <f>SUMIF('Raw April'!G:G,'TB 0425'!A95,'Raw April'!D:D)</f>
        <v>77990</v>
      </c>
      <c r="D95" s="24">
        <f>SUMIF('Raw April'!G:G,'TB 0425'!A95,'Raw April'!E:E)</f>
        <v>31600</v>
      </c>
      <c r="E95" s="24">
        <f t="shared" si="5"/>
        <v>46390</v>
      </c>
      <c r="F95" s="24">
        <f t="shared" si="6"/>
        <v>46.39</v>
      </c>
      <c r="G95" s="209" t="s">
        <v>182</v>
      </c>
      <c r="H95" s="23" t="s">
        <v>43</v>
      </c>
      <c r="M95" s="23" t="s">
        <v>800</v>
      </c>
      <c r="N95" s="24">
        <v>27.367000000000001</v>
      </c>
      <c r="O95" s="206" t="s">
        <v>188</v>
      </c>
    </row>
    <row r="96" spans="1:15" x14ac:dyDescent="0.35">
      <c r="A96" s="23" t="s">
        <v>605</v>
      </c>
      <c r="B96" s="24">
        <f>SUMIF('Raw April'!G:G,'TB 0425'!A96,'Raw April'!C:C)</f>
        <v>0</v>
      </c>
      <c r="C96" s="24">
        <f>SUMIF('Raw April'!G:G,'TB 0425'!A96,'Raw April'!D:D)</f>
        <v>2.77</v>
      </c>
      <c r="D96" s="24">
        <f>SUMIF('Raw April'!G:G,'TB 0425'!A96,'Raw April'!E:E)</f>
        <v>2</v>
      </c>
      <c r="E96" s="24">
        <f t="shared" si="5"/>
        <v>0.77</v>
      </c>
      <c r="F96" s="24">
        <f t="shared" si="6"/>
        <v>7.7000000000000007E-4</v>
      </c>
      <c r="G96" s="209" t="s">
        <v>182</v>
      </c>
      <c r="H96" s="23" t="s">
        <v>43</v>
      </c>
      <c r="M96" s="23" t="s">
        <v>914</v>
      </c>
      <c r="N96" s="24">
        <v>18.899999999999999</v>
      </c>
      <c r="O96" s="206" t="s">
        <v>190</v>
      </c>
    </row>
    <row r="97" spans="1:15" x14ac:dyDescent="0.35">
      <c r="A97" s="23" t="s">
        <v>41</v>
      </c>
      <c r="B97" s="24">
        <f>SUMIF('Raw April'!G:G,'TB 0425'!A97,'Raw April'!C:C)</f>
        <v>0</v>
      </c>
      <c r="C97" s="24">
        <f>SUMIF('Raw April'!G:G,'TB 0425'!A97,'Raw April'!D:D)</f>
        <v>58230</v>
      </c>
      <c r="D97" s="24">
        <f>SUMIF('Raw April'!G:G,'TB 0425'!A97,'Raw April'!E:E)</f>
        <v>0</v>
      </c>
      <c r="E97" s="24">
        <f t="shared" si="5"/>
        <v>58230</v>
      </c>
      <c r="F97" s="24">
        <f t="shared" si="6"/>
        <v>58.23</v>
      </c>
      <c r="G97" s="209" t="s">
        <v>182</v>
      </c>
      <c r="H97" s="23" t="s">
        <v>41</v>
      </c>
      <c r="M97" s="23" t="s">
        <v>798</v>
      </c>
      <c r="N97" s="24">
        <v>27.367000000000001</v>
      </c>
      <c r="O97" s="206" t="s">
        <v>188</v>
      </c>
    </row>
    <row r="98" spans="1:15" x14ac:dyDescent="0.35">
      <c r="A98" s="23" t="s">
        <v>606</v>
      </c>
      <c r="B98" s="24">
        <f>SUMIF('Raw April'!G:G,'TB 0425'!A98,'Raw April'!C:C)</f>
        <v>0</v>
      </c>
      <c r="C98" s="24">
        <f>SUMIF('Raw April'!G:G,'TB 0425'!A98,'Raw April'!D:D)</f>
        <v>13500</v>
      </c>
      <c r="D98" s="24">
        <f>SUMIF('Raw April'!G:G,'TB 0425'!A98,'Raw April'!E:E)</f>
        <v>0</v>
      </c>
      <c r="E98" s="24">
        <f t="shared" si="5"/>
        <v>13500</v>
      </c>
      <c r="F98" s="24">
        <f t="shared" si="6"/>
        <v>13.5</v>
      </c>
      <c r="G98" s="209" t="s">
        <v>182</v>
      </c>
      <c r="H98" s="23" t="s">
        <v>43</v>
      </c>
      <c r="M98" s="23" t="s">
        <v>816</v>
      </c>
      <c r="N98" s="24">
        <v>27</v>
      </c>
      <c r="O98" s="206" t="s">
        <v>188</v>
      </c>
    </row>
    <row r="99" spans="1:15" x14ac:dyDescent="0.35">
      <c r="A99" s="23" t="s">
        <v>239</v>
      </c>
      <c r="B99" s="24">
        <f>SUMIF('Raw April'!G:G,'TB 0425'!A99,'Raw April'!C:C)</f>
        <v>0</v>
      </c>
      <c r="C99" s="24">
        <f>SUMIF('Raw April'!G:G,'TB 0425'!A99,'Raw April'!D:D)</f>
        <v>110000</v>
      </c>
      <c r="D99" s="24">
        <f>SUMIF('Raw April'!G:G,'TB 0425'!A99,'Raw April'!E:E)</f>
        <v>0</v>
      </c>
      <c r="E99" s="24">
        <f t="shared" ref="E99:E106" si="7">B99+C99-D99</f>
        <v>110000</v>
      </c>
      <c r="F99" s="24">
        <f t="shared" ref="F99:F106" si="8">E99/1000</f>
        <v>110</v>
      </c>
      <c r="G99" s="209" t="s">
        <v>182</v>
      </c>
      <c r="H99" s="23" t="s">
        <v>263</v>
      </c>
      <c r="M99" s="23" t="s">
        <v>788</v>
      </c>
      <c r="N99" s="24">
        <v>23.2</v>
      </c>
      <c r="O99" s="206" t="s">
        <v>268</v>
      </c>
    </row>
    <row r="100" spans="1:15" x14ac:dyDescent="0.35">
      <c r="A100" s="23" t="s">
        <v>866</v>
      </c>
      <c r="B100" s="24">
        <f>SUMIF('Raw April'!G:G,'TB 0425'!A100,'Raw April'!C:C)</f>
        <v>0</v>
      </c>
      <c r="C100" s="24">
        <f>SUMIF('Raw April'!G:G,'TB 0425'!A100,'Raw April'!D:D)</f>
        <v>2200</v>
      </c>
      <c r="D100" s="24">
        <f>SUMIF('Raw April'!G:G,'TB 0425'!A100,'Raw April'!E:E)</f>
        <v>0</v>
      </c>
      <c r="E100" s="24">
        <f t="shared" si="7"/>
        <v>2200</v>
      </c>
      <c r="F100" s="24">
        <f t="shared" si="8"/>
        <v>2.2000000000000002</v>
      </c>
      <c r="G100" s="209" t="s">
        <v>182</v>
      </c>
      <c r="H100" s="23" t="s">
        <v>31</v>
      </c>
      <c r="M100" s="23" t="s">
        <v>915</v>
      </c>
      <c r="N100" s="24">
        <v>164.86699999999999</v>
      </c>
      <c r="O100" s="206" t="s">
        <v>192</v>
      </c>
    </row>
    <row r="101" spans="1:15" x14ac:dyDescent="0.35">
      <c r="A101" s="23" t="s">
        <v>607</v>
      </c>
      <c r="B101" s="24">
        <f>SUMIF('Raw April'!G:G,'TB 0425'!A101,'Raw April'!C:C)</f>
        <v>0</v>
      </c>
      <c r="C101" s="24">
        <f>SUMIF('Raw April'!G:G,'TB 0425'!A101,'Raw April'!D:D)</f>
        <v>14240410.34</v>
      </c>
      <c r="D101" s="24">
        <f>SUMIF('Raw April'!G:G,'TB 0425'!A101,'Raw April'!E:E)</f>
        <v>0</v>
      </c>
      <c r="E101" s="24">
        <f t="shared" si="7"/>
        <v>14240410.34</v>
      </c>
      <c r="F101" s="24">
        <f t="shared" si="8"/>
        <v>14240.41034</v>
      </c>
      <c r="G101" s="209" t="s">
        <v>182</v>
      </c>
      <c r="M101" s="23" t="s">
        <v>916</v>
      </c>
      <c r="N101" s="24">
        <v>30.933</v>
      </c>
      <c r="O101" s="206" t="s">
        <v>268</v>
      </c>
    </row>
    <row r="102" spans="1:15" x14ac:dyDescent="0.35">
      <c r="A102" s="23" t="s">
        <v>608</v>
      </c>
      <c r="B102" s="24">
        <f>SUMIF('Raw April'!G:G,'TB 0425'!A102,'Raw April'!C:C)</f>
        <v>0</v>
      </c>
      <c r="C102" s="24">
        <f>SUMIF('Raw April'!G:G,'TB 0425'!A102,'Raw April'!D:D)</f>
        <v>1044171.68</v>
      </c>
      <c r="D102" s="24">
        <f>SUMIF('Raw April'!G:G,'TB 0425'!A102,'Raw April'!E:E)</f>
        <v>2</v>
      </c>
      <c r="E102" s="24">
        <f t="shared" si="7"/>
        <v>1044169.68</v>
      </c>
      <c r="F102" s="24">
        <f t="shared" si="8"/>
        <v>1044.16968</v>
      </c>
      <c r="G102" s="209" t="s">
        <v>182</v>
      </c>
      <c r="H102" s="23" t="s">
        <v>39</v>
      </c>
      <c r="M102" s="23" t="s">
        <v>733</v>
      </c>
      <c r="N102" s="24">
        <v>52.366999999999997</v>
      </c>
      <c r="O102" s="206" t="s">
        <v>188</v>
      </c>
    </row>
    <row r="103" spans="1:15" x14ac:dyDescent="0.35">
      <c r="A103" s="23" t="s">
        <v>609</v>
      </c>
      <c r="B103" s="24">
        <f>SUMIF('Raw April'!G:G,'TB 0425'!A103,'Raw April'!C:C)</f>
        <v>0</v>
      </c>
      <c r="C103" s="24">
        <f>SUMIF('Raw April'!G:G,'TB 0425'!A103,'Raw April'!D:D)</f>
        <v>602632.75</v>
      </c>
      <c r="D103" s="24">
        <f>SUMIF('Raw April'!G:G,'TB 0425'!A103,'Raw April'!E:E)</f>
        <v>1485</v>
      </c>
      <c r="E103" s="24">
        <f t="shared" si="7"/>
        <v>601147.75</v>
      </c>
      <c r="F103" s="24">
        <f t="shared" si="8"/>
        <v>601.14774999999997</v>
      </c>
      <c r="G103" s="209" t="s">
        <v>182</v>
      </c>
      <c r="H103" s="23" t="s">
        <v>33</v>
      </c>
      <c r="M103" s="23" t="s">
        <v>917</v>
      </c>
      <c r="N103" s="24">
        <v>11.7</v>
      </c>
      <c r="O103" s="206" t="s">
        <v>268</v>
      </c>
    </row>
    <row r="104" spans="1:15" x14ac:dyDescent="0.35">
      <c r="A104" s="23" t="s">
        <v>610</v>
      </c>
      <c r="B104" s="24">
        <f>SUMIF('Raw April'!G:G,'TB 0425'!A104,'Raw April'!C:C)</f>
        <v>0</v>
      </c>
      <c r="C104" s="24">
        <f>SUMIF('Raw April'!G:G,'TB 0425'!A104,'Raw April'!D:D)</f>
        <v>170860.64</v>
      </c>
      <c r="D104" s="24">
        <f>SUMIF('Raw April'!G:G,'TB 0425'!A104,'Raw April'!E:E)</f>
        <v>22168</v>
      </c>
      <c r="E104" s="24">
        <f t="shared" si="7"/>
        <v>148692.64000000001</v>
      </c>
      <c r="F104" s="24">
        <f t="shared" si="8"/>
        <v>148.69264000000001</v>
      </c>
      <c r="G104" s="209" t="s">
        <v>182</v>
      </c>
      <c r="H104" s="23" t="s">
        <v>31</v>
      </c>
      <c r="M104" s="23" t="s">
        <v>918</v>
      </c>
      <c r="N104" s="24">
        <v>13.067</v>
      </c>
      <c r="O104" s="206" t="s">
        <v>268</v>
      </c>
    </row>
    <row r="105" spans="1:15" x14ac:dyDescent="0.35">
      <c r="A105" s="23" t="s">
        <v>611</v>
      </c>
      <c r="B105" s="24">
        <f>SUMIF('Raw April'!G:G,'TB 0425'!A105,'Raw April'!C:C)</f>
        <v>0</v>
      </c>
      <c r="C105" s="24">
        <f>SUMIF('Raw April'!G:G,'TB 0425'!A105,'Raw April'!D:D)</f>
        <v>365666.67</v>
      </c>
      <c r="D105" s="24">
        <f>SUMIF('Raw April'!G:G,'TB 0425'!A105,'Raw April'!E:E)</f>
        <v>0</v>
      </c>
      <c r="E105" s="24">
        <f t="shared" si="7"/>
        <v>365666.67</v>
      </c>
      <c r="F105" s="24">
        <f t="shared" si="8"/>
        <v>365.66667000000001</v>
      </c>
      <c r="G105" s="209" t="s">
        <v>182</v>
      </c>
      <c r="H105" s="23" t="s">
        <v>31</v>
      </c>
      <c r="M105" s="23" t="s">
        <v>657</v>
      </c>
      <c r="N105" s="24">
        <v>31.1</v>
      </c>
      <c r="O105" s="206" t="s">
        <v>190</v>
      </c>
    </row>
    <row r="106" spans="1:15" x14ac:dyDescent="0.35">
      <c r="A106" s="23" t="s">
        <v>867</v>
      </c>
      <c r="B106" s="24">
        <f>SUMIF('Raw April'!G:G,'TB 0425'!A106,'Raw April'!C:C)</f>
        <v>0</v>
      </c>
      <c r="C106" s="24">
        <f>SUMIF('Raw April'!G:G,'TB 0425'!A106,'Raw April'!D:D)</f>
        <v>113971.02</v>
      </c>
      <c r="D106" s="24">
        <f>SUMIF('Raw April'!G:G,'TB 0425'!A106,'Raw April'!E:E)</f>
        <v>0</v>
      </c>
      <c r="E106" s="24">
        <f t="shared" si="7"/>
        <v>113971.02</v>
      </c>
      <c r="F106" s="24">
        <f t="shared" si="8"/>
        <v>113.97102000000001</v>
      </c>
      <c r="G106" s="209" t="s">
        <v>182</v>
      </c>
      <c r="H106" s="23" t="s">
        <v>417</v>
      </c>
      <c r="M106" s="23" t="s">
        <v>919</v>
      </c>
      <c r="N106" s="24">
        <v>9.1</v>
      </c>
      <c r="O106" s="206" t="s">
        <v>268</v>
      </c>
    </row>
    <row r="107" spans="1:15" x14ac:dyDescent="0.35">
      <c r="A107" s="23" t="s">
        <v>287</v>
      </c>
      <c r="B107" s="24">
        <f>SUMIF('Raw April'!G:G,'TB 0425'!A107,'Raw April'!C:C)</f>
        <v>0</v>
      </c>
      <c r="C107" s="24">
        <f>SUMIF('Raw April'!G:G,'TB 0425'!A107,'Raw April'!D:D)</f>
        <v>70000</v>
      </c>
      <c r="D107" s="24">
        <f>SUMIF('Raw April'!G:G,'TB 0425'!A107,'Raw April'!E:E)</f>
        <v>0</v>
      </c>
      <c r="E107" s="24">
        <f t="shared" ref="E107:E120" si="9">B107+C107-D107</f>
        <v>70000</v>
      </c>
      <c r="F107" s="24">
        <f t="shared" ref="F107:F120" si="10">E107/1000</f>
        <v>70</v>
      </c>
      <c r="G107" s="209" t="s">
        <v>182</v>
      </c>
      <c r="H107" s="23" t="s">
        <v>41</v>
      </c>
      <c r="M107" s="23" t="s">
        <v>920</v>
      </c>
      <c r="N107" s="24">
        <v>72.076999999999998</v>
      </c>
      <c r="O107" s="206" t="s">
        <v>677</v>
      </c>
    </row>
    <row r="108" spans="1:15" x14ac:dyDescent="0.35">
      <c r="A108" s="23" t="s">
        <v>619</v>
      </c>
      <c r="B108" s="24">
        <f>SUMIF('Raw April'!G:G,'TB 0425'!A108,'Raw April'!C:C)</f>
        <v>0</v>
      </c>
      <c r="C108" s="24">
        <f>SUMIF('Raw April'!G:G,'TB 0425'!A108,'Raw April'!D:D)</f>
        <v>184608</v>
      </c>
      <c r="D108" s="24">
        <f>SUMIF('Raw April'!G:G,'TB 0425'!A108,'Raw April'!E:E)</f>
        <v>86536</v>
      </c>
      <c r="E108" s="24">
        <f t="shared" si="9"/>
        <v>98072</v>
      </c>
      <c r="F108" s="24">
        <f t="shared" si="10"/>
        <v>98.072000000000003</v>
      </c>
      <c r="G108" s="209" t="s">
        <v>182</v>
      </c>
      <c r="H108" s="23" t="s">
        <v>61</v>
      </c>
      <c r="M108" s="23" t="s">
        <v>921</v>
      </c>
      <c r="N108" s="24">
        <v>24.44</v>
      </c>
      <c r="O108" s="206" t="s">
        <v>268</v>
      </c>
    </row>
    <row r="109" spans="1:15" x14ac:dyDescent="0.35">
      <c r="A109" s="23" t="s">
        <v>29</v>
      </c>
      <c r="B109" s="24">
        <f>SUMIF('Raw April'!G:G,'TB 0425'!A109,'Raw April'!C:C)</f>
        <v>0</v>
      </c>
      <c r="C109" s="24">
        <f>SUMIF('Raw April'!G:G,'TB 0425'!A109,'Raw April'!D:D)</f>
        <v>32438.1</v>
      </c>
      <c r="D109" s="24">
        <f>SUMIF('Raw April'!G:G,'TB 0425'!A109,'Raw April'!E:E)</f>
        <v>0</v>
      </c>
      <c r="E109" s="24">
        <f t="shared" si="9"/>
        <v>32438.1</v>
      </c>
      <c r="F109" s="24">
        <f t="shared" si="10"/>
        <v>32.438099999999999</v>
      </c>
      <c r="G109" s="209" t="s">
        <v>182</v>
      </c>
      <c r="H109" s="23" t="s">
        <v>29</v>
      </c>
      <c r="M109" s="23" t="s">
        <v>785</v>
      </c>
      <c r="N109" s="24">
        <v>26.454999999999998</v>
      </c>
      <c r="O109" s="206" t="s">
        <v>190</v>
      </c>
    </row>
    <row r="110" spans="1:15" x14ac:dyDescent="0.35">
      <c r="A110" s="23" t="s">
        <v>26</v>
      </c>
      <c r="B110" s="24">
        <f>SUMIF('Raw April'!G:G,'TB 0425'!A110,'Raw April'!C:C)</f>
        <v>0</v>
      </c>
      <c r="C110" s="24">
        <f>SUMIF('Raw April'!G:G,'TB 0425'!A110,'Raw April'!D:D)</f>
        <v>4633334.68</v>
      </c>
      <c r="D110" s="24">
        <f>SUMIF('Raw April'!G:G,'TB 0425'!A110,'Raw April'!E:E)</f>
        <v>45370.53</v>
      </c>
      <c r="E110" s="24">
        <f t="shared" si="9"/>
        <v>4587964.1499999994</v>
      </c>
      <c r="F110" s="24">
        <f t="shared" si="10"/>
        <v>4587.9641499999998</v>
      </c>
      <c r="G110" s="209" t="s">
        <v>182</v>
      </c>
      <c r="H110" s="23" t="s">
        <v>26</v>
      </c>
      <c r="M110" s="23" t="s">
        <v>922</v>
      </c>
      <c r="N110" s="24">
        <v>24</v>
      </c>
      <c r="O110" s="206" t="s">
        <v>677</v>
      </c>
    </row>
    <row r="111" spans="1:15" x14ac:dyDescent="0.35">
      <c r="A111" s="23" t="s">
        <v>957</v>
      </c>
      <c r="B111" s="24">
        <f>SUMIF('Raw April'!G:G,'TB 0425'!A111,'Raw April'!C:C)</f>
        <v>0</v>
      </c>
      <c r="C111" s="24">
        <f>SUMIF('Raw April'!G:G,'TB 0425'!A111,'Raw April'!D:D)</f>
        <v>79319.759999999995</v>
      </c>
      <c r="D111" s="24">
        <f>SUMIF('Raw April'!G:G,'TB 0425'!A111,'Raw April'!E:E)</f>
        <v>0</v>
      </c>
      <c r="E111" s="24">
        <f t="shared" si="9"/>
        <v>79319.759999999995</v>
      </c>
      <c r="F111" s="24">
        <f t="shared" si="10"/>
        <v>79.319759999999988</v>
      </c>
      <c r="G111" s="209" t="s">
        <v>182</v>
      </c>
      <c r="H111" s="23" t="s">
        <v>958</v>
      </c>
      <c r="M111" s="23" t="s">
        <v>923</v>
      </c>
      <c r="N111" s="24">
        <v>91.653000000000006</v>
      </c>
      <c r="O111" s="206" t="s">
        <v>192</v>
      </c>
    </row>
    <row r="112" spans="1:15" x14ac:dyDescent="0.35">
      <c r="A112" s="23" t="s">
        <v>960</v>
      </c>
      <c r="B112" s="24">
        <f>SUMIF('Raw April'!G:G,'TB 0425'!A112,'Raw April'!C:C)</f>
        <v>0</v>
      </c>
      <c r="C112" s="24">
        <f>SUMIF('Raw April'!G:G,'TB 0425'!A112,'Raw April'!D:D)</f>
        <v>0</v>
      </c>
      <c r="D112" s="24">
        <f>SUMIF('Raw April'!G:G,'TB 0425'!A112,'Raw April'!E:E)</f>
        <v>36280</v>
      </c>
      <c r="E112" s="24">
        <f t="shared" si="9"/>
        <v>-36280</v>
      </c>
      <c r="F112" s="24">
        <f t="shared" si="10"/>
        <v>-36.28</v>
      </c>
      <c r="G112" s="209" t="s">
        <v>180</v>
      </c>
      <c r="H112" s="23" t="s">
        <v>69</v>
      </c>
      <c r="M112" s="23" t="s">
        <v>924</v>
      </c>
      <c r="N112" s="24">
        <v>17.100000000000001</v>
      </c>
      <c r="O112" s="206" t="s">
        <v>268</v>
      </c>
    </row>
    <row r="113" spans="1:15" x14ac:dyDescent="0.35">
      <c r="A113" s="23" t="s">
        <v>1331</v>
      </c>
      <c r="B113" s="24">
        <f>SUMIF('Raw April'!G:G,'TB 0425'!A113,'Raw April'!C:C)</f>
        <v>0</v>
      </c>
      <c r="C113" s="24">
        <f>SUMIF('Raw April'!G:G,'TB 0425'!A113,'Raw April'!D:D)</f>
        <v>0</v>
      </c>
      <c r="D113" s="24">
        <f>SUMIF('Raw April'!G:G,'TB 0425'!A113,'Raw April'!E:E)</f>
        <v>121194</v>
      </c>
      <c r="E113" s="24">
        <f t="shared" si="9"/>
        <v>-121194</v>
      </c>
      <c r="F113" s="24">
        <f t="shared" si="10"/>
        <v>-121.194</v>
      </c>
      <c r="G113" s="209" t="s">
        <v>180</v>
      </c>
      <c r="H113" s="23" t="s">
        <v>68</v>
      </c>
      <c r="M113" s="23" t="s">
        <v>925</v>
      </c>
      <c r="N113" s="24">
        <v>20.68</v>
      </c>
      <c r="O113" s="206" t="s">
        <v>268</v>
      </c>
    </row>
    <row r="114" spans="1:15" x14ac:dyDescent="0.35">
      <c r="A114" s="23" t="s">
        <v>1427</v>
      </c>
      <c r="B114" s="24">
        <f>SUMIF('Raw April'!G:G,'TB 0425'!A114,'Raw April'!C:C)</f>
        <v>-24411</v>
      </c>
      <c r="C114" s="24">
        <f>SUMIF('Raw April'!G:G,'TB 0425'!A114,'Raw April'!D:D)</f>
        <v>0</v>
      </c>
      <c r="D114" s="24">
        <f>SUMIF('Raw April'!G:G,'TB 0425'!A114,'Raw April'!E:E)</f>
        <v>24411</v>
      </c>
      <c r="E114" s="24">
        <f t="shared" si="9"/>
        <v>-48822</v>
      </c>
      <c r="F114" s="24">
        <f t="shared" si="10"/>
        <v>-48.822000000000003</v>
      </c>
      <c r="G114" s="22" t="s">
        <v>180</v>
      </c>
      <c r="H114" s="23" t="s">
        <v>68</v>
      </c>
      <c r="M114" s="23" t="s">
        <v>926</v>
      </c>
      <c r="N114" s="24">
        <v>36.387999999999998</v>
      </c>
      <c r="O114" s="206" t="s">
        <v>268</v>
      </c>
    </row>
    <row r="115" spans="1:15" x14ac:dyDescent="0.35">
      <c r="A115" s="23" t="s">
        <v>1428</v>
      </c>
      <c r="B115" s="24">
        <f>SUMIF('Raw April'!G:G,'TB 0425'!A115,'Raw April'!C:C)</f>
        <v>210837.03</v>
      </c>
      <c r="C115" s="24">
        <f>SUMIF('Raw April'!G:G,'TB 0425'!A115,'Raw April'!D:D)</f>
        <v>0</v>
      </c>
      <c r="D115" s="24">
        <f>SUMIF('Raw April'!G:G,'TB 0425'!A115,'Raw April'!E:E)</f>
        <v>129540.07</v>
      </c>
      <c r="E115" s="24">
        <f t="shared" si="9"/>
        <v>81296.959999999992</v>
      </c>
      <c r="F115" s="24">
        <f t="shared" si="10"/>
        <v>81.296959999999999</v>
      </c>
      <c r="G115" s="22" t="s">
        <v>181</v>
      </c>
      <c r="H115" s="23" t="s">
        <v>79</v>
      </c>
      <c r="M115" s="23" t="s">
        <v>783</v>
      </c>
      <c r="N115" s="24">
        <v>10.035</v>
      </c>
      <c r="O115" s="206" t="s">
        <v>268</v>
      </c>
    </row>
    <row r="116" spans="1:15" x14ac:dyDescent="0.35">
      <c r="A116" s="23" t="s">
        <v>1429</v>
      </c>
      <c r="B116" s="24">
        <f>SUMIF('Raw April'!G:G,'TB 0425'!A116,'Raw April'!C:C)</f>
        <v>-548984</v>
      </c>
      <c r="C116" s="24">
        <f>SUMIF('Raw April'!G:G,'TB 0425'!A116,'Raw April'!D:D)</f>
        <v>0</v>
      </c>
      <c r="D116" s="24">
        <f>SUMIF('Raw April'!G:G,'TB 0425'!A116,'Raw April'!E:E)</f>
        <v>0</v>
      </c>
      <c r="E116" s="24">
        <f t="shared" si="9"/>
        <v>-548984</v>
      </c>
      <c r="F116" s="24">
        <f t="shared" si="10"/>
        <v>-548.98400000000004</v>
      </c>
      <c r="G116" s="22" t="s">
        <v>180</v>
      </c>
      <c r="H116" s="23" t="s">
        <v>1371</v>
      </c>
      <c r="M116" s="23" t="s">
        <v>927</v>
      </c>
      <c r="N116" s="24">
        <v>82</v>
      </c>
      <c r="O116" s="206" t="s">
        <v>677</v>
      </c>
    </row>
    <row r="117" spans="1:15" x14ac:dyDescent="0.35">
      <c r="A117" s="23" t="s">
        <v>1430</v>
      </c>
      <c r="B117" s="24">
        <f>SUMIF('Raw April'!G:G,'TB 0425'!A117,'Raw April'!C:C)</f>
        <v>-1269</v>
      </c>
      <c r="C117" s="24">
        <f>SUMIF('Raw April'!G:G,'TB 0425'!A117,'Raw April'!D:D)</f>
        <v>0</v>
      </c>
      <c r="D117" s="24">
        <f>SUMIF('Raw April'!G:G,'TB 0425'!A117,'Raw April'!E:E)</f>
        <v>0</v>
      </c>
      <c r="E117" s="24">
        <f t="shared" si="9"/>
        <v>-1269</v>
      </c>
      <c r="F117" s="24">
        <f t="shared" si="10"/>
        <v>-1.2689999999999999</v>
      </c>
      <c r="G117" s="22" t="s">
        <v>180</v>
      </c>
      <c r="H117" s="23" t="s">
        <v>69</v>
      </c>
      <c r="M117" s="23" t="s">
        <v>661</v>
      </c>
      <c r="N117" s="24">
        <v>73.381</v>
      </c>
      <c r="O117" s="206" t="s">
        <v>192</v>
      </c>
    </row>
    <row r="118" spans="1:15" x14ac:dyDescent="0.35">
      <c r="A118" s="23" t="s">
        <v>1431</v>
      </c>
      <c r="B118" s="24">
        <f>SUMIF('Raw April'!G:G,'TB 0425'!A118,'Raw April'!C:C)</f>
        <v>-1245691</v>
      </c>
      <c r="C118" s="24">
        <f>SUMIF('Raw April'!G:G,'TB 0425'!A118,'Raw April'!D:D)</f>
        <v>0</v>
      </c>
      <c r="D118" s="24">
        <f>SUMIF('Raw April'!G:G,'TB 0425'!A118,'Raw April'!E:E)</f>
        <v>0</v>
      </c>
      <c r="E118" s="24">
        <f t="shared" si="9"/>
        <v>-1245691</v>
      </c>
      <c r="F118" s="24">
        <f t="shared" si="10"/>
        <v>-1245.691</v>
      </c>
      <c r="G118" s="209" t="s">
        <v>180</v>
      </c>
      <c r="H118" s="23" t="s">
        <v>64</v>
      </c>
      <c r="M118" s="23" t="s">
        <v>928</v>
      </c>
      <c r="N118" s="24">
        <v>28.225000000000001</v>
      </c>
      <c r="O118" s="206" t="s">
        <v>268</v>
      </c>
    </row>
    <row r="119" spans="1:15" x14ac:dyDescent="0.35">
      <c r="A119" s="23" t="s">
        <v>1434</v>
      </c>
      <c r="B119" s="24">
        <f>SUMIF('Raw April'!G:G,'TB 0425'!A119,'Raw April'!C:C)</f>
        <v>0</v>
      </c>
      <c r="C119" s="24">
        <f>SUMIF('Raw April'!G:G,'TB 0425'!A119,'Raw April'!D:D)</f>
        <v>170</v>
      </c>
      <c r="D119" s="24">
        <f>SUMIF('Raw April'!G:G,'TB 0425'!A119,'Raw April'!E:E)</f>
        <v>170</v>
      </c>
      <c r="E119" s="24">
        <f t="shared" si="9"/>
        <v>0</v>
      </c>
      <c r="F119" s="24">
        <f t="shared" si="10"/>
        <v>0</v>
      </c>
      <c r="G119" s="22" t="s">
        <v>181</v>
      </c>
      <c r="H119" s="23" t="s">
        <v>77</v>
      </c>
      <c r="M119" s="23" t="s">
        <v>929</v>
      </c>
      <c r="N119" s="24">
        <v>32.972999999999999</v>
      </c>
      <c r="O119" s="206" t="s">
        <v>192</v>
      </c>
    </row>
    <row r="120" spans="1:15" x14ac:dyDescent="0.35">
      <c r="A120" s="23" t="s">
        <v>426</v>
      </c>
      <c r="B120" s="24">
        <f>SUMIF('Raw April'!G:G,'TB 0425'!A120,'Raw April'!C:C)</f>
        <v>-390645</v>
      </c>
      <c r="C120" s="24">
        <f>SUMIF('Raw April'!G:G,'TB 0425'!A120,'Raw April'!D:D)</f>
        <v>0</v>
      </c>
      <c r="D120" s="24">
        <f>SUMIF('Raw April'!G:G,'TB 0425'!A120,'Raw April'!E:E)</f>
        <v>0</v>
      </c>
      <c r="E120" s="24">
        <f t="shared" si="9"/>
        <v>-390645</v>
      </c>
      <c r="F120" s="24">
        <f t="shared" si="10"/>
        <v>-390.64499999999998</v>
      </c>
      <c r="G120" s="209" t="s">
        <v>180</v>
      </c>
      <c r="H120" s="23" t="s">
        <v>68</v>
      </c>
      <c r="M120" s="23" t="s">
        <v>818</v>
      </c>
      <c r="N120" s="24">
        <v>27.367000000000001</v>
      </c>
      <c r="O120" s="206" t="s">
        <v>192</v>
      </c>
    </row>
    <row r="121" spans="1:15" x14ac:dyDescent="0.35">
      <c r="M121" s="23" t="s">
        <v>930</v>
      </c>
      <c r="N121" s="24">
        <v>22</v>
      </c>
      <c r="O121" s="206" t="s">
        <v>268</v>
      </c>
    </row>
    <row r="122" spans="1:15" x14ac:dyDescent="0.35">
      <c r="M122" s="23" t="s">
        <v>931</v>
      </c>
      <c r="N122" s="24">
        <v>15.02</v>
      </c>
      <c r="O122" s="206" t="s">
        <v>268</v>
      </c>
    </row>
    <row r="123" spans="1:15" x14ac:dyDescent="0.35">
      <c r="M123" s="23" t="s">
        <v>932</v>
      </c>
      <c r="N123" s="24">
        <v>21</v>
      </c>
      <c r="O123" s="206" t="s">
        <v>190</v>
      </c>
    </row>
    <row r="124" spans="1:15" x14ac:dyDescent="0.35">
      <c r="M124" s="23" t="s">
        <v>838</v>
      </c>
      <c r="N124" s="24">
        <v>22</v>
      </c>
      <c r="O124" s="206" t="s">
        <v>268</v>
      </c>
    </row>
    <row r="125" spans="1:15" x14ac:dyDescent="0.35">
      <c r="M125" s="23" t="s">
        <v>802</v>
      </c>
      <c r="N125" s="24">
        <v>27.367000000000001</v>
      </c>
      <c r="O125" s="206" t="s">
        <v>192</v>
      </c>
    </row>
    <row r="126" spans="1:15" x14ac:dyDescent="0.35">
      <c r="M126" s="23" t="s">
        <v>933</v>
      </c>
      <c r="N126" s="24">
        <v>36.387999999999998</v>
      </c>
      <c r="O126" s="206" t="s">
        <v>268</v>
      </c>
    </row>
    <row r="127" spans="1:15" x14ac:dyDescent="0.35">
      <c r="M127" s="23" t="s">
        <v>652</v>
      </c>
      <c r="N127" s="24">
        <v>98.2</v>
      </c>
      <c r="O127" s="206" t="s">
        <v>192</v>
      </c>
    </row>
    <row r="128" spans="1:15" x14ac:dyDescent="0.35">
      <c r="M128" s="23" t="s">
        <v>934</v>
      </c>
      <c r="N128" s="24">
        <v>17.733000000000001</v>
      </c>
      <c r="O128" s="206" t="s">
        <v>352</v>
      </c>
    </row>
    <row r="129" spans="13:15" x14ac:dyDescent="0.35">
      <c r="M129" s="23" t="s">
        <v>935</v>
      </c>
      <c r="N129" s="24">
        <v>13.5</v>
      </c>
      <c r="O129" s="206" t="s">
        <v>352</v>
      </c>
    </row>
    <row r="130" spans="13:15" x14ac:dyDescent="0.35">
      <c r="M130" s="23" t="s">
        <v>936</v>
      </c>
      <c r="N130" s="24">
        <v>35.807000000000002</v>
      </c>
      <c r="O130" s="206" t="s">
        <v>190</v>
      </c>
    </row>
    <row r="131" spans="13:15" x14ac:dyDescent="0.35">
      <c r="M131" s="23" t="s">
        <v>809</v>
      </c>
      <c r="N131" s="24">
        <v>62.366999999999997</v>
      </c>
      <c r="O131" s="206" t="s">
        <v>192</v>
      </c>
    </row>
    <row r="132" spans="13:15" x14ac:dyDescent="0.35">
      <c r="M132" s="23" t="s">
        <v>937</v>
      </c>
      <c r="N132" s="24">
        <v>46.8</v>
      </c>
      <c r="O132" s="206" t="s">
        <v>677</v>
      </c>
    </row>
    <row r="133" spans="13:15" x14ac:dyDescent="0.35">
      <c r="M133" s="23" t="s">
        <v>820</v>
      </c>
      <c r="N133" s="24">
        <v>25.132999999999999</v>
      </c>
      <c r="O133" s="206" t="s">
        <v>190</v>
      </c>
    </row>
    <row r="134" spans="13:15" x14ac:dyDescent="0.35">
      <c r="M134" s="23" t="s">
        <v>454</v>
      </c>
      <c r="N134" s="24">
        <v>35.033000000000001</v>
      </c>
      <c r="O134" s="206" t="s">
        <v>190</v>
      </c>
    </row>
    <row r="135" spans="13:15" x14ac:dyDescent="0.35">
      <c r="M135" s="23" t="s">
        <v>804</v>
      </c>
      <c r="N135" s="24">
        <v>32</v>
      </c>
      <c r="O135" s="206" t="s">
        <v>268</v>
      </c>
    </row>
    <row r="136" spans="13:15" x14ac:dyDescent="0.35">
      <c r="M136" s="23" t="s">
        <v>672</v>
      </c>
      <c r="N136" s="24">
        <v>11.247</v>
      </c>
      <c r="O136" s="206" t="s">
        <v>192</v>
      </c>
    </row>
    <row r="137" spans="13:15" x14ac:dyDescent="0.35">
      <c r="M137" s="23" t="s">
        <v>665</v>
      </c>
      <c r="N137" s="24">
        <v>21.001000000000001</v>
      </c>
      <c r="O137" s="206" t="s">
        <v>677</v>
      </c>
    </row>
    <row r="138" spans="13:15" x14ac:dyDescent="0.35">
      <c r="M138" s="23" t="s">
        <v>439</v>
      </c>
      <c r="N138" s="24">
        <v>248.2</v>
      </c>
      <c r="O138" s="206" t="s">
        <v>192</v>
      </c>
    </row>
    <row r="139" spans="13:15" x14ac:dyDescent="0.35">
      <c r="M139" s="23" t="s">
        <v>656</v>
      </c>
      <c r="N139" s="24">
        <v>164.86699999999999</v>
      </c>
      <c r="O139" s="206" t="s">
        <v>192</v>
      </c>
    </row>
    <row r="140" spans="13:15" x14ac:dyDescent="0.35">
      <c r="M140" s="23" t="s">
        <v>655</v>
      </c>
      <c r="N140" s="24">
        <v>389.86700000000002</v>
      </c>
      <c r="O140" s="206" t="s">
        <v>192</v>
      </c>
    </row>
    <row r="141" spans="13:15" x14ac:dyDescent="0.35">
      <c r="M141" s="23" t="s">
        <v>451</v>
      </c>
      <c r="N141" s="24">
        <v>248.2</v>
      </c>
      <c r="O141" s="206" t="s">
        <v>192</v>
      </c>
    </row>
    <row r="142" spans="13:15" x14ac:dyDescent="0.35">
      <c r="M142" s="23" t="s">
        <v>658</v>
      </c>
      <c r="N142" s="24">
        <v>373.2</v>
      </c>
      <c r="O142" s="206" t="s">
        <v>192</v>
      </c>
    </row>
    <row r="143" spans="13:15" x14ac:dyDescent="0.35">
      <c r="M143" s="23" t="s">
        <v>650</v>
      </c>
      <c r="N143" s="24">
        <v>381.56700000000001</v>
      </c>
      <c r="O143" s="206" t="s">
        <v>192</v>
      </c>
    </row>
    <row r="144" spans="13:15" x14ac:dyDescent="0.35">
      <c r="M144" s="23" t="s">
        <v>666</v>
      </c>
      <c r="N144" s="24">
        <v>664.86699999999996</v>
      </c>
      <c r="O144" s="206" t="s">
        <v>192</v>
      </c>
    </row>
    <row r="145" spans="13:15" x14ac:dyDescent="0.35">
      <c r="M145" s="23" t="s">
        <v>675</v>
      </c>
      <c r="N145" s="24">
        <v>223.2</v>
      </c>
      <c r="O145" s="206" t="s">
        <v>192</v>
      </c>
    </row>
    <row r="146" spans="13:15" x14ac:dyDescent="0.35">
      <c r="M146" s="23" t="s">
        <v>727</v>
      </c>
      <c r="N146" s="24">
        <v>235.7</v>
      </c>
      <c r="O146" s="206" t="s">
        <v>192</v>
      </c>
    </row>
    <row r="147" spans="13:15" x14ac:dyDescent="0.35">
      <c r="M147" s="23" t="s">
        <v>731</v>
      </c>
      <c r="N147" s="24">
        <v>98.2</v>
      </c>
      <c r="O147" s="206" t="s">
        <v>192</v>
      </c>
    </row>
    <row r="148" spans="13:15" x14ac:dyDescent="0.35">
      <c r="M148" s="23" t="s">
        <v>744</v>
      </c>
      <c r="N148" s="24">
        <v>273.2</v>
      </c>
      <c r="O148" s="206" t="s">
        <v>192</v>
      </c>
    </row>
    <row r="149" spans="13:15" x14ac:dyDescent="0.35">
      <c r="M149" s="23" t="s">
        <v>832</v>
      </c>
      <c r="N149" s="24">
        <v>948.2</v>
      </c>
      <c r="O149" s="206" t="s">
        <v>192</v>
      </c>
    </row>
    <row r="150" spans="13:15" x14ac:dyDescent="0.35">
      <c r="M150" s="23" t="s">
        <v>796</v>
      </c>
      <c r="N150" s="24">
        <v>123.2</v>
      </c>
      <c r="O150" s="206" t="s">
        <v>192</v>
      </c>
    </row>
    <row r="151" spans="13:15" x14ac:dyDescent="0.35">
      <c r="M151" s="23" t="s">
        <v>670</v>
      </c>
      <c r="N151" s="24">
        <v>281.53300000000002</v>
      </c>
      <c r="O151" s="206" t="s">
        <v>192</v>
      </c>
    </row>
    <row r="152" spans="13:15" x14ac:dyDescent="0.35">
      <c r="M152" s="23" t="s">
        <v>831</v>
      </c>
      <c r="N152" s="24">
        <v>289.86700000000002</v>
      </c>
      <c r="O152" s="206" t="s">
        <v>192</v>
      </c>
    </row>
    <row r="153" spans="13:15" x14ac:dyDescent="0.35">
      <c r="M153" s="23" t="s">
        <v>825</v>
      </c>
      <c r="N153" s="24">
        <v>148.19999999999999</v>
      </c>
      <c r="O153" s="206" t="s">
        <v>192</v>
      </c>
    </row>
    <row r="154" spans="13:15" x14ac:dyDescent="0.35">
      <c r="M154" s="23" t="s">
        <v>823</v>
      </c>
      <c r="N154" s="24">
        <v>306.53300000000002</v>
      </c>
      <c r="O154" s="206" t="s">
        <v>192</v>
      </c>
    </row>
    <row r="155" spans="13:15" x14ac:dyDescent="0.35">
      <c r="M155" s="23" t="s">
        <v>811</v>
      </c>
      <c r="N155" s="24">
        <v>498.2</v>
      </c>
      <c r="O155" s="206" t="s">
        <v>192</v>
      </c>
    </row>
    <row r="156" spans="13:15" x14ac:dyDescent="0.35">
      <c r="M156" s="23" t="s">
        <v>810</v>
      </c>
      <c r="N156" s="24">
        <v>164.86699999999999</v>
      </c>
      <c r="O156" s="206" t="s">
        <v>192</v>
      </c>
    </row>
    <row r="157" spans="13:15" x14ac:dyDescent="0.35">
      <c r="M157" s="23" t="s">
        <v>807</v>
      </c>
      <c r="N157" s="24">
        <v>152.36699999999999</v>
      </c>
      <c r="O157" s="206" t="s">
        <v>192</v>
      </c>
    </row>
    <row r="158" spans="13:15" x14ac:dyDescent="0.35">
      <c r="M158" s="23" t="s">
        <v>669</v>
      </c>
      <c r="N158" s="24">
        <v>55</v>
      </c>
      <c r="O158" s="206" t="s">
        <v>192</v>
      </c>
    </row>
    <row r="159" spans="13:15" x14ac:dyDescent="0.35">
      <c r="M159" s="23" t="s">
        <v>842</v>
      </c>
      <c r="N159" s="24">
        <v>50</v>
      </c>
      <c r="O159" s="206" t="s">
        <v>192</v>
      </c>
    </row>
    <row r="160" spans="13:15" x14ac:dyDescent="0.35">
      <c r="M160" s="23" t="s">
        <v>843</v>
      </c>
      <c r="N160" s="24">
        <v>91.666669999999996</v>
      </c>
      <c r="O160" s="206" t="s">
        <v>192</v>
      </c>
    </row>
    <row r="161" spans="13:15" x14ac:dyDescent="0.35">
      <c r="M161" s="23" t="s">
        <v>844</v>
      </c>
      <c r="N161" s="24">
        <v>20.41667</v>
      </c>
      <c r="O161" s="206" t="s">
        <v>192</v>
      </c>
    </row>
    <row r="162" spans="13:15" x14ac:dyDescent="0.35">
      <c r="M162" s="23" t="s">
        <v>938</v>
      </c>
      <c r="N162" s="24">
        <v>75</v>
      </c>
      <c r="O162" s="206" t="s">
        <v>192</v>
      </c>
    </row>
    <row r="163" spans="13:15" x14ac:dyDescent="0.35">
      <c r="M163" s="23" t="s">
        <v>939</v>
      </c>
      <c r="N163" s="24">
        <v>63</v>
      </c>
      <c r="O163" s="206" t="s">
        <v>192</v>
      </c>
    </row>
    <row r="164" spans="13:15" x14ac:dyDescent="0.35">
      <c r="M164" s="23" t="s">
        <v>673</v>
      </c>
      <c r="N164" s="24">
        <v>7.5</v>
      </c>
      <c r="O164" s="206" t="s">
        <v>192</v>
      </c>
    </row>
    <row r="165" spans="13:15" x14ac:dyDescent="0.35">
      <c r="M165" s="23" t="s">
        <v>710</v>
      </c>
      <c r="N165" s="24">
        <v>33</v>
      </c>
      <c r="O165" s="206" t="s">
        <v>192</v>
      </c>
    </row>
    <row r="166" spans="13:15" x14ac:dyDescent="0.35">
      <c r="M166" s="23" t="s">
        <v>748</v>
      </c>
      <c r="N166" s="24">
        <v>25</v>
      </c>
      <c r="O166" s="206" t="s">
        <v>192</v>
      </c>
    </row>
    <row r="167" spans="13:15" x14ac:dyDescent="0.35">
      <c r="M167" s="23" t="s">
        <v>839</v>
      </c>
      <c r="N167" s="24">
        <v>22</v>
      </c>
      <c r="O167" s="206" t="s">
        <v>192</v>
      </c>
    </row>
    <row r="168" spans="13:15" x14ac:dyDescent="0.35">
      <c r="M168" s="23" t="s">
        <v>840</v>
      </c>
      <c r="N168" s="24">
        <v>25</v>
      </c>
      <c r="O168" s="206" t="s">
        <v>192</v>
      </c>
    </row>
    <row r="169" spans="13:15" x14ac:dyDescent="0.35">
      <c r="M169" s="23" t="s">
        <v>841</v>
      </c>
      <c r="N169" s="24">
        <v>25</v>
      </c>
      <c r="O169" s="206" t="s">
        <v>192</v>
      </c>
    </row>
    <row r="170" spans="13:15" x14ac:dyDescent="0.35">
      <c r="M170" s="23" t="s">
        <v>846</v>
      </c>
      <c r="N170" s="24">
        <v>25</v>
      </c>
      <c r="O170" s="206" t="s">
        <v>192</v>
      </c>
    </row>
    <row r="171" spans="13:15" x14ac:dyDescent="0.35">
      <c r="M171" s="23" t="s">
        <v>845</v>
      </c>
      <c r="N171" s="24">
        <v>25</v>
      </c>
      <c r="O171" s="206" t="s">
        <v>192</v>
      </c>
    </row>
    <row r="172" spans="13:15" x14ac:dyDescent="0.35">
      <c r="M172" s="23" t="s">
        <v>836</v>
      </c>
      <c r="N172" s="24">
        <v>715.94299999999998</v>
      </c>
      <c r="O172" s="206" t="s">
        <v>192</v>
      </c>
    </row>
    <row r="173" spans="13:15" x14ac:dyDescent="0.35">
      <c r="M173" s="23" t="s">
        <v>940</v>
      </c>
      <c r="N173" s="24">
        <v>18.050999999999998</v>
      </c>
      <c r="O173" s="206" t="s">
        <v>190</v>
      </c>
    </row>
    <row r="174" spans="13:15" x14ac:dyDescent="0.35">
      <c r="M174" s="23" t="s">
        <v>941</v>
      </c>
      <c r="N174" s="24">
        <v>16.466999999999999</v>
      </c>
      <c r="O174" s="206" t="s">
        <v>190</v>
      </c>
    </row>
    <row r="175" spans="13:15" x14ac:dyDescent="0.35">
      <c r="M175" s="23" t="s">
        <v>659</v>
      </c>
      <c r="N175" s="24">
        <v>25.013000000000002</v>
      </c>
      <c r="O175" s="206" t="s">
        <v>268</v>
      </c>
    </row>
    <row r="176" spans="13:15" x14ac:dyDescent="0.35">
      <c r="M176" s="23" t="s">
        <v>730</v>
      </c>
      <c r="N176" s="24">
        <v>20.815999999999999</v>
      </c>
      <c r="O176" s="206" t="s">
        <v>268</v>
      </c>
    </row>
    <row r="177" spans="13:15" x14ac:dyDescent="0.35">
      <c r="M177" s="23" t="s">
        <v>942</v>
      </c>
      <c r="N177" s="24">
        <v>13.8</v>
      </c>
      <c r="O177" s="206" t="s">
        <v>268</v>
      </c>
    </row>
    <row r="178" spans="13:15" x14ac:dyDescent="0.35">
      <c r="M178" s="23" t="s">
        <v>943</v>
      </c>
      <c r="N178" s="24">
        <v>11.4</v>
      </c>
      <c r="O178" s="206" t="s">
        <v>268</v>
      </c>
    </row>
    <row r="179" spans="13:15" x14ac:dyDescent="0.35">
      <c r="M179" s="23" t="s">
        <v>738</v>
      </c>
      <c r="N179" s="24">
        <v>18.899999999999999</v>
      </c>
      <c r="O179" s="206" t="s">
        <v>268</v>
      </c>
    </row>
    <row r="180" spans="13:15" x14ac:dyDescent="0.35">
      <c r="M180" s="23" t="s">
        <v>955</v>
      </c>
      <c r="N180" s="24">
        <v>14.1</v>
      </c>
      <c r="O180" s="23" t="s">
        <v>677</v>
      </c>
    </row>
  </sheetData>
  <autoFilter ref="A2:R120" xr:uid="{40410D26-BC8B-4DE8-B405-6C2F0572CC52}"/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B812-74FD-45FE-BEE1-0923CCB37339}">
  <dimension ref="A1:I144"/>
  <sheetViews>
    <sheetView workbookViewId="0"/>
  </sheetViews>
  <sheetFormatPr defaultColWidth="8.81640625" defaultRowHeight="14.5" x14ac:dyDescent="0.35"/>
  <cols>
    <col min="1" max="2" width="39.08984375" style="23" customWidth="1"/>
    <col min="3" max="3" width="17.36328125" style="24" bestFit="1" customWidth="1"/>
    <col min="4" max="5" width="16.453125" style="24" bestFit="1" customWidth="1"/>
    <col min="6" max="6" width="17.36328125" style="24" bestFit="1" customWidth="1"/>
    <col min="7" max="7" width="44.81640625" style="23" bestFit="1" customWidth="1"/>
    <col min="8" max="8" width="8.81640625" style="23"/>
    <col min="9" max="9" width="13.81640625" style="23" bestFit="1" customWidth="1"/>
    <col min="10" max="16384" width="8.81640625" style="23"/>
  </cols>
  <sheetData>
    <row r="1" spans="1:7" s="109" customFormat="1" x14ac:dyDescent="0.35">
      <c r="A1" s="207" t="s">
        <v>464</v>
      </c>
      <c r="B1" s="207"/>
      <c r="C1" s="208" t="s">
        <v>498</v>
      </c>
      <c r="D1" s="208" t="s">
        <v>465</v>
      </c>
      <c r="E1" s="208" t="s">
        <v>466</v>
      </c>
      <c r="F1" s="208" t="s">
        <v>499</v>
      </c>
      <c r="G1" s="109" t="s">
        <v>433</v>
      </c>
    </row>
    <row r="3" spans="1:7" x14ac:dyDescent="0.35">
      <c r="A3" s="174" t="s">
        <v>70</v>
      </c>
      <c r="B3" s="175" t="str">
        <f>TRIM(A3)</f>
        <v>Assets</v>
      </c>
      <c r="C3" s="24" t="s">
        <v>85</v>
      </c>
      <c r="D3" s="24" t="s">
        <v>85</v>
      </c>
      <c r="E3" s="24" t="s">
        <v>85</v>
      </c>
      <c r="F3" s="24" t="s">
        <v>85</v>
      </c>
    </row>
    <row r="4" spans="1:7" x14ac:dyDescent="0.35">
      <c r="A4" s="174" t="s">
        <v>500</v>
      </c>
      <c r="B4" s="175" t="str">
        <f t="shared" ref="B4:B69" si="0">TRIM(A4)</f>
        <v>Accounts Receivable</v>
      </c>
      <c r="C4" s="176">
        <v>0</v>
      </c>
      <c r="D4" s="176">
        <v>2912608.64</v>
      </c>
      <c r="E4" s="176">
        <v>2826742.59</v>
      </c>
      <c r="F4" s="176">
        <v>85866.05</v>
      </c>
      <c r="G4" s="23" t="str">
        <f>VLOOKUP(B4,'TB 0425'!A:A,1,0)</f>
        <v>Accounts Receivable</v>
      </c>
    </row>
    <row r="5" spans="1:7" x14ac:dyDescent="0.35">
      <c r="A5" s="174" t="s">
        <v>501</v>
      </c>
      <c r="B5" s="175" t="str">
        <f t="shared" si="0"/>
        <v>Accrued Interest</v>
      </c>
      <c r="C5" s="176">
        <v>4912939.8099999996</v>
      </c>
      <c r="D5" s="176">
        <v>7394746.1900000004</v>
      </c>
      <c r="E5" s="176">
        <v>5458822</v>
      </c>
      <c r="F5" s="176">
        <v>6848864</v>
      </c>
      <c r="G5" s="23" t="str">
        <f>VLOOKUP(B5,'TB 0425'!A:A,1,0)</f>
        <v>Accrued Interest</v>
      </c>
    </row>
    <row r="6" spans="1:7" x14ac:dyDescent="0.35">
      <c r="A6" s="174" t="s">
        <v>1432</v>
      </c>
      <c r="B6" s="175" t="str">
        <f t="shared" si="0"/>
        <v>Accumulated Amortization on Leasehold Improvement</v>
      </c>
      <c r="C6" s="176">
        <v>-81587.31</v>
      </c>
      <c r="D6" s="176">
        <v>0</v>
      </c>
      <c r="E6" s="176">
        <v>92980.01</v>
      </c>
      <c r="F6" s="176">
        <v>-174567.32</v>
      </c>
      <c r="G6" s="23" t="str">
        <f>VLOOKUP(B6,'TB 0425'!A:A,1,0)</f>
        <v>Accumulated Amortization on Leasehold Improvement</v>
      </c>
    </row>
    <row r="7" spans="1:7" x14ac:dyDescent="0.35">
      <c r="A7" s="174" t="s">
        <v>503</v>
      </c>
      <c r="B7" s="175" t="str">
        <f t="shared" si="0"/>
        <v>Accumulated Depreciation on Computer and Laptops</v>
      </c>
      <c r="C7" s="176">
        <v>-265436.90000000002</v>
      </c>
      <c r="D7" s="176">
        <v>0</v>
      </c>
      <c r="E7" s="176">
        <v>106644.93</v>
      </c>
      <c r="F7" s="176">
        <v>-372081.83</v>
      </c>
      <c r="G7" s="23" t="str">
        <f>VLOOKUP(B7,'TB 0425'!A:A,1,0)</f>
        <v>Accumulated Depreciation on Computer and Laptops</v>
      </c>
    </row>
    <row r="8" spans="1:7" x14ac:dyDescent="0.35">
      <c r="A8" s="174" t="s">
        <v>760</v>
      </c>
      <c r="B8" s="175" t="str">
        <f t="shared" si="0"/>
        <v>Accumulated Depreciation on Furniture &amp; Equipment</v>
      </c>
      <c r="C8" s="176">
        <v>-10354.68</v>
      </c>
      <c r="D8" s="176">
        <v>0</v>
      </c>
      <c r="E8" s="176">
        <v>9528.14</v>
      </c>
      <c r="F8" s="176">
        <v>-19882.82</v>
      </c>
      <c r="G8" s="23" t="str">
        <f>VLOOKUP(B8,'TB 0425'!A:A,1,0)</f>
        <v>Accumulated Depreciation on Furniture &amp; Equipment</v>
      </c>
    </row>
    <row r="9" spans="1:7" x14ac:dyDescent="0.35">
      <c r="A9" s="174" t="s">
        <v>504</v>
      </c>
      <c r="B9" s="175" t="str">
        <f t="shared" si="0"/>
        <v>Accumulated Depreciation on Office Equipment</v>
      </c>
      <c r="C9" s="176">
        <v>-16444.54</v>
      </c>
      <c r="D9" s="176">
        <v>0</v>
      </c>
      <c r="E9" s="176">
        <v>3945.07</v>
      </c>
      <c r="F9" s="176">
        <v>-20389.61</v>
      </c>
      <c r="G9" s="23" t="str">
        <f>VLOOKUP(B9,'TB 0425'!A:A,1,0)</f>
        <v>Accumulated Depreciation on Office Equipment</v>
      </c>
    </row>
    <row r="10" spans="1:7" x14ac:dyDescent="0.35">
      <c r="A10" s="174" t="s">
        <v>1421</v>
      </c>
      <c r="B10" s="175" t="str">
        <f t="shared" si="0"/>
        <v>Advance from Customer</v>
      </c>
      <c r="C10" s="176">
        <v>-24411</v>
      </c>
      <c r="D10" s="176">
        <v>0</v>
      </c>
      <c r="E10" s="176">
        <v>24411</v>
      </c>
      <c r="F10" s="176">
        <v>-48822</v>
      </c>
      <c r="G10" s="23" t="str">
        <f>VLOOKUP(B10,'TB 0425'!A:A,1,0)</f>
        <v>Advance from Customer</v>
      </c>
    </row>
    <row r="11" spans="1:7" x14ac:dyDescent="0.35">
      <c r="A11" s="174" t="s">
        <v>505</v>
      </c>
      <c r="B11" s="175" t="str">
        <f t="shared" si="0"/>
        <v>Amazon Wallet</v>
      </c>
      <c r="C11" s="176">
        <v>305.98</v>
      </c>
      <c r="D11" s="176">
        <v>0</v>
      </c>
      <c r="E11" s="176">
        <v>0</v>
      </c>
      <c r="F11" s="176">
        <v>305.98</v>
      </c>
      <c r="G11" s="23" t="str">
        <f>VLOOKUP(B11,'TB 0425'!A:A,1,0)</f>
        <v>Amazon Wallet</v>
      </c>
    </row>
    <row r="12" spans="1:7" x14ac:dyDescent="0.35">
      <c r="A12" s="174" t="s">
        <v>506</v>
      </c>
      <c r="B12" s="175" t="str">
        <f t="shared" si="0"/>
        <v>Axis Bank 1655</v>
      </c>
      <c r="C12" s="176">
        <v>12636.34</v>
      </c>
      <c r="D12" s="176">
        <v>0</v>
      </c>
      <c r="E12" s="176">
        <v>118</v>
      </c>
      <c r="F12" s="176">
        <v>12518.34</v>
      </c>
      <c r="G12" s="23" t="str">
        <f>VLOOKUP(B12,'TB 0425'!A:A,1,0)</f>
        <v>Axis Bank 1655</v>
      </c>
    </row>
    <row r="13" spans="1:7" x14ac:dyDescent="0.35">
      <c r="A13" s="174" t="s">
        <v>507</v>
      </c>
      <c r="B13" s="175" t="str">
        <f t="shared" si="0"/>
        <v>Computer and Laptops</v>
      </c>
      <c r="C13" s="176">
        <v>3633155.03</v>
      </c>
      <c r="D13" s="176">
        <v>750904</v>
      </c>
      <c r="E13" s="176">
        <v>0</v>
      </c>
      <c r="F13" s="176">
        <v>4384059.03</v>
      </c>
      <c r="G13" s="23" t="str">
        <f>VLOOKUP(B13,'TB 0425'!A:A,1,0)</f>
        <v>Computer and Laptops</v>
      </c>
    </row>
    <row r="14" spans="1:7" x14ac:dyDescent="0.35">
      <c r="A14" s="174" t="s">
        <v>678</v>
      </c>
      <c r="B14" s="175" t="str">
        <f t="shared" si="0"/>
        <v>Furniture and Equipment</v>
      </c>
      <c r="C14" s="176">
        <v>338231.34</v>
      </c>
      <c r="D14" s="176">
        <v>339880</v>
      </c>
      <c r="E14" s="176">
        <v>0</v>
      </c>
      <c r="F14" s="176">
        <v>678111.34</v>
      </c>
      <c r="G14" s="23" t="str">
        <f>VLOOKUP(B14,'TB 0425'!A:A,1,0)</f>
        <v>Furniture and Equipment</v>
      </c>
    </row>
    <row r="15" spans="1:7" x14ac:dyDescent="0.35">
      <c r="A15" s="174" t="s">
        <v>712</v>
      </c>
      <c r="B15" s="175" t="str">
        <f t="shared" si="0"/>
        <v>HDFC Bank 6899</v>
      </c>
      <c r="C15" s="176">
        <v>50000</v>
      </c>
      <c r="D15" s="176">
        <v>76081849.700000003</v>
      </c>
      <c r="E15" s="176">
        <v>76081849.700000003</v>
      </c>
      <c r="F15" s="176">
        <v>50000</v>
      </c>
      <c r="G15" s="23" t="str">
        <f>VLOOKUP(B15,'TB 0425'!A:A,1,0)</f>
        <v>HDFC Bank 6899</v>
      </c>
    </row>
    <row r="16" spans="1:7" x14ac:dyDescent="0.35">
      <c r="A16" s="174" t="s">
        <v>713</v>
      </c>
      <c r="B16" s="175" t="str">
        <f t="shared" si="0"/>
        <v>HDFC Bank 9531</v>
      </c>
      <c r="C16" s="176">
        <v>331345.94</v>
      </c>
      <c r="D16" s="176">
        <v>1584501.84</v>
      </c>
      <c r="E16" s="176">
        <v>937504.3</v>
      </c>
      <c r="F16" s="176">
        <v>978343.48</v>
      </c>
      <c r="G16" s="23" t="str">
        <f>VLOOKUP(B16,'TB 0425'!A:A,1,0)</f>
        <v>HDFC Bank 9531</v>
      </c>
    </row>
    <row r="17" spans="1:7" x14ac:dyDescent="0.35">
      <c r="A17" s="174" t="s">
        <v>508</v>
      </c>
      <c r="B17" s="175" t="str">
        <f t="shared" si="0"/>
        <v>Input Tax Credits</v>
      </c>
      <c r="C17" s="176">
        <v>0</v>
      </c>
      <c r="D17" s="176">
        <v>0</v>
      </c>
      <c r="E17" s="176">
        <v>0</v>
      </c>
      <c r="F17" s="176">
        <v>0</v>
      </c>
    </row>
    <row r="18" spans="1:7" x14ac:dyDescent="0.35">
      <c r="A18" s="174" t="s">
        <v>509</v>
      </c>
      <c r="B18" s="175" t="str">
        <f t="shared" si="0"/>
        <v>Input CGST</v>
      </c>
      <c r="C18" s="176">
        <v>1327664.3899999999</v>
      </c>
      <c r="D18" s="176">
        <v>350112.01</v>
      </c>
      <c r="E18" s="176">
        <v>443</v>
      </c>
      <c r="F18" s="176">
        <v>1677333.4</v>
      </c>
      <c r="G18" s="23" t="str">
        <f>VLOOKUP(B18,'TB 0425'!A:A,1,0)</f>
        <v>Input CGST</v>
      </c>
    </row>
    <row r="19" spans="1:7" x14ac:dyDescent="0.35">
      <c r="A19" s="174" t="s">
        <v>510</v>
      </c>
      <c r="B19" s="175" t="str">
        <f t="shared" si="0"/>
        <v>Input IGST</v>
      </c>
      <c r="C19" s="176">
        <v>681647.14</v>
      </c>
      <c r="D19" s="176">
        <v>199009.11</v>
      </c>
      <c r="E19" s="176">
        <v>71926</v>
      </c>
      <c r="F19" s="176">
        <v>808730.25</v>
      </c>
      <c r="G19" s="23" t="str">
        <f>VLOOKUP(B19,'TB 0425'!A:A,1,0)</f>
        <v>Input IGST</v>
      </c>
    </row>
    <row r="20" spans="1:7" x14ac:dyDescent="0.35">
      <c r="A20" s="174" t="s">
        <v>511</v>
      </c>
      <c r="B20" s="175" t="str">
        <f t="shared" si="0"/>
        <v>Input SGST</v>
      </c>
      <c r="C20" s="176">
        <v>1327664.44</v>
      </c>
      <c r="D20" s="176">
        <v>350112.01</v>
      </c>
      <c r="E20" s="176">
        <v>443</v>
      </c>
      <c r="F20" s="176">
        <v>1677333.45</v>
      </c>
      <c r="G20" s="23" t="str">
        <f>VLOOKUP(B20,'TB 0425'!A:A,1,0)</f>
        <v>Input SGST</v>
      </c>
    </row>
    <row r="21" spans="1:7" ht="15.5" x14ac:dyDescent="0.35">
      <c r="A21" s="177" t="s">
        <v>512</v>
      </c>
      <c r="B21" s="175" t="str">
        <f t="shared" si="0"/>
        <v>Total for Input Tax Credits</v>
      </c>
      <c r="C21" s="178">
        <v>3336975.97</v>
      </c>
      <c r="D21" s="178">
        <v>899233.13</v>
      </c>
      <c r="E21" s="178">
        <v>72812</v>
      </c>
      <c r="F21" s="178">
        <v>4163397.1</v>
      </c>
    </row>
    <row r="22" spans="1:7" x14ac:dyDescent="0.35">
      <c r="B22" s="175" t="str">
        <f t="shared" si="0"/>
        <v/>
      </c>
    </row>
    <row r="23" spans="1:7" x14ac:dyDescent="0.35">
      <c r="A23" s="174" t="s">
        <v>514</v>
      </c>
      <c r="B23" s="175" t="str">
        <f t="shared" si="0"/>
        <v>Investments</v>
      </c>
      <c r="C23" s="176">
        <v>0</v>
      </c>
      <c r="D23" s="176">
        <v>0</v>
      </c>
      <c r="E23" s="176">
        <v>0</v>
      </c>
      <c r="F23" s="176">
        <v>0</v>
      </c>
    </row>
    <row r="24" spans="1:7" x14ac:dyDescent="0.35">
      <c r="A24" s="174" t="s">
        <v>716</v>
      </c>
      <c r="B24" s="175" t="str">
        <f t="shared" si="0"/>
        <v>Fixed Deposit 50301104821591</v>
      </c>
      <c r="C24" s="176">
        <v>45000000</v>
      </c>
      <c r="D24" s="176">
        <v>0</v>
      </c>
      <c r="E24" s="176">
        <v>45000000</v>
      </c>
      <c r="F24" s="176">
        <v>0</v>
      </c>
      <c r="G24" s="23" t="str">
        <f>VLOOKUP(B24,'TB 0425'!A:A,1,0)</f>
        <v>Fixed Deposit 50301104821591</v>
      </c>
    </row>
    <row r="25" spans="1:7" x14ac:dyDescent="0.35">
      <c r="A25" s="174" t="s">
        <v>717</v>
      </c>
      <c r="B25" s="175" t="str">
        <f t="shared" si="0"/>
        <v>Fixed Deposit 50301104822249</v>
      </c>
      <c r="C25" s="176">
        <v>30000000</v>
      </c>
      <c r="D25" s="176">
        <v>0</v>
      </c>
      <c r="E25" s="176">
        <v>30000000</v>
      </c>
      <c r="F25" s="176">
        <v>0</v>
      </c>
      <c r="G25" s="23" t="str">
        <f>VLOOKUP(B25,'TB 0425'!A:A,1,0)</f>
        <v>Fixed Deposit 50301104822249</v>
      </c>
    </row>
    <row r="26" spans="1:7" x14ac:dyDescent="0.35">
      <c r="A26" s="174" t="s">
        <v>850</v>
      </c>
      <c r="B26" s="175" t="str">
        <f t="shared" si="0"/>
        <v>Fixed Deposit 50301150927502</v>
      </c>
      <c r="C26" s="176">
        <v>0</v>
      </c>
      <c r="D26" s="176">
        <v>30000000</v>
      </c>
      <c r="E26" s="176">
        <v>0</v>
      </c>
      <c r="F26" s="176">
        <v>30000000</v>
      </c>
      <c r="G26" s="23" t="str">
        <f>VLOOKUP(B26,'TB 0425'!A:A,1,0)</f>
        <v>Fixed Deposit 50301150927502</v>
      </c>
    </row>
    <row r="27" spans="1:7" x14ac:dyDescent="0.35">
      <c r="A27" s="174" t="s">
        <v>851</v>
      </c>
      <c r="B27" s="175" t="str">
        <f t="shared" si="0"/>
        <v>Fixed Deposit 50301150928123</v>
      </c>
      <c r="C27" s="176">
        <v>0</v>
      </c>
      <c r="D27" s="176">
        <v>45000000</v>
      </c>
      <c r="E27" s="176">
        <v>0</v>
      </c>
      <c r="F27" s="176">
        <v>45000000</v>
      </c>
      <c r="G27" s="23" t="str">
        <f>VLOOKUP(B27,'TB 0425'!A:A,1,0)</f>
        <v>Fixed Deposit 50301150928123</v>
      </c>
    </row>
    <row r="28" spans="1:7" x14ac:dyDescent="0.35">
      <c r="A28" s="174" t="s">
        <v>629</v>
      </c>
      <c r="B28" s="175" t="str">
        <f t="shared" si="0"/>
        <v>Fixed Deposit 9349770858</v>
      </c>
      <c r="C28" s="176">
        <v>6000000</v>
      </c>
      <c r="D28" s="176">
        <v>0</v>
      </c>
      <c r="E28" s="176">
        <v>0</v>
      </c>
      <c r="F28" s="176">
        <v>6000000</v>
      </c>
      <c r="G28" s="23" t="str">
        <f>VLOOKUP(B28,'TB 0425'!A:A,1,0)</f>
        <v>Fixed Deposit 9349770858</v>
      </c>
    </row>
    <row r="29" spans="1:7" x14ac:dyDescent="0.35">
      <c r="A29" s="174" t="s">
        <v>680</v>
      </c>
      <c r="B29" s="175" t="str">
        <f t="shared" si="0"/>
        <v>Fixed Deposit 9349809145</v>
      </c>
      <c r="C29" s="176">
        <v>350000000</v>
      </c>
      <c r="D29" s="176">
        <v>0</v>
      </c>
      <c r="E29" s="176">
        <v>0</v>
      </c>
      <c r="F29" s="176">
        <v>350000000</v>
      </c>
      <c r="G29" s="23" t="str">
        <f>VLOOKUP(B29,'TB 0425'!A:A,1,0)</f>
        <v>Fixed Deposit 9349809145</v>
      </c>
    </row>
    <row r="30" spans="1:7" x14ac:dyDescent="0.35">
      <c r="A30" s="174" t="s">
        <v>749</v>
      </c>
      <c r="B30" s="175" t="str">
        <f t="shared" si="0"/>
        <v>Fixed Deposit 9349846355</v>
      </c>
      <c r="C30" s="176">
        <v>35133767</v>
      </c>
      <c r="D30" s="176">
        <v>0</v>
      </c>
      <c r="E30" s="176">
        <v>35133767</v>
      </c>
      <c r="F30" s="176">
        <v>0</v>
      </c>
      <c r="G30" s="23" t="str">
        <f>VLOOKUP(B30,'TB 0425'!A:A,1,0)</f>
        <v>Fixed Deposit 9349846355</v>
      </c>
    </row>
    <row r="31" spans="1:7" x14ac:dyDescent="0.35">
      <c r="A31" s="174" t="s">
        <v>751</v>
      </c>
      <c r="B31" s="175" t="str">
        <f t="shared" si="0"/>
        <v>Fixed Deposit 9349848823</v>
      </c>
      <c r="C31" s="176">
        <v>2004441</v>
      </c>
      <c r="D31" s="176">
        <v>0</v>
      </c>
      <c r="E31" s="176">
        <v>2004441</v>
      </c>
      <c r="F31" s="176">
        <v>0</v>
      </c>
      <c r="G31" s="23" t="str">
        <f>VLOOKUP(B31,'TB 0425'!A:A,1,0)</f>
        <v>Fixed Deposit 9349848823</v>
      </c>
    </row>
    <row r="32" spans="1:7" x14ac:dyDescent="0.35">
      <c r="A32" s="174" t="s">
        <v>762</v>
      </c>
      <c r="B32" s="175" t="str">
        <f t="shared" si="0"/>
        <v>Fixed Deposit 9349886610</v>
      </c>
      <c r="C32" s="176">
        <v>10000000</v>
      </c>
      <c r="D32" s="176">
        <v>0</v>
      </c>
      <c r="E32" s="176">
        <v>10000000</v>
      </c>
      <c r="F32" s="176">
        <v>0</v>
      </c>
      <c r="G32" s="23" t="str">
        <f>VLOOKUP(B32,'TB 0425'!A:A,1,0)</f>
        <v>Fixed Deposit 9349886610</v>
      </c>
    </row>
    <row r="33" spans="1:7" x14ac:dyDescent="0.35">
      <c r="A33" s="174" t="s">
        <v>852</v>
      </c>
      <c r="B33" s="175" t="str">
        <f t="shared" si="0"/>
        <v>Fixed Deposit 9349907605</v>
      </c>
      <c r="C33" s="176">
        <v>0</v>
      </c>
      <c r="D33" s="176">
        <v>7500000</v>
      </c>
      <c r="E33" s="176">
        <v>7500000</v>
      </c>
      <c r="F33" s="176">
        <v>0</v>
      </c>
      <c r="G33" s="23" t="str">
        <f>VLOOKUP(B33,'TB 0425'!A:A,1,0)</f>
        <v>Fixed Deposit 9349907605</v>
      </c>
    </row>
    <row r="34" spans="1:7" x14ac:dyDescent="0.35">
      <c r="A34" s="174" t="s">
        <v>853</v>
      </c>
      <c r="B34" s="175" t="str">
        <f t="shared" si="0"/>
        <v>Fixed Deposit 9349923247</v>
      </c>
      <c r="C34" s="176">
        <v>0</v>
      </c>
      <c r="D34" s="176">
        <v>15000000</v>
      </c>
      <c r="E34" s="176">
        <v>0</v>
      </c>
      <c r="F34" s="176">
        <v>15000000</v>
      </c>
      <c r="G34" s="23" t="str">
        <f>VLOOKUP(B34,'TB 0425'!A:A,1,0)</f>
        <v>Fixed Deposit 9349923247</v>
      </c>
    </row>
    <row r="35" spans="1:7" x14ac:dyDescent="0.35">
      <c r="A35" s="174" t="s">
        <v>854</v>
      </c>
      <c r="B35" s="175" t="str">
        <f t="shared" si="0"/>
        <v>Fixed Deposit 9349923254</v>
      </c>
      <c r="C35" s="176">
        <v>0</v>
      </c>
      <c r="D35" s="176">
        <v>6000000</v>
      </c>
      <c r="E35" s="176">
        <v>0</v>
      </c>
      <c r="F35" s="176">
        <v>6000000</v>
      </c>
      <c r="G35" s="23" t="str">
        <f>VLOOKUP(B35,'TB 0425'!A:A,1,0)</f>
        <v>Fixed Deposit 9349923254</v>
      </c>
    </row>
    <row r="36" spans="1:7" ht="15.5" x14ac:dyDescent="0.35">
      <c r="A36" s="177" t="s">
        <v>521</v>
      </c>
      <c r="B36" s="175" t="str">
        <f t="shared" si="0"/>
        <v>Total for Investments</v>
      </c>
      <c r="C36" s="178">
        <v>478138208</v>
      </c>
      <c r="D36" s="178">
        <v>103500000</v>
      </c>
      <c r="E36" s="178">
        <v>129638208</v>
      </c>
      <c r="F36" s="178">
        <v>452000000</v>
      </c>
    </row>
    <row r="37" spans="1:7" x14ac:dyDescent="0.35">
      <c r="B37" s="175" t="str">
        <f t="shared" si="0"/>
        <v/>
      </c>
    </row>
    <row r="38" spans="1:7" x14ac:dyDescent="0.35">
      <c r="A38" s="174" t="s">
        <v>522</v>
      </c>
      <c r="B38" s="175" t="str">
        <f t="shared" si="0"/>
        <v>Kotak Mahindra Bank 9942</v>
      </c>
      <c r="C38" s="176">
        <v>134033.76</v>
      </c>
      <c r="D38" s="176">
        <v>54844131</v>
      </c>
      <c r="E38" s="176">
        <v>54550000</v>
      </c>
      <c r="F38" s="176">
        <v>428164.76</v>
      </c>
      <c r="G38" s="23" t="str">
        <f>VLOOKUP(B38,'TB 0425'!A:A,1,0)</f>
        <v>Kotak Mahindra Bank 9942</v>
      </c>
    </row>
    <row r="39" spans="1:7" x14ac:dyDescent="0.35">
      <c r="A39" s="174" t="s">
        <v>523</v>
      </c>
      <c r="B39" s="175" t="str">
        <f t="shared" si="0"/>
        <v>Kotak Mahindra Bank 9966</v>
      </c>
      <c r="C39" s="176">
        <v>6806736.5099999998</v>
      </c>
      <c r="D39" s="176">
        <v>35351253.109999999</v>
      </c>
      <c r="E39" s="176">
        <v>32314172.699999999</v>
      </c>
      <c r="F39" s="176">
        <v>9843816.9199999999</v>
      </c>
      <c r="G39" s="23" t="str">
        <f>VLOOKUP(B39,'TB 0425'!A:A,1,0)</f>
        <v>Kotak Mahindra Bank 9966</v>
      </c>
    </row>
    <row r="40" spans="1:7" x14ac:dyDescent="0.35">
      <c r="A40" s="174" t="s">
        <v>722</v>
      </c>
      <c r="B40" s="175" t="str">
        <f t="shared" si="0"/>
        <v>Leasehold Improvement</v>
      </c>
      <c r="C40" s="176">
        <v>3146939</v>
      </c>
      <c r="D40" s="176">
        <v>486659</v>
      </c>
      <c r="E40" s="176">
        <v>0</v>
      </c>
      <c r="F40" s="176">
        <v>3633598</v>
      </c>
      <c r="G40" s="23" t="str">
        <f>VLOOKUP(B40,'TB 0425'!A:A,1,0)</f>
        <v>Leasehold Improvement</v>
      </c>
    </row>
    <row r="41" spans="1:7" x14ac:dyDescent="0.35">
      <c r="A41" s="174" t="s">
        <v>524</v>
      </c>
      <c r="B41" s="175" t="str">
        <f t="shared" si="0"/>
        <v>Office Equipment</v>
      </c>
      <c r="C41" s="176">
        <v>143345.04</v>
      </c>
      <c r="D41" s="176">
        <v>30859</v>
      </c>
      <c r="E41" s="176">
        <v>0</v>
      </c>
      <c r="F41" s="176">
        <v>174204.04</v>
      </c>
      <c r="G41" s="23" t="str">
        <f>VLOOKUP(B41,'TB 0425'!A:A,1,0)</f>
        <v>Office Equipment</v>
      </c>
    </row>
    <row r="42" spans="1:7" x14ac:dyDescent="0.35">
      <c r="A42" s="174" t="s">
        <v>1422</v>
      </c>
      <c r="B42" s="175" t="str">
        <f t="shared" si="0"/>
        <v>Other Receivable</v>
      </c>
      <c r="C42" s="176">
        <v>210837.03</v>
      </c>
      <c r="D42" s="176">
        <v>0</v>
      </c>
      <c r="E42" s="176">
        <v>129540.07</v>
      </c>
      <c r="F42" s="176">
        <v>81296.960000000006</v>
      </c>
      <c r="G42" s="23" t="str">
        <f>VLOOKUP(B42,'TB 0425'!A:A,1,0)</f>
        <v>Other Receivable</v>
      </c>
    </row>
    <row r="43" spans="1:7" x14ac:dyDescent="0.35">
      <c r="A43" s="174" t="s">
        <v>526</v>
      </c>
      <c r="B43" s="175" t="str">
        <f t="shared" si="0"/>
        <v>Prepaid Expense - Asset</v>
      </c>
      <c r="C43" s="176">
        <v>98750.02</v>
      </c>
      <c r="D43" s="176">
        <v>0</v>
      </c>
      <c r="E43" s="176">
        <v>50516.66</v>
      </c>
      <c r="F43" s="176">
        <v>48233.36</v>
      </c>
      <c r="G43" s="23" t="str">
        <f>VLOOKUP(B43,'TB 0425'!A:A,1,0)</f>
        <v>Prepaid Expense - Asset</v>
      </c>
    </row>
    <row r="44" spans="1:7" x14ac:dyDescent="0.35">
      <c r="A44" s="174" t="s">
        <v>527</v>
      </c>
      <c r="B44" s="175" t="str">
        <f t="shared" si="0"/>
        <v>Prepaid Expenses</v>
      </c>
      <c r="C44" s="176">
        <v>0</v>
      </c>
      <c r="D44" s="176">
        <v>3090292.72</v>
      </c>
      <c r="E44" s="176">
        <v>2048389.74</v>
      </c>
      <c r="F44" s="176">
        <v>1041902.98</v>
      </c>
      <c r="G44" s="23" t="str">
        <f>VLOOKUP(B44,'TB 0425'!A:A,1,0)</f>
        <v>Prepaid Expenses</v>
      </c>
    </row>
    <row r="45" spans="1:7" x14ac:dyDescent="0.35">
      <c r="A45" s="174" t="s">
        <v>528</v>
      </c>
      <c r="B45" s="175" t="str">
        <f t="shared" si="0"/>
        <v>Receipt from Customers</v>
      </c>
      <c r="C45" s="176">
        <v>0</v>
      </c>
      <c r="D45" s="176">
        <v>2650490.59</v>
      </c>
      <c r="E45" s="176">
        <v>2656782.4500000002</v>
      </c>
      <c r="F45" s="176">
        <v>-6291.86</v>
      </c>
      <c r="G45" s="23" t="str">
        <f>VLOOKUP(B45,'TB 0425'!A:A,1,0)</f>
        <v>Receipt from Customers</v>
      </c>
    </row>
    <row r="46" spans="1:7" x14ac:dyDescent="0.35">
      <c r="A46" s="174" t="s">
        <v>529</v>
      </c>
      <c r="B46" s="175" t="str">
        <f t="shared" si="0"/>
        <v>Reverse Charge Tax Input but not due</v>
      </c>
      <c r="C46" s="176">
        <v>649225.12</v>
      </c>
      <c r="D46" s="176">
        <v>188025.03</v>
      </c>
      <c r="E46" s="176">
        <v>0</v>
      </c>
      <c r="F46" s="176">
        <v>837250.15</v>
      </c>
      <c r="G46" s="23" t="str">
        <f>VLOOKUP(B46,'TB 0425'!A:A,1,0)</f>
        <v>Reverse Charge Tax Input but not due</v>
      </c>
    </row>
    <row r="47" spans="1:7" x14ac:dyDescent="0.35">
      <c r="A47" s="174" t="s">
        <v>530</v>
      </c>
      <c r="B47" s="175" t="str">
        <f t="shared" si="0"/>
        <v>Security Deposit</v>
      </c>
      <c r="C47" s="176">
        <v>4196000</v>
      </c>
      <c r="D47" s="176">
        <v>793000</v>
      </c>
      <c r="E47" s="176">
        <v>0</v>
      </c>
      <c r="F47" s="176">
        <v>4989000</v>
      </c>
      <c r="G47" s="23" t="str">
        <f>VLOOKUP(B47,'TB 0425'!A:A,1,0)</f>
        <v>Security Deposit</v>
      </c>
    </row>
    <row r="48" spans="1:7" x14ac:dyDescent="0.35">
      <c r="A48" s="174" t="s">
        <v>531</v>
      </c>
      <c r="B48" s="175" t="str">
        <f t="shared" si="0"/>
        <v>TDS Receivable</v>
      </c>
      <c r="C48" s="176">
        <v>842321.19</v>
      </c>
      <c r="D48" s="176">
        <v>0</v>
      </c>
      <c r="E48" s="176">
        <v>545882.18999999994</v>
      </c>
      <c r="F48" s="176">
        <v>296439</v>
      </c>
      <c r="G48" s="23" t="str">
        <f>VLOOKUP(B48,'TB 0425'!A:A,1,0)</f>
        <v>TDS Receivable</v>
      </c>
    </row>
    <row r="49" spans="1:7" x14ac:dyDescent="0.35">
      <c r="A49" s="174" t="s">
        <v>532</v>
      </c>
      <c r="B49" s="175" t="str">
        <f t="shared" si="0"/>
        <v>Liabilities</v>
      </c>
      <c r="C49" s="24" t="s">
        <v>85</v>
      </c>
      <c r="D49" s="24" t="s">
        <v>85</v>
      </c>
      <c r="E49" s="24" t="s">
        <v>85</v>
      </c>
      <c r="F49" s="24" t="s">
        <v>85</v>
      </c>
    </row>
    <row r="50" spans="1:7" x14ac:dyDescent="0.35">
      <c r="A50" s="174" t="s">
        <v>533</v>
      </c>
      <c r="B50" s="175" t="str">
        <f t="shared" si="0"/>
        <v>Accounts Payable</v>
      </c>
      <c r="C50" s="176">
        <v>-6183156.8099999996</v>
      </c>
      <c r="D50" s="176">
        <v>23518766.289999999</v>
      </c>
      <c r="E50" s="176">
        <v>26099233.25</v>
      </c>
      <c r="F50" s="176">
        <v>-8763623.7699999996</v>
      </c>
      <c r="G50" s="23" t="str">
        <f>VLOOKUP(B50,'TB 0425'!A:A,1,0)</f>
        <v>Accounts Payable</v>
      </c>
    </row>
    <row r="51" spans="1:7" x14ac:dyDescent="0.35">
      <c r="A51" s="174" t="s">
        <v>1329</v>
      </c>
      <c r="B51" s="175" t="str">
        <f t="shared" si="0"/>
        <v>Advance from B2C Customer</v>
      </c>
      <c r="C51" s="176">
        <v>0</v>
      </c>
      <c r="D51" s="176">
        <v>0</v>
      </c>
      <c r="E51" s="176">
        <v>121194</v>
      </c>
      <c r="F51" s="176">
        <v>-121194</v>
      </c>
      <c r="G51" s="23" t="str">
        <f>VLOOKUP(B51,'TB 0425'!A:A,1,0)</f>
        <v>Advance from B2C Customer</v>
      </c>
    </row>
    <row r="52" spans="1:7" x14ac:dyDescent="0.35">
      <c r="A52" s="174" t="s">
        <v>534</v>
      </c>
      <c r="B52" s="175" t="str">
        <f t="shared" si="0"/>
        <v>App Wallet</v>
      </c>
      <c r="C52" s="176">
        <v>-258778.27</v>
      </c>
      <c r="D52" s="176">
        <v>109544</v>
      </c>
      <c r="E52" s="176">
        <v>117900</v>
      </c>
      <c r="F52" s="176">
        <v>-267134.27</v>
      </c>
      <c r="G52" s="23" t="str">
        <f>VLOOKUP(B52,'TB 0425'!A:A,1,0)</f>
        <v>App Wallet</v>
      </c>
    </row>
    <row r="53" spans="1:7" x14ac:dyDescent="0.35">
      <c r="A53" s="174" t="s">
        <v>535</v>
      </c>
      <c r="B53" s="175" t="str">
        <f t="shared" si="0"/>
        <v>Employee Reimbursements</v>
      </c>
      <c r="C53" s="176">
        <v>-128980</v>
      </c>
      <c r="D53" s="176">
        <v>128980</v>
      </c>
      <c r="E53" s="176">
        <v>143152.32000000001</v>
      </c>
      <c r="F53" s="176">
        <v>-143152.32000000001</v>
      </c>
      <c r="G53" s="23" t="str">
        <f>VLOOKUP(B53,'TB 0425'!A:A,1,0)</f>
        <v>Employee Reimbursements</v>
      </c>
    </row>
    <row r="54" spans="1:7" x14ac:dyDescent="0.35">
      <c r="A54" s="174" t="s">
        <v>621</v>
      </c>
      <c r="B54" s="175" t="str">
        <f t="shared" si="0"/>
        <v>Employee Salaries Payable</v>
      </c>
      <c r="C54" s="176">
        <v>-175904</v>
      </c>
      <c r="D54" s="176">
        <v>68536</v>
      </c>
      <c r="E54" s="176">
        <v>56322</v>
      </c>
      <c r="F54" s="176">
        <v>-163690</v>
      </c>
      <c r="G54" s="23" t="str">
        <f>VLOOKUP(B54,'TB 0425'!A:A,1,0)</f>
        <v>Employee Salaries Payable</v>
      </c>
    </row>
    <row r="55" spans="1:7" x14ac:dyDescent="0.35">
      <c r="A55" s="174" t="s">
        <v>763</v>
      </c>
      <c r="B55" s="175" t="str">
        <f t="shared" si="0"/>
        <v>Employees State Insurance</v>
      </c>
      <c r="C55" s="176">
        <v>0</v>
      </c>
      <c r="D55" s="176">
        <v>0</v>
      </c>
      <c r="E55" s="176">
        <v>0</v>
      </c>
      <c r="F55" s="176">
        <v>0</v>
      </c>
    </row>
    <row r="56" spans="1:7" x14ac:dyDescent="0.35">
      <c r="A56" s="174" t="s">
        <v>764</v>
      </c>
      <c r="B56" s="175" t="str">
        <f t="shared" si="0"/>
        <v>ESI - Employee</v>
      </c>
      <c r="C56" s="176">
        <v>-118</v>
      </c>
      <c r="D56" s="176">
        <v>0</v>
      </c>
      <c r="E56" s="176">
        <v>190</v>
      </c>
      <c r="F56" s="176">
        <v>-308</v>
      </c>
      <c r="G56" s="23" t="str">
        <f>VLOOKUP(B56,'TB 0425'!A:A,1,0)</f>
        <v>ESI - Employee</v>
      </c>
    </row>
    <row r="57" spans="1:7" x14ac:dyDescent="0.35">
      <c r="A57" s="174" t="s">
        <v>765</v>
      </c>
      <c r="B57" s="175" t="str">
        <f t="shared" si="0"/>
        <v>ESI - Employer</v>
      </c>
      <c r="C57" s="176">
        <v>-507</v>
      </c>
      <c r="D57" s="176">
        <v>0</v>
      </c>
      <c r="E57" s="176">
        <v>820</v>
      </c>
      <c r="F57" s="176">
        <v>-1327</v>
      </c>
      <c r="G57" s="23" t="str">
        <f>VLOOKUP(B57,'TB 0425'!A:A,1,0)</f>
        <v>ESI - Employer</v>
      </c>
    </row>
    <row r="58" spans="1:7" ht="15.5" x14ac:dyDescent="0.35">
      <c r="A58" s="177" t="s">
        <v>766</v>
      </c>
      <c r="B58" s="175" t="str">
        <f t="shared" si="0"/>
        <v>Total for Employees State Insurance</v>
      </c>
      <c r="C58" s="178">
        <v>-625</v>
      </c>
      <c r="D58" s="178">
        <v>0</v>
      </c>
      <c r="E58" s="178">
        <v>1010</v>
      </c>
      <c r="F58" s="178">
        <v>-1635</v>
      </c>
    </row>
    <row r="59" spans="1:7" x14ac:dyDescent="0.35">
      <c r="B59" s="175" t="str">
        <f t="shared" si="0"/>
        <v/>
      </c>
    </row>
    <row r="60" spans="1:7" x14ac:dyDescent="0.35">
      <c r="A60" s="174" t="s">
        <v>536</v>
      </c>
      <c r="B60" s="175" t="str">
        <f t="shared" si="0"/>
        <v>GST Payable</v>
      </c>
      <c r="C60" s="176">
        <v>-390645</v>
      </c>
      <c r="D60" s="176">
        <v>0</v>
      </c>
      <c r="E60" s="176">
        <v>0</v>
      </c>
      <c r="F60" s="176">
        <v>-390645</v>
      </c>
      <c r="G60" s="23" t="str">
        <f>VLOOKUP(B60,'TB 0425'!A:A,1,0)</f>
        <v>GST Payable</v>
      </c>
    </row>
    <row r="61" spans="1:7" x14ac:dyDescent="0.35">
      <c r="A61" s="174" t="s">
        <v>537</v>
      </c>
      <c r="B61" s="175" t="str">
        <f t="shared" si="0"/>
        <v>Output CGST</v>
      </c>
      <c r="C61" s="176">
        <v>222245.19</v>
      </c>
      <c r="D61" s="176">
        <v>79129</v>
      </c>
      <c r="E61" s="176">
        <v>127249.43</v>
      </c>
      <c r="F61" s="176">
        <v>174124.76</v>
      </c>
      <c r="G61" s="23" t="str">
        <f>VLOOKUP(B61,'TB 0425'!A:A,1,0)</f>
        <v>Output CGST</v>
      </c>
    </row>
    <row r="62" spans="1:7" x14ac:dyDescent="0.35">
      <c r="A62" s="174" t="s">
        <v>538</v>
      </c>
      <c r="B62" s="175" t="str">
        <f t="shared" si="0"/>
        <v>Output IGST</v>
      </c>
      <c r="C62" s="176">
        <v>-262475.40000000002</v>
      </c>
      <c r="D62" s="176">
        <v>305199</v>
      </c>
      <c r="E62" s="176">
        <v>153314.97</v>
      </c>
      <c r="F62" s="176">
        <v>-110591.37</v>
      </c>
      <c r="G62" s="23" t="str">
        <f>VLOOKUP(B62,'TB 0425'!A:A,1,0)</f>
        <v>Output IGST</v>
      </c>
    </row>
    <row r="63" spans="1:7" x14ac:dyDescent="0.35">
      <c r="A63" s="174" t="s">
        <v>539</v>
      </c>
      <c r="B63" s="175" t="str">
        <f t="shared" si="0"/>
        <v>Output SGST</v>
      </c>
      <c r="C63" s="176">
        <v>-40230.81</v>
      </c>
      <c r="D63" s="176">
        <v>79129</v>
      </c>
      <c r="E63" s="176">
        <v>127249.43</v>
      </c>
      <c r="F63" s="176">
        <v>-88351.24</v>
      </c>
      <c r="G63" s="23" t="str">
        <f>VLOOKUP(B63,'TB 0425'!A:A,1,0)</f>
        <v>Output SGST</v>
      </c>
    </row>
    <row r="64" spans="1:7" ht="15.5" x14ac:dyDescent="0.35">
      <c r="A64" s="177" t="s">
        <v>540</v>
      </c>
      <c r="B64" s="175" t="str">
        <f t="shared" si="0"/>
        <v>Total for GST Payable</v>
      </c>
      <c r="C64" s="178">
        <v>-471106.02</v>
      </c>
      <c r="D64" s="178">
        <v>463457</v>
      </c>
      <c r="E64" s="178">
        <v>407813.83</v>
      </c>
      <c r="F64" s="178">
        <v>-415462.85</v>
      </c>
    </row>
    <row r="65" spans="1:7" x14ac:dyDescent="0.35">
      <c r="B65" s="175" t="str">
        <f t="shared" si="0"/>
        <v/>
      </c>
    </row>
    <row r="66" spans="1:7" x14ac:dyDescent="0.35">
      <c r="A66" s="174" t="s">
        <v>541</v>
      </c>
      <c r="B66" s="175" t="str">
        <f t="shared" si="0"/>
        <v>Professional Tax</v>
      </c>
      <c r="C66" s="176">
        <v>-16200</v>
      </c>
      <c r="D66" s="176">
        <v>14800</v>
      </c>
      <c r="E66" s="176">
        <v>26600</v>
      </c>
      <c r="F66" s="176">
        <v>-28000</v>
      </c>
      <c r="G66" s="23" t="str">
        <f>VLOOKUP(B66,'TB 0425'!A:A,1,0)</f>
        <v>Professional Tax</v>
      </c>
    </row>
    <row r="67" spans="1:7" x14ac:dyDescent="0.35">
      <c r="A67" s="174" t="s">
        <v>542</v>
      </c>
      <c r="B67" s="175" t="str">
        <f t="shared" si="0"/>
        <v>Provident Fund</v>
      </c>
      <c r="C67" s="176">
        <v>0</v>
      </c>
      <c r="D67" s="176">
        <v>0</v>
      </c>
      <c r="E67" s="176">
        <v>0</v>
      </c>
      <c r="F67" s="176">
        <v>0</v>
      </c>
    </row>
    <row r="68" spans="1:7" x14ac:dyDescent="0.35">
      <c r="A68" s="174" t="s">
        <v>543</v>
      </c>
      <c r="B68" s="175" t="str">
        <f t="shared" si="0"/>
        <v>Provident Fund - Employee</v>
      </c>
      <c r="C68" s="176">
        <v>-175892</v>
      </c>
      <c r="D68" s="176">
        <v>175892</v>
      </c>
      <c r="E68" s="176">
        <v>290717</v>
      </c>
      <c r="F68" s="176">
        <v>-290717</v>
      </c>
      <c r="G68" s="23" t="str">
        <f>VLOOKUP(B68,'TB 0425'!A:A,1,0)</f>
        <v>Provident Fund - Employee</v>
      </c>
    </row>
    <row r="69" spans="1:7" x14ac:dyDescent="0.35">
      <c r="A69" s="174" t="s">
        <v>544</v>
      </c>
      <c r="B69" s="175" t="str">
        <f t="shared" si="0"/>
        <v>Provident Fund - Employer</v>
      </c>
      <c r="C69" s="176">
        <v>-175892</v>
      </c>
      <c r="D69" s="176">
        <v>175892</v>
      </c>
      <c r="E69" s="176">
        <v>290717</v>
      </c>
      <c r="F69" s="176">
        <v>-290717</v>
      </c>
      <c r="G69" s="23" t="str">
        <f>VLOOKUP(B69,'TB 0425'!A:A,1,0)</f>
        <v>Provident Fund - Employer</v>
      </c>
    </row>
    <row r="70" spans="1:7" ht="15.5" x14ac:dyDescent="0.35">
      <c r="A70" s="177" t="s">
        <v>545</v>
      </c>
      <c r="B70" s="175" t="str">
        <f t="shared" ref="B70:B141" si="1">TRIM(A70)</f>
        <v>Total for Provident Fund</v>
      </c>
      <c r="C70" s="178">
        <v>-351784</v>
      </c>
      <c r="D70" s="178">
        <v>351784</v>
      </c>
      <c r="E70" s="178">
        <v>581434</v>
      </c>
      <c r="F70" s="178">
        <v>-581434</v>
      </c>
    </row>
    <row r="71" spans="1:7" x14ac:dyDescent="0.35">
      <c r="B71" s="175" t="str">
        <f t="shared" si="1"/>
        <v/>
      </c>
    </row>
    <row r="72" spans="1:7" x14ac:dyDescent="0.35">
      <c r="A72" s="174" t="s">
        <v>546</v>
      </c>
      <c r="B72" s="175" t="str">
        <f t="shared" si="1"/>
        <v>Provision for Audit Fees</v>
      </c>
      <c r="C72" s="176">
        <v>-100000</v>
      </c>
      <c r="D72" s="176">
        <v>0</v>
      </c>
      <c r="E72" s="176">
        <v>0</v>
      </c>
      <c r="F72" s="176">
        <v>-100000</v>
      </c>
      <c r="G72" s="23" t="str">
        <f>VLOOKUP(B72,'TB 0425'!A:A,1,0)</f>
        <v>Provision for Audit Fees</v>
      </c>
    </row>
    <row r="73" spans="1:7" x14ac:dyDescent="0.35">
      <c r="A73" s="174" t="s">
        <v>1423</v>
      </c>
      <c r="B73" s="175" t="str">
        <f t="shared" si="1"/>
        <v>Provision for Gratuity - LT</v>
      </c>
      <c r="C73" s="176">
        <v>-548984</v>
      </c>
      <c r="D73" s="176">
        <v>0</v>
      </c>
      <c r="E73" s="176">
        <v>0</v>
      </c>
      <c r="F73" s="176">
        <v>-548984</v>
      </c>
      <c r="G73" s="23" t="str">
        <f>VLOOKUP(B73,'TB 0425'!A:A,1,0)</f>
        <v>Provision for Gratuity - LT</v>
      </c>
    </row>
    <row r="74" spans="1:7" x14ac:dyDescent="0.35">
      <c r="A74" s="174" t="s">
        <v>1424</v>
      </c>
      <c r="B74" s="175" t="str">
        <f t="shared" si="1"/>
        <v>Provision for Gratuity - ST</v>
      </c>
      <c r="C74" s="176">
        <v>-1269</v>
      </c>
      <c r="D74" s="176">
        <v>0</v>
      </c>
      <c r="E74" s="176">
        <v>0</v>
      </c>
      <c r="F74" s="176">
        <v>-1269</v>
      </c>
      <c r="G74" s="23" t="str">
        <f>VLOOKUP(B74,'TB 0425'!A:A,1,0)</f>
        <v>Provision for Gratuity - ST</v>
      </c>
    </row>
    <row r="75" spans="1:7" x14ac:dyDescent="0.35">
      <c r="A75" s="174" t="s">
        <v>547</v>
      </c>
      <c r="B75" s="175" t="str">
        <f t="shared" si="1"/>
        <v>Provision for Other Cost</v>
      </c>
      <c r="C75" s="176">
        <v>-31600</v>
      </c>
      <c r="D75" s="176">
        <v>31600</v>
      </c>
      <c r="E75" s="176">
        <v>0</v>
      </c>
      <c r="F75" s="176">
        <v>0</v>
      </c>
      <c r="G75" s="23" t="str">
        <f>VLOOKUP(B75,'TB 0425'!A:A,1,0)</f>
        <v>Provision for Other Cost</v>
      </c>
    </row>
    <row r="76" spans="1:7" x14ac:dyDescent="0.35">
      <c r="A76" s="174" t="s">
        <v>959</v>
      </c>
      <c r="B76" s="175" t="str">
        <f t="shared" si="1"/>
        <v>Provision for Professional Fees</v>
      </c>
      <c r="C76" s="176">
        <v>0</v>
      </c>
      <c r="D76" s="176">
        <v>0</v>
      </c>
      <c r="E76" s="176">
        <v>36280</v>
      </c>
      <c r="F76" s="176">
        <v>-36280</v>
      </c>
      <c r="G76" s="23" t="str">
        <f>VLOOKUP(B76,'TB 0425'!A:A,1,0)</f>
        <v>Provision for Professional Fees</v>
      </c>
    </row>
    <row r="77" spans="1:7" x14ac:dyDescent="0.35">
      <c r="A77" s="174" t="s">
        <v>550</v>
      </c>
      <c r="B77" s="175" t="str">
        <f t="shared" si="1"/>
        <v>TDS Payable</v>
      </c>
      <c r="C77" s="176">
        <v>-794970.32</v>
      </c>
      <c r="D77" s="176">
        <v>794868</v>
      </c>
      <c r="E77" s="176">
        <v>1924560.72</v>
      </c>
      <c r="F77" s="176">
        <v>-1924663.04</v>
      </c>
      <c r="G77" s="23" t="str">
        <f>VLOOKUP(B77,'TB 0425'!A:A,1,0)</f>
        <v>TDS Payable</v>
      </c>
    </row>
    <row r="78" spans="1:7" x14ac:dyDescent="0.35">
      <c r="A78" s="174" t="s">
        <v>1425</v>
      </c>
      <c r="B78" s="175" t="str">
        <f t="shared" si="1"/>
        <v>Unearned Revenue</v>
      </c>
      <c r="C78" s="176">
        <v>0</v>
      </c>
      <c r="D78" s="176">
        <v>170</v>
      </c>
      <c r="E78" s="176">
        <v>170</v>
      </c>
      <c r="F78" s="176">
        <v>0</v>
      </c>
      <c r="G78" s="23" t="str">
        <f>VLOOKUP(B78,'TB 0425'!A:A,1,0)</f>
        <v>Unearned Revenue</v>
      </c>
    </row>
    <row r="79" spans="1:7" x14ac:dyDescent="0.35">
      <c r="A79" s="174" t="s">
        <v>551</v>
      </c>
      <c r="B79" s="175" t="str">
        <f t="shared" si="1"/>
        <v>Variable Salary Payable</v>
      </c>
      <c r="C79" s="176">
        <v>-99280</v>
      </c>
      <c r="D79" s="176">
        <v>0</v>
      </c>
      <c r="E79" s="176">
        <v>141486</v>
      </c>
      <c r="F79" s="176">
        <v>-240766</v>
      </c>
      <c r="G79" s="23" t="str">
        <f>VLOOKUP(B79,'TB 0425'!A:A,1,0)</f>
        <v>Variable Salary Payable</v>
      </c>
    </row>
    <row r="80" spans="1:7" x14ac:dyDescent="0.35">
      <c r="A80" s="174" t="s">
        <v>552</v>
      </c>
      <c r="B80" s="175" t="str">
        <f t="shared" si="1"/>
        <v>Equities</v>
      </c>
      <c r="C80" s="24" t="s">
        <v>85</v>
      </c>
      <c r="D80" s="24" t="s">
        <v>85</v>
      </c>
      <c r="E80" s="24" t="s">
        <v>85</v>
      </c>
      <c r="F80" s="24" t="s">
        <v>85</v>
      </c>
    </row>
    <row r="81" spans="1:7" x14ac:dyDescent="0.35">
      <c r="A81" s="174" t="s">
        <v>1426</v>
      </c>
      <c r="B81" s="175" t="str">
        <f t="shared" si="1"/>
        <v>ESOP Outstanding Reserve</v>
      </c>
      <c r="C81" s="24">
        <v>-1245691</v>
      </c>
      <c r="D81" s="24">
        <v>0</v>
      </c>
      <c r="E81" s="24">
        <v>0</v>
      </c>
      <c r="F81" s="24">
        <v>-1245691</v>
      </c>
      <c r="G81" s="23" t="str">
        <f>VLOOKUP(B81,'TB 0425'!A:A,1,0)</f>
        <v>ESOP Outstanding Reserve</v>
      </c>
    </row>
    <row r="82" spans="1:7" x14ac:dyDescent="0.35">
      <c r="A82" s="174" t="s">
        <v>554</v>
      </c>
      <c r="B82" s="175" t="str">
        <f t="shared" si="1"/>
        <v>Owner's Equity</v>
      </c>
      <c r="C82" s="176">
        <v>-100000</v>
      </c>
      <c r="D82" s="176">
        <v>0</v>
      </c>
      <c r="E82" s="176">
        <v>0</v>
      </c>
      <c r="F82" s="176">
        <v>-100000</v>
      </c>
      <c r="G82" s="23" t="str">
        <f>VLOOKUP(B82,'TB 0425'!A:A,1,0)</f>
        <v>Owner's Equity</v>
      </c>
    </row>
    <row r="83" spans="1:7" x14ac:dyDescent="0.35">
      <c r="A83" s="174" t="s">
        <v>683</v>
      </c>
      <c r="B83" s="175" t="str">
        <f t="shared" si="1"/>
        <v>Elevation Capital III Limited ESC</v>
      </c>
      <c r="C83" s="176">
        <v>-10</v>
      </c>
      <c r="D83" s="176">
        <v>0</v>
      </c>
      <c r="E83" s="176">
        <v>0</v>
      </c>
      <c r="F83" s="176">
        <v>-10</v>
      </c>
      <c r="G83" s="23" t="str">
        <f>VLOOKUP(B83,'TB 0425'!A:A,1,0)</f>
        <v>Elevation Capital III Limited ESC</v>
      </c>
    </row>
    <row r="84" spans="1:7" x14ac:dyDescent="0.35">
      <c r="A84" s="174" t="s">
        <v>684</v>
      </c>
      <c r="B84" s="175" t="str">
        <f t="shared" si="1"/>
        <v>Elevation Capital III Limited PSC</v>
      </c>
      <c r="C84" s="176">
        <v>-4091400</v>
      </c>
      <c r="D84" s="176">
        <v>0</v>
      </c>
      <c r="E84" s="176">
        <v>0</v>
      </c>
      <c r="F84" s="176">
        <v>-4091400</v>
      </c>
      <c r="G84" s="23" t="str">
        <f>VLOOKUP(B84,'TB 0425'!A:A,1,0)</f>
        <v>Elevation Capital III Limited PSC</v>
      </c>
    </row>
    <row r="85" spans="1:7" x14ac:dyDescent="0.35">
      <c r="A85" s="174" t="s">
        <v>685</v>
      </c>
      <c r="B85" s="175" t="str">
        <f t="shared" si="1"/>
        <v>Gaurav Munjal</v>
      </c>
      <c r="C85" s="176">
        <v>-10800</v>
      </c>
      <c r="D85" s="176">
        <v>0</v>
      </c>
      <c r="E85" s="176">
        <v>0</v>
      </c>
      <c r="F85" s="176">
        <v>-10800</v>
      </c>
      <c r="G85" s="23" t="str">
        <f>VLOOKUP(B85,'TB 0425'!A:A,1,0)</f>
        <v>Gaurav Munjal</v>
      </c>
    </row>
    <row r="86" spans="1:7" x14ac:dyDescent="0.35">
      <c r="A86" s="174" t="s">
        <v>555</v>
      </c>
      <c r="B86" s="175" t="str">
        <f t="shared" si="1"/>
        <v>Nexus Ventures VII Holdings LLC ESC</v>
      </c>
      <c r="C86" s="176">
        <v>-10</v>
      </c>
      <c r="D86" s="176">
        <v>0</v>
      </c>
      <c r="E86" s="176">
        <v>0</v>
      </c>
      <c r="F86" s="176">
        <v>-10</v>
      </c>
      <c r="G86" s="23" t="str">
        <f>VLOOKUP(B86,'TB 0425'!A:A,1,0)</f>
        <v>Nexus Ventures VII Holdings LLC ESC</v>
      </c>
    </row>
    <row r="87" spans="1:7" x14ac:dyDescent="0.35">
      <c r="A87" s="174" t="s">
        <v>556</v>
      </c>
      <c r="B87" s="175" t="str">
        <f t="shared" si="1"/>
        <v>Nexus Ventures VII Holdings LLC PSC</v>
      </c>
      <c r="C87" s="176">
        <v>-5126000</v>
      </c>
      <c r="D87" s="176">
        <v>0</v>
      </c>
      <c r="E87" s="176">
        <v>0</v>
      </c>
      <c r="F87" s="176">
        <v>-5126000</v>
      </c>
      <c r="G87" s="23" t="str">
        <f>VLOOKUP(B87,'TB 0425'!A:A,1,0)</f>
        <v>Nexus Ventures VII Holdings LLC PSC</v>
      </c>
    </row>
    <row r="88" spans="1:7" x14ac:dyDescent="0.35">
      <c r="A88" s="174" t="s">
        <v>686</v>
      </c>
      <c r="B88" s="175" t="str">
        <f t="shared" si="1"/>
        <v>Niraj Singh</v>
      </c>
      <c r="C88" s="176">
        <v>-16200</v>
      </c>
      <c r="D88" s="176">
        <v>0</v>
      </c>
      <c r="E88" s="176">
        <v>0</v>
      </c>
      <c r="F88" s="176">
        <v>-16200</v>
      </c>
      <c r="G88" s="23" t="str">
        <f>VLOOKUP(B88,'TB 0425'!A:A,1,0)</f>
        <v>Niraj Singh</v>
      </c>
    </row>
    <row r="89" spans="1:7" x14ac:dyDescent="0.35">
      <c r="A89" s="174" t="s">
        <v>687</v>
      </c>
      <c r="B89" s="175" t="str">
        <f t="shared" si="1"/>
        <v>Pranav Goenka</v>
      </c>
      <c r="C89" s="176">
        <v>-5400</v>
      </c>
      <c r="D89" s="176">
        <v>0</v>
      </c>
      <c r="E89" s="176">
        <v>0</v>
      </c>
      <c r="F89" s="176">
        <v>-5400</v>
      </c>
      <c r="G89" s="23" t="str">
        <f>VLOOKUP(B89,'TB 0425'!A:A,1,0)</f>
        <v>Pranav Goenka</v>
      </c>
    </row>
    <row r="90" spans="1:7" x14ac:dyDescent="0.35">
      <c r="A90" s="174" t="s">
        <v>688</v>
      </c>
      <c r="B90" s="175" t="str">
        <f t="shared" si="1"/>
        <v>Sanjeev Kumar</v>
      </c>
      <c r="C90" s="176">
        <v>-37800</v>
      </c>
      <c r="D90" s="176">
        <v>0</v>
      </c>
      <c r="E90" s="176">
        <v>0</v>
      </c>
      <c r="F90" s="176">
        <v>-37800</v>
      </c>
      <c r="G90" s="23" t="str">
        <f>VLOOKUP(B90,'TB 0425'!A:A,1,0)</f>
        <v>Sanjeev Kumar</v>
      </c>
    </row>
    <row r="91" spans="1:7" x14ac:dyDescent="0.35">
      <c r="A91" s="174" t="s">
        <v>557</v>
      </c>
      <c r="B91" s="175" t="str">
        <f t="shared" si="1"/>
        <v>Securities Premium</v>
      </c>
      <c r="C91" s="176">
        <v>-545637669.75999999</v>
      </c>
      <c r="D91" s="176">
        <v>0</v>
      </c>
      <c r="E91" s="176">
        <v>0</v>
      </c>
      <c r="F91" s="176">
        <v>-545637669.75999999</v>
      </c>
      <c r="G91" s="23" t="str">
        <f>VLOOKUP(B91,'TB 0425'!A:A,1,0)</f>
        <v>Securities Premium</v>
      </c>
    </row>
    <row r="92" spans="1:7" x14ac:dyDescent="0.35">
      <c r="A92" s="174" t="s">
        <v>689</v>
      </c>
      <c r="B92" s="175" t="str">
        <f t="shared" si="1"/>
        <v>Shantam Jain</v>
      </c>
      <c r="C92" s="176">
        <v>-5400</v>
      </c>
      <c r="D92" s="176">
        <v>0</v>
      </c>
      <c r="E92" s="176">
        <v>0</v>
      </c>
      <c r="F92" s="176">
        <v>-5400</v>
      </c>
      <c r="G92" s="23" t="str">
        <f>VLOOKUP(B92,'TB 0425'!A:A,1,0)</f>
        <v>Shantam Jain</v>
      </c>
    </row>
    <row r="93" spans="1:7" x14ac:dyDescent="0.35">
      <c r="A93" s="174" t="s">
        <v>690</v>
      </c>
      <c r="B93" s="175" t="str">
        <f t="shared" si="1"/>
        <v>Siddhartha Kochar</v>
      </c>
      <c r="C93" s="176">
        <v>-5400</v>
      </c>
      <c r="D93" s="176">
        <v>0</v>
      </c>
      <c r="E93" s="176">
        <v>0</v>
      </c>
      <c r="F93" s="176">
        <v>-5400</v>
      </c>
      <c r="G93" s="23" t="str">
        <f>VLOOKUP(B93,'TB 0425'!A:A,1,0)</f>
        <v>Siddhartha Kochar</v>
      </c>
    </row>
    <row r="94" spans="1:7" x14ac:dyDescent="0.35">
      <c r="A94" s="174" t="s">
        <v>691</v>
      </c>
      <c r="B94" s="175" t="str">
        <f t="shared" si="1"/>
        <v>Unnat SK Bajoria</v>
      </c>
      <c r="C94" s="176">
        <v>-5400</v>
      </c>
      <c r="D94" s="176">
        <v>0</v>
      </c>
      <c r="E94" s="176">
        <v>0</v>
      </c>
      <c r="F94" s="176">
        <v>-5400</v>
      </c>
      <c r="G94" s="23" t="str">
        <f>VLOOKUP(B94,'TB 0425'!A:A,1,0)</f>
        <v>Unnat SK Bajoria</v>
      </c>
    </row>
    <row r="95" spans="1:7" x14ac:dyDescent="0.35">
      <c r="A95" s="174" t="s">
        <v>692</v>
      </c>
      <c r="B95" s="175" t="str">
        <f t="shared" si="1"/>
        <v>Vidit Aatrey</v>
      </c>
      <c r="C95" s="176">
        <v>-37800</v>
      </c>
      <c r="D95" s="176">
        <v>0</v>
      </c>
      <c r="E95" s="176">
        <v>0</v>
      </c>
      <c r="F95" s="176">
        <v>-37800</v>
      </c>
      <c r="G95" s="23" t="str">
        <f>VLOOKUP(B95,'TB 0425'!A:A,1,0)</f>
        <v>Vidit Aatrey</v>
      </c>
    </row>
    <row r="96" spans="1:7" ht="15.5" x14ac:dyDescent="0.35">
      <c r="A96" s="177" t="s">
        <v>558</v>
      </c>
      <c r="B96" s="175" t="str">
        <f t="shared" si="1"/>
        <v>Total for Owner's Equity</v>
      </c>
      <c r="C96" s="178">
        <v>-555079289.75999999</v>
      </c>
      <c r="D96" s="178">
        <v>0</v>
      </c>
      <c r="E96" s="178">
        <v>0</v>
      </c>
      <c r="F96" s="178">
        <v>-555079289.75999999</v>
      </c>
    </row>
    <row r="97" spans="1:9" x14ac:dyDescent="0.35">
      <c r="B97" s="175" t="str">
        <f t="shared" si="1"/>
        <v/>
      </c>
    </row>
    <row r="98" spans="1:9" x14ac:dyDescent="0.35">
      <c r="A98" s="174" t="s">
        <v>559</v>
      </c>
      <c r="B98" s="175" t="str">
        <f t="shared" si="1"/>
        <v>Retained Earnings</v>
      </c>
      <c r="C98" s="176">
        <v>58903866.530000001</v>
      </c>
      <c r="D98" s="176">
        <v>0</v>
      </c>
      <c r="E98" s="176">
        <v>0</v>
      </c>
      <c r="F98" s="176">
        <v>58903866.530000001</v>
      </c>
      <c r="G98" s="23" t="str">
        <f>VLOOKUP(B98,'TB 0425'!A:A,1,0)</f>
        <v>Retained Earnings</v>
      </c>
      <c r="I98" s="206"/>
    </row>
    <row r="99" spans="1:9" x14ac:dyDescent="0.35">
      <c r="A99" s="174" t="s">
        <v>467</v>
      </c>
      <c r="B99" s="175" t="str">
        <f t="shared" si="1"/>
        <v>Income</v>
      </c>
      <c r="C99" s="24" t="s">
        <v>85</v>
      </c>
      <c r="D99" s="24" t="s">
        <v>85</v>
      </c>
      <c r="E99" s="24" t="s">
        <v>85</v>
      </c>
      <c r="F99" s="24" t="s">
        <v>85</v>
      </c>
    </row>
    <row r="100" spans="1:9" x14ac:dyDescent="0.35">
      <c r="A100" s="174" t="s">
        <v>468</v>
      </c>
      <c r="B100" s="175" t="str">
        <f t="shared" si="1"/>
        <v>Convenience and Platform Fee</v>
      </c>
      <c r="C100" s="176">
        <v>0</v>
      </c>
      <c r="D100" s="176">
        <v>207730</v>
      </c>
      <c r="E100" s="176">
        <v>866022.42</v>
      </c>
      <c r="F100" s="176">
        <v>-658292.42000000004</v>
      </c>
      <c r="G100" s="23" t="str">
        <f>VLOOKUP(B100,'TB 0425'!A:A,1,0)</f>
        <v>Convenience and Platform Fee</v>
      </c>
    </row>
    <row r="101" spans="1:9" x14ac:dyDescent="0.35">
      <c r="A101" s="174" t="s">
        <v>469</v>
      </c>
      <c r="B101" s="175" t="str">
        <f t="shared" si="1"/>
        <v>Discount</v>
      </c>
      <c r="C101" s="176">
        <v>0</v>
      </c>
      <c r="D101" s="176">
        <v>805190</v>
      </c>
      <c r="E101" s="176">
        <v>0</v>
      </c>
      <c r="F101" s="176">
        <v>805190</v>
      </c>
      <c r="G101" s="23" t="str">
        <f>VLOOKUP(B101,'TB 0425'!A:A,1,0)</f>
        <v>Discount</v>
      </c>
    </row>
    <row r="102" spans="1:9" x14ac:dyDescent="0.35">
      <c r="A102" s="174" t="s">
        <v>470</v>
      </c>
      <c r="B102" s="175" t="str">
        <f t="shared" si="1"/>
        <v>FD Interest Income</v>
      </c>
      <c r="C102" s="176">
        <v>0</v>
      </c>
      <c r="D102" s="176">
        <v>5597030</v>
      </c>
      <c r="E102" s="176">
        <v>8224844.7000000002</v>
      </c>
      <c r="F102" s="176">
        <v>-2627814.7000000002</v>
      </c>
      <c r="G102" s="23" t="str">
        <f>VLOOKUP(B102,'TB 0425'!A:A,1,0)</f>
        <v>FD Interest Income</v>
      </c>
    </row>
    <row r="103" spans="1:9" x14ac:dyDescent="0.35">
      <c r="A103" s="174" t="s">
        <v>471</v>
      </c>
      <c r="B103" s="175" t="str">
        <f t="shared" si="1"/>
        <v>Maestro Revenue</v>
      </c>
      <c r="C103" s="176">
        <v>0</v>
      </c>
      <c r="D103" s="176">
        <v>0</v>
      </c>
      <c r="E103" s="176">
        <v>2502447.35</v>
      </c>
      <c r="F103" s="176">
        <v>-2502447.35</v>
      </c>
      <c r="G103" s="23" t="str">
        <f>VLOOKUP(B103,'TB 0425'!A:A,1,0)</f>
        <v>Maestro Revenue</v>
      </c>
    </row>
    <row r="104" spans="1:9" x14ac:dyDescent="0.35">
      <c r="A104" s="174" t="s">
        <v>472</v>
      </c>
      <c r="B104" s="175" t="str">
        <f t="shared" si="1"/>
        <v>Expense</v>
      </c>
      <c r="C104" s="24" t="s">
        <v>85</v>
      </c>
      <c r="D104" s="24" t="s">
        <v>85</v>
      </c>
      <c r="E104" s="24" t="s">
        <v>85</v>
      </c>
      <c r="F104" s="24" t="s">
        <v>85</v>
      </c>
    </row>
    <row r="105" spans="1:9" x14ac:dyDescent="0.35">
      <c r="A105" s="174" t="s">
        <v>473</v>
      </c>
      <c r="B105" s="175" t="str">
        <f t="shared" si="1"/>
        <v>Accounting Services</v>
      </c>
      <c r="C105" s="24">
        <v>0</v>
      </c>
      <c r="D105" s="24">
        <v>70000</v>
      </c>
      <c r="E105" s="24">
        <v>0</v>
      </c>
      <c r="F105" s="24">
        <v>70000</v>
      </c>
      <c r="G105" s="23" t="str">
        <f>VLOOKUP(B105,'TB 0425'!A:A,1,0)</f>
        <v>Accounting Services</v>
      </c>
    </row>
    <row r="106" spans="1:9" x14ac:dyDescent="0.35">
      <c r="A106" s="174" t="s">
        <v>474</v>
      </c>
      <c r="B106" s="175" t="str">
        <f t="shared" si="1"/>
        <v>Bank Fees and Charges</v>
      </c>
      <c r="C106" s="176">
        <v>0</v>
      </c>
      <c r="D106" s="176">
        <v>1577.77</v>
      </c>
      <c r="E106" s="176">
        <v>0</v>
      </c>
      <c r="F106" s="176">
        <v>1577.77</v>
      </c>
      <c r="G106" s="23" t="str">
        <f>VLOOKUP(B106,'TB 0425'!A:A,1,0)</f>
        <v>Bank Fees and Charges</v>
      </c>
    </row>
    <row r="107" spans="1:9" x14ac:dyDescent="0.35">
      <c r="A107" s="174" t="s">
        <v>475</v>
      </c>
      <c r="B107" s="175" t="str">
        <f t="shared" si="1"/>
        <v>Branding Expense</v>
      </c>
      <c r="C107" s="176">
        <v>0</v>
      </c>
      <c r="D107" s="176">
        <v>427385</v>
      </c>
      <c r="E107" s="176">
        <v>0</v>
      </c>
      <c r="F107" s="176">
        <v>427385</v>
      </c>
      <c r="G107" s="23" t="str">
        <f>VLOOKUP(B107,'TB 0425'!A:A,1,0)</f>
        <v>Branding Expense</v>
      </c>
    </row>
    <row r="108" spans="1:9" x14ac:dyDescent="0.35">
      <c r="A108" s="174" t="s">
        <v>476</v>
      </c>
      <c r="B108" s="175" t="str">
        <f t="shared" si="1"/>
        <v>Customer Acquisition Cost</v>
      </c>
      <c r="C108" s="176">
        <v>0</v>
      </c>
      <c r="D108" s="176">
        <v>1215847.6100000001</v>
      </c>
      <c r="E108" s="176">
        <v>850</v>
      </c>
      <c r="F108" s="176">
        <v>1214997.6100000001</v>
      </c>
      <c r="G108" s="23" t="str">
        <f>VLOOKUP(B108,'TB 0425'!A:A,1,0)</f>
        <v>Customer Acquisition Cost</v>
      </c>
    </row>
    <row r="109" spans="1:9" x14ac:dyDescent="0.35">
      <c r="A109" s="174" t="s">
        <v>636</v>
      </c>
      <c r="B109" s="175" t="str">
        <f t="shared" si="1"/>
        <v>Customer Success Cost</v>
      </c>
      <c r="C109" s="176">
        <v>0</v>
      </c>
      <c r="D109" s="176">
        <v>5876</v>
      </c>
      <c r="E109" s="176">
        <v>0</v>
      </c>
      <c r="F109" s="176">
        <v>5876</v>
      </c>
      <c r="G109" s="23" t="str">
        <f>VLOOKUP(B109,'TB 0425'!A:A,1,0)</f>
        <v>Customer Success Cost</v>
      </c>
    </row>
    <row r="110" spans="1:9" x14ac:dyDescent="0.35">
      <c r="A110" s="174" t="s">
        <v>477</v>
      </c>
      <c r="B110" s="175" t="str">
        <f t="shared" si="1"/>
        <v>Depreciation and Amortization</v>
      </c>
      <c r="C110" s="176">
        <v>0</v>
      </c>
      <c r="D110" s="176">
        <v>213098.15</v>
      </c>
      <c r="E110" s="176">
        <v>0</v>
      </c>
      <c r="F110" s="176">
        <v>213098.15</v>
      </c>
      <c r="G110" s="23" t="str">
        <f>VLOOKUP(B110,'TB 0425'!A:A,1,0)</f>
        <v>Depreciation and Amortization</v>
      </c>
    </row>
    <row r="111" spans="1:9" x14ac:dyDescent="0.35">
      <c r="A111" s="174" t="s">
        <v>478</v>
      </c>
      <c r="B111" s="175" t="str">
        <f t="shared" si="1"/>
        <v>Employee Benefit Expense</v>
      </c>
      <c r="C111" s="176">
        <v>0</v>
      </c>
      <c r="D111" s="176">
        <v>0</v>
      </c>
      <c r="E111" s="176">
        <v>0</v>
      </c>
      <c r="F111" s="176">
        <v>0</v>
      </c>
    </row>
    <row r="112" spans="1:9" x14ac:dyDescent="0.35">
      <c r="A112" s="174" t="s">
        <v>767</v>
      </c>
      <c r="B112" s="175" t="str">
        <f t="shared" si="1"/>
        <v>Employer ESI Expense</v>
      </c>
      <c r="C112" s="176">
        <v>0</v>
      </c>
      <c r="D112" s="176">
        <v>820</v>
      </c>
      <c r="E112" s="176">
        <v>0</v>
      </c>
      <c r="F112" s="176">
        <v>820</v>
      </c>
      <c r="G112" s="23" t="str">
        <f>VLOOKUP(B112,'TB 0425'!A:A,1,0)</f>
        <v>Employer ESI Expense</v>
      </c>
    </row>
    <row r="113" spans="1:7" x14ac:dyDescent="0.35">
      <c r="A113" s="174" t="s">
        <v>479</v>
      </c>
      <c r="B113" s="175" t="str">
        <f t="shared" si="1"/>
        <v>Employer PF Expense</v>
      </c>
      <c r="C113" s="176">
        <v>0</v>
      </c>
      <c r="D113" s="176">
        <v>290717</v>
      </c>
      <c r="E113" s="176">
        <v>0</v>
      </c>
      <c r="F113" s="176">
        <v>290717</v>
      </c>
      <c r="G113" s="23" t="str">
        <f>VLOOKUP(B113,'TB 0425'!A:A,1,0)</f>
        <v>Employer PF Expense</v>
      </c>
    </row>
    <row r="114" spans="1:7" x14ac:dyDescent="0.35">
      <c r="A114" s="174" t="s">
        <v>480</v>
      </c>
      <c r="B114" s="175" t="str">
        <f t="shared" si="1"/>
        <v>PF Admin Expense</v>
      </c>
      <c r="C114" s="176">
        <v>0</v>
      </c>
      <c r="D114" s="176">
        <v>14658</v>
      </c>
      <c r="E114" s="176">
        <v>0</v>
      </c>
      <c r="F114" s="176">
        <v>14658</v>
      </c>
      <c r="G114" s="23" t="str">
        <f>VLOOKUP(B114,'TB 0425'!A:A,1,0)</f>
        <v>PF Admin Expense</v>
      </c>
    </row>
    <row r="115" spans="1:7" x14ac:dyDescent="0.35">
      <c r="A115" s="174" t="s">
        <v>481</v>
      </c>
      <c r="B115" s="175" t="str">
        <f t="shared" si="1"/>
        <v>Staff Welfare Expense</v>
      </c>
      <c r="C115" s="176">
        <v>0</v>
      </c>
      <c r="D115" s="176">
        <v>815509.42</v>
      </c>
      <c r="E115" s="176">
        <v>103089.73</v>
      </c>
      <c r="F115" s="176">
        <v>712419.69</v>
      </c>
      <c r="G115" s="23" t="str">
        <f>VLOOKUP(B115,'TB 0425'!A:A,1,0)</f>
        <v>Staff Welfare Expense</v>
      </c>
    </row>
    <row r="116" spans="1:7" x14ac:dyDescent="0.35">
      <c r="A116" s="174" t="s">
        <v>482</v>
      </c>
      <c r="B116" s="175" t="str">
        <f t="shared" si="1"/>
        <v>Variable Salary</v>
      </c>
      <c r="C116" s="176">
        <v>0</v>
      </c>
      <c r="D116" s="176">
        <v>141486</v>
      </c>
      <c r="E116" s="176">
        <v>0</v>
      </c>
      <c r="F116" s="176">
        <v>141486</v>
      </c>
      <c r="G116" s="23" t="str">
        <f>VLOOKUP(B116,'TB 0425'!A:A,1,0)</f>
        <v>Variable Salary</v>
      </c>
    </row>
    <row r="117" spans="1:7" ht="15.5" x14ac:dyDescent="0.35">
      <c r="A117" s="177" t="s">
        <v>483</v>
      </c>
      <c r="B117" s="175" t="str">
        <f t="shared" si="1"/>
        <v>Total for Employee Benefit Expense</v>
      </c>
      <c r="C117" s="178">
        <v>0</v>
      </c>
      <c r="D117" s="178">
        <v>1263190.42</v>
      </c>
      <c r="E117" s="178">
        <v>103089.73</v>
      </c>
      <c r="F117" s="178">
        <v>1160100.69</v>
      </c>
    </row>
    <row r="118" spans="1:7" x14ac:dyDescent="0.35">
      <c r="B118" s="175" t="str">
        <f t="shared" si="1"/>
        <v/>
      </c>
    </row>
    <row r="119" spans="1:7" x14ac:dyDescent="0.35">
      <c r="A119" s="174" t="s">
        <v>768</v>
      </c>
      <c r="B119" s="175" t="str">
        <f t="shared" si="1"/>
        <v>Expert Welfare Cost</v>
      </c>
      <c r="C119" s="176">
        <v>0</v>
      </c>
      <c r="D119" s="176">
        <v>78423.92</v>
      </c>
      <c r="E119" s="176">
        <v>0</v>
      </c>
      <c r="F119" s="176">
        <v>78423.92</v>
      </c>
      <c r="G119" s="23" t="str">
        <f>VLOOKUP(B119,'TB 0425'!A:A,1,0)</f>
        <v>Expert Welfare Cost</v>
      </c>
    </row>
    <row r="120" spans="1:7" x14ac:dyDescent="0.35">
      <c r="A120" s="174" t="s">
        <v>484</v>
      </c>
      <c r="B120" s="175" t="str">
        <f t="shared" si="1"/>
        <v>Fund Raising Expense</v>
      </c>
      <c r="C120" s="176">
        <v>0</v>
      </c>
      <c r="D120" s="176">
        <v>601000</v>
      </c>
      <c r="E120" s="176">
        <v>0</v>
      </c>
      <c r="F120" s="176">
        <v>601000</v>
      </c>
      <c r="G120" s="23" t="str">
        <f>VLOOKUP(B120,'TB 0425'!A:A,1,0)</f>
        <v>Fund Raising Expense</v>
      </c>
    </row>
    <row r="121" spans="1:7" x14ac:dyDescent="0.35">
      <c r="A121" s="174" t="s">
        <v>855</v>
      </c>
      <c r="B121" s="175" t="str">
        <f t="shared" si="1"/>
        <v>Hood Rent Expense</v>
      </c>
      <c r="C121" s="176">
        <v>0</v>
      </c>
      <c r="D121" s="176">
        <v>20000</v>
      </c>
      <c r="E121" s="176">
        <v>0</v>
      </c>
      <c r="F121" s="176">
        <v>20000</v>
      </c>
      <c r="G121" s="23" t="str">
        <f>VLOOKUP(B121,'TB 0425'!A:A,1,0)</f>
        <v>Hood Rent Expense</v>
      </c>
    </row>
    <row r="122" spans="1:7" x14ac:dyDescent="0.35">
      <c r="A122" s="174" t="s">
        <v>769</v>
      </c>
      <c r="B122" s="175" t="str">
        <f t="shared" si="1"/>
        <v>Hotspot Rent Expense</v>
      </c>
      <c r="C122" s="176">
        <v>0</v>
      </c>
      <c r="D122" s="176">
        <v>16667</v>
      </c>
      <c r="E122" s="176">
        <v>0</v>
      </c>
      <c r="F122" s="176">
        <v>16667</v>
      </c>
      <c r="G122" s="23" t="str">
        <f>VLOOKUP(B122,'TB 0425'!A:A,1,0)</f>
        <v>Hotspot Rent Expense</v>
      </c>
    </row>
    <row r="123" spans="1:7" x14ac:dyDescent="0.35">
      <c r="A123" s="174" t="s">
        <v>711</v>
      </c>
      <c r="B123" s="175" t="str">
        <f t="shared" si="1"/>
        <v>Interest on TDS</v>
      </c>
      <c r="C123" s="176">
        <v>0</v>
      </c>
      <c r="D123" s="176">
        <v>501</v>
      </c>
      <c r="E123" s="176">
        <v>0</v>
      </c>
      <c r="F123" s="176">
        <v>501</v>
      </c>
      <c r="G123" s="23" t="str">
        <f>VLOOKUP(B123,'TB 0425'!A:A,1,0)</f>
        <v>Interest on TDS</v>
      </c>
    </row>
    <row r="124" spans="1:7" x14ac:dyDescent="0.35">
      <c r="A124" s="174" t="s">
        <v>856</v>
      </c>
      <c r="B124" s="175" t="str">
        <f t="shared" si="1"/>
        <v>Machinery Rent Expense</v>
      </c>
      <c r="C124" s="176">
        <v>0</v>
      </c>
      <c r="D124" s="176">
        <v>6400</v>
      </c>
      <c r="E124" s="176">
        <v>0</v>
      </c>
      <c r="F124" s="176">
        <v>6400</v>
      </c>
      <c r="G124" s="23" t="str">
        <f>VLOOKUP(B124,'TB 0425'!A:A,1,0)</f>
        <v>Machinery Rent Expense</v>
      </c>
    </row>
    <row r="125" spans="1:7" x14ac:dyDescent="0.35">
      <c r="A125" s="174" t="s">
        <v>618</v>
      </c>
      <c r="B125" s="175" t="str">
        <f t="shared" si="1"/>
        <v>New User Discount</v>
      </c>
      <c r="C125" s="176">
        <v>0</v>
      </c>
      <c r="D125" s="176">
        <v>184608</v>
      </c>
      <c r="E125" s="176">
        <v>86536</v>
      </c>
      <c r="F125" s="176">
        <v>98072</v>
      </c>
      <c r="G125" s="23" t="str">
        <f>VLOOKUP(B125,'TB 0425'!A:A,1,0)</f>
        <v>New User Discount</v>
      </c>
    </row>
    <row r="126" spans="1:7" x14ac:dyDescent="0.35">
      <c r="A126" s="174" t="s">
        <v>486</v>
      </c>
      <c r="B126" s="175" t="str">
        <f t="shared" si="1"/>
        <v>Office and Admin Expense</v>
      </c>
      <c r="C126" s="176">
        <v>0</v>
      </c>
      <c r="D126" s="176">
        <v>36176.379999999997</v>
      </c>
      <c r="E126" s="176">
        <v>239.9</v>
      </c>
      <c r="F126" s="176">
        <v>35936.480000000003</v>
      </c>
      <c r="G126" s="23" t="str">
        <f>VLOOKUP(B126,'TB 0425'!A:A,1,0)</f>
        <v>Office and Admin Expense</v>
      </c>
    </row>
    <row r="127" spans="1:7" x14ac:dyDescent="0.35">
      <c r="A127" s="174" t="s">
        <v>487</v>
      </c>
      <c r="B127" s="175" t="str">
        <f t="shared" si="1"/>
        <v>Office Rent Expense</v>
      </c>
      <c r="C127" s="176">
        <v>0</v>
      </c>
      <c r="D127" s="176">
        <v>414294.4</v>
      </c>
      <c r="E127" s="176">
        <v>0</v>
      </c>
      <c r="F127" s="176">
        <v>414294.4</v>
      </c>
      <c r="G127" s="23" t="str">
        <f>VLOOKUP(B127,'TB 0425'!A:A,1,0)</f>
        <v>Office Rent Expense</v>
      </c>
    </row>
    <row r="128" spans="1:7" x14ac:dyDescent="0.35">
      <c r="A128" s="174" t="s">
        <v>956</v>
      </c>
      <c r="B128" s="175" t="str">
        <f t="shared" si="1"/>
        <v>Operational Expense</v>
      </c>
      <c r="C128" s="176">
        <v>0</v>
      </c>
      <c r="D128" s="176">
        <v>79319.759999999995</v>
      </c>
      <c r="E128" s="176">
        <v>0</v>
      </c>
      <c r="F128" s="176">
        <v>79319.759999999995</v>
      </c>
      <c r="G128" s="23" t="str">
        <f>VLOOKUP(B128,'TB 0425'!A:A,1,0)</f>
        <v>Operational Expense</v>
      </c>
    </row>
    <row r="129" spans="1:7" x14ac:dyDescent="0.35">
      <c r="A129" s="174" t="s">
        <v>488</v>
      </c>
      <c r="B129" s="175" t="str">
        <f t="shared" si="1"/>
        <v>Other Cost</v>
      </c>
      <c r="C129" s="176">
        <v>0</v>
      </c>
      <c r="D129" s="176">
        <v>77990</v>
      </c>
      <c r="E129" s="176">
        <v>31600</v>
      </c>
      <c r="F129" s="176">
        <v>46390</v>
      </c>
      <c r="G129" s="23" t="str">
        <f>VLOOKUP(B129,'TB 0425'!A:A,1,0)</f>
        <v>Other Cost</v>
      </c>
    </row>
    <row r="130" spans="1:7" x14ac:dyDescent="0.35">
      <c r="A130" s="174" t="s">
        <v>489</v>
      </c>
      <c r="B130" s="175" t="str">
        <f t="shared" si="1"/>
        <v>Other Expenses</v>
      </c>
      <c r="C130" s="176">
        <v>0</v>
      </c>
      <c r="D130" s="176">
        <v>2.77</v>
      </c>
      <c r="E130" s="176">
        <v>2</v>
      </c>
      <c r="F130" s="176">
        <v>0.77</v>
      </c>
      <c r="G130" s="23" t="str">
        <f>VLOOKUP(B130,'TB 0425'!A:A,1,0)</f>
        <v>Other Expenses</v>
      </c>
    </row>
    <row r="131" spans="1:7" x14ac:dyDescent="0.35">
      <c r="A131" s="174" t="s">
        <v>560</v>
      </c>
      <c r="B131" s="175" t="str">
        <f t="shared" si="1"/>
        <v>Payment Gateway Cost</v>
      </c>
      <c r="C131" s="176">
        <v>0</v>
      </c>
      <c r="D131" s="176">
        <v>32438.1</v>
      </c>
      <c r="E131" s="176">
        <v>0</v>
      </c>
      <c r="F131" s="176">
        <v>32438.1</v>
      </c>
      <c r="G131" s="23" t="str">
        <f>VLOOKUP(B131,'TB 0425'!A:A,1,0)</f>
        <v>Payment Gateway Cost</v>
      </c>
    </row>
    <row r="132" spans="1:7" x14ac:dyDescent="0.35">
      <c r="A132" s="174" t="s">
        <v>490</v>
      </c>
      <c r="B132" s="175" t="str">
        <f t="shared" si="1"/>
        <v>Professional Fees</v>
      </c>
      <c r="C132" s="176">
        <v>0</v>
      </c>
      <c r="D132" s="176">
        <v>58230</v>
      </c>
      <c r="E132" s="176">
        <v>0</v>
      </c>
      <c r="F132" s="176">
        <v>58230</v>
      </c>
      <c r="G132" s="23" t="str">
        <f>VLOOKUP(B132,'TB 0425'!A:A,1,0)</f>
        <v>Professional Fees</v>
      </c>
    </row>
    <row r="133" spans="1:7" x14ac:dyDescent="0.35">
      <c r="A133" s="174" t="s">
        <v>491</v>
      </c>
      <c r="B133" s="175" t="str">
        <f t="shared" si="1"/>
        <v>Rates and Taxes</v>
      </c>
      <c r="C133" s="176">
        <v>0</v>
      </c>
      <c r="D133" s="176">
        <v>13500</v>
      </c>
      <c r="E133" s="176">
        <v>0</v>
      </c>
      <c r="F133" s="176">
        <v>13500</v>
      </c>
      <c r="G133" s="23" t="str">
        <f>VLOOKUP(B133,'TB 0425'!A:A,1,0)</f>
        <v>Rates and Taxes</v>
      </c>
    </row>
    <row r="134" spans="1:7" x14ac:dyDescent="0.35">
      <c r="A134" s="174" t="s">
        <v>638</v>
      </c>
      <c r="B134" s="175" t="str">
        <f t="shared" si="1"/>
        <v>Recruitment Charges</v>
      </c>
      <c r="C134" s="176">
        <v>0</v>
      </c>
      <c r="D134" s="176">
        <v>110000</v>
      </c>
      <c r="E134" s="176">
        <v>0</v>
      </c>
      <c r="F134" s="176">
        <v>110000</v>
      </c>
      <c r="G134" s="23" t="str">
        <f>VLOOKUP(B134,'TB 0425'!A:A,1,0)</f>
        <v>Recruitment Charges</v>
      </c>
    </row>
    <row r="135" spans="1:7" x14ac:dyDescent="0.35">
      <c r="A135" s="174" t="s">
        <v>857</v>
      </c>
      <c r="B135" s="175" t="str">
        <f t="shared" si="1"/>
        <v>Repairs and Maintenance</v>
      </c>
      <c r="C135" s="176">
        <v>0</v>
      </c>
      <c r="D135" s="176">
        <v>2200</v>
      </c>
      <c r="E135" s="176">
        <v>0</v>
      </c>
      <c r="F135" s="176">
        <v>2200</v>
      </c>
      <c r="G135" s="23" t="str">
        <f>VLOOKUP(B135,'TB 0425'!A:A,1,0)</f>
        <v>Repairs and Maintenance</v>
      </c>
    </row>
    <row r="136" spans="1:7" x14ac:dyDescent="0.35">
      <c r="A136" s="174" t="s">
        <v>492</v>
      </c>
      <c r="B136" s="175" t="str">
        <f t="shared" si="1"/>
        <v>Salaries and Employee Wages</v>
      </c>
      <c r="C136" s="176">
        <v>0</v>
      </c>
      <c r="D136" s="176">
        <v>14240410.34</v>
      </c>
      <c r="E136" s="176">
        <v>0</v>
      </c>
      <c r="F136" s="176">
        <v>14240410.34</v>
      </c>
      <c r="G136" s="23" t="str">
        <f>VLOOKUP(B136,'TB 0425'!A:A,1,0)</f>
        <v>Salaries and Employee Wages</v>
      </c>
    </row>
    <row r="137" spans="1:7" x14ac:dyDescent="0.35">
      <c r="A137" s="174" t="s">
        <v>615</v>
      </c>
      <c r="B137" s="175" t="str">
        <f t="shared" si="1"/>
        <v>Service Cost</v>
      </c>
      <c r="C137" s="176">
        <v>0</v>
      </c>
      <c r="D137" s="176">
        <v>4633334.68</v>
      </c>
      <c r="E137" s="176">
        <v>45370.53</v>
      </c>
      <c r="F137" s="176">
        <v>4587964.1500000004</v>
      </c>
      <c r="G137" s="23" t="str">
        <f>VLOOKUP(B137,'TB 0425'!A:A,1,0)</f>
        <v>Service Cost</v>
      </c>
    </row>
    <row r="138" spans="1:7" x14ac:dyDescent="0.35">
      <c r="A138" s="174" t="s">
        <v>493</v>
      </c>
      <c r="B138" s="175" t="str">
        <f t="shared" si="1"/>
        <v>Software Expense</v>
      </c>
      <c r="C138" s="176">
        <v>0</v>
      </c>
      <c r="D138" s="176">
        <v>1044171.68</v>
      </c>
      <c r="E138" s="176">
        <v>2</v>
      </c>
      <c r="F138" s="176">
        <v>1044169.68</v>
      </c>
      <c r="G138" s="23" t="str">
        <f>VLOOKUP(B138,'TB 0425'!A:A,1,0)</f>
        <v>Software Expense</v>
      </c>
    </row>
    <row r="139" spans="1:7" x14ac:dyDescent="0.35">
      <c r="A139" s="174" t="s">
        <v>494</v>
      </c>
      <c r="B139" s="175" t="str">
        <f t="shared" si="1"/>
        <v>Sourcing and Onboarding Expense</v>
      </c>
      <c r="C139" s="176">
        <v>0</v>
      </c>
      <c r="D139" s="176">
        <v>602632.75</v>
      </c>
      <c r="E139" s="176">
        <v>1485</v>
      </c>
      <c r="F139" s="176">
        <v>601147.75</v>
      </c>
      <c r="G139" s="23" t="str">
        <f>VLOOKUP(B139,'TB 0425'!A:A,1,0)</f>
        <v>Sourcing and Onboarding Expense</v>
      </c>
    </row>
    <row r="140" spans="1:7" x14ac:dyDescent="0.35">
      <c r="A140" s="174" t="s">
        <v>495</v>
      </c>
      <c r="B140" s="175" t="str">
        <f t="shared" si="1"/>
        <v>Training Centre Expense</v>
      </c>
      <c r="C140" s="176">
        <v>0</v>
      </c>
      <c r="D140" s="176">
        <v>170860.64</v>
      </c>
      <c r="E140" s="176">
        <v>22168</v>
      </c>
      <c r="F140" s="176">
        <v>148692.64000000001</v>
      </c>
      <c r="G140" s="23" t="str">
        <f>VLOOKUP(B140,'TB 0425'!A:A,1,0)</f>
        <v>Training Centre Expense</v>
      </c>
    </row>
    <row r="141" spans="1:7" x14ac:dyDescent="0.35">
      <c r="A141" s="174" t="s">
        <v>496</v>
      </c>
      <c r="B141" s="175" t="str">
        <f t="shared" si="1"/>
        <v>Training Centre Rent Expense</v>
      </c>
      <c r="C141" s="176">
        <v>0</v>
      </c>
      <c r="D141" s="176">
        <v>365666.67</v>
      </c>
      <c r="E141" s="176">
        <v>0</v>
      </c>
      <c r="F141" s="176">
        <v>365666.67</v>
      </c>
      <c r="G141" s="23" t="str">
        <f>VLOOKUP(B141,'TB 0425'!A:A,1,0)</f>
        <v>Training Centre Rent Expense</v>
      </c>
    </row>
    <row r="142" spans="1:7" x14ac:dyDescent="0.35">
      <c r="A142" s="174" t="s">
        <v>858</v>
      </c>
      <c r="B142" s="175" t="str">
        <f>TRIM(A142)</f>
        <v>Travel Expense</v>
      </c>
      <c r="C142" s="176">
        <v>0</v>
      </c>
      <c r="D142" s="176">
        <v>113971.02</v>
      </c>
      <c r="E142" s="176">
        <v>0</v>
      </c>
      <c r="F142" s="176">
        <v>113971.02</v>
      </c>
      <c r="G142" s="23" t="str">
        <f>VLOOKUP(B142,'TB 0425'!A:A,1,0)</f>
        <v>Travel Expense</v>
      </c>
    </row>
    <row r="143" spans="1:7" ht="15.5" x14ac:dyDescent="0.35">
      <c r="A143" s="177" t="s">
        <v>639</v>
      </c>
      <c r="B143" s="175" t="str">
        <f>TRIM(A143)</f>
        <v>Total for Trial Balance</v>
      </c>
      <c r="C143" s="178"/>
      <c r="D143" s="178">
        <v>349090663.30000001</v>
      </c>
      <c r="E143" s="178">
        <v>349090663.30000001</v>
      </c>
      <c r="F143" s="178"/>
    </row>
    <row r="144" spans="1:7" x14ac:dyDescent="0.35">
      <c r="A144" s="179" t="s">
        <v>85</v>
      </c>
      <c r="B144" s="180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E70F-4648-43F0-BF9E-1B54C0C58694}">
  <dimension ref="A1:R241"/>
  <sheetViews>
    <sheetView workbookViewId="0">
      <pane ySplit="2" topLeftCell="A3" activePane="bottomLeft" state="frozen"/>
      <selection pane="bottomLeft"/>
    </sheetView>
  </sheetViews>
  <sheetFormatPr defaultColWidth="8.81640625" defaultRowHeight="14.5" x14ac:dyDescent="0.35"/>
  <cols>
    <col min="1" max="1" width="44.81640625" style="23" bestFit="1" customWidth="1"/>
    <col min="2" max="2" width="15.81640625" style="24" customWidth="1"/>
    <col min="3" max="6" width="15.81640625" style="23" customWidth="1"/>
    <col min="7" max="7" width="8.81640625" style="22"/>
    <col min="8" max="8" width="58.453125" style="23" bestFit="1" customWidth="1"/>
    <col min="9" max="11" width="8.81640625" style="23"/>
    <col min="12" max="12" width="33.08984375" style="23" bestFit="1" customWidth="1"/>
    <col min="13" max="13" width="11.36328125" style="23" bestFit="1" customWidth="1"/>
    <col min="14" max="14" width="24" style="23" bestFit="1" customWidth="1"/>
    <col min="15" max="16" width="8.81640625" style="23"/>
    <col min="17" max="17" width="24" style="23" bestFit="1" customWidth="1"/>
    <col min="18" max="18" width="11.36328125" style="24" bestFit="1" customWidth="1"/>
    <col min="19" max="16384" width="8.81640625" style="23"/>
  </cols>
  <sheetData>
    <row r="1" spans="1:18" x14ac:dyDescent="0.35">
      <c r="B1" s="24">
        <f>SUBTOTAL(9,B3:B122)</f>
        <v>4.4237822294235229E-8</v>
      </c>
      <c r="C1" s="24">
        <f>SUBTOTAL(9,C3:C122)</f>
        <v>212127209.90000004</v>
      </c>
      <c r="D1" s="24">
        <f>SUBTOTAL(9,D3:D122)</f>
        <v>212127209.9000001</v>
      </c>
      <c r="E1" s="24">
        <f>SUBTOTAL(9,E3:E122)</f>
        <v>-1.3969838619232178E-8</v>
      </c>
      <c r="F1" s="24">
        <f>SUBTOTAL(9,F3:F122)</f>
        <v>5.0022208597511053E-12</v>
      </c>
      <c r="G1" s="23"/>
    </row>
    <row r="2" spans="1:18" s="109" customFormat="1" x14ac:dyDescent="0.35">
      <c r="A2" s="109" t="s">
        <v>86</v>
      </c>
      <c r="B2" s="109" t="s">
        <v>9</v>
      </c>
      <c r="C2" s="109" t="s">
        <v>88</v>
      </c>
      <c r="D2" s="109" t="s">
        <v>89</v>
      </c>
      <c r="E2" s="109" t="s">
        <v>11</v>
      </c>
      <c r="F2" s="109" t="s">
        <v>613</v>
      </c>
      <c r="G2" s="109" t="s">
        <v>159</v>
      </c>
      <c r="H2" s="109" t="s">
        <v>612</v>
      </c>
      <c r="L2" s="109" t="s">
        <v>847</v>
      </c>
      <c r="M2" s="109" t="s">
        <v>186</v>
      </c>
      <c r="N2" s="109" t="s">
        <v>848</v>
      </c>
      <c r="R2" s="210"/>
    </row>
    <row r="3" spans="1:18" x14ac:dyDescent="0.35">
      <c r="A3" s="23" t="s">
        <v>561</v>
      </c>
      <c r="B3" s="24">
        <f>SUMIF('Raw May'!B:B,'TB 0525'!A3,'Raw May'!C:C)</f>
        <v>85866.05</v>
      </c>
      <c r="C3" s="24">
        <f>SUMIF('Raw May'!B:B,'TB 0525'!A3,'Raw May'!D:D)</f>
        <v>5368969.8700000001</v>
      </c>
      <c r="D3" s="24">
        <f>SUMIF('Raw May'!B:B,'TB 0525'!A3,'Raw May'!E:E)</f>
        <v>5104465.3</v>
      </c>
      <c r="E3" s="24">
        <f>B3+C3-D3</f>
        <v>350370.62000000011</v>
      </c>
      <c r="F3" s="24">
        <f>E3/1000</f>
        <v>350.37062000000009</v>
      </c>
      <c r="G3" s="22" t="s">
        <v>181</v>
      </c>
      <c r="H3" s="23" t="s">
        <v>77</v>
      </c>
      <c r="L3" s="23" t="s">
        <v>266</v>
      </c>
      <c r="M3" s="24">
        <v>548.20000000000005</v>
      </c>
      <c r="N3" s="23" t="s">
        <v>192</v>
      </c>
      <c r="Q3" s="23" t="s">
        <v>192</v>
      </c>
      <c r="R3" s="24">
        <f>SUMIF(N:N,Q3,M:M)</f>
        <v>14054.961161290323</v>
      </c>
    </row>
    <row r="4" spans="1:18" x14ac:dyDescent="0.35">
      <c r="A4" s="23" t="s">
        <v>288</v>
      </c>
      <c r="B4" s="24">
        <f>SUMIF('Raw May'!B:B,'TB 0525'!A4,'Raw May'!C:C)</f>
        <v>6848864</v>
      </c>
      <c r="C4" s="24">
        <f>SUMIF('Raw May'!B:B,'TB 0525'!A4,'Raw May'!D:D)</f>
        <v>9248881</v>
      </c>
      <c r="D4" s="24">
        <f>SUMIF('Raw May'!B:B,'TB 0525'!A4,'Raw May'!E:E)</f>
        <v>6848864</v>
      </c>
      <c r="E4" s="24">
        <f t="shared" ref="E4:E67" si="0">B4+C4-D4</f>
        <v>9248881</v>
      </c>
      <c r="F4" s="24">
        <f t="shared" ref="F4:F67" si="1">E4/1000</f>
        <v>9248.8809999999994</v>
      </c>
      <c r="G4" s="22" t="s">
        <v>181</v>
      </c>
      <c r="H4" s="23" t="s">
        <v>79</v>
      </c>
      <c r="L4" s="23" t="s">
        <v>195</v>
      </c>
      <c r="M4" s="24">
        <v>98.2</v>
      </c>
      <c r="N4" s="23" t="s">
        <v>31</v>
      </c>
      <c r="Q4" s="23" t="s">
        <v>31</v>
      </c>
      <c r="R4" s="24">
        <f>SUMIF(N:N,Q4,M:M)</f>
        <v>798.36699999999996</v>
      </c>
    </row>
    <row r="5" spans="1:18" x14ac:dyDescent="0.35">
      <c r="A5" s="23" t="s">
        <v>289</v>
      </c>
      <c r="B5" s="24">
        <f>SUMIF('Raw May'!B:B,'TB 0525'!A5,'Raw May'!C:C)</f>
        <v>0</v>
      </c>
      <c r="C5" s="24">
        <f>SUMIF('Raw May'!B:B,'TB 0525'!A5,'Raw May'!D:D)</f>
        <v>0</v>
      </c>
      <c r="D5" s="24">
        <f>SUMIF('Raw May'!B:B,'TB 0525'!A5,'Raw May'!E:E)</f>
        <v>0</v>
      </c>
      <c r="E5" s="24">
        <f t="shared" si="0"/>
        <v>0</v>
      </c>
      <c r="F5" s="24">
        <f t="shared" si="1"/>
        <v>0</v>
      </c>
      <c r="G5" s="22" t="s">
        <v>181</v>
      </c>
      <c r="H5" s="23" t="s">
        <v>72</v>
      </c>
      <c r="L5" s="23" t="s">
        <v>199</v>
      </c>
      <c r="M5" s="24">
        <v>36.799999999999997</v>
      </c>
      <c r="N5" s="23" t="s">
        <v>192</v>
      </c>
      <c r="Q5" s="23" t="s">
        <v>190</v>
      </c>
      <c r="R5" s="24">
        <f>SUMIF(N:N,Q5,M:M)</f>
        <v>618.36200000000008</v>
      </c>
    </row>
    <row r="6" spans="1:18" x14ac:dyDescent="0.35">
      <c r="A6" s="23" t="s">
        <v>562</v>
      </c>
      <c r="B6" s="24">
        <f>SUMIF('Raw May'!B:B,'TB 0525'!A6,'Raw May'!C:C)</f>
        <v>-372081.83</v>
      </c>
      <c r="C6" s="24">
        <f>SUMIF('Raw May'!B:B,'TB 0525'!A6,'Raw May'!D:D)</f>
        <v>0</v>
      </c>
      <c r="D6" s="24">
        <f>SUMIF('Raw May'!B:B,'TB 0525'!A6,'Raw May'!E:E)</f>
        <v>142074.06</v>
      </c>
      <c r="E6" s="24">
        <f t="shared" si="0"/>
        <v>-514155.89</v>
      </c>
      <c r="F6" s="24">
        <f t="shared" si="1"/>
        <v>-514.15589</v>
      </c>
      <c r="G6" s="22" t="s">
        <v>181</v>
      </c>
      <c r="H6" s="23" t="s">
        <v>71</v>
      </c>
      <c r="L6" s="23" t="s">
        <v>269</v>
      </c>
      <c r="M6" s="24">
        <v>37.200000000000003</v>
      </c>
      <c r="N6" s="23" t="s">
        <v>192</v>
      </c>
      <c r="Q6" s="23" t="s">
        <v>32</v>
      </c>
      <c r="R6" s="24">
        <f>SUMIF(N:N,Q6,M:M)</f>
        <v>1372.664</v>
      </c>
    </row>
    <row r="7" spans="1:18" x14ac:dyDescent="0.35">
      <c r="A7" s="23" t="s">
        <v>772</v>
      </c>
      <c r="B7" s="24">
        <f>SUMIF('Raw May'!B:B,'TB 0525'!A7,'Raw May'!C:C)</f>
        <v>-19882.82</v>
      </c>
      <c r="C7" s="24">
        <f>SUMIF('Raw May'!B:B,'TB 0525'!A7,'Raw May'!D:D)</f>
        <v>0</v>
      </c>
      <c r="D7" s="24">
        <f>SUMIF('Raw May'!B:B,'TB 0525'!A7,'Raw May'!E:E)</f>
        <v>11025.44</v>
      </c>
      <c r="E7" s="24">
        <f t="shared" si="0"/>
        <v>-30908.260000000002</v>
      </c>
      <c r="F7" s="24">
        <f t="shared" si="1"/>
        <v>-30.908260000000002</v>
      </c>
      <c r="G7" s="22" t="s">
        <v>181</v>
      </c>
      <c r="H7" s="23" t="s">
        <v>71</v>
      </c>
      <c r="L7" s="23" t="s">
        <v>273</v>
      </c>
      <c r="M7" s="24">
        <v>164.86699999999999</v>
      </c>
      <c r="N7" s="23" t="s">
        <v>192</v>
      </c>
      <c r="Q7" s="23" t="s">
        <v>33</v>
      </c>
      <c r="R7" s="24">
        <f>SUMIF(N:N,Q7,M:M)</f>
        <v>1459.4650000000001</v>
      </c>
    </row>
    <row r="8" spans="1:18" x14ac:dyDescent="0.35">
      <c r="A8" s="23" t="s">
        <v>198</v>
      </c>
      <c r="B8" s="24">
        <f>SUMIF('Raw May'!B:B,'TB 0525'!A8,'Raw May'!C:C)</f>
        <v>-20389.61</v>
      </c>
      <c r="C8" s="24">
        <f>SUMIF('Raw May'!B:B,'TB 0525'!A8,'Raw May'!D:D)</f>
        <v>0</v>
      </c>
      <c r="D8" s="24">
        <f>SUMIF('Raw May'!B:B,'TB 0525'!A8,'Raw May'!E:E)</f>
        <v>10204.19</v>
      </c>
      <c r="E8" s="24">
        <f t="shared" si="0"/>
        <v>-30593.800000000003</v>
      </c>
      <c r="F8" s="24">
        <f t="shared" si="1"/>
        <v>-30.593800000000002</v>
      </c>
      <c r="G8" s="22" t="s">
        <v>181</v>
      </c>
      <c r="H8" s="23" t="s">
        <v>71</v>
      </c>
      <c r="L8" s="23" t="s">
        <v>317</v>
      </c>
      <c r="M8" s="24">
        <v>389.86700000000002</v>
      </c>
      <c r="N8" s="23" t="s">
        <v>192</v>
      </c>
      <c r="R8" s="24">
        <f>SUM(R3:R7)</f>
        <v>18303.819161290325</v>
      </c>
    </row>
    <row r="9" spans="1:18" x14ac:dyDescent="0.35">
      <c r="A9" s="23" t="s">
        <v>967</v>
      </c>
      <c r="B9" s="24">
        <f>SUMIF('Raw May'!B:B,'TB 0525'!A9,'Raw May'!C:C)</f>
        <v>0</v>
      </c>
      <c r="C9" s="24">
        <f>SUMIF('Raw May'!B:B,'TB 0525'!A9,'Raw May'!D:D)</f>
        <v>142840.04</v>
      </c>
      <c r="D9" s="24">
        <f>SUMIF('Raw May'!B:B,'TB 0525'!A9,'Raw May'!E:E)</f>
        <v>0</v>
      </c>
      <c r="E9" s="24">
        <f t="shared" si="0"/>
        <v>142840.04</v>
      </c>
      <c r="F9" s="24">
        <f t="shared" si="1"/>
        <v>142.84004000000002</v>
      </c>
      <c r="G9" s="22" t="s">
        <v>181</v>
      </c>
      <c r="H9" s="23" t="s">
        <v>79</v>
      </c>
      <c r="L9" s="23" t="s">
        <v>354</v>
      </c>
      <c r="M9" s="24">
        <v>29.1</v>
      </c>
      <c r="N9" s="23" t="s">
        <v>190</v>
      </c>
    </row>
    <row r="10" spans="1:18" x14ac:dyDescent="0.35">
      <c r="A10" s="23" t="s">
        <v>365</v>
      </c>
      <c r="B10" s="24">
        <f>SUMIF('Raw May'!B:B,'TB 0525'!A10,'Raw May'!C:C)</f>
        <v>305.98</v>
      </c>
      <c r="C10" s="24">
        <f>SUMIF('Raw May'!B:B,'TB 0525'!A10,'Raw May'!D:D)</f>
        <v>0</v>
      </c>
      <c r="D10" s="24">
        <f>SUMIF('Raw May'!B:B,'TB 0525'!A10,'Raw May'!E:E)</f>
        <v>0</v>
      </c>
      <c r="E10" s="24">
        <f t="shared" si="0"/>
        <v>305.98</v>
      </c>
      <c r="F10" s="24">
        <f t="shared" si="1"/>
        <v>0.30598000000000003</v>
      </c>
      <c r="G10" s="22" t="s">
        <v>181</v>
      </c>
      <c r="H10" s="23" t="s">
        <v>79</v>
      </c>
      <c r="L10" s="23" t="s">
        <v>355</v>
      </c>
      <c r="M10" s="24">
        <v>0</v>
      </c>
      <c r="N10" s="23" t="s">
        <v>190</v>
      </c>
    </row>
    <row r="11" spans="1:18" x14ac:dyDescent="0.35">
      <c r="A11" s="23" t="s">
        <v>563</v>
      </c>
      <c r="B11" s="24">
        <f>SUMIF('Raw May'!B:B,'TB 0525'!A11,'Raw May'!C:C)</f>
        <v>12518.34</v>
      </c>
      <c r="C11" s="24">
        <f>SUMIF('Raw May'!B:B,'TB 0525'!A11,'Raw May'!D:D)</f>
        <v>0</v>
      </c>
      <c r="D11" s="24">
        <f>SUMIF('Raw May'!B:B,'TB 0525'!A11,'Raw May'!E:E)</f>
        <v>118</v>
      </c>
      <c r="E11" s="24">
        <f t="shared" si="0"/>
        <v>12400.34</v>
      </c>
      <c r="F11" s="24">
        <f t="shared" si="1"/>
        <v>12.40034</v>
      </c>
      <c r="G11" s="22" t="s">
        <v>181</v>
      </c>
      <c r="H11" s="23" t="s">
        <v>78</v>
      </c>
      <c r="L11" s="23" t="s">
        <v>973</v>
      </c>
      <c r="M11" s="24">
        <v>373.2</v>
      </c>
      <c r="N11" s="23" t="s">
        <v>192</v>
      </c>
    </row>
    <row r="12" spans="1:18" x14ac:dyDescent="0.35">
      <c r="A12" s="23" t="s">
        <v>564</v>
      </c>
      <c r="B12" s="24">
        <f>SUMIF('Raw May'!B:B,'TB 0525'!A12,'Raw May'!C:C)</f>
        <v>4384059.03</v>
      </c>
      <c r="C12" s="24">
        <f>SUMIF('Raw May'!B:B,'TB 0525'!A12,'Raw May'!D:D)</f>
        <v>1444789</v>
      </c>
      <c r="D12" s="24">
        <f>SUMIF('Raw May'!B:B,'TB 0525'!A12,'Raw May'!E:E)</f>
        <v>0</v>
      </c>
      <c r="E12" s="24">
        <f t="shared" si="0"/>
        <v>5828848.0300000003</v>
      </c>
      <c r="F12" s="24">
        <f t="shared" si="1"/>
        <v>5828.8480300000001</v>
      </c>
      <c r="G12" s="22" t="s">
        <v>181</v>
      </c>
      <c r="H12" s="23" t="s">
        <v>71</v>
      </c>
      <c r="I12" s="23" t="s">
        <v>1397</v>
      </c>
      <c r="L12" s="23" t="s">
        <v>358</v>
      </c>
      <c r="M12" s="24">
        <v>35.033000000000001</v>
      </c>
      <c r="N12" s="23" t="s">
        <v>190</v>
      </c>
    </row>
    <row r="13" spans="1:18" x14ac:dyDescent="0.35">
      <c r="A13" s="23" t="s">
        <v>693</v>
      </c>
      <c r="B13" s="24">
        <f>SUMIF('Raw May'!B:B,'TB 0525'!A13,'Raw May'!C:C)</f>
        <v>678111.34</v>
      </c>
      <c r="C13" s="24">
        <f>SUMIF('Raw May'!B:B,'TB 0525'!A13,'Raw May'!D:D)</f>
        <v>26500</v>
      </c>
      <c r="D13" s="24">
        <f>SUMIF('Raw May'!B:B,'TB 0525'!A13,'Raw May'!E:E)</f>
        <v>0</v>
      </c>
      <c r="E13" s="24">
        <f t="shared" si="0"/>
        <v>704611.34</v>
      </c>
      <c r="F13" s="24">
        <f t="shared" si="1"/>
        <v>704.61133999999993</v>
      </c>
      <c r="G13" s="22" t="s">
        <v>181</v>
      </c>
      <c r="H13" s="23" t="s">
        <v>71</v>
      </c>
      <c r="I13" s="23" t="s">
        <v>1397</v>
      </c>
      <c r="L13" s="23" t="s">
        <v>379</v>
      </c>
      <c r="M13" s="24">
        <v>26.800999999999998</v>
      </c>
      <c r="N13" s="23" t="s">
        <v>33</v>
      </c>
    </row>
    <row r="14" spans="1:18" x14ac:dyDescent="0.35">
      <c r="A14" s="23" t="s">
        <v>714</v>
      </c>
      <c r="B14" s="24">
        <f>SUMIF('Raw May'!B:B,'TB 0525'!A14,'Raw May'!C:C)</f>
        <v>50000</v>
      </c>
      <c r="C14" s="24">
        <f>SUMIF('Raw May'!B:B,'TB 0525'!A14,'Raw May'!D:D)</f>
        <v>10025890.300000001</v>
      </c>
      <c r="D14" s="24">
        <f>SUMIF('Raw May'!B:B,'TB 0525'!A14,'Raw May'!E:E)</f>
        <v>10000000</v>
      </c>
      <c r="E14" s="24">
        <f t="shared" si="0"/>
        <v>75890.300000000745</v>
      </c>
      <c r="F14" s="24">
        <f t="shared" si="1"/>
        <v>75.890300000000749</v>
      </c>
      <c r="G14" s="22" t="s">
        <v>181</v>
      </c>
      <c r="H14" s="23" t="s">
        <v>78</v>
      </c>
      <c r="L14" s="23" t="s">
        <v>395</v>
      </c>
      <c r="M14" s="24">
        <v>0</v>
      </c>
      <c r="N14" s="23" t="s">
        <v>192</v>
      </c>
    </row>
    <row r="15" spans="1:18" x14ac:dyDescent="0.35">
      <c r="A15" s="23" t="s">
        <v>715</v>
      </c>
      <c r="B15" s="24">
        <f>SUMIF('Raw May'!B:B,'TB 0525'!A15,'Raw May'!C:C)</f>
        <v>978343.48</v>
      </c>
      <c r="C15" s="24">
        <f>SUMIF('Raw May'!B:B,'TB 0525'!A15,'Raw May'!D:D)</f>
        <v>1046334.2</v>
      </c>
      <c r="D15" s="24">
        <f>SUMIF('Raw May'!B:B,'TB 0525'!A15,'Raw May'!E:E)</f>
        <v>1888537.16</v>
      </c>
      <c r="E15" s="24">
        <f t="shared" si="0"/>
        <v>136140.52000000002</v>
      </c>
      <c r="F15" s="24">
        <f t="shared" si="1"/>
        <v>136.14052000000001</v>
      </c>
      <c r="G15" s="22" t="s">
        <v>181</v>
      </c>
      <c r="H15" s="23" t="s">
        <v>78</v>
      </c>
      <c r="L15" s="23" t="s">
        <v>420</v>
      </c>
      <c r="M15" s="24">
        <v>0</v>
      </c>
      <c r="N15" s="23" t="s">
        <v>32</v>
      </c>
    </row>
    <row r="16" spans="1:18" x14ac:dyDescent="0.35">
      <c r="A16" s="23" t="s">
        <v>565</v>
      </c>
      <c r="B16" s="24">
        <f>SUMIF('Raw May'!B:B,'TB 0525'!A16,'Raw May'!C:C)</f>
        <v>1677333.4</v>
      </c>
      <c r="C16" s="24">
        <f>SUMIF('Raw May'!B:B,'TB 0525'!A16,'Raw May'!D:D)</f>
        <v>471895.65</v>
      </c>
      <c r="D16" s="24">
        <f>SUMIF('Raw May'!B:B,'TB 0525'!A16,'Raw May'!E:E)</f>
        <v>8196.41</v>
      </c>
      <c r="E16" s="24">
        <f t="shared" si="0"/>
        <v>2141032.6399999997</v>
      </c>
      <c r="F16" s="24">
        <f t="shared" si="1"/>
        <v>2141.0326399999994</v>
      </c>
      <c r="G16" s="22" t="s">
        <v>181</v>
      </c>
      <c r="H16" s="23" t="s">
        <v>79</v>
      </c>
      <c r="L16" s="23" t="s">
        <v>974</v>
      </c>
      <c r="M16" s="24">
        <v>73.381</v>
      </c>
      <c r="N16" s="23" t="s">
        <v>192</v>
      </c>
    </row>
    <row r="17" spans="1:14" x14ac:dyDescent="0.35">
      <c r="A17" s="23" t="s">
        <v>566</v>
      </c>
      <c r="B17" s="24">
        <f>SUMIF('Raw May'!B:B,'TB 0525'!A17,'Raw May'!C:C)</f>
        <v>808730.25</v>
      </c>
      <c r="C17" s="24">
        <f>SUMIF('Raw May'!B:B,'TB 0525'!A17,'Raw May'!D:D)</f>
        <v>517743.75</v>
      </c>
      <c r="D17" s="24">
        <f>SUMIF('Raw May'!B:B,'TB 0525'!A17,'Raw May'!E:E)</f>
        <v>119660.62</v>
      </c>
      <c r="E17" s="24">
        <f t="shared" si="0"/>
        <v>1206813.3799999999</v>
      </c>
      <c r="F17" s="24">
        <f t="shared" si="1"/>
        <v>1206.8133799999998</v>
      </c>
      <c r="G17" s="22" t="s">
        <v>181</v>
      </c>
      <c r="H17" s="23" t="s">
        <v>79</v>
      </c>
      <c r="L17" s="23" t="s">
        <v>975</v>
      </c>
      <c r="M17" s="24">
        <v>21.001000000000001</v>
      </c>
      <c r="N17" s="23" t="s">
        <v>31</v>
      </c>
    </row>
    <row r="18" spans="1:14" x14ac:dyDescent="0.35">
      <c r="A18" s="23" t="s">
        <v>567</v>
      </c>
      <c r="B18" s="24">
        <f>SUMIF('Raw May'!B:B,'TB 0525'!A18,'Raw May'!C:C)</f>
        <v>1677333.45</v>
      </c>
      <c r="C18" s="24">
        <f>SUMIF('Raw May'!B:B,'TB 0525'!A18,'Raw May'!D:D)</f>
        <v>471895.65</v>
      </c>
      <c r="D18" s="24">
        <f>SUMIF('Raw May'!B:B,'TB 0525'!A18,'Raw May'!E:E)</f>
        <v>8196.41</v>
      </c>
      <c r="E18" s="24">
        <f t="shared" si="0"/>
        <v>2141032.69</v>
      </c>
      <c r="F18" s="24">
        <f t="shared" si="1"/>
        <v>2141.03269</v>
      </c>
      <c r="G18" s="22" t="s">
        <v>181</v>
      </c>
      <c r="H18" s="23" t="s">
        <v>79</v>
      </c>
      <c r="L18" s="23" t="s">
        <v>976</v>
      </c>
      <c r="M18" s="24">
        <v>381.56700000000001</v>
      </c>
      <c r="N18" s="23" t="s">
        <v>192</v>
      </c>
    </row>
    <row r="19" spans="1:14" x14ac:dyDescent="0.35">
      <c r="A19" s="23" t="s">
        <v>300</v>
      </c>
      <c r="B19" s="24">
        <f>SUMIF('Raw May'!B:B,'TB 0525'!A19,'Raw May'!C:C)</f>
        <v>0</v>
      </c>
      <c r="C19" s="24">
        <f>SUMIF('Raw May'!B:B,'TB 0525'!A19,'Raw May'!D:D)</f>
        <v>0</v>
      </c>
      <c r="D19" s="24">
        <f>SUMIF('Raw May'!B:B,'TB 0525'!A19,'Raw May'!E:E)</f>
        <v>0</v>
      </c>
      <c r="E19" s="24">
        <f t="shared" si="0"/>
        <v>0</v>
      </c>
      <c r="F19" s="24">
        <f t="shared" si="1"/>
        <v>0</v>
      </c>
      <c r="G19" s="22" t="s">
        <v>181</v>
      </c>
      <c r="H19" s="23" t="s">
        <v>72</v>
      </c>
      <c r="L19" s="23" t="s">
        <v>977</v>
      </c>
      <c r="M19" s="24">
        <v>664.86699999999996</v>
      </c>
      <c r="N19" s="23" t="s">
        <v>192</v>
      </c>
    </row>
    <row r="20" spans="1:14" x14ac:dyDescent="0.35">
      <c r="A20" s="23" t="s">
        <v>859</v>
      </c>
      <c r="B20" s="24">
        <f>SUMIF('Raw May'!B:B,'TB 0525'!A20,'Raw May'!C:C)</f>
        <v>30000000</v>
      </c>
      <c r="C20" s="24">
        <f>SUMIF('Raw May'!B:B,'TB 0525'!A20,'Raw May'!D:D)</f>
        <v>0</v>
      </c>
      <c r="D20" s="24">
        <f>SUMIF('Raw May'!B:B,'TB 0525'!A20,'Raw May'!E:E)</f>
        <v>10000000</v>
      </c>
      <c r="E20" s="24">
        <f t="shared" si="0"/>
        <v>20000000</v>
      </c>
      <c r="F20" s="24">
        <f t="shared" si="1"/>
        <v>20000</v>
      </c>
      <c r="G20" s="22" t="s">
        <v>181</v>
      </c>
      <c r="H20" s="23" t="s">
        <v>76</v>
      </c>
      <c r="L20" s="23" t="s">
        <v>978</v>
      </c>
      <c r="M20" s="24">
        <v>24</v>
      </c>
      <c r="N20" s="23" t="s">
        <v>32</v>
      </c>
    </row>
    <row r="21" spans="1:14" x14ac:dyDescent="0.35">
      <c r="A21" s="23" t="s">
        <v>860</v>
      </c>
      <c r="B21" s="24">
        <f>SUMIF('Raw May'!B:B,'TB 0525'!A21,'Raw May'!C:C)</f>
        <v>45000000</v>
      </c>
      <c r="C21" s="24">
        <f>SUMIF('Raw May'!B:B,'TB 0525'!A21,'Raw May'!D:D)</f>
        <v>0</v>
      </c>
      <c r="D21" s="24">
        <f>SUMIF('Raw May'!B:B,'TB 0525'!A21,'Raw May'!E:E)</f>
        <v>0</v>
      </c>
      <c r="E21" s="24">
        <f t="shared" si="0"/>
        <v>45000000</v>
      </c>
      <c r="F21" s="24">
        <f t="shared" si="1"/>
        <v>45000</v>
      </c>
      <c r="G21" s="22" t="s">
        <v>181</v>
      </c>
      <c r="H21" s="23" t="s">
        <v>76</v>
      </c>
      <c r="L21" s="23" t="s">
        <v>979</v>
      </c>
      <c r="M21" s="24">
        <v>8.516</v>
      </c>
      <c r="N21" s="23" t="s">
        <v>32</v>
      </c>
    </row>
    <row r="22" spans="1:14" x14ac:dyDescent="0.35">
      <c r="A22" s="23" t="s">
        <v>642</v>
      </c>
      <c r="B22" s="24">
        <f>SUMIF('Raw May'!B:B,'TB 0525'!A22,'Raw May'!C:C)</f>
        <v>6000000</v>
      </c>
      <c r="C22" s="24">
        <f>SUMIF('Raw May'!B:B,'TB 0525'!A22,'Raw May'!D:D)</f>
        <v>0</v>
      </c>
      <c r="D22" s="24">
        <f>SUMIF('Raw May'!B:B,'TB 0525'!A22,'Raw May'!E:E)</f>
        <v>6000000</v>
      </c>
      <c r="E22" s="24">
        <f t="shared" si="0"/>
        <v>0</v>
      </c>
      <c r="F22" s="24">
        <f t="shared" si="1"/>
        <v>0</v>
      </c>
      <c r="G22" s="22" t="s">
        <v>181</v>
      </c>
      <c r="H22" s="23" t="s">
        <v>76</v>
      </c>
      <c r="L22" s="23" t="s">
        <v>980</v>
      </c>
      <c r="M22" s="24">
        <v>223.2</v>
      </c>
      <c r="N22" s="23" t="s">
        <v>192</v>
      </c>
    </row>
    <row r="23" spans="1:14" x14ac:dyDescent="0.35">
      <c r="A23" s="23" t="s">
        <v>695</v>
      </c>
      <c r="B23" s="24">
        <f>SUMIF('Raw May'!B:B,'TB 0525'!A23,'Raw May'!C:C)</f>
        <v>350000000</v>
      </c>
      <c r="C23" s="24">
        <f>SUMIF('Raw May'!B:B,'TB 0525'!A23,'Raw May'!D:D)</f>
        <v>0</v>
      </c>
      <c r="D23" s="24">
        <f>SUMIF('Raw May'!B:B,'TB 0525'!A23,'Raw May'!E:E)</f>
        <v>0</v>
      </c>
      <c r="E23" s="24">
        <f t="shared" si="0"/>
        <v>350000000</v>
      </c>
      <c r="F23" s="24">
        <f t="shared" si="1"/>
        <v>350000</v>
      </c>
      <c r="G23" s="22" t="s">
        <v>181</v>
      </c>
      <c r="H23" s="23" t="s">
        <v>76</v>
      </c>
      <c r="L23" s="23" t="s">
        <v>981</v>
      </c>
      <c r="M23" s="24">
        <v>235.7</v>
      </c>
      <c r="N23" s="23" t="s">
        <v>192</v>
      </c>
    </row>
    <row r="24" spans="1:14" x14ac:dyDescent="0.35">
      <c r="A24" s="23" t="s">
        <v>862</v>
      </c>
      <c r="B24" s="24">
        <f>SUMIF('Raw May'!B:B,'TB 0525'!A24,'Raw May'!C:C)</f>
        <v>15000000</v>
      </c>
      <c r="C24" s="24">
        <f>SUMIF('Raw May'!B:B,'TB 0525'!A24,'Raw May'!D:D)</f>
        <v>0</v>
      </c>
      <c r="D24" s="24">
        <f>SUMIF('Raw May'!B:B,'TB 0525'!A24,'Raw May'!E:E)</f>
        <v>15000000</v>
      </c>
      <c r="E24" s="24">
        <f t="shared" si="0"/>
        <v>0</v>
      </c>
      <c r="F24" s="24">
        <f t="shared" si="1"/>
        <v>0</v>
      </c>
      <c r="G24" s="22" t="s">
        <v>181</v>
      </c>
      <c r="H24" s="23" t="s">
        <v>76</v>
      </c>
      <c r="L24" s="23" t="s">
        <v>982</v>
      </c>
      <c r="M24" s="24">
        <v>20.838000000000001</v>
      </c>
      <c r="N24" s="23" t="s">
        <v>33</v>
      </c>
    </row>
    <row r="25" spans="1:14" x14ac:dyDescent="0.35">
      <c r="A25" s="23" t="s">
        <v>863</v>
      </c>
      <c r="B25" s="24">
        <f>SUMIF('Raw May'!B:B,'TB 0525'!A25,'Raw May'!C:C)</f>
        <v>6000000</v>
      </c>
      <c r="C25" s="24">
        <f>SUMIF('Raw May'!B:B,'TB 0525'!A25,'Raw May'!D:D)</f>
        <v>0</v>
      </c>
      <c r="D25" s="24">
        <f>SUMIF('Raw May'!B:B,'TB 0525'!A25,'Raw May'!E:E)</f>
        <v>6000000</v>
      </c>
      <c r="E25" s="24">
        <f t="shared" si="0"/>
        <v>0</v>
      </c>
      <c r="F25" s="24">
        <f t="shared" si="1"/>
        <v>0</v>
      </c>
      <c r="G25" s="22" t="s">
        <v>181</v>
      </c>
      <c r="H25" s="23" t="s">
        <v>76</v>
      </c>
      <c r="L25" s="23" t="s">
        <v>983</v>
      </c>
      <c r="M25" s="24">
        <v>85.7</v>
      </c>
      <c r="N25" s="23" t="s">
        <v>31</v>
      </c>
    </row>
    <row r="26" spans="1:14" x14ac:dyDescent="0.35">
      <c r="A26" s="23" t="s">
        <v>968</v>
      </c>
      <c r="B26" s="24">
        <f>SUMIF('Raw May'!B:B,'TB 0525'!A26,'Raw May'!C:C)</f>
        <v>0</v>
      </c>
      <c r="C26" s="24">
        <f>SUMIF('Raw May'!B:B,'TB 0525'!A26,'Raw May'!D:D)</f>
        <v>10000000</v>
      </c>
      <c r="D26" s="24">
        <f>SUMIF('Raw May'!B:B,'TB 0525'!A26,'Raw May'!E:E)</f>
        <v>10000000</v>
      </c>
      <c r="E26" s="24">
        <f t="shared" si="0"/>
        <v>0</v>
      </c>
      <c r="F26" s="24">
        <f t="shared" si="1"/>
        <v>0</v>
      </c>
      <c r="G26" s="22" t="s">
        <v>181</v>
      </c>
      <c r="H26" s="23" t="s">
        <v>76</v>
      </c>
      <c r="L26" s="23" t="s">
        <v>984</v>
      </c>
      <c r="M26" s="24">
        <v>98.2</v>
      </c>
      <c r="N26" s="23" t="s">
        <v>192</v>
      </c>
    </row>
    <row r="27" spans="1:14" x14ac:dyDescent="0.35">
      <c r="A27" s="23" t="s">
        <v>572</v>
      </c>
      <c r="B27" s="24">
        <f>SUMIF('Raw May'!B:B,'TB 0525'!A27,'Raw May'!C:C)</f>
        <v>428164.76</v>
      </c>
      <c r="C27" s="24">
        <f>SUMIF('Raw May'!B:B,'TB 0525'!A27,'Raw May'!D:D)</f>
        <v>41119818</v>
      </c>
      <c r="D27" s="24">
        <f>SUMIF('Raw May'!B:B,'TB 0525'!A27,'Raw May'!E:E)</f>
        <v>31536886.760000002</v>
      </c>
      <c r="E27" s="24">
        <f t="shared" si="0"/>
        <v>10011095.999999996</v>
      </c>
      <c r="F27" s="24">
        <f t="shared" si="1"/>
        <v>10011.095999999996</v>
      </c>
      <c r="G27" s="22" t="s">
        <v>181</v>
      </c>
      <c r="H27" s="23" t="s">
        <v>78</v>
      </c>
      <c r="L27" s="23" t="s">
        <v>985</v>
      </c>
      <c r="M27" s="24">
        <v>52.366999999999997</v>
      </c>
      <c r="N27" s="23" t="s">
        <v>33</v>
      </c>
    </row>
    <row r="28" spans="1:14" x14ac:dyDescent="0.35">
      <c r="A28" s="23" t="s">
        <v>573</v>
      </c>
      <c r="B28" s="24">
        <f>SUMIF('Raw May'!B:B,'TB 0525'!A28,'Raw May'!C:C)</f>
        <v>9843816.9199999999</v>
      </c>
      <c r="C28" s="24">
        <f>SUMIF('Raw May'!B:B,'TB 0525'!A28,'Raw May'!D:D)</f>
        <v>33754374.479999997</v>
      </c>
      <c r="D28" s="24">
        <f>SUMIF('Raw May'!B:B,'TB 0525'!A28,'Raw May'!E:E)</f>
        <v>38158278.039999999</v>
      </c>
      <c r="E28" s="24">
        <f t="shared" si="0"/>
        <v>5439913.3599999994</v>
      </c>
      <c r="F28" s="24">
        <f t="shared" si="1"/>
        <v>5439.9133599999996</v>
      </c>
      <c r="G28" s="22" t="s">
        <v>181</v>
      </c>
      <c r="H28" s="23" t="s">
        <v>78</v>
      </c>
      <c r="L28" s="23" t="s">
        <v>986</v>
      </c>
      <c r="M28" s="24">
        <v>0</v>
      </c>
      <c r="N28" s="23" t="s">
        <v>33</v>
      </c>
    </row>
    <row r="29" spans="1:14" x14ac:dyDescent="0.35">
      <c r="A29" s="23" t="s">
        <v>723</v>
      </c>
      <c r="B29" s="24">
        <f>SUMIF('Raw May'!B:B,'TB 0525'!A29,'Raw May'!C:C)</f>
        <v>3633598</v>
      </c>
      <c r="C29" s="24">
        <f>SUMIF('Raw May'!B:B,'TB 0525'!A29,'Raw May'!D:D)</f>
        <v>0</v>
      </c>
      <c r="D29" s="24">
        <f>SUMIF('Raw May'!B:B,'TB 0525'!A29,'Raw May'!E:E)</f>
        <v>0</v>
      </c>
      <c r="E29" s="24">
        <f t="shared" si="0"/>
        <v>3633598</v>
      </c>
      <c r="F29" s="24">
        <f t="shared" si="1"/>
        <v>3633.598</v>
      </c>
      <c r="G29" s="22" t="s">
        <v>181</v>
      </c>
      <c r="H29" s="23" t="s">
        <v>71</v>
      </c>
      <c r="I29" s="23" t="s">
        <v>1397</v>
      </c>
      <c r="L29" s="23" t="s">
        <v>987</v>
      </c>
      <c r="M29" s="24">
        <v>127.367</v>
      </c>
      <c r="N29" s="23" t="s">
        <v>192</v>
      </c>
    </row>
    <row r="30" spans="1:14" x14ac:dyDescent="0.35">
      <c r="A30" s="23" t="s">
        <v>231</v>
      </c>
      <c r="B30" s="24">
        <f>SUMIF('Raw May'!B:B,'TB 0525'!A30,'Raw May'!C:C)</f>
        <v>174204.04</v>
      </c>
      <c r="C30" s="24">
        <f>SUMIF('Raw May'!B:B,'TB 0525'!A30,'Raw May'!D:D)</f>
        <v>305618.58</v>
      </c>
      <c r="D30" s="24">
        <f>SUMIF('Raw May'!B:B,'TB 0525'!A30,'Raw May'!E:E)</f>
        <v>0</v>
      </c>
      <c r="E30" s="24">
        <f t="shared" si="0"/>
        <v>479822.62</v>
      </c>
      <c r="F30" s="24">
        <f t="shared" si="1"/>
        <v>479.82261999999997</v>
      </c>
      <c r="G30" s="22" t="s">
        <v>181</v>
      </c>
      <c r="H30" s="23" t="s">
        <v>71</v>
      </c>
      <c r="I30" s="23" t="s">
        <v>1397</v>
      </c>
      <c r="L30" s="23" t="s">
        <v>988</v>
      </c>
      <c r="M30" s="24">
        <v>94.033000000000001</v>
      </c>
      <c r="N30" s="23" t="s">
        <v>192</v>
      </c>
    </row>
    <row r="31" spans="1:14" x14ac:dyDescent="0.35">
      <c r="A31" s="23" t="s">
        <v>575</v>
      </c>
      <c r="B31" s="24">
        <f>SUMIF('Raw May'!B:B,'TB 0525'!A31,'Raw May'!C:C)</f>
        <v>48233.36</v>
      </c>
      <c r="C31" s="24">
        <f>SUMIF('Raw May'!B:B,'TB 0525'!A31,'Raw May'!D:D)</f>
        <v>0</v>
      </c>
      <c r="D31" s="24">
        <f>SUMIF('Raw May'!B:B,'TB 0525'!A31,'Raw May'!E:E)</f>
        <v>27983.33</v>
      </c>
      <c r="E31" s="24">
        <f t="shared" si="0"/>
        <v>20250.03</v>
      </c>
      <c r="F31" s="24">
        <f t="shared" si="1"/>
        <v>20.250029999999999</v>
      </c>
      <c r="G31" s="22" t="s">
        <v>181</v>
      </c>
      <c r="H31" s="23" t="s">
        <v>79</v>
      </c>
      <c r="L31" s="23" t="s">
        <v>989</v>
      </c>
      <c r="M31" s="24">
        <v>0</v>
      </c>
      <c r="N31" s="23" t="s">
        <v>33</v>
      </c>
    </row>
    <row r="32" spans="1:14" x14ac:dyDescent="0.35">
      <c r="A32" s="23" t="s">
        <v>376</v>
      </c>
      <c r="B32" s="24">
        <f>SUMIF('Raw May'!B:B,'TB 0525'!A32,'Raw May'!C:C)</f>
        <v>1041902.98</v>
      </c>
      <c r="C32" s="24">
        <f>SUMIF('Raw May'!B:B,'TB 0525'!A32,'Raw May'!D:D)</f>
        <v>5671666.8399999999</v>
      </c>
      <c r="D32" s="24">
        <f>SUMIF('Raw May'!B:B,'TB 0525'!A32,'Raw May'!E:E)</f>
        <v>3315596.11</v>
      </c>
      <c r="E32" s="24">
        <f t="shared" si="0"/>
        <v>3397973.7100000004</v>
      </c>
      <c r="F32" s="24">
        <f t="shared" si="1"/>
        <v>3397.9737100000002</v>
      </c>
      <c r="G32" s="22" t="s">
        <v>181</v>
      </c>
      <c r="H32" s="23" t="s">
        <v>67</v>
      </c>
      <c r="L32" s="23" t="s">
        <v>990</v>
      </c>
      <c r="M32" s="24">
        <v>27.367000000000001</v>
      </c>
      <c r="N32" s="23" t="s">
        <v>33</v>
      </c>
    </row>
    <row r="33" spans="1:14" x14ac:dyDescent="0.35">
      <c r="A33" s="23" t="s">
        <v>576</v>
      </c>
      <c r="B33" s="24">
        <f>SUMIF('Raw May'!B:B,'TB 0525'!A33,'Raw May'!C:C)</f>
        <v>-6291.86</v>
      </c>
      <c r="C33" s="24">
        <f>SUMIF('Raw May'!B:B,'TB 0525'!A33,'Raw May'!D:D)</f>
        <v>4868734.3</v>
      </c>
      <c r="D33" s="24">
        <f>SUMIF('Raw May'!B:B,'TB 0525'!A33,'Raw May'!E:E)</f>
        <v>4862442.4400000004</v>
      </c>
      <c r="E33" s="24">
        <f t="shared" si="0"/>
        <v>0</v>
      </c>
      <c r="F33" s="24">
        <f t="shared" si="1"/>
        <v>0</v>
      </c>
      <c r="G33" s="22" t="s">
        <v>181</v>
      </c>
      <c r="H33" s="23" t="s">
        <v>77</v>
      </c>
      <c r="L33" s="23" t="s">
        <v>991</v>
      </c>
      <c r="M33" s="24">
        <v>27.367000000000001</v>
      </c>
      <c r="N33" s="23" t="s">
        <v>33</v>
      </c>
    </row>
    <row r="34" spans="1:14" x14ac:dyDescent="0.35">
      <c r="A34" s="23" t="s">
        <v>577</v>
      </c>
      <c r="B34" s="24">
        <f>SUMIF('Raw May'!B:B,'TB 0525'!A34,'Raw May'!C:C)</f>
        <v>837250.15</v>
      </c>
      <c r="C34" s="24">
        <f>SUMIF('Raw May'!B:B,'TB 0525'!A34,'Raw May'!D:D)</f>
        <v>142928.15</v>
      </c>
      <c r="D34" s="24">
        <f>SUMIF('Raw May'!B:B,'TB 0525'!A34,'Raw May'!E:E)</f>
        <v>0</v>
      </c>
      <c r="E34" s="24">
        <f t="shared" si="0"/>
        <v>980178.3</v>
      </c>
      <c r="F34" s="24">
        <f t="shared" si="1"/>
        <v>980.17830000000004</v>
      </c>
      <c r="G34" s="22" t="s">
        <v>181</v>
      </c>
      <c r="H34" s="23" t="s">
        <v>79</v>
      </c>
      <c r="L34" s="23" t="s">
        <v>992</v>
      </c>
      <c r="M34" s="24">
        <v>273.2</v>
      </c>
      <c r="N34" s="23" t="s">
        <v>192</v>
      </c>
    </row>
    <row r="35" spans="1:14" x14ac:dyDescent="0.35">
      <c r="A35" s="23" t="s">
        <v>146</v>
      </c>
      <c r="B35" s="24">
        <f>SUMIF('Raw May'!B:B,'TB 0525'!A35,'Raw May'!C:C)</f>
        <v>4989000</v>
      </c>
      <c r="C35" s="24">
        <f>SUMIF('Raw May'!B:B,'TB 0525'!A35,'Raw May'!D:D)</f>
        <v>1103000</v>
      </c>
      <c r="D35" s="24">
        <f>SUMIF('Raw May'!B:B,'TB 0525'!A35,'Raw May'!E:E)</f>
        <v>0</v>
      </c>
      <c r="E35" s="24">
        <f t="shared" si="0"/>
        <v>6092000</v>
      </c>
      <c r="F35" s="24">
        <f t="shared" si="1"/>
        <v>6092</v>
      </c>
      <c r="G35" s="22" t="s">
        <v>181</v>
      </c>
      <c r="H35" s="23" t="s">
        <v>74</v>
      </c>
      <c r="L35" s="23" t="s">
        <v>993</v>
      </c>
      <c r="M35" s="24">
        <v>102.367</v>
      </c>
      <c r="N35" s="23" t="s">
        <v>192</v>
      </c>
    </row>
    <row r="36" spans="1:14" x14ac:dyDescent="0.35">
      <c r="A36" s="23" t="s">
        <v>345</v>
      </c>
      <c r="B36" s="24">
        <f>SUMIF('Raw May'!B:B,'TB 0525'!A36,'Raw May'!C:C)</f>
        <v>296439</v>
      </c>
      <c r="C36" s="24">
        <f>SUMIF('Raw May'!B:B,'TB 0525'!A36,'Raw May'!D:D)</f>
        <v>3267</v>
      </c>
      <c r="D36" s="24">
        <f>SUMIF('Raw May'!B:B,'TB 0525'!A36,'Raw May'!E:E)</f>
        <v>0</v>
      </c>
      <c r="E36" s="24">
        <f t="shared" si="0"/>
        <v>299706</v>
      </c>
      <c r="F36" s="24">
        <f t="shared" si="1"/>
        <v>299.70600000000002</v>
      </c>
      <c r="G36" s="22" t="s">
        <v>181</v>
      </c>
      <c r="H36" s="23" t="s">
        <v>79</v>
      </c>
      <c r="L36" s="23" t="s">
        <v>994</v>
      </c>
      <c r="M36" s="24">
        <v>49.033000000000001</v>
      </c>
      <c r="N36" s="23" t="s">
        <v>32</v>
      </c>
    </row>
    <row r="37" spans="1:14" x14ac:dyDescent="0.35">
      <c r="A37" s="23" t="s">
        <v>427</v>
      </c>
      <c r="B37" s="24">
        <f>SUMIF('Raw May'!B:B,'TB 0525'!A37,'Raw May'!C:C)</f>
        <v>-8763623.7699999996</v>
      </c>
      <c r="C37" s="24">
        <f>SUMIF('Raw May'!B:B,'TB 0525'!A37,'Raw May'!D:D)</f>
        <v>17139675.16</v>
      </c>
      <c r="D37" s="24">
        <f>SUMIF('Raw May'!B:B,'TB 0525'!A37,'Raw May'!E:E)</f>
        <v>15781920.880000001</v>
      </c>
      <c r="E37" s="24">
        <f t="shared" si="0"/>
        <v>-7405869.4900000002</v>
      </c>
      <c r="F37" s="24">
        <f t="shared" si="1"/>
        <v>-7405.86949</v>
      </c>
      <c r="G37" s="22" t="s">
        <v>180</v>
      </c>
      <c r="H37" s="23" t="s">
        <v>67</v>
      </c>
      <c r="L37" s="23" t="s">
        <v>995</v>
      </c>
      <c r="M37" s="24">
        <v>27.367000000000001</v>
      </c>
      <c r="N37" s="23" t="s">
        <v>192</v>
      </c>
    </row>
    <row r="38" spans="1:14" x14ac:dyDescent="0.35">
      <c r="A38" s="23" t="s">
        <v>423</v>
      </c>
      <c r="B38" s="24">
        <f>SUMIF('Raw May'!B:B,'TB 0525'!A38,'Raw May'!C:C)</f>
        <v>-267134.27</v>
      </c>
      <c r="C38" s="24">
        <f>SUMIF('Raw May'!B:B,'TB 0525'!A38,'Raw May'!D:D)</f>
        <v>77642</v>
      </c>
      <c r="D38" s="24">
        <f>SUMIF('Raw May'!B:B,'TB 0525'!A38,'Raw May'!E:E)</f>
        <v>60080</v>
      </c>
      <c r="E38" s="24">
        <f t="shared" si="0"/>
        <v>-249572.27000000002</v>
      </c>
      <c r="F38" s="24">
        <f t="shared" si="1"/>
        <v>-249.57227000000003</v>
      </c>
      <c r="G38" s="22" t="s">
        <v>180</v>
      </c>
      <c r="H38" s="23" t="s">
        <v>68</v>
      </c>
      <c r="L38" s="23" t="s">
        <v>996</v>
      </c>
      <c r="M38" s="24">
        <v>26.484000000000002</v>
      </c>
      <c r="N38" s="23" t="s">
        <v>190</v>
      </c>
    </row>
    <row r="39" spans="1:14" x14ac:dyDescent="0.35">
      <c r="A39" s="23" t="s">
        <v>578</v>
      </c>
      <c r="B39" s="24">
        <f>SUMIF('Raw May'!B:B,'TB 0525'!A39,'Raw May'!C:C)</f>
        <v>-143152.32000000001</v>
      </c>
      <c r="C39" s="24">
        <f>SUMIF('Raw May'!B:B,'TB 0525'!A39,'Raw May'!D:D)</f>
        <v>235907.65</v>
      </c>
      <c r="D39" s="24">
        <f>SUMIF('Raw May'!B:B,'TB 0525'!A39,'Raw May'!E:E)</f>
        <v>173918.15</v>
      </c>
      <c r="E39" s="24">
        <f t="shared" si="0"/>
        <v>-81162.820000000007</v>
      </c>
      <c r="F39" s="24">
        <f t="shared" si="1"/>
        <v>-81.162820000000011</v>
      </c>
      <c r="G39" s="22" t="s">
        <v>180</v>
      </c>
      <c r="H39" s="23" t="s">
        <v>68</v>
      </c>
      <c r="L39" s="23" t="s">
        <v>997</v>
      </c>
      <c r="M39" s="24">
        <v>22.367000000000001</v>
      </c>
      <c r="N39" s="23" t="s">
        <v>190</v>
      </c>
    </row>
    <row r="40" spans="1:14" x14ac:dyDescent="0.35">
      <c r="A40" s="23" t="s">
        <v>622</v>
      </c>
      <c r="B40" s="24">
        <f>SUMIF('Raw May'!B:B,'TB 0525'!A40,'Raw May'!C:C)</f>
        <v>-163690</v>
      </c>
      <c r="C40" s="24">
        <f>SUMIF('Raw May'!B:B,'TB 0525'!A40,'Raw May'!D:D)</f>
        <v>14769514.32</v>
      </c>
      <c r="D40" s="24">
        <f>SUMIF('Raw May'!B:B,'TB 0525'!A40,'Raw May'!E:E)</f>
        <v>14754347.32</v>
      </c>
      <c r="E40" s="24">
        <f t="shared" si="0"/>
        <v>-148523</v>
      </c>
      <c r="F40" s="24">
        <f t="shared" si="1"/>
        <v>-148.523</v>
      </c>
      <c r="G40" s="22" t="s">
        <v>180</v>
      </c>
      <c r="H40" s="23" t="s">
        <v>68</v>
      </c>
      <c r="L40" s="23" t="s">
        <v>998</v>
      </c>
      <c r="M40" s="24">
        <v>23.2</v>
      </c>
      <c r="N40" s="23" t="s">
        <v>33</v>
      </c>
    </row>
    <row r="41" spans="1:14" x14ac:dyDescent="0.35">
      <c r="A41" s="23" t="s">
        <v>775</v>
      </c>
      <c r="B41" s="24">
        <f>SUMIF('Raw May'!B:B,'TB 0525'!A41,'Raw May'!C:C)</f>
        <v>-308</v>
      </c>
      <c r="C41" s="24">
        <f>SUMIF('Raw May'!B:B,'TB 0525'!A41,'Raw May'!D:D)</f>
        <v>0</v>
      </c>
      <c r="D41" s="24">
        <f>SUMIF('Raw May'!B:B,'TB 0525'!A41,'Raw May'!E:E)</f>
        <v>967</v>
      </c>
      <c r="E41" s="24">
        <f t="shared" si="0"/>
        <v>-1275</v>
      </c>
      <c r="F41" s="24">
        <f t="shared" si="1"/>
        <v>-1.2749999999999999</v>
      </c>
      <c r="G41" s="22" t="s">
        <v>180</v>
      </c>
      <c r="H41" s="23" t="s">
        <v>68</v>
      </c>
      <c r="L41" s="23" t="s">
        <v>999</v>
      </c>
      <c r="M41" s="24">
        <v>47.033000000000001</v>
      </c>
      <c r="N41" s="23" t="s">
        <v>33</v>
      </c>
    </row>
    <row r="42" spans="1:14" x14ac:dyDescent="0.35">
      <c r="A42" s="23" t="s">
        <v>776</v>
      </c>
      <c r="B42" s="24">
        <f>SUMIF('Raw May'!B:B,'TB 0525'!A42,'Raw May'!C:C)</f>
        <v>-1327</v>
      </c>
      <c r="C42" s="24">
        <f>SUMIF('Raw May'!B:B,'TB 0525'!A42,'Raw May'!D:D)</f>
        <v>0</v>
      </c>
      <c r="D42" s="24">
        <f>SUMIF('Raw May'!B:B,'TB 0525'!A42,'Raw May'!E:E)</f>
        <v>4181</v>
      </c>
      <c r="E42" s="24">
        <f t="shared" si="0"/>
        <v>-5508</v>
      </c>
      <c r="F42" s="24">
        <f t="shared" si="1"/>
        <v>-5.508</v>
      </c>
      <c r="G42" s="22" t="s">
        <v>180</v>
      </c>
      <c r="H42" s="23" t="s">
        <v>68</v>
      </c>
      <c r="L42" s="23" t="s">
        <v>1000</v>
      </c>
      <c r="M42" s="24">
        <v>73.2</v>
      </c>
      <c r="N42" s="23" t="s">
        <v>33</v>
      </c>
    </row>
    <row r="43" spans="1:14" x14ac:dyDescent="0.35">
      <c r="A43" s="23" t="s">
        <v>969</v>
      </c>
      <c r="B43" s="24">
        <f>SUMIF('Raw May'!B:B,'TB 0525'!A43,'Raw May'!C:C)</f>
        <v>0</v>
      </c>
      <c r="C43" s="24">
        <f>SUMIF('Raw May'!B:B,'TB 0525'!A43,'Raw May'!D:D)</f>
        <v>46424.76</v>
      </c>
      <c r="D43" s="24">
        <f>SUMIF('Raw May'!B:B,'TB 0525'!A43,'Raw May'!E:E)</f>
        <v>8698906.8699999992</v>
      </c>
      <c r="E43" s="24">
        <f t="shared" si="0"/>
        <v>-8652482.1099999994</v>
      </c>
      <c r="F43" s="24">
        <f t="shared" si="1"/>
        <v>-8652.482109999999</v>
      </c>
      <c r="G43" s="22" t="s">
        <v>180</v>
      </c>
      <c r="H43" s="23" t="s">
        <v>67</v>
      </c>
      <c r="L43" s="23" t="s">
        <v>1001</v>
      </c>
      <c r="M43" s="24">
        <v>61.8</v>
      </c>
      <c r="N43" s="23" t="s">
        <v>192</v>
      </c>
    </row>
    <row r="44" spans="1:14" x14ac:dyDescent="0.35">
      <c r="A44" s="23" t="s">
        <v>579</v>
      </c>
      <c r="B44" s="24">
        <f>SUMIF('Raw May'!B:B,'TB 0525'!A44,'Raw May'!C:C)</f>
        <v>174124.76</v>
      </c>
      <c r="C44" s="24">
        <f>SUMIF('Raw May'!B:B,'TB 0525'!A44,'Raw May'!D:D)</f>
        <v>131076</v>
      </c>
      <c r="D44" s="24">
        <f>SUMIF('Raw May'!B:B,'TB 0525'!A44,'Raw May'!E:E)</f>
        <v>279476.87</v>
      </c>
      <c r="E44" s="24">
        <f t="shared" si="0"/>
        <v>25723.890000000014</v>
      </c>
      <c r="F44" s="24">
        <f t="shared" si="1"/>
        <v>25.723890000000015</v>
      </c>
      <c r="G44" s="22" t="s">
        <v>180</v>
      </c>
      <c r="H44" s="23" t="s">
        <v>79</v>
      </c>
      <c r="L44" s="23" t="s">
        <v>1002</v>
      </c>
      <c r="M44" s="24">
        <v>24</v>
      </c>
      <c r="N44" s="23" t="s">
        <v>33</v>
      </c>
    </row>
    <row r="45" spans="1:14" x14ac:dyDescent="0.35">
      <c r="A45" s="23" t="s">
        <v>580</v>
      </c>
      <c r="B45" s="24">
        <f>SUMIF('Raw May'!B:B,'TB 0525'!A45,'Raw May'!C:C)</f>
        <v>-110591.37</v>
      </c>
      <c r="C45" s="24">
        <f>SUMIF('Raw May'!B:B,'TB 0525'!A45,'Raw May'!D:D)</f>
        <v>153315</v>
      </c>
      <c r="D45" s="24">
        <f>SUMIF('Raw May'!B:B,'TB 0525'!A45,'Raw May'!E:E)</f>
        <v>81404.33</v>
      </c>
      <c r="E45" s="24">
        <f t="shared" si="0"/>
        <v>-38680.699999999997</v>
      </c>
      <c r="F45" s="24">
        <f t="shared" si="1"/>
        <v>-38.680699999999995</v>
      </c>
      <c r="G45" s="22" t="s">
        <v>180</v>
      </c>
      <c r="H45" s="23" t="s">
        <v>79</v>
      </c>
      <c r="L45" s="23" t="s">
        <v>1003</v>
      </c>
      <c r="M45" s="24">
        <v>27.367000000000001</v>
      </c>
      <c r="N45" s="23" t="s">
        <v>32</v>
      </c>
    </row>
    <row r="46" spans="1:14" x14ac:dyDescent="0.35">
      <c r="A46" s="23" t="s">
        <v>581</v>
      </c>
      <c r="B46" s="24">
        <f>SUMIF('Raw May'!B:B,'TB 0525'!A46,'Raw May'!C:C)</f>
        <v>-88351.24</v>
      </c>
      <c r="C46" s="24">
        <f>SUMIF('Raw May'!B:B,'TB 0525'!A46,'Raw May'!D:D)</f>
        <v>131076</v>
      </c>
      <c r="D46" s="24">
        <f>SUMIF('Raw May'!B:B,'TB 0525'!A46,'Raw May'!E:E)</f>
        <v>279476.87</v>
      </c>
      <c r="E46" s="24">
        <f t="shared" si="0"/>
        <v>-236752.11</v>
      </c>
      <c r="F46" s="24">
        <f t="shared" si="1"/>
        <v>-236.75210999999999</v>
      </c>
      <c r="G46" s="22" t="s">
        <v>180</v>
      </c>
      <c r="H46" s="23" t="s">
        <v>79</v>
      </c>
      <c r="L46" s="23" t="s">
        <v>1004</v>
      </c>
      <c r="M46" s="24">
        <v>27.367000000000001</v>
      </c>
      <c r="N46" s="23" t="s">
        <v>32</v>
      </c>
    </row>
    <row r="47" spans="1:14" x14ac:dyDescent="0.35">
      <c r="A47" s="23" t="s">
        <v>582</v>
      </c>
      <c r="B47" s="24">
        <f>SUMIF('Raw May'!B:B,'TB 0525'!A47,'Raw May'!C:C)</f>
        <v>-28000</v>
      </c>
      <c r="C47" s="24">
        <f>SUMIF('Raw May'!B:B,'TB 0525'!A47,'Raw May'!D:D)</f>
        <v>28000</v>
      </c>
      <c r="D47" s="24">
        <f>SUMIF('Raw May'!B:B,'TB 0525'!A47,'Raw May'!E:E)</f>
        <v>37175</v>
      </c>
      <c r="E47" s="24">
        <f t="shared" si="0"/>
        <v>-37175</v>
      </c>
      <c r="F47" s="24">
        <f t="shared" si="1"/>
        <v>-37.174999999999997</v>
      </c>
      <c r="G47" s="22" t="s">
        <v>180</v>
      </c>
      <c r="H47" s="23" t="s">
        <v>68</v>
      </c>
      <c r="L47" s="23" t="s">
        <v>1005</v>
      </c>
      <c r="M47" s="24">
        <v>123.2</v>
      </c>
      <c r="N47" s="23" t="s">
        <v>192</v>
      </c>
    </row>
    <row r="48" spans="1:14" x14ac:dyDescent="0.35">
      <c r="A48" s="23" t="s">
        <v>583</v>
      </c>
      <c r="B48" s="24">
        <f>SUMIF('Raw May'!B:B,'TB 0525'!A48,'Raw May'!C:C)</f>
        <v>-290717</v>
      </c>
      <c r="C48" s="24">
        <f>SUMIF('Raw May'!B:B,'TB 0525'!A48,'Raw May'!D:D)</f>
        <v>290717</v>
      </c>
      <c r="D48" s="24">
        <f>SUMIF('Raw May'!B:B,'TB 0525'!A48,'Raw May'!E:E)</f>
        <v>385113</v>
      </c>
      <c r="E48" s="24">
        <f t="shared" si="0"/>
        <v>-385113</v>
      </c>
      <c r="F48" s="24">
        <f t="shared" si="1"/>
        <v>-385.113</v>
      </c>
      <c r="G48" s="22" t="s">
        <v>180</v>
      </c>
      <c r="H48" s="23" t="s">
        <v>68</v>
      </c>
      <c r="L48" s="23" t="s">
        <v>1006</v>
      </c>
      <c r="M48" s="24">
        <v>27.367000000000001</v>
      </c>
      <c r="N48" s="23" t="s">
        <v>190</v>
      </c>
    </row>
    <row r="49" spans="1:14" x14ac:dyDescent="0.35">
      <c r="A49" s="23" t="s">
        <v>584</v>
      </c>
      <c r="B49" s="24">
        <f>SUMIF('Raw May'!B:B,'TB 0525'!A49,'Raw May'!C:C)</f>
        <v>-290717</v>
      </c>
      <c r="C49" s="24">
        <f>SUMIF('Raw May'!B:B,'TB 0525'!A49,'Raw May'!D:D)</f>
        <v>290717</v>
      </c>
      <c r="D49" s="24">
        <f>SUMIF('Raw May'!B:B,'TB 0525'!A49,'Raw May'!E:E)</f>
        <v>385113</v>
      </c>
      <c r="E49" s="24">
        <f t="shared" si="0"/>
        <v>-385113</v>
      </c>
      <c r="F49" s="24">
        <f t="shared" si="1"/>
        <v>-385.113</v>
      </c>
      <c r="G49" s="22" t="s">
        <v>180</v>
      </c>
      <c r="H49" s="23" t="s">
        <v>68</v>
      </c>
      <c r="L49" s="23" t="s">
        <v>1007</v>
      </c>
      <c r="M49" s="24">
        <v>11.476000000000001</v>
      </c>
      <c r="N49" s="23" t="s">
        <v>32</v>
      </c>
    </row>
    <row r="50" spans="1:14" x14ac:dyDescent="0.35">
      <c r="A50" s="23" t="s">
        <v>138</v>
      </c>
      <c r="B50" s="24">
        <f>SUMIF('Raw May'!B:B,'TB 0525'!A50,'Raw May'!C:C)</f>
        <v>-100000</v>
      </c>
      <c r="C50" s="24">
        <f>SUMIF('Raw May'!B:B,'TB 0525'!A50,'Raw May'!D:D)</f>
        <v>0</v>
      </c>
      <c r="D50" s="24">
        <f>SUMIF('Raw May'!B:B,'TB 0525'!A50,'Raw May'!E:E)</f>
        <v>0</v>
      </c>
      <c r="E50" s="24">
        <f t="shared" si="0"/>
        <v>-100000</v>
      </c>
      <c r="F50" s="24">
        <f t="shared" si="1"/>
        <v>-100</v>
      </c>
      <c r="G50" s="22" t="s">
        <v>180</v>
      </c>
      <c r="H50" s="23" t="s">
        <v>69</v>
      </c>
      <c r="L50" s="23" t="s">
        <v>1008</v>
      </c>
      <c r="M50" s="24">
        <v>89.867000000000004</v>
      </c>
      <c r="N50" s="23" t="s">
        <v>192</v>
      </c>
    </row>
    <row r="51" spans="1:14" x14ac:dyDescent="0.35">
      <c r="A51" s="23" t="s">
        <v>960</v>
      </c>
      <c r="B51" s="24">
        <f>SUMIF('Raw May'!B:B,'TB 0525'!A51,'Raw May'!C:C)</f>
        <v>-36280</v>
      </c>
      <c r="C51" s="24">
        <f>SUMIF('Raw May'!B:B,'TB 0525'!A51,'Raw May'!D:D)</f>
        <v>36280</v>
      </c>
      <c r="D51" s="24">
        <f>SUMIF('Raw May'!B:B,'TB 0525'!A51,'Raw May'!E:E)</f>
        <v>20000</v>
      </c>
      <c r="E51" s="24">
        <f t="shared" si="0"/>
        <v>-20000</v>
      </c>
      <c r="F51" s="24">
        <f t="shared" si="1"/>
        <v>-20</v>
      </c>
      <c r="G51" s="22" t="s">
        <v>180</v>
      </c>
      <c r="H51" s="23" t="s">
        <v>69</v>
      </c>
      <c r="L51" s="23" t="s">
        <v>1009</v>
      </c>
      <c r="M51" s="24">
        <v>27.367000000000001</v>
      </c>
      <c r="N51" s="23" t="s">
        <v>32</v>
      </c>
    </row>
    <row r="52" spans="1:14" x14ac:dyDescent="0.35">
      <c r="A52" s="23" t="s">
        <v>425</v>
      </c>
      <c r="B52" s="24">
        <f>SUMIF('Raw May'!B:B,'TB 0525'!A52,'Raw May'!C:C)</f>
        <v>-1924663.04</v>
      </c>
      <c r="C52" s="24">
        <f>SUMIF('Raw May'!B:B,'TB 0525'!A52,'Raw May'!D:D)</f>
        <v>1927281</v>
      </c>
      <c r="D52" s="24">
        <f>SUMIF('Raw May'!B:B,'TB 0525'!A52,'Raw May'!E:E)</f>
        <v>2612114.39</v>
      </c>
      <c r="E52" s="24">
        <f t="shared" si="0"/>
        <v>-2609496.4300000002</v>
      </c>
      <c r="F52" s="24">
        <f t="shared" si="1"/>
        <v>-2609.4964300000001</v>
      </c>
      <c r="G52" s="22" t="s">
        <v>180</v>
      </c>
      <c r="H52" s="23" t="s">
        <v>68</v>
      </c>
      <c r="L52" s="23" t="s">
        <v>1010</v>
      </c>
      <c r="M52" s="24">
        <v>27.367000000000001</v>
      </c>
      <c r="N52" s="23" t="s">
        <v>192</v>
      </c>
    </row>
    <row r="53" spans="1:14" x14ac:dyDescent="0.35">
      <c r="A53" s="23" t="s">
        <v>587</v>
      </c>
      <c r="B53" s="24">
        <f>SUMIF('Raw May'!B:B,'TB 0525'!A53,'Raw May'!C:C)</f>
        <v>-240766</v>
      </c>
      <c r="C53" s="24">
        <f>SUMIF('Raw May'!B:B,'TB 0525'!A53,'Raw May'!D:D)</f>
        <v>0</v>
      </c>
      <c r="D53" s="24">
        <f>SUMIF('Raw May'!B:B,'TB 0525'!A53,'Raw May'!E:E)</f>
        <v>304819</v>
      </c>
      <c r="E53" s="24">
        <f t="shared" si="0"/>
        <v>-545585</v>
      </c>
      <c r="F53" s="24">
        <f t="shared" si="1"/>
        <v>-545.58500000000004</v>
      </c>
      <c r="G53" s="22" t="s">
        <v>180</v>
      </c>
      <c r="H53" s="23" t="s">
        <v>68</v>
      </c>
      <c r="L53" s="23" t="s">
        <v>1011</v>
      </c>
      <c r="M53" s="24">
        <v>59.033000000000001</v>
      </c>
      <c r="N53" s="23" t="s">
        <v>192</v>
      </c>
    </row>
    <row r="54" spans="1:14" x14ac:dyDescent="0.35">
      <c r="A54" s="23" t="s">
        <v>588</v>
      </c>
      <c r="B54" s="24">
        <f>SUMIF('Raw May'!B:B,'TB 0525'!A54,'Raw May'!C:C)</f>
        <v>20825066.43</v>
      </c>
      <c r="C54" s="24">
        <f>SUMIF('Raw May'!B:B,'TB 0525'!A54,'Raw May'!D:D)</f>
        <v>0</v>
      </c>
      <c r="D54" s="24">
        <f>SUMIF('Raw May'!B:B,'TB 0525'!A54,'Raw May'!E:E)</f>
        <v>0</v>
      </c>
      <c r="E54" s="24">
        <f t="shared" si="0"/>
        <v>20825066.43</v>
      </c>
      <c r="F54" s="24">
        <f t="shared" si="1"/>
        <v>20825.066429999999</v>
      </c>
      <c r="G54" s="22" t="s">
        <v>180</v>
      </c>
      <c r="H54" s="23" t="s">
        <v>64</v>
      </c>
      <c r="L54" s="23" t="s">
        <v>1012</v>
      </c>
      <c r="M54" s="24">
        <v>32</v>
      </c>
      <c r="N54" s="23" t="s">
        <v>33</v>
      </c>
    </row>
    <row r="55" spans="1:14" x14ac:dyDescent="0.35">
      <c r="A55" s="23" t="s">
        <v>589</v>
      </c>
      <c r="B55" s="24">
        <f>SUMIF('Raw May'!B:B,'TB 0525'!A55,'Raw May'!C:C)</f>
        <v>-100000</v>
      </c>
      <c r="C55" s="24">
        <f>SUMIF('Raw May'!B:B,'TB 0525'!A55,'Raw May'!D:D)</f>
        <v>0</v>
      </c>
      <c r="D55" s="24">
        <f>SUMIF('Raw May'!B:B,'TB 0525'!A55,'Raw May'!E:E)</f>
        <v>0</v>
      </c>
      <c r="E55" s="24">
        <f t="shared" si="0"/>
        <v>-100000</v>
      </c>
      <c r="F55" s="24">
        <f t="shared" si="1"/>
        <v>-100</v>
      </c>
      <c r="G55" s="22" t="s">
        <v>180</v>
      </c>
      <c r="H55" s="23" t="s">
        <v>63</v>
      </c>
      <c r="L55" s="23" t="s">
        <v>1013</v>
      </c>
      <c r="M55" s="24">
        <v>12.871</v>
      </c>
      <c r="N55" s="23" t="s">
        <v>33</v>
      </c>
    </row>
    <row r="56" spans="1:14" x14ac:dyDescent="0.35">
      <c r="A56" s="23" t="s">
        <v>698</v>
      </c>
      <c r="B56" s="24">
        <f>SUMIF('Raw May'!B:B,'TB 0525'!A56,'Raw May'!C:C)</f>
        <v>-10</v>
      </c>
      <c r="C56" s="24">
        <f>SUMIF('Raw May'!B:B,'TB 0525'!A56,'Raw May'!D:D)</f>
        <v>0</v>
      </c>
      <c r="D56" s="24">
        <f>SUMIF('Raw May'!B:B,'TB 0525'!A56,'Raw May'!E:E)</f>
        <v>0</v>
      </c>
      <c r="E56" s="24">
        <f t="shared" si="0"/>
        <v>-10</v>
      </c>
      <c r="F56" s="24">
        <f t="shared" si="1"/>
        <v>-0.01</v>
      </c>
      <c r="G56" s="22" t="s">
        <v>180</v>
      </c>
      <c r="H56" s="23" t="s">
        <v>63</v>
      </c>
      <c r="L56" s="23" t="s">
        <v>1014</v>
      </c>
      <c r="M56" s="24">
        <v>37.116</v>
      </c>
      <c r="N56" s="23" t="s">
        <v>192</v>
      </c>
    </row>
    <row r="57" spans="1:14" x14ac:dyDescent="0.35">
      <c r="A57" s="23" t="s">
        <v>699</v>
      </c>
      <c r="B57" s="24">
        <f>SUMIF('Raw May'!B:B,'TB 0525'!A57,'Raw May'!C:C)</f>
        <v>-4091400</v>
      </c>
      <c r="C57" s="24">
        <f>SUMIF('Raw May'!B:B,'TB 0525'!A57,'Raw May'!D:D)</f>
        <v>0</v>
      </c>
      <c r="D57" s="24">
        <f>SUMIF('Raw May'!B:B,'TB 0525'!A57,'Raw May'!E:E)</f>
        <v>0</v>
      </c>
      <c r="E57" s="24">
        <f t="shared" si="0"/>
        <v>-4091400</v>
      </c>
      <c r="F57" s="24">
        <f t="shared" si="1"/>
        <v>-4091.4</v>
      </c>
      <c r="G57" s="22" t="s">
        <v>180</v>
      </c>
      <c r="H57" s="23" t="s">
        <v>63</v>
      </c>
      <c r="L57" s="23" t="s">
        <v>1015</v>
      </c>
      <c r="M57" s="24">
        <v>0</v>
      </c>
      <c r="N57" s="23" t="s">
        <v>33</v>
      </c>
    </row>
    <row r="58" spans="1:14" x14ac:dyDescent="0.35">
      <c r="A58" s="23" t="s">
        <v>700</v>
      </c>
      <c r="B58" s="24">
        <f>SUMIF('Raw May'!B:B,'TB 0525'!A58,'Raw May'!C:C)</f>
        <v>-10800</v>
      </c>
      <c r="C58" s="24">
        <f>SUMIF('Raw May'!B:B,'TB 0525'!A58,'Raw May'!D:D)</f>
        <v>0</v>
      </c>
      <c r="D58" s="24">
        <f>SUMIF('Raw May'!B:B,'TB 0525'!A58,'Raw May'!E:E)</f>
        <v>0</v>
      </c>
      <c r="E58" s="24">
        <f t="shared" si="0"/>
        <v>-10800</v>
      </c>
      <c r="F58" s="24">
        <f t="shared" si="1"/>
        <v>-10.8</v>
      </c>
      <c r="G58" s="22" t="s">
        <v>180</v>
      </c>
      <c r="H58" s="23" t="s">
        <v>63</v>
      </c>
      <c r="L58" s="23" t="s">
        <v>321</v>
      </c>
      <c r="M58" s="24">
        <v>281.53300000000002</v>
      </c>
      <c r="N58" s="23" t="s">
        <v>192</v>
      </c>
    </row>
    <row r="59" spans="1:14" x14ac:dyDescent="0.35">
      <c r="A59" s="23" t="s">
        <v>590</v>
      </c>
      <c r="B59" s="24">
        <f>SUMIF('Raw May'!B:B,'TB 0525'!A59,'Raw May'!C:C)</f>
        <v>-10</v>
      </c>
      <c r="C59" s="24">
        <f>SUMIF('Raw May'!B:B,'TB 0525'!A59,'Raw May'!D:D)</f>
        <v>0</v>
      </c>
      <c r="D59" s="24">
        <f>SUMIF('Raw May'!B:B,'TB 0525'!A59,'Raw May'!E:E)</f>
        <v>0</v>
      </c>
      <c r="E59" s="24">
        <f t="shared" si="0"/>
        <v>-10</v>
      </c>
      <c r="F59" s="24">
        <f t="shared" si="1"/>
        <v>-0.01</v>
      </c>
      <c r="G59" s="22" t="s">
        <v>180</v>
      </c>
      <c r="H59" s="23" t="s">
        <v>63</v>
      </c>
      <c r="L59" s="23" t="s">
        <v>1016</v>
      </c>
      <c r="M59" s="24">
        <v>73.727000000000004</v>
      </c>
      <c r="N59" s="23" t="s">
        <v>192</v>
      </c>
    </row>
    <row r="60" spans="1:14" x14ac:dyDescent="0.35">
      <c r="A60" s="23" t="s">
        <v>591</v>
      </c>
      <c r="B60" s="24">
        <f>SUMIF('Raw May'!B:B,'TB 0525'!A60,'Raw May'!C:C)</f>
        <v>-5126000</v>
      </c>
      <c r="C60" s="24">
        <f>SUMIF('Raw May'!B:B,'TB 0525'!A60,'Raw May'!D:D)</f>
        <v>0</v>
      </c>
      <c r="D60" s="24">
        <f>SUMIF('Raw May'!B:B,'TB 0525'!A60,'Raw May'!E:E)</f>
        <v>0</v>
      </c>
      <c r="E60" s="24">
        <f t="shared" si="0"/>
        <v>-5126000</v>
      </c>
      <c r="F60" s="24">
        <f t="shared" si="1"/>
        <v>-5126</v>
      </c>
      <c r="G60" s="22" t="s">
        <v>180</v>
      </c>
      <c r="H60" s="23" t="s">
        <v>63</v>
      </c>
      <c r="L60" s="23" t="s">
        <v>1017</v>
      </c>
      <c r="M60" s="24">
        <v>62.366999999999997</v>
      </c>
      <c r="N60" s="23" t="s">
        <v>192</v>
      </c>
    </row>
    <row r="61" spans="1:14" x14ac:dyDescent="0.35">
      <c r="A61" s="23" t="s">
        <v>701</v>
      </c>
      <c r="B61" s="24">
        <f>SUMIF('Raw May'!B:B,'TB 0525'!A61,'Raw May'!C:C)</f>
        <v>-16200</v>
      </c>
      <c r="C61" s="24">
        <f>SUMIF('Raw May'!B:B,'TB 0525'!A61,'Raw May'!D:D)</f>
        <v>0</v>
      </c>
      <c r="D61" s="24">
        <f>SUMIF('Raw May'!B:B,'TB 0525'!A61,'Raw May'!E:E)</f>
        <v>0</v>
      </c>
      <c r="E61" s="24">
        <f t="shared" si="0"/>
        <v>-16200</v>
      </c>
      <c r="F61" s="24">
        <f t="shared" si="1"/>
        <v>-16.2</v>
      </c>
      <c r="G61" s="22" t="s">
        <v>180</v>
      </c>
      <c r="H61" s="23" t="s">
        <v>63</v>
      </c>
      <c r="L61" s="23" t="s">
        <v>1018</v>
      </c>
      <c r="M61" s="24">
        <v>264.86700000000002</v>
      </c>
      <c r="N61" s="23" t="s">
        <v>192</v>
      </c>
    </row>
    <row r="62" spans="1:14" x14ac:dyDescent="0.35">
      <c r="A62" s="23" t="s">
        <v>702</v>
      </c>
      <c r="B62" s="24">
        <f>SUMIF('Raw May'!B:B,'TB 0525'!A62,'Raw May'!C:C)</f>
        <v>-5400</v>
      </c>
      <c r="C62" s="24">
        <f>SUMIF('Raw May'!B:B,'TB 0525'!A62,'Raw May'!D:D)</f>
        <v>0</v>
      </c>
      <c r="D62" s="24">
        <f>SUMIF('Raw May'!B:B,'TB 0525'!A62,'Raw May'!E:E)</f>
        <v>0</v>
      </c>
      <c r="E62" s="24">
        <f t="shared" si="0"/>
        <v>-5400</v>
      </c>
      <c r="F62" s="24">
        <f t="shared" si="1"/>
        <v>-5.4</v>
      </c>
      <c r="G62" s="22" t="s">
        <v>180</v>
      </c>
      <c r="H62" s="23" t="s">
        <v>63</v>
      </c>
      <c r="L62" s="23" t="s">
        <v>1019</v>
      </c>
      <c r="M62" s="24">
        <v>498.2</v>
      </c>
      <c r="N62" s="23" t="s">
        <v>192</v>
      </c>
    </row>
    <row r="63" spans="1:14" x14ac:dyDescent="0.35">
      <c r="A63" s="23" t="s">
        <v>703</v>
      </c>
      <c r="B63" s="24">
        <f>SUMIF('Raw May'!B:B,'TB 0525'!A63,'Raw May'!C:C)</f>
        <v>-37800</v>
      </c>
      <c r="C63" s="24">
        <f>SUMIF('Raw May'!B:B,'TB 0525'!A63,'Raw May'!D:D)</f>
        <v>0</v>
      </c>
      <c r="D63" s="24">
        <f>SUMIF('Raw May'!B:B,'TB 0525'!A63,'Raw May'!E:E)</f>
        <v>0</v>
      </c>
      <c r="E63" s="24">
        <f t="shared" si="0"/>
        <v>-37800</v>
      </c>
      <c r="F63" s="24">
        <f t="shared" si="1"/>
        <v>-37.799999999999997</v>
      </c>
      <c r="G63" s="22" t="s">
        <v>180</v>
      </c>
      <c r="H63" s="23" t="s">
        <v>63</v>
      </c>
      <c r="L63" s="23" t="s">
        <v>1020</v>
      </c>
      <c r="M63" s="24">
        <v>49.033000000000001</v>
      </c>
      <c r="N63" s="23" t="s">
        <v>192</v>
      </c>
    </row>
    <row r="64" spans="1:14" x14ac:dyDescent="0.35">
      <c r="A64" s="23" t="s">
        <v>592</v>
      </c>
      <c r="B64" s="24">
        <f>SUMIF('Raw May'!B:B,'TB 0525'!A64,'Raw May'!C:C)</f>
        <v>-545637669.75999999</v>
      </c>
      <c r="C64" s="24">
        <f>SUMIF('Raw May'!B:B,'TB 0525'!A64,'Raw May'!D:D)</f>
        <v>0</v>
      </c>
      <c r="D64" s="24">
        <f>SUMIF('Raw May'!B:B,'TB 0525'!A64,'Raw May'!E:E)</f>
        <v>0</v>
      </c>
      <c r="E64" s="24">
        <f t="shared" si="0"/>
        <v>-545637669.75999999</v>
      </c>
      <c r="F64" s="24">
        <f t="shared" si="1"/>
        <v>-545637.66975999996</v>
      </c>
      <c r="G64" s="22" t="s">
        <v>180</v>
      </c>
      <c r="H64" s="23" t="s">
        <v>64</v>
      </c>
      <c r="L64" s="23" t="s">
        <v>1021</v>
      </c>
      <c r="M64" s="24">
        <v>89.867000000000004</v>
      </c>
      <c r="N64" s="23" t="s">
        <v>192</v>
      </c>
    </row>
    <row r="65" spans="1:14" x14ac:dyDescent="0.35">
      <c r="A65" s="23" t="s">
        <v>704</v>
      </c>
      <c r="B65" s="24">
        <f>SUMIF('Raw May'!B:B,'TB 0525'!A65,'Raw May'!C:C)</f>
        <v>-5400</v>
      </c>
      <c r="C65" s="24">
        <f>SUMIF('Raw May'!B:B,'TB 0525'!A65,'Raw May'!D:D)</f>
        <v>0</v>
      </c>
      <c r="D65" s="24">
        <f>SUMIF('Raw May'!B:B,'TB 0525'!A65,'Raw May'!E:E)</f>
        <v>0</v>
      </c>
      <c r="E65" s="24">
        <f t="shared" si="0"/>
        <v>-5400</v>
      </c>
      <c r="F65" s="24">
        <f t="shared" si="1"/>
        <v>-5.4</v>
      </c>
      <c r="G65" s="22" t="s">
        <v>180</v>
      </c>
      <c r="H65" s="23" t="s">
        <v>63</v>
      </c>
      <c r="L65" s="23" t="s">
        <v>1022</v>
      </c>
      <c r="M65" s="24">
        <v>0</v>
      </c>
      <c r="N65" s="23" t="s">
        <v>32</v>
      </c>
    </row>
    <row r="66" spans="1:14" x14ac:dyDescent="0.35">
      <c r="A66" s="23" t="s">
        <v>705</v>
      </c>
      <c r="B66" s="24">
        <f>SUMIF('Raw May'!B:B,'TB 0525'!A66,'Raw May'!C:C)</f>
        <v>-5400</v>
      </c>
      <c r="C66" s="24">
        <f>SUMIF('Raw May'!B:B,'TB 0525'!A66,'Raw May'!D:D)</f>
        <v>0</v>
      </c>
      <c r="D66" s="24">
        <f>SUMIF('Raw May'!B:B,'TB 0525'!A66,'Raw May'!E:E)</f>
        <v>0</v>
      </c>
      <c r="E66" s="24">
        <f t="shared" si="0"/>
        <v>-5400</v>
      </c>
      <c r="F66" s="24">
        <f t="shared" si="1"/>
        <v>-5.4</v>
      </c>
      <c r="G66" s="22" t="s">
        <v>180</v>
      </c>
      <c r="H66" s="23" t="s">
        <v>63</v>
      </c>
      <c r="L66" s="23" t="s">
        <v>1023</v>
      </c>
      <c r="M66" s="24">
        <v>32.366999999999997</v>
      </c>
      <c r="N66" s="23" t="s">
        <v>33</v>
      </c>
    </row>
    <row r="67" spans="1:14" x14ac:dyDescent="0.35">
      <c r="A67" s="23" t="s">
        <v>706</v>
      </c>
      <c r="B67" s="24">
        <f>SUMIF('Raw May'!B:B,'TB 0525'!A67,'Raw May'!C:C)</f>
        <v>-5400</v>
      </c>
      <c r="C67" s="24">
        <f>SUMIF('Raw May'!B:B,'TB 0525'!A67,'Raw May'!D:D)</f>
        <v>0</v>
      </c>
      <c r="D67" s="24">
        <f>SUMIF('Raw May'!B:B,'TB 0525'!A67,'Raw May'!E:E)</f>
        <v>0</v>
      </c>
      <c r="E67" s="24">
        <f t="shared" si="0"/>
        <v>-5400</v>
      </c>
      <c r="F67" s="24">
        <f t="shared" si="1"/>
        <v>-5.4</v>
      </c>
      <c r="G67" s="22" t="s">
        <v>180</v>
      </c>
      <c r="H67" s="23" t="s">
        <v>63</v>
      </c>
      <c r="L67" s="23" t="s">
        <v>1024</v>
      </c>
      <c r="M67" s="24">
        <v>27.367000000000001</v>
      </c>
      <c r="N67" s="23" t="s">
        <v>32</v>
      </c>
    </row>
    <row r="68" spans="1:14" x14ac:dyDescent="0.35">
      <c r="A68" s="23" t="s">
        <v>707</v>
      </c>
      <c r="B68" s="24">
        <f>SUMIF('Raw May'!B:B,'TB 0525'!A68,'Raw May'!C:C)</f>
        <v>-37800</v>
      </c>
      <c r="C68" s="24">
        <f>SUMIF('Raw May'!B:B,'TB 0525'!A68,'Raw May'!D:D)</f>
        <v>0</v>
      </c>
      <c r="D68" s="24">
        <f>SUMIF('Raw May'!B:B,'TB 0525'!A68,'Raw May'!E:E)</f>
        <v>0</v>
      </c>
      <c r="E68" s="24">
        <f t="shared" ref="E68:E104" si="2">B68+C68-D68</f>
        <v>-37800</v>
      </c>
      <c r="F68" s="24">
        <f t="shared" ref="F68:F104" si="3">E68/1000</f>
        <v>-37.799999999999997</v>
      </c>
      <c r="G68" s="22" t="s">
        <v>180</v>
      </c>
      <c r="H68" s="23" t="s">
        <v>63</v>
      </c>
      <c r="L68" s="23" t="s">
        <v>1025</v>
      </c>
      <c r="M68" s="24">
        <v>24</v>
      </c>
      <c r="N68" s="23" t="s">
        <v>33</v>
      </c>
    </row>
    <row r="69" spans="1:14" x14ac:dyDescent="0.35">
      <c r="A69" s="23" t="s">
        <v>593</v>
      </c>
      <c r="B69" s="24">
        <f>SUMIF('Raw May'!B:B,'TB 0525'!A69,'Raw May'!C:C)</f>
        <v>58903866.530000001</v>
      </c>
      <c r="C69" s="24">
        <f>SUMIF('Raw May'!B:B,'TB 0525'!A69,'Raw May'!D:D)</f>
        <v>0</v>
      </c>
      <c r="D69" s="24">
        <f>SUMIF('Raw May'!B:B,'TB 0525'!A69,'Raw May'!E:E)</f>
        <v>0</v>
      </c>
      <c r="E69" s="24">
        <f t="shared" si="2"/>
        <v>58903866.530000001</v>
      </c>
      <c r="F69" s="24">
        <f t="shared" si="3"/>
        <v>58903.866529999999</v>
      </c>
      <c r="G69" s="22" t="s">
        <v>180</v>
      </c>
      <c r="H69" s="23" t="s">
        <v>64</v>
      </c>
      <c r="L69" s="23" t="s">
        <v>1026</v>
      </c>
      <c r="M69" s="24">
        <v>26</v>
      </c>
      <c r="N69" s="23" t="s">
        <v>190</v>
      </c>
    </row>
    <row r="70" spans="1:14" x14ac:dyDescent="0.35">
      <c r="A70" s="23" t="s">
        <v>594</v>
      </c>
      <c r="B70" s="24">
        <f>SUMIF('Raw May'!B:B,'TB 0525'!A70,'Raw May'!C:C)</f>
        <v>0</v>
      </c>
      <c r="C70" s="24">
        <f>SUMIF('Raw May'!B:B,'TB 0525'!A70,'Raw May'!D:D)</f>
        <v>6848864</v>
      </c>
      <c r="D70" s="24">
        <f>SUMIF('Raw May'!B:B,'TB 0525'!A70,'Raw May'!E:E)</f>
        <v>9401925.3000000007</v>
      </c>
      <c r="E70" s="24">
        <f t="shared" si="2"/>
        <v>-2553061.3000000007</v>
      </c>
      <c r="F70" s="24">
        <f t="shared" si="3"/>
        <v>-2553.0613000000008</v>
      </c>
      <c r="G70" s="22" t="s">
        <v>184</v>
      </c>
      <c r="H70" s="23" t="s">
        <v>49</v>
      </c>
      <c r="L70" s="23" t="s">
        <v>1027</v>
      </c>
      <c r="M70" s="24">
        <v>83.2</v>
      </c>
      <c r="N70" s="23" t="s">
        <v>192</v>
      </c>
    </row>
    <row r="71" spans="1:14" x14ac:dyDescent="0.35">
      <c r="A71" s="23" t="s">
        <v>287</v>
      </c>
      <c r="B71" s="24">
        <f>SUMIF('Raw May'!B:B,'TB 0525'!A71,'Raw May'!C:C)</f>
        <v>0</v>
      </c>
      <c r="C71" s="24">
        <f>SUMIF('Raw May'!B:B,'TB 0525'!A71,'Raw May'!D:D)</f>
        <v>70000</v>
      </c>
      <c r="D71" s="24">
        <f>SUMIF('Raw May'!B:B,'TB 0525'!A71,'Raw May'!E:E)</f>
        <v>0</v>
      </c>
      <c r="E71" s="24">
        <f t="shared" si="2"/>
        <v>70000</v>
      </c>
      <c r="F71" s="24">
        <f t="shared" si="3"/>
        <v>70</v>
      </c>
      <c r="G71" s="22" t="s">
        <v>182</v>
      </c>
      <c r="H71" s="23" t="s">
        <v>41</v>
      </c>
      <c r="L71" s="23" t="s">
        <v>1028</v>
      </c>
      <c r="M71" s="24">
        <v>71.116</v>
      </c>
      <c r="N71" s="23" t="s">
        <v>192</v>
      </c>
    </row>
    <row r="72" spans="1:14" x14ac:dyDescent="0.35">
      <c r="A72" s="23" t="s">
        <v>970</v>
      </c>
      <c r="B72" s="24">
        <f>SUMIF('Raw May'!B:B,'TB 0525'!A72,'Raw May'!C:C)</f>
        <v>0</v>
      </c>
      <c r="C72" s="24">
        <f>SUMIF('Raw May'!B:B,'TB 0525'!A72,'Raw May'!D:D)</f>
        <v>83000</v>
      </c>
      <c r="D72" s="24">
        <f>SUMIF('Raw May'!B:B,'TB 0525'!A72,'Raw May'!E:E)</f>
        <v>0</v>
      </c>
      <c r="E72" s="24">
        <f t="shared" si="2"/>
        <v>83000</v>
      </c>
      <c r="F72" s="24">
        <f t="shared" si="3"/>
        <v>83</v>
      </c>
      <c r="G72" s="22" t="s">
        <v>182</v>
      </c>
      <c r="H72" s="23" t="s">
        <v>37</v>
      </c>
      <c r="L72" s="23" t="s">
        <v>1029</v>
      </c>
      <c r="M72" s="24">
        <v>306.53300000000002</v>
      </c>
      <c r="N72" s="23" t="s">
        <v>192</v>
      </c>
    </row>
    <row r="73" spans="1:14" x14ac:dyDescent="0.35">
      <c r="A73" s="23" t="s">
        <v>595</v>
      </c>
      <c r="B73" s="24">
        <f>SUMIF('Raw May'!B:B,'TB 0525'!A73,'Raw May'!C:C)</f>
        <v>0</v>
      </c>
      <c r="C73" s="24">
        <f>SUMIF('Raw May'!B:B,'TB 0525'!A73,'Raw May'!D:D)</f>
        <v>118</v>
      </c>
      <c r="D73" s="24">
        <f>SUMIF('Raw May'!B:B,'TB 0525'!A73,'Raw May'!E:E)</f>
        <v>0</v>
      </c>
      <c r="E73" s="24">
        <f t="shared" si="2"/>
        <v>118</v>
      </c>
      <c r="F73" s="24">
        <f t="shared" si="3"/>
        <v>0.11799999999999999</v>
      </c>
      <c r="G73" s="22" t="s">
        <v>182</v>
      </c>
      <c r="H73" s="23" t="s">
        <v>43</v>
      </c>
      <c r="L73" s="23" t="s">
        <v>1030</v>
      </c>
      <c r="M73" s="24">
        <v>148.19999999999999</v>
      </c>
      <c r="N73" s="23" t="s">
        <v>192</v>
      </c>
    </row>
    <row r="74" spans="1:14" x14ac:dyDescent="0.35">
      <c r="A74" s="23" t="s">
        <v>38</v>
      </c>
      <c r="B74" s="24">
        <f>SUMIF('Raw May'!B:B,'TB 0525'!A74,'Raw May'!C:C)</f>
        <v>0</v>
      </c>
      <c r="C74" s="24">
        <f>SUMIF('Raw May'!B:B,'TB 0525'!A74,'Raw May'!D:D)</f>
        <v>395000</v>
      </c>
      <c r="D74" s="24">
        <f>SUMIF('Raw May'!B:B,'TB 0525'!A74,'Raw May'!E:E)</f>
        <v>0</v>
      </c>
      <c r="E74" s="24">
        <f t="shared" si="2"/>
        <v>395000</v>
      </c>
      <c r="F74" s="24">
        <f t="shared" si="3"/>
        <v>395</v>
      </c>
      <c r="G74" s="22" t="s">
        <v>182</v>
      </c>
      <c r="H74" s="23" t="s">
        <v>38</v>
      </c>
      <c r="L74" s="23" t="s">
        <v>1031</v>
      </c>
      <c r="M74" s="24">
        <v>32.366999999999997</v>
      </c>
      <c r="N74" s="23" t="s">
        <v>32</v>
      </c>
    </row>
    <row r="75" spans="1:14" x14ac:dyDescent="0.35">
      <c r="A75" s="23" t="s">
        <v>409</v>
      </c>
      <c r="B75" s="24">
        <f>SUMIF('Raw May'!B:B,'TB 0525'!A75,'Raw May'!C:C)</f>
        <v>0</v>
      </c>
      <c r="C75" s="24">
        <f>SUMIF('Raw May'!B:B,'TB 0525'!A75,'Raw May'!D:D)</f>
        <v>213200</v>
      </c>
      <c r="D75" s="24">
        <f>SUMIF('Raw May'!B:B,'TB 0525'!A75,'Raw May'!E:E)</f>
        <v>0</v>
      </c>
      <c r="E75" s="24">
        <f t="shared" si="2"/>
        <v>213200</v>
      </c>
      <c r="F75" s="24">
        <f t="shared" si="3"/>
        <v>213.2</v>
      </c>
      <c r="G75" s="22" t="s">
        <v>182</v>
      </c>
      <c r="H75" s="23" t="s">
        <v>31</v>
      </c>
      <c r="L75" s="23" t="s">
        <v>1032</v>
      </c>
      <c r="M75" s="24">
        <v>53.2</v>
      </c>
      <c r="N75" s="23" t="s">
        <v>190</v>
      </c>
    </row>
    <row r="76" spans="1:14" x14ac:dyDescent="0.35">
      <c r="A76" s="23" t="s">
        <v>296</v>
      </c>
      <c r="B76" s="24">
        <f>SUMIF('Raw May'!B:B,'TB 0525'!A76,'Raw May'!C:C)</f>
        <v>0</v>
      </c>
      <c r="C76" s="24">
        <f>SUMIF('Raw May'!B:B,'TB 0525'!A76,'Raw May'!D:D)</f>
        <v>2922065.21</v>
      </c>
      <c r="D76" s="24">
        <f>SUMIF('Raw May'!B:B,'TB 0525'!A76,'Raw May'!E:E)</f>
        <v>0</v>
      </c>
      <c r="E76" s="24">
        <f t="shared" si="2"/>
        <v>2922065.21</v>
      </c>
      <c r="F76" s="24">
        <f t="shared" si="3"/>
        <v>2922.0652099999998</v>
      </c>
      <c r="G76" s="22" t="s">
        <v>182</v>
      </c>
      <c r="H76" s="23" t="s">
        <v>37</v>
      </c>
      <c r="L76" s="23" t="s">
        <v>1033</v>
      </c>
      <c r="M76" s="24">
        <v>27</v>
      </c>
      <c r="N76" s="23" t="s">
        <v>32</v>
      </c>
    </row>
    <row r="77" spans="1:14" x14ac:dyDescent="0.35">
      <c r="A77" s="23" t="s">
        <v>34</v>
      </c>
      <c r="B77" s="24">
        <f>SUMIF('Raw May'!B:B,'TB 0525'!A77,'Raw May'!C:C)</f>
        <v>0</v>
      </c>
      <c r="C77" s="24">
        <f>SUMIF('Raw May'!B:B,'TB 0525'!A77,'Raw May'!D:D)</f>
        <v>3800</v>
      </c>
      <c r="D77" s="24">
        <f>SUMIF('Raw May'!B:B,'TB 0525'!A77,'Raw May'!E:E)</f>
        <v>0</v>
      </c>
      <c r="E77" s="24">
        <f t="shared" si="2"/>
        <v>3800</v>
      </c>
      <c r="F77" s="24">
        <f t="shared" si="3"/>
        <v>3.8</v>
      </c>
      <c r="G77" s="22" t="s">
        <v>182</v>
      </c>
      <c r="H77" s="23" t="s">
        <v>34</v>
      </c>
      <c r="L77" s="23" t="s">
        <v>1034</v>
      </c>
      <c r="M77" s="24">
        <v>28</v>
      </c>
      <c r="N77" s="23" t="s">
        <v>33</v>
      </c>
    </row>
    <row r="78" spans="1:14" x14ac:dyDescent="0.35">
      <c r="A78" s="23" t="s">
        <v>596</v>
      </c>
      <c r="B78" s="24">
        <f>SUMIF('Raw May'!B:B,'TB 0525'!A78,'Raw May'!C:C)</f>
        <v>0</v>
      </c>
      <c r="C78" s="24">
        <f>SUMIF('Raw May'!B:B,'TB 0525'!A78,'Raw May'!D:D)</f>
        <v>266902.96000000002</v>
      </c>
      <c r="D78" s="24">
        <f>SUMIF('Raw May'!B:B,'TB 0525'!A78,'Raw May'!E:E)</f>
        <v>0</v>
      </c>
      <c r="E78" s="24">
        <f t="shared" si="2"/>
        <v>266902.96000000002</v>
      </c>
      <c r="F78" s="24">
        <f t="shared" si="3"/>
        <v>266.90296000000001</v>
      </c>
      <c r="G78" s="22" t="s">
        <v>182</v>
      </c>
      <c r="H78" s="23" t="s">
        <v>48</v>
      </c>
      <c r="L78" s="23" t="s">
        <v>1035</v>
      </c>
      <c r="M78" s="24">
        <v>289.86700000000002</v>
      </c>
      <c r="N78" s="23" t="s">
        <v>192</v>
      </c>
    </row>
    <row r="79" spans="1:14" x14ac:dyDescent="0.35">
      <c r="A79" s="23" t="s">
        <v>708</v>
      </c>
      <c r="B79" s="24">
        <f>SUMIF('Raw May'!B:B,'TB 0525'!A79,'Raw May'!C:C)</f>
        <v>0</v>
      </c>
      <c r="C79" s="24">
        <f>SUMIF('Raw May'!B:B,'TB 0525'!A79,'Raw May'!D:D)</f>
        <v>553.20000000000005</v>
      </c>
      <c r="D79" s="24">
        <f>SUMIF('Raw May'!B:B,'TB 0525'!A79,'Raw May'!E:E)</f>
        <v>0</v>
      </c>
      <c r="E79" s="24">
        <f t="shared" si="2"/>
        <v>553.20000000000005</v>
      </c>
      <c r="F79" s="24">
        <f t="shared" si="3"/>
        <v>0.55320000000000003</v>
      </c>
      <c r="G79" s="22" t="s">
        <v>182</v>
      </c>
      <c r="H79" s="23" t="s">
        <v>42</v>
      </c>
      <c r="L79" s="23" t="s">
        <v>1036</v>
      </c>
      <c r="M79" s="24">
        <v>748.2</v>
      </c>
      <c r="N79" s="23" t="s">
        <v>192</v>
      </c>
    </row>
    <row r="80" spans="1:14" x14ac:dyDescent="0.35">
      <c r="A80" s="23" t="s">
        <v>777</v>
      </c>
      <c r="B80" s="24">
        <f>SUMIF('Raw May'!B:B,'TB 0525'!A80,'Raw May'!C:C)</f>
        <v>0</v>
      </c>
      <c r="C80" s="24">
        <f>SUMIF('Raw May'!B:B,'TB 0525'!A80,'Raw May'!D:D)</f>
        <v>4181</v>
      </c>
      <c r="D80" s="24">
        <f>SUMIF('Raw May'!B:B,'TB 0525'!A80,'Raw May'!E:E)</f>
        <v>0</v>
      </c>
      <c r="E80" s="24">
        <f t="shared" si="2"/>
        <v>4181</v>
      </c>
      <c r="F80" s="24">
        <f t="shared" si="3"/>
        <v>4.181</v>
      </c>
      <c r="G80" s="22" t="s">
        <v>182</v>
      </c>
      <c r="H80" s="23" t="s">
        <v>417</v>
      </c>
      <c r="L80" s="23" t="s">
        <v>1037</v>
      </c>
      <c r="M80" s="24">
        <v>20.774999999999999</v>
      </c>
      <c r="N80" s="23" t="s">
        <v>33</v>
      </c>
    </row>
    <row r="81" spans="1:14" x14ac:dyDescent="0.35">
      <c r="A81" s="23" t="s">
        <v>109</v>
      </c>
      <c r="B81" s="24">
        <f>SUMIF('Raw May'!B:B,'TB 0525'!A81,'Raw May'!C:C)</f>
        <v>0</v>
      </c>
      <c r="C81" s="24">
        <f>SUMIF('Raw May'!B:B,'TB 0525'!A81,'Raw May'!D:D)</f>
        <v>385113</v>
      </c>
      <c r="D81" s="24">
        <f>SUMIF('Raw May'!B:B,'TB 0525'!A81,'Raw May'!E:E)</f>
        <v>0</v>
      </c>
      <c r="E81" s="24">
        <f t="shared" si="2"/>
        <v>385113</v>
      </c>
      <c r="F81" s="24">
        <f t="shared" si="3"/>
        <v>385.113</v>
      </c>
      <c r="G81" s="22" t="s">
        <v>182</v>
      </c>
      <c r="H81" s="23" t="s">
        <v>417</v>
      </c>
      <c r="L81" s="23" t="s">
        <v>1038</v>
      </c>
      <c r="M81" s="24">
        <v>77</v>
      </c>
      <c r="N81" s="23" t="s">
        <v>192</v>
      </c>
    </row>
    <row r="82" spans="1:14" x14ac:dyDescent="0.35">
      <c r="A82" s="23" t="s">
        <v>597</v>
      </c>
      <c r="B82" s="24">
        <f>SUMIF('Raw May'!B:B,'TB 0525'!A82,'Raw May'!C:C)</f>
        <v>0</v>
      </c>
      <c r="C82" s="24">
        <f>SUMIF('Raw May'!B:B,'TB 0525'!A82,'Raw May'!D:D)</f>
        <v>24228</v>
      </c>
      <c r="D82" s="24">
        <f>SUMIF('Raw May'!B:B,'TB 0525'!A82,'Raw May'!E:E)</f>
        <v>0</v>
      </c>
      <c r="E82" s="24">
        <f t="shared" si="2"/>
        <v>24228</v>
      </c>
      <c r="F82" s="24">
        <f t="shared" si="3"/>
        <v>24.228000000000002</v>
      </c>
      <c r="G82" s="22" t="s">
        <v>182</v>
      </c>
      <c r="H82" s="23" t="s">
        <v>417</v>
      </c>
      <c r="L82" s="23" t="s">
        <v>1039</v>
      </c>
      <c r="M82" s="24">
        <v>24.561</v>
      </c>
      <c r="N82" s="23" t="s">
        <v>33</v>
      </c>
    </row>
    <row r="83" spans="1:14" x14ac:dyDescent="0.35">
      <c r="A83" s="23" t="s">
        <v>598</v>
      </c>
      <c r="B83" s="24">
        <f>SUMIF('Raw May'!B:B,'TB 0525'!A83,'Raw May'!C:C)</f>
        <v>0</v>
      </c>
      <c r="C83" s="24">
        <f>SUMIF('Raw May'!B:B,'TB 0525'!A83,'Raw May'!D:D)</f>
        <v>894725.08</v>
      </c>
      <c r="D83" s="24">
        <f>SUMIF('Raw May'!B:B,'TB 0525'!A83,'Raw May'!E:E)</f>
        <v>143468.57999999999</v>
      </c>
      <c r="E83" s="24">
        <f t="shared" si="2"/>
        <v>751256.5</v>
      </c>
      <c r="F83" s="24">
        <f t="shared" si="3"/>
        <v>751.25649999999996</v>
      </c>
      <c r="G83" s="22" t="s">
        <v>182</v>
      </c>
      <c r="H83" s="23" t="s">
        <v>417</v>
      </c>
      <c r="L83" s="23" t="s">
        <v>1040</v>
      </c>
      <c r="M83" s="24">
        <v>748.2</v>
      </c>
      <c r="N83" s="23" t="s">
        <v>192</v>
      </c>
    </row>
    <row r="84" spans="1:14" x14ac:dyDescent="0.35">
      <c r="A84" s="23" t="s">
        <v>417</v>
      </c>
      <c r="B84" s="24">
        <f>SUMIF('Raw May'!B:B,'TB 0525'!A84,'Raw May'!C:C)</f>
        <v>0</v>
      </c>
      <c r="C84" s="24">
        <f>SUMIF('Raw May'!B:B,'TB 0525'!A84,'Raw May'!D:D)</f>
        <v>20400</v>
      </c>
      <c r="D84" s="24">
        <f>SUMIF('Raw May'!B:B,'TB 0525'!A84,'Raw May'!E:E)</f>
        <v>0</v>
      </c>
      <c r="E84" s="24">
        <f t="shared" si="2"/>
        <v>20400</v>
      </c>
      <c r="F84" s="24">
        <f t="shared" si="3"/>
        <v>20.399999999999999</v>
      </c>
      <c r="G84" s="22" t="s">
        <v>182</v>
      </c>
      <c r="H84" s="23" t="s">
        <v>417</v>
      </c>
      <c r="L84" s="23" t="s">
        <v>1041</v>
      </c>
      <c r="M84" s="24">
        <v>24</v>
      </c>
      <c r="N84" s="23" t="s">
        <v>31</v>
      </c>
    </row>
    <row r="85" spans="1:14" x14ac:dyDescent="0.35">
      <c r="A85" s="23" t="s">
        <v>778</v>
      </c>
      <c r="B85" s="24">
        <f>SUMIF('Raw May'!B:B,'TB 0525'!A85,'Raw May'!C:C)</f>
        <v>0</v>
      </c>
      <c r="C85" s="24">
        <f>SUMIF('Raw May'!B:B,'TB 0525'!A85,'Raw May'!D:D)</f>
        <v>446420.92</v>
      </c>
      <c r="D85" s="24">
        <f>SUMIF('Raw May'!B:B,'TB 0525'!A85,'Raw May'!E:E)</f>
        <v>0</v>
      </c>
      <c r="E85" s="24">
        <f t="shared" si="2"/>
        <v>446420.92</v>
      </c>
      <c r="F85" s="24">
        <f t="shared" si="3"/>
        <v>446.42091999999997</v>
      </c>
      <c r="G85" s="22" t="s">
        <v>182</v>
      </c>
      <c r="H85" s="23" t="s">
        <v>26</v>
      </c>
      <c r="L85" s="23" t="s">
        <v>1042</v>
      </c>
      <c r="M85" s="24">
        <v>53.2</v>
      </c>
      <c r="N85" s="23" t="s">
        <v>31</v>
      </c>
    </row>
    <row r="86" spans="1:14" x14ac:dyDescent="0.35">
      <c r="A86" s="23" t="s">
        <v>600</v>
      </c>
      <c r="B86" s="24">
        <f>SUMIF('Raw May'!B:B,'TB 0525'!A86,'Raw May'!C:C)</f>
        <v>0</v>
      </c>
      <c r="C86" s="24">
        <f>SUMIF('Raw May'!B:B,'TB 0525'!A86,'Raw May'!D:D)</f>
        <v>148500</v>
      </c>
      <c r="D86" s="24">
        <f>SUMIF('Raw May'!B:B,'TB 0525'!A86,'Raw May'!E:E)</f>
        <v>0</v>
      </c>
      <c r="E86" s="24">
        <f t="shared" si="2"/>
        <v>148500</v>
      </c>
      <c r="F86" s="24">
        <f t="shared" si="3"/>
        <v>148.5</v>
      </c>
      <c r="G86" s="22" t="s">
        <v>182</v>
      </c>
      <c r="H86" s="23" t="s">
        <v>46</v>
      </c>
      <c r="L86" s="23" t="s">
        <v>1043</v>
      </c>
      <c r="M86" s="24">
        <v>27</v>
      </c>
      <c r="N86" s="23" t="s">
        <v>32</v>
      </c>
    </row>
    <row r="87" spans="1:14" x14ac:dyDescent="0.35">
      <c r="A87" s="23" t="s">
        <v>864</v>
      </c>
      <c r="B87" s="24">
        <f>SUMIF('Raw May'!B:B,'TB 0525'!A87,'Raw May'!C:C)</f>
        <v>0</v>
      </c>
      <c r="C87" s="24">
        <f>SUMIF('Raw May'!B:B,'TB 0525'!A87,'Raw May'!D:D)</f>
        <v>123366</v>
      </c>
      <c r="D87" s="24">
        <f>SUMIF('Raw May'!B:B,'TB 0525'!A87,'Raw May'!E:E)</f>
        <v>10000</v>
      </c>
      <c r="E87" s="24">
        <f t="shared" si="2"/>
        <v>113366</v>
      </c>
      <c r="F87" s="24">
        <f t="shared" si="3"/>
        <v>113.366</v>
      </c>
      <c r="G87" s="22" t="s">
        <v>182</v>
      </c>
      <c r="H87" s="23" t="s">
        <v>958</v>
      </c>
      <c r="L87" s="23" t="s">
        <v>1044</v>
      </c>
      <c r="M87" s="24">
        <v>32</v>
      </c>
      <c r="N87" s="23" t="s">
        <v>192</v>
      </c>
    </row>
    <row r="88" spans="1:14" x14ac:dyDescent="0.35">
      <c r="A88" s="23" t="s">
        <v>779</v>
      </c>
      <c r="B88" s="24">
        <f>SUMIF('Raw May'!B:B,'TB 0525'!A88,'Raw May'!C:C)</f>
        <v>0</v>
      </c>
      <c r="C88" s="24">
        <f>SUMIF('Raw May'!B:B,'TB 0525'!A88,'Raw May'!D:D)</f>
        <v>15000</v>
      </c>
      <c r="D88" s="24">
        <f>SUMIF('Raw May'!B:B,'TB 0525'!A88,'Raw May'!E:E)</f>
        <v>0</v>
      </c>
      <c r="E88" s="24">
        <f t="shared" si="2"/>
        <v>15000</v>
      </c>
      <c r="F88" s="24">
        <f t="shared" si="3"/>
        <v>15</v>
      </c>
      <c r="G88" s="22" t="s">
        <v>182</v>
      </c>
      <c r="H88" s="23" t="s">
        <v>42</v>
      </c>
      <c r="L88" s="23" t="s">
        <v>1045</v>
      </c>
      <c r="M88" s="24">
        <v>27</v>
      </c>
      <c r="N88" s="23" t="s">
        <v>33</v>
      </c>
    </row>
    <row r="89" spans="1:14" x14ac:dyDescent="0.35">
      <c r="A89" s="23" t="s">
        <v>602</v>
      </c>
      <c r="B89" s="24">
        <f>SUMIF('Raw May'!B:B,'TB 0525'!A89,'Raw May'!C:C)</f>
        <v>0</v>
      </c>
      <c r="C89" s="24">
        <f>SUMIF('Raw May'!B:B,'TB 0525'!A89,'Raw May'!D:D)</f>
        <v>111168.44</v>
      </c>
      <c r="D89" s="24">
        <f>SUMIF('Raw May'!B:B,'TB 0525'!A89,'Raw May'!E:E)</f>
        <v>1516.02</v>
      </c>
      <c r="E89" s="24">
        <f t="shared" si="2"/>
        <v>109652.42</v>
      </c>
      <c r="F89" s="24">
        <f t="shared" si="3"/>
        <v>109.65241999999999</v>
      </c>
      <c r="G89" s="22" t="s">
        <v>182</v>
      </c>
      <c r="H89" s="23" t="s">
        <v>42</v>
      </c>
      <c r="L89" s="23" t="s">
        <v>1046</v>
      </c>
      <c r="M89" s="24">
        <v>110.2</v>
      </c>
      <c r="N89" s="23" t="s">
        <v>190</v>
      </c>
    </row>
    <row r="90" spans="1:14" x14ac:dyDescent="0.35">
      <c r="A90" s="23" t="s">
        <v>603</v>
      </c>
      <c r="B90" s="24">
        <f>SUMIF('Raw May'!B:B,'TB 0525'!A90,'Raw May'!C:C)</f>
        <v>0</v>
      </c>
      <c r="C90" s="24">
        <f>SUMIF('Raw May'!B:B,'TB 0525'!A90,'Raw May'!D:D)</f>
        <v>686661.08</v>
      </c>
      <c r="D90" s="24">
        <f>SUMIF('Raw May'!B:B,'TB 0525'!A90,'Raw May'!E:E)</f>
        <v>0</v>
      </c>
      <c r="E90" s="24">
        <f t="shared" si="2"/>
        <v>686661.08</v>
      </c>
      <c r="F90" s="24">
        <f t="shared" si="3"/>
        <v>686.66107999999997</v>
      </c>
      <c r="G90" s="22" t="s">
        <v>182</v>
      </c>
      <c r="H90" s="23" t="s">
        <v>42</v>
      </c>
      <c r="L90" s="23" t="s">
        <v>1047</v>
      </c>
      <c r="M90" s="24">
        <v>57</v>
      </c>
      <c r="N90" s="23" t="s">
        <v>192</v>
      </c>
    </row>
    <row r="91" spans="1:14" x14ac:dyDescent="0.35">
      <c r="A91" s="23" t="s">
        <v>971</v>
      </c>
      <c r="B91" s="24">
        <f>SUMIF('Raw May'!B:B,'TB 0525'!A91,'Raw May'!C:C)</f>
        <v>0</v>
      </c>
      <c r="C91" s="24">
        <f>SUMIF('Raw May'!B:B,'TB 0525'!A91,'Raw May'!D:D)</f>
        <v>2881.36</v>
      </c>
      <c r="D91" s="24">
        <f>SUMIF('Raw May'!B:B,'TB 0525'!A91,'Raw May'!E:E)</f>
        <v>0</v>
      </c>
      <c r="E91" s="24">
        <f t="shared" si="2"/>
        <v>2881.36</v>
      </c>
      <c r="F91" s="24">
        <f t="shared" si="3"/>
        <v>2.8813599999999999</v>
      </c>
      <c r="G91" s="22" t="s">
        <v>182</v>
      </c>
      <c r="H91" s="23" t="s">
        <v>42</v>
      </c>
      <c r="L91" s="23" t="s">
        <v>1048</v>
      </c>
      <c r="M91" s="24">
        <v>30.2</v>
      </c>
      <c r="N91" s="23" t="s">
        <v>31</v>
      </c>
    </row>
    <row r="92" spans="1:14" x14ac:dyDescent="0.35">
      <c r="A92" s="23" t="s">
        <v>957</v>
      </c>
      <c r="B92" s="24">
        <f>SUMIF('Raw May'!B:B,'TB 0525'!A92,'Raw May'!C:C)</f>
        <v>0</v>
      </c>
      <c r="C92" s="24">
        <f>SUMIF('Raw May'!B:B,'TB 0525'!A92,'Raw May'!D:D)</f>
        <v>327327.15000000002</v>
      </c>
      <c r="D92" s="24">
        <f>SUMIF('Raw May'!B:B,'TB 0525'!A92,'Raw May'!E:E)</f>
        <v>0</v>
      </c>
      <c r="E92" s="24">
        <f t="shared" si="2"/>
        <v>327327.15000000002</v>
      </c>
      <c r="F92" s="24">
        <f t="shared" si="3"/>
        <v>327.32715000000002</v>
      </c>
      <c r="G92" s="22" t="s">
        <v>182</v>
      </c>
      <c r="H92" s="23" t="s">
        <v>958</v>
      </c>
      <c r="L92" s="23" t="s">
        <v>1049</v>
      </c>
      <c r="M92" s="24">
        <v>30</v>
      </c>
      <c r="N92" s="23" t="s">
        <v>190</v>
      </c>
    </row>
    <row r="93" spans="1:14" x14ac:dyDescent="0.35">
      <c r="A93" s="23" t="s">
        <v>604</v>
      </c>
      <c r="B93" s="24">
        <f>SUMIF('Raw May'!B:B,'TB 0525'!A93,'Raw May'!C:C)</f>
        <v>0</v>
      </c>
      <c r="C93" s="24">
        <f>SUMIF('Raw May'!B:B,'TB 0525'!A93,'Raw May'!D:D)</f>
        <v>87907.58</v>
      </c>
      <c r="D93" s="24">
        <f>SUMIF('Raw May'!B:B,'TB 0525'!A93,'Raw May'!E:E)</f>
        <v>348.05</v>
      </c>
      <c r="E93" s="24">
        <f t="shared" si="2"/>
        <v>87559.53</v>
      </c>
      <c r="F93" s="24">
        <f t="shared" si="3"/>
        <v>87.559529999999995</v>
      </c>
      <c r="G93" s="22" t="s">
        <v>182</v>
      </c>
      <c r="H93" s="23" t="s">
        <v>43</v>
      </c>
      <c r="L93" s="23" t="s">
        <v>1050</v>
      </c>
      <c r="M93" s="24">
        <v>24.561</v>
      </c>
      <c r="N93" s="23" t="s">
        <v>192</v>
      </c>
    </row>
    <row r="94" spans="1:14" x14ac:dyDescent="0.35">
      <c r="A94" s="23" t="s">
        <v>605</v>
      </c>
      <c r="B94" s="24">
        <f>SUMIF('Raw May'!B:B,'TB 0525'!A94,'Raw May'!C:C)</f>
        <v>0</v>
      </c>
      <c r="C94" s="24">
        <f>SUMIF('Raw May'!B:B,'TB 0525'!A94,'Raw May'!D:D)</f>
        <v>21371.73</v>
      </c>
      <c r="D94" s="24">
        <f>SUMIF('Raw May'!B:B,'TB 0525'!A94,'Raw May'!E:E)</f>
        <v>264.14999999999998</v>
      </c>
      <c r="E94" s="24">
        <f t="shared" si="2"/>
        <v>21107.579999999998</v>
      </c>
      <c r="F94" s="24">
        <f t="shared" si="3"/>
        <v>21.107579999999999</v>
      </c>
      <c r="G94" s="22" t="s">
        <v>182</v>
      </c>
      <c r="H94" s="23" t="s">
        <v>43</v>
      </c>
      <c r="L94" s="23" t="s">
        <v>1051</v>
      </c>
      <c r="M94" s="24">
        <v>39.049999999999997</v>
      </c>
      <c r="N94" s="23" t="s">
        <v>32</v>
      </c>
    </row>
    <row r="95" spans="1:14" x14ac:dyDescent="0.35">
      <c r="A95" s="23" t="s">
        <v>41</v>
      </c>
      <c r="B95" s="24">
        <f>SUMIF('Raw May'!B:B,'TB 0525'!A95,'Raw May'!C:C)</f>
        <v>0</v>
      </c>
      <c r="C95" s="24">
        <f>SUMIF('Raw May'!B:B,'TB 0525'!A95,'Raw May'!D:D)</f>
        <v>406280</v>
      </c>
      <c r="D95" s="24">
        <f>SUMIF('Raw May'!B:B,'TB 0525'!A95,'Raw May'!E:E)</f>
        <v>36280</v>
      </c>
      <c r="E95" s="24">
        <f t="shared" si="2"/>
        <v>370000</v>
      </c>
      <c r="F95" s="24">
        <f t="shared" si="3"/>
        <v>370</v>
      </c>
      <c r="G95" s="22" t="s">
        <v>182</v>
      </c>
      <c r="H95" s="23" t="s">
        <v>41</v>
      </c>
      <c r="L95" s="23" t="s">
        <v>1052</v>
      </c>
      <c r="M95" s="24">
        <v>27</v>
      </c>
      <c r="N95" s="23" t="s">
        <v>32</v>
      </c>
    </row>
    <row r="96" spans="1:14" x14ac:dyDescent="0.35">
      <c r="A96" s="23" t="s">
        <v>606</v>
      </c>
      <c r="B96" s="24">
        <f>SUMIF('Raw May'!B:B,'TB 0525'!A96,'Raw May'!C:C)</f>
        <v>0</v>
      </c>
      <c r="C96" s="24">
        <f>SUMIF('Raw May'!B:B,'TB 0525'!A96,'Raw May'!D:D)</f>
        <v>14124.6</v>
      </c>
      <c r="D96" s="24">
        <f>SUMIF('Raw May'!B:B,'TB 0525'!A96,'Raw May'!E:E)</f>
        <v>0</v>
      </c>
      <c r="E96" s="24">
        <f t="shared" si="2"/>
        <v>14124.6</v>
      </c>
      <c r="F96" s="24">
        <f t="shared" si="3"/>
        <v>14.124600000000001</v>
      </c>
      <c r="G96" s="22" t="s">
        <v>182</v>
      </c>
      <c r="H96" s="23" t="s">
        <v>43</v>
      </c>
      <c r="L96" s="23" t="s">
        <v>1053</v>
      </c>
      <c r="M96" s="24">
        <v>0</v>
      </c>
      <c r="N96" s="23" t="s">
        <v>33</v>
      </c>
    </row>
    <row r="97" spans="1:14" x14ac:dyDescent="0.35">
      <c r="A97" s="23" t="s">
        <v>239</v>
      </c>
      <c r="B97" s="24">
        <f>SUMIF('Raw May'!B:B,'TB 0525'!A97,'Raw May'!C:C)</f>
        <v>0</v>
      </c>
      <c r="C97" s="24">
        <f>SUMIF('Raw May'!B:B,'TB 0525'!A97,'Raw May'!D:D)</f>
        <v>705326</v>
      </c>
      <c r="D97" s="24">
        <f>SUMIF('Raw May'!B:B,'TB 0525'!A97,'Raw May'!E:E)</f>
        <v>0</v>
      </c>
      <c r="E97" s="24">
        <f t="shared" si="2"/>
        <v>705326</v>
      </c>
      <c r="F97" s="24">
        <f t="shared" si="3"/>
        <v>705.32600000000002</v>
      </c>
      <c r="G97" s="22" t="s">
        <v>182</v>
      </c>
      <c r="H97" s="23" t="s">
        <v>263</v>
      </c>
      <c r="L97" s="23" t="s">
        <v>1054</v>
      </c>
      <c r="M97" s="24">
        <v>12.645</v>
      </c>
      <c r="N97" s="23" t="s">
        <v>192</v>
      </c>
    </row>
    <row r="98" spans="1:14" x14ac:dyDescent="0.35">
      <c r="A98" s="23" t="s">
        <v>607</v>
      </c>
      <c r="B98" s="24">
        <f>SUMIF('Raw May'!B:B,'TB 0525'!A98,'Raw May'!C:C)</f>
        <v>0</v>
      </c>
      <c r="C98" s="24">
        <f>SUMIF('Raw May'!B:B,'TB 0525'!A98,'Raw May'!D:D)</f>
        <v>18303819.16</v>
      </c>
      <c r="D98" s="24">
        <f>SUMIF('Raw May'!B:B,'TB 0525'!A98,'Raw May'!E:E)</f>
        <v>0</v>
      </c>
      <c r="E98" s="24">
        <f t="shared" si="2"/>
        <v>18303819.16</v>
      </c>
      <c r="F98" s="24">
        <f t="shared" si="3"/>
        <v>18303.819159999999</v>
      </c>
      <c r="G98" s="22" t="s">
        <v>182</v>
      </c>
      <c r="L98" s="23" t="s">
        <v>1055</v>
      </c>
      <c r="M98" s="24">
        <v>27</v>
      </c>
      <c r="N98" s="23" t="s">
        <v>32</v>
      </c>
    </row>
    <row r="99" spans="1:14" x14ac:dyDescent="0.35">
      <c r="A99" s="23" t="s">
        <v>608</v>
      </c>
      <c r="B99" s="24">
        <f>SUMIF('Raw May'!B:B,'TB 0525'!A99,'Raw May'!C:C)</f>
        <v>0</v>
      </c>
      <c r="C99" s="24">
        <f>SUMIF('Raw May'!B:B,'TB 0525'!A99,'Raw May'!D:D)</f>
        <v>1383762.85</v>
      </c>
      <c r="D99" s="24">
        <f>SUMIF('Raw May'!B:B,'TB 0525'!A99,'Raw May'!E:E)</f>
        <v>0</v>
      </c>
      <c r="E99" s="24">
        <f t="shared" si="2"/>
        <v>1383762.85</v>
      </c>
      <c r="F99" s="24">
        <f t="shared" si="3"/>
        <v>1383.7628500000001</v>
      </c>
      <c r="G99" s="22" t="s">
        <v>182</v>
      </c>
      <c r="H99" s="23" t="s">
        <v>39</v>
      </c>
      <c r="L99" s="23" t="s">
        <v>1056</v>
      </c>
      <c r="M99" s="24">
        <v>22</v>
      </c>
      <c r="N99" s="23" t="s">
        <v>32</v>
      </c>
    </row>
    <row r="100" spans="1:14" x14ac:dyDescent="0.35">
      <c r="A100" s="23" t="s">
        <v>609</v>
      </c>
      <c r="B100" s="24">
        <f>SUMIF('Raw May'!B:B,'TB 0525'!A100,'Raw May'!C:C)</f>
        <v>0</v>
      </c>
      <c r="C100" s="24">
        <f>SUMIF('Raw May'!B:B,'TB 0525'!A100,'Raw May'!D:D)</f>
        <v>946059</v>
      </c>
      <c r="D100" s="24">
        <f>SUMIF('Raw May'!B:B,'TB 0525'!A100,'Raw May'!E:E)</f>
        <v>585000</v>
      </c>
      <c r="E100" s="24">
        <f t="shared" si="2"/>
        <v>361059</v>
      </c>
      <c r="F100" s="24">
        <f t="shared" si="3"/>
        <v>361.05900000000003</v>
      </c>
      <c r="G100" s="22" t="s">
        <v>182</v>
      </c>
      <c r="H100" s="23" t="s">
        <v>33</v>
      </c>
      <c r="L100" s="23" t="s">
        <v>1057</v>
      </c>
      <c r="M100" s="24">
        <v>22.71</v>
      </c>
      <c r="N100" s="23" t="s">
        <v>33</v>
      </c>
    </row>
    <row r="101" spans="1:14" x14ac:dyDescent="0.35">
      <c r="A101" s="23" t="s">
        <v>972</v>
      </c>
      <c r="B101" s="24">
        <f>SUMIF('Raw May'!B:B,'TB 0525'!A101,'Raw May'!C:C)</f>
        <v>0</v>
      </c>
      <c r="C101" s="24">
        <f>SUMIF('Raw May'!B:B,'TB 0525'!A101,'Raw May'!D:D)</f>
        <v>0</v>
      </c>
      <c r="D101" s="24">
        <f>SUMIF('Raw May'!B:B,'TB 0525'!A101,'Raw May'!E:E)</f>
        <v>0</v>
      </c>
      <c r="E101" s="24">
        <f t="shared" si="2"/>
        <v>0</v>
      </c>
      <c r="F101" s="24">
        <f t="shared" si="3"/>
        <v>0</v>
      </c>
      <c r="G101" s="22" t="s">
        <v>182</v>
      </c>
      <c r="H101" s="23" t="s">
        <v>42</v>
      </c>
      <c r="L101" s="23" t="s">
        <v>1058</v>
      </c>
      <c r="M101" s="24">
        <v>0</v>
      </c>
      <c r="N101" s="23" t="s">
        <v>31</v>
      </c>
    </row>
    <row r="102" spans="1:14" x14ac:dyDescent="0.35">
      <c r="A102" s="23" t="s">
        <v>610</v>
      </c>
      <c r="B102" s="24">
        <f>SUMIF('Raw May'!B:B,'TB 0525'!A102,'Raw May'!C:C)</f>
        <v>0</v>
      </c>
      <c r="C102" s="24">
        <f>SUMIF('Raw May'!B:B,'TB 0525'!A102,'Raw May'!D:D)</f>
        <v>746895.74</v>
      </c>
      <c r="D102" s="24">
        <f>SUMIF('Raw May'!B:B,'TB 0525'!A102,'Raw May'!E:E)</f>
        <v>10917.04</v>
      </c>
      <c r="E102" s="24">
        <f t="shared" si="2"/>
        <v>735978.7</v>
      </c>
      <c r="F102" s="24">
        <f t="shared" si="3"/>
        <v>735.9787</v>
      </c>
      <c r="G102" s="22" t="s">
        <v>182</v>
      </c>
      <c r="H102" s="23" t="s">
        <v>31</v>
      </c>
      <c r="L102" s="23" t="s">
        <v>1059</v>
      </c>
      <c r="M102" s="24">
        <v>164.86699999999999</v>
      </c>
      <c r="N102" s="23" t="s">
        <v>192</v>
      </c>
    </row>
    <row r="103" spans="1:14" x14ac:dyDescent="0.35">
      <c r="A103" s="23" t="s">
        <v>611</v>
      </c>
      <c r="B103" s="24">
        <f>SUMIF('Raw May'!B:B,'TB 0525'!A103,'Raw May'!C:C)</f>
        <v>0</v>
      </c>
      <c r="C103" s="24">
        <f>SUMIF('Raw May'!B:B,'TB 0525'!A103,'Raw May'!D:D)</f>
        <v>402000</v>
      </c>
      <c r="D103" s="24">
        <f>SUMIF('Raw May'!B:B,'TB 0525'!A103,'Raw May'!E:E)</f>
        <v>0</v>
      </c>
      <c r="E103" s="24">
        <f t="shared" si="2"/>
        <v>402000</v>
      </c>
      <c r="F103" s="24">
        <f t="shared" si="3"/>
        <v>402</v>
      </c>
      <c r="G103" s="22" t="s">
        <v>182</v>
      </c>
      <c r="H103" s="23" t="s">
        <v>31</v>
      </c>
      <c r="L103" s="23" t="s">
        <v>1060</v>
      </c>
      <c r="M103" s="24">
        <v>164.86699999999999</v>
      </c>
      <c r="N103" s="23" t="s">
        <v>192</v>
      </c>
    </row>
    <row r="104" spans="1:14" x14ac:dyDescent="0.35">
      <c r="A104" s="23" t="s">
        <v>867</v>
      </c>
      <c r="B104" s="24">
        <f>SUMIF('Raw May'!B:B,'TB 0525'!A104,'Raw May'!C:C)</f>
        <v>0</v>
      </c>
      <c r="C104" s="24">
        <f>SUMIF('Raw May'!B:B,'TB 0525'!A104,'Raw May'!D:D)</f>
        <v>117022.77</v>
      </c>
      <c r="D104" s="24">
        <f>SUMIF('Raw May'!B:B,'TB 0525'!A104,'Raw May'!E:E)</f>
        <v>10278.59</v>
      </c>
      <c r="E104" s="24">
        <f t="shared" si="2"/>
        <v>106744.18000000001</v>
      </c>
      <c r="F104" s="24">
        <f t="shared" si="3"/>
        <v>106.74418000000001</v>
      </c>
      <c r="G104" s="22" t="s">
        <v>182</v>
      </c>
      <c r="H104" s="23" t="s">
        <v>417</v>
      </c>
      <c r="L104" s="23" t="s">
        <v>1061</v>
      </c>
      <c r="M104" s="24">
        <v>94.033000000000001</v>
      </c>
      <c r="N104" s="23" t="s">
        <v>192</v>
      </c>
    </row>
    <row r="105" spans="1:14" x14ac:dyDescent="0.35">
      <c r="A105" s="23" t="s">
        <v>1199</v>
      </c>
      <c r="B105" s="24">
        <f>SUMIF('Raw May'!B:B,'TB 0525'!A105,'Raw May'!C:C)</f>
        <v>0</v>
      </c>
      <c r="C105" s="24">
        <f>SUMIF('Raw May'!B:B,'TB 0525'!A105,'Raw May'!D:D)</f>
        <v>0</v>
      </c>
      <c r="D105" s="24">
        <f>SUMIF('Raw May'!B:B,'TB 0525'!A105,'Raw May'!E:E)</f>
        <v>205550</v>
      </c>
      <c r="E105" s="24">
        <f t="shared" ref="E105:E110" si="4">B105+C105-D105</f>
        <v>-205550</v>
      </c>
      <c r="F105" s="24">
        <f t="shared" ref="F105:F110" si="5">E105/1000</f>
        <v>-205.55</v>
      </c>
      <c r="G105" s="22" t="s">
        <v>180</v>
      </c>
      <c r="H105" s="23" t="s">
        <v>67</v>
      </c>
      <c r="L105" s="23" t="s">
        <v>1062</v>
      </c>
      <c r="M105" s="24">
        <v>77</v>
      </c>
      <c r="N105" s="23" t="s">
        <v>192</v>
      </c>
    </row>
    <row r="106" spans="1:14" x14ac:dyDescent="0.35">
      <c r="A106" s="23" t="s">
        <v>295</v>
      </c>
      <c r="B106" s="24">
        <f>SUMIF('Raw May'!B:B,'TB 0525'!A106,'Raw May'!C:C)</f>
        <v>0</v>
      </c>
      <c r="C106" s="24">
        <f>SUMIF('Raw May'!B:B,'TB 0525'!A106,'Raw May'!D:D)</f>
        <v>416564</v>
      </c>
      <c r="D106" s="24">
        <f>SUMIF('Raw May'!B:B,'TB 0525'!A106,'Raw May'!E:E)</f>
        <v>2625652.7599999998</v>
      </c>
      <c r="E106" s="24">
        <f t="shared" si="4"/>
        <v>-2209088.7599999998</v>
      </c>
      <c r="F106" s="24">
        <f t="shared" si="5"/>
        <v>-2209.0887599999996</v>
      </c>
      <c r="G106" s="22" t="s">
        <v>184</v>
      </c>
      <c r="H106" s="23" t="s">
        <v>25</v>
      </c>
      <c r="L106" s="23" t="s">
        <v>1063</v>
      </c>
      <c r="M106" s="24">
        <v>131.53299999999999</v>
      </c>
      <c r="N106" s="23" t="s">
        <v>192</v>
      </c>
    </row>
    <row r="107" spans="1:14" x14ac:dyDescent="0.35">
      <c r="A107" s="23" t="s">
        <v>316</v>
      </c>
      <c r="B107" s="24">
        <f>SUMIF('Raw May'!B:B,'TB 0525'!A107,'Raw May'!C:C)</f>
        <v>0</v>
      </c>
      <c r="C107" s="24">
        <f>SUMIF('Raw May'!B:B,'TB 0525'!A107,'Raw May'!D:D)</f>
        <v>3364689</v>
      </c>
      <c r="D107" s="24">
        <f>SUMIF('Raw May'!B:B,'TB 0525'!A107,'Raw May'!E:E)</f>
        <v>0</v>
      </c>
      <c r="E107" s="24">
        <f t="shared" si="4"/>
        <v>3364689</v>
      </c>
      <c r="F107" s="24">
        <f t="shared" si="5"/>
        <v>3364.6889999999999</v>
      </c>
      <c r="G107" s="22" t="s">
        <v>184</v>
      </c>
      <c r="L107" s="23" t="s">
        <v>1064</v>
      </c>
      <c r="M107" s="24">
        <v>42</v>
      </c>
      <c r="N107" s="23" t="s">
        <v>32</v>
      </c>
    </row>
    <row r="108" spans="1:14" x14ac:dyDescent="0.35">
      <c r="A108" s="23" t="s">
        <v>303</v>
      </c>
      <c r="B108" s="24">
        <f>SUMIF('Raw May'!B:B,'TB 0525'!A108,'Raw May'!C:C)</f>
        <v>0</v>
      </c>
      <c r="C108" s="24">
        <f>SUMIF('Raw May'!B:B,'TB 0525'!A108,'Raw May'!D:D)</f>
        <v>0</v>
      </c>
      <c r="D108" s="24">
        <f>SUMIF('Raw May'!B:B,'TB 0525'!A108,'Raw May'!E:E)</f>
        <v>5610576.1900000004</v>
      </c>
      <c r="E108" s="24">
        <f t="shared" si="4"/>
        <v>-5610576.1900000004</v>
      </c>
      <c r="F108" s="24">
        <f t="shared" si="5"/>
        <v>-5610.5761900000007</v>
      </c>
      <c r="G108" s="22" t="s">
        <v>184</v>
      </c>
      <c r="H108" s="23" t="s">
        <v>25</v>
      </c>
      <c r="L108" s="23" t="s">
        <v>1065</v>
      </c>
      <c r="M108" s="24">
        <v>57</v>
      </c>
      <c r="N108" s="23" t="s">
        <v>32</v>
      </c>
    </row>
    <row r="109" spans="1:14" x14ac:dyDescent="0.35">
      <c r="A109" s="23" t="s">
        <v>29</v>
      </c>
      <c r="B109" s="24">
        <f>SUMIF('Raw May'!B:B,'TB 0525'!A109,'Raw May'!C:C)</f>
        <v>0</v>
      </c>
      <c r="C109" s="24">
        <f>SUMIF('Raw May'!B:B,'TB 0525'!A109,'Raw May'!D:D)</f>
        <v>23140.03</v>
      </c>
      <c r="D109" s="24">
        <f>SUMIF('Raw May'!B:B,'TB 0525'!A109,'Raw May'!E:E)</f>
        <v>0</v>
      </c>
      <c r="E109" s="24">
        <f t="shared" si="4"/>
        <v>23140.03</v>
      </c>
      <c r="F109" s="24">
        <f t="shared" si="5"/>
        <v>23.140029999999999</v>
      </c>
      <c r="G109" s="22" t="s">
        <v>182</v>
      </c>
      <c r="H109" s="23" t="s">
        <v>29</v>
      </c>
      <c r="L109" s="23" t="s">
        <v>1066</v>
      </c>
      <c r="M109" s="24">
        <v>77.188000000000002</v>
      </c>
      <c r="N109" s="23" t="s">
        <v>192</v>
      </c>
    </row>
    <row r="110" spans="1:14" x14ac:dyDescent="0.35">
      <c r="A110" s="23" t="s">
        <v>26</v>
      </c>
      <c r="B110" s="24">
        <f>SUMIF('Raw May'!B:B,'TB 0525'!A110,'Raw May'!C:C)</f>
        <v>0</v>
      </c>
      <c r="C110" s="24">
        <f>SUMIF('Raw May'!B:B,'TB 0525'!A110,'Raw May'!D:D)</f>
        <v>9094011.3399999999</v>
      </c>
      <c r="D110" s="24">
        <f>SUMIF('Raw May'!B:B,'TB 0525'!A110,'Raw May'!E:E)</f>
        <v>0</v>
      </c>
      <c r="E110" s="24">
        <f t="shared" si="4"/>
        <v>9094011.3399999999</v>
      </c>
      <c r="F110" s="24">
        <f t="shared" si="5"/>
        <v>9094.0113399999991</v>
      </c>
      <c r="G110" s="22" t="s">
        <v>182</v>
      </c>
      <c r="H110" s="23" t="s">
        <v>26</v>
      </c>
      <c r="L110" s="23" t="s">
        <v>1067</v>
      </c>
      <c r="M110" s="24">
        <v>29</v>
      </c>
      <c r="N110" s="23" t="s">
        <v>33</v>
      </c>
    </row>
    <row r="111" spans="1:14" x14ac:dyDescent="0.35">
      <c r="A111" s="23" t="s">
        <v>1200</v>
      </c>
      <c r="B111" s="24">
        <f>SUMIF('Raw May'!B:B,'TB 0525'!A111,'Raw May'!C:C)</f>
        <v>0</v>
      </c>
      <c r="C111" s="24">
        <f>SUMIF('Raw May'!B:B,'TB 0525'!A111,'Raw May'!D:D)</f>
        <v>304819</v>
      </c>
      <c r="D111" s="24">
        <f>SUMIF('Raw May'!B:B,'TB 0525'!A111,'Raw May'!E:E)</f>
        <v>0</v>
      </c>
      <c r="E111" s="24">
        <f>B111+C111-D111</f>
        <v>304819</v>
      </c>
      <c r="F111" s="24">
        <f>E111/1000</f>
        <v>304.81900000000002</v>
      </c>
      <c r="G111" s="22" t="s">
        <v>182</v>
      </c>
      <c r="H111" s="23" t="s">
        <v>417</v>
      </c>
      <c r="L111" s="23" t="s">
        <v>1068</v>
      </c>
      <c r="M111" s="24">
        <v>24</v>
      </c>
      <c r="N111" s="23" t="s">
        <v>31</v>
      </c>
    </row>
    <row r="112" spans="1:14" x14ac:dyDescent="0.35">
      <c r="A112" s="23" t="s">
        <v>759</v>
      </c>
      <c r="B112" s="24">
        <f>SUMIF('Raw May'!B:B,'TB 0525'!A112,'Raw May'!C:C)</f>
        <v>0</v>
      </c>
      <c r="C112" s="24">
        <f>SUMIF('Raw May'!B:B,'TB 0525'!A112,'Raw May'!D:D)</f>
        <v>585000</v>
      </c>
      <c r="D112" s="24">
        <f>SUMIF('Raw May'!B:B,'TB 0525'!A112,'Raw May'!E:E)</f>
        <v>0</v>
      </c>
      <c r="E112" s="24">
        <f>B112+C112-D112</f>
        <v>585000</v>
      </c>
      <c r="F112" s="24">
        <f>E112/1000</f>
        <v>585</v>
      </c>
      <c r="G112" s="22" t="s">
        <v>182</v>
      </c>
      <c r="H112" s="23" t="s">
        <v>757</v>
      </c>
      <c r="L112" s="23" t="s">
        <v>1069</v>
      </c>
      <c r="M112" s="24">
        <v>32</v>
      </c>
      <c r="N112" s="23" t="s">
        <v>33</v>
      </c>
    </row>
    <row r="113" spans="1:14" x14ac:dyDescent="0.35">
      <c r="A113" s="23" t="s">
        <v>619</v>
      </c>
      <c r="B113" s="24">
        <f>SUMIF('Raw May'!B:B,'TB 0525'!A113,'Raw May'!C:C)</f>
        <v>0</v>
      </c>
      <c r="C113" s="24">
        <f>SUMIF('Raw May'!B:B,'TB 0525'!A113,'Raw May'!D:D)</f>
        <v>218169</v>
      </c>
      <c r="D113" s="24">
        <f>SUMIF('Raw May'!B:B,'TB 0525'!A113,'Raw May'!E:E)</f>
        <v>0</v>
      </c>
      <c r="E113" s="24">
        <f>B113+C113-D113</f>
        <v>218169</v>
      </c>
      <c r="F113" s="24">
        <f>E113/1000</f>
        <v>218.16900000000001</v>
      </c>
      <c r="G113" s="22" t="s">
        <v>182</v>
      </c>
      <c r="H113" s="23" t="s">
        <v>61</v>
      </c>
      <c r="L113" s="23" t="s">
        <v>1070</v>
      </c>
      <c r="M113" s="24">
        <v>32</v>
      </c>
      <c r="N113" s="23" t="s">
        <v>33</v>
      </c>
    </row>
    <row r="114" spans="1:14" x14ac:dyDescent="0.35">
      <c r="A114" s="23" t="s">
        <v>1331</v>
      </c>
      <c r="B114" s="24">
        <f>SUMIF('Raw May'!B:B,'TB 0525'!A114,'Raw May'!C:C)</f>
        <v>-121194</v>
      </c>
      <c r="C114" s="24">
        <f>SUMIF('Raw May'!B:B,'TB 0525'!A114,'Raw May'!D:D)</f>
        <v>0</v>
      </c>
      <c r="D114" s="24">
        <f>SUMIF('Raw May'!B:B,'TB 0525'!A114,'Raw May'!E:E)</f>
        <v>416564</v>
      </c>
      <c r="E114" s="24">
        <f>B114+C114-D114</f>
        <v>-537758</v>
      </c>
      <c r="F114" s="24">
        <f>E114/1000</f>
        <v>-537.75800000000004</v>
      </c>
      <c r="G114" s="22" t="s">
        <v>180</v>
      </c>
      <c r="H114" s="23" t="s">
        <v>68</v>
      </c>
      <c r="L114" s="23" t="s">
        <v>1071</v>
      </c>
      <c r="M114" s="24">
        <v>41.936</v>
      </c>
      <c r="N114" s="23" t="s">
        <v>31</v>
      </c>
    </row>
    <row r="115" spans="1:14" x14ac:dyDescent="0.35">
      <c r="A115" s="23" t="s">
        <v>1256</v>
      </c>
      <c r="B115" s="24">
        <f>SUMIF('Raw May'!B:B,'TB 0525'!A115,'Raw May'!C:C)</f>
        <v>0</v>
      </c>
      <c r="C115" s="24">
        <f>SUMIF('Raw May'!B:B,'TB 0525'!A115,'Raw May'!D:D)</f>
        <v>0</v>
      </c>
      <c r="D115" s="24">
        <f>SUMIF('Raw May'!B:B,'TB 0525'!A115,'Raw May'!E:E)</f>
        <v>63728</v>
      </c>
      <c r="E115" s="24">
        <f>B115+C115-D115</f>
        <v>-63728</v>
      </c>
      <c r="F115" s="24">
        <f>E115/1000</f>
        <v>-63.728000000000002</v>
      </c>
      <c r="G115" s="22" t="s">
        <v>180</v>
      </c>
      <c r="H115" s="23" t="s">
        <v>69</v>
      </c>
      <c r="L115" s="23" t="s">
        <v>1072</v>
      </c>
      <c r="M115" s="24">
        <v>27</v>
      </c>
      <c r="N115" s="23" t="s">
        <v>33</v>
      </c>
    </row>
    <row r="116" spans="1:14" x14ac:dyDescent="0.35">
      <c r="A116" s="23" t="s">
        <v>1433</v>
      </c>
      <c r="B116" s="24">
        <f>SUMIF('Raw May'!B:B,'TB 0525'!A116,'Raw May'!C:C)</f>
        <v>-174567.32</v>
      </c>
      <c r="C116" s="24">
        <f>SUMIF('Raw May'!B:B,'TB 0525'!A116,'Raw May'!D:D)</f>
        <v>0</v>
      </c>
      <c r="D116" s="24">
        <f>SUMIF('Raw May'!B:B,'TB 0525'!A116,'Raw May'!E:E)</f>
        <v>103599.27</v>
      </c>
      <c r="E116" s="24">
        <f t="shared" ref="E116:E121" si="6">B116+C116-D116</f>
        <v>-278166.59000000003</v>
      </c>
      <c r="F116" s="24">
        <f t="shared" ref="F116:F121" si="7">E116/1000</f>
        <v>-278.16659000000004</v>
      </c>
      <c r="G116" s="22" t="s">
        <v>181</v>
      </c>
      <c r="H116" s="23" t="s">
        <v>71</v>
      </c>
      <c r="L116" s="23" t="s">
        <v>1073</v>
      </c>
      <c r="M116" s="24">
        <v>297.97500000000002</v>
      </c>
      <c r="N116" s="23" t="s">
        <v>192</v>
      </c>
    </row>
    <row r="117" spans="1:14" x14ac:dyDescent="0.35">
      <c r="A117" s="23" t="s">
        <v>1427</v>
      </c>
      <c r="B117" s="24">
        <f>SUMIF('Raw May'!B:B,'TB 0525'!A117,'Raw May'!C:C)</f>
        <v>-48822</v>
      </c>
      <c r="C117" s="24">
        <f>SUMIF('Raw May'!B:B,'TB 0525'!A117,'Raw May'!D:D)</f>
        <v>0</v>
      </c>
      <c r="D117" s="24">
        <f>SUMIF('Raw May'!B:B,'TB 0525'!A117,'Raw May'!E:E)</f>
        <v>0</v>
      </c>
      <c r="E117" s="24">
        <f t="shared" si="6"/>
        <v>-48822</v>
      </c>
      <c r="F117" s="24">
        <f t="shared" si="7"/>
        <v>-48.822000000000003</v>
      </c>
      <c r="G117" s="22" t="s">
        <v>180</v>
      </c>
      <c r="H117" s="23" t="s">
        <v>68</v>
      </c>
      <c r="L117" s="23" t="s">
        <v>1074</v>
      </c>
      <c r="M117" s="24">
        <v>98.2</v>
      </c>
      <c r="N117" s="23" t="s">
        <v>31</v>
      </c>
    </row>
    <row r="118" spans="1:14" x14ac:dyDescent="0.35">
      <c r="A118" s="23" t="s">
        <v>1428</v>
      </c>
      <c r="B118" s="24">
        <f>SUMIF('Raw May'!B:B,'TB 0525'!A118,'Raw May'!C:C)</f>
        <v>81296.960000000006</v>
      </c>
      <c r="C118" s="24">
        <f>SUMIF('Raw May'!B:B,'TB 0525'!A118,'Raw May'!D:D)</f>
        <v>0</v>
      </c>
      <c r="D118" s="24">
        <f>SUMIF('Raw May'!B:B,'TB 0525'!A118,'Raw May'!E:E)</f>
        <v>0</v>
      </c>
      <c r="E118" s="24">
        <f t="shared" si="6"/>
        <v>81296.960000000006</v>
      </c>
      <c r="F118" s="24">
        <f t="shared" si="7"/>
        <v>81.296960000000013</v>
      </c>
      <c r="G118" s="22" t="s">
        <v>181</v>
      </c>
      <c r="H118" s="23" t="s">
        <v>79</v>
      </c>
      <c r="L118" s="23" t="s">
        <v>1075</v>
      </c>
      <c r="M118" s="24">
        <v>28</v>
      </c>
      <c r="N118" s="23" t="s">
        <v>192</v>
      </c>
    </row>
    <row r="119" spans="1:14" x14ac:dyDescent="0.35">
      <c r="A119" s="23" t="s">
        <v>1429</v>
      </c>
      <c r="B119" s="24">
        <f>SUMIF('Raw May'!B:B,'TB 0525'!A119,'Raw May'!C:C)</f>
        <v>-548984</v>
      </c>
      <c r="C119" s="24">
        <f>SUMIF('Raw May'!B:B,'TB 0525'!A119,'Raw May'!D:D)</f>
        <v>0</v>
      </c>
      <c r="D119" s="24">
        <f>SUMIF('Raw May'!B:B,'TB 0525'!A119,'Raw May'!E:E)</f>
        <v>0</v>
      </c>
      <c r="E119" s="24">
        <f t="shared" si="6"/>
        <v>-548984</v>
      </c>
      <c r="F119" s="24">
        <f t="shared" si="7"/>
        <v>-548.98400000000004</v>
      </c>
      <c r="G119" s="22" t="s">
        <v>180</v>
      </c>
      <c r="H119" s="23" t="s">
        <v>1371</v>
      </c>
      <c r="L119" s="23" t="s">
        <v>1076</v>
      </c>
      <c r="M119" s="24">
        <v>52</v>
      </c>
      <c r="N119" s="23" t="s">
        <v>31</v>
      </c>
    </row>
    <row r="120" spans="1:14" x14ac:dyDescent="0.35">
      <c r="A120" s="23" t="s">
        <v>1430</v>
      </c>
      <c r="B120" s="24">
        <f>SUMIF('Raw May'!B:B,'TB 0525'!A120,'Raw May'!C:C)</f>
        <v>-1269</v>
      </c>
      <c r="C120" s="24">
        <f>SUMIF('Raw May'!B:B,'TB 0525'!A120,'Raw May'!D:D)</f>
        <v>0</v>
      </c>
      <c r="D120" s="24">
        <f>SUMIF('Raw May'!B:B,'TB 0525'!A120,'Raw May'!E:E)</f>
        <v>0</v>
      </c>
      <c r="E120" s="24">
        <f t="shared" si="6"/>
        <v>-1269</v>
      </c>
      <c r="F120" s="24">
        <f t="shared" si="7"/>
        <v>-1.2689999999999999</v>
      </c>
      <c r="G120" s="22" t="s">
        <v>180</v>
      </c>
      <c r="H120" s="23" t="s">
        <v>69</v>
      </c>
      <c r="L120" s="23" t="s">
        <v>1077</v>
      </c>
      <c r="M120" s="24">
        <v>68.665999999999997</v>
      </c>
      <c r="N120" s="23" t="s">
        <v>192</v>
      </c>
    </row>
    <row r="121" spans="1:14" x14ac:dyDescent="0.35">
      <c r="A121" s="23" t="s">
        <v>1431</v>
      </c>
      <c r="B121" s="24">
        <f>SUMIF('Raw May'!B:B,'TB 0525'!A121,'Raw May'!C:C)</f>
        <v>-1245691</v>
      </c>
      <c r="C121" s="24">
        <f>SUMIF('Raw May'!B:B,'TB 0525'!A121,'Raw May'!D:D)</f>
        <v>0</v>
      </c>
      <c r="D121" s="24">
        <f>SUMIF('Raw May'!B:B,'TB 0525'!A121,'Raw May'!E:E)</f>
        <v>0</v>
      </c>
      <c r="E121" s="24">
        <f t="shared" si="6"/>
        <v>-1245691</v>
      </c>
      <c r="F121" s="24">
        <f t="shared" si="7"/>
        <v>-1245.691</v>
      </c>
      <c r="G121" s="22" t="s">
        <v>180</v>
      </c>
      <c r="H121" s="23" t="s">
        <v>64</v>
      </c>
      <c r="L121" s="23" t="s">
        <v>1078</v>
      </c>
      <c r="M121" s="24">
        <v>52</v>
      </c>
      <c r="N121" s="23" t="s">
        <v>32</v>
      </c>
    </row>
    <row r="122" spans="1:14" x14ac:dyDescent="0.35">
      <c r="A122" s="23" t="s">
        <v>426</v>
      </c>
      <c r="B122" s="24">
        <f>SUMIF('Raw May'!B:B,'TB 0525'!A122,'Raw May'!C:C)</f>
        <v>-390645</v>
      </c>
      <c r="C122" s="24">
        <f>SUMIF('Raw May'!B:B,'TB 0525'!A122,'Raw May'!D:D)</f>
        <v>0</v>
      </c>
      <c r="D122" s="24">
        <f>SUMIF('Raw May'!B:B,'TB 0525'!A122,'Raw May'!E:E)</f>
        <v>0</v>
      </c>
      <c r="E122" s="24">
        <f>B122+C122-D122</f>
        <v>-390645</v>
      </c>
      <c r="F122" s="24">
        <f>E122/1000</f>
        <v>-390.64499999999998</v>
      </c>
      <c r="G122" s="22" t="s">
        <v>180</v>
      </c>
      <c r="H122" s="23" t="s">
        <v>68</v>
      </c>
      <c r="L122" s="23" t="s">
        <v>1079</v>
      </c>
      <c r="M122" s="24">
        <v>25</v>
      </c>
      <c r="N122" s="23" t="s">
        <v>190</v>
      </c>
    </row>
    <row r="123" spans="1:14" x14ac:dyDescent="0.35">
      <c r="L123" s="23" t="s">
        <v>1080</v>
      </c>
      <c r="M123" s="24">
        <v>30</v>
      </c>
      <c r="N123" s="23" t="s">
        <v>190</v>
      </c>
    </row>
    <row r="124" spans="1:14" x14ac:dyDescent="0.35">
      <c r="L124" s="23" t="s">
        <v>1081</v>
      </c>
      <c r="M124" s="24">
        <v>51.948</v>
      </c>
      <c r="N124" s="23" t="s">
        <v>192</v>
      </c>
    </row>
    <row r="125" spans="1:14" x14ac:dyDescent="0.35">
      <c r="L125" s="23" t="s">
        <v>1082</v>
      </c>
      <c r="M125" s="24">
        <v>57</v>
      </c>
      <c r="N125" s="23" t="s">
        <v>32</v>
      </c>
    </row>
    <row r="126" spans="1:14" x14ac:dyDescent="0.35">
      <c r="L126" s="23" t="s">
        <v>1083</v>
      </c>
      <c r="M126" s="24">
        <v>0</v>
      </c>
      <c r="N126" s="23" t="s">
        <v>33</v>
      </c>
    </row>
    <row r="127" spans="1:14" x14ac:dyDescent="0.35">
      <c r="L127" s="23" t="s">
        <v>1084</v>
      </c>
      <c r="M127" s="24">
        <v>27</v>
      </c>
      <c r="N127" s="23" t="s">
        <v>32</v>
      </c>
    </row>
    <row r="128" spans="1:14" x14ac:dyDescent="0.35">
      <c r="L128" s="23" t="s">
        <v>1085</v>
      </c>
      <c r="M128" s="24">
        <v>18</v>
      </c>
      <c r="N128" s="23" t="s">
        <v>33</v>
      </c>
    </row>
    <row r="129" spans="12:14" x14ac:dyDescent="0.35">
      <c r="L129" s="23" t="s">
        <v>1086</v>
      </c>
      <c r="M129" s="24">
        <v>28.2</v>
      </c>
      <c r="N129" s="23" t="s">
        <v>33</v>
      </c>
    </row>
    <row r="130" spans="12:14" x14ac:dyDescent="0.35">
      <c r="L130" s="23" t="s">
        <v>1087</v>
      </c>
      <c r="M130" s="24">
        <v>27</v>
      </c>
      <c r="N130" s="23" t="s">
        <v>190</v>
      </c>
    </row>
    <row r="131" spans="12:14" x14ac:dyDescent="0.35">
      <c r="L131" s="23" t="s">
        <v>1088</v>
      </c>
      <c r="M131" s="24">
        <v>28.064</v>
      </c>
      <c r="N131" s="23" t="s">
        <v>190</v>
      </c>
    </row>
    <row r="132" spans="12:14" x14ac:dyDescent="0.35">
      <c r="L132" s="23" t="s">
        <v>1089</v>
      </c>
      <c r="M132" s="24">
        <v>28.064</v>
      </c>
      <c r="N132" s="23" t="s">
        <v>190</v>
      </c>
    </row>
    <row r="133" spans="12:14" x14ac:dyDescent="0.35">
      <c r="L133" s="23" t="s">
        <v>1090</v>
      </c>
      <c r="M133" s="24">
        <v>25.741</v>
      </c>
      <c r="N133" s="23" t="s">
        <v>190</v>
      </c>
    </row>
    <row r="134" spans="12:14" x14ac:dyDescent="0.35">
      <c r="L134" s="23" t="s">
        <v>1091</v>
      </c>
      <c r="M134" s="24">
        <v>26</v>
      </c>
      <c r="N134" s="23" t="s">
        <v>190</v>
      </c>
    </row>
    <row r="135" spans="12:14" x14ac:dyDescent="0.35">
      <c r="L135" s="23" t="s">
        <v>1092</v>
      </c>
      <c r="M135" s="24">
        <v>289.86700000000002</v>
      </c>
      <c r="N135" s="23" t="s">
        <v>192</v>
      </c>
    </row>
    <row r="136" spans="12:14" x14ac:dyDescent="0.35">
      <c r="L136" s="23" t="s">
        <v>1093</v>
      </c>
      <c r="M136" s="24">
        <v>29</v>
      </c>
      <c r="N136" s="23" t="s">
        <v>32</v>
      </c>
    </row>
    <row r="137" spans="12:14" x14ac:dyDescent="0.35">
      <c r="L137" s="23" t="s">
        <v>1094</v>
      </c>
      <c r="M137" s="24">
        <v>26.193000000000001</v>
      </c>
      <c r="N137" s="23" t="s">
        <v>190</v>
      </c>
    </row>
    <row r="138" spans="12:14" x14ac:dyDescent="0.35">
      <c r="L138" s="23" t="s">
        <v>1095</v>
      </c>
      <c r="M138" s="24">
        <v>27</v>
      </c>
      <c r="N138" s="23" t="s">
        <v>33</v>
      </c>
    </row>
    <row r="139" spans="12:14" x14ac:dyDescent="0.35">
      <c r="L139" s="23" t="s">
        <v>1096</v>
      </c>
      <c r="M139" s="24">
        <v>17.420000000000002</v>
      </c>
      <c r="N139" s="23" t="s">
        <v>33</v>
      </c>
    </row>
    <row r="140" spans="12:14" x14ac:dyDescent="0.35">
      <c r="L140" s="23" t="s">
        <v>1097</v>
      </c>
      <c r="M140" s="24">
        <v>27</v>
      </c>
      <c r="N140" s="23" t="s">
        <v>32</v>
      </c>
    </row>
    <row r="141" spans="12:14" x14ac:dyDescent="0.35">
      <c r="L141" s="23" t="s">
        <v>1098</v>
      </c>
      <c r="M141" s="24">
        <v>27</v>
      </c>
      <c r="N141" s="23" t="s">
        <v>32</v>
      </c>
    </row>
    <row r="142" spans="12:14" x14ac:dyDescent="0.35">
      <c r="L142" s="23" t="s">
        <v>1099</v>
      </c>
      <c r="M142" s="24">
        <v>27</v>
      </c>
      <c r="N142" s="23" t="s">
        <v>32</v>
      </c>
    </row>
    <row r="143" spans="12:14" x14ac:dyDescent="0.35">
      <c r="L143" s="23" t="s">
        <v>1100</v>
      </c>
      <c r="M143" s="24">
        <v>0</v>
      </c>
      <c r="N143" s="23" t="s">
        <v>33</v>
      </c>
    </row>
    <row r="144" spans="12:14" x14ac:dyDescent="0.35">
      <c r="L144" s="23" t="s">
        <v>1101</v>
      </c>
      <c r="M144" s="24">
        <v>27</v>
      </c>
      <c r="N144" s="23" t="s">
        <v>32</v>
      </c>
    </row>
    <row r="145" spans="12:14" x14ac:dyDescent="0.35">
      <c r="L145" s="23" t="s">
        <v>1102</v>
      </c>
      <c r="M145" s="24">
        <v>24.5</v>
      </c>
      <c r="N145" s="23" t="s">
        <v>33</v>
      </c>
    </row>
    <row r="146" spans="12:14" x14ac:dyDescent="0.35">
      <c r="L146" s="23" t="s">
        <v>1103</v>
      </c>
      <c r="M146" s="24">
        <v>27</v>
      </c>
      <c r="N146" s="23" t="s">
        <v>192</v>
      </c>
    </row>
    <row r="147" spans="12:14" x14ac:dyDescent="0.35">
      <c r="L147" s="23" t="s">
        <v>1104</v>
      </c>
      <c r="M147" s="24">
        <v>60.7</v>
      </c>
      <c r="N147" s="23" t="s">
        <v>31</v>
      </c>
    </row>
    <row r="148" spans="12:14" x14ac:dyDescent="0.35">
      <c r="L148" s="23" t="s">
        <v>1105</v>
      </c>
      <c r="M148" s="24">
        <v>30.13</v>
      </c>
      <c r="N148" s="23" t="s">
        <v>33</v>
      </c>
    </row>
    <row r="149" spans="12:14" x14ac:dyDescent="0.35">
      <c r="L149" s="23" t="s">
        <v>1106</v>
      </c>
      <c r="M149" s="24">
        <v>0</v>
      </c>
      <c r="N149" s="23" t="s">
        <v>33</v>
      </c>
    </row>
    <row r="150" spans="12:14" x14ac:dyDescent="0.35">
      <c r="L150" s="23" t="s">
        <v>1107</v>
      </c>
      <c r="M150" s="24">
        <v>28.2</v>
      </c>
      <c r="N150" s="23" t="s">
        <v>33</v>
      </c>
    </row>
    <row r="151" spans="12:14" x14ac:dyDescent="0.35">
      <c r="L151" s="23" t="s">
        <v>1108</v>
      </c>
      <c r="M151" s="24">
        <v>28.2</v>
      </c>
      <c r="N151" s="23" t="s">
        <v>33</v>
      </c>
    </row>
    <row r="152" spans="12:14" x14ac:dyDescent="0.35">
      <c r="L152" s="23" t="s">
        <v>1109</v>
      </c>
      <c r="M152" s="24">
        <v>27</v>
      </c>
      <c r="N152" s="23" t="s">
        <v>32</v>
      </c>
    </row>
    <row r="153" spans="12:14" x14ac:dyDescent="0.35">
      <c r="L153" s="23" t="s">
        <v>1110</v>
      </c>
      <c r="M153" s="24">
        <v>28.2</v>
      </c>
      <c r="N153" s="23" t="s">
        <v>33</v>
      </c>
    </row>
    <row r="154" spans="12:14" x14ac:dyDescent="0.35">
      <c r="L154" s="23" t="s">
        <v>1111</v>
      </c>
      <c r="M154" s="24">
        <v>28.2</v>
      </c>
      <c r="N154" s="23" t="s">
        <v>31</v>
      </c>
    </row>
    <row r="155" spans="12:14" x14ac:dyDescent="0.35">
      <c r="L155" s="23" t="s">
        <v>1112</v>
      </c>
      <c r="M155" s="24">
        <v>41.4</v>
      </c>
      <c r="N155" s="23" t="s">
        <v>192</v>
      </c>
    </row>
    <row r="156" spans="12:14" x14ac:dyDescent="0.35">
      <c r="L156" s="23" t="s">
        <v>1113</v>
      </c>
      <c r="M156" s="24">
        <v>65.332999999999998</v>
      </c>
      <c r="N156" s="23" t="s">
        <v>32</v>
      </c>
    </row>
    <row r="157" spans="12:14" x14ac:dyDescent="0.35">
      <c r="L157" s="23" t="s">
        <v>1114</v>
      </c>
      <c r="M157" s="24">
        <v>330.93299999999999</v>
      </c>
      <c r="N157" s="23" t="s">
        <v>192</v>
      </c>
    </row>
    <row r="158" spans="12:14" x14ac:dyDescent="0.35">
      <c r="L158" s="23" t="s">
        <v>1115</v>
      </c>
      <c r="M158" s="24">
        <v>39</v>
      </c>
      <c r="N158" s="23" t="s">
        <v>192</v>
      </c>
    </row>
    <row r="159" spans="12:14" x14ac:dyDescent="0.35">
      <c r="L159" s="23" t="s">
        <v>1116</v>
      </c>
      <c r="M159" s="24">
        <v>30.135999999999999</v>
      </c>
      <c r="N159" s="23" t="s">
        <v>32</v>
      </c>
    </row>
    <row r="160" spans="12:14" x14ac:dyDescent="0.35">
      <c r="L160" s="23" t="s">
        <v>1117</v>
      </c>
      <c r="M160" s="24">
        <v>34.200000000000003</v>
      </c>
      <c r="N160" s="23" t="s">
        <v>32</v>
      </c>
    </row>
    <row r="161" spans="12:14" x14ac:dyDescent="0.35">
      <c r="L161" s="23" t="s">
        <v>1118</v>
      </c>
      <c r="M161" s="24">
        <v>38</v>
      </c>
      <c r="N161" s="23" t="s">
        <v>192</v>
      </c>
    </row>
    <row r="162" spans="12:14" x14ac:dyDescent="0.35">
      <c r="L162" s="23" t="s">
        <v>1119</v>
      </c>
      <c r="M162" s="24">
        <v>33.299999999999997</v>
      </c>
      <c r="N162" s="23" t="s">
        <v>33</v>
      </c>
    </row>
    <row r="163" spans="12:14" x14ac:dyDescent="0.35">
      <c r="L163" s="23" t="s">
        <v>1120</v>
      </c>
      <c r="M163" s="24">
        <v>32.4</v>
      </c>
      <c r="N163" s="23" t="s">
        <v>192</v>
      </c>
    </row>
    <row r="164" spans="12:14" x14ac:dyDescent="0.35">
      <c r="L164" s="23" t="s">
        <v>1121</v>
      </c>
      <c r="M164" s="24">
        <v>484.01100000000002</v>
      </c>
      <c r="N164" s="23" t="s">
        <v>192</v>
      </c>
    </row>
    <row r="165" spans="12:14" x14ac:dyDescent="0.35">
      <c r="L165" s="23" t="s">
        <v>1122</v>
      </c>
      <c r="M165" s="24">
        <v>63.526000000000003</v>
      </c>
      <c r="N165" s="23" t="s">
        <v>192</v>
      </c>
    </row>
    <row r="166" spans="12:14" x14ac:dyDescent="0.35">
      <c r="L166" s="23" t="s">
        <v>1123</v>
      </c>
      <c r="M166" s="24">
        <v>53.9</v>
      </c>
      <c r="N166" s="23" t="s">
        <v>32</v>
      </c>
    </row>
    <row r="167" spans="12:14" x14ac:dyDescent="0.35">
      <c r="L167" s="23" t="s">
        <v>1124</v>
      </c>
      <c r="M167" s="24">
        <v>21.701000000000001</v>
      </c>
      <c r="N167" s="23" t="s">
        <v>32</v>
      </c>
    </row>
    <row r="168" spans="12:14" x14ac:dyDescent="0.35">
      <c r="L168" s="23" t="s">
        <v>1125</v>
      </c>
      <c r="M168" s="24">
        <v>27</v>
      </c>
      <c r="N168" s="23" t="s">
        <v>33</v>
      </c>
    </row>
    <row r="169" spans="12:14" x14ac:dyDescent="0.35">
      <c r="L169" s="23" t="s">
        <v>1126</v>
      </c>
      <c r="M169" s="24">
        <v>18.291</v>
      </c>
      <c r="N169" s="23" t="s">
        <v>33</v>
      </c>
    </row>
    <row r="170" spans="12:14" x14ac:dyDescent="0.35">
      <c r="L170" s="23" t="s">
        <v>1127</v>
      </c>
      <c r="M170" s="24">
        <v>17.420000000000002</v>
      </c>
      <c r="N170" s="23" t="s">
        <v>32</v>
      </c>
    </row>
    <row r="171" spans="12:14" x14ac:dyDescent="0.35">
      <c r="L171" s="23" t="s">
        <v>1128</v>
      </c>
      <c r="M171" s="24">
        <v>17.420000000000002</v>
      </c>
      <c r="N171" s="23" t="s">
        <v>33</v>
      </c>
    </row>
    <row r="172" spans="12:14" x14ac:dyDescent="0.35">
      <c r="L172" s="23" t="s">
        <v>1129</v>
      </c>
      <c r="M172" s="24">
        <v>128.904</v>
      </c>
      <c r="N172" s="23" t="s">
        <v>192</v>
      </c>
    </row>
    <row r="173" spans="12:14" x14ac:dyDescent="0.35">
      <c r="L173" s="23" t="s">
        <v>1130</v>
      </c>
      <c r="M173" s="24">
        <v>320.839</v>
      </c>
      <c r="N173" s="23" t="s">
        <v>192</v>
      </c>
    </row>
    <row r="174" spans="12:14" x14ac:dyDescent="0.35">
      <c r="L174" s="23" t="s">
        <v>1131</v>
      </c>
      <c r="M174" s="24">
        <v>22.452000000000002</v>
      </c>
      <c r="N174" s="23" t="s">
        <v>32</v>
      </c>
    </row>
    <row r="175" spans="12:14" x14ac:dyDescent="0.35">
      <c r="L175" s="23" t="s">
        <v>1132</v>
      </c>
      <c r="M175" s="24">
        <v>47.451999999999998</v>
      </c>
      <c r="N175" s="23" t="s">
        <v>32</v>
      </c>
    </row>
    <row r="176" spans="12:14" x14ac:dyDescent="0.35">
      <c r="L176" s="23" t="s">
        <v>1133</v>
      </c>
      <c r="M176" s="24">
        <v>50.323</v>
      </c>
      <c r="N176" s="23" t="s">
        <v>33</v>
      </c>
    </row>
    <row r="177" spans="12:14" x14ac:dyDescent="0.35">
      <c r="L177" s="23" t="s">
        <v>1134</v>
      </c>
      <c r="M177" s="24">
        <v>23.388000000000002</v>
      </c>
      <c r="N177" s="23" t="s">
        <v>190</v>
      </c>
    </row>
    <row r="178" spans="12:14" x14ac:dyDescent="0.35">
      <c r="L178" s="23" t="s">
        <v>1135</v>
      </c>
      <c r="M178" s="24">
        <v>26.38</v>
      </c>
      <c r="N178" s="23" t="s">
        <v>31</v>
      </c>
    </row>
    <row r="179" spans="12:14" x14ac:dyDescent="0.35">
      <c r="L179" s="23" t="s">
        <v>1136</v>
      </c>
      <c r="M179" s="24">
        <v>126.94499999999999</v>
      </c>
      <c r="N179" s="23" t="s">
        <v>192</v>
      </c>
    </row>
    <row r="180" spans="12:14" x14ac:dyDescent="0.35">
      <c r="L180" s="23" t="s">
        <v>1137</v>
      </c>
      <c r="M180" s="24">
        <v>58.731999999999999</v>
      </c>
      <c r="N180" s="23" t="s">
        <v>192</v>
      </c>
    </row>
    <row r="181" spans="12:14" x14ac:dyDescent="0.35">
      <c r="L181" s="23" t="s">
        <v>1138</v>
      </c>
      <c r="M181" s="24">
        <v>24.041</v>
      </c>
      <c r="N181" s="23" t="s">
        <v>192</v>
      </c>
    </row>
    <row r="182" spans="12:14" x14ac:dyDescent="0.35">
      <c r="L182" s="23" t="s">
        <v>1139</v>
      </c>
      <c r="M182" s="24">
        <v>27.129000000000001</v>
      </c>
      <c r="N182" s="23" t="s">
        <v>192</v>
      </c>
    </row>
    <row r="183" spans="12:14" x14ac:dyDescent="0.35">
      <c r="L183" s="23" t="s">
        <v>1140</v>
      </c>
      <c r="M183" s="24">
        <v>27.096</v>
      </c>
      <c r="N183" s="23" t="s">
        <v>33</v>
      </c>
    </row>
    <row r="184" spans="12:14" x14ac:dyDescent="0.35">
      <c r="L184" s="23" t="s">
        <v>1141</v>
      </c>
      <c r="M184" s="24">
        <v>45.290999999999997</v>
      </c>
      <c r="N184" s="23" t="s">
        <v>192</v>
      </c>
    </row>
    <row r="185" spans="12:14" x14ac:dyDescent="0.35">
      <c r="L185" s="23" t="s">
        <v>1142</v>
      </c>
      <c r="M185" s="24">
        <v>110.61199999999999</v>
      </c>
      <c r="N185" s="23" t="s">
        <v>31</v>
      </c>
    </row>
    <row r="186" spans="12:14" x14ac:dyDescent="0.35">
      <c r="L186" s="23" t="s">
        <v>1143</v>
      </c>
      <c r="M186" s="24">
        <v>67.384</v>
      </c>
      <c r="N186" s="23" t="s">
        <v>192</v>
      </c>
    </row>
    <row r="187" spans="12:14" x14ac:dyDescent="0.35">
      <c r="L187" s="23" t="s">
        <v>1144</v>
      </c>
      <c r="M187" s="24">
        <v>55.045000000000002</v>
      </c>
      <c r="N187" s="23" t="s">
        <v>33</v>
      </c>
    </row>
    <row r="188" spans="12:14" x14ac:dyDescent="0.35">
      <c r="L188" s="23" t="s">
        <v>1145</v>
      </c>
      <c r="M188" s="24">
        <v>76.819999999999993</v>
      </c>
      <c r="N188" s="23" t="s">
        <v>33</v>
      </c>
    </row>
    <row r="189" spans="12:14" x14ac:dyDescent="0.35">
      <c r="L189" s="23" t="s">
        <v>1146</v>
      </c>
      <c r="M189" s="24">
        <v>27.870999999999999</v>
      </c>
      <c r="N189" s="23" t="s">
        <v>33</v>
      </c>
    </row>
    <row r="190" spans="12:14" x14ac:dyDescent="0.35">
      <c r="L190" s="23" t="s">
        <v>1147</v>
      </c>
      <c r="M190" s="24">
        <v>27.870999999999999</v>
      </c>
      <c r="N190" s="23" t="s">
        <v>33</v>
      </c>
    </row>
    <row r="191" spans="12:14" x14ac:dyDescent="0.35">
      <c r="L191" s="23" t="s">
        <v>1148</v>
      </c>
      <c r="M191" s="24">
        <v>16.029</v>
      </c>
      <c r="N191" s="23" t="s">
        <v>192</v>
      </c>
    </row>
    <row r="192" spans="12:14" x14ac:dyDescent="0.35">
      <c r="L192" s="23" t="s">
        <v>1149</v>
      </c>
      <c r="M192" s="24">
        <v>61.393000000000001</v>
      </c>
      <c r="N192" s="23" t="s">
        <v>192</v>
      </c>
    </row>
    <row r="193" spans="12:14" x14ac:dyDescent="0.35">
      <c r="L193" s="23" t="s">
        <v>1150</v>
      </c>
      <c r="M193" s="24">
        <v>13.689</v>
      </c>
      <c r="N193" s="23" t="s">
        <v>33</v>
      </c>
    </row>
    <row r="194" spans="12:14" x14ac:dyDescent="0.35">
      <c r="L194" s="23" t="s">
        <v>1151</v>
      </c>
      <c r="M194" s="24">
        <v>12.917</v>
      </c>
      <c r="N194" s="23" t="s">
        <v>33</v>
      </c>
    </row>
    <row r="195" spans="12:14" x14ac:dyDescent="0.35">
      <c r="L195" s="23" t="s">
        <v>1152</v>
      </c>
      <c r="M195" s="24">
        <v>22.645</v>
      </c>
      <c r="N195" s="23" t="s">
        <v>32</v>
      </c>
    </row>
    <row r="196" spans="12:14" x14ac:dyDescent="0.35">
      <c r="L196" s="23" t="s">
        <v>1153</v>
      </c>
      <c r="M196" s="24">
        <v>15.333</v>
      </c>
      <c r="N196" s="23" t="s">
        <v>33</v>
      </c>
    </row>
    <row r="197" spans="12:14" x14ac:dyDescent="0.35">
      <c r="L197" s="23" t="s">
        <v>1154</v>
      </c>
      <c r="M197" s="24">
        <v>28.791</v>
      </c>
      <c r="N197" s="23" t="s">
        <v>33</v>
      </c>
    </row>
    <row r="198" spans="12:14" x14ac:dyDescent="0.35">
      <c r="L198" s="23" t="s">
        <v>1155</v>
      </c>
      <c r="M198" s="24">
        <v>22.58</v>
      </c>
      <c r="N198" s="23" t="s">
        <v>32</v>
      </c>
    </row>
    <row r="199" spans="12:14" x14ac:dyDescent="0.35">
      <c r="L199" s="23" t="s">
        <v>1156</v>
      </c>
      <c r="M199" s="24">
        <v>198.60599999999999</v>
      </c>
      <c r="N199" s="23" t="s">
        <v>192</v>
      </c>
    </row>
    <row r="200" spans="12:14" x14ac:dyDescent="0.35">
      <c r="L200" s="23" t="s">
        <v>1157</v>
      </c>
      <c r="M200" s="24">
        <v>40.542999999999999</v>
      </c>
      <c r="N200" s="23" t="s">
        <v>32</v>
      </c>
    </row>
    <row r="201" spans="12:14" x14ac:dyDescent="0.35">
      <c r="L201" s="23" t="s">
        <v>1158</v>
      </c>
      <c r="M201" s="24">
        <v>20.904</v>
      </c>
      <c r="N201" s="23" t="s">
        <v>32</v>
      </c>
    </row>
    <row r="202" spans="12:14" x14ac:dyDescent="0.35">
      <c r="L202" s="23" t="s">
        <v>1159</v>
      </c>
      <c r="M202" s="24">
        <v>21.832000000000001</v>
      </c>
      <c r="N202" s="23" t="s">
        <v>32</v>
      </c>
    </row>
    <row r="203" spans="12:14" x14ac:dyDescent="0.35">
      <c r="L203" s="23" t="s">
        <v>1160</v>
      </c>
      <c r="M203" s="24">
        <v>19.161000000000001</v>
      </c>
      <c r="N203" s="23" t="s">
        <v>190</v>
      </c>
    </row>
    <row r="204" spans="12:14" x14ac:dyDescent="0.35">
      <c r="L204" s="23" t="s">
        <v>1161</v>
      </c>
      <c r="M204" s="24">
        <v>6.4930000000000003</v>
      </c>
      <c r="N204" s="23" t="s">
        <v>32</v>
      </c>
    </row>
    <row r="205" spans="12:14" x14ac:dyDescent="0.35">
      <c r="L205" s="23" t="s">
        <v>1162</v>
      </c>
      <c r="M205" s="24">
        <v>14.904999999999999</v>
      </c>
      <c r="N205" s="23" t="s">
        <v>33</v>
      </c>
    </row>
    <row r="206" spans="12:14" x14ac:dyDescent="0.35">
      <c r="L206" s="23" t="s">
        <v>1163</v>
      </c>
      <c r="M206" s="24">
        <v>20.012</v>
      </c>
      <c r="N206" s="23" t="s">
        <v>32</v>
      </c>
    </row>
    <row r="207" spans="12:14" x14ac:dyDescent="0.35">
      <c r="L207" s="23" t="s">
        <v>1164</v>
      </c>
      <c r="M207" s="24">
        <v>19.161000000000001</v>
      </c>
      <c r="N207" s="23" t="s">
        <v>31</v>
      </c>
    </row>
    <row r="208" spans="12:14" x14ac:dyDescent="0.35">
      <c r="L208" s="23" t="s">
        <v>1165</v>
      </c>
      <c r="M208" s="24">
        <v>19.161000000000001</v>
      </c>
      <c r="N208" s="23" t="s">
        <v>32</v>
      </c>
    </row>
    <row r="209" spans="12:14" x14ac:dyDescent="0.35">
      <c r="L209" s="23" t="s">
        <v>1166</v>
      </c>
      <c r="M209" s="24">
        <v>16.129000000000001</v>
      </c>
      <c r="N209" s="23" t="s">
        <v>33</v>
      </c>
    </row>
    <row r="210" spans="12:14" x14ac:dyDescent="0.35">
      <c r="L210" s="23" t="s">
        <v>1167</v>
      </c>
      <c r="M210" s="24">
        <v>19.321999999999999</v>
      </c>
      <c r="N210" s="23" t="s">
        <v>192</v>
      </c>
    </row>
    <row r="211" spans="12:14" x14ac:dyDescent="0.35">
      <c r="L211" s="23" t="s">
        <v>1168</v>
      </c>
      <c r="M211" s="24">
        <v>224.64500000000001</v>
      </c>
      <c r="N211" s="23" t="s">
        <v>192</v>
      </c>
    </row>
    <row r="212" spans="12:14" x14ac:dyDescent="0.35">
      <c r="L212" s="23" t="s">
        <v>1169</v>
      </c>
      <c r="M212" s="24">
        <v>17.420000000000002</v>
      </c>
      <c r="N212" s="23" t="s">
        <v>33</v>
      </c>
    </row>
    <row r="213" spans="12:14" x14ac:dyDescent="0.35">
      <c r="L213" s="23" t="s">
        <v>1170</v>
      </c>
      <c r="M213" s="24">
        <v>12.395</v>
      </c>
      <c r="N213" s="23" t="s">
        <v>33</v>
      </c>
    </row>
    <row r="214" spans="12:14" x14ac:dyDescent="0.35">
      <c r="L214" s="23" t="s">
        <v>1171</v>
      </c>
      <c r="M214" s="24">
        <v>11.715999999999999</v>
      </c>
      <c r="N214" s="23" t="s">
        <v>33</v>
      </c>
    </row>
    <row r="215" spans="12:14" x14ac:dyDescent="0.35">
      <c r="L215" s="23" t="s">
        <v>1172</v>
      </c>
      <c r="M215" s="24">
        <v>71.42</v>
      </c>
      <c r="N215" s="23" t="s">
        <v>192</v>
      </c>
    </row>
    <row r="216" spans="12:14" x14ac:dyDescent="0.35">
      <c r="L216" s="23" t="s">
        <v>1173</v>
      </c>
      <c r="M216" s="24">
        <v>17.420000000000002</v>
      </c>
      <c r="N216" s="23" t="s">
        <v>32</v>
      </c>
    </row>
    <row r="217" spans="12:14" x14ac:dyDescent="0.35">
      <c r="L217" s="23" t="s">
        <v>1174</v>
      </c>
      <c r="M217" s="24">
        <v>12.871</v>
      </c>
      <c r="N217" s="23" t="s">
        <v>33</v>
      </c>
    </row>
    <row r="218" spans="12:14" x14ac:dyDescent="0.35">
      <c r="L218" s="23" t="s">
        <v>1175</v>
      </c>
      <c r="M218" s="24">
        <v>11.131</v>
      </c>
      <c r="N218" s="23" t="s">
        <v>33</v>
      </c>
    </row>
    <row r="219" spans="12:14" x14ac:dyDescent="0.35">
      <c r="L219" s="23" t="s">
        <v>1176</v>
      </c>
      <c r="M219" s="24">
        <v>347.34100000000001</v>
      </c>
      <c r="N219" s="23" t="s">
        <v>192</v>
      </c>
    </row>
    <row r="220" spans="12:14" x14ac:dyDescent="0.35">
      <c r="L220" s="23" t="s">
        <v>1177</v>
      </c>
      <c r="M220" s="24">
        <v>36</v>
      </c>
      <c r="N220" s="23" t="s">
        <v>32</v>
      </c>
    </row>
    <row r="221" spans="12:14" x14ac:dyDescent="0.35">
      <c r="L221" s="23" t="s">
        <v>1178</v>
      </c>
      <c r="M221" s="24">
        <v>16.244</v>
      </c>
      <c r="N221" s="23" t="s">
        <v>33</v>
      </c>
    </row>
    <row r="222" spans="12:14" x14ac:dyDescent="0.35">
      <c r="L222" s="23" t="s">
        <v>1179</v>
      </c>
      <c r="M222" s="24">
        <v>18.579999999999998</v>
      </c>
      <c r="N222" s="23" t="s">
        <v>33</v>
      </c>
    </row>
    <row r="223" spans="12:14" x14ac:dyDescent="0.35">
      <c r="L223" s="23" t="s">
        <v>1180</v>
      </c>
      <c r="M223" s="24">
        <v>158.959</v>
      </c>
      <c r="N223" s="23" t="s">
        <v>192</v>
      </c>
    </row>
    <row r="224" spans="12:14" x14ac:dyDescent="0.35">
      <c r="L224" s="23" t="s">
        <v>1181</v>
      </c>
      <c r="M224" s="24">
        <v>15.65</v>
      </c>
      <c r="N224" s="23" t="s">
        <v>32</v>
      </c>
    </row>
    <row r="225" spans="12:14" x14ac:dyDescent="0.35">
      <c r="L225" s="23" t="s">
        <v>1182</v>
      </c>
      <c r="M225" s="24">
        <v>17.552</v>
      </c>
      <c r="N225" s="23" t="s">
        <v>32</v>
      </c>
    </row>
    <row r="226" spans="12:14" x14ac:dyDescent="0.35">
      <c r="L226" s="23" t="s">
        <v>1183</v>
      </c>
      <c r="M226" s="24">
        <v>24.876999999999999</v>
      </c>
      <c r="N226" s="23" t="s">
        <v>31</v>
      </c>
    </row>
    <row r="227" spans="12:14" x14ac:dyDescent="0.35">
      <c r="L227" s="23" t="s">
        <v>1184</v>
      </c>
      <c r="M227" s="24">
        <v>14.124000000000001</v>
      </c>
      <c r="N227" s="23" t="s">
        <v>192</v>
      </c>
    </row>
    <row r="228" spans="12:14" x14ac:dyDescent="0.35">
      <c r="L228" s="23" t="s">
        <v>1185</v>
      </c>
      <c r="M228" s="24">
        <v>16.367999999999999</v>
      </c>
      <c r="N228" s="23" t="s">
        <v>32</v>
      </c>
    </row>
    <row r="229" spans="12:14" x14ac:dyDescent="0.35">
      <c r="L229" s="23" t="s">
        <v>1186</v>
      </c>
      <c r="M229" s="24">
        <v>83.116</v>
      </c>
      <c r="N229" s="23" t="s">
        <v>192</v>
      </c>
    </row>
    <row r="230" spans="12:14" x14ac:dyDescent="0.35">
      <c r="L230" s="23" t="s">
        <v>1187</v>
      </c>
      <c r="M230" s="24">
        <v>33</v>
      </c>
      <c r="N230" s="23" t="s">
        <v>192</v>
      </c>
    </row>
    <row r="231" spans="12:14" x14ac:dyDescent="0.35">
      <c r="L231" s="23" t="s">
        <v>1188</v>
      </c>
      <c r="M231" s="24">
        <v>10.483870967741936</v>
      </c>
      <c r="N231" s="23" t="s">
        <v>192</v>
      </c>
    </row>
    <row r="232" spans="12:14" x14ac:dyDescent="0.35">
      <c r="L232" s="23" t="s">
        <v>1189</v>
      </c>
      <c r="M232" s="24">
        <v>14.903225806451614</v>
      </c>
      <c r="N232" s="23" t="s">
        <v>192</v>
      </c>
    </row>
    <row r="233" spans="12:14" x14ac:dyDescent="0.35">
      <c r="L233" s="23" t="s">
        <v>1190</v>
      </c>
      <c r="M233" s="24">
        <v>25</v>
      </c>
      <c r="N233" s="23" t="s">
        <v>192</v>
      </c>
    </row>
    <row r="234" spans="12:14" x14ac:dyDescent="0.35">
      <c r="L234" s="23" t="s">
        <v>1191</v>
      </c>
      <c r="M234" s="24">
        <v>25</v>
      </c>
      <c r="N234" s="23" t="s">
        <v>192</v>
      </c>
    </row>
    <row r="235" spans="12:14" x14ac:dyDescent="0.35">
      <c r="L235" s="23" t="s">
        <v>1192</v>
      </c>
      <c r="M235" s="24">
        <v>4.032258064516129</v>
      </c>
      <c r="N235" s="23" t="s">
        <v>192</v>
      </c>
    </row>
    <row r="236" spans="12:14" x14ac:dyDescent="0.35">
      <c r="L236" s="23" t="s">
        <v>1193</v>
      </c>
      <c r="M236" s="24">
        <v>12.903225806451614</v>
      </c>
      <c r="N236" s="23" t="s">
        <v>192</v>
      </c>
    </row>
    <row r="237" spans="12:14" x14ac:dyDescent="0.35">
      <c r="L237" s="23" t="s">
        <v>359</v>
      </c>
      <c r="M237" s="24">
        <v>55</v>
      </c>
      <c r="N237" s="23" t="s">
        <v>192</v>
      </c>
    </row>
    <row r="238" spans="12:14" x14ac:dyDescent="0.35">
      <c r="L238" s="23" t="s">
        <v>1194</v>
      </c>
      <c r="M238" s="24">
        <v>50</v>
      </c>
      <c r="N238" s="23" t="s">
        <v>192</v>
      </c>
    </row>
    <row r="239" spans="12:14" x14ac:dyDescent="0.35">
      <c r="L239" s="23" t="s">
        <v>1195</v>
      </c>
      <c r="M239" s="24">
        <v>70</v>
      </c>
      <c r="N239" s="23" t="s">
        <v>192</v>
      </c>
    </row>
    <row r="240" spans="12:14" x14ac:dyDescent="0.35">
      <c r="L240" s="23" t="s">
        <v>1196</v>
      </c>
      <c r="M240" s="24">
        <v>90.322580645161281</v>
      </c>
      <c r="N240" s="23" t="s">
        <v>192</v>
      </c>
    </row>
    <row r="241" spans="12:14" x14ac:dyDescent="0.35">
      <c r="L241" s="23" t="s">
        <v>1197</v>
      </c>
      <c r="M241" s="24">
        <v>1000</v>
      </c>
      <c r="N241" s="23" t="s">
        <v>192</v>
      </c>
    </row>
  </sheetData>
  <autoFilter ref="A2:R2" xr:uid="{843AE70F-4648-43F0-BF9E-1B54C0C58694}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D0C7-0E08-48E5-AA97-AADE604D886D}">
  <dimension ref="A1:G144"/>
  <sheetViews>
    <sheetView topLeftCell="A49" workbookViewId="0">
      <selection activeCell="B58" sqref="B58"/>
    </sheetView>
  </sheetViews>
  <sheetFormatPr defaultColWidth="8.81640625" defaultRowHeight="14.5" x14ac:dyDescent="0.35"/>
  <cols>
    <col min="1" max="2" width="39.08984375" style="23" customWidth="1"/>
    <col min="3" max="3" width="17.36328125" style="23" bestFit="1" customWidth="1"/>
    <col min="4" max="5" width="16.453125" style="23" bestFit="1" customWidth="1"/>
    <col min="6" max="6" width="17.36328125" style="23" bestFit="1" customWidth="1"/>
    <col min="7" max="7" width="44.81640625" style="23" bestFit="1" customWidth="1"/>
    <col min="8" max="16384" width="8.81640625" style="23"/>
  </cols>
  <sheetData>
    <row r="1" spans="1:7" s="109" customFormat="1" x14ac:dyDescent="0.35">
      <c r="A1" s="207" t="s">
        <v>464</v>
      </c>
      <c r="B1" s="207"/>
      <c r="C1" s="219" t="s">
        <v>498</v>
      </c>
      <c r="D1" s="219" t="s">
        <v>465</v>
      </c>
      <c r="E1" s="219" t="s">
        <v>466</v>
      </c>
      <c r="F1" s="219" t="s">
        <v>499</v>
      </c>
    </row>
    <row r="3" spans="1:7" x14ac:dyDescent="0.35">
      <c r="A3" s="174" t="s">
        <v>70</v>
      </c>
      <c r="B3" s="175" t="str">
        <f>TRIM(A3)</f>
        <v>Assets</v>
      </c>
      <c r="C3" s="23" t="s">
        <v>85</v>
      </c>
      <c r="D3" s="23" t="s">
        <v>85</v>
      </c>
      <c r="E3" s="23" t="s">
        <v>85</v>
      </c>
      <c r="F3" s="23" t="s">
        <v>85</v>
      </c>
    </row>
    <row r="4" spans="1:7" x14ac:dyDescent="0.35">
      <c r="A4" s="174" t="s">
        <v>500</v>
      </c>
      <c r="B4" s="175" t="str">
        <f t="shared" ref="B4:B71" si="0">TRIM(A4)</f>
        <v>Accounts Receivable</v>
      </c>
      <c r="C4" s="176">
        <v>85866.05</v>
      </c>
      <c r="D4" s="176">
        <v>5368969.8700000001</v>
      </c>
      <c r="E4" s="176">
        <v>5104465.3</v>
      </c>
      <c r="F4" s="176">
        <v>350370.62</v>
      </c>
      <c r="G4" s="23" t="str">
        <f>VLOOKUP(B4,'TB 0525'!A:A,1,0)</f>
        <v>Accounts Receivable</v>
      </c>
    </row>
    <row r="5" spans="1:7" x14ac:dyDescent="0.35">
      <c r="A5" s="174" t="s">
        <v>501</v>
      </c>
      <c r="B5" s="175" t="str">
        <f t="shared" si="0"/>
        <v>Accrued Interest</v>
      </c>
      <c r="C5" s="176">
        <v>6848864</v>
      </c>
      <c r="D5" s="176">
        <v>9248881</v>
      </c>
      <c r="E5" s="176">
        <v>6848864</v>
      </c>
      <c r="F5" s="176">
        <v>9248881</v>
      </c>
      <c r="G5" s="23" t="str">
        <f>VLOOKUP(B5,'TB 0525'!A:A,1,0)</f>
        <v>Accrued Interest</v>
      </c>
    </row>
    <row r="6" spans="1:7" x14ac:dyDescent="0.35">
      <c r="A6" s="174" t="s">
        <v>1432</v>
      </c>
      <c r="B6" s="175" t="str">
        <f t="shared" si="0"/>
        <v>Accumulated Amortization on Leasehold Improvement</v>
      </c>
      <c r="C6" s="176">
        <v>-174567.32</v>
      </c>
      <c r="D6" s="176">
        <v>0</v>
      </c>
      <c r="E6" s="176">
        <v>103599.27</v>
      </c>
      <c r="F6" s="176">
        <v>-278166.59000000003</v>
      </c>
      <c r="G6" s="23" t="str">
        <f>VLOOKUP(B6,'TB 0525'!A:A,1,0)</f>
        <v>Accumulated Amortization on Leasehold Improvement</v>
      </c>
    </row>
    <row r="7" spans="1:7" x14ac:dyDescent="0.35">
      <c r="A7" s="174" t="s">
        <v>503</v>
      </c>
      <c r="B7" s="175" t="str">
        <f t="shared" si="0"/>
        <v>Accumulated Depreciation on Computer and Laptops</v>
      </c>
      <c r="C7" s="176">
        <v>-372081.83</v>
      </c>
      <c r="D7" s="176">
        <v>0</v>
      </c>
      <c r="E7" s="176">
        <v>142074.06</v>
      </c>
      <c r="F7" s="176">
        <v>-514155.89</v>
      </c>
      <c r="G7" s="23" t="str">
        <f>VLOOKUP(B7,'TB 0525'!A:A,1,0)</f>
        <v>Accumulated Depreciation on Computer and Laptops</v>
      </c>
    </row>
    <row r="8" spans="1:7" x14ac:dyDescent="0.35">
      <c r="A8" s="174" t="s">
        <v>760</v>
      </c>
      <c r="B8" s="175" t="str">
        <f t="shared" si="0"/>
        <v>Accumulated Depreciation on Furniture &amp; Equipment</v>
      </c>
      <c r="C8" s="176">
        <v>-19882.82</v>
      </c>
      <c r="D8" s="176">
        <v>0</v>
      </c>
      <c r="E8" s="176">
        <v>11025.44</v>
      </c>
      <c r="F8" s="176">
        <v>-30908.26</v>
      </c>
      <c r="G8" s="23" t="str">
        <f>VLOOKUP(B8,'TB 0525'!A:A,1,0)</f>
        <v>Accumulated Depreciation on Furniture &amp; Equipment</v>
      </c>
    </row>
    <row r="9" spans="1:7" x14ac:dyDescent="0.35">
      <c r="A9" s="174" t="s">
        <v>504</v>
      </c>
      <c r="B9" s="175" t="str">
        <f t="shared" si="0"/>
        <v>Accumulated Depreciation on Office Equipment</v>
      </c>
      <c r="C9" s="176">
        <v>-20389.61</v>
      </c>
      <c r="D9" s="176">
        <v>0</v>
      </c>
      <c r="E9" s="176">
        <v>10204.19</v>
      </c>
      <c r="F9" s="176">
        <v>-30593.8</v>
      </c>
      <c r="G9" s="23" t="str">
        <f>VLOOKUP(B9,'TB 0525'!A:A,1,0)</f>
        <v>Accumulated Depreciation on Office Equipment</v>
      </c>
    </row>
    <row r="10" spans="1:7" x14ac:dyDescent="0.35">
      <c r="A10" s="174" t="s">
        <v>1421</v>
      </c>
      <c r="B10" s="175" t="str">
        <f t="shared" si="0"/>
        <v>Advance from Customer</v>
      </c>
      <c r="C10" s="176">
        <v>-48822</v>
      </c>
      <c r="D10" s="176">
        <v>0</v>
      </c>
      <c r="E10" s="176">
        <v>0</v>
      </c>
      <c r="F10" s="176">
        <v>-48822</v>
      </c>
      <c r="G10" s="23" t="str">
        <f>VLOOKUP(B10,'TB 0525'!A:A,1,0)</f>
        <v>Advance from Customer</v>
      </c>
    </row>
    <row r="11" spans="1:7" x14ac:dyDescent="0.35">
      <c r="A11" s="174" t="s">
        <v>961</v>
      </c>
      <c r="B11" s="175" t="str">
        <f t="shared" si="0"/>
        <v>Advance to Vendors</v>
      </c>
      <c r="C11" s="176">
        <v>0</v>
      </c>
      <c r="D11" s="176">
        <v>142840.04</v>
      </c>
      <c r="E11" s="176">
        <v>0</v>
      </c>
      <c r="F11" s="176">
        <v>142840.04</v>
      </c>
      <c r="G11" s="23" t="str">
        <f>VLOOKUP(B11,'TB 0525'!A:A,1,0)</f>
        <v>Advance to Vendors</v>
      </c>
    </row>
    <row r="12" spans="1:7" x14ac:dyDescent="0.35">
      <c r="A12" s="174" t="s">
        <v>505</v>
      </c>
      <c r="B12" s="175" t="str">
        <f t="shared" si="0"/>
        <v>Amazon Wallet</v>
      </c>
      <c r="C12" s="176">
        <v>305.98</v>
      </c>
      <c r="D12" s="176">
        <v>0</v>
      </c>
      <c r="E12" s="176">
        <v>0</v>
      </c>
      <c r="F12" s="176">
        <v>305.98</v>
      </c>
      <c r="G12" s="23" t="str">
        <f>VLOOKUP(B12,'TB 0525'!A:A,1,0)</f>
        <v>Amazon Wallet</v>
      </c>
    </row>
    <row r="13" spans="1:7" x14ac:dyDescent="0.35">
      <c r="A13" s="174" t="s">
        <v>506</v>
      </c>
      <c r="B13" s="175" t="str">
        <f t="shared" si="0"/>
        <v>Axis Bank 1655</v>
      </c>
      <c r="C13" s="176">
        <v>12518.34</v>
      </c>
      <c r="D13" s="176">
        <v>0</v>
      </c>
      <c r="E13" s="176">
        <v>118</v>
      </c>
      <c r="F13" s="176">
        <v>12400.34</v>
      </c>
      <c r="G13" s="23" t="str">
        <f>VLOOKUP(B13,'TB 0525'!A:A,1,0)</f>
        <v>Axis Bank 1655</v>
      </c>
    </row>
    <row r="14" spans="1:7" x14ac:dyDescent="0.35">
      <c r="A14" s="174" t="s">
        <v>507</v>
      </c>
      <c r="B14" s="175" t="str">
        <f t="shared" si="0"/>
        <v>Computer and Laptops</v>
      </c>
      <c r="C14" s="176">
        <v>4384059.03</v>
      </c>
      <c r="D14" s="176">
        <v>1444789</v>
      </c>
      <c r="E14" s="176">
        <v>0</v>
      </c>
      <c r="F14" s="176">
        <v>5828848.0300000003</v>
      </c>
      <c r="G14" s="23" t="str">
        <f>VLOOKUP(B14,'TB 0525'!A:A,1,0)</f>
        <v>Computer and Laptops</v>
      </c>
    </row>
    <row r="15" spans="1:7" x14ac:dyDescent="0.35">
      <c r="A15" s="174" t="s">
        <v>678</v>
      </c>
      <c r="B15" s="175" t="str">
        <f t="shared" si="0"/>
        <v>Furniture and Equipment</v>
      </c>
      <c r="C15" s="176">
        <v>678111.34</v>
      </c>
      <c r="D15" s="176">
        <v>26500</v>
      </c>
      <c r="E15" s="176">
        <v>0</v>
      </c>
      <c r="F15" s="176">
        <v>704611.34</v>
      </c>
      <c r="G15" s="23" t="str">
        <f>VLOOKUP(B15,'TB 0525'!A:A,1,0)</f>
        <v>Furniture and Equipment</v>
      </c>
    </row>
    <row r="16" spans="1:7" x14ac:dyDescent="0.35">
      <c r="A16" s="174" t="s">
        <v>712</v>
      </c>
      <c r="B16" s="175" t="str">
        <f t="shared" si="0"/>
        <v>HDFC Bank 6899</v>
      </c>
      <c r="C16" s="176">
        <v>50000</v>
      </c>
      <c r="D16" s="176">
        <v>10025890.300000001</v>
      </c>
      <c r="E16" s="176">
        <v>10000000</v>
      </c>
      <c r="F16" s="176">
        <v>75890.3</v>
      </c>
      <c r="G16" s="23" t="str">
        <f>VLOOKUP(B16,'TB 0525'!A:A,1,0)</f>
        <v>HDFC Bank 6899</v>
      </c>
    </row>
    <row r="17" spans="1:7" x14ac:dyDescent="0.35">
      <c r="A17" s="174" t="s">
        <v>713</v>
      </c>
      <c r="B17" s="175" t="str">
        <f t="shared" si="0"/>
        <v>HDFC Bank 9531</v>
      </c>
      <c r="C17" s="176">
        <v>978343.48</v>
      </c>
      <c r="D17" s="176">
        <v>1046334.2</v>
      </c>
      <c r="E17" s="176">
        <v>1888537.16</v>
      </c>
      <c r="F17" s="176">
        <v>136140.51999999999</v>
      </c>
      <c r="G17" s="23" t="str">
        <f>VLOOKUP(B17,'TB 0525'!A:A,1,0)</f>
        <v>HDFC Bank 9531</v>
      </c>
    </row>
    <row r="18" spans="1:7" x14ac:dyDescent="0.35">
      <c r="A18" s="174" t="s">
        <v>508</v>
      </c>
      <c r="B18" s="175" t="str">
        <f t="shared" si="0"/>
        <v>Input Tax Credits</v>
      </c>
      <c r="C18" s="176">
        <v>0</v>
      </c>
      <c r="D18" s="176">
        <v>0</v>
      </c>
      <c r="E18" s="176">
        <v>0</v>
      </c>
      <c r="F18" s="176">
        <v>0</v>
      </c>
    </row>
    <row r="19" spans="1:7" x14ac:dyDescent="0.35">
      <c r="A19" s="174" t="s">
        <v>509</v>
      </c>
      <c r="B19" s="175" t="str">
        <f t="shared" si="0"/>
        <v>Input CGST</v>
      </c>
      <c r="C19" s="176">
        <v>1677333.4</v>
      </c>
      <c r="D19" s="176">
        <v>471895.65</v>
      </c>
      <c r="E19" s="176">
        <v>8196.41</v>
      </c>
      <c r="F19" s="176">
        <v>2141032.64</v>
      </c>
      <c r="G19" s="23" t="str">
        <f>VLOOKUP(B19,'TB 0525'!A:A,1,0)</f>
        <v>Input CGST</v>
      </c>
    </row>
    <row r="20" spans="1:7" x14ac:dyDescent="0.35">
      <c r="A20" s="174" t="s">
        <v>510</v>
      </c>
      <c r="B20" s="175" t="str">
        <f t="shared" si="0"/>
        <v>Input IGST</v>
      </c>
      <c r="C20" s="176">
        <v>808730.25</v>
      </c>
      <c r="D20" s="176">
        <v>517743.75</v>
      </c>
      <c r="E20" s="176">
        <v>119660.62</v>
      </c>
      <c r="F20" s="176">
        <v>1206813.3799999999</v>
      </c>
      <c r="G20" s="23" t="str">
        <f>VLOOKUP(B20,'TB 0525'!A:A,1,0)</f>
        <v>Input IGST</v>
      </c>
    </row>
    <row r="21" spans="1:7" x14ac:dyDescent="0.35">
      <c r="A21" s="174" t="s">
        <v>511</v>
      </c>
      <c r="B21" s="175" t="str">
        <f t="shared" si="0"/>
        <v>Input SGST</v>
      </c>
      <c r="C21" s="176">
        <v>1677333.45</v>
      </c>
      <c r="D21" s="176">
        <v>471895.65</v>
      </c>
      <c r="E21" s="176">
        <v>8196.41</v>
      </c>
      <c r="F21" s="176">
        <v>2141032.69</v>
      </c>
      <c r="G21" s="23" t="str">
        <f>VLOOKUP(B21,'TB 0525'!A:A,1,0)</f>
        <v>Input SGST</v>
      </c>
    </row>
    <row r="22" spans="1:7" ht="15.5" x14ac:dyDescent="0.35">
      <c r="A22" s="177" t="s">
        <v>512</v>
      </c>
      <c r="B22" s="175" t="str">
        <f t="shared" si="0"/>
        <v>Total for Input Tax Credits</v>
      </c>
      <c r="C22" s="178">
        <v>4163397.1</v>
      </c>
      <c r="D22" s="178">
        <v>1461535.05</v>
      </c>
      <c r="E22" s="178">
        <v>136053.44</v>
      </c>
      <c r="F22" s="178">
        <v>5488878.71</v>
      </c>
    </row>
    <row r="23" spans="1:7" x14ac:dyDescent="0.35">
      <c r="B23" s="175" t="str">
        <f t="shared" si="0"/>
        <v/>
      </c>
      <c r="C23" s="24"/>
      <c r="D23" s="24"/>
      <c r="E23" s="24"/>
      <c r="F23" s="24"/>
    </row>
    <row r="24" spans="1:7" x14ac:dyDescent="0.35">
      <c r="A24" s="174" t="s">
        <v>514</v>
      </c>
      <c r="B24" s="175" t="str">
        <f t="shared" si="0"/>
        <v>Investments</v>
      </c>
      <c r="C24" s="176">
        <v>0</v>
      </c>
      <c r="D24" s="176">
        <v>0</v>
      </c>
      <c r="E24" s="176">
        <v>0</v>
      </c>
      <c r="F24" s="176">
        <v>0</v>
      </c>
    </row>
    <row r="25" spans="1:7" x14ac:dyDescent="0.35">
      <c r="A25" s="174" t="s">
        <v>850</v>
      </c>
      <c r="B25" s="175" t="str">
        <f t="shared" si="0"/>
        <v>Fixed Deposit 50301150927502</v>
      </c>
      <c r="C25" s="176">
        <v>30000000</v>
      </c>
      <c r="D25" s="176">
        <v>0</v>
      </c>
      <c r="E25" s="176">
        <v>10000000</v>
      </c>
      <c r="F25" s="176">
        <v>20000000</v>
      </c>
      <c r="G25" s="23" t="str">
        <f>VLOOKUP(B25,'TB 0525'!A:A,1,0)</f>
        <v>Fixed Deposit 50301150927502</v>
      </c>
    </row>
    <row r="26" spans="1:7" x14ac:dyDescent="0.35">
      <c r="A26" s="174" t="s">
        <v>851</v>
      </c>
      <c r="B26" s="175" t="str">
        <f t="shared" si="0"/>
        <v>Fixed Deposit 50301150928123</v>
      </c>
      <c r="C26" s="176">
        <v>45000000</v>
      </c>
      <c r="D26" s="176">
        <v>0</v>
      </c>
      <c r="E26" s="176">
        <v>0</v>
      </c>
      <c r="F26" s="176">
        <v>45000000</v>
      </c>
      <c r="G26" s="23" t="str">
        <f>VLOOKUP(B26,'TB 0525'!A:A,1,0)</f>
        <v>Fixed Deposit 50301150928123</v>
      </c>
    </row>
    <row r="27" spans="1:7" x14ac:dyDescent="0.35">
      <c r="A27" s="174" t="s">
        <v>629</v>
      </c>
      <c r="B27" s="175" t="str">
        <f t="shared" si="0"/>
        <v>Fixed Deposit 9349770858</v>
      </c>
      <c r="C27" s="176">
        <v>6000000</v>
      </c>
      <c r="D27" s="176">
        <v>0</v>
      </c>
      <c r="E27" s="176">
        <v>6000000</v>
      </c>
      <c r="F27" s="176">
        <v>0</v>
      </c>
      <c r="G27" s="23" t="str">
        <f>VLOOKUP(B27,'TB 0525'!A:A,1,0)</f>
        <v>Fixed Deposit 9349770858</v>
      </c>
    </row>
    <row r="28" spans="1:7" x14ac:dyDescent="0.35">
      <c r="A28" s="174" t="s">
        <v>680</v>
      </c>
      <c r="B28" s="175" t="str">
        <f t="shared" si="0"/>
        <v>Fixed Deposit 9349809145</v>
      </c>
      <c r="C28" s="176">
        <v>350000000</v>
      </c>
      <c r="D28" s="176">
        <v>0</v>
      </c>
      <c r="E28" s="176">
        <v>0</v>
      </c>
      <c r="F28" s="176">
        <v>350000000</v>
      </c>
      <c r="G28" s="23" t="str">
        <f>VLOOKUP(B28,'TB 0525'!A:A,1,0)</f>
        <v>Fixed Deposit 9349809145</v>
      </c>
    </row>
    <row r="29" spans="1:7" x14ac:dyDescent="0.35">
      <c r="A29" s="174" t="s">
        <v>853</v>
      </c>
      <c r="B29" s="175" t="str">
        <f t="shared" si="0"/>
        <v>Fixed Deposit 9349923247</v>
      </c>
      <c r="C29" s="176">
        <v>15000000</v>
      </c>
      <c r="D29" s="176">
        <v>0</v>
      </c>
      <c r="E29" s="176">
        <v>15000000</v>
      </c>
      <c r="F29" s="176">
        <v>0</v>
      </c>
      <c r="G29" s="23" t="str">
        <f>VLOOKUP(B29,'TB 0525'!A:A,1,0)</f>
        <v>Fixed Deposit 9349923247</v>
      </c>
    </row>
    <row r="30" spans="1:7" x14ac:dyDescent="0.35">
      <c r="A30" s="174" t="s">
        <v>854</v>
      </c>
      <c r="B30" s="175" t="str">
        <f t="shared" si="0"/>
        <v>Fixed Deposit 9349923254</v>
      </c>
      <c r="C30" s="176">
        <v>6000000</v>
      </c>
      <c r="D30" s="176">
        <v>0</v>
      </c>
      <c r="E30" s="176">
        <v>6000000</v>
      </c>
      <c r="F30" s="176">
        <v>0</v>
      </c>
      <c r="G30" s="23" t="str">
        <f>VLOOKUP(B30,'TB 0525'!A:A,1,0)</f>
        <v>Fixed Deposit 9349923254</v>
      </c>
    </row>
    <row r="31" spans="1:7" x14ac:dyDescent="0.35">
      <c r="A31" s="174" t="s">
        <v>962</v>
      </c>
      <c r="B31" s="175" t="str">
        <f t="shared" si="0"/>
        <v>Fixed Deposit 9349943931</v>
      </c>
      <c r="C31" s="176">
        <v>0</v>
      </c>
      <c r="D31" s="176">
        <v>10000000</v>
      </c>
      <c r="E31" s="176">
        <v>10000000</v>
      </c>
      <c r="F31" s="176">
        <v>0</v>
      </c>
      <c r="G31" s="23" t="str">
        <f>VLOOKUP(B31,'TB 0525'!A:A,1,0)</f>
        <v>Fixed Deposit 9349943931</v>
      </c>
    </row>
    <row r="32" spans="1:7" ht="15.5" x14ac:dyDescent="0.35">
      <c r="A32" s="177" t="s">
        <v>521</v>
      </c>
      <c r="B32" s="175" t="str">
        <f t="shared" si="0"/>
        <v>Total for Investments</v>
      </c>
      <c r="C32" s="178">
        <v>452000000</v>
      </c>
      <c r="D32" s="178">
        <v>10000000</v>
      </c>
      <c r="E32" s="178">
        <v>47000000</v>
      </c>
      <c r="F32" s="178">
        <v>415000000</v>
      </c>
    </row>
    <row r="33" spans="1:7" x14ac:dyDescent="0.35">
      <c r="B33" s="175" t="str">
        <f t="shared" si="0"/>
        <v/>
      </c>
      <c r="C33" s="24"/>
      <c r="D33" s="24"/>
      <c r="E33" s="24"/>
      <c r="F33" s="24"/>
    </row>
    <row r="34" spans="1:7" x14ac:dyDescent="0.35">
      <c r="A34" s="174" t="s">
        <v>522</v>
      </c>
      <c r="B34" s="175" t="str">
        <f t="shared" si="0"/>
        <v>Kotak Mahindra Bank 9942</v>
      </c>
      <c r="C34" s="176">
        <v>428164.76</v>
      </c>
      <c r="D34" s="176">
        <v>41119818</v>
      </c>
      <c r="E34" s="176">
        <v>31536886.760000002</v>
      </c>
      <c r="F34" s="176">
        <v>10011096</v>
      </c>
      <c r="G34" s="23" t="str">
        <f>VLOOKUP(B34,'TB 0525'!A:A,1,0)</f>
        <v>Kotak Mahindra Bank 9942</v>
      </c>
    </row>
    <row r="35" spans="1:7" x14ac:dyDescent="0.35">
      <c r="A35" s="174" t="s">
        <v>523</v>
      </c>
      <c r="B35" s="175" t="str">
        <f t="shared" si="0"/>
        <v>Kotak Mahindra Bank 9966</v>
      </c>
      <c r="C35" s="176">
        <v>9843816.9199999999</v>
      </c>
      <c r="D35" s="176">
        <v>33754374.479999997</v>
      </c>
      <c r="E35" s="176">
        <v>38158278.039999999</v>
      </c>
      <c r="F35" s="176">
        <v>5439913.3600000003</v>
      </c>
      <c r="G35" s="23" t="str">
        <f>VLOOKUP(B35,'TB 0525'!A:A,1,0)</f>
        <v>Kotak Mahindra Bank 9966</v>
      </c>
    </row>
    <row r="36" spans="1:7" x14ac:dyDescent="0.35">
      <c r="A36" s="174" t="s">
        <v>722</v>
      </c>
      <c r="B36" s="175" t="str">
        <f t="shared" si="0"/>
        <v>Leasehold Improvement</v>
      </c>
      <c r="C36" s="176">
        <v>3633598</v>
      </c>
      <c r="D36" s="176">
        <v>0</v>
      </c>
      <c r="E36" s="176">
        <v>0</v>
      </c>
      <c r="F36" s="176">
        <v>3633598</v>
      </c>
      <c r="G36" s="23" t="str">
        <f>VLOOKUP(B36,'TB 0525'!A:A,1,0)</f>
        <v>Leasehold Improvement</v>
      </c>
    </row>
    <row r="37" spans="1:7" x14ac:dyDescent="0.35">
      <c r="A37" s="174" t="s">
        <v>524</v>
      </c>
      <c r="B37" s="175" t="str">
        <f t="shared" si="0"/>
        <v>Office Equipment</v>
      </c>
      <c r="C37" s="176">
        <v>174204.04</v>
      </c>
      <c r="D37" s="176">
        <v>305618.58</v>
      </c>
      <c r="E37" s="176">
        <v>0</v>
      </c>
      <c r="F37" s="176">
        <v>479822.62</v>
      </c>
      <c r="G37" s="23" t="str">
        <f>VLOOKUP(B37,'TB 0525'!A:A,1,0)</f>
        <v>Office Equipment</v>
      </c>
    </row>
    <row r="38" spans="1:7" x14ac:dyDescent="0.35">
      <c r="A38" s="174" t="s">
        <v>1422</v>
      </c>
      <c r="B38" s="175" t="str">
        <f t="shared" si="0"/>
        <v>Other Receivable</v>
      </c>
      <c r="C38" s="176">
        <v>81296.960000000006</v>
      </c>
      <c r="D38" s="176">
        <v>0</v>
      </c>
      <c r="E38" s="176">
        <v>0</v>
      </c>
      <c r="F38" s="176">
        <v>81296.960000000006</v>
      </c>
      <c r="G38" s="23" t="str">
        <f>VLOOKUP(B38,'TB 0525'!A:A,1,0)</f>
        <v>Other Receivable</v>
      </c>
    </row>
    <row r="39" spans="1:7" x14ac:dyDescent="0.35">
      <c r="A39" s="174" t="s">
        <v>526</v>
      </c>
      <c r="B39" s="175" t="str">
        <f t="shared" si="0"/>
        <v>Prepaid Expense - Asset</v>
      </c>
      <c r="C39" s="176">
        <v>48233.36</v>
      </c>
      <c r="D39" s="176">
        <v>0</v>
      </c>
      <c r="E39" s="176">
        <v>27983.33</v>
      </c>
      <c r="F39" s="176">
        <v>20250.03</v>
      </c>
      <c r="G39" s="23" t="str">
        <f>VLOOKUP(B39,'TB 0525'!A:A,1,0)</f>
        <v>Prepaid Expense - Asset</v>
      </c>
    </row>
    <row r="40" spans="1:7" x14ac:dyDescent="0.35">
      <c r="A40" s="174" t="s">
        <v>527</v>
      </c>
      <c r="B40" s="175" t="str">
        <f t="shared" si="0"/>
        <v>Prepaid Expenses</v>
      </c>
      <c r="C40" s="176">
        <v>1041902.98</v>
      </c>
      <c r="D40" s="176">
        <v>5671666.8399999999</v>
      </c>
      <c r="E40" s="176">
        <v>3315596.11</v>
      </c>
      <c r="F40" s="176">
        <v>3397973.71</v>
      </c>
      <c r="G40" s="23" t="str">
        <f>VLOOKUP(B40,'TB 0525'!A:A,1,0)</f>
        <v>Prepaid Expenses</v>
      </c>
    </row>
    <row r="41" spans="1:7" x14ac:dyDescent="0.35">
      <c r="A41" s="174" t="s">
        <v>528</v>
      </c>
      <c r="B41" s="175" t="str">
        <f t="shared" si="0"/>
        <v>Receipt from Customers</v>
      </c>
      <c r="C41" s="176">
        <v>-6291.86</v>
      </c>
      <c r="D41" s="176">
        <v>4868734.3</v>
      </c>
      <c r="E41" s="176">
        <v>4862442.4400000004</v>
      </c>
      <c r="F41" s="176">
        <v>0</v>
      </c>
      <c r="G41" s="23" t="str">
        <f>VLOOKUP(B41,'TB 0525'!A:A,1,0)</f>
        <v>Receipt from Customers</v>
      </c>
    </row>
    <row r="42" spans="1:7" x14ac:dyDescent="0.35">
      <c r="A42" s="174" t="s">
        <v>529</v>
      </c>
      <c r="B42" s="175" t="str">
        <f t="shared" si="0"/>
        <v>Reverse Charge Tax Input but not due</v>
      </c>
      <c r="C42" s="176">
        <v>837250.15</v>
      </c>
      <c r="D42" s="176">
        <v>142928.15</v>
      </c>
      <c r="E42" s="176">
        <v>0</v>
      </c>
      <c r="F42" s="176">
        <v>980178.3</v>
      </c>
      <c r="G42" s="23" t="str">
        <f>VLOOKUP(B42,'TB 0525'!A:A,1,0)</f>
        <v>Reverse Charge Tax Input but not due</v>
      </c>
    </row>
    <row r="43" spans="1:7" x14ac:dyDescent="0.35">
      <c r="A43" s="174" t="s">
        <v>530</v>
      </c>
      <c r="B43" s="175" t="str">
        <f t="shared" si="0"/>
        <v>Security Deposit</v>
      </c>
      <c r="C43" s="176">
        <v>4989000</v>
      </c>
      <c r="D43" s="176">
        <v>1103000</v>
      </c>
      <c r="E43" s="176">
        <v>0</v>
      </c>
      <c r="F43" s="176">
        <v>6092000</v>
      </c>
      <c r="G43" s="23" t="str">
        <f>VLOOKUP(B43,'TB 0525'!A:A,1,0)</f>
        <v>Security Deposit</v>
      </c>
    </row>
    <row r="44" spans="1:7" x14ac:dyDescent="0.35">
      <c r="A44" s="174" t="s">
        <v>531</v>
      </c>
      <c r="B44" s="175" t="str">
        <f t="shared" si="0"/>
        <v>TDS Receivable</v>
      </c>
      <c r="C44" s="176">
        <v>296439</v>
      </c>
      <c r="D44" s="176">
        <v>3267</v>
      </c>
      <c r="E44" s="176">
        <v>0</v>
      </c>
      <c r="F44" s="176">
        <v>299706</v>
      </c>
      <c r="G44" s="23" t="str">
        <f>VLOOKUP(B44,'TB 0525'!A:A,1,0)</f>
        <v>TDS Receivable</v>
      </c>
    </row>
    <row r="45" spans="1:7" x14ac:dyDescent="0.35">
      <c r="A45" s="174" t="s">
        <v>532</v>
      </c>
      <c r="B45" s="175" t="str">
        <f t="shared" si="0"/>
        <v>Liabilities</v>
      </c>
      <c r="C45" s="24" t="s">
        <v>85</v>
      </c>
      <c r="D45" s="24" t="s">
        <v>85</v>
      </c>
      <c r="E45" s="24" t="s">
        <v>85</v>
      </c>
      <c r="F45" s="24" t="s">
        <v>85</v>
      </c>
    </row>
    <row r="46" spans="1:7" x14ac:dyDescent="0.35">
      <c r="A46" s="174" t="s">
        <v>533</v>
      </c>
      <c r="B46" s="175" t="str">
        <f t="shared" si="0"/>
        <v>Accounts Payable</v>
      </c>
      <c r="C46" s="176">
        <v>-8763623.7699999996</v>
      </c>
      <c r="D46" s="176">
        <v>17139675.16</v>
      </c>
      <c r="E46" s="176">
        <v>15781920.880000001</v>
      </c>
      <c r="F46" s="176">
        <v>-7405869.4900000002</v>
      </c>
      <c r="G46" s="23" t="str">
        <f>VLOOKUP(B46,'TB 0525'!A:A,1,0)</f>
        <v>Accounts Payable</v>
      </c>
    </row>
    <row r="47" spans="1:7" x14ac:dyDescent="0.35">
      <c r="A47" s="174" t="s">
        <v>1329</v>
      </c>
      <c r="B47" s="175" t="str">
        <f t="shared" si="0"/>
        <v>Advance from B2C Customer</v>
      </c>
      <c r="C47" s="176">
        <v>-121194</v>
      </c>
      <c r="D47" s="176">
        <v>0</v>
      </c>
      <c r="E47" s="176">
        <v>416564</v>
      </c>
      <c r="F47" s="176">
        <v>-537758</v>
      </c>
      <c r="G47" s="23" t="str">
        <f>VLOOKUP(B47,'TB 0525'!A:A,1,0)</f>
        <v>Advance from B2C Customer</v>
      </c>
    </row>
    <row r="48" spans="1:7" x14ac:dyDescent="0.35">
      <c r="A48" s="174" t="s">
        <v>534</v>
      </c>
      <c r="B48" s="175" t="str">
        <f t="shared" si="0"/>
        <v>App Wallet</v>
      </c>
      <c r="C48" s="176">
        <v>-267134.27</v>
      </c>
      <c r="D48" s="176">
        <v>77642</v>
      </c>
      <c r="E48" s="176">
        <v>60080</v>
      </c>
      <c r="F48" s="176">
        <v>-249572.27</v>
      </c>
      <c r="G48" s="23" t="str">
        <f>VLOOKUP(B48,'TB 0525'!A:A,1,0)</f>
        <v>App Wallet</v>
      </c>
    </row>
    <row r="49" spans="1:7" x14ac:dyDescent="0.35">
      <c r="A49" s="174" t="s">
        <v>535</v>
      </c>
      <c r="B49" s="175" t="str">
        <f t="shared" si="0"/>
        <v>Employee Reimbursements</v>
      </c>
      <c r="C49" s="176">
        <v>-143152.32000000001</v>
      </c>
      <c r="D49" s="176">
        <v>235907.65</v>
      </c>
      <c r="E49" s="176">
        <v>173918.15</v>
      </c>
      <c r="F49" s="176">
        <v>-81162.820000000007</v>
      </c>
      <c r="G49" s="23" t="str">
        <f>VLOOKUP(B49,'TB 0525'!A:A,1,0)</f>
        <v>Employee Reimbursements</v>
      </c>
    </row>
    <row r="50" spans="1:7" x14ac:dyDescent="0.35">
      <c r="A50" s="174" t="s">
        <v>621</v>
      </c>
      <c r="B50" s="175" t="str">
        <f t="shared" si="0"/>
        <v>Employee Salaries Payable</v>
      </c>
      <c r="C50" s="176">
        <v>-163690</v>
      </c>
      <c r="D50" s="176">
        <v>14769514.32</v>
      </c>
      <c r="E50" s="176">
        <v>14754347.32</v>
      </c>
      <c r="F50" s="176">
        <v>-148523</v>
      </c>
      <c r="G50" s="23" t="str">
        <f>VLOOKUP(B50,'TB 0525'!A:A,1,0)</f>
        <v>Employee Salaries Payable</v>
      </c>
    </row>
    <row r="51" spans="1:7" x14ac:dyDescent="0.35">
      <c r="A51" s="174" t="s">
        <v>763</v>
      </c>
      <c r="B51" s="175" t="str">
        <f t="shared" si="0"/>
        <v>Employees State Insurance</v>
      </c>
      <c r="C51" s="176">
        <v>0</v>
      </c>
      <c r="D51" s="176">
        <v>0</v>
      </c>
      <c r="E51" s="176">
        <v>0</v>
      </c>
      <c r="F51" s="176">
        <v>0</v>
      </c>
    </row>
    <row r="52" spans="1:7" x14ac:dyDescent="0.35">
      <c r="A52" s="174" t="s">
        <v>764</v>
      </c>
      <c r="B52" s="175" t="str">
        <f t="shared" si="0"/>
        <v>ESI - Employee</v>
      </c>
      <c r="C52" s="176">
        <v>-308</v>
      </c>
      <c r="D52" s="176">
        <v>0</v>
      </c>
      <c r="E52" s="176">
        <v>967</v>
      </c>
      <c r="F52" s="176">
        <v>-1275</v>
      </c>
      <c r="G52" s="23" t="str">
        <f>VLOOKUP(B52,'TB 0525'!A:A,1,0)</f>
        <v>ESI - Employee</v>
      </c>
    </row>
    <row r="53" spans="1:7" x14ac:dyDescent="0.35">
      <c r="A53" s="174" t="s">
        <v>765</v>
      </c>
      <c r="B53" s="175" t="str">
        <f t="shared" si="0"/>
        <v>ESI - Employer</v>
      </c>
      <c r="C53" s="176">
        <v>-1327</v>
      </c>
      <c r="D53" s="176">
        <v>0</v>
      </c>
      <c r="E53" s="176">
        <v>4181</v>
      </c>
      <c r="F53" s="176">
        <v>-5508</v>
      </c>
      <c r="G53" s="23" t="str">
        <f>VLOOKUP(B53,'TB 0525'!A:A,1,0)</f>
        <v>ESI - Employer</v>
      </c>
    </row>
    <row r="54" spans="1:7" ht="15.5" x14ac:dyDescent="0.35">
      <c r="A54" s="177" t="s">
        <v>766</v>
      </c>
      <c r="B54" s="175" t="str">
        <f t="shared" si="0"/>
        <v>Total for Employees State Insurance</v>
      </c>
      <c r="C54" s="178">
        <v>-1635</v>
      </c>
      <c r="D54" s="178">
        <v>0</v>
      </c>
      <c r="E54" s="178">
        <v>5148</v>
      </c>
      <c r="F54" s="178">
        <v>-6783</v>
      </c>
    </row>
    <row r="55" spans="1:7" x14ac:dyDescent="0.35">
      <c r="B55" s="175" t="str">
        <f t="shared" si="0"/>
        <v/>
      </c>
      <c r="C55" s="24"/>
      <c r="D55" s="24"/>
      <c r="E55" s="24"/>
      <c r="F55" s="24"/>
    </row>
    <row r="56" spans="1:7" x14ac:dyDescent="0.35">
      <c r="A56" s="23" t="s">
        <v>1198</v>
      </c>
      <c r="B56" s="175" t="str">
        <f t="shared" si="0"/>
        <v>Expert Joining Bonus Payable</v>
      </c>
      <c r="C56" s="24">
        <v>0</v>
      </c>
      <c r="D56" s="24">
        <v>0</v>
      </c>
      <c r="E56" s="24">
        <v>205550</v>
      </c>
      <c r="F56" s="24">
        <v>-205550</v>
      </c>
      <c r="G56" s="23" t="str">
        <f>VLOOKUP(B56,'TB 0525'!A:A,1,0)</f>
        <v>Expert Joining Bonus Payable</v>
      </c>
    </row>
    <row r="57" spans="1:7" x14ac:dyDescent="0.35">
      <c r="A57" s="174" t="s">
        <v>963</v>
      </c>
      <c r="B57" s="175" t="str">
        <f t="shared" si="0"/>
        <v>Expert Service Cost Payable</v>
      </c>
      <c r="C57" s="176">
        <v>0</v>
      </c>
      <c r="D57" s="176">
        <v>46424.76</v>
      </c>
      <c r="E57" s="176">
        <v>8698906.8699999992</v>
      </c>
      <c r="F57" s="176">
        <v>-8652482.1099999994</v>
      </c>
      <c r="G57" s="23" t="str">
        <f>VLOOKUP(B57,'TB 0525'!A:A,1,0)</f>
        <v>Expert Service Cost Payable</v>
      </c>
    </row>
    <row r="58" spans="1:7" x14ac:dyDescent="0.35">
      <c r="A58" s="174" t="s">
        <v>536</v>
      </c>
      <c r="B58" s="175" t="str">
        <f t="shared" si="0"/>
        <v>GST Payable</v>
      </c>
      <c r="C58" s="176">
        <v>-390645</v>
      </c>
      <c r="D58" s="176">
        <v>0</v>
      </c>
      <c r="E58" s="176">
        <v>0</v>
      </c>
      <c r="F58" s="176">
        <v>-390645</v>
      </c>
      <c r="G58" s="23" t="str">
        <f>VLOOKUP(B58,'TB 0525'!A:A,1,0)</f>
        <v>GST Payable</v>
      </c>
    </row>
    <row r="59" spans="1:7" x14ac:dyDescent="0.35">
      <c r="A59" s="174" t="s">
        <v>537</v>
      </c>
      <c r="B59" s="175" t="str">
        <f t="shared" si="0"/>
        <v>Output CGST</v>
      </c>
      <c r="C59" s="176">
        <v>174124.76</v>
      </c>
      <c r="D59" s="176">
        <v>131076</v>
      </c>
      <c r="E59" s="176">
        <v>279476.87</v>
      </c>
      <c r="F59" s="176">
        <v>25723.89</v>
      </c>
      <c r="G59" s="23" t="str">
        <f>VLOOKUP(B59,'TB 0525'!A:A,1,0)</f>
        <v>Output CGST</v>
      </c>
    </row>
    <row r="60" spans="1:7" x14ac:dyDescent="0.35">
      <c r="A60" s="174" t="s">
        <v>538</v>
      </c>
      <c r="B60" s="175" t="str">
        <f t="shared" si="0"/>
        <v>Output IGST</v>
      </c>
      <c r="C60" s="176">
        <v>-110591.37</v>
      </c>
      <c r="D60" s="176">
        <v>153315</v>
      </c>
      <c r="E60" s="176">
        <v>81404.33</v>
      </c>
      <c r="F60" s="176">
        <v>-38680.699999999997</v>
      </c>
      <c r="G60" s="23" t="str">
        <f>VLOOKUP(B60,'TB 0525'!A:A,1,0)</f>
        <v>Output IGST</v>
      </c>
    </row>
    <row r="61" spans="1:7" x14ac:dyDescent="0.35">
      <c r="A61" s="174" t="s">
        <v>539</v>
      </c>
      <c r="B61" s="175" t="str">
        <f t="shared" si="0"/>
        <v>Output SGST</v>
      </c>
      <c r="C61" s="176">
        <v>-88351.24</v>
      </c>
      <c r="D61" s="176">
        <v>131076</v>
      </c>
      <c r="E61" s="176">
        <v>279476.87</v>
      </c>
      <c r="F61" s="176">
        <v>-236752.11</v>
      </c>
      <c r="G61" s="23" t="str">
        <f>VLOOKUP(B61,'TB 0525'!A:A,1,0)</f>
        <v>Output SGST</v>
      </c>
    </row>
    <row r="62" spans="1:7" ht="15.5" x14ac:dyDescent="0.35">
      <c r="A62" s="177" t="s">
        <v>540</v>
      </c>
      <c r="B62" s="175" t="str">
        <f t="shared" si="0"/>
        <v>Total for GST Payable</v>
      </c>
      <c r="C62" s="178">
        <v>-415462.85</v>
      </c>
      <c r="D62" s="178">
        <v>415467</v>
      </c>
      <c r="E62" s="178">
        <v>640358.06999999995</v>
      </c>
      <c r="F62" s="178">
        <v>-640353.92000000004</v>
      </c>
    </row>
    <row r="63" spans="1:7" x14ac:dyDescent="0.35">
      <c r="B63" s="175" t="str">
        <f t="shared" si="0"/>
        <v/>
      </c>
      <c r="C63" s="24"/>
      <c r="D63" s="24"/>
      <c r="E63" s="24"/>
      <c r="F63" s="24"/>
    </row>
    <row r="64" spans="1:7" x14ac:dyDescent="0.35">
      <c r="A64" s="174" t="s">
        <v>541</v>
      </c>
      <c r="B64" s="175" t="str">
        <f t="shared" si="0"/>
        <v>Professional Tax</v>
      </c>
      <c r="C64" s="176">
        <v>-28000</v>
      </c>
      <c r="D64" s="176">
        <v>28000</v>
      </c>
      <c r="E64" s="176">
        <v>37175</v>
      </c>
      <c r="F64" s="176">
        <v>-37175</v>
      </c>
      <c r="G64" s="23" t="str">
        <f>VLOOKUP(B64,'TB 0525'!A:A,1,0)</f>
        <v>Professional Tax</v>
      </c>
    </row>
    <row r="65" spans="1:7" x14ac:dyDescent="0.35">
      <c r="A65" s="174" t="s">
        <v>542</v>
      </c>
      <c r="B65" s="175" t="str">
        <f t="shared" si="0"/>
        <v>Provident Fund</v>
      </c>
      <c r="C65" s="176">
        <v>0</v>
      </c>
      <c r="D65" s="176">
        <v>0</v>
      </c>
      <c r="E65" s="176">
        <v>0</v>
      </c>
      <c r="F65" s="176">
        <v>0</v>
      </c>
    </row>
    <row r="66" spans="1:7" x14ac:dyDescent="0.35">
      <c r="A66" s="174" t="s">
        <v>543</v>
      </c>
      <c r="B66" s="175" t="str">
        <f t="shared" si="0"/>
        <v>Provident Fund - Employee</v>
      </c>
      <c r="C66" s="176">
        <v>-290717</v>
      </c>
      <c r="D66" s="176">
        <v>290717</v>
      </c>
      <c r="E66" s="176">
        <v>385113</v>
      </c>
      <c r="F66" s="176">
        <v>-385113</v>
      </c>
      <c r="G66" s="23" t="str">
        <f>VLOOKUP(B66,'TB 0525'!A:A,1,0)</f>
        <v>Provident Fund - Employee</v>
      </c>
    </row>
    <row r="67" spans="1:7" x14ac:dyDescent="0.35">
      <c r="A67" s="174" t="s">
        <v>544</v>
      </c>
      <c r="B67" s="175" t="str">
        <f t="shared" si="0"/>
        <v>Provident Fund - Employer</v>
      </c>
      <c r="C67" s="176">
        <v>-290717</v>
      </c>
      <c r="D67" s="176">
        <v>290717</v>
      </c>
      <c r="E67" s="176">
        <v>385113</v>
      </c>
      <c r="F67" s="176">
        <v>-385113</v>
      </c>
      <c r="G67" s="23" t="str">
        <f>VLOOKUP(B67,'TB 0525'!A:A,1,0)</f>
        <v>Provident Fund - Employer</v>
      </c>
    </row>
    <row r="68" spans="1:7" ht="15.5" x14ac:dyDescent="0.35">
      <c r="A68" s="177" t="s">
        <v>545</v>
      </c>
      <c r="B68" s="175" t="str">
        <f t="shared" si="0"/>
        <v>Total for Provident Fund</v>
      </c>
      <c r="C68" s="178">
        <v>-581434</v>
      </c>
      <c r="D68" s="178">
        <v>581434</v>
      </c>
      <c r="E68" s="178">
        <v>770226</v>
      </c>
      <c r="F68" s="178">
        <v>-770226</v>
      </c>
    </row>
    <row r="69" spans="1:7" x14ac:dyDescent="0.35">
      <c r="B69" s="175" t="str">
        <f t="shared" si="0"/>
        <v/>
      </c>
      <c r="C69" s="24"/>
      <c r="D69" s="24"/>
      <c r="E69" s="24"/>
      <c r="F69" s="24"/>
    </row>
    <row r="70" spans="1:7" x14ac:dyDescent="0.35">
      <c r="A70" s="174" t="s">
        <v>546</v>
      </c>
      <c r="B70" s="175" t="str">
        <f t="shared" si="0"/>
        <v>Provision for Audit Fees</v>
      </c>
      <c r="C70" s="176">
        <v>-100000</v>
      </c>
      <c r="D70" s="176">
        <v>0</v>
      </c>
      <c r="E70" s="176">
        <v>0</v>
      </c>
      <c r="F70" s="176">
        <v>-100000</v>
      </c>
      <c r="G70" s="23" t="str">
        <f>VLOOKUP(B70,'TB 0525'!A:A,1,0)</f>
        <v>Provision for Audit Fees</v>
      </c>
    </row>
    <row r="71" spans="1:7" x14ac:dyDescent="0.35">
      <c r="A71" s="174" t="s">
        <v>1423</v>
      </c>
      <c r="B71" s="175" t="str">
        <f t="shared" si="0"/>
        <v>Provision for Gratuity - LT</v>
      </c>
      <c r="C71" s="176">
        <v>-548984</v>
      </c>
      <c r="D71" s="176">
        <v>0</v>
      </c>
      <c r="E71" s="176">
        <v>0</v>
      </c>
      <c r="F71" s="176">
        <v>-548984</v>
      </c>
      <c r="G71" s="23" t="str">
        <f>VLOOKUP(B71,'TB 0525'!A:A,1,0)</f>
        <v>Provision for Gratuity - LT</v>
      </c>
    </row>
    <row r="72" spans="1:7" x14ac:dyDescent="0.35">
      <c r="A72" s="174" t="s">
        <v>1424</v>
      </c>
      <c r="B72" s="175" t="str">
        <f>TRIM(A72)</f>
        <v>Provision for Gratuity - ST</v>
      </c>
      <c r="C72" s="176">
        <v>-1269</v>
      </c>
      <c r="D72" s="176">
        <v>0</v>
      </c>
      <c r="E72" s="176">
        <v>0</v>
      </c>
      <c r="F72" s="176">
        <v>-1269</v>
      </c>
      <c r="G72" s="23" t="str">
        <f>VLOOKUP(B72,'TB 0525'!A:A,1,0)</f>
        <v>Provision for Gratuity - ST</v>
      </c>
    </row>
    <row r="73" spans="1:7" x14ac:dyDescent="0.35">
      <c r="A73" s="174" t="s">
        <v>959</v>
      </c>
      <c r="B73" s="175" t="str">
        <f t="shared" ref="B73:B143" si="1">TRIM(A73)</f>
        <v>Provision for Professional Fees</v>
      </c>
      <c r="C73" s="176">
        <v>-36280</v>
      </c>
      <c r="D73" s="176">
        <v>36280</v>
      </c>
      <c r="E73" s="176">
        <v>20000</v>
      </c>
      <c r="F73" s="176">
        <v>-20000</v>
      </c>
      <c r="G73" s="23" t="str">
        <f>VLOOKUP(B73,'TB 0525'!A:A,1,0)</f>
        <v>Provision for Professional Fees</v>
      </c>
    </row>
    <row r="74" spans="1:7" x14ac:dyDescent="0.35">
      <c r="A74" s="174" t="s">
        <v>1226</v>
      </c>
      <c r="B74" s="175" t="str">
        <f t="shared" si="1"/>
        <v>Provision for Rent Expense</v>
      </c>
      <c r="C74" s="176">
        <v>0</v>
      </c>
      <c r="D74" s="176">
        <v>0</v>
      </c>
      <c r="E74" s="176">
        <v>63728</v>
      </c>
      <c r="F74" s="176">
        <v>-63728</v>
      </c>
      <c r="G74" s="23" t="str">
        <f>VLOOKUP(B74,'TB 0525'!A:A,1,0)</f>
        <v>Provision for Rent Expense</v>
      </c>
    </row>
    <row r="75" spans="1:7" x14ac:dyDescent="0.35">
      <c r="A75" s="174" t="s">
        <v>550</v>
      </c>
      <c r="B75" s="175" t="str">
        <f t="shared" si="1"/>
        <v>TDS Payable</v>
      </c>
      <c r="C75" s="176">
        <v>-1924663.04</v>
      </c>
      <c r="D75" s="176">
        <v>1927281</v>
      </c>
      <c r="E75" s="176">
        <v>2612114.39</v>
      </c>
      <c r="F75" s="176">
        <v>-2609496.4300000002</v>
      </c>
      <c r="G75" s="23" t="str">
        <f>VLOOKUP(B75,'TB 0525'!A:A,1,0)</f>
        <v>TDS Payable</v>
      </c>
    </row>
    <row r="76" spans="1:7" x14ac:dyDescent="0.35">
      <c r="A76" s="174" t="s">
        <v>551</v>
      </c>
      <c r="B76" s="175" t="str">
        <f t="shared" si="1"/>
        <v>Variable Salary Payable</v>
      </c>
      <c r="C76" s="176">
        <v>-240766</v>
      </c>
      <c r="D76" s="176">
        <v>0</v>
      </c>
      <c r="E76" s="176">
        <v>304819</v>
      </c>
      <c r="F76" s="176">
        <v>-545585</v>
      </c>
      <c r="G76" s="23" t="str">
        <f>VLOOKUP(B76,'TB 0525'!A:A,1,0)</f>
        <v>Variable Salary Payable</v>
      </c>
    </row>
    <row r="77" spans="1:7" x14ac:dyDescent="0.35">
      <c r="A77" s="174" t="s">
        <v>552</v>
      </c>
      <c r="B77" s="175" t="str">
        <f t="shared" si="1"/>
        <v>Equities</v>
      </c>
      <c r="C77" s="24" t="s">
        <v>85</v>
      </c>
      <c r="D77" s="24" t="s">
        <v>85</v>
      </c>
      <c r="E77" s="24" t="s">
        <v>85</v>
      </c>
      <c r="F77" s="24" t="s">
        <v>85</v>
      </c>
    </row>
    <row r="78" spans="1:7" x14ac:dyDescent="0.35">
      <c r="A78" s="174" t="s">
        <v>553</v>
      </c>
      <c r="B78" s="175" t="str">
        <f t="shared" si="1"/>
        <v>Current Year Earnings</v>
      </c>
      <c r="C78" s="176">
        <v>20825066.43</v>
      </c>
      <c r="D78" s="176">
        <v>0</v>
      </c>
      <c r="E78" s="176">
        <v>0</v>
      </c>
      <c r="F78" s="176">
        <v>20825066.43</v>
      </c>
      <c r="G78" s="23" t="str">
        <f>VLOOKUP(B78,'TB 0525'!A:A,1,0)</f>
        <v>Current Year Earnings</v>
      </c>
    </row>
    <row r="79" spans="1:7" x14ac:dyDescent="0.35">
      <c r="A79" s="174" t="s">
        <v>1426</v>
      </c>
      <c r="B79" s="175" t="str">
        <f t="shared" si="1"/>
        <v>ESOP Outstanding Reserve</v>
      </c>
      <c r="C79" s="176">
        <v>-1245691</v>
      </c>
      <c r="D79" s="176">
        <v>0</v>
      </c>
      <c r="E79" s="176">
        <v>0</v>
      </c>
      <c r="F79" s="176">
        <v>-1245691</v>
      </c>
      <c r="G79" s="23" t="str">
        <f>VLOOKUP(B79,'TB 0525'!A:A,1,0)</f>
        <v>ESOP Outstanding Reserve</v>
      </c>
    </row>
    <row r="80" spans="1:7" x14ac:dyDescent="0.35">
      <c r="A80" s="174" t="s">
        <v>554</v>
      </c>
      <c r="B80" s="175" t="str">
        <f t="shared" si="1"/>
        <v>Owner's Equity</v>
      </c>
      <c r="C80" s="176">
        <v>-100000</v>
      </c>
      <c r="D80" s="176">
        <v>0</v>
      </c>
      <c r="E80" s="176">
        <v>0</v>
      </c>
      <c r="F80" s="176">
        <v>-100000</v>
      </c>
      <c r="G80" s="23" t="str">
        <f>VLOOKUP(B80,'TB 0525'!A:A,1,0)</f>
        <v>Owner's Equity</v>
      </c>
    </row>
    <row r="81" spans="1:7" x14ac:dyDescent="0.35">
      <c r="A81" s="174" t="s">
        <v>683</v>
      </c>
      <c r="B81" s="175" t="str">
        <f t="shared" si="1"/>
        <v>Elevation Capital III Limited ESC</v>
      </c>
      <c r="C81" s="176">
        <v>-10</v>
      </c>
      <c r="D81" s="176">
        <v>0</v>
      </c>
      <c r="E81" s="176">
        <v>0</v>
      </c>
      <c r="F81" s="176">
        <v>-10</v>
      </c>
      <c r="G81" s="23" t="str">
        <f>VLOOKUP(B81,'TB 0525'!A:A,1,0)</f>
        <v>Elevation Capital III Limited ESC</v>
      </c>
    </row>
    <row r="82" spans="1:7" x14ac:dyDescent="0.35">
      <c r="A82" s="174" t="s">
        <v>684</v>
      </c>
      <c r="B82" s="175" t="str">
        <f t="shared" si="1"/>
        <v>Elevation Capital III Limited PSC</v>
      </c>
      <c r="C82" s="176">
        <v>-4091400</v>
      </c>
      <c r="D82" s="176">
        <v>0</v>
      </c>
      <c r="E82" s="176">
        <v>0</v>
      </c>
      <c r="F82" s="176">
        <v>-4091400</v>
      </c>
      <c r="G82" s="23" t="str">
        <f>VLOOKUP(B82,'TB 0525'!A:A,1,0)</f>
        <v>Elevation Capital III Limited PSC</v>
      </c>
    </row>
    <row r="83" spans="1:7" x14ac:dyDescent="0.35">
      <c r="A83" s="174" t="s">
        <v>685</v>
      </c>
      <c r="B83" s="175" t="str">
        <f t="shared" si="1"/>
        <v>Gaurav Munjal</v>
      </c>
      <c r="C83" s="176">
        <v>-10800</v>
      </c>
      <c r="D83" s="176">
        <v>0</v>
      </c>
      <c r="E83" s="176">
        <v>0</v>
      </c>
      <c r="F83" s="176">
        <v>-10800</v>
      </c>
      <c r="G83" s="23" t="str">
        <f>VLOOKUP(B83,'TB 0525'!A:A,1,0)</f>
        <v>Gaurav Munjal</v>
      </c>
    </row>
    <row r="84" spans="1:7" x14ac:dyDescent="0.35">
      <c r="A84" s="174" t="s">
        <v>555</v>
      </c>
      <c r="B84" s="175" t="str">
        <f t="shared" si="1"/>
        <v>Nexus Ventures VII Holdings LLC ESC</v>
      </c>
      <c r="C84" s="176">
        <v>-10</v>
      </c>
      <c r="D84" s="176">
        <v>0</v>
      </c>
      <c r="E84" s="176">
        <v>0</v>
      </c>
      <c r="F84" s="176">
        <v>-10</v>
      </c>
      <c r="G84" s="23" t="str">
        <f>VLOOKUP(B84,'TB 0525'!A:A,1,0)</f>
        <v>Nexus Ventures VII Holdings LLC ESC</v>
      </c>
    </row>
    <row r="85" spans="1:7" x14ac:dyDescent="0.35">
      <c r="A85" s="174" t="s">
        <v>556</v>
      </c>
      <c r="B85" s="175" t="str">
        <f t="shared" si="1"/>
        <v>Nexus Ventures VII Holdings LLC PSC</v>
      </c>
      <c r="C85" s="176">
        <v>-5126000</v>
      </c>
      <c r="D85" s="176">
        <v>0</v>
      </c>
      <c r="E85" s="176">
        <v>0</v>
      </c>
      <c r="F85" s="176">
        <v>-5126000</v>
      </c>
      <c r="G85" s="23" t="str">
        <f>VLOOKUP(B85,'TB 0525'!A:A,1,0)</f>
        <v>Nexus Ventures VII Holdings LLC PSC</v>
      </c>
    </row>
    <row r="86" spans="1:7" x14ac:dyDescent="0.35">
      <c r="A86" s="174" t="s">
        <v>686</v>
      </c>
      <c r="B86" s="175" t="str">
        <f t="shared" si="1"/>
        <v>Niraj Singh</v>
      </c>
      <c r="C86" s="176">
        <v>-16200</v>
      </c>
      <c r="D86" s="176">
        <v>0</v>
      </c>
      <c r="E86" s="176">
        <v>0</v>
      </c>
      <c r="F86" s="176">
        <v>-16200</v>
      </c>
      <c r="G86" s="23" t="str">
        <f>VLOOKUP(B86,'TB 0525'!A:A,1,0)</f>
        <v>Niraj Singh</v>
      </c>
    </row>
    <row r="87" spans="1:7" x14ac:dyDescent="0.35">
      <c r="A87" s="174" t="s">
        <v>687</v>
      </c>
      <c r="B87" s="175" t="str">
        <f t="shared" si="1"/>
        <v>Pranav Goenka</v>
      </c>
      <c r="C87" s="176">
        <v>-5400</v>
      </c>
      <c r="D87" s="176">
        <v>0</v>
      </c>
      <c r="E87" s="176">
        <v>0</v>
      </c>
      <c r="F87" s="176">
        <v>-5400</v>
      </c>
      <c r="G87" s="23" t="str">
        <f>VLOOKUP(B87,'TB 0525'!A:A,1,0)</f>
        <v>Pranav Goenka</v>
      </c>
    </row>
    <row r="88" spans="1:7" x14ac:dyDescent="0.35">
      <c r="A88" s="174" t="s">
        <v>688</v>
      </c>
      <c r="B88" s="175" t="str">
        <f t="shared" si="1"/>
        <v>Sanjeev Kumar</v>
      </c>
      <c r="C88" s="176">
        <v>-37800</v>
      </c>
      <c r="D88" s="176">
        <v>0</v>
      </c>
      <c r="E88" s="176">
        <v>0</v>
      </c>
      <c r="F88" s="176">
        <v>-37800</v>
      </c>
      <c r="G88" s="23" t="str">
        <f>VLOOKUP(B88,'TB 0525'!A:A,1,0)</f>
        <v>Sanjeev Kumar</v>
      </c>
    </row>
    <row r="89" spans="1:7" x14ac:dyDescent="0.35">
      <c r="A89" s="174" t="s">
        <v>557</v>
      </c>
      <c r="B89" s="175" t="str">
        <f t="shared" si="1"/>
        <v>Securities Premium</v>
      </c>
      <c r="C89" s="176">
        <v>-545637669.75999999</v>
      </c>
      <c r="D89" s="176">
        <v>0</v>
      </c>
      <c r="E89" s="176">
        <v>0</v>
      </c>
      <c r="F89" s="176">
        <v>-545637669.75999999</v>
      </c>
      <c r="G89" s="23" t="str">
        <f>VLOOKUP(B89,'TB 0525'!A:A,1,0)</f>
        <v>Securities Premium</v>
      </c>
    </row>
    <row r="90" spans="1:7" x14ac:dyDescent="0.35">
      <c r="A90" s="174" t="s">
        <v>689</v>
      </c>
      <c r="B90" s="175" t="str">
        <f t="shared" si="1"/>
        <v>Shantam Jain</v>
      </c>
      <c r="C90" s="176">
        <v>-5400</v>
      </c>
      <c r="D90" s="176">
        <v>0</v>
      </c>
      <c r="E90" s="176">
        <v>0</v>
      </c>
      <c r="F90" s="176">
        <v>-5400</v>
      </c>
      <c r="G90" s="23" t="str">
        <f>VLOOKUP(B90,'TB 0525'!A:A,1,0)</f>
        <v>Shantam Jain</v>
      </c>
    </row>
    <row r="91" spans="1:7" x14ac:dyDescent="0.35">
      <c r="A91" s="174" t="s">
        <v>690</v>
      </c>
      <c r="B91" s="175" t="str">
        <f t="shared" si="1"/>
        <v>Siddhartha Kochar</v>
      </c>
      <c r="C91" s="176">
        <v>-5400</v>
      </c>
      <c r="D91" s="176">
        <v>0</v>
      </c>
      <c r="E91" s="176">
        <v>0</v>
      </c>
      <c r="F91" s="176">
        <v>-5400</v>
      </c>
      <c r="G91" s="23" t="str">
        <f>VLOOKUP(B91,'TB 0525'!A:A,1,0)</f>
        <v>Siddhartha Kochar</v>
      </c>
    </row>
    <row r="92" spans="1:7" x14ac:dyDescent="0.35">
      <c r="A92" s="174" t="s">
        <v>691</v>
      </c>
      <c r="B92" s="175" t="str">
        <f t="shared" si="1"/>
        <v>Unnat SK Bajoria</v>
      </c>
      <c r="C92" s="176">
        <v>-5400</v>
      </c>
      <c r="D92" s="176">
        <v>0</v>
      </c>
      <c r="E92" s="176">
        <v>0</v>
      </c>
      <c r="F92" s="176">
        <v>-5400</v>
      </c>
      <c r="G92" s="23" t="str">
        <f>VLOOKUP(B92,'TB 0525'!A:A,1,0)</f>
        <v>Unnat SK Bajoria</v>
      </c>
    </row>
    <row r="93" spans="1:7" x14ac:dyDescent="0.35">
      <c r="A93" s="174" t="s">
        <v>692</v>
      </c>
      <c r="B93" s="175" t="str">
        <f t="shared" si="1"/>
        <v>Vidit Aatrey</v>
      </c>
      <c r="C93" s="176">
        <v>-37800</v>
      </c>
      <c r="D93" s="176">
        <v>0</v>
      </c>
      <c r="E93" s="176">
        <v>0</v>
      </c>
      <c r="F93" s="176">
        <v>-37800</v>
      </c>
      <c r="G93" s="23" t="str">
        <f>VLOOKUP(B93,'TB 0525'!A:A,1,0)</f>
        <v>Vidit Aatrey</v>
      </c>
    </row>
    <row r="94" spans="1:7" ht="15.5" x14ac:dyDescent="0.35">
      <c r="A94" s="177" t="s">
        <v>558</v>
      </c>
      <c r="B94" s="175" t="str">
        <f t="shared" si="1"/>
        <v>Total for Owner's Equity</v>
      </c>
      <c r="C94" s="178">
        <v>-555079289.75999999</v>
      </c>
      <c r="D94" s="178">
        <v>0</v>
      </c>
      <c r="E94" s="178">
        <v>0</v>
      </c>
      <c r="F94" s="178">
        <v>-555079289.75999999</v>
      </c>
    </row>
    <row r="95" spans="1:7" x14ac:dyDescent="0.35">
      <c r="B95" s="175" t="str">
        <f t="shared" si="1"/>
        <v/>
      </c>
      <c r="C95" s="24"/>
      <c r="D95" s="24"/>
      <c r="E95" s="24"/>
      <c r="F95" s="24"/>
    </row>
    <row r="96" spans="1:7" x14ac:dyDescent="0.35">
      <c r="A96" s="174" t="s">
        <v>559</v>
      </c>
      <c r="B96" s="175" t="str">
        <f t="shared" si="1"/>
        <v>Retained Earnings</v>
      </c>
      <c r="C96" s="176">
        <v>58903866.530000001</v>
      </c>
      <c r="D96" s="176">
        <v>0</v>
      </c>
      <c r="E96" s="176">
        <v>0</v>
      </c>
      <c r="F96" s="176">
        <v>58903866.530000001</v>
      </c>
      <c r="G96" s="23" t="str">
        <f>VLOOKUP(B96,'TB 0525'!A:A,1,0)</f>
        <v>Retained Earnings</v>
      </c>
    </row>
    <row r="97" spans="1:7" x14ac:dyDescent="0.35">
      <c r="A97" s="174" t="s">
        <v>467</v>
      </c>
      <c r="B97" s="175" t="str">
        <f t="shared" si="1"/>
        <v>Income</v>
      </c>
      <c r="C97" s="24" t="s">
        <v>85</v>
      </c>
      <c r="D97" s="24" t="s">
        <v>85</v>
      </c>
      <c r="E97" s="24" t="s">
        <v>85</v>
      </c>
      <c r="F97" s="24" t="s">
        <v>85</v>
      </c>
    </row>
    <row r="98" spans="1:7" x14ac:dyDescent="0.35">
      <c r="A98" s="174" t="s">
        <v>468</v>
      </c>
      <c r="B98" s="175" t="str">
        <f t="shared" si="1"/>
        <v>Convenience and Platform Fee</v>
      </c>
      <c r="C98" s="24">
        <v>0</v>
      </c>
      <c r="D98" s="24">
        <v>416564</v>
      </c>
      <c r="E98" s="24">
        <v>2625652.7599999998</v>
      </c>
      <c r="F98" s="24">
        <v>-2209088.7599999998</v>
      </c>
      <c r="G98" s="23" t="str">
        <f>VLOOKUP(B98,'TB 0525'!A:A,1,0)</f>
        <v>Convenience and Platform Fee</v>
      </c>
    </row>
    <row r="99" spans="1:7" x14ac:dyDescent="0.35">
      <c r="A99" s="174" t="s">
        <v>469</v>
      </c>
      <c r="B99" s="175" t="str">
        <f t="shared" si="1"/>
        <v>Discount</v>
      </c>
      <c r="C99" s="24">
        <v>0</v>
      </c>
      <c r="D99" s="24">
        <v>3364689</v>
      </c>
      <c r="E99" s="24">
        <v>0</v>
      </c>
      <c r="F99" s="24">
        <v>3364689</v>
      </c>
      <c r="G99" s="23" t="str">
        <f>VLOOKUP(B99,'TB 0525'!A:A,1,0)</f>
        <v>Discount</v>
      </c>
    </row>
    <row r="100" spans="1:7" x14ac:dyDescent="0.35">
      <c r="A100" s="174" t="s">
        <v>470</v>
      </c>
      <c r="B100" s="175" t="str">
        <f t="shared" si="1"/>
        <v>FD Interest Income</v>
      </c>
      <c r="C100" s="176">
        <v>0</v>
      </c>
      <c r="D100" s="176">
        <v>6848864</v>
      </c>
      <c r="E100" s="176">
        <v>9401925.3000000007</v>
      </c>
      <c r="F100" s="176">
        <v>-2553061.2999999998</v>
      </c>
      <c r="G100" s="23" t="str">
        <f>VLOOKUP(B100,'TB 0525'!A:A,1,0)</f>
        <v>FD Interest Income</v>
      </c>
    </row>
    <row r="101" spans="1:7" x14ac:dyDescent="0.35">
      <c r="A101" s="174" t="s">
        <v>471</v>
      </c>
      <c r="B101" s="175" t="str">
        <f t="shared" si="1"/>
        <v>Maestro Revenue</v>
      </c>
      <c r="C101" s="187">
        <v>0</v>
      </c>
      <c r="D101" s="187">
        <v>0</v>
      </c>
      <c r="E101" s="187">
        <v>5610576.1900000004</v>
      </c>
      <c r="F101" s="187">
        <v>-5610576.1900000004</v>
      </c>
      <c r="G101" s="23" t="str">
        <f>VLOOKUP(B101,'TB 0525'!A:A,1,0)</f>
        <v>Maestro Revenue</v>
      </c>
    </row>
    <row r="102" spans="1:7" x14ac:dyDescent="0.35">
      <c r="A102" s="174" t="s">
        <v>472</v>
      </c>
      <c r="B102" s="175" t="str">
        <f t="shared" si="1"/>
        <v>Expense</v>
      </c>
      <c r="C102" s="24" t="s">
        <v>85</v>
      </c>
      <c r="D102" s="24" t="s">
        <v>85</v>
      </c>
      <c r="E102" s="24" t="s">
        <v>85</v>
      </c>
      <c r="F102" s="24" t="s">
        <v>85</v>
      </c>
    </row>
    <row r="103" spans="1:7" x14ac:dyDescent="0.35">
      <c r="A103" s="174" t="s">
        <v>473</v>
      </c>
      <c r="B103" s="175" t="str">
        <f t="shared" si="1"/>
        <v>Accounting Services</v>
      </c>
      <c r="C103" s="176">
        <v>0</v>
      </c>
      <c r="D103" s="176">
        <v>70000</v>
      </c>
      <c r="E103" s="176">
        <v>0</v>
      </c>
      <c r="F103" s="176">
        <v>70000</v>
      </c>
      <c r="G103" s="23" t="str">
        <f>VLOOKUP(B103,'TB 0525'!A:A,1,0)</f>
        <v>Accounting Services</v>
      </c>
    </row>
    <row r="104" spans="1:7" x14ac:dyDescent="0.35">
      <c r="A104" s="174" t="s">
        <v>964</v>
      </c>
      <c r="B104" s="175" t="str">
        <f t="shared" si="1"/>
        <v>Advertising And Marketing</v>
      </c>
      <c r="C104" s="176">
        <v>0</v>
      </c>
      <c r="D104" s="176">
        <v>83000</v>
      </c>
      <c r="E104" s="176">
        <v>0</v>
      </c>
      <c r="F104" s="176">
        <v>83000</v>
      </c>
      <c r="G104" s="23" t="str">
        <f>VLOOKUP(B104,'TB 0525'!A:A,1,0)</f>
        <v>Advertising And Marketing</v>
      </c>
    </row>
    <row r="105" spans="1:7" x14ac:dyDescent="0.35">
      <c r="A105" s="174" t="s">
        <v>474</v>
      </c>
      <c r="B105" s="175" t="str">
        <f t="shared" si="1"/>
        <v>Bank Fees and Charges</v>
      </c>
      <c r="C105" s="176">
        <v>0</v>
      </c>
      <c r="D105" s="176">
        <v>118</v>
      </c>
      <c r="E105" s="176">
        <v>0</v>
      </c>
      <c r="F105" s="176">
        <v>118</v>
      </c>
      <c r="G105" s="23" t="str">
        <f>VLOOKUP(B105,'TB 0525'!A:A,1,0)</f>
        <v>Bank Fees and Charges</v>
      </c>
    </row>
    <row r="106" spans="1:7" x14ac:dyDescent="0.35">
      <c r="A106" s="174" t="s">
        <v>475</v>
      </c>
      <c r="B106" s="175" t="str">
        <f t="shared" si="1"/>
        <v>Branding Expense</v>
      </c>
      <c r="C106" s="176">
        <v>0</v>
      </c>
      <c r="D106" s="176">
        <v>395000</v>
      </c>
      <c r="E106" s="176">
        <v>0</v>
      </c>
      <c r="F106" s="176">
        <v>395000</v>
      </c>
      <c r="G106" s="23" t="str">
        <f>VLOOKUP(B106,'TB 0525'!A:A,1,0)</f>
        <v>Branding Expense</v>
      </c>
    </row>
    <row r="107" spans="1:7" x14ac:dyDescent="0.35">
      <c r="A107" s="174" t="s">
        <v>726</v>
      </c>
      <c r="B107" s="175" t="str">
        <f t="shared" si="1"/>
        <v>Brokerage Charges</v>
      </c>
      <c r="C107" s="176">
        <v>0</v>
      </c>
      <c r="D107" s="176">
        <v>213200</v>
      </c>
      <c r="E107" s="176">
        <v>0</v>
      </c>
      <c r="F107" s="176">
        <v>213200</v>
      </c>
      <c r="G107" s="23" t="str">
        <f>VLOOKUP(B107,'TB 0525'!A:A,1,0)</f>
        <v>Brokerage Charges</v>
      </c>
    </row>
    <row r="108" spans="1:7" x14ac:dyDescent="0.35">
      <c r="A108" s="174" t="s">
        <v>476</v>
      </c>
      <c r="B108" s="175" t="str">
        <f t="shared" si="1"/>
        <v>Customer Acquisition Cost</v>
      </c>
      <c r="C108" s="176">
        <v>0</v>
      </c>
      <c r="D108" s="176">
        <v>2922065.21</v>
      </c>
      <c r="E108" s="176">
        <v>0</v>
      </c>
      <c r="F108" s="176">
        <v>2922065.21</v>
      </c>
      <c r="G108" s="23" t="str">
        <f>VLOOKUP(B108,'TB 0525'!A:A,1,0)</f>
        <v>Customer Acquisition Cost</v>
      </c>
    </row>
    <row r="109" spans="1:7" x14ac:dyDescent="0.35">
      <c r="A109" s="174" t="s">
        <v>636</v>
      </c>
      <c r="B109" s="175" t="str">
        <f t="shared" si="1"/>
        <v>Customer Success Cost</v>
      </c>
      <c r="C109" s="176">
        <v>0</v>
      </c>
      <c r="D109" s="176">
        <v>3800</v>
      </c>
      <c r="E109" s="176">
        <v>0</v>
      </c>
      <c r="F109" s="176">
        <v>3800</v>
      </c>
      <c r="G109" s="23" t="str">
        <f>VLOOKUP(B109,'TB 0525'!A:A,1,0)</f>
        <v>Customer Success Cost</v>
      </c>
    </row>
    <row r="110" spans="1:7" x14ac:dyDescent="0.35">
      <c r="A110" s="174" t="s">
        <v>477</v>
      </c>
      <c r="B110" s="175" t="str">
        <f t="shared" si="1"/>
        <v>Depreciation and Amortization</v>
      </c>
      <c r="C110" s="176">
        <v>0</v>
      </c>
      <c r="D110" s="176">
        <v>266902.96000000002</v>
      </c>
      <c r="E110" s="176">
        <v>0</v>
      </c>
      <c r="F110" s="176">
        <v>266902.96000000002</v>
      </c>
      <c r="G110" s="23" t="str">
        <f>VLOOKUP(B110,'TB 0525'!A:A,1,0)</f>
        <v>Depreciation and Amortization</v>
      </c>
    </row>
    <row r="111" spans="1:7" x14ac:dyDescent="0.35">
      <c r="A111" s="174" t="s">
        <v>646</v>
      </c>
      <c r="B111" s="175" t="str">
        <f t="shared" si="1"/>
        <v>Electricity Expense</v>
      </c>
      <c r="C111" s="176">
        <v>0</v>
      </c>
      <c r="D111" s="176">
        <v>553.20000000000005</v>
      </c>
      <c r="E111" s="176">
        <v>0</v>
      </c>
      <c r="F111" s="176">
        <v>553.20000000000005</v>
      </c>
      <c r="G111" s="23" t="str">
        <f>VLOOKUP(B111,'TB 0525'!A:A,1,0)</f>
        <v>Electricity Expense</v>
      </c>
    </row>
    <row r="112" spans="1:7" x14ac:dyDescent="0.35">
      <c r="A112" s="174" t="s">
        <v>478</v>
      </c>
      <c r="B112" s="175" t="str">
        <f t="shared" si="1"/>
        <v>Employee Benefit Expense</v>
      </c>
      <c r="C112" s="176">
        <v>0</v>
      </c>
      <c r="D112" s="176">
        <v>0</v>
      </c>
      <c r="E112" s="176">
        <v>0</v>
      </c>
      <c r="F112" s="176">
        <v>0</v>
      </c>
    </row>
    <row r="113" spans="1:7" x14ac:dyDescent="0.35">
      <c r="A113" s="174" t="s">
        <v>767</v>
      </c>
      <c r="B113" s="175" t="str">
        <f t="shared" si="1"/>
        <v>Employer ESI Expense</v>
      </c>
      <c r="C113" s="176">
        <v>0</v>
      </c>
      <c r="D113" s="176">
        <v>4181</v>
      </c>
      <c r="E113" s="176">
        <v>0</v>
      </c>
      <c r="F113" s="176">
        <v>4181</v>
      </c>
      <c r="G113" s="23" t="str">
        <f>VLOOKUP(B113,'TB 0525'!A:A,1,0)</f>
        <v>Employer ESI Expense</v>
      </c>
    </row>
    <row r="114" spans="1:7" x14ac:dyDescent="0.35">
      <c r="A114" s="174" t="s">
        <v>479</v>
      </c>
      <c r="B114" s="175" t="str">
        <f t="shared" si="1"/>
        <v>Employer PF Expense</v>
      </c>
      <c r="C114" s="176">
        <v>0</v>
      </c>
      <c r="D114" s="176">
        <v>385113</v>
      </c>
      <c r="E114" s="176">
        <v>0</v>
      </c>
      <c r="F114" s="176">
        <v>385113</v>
      </c>
      <c r="G114" s="23" t="str">
        <f>VLOOKUP(B114,'TB 0525'!A:A,1,0)</f>
        <v>Employer PF Expense</v>
      </c>
    </row>
    <row r="115" spans="1:7" x14ac:dyDescent="0.35">
      <c r="A115" s="174" t="s">
        <v>480</v>
      </c>
      <c r="B115" s="175" t="str">
        <f t="shared" si="1"/>
        <v>PF Admin Expense</v>
      </c>
      <c r="C115" s="176">
        <v>0</v>
      </c>
      <c r="D115" s="176">
        <v>24228</v>
      </c>
      <c r="E115" s="176">
        <v>0</v>
      </c>
      <c r="F115" s="176">
        <v>24228</v>
      </c>
      <c r="G115" s="23" t="str">
        <f>VLOOKUP(B115,'TB 0525'!A:A,1,0)</f>
        <v>PF Admin Expense</v>
      </c>
    </row>
    <row r="116" spans="1:7" x14ac:dyDescent="0.35">
      <c r="A116" s="174" t="s">
        <v>481</v>
      </c>
      <c r="B116" s="175" t="str">
        <f t="shared" si="1"/>
        <v>Staff Welfare Expense</v>
      </c>
      <c r="C116" s="176">
        <v>0</v>
      </c>
      <c r="D116" s="176">
        <v>894725.08</v>
      </c>
      <c r="E116" s="176">
        <v>143468.57999999999</v>
      </c>
      <c r="F116" s="176">
        <v>751256.5</v>
      </c>
      <c r="G116" s="23" t="str">
        <f>VLOOKUP(B116,'TB 0525'!A:A,1,0)</f>
        <v>Staff Welfare Expense</v>
      </c>
    </row>
    <row r="117" spans="1:7" x14ac:dyDescent="0.35">
      <c r="A117" s="174" t="s">
        <v>1201</v>
      </c>
      <c r="B117" s="175" t="str">
        <f t="shared" si="1"/>
        <v>Varaible Salary</v>
      </c>
      <c r="C117" s="176">
        <v>0</v>
      </c>
      <c r="D117" s="176">
        <v>304819</v>
      </c>
      <c r="E117" s="176">
        <v>0</v>
      </c>
      <c r="F117" s="176">
        <v>304819</v>
      </c>
      <c r="G117" s="23" t="str">
        <f>VLOOKUP(B117,'TB 0525'!A:A,1,0)</f>
        <v>Varaible Salary</v>
      </c>
    </row>
    <row r="118" spans="1:7" ht="15.5" x14ac:dyDescent="0.35">
      <c r="A118" s="177" t="s">
        <v>483</v>
      </c>
      <c r="B118" s="175" t="str">
        <f t="shared" si="1"/>
        <v>Total for Employee Benefit Expense</v>
      </c>
      <c r="C118" s="178">
        <v>0</v>
      </c>
      <c r="D118" s="178">
        <v>1613066.08</v>
      </c>
      <c r="E118" s="178">
        <v>143468.57999999999</v>
      </c>
      <c r="F118" s="178">
        <v>1469597.5</v>
      </c>
    </row>
    <row r="119" spans="1:7" x14ac:dyDescent="0.35">
      <c r="B119" s="175" t="str">
        <f t="shared" si="1"/>
        <v/>
      </c>
      <c r="C119" s="24"/>
      <c r="D119" s="24"/>
      <c r="E119" s="24"/>
      <c r="F119" s="24"/>
    </row>
    <row r="120" spans="1:7" x14ac:dyDescent="0.35">
      <c r="A120" s="174" t="s">
        <v>965</v>
      </c>
      <c r="B120" s="175" t="str">
        <f t="shared" si="1"/>
        <v>Employee Cost</v>
      </c>
      <c r="C120" s="176">
        <v>0</v>
      </c>
      <c r="D120" s="176">
        <v>20400</v>
      </c>
      <c r="E120" s="176">
        <v>0</v>
      </c>
      <c r="F120" s="176">
        <v>20400</v>
      </c>
      <c r="G120" s="23" t="str">
        <f>VLOOKUP(B120,'TB 0525'!A:A,1,0)</f>
        <v>Employee Cost</v>
      </c>
    </row>
    <row r="121" spans="1:7" x14ac:dyDescent="0.35">
      <c r="A121" s="174" t="s">
        <v>758</v>
      </c>
      <c r="B121" s="175" t="str">
        <f t="shared" si="1"/>
        <v>Expert Retention Bonus</v>
      </c>
      <c r="C121" s="176">
        <v>0</v>
      </c>
      <c r="D121" s="176">
        <v>585000</v>
      </c>
      <c r="E121" s="176">
        <v>0</v>
      </c>
      <c r="F121" s="176">
        <v>585000</v>
      </c>
      <c r="G121" s="23" t="str">
        <f>VLOOKUP(B121,'TB 0525'!A:A,1,0)</f>
        <v>Expert Retention Bonus</v>
      </c>
    </row>
    <row r="122" spans="1:7" x14ac:dyDescent="0.35">
      <c r="A122" s="174" t="s">
        <v>768</v>
      </c>
      <c r="B122" s="175" t="str">
        <f t="shared" si="1"/>
        <v>Expert Welfare Cost</v>
      </c>
      <c r="C122" s="176">
        <v>0</v>
      </c>
      <c r="D122" s="176">
        <v>446420.92</v>
      </c>
      <c r="E122" s="176">
        <v>0</v>
      </c>
      <c r="F122" s="176">
        <v>446420.92</v>
      </c>
      <c r="G122" s="23" t="str">
        <f>VLOOKUP(B122,'TB 0525'!A:A,1,0)</f>
        <v>Expert Welfare Cost</v>
      </c>
    </row>
    <row r="123" spans="1:7" x14ac:dyDescent="0.35">
      <c r="A123" s="174" t="s">
        <v>484</v>
      </c>
      <c r="B123" s="175" t="str">
        <f t="shared" si="1"/>
        <v>Fund Raising Expense</v>
      </c>
      <c r="C123" s="176">
        <v>0</v>
      </c>
      <c r="D123" s="176">
        <v>148500</v>
      </c>
      <c r="E123" s="176">
        <v>0</v>
      </c>
      <c r="F123" s="176">
        <v>148500</v>
      </c>
      <c r="G123" s="23" t="str">
        <f>VLOOKUP(B123,'TB 0525'!A:A,1,0)</f>
        <v>Fund Raising Expense</v>
      </c>
    </row>
    <row r="124" spans="1:7" x14ac:dyDescent="0.35">
      <c r="A124" s="174" t="s">
        <v>855</v>
      </c>
      <c r="B124" s="175" t="str">
        <f t="shared" si="1"/>
        <v>Hood Rent Expense</v>
      </c>
      <c r="C124" s="176">
        <v>0</v>
      </c>
      <c r="D124" s="176">
        <v>123366</v>
      </c>
      <c r="E124" s="176">
        <v>10000</v>
      </c>
      <c r="F124" s="176">
        <v>113366</v>
      </c>
      <c r="G124" s="23" t="str">
        <f>VLOOKUP(B124,'TB 0525'!A:A,1,0)</f>
        <v>Hood Rent Expense</v>
      </c>
    </row>
    <row r="125" spans="1:7" x14ac:dyDescent="0.35">
      <c r="A125" s="174" t="s">
        <v>769</v>
      </c>
      <c r="B125" s="175" t="str">
        <f t="shared" si="1"/>
        <v>Hotspot Rent Expense</v>
      </c>
      <c r="C125" s="176">
        <v>0</v>
      </c>
      <c r="D125" s="176">
        <v>15000</v>
      </c>
      <c r="E125" s="176">
        <v>0</v>
      </c>
      <c r="F125" s="176">
        <v>15000</v>
      </c>
      <c r="G125" s="23" t="str">
        <f>VLOOKUP(B125,'TB 0525'!A:A,1,0)</f>
        <v>Hotspot Rent Expense</v>
      </c>
    </row>
    <row r="126" spans="1:7" x14ac:dyDescent="0.35">
      <c r="A126" s="174" t="s">
        <v>618</v>
      </c>
      <c r="B126" s="175" t="str">
        <f t="shared" si="1"/>
        <v>New User Discount</v>
      </c>
      <c r="C126" s="176">
        <v>0</v>
      </c>
      <c r="D126" s="176">
        <v>218169</v>
      </c>
      <c r="E126" s="176">
        <v>0</v>
      </c>
      <c r="F126" s="176">
        <v>218169</v>
      </c>
      <c r="G126" s="23" t="str">
        <f>VLOOKUP(B126,'TB 0525'!A:A,1,0)</f>
        <v>New User Discount</v>
      </c>
    </row>
    <row r="127" spans="1:7" x14ac:dyDescent="0.35">
      <c r="A127" s="174" t="s">
        <v>486</v>
      </c>
      <c r="B127" s="175" t="str">
        <f t="shared" si="1"/>
        <v>Office and Admin Expense</v>
      </c>
      <c r="C127" s="176">
        <v>0</v>
      </c>
      <c r="D127" s="176">
        <v>111168.44</v>
      </c>
      <c r="E127" s="176">
        <v>1516.02</v>
      </c>
      <c r="F127" s="176">
        <v>109652.42</v>
      </c>
      <c r="G127" s="23" t="str">
        <f>VLOOKUP(B127,'TB 0525'!A:A,1,0)</f>
        <v>Office and Admin Expense</v>
      </c>
    </row>
    <row r="128" spans="1:7" x14ac:dyDescent="0.35">
      <c r="A128" s="174" t="s">
        <v>487</v>
      </c>
      <c r="B128" s="175" t="str">
        <f t="shared" si="1"/>
        <v>Office Rent Expense</v>
      </c>
      <c r="C128" s="176">
        <v>0</v>
      </c>
      <c r="D128" s="176">
        <v>686661.08</v>
      </c>
      <c r="E128" s="176">
        <v>0</v>
      </c>
      <c r="F128" s="176">
        <v>686661.08</v>
      </c>
      <c r="G128" s="23" t="str">
        <f>VLOOKUP(B128,'TB 0525'!A:A,1,0)</f>
        <v>Office Rent Expense</v>
      </c>
    </row>
    <row r="129" spans="1:7" x14ac:dyDescent="0.35">
      <c r="A129" s="174" t="s">
        <v>966</v>
      </c>
      <c r="B129" s="175" t="str">
        <f t="shared" si="1"/>
        <v>Office Supplies</v>
      </c>
      <c r="C129" s="176">
        <v>0</v>
      </c>
      <c r="D129" s="176">
        <v>2881.36</v>
      </c>
      <c r="E129" s="176">
        <v>0</v>
      </c>
      <c r="F129" s="176">
        <v>2881.36</v>
      </c>
      <c r="G129" s="23" t="str">
        <f>VLOOKUP(B129,'TB 0525'!A:A,1,0)</f>
        <v>Office Supplies</v>
      </c>
    </row>
    <row r="130" spans="1:7" x14ac:dyDescent="0.35">
      <c r="A130" s="174" t="s">
        <v>956</v>
      </c>
      <c r="B130" s="175" t="str">
        <f t="shared" si="1"/>
        <v>Operational Expense</v>
      </c>
      <c r="C130" s="176">
        <v>0</v>
      </c>
      <c r="D130" s="176">
        <v>327327.15000000002</v>
      </c>
      <c r="E130" s="176">
        <v>0</v>
      </c>
      <c r="F130" s="176">
        <v>327327.15000000002</v>
      </c>
      <c r="G130" s="23" t="str">
        <f>VLOOKUP(B130,'TB 0525'!A:A,1,0)</f>
        <v>Operational Expense</v>
      </c>
    </row>
    <row r="131" spans="1:7" x14ac:dyDescent="0.35">
      <c r="A131" s="174" t="s">
        <v>488</v>
      </c>
      <c r="B131" s="175" t="str">
        <f t="shared" si="1"/>
        <v>Other Cost</v>
      </c>
      <c r="C131" s="176">
        <v>0</v>
      </c>
      <c r="D131" s="176">
        <v>87907.58</v>
      </c>
      <c r="E131" s="176">
        <v>348.05</v>
      </c>
      <c r="F131" s="176">
        <v>87559.53</v>
      </c>
      <c r="G131" s="23" t="str">
        <f>VLOOKUP(B131,'TB 0525'!A:A,1,0)</f>
        <v>Other Cost</v>
      </c>
    </row>
    <row r="132" spans="1:7" x14ac:dyDescent="0.35">
      <c r="A132" s="174" t="s">
        <v>489</v>
      </c>
      <c r="B132" s="175" t="str">
        <f t="shared" si="1"/>
        <v>Other Expenses</v>
      </c>
      <c r="C132" s="176">
        <v>0</v>
      </c>
      <c r="D132" s="176">
        <v>21371.73</v>
      </c>
      <c r="E132" s="176">
        <v>264.14999999999998</v>
      </c>
      <c r="F132" s="176">
        <v>21107.58</v>
      </c>
      <c r="G132" s="23" t="str">
        <f>VLOOKUP(B132,'TB 0525'!A:A,1,0)</f>
        <v>Other Expenses</v>
      </c>
    </row>
    <row r="133" spans="1:7" x14ac:dyDescent="0.35">
      <c r="A133" s="174" t="s">
        <v>560</v>
      </c>
      <c r="B133" s="175" t="str">
        <f t="shared" si="1"/>
        <v>Payment Gateway Cost</v>
      </c>
      <c r="C133" s="176">
        <v>0</v>
      </c>
      <c r="D133" s="176">
        <v>23140.03</v>
      </c>
      <c r="E133" s="176">
        <v>0</v>
      </c>
      <c r="F133" s="176">
        <v>23140.03</v>
      </c>
      <c r="G133" s="23" t="str">
        <f>VLOOKUP(B133,'TB 0525'!A:A,1,0)</f>
        <v>Payment Gateway Cost</v>
      </c>
    </row>
    <row r="134" spans="1:7" x14ac:dyDescent="0.35">
      <c r="A134" s="174" t="s">
        <v>490</v>
      </c>
      <c r="B134" s="175" t="str">
        <f t="shared" si="1"/>
        <v>Professional Fees</v>
      </c>
      <c r="C134" s="176">
        <v>0</v>
      </c>
      <c r="D134" s="176">
        <v>406280</v>
      </c>
      <c r="E134" s="176">
        <v>36280</v>
      </c>
      <c r="F134" s="176">
        <v>370000</v>
      </c>
      <c r="G134" s="23" t="str">
        <f>VLOOKUP(B134,'TB 0525'!A:A,1,0)</f>
        <v>Professional Fees</v>
      </c>
    </row>
    <row r="135" spans="1:7" x14ac:dyDescent="0.35">
      <c r="A135" s="174" t="s">
        <v>491</v>
      </c>
      <c r="B135" s="175" t="str">
        <f t="shared" si="1"/>
        <v>Rates and Taxes</v>
      </c>
      <c r="C135" s="176">
        <v>0</v>
      </c>
      <c r="D135" s="176">
        <v>14124.6</v>
      </c>
      <c r="E135" s="176">
        <v>0</v>
      </c>
      <c r="F135" s="176">
        <v>14124.6</v>
      </c>
      <c r="G135" s="23" t="str">
        <f>VLOOKUP(B135,'TB 0525'!A:A,1,0)</f>
        <v>Rates and Taxes</v>
      </c>
    </row>
    <row r="136" spans="1:7" x14ac:dyDescent="0.35">
      <c r="A136" s="174" t="s">
        <v>638</v>
      </c>
      <c r="B136" s="175" t="str">
        <f t="shared" si="1"/>
        <v>Recruitment Charges</v>
      </c>
      <c r="C136" s="176">
        <v>0</v>
      </c>
      <c r="D136" s="176">
        <v>705326</v>
      </c>
      <c r="E136" s="176">
        <v>0</v>
      </c>
      <c r="F136" s="176">
        <v>705326</v>
      </c>
      <c r="G136" s="23" t="str">
        <f>VLOOKUP(B136,'TB 0525'!A:A,1,0)</f>
        <v>Recruitment Charges</v>
      </c>
    </row>
    <row r="137" spans="1:7" x14ac:dyDescent="0.35">
      <c r="A137" s="174" t="s">
        <v>492</v>
      </c>
      <c r="B137" s="175" t="str">
        <f t="shared" si="1"/>
        <v>Salaries and Employee Wages</v>
      </c>
      <c r="C137" s="176">
        <v>0</v>
      </c>
      <c r="D137" s="176">
        <v>18303819.16</v>
      </c>
      <c r="E137" s="176">
        <v>0</v>
      </c>
      <c r="F137" s="176">
        <v>18303819.16</v>
      </c>
      <c r="G137" s="23" t="str">
        <f>VLOOKUP(B137,'TB 0525'!A:A,1,0)</f>
        <v>Salaries and Employee Wages</v>
      </c>
    </row>
    <row r="138" spans="1:7" x14ac:dyDescent="0.35">
      <c r="A138" s="174" t="s">
        <v>615</v>
      </c>
      <c r="B138" s="175" t="str">
        <f t="shared" si="1"/>
        <v>Service Cost</v>
      </c>
      <c r="C138" s="176">
        <v>0</v>
      </c>
      <c r="D138" s="176">
        <v>9094011.3399999999</v>
      </c>
      <c r="E138" s="176">
        <v>0</v>
      </c>
      <c r="F138" s="176">
        <v>9094011.3399999999</v>
      </c>
      <c r="G138" s="23" t="str">
        <f>VLOOKUP(B138,'TB 0525'!A:A,1,0)</f>
        <v>Service Cost</v>
      </c>
    </row>
    <row r="139" spans="1:7" x14ac:dyDescent="0.35">
      <c r="A139" s="174" t="s">
        <v>493</v>
      </c>
      <c r="B139" s="175" t="str">
        <f t="shared" si="1"/>
        <v>Software Expense</v>
      </c>
      <c r="C139" s="176">
        <v>0</v>
      </c>
      <c r="D139" s="176">
        <v>1383762.85</v>
      </c>
      <c r="E139" s="176">
        <v>0</v>
      </c>
      <c r="F139" s="176">
        <v>1383762.85</v>
      </c>
      <c r="G139" s="23" t="str">
        <f>VLOOKUP(B139,'TB 0525'!A:A,1,0)</f>
        <v>Software Expense</v>
      </c>
    </row>
    <row r="140" spans="1:7" x14ac:dyDescent="0.35">
      <c r="A140" s="174" t="s">
        <v>494</v>
      </c>
      <c r="B140" s="175" t="str">
        <f t="shared" si="1"/>
        <v>Sourcing and Onboarding Expense</v>
      </c>
      <c r="C140" s="176">
        <v>0</v>
      </c>
      <c r="D140" s="176">
        <v>946059</v>
      </c>
      <c r="E140" s="176">
        <v>585000</v>
      </c>
      <c r="F140" s="176">
        <v>361059</v>
      </c>
      <c r="G140" s="23" t="str">
        <f>VLOOKUP(B140,'TB 0525'!A:A,1,0)</f>
        <v>Sourcing and Onboarding Expense</v>
      </c>
    </row>
    <row r="141" spans="1:7" x14ac:dyDescent="0.35">
      <c r="A141" s="174" t="s">
        <v>495</v>
      </c>
      <c r="B141" s="175" t="str">
        <f t="shared" si="1"/>
        <v>Training Centre Expense</v>
      </c>
      <c r="C141" s="176">
        <v>0</v>
      </c>
      <c r="D141" s="176">
        <v>746895.74</v>
      </c>
      <c r="E141" s="176">
        <v>10917.04</v>
      </c>
      <c r="F141" s="176">
        <v>735978.7</v>
      </c>
      <c r="G141" s="23" t="str">
        <f>VLOOKUP(B141,'TB 0525'!A:A,1,0)</f>
        <v>Training Centre Expense</v>
      </c>
    </row>
    <row r="142" spans="1:7" x14ac:dyDescent="0.35">
      <c r="A142" s="174" t="s">
        <v>496</v>
      </c>
      <c r="B142" s="175" t="str">
        <f t="shared" si="1"/>
        <v>Training Centre Rent Expense</v>
      </c>
      <c r="C142" s="176">
        <v>0</v>
      </c>
      <c r="D142" s="176">
        <v>402000</v>
      </c>
      <c r="E142" s="176">
        <v>0</v>
      </c>
      <c r="F142" s="176">
        <v>402000</v>
      </c>
      <c r="G142" s="23" t="str">
        <f>VLOOKUP(B142,'TB 0525'!A:A,1,0)</f>
        <v>Training Centre Rent Expense</v>
      </c>
    </row>
    <row r="143" spans="1:7" x14ac:dyDescent="0.35">
      <c r="A143" s="174" t="s">
        <v>858</v>
      </c>
      <c r="B143" s="175" t="str">
        <f t="shared" si="1"/>
        <v>Travel Expense</v>
      </c>
      <c r="C143" s="176">
        <v>0</v>
      </c>
      <c r="D143" s="176">
        <v>117022.77</v>
      </c>
      <c r="E143" s="176">
        <v>10278.59</v>
      </c>
      <c r="F143" s="176">
        <v>106744.18</v>
      </c>
      <c r="G143" s="23" t="str">
        <f>VLOOKUP(B143,'TB 0525'!A:A,1,0)</f>
        <v>Travel Expense</v>
      </c>
    </row>
    <row r="144" spans="1:7" ht="15.5" x14ac:dyDescent="0.35">
      <c r="A144" s="177" t="s">
        <v>639</v>
      </c>
      <c r="B144" s="177"/>
      <c r="C144" s="178"/>
      <c r="D144" s="178">
        <v>212127209.90000001</v>
      </c>
      <c r="E144" s="178">
        <v>212127209.90000001</v>
      </c>
      <c r="F144" s="1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3</vt:i4>
      </vt:variant>
    </vt:vector>
  </HeadingPairs>
  <TitlesOfParts>
    <vt:vector size="61" baseType="lpstr">
      <vt:lpstr>Working</vt:lpstr>
      <vt:lpstr>Key Metrics</vt:lpstr>
      <vt:lpstr>RQSP Metrics</vt:lpstr>
      <vt:lpstr>Customer Cohorts - Overall </vt:lpstr>
      <vt:lpstr>Financials -&gt;</vt:lpstr>
      <vt:lpstr>MIS P&amp;L</vt:lpstr>
      <vt:lpstr>Unit Economics</vt:lpstr>
      <vt:lpstr>BS</vt:lpstr>
      <vt:lpstr>Cash Flow</vt:lpstr>
      <vt:lpstr>Raw TB 1125</vt:lpstr>
      <vt:lpstr>Raw TB 1225</vt:lpstr>
      <vt:lpstr>TB 1225</vt:lpstr>
      <vt:lpstr>TB 1125</vt:lpstr>
      <vt:lpstr>Raw TB 1025</vt:lpstr>
      <vt:lpstr>TB 1025</vt:lpstr>
      <vt:lpstr>Cash Flow </vt:lpstr>
      <vt:lpstr>Manpower - HO</vt:lpstr>
      <vt:lpstr>Raw Aug</vt:lpstr>
      <vt:lpstr>TB 0825</vt:lpstr>
      <vt:lpstr>Raw Sep</vt:lpstr>
      <vt:lpstr>TB 0925</vt:lpstr>
      <vt:lpstr>NTA</vt:lpstr>
      <vt:lpstr>Powai - MIS P&amp;L - Old</vt:lpstr>
      <vt:lpstr>Sarjapur - MIS P&amp;L </vt:lpstr>
      <vt:lpstr>OCF Analysis</vt:lpstr>
      <vt:lpstr>Raw July</vt:lpstr>
      <vt:lpstr>TB 0725</vt:lpstr>
      <vt:lpstr>Raw June</vt:lpstr>
      <vt:lpstr>TB 0625</vt:lpstr>
      <vt:lpstr>Employee Expenses</vt:lpstr>
      <vt:lpstr>Manpower - UE</vt:lpstr>
      <vt:lpstr>Plan -&gt;</vt:lpstr>
      <vt:lpstr>AMJ QOP</vt:lpstr>
      <vt:lpstr>Zoho P&amp;L</vt:lpstr>
      <vt:lpstr>Raw</vt:lpstr>
      <vt:lpstr>Raw TB</vt:lpstr>
      <vt:lpstr>TB March 24</vt:lpstr>
      <vt:lpstr>Trial Balance</vt:lpstr>
      <vt:lpstr>TB 0424</vt:lpstr>
      <vt:lpstr>TB 0524</vt:lpstr>
      <vt:lpstr>TB 0624</vt:lpstr>
      <vt:lpstr>TB 0724</vt:lpstr>
      <vt:lpstr>TB 0824</vt:lpstr>
      <vt:lpstr>TB 0924</vt:lpstr>
      <vt:lpstr>TB 1024</vt:lpstr>
      <vt:lpstr>TB 1124</vt:lpstr>
      <vt:lpstr>TB 1224</vt:lpstr>
      <vt:lpstr>Raw Dec</vt:lpstr>
      <vt:lpstr>TB 0125</vt:lpstr>
      <vt:lpstr>Raw Jan</vt:lpstr>
      <vt:lpstr>Raw Feb</vt:lpstr>
      <vt:lpstr>TB 0225</vt:lpstr>
      <vt:lpstr>TB 0325</vt:lpstr>
      <vt:lpstr>Raw March</vt:lpstr>
      <vt:lpstr>TB 0425</vt:lpstr>
      <vt:lpstr>Raw April</vt:lpstr>
      <vt:lpstr>TB 0525</vt:lpstr>
      <vt:lpstr>Raw May</vt:lpstr>
      <vt:lpstr>BS!Print_Area</vt:lpstr>
      <vt:lpstr>'Cash Flow '!Print_Area</vt:lpstr>
      <vt:lpstr>'MIS 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techadmin@maestroserve.com</dc:creator>
  <cp:lastModifiedBy>Atul Khurana</cp:lastModifiedBy>
  <cp:lastPrinted>2025-12-15T07:22:34Z</cp:lastPrinted>
  <dcterms:created xsi:type="dcterms:W3CDTF">2024-09-05T10:17:28Z</dcterms:created>
  <dcterms:modified xsi:type="dcterms:W3CDTF">2026-01-27T07:47:05Z</dcterms:modified>
</cp:coreProperties>
</file>