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urav Maskara\Downloads\"/>
    </mc:Choice>
  </mc:AlternateContent>
  <xr:revisionPtr revIDLastSave="0" documentId="13_ncr:1_{0F1B3D86-B8E4-4EF5-A925-D8E47A124413}" xr6:coauthVersionLast="47" xr6:coauthVersionMax="47" xr10:uidLastSave="{00000000-0000-0000-0000-000000000000}"/>
  <bookViews>
    <workbookView xWindow="-108" yWindow="-108" windowWidth="23256" windowHeight="12456" xr2:uid="{D7579CA0-B978-44D0-8BF4-01B6E83232F1}"/>
  </bookViews>
  <sheets>
    <sheet name="Revised MIS Template - KPIs" sheetId="1" r:id="rId1"/>
    <sheet name="Revised MIS Template - P&amp;L" sheetId="2" r:id="rId2"/>
    <sheet name="Revised MIS Template - Cohorts" sheetId="3" r:id="rId3"/>
  </sheets>
  <definedNames>
    <definedName name="_">#REF!</definedName>
    <definedName name="_?">#REF!</definedName>
    <definedName name="_??">#REF!</definedName>
    <definedName name="_???">#REF!</definedName>
    <definedName name="_????">#REF!</definedName>
    <definedName name="_?????????">#REF!</definedName>
    <definedName name="_??_???">#REF!</definedName>
    <definedName name="_?_??">#REF!</definedName>
    <definedName name="__">{#N/A,#N/A,FALSE,"Cash Flows";#N/A,#N/A,FALSE,"Fixed Assets";#N/A,#N/A,FALSE,"Balance Sheet";#N/A,#N/A,FALSE,"P &amp; L"}</definedName>
    <definedName name="__?">#REF!</definedName>
    <definedName name="__??">#REF!</definedName>
    <definedName name="__???">#REF!</definedName>
    <definedName name="__????">#REF!</definedName>
    <definedName name="__?????????">#REF!</definedName>
    <definedName name="__??_???">#REF!</definedName>
    <definedName name="__?_??">#REF!</definedName>
    <definedName name="___?">#REF!</definedName>
    <definedName name="___??">#REF!</definedName>
    <definedName name="___???">#REF!</definedName>
    <definedName name="___????">#REF!</definedName>
    <definedName name="___?????????">#REF!</definedName>
    <definedName name="___??_???">#REF!</definedName>
    <definedName name="___?_??">#REF!</definedName>
    <definedName name="____?">#REF!</definedName>
    <definedName name="____??">#REF!</definedName>
    <definedName name="____???">#REF!</definedName>
    <definedName name="____????">#REF!</definedName>
    <definedName name="____?????????">#REF!</definedName>
    <definedName name="____??_???">#REF!</definedName>
    <definedName name="____?_??">#REF!</definedName>
    <definedName name="_____?">#REF!</definedName>
    <definedName name="_____??">#REF!</definedName>
    <definedName name="_____???">#REF!</definedName>
    <definedName name="_____????">#REF!</definedName>
    <definedName name="_____?????????">#REF!</definedName>
    <definedName name="_____??_???">#REF!</definedName>
    <definedName name="_____?_??">#REF!</definedName>
    <definedName name="______?">#REF!</definedName>
    <definedName name="______??">#REF!</definedName>
    <definedName name="______???">#REF!</definedName>
    <definedName name="______????">#REF!</definedName>
    <definedName name="______?????????">#REF!</definedName>
    <definedName name="______??_???">#REF!</definedName>
    <definedName name="______?_??">#REF!</definedName>
    <definedName name="_______?">#REF!</definedName>
    <definedName name="_______??">#REF!</definedName>
    <definedName name="_______???">#REF!</definedName>
    <definedName name="_______????">#REF!</definedName>
    <definedName name="_______?????????">#REF!</definedName>
    <definedName name="_______??_???">#REF!</definedName>
    <definedName name="_______?_??">#REF!</definedName>
    <definedName name="________?">#REF!</definedName>
    <definedName name="________??">#REF!</definedName>
    <definedName name="________???">#REF!</definedName>
    <definedName name="________????">#REF!</definedName>
    <definedName name="________?????????">#REF!</definedName>
    <definedName name="________??_???">#REF!</definedName>
    <definedName name="________?_??">#REF!</definedName>
    <definedName name="_________?">#REF!</definedName>
    <definedName name="_________??">#REF!</definedName>
    <definedName name="_________???">#REF!</definedName>
    <definedName name="_________????">#REF!</definedName>
    <definedName name="_________?????????">#REF!</definedName>
    <definedName name="_________??_???">#REF!</definedName>
    <definedName name="_________?_??">#REF!</definedName>
    <definedName name="__________?">#REF!</definedName>
    <definedName name="__________??">#REF!</definedName>
    <definedName name="__________???">#REF!</definedName>
    <definedName name="__________????">#REF!</definedName>
    <definedName name="__________?????????">#REF!</definedName>
    <definedName name="__________??_???">#REF!</definedName>
    <definedName name="__________?_??">#REF!</definedName>
    <definedName name="___________?">#REF!</definedName>
    <definedName name="___________??">#REF!</definedName>
    <definedName name="___________???">#REF!</definedName>
    <definedName name="___________????">#REF!</definedName>
    <definedName name="___________?????????">#REF!</definedName>
    <definedName name="___________??_???">#REF!</definedName>
    <definedName name="___________?_??">#REF!</definedName>
    <definedName name="__________________________A11">{#N/A,#N/A,FALSE,"Umsatz 99";#N/A,#N/A,FALSE,"ER 99 "}</definedName>
    <definedName name="__________________________A11_1">{#N/A,#N/A,FALSE,"Umsatz 99";#N/A,#N/A,FALSE,"ER 99 "}</definedName>
    <definedName name="__________________________A11_2">{#N/A,#N/A,FALSE,"Umsatz 99";#N/A,#N/A,FALSE,"ER 99 "}</definedName>
    <definedName name="__________________________A11_3">{#N/A,#N/A,FALSE,"Umsatz 99";#N/A,#N/A,FALSE,"ER 99 "}</definedName>
    <definedName name="__________________________A11_4">{#N/A,#N/A,FALSE,"Umsatz 99";#N/A,#N/A,FALSE,"ER 99 "}</definedName>
    <definedName name="__________________________c">{"Fiesta Facer Page",#N/A,FALSE,"Q_C_S";"Fiesta Main Page",#N/A,FALSE,"V_L";"Fiesta 95BP Struct",#N/A,FALSE,"StructBP";"Fiesta Post 95BP Struct",#N/A,FALSE,"AdjStructBP"}</definedName>
    <definedName name="__________________________c_1">{"Fiesta Facer Page",#N/A,FALSE,"Q_C_S";"Fiesta Main Page",#N/A,FALSE,"V_L";"Fiesta 95BP Struct",#N/A,FALSE,"StructBP";"Fiesta Post 95BP Struct",#N/A,FALSE,"AdjStructBP"}</definedName>
    <definedName name="__________________________c_2">{"Fiesta Facer Page",#N/A,FALSE,"Q_C_S";"Fiesta Main Page",#N/A,FALSE,"V_L";"Fiesta 95BP Struct",#N/A,FALSE,"StructBP";"Fiesta Post 95BP Struct",#N/A,FALSE,"AdjStructBP"}</definedName>
    <definedName name="__________________________c_3">{"Fiesta Facer Page",#N/A,FALSE,"Q_C_S";"Fiesta Main Page",#N/A,FALSE,"V_L";"Fiesta 95BP Struct",#N/A,FALSE,"StructBP";"Fiesta Post 95BP Struct",#N/A,FALSE,"AdjStructBP"}</definedName>
    <definedName name="__________________________c_4">{"Fiesta Facer Page",#N/A,FALSE,"Q_C_S";"Fiesta Main Page",#N/A,FALSE,"V_L";"Fiesta 95BP Struct",#N/A,FALSE,"StructBP";"Fiesta Post 95BP Struct",#N/A,FALSE,"AdjStructBP"}</definedName>
    <definedName name="__________________________V2">{#N/A,#N/A,FALSE,"Tabl. A1";#N/A,#N/A,FALSE,"Tabl. A1 b";#N/A,#N/A,FALSE,"Tabl. A2";#N/A,#N/A,FALSE,"Tabl. A2-1";#N/A,#N/A,FALSE,"Tabl. A2-2"}</definedName>
    <definedName name="__________________________V2_1">{#N/A,#N/A,FALSE,"Tabl. A1";#N/A,#N/A,FALSE,"Tabl. A1 b";#N/A,#N/A,FALSE,"Tabl. A2";#N/A,#N/A,FALSE,"Tabl. A2-1";#N/A,#N/A,FALSE,"Tabl. A2-2"}</definedName>
    <definedName name="__________________________V2_2">{#N/A,#N/A,FALSE,"Tabl. A1";#N/A,#N/A,FALSE,"Tabl. A1 b";#N/A,#N/A,FALSE,"Tabl. A2";#N/A,#N/A,FALSE,"Tabl. A2-1";#N/A,#N/A,FALSE,"Tabl. A2-2"}</definedName>
    <definedName name="__________________________V2_3">{#N/A,#N/A,FALSE,"Tabl. A1";#N/A,#N/A,FALSE,"Tabl. A1 b";#N/A,#N/A,FALSE,"Tabl. A2";#N/A,#N/A,FALSE,"Tabl. A2-1";#N/A,#N/A,FALSE,"Tabl. A2-2"}</definedName>
    <definedName name="__________________________V2_4">{#N/A,#N/A,FALSE,"Tabl. A1";#N/A,#N/A,FALSE,"Tabl. A1 b";#N/A,#N/A,FALSE,"Tabl. A2";#N/A,#N/A,FALSE,"Tabl. A2-1";#N/A,#N/A,FALSE,"Tabl. A2-2"}</definedName>
    <definedName name="_______________________A11">{#N/A,#N/A,FALSE,"Umsatz 99";#N/A,#N/A,FALSE,"ER 99 "}</definedName>
    <definedName name="_______________________A11_1">{#N/A,#N/A,FALSE,"Umsatz 99";#N/A,#N/A,FALSE,"ER 99 "}</definedName>
    <definedName name="_______________________A11_2">{#N/A,#N/A,FALSE,"Umsatz 99";#N/A,#N/A,FALSE,"ER 99 "}</definedName>
    <definedName name="_______________________A11_3">{#N/A,#N/A,FALSE,"Umsatz 99";#N/A,#N/A,FALSE,"ER 99 "}</definedName>
    <definedName name="_______________________A11_4">{#N/A,#N/A,FALSE,"Umsatz 99";#N/A,#N/A,FALSE,"ER 99 "}</definedName>
    <definedName name="_______________________c">{"Fiesta Facer Page",#N/A,FALSE,"Q_C_S";"Fiesta Main Page",#N/A,FALSE,"V_L";"Fiesta 95BP Struct",#N/A,FALSE,"StructBP";"Fiesta Post 95BP Struct",#N/A,FALSE,"AdjStructBP"}</definedName>
    <definedName name="_______________________c_1">{"Fiesta Facer Page",#N/A,FALSE,"Q_C_S";"Fiesta Main Page",#N/A,FALSE,"V_L";"Fiesta 95BP Struct",#N/A,FALSE,"StructBP";"Fiesta Post 95BP Struct",#N/A,FALSE,"AdjStructBP"}</definedName>
    <definedName name="_______________________c_2">{"Fiesta Facer Page",#N/A,FALSE,"Q_C_S";"Fiesta Main Page",#N/A,FALSE,"V_L";"Fiesta 95BP Struct",#N/A,FALSE,"StructBP";"Fiesta Post 95BP Struct",#N/A,FALSE,"AdjStructBP"}</definedName>
    <definedName name="_______________________c_3">{"Fiesta Facer Page",#N/A,FALSE,"Q_C_S";"Fiesta Main Page",#N/A,FALSE,"V_L";"Fiesta 95BP Struct",#N/A,FALSE,"StructBP";"Fiesta Post 95BP Struct",#N/A,FALSE,"AdjStructBP"}</definedName>
    <definedName name="_______________________c_4">{"Fiesta Facer Page",#N/A,FALSE,"Q_C_S";"Fiesta Main Page",#N/A,FALSE,"V_L";"Fiesta 95BP Struct",#N/A,FALSE,"StructBP";"Fiesta Post 95BP Struct",#N/A,FALSE,"AdjStructBP"}</definedName>
    <definedName name="_______________________V2">{#N/A,#N/A,FALSE,"Tabl. A1";#N/A,#N/A,FALSE,"Tabl. A1 b";#N/A,#N/A,FALSE,"Tabl. A2";#N/A,#N/A,FALSE,"Tabl. A2-1";#N/A,#N/A,FALSE,"Tabl. A2-2"}</definedName>
    <definedName name="_______________________V2_1">{#N/A,#N/A,FALSE,"Tabl. A1";#N/A,#N/A,FALSE,"Tabl. A1 b";#N/A,#N/A,FALSE,"Tabl. A2";#N/A,#N/A,FALSE,"Tabl. A2-1";#N/A,#N/A,FALSE,"Tabl. A2-2"}</definedName>
    <definedName name="_______________________V2_2">{#N/A,#N/A,FALSE,"Tabl. A1";#N/A,#N/A,FALSE,"Tabl. A1 b";#N/A,#N/A,FALSE,"Tabl. A2";#N/A,#N/A,FALSE,"Tabl. A2-1";#N/A,#N/A,FALSE,"Tabl. A2-2"}</definedName>
    <definedName name="_______________________V2_3">{#N/A,#N/A,FALSE,"Tabl. A1";#N/A,#N/A,FALSE,"Tabl. A1 b";#N/A,#N/A,FALSE,"Tabl. A2";#N/A,#N/A,FALSE,"Tabl. A2-1";#N/A,#N/A,FALSE,"Tabl. A2-2"}</definedName>
    <definedName name="_______________________V2_4">{#N/A,#N/A,FALSE,"Tabl. A1";#N/A,#N/A,FALSE,"Tabl. A1 b";#N/A,#N/A,FALSE,"Tabl. A2";#N/A,#N/A,FALSE,"Tabl. A2-1";#N/A,#N/A,FALSE,"Tabl. A2-2"}</definedName>
    <definedName name="_____________________A11">{#N/A,#N/A,FALSE,"Umsatz 99";#N/A,#N/A,FALSE,"ER 99 "}</definedName>
    <definedName name="_____________________A11_1">{#N/A,#N/A,FALSE,"Umsatz 99";#N/A,#N/A,FALSE,"ER 99 "}</definedName>
    <definedName name="_____________________A11_2">{#N/A,#N/A,FALSE,"Umsatz 99";#N/A,#N/A,FALSE,"ER 99 "}</definedName>
    <definedName name="_____________________A11_3">{#N/A,#N/A,FALSE,"Umsatz 99";#N/A,#N/A,FALSE,"ER 99 "}</definedName>
    <definedName name="_____________________A11_4">{#N/A,#N/A,FALSE,"Umsatz 99";#N/A,#N/A,FALSE,"ER 99 "}</definedName>
    <definedName name="_____________________c">{"Fiesta Facer Page",#N/A,FALSE,"Q_C_S";"Fiesta Main Page",#N/A,FALSE,"V_L";"Fiesta 95BP Struct",#N/A,FALSE,"StructBP";"Fiesta Post 95BP Struct",#N/A,FALSE,"AdjStructBP"}</definedName>
    <definedName name="_____________________c_1">{"Fiesta Facer Page",#N/A,FALSE,"Q_C_S";"Fiesta Main Page",#N/A,FALSE,"V_L";"Fiesta 95BP Struct",#N/A,FALSE,"StructBP";"Fiesta Post 95BP Struct",#N/A,FALSE,"AdjStructBP"}</definedName>
    <definedName name="_____________________c_2">{"Fiesta Facer Page",#N/A,FALSE,"Q_C_S";"Fiesta Main Page",#N/A,FALSE,"V_L";"Fiesta 95BP Struct",#N/A,FALSE,"StructBP";"Fiesta Post 95BP Struct",#N/A,FALSE,"AdjStructBP"}</definedName>
    <definedName name="_____________________c_3">{"Fiesta Facer Page",#N/A,FALSE,"Q_C_S";"Fiesta Main Page",#N/A,FALSE,"V_L";"Fiesta 95BP Struct",#N/A,FALSE,"StructBP";"Fiesta Post 95BP Struct",#N/A,FALSE,"AdjStructBP"}</definedName>
    <definedName name="_____________________c_4">{"Fiesta Facer Page",#N/A,FALSE,"Q_C_S";"Fiesta Main Page",#N/A,FALSE,"V_L";"Fiesta 95BP Struct",#N/A,FALSE,"StructBP";"Fiesta Post 95BP Struct",#N/A,FALSE,"AdjStructBP"}</definedName>
    <definedName name="_____________________V2">{#N/A,#N/A,FALSE,"Tabl. A1";#N/A,#N/A,FALSE,"Tabl. A1 b";#N/A,#N/A,FALSE,"Tabl. A2";#N/A,#N/A,FALSE,"Tabl. A2-1";#N/A,#N/A,FALSE,"Tabl. A2-2"}</definedName>
    <definedName name="_____________________V2_1">{#N/A,#N/A,FALSE,"Tabl. A1";#N/A,#N/A,FALSE,"Tabl. A1 b";#N/A,#N/A,FALSE,"Tabl. A2";#N/A,#N/A,FALSE,"Tabl. A2-1";#N/A,#N/A,FALSE,"Tabl. A2-2"}</definedName>
    <definedName name="_____________________V2_2">{#N/A,#N/A,FALSE,"Tabl. A1";#N/A,#N/A,FALSE,"Tabl. A1 b";#N/A,#N/A,FALSE,"Tabl. A2";#N/A,#N/A,FALSE,"Tabl. A2-1";#N/A,#N/A,FALSE,"Tabl. A2-2"}</definedName>
    <definedName name="_____________________V2_3">{#N/A,#N/A,FALSE,"Tabl. A1";#N/A,#N/A,FALSE,"Tabl. A1 b";#N/A,#N/A,FALSE,"Tabl. A2";#N/A,#N/A,FALSE,"Tabl. A2-1";#N/A,#N/A,FALSE,"Tabl. A2-2"}</definedName>
    <definedName name="_____________________V2_4">{#N/A,#N/A,FALSE,"Tabl. A1";#N/A,#N/A,FALSE,"Tabl. A1 b";#N/A,#N/A,FALSE,"Tabl. A2";#N/A,#N/A,FALSE,"Tabl. A2-1";#N/A,#N/A,FALSE,"Tabl. A2-2"}</definedName>
    <definedName name="____________________A11">{#N/A,#N/A,FALSE,"Umsatz 99";#N/A,#N/A,FALSE,"ER 99 "}</definedName>
    <definedName name="____________________A11_1">{#N/A,#N/A,FALSE,"Umsatz 99";#N/A,#N/A,FALSE,"ER 99 "}</definedName>
    <definedName name="____________________A11_2">{#N/A,#N/A,FALSE,"Umsatz 99";#N/A,#N/A,FALSE,"ER 99 "}</definedName>
    <definedName name="____________________A11_3">{#N/A,#N/A,FALSE,"Umsatz 99";#N/A,#N/A,FALSE,"ER 99 "}</definedName>
    <definedName name="____________________A11_4">{#N/A,#N/A,FALSE,"Umsatz 99";#N/A,#N/A,FALSE,"ER 99 "}</definedName>
    <definedName name="____________________c">{"Fiesta Facer Page",#N/A,FALSE,"Q_C_S";"Fiesta Main Page",#N/A,FALSE,"V_L";"Fiesta 95BP Struct",#N/A,FALSE,"StructBP";"Fiesta Post 95BP Struct",#N/A,FALSE,"AdjStructBP"}</definedName>
    <definedName name="____________________c_1">{"Fiesta Facer Page",#N/A,FALSE,"Q_C_S";"Fiesta Main Page",#N/A,FALSE,"V_L";"Fiesta 95BP Struct",#N/A,FALSE,"StructBP";"Fiesta Post 95BP Struct",#N/A,FALSE,"AdjStructBP"}</definedName>
    <definedName name="____________________c_2">{"Fiesta Facer Page",#N/A,FALSE,"Q_C_S";"Fiesta Main Page",#N/A,FALSE,"V_L";"Fiesta 95BP Struct",#N/A,FALSE,"StructBP";"Fiesta Post 95BP Struct",#N/A,FALSE,"AdjStructBP"}</definedName>
    <definedName name="____________________c_3">{"Fiesta Facer Page",#N/A,FALSE,"Q_C_S";"Fiesta Main Page",#N/A,FALSE,"V_L";"Fiesta 95BP Struct",#N/A,FALSE,"StructBP";"Fiesta Post 95BP Struct",#N/A,FALSE,"AdjStructBP"}</definedName>
    <definedName name="____________________c_4">{"Fiesta Facer Page",#N/A,FALSE,"Q_C_S";"Fiesta Main Page",#N/A,FALSE,"V_L";"Fiesta 95BP Struct",#N/A,FALSE,"StructBP";"Fiesta Post 95BP Struct",#N/A,FALSE,"AdjStructBP"}</definedName>
    <definedName name="____________________V2">{#N/A,#N/A,FALSE,"Tabl. A1";#N/A,#N/A,FALSE,"Tabl. A1 b";#N/A,#N/A,FALSE,"Tabl. A2";#N/A,#N/A,FALSE,"Tabl. A2-1";#N/A,#N/A,FALSE,"Tabl. A2-2"}</definedName>
    <definedName name="____________________V2_1">{#N/A,#N/A,FALSE,"Tabl. A1";#N/A,#N/A,FALSE,"Tabl. A1 b";#N/A,#N/A,FALSE,"Tabl. A2";#N/A,#N/A,FALSE,"Tabl. A2-1";#N/A,#N/A,FALSE,"Tabl. A2-2"}</definedName>
    <definedName name="____________________V2_2">{#N/A,#N/A,FALSE,"Tabl. A1";#N/A,#N/A,FALSE,"Tabl. A1 b";#N/A,#N/A,FALSE,"Tabl. A2";#N/A,#N/A,FALSE,"Tabl. A2-1";#N/A,#N/A,FALSE,"Tabl. A2-2"}</definedName>
    <definedName name="____________________V2_3">{#N/A,#N/A,FALSE,"Tabl. A1";#N/A,#N/A,FALSE,"Tabl. A1 b";#N/A,#N/A,FALSE,"Tabl. A2";#N/A,#N/A,FALSE,"Tabl. A2-1";#N/A,#N/A,FALSE,"Tabl. A2-2"}</definedName>
    <definedName name="____________________V2_4">{#N/A,#N/A,FALSE,"Tabl. A1";#N/A,#N/A,FALSE,"Tabl. A1 b";#N/A,#N/A,FALSE,"Tabl. A2";#N/A,#N/A,FALSE,"Tabl. A2-1";#N/A,#N/A,FALSE,"Tabl. A2-2"}</definedName>
    <definedName name="___________________A11">{#N/A,#N/A,FALSE,"Umsatz 99";#N/A,#N/A,FALSE,"ER 99 "}</definedName>
    <definedName name="___________________A11_1">{#N/A,#N/A,FALSE,"Umsatz 99";#N/A,#N/A,FALSE,"ER 99 "}</definedName>
    <definedName name="___________________A11_2">{#N/A,#N/A,FALSE,"Umsatz 99";#N/A,#N/A,FALSE,"ER 99 "}</definedName>
    <definedName name="___________________A11_3">{#N/A,#N/A,FALSE,"Umsatz 99";#N/A,#N/A,FALSE,"ER 99 "}</definedName>
    <definedName name="___________________A11_4">{#N/A,#N/A,FALSE,"Umsatz 99";#N/A,#N/A,FALSE,"ER 99 "}</definedName>
    <definedName name="___________________c">{"Fiesta Facer Page",#N/A,FALSE,"Q_C_S";"Fiesta Main Page",#N/A,FALSE,"V_L";"Fiesta 95BP Struct",#N/A,FALSE,"StructBP";"Fiesta Post 95BP Struct",#N/A,FALSE,"AdjStructBP"}</definedName>
    <definedName name="___________________c_1">{"Fiesta Facer Page",#N/A,FALSE,"Q_C_S";"Fiesta Main Page",#N/A,FALSE,"V_L";"Fiesta 95BP Struct",#N/A,FALSE,"StructBP";"Fiesta Post 95BP Struct",#N/A,FALSE,"AdjStructBP"}</definedName>
    <definedName name="___________________c_2">{"Fiesta Facer Page",#N/A,FALSE,"Q_C_S";"Fiesta Main Page",#N/A,FALSE,"V_L";"Fiesta 95BP Struct",#N/A,FALSE,"StructBP";"Fiesta Post 95BP Struct",#N/A,FALSE,"AdjStructBP"}</definedName>
    <definedName name="___________________c_3">{"Fiesta Facer Page",#N/A,FALSE,"Q_C_S";"Fiesta Main Page",#N/A,FALSE,"V_L";"Fiesta 95BP Struct",#N/A,FALSE,"StructBP";"Fiesta Post 95BP Struct",#N/A,FALSE,"AdjStructBP"}</definedName>
    <definedName name="___________________c_4">{"Fiesta Facer Page",#N/A,FALSE,"Q_C_S";"Fiesta Main Page",#N/A,FALSE,"V_L";"Fiesta 95BP Struct",#N/A,FALSE,"StructBP";"Fiesta Post 95BP Struct",#N/A,FALSE,"AdjStructBP"}</definedName>
    <definedName name="___________________V2">{#N/A,#N/A,FALSE,"Tabl. A1";#N/A,#N/A,FALSE,"Tabl. A1 b";#N/A,#N/A,FALSE,"Tabl. A2";#N/A,#N/A,FALSE,"Tabl. A2-1";#N/A,#N/A,FALSE,"Tabl. A2-2"}</definedName>
    <definedName name="___________________V2_1">{#N/A,#N/A,FALSE,"Tabl. A1";#N/A,#N/A,FALSE,"Tabl. A1 b";#N/A,#N/A,FALSE,"Tabl. A2";#N/A,#N/A,FALSE,"Tabl. A2-1";#N/A,#N/A,FALSE,"Tabl. A2-2"}</definedName>
    <definedName name="___________________V2_2">{#N/A,#N/A,FALSE,"Tabl. A1";#N/A,#N/A,FALSE,"Tabl. A1 b";#N/A,#N/A,FALSE,"Tabl. A2";#N/A,#N/A,FALSE,"Tabl. A2-1";#N/A,#N/A,FALSE,"Tabl. A2-2"}</definedName>
    <definedName name="___________________V2_3">{#N/A,#N/A,FALSE,"Tabl. A1";#N/A,#N/A,FALSE,"Tabl. A1 b";#N/A,#N/A,FALSE,"Tabl. A2";#N/A,#N/A,FALSE,"Tabl. A2-1";#N/A,#N/A,FALSE,"Tabl. A2-2"}</definedName>
    <definedName name="___________________V2_4">{#N/A,#N/A,FALSE,"Tabl. A1";#N/A,#N/A,FALSE,"Tabl. A1 b";#N/A,#N/A,FALSE,"Tabl. A2";#N/A,#N/A,FALSE,"Tabl. A2-1";#N/A,#N/A,FALSE,"Tabl. A2-2"}</definedName>
    <definedName name="__________________A11">{#N/A,#N/A,FALSE,"Umsatz 99";#N/A,#N/A,FALSE,"ER 99 "}</definedName>
    <definedName name="__________________A11_1">{#N/A,#N/A,FALSE,"Umsatz 99";#N/A,#N/A,FALSE,"ER 99 "}</definedName>
    <definedName name="__________________A11_2">{#N/A,#N/A,FALSE,"Umsatz 99";#N/A,#N/A,FALSE,"ER 99 "}</definedName>
    <definedName name="__________________A11_3">{#N/A,#N/A,FALSE,"Umsatz 99";#N/A,#N/A,FALSE,"ER 99 "}</definedName>
    <definedName name="__________________A11_4">{#N/A,#N/A,FALSE,"Umsatz 99";#N/A,#N/A,FALSE,"ER 99 "}</definedName>
    <definedName name="__________________c">{"Fiesta Facer Page",#N/A,FALSE,"Q_C_S";"Fiesta Main Page",#N/A,FALSE,"V_L";"Fiesta 95BP Struct",#N/A,FALSE,"StructBP";"Fiesta Post 95BP Struct",#N/A,FALSE,"AdjStructBP"}</definedName>
    <definedName name="__________________c_1">{"Fiesta Facer Page",#N/A,FALSE,"Q_C_S";"Fiesta Main Page",#N/A,FALSE,"V_L";"Fiesta 95BP Struct",#N/A,FALSE,"StructBP";"Fiesta Post 95BP Struct",#N/A,FALSE,"AdjStructBP"}</definedName>
    <definedName name="__________________c_2">{"Fiesta Facer Page",#N/A,FALSE,"Q_C_S";"Fiesta Main Page",#N/A,FALSE,"V_L";"Fiesta 95BP Struct",#N/A,FALSE,"StructBP";"Fiesta Post 95BP Struct",#N/A,FALSE,"AdjStructBP"}</definedName>
    <definedName name="__________________c_3">{"Fiesta Facer Page",#N/A,FALSE,"Q_C_S";"Fiesta Main Page",#N/A,FALSE,"V_L";"Fiesta 95BP Struct",#N/A,FALSE,"StructBP";"Fiesta Post 95BP Struct",#N/A,FALSE,"AdjStructBP"}</definedName>
    <definedName name="__________________c_4">{"Fiesta Facer Page",#N/A,FALSE,"Q_C_S";"Fiesta Main Page",#N/A,FALSE,"V_L";"Fiesta 95BP Struct",#N/A,FALSE,"StructBP";"Fiesta Post 95BP Struct",#N/A,FALSE,"AdjStructBP"}</definedName>
    <definedName name="__________________V2">{#N/A,#N/A,FALSE,"Tabl. A1";#N/A,#N/A,FALSE,"Tabl. A1 b";#N/A,#N/A,FALSE,"Tabl. A2";#N/A,#N/A,FALSE,"Tabl. A2-1";#N/A,#N/A,FALSE,"Tabl. A2-2"}</definedName>
    <definedName name="__________________V2_1">{#N/A,#N/A,FALSE,"Tabl. A1";#N/A,#N/A,FALSE,"Tabl. A1 b";#N/A,#N/A,FALSE,"Tabl. A2";#N/A,#N/A,FALSE,"Tabl. A2-1";#N/A,#N/A,FALSE,"Tabl. A2-2"}</definedName>
    <definedName name="__________________V2_2">{#N/A,#N/A,FALSE,"Tabl. A1";#N/A,#N/A,FALSE,"Tabl. A1 b";#N/A,#N/A,FALSE,"Tabl. A2";#N/A,#N/A,FALSE,"Tabl. A2-1";#N/A,#N/A,FALSE,"Tabl. A2-2"}</definedName>
    <definedName name="__________________V2_3">{#N/A,#N/A,FALSE,"Tabl. A1";#N/A,#N/A,FALSE,"Tabl. A1 b";#N/A,#N/A,FALSE,"Tabl. A2";#N/A,#N/A,FALSE,"Tabl. A2-1";#N/A,#N/A,FALSE,"Tabl. A2-2"}</definedName>
    <definedName name="__________________V2_4">{#N/A,#N/A,FALSE,"Tabl. A1";#N/A,#N/A,FALSE,"Tabl. A1 b";#N/A,#N/A,FALSE,"Tabl. A2";#N/A,#N/A,FALSE,"Tabl. A2-1";#N/A,#N/A,FALSE,"Tabl. A2-2"}</definedName>
    <definedName name="_________________A11">{#N/A,#N/A,FALSE,"Umsatz 99";#N/A,#N/A,FALSE,"ER 99 "}</definedName>
    <definedName name="_________________A11_1">{#N/A,#N/A,FALSE,"Umsatz 99";#N/A,#N/A,FALSE,"ER 99 "}</definedName>
    <definedName name="_________________A11_2">{#N/A,#N/A,FALSE,"Umsatz 99";#N/A,#N/A,FALSE,"ER 99 "}</definedName>
    <definedName name="_________________A11_3">{#N/A,#N/A,FALSE,"Umsatz 99";#N/A,#N/A,FALSE,"ER 99 "}</definedName>
    <definedName name="_________________A11_4">{#N/A,#N/A,FALSE,"Umsatz 99";#N/A,#N/A,FALSE,"ER 99 "}</definedName>
    <definedName name="_________________c">{"Fiesta Facer Page",#N/A,FALSE,"Q_C_S";"Fiesta Main Page",#N/A,FALSE,"V_L";"Fiesta 95BP Struct",#N/A,FALSE,"StructBP";"Fiesta Post 95BP Struct",#N/A,FALSE,"AdjStructBP"}</definedName>
    <definedName name="_________________c_1">{"Fiesta Facer Page",#N/A,FALSE,"Q_C_S";"Fiesta Main Page",#N/A,FALSE,"V_L";"Fiesta 95BP Struct",#N/A,FALSE,"StructBP";"Fiesta Post 95BP Struct",#N/A,FALSE,"AdjStructBP"}</definedName>
    <definedName name="_________________c_2">{"Fiesta Facer Page",#N/A,FALSE,"Q_C_S";"Fiesta Main Page",#N/A,FALSE,"V_L";"Fiesta 95BP Struct",#N/A,FALSE,"StructBP";"Fiesta Post 95BP Struct",#N/A,FALSE,"AdjStructBP"}</definedName>
    <definedName name="_________________c_3">{"Fiesta Facer Page",#N/A,FALSE,"Q_C_S";"Fiesta Main Page",#N/A,FALSE,"V_L";"Fiesta 95BP Struct",#N/A,FALSE,"StructBP";"Fiesta Post 95BP Struct",#N/A,FALSE,"AdjStructBP"}</definedName>
    <definedName name="_________________c_4">{"Fiesta Facer Page",#N/A,FALSE,"Q_C_S";"Fiesta Main Page",#N/A,FALSE,"V_L";"Fiesta 95BP Struct",#N/A,FALSE,"StructBP";"Fiesta Post 95BP Struct",#N/A,FALSE,"AdjStructBP"}</definedName>
    <definedName name="_________________V2">{#N/A,#N/A,FALSE,"Tabl. A1";#N/A,#N/A,FALSE,"Tabl. A1 b";#N/A,#N/A,FALSE,"Tabl. A2";#N/A,#N/A,FALSE,"Tabl. A2-1";#N/A,#N/A,FALSE,"Tabl. A2-2"}</definedName>
    <definedName name="_________________V2_1">{#N/A,#N/A,FALSE,"Tabl. A1";#N/A,#N/A,FALSE,"Tabl. A1 b";#N/A,#N/A,FALSE,"Tabl. A2";#N/A,#N/A,FALSE,"Tabl. A2-1";#N/A,#N/A,FALSE,"Tabl. A2-2"}</definedName>
    <definedName name="_________________V2_2">{#N/A,#N/A,FALSE,"Tabl. A1";#N/A,#N/A,FALSE,"Tabl. A1 b";#N/A,#N/A,FALSE,"Tabl. A2";#N/A,#N/A,FALSE,"Tabl. A2-1";#N/A,#N/A,FALSE,"Tabl. A2-2"}</definedName>
    <definedName name="_________________V2_3">{#N/A,#N/A,FALSE,"Tabl. A1";#N/A,#N/A,FALSE,"Tabl. A1 b";#N/A,#N/A,FALSE,"Tabl. A2";#N/A,#N/A,FALSE,"Tabl. A2-1";#N/A,#N/A,FALSE,"Tabl. A2-2"}</definedName>
    <definedName name="_________________V2_4">{#N/A,#N/A,FALSE,"Tabl. A1";#N/A,#N/A,FALSE,"Tabl. A1 b";#N/A,#N/A,FALSE,"Tabl. A2";#N/A,#N/A,FALSE,"Tabl. A2-1";#N/A,#N/A,FALSE,"Tabl. A2-2"}</definedName>
    <definedName name="________________A11">{#N/A,#N/A,FALSE,"Umsatz 99";#N/A,#N/A,FALSE,"ER 99 "}</definedName>
    <definedName name="________________A11_1">{#N/A,#N/A,FALSE,"Umsatz 99";#N/A,#N/A,FALSE,"ER 99 "}</definedName>
    <definedName name="________________A11_2">{#N/A,#N/A,FALSE,"Umsatz 99";#N/A,#N/A,FALSE,"ER 99 "}</definedName>
    <definedName name="________________A11_3">{#N/A,#N/A,FALSE,"Umsatz 99";#N/A,#N/A,FALSE,"ER 99 "}</definedName>
    <definedName name="________________A11_4">{#N/A,#N/A,FALSE,"Umsatz 99";#N/A,#N/A,FALSE,"ER 99 "}</definedName>
    <definedName name="________________c">{"Fiesta Facer Page",#N/A,FALSE,"Q_C_S";"Fiesta Main Page",#N/A,FALSE,"V_L";"Fiesta 95BP Struct",#N/A,FALSE,"StructBP";"Fiesta Post 95BP Struct",#N/A,FALSE,"AdjStructBP"}</definedName>
    <definedName name="________________c_1">{"Fiesta Facer Page",#N/A,FALSE,"Q_C_S";"Fiesta Main Page",#N/A,FALSE,"V_L";"Fiesta 95BP Struct",#N/A,FALSE,"StructBP";"Fiesta Post 95BP Struct",#N/A,FALSE,"AdjStructBP"}</definedName>
    <definedName name="________________c_2">{"Fiesta Facer Page",#N/A,FALSE,"Q_C_S";"Fiesta Main Page",#N/A,FALSE,"V_L";"Fiesta 95BP Struct",#N/A,FALSE,"StructBP";"Fiesta Post 95BP Struct",#N/A,FALSE,"AdjStructBP"}</definedName>
    <definedName name="________________c_3">{"Fiesta Facer Page",#N/A,FALSE,"Q_C_S";"Fiesta Main Page",#N/A,FALSE,"V_L";"Fiesta 95BP Struct",#N/A,FALSE,"StructBP";"Fiesta Post 95BP Struct",#N/A,FALSE,"AdjStructBP"}</definedName>
    <definedName name="________________c_4">{"Fiesta Facer Page",#N/A,FALSE,"Q_C_S";"Fiesta Main Page",#N/A,FALSE,"V_L";"Fiesta 95BP Struct",#N/A,FALSE,"StructBP";"Fiesta Post 95BP Struct",#N/A,FALSE,"AdjStructBP"}</definedName>
    <definedName name="________________V2">{#N/A,#N/A,FALSE,"Tabl. A1";#N/A,#N/A,FALSE,"Tabl. A1 b";#N/A,#N/A,FALSE,"Tabl. A2";#N/A,#N/A,FALSE,"Tabl. A2-1";#N/A,#N/A,FALSE,"Tabl. A2-2"}</definedName>
    <definedName name="________________V2_1">{#N/A,#N/A,FALSE,"Tabl. A1";#N/A,#N/A,FALSE,"Tabl. A1 b";#N/A,#N/A,FALSE,"Tabl. A2";#N/A,#N/A,FALSE,"Tabl. A2-1";#N/A,#N/A,FALSE,"Tabl. A2-2"}</definedName>
    <definedName name="________________V2_2">{#N/A,#N/A,FALSE,"Tabl. A1";#N/A,#N/A,FALSE,"Tabl. A1 b";#N/A,#N/A,FALSE,"Tabl. A2";#N/A,#N/A,FALSE,"Tabl. A2-1";#N/A,#N/A,FALSE,"Tabl. A2-2"}</definedName>
    <definedName name="________________V2_3">{#N/A,#N/A,FALSE,"Tabl. A1";#N/A,#N/A,FALSE,"Tabl. A1 b";#N/A,#N/A,FALSE,"Tabl. A2";#N/A,#N/A,FALSE,"Tabl. A2-1";#N/A,#N/A,FALSE,"Tabl. A2-2"}</definedName>
    <definedName name="________________V2_4">{#N/A,#N/A,FALSE,"Tabl. A1";#N/A,#N/A,FALSE,"Tabl. A1 b";#N/A,#N/A,FALSE,"Tabl. A2";#N/A,#N/A,FALSE,"Tabl. A2-1";#N/A,#N/A,FALSE,"Tabl. A2-2"}</definedName>
    <definedName name="_______________A11">{#N/A,#N/A,FALSE,"Umsatz 99";#N/A,#N/A,FALSE,"ER 99 "}</definedName>
    <definedName name="_______________A11_1">{#N/A,#N/A,FALSE,"Umsatz 99";#N/A,#N/A,FALSE,"ER 99 "}</definedName>
    <definedName name="_______________A11_2">{#N/A,#N/A,FALSE,"Umsatz 99";#N/A,#N/A,FALSE,"ER 99 "}</definedName>
    <definedName name="_______________A11_3">{#N/A,#N/A,FALSE,"Umsatz 99";#N/A,#N/A,FALSE,"ER 99 "}</definedName>
    <definedName name="_______________A11_4">{#N/A,#N/A,FALSE,"Umsatz 99";#N/A,#N/A,FALSE,"ER 99 "}</definedName>
    <definedName name="_______________c">{"Fiesta Facer Page",#N/A,FALSE,"Q_C_S";"Fiesta Main Page",#N/A,FALSE,"V_L";"Fiesta 95BP Struct",#N/A,FALSE,"StructBP";"Fiesta Post 95BP Struct",#N/A,FALSE,"AdjStructBP"}</definedName>
    <definedName name="_______________c_1">{"Fiesta Facer Page",#N/A,FALSE,"Q_C_S";"Fiesta Main Page",#N/A,FALSE,"V_L";"Fiesta 95BP Struct",#N/A,FALSE,"StructBP";"Fiesta Post 95BP Struct",#N/A,FALSE,"AdjStructBP"}</definedName>
    <definedName name="_______________c_2">{"Fiesta Facer Page",#N/A,FALSE,"Q_C_S";"Fiesta Main Page",#N/A,FALSE,"V_L";"Fiesta 95BP Struct",#N/A,FALSE,"StructBP";"Fiesta Post 95BP Struct",#N/A,FALSE,"AdjStructBP"}</definedName>
    <definedName name="_______________c_3">{"Fiesta Facer Page",#N/A,FALSE,"Q_C_S";"Fiesta Main Page",#N/A,FALSE,"V_L";"Fiesta 95BP Struct",#N/A,FALSE,"StructBP";"Fiesta Post 95BP Struct",#N/A,FALSE,"AdjStructBP"}</definedName>
    <definedName name="_______________c_4">{"Fiesta Facer Page",#N/A,FALSE,"Q_C_S";"Fiesta Main Page",#N/A,FALSE,"V_L";"Fiesta 95BP Struct",#N/A,FALSE,"StructBP";"Fiesta Post 95BP Struct",#N/A,FALSE,"AdjStructBP"}</definedName>
    <definedName name="_______________DAT13">#REF!</definedName>
    <definedName name="_______________DAT14">#REF!</definedName>
    <definedName name="_______________DAT2">#REF!</definedName>
    <definedName name="_______________V2">{#N/A,#N/A,FALSE,"Tabl. A1";#N/A,#N/A,FALSE,"Tabl. A1 b";#N/A,#N/A,FALSE,"Tabl. A2";#N/A,#N/A,FALSE,"Tabl. A2-1";#N/A,#N/A,FALSE,"Tabl. A2-2"}</definedName>
    <definedName name="_______________V2_1">{#N/A,#N/A,FALSE,"Tabl. A1";#N/A,#N/A,FALSE,"Tabl. A1 b";#N/A,#N/A,FALSE,"Tabl. A2";#N/A,#N/A,FALSE,"Tabl. A2-1";#N/A,#N/A,FALSE,"Tabl. A2-2"}</definedName>
    <definedName name="_______________V2_2">{#N/A,#N/A,FALSE,"Tabl. A1";#N/A,#N/A,FALSE,"Tabl. A1 b";#N/A,#N/A,FALSE,"Tabl. A2";#N/A,#N/A,FALSE,"Tabl. A2-1";#N/A,#N/A,FALSE,"Tabl. A2-2"}</definedName>
    <definedName name="_______________V2_3">{#N/A,#N/A,FALSE,"Tabl. A1";#N/A,#N/A,FALSE,"Tabl. A1 b";#N/A,#N/A,FALSE,"Tabl. A2";#N/A,#N/A,FALSE,"Tabl. A2-1";#N/A,#N/A,FALSE,"Tabl. A2-2"}</definedName>
    <definedName name="_______________V2_4">{#N/A,#N/A,FALSE,"Tabl. A1";#N/A,#N/A,FALSE,"Tabl. A1 b";#N/A,#N/A,FALSE,"Tabl. A2";#N/A,#N/A,FALSE,"Tabl. A2-1";#N/A,#N/A,FALSE,"Tabl. A2-2"}</definedName>
    <definedName name="______________A11">{#N/A,#N/A,FALSE,"Umsatz 99";#N/A,#N/A,FALSE,"ER 99 "}</definedName>
    <definedName name="______________A11_1">{#N/A,#N/A,FALSE,"Umsatz 99";#N/A,#N/A,FALSE,"ER 99 "}</definedName>
    <definedName name="______________A11_2">{#N/A,#N/A,FALSE,"Umsatz 99";#N/A,#N/A,FALSE,"ER 99 "}</definedName>
    <definedName name="______________A11_3">{#N/A,#N/A,FALSE,"Umsatz 99";#N/A,#N/A,FALSE,"ER 99 "}</definedName>
    <definedName name="______________A11_4">{#N/A,#N/A,FALSE,"Umsatz 99";#N/A,#N/A,FALSE,"ER 99 "}</definedName>
    <definedName name="______________c">{"Fiesta Facer Page",#N/A,FALSE,"Q_C_S";"Fiesta Main Page",#N/A,FALSE,"V_L";"Fiesta 95BP Struct",#N/A,FALSE,"StructBP";"Fiesta Post 95BP Struct",#N/A,FALSE,"AdjStructBP"}</definedName>
    <definedName name="______________c_1">{"Fiesta Facer Page",#N/A,FALSE,"Q_C_S";"Fiesta Main Page",#N/A,FALSE,"V_L";"Fiesta 95BP Struct",#N/A,FALSE,"StructBP";"Fiesta Post 95BP Struct",#N/A,FALSE,"AdjStructBP"}</definedName>
    <definedName name="______________c_2">{"Fiesta Facer Page",#N/A,FALSE,"Q_C_S";"Fiesta Main Page",#N/A,FALSE,"V_L";"Fiesta 95BP Struct",#N/A,FALSE,"StructBP";"Fiesta Post 95BP Struct",#N/A,FALSE,"AdjStructBP"}</definedName>
    <definedName name="______________c_3">{"Fiesta Facer Page",#N/A,FALSE,"Q_C_S";"Fiesta Main Page",#N/A,FALSE,"V_L";"Fiesta 95BP Struct",#N/A,FALSE,"StructBP";"Fiesta Post 95BP Struct",#N/A,FALSE,"AdjStructBP"}</definedName>
    <definedName name="______________c_4">{"Fiesta Facer Page",#N/A,FALSE,"Q_C_S";"Fiesta Main Page",#N/A,FALSE,"V_L";"Fiesta 95BP Struct",#N/A,FALSE,"StructBP";"Fiesta Post 95BP Struct",#N/A,FALSE,"AdjStructBP"}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2">#REF!</definedName>
    <definedName name="______________V2">{#N/A,#N/A,FALSE,"Tabl. A1";#N/A,#N/A,FALSE,"Tabl. A1 b";#N/A,#N/A,FALSE,"Tabl. A2";#N/A,#N/A,FALSE,"Tabl. A2-1";#N/A,#N/A,FALSE,"Tabl. A2-2"}</definedName>
    <definedName name="______________V2_1">{#N/A,#N/A,FALSE,"Tabl. A1";#N/A,#N/A,FALSE,"Tabl. A1 b";#N/A,#N/A,FALSE,"Tabl. A2";#N/A,#N/A,FALSE,"Tabl. A2-1";#N/A,#N/A,FALSE,"Tabl. A2-2"}</definedName>
    <definedName name="______________V2_2">{#N/A,#N/A,FALSE,"Tabl. A1";#N/A,#N/A,FALSE,"Tabl. A1 b";#N/A,#N/A,FALSE,"Tabl. A2";#N/A,#N/A,FALSE,"Tabl. A2-1";#N/A,#N/A,FALSE,"Tabl. A2-2"}</definedName>
    <definedName name="______________V2_3">{#N/A,#N/A,FALSE,"Tabl. A1";#N/A,#N/A,FALSE,"Tabl. A1 b";#N/A,#N/A,FALSE,"Tabl. A2";#N/A,#N/A,FALSE,"Tabl. A2-1";#N/A,#N/A,FALSE,"Tabl. A2-2"}</definedName>
    <definedName name="______________V2_4">{#N/A,#N/A,FALSE,"Tabl. A1";#N/A,#N/A,FALSE,"Tabl. A1 b";#N/A,#N/A,FALSE,"Tabl. A2";#N/A,#N/A,FALSE,"Tabl. A2-1";#N/A,#N/A,FALSE,"Tabl. A2-2"}</definedName>
    <definedName name="_____________A11">{#N/A,#N/A,FALSE,"Umsatz 99";#N/A,#N/A,FALSE,"ER 99 "}</definedName>
    <definedName name="_____________A11_1">{#N/A,#N/A,FALSE,"Umsatz 99";#N/A,#N/A,FALSE,"ER 99 "}</definedName>
    <definedName name="_____________A11_2">{#N/A,#N/A,FALSE,"Umsatz 99";#N/A,#N/A,FALSE,"ER 99 "}</definedName>
    <definedName name="_____________A11_3">{#N/A,#N/A,FALSE,"Umsatz 99";#N/A,#N/A,FALSE,"ER 99 "}</definedName>
    <definedName name="_____________A11_4">{#N/A,#N/A,FALSE,"Umsatz 99";#N/A,#N/A,FALSE,"ER 99 "}</definedName>
    <definedName name="_____________c">{"Fiesta Facer Page",#N/A,FALSE,"Q_C_S";"Fiesta Main Page",#N/A,FALSE,"V_L";"Fiesta 95BP Struct",#N/A,FALSE,"StructBP";"Fiesta Post 95BP Struct",#N/A,FALSE,"AdjStructBP"}</definedName>
    <definedName name="_____________c_1">{"Fiesta Facer Page",#N/A,FALSE,"Q_C_S";"Fiesta Main Page",#N/A,FALSE,"V_L";"Fiesta 95BP Struct",#N/A,FALSE,"StructBP";"Fiesta Post 95BP Struct",#N/A,FALSE,"AdjStructBP"}</definedName>
    <definedName name="_____________c_2">{"Fiesta Facer Page",#N/A,FALSE,"Q_C_S";"Fiesta Main Page",#N/A,FALSE,"V_L";"Fiesta 95BP Struct",#N/A,FALSE,"StructBP";"Fiesta Post 95BP Struct",#N/A,FALSE,"AdjStructBP"}</definedName>
    <definedName name="_____________c_3">{"Fiesta Facer Page",#N/A,FALSE,"Q_C_S";"Fiesta Main Page",#N/A,FALSE,"V_L";"Fiesta 95BP Struct",#N/A,FALSE,"StructBP";"Fiesta Post 95BP Struct",#N/A,FALSE,"AdjStructBP"}</definedName>
    <definedName name="_____________c_4">{"Fiesta Facer Page",#N/A,FALSE,"Q_C_S";"Fiesta Main Page",#N/A,FALSE,"V_L";"Fiesta 95BP Struct",#N/A,FALSE,"StructBP";"Fiesta Post 95BP Struct",#N/A,FALSE,"AdjStructBP"}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V2">{#N/A,#N/A,FALSE,"Tabl. A1";#N/A,#N/A,FALSE,"Tabl. A1 b";#N/A,#N/A,FALSE,"Tabl. A2";#N/A,#N/A,FALSE,"Tabl. A2-1";#N/A,#N/A,FALSE,"Tabl. A2-2"}</definedName>
    <definedName name="_____________V2_1">{#N/A,#N/A,FALSE,"Tabl. A1";#N/A,#N/A,FALSE,"Tabl. A1 b";#N/A,#N/A,FALSE,"Tabl. A2";#N/A,#N/A,FALSE,"Tabl. A2-1";#N/A,#N/A,FALSE,"Tabl. A2-2"}</definedName>
    <definedName name="_____________V2_2">{#N/A,#N/A,FALSE,"Tabl. A1";#N/A,#N/A,FALSE,"Tabl. A1 b";#N/A,#N/A,FALSE,"Tabl. A2";#N/A,#N/A,FALSE,"Tabl. A2-1";#N/A,#N/A,FALSE,"Tabl. A2-2"}</definedName>
    <definedName name="_____________V2_3">{#N/A,#N/A,FALSE,"Tabl. A1";#N/A,#N/A,FALSE,"Tabl. A1 b";#N/A,#N/A,FALSE,"Tabl. A2";#N/A,#N/A,FALSE,"Tabl. A2-1";#N/A,#N/A,FALSE,"Tabl. A2-2"}</definedName>
    <definedName name="_____________V2_4">{#N/A,#N/A,FALSE,"Tabl. A1";#N/A,#N/A,FALSE,"Tabl. A1 b";#N/A,#N/A,FALSE,"Tabl. A2";#N/A,#N/A,FALSE,"Tabl. A2-1";#N/A,#N/A,FALSE,"Tabl. A2-2"}</definedName>
    <definedName name="____________A11">{#N/A,#N/A,FALSE,"Umsatz 99";#N/A,#N/A,FALSE,"ER 99 "}</definedName>
    <definedName name="____________A11_1">{#N/A,#N/A,FALSE,"Umsatz 99";#N/A,#N/A,FALSE,"ER 99 "}</definedName>
    <definedName name="____________A11_2">{#N/A,#N/A,FALSE,"Umsatz 99";#N/A,#N/A,FALSE,"ER 99 "}</definedName>
    <definedName name="____________A11_3">{#N/A,#N/A,FALSE,"Umsatz 99";#N/A,#N/A,FALSE,"ER 99 "}</definedName>
    <definedName name="____________A11_4">{#N/A,#N/A,FALSE,"Umsatz 99";#N/A,#N/A,FALSE,"ER 99 "}</definedName>
    <definedName name="____________AMT13300">#REF!</definedName>
    <definedName name="____________AMT13502">#REF!</definedName>
    <definedName name="____________AMT41301">#REF!</definedName>
    <definedName name="____________AMT85116">#REF!</definedName>
    <definedName name="____________AMT85125">#REF!</definedName>
    <definedName name="____________AMT86106">#REF!</definedName>
    <definedName name="____________aug98">#REF!</definedName>
    <definedName name="____________bud9899">#REF!</definedName>
    <definedName name="____________c">{"Fiesta Facer Page",#N/A,FALSE,"Q_C_S";"Fiesta Main Page",#N/A,FALSE,"V_L";"Fiesta 95BP Struct",#N/A,FALSE,"StructBP";"Fiesta Post 95BP Struct",#N/A,FALSE,"AdjStructBP"}</definedName>
    <definedName name="____________c_1">{"Fiesta Facer Page",#N/A,FALSE,"Q_C_S";"Fiesta Main Page",#N/A,FALSE,"V_L";"Fiesta 95BP Struct",#N/A,FALSE,"StructBP";"Fiesta Post 95BP Struct",#N/A,FALSE,"AdjStructBP"}</definedName>
    <definedName name="____________c_2">{"Fiesta Facer Page",#N/A,FALSE,"Q_C_S";"Fiesta Main Page",#N/A,FALSE,"V_L";"Fiesta 95BP Struct",#N/A,FALSE,"StructBP";"Fiesta Post 95BP Struct",#N/A,FALSE,"AdjStructBP"}</definedName>
    <definedName name="____________c_3">{"Fiesta Facer Page",#N/A,FALSE,"Q_C_S";"Fiesta Main Page",#N/A,FALSE,"V_L";"Fiesta 95BP Struct",#N/A,FALSE,"StructBP";"Fiesta Post 95BP Struct",#N/A,FALSE,"AdjStructBP"}</definedName>
    <definedName name="____________c_4">{"Fiesta Facer Page",#N/A,FALSE,"Q_C_S";"Fiesta Main Page",#N/A,FALSE,"V_L";"Fiesta 95BP Struct",#N/A,FALSE,"StructBP";"Fiesta Post 95BP Struct",#N/A,FALSE,"AdjStructBP"}</definedName>
    <definedName name="____________DAT10">#REF!</definedName>
    <definedName name="____________DAT11">#REF!</definedName>
    <definedName name="____________DAT12">#REF!</definedName>
    <definedName name="____________DAT15">#REF!</definedName>
    <definedName name="____________DAT16">#REF!</definedName>
    <definedName name="____________dec2000">#REF!</definedName>
    <definedName name="____________sal9899">#REF!</definedName>
    <definedName name="____________sep98">#REF!</definedName>
    <definedName name="____________V2">{#N/A,#N/A,FALSE,"Tabl. A1";#N/A,#N/A,FALSE,"Tabl. A1 b";#N/A,#N/A,FALSE,"Tabl. A2";#N/A,#N/A,FALSE,"Tabl. A2-1";#N/A,#N/A,FALSE,"Tabl. A2-2"}</definedName>
    <definedName name="____________V2_1">{#N/A,#N/A,FALSE,"Tabl. A1";#N/A,#N/A,FALSE,"Tabl. A1 b";#N/A,#N/A,FALSE,"Tabl. A2";#N/A,#N/A,FALSE,"Tabl. A2-1";#N/A,#N/A,FALSE,"Tabl. A2-2"}</definedName>
    <definedName name="____________V2_2">{#N/A,#N/A,FALSE,"Tabl. A1";#N/A,#N/A,FALSE,"Tabl. A1 b";#N/A,#N/A,FALSE,"Tabl. A2";#N/A,#N/A,FALSE,"Tabl. A2-1";#N/A,#N/A,FALSE,"Tabl. A2-2"}</definedName>
    <definedName name="____________V2_3">{#N/A,#N/A,FALSE,"Tabl. A1";#N/A,#N/A,FALSE,"Tabl. A1 b";#N/A,#N/A,FALSE,"Tabl. A2";#N/A,#N/A,FALSE,"Tabl. A2-1";#N/A,#N/A,FALSE,"Tabl. A2-2"}</definedName>
    <definedName name="____________V2_4">{#N/A,#N/A,FALSE,"Tabl. A1";#N/A,#N/A,FALSE,"Tabl. A1 b";#N/A,#N/A,FALSE,"Tabl. A2";#N/A,#N/A,FALSE,"Tabl. A2-1";#N/A,#N/A,FALSE,"Tabl. A2-2"}</definedName>
    <definedName name="____________VAR13300">#REF!</definedName>
    <definedName name="____________VAR13502">#REF!</definedName>
    <definedName name="___________A11">{#N/A,#N/A,FALSE,"Umsatz 99";#N/A,#N/A,FALSE,"ER 99 "}</definedName>
    <definedName name="___________A11_1">{#N/A,#N/A,FALSE,"Umsatz 99";#N/A,#N/A,FALSE,"ER 99 "}</definedName>
    <definedName name="___________A11_2">{#N/A,#N/A,FALSE,"Umsatz 99";#N/A,#N/A,FALSE,"ER 99 "}</definedName>
    <definedName name="___________A11_3">{#N/A,#N/A,FALSE,"Umsatz 99";#N/A,#N/A,FALSE,"ER 99 "}</definedName>
    <definedName name="___________A11_4">{#N/A,#N/A,FALSE,"Umsatz 99";#N/A,#N/A,FALSE,"ER 99 "}</definedName>
    <definedName name="___________AMT13300">#REF!</definedName>
    <definedName name="___________AMT13502">#REF!</definedName>
    <definedName name="___________AMT41301">#REF!</definedName>
    <definedName name="___________AMT85116">#REF!</definedName>
    <definedName name="___________AMT85125">#REF!</definedName>
    <definedName name="___________AMT86106">#REF!</definedName>
    <definedName name="___________aug98">#REF!</definedName>
    <definedName name="___________bud9899">#REF!</definedName>
    <definedName name="___________c">{"Fiesta Facer Page",#N/A,FALSE,"Q_C_S";"Fiesta Main Page",#N/A,FALSE,"V_L";"Fiesta 95BP Struct",#N/A,FALSE,"StructBP";"Fiesta Post 95BP Struct",#N/A,FALSE,"AdjStructBP"}</definedName>
    <definedName name="___________c_1">{"Fiesta Facer Page",#N/A,FALSE,"Q_C_S";"Fiesta Main Page",#N/A,FALSE,"V_L";"Fiesta 95BP Struct",#N/A,FALSE,"StructBP";"Fiesta Post 95BP Struct",#N/A,FALSE,"AdjStructBP"}</definedName>
    <definedName name="___________c_2">{"Fiesta Facer Page",#N/A,FALSE,"Q_C_S";"Fiesta Main Page",#N/A,FALSE,"V_L";"Fiesta 95BP Struct",#N/A,FALSE,"StructBP";"Fiesta Post 95BP Struct",#N/A,FALSE,"AdjStructBP"}</definedName>
    <definedName name="___________c_3">{"Fiesta Facer Page",#N/A,FALSE,"Q_C_S";"Fiesta Main Page",#N/A,FALSE,"V_L";"Fiesta 95BP Struct",#N/A,FALSE,"StructBP";"Fiesta Post 95BP Struct",#N/A,FALSE,"AdjStructBP"}</definedName>
    <definedName name="___________c_4">{"Fiesta Facer Page",#N/A,FALSE,"Q_C_S";"Fiesta Main Page",#N/A,FALSE,"V_L";"Fiesta 95BP Struct",#N/A,FALSE,"StructBP";"Fiesta Post 95BP Struct",#N/A,FALSE,"AdjStructBP"}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6">#REF!</definedName>
    <definedName name="___________DAT2">#REF!</definedName>
    <definedName name="___________DAT4">#REF!</definedName>
    <definedName name="___________DAT5">#REF!</definedName>
    <definedName name="___________DAT7">#REF!</definedName>
    <definedName name="___________DAT8">#REF!</definedName>
    <definedName name="___________DAT9">#REF!</definedName>
    <definedName name="___________dec2000">#REF!</definedName>
    <definedName name="___________OUT13300">#REF!</definedName>
    <definedName name="___________OUT13502">#REF!</definedName>
    <definedName name="___________OUT41301">#REF!</definedName>
    <definedName name="___________OUT85116">#REF!</definedName>
    <definedName name="___________OUT85125">#REF!</definedName>
    <definedName name="___________OUT86106">#REF!</definedName>
    <definedName name="___________pl2">#REF!</definedName>
    <definedName name="___________QRA86106">#REF!</definedName>
    <definedName name="___________sal9899">#REF!</definedName>
    <definedName name="___________sep98">#REF!</definedName>
    <definedName name="___________V2">{#N/A,#N/A,FALSE,"Tabl. A1";#N/A,#N/A,FALSE,"Tabl. A1 b";#N/A,#N/A,FALSE,"Tabl. A2";#N/A,#N/A,FALSE,"Tabl. A2-1";#N/A,#N/A,FALSE,"Tabl. A2-2"}</definedName>
    <definedName name="___________V2_1">{#N/A,#N/A,FALSE,"Tabl. A1";#N/A,#N/A,FALSE,"Tabl. A1 b";#N/A,#N/A,FALSE,"Tabl. A2";#N/A,#N/A,FALSE,"Tabl. A2-1";#N/A,#N/A,FALSE,"Tabl. A2-2"}</definedName>
    <definedName name="___________V2_2">{#N/A,#N/A,FALSE,"Tabl. A1";#N/A,#N/A,FALSE,"Tabl. A1 b";#N/A,#N/A,FALSE,"Tabl. A2";#N/A,#N/A,FALSE,"Tabl. A2-1";#N/A,#N/A,FALSE,"Tabl. A2-2"}</definedName>
    <definedName name="___________V2_3">{#N/A,#N/A,FALSE,"Tabl. A1";#N/A,#N/A,FALSE,"Tabl. A1 b";#N/A,#N/A,FALSE,"Tabl. A2";#N/A,#N/A,FALSE,"Tabl. A2-1";#N/A,#N/A,FALSE,"Tabl. A2-2"}</definedName>
    <definedName name="___________V2_4">{#N/A,#N/A,FALSE,"Tabl. A1";#N/A,#N/A,FALSE,"Tabl. A1 b";#N/A,#N/A,FALSE,"Tabl. A2";#N/A,#N/A,FALSE,"Tabl. A2-1";#N/A,#N/A,FALSE,"Tabl. A2-2"}</definedName>
    <definedName name="___________VAR13300">#REF!</definedName>
    <definedName name="___________VAR13502">#REF!</definedName>
    <definedName name="__________A11">{#N/A,#N/A,FALSE,"Umsatz 99";#N/A,#N/A,FALSE,"ER 99 "}</definedName>
    <definedName name="__________A11_1">{#N/A,#N/A,FALSE,"Umsatz 99";#N/A,#N/A,FALSE,"ER 99 "}</definedName>
    <definedName name="__________A11_2">{#N/A,#N/A,FALSE,"Umsatz 99";#N/A,#N/A,FALSE,"ER 99 "}</definedName>
    <definedName name="__________A11_3">{#N/A,#N/A,FALSE,"Umsatz 99";#N/A,#N/A,FALSE,"ER 99 "}</definedName>
    <definedName name="__________A11_4">{#N/A,#N/A,FALSE,"Umsatz 99";#N/A,#N/A,FALSE,"ER 99 "}</definedName>
    <definedName name="__________AMT13300">#REF!</definedName>
    <definedName name="__________AMT13502">#REF!</definedName>
    <definedName name="__________AMT41301">#REF!</definedName>
    <definedName name="__________AMT85116">#REF!</definedName>
    <definedName name="__________AMT85125">#REF!</definedName>
    <definedName name="__________AMT86106">#REF!</definedName>
    <definedName name="__________aug98">#REF!</definedName>
    <definedName name="__________bud9899">#REF!</definedName>
    <definedName name="__________c">{"Fiesta Facer Page",#N/A,FALSE,"Q_C_S";"Fiesta Main Page",#N/A,FALSE,"V_L";"Fiesta 95BP Struct",#N/A,FALSE,"StructBP";"Fiesta Post 95BP Struct",#N/A,FALSE,"AdjStructBP"}</definedName>
    <definedName name="__________c_1">{"Fiesta Facer Page",#N/A,FALSE,"Q_C_S";"Fiesta Main Page",#N/A,FALSE,"V_L";"Fiesta 95BP Struct",#N/A,FALSE,"StructBP";"Fiesta Post 95BP Struct",#N/A,FALSE,"AdjStructBP"}</definedName>
    <definedName name="__________c_2">{"Fiesta Facer Page",#N/A,FALSE,"Q_C_S";"Fiesta Main Page",#N/A,FALSE,"V_L";"Fiesta 95BP Struct",#N/A,FALSE,"StructBP";"Fiesta Post 95BP Struct",#N/A,FALSE,"AdjStructBP"}</definedName>
    <definedName name="__________c_3">{"Fiesta Facer Page",#N/A,FALSE,"Q_C_S";"Fiesta Main Page",#N/A,FALSE,"V_L";"Fiesta 95BP Struct",#N/A,FALSE,"StructBP";"Fiesta Post 95BP Struct",#N/A,FALSE,"AdjStructBP"}</definedName>
    <definedName name="__________c_4">{"Fiesta Facer Page",#N/A,FALSE,"Q_C_S";"Fiesta Main Page",#N/A,FALSE,"V_L";"Fiesta 95BP Struct",#N/A,FALSE,"StructBP";"Fiesta Post 95BP Struct",#N/A,FALSE,"AdjStructBP"}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5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2000">#REF!</definedName>
    <definedName name="__________oct98">#REF!</definedName>
    <definedName name="__________OUT13300">#REF!</definedName>
    <definedName name="__________OUT13502">#REF!</definedName>
    <definedName name="__________OUT41301">#REF!</definedName>
    <definedName name="__________OUT85116">#REF!</definedName>
    <definedName name="__________OUT85125">#REF!</definedName>
    <definedName name="__________OUT86106">#REF!</definedName>
    <definedName name="__________pl2">#REF!</definedName>
    <definedName name="__________QRA86106">#REF!</definedName>
    <definedName name="__________sal9899">#REF!</definedName>
    <definedName name="__________sep98">#REF!</definedName>
    <definedName name="__________V2">{#N/A,#N/A,FALSE,"Tabl. A1";#N/A,#N/A,FALSE,"Tabl. A1 b";#N/A,#N/A,FALSE,"Tabl. A2";#N/A,#N/A,FALSE,"Tabl. A2-1";#N/A,#N/A,FALSE,"Tabl. A2-2"}</definedName>
    <definedName name="__________V2_1">{#N/A,#N/A,FALSE,"Tabl. A1";#N/A,#N/A,FALSE,"Tabl. A1 b";#N/A,#N/A,FALSE,"Tabl. A2";#N/A,#N/A,FALSE,"Tabl. A2-1";#N/A,#N/A,FALSE,"Tabl. A2-2"}</definedName>
    <definedName name="__________V2_2">{#N/A,#N/A,FALSE,"Tabl. A1";#N/A,#N/A,FALSE,"Tabl. A1 b";#N/A,#N/A,FALSE,"Tabl. A2";#N/A,#N/A,FALSE,"Tabl. A2-1";#N/A,#N/A,FALSE,"Tabl. A2-2"}</definedName>
    <definedName name="__________V2_3">{#N/A,#N/A,FALSE,"Tabl. A1";#N/A,#N/A,FALSE,"Tabl. A1 b";#N/A,#N/A,FALSE,"Tabl. A2";#N/A,#N/A,FALSE,"Tabl. A2-1";#N/A,#N/A,FALSE,"Tabl. A2-2"}</definedName>
    <definedName name="__________V2_4">{#N/A,#N/A,FALSE,"Tabl. A1";#N/A,#N/A,FALSE,"Tabl. A1 b";#N/A,#N/A,FALSE,"Tabl. A2";#N/A,#N/A,FALSE,"Tabl. A2-1";#N/A,#N/A,FALSE,"Tabl. A2-2"}</definedName>
    <definedName name="__________VAR13300">#REF!</definedName>
    <definedName name="__________VAR13502">#REF!</definedName>
    <definedName name="_________A11">{#N/A,#N/A,FALSE,"Umsatz 99";#N/A,#N/A,FALSE,"ER 99 "}</definedName>
    <definedName name="_________A11_1">{#N/A,#N/A,FALSE,"Umsatz 99";#N/A,#N/A,FALSE,"ER 99 "}</definedName>
    <definedName name="_________A11_2">{#N/A,#N/A,FALSE,"Umsatz 99";#N/A,#N/A,FALSE,"ER 99 "}</definedName>
    <definedName name="_________A11_3">{#N/A,#N/A,FALSE,"Umsatz 99";#N/A,#N/A,FALSE,"ER 99 "}</definedName>
    <definedName name="_________A11_4">{#N/A,#N/A,FALSE,"Umsatz 99";#N/A,#N/A,FALSE,"ER 99 "}</definedName>
    <definedName name="_________AMT13300">#REF!</definedName>
    <definedName name="_________AMT13502">#REF!</definedName>
    <definedName name="_________AMT41301">#REF!</definedName>
    <definedName name="_________AMT85116">#REF!</definedName>
    <definedName name="_________AMT85125">#REF!</definedName>
    <definedName name="_________AMT86106">#REF!</definedName>
    <definedName name="_________aug98">#REF!</definedName>
    <definedName name="_________bud9899">#REF!</definedName>
    <definedName name="_________c">{"Fiesta Facer Page",#N/A,FALSE,"Q_C_S";"Fiesta Main Page",#N/A,FALSE,"V_L";"Fiesta 95BP Struct",#N/A,FALSE,"StructBP";"Fiesta Post 95BP Struct",#N/A,FALSE,"AdjStructBP"}</definedName>
    <definedName name="_________c_1">{"Fiesta Facer Page",#N/A,FALSE,"Q_C_S";"Fiesta Main Page",#N/A,FALSE,"V_L";"Fiesta 95BP Struct",#N/A,FALSE,"StructBP";"Fiesta Post 95BP Struct",#N/A,FALSE,"AdjStructBP"}</definedName>
    <definedName name="_________c_2">{"Fiesta Facer Page",#N/A,FALSE,"Q_C_S";"Fiesta Main Page",#N/A,FALSE,"V_L";"Fiesta 95BP Struct",#N/A,FALSE,"StructBP";"Fiesta Post 95BP Struct",#N/A,FALSE,"AdjStructBP"}</definedName>
    <definedName name="_________c_3">{"Fiesta Facer Page",#N/A,FALSE,"Q_C_S";"Fiesta Main Page",#N/A,FALSE,"V_L";"Fiesta 95BP Struct",#N/A,FALSE,"StructBP";"Fiesta Post 95BP Struct",#N/A,FALSE,"AdjStructBP"}</definedName>
    <definedName name="_________c_4">{"Fiesta Facer Page",#N/A,FALSE,"Q_C_S";"Fiesta Main Page",#N/A,FALSE,"V_L";"Fiesta 95BP Struct",#N/A,FALSE,"StructBP";"Fiesta Post 95BP Struct",#N/A,FALSE,"AdjStructBP"}</definedName>
    <definedName name="_________DAT1">#REF!</definedName>
    <definedName name="_________DAT10">#REF!</definedName>
    <definedName name="_________DAT11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2000">#REF!</definedName>
    <definedName name="_________mf12">#REF!</definedName>
    <definedName name="_________mfA12">#REF!</definedName>
    <definedName name="_________oct98">#REF!</definedName>
    <definedName name="_________OUT13300">#REF!</definedName>
    <definedName name="_________OUT13502">#REF!</definedName>
    <definedName name="_________OUT41301">#REF!</definedName>
    <definedName name="_________OUT85116">#REF!</definedName>
    <definedName name="_________OUT85125">#REF!</definedName>
    <definedName name="_________OUT86106">#REF!</definedName>
    <definedName name="_________pl2">#REF!</definedName>
    <definedName name="_________pwf320">#REF!</definedName>
    <definedName name="_________pwf326">#REF!</definedName>
    <definedName name="_________QRA86106">#REF!</definedName>
    <definedName name="_________sal9899">#REF!</definedName>
    <definedName name="_________sep98">#REF!</definedName>
    <definedName name="_________V2">{#N/A,#N/A,FALSE,"Tabl. A1";#N/A,#N/A,FALSE,"Tabl. A1 b";#N/A,#N/A,FALSE,"Tabl. A2";#N/A,#N/A,FALSE,"Tabl. A2-1";#N/A,#N/A,FALSE,"Tabl. A2-2"}</definedName>
    <definedName name="_________V2_1">{#N/A,#N/A,FALSE,"Tabl. A1";#N/A,#N/A,FALSE,"Tabl. A1 b";#N/A,#N/A,FALSE,"Tabl. A2";#N/A,#N/A,FALSE,"Tabl. A2-1";#N/A,#N/A,FALSE,"Tabl. A2-2"}</definedName>
    <definedName name="_________V2_2">{#N/A,#N/A,FALSE,"Tabl. A1";#N/A,#N/A,FALSE,"Tabl. A1 b";#N/A,#N/A,FALSE,"Tabl. A2";#N/A,#N/A,FALSE,"Tabl. A2-1";#N/A,#N/A,FALSE,"Tabl. A2-2"}</definedName>
    <definedName name="_________V2_3">{#N/A,#N/A,FALSE,"Tabl. A1";#N/A,#N/A,FALSE,"Tabl. A1 b";#N/A,#N/A,FALSE,"Tabl. A2";#N/A,#N/A,FALSE,"Tabl. A2-1";#N/A,#N/A,FALSE,"Tabl. A2-2"}</definedName>
    <definedName name="_________V2_4">{#N/A,#N/A,FALSE,"Tabl. A1";#N/A,#N/A,FALSE,"Tabl. A1 b";#N/A,#N/A,FALSE,"Tabl. A2";#N/A,#N/A,FALSE,"Tabl. A2-1";#N/A,#N/A,FALSE,"Tabl. A2-2"}</definedName>
    <definedName name="_________VAR13300">#REF!</definedName>
    <definedName name="_________VAR13502">#REF!</definedName>
    <definedName name="________3T02_GEAE_SCH6">#REF!</definedName>
    <definedName name="________A11">{#N/A,#N/A,FALSE,"Umsatz 99";#N/A,#N/A,FALSE,"ER 99 "}</definedName>
    <definedName name="________A11_1">{#N/A,#N/A,FALSE,"Umsatz 99";#N/A,#N/A,FALSE,"ER 99 "}</definedName>
    <definedName name="________A11_2">{#N/A,#N/A,FALSE,"Umsatz 99";#N/A,#N/A,FALSE,"ER 99 "}</definedName>
    <definedName name="________A11_3">{#N/A,#N/A,FALSE,"Umsatz 99";#N/A,#N/A,FALSE,"ER 99 "}</definedName>
    <definedName name="________A11_4">{#N/A,#N/A,FALSE,"Umsatz 99";#N/A,#N/A,FALSE,"ER 99 "}</definedName>
    <definedName name="________AMT13300">#REF!</definedName>
    <definedName name="________AMT13502">#REF!</definedName>
    <definedName name="________AMT41301">#REF!</definedName>
    <definedName name="________AMT85116">#REF!</definedName>
    <definedName name="________AMT85125">#REF!</definedName>
    <definedName name="________AMT86106">#REF!</definedName>
    <definedName name="________aug98">#REF!</definedName>
    <definedName name="________bud9899">#REF!</definedName>
    <definedName name="________c">{"Fiesta Facer Page",#N/A,FALSE,"Q_C_S";"Fiesta Main Page",#N/A,FALSE,"V_L";"Fiesta 95BP Struct",#N/A,FALSE,"StructBP";"Fiesta Post 95BP Struct",#N/A,FALSE,"AdjStructBP"}</definedName>
    <definedName name="________c_1">{"Fiesta Facer Page",#N/A,FALSE,"Q_C_S";"Fiesta Main Page",#N/A,FALSE,"V_L";"Fiesta 95BP Struct",#N/A,FALSE,"StructBP";"Fiesta Post 95BP Struct",#N/A,FALSE,"AdjStructBP"}</definedName>
    <definedName name="________c_2">{"Fiesta Facer Page",#N/A,FALSE,"Q_C_S";"Fiesta Main Page",#N/A,FALSE,"V_L";"Fiesta 95BP Struct",#N/A,FALSE,"StructBP";"Fiesta Post 95BP Struct",#N/A,FALSE,"AdjStructBP"}</definedName>
    <definedName name="________c_3">{"Fiesta Facer Page",#N/A,FALSE,"Q_C_S";"Fiesta Main Page",#N/A,FALSE,"V_L";"Fiesta 95BP Struct",#N/A,FALSE,"StructBP";"Fiesta Post 95BP Struct",#N/A,FALSE,"AdjStructBP"}</definedName>
    <definedName name="________c_4">{"Fiesta Facer Page",#N/A,FALSE,"Q_C_S";"Fiesta Main Page",#N/A,FALSE,"V_L";"Fiesta 95BP Struct",#N/A,FALSE,"StructBP";"Fiesta Post 95BP Struct",#N/A,FALSE,"AdjStructBP"}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2000">#REF!</definedName>
    <definedName name="________e1">#REF!</definedName>
    <definedName name="________mf12">#REF!</definedName>
    <definedName name="________mfA12">#REF!</definedName>
    <definedName name="________oct98">#REF!</definedName>
    <definedName name="________OUT13300">#REF!</definedName>
    <definedName name="________OUT13502">#REF!</definedName>
    <definedName name="________OUT41301">#REF!</definedName>
    <definedName name="________OUT85116">#REF!</definedName>
    <definedName name="________OUT85125">#REF!</definedName>
    <definedName name="________OUT86106">#REF!</definedName>
    <definedName name="________pl2">#REF!</definedName>
    <definedName name="________pwf320">#REF!</definedName>
    <definedName name="________pwf326">#REF!</definedName>
    <definedName name="________QRA86106">#REF!</definedName>
    <definedName name="________sal9899">#REF!</definedName>
    <definedName name="________sep98">#REF!</definedName>
    <definedName name="________V2">{#N/A,#N/A,FALSE,"Tabl. A1";#N/A,#N/A,FALSE,"Tabl. A1 b";#N/A,#N/A,FALSE,"Tabl. A2";#N/A,#N/A,FALSE,"Tabl. A2-1";#N/A,#N/A,FALSE,"Tabl. A2-2"}</definedName>
    <definedName name="________V2_1">{#N/A,#N/A,FALSE,"Tabl. A1";#N/A,#N/A,FALSE,"Tabl. A1 b";#N/A,#N/A,FALSE,"Tabl. A2";#N/A,#N/A,FALSE,"Tabl. A2-1";#N/A,#N/A,FALSE,"Tabl. A2-2"}</definedName>
    <definedName name="________V2_2">{#N/A,#N/A,FALSE,"Tabl. A1";#N/A,#N/A,FALSE,"Tabl. A1 b";#N/A,#N/A,FALSE,"Tabl. A2";#N/A,#N/A,FALSE,"Tabl. A2-1";#N/A,#N/A,FALSE,"Tabl. A2-2"}</definedName>
    <definedName name="________V2_3">{#N/A,#N/A,FALSE,"Tabl. A1";#N/A,#N/A,FALSE,"Tabl. A1 b";#N/A,#N/A,FALSE,"Tabl. A2";#N/A,#N/A,FALSE,"Tabl. A2-1";#N/A,#N/A,FALSE,"Tabl. A2-2"}</definedName>
    <definedName name="________V2_4">{#N/A,#N/A,FALSE,"Tabl. A1";#N/A,#N/A,FALSE,"Tabl. A1 b";#N/A,#N/A,FALSE,"Tabl. A2";#N/A,#N/A,FALSE,"Tabl. A2-1";#N/A,#N/A,FALSE,"Tabl. A2-2"}</definedName>
    <definedName name="________VAR13300">#REF!</definedName>
    <definedName name="________VAR13502">#REF!</definedName>
    <definedName name="_______3T02_GEAE_SCH6">#REF!</definedName>
    <definedName name="_______A11">{#N/A,#N/A,FALSE,"Umsatz 99";#N/A,#N/A,FALSE,"ER 99 "}</definedName>
    <definedName name="_______A11_1">{#N/A,#N/A,FALSE,"Umsatz 99";#N/A,#N/A,FALSE,"ER 99 "}</definedName>
    <definedName name="_______A11_2">{#N/A,#N/A,FALSE,"Umsatz 99";#N/A,#N/A,FALSE,"ER 99 "}</definedName>
    <definedName name="_______A11_3">{#N/A,#N/A,FALSE,"Umsatz 99";#N/A,#N/A,FALSE,"ER 99 "}</definedName>
    <definedName name="_______A11_4">{#N/A,#N/A,FALSE,"Umsatz 99";#N/A,#N/A,FALSE,"ER 99 "}</definedName>
    <definedName name="_______AD1">{#N/A,#N/A,FALSE,"Cash Flows";#N/A,#N/A,FALSE,"Fixed Assets";#N/A,#N/A,FALSE,"Balance Sheet";#N/A,#N/A,FALSE,"P &amp; L"}</definedName>
    <definedName name="_______AD2">{#N/A,#N/A,FALSE,"Cash Flows";#N/A,#N/A,FALSE,"Fixed Assets";#N/A,#N/A,FALSE,"Balance Sheet";#N/A,#N/A,FALSE,"P &amp; L"}</definedName>
    <definedName name="_______AD3">{#N/A,#N/A,FALSE,"Cash Flows";#N/A,#N/A,FALSE,"Fixed Assets";#N/A,#N/A,FALSE,"Balance Sheet";#N/A,#N/A,FALSE,"P &amp; L"}</definedName>
    <definedName name="_______AD5">{#N/A,#N/A,FALSE,"Cash Flows";#N/A,#N/A,FALSE,"Fixed Assets";#N/A,#N/A,FALSE,"Balance Sheet";#N/A,#N/A,FALSE,"P &amp; L"}</definedName>
    <definedName name="_______AD8">{#N/A,#N/A,FALSE,"Cash Flows";#N/A,#N/A,FALSE,"Fixed Assets";#N/A,#N/A,FALSE,"Balance Sheet";#N/A,#N/A,FALSE,"P &amp; L"}</definedName>
    <definedName name="_______AMT13300">#REF!</definedName>
    <definedName name="_______AMT13502">#REF!</definedName>
    <definedName name="_______AMT41301">#REF!</definedName>
    <definedName name="_______AMT85116">#REF!</definedName>
    <definedName name="_______AMT85125">#REF!</definedName>
    <definedName name="_______AMT86106">#REF!</definedName>
    <definedName name="_______aug98">#REF!</definedName>
    <definedName name="_______b1">#REF!</definedName>
    <definedName name="_______bud9899">#REF!</definedName>
    <definedName name="_______c">{"Fiesta Facer Page",#N/A,FALSE,"Q_C_S";"Fiesta Main Page",#N/A,FALSE,"V_L";"Fiesta 95BP Struct",#N/A,FALSE,"StructBP";"Fiesta Post 95BP Struct",#N/A,FALSE,"AdjStructBP"}</definedName>
    <definedName name="_______c_1">{"Fiesta Facer Page",#N/A,FALSE,"Q_C_S";"Fiesta Main Page",#N/A,FALSE,"V_L";"Fiesta 95BP Struct",#N/A,FALSE,"StructBP";"Fiesta Post 95BP Struct",#N/A,FALSE,"AdjStructBP"}</definedName>
    <definedName name="_______c_2">{"Fiesta Facer Page",#N/A,FALSE,"Q_C_S";"Fiesta Main Page",#N/A,FALSE,"V_L";"Fiesta 95BP Struct",#N/A,FALSE,"StructBP";"Fiesta Post 95BP Struct",#N/A,FALSE,"AdjStructBP"}</definedName>
    <definedName name="_______c_3">{"Fiesta Facer Page",#N/A,FALSE,"Q_C_S";"Fiesta Main Page",#N/A,FALSE,"V_L";"Fiesta 95BP Struct",#N/A,FALSE,"StructBP";"Fiesta Post 95BP Struct",#N/A,FALSE,"AdjStructBP"}</definedName>
    <definedName name="_______c_4">{"Fiesta Facer Page",#N/A,FALSE,"Q_C_S";"Fiesta Main Page",#N/A,FALSE,"V_L";"Fiesta 95BP Struct",#N/A,FALSE,"StructBP";"Fiesta Post 95BP Struct",#N/A,FALSE,"AdjStructBP"}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2000">#REF!</definedName>
    <definedName name="_______e1">#REF!</definedName>
    <definedName name="_______Jan05">Main.SAPF4Help()</definedName>
    <definedName name="_______Jan06">Main.SAPF4Help()</definedName>
    <definedName name="_______jul98">#REF!</definedName>
    <definedName name="_______jun98">#REF!</definedName>
    <definedName name="_______key1">#REF!</definedName>
    <definedName name="_____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___mf12">#REF!</definedName>
    <definedName name="_______mfA12">#REF!</definedName>
    <definedName name="_______oct98">#REF!</definedName>
    <definedName name="_______OUT13300">#REF!</definedName>
    <definedName name="_______OUT13502">#REF!</definedName>
    <definedName name="_______OUT41301">#REF!</definedName>
    <definedName name="_______OUT85116">#REF!</definedName>
    <definedName name="_______OUT85125">#REF!</definedName>
    <definedName name="_______OUT86106">#REF!</definedName>
    <definedName name="_______PG1">#REF!</definedName>
    <definedName name="_______PG6">#REF!</definedName>
    <definedName name="_______pl2">#REF!</definedName>
    <definedName name="_______pwf320">#REF!</definedName>
    <definedName name="_______pwf326">#REF!</definedName>
    <definedName name="_______QRA86106">#REF!</definedName>
    <definedName name="_______sal9899">#REF!</definedName>
    <definedName name="_______sep98">#REF!</definedName>
    <definedName name="_______V2">{#N/A,#N/A,FALSE,"Tabl. A1";#N/A,#N/A,FALSE,"Tabl. A1 b";#N/A,#N/A,FALSE,"Tabl. A2";#N/A,#N/A,FALSE,"Tabl. A2-1";#N/A,#N/A,FALSE,"Tabl. A2-2"}</definedName>
    <definedName name="_______V2_1">{#N/A,#N/A,FALSE,"Tabl. A1";#N/A,#N/A,FALSE,"Tabl. A1 b";#N/A,#N/A,FALSE,"Tabl. A2";#N/A,#N/A,FALSE,"Tabl. A2-1";#N/A,#N/A,FALSE,"Tabl. A2-2"}</definedName>
    <definedName name="_______V2_2">{#N/A,#N/A,FALSE,"Tabl. A1";#N/A,#N/A,FALSE,"Tabl. A1 b";#N/A,#N/A,FALSE,"Tabl. A2";#N/A,#N/A,FALSE,"Tabl. A2-1";#N/A,#N/A,FALSE,"Tabl. A2-2"}</definedName>
    <definedName name="_______V2_3">{#N/A,#N/A,FALSE,"Tabl. A1";#N/A,#N/A,FALSE,"Tabl. A1 b";#N/A,#N/A,FALSE,"Tabl. A2";#N/A,#N/A,FALSE,"Tabl. A2-1";#N/A,#N/A,FALSE,"Tabl. A2-2"}</definedName>
    <definedName name="_______V2_4">{#N/A,#N/A,FALSE,"Tabl. A1";#N/A,#N/A,FALSE,"Tabl. A1 b";#N/A,#N/A,FALSE,"Tabl. A2";#N/A,#N/A,FALSE,"Tabl. A2-1";#N/A,#N/A,FALSE,"Tabl. A2-2"}</definedName>
    <definedName name="_______VAR13300">#REF!</definedName>
    <definedName name="_______VAR13502">#REF!</definedName>
    <definedName name="______3T02_GEAE_SCH6">#REF!</definedName>
    <definedName name="______A11">{#N/A,#N/A,FALSE,"Umsatz 99";#N/A,#N/A,FALSE,"ER 99 "}</definedName>
    <definedName name="______A11_1">{#N/A,#N/A,FALSE,"Umsatz 99";#N/A,#N/A,FALSE,"ER 99 "}</definedName>
    <definedName name="______A11_2">{#N/A,#N/A,FALSE,"Umsatz 99";#N/A,#N/A,FALSE,"ER 99 "}</definedName>
    <definedName name="______A11_3">{#N/A,#N/A,FALSE,"Umsatz 99";#N/A,#N/A,FALSE,"ER 99 "}</definedName>
    <definedName name="______A11_4">{#N/A,#N/A,FALSE,"Umsatz 99";#N/A,#N/A,FALSE,"ER 99 "}</definedName>
    <definedName name="______ACK1">#REF!</definedName>
    <definedName name="______AD1">{#N/A,#N/A,FALSE,"Cash Flows";#N/A,#N/A,FALSE,"Fixed Assets";#N/A,#N/A,FALSE,"Balance Sheet";#N/A,#N/A,FALSE,"P &amp; L"}</definedName>
    <definedName name="______AD2">{#N/A,#N/A,FALSE,"Cash Flows";#N/A,#N/A,FALSE,"Fixed Assets";#N/A,#N/A,FALSE,"Balance Sheet";#N/A,#N/A,FALSE,"P &amp; L"}</definedName>
    <definedName name="______AD3">{#N/A,#N/A,FALSE,"Cash Flows";#N/A,#N/A,FALSE,"Fixed Assets";#N/A,#N/A,FALSE,"Balance Sheet";#N/A,#N/A,FALSE,"P &amp; L"}</definedName>
    <definedName name="______AD5">{#N/A,#N/A,FALSE,"Cash Flows";#N/A,#N/A,FALSE,"Fixed Assets";#N/A,#N/A,FALSE,"Balance Sheet";#N/A,#N/A,FALSE,"P &amp; L"}</definedName>
    <definedName name="______AD8">{#N/A,#N/A,FALSE,"Cash Flows";#N/A,#N/A,FALSE,"Fixed Assets";#N/A,#N/A,FALSE,"Balance Sheet";#N/A,#N/A,FALSE,"P &amp; L"}</definedName>
    <definedName name="______AMT13300">#REF!</definedName>
    <definedName name="______AMT13502">#REF!</definedName>
    <definedName name="______AMT41301">#REF!</definedName>
    <definedName name="______AMT85116">#REF!</definedName>
    <definedName name="______AMT85125">#REF!</definedName>
    <definedName name="______AMT86106">#REF!</definedName>
    <definedName name="______aug98">#REF!</definedName>
    <definedName name="______b1">#REF!</definedName>
    <definedName name="______bgt6">#REF!</definedName>
    <definedName name="______bud9899">#REF!</definedName>
    <definedName name="______c">{"Fiesta Facer Page",#N/A,FALSE,"Q_C_S";"Fiesta Main Page",#N/A,FALSE,"V_L";"Fiesta 95BP Struct",#N/A,FALSE,"StructBP";"Fiesta Post 95BP Struct",#N/A,FALSE,"AdjStructBP"}</definedName>
    <definedName name="______c_1">{"Fiesta Facer Page",#N/A,FALSE,"Q_C_S";"Fiesta Main Page",#N/A,FALSE,"V_L";"Fiesta 95BP Struct",#N/A,FALSE,"StructBP";"Fiesta Post 95BP Struct",#N/A,FALSE,"AdjStructBP"}</definedName>
    <definedName name="______c_2">{"Fiesta Facer Page",#N/A,FALSE,"Q_C_S";"Fiesta Main Page",#N/A,FALSE,"V_L";"Fiesta 95BP Struct",#N/A,FALSE,"StructBP";"Fiesta Post 95BP Struct",#N/A,FALSE,"AdjStructBP"}</definedName>
    <definedName name="______c_3">{"Fiesta Facer Page",#N/A,FALSE,"Q_C_S";"Fiesta Main Page",#N/A,FALSE,"V_L";"Fiesta 95BP Struct",#N/A,FALSE,"StructBP";"Fiesta Post 95BP Struct",#N/A,FALSE,"AdjStructBP"}</definedName>
    <definedName name="______c_4">{"Fiesta Facer Page",#N/A,FALSE,"Q_C_S";"Fiesta Main Page",#N/A,FALSE,"V_L";"Fiesta 95BP Struct",#N/A,FALSE,"StructBP";"Fiesta Post 95BP Struct",#N/A,FALSE,"AdjStructBP"}</definedName>
    <definedName name="______DAT1">#REF!</definedName>
    <definedName name="______DAT10">#REF!</definedName>
    <definedName name="______DAT11">#REF!</definedName>
    <definedName name="______DAT1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2000">#REF!</definedName>
    <definedName name="______e1">#REF!</definedName>
    <definedName name="______Jan05">Main.SAPF4Help()</definedName>
    <definedName name="______Jan06">Main.SAPF4Help()</definedName>
    <definedName name="______jul98">#REF!</definedName>
    <definedName name="______jun98">#REF!</definedName>
    <definedName name="______key1">#REF!</definedName>
    <definedName name="____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__mf12">#REF!</definedName>
    <definedName name="______mfA12">#REF!</definedName>
    <definedName name="______oct98">#REF!</definedName>
    <definedName name="______OUT13300">#REF!</definedName>
    <definedName name="______OUT13502">#REF!</definedName>
    <definedName name="______OUT41301">#REF!</definedName>
    <definedName name="______OUT85116">#REF!</definedName>
    <definedName name="______OUT85125">#REF!</definedName>
    <definedName name="______OUT86106">#REF!</definedName>
    <definedName name="______P1">#REF!</definedName>
    <definedName name="______PG1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l2">#REF!</definedName>
    <definedName name="______pwf320">#REF!</definedName>
    <definedName name="______pwf326">#REF!</definedName>
    <definedName name="______QRA86106">#REF!</definedName>
    <definedName name="______sal9899">#REF!</definedName>
    <definedName name="______Sch12">#REF!</definedName>
    <definedName name="______SCH2">#REF!</definedName>
    <definedName name="______Sch456">#REF!</definedName>
    <definedName name="______Sch4567">#REF!</definedName>
    <definedName name="______Sch467">#REF!</definedName>
    <definedName name="______sep98">#REF!</definedName>
    <definedName name="______TAX1">#REF!</definedName>
    <definedName name="______V2">{#N/A,#N/A,FALSE,"Tabl. A1";#N/A,#N/A,FALSE,"Tabl. A1 b";#N/A,#N/A,FALSE,"Tabl. A2";#N/A,#N/A,FALSE,"Tabl. A2-1";#N/A,#N/A,FALSE,"Tabl. A2-2"}</definedName>
    <definedName name="______V2_1">{#N/A,#N/A,FALSE,"Tabl. A1";#N/A,#N/A,FALSE,"Tabl. A1 b";#N/A,#N/A,FALSE,"Tabl. A2";#N/A,#N/A,FALSE,"Tabl. A2-1";#N/A,#N/A,FALSE,"Tabl. A2-2"}</definedName>
    <definedName name="______V2_2">{#N/A,#N/A,FALSE,"Tabl. A1";#N/A,#N/A,FALSE,"Tabl. A1 b";#N/A,#N/A,FALSE,"Tabl. A2";#N/A,#N/A,FALSE,"Tabl. A2-1";#N/A,#N/A,FALSE,"Tabl. A2-2"}</definedName>
    <definedName name="______V2_3">{#N/A,#N/A,FALSE,"Tabl. A1";#N/A,#N/A,FALSE,"Tabl. A1 b";#N/A,#N/A,FALSE,"Tabl. A2";#N/A,#N/A,FALSE,"Tabl. A2-1";#N/A,#N/A,FALSE,"Tabl. A2-2"}</definedName>
    <definedName name="______V2_4">{#N/A,#N/A,FALSE,"Tabl. A1";#N/A,#N/A,FALSE,"Tabl. A1 b";#N/A,#N/A,FALSE,"Tabl. A2";#N/A,#N/A,FALSE,"Tabl. A2-1";#N/A,#N/A,FALSE,"Tabl. A2-2"}</definedName>
    <definedName name="______VAR13300">#REF!</definedName>
    <definedName name="______VAR13502">#REF!</definedName>
    <definedName name="_____3T02_GEAE_SCH6">#REF!</definedName>
    <definedName name="_____A11">{#N/A,#N/A,FALSE,"Umsatz 99";#N/A,#N/A,FALSE,"ER 99 "}</definedName>
    <definedName name="_____A11_1">{#N/A,#N/A,FALSE,"Umsatz 99";#N/A,#N/A,FALSE,"ER 99 "}</definedName>
    <definedName name="_____A11_2">{#N/A,#N/A,FALSE,"Umsatz 99";#N/A,#N/A,FALSE,"ER 99 "}</definedName>
    <definedName name="_____A11_3">{#N/A,#N/A,FALSE,"Umsatz 99";#N/A,#N/A,FALSE,"ER 99 "}</definedName>
    <definedName name="_____A11_4">{#N/A,#N/A,FALSE,"Umsatz 99";#N/A,#N/A,FALSE,"ER 99 "}</definedName>
    <definedName name="_____ACK1">#REF!</definedName>
    <definedName name="_____AD1">{#N/A,#N/A,FALSE,"Cash Flows";#N/A,#N/A,FALSE,"Fixed Assets";#N/A,#N/A,FALSE,"Balance Sheet";#N/A,#N/A,FALSE,"P &amp; L"}</definedName>
    <definedName name="_____AD2">{#N/A,#N/A,FALSE,"Cash Flows";#N/A,#N/A,FALSE,"Fixed Assets";#N/A,#N/A,FALSE,"Balance Sheet";#N/A,#N/A,FALSE,"P &amp; L"}</definedName>
    <definedName name="_____AD3">{#N/A,#N/A,FALSE,"Cash Flows";#N/A,#N/A,FALSE,"Fixed Assets";#N/A,#N/A,FALSE,"Balance Sheet";#N/A,#N/A,FALSE,"P &amp; L"}</definedName>
    <definedName name="_____AD5">{#N/A,#N/A,FALSE,"Cash Flows";#N/A,#N/A,FALSE,"Fixed Assets";#N/A,#N/A,FALSE,"Balance Sheet";#N/A,#N/A,FALSE,"P &amp; L"}</definedName>
    <definedName name="_____AD8">{#N/A,#N/A,FALSE,"Cash Flows";#N/A,#N/A,FALSE,"Fixed Assets";#N/A,#N/A,FALSE,"Balance Sheet";#N/A,#N/A,FALSE,"P &amp; L"}</definedName>
    <definedName name="_____AMT13300">#REF!</definedName>
    <definedName name="_____AMT13502">#REF!</definedName>
    <definedName name="_____AMT41301">#REF!</definedName>
    <definedName name="_____AMT85116">#REF!</definedName>
    <definedName name="_____AMT85125">#REF!</definedName>
    <definedName name="_____AMT86106">#REF!</definedName>
    <definedName name="_____aug98">#REF!</definedName>
    <definedName name="_____b1">#REF!</definedName>
    <definedName name="_____bgt6">#REF!</definedName>
    <definedName name="_____bud9899">#REF!</definedName>
    <definedName name="_____c">{"Fiesta Facer Page",#N/A,FALSE,"Q_C_S";"Fiesta Main Page",#N/A,FALSE,"V_L";"Fiesta 95BP Struct",#N/A,FALSE,"StructBP";"Fiesta Post 95BP Struct",#N/A,FALSE,"AdjStructBP"}</definedName>
    <definedName name="_____c_1">{"Fiesta Facer Page",#N/A,FALSE,"Q_C_S";"Fiesta Main Page",#N/A,FALSE,"V_L";"Fiesta 95BP Struct",#N/A,FALSE,"StructBP";"Fiesta Post 95BP Struct",#N/A,FALSE,"AdjStructBP"}</definedName>
    <definedName name="_____c_2">{"Fiesta Facer Page",#N/A,FALSE,"Q_C_S";"Fiesta Main Page",#N/A,FALSE,"V_L";"Fiesta 95BP Struct",#N/A,FALSE,"StructBP";"Fiesta Post 95BP Struct",#N/A,FALSE,"AdjStructBP"}</definedName>
    <definedName name="_____c_3">{"Fiesta Facer Page",#N/A,FALSE,"Q_C_S";"Fiesta Main Page",#N/A,FALSE,"V_L";"Fiesta 95BP Struct",#N/A,FALSE,"StructBP";"Fiesta Post 95BP Struct",#N/A,FALSE,"AdjStructBP"}</definedName>
    <definedName name="_____c_4">{"Fiesta Facer Page",#N/A,FALSE,"Q_C_S";"Fiesta Main Page",#N/A,FALSE,"V_L";"Fiesta 95BP Struct",#N/A,FALSE,"StructBP";"Fiesta Post 95BP Struct",#N/A,FALSE,"AdjStructBP"}</definedName>
    <definedName name="_____CUS1">#REF!</definedName>
    <definedName name="_____CUS2">#REF!</definedName>
    <definedName name="_____CUS3">#REF!</definedName>
    <definedName name="_____CUS4">#REF!</definedName>
    <definedName name="_____DAT1">#REF!</definedName>
    <definedName name="_____DAT10">#REF!</definedName>
    <definedName name="_____DAT11">#REF!</definedName>
    <definedName name="_____DAT1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2000">#REF!</definedName>
    <definedName name="_____dep1">#REF!</definedName>
    <definedName name="_____dep2004">#REF!</definedName>
    <definedName name="_____e1">#REF!</definedName>
    <definedName name="_____INC9900">#REF!</definedName>
    <definedName name="_____Jan05">Main.SAPF4Help()</definedName>
    <definedName name="_____Jan06">Main.SAPF4Help()</definedName>
    <definedName name="_____jul98">#REF!</definedName>
    <definedName name="_____jun98">#REF!</definedName>
    <definedName name="_____key1">#REF!</definedName>
    <definedName name="___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_mf12">#REF!</definedName>
    <definedName name="_____mfA12">#REF!</definedName>
    <definedName name="_____MV200405">#REF!</definedName>
    <definedName name="_____oct98">#REF!</definedName>
    <definedName name="_____OUT13300">#REF!</definedName>
    <definedName name="_____OUT13502">#REF!</definedName>
    <definedName name="_____OUT41301">#REF!</definedName>
    <definedName name="_____OUT85116">#REF!</definedName>
    <definedName name="_____OUT85125">#REF!</definedName>
    <definedName name="_____OUT86106">#REF!</definedName>
    <definedName name="_____P1">#REF!</definedName>
    <definedName name="_____PG1">#REF!</definedName>
    <definedName name="_____pg10">#REF!</definedName>
    <definedName name="_____pg11">#REF!</definedName>
    <definedName name="_____pg13">#REF!</definedName>
    <definedName name="_____pg14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8">#REF!</definedName>
    <definedName name="_____pg9">#REF!</definedName>
    <definedName name="_____pl2">#REF!</definedName>
    <definedName name="_____pr10">#REF!</definedName>
    <definedName name="_____pwf320">#REF!</definedName>
    <definedName name="_____pwf326">#REF!</definedName>
    <definedName name="_____QRA86106">#REF!</definedName>
    <definedName name="_____ra16">#REF!</definedName>
    <definedName name="___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_sal9899">#REF!</definedName>
    <definedName name="_____SCH111213">#REF!</definedName>
    <definedName name="_____Sch12">#REF!</definedName>
    <definedName name="_____sch1314">#REF!</definedName>
    <definedName name="_____SCH1415">#REF!</definedName>
    <definedName name="_____SCH1519">#REF!</definedName>
    <definedName name="_____SCH2">#REF!</definedName>
    <definedName name="_____sch34">#REF!</definedName>
    <definedName name="_____Sch456">#REF!</definedName>
    <definedName name="_____Sch4567">#REF!</definedName>
    <definedName name="_____Sch467">#REF!</definedName>
    <definedName name="_____sep98">#REF!</definedName>
    <definedName name="_____TAX1">#REF!</definedName>
    <definedName name="_____usl1">#REF!</definedName>
    <definedName name="_____V2">{#N/A,#N/A,FALSE,"Tabl. A1";#N/A,#N/A,FALSE,"Tabl. A1 b";#N/A,#N/A,FALSE,"Tabl. A2";#N/A,#N/A,FALSE,"Tabl. A2-1";#N/A,#N/A,FALSE,"Tabl. A2-2"}</definedName>
    <definedName name="_____V2_1">{#N/A,#N/A,FALSE,"Tabl. A1";#N/A,#N/A,FALSE,"Tabl. A1 b";#N/A,#N/A,FALSE,"Tabl. A2";#N/A,#N/A,FALSE,"Tabl. A2-1";#N/A,#N/A,FALSE,"Tabl. A2-2"}</definedName>
    <definedName name="_____V2_2">{#N/A,#N/A,FALSE,"Tabl. A1";#N/A,#N/A,FALSE,"Tabl. A1 b";#N/A,#N/A,FALSE,"Tabl. A2";#N/A,#N/A,FALSE,"Tabl. A2-1";#N/A,#N/A,FALSE,"Tabl. A2-2"}</definedName>
    <definedName name="_____V2_3">{#N/A,#N/A,FALSE,"Tabl. A1";#N/A,#N/A,FALSE,"Tabl. A1 b";#N/A,#N/A,FALSE,"Tabl. A2";#N/A,#N/A,FALSE,"Tabl. A2-1";#N/A,#N/A,FALSE,"Tabl. A2-2"}</definedName>
    <definedName name="_____V2_4">{#N/A,#N/A,FALSE,"Tabl. A1";#N/A,#N/A,FALSE,"Tabl. A1 b";#N/A,#N/A,FALSE,"Tabl. A2";#N/A,#N/A,FALSE,"Tabl. A2-1";#N/A,#N/A,FALSE,"Tabl. A2-2"}</definedName>
    <definedName name="_____VAR13300">#REF!</definedName>
    <definedName name="_____VAR13502">#REF!</definedName>
    <definedName name="____3T02_GEAE_SCH6">#REF!</definedName>
    <definedName name="____A11">{#N/A,#N/A,FALSE,"Umsatz 99";#N/A,#N/A,FALSE,"ER 99 "}</definedName>
    <definedName name="____A11_1">{#N/A,#N/A,FALSE,"Umsatz 99";#N/A,#N/A,FALSE,"ER 99 "}</definedName>
    <definedName name="____A11_2">{#N/A,#N/A,FALSE,"Umsatz 99";#N/A,#N/A,FALSE,"ER 99 "}</definedName>
    <definedName name="____A11_3">{#N/A,#N/A,FALSE,"Umsatz 99";#N/A,#N/A,FALSE,"ER 99 "}</definedName>
    <definedName name="____A11_4">{#N/A,#N/A,FALSE,"Umsatz 99";#N/A,#N/A,FALSE,"ER 99 "}</definedName>
    <definedName name="____ACK1">#REF!</definedName>
    <definedName name="____AD1">{#N/A,#N/A,FALSE,"Cash Flows";#N/A,#N/A,FALSE,"Fixed Assets";#N/A,#N/A,FALSE,"Balance Sheet";#N/A,#N/A,FALSE,"P &amp; L"}</definedName>
    <definedName name="____AD2">{#N/A,#N/A,FALSE,"Cash Flows";#N/A,#N/A,FALSE,"Fixed Assets";#N/A,#N/A,FALSE,"Balance Sheet";#N/A,#N/A,FALSE,"P &amp; L"}</definedName>
    <definedName name="____AD3">{#N/A,#N/A,FALSE,"Cash Flows";#N/A,#N/A,FALSE,"Fixed Assets";#N/A,#N/A,FALSE,"Balance Sheet";#N/A,#N/A,FALSE,"P &amp; L"}</definedName>
    <definedName name="____AD5">{#N/A,#N/A,FALSE,"Cash Flows";#N/A,#N/A,FALSE,"Fixed Assets";#N/A,#N/A,FALSE,"Balance Sheet";#N/A,#N/A,FALSE,"P &amp; L"}</definedName>
    <definedName name="____AD8">{#N/A,#N/A,FALSE,"Cash Flows";#N/A,#N/A,FALSE,"Fixed Assets";#N/A,#N/A,FALSE,"Balance Sheet";#N/A,#N/A,FALSE,"P &amp; L"}</definedName>
    <definedName name="____AMT13300">#REF!</definedName>
    <definedName name="____AMT13502">#REF!</definedName>
    <definedName name="____AMT41301">#REF!</definedName>
    <definedName name="____AMT85116">#REF!</definedName>
    <definedName name="____AMT85125">#REF!</definedName>
    <definedName name="____AMT86106">#REF!</definedName>
    <definedName name="____aug98">#REF!</definedName>
    <definedName name="____b1">#REF!</definedName>
    <definedName name="____B2">#REF!</definedName>
    <definedName name="____bgt6">#REF!</definedName>
    <definedName name="____bud9899">#REF!</definedName>
    <definedName name="____c">{"Fiesta Facer Page",#N/A,FALSE,"Q_C_S";"Fiesta Main Page",#N/A,FALSE,"V_L";"Fiesta 95BP Struct",#N/A,FALSE,"StructBP";"Fiesta Post 95BP Struct",#N/A,FALSE,"AdjStructBP"}</definedName>
    <definedName name="____c_1">{"Fiesta Facer Page",#N/A,FALSE,"Q_C_S";"Fiesta Main Page",#N/A,FALSE,"V_L";"Fiesta 95BP Struct",#N/A,FALSE,"StructBP";"Fiesta Post 95BP Struct",#N/A,FALSE,"AdjStructBP"}</definedName>
    <definedName name="____c_2">{"Fiesta Facer Page",#N/A,FALSE,"Q_C_S";"Fiesta Main Page",#N/A,FALSE,"V_L";"Fiesta 95BP Struct",#N/A,FALSE,"StructBP";"Fiesta Post 95BP Struct",#N/A,FALSE,"AdjStructBP"}</definedName>
    <definedName name="____c_3">{"Fiesta Facer Page",#N/A,FALSE,"Q_C_S";"Fiesta Main Page",#N/A,FALSE,"V_L";"Fiesta 95BP Struct",#N/A,FALSE,"StructBP";"Fiesta Post 95BP Struct",#N/A,FALSE,"AdjStructBP"}</definedName>
    <definedName name="____c_4">{"Fiesta Facer Page",#N/A,FALSE,"Q_C_S";"Fiesta Main Page",#N/A,FALSE,"V_L";"Fiesta 95BP Struct",#N/A,FALSE,"StructBP";"Fiesta Post 95BP Struct",#N/A,FALSE,"AdjStructBP"}</definedName>
    <definedName name="____C80000">#REF!</definedName>
    <definedName name="____CUS1">#REF!</definedName>
    <definedName name="____CUS2">#REF!</definedName>
    <definedName name="____CUS3">#REF!</definedName>
    <definedName name="____CUS4">#REF!</definedName>
    <definedName name="____DAT1">#REF!</definedName>
    <definedName name="____DAT10">#REF!</definedName>
    <definedName name="____DAT11">#REF!</definedName>
    <definedName name="____DAT1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2000">#REF!</definedName>
    <definedName name="____dep1">#REF!</definedName>
    <definedName name="____dep2004">#REF!</definedName>
    <definedName name="____e1">#REF!</definedName>
    <definedName name="____f06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INC9900">#REF!</definedName>
    <definedName name="____Jan05">Main.SAPF4Help()</definedName>
    <definedName name="____Jan06">Main.SAPF4Help()</definedName>
    <definedName name="____jul98">#REF!</definedName>
    <definedName name="____jun98">#REF!</definedName>
    <definedName name="____key1">#REF!</definedName>
    <definedName name="____ku1">#REF!</definedName>
    <definedName name="____ku2">#REF!</definedName>
    <definedName name="____M10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mf12">#REF!</definedName>
    <definedName name="____mfA12">#REF!</definedName>
    <definedName name="____mm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V200405">#REF!</definedName>
    <definedName name="____Nov2004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Nov2005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O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o2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oct98">#REF!</definedName>
    <definedName name="____O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OUT13300">#REF!</definedName>
    <definedName name="____OUT13502">#REF!</definedName>
    <definedName name="____OUT41301">#REF!</definedName>
    <definedName name="____OUT85116">#REF!</definedName>
    <definedName name="____OUT85125">#REF!</definedName>
    <definedName name="____OUT86106">#REF!</definedName>
    <definedName name="____P1">#REF!</definedName>
    <definedName name="____PG1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l2">#REF!</definedName>
    <definedName name="____pr10">#REF!</definedName>
    <definedName name="____pwf320">#REF!</definedName>
    <definedName name="____pwf326">#REF!</definedName>
    <definedName name="____QRA86106">#REF!</definedName>
    <definedName name="__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sad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sad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sal9899">#REF!</definedName>
    <definedName name="____SCH1">#REF!</definedName>
    <definedName name="____SCH111213">#REF!</definedName>
    <definedName name="____Sch12">#REF!</definedName>
    <definedName name="____sch1314">#REF!</definedName>
    <definedName name="____SCH1415">#REF!</definedName>
    <definedName name="____SCH1519">#REF!</definedName>
    <definedName name="____SCH2">#REF!</definedName>
    <definedName name="____SCH3">#REF!</definedName>
    <definedName name="____sch34">#REF!</definedName>
    <definedName name="____Sch456">#REF!</definedName>
    <definedName name="____Sch4567">#REF!</definedName>
    <definedName name="____Sch467">#REF!</definedName>
    <definedName name="____sep98">#REF!</definedName>
    <definedName name="____TAX1">#REF!</definedName>
    <definedName name="____tt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V2">{#N/A,#N/A,FALSE,"Tabl. A1";#N/A,#N/A,FALSE,"Tabl. A1 b";#N/A,#N/A,FALSE,"Tabl. A2";#N/A,#N/A,FALSE,"Tabl. A2-1";#N/A,#N/A,FALSE,"Tabl. A2-2"}</definedName>
    <definedName name="____V2_1">{#N/A,#N/A,FALSE,"Tabl. A1";#N/A,#N/A,FALSE,"Tabl. A1 b";#N/A,#N/A,FALSE,"Tabl. A2";#N/A,#N/A,FALSE,"Tabl. A2-1";#N/A,#N/A,FALSE,"Tabl. A2-2"}</definedName>
    <definedName name="____V2_2">{#N/A,#N/A,FALSE,"Tabl. A1";#N/A,#N/A,FALSE,"Tabl. A1 b";#N/A,#N/A,FALSE,"Tabl. A2";#N/A,#N/A,FALSE,"Tabl. A2-1";#N/A,#N/A,FALSE,"Tabl. A2-2"}</definedName>
    <definedName name="____V2_3">{#N/A,#N/A,FALSE,"Tabl. A1";#N/A,#N/A,FALSE,"Tabl. A1 b";#N/A,#N/A,FALSE,"Tabl. A2";#N/A,#N/A,FALSE,"Tabl. A2-1";#N/A,#N/A,FALSE,"Tabl. A2-2"}</definedName>
    <definedName name="____V2_4">{#N/A,#N/A,FALSE,"Tabl. A1";#N/A,#N/A,FALSE,"Tabl. A1 b";#N/A,#N/A,FALSE,"Tabl. A2";#N/A,#N/A,FALSE,"Tabl. A2-1";#N/A,#N/A,FALSE,"Tabl. A2-2"}</definedName>
    <definedName name="____VAR13300">#REF!</definedName>
    <definedName name="____VAR13502">#REF!</definedName>
    <definedName name="____xx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z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z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1">{#N/A,#N/A,FALSE,"Cash Flows";#N/A,#N/A,FALSE,"Fixed Assets";#N/A,#N/A,FALSE,"Balance Sheet";#N/A,#N/A,FALSE,"P &amp; L"}</definedName>
    <definedName name="___3T02_GEAE_SCH6">#REF!</definedName>
    <definedName name="___A1">#REF!</definedName>
    <definedName name="___A11">{#N/A,#N/A,FALSE,"Umsatz 99";#N/A,#N/A,FALSE,"ER 99 "}</definedName>
    <definedName name="___A11_1">{#N/A,#N/A,FALSE,"Umsatz 99";#N/A,#N/A,FALSE,"ER 99 "}</definedName>
    <definedName name="___A11_2">{#N/A,#N/A,FALSE,"Umsatz 99";#N/A,#N/A,FALSE,"ER 99 "}</definedName>
    <definedName name="___A11_3">{#N/A,#N/A,FALSE,"Umsatz 99";#N/A,#N/A,FALSE,"ER 99 "}</definedName>
    <definedName name="___A11_4">{#N/A,#N/A,FALSE,"Umsatz 99";#N/A,#N/A,FALSE,"ER 99 "}</definedName>
    <definedName name="___ACK1">#REF!</definedName>
    <definedName name="___AD1">{#N/A,#N/A,FALSE,"Cash Flows";#N/A,#N/A,FALSE,"Fixed Assets";#N/A,#N/A,FALSE,"Balance Sheet";#N/A,#N/A,FALSE,"P &amp; L"}</definedName>
    <definedName name="___AD2">{#N/A,#N/A,FALSE,"Cash Flows";#N/A,#N/A,FALSE,"Fixed Assets";#N/A,#N/A,FALSE,"Balance Sheet";#N/A,#N/A,FALSE,"P &amp; L"}</definedName>
    <definedName name="___AD3">{#N/A,#N/A,FALSE,"Cash Flows";#N/A,#N/A,FALSE,"Fixed Assets";#N/A,#N/A,FALSE,"Balance Sheet";#N/A,#N/A,FALSE,"P &amp; L"}</definedName>
    <definedName name="___AD5">{#N/A,#N/A,FALSE,"Cash Flows";#N/A,#N/A,FALSE,"Fixed Assets";#N/A,#N/A,FALSE,"Balance Sheet";#N/A,#N/A,FALSE,"P &amp; L"}</definedName>
    <definedName name="___AD8">{#N/A,#N/A,FALSE,"Cash Flows";#N/A,#N/A,FALSE,"Fixed Assets";#N/A,#N/A,FALSE,"Balance Sheet";#N/A,#N/A,FALSE,"P &amp; L"}</definedName>
    <definedName name="___AMT13300">#REF!</definedName>
    <definedName name="___AMT13502">#REF!</definedName>
    <definedName name="___AMT41301">#REF!</definedName>
    <definedName name="___AMT85116">#REF!</definedName>
    <definedName name="___AMT85125">#REF!</definedName>
    <definedName name="___AMT86106">#REF!</definedName>
    <definedName name="___aug98">#REF!</definedName>
    <definedName name="___b1">#REF!</definedName>
    <definedName name="___B2">#REF!</definedName>
    <definedName name="___bgt6">#REF!</definedName>
    <definedName name="___bud9899">#REF!</definedName>
    <definedName name="___c">{"Fiesta Facer Page",#N/A,FALSE,"Q_C_S";"Fiesta Main Page",#N/A,FALSE,"V_L";"Fiesta 95BP Struct",#N/A,FALSE,"StructBP";"Fiesta Post 95BP Struct",#N/A,FALSE,"AdjStructBP"}</definedName>
    <definedName name="___c_1">{"Fiesta Facer Page",#N/A,FALSE,"Q_C_S";"Fiesta Main Page",#N/A,FALSE,"V_L";"Fiesta 95BP Struct",#N/A,FALSE,"StructBP";"Fiesta Post 95BP Struct",#N/A,FALSE,"AdjStructBP"}</definedName>
    <definedName name="___c_2">{"Fiesta Facer Page",#N/A,FALSE,"Q_C_S";"Fiesta Main Page",#N/A,FALSE,"V_L";"Fiesta 95BP Struct",#N/A,FALSE,"StructBP";"Fiesta Post 95BP Struct",#N/A,FALSE,"AdjStructBP"}</definedName>
    <definedName name="___c_3">{"Fiesta Facer Page",#N/A,FALSE,"Q_C_S";"Fiesta Main Page",#N/A,FALSE,"V_L";"Fiesta 95BP Struct",#N/A,FALSE,"StructBP";"Fiesta Post 95BP Struct",#N/A,FALSE,"AdjStructBP"}</definedName>
    <definedName name="___c_4">{"Fiesta Facer Page",#N/A,FALSE,"Q_C_S";"Fiesta Main Page",#N/A,FALSE,"V_L";"Fiesta 95BP Struct",#N/A,FALSE,"StructBP";"Fiesta Post 95BP Struct",#N/A,FALSE,"AdjStructBP"}</definedName>
    <definedName name="___C80000">#REF!</definedName>
    <definedName name="___COM1">#REF!</definedName>
    <definedName name="___DAT1">#REF!</definedName>
    <definedName name="___DAT10">#REF!</definedName>
    <definedName name="___DAT11">#REF!</definedName>
    <definedName name="___DAT1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2000">#REF!</definedName>
    <definedName name="___dep1">#REF!</definedName>
    <definedName name="___dep2004">#REF!</definedName>
    <definedName name="___e1">#REF!</definedName>
    <definedName name="___Exp1">#REF!</definedName>
    <definedName name="___f06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iNC1">#REF!</definedName>
    <definedName name="___INC9900">#REF!</definedName>
    <definedName name="___INDEX_SHEET___ASAP_Utilities">#REF!</definedName>
    <definedName name="___Jan05">Main.SAPF4Help()</definedName>
    <definedName name="___Jan06">Main.SAPF4Help()</definedName>
    <definedName name="___jul98">#REF!</definedName>
    <definedName name="___jun98">#REF!</definedName>
    <definedName name="___key1">#REF!</definedName>
    <definedName name="___ku1">#REF!</definedName>
    <definedName name="___ku2">#REF!</definedName>
    <definedName name="___M10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mf12">#REF!</definedName>
    <definedName name="___mfA12">#REF!</definedName>
    <definedName name="___mm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V200405">#REF!</definedName>
    <definedName name="___new1">#REF!</definedName>
    <definedName name="___new2">{"Graphic",#N/A,TRUE,"Graphic"}</definedName>
    <definedName name="___new4">#REF!</definedName>
    <definedName name="___Nov2004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Nov2005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O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o2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oct98">#REF!</definedName>
    <definedName name="___one2">{"adj95mult",#N/A,FALSE,"COMPCO";"adj95est",#N/A,FALSE,"COMPCO"}</definedName>
    <definedName name="___O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OUT13300">#REF!</definedName>
    <definedName name="___OUT13502">#REF!</definedName>
    <definedName name="___OUT41301">#REF!</definedName>
    <definedName name="___OUT85116">#REF!</definedName>
    <definedName name="___OUT85125">#REF!</definedName>
    <definedName name="___OUT86106">#REF!</definedName>
    <definedName name="___P1">#REF!</definedName>
    <definedName name="___pg1">#REF!</definedName>
    <definedName name="___pg10">#REF!</definedName>
    <definedName name="___pg11">#REF!</definedName>
    <definedName name="___pg12">#REF!</definedName>
    <definedName name="___pg13">#REF!</definedName>
    <definedName name="___pg14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pl2">#REF!</definedName>
    <definedName name="___pm2">#REF!</definedName>
    <definedName name="___pn2">#REF!</definedName>
    <definedName name="___pr10">#REF!</definedName>
    <definedName name="___pu1">#REF!</definedName>
    <definedName name="___pwf320">#REF!</definedName>
    <definedName name="___pwf326">#REF!</definedName>
    <definedName name="___QRA86106">#REF!</definedName>
    <definedName name="___R">#REF!</definedName>
    <definedName name="___ra15">#REF!</definedName>
    <definedName name="___ra16">#REF!</definedName>
    <definedName name="___RT25">{#N/A,#N/A,FALSE,"Umsatz 99";#N/A,#N/A,FALSE,"ER 99 "}</definedName>
    <definedName name="___RT25_1">{#N/A,#N/A,FALSE,"Umsatz 99";#N/A,#N/A,FALSE,"ER 99 "}</definedName>
    <definedName name="___RT25_2">{#N/A,#N/A,FALSE,"Umsatz 99";#N/A,#N/A,FALSE,"ER 99 "}</definedName>
    <definedName name="___RT25_3">{#N/A,#N/A,FALSE,"Umsatz 99";#N/A,#N/A,FALSE,"ER 99 "}</definedName>
    <definedName name="___RT25_4">{#N/A,#N/A,FALSE,"Umsatz 99";#N/A,#N/A,FALSE,"ER 99 "}</definedName>
    <definedName name="_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sad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sad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sal9899">#REF!</definedName>
    <definedName name="___sch1">#REF!</definedName>
    <definedName name="___SCH111213">#REF!</definedName>
    <definedName name="___Sch12">#REF!</definedName>
    <definedName name="___sch1314">#REF!</definedName>
    <definedName name="___SCH1415">#REF!</definedName>
    <definedName name="___SCH1519">#REF!</definedName>
    <definedName name="___sch2">#REF!</definedName>
    <definedName name="___sch3">#REF!</definedName>
    <definedName name="___sch34">#REF!</definedName>
    <definedName name="___sch4">#REF!</definedName>
    <definedName name="___Sch456">#REF!</definedName>
    <definedName name="___Sch4567">#REF!</definedName>
    <definedName name="___Sch467">#REF!</definedName>
    <definedName name="___sch5">#REF!</definedName>
    <definedName name="___sch6">#REF!</definedName>
    <definedName name="___sch7">#REF!</definedName>
    <definedName name="___sch81">#REF!</definedName>
    <definedName name="___sch82">#REF!</definedName>
    <definedName name="___sch83">#REF!</definedName>
    <definedName name="___sch84">#REF!</definedName>
    <definedName name="___sep98">#REF!</definedName>
    <definedName name="___SHR1">#REF!</definedName>
    <definedName name="___sl1">#REF!</definedName>
    <definedName name="___TAX1">#REF!</definedName>
    <definedName name="___tds1">#REF!</definedName>
    <definedName name="___TP200203">#REF!</definedName>
    <definedName name="___tt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usl1">#REF!</definedName>
    <definedName name="___VAR13300">#REF!</definedName>
    <definedName name="___VAR13502">#REF!</definedName>
    <definedName name="___xx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z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z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1__123Graph_ACHART_1">#REF!</definedName>
    <definedName name="__1_3T02_GEAE_SCH6">#REF!</definedName>
    <definedName name="__123Graph_A">#REF!</definedName>
    <definedName name="__123Graph_AAMBI">#REF!</definedName>
    <definedName name="__123Graph_AAMBIELEC">#REF!</definedName>
    <definedName name="__123Graph_AAMBILTX">#REF!</definedName>
    <definedName name="__123Graph_AARREARSB">#REF!</definedName>
    <definedName name="__123Graph_AARREARSG">#REF!</definedName>
    <definedName name="__123Graph_AARREARSS">#REF!</definedName>
    <definedName name="__123Graph_AARREARST">#REF!</definedName>
    <definedName name="__123Graph_ABALL">#REF!</definedName>
    <definedName name="__123Graph_ABALLELEC">#REF!</definedName>
    <definedName name="__123Graph_ABALLLTX">#REF!</definedName>
    <definedName name="__123Graph_ACHART1">#REF!</definedName>
    <definedName name="__123Graph_ACURRENT">#REF!</definedName>
    <definedName name="__123Graph_AEFFLUCOST">#REF!</definedName>
    <definedName name="__123Graph_AHHG">#REF!</definedName>
    <definedName name="__123Graph_AHHGELEC">#REF!</definedName>
    <definedName name="__123Graph_AHHGLTX">#REF!</definedName>
    <definedName name="__123Graph_ALOSSCHART">#REF!</definedName>
    <definedName name="__123Graph_AOUTPUT">#REF!</definedName>
    <definedName name="__123Graph_ARECOVERIESG">#REF!</definedName>
    <definedName name="__123Graph_ARECOVERIESS">#REF!</definedName>
    <definedName name="__123Graph_AREFFO">#REF!</definedName>
    <definedName name="__123Graph_ATOTAL">#REF!</definedName>
    <definedName name="__123Graph_ATOTALLTX">#REF!</definedName>
    <definedName name="__123Graph_ATOTELEC">#REF!</definedName>
    <definedName name="__123Graph_AVISITSFO">#REF!</definedName>
    <definedName name="__123Graph_AWATER">#REF!</definedName>
    <definedName name="__123Graph_B">#REF!</definedName>
    <definedName name="__123Graph_BAMBI">#REF!</definedName>
    <definedName name="__123Graph_BAMBIELEC">#REF!</definedName>
    <definedName name="__123Graph_BARREARSB">#REF!</definedName>
    <definedName name="__123Graph_BARREARSG">#REF!</definedName>
    <definedName name="__123Graph_BARREARSS">#REF!</definedName>
    <definedName name="__123Graph_BARREARST">#REF!</definedName>
    <definedName name="__123Graph_BBALLELEC">#REF!</definedName>
    <definedName name="__123Graph_BCURRENT">#REF!</definedName>
    <definedName name="__123Graph_BEFFLUCOST">#REF!</definedName>
    <definedName name="__123Graph_BHHG">#REF!</definedName>
    <definedName name="__123Graph_BHHGELEC">#REF!</definedName>
    <definedName name="__123Graph_BLOSSCHART">#REF!</definedName>
    <definedName name="__123Graph_BRECOVERIESG">#REF!</definedName>
    <definedName name="__123Graph_BRECOVERIESS">#REF!</definedName>
    <definedName name="__123Graph_BREFFO">#REF!</definedName>
    <definedName name="__123Graph_BTOTAL">#REF!</definedName>
    <definedName name="__123Graph_BTOTELEC">#REF!</definedName>
    <definedName name="__123Graph_BVISITSFO">#REF!</definedName>
    <definedName name="__123Graph_BWATER">#REF!</definedName>
    <definedName name="__123Graph_C">#REF!</definedName>
    <definedName name="__123Graph_CCHART1">#REF!</definedName>
    <definedName name="__123Graph_CCHART10">#REF!</definedName>
    <definedName name="__123Graph_CCHART11">#REF!</definedName>
    <definedName name="__123Graph_CCHART12">#REF!</definedName>
    <definedName name="__123Graph_CCHART13">#REF!</definedName>
    <definedName name="__123Graph_CCHART14">#REF!</definedName>
    <definedName name="__123Graph_CCHART15">#REF!</definedName>
    <definedName name="__123Graph_CCHART16">#REF!</definedName>
    <definedName name="__123Graph_CCHART17">#REF!</definedName>
    <definedName name="__123Graph_CCHART18">#REF!</definedName>
    <definedName name="__123Graph_CCHART19">#REF!</definedName>
    <definedName name="__123Graph_CCHART2">#REF!</definedName>
    <definedName name="__123Graph_CCHART20">#REF!</definedName>
    <definedName name="__123Graph_CCHART21">#REF!</definedName>
    <definedName name="__123Graph_CCHART22">#REF!</definedName>
    <definedName name="__123Graph_CCHART23">#REF!</definedName>
    <definedName name="__123Graph_CCHART24">#REF!</definedName>
    <definedName name="__123Graph_CCHART25">#REF!</definedName>
    <definedName name="__123Graph_CCHART26">#REF!</definedName>
    <definedName name="__123Graph_CCHART27">#REF!</definedName>
    <definedName name="__123Graph_CCHART28">#REF!</definedName>
    <definedName name="__123Graph_CCHART29">#REF!</definedName>
    <definedName name="__123Graph_CCHART3">#REF!</definedName>
    <definedName name="__123Graph_CCHART30">#REF!</definedName>
    <definedName name="__123Graph_CCHART31">#REF!</definedName>
    <definedName name="__123Graph_CCHART32">#REF!</definedName>
    <definedName name="__123Graph_CCHART33">#REF!</definedName>
    <definedName name="__123Graph_CCHART34">#REF!</definedName>
    <definedName name="__123Graph_CCHART35">#REF!</definedName>
    <definedName name="__123Graph_CCHART36">#REF!</definedName>
    <definedName name="__123Graph_CCHART37">#REF!</definedName>
    <definedName name="__123Graph_CCHART38">#REF!</definedName>
    <definedName name="__123Graph_CCHART39">#REF!</definedName>
    <definedName name="__123Graph_CCHART4">#REF!</definedName>
    <definedName name="__123Graph_CCHART40">#REF!</definedName>
    <definedName name="__123Graph_CCHART41">#REF!</definedName>
    <definedName name="__123Graph_CCHART42">#REF!</definedName>
    <definedName name="__123Graph_CCHART43">#REF!</definedName>
    <definedName name="__123Graph_CCHART44">#REF!</definedName>
    <definedName name="__123Graph_CCHART45">#REF!</definedName>
    <definedName name="__123Graph_CCHART46">#REF!</definedName>
    <definedName name="__123Graph_CCHART47">#REF!</definedName>
    <definedName name="__123Graph_CCHART48">#REF!</definedName>
    <definedName name="__123Graph_CCHART49">#REF!</definedName>
    <definedName name="__123Graph_CCHART5">#REF!</definedName>
    <definedName name="__123Graph_CCHART50">#REF!</definedName>
    <definedName name="__123Graph_CCHART51">#REF!</definedName>
    <definedName name="__123Graph_CCHART52">#REF!</definedName>
    <definedName name="__123Graph_CCHART53">#REF!</definedName>
    <definedName name="__123Graph_CCHART54">#REF!</definedName>
    <definedName name="__123Graph_CCHART55">#REF!</definedName>
    <definedName name="__123Graph_CCHART56">#REF!</definedName>
    <definedName name="__123Graph_CCHART57">#REF!</definedName>
    <definedName name="__123Graph_CCHART58">#REF!</definedName>
    <definedName name="__123Graph_CCHART59">#REF!</definedName>
    <definedName name="__123Graph_CCHART6">#REF!</definedName>
    <definedName name="__123Graph_CCHART60">#REF!</definedName>
    <definedName name="__123Graph_CCHART61">#REF!</definedName>
    <definedName name="__123Graph_CCHART62">#REF!</definedName>
    <definedName name="__123Graph_CCHART63">#REF!</definedName>
    <definedName name="__123Graph_CCHART64">#REF!</definedName>
    <definedName name="__123Graph_CCHART65">#REF!</definedName>
    <definedName name="__123Graph_CCHART7">#REF!</definedName>
    <definedName name="__123Graph_CCHART8">#REF!</definedName>
    <definedName name="__123Graph_CCHART9">#REF!</definedName>
    <definedName name="__123Graph_CCURRENT">#REF!</definedName>
    <definedName name="__123Graph_CLOSSCHART">#REF!</definedName>
    <definedName name="__123Graph_CRECOVERIESG">#REF!</definedName>
    <definedName name="__123Graph_CRECOVERIESS">#REF!</definedName>
    <definedName name="__123Graph_CVISITSFO">#REF!</definedName>
    <definedName name="__123Graph_D">#REF!</definedName>
    <definedName name="__123Graph_DARREARSB">#REF!</definedName>
    <definedName name="__123Graph_DARREARSG">#REF!</definedName>
    <definedName name="__123Graph_DARREARSS">#REF!</definedName>
    <definedName name="__123Graph_DARREARST">#REF!</definedName>
    <definedName name="__123Graph_DCHART1">#REF!</definedName>
    <definedName name="__123Graph_DCHART10">#REF!</definedName>
    <definedName name="__123Graph_DCHART11">#REF!</definedName>
    <definedName name="__123Graph_DCHART12">#REF!</definedName>
    <definedName name="__123Graph_DCHART13">#REF!</definedName>
    <definedName name="__123Graph_DCHART14">#REF!</definedName>
    <definedName name="__123Graph_DCHART15">#REF!</definedName>
    <definedName name="__123Graph_DCHART16">#REF!</definedName>
    <definedName name="__123Graph_DCHART17">#REF!</definedName>
    <definedName name="__123Graph_DCHART18">#REF!</definedName>
    <definedName name="__123Graph_DCHART19">#REF!</definedName>
    <definedName name="__123Graph_DCHART2">#REF!</definedName>
    <definedName name="__123Graph_DCHART20">#REF!</definedName>
    <definedName name="__123Graph_DCHART21">#REF!</definedName>
    <definedName name="__123Graph_DCHART22">#REF!</definedName>
    <definedName name="__123Graph_DCHART23">#REF!</definedName>
    <definedName name="__123Graph_DCHART24">#REF!</definedName>
    <definedName name="__123Graph_DCHART25">#REF!</definedName>
    <definedName name="__123Graph_DCHART26">#REF!</definedName>
    <definedName name="__123Graph_DCHART27">#REF!</definedName>
    <definedName name="__123Graph_DCHART28">#REF!</definedName>
    <definedName name="__123Graph_DCHART29">#REF!</definedName>
    <definedName name="__123Graph_DCHART3">#REF!</definedName>
    <definedName name="__123Graph_DCHART30">#REF!</definedName>
    <definedName name="__123Graph_DCHART31">#REF!</definedName>
    <definedName name="__123Graph_DCHART32">#REF!</definedName>
    <definedName name="__123Graph_DCHART33">#REF!</definedName>
    <definedName name="__123Graph_DCHART34">#REF!</definedName>
    <definedName name="__123Graph_DCHART35">#REF!</definedName>
    <definedName name="__123Graph_DCHART36">#REF!</definedName>
    <definedName name="__123Graph_DCHART37">#REF!</definedName>
    <definedName name="__123Graph_DCHART38">#REF!</definedName>
    <definedName name="__123Graph_DCHART39">#REF!</definedName>
    <definedName name="__123Graph_DCHART4">#REF!</definedName>
    <definedName name="__123Graph_DCHART40">#REF!</definedName>
    <definedName name="__123Graph_DCHART41">#REF!</definedName>
    <definedName name="__123Graph_DCHART42">#REF!</definedName>
    <definedName name="__123Graph_DCHART43">#REF!</definedName>
    <definedName name="__123Graph_DCHART44">#REF!</definedName>
    <definedName name="__123Graph_DCHART45">#REF!</definedName>
    <definedName name="__123Graph_DCHART46">#REF!</definedName>
    <definedName name="__123Graph_DCHART47">#REF!</definedName>
    <definedName name="__123Graph_DCHART48">#REF!</definedName>
    <definedName name="__123Graph_DCHART49">#REF!</definedName>
    <definedName name="__123Graph_DCHART5">#REF!</definedName>
    <definedName name="__123Graph_DCHART50">#REF!</definedName>
    <definedName name="__123Graph_DCHART51">#REF!</definedName>
    <definedName name="__123Graph_DCHART52">#REF!</definedName>
    <definedName name="__123Graph_DCHART53">#REF!</definedName>
    <definedName name="__123Graph_DCHART54">#REF!</definedName>
    <definedName name="__123Graph_DCHART55">#REF!</definedName>
    <definedName name="__123Graph_DCHART56">#REF!</definedName>
    <definedName name="__123Graph_DCHART57">#REF!</definedName>
    <definedName name="__123Graph_DCHART58">#REF!</definedName>
    <definedName name="__123Graph_DCHART59">#REF!</definedName>
    <definedName name="__123Graph_DCHART6">#REF!</definedName>
    <definedName name="__123Graph_DCHART60">#REF!</definedName>
    <definedName name="__123Graph_DCHART61">#REF!</definedName>
    <definedName name="__123Graph_DCHART62">#REF!</definedName>
    <definedName name="__123Graph_DCHART63">#REF!</definedName>
    <definedName name="__123Graph_DCHART64">#REF!</definedName>
    <definedName name="__123Graph_DCHART65">#REF!</definedName>
    <definedName name="__123Graph_DCHART7">#REF!</definedName>
    <definedName name="__123Graph_DCHART8">#REF!</definedName>
    <definedName name="__123Graph_DCHART9">#REF!</definedName>
    <definedName name="__123Graph_DCURRENT">#REF!</definedName>
    <definedName name="__123Graph_DLOSSCHART">#REF!</definedName>
    <definedName name="__123Graph_DOUTPUT">#REF!</definedName>
    <definedName name="__123Graph_DRECOVERIESG">#REF!</definedName>
    <definedName name="__123Graph_DRECOVERIESS">#REF!</definedName>
    <definedName name="__123Graph_DREFFO">#REF!</definedName>
    <definedName name="__123Graph_DVISITSFO">#REF!</definedName>
    <definedName name="__123Graph_E">#REF!</definedName>
    <definedName name="__123Graph_ECHART1">#REF!</definedName>
    <definedName name="__123Graph_ECHART10">#REF!</definedName>
    <definedName name="__123Graph_ECHART11">#REF!</definedName>
    <definedName name="__123Graph_ECHART12">#REF!</definedName>
    <definedName name="__123Graph_ECHART13">#REF!</definedName>
    <definedName name="__123Graph_ECHART14">#REF!</definedName>
    <definedName name="__123Graph_ECHART15">#REF!</definedName>
    <definedName name="__123Graph_ECHART16">#REF!</definedName>
    <definedName name="__123Graph_ECHART17">#REF!</definedName>
    <definedName name="__123Graph_ECHART18">#REF!</definedName>
    <definedName name="__123Graph_ECHART19">#REF!</definedName>
    <definedName name="__123Graph_ECHART2">#REF!</definedName>
    <definedName name="__123Graph_ECHART20">#REF!</definedName>
    <definedName name="__123Graph_ECHART21">#REF!</definedName>
    <definedName name="__123Graph_ECHART22">#REF!</definedName>
    <definedName name="__123Graph_ECHART23">#REF!</definedName>
    <definedName name="__123Graph_ECHART24">#REF!</definedName>
    <definedName name="__123Graph_ECHART25">#REF!</definedName>
    <definedName name="__123Graph_ECHART26">#REF!</definedName>
    <definedName name="__123Graph_ECHART27">#REF!</definedName>
    <definedName name="__123Graph_ECHART28">#REF!</definedName>
    <definedName name="__123Graph_ECHART29">#REF!</definedName>
    <definedName name="__123Graph_ECHART3">#REF!</definedName>
    <definedName name="__123Graph_ECHART30">#REF!</definedName>
    <definedName name="__123Graph_ECHART31">#REF!</definedName>
    <definedName name="__123Graph_ECHART32">#REF!</definedName>
    <definedName name="__123Graph_ECHART33">#REF!</definedName>
    <definedName name="__123Graph_ECHART34">#REF!</definedName>
    <definedName name="__123Graph_ECHART35">#REF!</definedName>
    <definedName name="__123Graph_ECHART36">#REF!</definedName>
    <definedName name="__123Graph_ECHART37">#REF!</definedName>
    <definedName name="__123Graph_ECHART38">#REF!</definedName>
    <definedName name="__123Graph_ECHART39">#REF!</definedName>
    <definedName name="__123Graph_ECHART4">#REF!</definedName>
    <definedName name="__123Graph_ECHART40">#REF!</definedName>
    <definedName name="__123Graph_ECHART41">#REF!</definedName>
    <definedName name="__123Graph_ECHART42">#REF!</definedName>
    <definedName name="__123Graph_ECHART43">#REF!</definedName>
    <definedName name="__123Graph_ECHART44">#REF!</definedName>
    <definedName name="__123Graph_ECHART45">#REF!</definedName>
    <definedName name="__123Graph_ECHART46">#REF!</definedName>
    <definedName name="__123Graph_ECHART47">#REF!</definedName>
    <definedName name="__123Graph_ECHART48">#REF!</definedName>
    <definedName name="__123Graph_ECHART49">#REF!</definedName>
    <definedName name="__123Graph_ECHART5">#REF!</definedName>
    <definedName name="__123Graph_ECHART50">#REF!</definedName>
    <definedName name="__123Graph_ECHART51">#REF!</definedName>
    <definedName name="__123Graph_ECHART52">#REF!</definedName>
    <definedName name="__123Graph_ECHART53">#REF!</definedName>
    <definedName name="__123Graph_ECHART54">#REF!</definedName>
    <definedName name="__123Graph_ECHART55">#REF!</definedName>
    <definedName name="__123Graph_ECHART56">#REF!</definedName>
    <definedName name="__123Graph_ECHART57">#REF!</definedName>
    <definedName name="__123Graph_ECHART58">#REF!</definedName>
    <definedName name="__123Graph_ECHART59">#REF!</definedName>
    <definedName name="__123Graph_ECHART6">#REF!</definedName>
    <definedName name="__123Graph_ECHART60">#REF!</definedName>
    <definedName name="__123Graph_ECHART61">#REF!</definedName>
    <definedName name="__123Graph_ECHART62">#REF!</definedName>
    <definedName name="__123Graph_ECHART63">#REF!</definedName>
    <definedName name="__123Graph_ECHART64">#REF!</definedName>
    <definedName name="__123Graph_ECHART65">#REF!</definedName>
    <definedName name="__123Graph_ECHART7">#REF!</definedName>
    <definedName name="__123Graph_ECHART8">#REF!</definedName>
    <definedName name="__123Graph_ECHART9">#REF!</definedName>
    <definedName name="__123Graph_ECURRENT">#REF!</definedName>
    <definedName name="__123Graph_ELOSSCHART">#REF!</definedName>
    <definedName name="__123Graph_EOUTPUT">#REF!</definedName>
    <definedName name="__123Graph_F">#REF!</definedName>
    <definedName name="__123Graph_FCHART1">#REF!</definedName>
    <definedName name="__123Graph_FCHART10">#REF!</definedName>
    <definedName name="__123Graph_FCHART11">#REF!</definedName>
    <definedName name="__123Graph_FCHART12">#REF!</definedName>
    <definedName name="__123Graph_FCHART13">#REF!</definedName>
    <definedName name="__123Graph_FCHART14">#REF!</definedName>
    <definedName name="__123Graph_FCHART15">#REF!</definedName>
    <definedName name="__123Graph_FCHART16">#REF!</definedName>
    <definedName name="__123Graph_FCHART17">#REF!</definedName>
    <definedName name="__123Graph_FCHART18">#REF!</definedName>
    <definedName name="__123Graph_FCHART19">#REF!</definedName>
    <definedName name="__123Graph_FCHART2">#REF!</definedName>
    <definedName name="__123Graph_FCHART20">#REF!</definedName>
    <definedName name="__123Graph_FCHART21">#REF!</definedName>
    <definedName name="__123Graph_FCHART22">#REF!</definedName>
    <definedName name="__123Graph_FCHART23">#REF!</definedName>
    <definedName name="__123Graph_FCHART24">#REF!</definedName>
    <definedName name="__123Graph_FCHART25">#REF!</definedName>
    <definedName name="__123Graph_FCHART26">#REF!</definedName>
    <definedName name="__123Graph_FCHART27">#REF!</definedName>
    <definedName name="__123Graph_FCHART28">#REF!</definedName>
    <definedName name="__123Graph_FCHART29">#REF!</definedName>
    <definedName name="__123Graph_FCHART3">#REF!</definedName>
    <definedName name="__123Graph_FCHART30">#REF!</definedName>
    <definedName name="__123Graph_FCHART31">#REF!</definedName>
    <definedName name="__123Graph_FCHART32">#REF!</definedName>
    <definedName name="__123Graph_FCHART33">#REF!</definedName>
    <definedName name="__123Graph_FCHART34">#REF!</definedName>
    <definedName name="__123Graph_FCHART35">#REF!</definedName>
    <definedName name="__123Graph_FCHART36">#REF!</definedName>
    <definedName name="__123Graph_FCHART37">#REF!</definedName>
    <definedName name="__123Graph_FCHART38">#REF!</definedName>
    <definedName name="__123Graph_FCHART39">#REF!</definedName>
    <definedName name="__123Graph_FCHART4">#REF!</definedName>
    <definedName name="__123Graph_FCHART40">#REF!</definedName>
    <definedName name="__123Graph_FCHART41">#REF!</definedName>
    <definedName name="__123Graph_FCHART42">#REF!</definedName>
    <definedName name="__123Graph_FCHART43">#REF!</definedName>
    <definedName name="__123Graph_FCHART44">#REF!</definedName>
    <definedName name="__123Graph_FCHART45">#REF!</definedName>
    <definedName name="__123Graph_FCHART46">#REF!</definedName>
    <definedName name="__123Graph_FCHART47">#REF!</definedName>
    <definedName name="__123Graph_FCHART48">#REF!</definedName>
    <definedName name="__123Graph_FCHART49">#REF!</definedName>
    <definedName name="__123Graph_FCHART5">#REF!</definedName>
    <definedName name="__123Graph_FCHART50">#REF!</definedName>
    <definedName name="__123Graph_FCHART51">#REF!</definedName>
    <definedName name="__123Graph_FCHART52">#REF!</definedName>
    <definedName name="__123Graph_FCHART53">#REF!</definedName>
    <definedName name="__123Graph_FCHART54">#REF!</definedName>
    <definedName name="__123Graph_FCHART55">#REF!</definedName>
    <definedName name="__123Graph_FCHART56">#REF!</definedName>
    <definedName name="__123Graph_FCHART57">#REF!</definedName>
    <definedName name="__123Graph_FCHART58">#REF!</definedName>
    <definedName name="__123Graph_FCHART59">#REF!</definedName>
    <definedName name="__123Graph_FCHART6">#REF!</definedName>
    <definedName name="__123Graph_FCHART60">#REF!</definedName>
    <definedName name="__123Graph_FCHART61">#REF!</definedName>
    <definedName name="__123Graph_FCHART62">#REF!</definedName>
    <definedName name="__123Graph_FCHART63">#REF!</definedName>
    <definedName name="__123Graph_FCHART64">#REF!</definedName>
    <definedName name="__123Graph_FCHART65">#REF!</definedName>
    <definedName name="__123Graph_FCHART7">#REF!</definedName>
    <definedName name="__123Graph_FCHART8">#REF!</definedName>
    <definedName name="__123Graph_FCHART9">#REF!</definedName>
    <definedName name="__123Graph_FCURRENT">#REF!</definedName>
    <definedName name="__123Graph_FLOSSCHART">#REF!</definedName>
    <definedName name="__123Graph_LBL_A">#REF!</definedName>
    <definedName name="__123Graph_LBL_AAMBI">#REF!</definedName>
    <definedName name="__123Graph_LBL_AAMBIELEC">#REF!</definedName>
    <definedName name="__123Graph_LBL_AAMBILTX">#REF!</definedName>
    <definedName name="__123Graph_LBL_ABALL">#REF!</definedName>
    <definedName name="__123Graph_LBL_ABALLELEC">#REF!</definedName>
    <definedName name="__123Graph_LBL_ABALLLTX">#REF!</definedName>
    <definedName name="__123Graph_LBL_AEFFLUCOST">#REF!</definedName>
    <definedName name="__123Graph_LBL_AHHG">#REF!</definedName>
    <definedName name="__123Graph_LBL_AHHGELEC">#REF!</definedName>
    <definedName name="__123Graph_LBL_AHHGLTX">#REF!</definedName>
    <definedName name="__123Graph_LBL_AOUTPUT">#REF!</definedName>
    <definedName name="__123Graph_LBL_ATOTAL">#REF!</definedName>
    <definedName name="__123Graph_LBL_ATOTALLTX">#REF!</definedName>
    <definedName name="__123Graph_LBL_ATOTELEC">#REF!</definedName>
    <definedName name="__123Graph_LBL_AWATER">#REF!</definedName>
    <definedName name="__123Graph_LBL_B">#REF!</definedName>
    <definedName name="__123Graph_LBL_BAMBI">#REF!</definedName>
    <definedName name="__123Graph_LBL_BAMBIELEC">#REF!</definedName>
    <definedName name="__123Graph_LBL_BBALLELEC">#REF!</definedName>
    <definedName name="__123Graph_LBL_BEFFLUCOST">#REF!</definedName>
    <definedName name="__123Graph_LBL_BHHG">#REF!</definedName>
    <definedName name="__123Graph_LBL_BHHGELEC">#REF!</definedName>
    <definedName name="__123Graph_LBL_BTOTAL">#REF!</definedName>
    <definedName name="__123Graph_LBL_BTOTELEC">#REF!</definedName>
    <definedName name="__123Graph_LBL_BWATER">#REF!</definedName>
    <definedName name="__123Graph_LBL_DOUTPUT">#REF!</definedName>
    <definedName name="__123Graph_X">#REF!</definedName>
    <definedName name="__123Graph_XAMBI">#REF!</definedName>
    <definedName name="__123Graph_XAMBIELEC">#REF!</definedName>
    <definedName name="__123Graph_XAMBILTX">#REF!</definedName>
    <definedName name="__123Graph_XARREARSB">#REF!</definedName>
    <definedName name="__123Graph_XARREARSG">#REF!</definedName>
    <definedName name="__123Graph_XARREARSS">#REF!</definedName>
    <definedName name="__123Graph_XARREARST">#REF!</definedName>
    <definedName name="__123Graph_XBALL">#REF!</definedName>
    <definedName name="__123Graph_XBALLELEC">#REF!</definedName>
    <definedName name="__123Graph_XBALLLTX">#REF!</definedName>
    <definedName name="__123Graph_XEFFLUCOST">#REF!</definedName>
    <definedName name="__123Graph_XHHG">#REF!</definedName>
    <definedName name="__123Graph_XHHGELEC">#REF!</definedName>
    <definedName name="__123Graph_XHHGLTX">#REF!</definedName>
    <definedName name="__123Graph_XLAYOUT">#REF!</definedName>
    <definedName name="__123Graph_XOUTPUT">#REF!</definedName>
    <definedName name="__123Graph_XRECOVERIESG">#REF!</definedName>
    <definedName name="__123Graph_XRECOVERIESS">#REF!</definedName>
    <definedName name="__123Graph_XTOTAL">#REF!</definedName>
    <definedName name="__123Graph_XTOTALLTX">#REF!</definedName>
    <definedName name="__123Graph_XTOTELEC">#REF!</definedName>
    <definedName name="__123Graph_XVISITSFO">#REF!</definedName>
    <definedName name="__123Graph_XWATER">#REF!</definedName>
    <definedName name="__2__123Graph_ACHART_10">#REF!</definedName>
    <definedName name="__3T02_GEAE_SCH6">#REF!</definedName>
    <definedName name="__a1">{#N/A,#N/A,FALSE,"Pharm";#N/A,#N/A,FALSE,"WWCM"}</definedName>
    <definedName name="__a1_1">{#N/A,#N/A,FALSE,"Pharm";#N/A,#N/A,FALSE,"WWCM"}</definedName>
    <definedName name="__a1_2">{#N/A,#N/A,FALSE,"Pharm";#N/A,#N/A,FALSE,"WWCM"}</definedName>
    <definedName name="__a1_3">{#N/A,#N/A,FALSE,"Pharm";#N/A,#N/A,FALSE,"WWCM"}</definedName>
    <definedName name="__a1_4">{#N/A,#N/A,FALSE,"Pharm";#N/A,#N/A,FALSE,"WWCM"}</definedName>
    <definedName name="__a1_5">{#N/A,#N/A,FALSE,"Pharm";#N/A,#N/A,FALSE,"WWCM"}</definedName>
    <definedName name="__A11">{#N/A,#N/A,FALSE,"Umsatz 99";#N/A,#N/A,FALSE,"ER 99 "}</definedName>
    <definedName name="__A11_1">{#N/A,#N/A,FALSE,"Umsatz 99";#N/A,#N/A,FALSE,"ER 99 "}</definedName>
    <definedName name="__A11_2">{#N/A,#N/A,FALSE,"Umsatz 99";#N/A,#N/A,FALSE,"ER 99 "}</definedName>
    <definedName name="__A11_3">{#N/A,#N/A,FALSE,"Umsatz 99";#N/A,#N/A,FALSE,"ER 99 "}</definedName>
    <definedName name="__A11_4">{#N/A,#N/A,FALSE,"Umsatz 99";#N/A,#N/A,FALSE,"ER 99 "}</definedName>
    <definedName name="__A11_5">{#N/A,#N/A,FALSE,"Umsatz 99";#N/A,#N/A,FALSE,"ER 99 "}</definedName>
    <definedName name="__aaa1">{#N/A,#N/A,FALSE,"REPORT"}</definedName>
    <definedName name="__aaa1_1">{#N/A,#N/A,FALSE,"REPORT"}</definedName>
    <definedName name="__aaa1_2">{#N/A,#N/A,FALSE,"REPORT"}</definedName>
    <definedName name="__aaa1_3">{#N/A,#N/A,FALSE,"REPORT"}</definedName>
    <definedName name="__aaa1_4">{#N/A,#N/A,FALSE,"REPORT"}</definedName>
    <definedName name="__aaa1_5">{#N/A,#N/A,FALSE,"REPORT"}</definedName>
    <definedName name="__aas1">{#N/A,#N/A,FALSE,"REPORT"}</definedName>
    <definedName name="__aas1_1">{#N/A,#N/A,FALSE,"REPORT"}</definedName>
    <definedName name="__aas1_2">{#N/A,#N/A,FALSE,"REPORT"}</definedName>
    <definedName name="__aas1_3">{#N/A,#N/A,FALSE,"REPORT"}</definedName>
    <definedName name="__aas1_4">{#N/A,#N/A,FALSE,"REPORT"}</definedName>
    <definedName name="__aas1_5">{#N/A,#N/A,FALSE,"REPORT"}</definedName>
    <definedName name="__ACK1">#REF!</definedName>
    <definedName name="__ACS2000">{#N/A,#N/A,FALSE,"REPORT"}</definedName>
    <definedName name="__ACS2000_1">{#N/A,#N/A,FALSE,"REPORT"}</definedName>
    <definedName name="__ACS2000_2">{#N/A,#N/A,FALSE,"REPORT"}</definedName>
    <definedName name="__ACS2000_3">{#N/A,#N/A,FALSE,"REPORT"}</definedName>
    <definedName name="__ACS2000_4">{#N/A,#N/A,FALSE,"REPORT"}</definedName>
    <definedName name="__ACS2000_5">{#N/A,#N/A,FALSE,"REPORT"}</definedName>
    <definedName name="__Actuals_for_total_of_12_Time_selections_Ledger_1">#REF!</definedName>
    <definedName name="__AD1">{#N/A,#N/A,FALSE,"Cash Flows";#N/A,#N/A,FALSE,"Fixed Assets";#N/A,#N/A,FALSE,"Balance Sheet";#N/A,#N/A,FALSE,"P &amp; L"}</definedName>
    <definedName name="__AD2">{#N/A,#N/A,FALSE,"Cash Flows";#N/A,#N/A,FALSE,"Fixed Assets";#N/A,#N/A,FALSE,"Balance Sheet";#N/A,#N/A,FALSE,"P &amp; L"}</definedName>
    <definedName name="__AD3">{#N/A,#N/A,FALSE,"Cash Flows";#N/A,#N/A,FALSE,"Fixed Assets";#N/A,#N/A,FALSE,"Balance Sheet";#N/A,#N/A,FALSE,"P &amp; L"}</definedName>
    <definedName name="__AD5">{#N/A,#N/A,FALSE,"Cash Flows";#N/A,#N/A,FALSE,"Fixed Assets";#N/A,#N/A,FALSE,"Balance Sheet";#N/A,#N/A,FALSE,"P &amp; L"}</definedName>
    <definedName name="__AD8">{#N/A,#N/A,FALSE,"Cash Flows";#N/A,#N/A,FALSE,"Fixed Assets";#N/A,#N/A,FALSE,"Balance Sheet";#N/A,#N/A,FALSE,"P &amp; L"}</definedName>
    <definedName name="__adj2">#REF!</definedName>
    <definedName name="__AMT13300">#REF!</definedName>
    <definedName name="__AMT13502">#REF!</definedName>
    <definedName name="__AMT41301">#REF!</definedName>
    <definedName name="__AMT85116">#REF!</definedName>
    <definedName name="__AMT85125">#REF!</definedName>
    <definedName name="__AMT86106">#REF!</definedName>
    <definedName name="__ATK90">#REF!</definedName>
    <definedName name="__aug98">#REF!</definedName>
    <definedName name="__b1">#REF!</definedName>
    <definedName name="__b111">{#N/A,#N/A,FALSE,"Pharm";#N/A,#N/A,FALSE,"WWCM"}</definedName>
    <definedName name="__b111_1">{#N/A,#N/A,FALSE,"Pharm";#N/A,#N/A,FALSE,"WWCM"}</definedName>
    <definedName name="__b111_2">{#N/A,#N/A,FALSE,"Pharm";#N/A,#N/A,FALSE,"WWCM"}</definedName>
    <definedName name="__b111_3">{#N/A,#N/A,FALSE,"Pharm";#N/A,#N/A,FALSE,"WWCM"}</definedName>
    <definedName name="__b111_4">{#N/A,#N/A,FALSE,"Pharm";#N/A,#N/A,FALSE,"WWCM"}</definedName>
    <definedName name="__b111_5">{#N/A,#N/A,FALSE,"Pharm";#N/A,#N/A,FALSE,"WWCM"}</definedName>
    <definedName name="__B2">#REF!</definedName>
    <definedName name="__bgt6">#REF!</definedName>
    <definedName name="__boa1">#REF!</definedName>
    <definedName name="__bud9899">#REF!</definedName>
    <definedName name="__c">{"Fiesta Facer Page",#N/A,FALSE,"Q_C_S";"Fiesta Main Page",#N/A,FALSE,"V_L";"Fiesta 95BP Struct",#N/A,FALSE,"StructBP";"Fiesta Post 95BP Struct",#N/A,FALSE,"AdjStructBP"}</definedName>
    <definedName name="__c_1">{"Fiesta Facer Page",#N/A,FALSE,"Q_C_S";"Fiesta Main Page",#N/A,FALSE,"V_L";"Fiesta 95BP Struct",#N/A,FALSE,"StructBP";"Fiesta Post 95BP Struct",#N/A,FALSE,"AdjStructBP"}</definedName>
    <definedName name="__c_2">{"Fiesta Facer Page",#N/A,FALSE,"Q_C_S";"Fiesta Main Page",#N/A,FALSE,"V_L";"Fiesta 95BP Struct",#N/A,FALSE,"StructBP";"Fiesta Post 95BP Struct",#N/A,FALSE,"AdjStructBP"}</definedName>
    <definedName name="__c_3">{"Fiesta Facer Page",#N/A,FALSE,"Q_C_S";"Fiesta Main Page",#N/A,FALSE,"V_L";"Fiesta 95BP Struct",#N/A,FALSE,"StructBP";"Fiesta Post 95BP Struct",#N/A,FALSE,"AdjStructBP"}</definedName>
    <definedName name="__c_4">{"Fiesta Facer Page",#N/A,FALSE,"Q_C_S";"Fiesta Main Page",#N/A,FALSE,"V_L";"Fiesta 95BP Struct",#N/A,FALSE,"StructBP";"Fiesta Post 95BP Struct",#N/A,FALSE,"AdjStructBP"}</definedName>
    <definedName name="__c_5">{"Fiesta Facer Page",#N/A,FALSE,"Q_C_S";"Fiesta Main Page",#N/A,FALSE,"V_L";"Fiesta 95BP Struct",#N/A,FALSE,"StructBP";"Fiesta Post 95BP Struct",#N/A,FALSE,"AdjStructBP"}</definedName>
    <definedName name="__C80000">#REF!</definedName>
    <definedName name="__CDE1">#REF!</definedName>
    <definedName name="__cip0306">#REF!</definedName>
    <definedName name="__CL1">#REF!</definedName>
    <definedName name="__CUS1">#REF!</definedName>
    <definedName name="__CUS2">#REF!</definedName>
    <definedName name="__CUS3">#REF!</definedName>
    <definedName name="__CUS4">#REF!</definedName>
    <definedName name="__DAT009">#REF!</definedName>
    <definedName name="__DAT1">#REF!</definedName>
    <definedName name="__DAT10">#REF!</definedName>
    <definedName name="__DAT11">#REF!</definedName>
    <definedName name="__DAT1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6">#REF!</definedName>
    <definedName name="__DAT7">#REF!</definedName>
    <definedName name="__DAT8">#REF!</definedName>
    <definedName name="__DAT9">#REF!</definedName>
    <definedName name="__dec2000">#REF!</definedName>
    <definedName name="__dep1">#REF!</definedName>
    <definedName name="__dep2004">#REF!</definedName>
    <definedName name="__e1">#REF!</definedName>
    <definedName name="__EdFJsKAA">#REF!</definedName>
    <definedName name="__Exp1">#REF!</definedName>
    <definedName name="__f06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FDS_HYPERLINK_TOGGLE_STATE__">"ON"</definedName>
    <definedName name="__FDS_UNIQUE_RANGE_ID_GENERATOR_COUNTER">1</definedName>
    <definedName name="__FDS_USED_FOR_REUSING_RANGE_IDS_RECYCLE">{152,168,338,189,173,195,158,390,7,11,232,378,159,175,261,183,177,129,8,155,265,394,57}</definedName>
    <definedName name="__FDS_USED_FOR_REUSING_RANGE_IDS_RECYCLE_1">{152,168,338,189,173,195,158,390,7,11,232,378,159,175,261,183,177,129,8,155,265,394,57}</definedName>
    <definedName name="__FDS_USED_FOR_REUSING_RANGE_IDS_RECYCLE_2">{152,168,338,189,173,195,158,390,7,11,232,378,159,175,261,183,177,129,8,155,265,394,57}</definedName>
    <definedName name="__FDS_USED_FOR_REUSING_RANGE_IDS_RECYCLE_3">{152,168,338,189,173,195,158,390,7,11,232,378,159,175,261,183,177,129,8,155,265,394,57}</definedName>
    <definedName name="__FDS_USED_FOR_REUSING_RANGE_IDS_RECYCLE_4">{152,168,338,189,173,195,158,390,7,11,232,378,159,175,261,183,177,129,8,155,265,394,57}</definedName>
    <definedName name="__FDS_USED_FOR_REUSING_RANGE_IDS_RECYCLE_5">{152,168,338,189,173,195,158,390,7,11,232,378,159,175,261,183,177,129,8,155,265,394,57}</definedName>
    <definedName name="__imp10">#REF!</definedName>
    <definedName name="__imp11">#REF!</definedName>
    <definedName name="__imp12">#REF!</definedName>
    <definedName name="__imp13">#REF!</definedName>
    <definedName name="__imp14">#REF!</definedName>
    <definedName name="__imp15">#REF!</definedName>
    <definedName name="__imp16">#REF!</definedName>
    <definedName name="__imp17">#REF!</definedName>
    <definedName name="__imp18">#REF!</definedName>
    <definedName name="__imp19">#REF!</definedName>
    <definedName name="__imp20">#REF!</definedName>
    <definedName name="__imp8">#REF!</definedName>
    <definedName name="__imp9">#REF!</definedName>
    <definedName name="__iNC1">#REF!</definedName>
    <definedName name="__INC9900">#REF!</definedName>
    <definedName name="__int234">#REF!</definedName>
    <definedName name="__IntlFixup">TRUE</definedName>
    <definedName name="__Jan05">Main.SAPF4Help()</definedName>
    <definedName name="__Jan06">Main.SAPF4Help()</definedName>
    <definedName name="__jul98">#REF!</definedName>
    <definedName name="__jun98">#REF!</definedName>
    <definedName name="__key1">#REF!</definedName>
    <definedName name="__KEY2">#REF!</definedName>
    <definedName name="__ku1">#REF!</definedName>
    <definedName name="__ku2">#REF!</definedName>
    <definedName name="__M10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mf12">#REF!</definedName>
    <definedName name="__mfA12">#REF!</definedName>
    <definedName name="__MKT1">#REF!</definedName>
    <definedName name="__MKT10">#REF!</definedName>
    <definedName name="__MKT11">#REF!</definedName>
    <definedName name="__MKT2">#REF!</definedName>
    <definedName name="__MKT3">#REF!</definedName>
    <definedName name="__MKT4">#REF!</definedName>
    <definedName name="__MKT5">#REF!</definedName>
    <definedName name="__MKT6">#REF!</definedName>
    <definedName name="__MKT7">#REF!</definedName>
    <definedName name="__MKT8">#REF!</definedName>
    <definedName name="__MKT9">#REF!</definedName>
    <definedName name="__mm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V200405">#REF!</definedName>
    <definedName name="__new1">{#N/A,#N/A,FALSE,"Pharm";#N/A,#N/A,FALSE,"WWCM"}</definedName>
    <definedName name="__new1_1">{#N/A,#N/A,FALSE,"Pharm";#N/A,#N/A,FALSE,"WWCM"}</definedName>
    <definedName name="__new1_2">{#N/A,#N/A,FALSE,"Pharm";#N/A,#N/A,FALSE,"WWCM"}</definedName>
    <definedName name="__new1_3">{#N/A,#N/A,FALSE,"Pharm";#N/A,#N/A,FALSE,"WWCM"}</definedName>
    <definedName name="__new1_4">{#N/A,#N/A,FALSE,"Pharm";#N/A,#N/A,FALSE,"WWCM"}</definedName>
    <definedName name="__new1_5">{#N/A,#N/A,FALSE,"Pharm";#N/A,#N/A,FALSE,"WWCM"}</definedName>
    <definedName name="__new2">{"Graphic",#N/A,TRUE,"Graphic"}</definedName>
    <definedName name="__new4">#REF!</definedName>
    <definedName name="__nm1">#REF!</definedName>
    <definedName name="__nm2">#REF!</definedName>
    <definedName name="__nm3">#REF!</definedName>
    <definedName name="__nm4">#REF!</definedName>
    <definedName name="__nm5">#REF!</definedName>
    <definedName name="__Nov2004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Nov2005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NSO2">{"'Sheet1'!$L$16"}</definedName>
    <definedName name="__O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o2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oct98">#REF!</definedName>
    <definedName name="__one2">{"adj95mult",#N/A,FALSE,"COMPCO";"adj95est",#N/A,FALSE,"COMPCO"}</definedName>
    <definedName name="__O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OUT13300">#REF!</definedName>
    <definedName name="__OUT13502">#REF!</definedName>
    <definedName name="__OUT41301">#REF!</definedName>
    <definedName name="__OUT85116">#REF!</definedName>
    <definedName name="__OUT85125">#REF!</definedName>
    <definedName name="__OUT86106">#REF!</definedName>
    <definedName name="__P1">#REF!</definedName>
    <definedName name="__PG1">#REF!</definedName>
    <definedName name="__pg10">#REF!</definedName>
    <definedName name="__pg11">#REF!</definedName>
    <definedName name="__pg12">#REF!</definedName>
    <definedName name="__pg13">#REF!</definedName>
    <definedName name="__pg14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l2">#REF!</definedName>
    <definedName name="__pm2">#REF!</definedName>
    <definedName name="__pn2">#REF!</definedName>
    <definedName name="__pr10">#REF!</definedName>
    <definedName name="__pu1">#REF!</definedName>
    <definedName name="__pwf320">#REF!</definedName>
    <definedName name="__pwf326">#REF!</definedName>
    <definedName name="__QRA86106">#REF!</definedName>
    <definedName name="__r">{#N/A,#N/A,FALSE,"Pharm";#N/A,#N/A,FALSE,"WWCM"}</definedName>
    <definedName name="__r_1">{#N/A,#N/A,FALSE,"Pharm";#N/A,#N/A,FALSE,"WWCM"}</definedName>
    <definedName name="__r_2">{#N/A,#N/A,FALSE,"Pharm";#N/A,#N/A,FALSE,"WWCM"}</definedName>
    <definedName name="__r_3">{#N/A,#N/A,FALSE,"Pharm";#N/A,#N/A,FALSE,"WWCM"}</definedName>
    <definedName name="__r_4">{#N/A,#N/A,FALSE,"Pharm";#N/A,#N/A,FALSE,"WWCM"}</definedName>
    <definedName name="__r_5">{#N/A,#N/A,FALSE,"Pharm";#N/A,#N/A,FALSE,"WWCM"}</definedName>
    <definedName name="__ra15">#REF!</definedName>
    <definedName name="__ra16">#REF!</definedName>
    <definedName name="__Ram1">{#N/A,#N/A,TRUE,"BALSCH";#N/A,#N/A,TRUE,"COMICRO";#N/A,#N/A,TRUE,"CHECKS";#N/A,#N/A,TRUE,"GLASS";#N/A,#N/A,TRUE,"DEPRE";#N/A,#N/A,TRUE,"A&amp;MCUR";#N/A,#N/A,TRUE,"AGEANAlysis";#N/A,#N/A,TRUE,"CHECKS"}</definedName>
    <definedName name="__RSE1">#REF!</definedName>
    <definedName name="__RSE2">#REF!</definedName>
    <definedName name="__RT25">{#N/A,#N/A,FALSE,"Umsatz 99";#N/A,#N/A,FALSE,"ER 99 "}</definedName>
    <definedName name="__RT25_1">{#N/A,#N/A,FALSE,"Umsatz 99";#N/A,#N/A,FALSE,"ER 99 "}</definedName>
    <definedName name="__RT25_2">{#N/A,#N/A,FALSE,"Umsatz 99";#N/A,#N/A,FALSE,"ER 99 "}</definedName>
    <definedName name="__RT25_3">{#N/A,#N/A,FALSE,"Umsatz 99";#N/A,#N/A,FALSE,"ER 99 "}</definedName>
    <definedName name="__RT25_4">{#N/A,#N/A,FALSE,"Umsatz 99";#N/A,#N/A,FALSE,"ER 99 "}</definedName>
    <definedName name="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ad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sad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al9899">#REF!</definedName>
    <definedName name="__SBG1">#REF!</definedName>
    <definedName name="__SBG2">#REF!</definedName>
    <definedName name="__SBG3">#REF!</definedName>
    <definedName name="__SBG4">#REF!</definedName>
    <definedName name="__SBG5">#REF!</definedName>
    <definedName name="__SBG6">#REF!</definedName>
    <definedName name="__SBG7">#REF!</definedName>
    <definedName name="__SBG8">#REF!</definedName>
    <definedName name="__SBG9">#REF!</definedName>
    <definedName name="__sch1">#REF!</definedName>
    <definedName name="__SCH111213">#REF!</definedName>
    <definedName name="__Sch12">#REF!</definedName>
    <definedName name="__sch1314">#REF!</definedName>
    <definedName name="__SCH1415">#REF!</definedName>
    <definedName name="__SCH1519">#REF!</definedName>
    <definedName name="__sch2">#REF!</definedName>
    <definedName name="__sch3">#REF!</definedName>
    <definedName name="__sch34">#REF!</definedName>
    <definedName name="__sch4">#REF!</definedName>
    <definedName name="__Sch456">#REF!</definedName>
    <definedName name="__Sch4567">#REF!</definedName>
    <definedName name="__Sch467">#REF!</definedName>
    <definedName name="__sch5">#REF!</definedName>
    <definedName name="__sch6">#REF!</definedName>
    <definedName name="__sch7">#REF!</definedName>
    <definedName name="__sch81">#REF!</definedName>
    <definedName name="__sch82">#REF!</definedName>
    <definedName name="__sch83">#REF!</definedName>
    <definedName name="__sch84">#REF!</definedName>
    <definedName name="__sep98">#REF!</definedName>
    <definedName name="__SG1">#REF!</definedName>
    <definedName name="__sl1">#REF!</definedName>
    <definedName name="__TAX1">#REF!</definedName>
    <definedName name="__tds1">#REF!</definedName>
    <definedName name="__tm1">{#N/A,#N/A,FALSE,"Pharm";#N/A,#N/A,FALSE,"WWCM"}</definedName>
    <definedName name="__tm1_1">{#N/A,#N/A,FALSE,"Pharm";#N/A,#N/A,FALSE,"WWCM"}</definedName>
    <definedName name="__tm1_2">{#N/A,#N/A,FALSE,"Pharm";#N/A,#N/A,FALSE,"WWCM"}</definedName>
    <definedName name="__tm1_3">{#N/A,#N/A,FALSE,"Pharm";#N/A,#N/A,FALSE,"WWCM"}</definedName>
    <definedName name="__tm1_4">{#N/A,#N/A,FALSE,"Pharm";#N/A,#N/A,FALSE,"WWCM"}</definedName>
    <definedName name="__tm1_5">{#N/A,#N/A,FALSE,"Pharm";#N/A,#N/A,FALSE,"WWCM"}</definedName>
    <definedName name="__TP200203">#REF!</definedName>
    <definedName name="__tt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tt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tt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tt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usl1">#REF!</definedName>
    <definedName name="__V2">{#N/A,#N/A,FALSE,"Tabl. A1";#N/A,#N/A,FALSE,"Tabl. A1 b";#N/A,#N/A,FALSE,"Tabl. A2";#N/A,#N/A,FALSE,"Tabl. A2-1";#N/A,#N/A,FALSE,"Tabl. A2-2"}</definedName>
    <definedName name="__V2_1">{#N/A,#N/A,FALSE,"Tabl. A1";#N/A,#N/A,FALSE,"Tabl. A1 b";#N/A,#N/A,FALSE,"Tabl. A2";#N/A,#N/A,FALSE,"Tabl. A2-1";#N/A,#N/A,FALSE,"Tabl. A2-2"}</definedName>
    <definedName name="__V2_2">{#N/A,#N/A,FALSE,"Tabl. A1";#N/A,#N/A,FALSE,"Tabl. A1 b";#N/A,#N/A,FALSE,"Tabl. A2";#N/A,#N/A,FALSE,"Tabl. A2-1";#N/A,#N/A,FALSE,"Tabl. A2-2"}</definedName>
    <definedName name="__V2_3">{#N/A,#N/A,FALSE,"Tabl. A1";#N/A,#N/A,FALSE,"Tabl. A1 b";#N/A,#N/A,FALSE,"Tabl. A2";#N/A,#N/A,FALSE,"Tabl. A2-1";#N/A,#N/A,FALSE,"Tabl. A2-2"}</definedName>
    <definedName name="__V2_4">{#N/A,#N/A,FALSE,"Tabl. A1";#N/A,#N/A,FALSE,"Tabl. A1 b";#N/A,#N/A,FALSE,"Tabl. A2";#N/A,#N/A,FALSE,"Tabl. A2-1";#N/A,#N/A,FALSE,"Tabl. A2-2"}</definedName>
    <definedName name="__VAR13300">#REF!</definedName>
    <definedName name="__VAR13502">#REF!</definedName>
    <definedName name="__X2">{#N/A,#N/A,FALSE,"Other";#N/A,#N/A,FALSE,"Ace";#N/A,#N/A,FALSE,"Derm"}</definedName>
    <definedName name="__X2_1">{#N/A,#N/A,FALSE,"Other";#N/A,#N/A,FALSE,"Ace";#N/A,#N/A,FALSE,"Derm"}</definedName>
    <definedName name="__X2_2">{#N/A,#N/A,FALSE,"Other";#N/A,#N/A,FALSE,"Ace";#N/A,#N/A,FALSE,"Derm"}</definedName>
    <definedName name="__X2_3">{#N/A,#N/A,FALSE,"Other";#N/A,#N/A,FALSE,"Ace";#N/A,#N/A,FALSE,"Derm"}</definedName>
    <definedName name="__X2_4">{#N/A,#N/A,FALSE,"Other";#N/A,#N/A,FALSE,"Ace";#N/A,#N/A,FALSE,"Derm"}</definedName>
    <definedName name="__X2_5">{#N/A,#N/A,FALSE,"Other";#N/A,#N/A,FALSE,"Ace";#N/A,#N/A,FALSE,"Derm"}</definedName>
    <definedName name="__xlfn.BAHTTEXT">#NAME?</definedName>
    <definedName name="__xlfn.RTD">#NAME?</definedName>
    <definedName name="__xx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xx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xx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xx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z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z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002_400_0389_000_510_0010">#REF!</definedName>
    <definedName name="_1">#REF!</definedName>
    <definedName name="_1_?">#REF!</definedName>
    <definedName name="_1__123Graph_ACHART_1">#REF!</definedName>
    <definedName name="_1__123Graph_Aグラフ_1">#REF!</definedName>
    <definedName name="_1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1_0_0Dish_c">#REF!</definedName>
    <definedName name="_1_3T02_GEAE_SCH6">#REF!</definedName>
    <definedName name="_1_TrendPY4____1">#REF!</definedName>
    <definedName name="_10">"sch13.$"</definedName>
    <definedName name="_10__123Graph_AChart_4G">#REF!</definedName>
    <definedName name="_10__123Graph_BCHART_1">#REF!</definedName>
    <definedName name="_10__123Graph_BCHART_4">#REF!</definedName>
    <definedName name="_10__123Graph_BCHART_7">#REF!</definedName>
    <definedName name="_10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100__123Graph_XCHART_2">#REF!</definedName>
    <definedName name="_100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101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102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103__FDSAUDITLINK__">{"fdsup://directions/FAT Viewer?action=UPDATE&amp;creator=factset&amp;DYN_ARGS=TRUE&amp;DOC_NAME=FAT:FQL_AUDITING_CLIENT_TEMPLATE.FAT&amp;display_string=Audit&amp;VAR:KEY=LIHQZUJEFW&amp;VAR:QUERY=UkdGX0JQUyhBTk4sMjAwOSwsLCwsLCxOT0FVRElUKQ==&amp;WINDOW=FIRST_POPUP&amp;HEIGHT=450&amp;WIDTH=450&amp;","START_MAXIMIZED=FALSE&amp;VAR:CALENDAR=FIVEDAY&amp;VAR:SYMBOL=B1L5MR&amp;VAR:INDEX=0"}</definedName>
    <definedName name="_104__FDSAUDITLINK__">{"fdsup://directions/FAT Viewer?action=UPDATE&amp;creator=factset&amp;DYN_ARGS=TRUE&amp;DOC_NAME=FAT:FQL_AUDITING_CLIENT_TEMPLATE.FAT&amp;display_string=Audit&amp;VAR:KEY=LIHQZUJEFW&amp;VAR:QUERY=UkdGX0JQUyhBTk4sMjAwOSwsLCwsLCxOT0FVRElUKQ==&amp;WINDOW=FIRST_POPUP&amp;HEIGHT=450&amp;WIDTH=450&amp;","START_MAXIMIZED=FALSE&amp;VAR:CALENDAR=FIVEDAY&amp;VAR:SYMBOL=B1L5MR&amp;VAR:INDEX=0"}</definedName>
    <definedName name="_105__FDSAUDITLINK__">{"fdsup://Directions/FactSet Auditing Viewer?action=AUDIT_VALUE&amp;DB=129&amp;ID1=626187&amp;VALUEID=01250&amp;SDATE=2008&amp;PERIODTYPE=ANN_STD&amp;window=popup_no_bar&amp;width=385&amp;height=120&amp;START_MAXIMIZED=FALSE&amp;creator=factset&amp;display_string=Audit"}</definedName>
    <definedName name="_106__FDSAUDITLINK__">{"fdsup://Directions/FactSet Auditing Viewer?action=AUDIT_VALUE&amp;DB=129&amp;ID1=626187&amp;VALUEID=01250&amp;SDATE=2007&amp;PERIODTYPE=ANN_STD&amp;window=popup_no_bar&amp;width=385&amp;height=120&amp;START_MAXIMIZED=FALSE&amp;creator=factset&amp;display_string=Audit"}</definedName>
    <definedName name="_107__FDSAUDITLINK__">{"fdsup://IBCentral/FAT Viewer?action=UPDATE&amp;creator=factset&amp;DOC_NAME=fat:reuters_annual_pshs_src_window.fat&amp;display_string=Audit&amp;DYN_ARGS=TRUE&amp;VAR:ID1=B1L5MR&amp;VAR:RCODE=FDSEPSDIL&amp;VAR:SDATE=20090699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108__FDSAUDITLINK__">{"fdsup://IBCentral/FAT Viewer?action=UPDATE&amp;creator=factset&amp;DOC_NAME=fat:reuters_annual_pshs_src_window.fat&amp;display_string=Audit&amp;DYN_ARGS=TRUE&amp;VAR:ID1=B1L5MR&amp;VAR:RCODE=FDSEPSDIL&amp;VAR:SDATE=20080699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109__FDSAUDITLINK__">{"fdsup://IBCentral/FAT Viewer?action=UPDATE&amp;creator=factset&amp;DOC_NAME=fat:reuters_annual_pshs_src_window.fat&amp;display_string=Audit&amp;DYN_ARGS=TRUE&amp;VAR:ID1=B1L5MR&amp;VAR:RCODE=FDSEPSDIL&amp;VAR:SDATE=20070699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10AB">#REF!</definedName>
    <definedName name="_10AC">#REF!</definedName>
    <definedName name="_10AD">#REF!</definedName>
    <definedName name="_10AE">#REF!</definedName>
    <definedName name="_11">"$"</definedName>
    <definedName name="_11__123Graph_ACHART_2">#REF!</definedName>
    <definedName name="_11__123Graph_ACHART_5">#REF!</definedName>
    <definedName name="_11__123Graph_ACHART_7">#REF!</definedName>
    <definedName name="_11__123Graph_BCHART_2">#REF!</definedName>
    <definedName name="_11__123Graph_BCHART_7">#REF!</definedName>
    <definedName name="_11__123Graph_BCHART_9">#REF!</definedName>
    <definedName name="_11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110__FDSAUDITLINK__">{"fdsup://IBCentral/FAT Viewer?action=UPDATE&amp;creator=factset&amp;DOC_NAME=fat:reuters_annual_source_window.fat&amp;display_string=Audit&amp;DYN_ARGS=TRUE&amp;VAR:ID1=B1L5MR&amp;VAR:RCODE=NIBX&amp;VAR:SDATE=20070699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111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4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5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6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7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8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19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">"$"</definedName>
    <definedName name="_12__123Graph_ACHART_6">#REF!</definedName>
    <definedName name="_12__123Graph_BCHART_3">#REF!</definedName>
    <definedName name="_12__123Graph_BCHART_9">#REF!</definedName>
    <definedName name="_12__123Graph_CCHART_1">#REF!</definedName>
    <definedName name="_12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2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3">#REF!</definedName>
    <definedName name="_123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4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5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26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27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28__FDSAUDITLINK__">{"fdsup://directions/FAT Viewer?action=UPDATE&amp;creator=factset&amp;DYN_ARGS=TRUE&amp;DOC_NAME=FAT:FQL_AUDITING_CLIENT_TEMPLATE.FAT&amp;display_string=Audit&amp;VAR:KEY=RITKBWHOHC&amp;VAR:QUERY=UkdGX0JQUyhBTk4sMjAwOSwsLCwsLCxOT0FVRElUKQ==&amp;WINDOW=FIRST_POPUP&amp;HEIGHT=450&amp;WIDTH=450&amp;","START_MAXIMIZED=FALSE&amp;VAR:CALENDAR=FIVEDAY&amp;VAR:SYMBOL=637488&amp;VAR:INDEX=0"}</definedName>
    <definedName name="_129__FDSAUDITLINK__">{"fdsup://directions/FAT Viewer?action=UPDATE&amp;creator=factset&amp;DYN_ARGS=TRUE&amp;DOC_NAME=FAT:FQL_AUDITING_CLIENT_TEMPLATE.FAT&amp;display_string=Audit&amp;VAR:KEY=RITKBWHOHC&amp;VAR:QUERY=UkdGX0JQUyhBTk4sMjAwOSwsLCwsLCxOT0FVRElUKQ==&amp;WINDOW=FIRST_POPUP&amp;HEIGHT=450&amp;WIDTH=450&amp;","START_MAXIMIZED=FALSE&amp;VAR:CALENDAR=FIVEDAY&amp;VAR:SYMBOL=637488&amp;VAR:INDEX=0"}</definedName>
    <definedName name="_12A">#REF!</definedName>
    <definedName name="_12B">#REF!</definedName>
    <definedName name="_13">"$"</definedName>
    <definedName name="_13__123Graph_ACHART_7">#REF!</definedName>
    <definedName name="_13__123Graph_BCHART_1">#REF!</definedName>
    <definedName name="_13__123Graph_BCHART_4">#REF!</definedName>
    <definedName name="_13__123Graph_CCHART_1">#REF!</definedName>
    <definedName name="_13__123Graph_CCHART_10">#REF!</definedName>
    <definedName name="_13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13_Month_Trend">#REF!</definedName>
    <definedName name="_130__FDSAUDITLINK__">{"fdsup://directions/FAT Viewer?action=UPDATE&amp;creator=factset&amp;DYN_ARGS=TRUE&amp;DOC_NAME=FAT:FQL_AUDITING_CLIENT_TEMPLATE.FAT&amp;display_string=Audit&amp;VAR:KEY=HQDUZKFCHI&amp;VAR:QUERY=UkdGX0JQUyhBTk4sMjAwOSwsLCwsLCxOT0FVRElUKQ==&amp;WINDOW=FIRST_POPUP&amp;HEIGHT=450&amp;WIDTH=450&amp;","START_MAXIMIZED=FALSE&amp;VAR:CALENDAR=FIVEDAY&amp;VAR:SYMBOL=699354&amp;VAR:INDEX=0"}</definedName>
    <definedName name="_131__FDSAUDITLINK__">{"fdsup://directions/FAT Viewer?action=UPDATE&amp;creator=factset&amp;DYN_ARGS=TRUE&amp;DOC_NAME=FAT:FQL_AUDITING_CLIENT_TEMPLATE.FAT&amp;display_string=Audit&amp;VAR:KEY=HQDUZKFCHI&amp;VAR:QUERY=UkdGX0JQUyhBTk4sMjAwOSwsLCwsLCxOT0FVRElUKQ==&amp;WINDOW=FIRST_POPUP&amp;HEIGHT=450&amp;WIDTH=450&amp;","START_MAXIMIZED=FALSE&amp;VAR:CALENDAR=FIVEDAY&amp;VAR:SYMBOL=699354&amp;VAR:INDEX=0"}</definedName>
    <definedName name="_132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3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4__FDSAUDITLINK__">{"fdsup://directions/FAT Viewer?action=UPDATE&amp;creator=factset&amp;DYN_ARGS=TRUE&amp;DOC_NAME=FAT:FQL_AUDITING_CLIENT_TEMPLATE.FAT&amp;display_string=Audit&amp;VAR:KEY=PGHWHAPUTS&amp;VAR:QUERY=UkdGX0JQUyhBTk4sMjAwOSwsLCwsLCxOT0FVRElUKQ==&amp;WINDOW=FIRST_POPUP&amp;HEIGHT=450&amp;WIDTH=450&amp;","START_MAXIMIZED=FALSE&amp;VAR:CALENDAR=FIVEDAY&amp;VAR:SYMBOL=670808&amp;VAR:INDEX=0"}</definedName>
    <definedName name="_135__FDSAUDITLINK__">{"fdsup://directions/FAT Viewer?action=UPDATE&amp;creator=factset&amp;DYN_ARGS=TRUE&amp;DOC_NAME=FAT:FQL_AUDITING_CLIENT_TEMPLATE.FAT&amp;display_string=Audit&amp;VAR:KEY=PGHWHAPUTS&amp;VAR:QUERY=UkdGX0JQUyhBTk4sMjAwOSwsLCwsLCxOT0FVRElUKQ==&amp;WINDOW=FIRST_POPUP&amp;HEIGHT=450&amp;WIDTH=450&amp;","START_MAXIMIZED=FALSE&amp;VAR:CALENDAR=FIVEDAY&amp;VAR:SYMBOL=670808&amp;VAR:INDEX=0"}</definedName>
    <definedName name="_136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7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8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9__FDSAUDITLINK__">{"fdsup://directions/FAT Viewer?action=UPDATE&amp;creator=factset&amp;DYN_ARGS=TRUE&amp;DOC_NAME=FAT:FQL_AUDITING_CLIENT_TEMPLATE.FAT&amp;display_string=Audit&amp;VAR:KEY=LCRSDAPSXK&amp;VAR:QUERY=UkdGX0JQUyhBTk4sMjAwOSwsLCwsLCxOT0FVRElUKQ==&amp;WINDOW=FIRST_POPUP&amp;HEIGHT=450&amp;WIDTH=450&amp;","START_MAXIMIZED=FALSE&amp;VAR:CALENDAR=FIVEDAY&amp;VAR:INDEX=0"}</definedName>
    <definedName name="_13A">#REF!</definedName>
    <definedName name="_14__123Graph_ACHART_8">#REF!</definedName>
    <definedName name="_14__123Graph_BCHART_7">#REF!</definedName>
    <definedName name="_14__123Graph_CCHART_10">#REF!</definedName>
    <definedName name="_14__123Graph_CCHART_2">#REF!</definedName>
    <definedName name="_14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140__FDSAUDITLINK__">{"fdsup://directions/FAT Viewer?action=UPDATE&amp;creator=factset&amp;DYN_ARGS=TRUE&amp;DOC_NAME=FAT:FQL_AUDITING_CLIENT_TEMPLATE.FAT&amp;display_string=Audit&amp;VAR:KEY=LCVWFIZGLE&amp;VAR:QUERY=UkdGX0JQUyhBTk4sMjAwOSwsLCwsLCxOT0FVRElUKQ==&amp;WINDOW=FIRST_POPUP&amp;HEIGHT=450&amp;WIDTH=450&amp;","START_MAXIMIZED=FALSE&amp;VAR:CALENDAR=FIVEDAY&amp;VAR:SYMBOL=614325&amp;VAR:INDEX=0"}</definedName>
    <definedName name="_141__FDSAUDITLINK__">{"fdsup://directions/FAT Viewer?action=UPDATE&amp;creator=factset&amp;DYN_ARGS=TRUE&amp;DOC_NAME=FAT:FQL_AUDITING_CLIENT_TEMPLATE.FAT&amp;display_string=Audit&amp;VAR:KEY=LCVWFIZGLE&amp;VAR:QUERY=UkdGX0JQUyhBTk4sMjAwOSwsLCwsLCxOT0FVRElUKQ==&amp;WINDOW=FIRST_POPUP&amp;HEIGHT=450&amp;WIDTH=450&amp;","START_MAXIMIZED=FALSE&amp;VAR:CALENDAR=FIVEDAY&amp;VAR:SYMBOL=614325&amp;VAR:INDEX=0"}</definedName>
    <definedName name="_142__FDSAUDITLINK__">{"fdsup://directions/FAT Viewer?action=UPDATE&amp;creator=factset&amp;DYN_ARGS=TRUE&amp;DOC_NAME=FAT:FQL_AUDITING_CLIENT_TEMPLATE.FAT&amp;display_string=Audit&amp;VAR:KEY=RGRQDQTWBQ&amp;VAR:QUERY=UkdGX0JQUyhBTk4sMjAwOSwsLCwsLCxOT0FVRElUKQ==&amp;WINDOW=FIRST_POPUP&amp;HEIGHT=450&amp;WIDTH=450&amp;","START_MAXIMIZED=FALSE&amp;VAR:CALENDAR=FIVEDAY&amp;VAR:SYMBOL=B097TX&amp;VAR:INDEX=0"}</definedName>
    <definedName name="_143__FDSAUDITLINK__">{"fdsup://directions/FAT Viewer?action=UPDATE&amp;creator=factset&amp;DYN_ARGS=TRUE&amp;DOC_NAME=FAT:FQL_AUDITING_CLIENT_TEMPLATE.FAT&amp;display_string=Audit&amp;VAR:KEY=RGRQDQTWBQ&amp;VAR:QUERY=UkdGX0JQUyhBTk4sMjAwOSwsLCwsLCxOT0FVRElUKQ==&amp;WINDOW=FIRST_POPUP&amp;HEIGHT=450&amp;WIDTH=450&amp;","START_MAXIMIZED=FALSE&amp;VAR:CALENDAR=FIVEDAY&amp;VAR:SYMBOL=B097TX&amp;VAR:INDEX=0"}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>{"fdsup://directions/FAT Viewer?action=UPDATE&amp;creator=factset&amp;DYN_ARGS=TRUE&amp;DOC_NAME=FAT:FQL_AUDITING_CLIENT_TEMPLATE.FAT&amp;display_string=Audit&amp;VAR:KEY=PKPEBABGZG&amp;VAR:QUERY=UkdGX0JQUyhBTk4sMjAwOSwsLCwsLCxOT0FVRElUKQ==&amp;WINDOW=FIRST_POPUP&amp;HEIGHT=450&amp;WIDTH=450&amp;","START_MAXIMIZED=FALSE&amp;VAR:CALENDAR=FIVEDAY&amp;VAR:SYMBOL=626187&amp;VAR:INDEX=0"}</definedName>
    <definedName name="_146__FDSAUDITLINK__">{"fdsup://directions/FAT Viewer?action=UPDATE&amp;creator=factset&amp;DYN_ARGS=TRUE&amp;DOC_NAME=FAT:FQL_AUDITING_CLIENT_TEMPLATE.FAT&amp;display_string=Audit&amp;VAR:KEY=PCRGJOXSDU&amp;VAR:QUERY=UkdGX0JQUyhBTk4sMjAwOSwsLCwsLCxOT0FVRElUKQ==&amp;WINDOW=FIRST_POPUP&amp;HEIGHT=450&amp;WIDTH=450&amp;","START_MAXIMIZED=FALSE&amp;VAR:CALENDAR=FIVEDAY&amp;VAR:SYMBOL=B1L5MR&amp;VAR:INDEX=0"}</definedName>
    <definedName name="_147__FDSAUDITLINK__">{"fdsup://directions/FAT Viewer?action=UPDATE&amp;creator=factset&amp;DYN_ARGS=TRUE&amp;DOC_NAME=FAT:FQL_AUDITING_CLIENT_TEMPLATE.FAT&amp;display_string=Audit&amp;VAR:KEY=PCRGJOXSDU&amp;VAR:QUERY=UkdGX0JQUyhBTk4sMjAwOSwsLCwsLCxOT0FVRElUKQ==&amp;WINDOW=FIRST_POPUP&amp;HEIGHT=450&amp;WIDTH=450&amp;","START_MAXIMIZED=FALSE&amp;VAR:CALENDAR=FIVEDAY&amp;VAR:SYMBOL=B1L5MR&amp;VAR:INDEX=0"}</definedName>
    <definedName name="_148__FDSAUDITLINK__">{"fdsup://directions/FAT Viewer?action=UPDATE&amp;creator=factset&amp;DYN_ARGS=TRUE&amp;DOC_NAME=FAT:FQL_AUDITING_CLIENT_TEMPLATE.FAT&amp;display_string=Audit&amp;VAR:KEY=ZAZOHSNGHC&amp;VAR:QUERY=UkdGX0JQUyhBTk4sMjAwOSwsLCwsLCxOT0FVRElUKQ==&amp;WINDOW=FIRST_POPUP&amp;HEIGHT=450&amp;WIDTH=450&amp;","START_MAXIMIZED=FALSE&amp;VAR:CALENDAR=FIVEDAY&amp;VAR:SYMBOL=613934&amp;VAR:INDEX=0"}</definedName>
    <definedName name="_149__FDSAUDITLINK__">{"fdsup://directions/FAT Viewer?action=UPDATE&amp;creator=factset&amp;DYN_ARGS=TRUE&amp;DOC_NAME=FAT:FQL_AUDITING_CLIENT_TEMPLATE.FAT&amp;display_string=Audit&amp;VAR:KEY=ZAZOHSNGHC&amp;VAR:QUERY=UkdGX0JQUyhBTk4sMjAwOSwsLCwsLCxOT0FVRElUKQ==&amp;WINDOW=FIRST_POPUP&amp;HEIGHT=450&amp;WIDTH=450&amp;","START_MAXIMIZED=FALSE&amp;VAR:CALENDAR=FIVEDAY&amp;VAR:SYMBOL=613934&amp;VAR:INDEX=0"}</definedName>
    <definedName name="_15__123Graph_ACHART_3">#REF!</definedName>
    <definedName name="_15__123Graph_ACHART_9">#REF!</definedName>
    <definedName name="_15__123Graph_BCHART_2">#REF!</definedName>
    <definedName name="_15__123Graph_BCHART_9">#REF!</definedName>
    <definedName name="_15__123Graph_CCHART_2">#REF!</definedName>
    <definedName name="_15__123Graph_CCHART_3">#REF!</definedName>
    <definedName name="_15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150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51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152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53__FDSAUDITLINK__">{"fdsup://directions/FAT Viewer?action=UPDATE&amp;creator=factset&amp;DYN_ARGS=TRUE&amp;DOC_NAME=FAT:FQL_AUDITING_CLIENT_TEMPLATE.FAT&amp;display_string=Audit&amp;VAR:KEY=RUNWHILQLA&amp;VAR:QUERY=UkdGX0JQUyhBTk4sMjAwOSwsLCwsLCxOT0FVRElUKQ==&amp;WINDOW=FIRST_POPUP&amp;HEIGHT=450&amp;WIDTH=450&amp;","START_MAXIMIZED=FALSE&amp;VAR:CALENDAR=FIVEDAY&amp;VAR:SYMBOL=637488&amp;VAR:INDEX=0"}</definedName>
    <definedName name="_154__FDSAUDITLINK__">{"fdsup://directions/FAT Viewer?action=UPDATE&amp;creator=factset&amp;DYN_ARGS=TRUE&amp;DOC_NAME=FAT:FQL_AUDITING_CLIENT_TEMPLATE.FAT&amp;display_string=Audit&amp;VAR:KEY=RUNWHILQLA&amp;VAR:QUERY=UkdGX0JQUyhBTk4sMjAwOSwsLCwsLCxOT0FVRElUKQ==&amp;WINDOW=FIRST_POPUP&amp;HEIGHT=450&amp;WIDTH=450&amp;","START_MAXIMIZED=FALSE&amp;VAR:CALENDAR=FIVEDAY&amp;VAR:SYMBOL=637488&amp;VAR:INDEX=0"}</definedName>
    <definedName name="_155___1702">#REF!</definedName>
    <definedName name="_155___1703">#REF!</definedName>
    <definedName name="_155___1704">#REF!</definedName>
    <definedName name="_155__FDSAUDITLINK__">{"fdsup://directions/FAT Viewer?action=UPDATE&amp;creator=factset&amp;DYN_ARGS=TRUE&amp;DOC_NAME=FAT:FQL_AUDITING_CLIENT_TEMPLATE.FAT&amp;display_string=Audit&amp;VAR:KEY=PARQXUXGFQ&amp;VAR:QUERY=UkdGX0JQUyhBTk4sMjAwOSwsLCwsLCxOT0FVRElUKQ==&amp;WINDOW=FIRST_POPUP&amp;HEIGHT=450&amp;WIDTH=450&amp;","START_MAXIMIZED=FALSE&amp;VAR:CALENDAR=FIVEDAY&amp;VAR:SYMBOL=699354&amp;VAR:INDEX=0"}</definedName>
    <definedName name="_156__FDSAUDITLINK__">{"fdsup://directions/FAT Viewer?action=UPDATE&amp;creator=factset&amp;DYN_ARGS=TRUE&amp;DOC_NAME=FAT:FQL_AUDITING_CLIENT_TEMPLATE.FAT&amp;display_string=Audit&amp;VAR:KEY=PARQXUXGFQ&amp;VAR:QUERY=UkdGX0JQUyhBTk4sMjAwOSwsLCwsLCxOT0FVRElUKQ==&amp;WINDOW=FIRST_POPUP&amp;HEIGHT=450&amp;WIDTH=450&amp;","START_MAXIMIZED=FALSE&amp;VAR:CALENDAR=FIVEDAY&amp;VAR:SYMBOL=699354&amp;VAR:INDEX=0"}</definedName>
    <definedName name="_157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58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59__FDSAUDITLINK__">{"fdsup://directions/FAT Viewer?action=UPDATE&amp;creator=factset&amp;DYN_ARGS=TRUE&amp;DOC_NAME=FAT:FQL_AUDITING_CLIENT_TEMPLATE.FAT&amp;display_string=Audit&amp;VAR:KEY=BIVMNGPEHM&amp;VAR:QUERY=UkdGX0JQUyhBTk4sMjAwOSwsLCwsLCxOT0FVRElUKQ==&amp;WINDOW=FIRST_POPUP&amp;HEIGHT=450&amp;WIDTH=450&amp;","START_MAXIMIZED=FALSE&amp;VAR:CALENDAR=FIVEDAY&amp;VAR:SYMBOL=670808&amp;VAR:INDEX=0"}</definedName>
    <definedName name="_16__123Graph_BCHART_1">#REF!</definedName>
    <definedName name="_16__123Graph_CCHART_1">#REF!</definedName>
    <definedName name="_16__123Graph_CCHART_3">#REF!</definedName>
    <definedName name="_16__123Graph_CCHART_4">#REF!</definedName>
    <definedName name="_16__FDSAUDITLINK__">{"fdsup://directions/FAT Viewer?action=UPDATE&amp;creator=factset&amp;DYN_ARGS=TRUE&amp;DOC_NAME=FAT:FQL_AUDITING_CLIENT_TEMPLATE.FAT&amp;display_string=Audit&amp;VAR:KEY=FQRWTMNEHU&amp;VAR:QUERY=UkdGX0JQUyhBTk4sMjAwOSwsLCwsLCxOT0FVRElUKQ==&amp;WINDOW=FIRST_POPUP&amp;HEIGHT=450&amp;WIDTH=450&amp;","START_MAXIMIZED=FALSE&amp;VAR:CALENDAR=FIVEDAY&amp;VAR:SYMBOL=614325&amp;VAR:INDEX=0"}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62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63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64__FDSAUDITLINK__">{"fdsup://directions/FAT Viewer?action=UPDATE&amp;creator=factset&amp;DYN_ARGS=TRUE&amp;DOC_NAME=FAT:FQL_AUDITING_CLIENT_TEMPLATE.FAT&amp;display_string=Audit&amp;VAR:KEY=VMLSVYHGNG&amp;VAR:QUERY=UkdGX0JQUyhBTk4sMjAwOSwsLCwsLCxOT0FVRElUKQ==&amp;WINDOW=FIRST_POPUP&amp;HEIGHT=450&amp;WIDTH=450&amp;","START_MAXIMIZED=FALSE&amp;VAR:CALENDAR=FIVEDAY&amp;VAR:INDEX=0"}</definedName>
    <definedName name="_165__FDSAUDITLINK__">{"fdsup://directions/FAT Viewer?action=UPDATE&amp;creator=factset&amp;DYN_ARGS=TRUE&amp;DOC_NAME=FAT:FQL_AUDITING_CLIENT_TEMPLATE.FAT&amp;display_string=Audit&amp;VAR:KEY=NWDAHKJOVG&amp;VAR:QUERY=UkdGX0JQUyhBTk4sMjAwOSwsLCwsLCxOT0FVRElUKQ==&amp;WINDOW=FIRST_POPUP&amp;HEIGHT=450&amp;WIDTH=450&amp;","START_MAXIMIZED=FALSE&amp;VAR:CALENDAR=FIVEDAY&amp;VAR:SYMBOL=614325&amp;VAR:INDEX=0"}</definedName>
    <definedName name="_166__FDSAUDITLINK__">{"fdsup://directions/FAT Viewer?action=UPDATE&amp;creator=factset&amp;DYN_ARGS=TRUE&amp;DOC_NAME=FAT:FQL_AUDITING_CLIENT_TEMPLATE.FAT&amp;display_string=Audit&amp;VAR:KEY=NWDAHKJOVG&amp;VAR:QUERY=UkdGX0JQUyhBTk4sMjAwOSwsLCwsLCxOT0FVRElUKQ==&amp;WINDOW=FIRST_POPUP&amp;HEIGHT=450&amp;WIDTH=450&amp;","START_MAXIMIZED=FALSE&amp;VAR:CALENDAR=FIVEDAY&amp;VAR:SYMBOL=614325&amp;VAR:INDEX=0"}</definedName>
    <definedName name="_167__FDSAUDITLINK__">{"fdsup://directions/FAT Viewer?action=UPDATE&amp;creator=factset&amp;DYN_ARGS=TRUE&amp;DOC_NAME=FAT:FQL_AUDITING_CLIENT_TEMPLATE.FAT&amp;display_string=Audit&amp;VAR:KEY=DUPWHYRQRM&amp;VAR:QUERY=UkdGX0JQUyhBTk4sMjAwOSwsLCwsLCxOT0FVRElUKQ==&amp;WINDOW=FIRST_POPUP&amp;HEIGHT=450&amp;WIDTH=450&amp;","START_MAXIMIZED=FALSE&amp;VAR:CALENDAR=FIVEDAY&amp;VAR:SYMBOL=B097TX&amp;VAR:INDEX=0"}</definedName>
    <definedName name="_168__FDSAUDITLINK__">{"fdsup://directions/FAT Viewer?action=UPDATE&amp;creator=factset&amp;DYN_ARGS=TRUE&amp;DOC_NAME=FAT:FQL_AUDITING_CLIENT_TEMPLATE.FAT&amp;display_string=Audit&amp;VAR:KEY=DUPWHYRQRM&amp;VAR:QUERY=UkdGX0JQUyhBTk4sMjAwOSwsLCwsLCxOT0FVRElUKQ==&amp;WINDOW=FIRST_POPUP&amp;HEIGHT=450&amp;WIDTH=450&amp;","START_MAXIMIZED=FALSE&amp;VAR:CALENDAR=FIVEDAY&amp;VAR:SYMBOL=B097TX&amp;VAR:INDEX=0"}</definedName>
    <definedName name="_169__FDSAUDITLINK__">{"fdsup://directions/FAT Viewer?action=UPDATE&amp;creator=factset&amp;DYN_ARGS=TRUE&amp;DOC_NAME=FAT:FQL_AUDITING_CLIENT_TEMPLATE.FAT&amp;display_string=Audit&amp;VAR:KEY=FCHOVANILS&amp;VAR:QUERY=UkdGX0JQUyhBTk4sMjAwOSwsLCwsLCxOT0FVRElUKQ==&amp;WINDOW=FIRST_POPUP&amp;HEIGHT=450&amp;WIDTH=450&amp;","START_MAXIMIZED=FALSE&amp;VAR:CALENDAR=FIVEDAY&amp;VAR:SYMBOL=626187&amp;VAR:INDEX=0"}</definedName>
    <definedName name="_17__123Graph_BCHART_10">#REF!</definedName>
    <definedName name="_17__123Graph_BCHART_3">#REF!</definedName>
    <definedName name="_17__123Graph_CCHART_10">#REF!</definedName>
    <definedName name="_17__123Graph_CCHART_4">#REF!</definedName>
    <definedName name="_17__123Graph_CCHART_9">#REF!</definedName>
    <definedName name="_17__FDSAUDITLINK__">{"fdsup://directions/FAT Viewer?action=UPDATE&amp;creator=factset&amp;DYN_ARGS=TRUE&amp;DOC_NAME=FAT:FQL_AUDITING_CLIENT_TEMPLATE.FAT&amp;display_string=Audit&amp;VAR:KEY=FQRWTMNEHU&amp;VAR:QUERY=UkdGX0JQUyhBTk4sMjAwOSwsLCwsLCxOT0FVRElUKQ==&amp;WINDOW=FIRST_POPUP&amp;HEIGHT=450&amp;WIDTH=450&amp;","START_MAXIMIZED=FALSE&amp;VAR:CALENDAR=FIVEDAY&amp;VAR:SYMBOL=614325&amp;VAR:INDEX=0"}</definedName>
    <definedName name="_170__FDSAUDITLINK__">{"fdsup://directions/FAT Viewer?action=UPDATE&amp;creator=factset&amp;DYN_ARGS=TRUE&amp;DOC_NAME=FAT:FQL_AUDITING_CLIENT_TEMPLATE.FAT&amp;display_string=Audit&amp;VAR:KEY=FCHOVANILS&amp;VAR:QUERY=UkdGX0JQUyhBTk4sMjAwOSwsLCwsLCxOT0FVRElUKQ==&amp;WINDOW=FIRST_POPUP&amp;HEIGHT=450&amp;WIDTH=450&amp;","START_MAXIMIZED=FALSE&amp;VAR:CALENDAR=FIVEDAY&amp;VAR:SYMBOL=626187&amp;VAR:INDEX=0"}</definedName>
    <definedName name="_171__FDSAUDITLINK__">{"fdsup://directions/FAT Viewer?action=UPDATE&amp;creator=factset&amp;DYN_ARGS=TRUE&amp;DOC_NAME=FAT:FQL_AUDITING_CLIENT_TEMPLATE.FAT&amp;display_string=Audit&amp;VAR:KEY=BINOJIHCLM&amp;VAR:QUERY=UkdGX0JQUyhBTk4sMjAwOSwsLCwsLCxOT0FVRElUKQ==&amp;WINDOW=FIRST_POPUP&amp;HEIGHT=450&amp;WIDTH=450&amp;","START_MAXIMIZED=FALSE&amp;VAR:CALENDAR=FIVEDAY&amp;VAR:SYMBOL=B1L5MR&amp;VAR:INDEX=0"}</definedName>
    <definedName name="_172__FDSAUDITLINK__">{"fdsup://directions/FAT Viewer?action=UPDATE&amp;creator=factset&amp;DYN_ARGS=TRUE&amp;DOC_NAME=FAT:FQL_AUDITING_CLIENT_TEMPLATE.FAT&amp;display_string=Audit&amp;VAR:KEY=BINOJIHCLM&amp;VAR:QUERY=UkdGX0JQUyhBTk4sMjAwOSwsLCwsLCxOT0FVRElUKQ==&amp;WINDOW=FIRST_POPUP&amp;HEIGHT=450&amp;WIDTH=450&amp;","START_MAXIMIZED=FALSE&amp;VAR:CALENDAR=FIVEDAY&amp;VAR:SYMBOL=B1L5MR&amp;VAR:INDEX=0"}</definedName>
    <definedName name="_173__FDSAUDITLINK__">{"fdsup://directions/FAT Viewer?action=UPDATE&amp;creator=factset&amp;DYN_ARGS=TRUE&amp;DOC_NAME=FAT:FQL_AUDITING_CLIENT_TEMPLATE.FAT&amp;display_string=Audit&amp;VAR:KEY=VUJWNOHGFM&amp;VAR:QUERY=UkdGX0JQUyhBTk4sMjAwOSwsLCwsLCxOT0FVRElUKQ==&amp;WINDOW=FIRST_POPUP&amp;HEIGHT=450&amp;WIDTH=450&amp;","START_MAXIMIZED=FALSE&amp;VAR:CALENDAR=FIVEDAY&amp;VAR:SYMBOL=613934&amp;VAR:INDEX=0"}</definedName>
    <definedName name="_174__FDSAUDITLINK__">{"fdsup://directions/FAT Viewer?action=UPDATE&amp;creator=factset&amp;DYN_ARGS=TRUE&amp;DOC_NAME=FAT:FQL_AUDITING_CLIENT_TEMPLATE.FAT&amp;display_string=Audit&amp;VAR:KEY=VUJWNOHGFM&amp;VAR:QUERY=UkdGX0JQUyhBTk4sMjAwOSwsLCwsLCxOT0FVRElUKQ==&amp;WINDOW=FIRST_POPUP&amp;HEIGHT=450&amp;WIDTH=450&amp;","START_MAXIMIZED=FALSE&amp;VAR:CALENDAR=FIVEDAY&amp;VAR:SYMBOL=613934&amp;VAR:INDEX=0"}</definedName>
    <definedName name="_175__FDSAUDITLINK__">{"fdsup://IBCentral/FAT Viewer?action=UPDATE&amp;creator=factset&amp;DOC_NAME=fat:reuters_qtrly_shs_src_window.fat&amp;display_string=Audit&amp;DYN_ARGS=TRUE&amp;VAR:ID1=68401010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76__FDSAUDITLINK__">{"fdsup://IBCentral/FAT Viewer?action=UPDATE&amp;creator=factset&amp;DOC_NAME=fat:reuters_qtrly_shs_src_window.fat&amp;display_string=Audit&amp;DYN_ARGS=TRUE&amp;VAR:ID1=87236Y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77__FDSAUDITLINK__">{"fdsup://IBCentral/FAT Viewer?action=UPDATE&amp;creator=factset&amp;DOC_NAME=fat:reuters_qtrly_shs_src_window.fat&amp;display_string=Audit&amp;DYN_ARGS=TRUE&amp;VAR:ID1=70960010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78__FDSAUDITLINK__">{"fdsup://IBCentral/FAT Viewer?action=UPDATE&amp;creator=factset&amp;DOC_NAME=fat:reuters_qtrly_shs_src_window.fat&amp;display_string=Audit&amp;DYN_ARGS=TRUE&amp;VAR:ID1=11133T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79__FDSAUDITLINK__">{"fdsup://IBCentral/FAT Viewer?action=UPDATE&amp;creator=factset&amp;DOC_NAME=fat:reuters_qtrly_shs_src_window.fat&amp;display_string=Audit&amp;DYN_ARGS=TRUE&amp;VAR:ID1=33773810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__123Graph_BCHART_11">#REF!</definedName>
    <definedName name="_18__123Graph_CCHART_2">#REF!</definedName>
    <definedName name="_18__123Graph_CCHART_9">#REF!</definedName>
    <definedName name="_18__123Graph_LBL_ACHART_7">#REF!</definedName>
    <definedName name="_18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180__FDSAUDITLINK__">{"fdsup://IBCentral/FAT Viewer?action=UPDATE&amp;creator=factset&amp;DOC_NAME=fat:reuters_qtrly_shs_src_window.fat&amp;display_string=Audit&amp;DYN_ARGS=TRUE&amp;VAR:ID1=05301510&amp;VAR:RCODE=FDSSHSOUTDEPS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1__FDSAUDITLINK__">{"fdsup://IBCentral/FAT Viewer?action=UPDATE&amp;creator=factset&amp;DOC_NAME=fat:reuters_qtrly_shs_src_window.fat&amp;display_string=Audit&amp;DYN_ARGS=TRUE&amp;VAR:ID1=55277J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2__FDSAUDITLINK__">{"fdsup://IBCentral/FAT Viewer?action=UPDATE&amp;creator=factset&amp;DOC_NAME=fat:reuters_qtrly_shs_src_window.fat&amp;display_string=Audit&amp;DYN_ARGS=TRUE&amp;VAR:ID1=26924640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3__FDSAUDITLINK__">{"fdsup://IBCentral/FAT Viewer?action=UPDATE&amp;creator=factset&amp;DOC_NAME=fat:reuters_qtrly_shs_src_window.fat&amp;display_string=Audit&amp;DYN_ARGS=TRUE&amp;VAR:ID1=11133T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4__FDSAUDITLINK__">{"fdsup://IBCentral/FAT Viewer?action=UPDATE&amp;creator=factset&amp;DOC_NAME=fat:reuters_qtrly_shs_src_window.fat&amp;display_string=Audit&amp;DYN_ARGS=TRUE&amp;VAR:ID1=80851310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5__FDSAUDITLINK__">{"fdsup://IBCentral/FAT Viewer?action=UPDATE&amp;creator=factset&amp;DOC_NAME=fat:reuters_qtrly_shs_src_window.fat&amp;display_string=Audit&amp;DYN_ARGS=TRUE&amp;VAR:ID1=33773810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6__FDSAUDITLINK__">{"fdsup://IBCentral/FAT Viewer?action=UPDATE&amp;creator=factset&amp;DOC_NAME=fat:reuters_qtrly_shs_src_window.fat&amp;display_string=Audit&amp;DYN_ARGS=TRUE&amp;VAR:ID1=70960010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7__FDSAUDITLINK__">{"fdsup://IBCentral/FAT Viewer?action=UPDATE&amp;creator=factset&amp;DOC_NAME=fat:reuters_qtrly_shs_src_window.fat&amp;display_string=Audit&amp;DYN_ARGS=TRUE&amp;VAR:ID1=31620M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8__FDSAUDITLINK__">{"fdsup://IBCentral/FAT Viewer?action=UPDATE&amp;creator=factset&amp;DOC_NAME=fat:reuters_qtrly_shs_src_window.fat&amp;display_string=Audit&amp;DYN_ARGS=TRUE&amp;VAR:ID1=89267P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89__FDSAUDITLINK__">{"fdsup://IBCentral/FAT Viewer?action=UPDATE&amp;creator=factset&amp;DOC_NAME=fat:reuters_qtrly_shs_src_window.fat&amp;display_string=Audit&amp;DYN_ARGS=TRUE&amp;VAR:ID1=06405810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__123Graph_ACHART_4">#REF!</definedName>
    <definedName name="_19__123Graph_BChart_1G">#REF!</definedName>
    <definedName name="_19__123Graph_BCHART_4">#REF!</definedName>
    <definedName name="_19__123Graph_CCHART_3">#REF!</definedName>
    <definedName name="_19__123Graph_DCHART_1">#REF!</definedName>
    <definedName name="_19__123Graph_LBL_CCHART_10">#REF!</definedName>
    <definedName name="_19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190__FDSAUDITLINK__">{"fdsup://IBCentral/FAT Viewer?action=UPDATE&amp;creator=factset&amp;DOC_NAME=fat:reuters_qtrly_source_window.fat&amp;display_string=Audit&amp;DYN_ARGS=TRUE&amp;VAR:ID1=45841N10&amp;VAR:RCODE=STLD&amp;VAR:SDATE=20100699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00_Minority_Interest">#REF!</definedName>
    <definedName name="_191__FDSAUDITLINK__">{"fdsup://IBCentral/FAT Viewer?action=UPDATE&amp;creator=factset&amp;DOC_NAME=fat:reuters_qtrly_shs_src_window.fat&amp;display_string=Audit&amp;DYN_ARGS=TRUE&amp;VAR:ID1=70960010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2__FDSAUDITLINK__">{"fdsup://IBCentral/FAT Viewer?action=UPDATE&amp;creator=factset&amp;DOC_NAME=fat:reuters_qtrly_source_window.fat&amp;display_string=Audit&amp;DYN_ARGS=TRUE&amp;VAR:ID1=45841N10&amp;VAR:RCODE=STLD&amp;VAR:SDATE=20100699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3__FDSAUDITLINK__">{"fdsup://IBCentral/FAT Viewer?action=UPDATE&amp;creator=factset&amp;DOC_NAME=fat:reuters_semi_source_window.fat&amp;display_string=Audit&amp;DYN_ARGS=TRUE&amp;VAR:ID1=NTR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4__FDSAUDITLINK__">{"fdsup://IBCentral/FAT Viewer?action=UPDATE&amp;creator=factset&amp;DOC_NAME=fat:reuters_qtrly_shs_src_window.fat&amp;display_string=Audit&amp;DYN_ARGS=TRUE&amp;VAR:ID1=66585910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5__FDSAUDITLINK__">{"fdsup://IBCentral/FAT Viewer?action=UPDATE&amp;creator=factset&amp;DOC_NAME=fat:reuters_qtrly_source_window.fat&amp;display_string=Audit&amp;DYN_ARGS=TRUE&amp;VAR:ID1=85747710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6__FDSAUDITLINK__">{"fdsup://IBCentral/FAT Viewer?action=UPDATE&amp;creator=factset&amp;DOC_NAME=fat:reuters_qtrly_shs_src_window.fat&amp;display_string=Audit&amp;DYN_ARGS=TRUE&amp;VAR:ID1=85747710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7__FDSAUDITLINK__">{"fdsup://IBCentral/FAT Viewer?action=UPDATE&amp;creator=factset&amp;DOC_NAME=fat:reuters_semi_source_window.fat&amp;display_string=Audit&amp;DYN_ARGS=TRUE&amp;VAR:ID1=SE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__FDSAUDITLINK__">{"fdsup://IBCentral/FAT Viewer?action=UPDATE&amp;creator=factset&amp;DOC_NAME=fat:reuters_qtrly_shs_src_window.fat&amp;display_string=Audit&amp;DYN_ARGS=TRUE&amp;VAR:ID1=78411710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9__FDSAUDITLINK__">{"fdsup://IBCentral/FAT Viewer?action=UPDATE&amp;creator=factset&amp;DOC_NAME=fat:reuters_qtrly_source_window.fat&amp;display_string=Audit&amp;DYN_ARGS=TRUE&amp;VAR:ID1=31620M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95_Asset_Sales">#REF!</definedName>
    <definedName name="_1995_Capex">#REF!</definedName>
    <definedName name="_1995_Capitalized_Interest">#REF!</definedName>
    <definedName name="_1995_Cash_Flow">#REF!</definedName>
    <definedName name="_1A">#REF!</definedName>
    <definedName name="_1IN_LINE">#REF!</definedName>
    <definedName name="_1SCHP_L">#REF!</definedName>
    <definedName name="_2">"sch13.$"</definedName>
    <definedName name="_2_??">#REF!</definedName>
    <definedName name="_2__123Graph_ACHART_1">#REF!</definedName>
    <definedName name="_2__123Graph_ACHART_10">#REF!</definedName>
    <definedName name="_2__123Graph_Bグラフ_1">#REF!</definedName>
    <definedName name="_2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20__123Graph_BCHART_2">#REF!</definedName>
    <definedName name="_20__123Graph_CCHART_4">#REF!</definedName>
    <definedName name="_20__123Graph_ECHART_1">#REF!</definedName>
    <definedName name="_20__123Graph_LBL_CCHART_9">#REF!</definedName>
    <definedName name="_20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200__FDSAUDITLINK__">{"fdsup://IBCentral/FAT Viewer?action=UPDATE&amp;creator=factset&amp;DOC_NAME=fat:reuters_qtrly_shs_src_window.fat&amp;display_string=Audit&amp;DYN_ARGS=TRUE&amp;VAR:ID1=31620M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000E_Capitalized_Interest">#REF!</definedName>
    <definedName name="_2000E_Cash_Flow">#REF!</definedName>
    <definedName name="_2000E_Current_Income_Tax">#REF!</definedName>
    <definedName name="_2000E_DD_A">#REF!</definedName>
    <definedName name="_2000E_Deferred_Income_Tax">#REF!</definedName>
    <definedName name="_2000E_EBIT">#REF!</definedName>
    <definedName name="_2000E_EBITDAX">#REF!</definedName>
    <definedName name="_2000E_Exploration_Expense">#REF!</definedName>
    <definedName name="_2000E_Interest_Expense">#REF!</definedName>
    <definedName name="_2000E_Minority_Interest">#REF!</definedName>
    <definedName name="_2000E_Net_Income">#REF!</definedName>
    <definedName name="_2000E_Other_Income">#REF!</definedName>
    <definedName name="_2000E_Other_Non_Cash_Items">#REF!</definedName>
    <definedName name="_2000E_Revenue">#REF!</definedName>
    <definedName name="_2000E_Weighted_Average_Shares_Outstanding">#REF!</definedName>
    <definedName name="_201__FDSAUDITLINK__">{"fdsup://IBCentral/FAT Viewer?action=UPDATE&amp;creator=factset&amp;DOC_NAME=fat:reuters_semi_source_window.fat&amp;display_string=Audit&amp;DYN_ARGS=TRUE&amp;VAR:ID1=TRA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02__FDSAUDITLINK__">{"fdsup://IBCentral/FAT Viewer?action=UPDATE&amp;creator=factset&amp;DOC_NAME=fat:reuters_qtrly_shs_src_window.fat&amp;display_string=Audit&amp;DYN_ARGS=TRUE&amp;VAR:ID1=89267P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03">#REF!</definedName>
    <definedName name="_203__FDSAUDITLINK__">{"fdsup://IBCentral/FAT Viewer?action=UPDATE&amp;creator=factset&amp;DOC_NAME=fat:reuters_semi_source_window.fat&amp;display_string=Audit&amp;DYN_ARGS=TRUE&amp;VAR:ID1=ETF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04__FDSAUDITLINK__">{"fdsup://IBCentral/FAT Viewer?action=UPDATE&amp;creator=factset&amp;DOC_NAME=fat:reuters_qtrly_shs_src_window.fat&amp;display_string=Audit&amp;DYN_ARGS=TRUE&amp;VAR:ID1=26924640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05__FDSAUDITLINK__">{"fdsup://IBCentral/FAT Viewer?action=UPDATE&amp;creator=factset&amp;DOC_NAME=fat:reuters_semi_source_window.fat&amp;display_string=Audit&amp;DYN_ARGS=TRUE&amp;VAR:ID1=SCHW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>{"fdsup://IBCentral/FAT Viewer?action=UPDATE&amp;creator=factset&amp;DOC_NAME=fat:reuters_qtrly_shs_src_window.fat&amp;display_string=Audit&amp;DYN_ARGS=TRUE&amp;VAR:ID1=85747710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08__FDSAUDITLINK__">{"fdsup://IBCentral/FAT Viewer?action=UPDATE&amp;creator=factset&amp;DOC_NAME=fat:reuters_qtrly_shs_src_window.fat&amp;display_string=Audit&amp;DYN_ARGS=TRUE&amp;VAR:ID1=87236Y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09__FDSAUDITLINK__">{"fdsup://IBCentral/FAT Viewer?action=UPDATE&amp;creator=factset&amp;DOC_NAME=fat:reuters_qtrly_shs_src_window.fat&amp;display_string=Audit&amp;DYN_ARGS=TRUE&amp;VAR:ID1=78411710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__123Graph_BChart_2G">#REF!</definedName>
    <definedName name="_21__123Graph_BCHART_7">#REF!</definedName>
    <definedName name="_21__123Graph_CCHART_9">#REF!</definedName>
    <definedName name="_21__123Graph_LBL_ACHART_7">#REF!</definedName>
    <definedName name="_21__123Graph_LBL_DCHART_1">#REF!</definedName>
    <definedName name="_21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210__FDSAUDITLINK__">{"fdsup://IBCentral/FAT Viewer?action=UPDATE&amp;creator=factset&amp;DOC_NAME=fat:reuters_qtrly_shs_src_window.fat&amp;display_string=Audit&amp;DYN_ARGS=TRUE&amp;VAR:ID1=05301510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1__FDSAUDITLINK__">{"fdsup://IBCentral/FAT Viewer?action=UPDATE&amp;creator=factset&amp;DOC_NAME=fat:reuters_qtrly_shs_src_window.fat&amp;display_string=Audit&amp;DYN_ARGS=TRUE&amp;VAR:ID1=66585910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2__FDSAUDITLINK__">{"fdsup://IBCentral/FAT Viewer?action=UPDATE&amp;creator=factset&amp;DOC_NAME=fat:reuters_qtrly_shs_src_window.fat&amp;display_string=Audit&amp;DYN_ARGS=TRUE&amp;VAR:ID1=68401010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3__FDSAUDITLINK__">{"fdsup://IBCentral/FAT Viewer?action=UPDATE&amp;creator=factset&amp;DOC_NAME=fat:reuters_qtrly_shs_src_window.fat&amp;display_string=Audit&amp;DYN_ARGS=TRUE&amp;VAR:ID1=45841N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4__FDSAUDITLINK__">{"fdsup://IBCentral/FAT Viewer?action=UPDATE&amp;creator=factset&amp;DOC_NAME=fat:reuters_qtrly_source_window.fat&amp;display_string=Audit&amp;DYN_ARGS=TRUE&amp;VAR:ID1=70960010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5__FDSAUDITLINK__">{"fdsup://IBCentral/FAT Viewer?action=UPDATE&amp;creator=factset&amp;DOC_NAME=fat:reuters_semi_source_window.fat&amp;display_string=Audit&amp;DYN_ARGS=TRUE&amp;VAR:ID1=IBKR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16__FDSAUDITLINK__">{"fdsup://IBCentral/FAT Viewer?action=UPDATE&amp;creator=factset&amp;DOC_NAME=fat:reuters_qtrly_shs_src_window.fat&amp;display_string=Audit&amp;DYN_ARGS=TRUE&amp;VAR:ID1=45841N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7__FDSAUDITLINK__">{"fdsup://IBCentral/FAT Viewer?action=UPDATE&amp;creator=factset&amp;DOC_NAME=fat:reuters_qtrly_source_window.fat&amp;display_string=Audit&amp;DYN_ARGS=TRUE&amp;VAR:ID1=55277J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8__FDSAUDITLINK__">{"fdsup://IBCentral/FAT Viewer?action=UPDATE&amp;creator=factset&amp;DOC_NAME=fat:reuters_semi_source_window.fat&amp;display_string=Audit&amp;DYN_ARGS=TRUE&amp;VAR:ID1=B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219__FDSAUDITLINK__">{"fdsup://IBCentral/FAT Viewer?action=UPDATE&amp;creator=factset&amp;DOC_NAME=fat:reuters_qtrly_shs_src_window.fat&amp;display_string=Audit&amp;DYN_ARGS=TRUE&amp;VAR:ID1=06405810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__123Graph_BCHART_3">#REF!</definedName>
    <definedName name="_22__123Graph_LBL_CCHART_10">#REF!</definedName>
    <definedName name="_22__123Graph_XCHART_1">#REF!</definedName>
    <definedName name="_22__FDSAUDITLINK__">{"fdsup://directions/FAT Viewer?action=UPDATE&amp;creator=factset&amp;DYN_ARGS=TRUE&amp;DOC_NAME=FAT:FQL_AUDITING_CLIENT_TEMPLATE.FAT&amp;display_string=Audit&amp;VAR:KEY=LIHQZUJEFW&amp;VAR:QUERY=UkdGX0JQUyhBTk4sMjAwOSwsLCwsLCxOT0FVRElUKQ==&amp;WINDOW=FIRST_POPUP&amp;HEIGHT=450&amp;WIDTH=450&amp;","START_MAXIMIZED=FALSE&amp;VAR:CALENDAR=FIVEDAY&amp;VAR:SYMBOL=B1L5MR&amp;VAR:INDEX=0"}</definedName>
    <definedName name="_220__FDSAUDITLINK__">{"fdsup://IBCentral/FAT Viewer?action=UPDATE&amp;creator=factset&amp;DOC_NAME=fat:reuters_qtrly_source_window.fat&amp;display_string=Audit&amp;DYN_ARGS=TRUE&amp;VAR:ID1=11133T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1__FDSAUDITLINK__">{"fdsup://IBCentral/FAT Viewer?action=UPDATE&amp;creator=factset&amp;DOC_NAME=fat:reuters_qtrly_shs_src_window.fat&amp;display_string=Audit&amp;DYN_ARGS=TRUE&amp;VAR:ID1=11133T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2__FDSAUDITLINK__">{"fdsup://IBCentral/FAT Viewer?action=UPDATE&amp;creator=factset&amp;DOC_NAME=fat:reuters_semi_source_window.fat&amp;display_string=Audit&amp;DYN_ARGS=TRUE&amp;VAR:ID1=FISV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23__FDSAUDITLINK__">{"fdsup://IBCentral/FAT Viewer?action=UPDATE&amp;creator=factset&amp;DOC_NAME=fat:reuters_qtrly_shs_src_window.fat&amp;display_string=Audit&amp;DYN_ARGS=TRUE&amp;VAR:ID1=33773810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4__FDSAUDITLINK__">{"fdsup://IBCentral/FAT Viewer?action=UPDATE&amp;creator=factset&amp;DOC_NAME=fat:reuters_qtrly_source_window.fat&amp;display_string=Audit&amp;DYN_ARGS=TRUE&amp;VAR:ID1=05301510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5__FDSAUDITLINK__">{"fdsup://IBCentral/FAT Viewer?action=UPDATE&amp;creator=factset&amp;DOC_NAME=fat:reuters_qtrly_shs_src_window.fat&amp;display_string=Audit&amp;DYN_ARGS=TRUE&amp;VAR:ID1=05301510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6__FDSAUDITLINK__">{"fdsup://IBCentral/FAT Viewer?action=UPDATE&amp;creator=factset&amp;DOC_NAME=fat:reuters_semi_source_window.fat&amp;display_string=Audit&amp;DYN_ARGS=TRUE&amp;VAR:ID1=OXP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27__FDSAUDITLINK__">{"fdsup://IBCentral/FAT Viewer?action=UPDATE&amp;creator=factset&amp;DOC_NAME=fat:reuters_qtrly_shs_src_window.fat&amp;display_string=Audit&amp;DYN_ARGS=TRUE&amp;VAR:ID1=68401010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8__FDSAUDITLINK__">{"fdsup://IBCentral/FAT Viewer?action=UPDATE&amp;creator=factset&amp;DOC_NAME=fat:reuters_semi_source_window.fat&amp;display_string=Audit&amp;DYN_ARGS=TRUE&amp;VAR:ID1=AMT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29__FDSAUDITLINK__">{"fdsup://IBCentral/FAT Viewer?action=UPDATE&amp;creator=factset&amp;DOC_NAME=fat:reuters_qtrly_shs_src_window.fat&amp;display_string=Audit&amp;DYN_ARGS=TRUE&amp;VAR:ID1=87236Y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3__123Graph_ACHART_7">#REF!</definedName>
    <definedName name="_23__123Graph_BChart_3G">#REF!</definedName>
    <definedName name="_23__123Graph_BCHART_9">#REF!</definedName>
    <definedName name="_23__123Graph_LBL_CCHART_9">#REF!</definedName>
    <definedName name="_23__FDSAUDITLINK__">{"fdsup://directions/FAT Viewer?action=UPDATE&amp;creator=factset&amp;DYN_ARGS=TRUE&amp;DOC_NAME=FAT:FQL_AUDITING_CLIENT_TEMPLATE.FAT&amp;display_string=Audit&amp;VAR:KEY=LIHQZUJEFW&amp;VAR:QUERY=UkdGX0JQUyhBTk4sMjAwOSwsLCwsLCxOT0FVRElUKQ==&amp;WINDOW=FIRST_POPUP&amp;HEIGHT=450&amp;WIDTH=450&amp;","START_MAXIMIZED=FALSE&amp;VAR:CALENDAR=FIVEDAY&amp;VAR:SYMBOL=B1L5MR&amp;VAR:INDEX=0"}</definedName>
    <definedName name="_230__FDSAUDITLINK__">{"fdsup://IBCentral/FAT Viewer?action=UPDATE&amp;creator=factset&amp;DOC_NAME=fat:reuters_qtrly_source_window.fat&amp;display_string=Audit&amp;DYN_ARGS=TRUE&amp;VAR:ID1=45841N10&amp;VAR:RCODE=STLD&amp;VAR:SDATE=20100699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1__FDSAUDITLINK__">{"fdsup://IBCentral/FAT Viewer?action=UPDATE&amp;creator=factset&amp;DOC_NAME=fat:reuters_semi_source_window.fat&amp;display_string=Audit&amp;DYN_ARGS=TRUE&amp;VAR:ID1=NTR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32__FDSAUDITLINK__">{"fdsup://IBCentral/FAT Viewer?action=UPDATE&amp;creator=factset&amp;DOC_NAME=fat:reuters_qtrly_source_window.fat&amp;display_string=Audit&amp;DYN_ARGS=TRUE&amp;VAR:ID1=85747710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33__FDSAUDITLINK__">{"fdsup://IBCentral/FAT Viewer?action=UPDATE&amp;creator=factset&amp;DOC_NAME=fat:reuters_semi_source_window.fat&amp;display_string=Audit&amp;DYN_ARGS=TRUE&amp;VAR:ID1=SE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34__FDSAUDITLINK__">{"fdsup://IBCentral/FAT Viewer?action=UPDATE&amp;creator=factset&amp;DOC_NAME=fat:reuters_qtrly_source_window.fat&amp;display_string=Audit&amp;DYN_ARGS=TRUE&amp;VAR:ID1=31620M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35__FDSAUDITLINK__">{"fdsup://IBCentral/FAT Viewer?action=UPDATE&amp;creator=factset&amp;DOC_NAME=fat:reuters_semi_source_window.fat&amp;display_string=Audit&amp;DYN_ARGS=TRUE&amp;VAR:ID1=TRA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36__FDSAUDITLINK__">{"fdsup://IBCentral/FAT Viewer?action=UPDATE&amp;creator=factset&amp;DOC_NAME=fat:reuters_semi_source_window.fat&amp;display_string=Audit&amp;DYN_ARGS=TRUE&amp;VAR:ID1=ETF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37__FDSAUDITLINK__">{"fdsup://IBCentral/FAT Viewer?action=UPDATE&amp;creator=factset&amp;DOC_NAME=fat:reuters_semi_source_window.fat&amp;display_string=Audit&amp;DYN_ARGS=TRUE&amp;VAR:ID1=SCHW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38__FDSAUDITLINK__">{"fdsup://IBCentral/FAT Viewer?action=UPDATE&amp;creator=factset&amp;DOC_NAME=fat:reuters_qtrly_source_window.fat&amp;display_string=Audit&amp;DYN_ARGS=TRUE&amp;VAR:ID1=45841N10&amp;VAR:RCODE=STLD&amp;VAR:SDATE=20100699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9__FDSAUDITLINK__">{"fdsup://IBCentral/FAT Viewer?action=UPDATE&amp;creator=factset&amp;DOC_NAME=fat:reuters_qtrly_shs_src_window.fat&amp;display_string=Audit&amp;DYN_ARGS=TRUE&amp;VAR:ID1=87236Y10&amp;VAR:RCODE=FDSSHSOUTDEPS&amp;VAR:SDATE=20100699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__123Graph_BCHART_4">#REF!</definedName>
    <definedName name="_24__123Graph_LBL_DCHART_1">#REF!</definedName>
    <definedName name="_24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240__FDSAUDITLINK__">{"fdsup://IBCentral/FAT Viewer?action=UPDATE&amp;creator=factset&amp;DOC_NAME=fat:reuters_qtrly_source_window.fat&amp;display_string=Audit&amp;DYN_ARGS=TRUE&amp;VAR:ID1=70960010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1__FDSAUDITLINK__">{"fdsup://IBCentral/FAT Viewer?action=UPDATE&amp;creator=factset&amp;DOC_NAME=fat:reuters_semi_source_window.fat&amp;display_string=Audit&amp;DYN_ARGS=TRUE&amp;VAR:ID1=IBKR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42__FDSAUDITLINK__">{"fdsup://IBCentral/FAT Viewer?action=UPDATE&amp;creator=factset&amp;DOC_NAME=fat:reuters_qtrly_source_window.fat&amp;display_string=Audit&amp;DYN_ARGS=TRUE&amp;VAR:ID1=55277J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3__FDSAUDITLINK__">{"fdsup://IBCentral/FAT Viewer?action=UPDATE&amp;creator=factset&amp;DOC_NAME=fat:reuters_semi_source_window.fat&amp;display_string=Audit&amp;DYN_ARGS=TRUE&amp;VAR:ID1=B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244__FDSAUDITLINK__">{"fdsup://IBCentral/FAT Viewer?action=UPDATE&amp;creator=factset&amp;DOC_NAME=fat:reuters_qtrly_source_window.fat&amp;display_string=Audit&amp;DYN_ARGS=TRUE&amp;VAR:ID1=11133T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5__FDSAUDITLINK__">{"fdsup://IBCentral/FAT Viewer?action=UPDATE&amp;creator=factset&amp;DOC_NAME=fat:reuters_semi_source_window.fat&amp;display_string=Audit&amp;DYN_ARGS=TRUE&amp;VAR:ID1=FISV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46__FDSAUDITLINK__">{"fdsup://IBCentral/FAT Viewer?action=UPDATE&amp;creator=factset&amp;DOC_NAME=fat:reuters_qtrly_source_window.fat&amp;display_string=Audit&amp;DYN_ARGS=TRUE&amp;VAR:ID1=05301510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7__FDSAUDITLINK__">{"fdsup://IBCentral/FAT Viewer?action=UPDATE&amp;creator=factset&amp;DOC_NAME=fat:reuters_semi_source_window.fat&amp;display_string=Audit&amp;DYN_ARGS=TRUE&amp;VAR:ID1=OXP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48__FDSAUDITLINK__">{"fdsup://IBCentral/FAT Viewer?action=UPDATE&amp;creator=factset&amp;DOC_NAME=fat:reuters_semi_source_window.fat&amp;display_string=Audit&amp;DYN_ARGS=TRUE&amp;VAR:ID1=AMT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49__FDSAUDITLINK__">{"fdsup://IBCentral/FAT Viewer?action=UPDATE&amp;creator=factset&amp;DOC_NAME=fat:reuters_qtrly_source_window.fat&amp;display_string=Audit&amp;DYN_ARGS=TRUE&amp;VAR:ID1=45841N10&amp;VAR:RCODE=STLD&amp;VAR:SDATE=20100699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123Graph_BChart_4G">#REF!</definedName>
    <definedName name="_25__123Graph_CCHART_1">#REF!</definedName>
    <definedName name="_25__123Graph_DCHART_1">#REF!</definedName>
    <definedName name="_25__123Graph_XCHART_1">#REF!</definedName>
    <definedName name="_25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250__FDSAUDITLINK__">{"fdsup://IBCentral/FAT Viewer?action=UPDATE&amp;creator=factset&amp;DOC_NAME=fat:reuters_semi_source_window.fat&amp;display_string=Audit&amp;DYN_ARGS=TRUE&amp;VAR:ID1=NTR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1__FDSAUDITLINK__">{"fdsup://IBCentral/FAT Viewer?action=UPDATE&amp;creator=factset&amp;DOC_NAME=fat:reuters_qtrly_source_window.fat&amp;display_string=Audit&amp;DYN_ARGS=TRUE&amp;VAR:ID1=85747710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52__FDSAUDITLINK__">{"fdsup://IBCentral/FAT Viewer?action=UPDATE&amp;creator=factset&amp;DOC_NAME=fat:reuters_semi_source_window.fat&amp;display_string=Audit&amp;DYN_ARGS=TRUE&amp;VAR:ID1=SE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3__FDSAUDITLINK__">{"fdsup://IBCentral/FAT Viewer?action=UPDATE&amp;creator=factset&amp;DOC_NAME=fat:reuters_qtrly_source_window.fat&amp;display_string=Audit&amp;DYN_ARGS=TRUE&amp;VAR:ID1=31620M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54__FDSAUDITLINK__">{"fdsup://IBCentral/FAT Viewer?action=UPDATE&amp;creator=factset&amp;DOC_NAME=fat:reuters_semi_source_window.fat&amp;display_string=Audit&amp;DYN_ARGS=TRUE&amp;VAR:ID1=TRA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5__FDSAUDITLINK__">{"fdsup://IBCentral/FAT Viewer?action=UPDATE&amp;creator=factset&amp;DOC_NAME=fat:reuters_semi_source_window.fat&amp;display_string=Audit&amp;DYN_ARGS=TRUE&amp;VAR:ID1=ETF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6__FDSAUDITLINK__">{"fdsup://IBCentral/FAT Viewer?action=UPDATE&amp;creator=factset&amp;DOC_NAME=fat:reuters_semi_source_window.fat&amp;display_string=Audit&amp;DYN_ARGS=TRUE&amp;VAR:ID1=SCHW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7__FDSAUDITLINK__">{"fdsup://IBCentral/FAT Viewer?action=UPDATE&amp;creator=factset&amp;DOC_NAME=fat:reuters_qtrly_source_window.fat&amp;display_string=Audit&amp;DYN_ARGS=TRUE&amp;VAR:ID1=70960010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58__FDSAUDITLINK__">{"fdsup://IBCentral/FAT Viewer?action=UPDATE&amp;creator=factset&amp;DOC_NAME=fat:reuters_semi_source_window.fat&amp;display_string=Audit&amp;DYN_ARGS=TRUE&amp;VAR:ID1=IBKR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59__FDSAUDITLINK__">{"fdsup://IBCentral/FAT Viewer?action=UPDATE&amp;creator=factset&amp;DOC_NAME=fat:reuters_qtrly_source_window.fat&amp;display_string=Audit&amp;DYN_ARGS=TRUE&amp;VAR:ID1=55277J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6__123Graph_BCHART_5">#REF!</definedName>
    <definedName name="_26__123Graph_XCHART_2">#REF!</definedName>
    <definedName name="_26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260__FDSAUDITLINK__">{"fdsup://IBCentral/FAT Viewer?action=UPDATE&amp;creator=factset&amp;DOC_NAME=fat:reuters_semi_source_window.fat&amp;display_string=Audit&amp;DYN_ARGS=TRUE&amp;VAR:ID1=B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261__FDSAUDITLINK__">{"fdsup://IBCentral/FAT Viewer?action=UPDATE&amp;creator=factset&amp;DOC_NAME=fat:reuters_qtrly_source_window.fat&amp;display_string=Audit&amp;DYN_ARGS=TRUE&amp;VAR:ID1=11133T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62__FDSAUDITLINK__">{"fdsup://IBCentral/FAT Viewer?action=UPDATE&amp;creator=factset&amp;DOC_NAME=fat:reuters_semi_source_window.fat&amp;display_string=Audit&amp;DYN_ARGS=TRUE&amp;VAR:ID1=FISV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63__FDSAUDITLINK__">{"fdsup://IBCentral/FAT Viewer?action=UPDATE&amp;creator=factset&amp;DOC_NAME=fat:reuters_qtrly_source_window.fat&amp;display_string=Audit&amp;DYN_ARGS=TRUE&amp;VAR:ID1=05301510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64__FDSAUDITLINK__">{"fdsup://IBCentral/FAT Viewer?action=UPDATE&amp;creator=factset&amp;DOC_NAME=fat:reuters_semi_source_window.fat&amp;display_string=Audit&amp;DYN_ARGS=TRUE&amp;VAR:ID1=OXP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65__FDSAUDITLINK__">{"fdsup://IBCentral/FAT Viewer?action=UPDATE&amp;creator=factset&amp;DOC_NAME=fat:reuters_semi_source_window.fat&amp;display_string=Audit&amp;DYN_ARGS=TRUE&amp;VAR:ID1=AMTD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27__123Graph_BCHART_1">#REF!</definedName>
    <definedName name="_27__123Graph_BCHART_6">#REF!</definedName>
    <definedName name="_27__123Graph_CCHART_10">#REF!</definedName>
    <definedName name="_27__FDSAUDITLINK__">{"fdsup://IBCentral/FAT Viewer?action=UPDATE&amp;creator=factset&amp;DOC_NAME=fat:reuters_annual_pshs_src_window.fat&amp;display_string=Audit&amp;DYN_ARGS=TRUE&amp;VAR:ID1=B1L5MR&amp;VAR:RCODE=FDSEPSDIL&amp;VAR:SDATE=20070699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28.11">#REF!</definedName>
    <definedName name="_28__123Graph_BCHART_7">#REF!</definedName>
    <definedName name="_28__FDSAUDITLINK__">{"fdsup://Directions/FactSet Auditing Viewer?action=AUDIT_VALUE&amp;DB=129&amp;ID1=B1L5MR&amp;VALUEID=01250&amp;SDATE=2007&amp;PERIODTYPE=ANN_STD&amp;window=popup_no_bar&amp;width=385&amp;height=120&amp;START_MAXIMIZED=FALSE&amp;creator=factset&amp;display_string=Audit"}</definedName>
    <definedName name="_29__123Graph_BCHART_8">#REF!</definedName>
    <definedName name="_29__123Graph_CCHART_2">#REF!</definedName>
    <definedName name="_29__123Graph_ECHART_1">#REF!</definedName>
    <definedName name="_29__FDSAUDITLINK__">{"fdsup://Directions/FactSet Auditing Viewer?action=AUDIT_VALUE&amp;DB=129&amp;ID1=B1L5MR&amp;VALUEID=01250&amp;SDATE=2009&amp;PERIODTYPE=ANN_STD&amp;window=popup_no_bar&amp;width=385&amp;height=120&amp;START_MAXIMIZED=FALSE&amp;creator=factset&amp;display_string=Audit"}</definedName>
    <definedName name="_29022">#REF!</definedName>
    <definedName name="_2A">#REF!</definedName>
    <definedName name="_3">"$"</definedName>
    <definedName name="_3_???">#REF!</definedName>
    <definedName name="_3__123Graph_ACHART_11">#REF!</definedName>
    <definedName name="_3__123Graph_ACHART_2">#REF!</definedName>
    <definedName name="_3__123Graph_ACHART_3">#REF!</definedName>
    <definedName name="_3__123Graph_Xグラフ_1">#REF!</definedName>
    <definedName name="_3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30__123Graph_BCHART_9">#REF!</definedName>
    <definedName name="_30__123Graph_LBL_ACHART_7">#REF!</definedName>
    <definedName name="_30__FDSAUDITLINK__">{"fdsup://IBCentral/FAT Viewer?action=UPDATE&amp;creator=factset&amp;DOC_NAME=fat:reuters_annual_pshs_src_window.fat&amp;display_string=Audit&amp;DYN_ARGS=TRUE&amp;VAR:ID1=B1L5MR&amp;VAR:RCODE=FDSEPSDIL&amp;VAR:SDATE=20060699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31__123Graph_BCHART_2">#REF!</definedName>
    <definedName name="_31__123Graph_CCHART_1">#REF!</definedName>
    <definedName name="_31__123Graph_CCHART_3">#REF!</definedName>
    <definedName name="_31__123Graph_LBL_CCHART_10">#REF!</definedName>
    <definedName name="_31__FDSAUDITLINK__">{"fdsup://IBCentral/FAT Viewer?action=UPDATE&amp;creator=factset&amp;DOC_NAME=fat:reuters_annual_source_window.fat&amp;display_string=Audit&amp;DYN_ARGS=TRUE&amp;VAR:ID1=B12WJL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31_Mar_09">#REF!</definedName>
    <definedName name="_32__123Graph_CCHART_10">#REF!</definedName>
    <definedName name="_32__123Graph_LBL_CCHART_9">#REF!</definedName>
    <definedName name="_32__FDSAUDITLINK__">{"fdsup://IBCentral/FAT Viewer?action=UPDATE&amp;creator=factset&amp;DOC_NAME=fat:reuters_annual_source_window.fat&amp;display_string=Audit&amp;DYN_ARGS=TRUE&amp;VAR:ID1=614325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33__123Graph_CCHART_11">#REF!</definedName>
    <definedName name="_33__123Graph_CCHART_4">#REF!</definedName>
    <definedName name="_33__123Graph_LBL_DCHART_1">#REF!</definedName>
    <definedName name="_33__FDSAUDITLINK__">{"fdsup://IBCentral/FAT Viewer?action=UPDATE&amp;creator=factset&amp;DOC_NAME=fat:reuters_annual_pshs_src_window.fat&amp;display_string=Audit&amp;DYN_ARGS=TRUE&amp;VAR:ID1=13586.917&amp;VAR:RCODE=FDSEPSDIL&amp;VAR:SDATE=2008&amp;VAR:FREQ=Y&amp;VAR:RELITEM=RP&amp;VAR:CURRENCY=&amp;VAR:CURRSOURCE=EXSHA","RE&amp;VAR:NATFREQ=ANNUAL&amp;VAR:RFIELD=FINALIZED&amp;VAR:DB_TYPE=&amp;VAR:UNITS=M&amp;window=popup&amp;width=450&amp;height=300&amp;START_MAXIMIZED=FALSE"}</definedName>
    <definedName name="_34">#REF!</definedName>
    <definedName name="_34__123Graph_CCHART_3">#REF!</definedName>
    <definedName name="_34__123Graph_XCHART_1">#REF!</definedName>
    <definedName name="_34__FDSAUDITLINK__">{"fdsup://IBCentral/FAT Viewer?action=UPDATE&amp;creator=factset&amp;DOC_NAME=fat:reuters_annual_pshs_src_window.fat&amp;display_string=Audit&amp;DYN_ARGS=TRUE&amp;VAR:ID1=&amp;VAR:RCODE=FDSEPSDIL&amp;VAR:SDATE=2007&amp;VAR:FREQ=Y&amp;VAR:RELITEM=RP&amp;VAR:CURRENCY=&amp;VAR:CURRSOURCE=EXSHARE&amp;VAR:NA","TFREQ=ANNUAL&amp;VAR:RFIELD=FINALIZED&amp;VAR:DB_TYPE=&amp;VAR:UNITS=M&amp;window=popup&amp;width=450&amp;height=300&amp;START_MAXIMIZED=FALSE"}</definedName>
    <definedName name="_35__123Graph_BCHART_3">#REF!</definedName>
    <definedName name="_35__123Graph_CChart_3G">#REF!</definedName>
    <definedName name="_35__123Graph_CCHART_9">#REF!</definedName>
    <definedName name="_35__FDSAUDITLINK__">{"fdsup://IBCentral/FAT Viewer?action=UPDATE&amp;creator=factset&amp;DOC_NAME=fat:reuters_annual_pshs_src_window.fat&amp;display_string=Audit&amp;DYN_ARGS=TRUE&amp;VAR:ID1=336.34769849324&amp;VAR:RCODE=FDSEPSDIL&amp;VAR:SDATE=2009&amp;VAR:FREQ=Y&amp;VAR:RELITEM=RP&amp;VAR:CURRENCY=&amp;VAR:CURRSOURCE","=EXSHARE&amp;VAR:NATFREQ=ANNUAL&amp;VAR:RFIELD=FINALIZED&amp;VAR:DB_TYPE=&amp;VAR:UNITS=M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CCHART_4">#REF!</definedName>
    <definedName name="_36__123Graph_DCHART_1">#REF!</definedName>
    <definedName name="_36__FDSAUDITLINK__">{"fdsup://IBCentral/FAT Viewer?action=UPDATE&amp;creator=factset&amp;DOC_NAME=fat:reuters_annual_pshs_src_window.fat&amp;display_string=Audit&amp;DYN_ARGS=TRUE&amp;VAR:ID1=15759.571&amp;VAR:RCODE=FDSEPSDIL&amp;VAR:SDATE=2008&amp;VAR:FREQ=Y&amp;VAR:RELITEM=RP&amp;VAR:CURRENCY=&amp;VAR:CURRSOURCE=EXSHA","RE&amp;VAR:NATFREQ=ANNUAL&amp;VAR:RFIELD=FINALIZED&amp;VAR:DB_TYPE=&amp;VAR:UNITS=M&amp;window=popup&amp;width=450&amp;height=300&amp;START_MAXIMIZED=FALSE"}</definedName>
    <definedName name="_37__123Graph_CCHART_5">#REF!</definedName>
    <definedName name="_37__123Graph_ECHART_1">#REF!</definedName>
    <definedName name="_37__FDSAUDITLINK__">{"fdsup://IBCentral/FAT Viewer?action=UPDATE&amp;creator=factset&amp;DOC_NAME=fat:reuters_annual_pshs_src_window.fat&amp;display_string=Audit&amp;DYN_ARGS=TRUE&amp;VAR:ID1=&amp;VAR:RCODE=FDSEPSDIL&amp;VAR:SDATE=2007&amp;VAR:FREQ=Y&amp;VAR:RELITEM=RP&amp;VAR:CURRENCY=&amp;VAR:CURRSOURCE=EXSHARE&amp;VAR:NA","TFREQ=ANNUAL&amp;VAR:RFIELD=FINALIZED&amp;VAR:DB_TYPE=&amp;VAR:UNITS=M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8__123Graph_CCHART_7">#REF!</definedName>
    <definedName name="_38__123Graph_XCHART_2">#REF!</definedName>
    <definedName name="_38__FDSAUDITLINK__">{"fdsup://IBCentral/FAT Viewer?action=UPDATE&amp;creator=factset&amp;DOC_NAME=fat:reuters_annual_pshs_src_window.fat&amp;display_string=Audit&amp;DYN_ARGS=TRUE&amp;VAR:ID1=1651.3685204828&amp;VAR:RCODE=FDSEPSDIL&amp;VAR:SDATE=2009&amp;VAR:FREQ=Y&amp;VAR:RELITEM=RP&amp;VAR:CURRENCY=&amp;VAR:CURRSOURCE","=EXSHARE&amp;VAR:NATFREQ=ANNUAL&amp;VAR:RFIELD=FINALIZED&amp;VAR:DB_TYPE=&amp;VAR:UNITS=M&amp;window=popup&amp;width=450&amp;height=300&amp;START_MAXIMIZED=FALSE"}</definedName>
    <definedName name="_39__123Graph_BCHART_4">#REF!</definedName>
    <definedName name="_39__123Graph_CCHART_8">#REF!</definedName>
    <definedName name="_39__123Graph_LBL_ACHART_7">#REF!</definedName>
    <definedName name="_39__FDSAUDITLINK__">{"fdsup://IBCentral/FAT Viewer?action=UPDATE&amp;creator=factset&amp;DOC_NAME=fat:reuters_annual_pshs_src_window.fat&amp;display_string=Audit&amp;DYN_ARGS=TRUE&amp;VAR:ID1=77374.87&amp;VAR:RCODE=FDSEPSDIL&amp;VAR:SDATE=2008&amp;VAR:FREQ=Y&amp;VAR:RELITEM=RP&amp;VAR:CURRENCY=&amp;VAR:CURRSOURCE=EXSHAR","E&amp;VAR:NATFREQ=ANNUAL&amp;VAR:RFIELD=FINALIZED&amp;VAR:DB_TYPE=&amp;VAR:UNITS=M&amp;window=popup&amp;width=450&amp;height=300&amp;START_MAXIMIZED=FALSE"}</definedName>
    <definedName name="_3A">#REF!</definedName>
    <definedName name="_3T02_GEAE_SCH6">#REF!</definedName>
    <definedName name="_4">"$"</definedName>
    <definedName name="_4_????">#REF!</definedName>
    <definedName name="_4__123Graph_ACHART_1">#REF!</definedName>
    <definedName name="_4__123Graph_ACHART_10">#REF!</definedName>
    <definedName name="_4__123Graph_AChart_1G">#REF!</definedName>
    <definedName name="_4__123Graph_ACHART_3">#REF!</definedName>
    <definedName name="_4__123Graph_ACHART_4">#REF!</definedName>
    <definedName name="_4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40__123Graph_CCHART_9">#REF!</definedName>
    <definedName name="_40__FDSAUDITLINK__">{"fdsup://IBCentral/FAT Viewer?action=UPDATE&amp;creator=factset&amp;DOC_NAME=fat:reuters_annual_pshs_src_window.fat&amp;display_string=Audit&amp;DYN_ARGS=TRUE&amp;VAR:ID1=&amp;VAR:RCODE=FDSEPSDIL&amp;VAR:SDATE=2007&amp;VAR:FREQ=Y&amp;VAR:RELITEM=RP&amp;VAR:CURRENCY=&amp;VAR:CURRSOURCE=EXSHARE&amp;VAR:NA","TFREQ=ANNUAL&amp;VAR:RFIELD=FINALIZED&amp;VAR:DB_TYPE=&amp;VAR:UNITS=M&amp;window=popup&amp;width=450&amp;height=300&amp;START_MAXIMIZED=FALSE"}</definedName>
    <definedName name="_41__123Graph_DCHART_1">#REF!</definedName>
    <definedName name="_41__123Graph_LBL_CCHART_10">#REF!</definedName>
    <definedName name="_41__FDSAUDITLINK__">{"fdsup://IBCentral/FAT Viewer?action=UPDATE&amp;creator=factset&amp;DOC_NAME=fat:reuters_annual_pshs_src_window.fat&amp;display_string=Audit&amp;DYN_ARGS=TRUE&amp;VAR:ID1=15.5207958393628&amp;VAR:RCODE=FDSEPSDIL&amp;VAR:SDATE=2009&amp;VAR:FREQ=Y&amp;VAR:RELITEM=RP&amp;VAR:CURRENCY=&amp;VAR:CURRSOURC","E=EXSHARE&amp;VAR:NATFREQ=ANNUAL&amp;VAR:RFIELD=FINALIZED&amp;VAR:DB_TYPE=&amp;VAR:UNITS=M&amp;window=popup&amp;width=450&amp;height=300&amp;START_MAXIMIZED=FALSE"}</definedName>
    <definedName name="_42__123Graph_DCHART_10">#REF!</definedName>
    <definedName name="_42__FDSAUDITLINK__">{"fdsup://IBCentral/FAT Viewer?action=UPDATE&amp;creator=factset&amp;DOC_NAME=fat:reuters_annual_pshs_src_window.fat&amp;display_string=Audit&amp;DYN_ARGS=TRUE&amp;VAR:ID1=727.22687&amp;VAR:RCODE=FDSEPSDIL&amp;VAR:SDATE=2008&amp;VAR:FREQ=Y&amp;VAR:RELITEM=RP&amp;VAR:CURRENCY=&amp;VAR:CURRSOURCE=EXSHA","RE&amp;VAR:NATFREQ=ANNUAL&amp;VAR:RFIELD=FINALIZED&amp;VAR:DB_TYPE=&amp;VAR:UNITS=M&amp;window=popup&amp;width=450&amp;height=300&amp;START_MAXIMIZED=FALSE"}</definedName>
    <definedName name="_43__123Graph_BCHART_7">#REF!</definedName>
    <definedName name="_43__123Graph_DCHART_11">#REF!</definedName>
    <definedName name="_43__123Graph_LBL_CCHART_9">#REF!</definedName>
    <definedName name="_43__FDSAUDITLINK__">{"fdsup://IBCentral/FAT Viewer?action=UPDATE&amp;creator=factset&amp;DOC_NAME=fat:reuters_annual_pshs_src_window.fat&amp;display_string=Audit&amp;DYN_ARGS=TRUE&amp;VAR:ID1=&amp;VAR:RCODE=FDSEPSDIL&amp;VAR:SDATE=2007&amp;VAR:FREQ=Y&amp;VAR:RELITEM=RP&amp;VAR:CURRENCY=&amp;VAR:CURRSOURCE=EXSHARE&amp;VAR:NA","TFREQ=ANNUAL&amp;VAR:RFIELD=FINALIZED&amp;VAR:DB_TYPE=&amp;VAR:UNITS=M&amp;window=popup&amp;width=450&amp;height=300&amp;START_MAXIMIZED=FALSE"}</definedName>
    <definedName name="_43B">#REF!</definedName>
    <definedName name="_44__123Graph_DCHART_3">#REF!</definedName>
    <definedName name="_44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45__123Graph_DCHART_4">#REF!</definedName>
    <definedName name="_45__123Graph_LBL_DCHART_1">#REF!</definedName>
    <definedName name="_45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46__123Graph_DCHART_7">#REF!</definedName>
    <definedName name="_46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47__123Graph_BCHART_9">#REF!</definedName>
    <definedName name="_47__123Graph_DCHART_8">#REF!</definedName>
    <definedName name="_47__123Graph_XCHART_1">#REF!</definedName>
    <definedName name="_47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48__123Graph_DCHART_9">#REF!</definedName>
    <definedName name="_48__123Graph_XCHART_2">#REF!</definedName>
    <definedName name="_48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49__123Graph_ECHART_10">#REF!</definedName>
    <definedName name="_49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4A">#REF!</definedName>
    <definedName name="_5">#REF!</definedName>
    <definedName name="_5_?????????">#REF!</definedName>
    <definedName name="_5__123Graph_ACHART_2">#REF!</definedName>
    <definedName name="_5__123Graph_ACHART_4">#REF!</definedName>
    <definedName name="_5__123Graph_ACHART_7">#REF!</definedName>
    <definedName name="_5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5_Query_Complete_EFUSD_Crosstab">#REF!</definedName>
    <definedName name="_50__123Graph_ECHART_11">#REF!</definedName>
    <definedName name="_50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51__123Graph_CCHART_1">#REF!</definedName>
    <definedName name="_51__123Graph_ECHART_3">#REF!</definedName>
    <definedName name="_51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2__123Graph_ECHART_4">#REF!</definedName>
    <definedName name="_52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3__123Graph_ECHART_8">#REF!</definedName>
    <definedName name="_53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54__123Graph_ECHART_9">#REF!</definedName>
    <definedName name="_54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55__123Graph_CCHART_10">#REF!</definedName>
    <definedName name="_55__123Graph_FCHART_10">#REF!</definedName>
    <definedName name="_55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6">#REF!</definedName>
    <definedName name="_56__123Graph_FCHART_11">#REF!</definedName>
    <definedName name="_56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7__123Graph_FCHART_9">#REF!</definedName>
    <definedName name="_57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8__123Graph_XCHART_10">#REF!</definedName>
    <definedName name="_58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59__123Graph_CCHART_2">#REF!</definedName>
    <definedName name="_59__123Graph_XCHART_11">#REF!</definedName>
    <definedName name="_59__FDSAUDITLINK__">{"fdsup://directions/FAT Viewer?action=UPDATE&amp;creator=factset&amp;DYN_ARGS=TRUE&amp;DOC_NAME=FAT:FQL_AUDITING_CLIENT_TEMPLATE.FAT&amp;display_string=Audit&amp;VAR:KEY=FQRWTMNEHU&amp;VAR:QUERY=UkdGX0JQUyhBTk4sMjAwOSwsLCwsLCxOT0FVRElUKQ==&amp;WINDOW=FIRST_POPUP&amp;HEIGHT=450&amp;WIDTH=450&amp;","START_MAXIMIZED=FALSE&amp;VAR:CALENDAR=FIVEDAY&amp;VAR:SYMBOL=614325&amp;VAR:INDEX=0"}</definedName>
    <definedName name="_6">"sch13.$"</definedName>
    <definedName name="_6_??_???">#REF!</definedName>
    <definedName name="_6__123Graph_ACHART_2">#REF!</definedName>
    <definedName name="_6__123Graph_AChart_2G">#REF!</definedName>
    <definedName name="_6__123Graph_ACHART_7">#REF!</definedName>
    <definedName name="_6__123Graph_BCHART_1">#REF!</definedName>
    <definedName name="_6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60__123Graph_XCHART_2">#REF!</definedName>
    <definedName name="_60__FDSAUDITLINK__">{"fdsup://directions/FAT Viewer?action=UPDATE&amp;creator=factset&amp;DYN_ARGS=TRUE&amp;DOC_NAME=FAT:FQL_AUDITING_CLIENT_TEMPLATE.FAT&amp;display_string=Audit&amp;VAR:KEY=FQRWTMNEHU&amp;VAR:QUERY=UkdGX0JQUyhBTk4sMjAwOSwsLCwsLCxOT0FVRElUKQ==&amp;WINDOW=FIRST_POPUP&amp;HEIGHT=450&amp;WIDTH=450&amp;","START_MAXIMIZED=FALSE&amp;VAR:CALENDAR=FIVEDAY&amp;VAR:SYMBOL=614325&amp;VAR:INDEX=0"}</definedName>
    <definedName name="_61__123Graph_XChart_2G">#REF!</definedName>
    <definedName name="_61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62__123Graph_XCHART_3">#REF!</definedName>
    <definedName name="_62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63__123Graph_CCHART_3">#REF!</definedName>
    <definedName name="_63__123Graph_XChart_3G">#REF!</definedName>
    <definedName name="_63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64__123Graph_XCHART_4">#REF!</definedName>
    <definedName name="_64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65__123Graph_XChart_4G">#REF!</definedName>
    <definedName name="_65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66__123Graph_XCHART_5">#REF!</definedName>
    <definedName name="_66__FDSAUDITLINK__">{"fdsup://directions/FAT Viewer?action=UPDATE&amp;creator=factset&amp;DYN_ARGS=TRUE&amp;DOC_NAME=FAT:FQL_AUDITING_CLIENT_TEMPLATE.FAT&amp;display_string=Audit&amp;VAR:KEY=FOZQBKXWPU&amp;VAR:QUERY=UkdGX0JQUyhBTk4sMjAwOSwsLCwsLCxOT0FVRElUKQ==&amp;WINDOW=FIRST_POPUP&amp;HEIGHT=450&amp;WIDTH=450&amp;","START_MAXIMIZED=FALSE&amp;VAR:CALENDAR=FIVEDAY&amp;VAR:SYMBOL=613934&amp;VAR:INDEX=0"}</definedName>
    <definedName name="_67__123Graph_CCHART_4">#REF!</definedName>
    <definedName name="_67__123Graph_XCHART_6">#REF!</definedName>
    <definedName name="_67__FDSAUDITLINK__">{"fdsup://directions/FAT Viewer?action=UPDATE&amp;creator=factset&amp;DYN_ARGS=TRUE&amp;DOC_NAME=FAT:FQL_AUDITING_CLIENT_TEMPLATE.FAT&amp;display_string=Audit&amp;VAR:KEY=LIHQZUJEFW&amp;VAR:QUERY=UkdGX0JQUyhBTk4sMjAwOSwsLCwsLCxOT0FVRElUKQ==&amp;WINDOW=FIRST_POPUP&amp;HEIGHT=450&amp;WIDTH=450&amp;","START_MAXIMIZED=FALSE&amp;VAR:CALENDAR=FIVEDAY&amp;VAR:SYMBOL=B1L5MR&amp;VAR:INDEX=0"}</definedName>
    <definedName name="_68__123Graph_XCHART_7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XCHART_8">#REF!</definedName>
    <definedName name="_69__FDSAUDITLINK__">{"fdsup://Directions/FactSet Auditing Viewer?action=AUDIT_VALUE&amp;DB=129&amp;ID1=626187&amp;VALUEID=01250&amp;SDATE=2009&amp;PERIODTYPE=ANN_STD&amp;window=popup_no_bar&amp;width=385&amp;height=120&amp;START_MAXIMIZED=FALSE&amp;creator=factset&amp;display_string=Audit"}</definedName>
    <definedName name="_6A">#REF!</definedName>
    <definedName name="_7">"sch13.$"</definedName>
    <definedName name="_7_?_??">#REF!</definedName>
    <definedName name="_7__123Graph_ACHART_3">#REF!</definedName>
    <definedName name="_7__123Graph_BCHART_1">#REF!</definedName>
    <definedName name="_7__123Graph_BCHART_2">#REF!</definedName>
    <definedName name="_7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70__123Graph_XCHART_9">#REF!</definedName>
    <definedName name="_70__FDSAUDITLINK__">{"fdsup://Directions/FactSet Auditing Viewer?action=AUDIT_VALUE&amp;DB=129&amp;ID1=626187&amp;VALUEID=01250&amp;SDATE=2008&amp;PERIODTYPE=ANN_STD&amp;window=popup_no_bar&amp;width=385&amp;height=120&amp;START_MAXIMIZED=FALSE&amp;creator=factset&amp;display_string=Audit"}</definedName>
    <definedName name="_71__123Graph_CCHART_9">#REF!</definedName>
    <definedName name="_71__FDSAUDITLINK__">{"fdsup://Directions/FactSet Auditing Viewer?action=AUDIT_VALUE&amp;DB=129&amp;ID1=626187&amp;VALUEID=01250&amp;SDATE=2007&amp;PERIODTYPE=ANN_STD&amp;window=popup_no_bar&amp;width=385&amp;height=120&amp;START_MAXIMIZED=FALSE&amp;creator=factset&amp;display_string=Audit"}</definedName>
    <definedName name="_72__FDSAUDITLINK__">{"fdsup://IBCentral/FAT Viewer?action=UPDATE&amp;creator=factset&amp;DOC_NAME=fat:reuters_annual_pshs_src_window.fat&amp;display_string=Audit&amp;DYN_ARGS=TRUE&amp;VAR:ID1=B1L5MR&amp;VAR:RCODE=FDSEPSDIL&amp;VAR:SDATE=20090699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73__FDSAUDITLINK__">{"fdsup://IBCentral/FAT Viewer?action=UPDATE&amp;creator=factset&amp;DOC_NAME=fat:reuters_annual_pshs_src_window.fat&amp;display_string=Audit&amp;DYN_ARGS=TRUE&amp;VAR:ID1=B1L5MR&amp;VAR:RCODE=FDSEPSDIL&amp;VAR:SDATE=20080699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74__123Graph_DCHART_1">#REF!</definedName>
    <definedName name="_74__FDSAUDITLINK__">{"fdsup://IBCentral/FAT Viewer?action=UPDATE&amp;creator=factset&amp;DOC_NAME=fat:reuters_annual_pshs_src_window.fat&amp;display_string=Audit&amp;DYN_ARGS=TRUE&amp;VAR:ID1=B1L5MR&amp;VAR:RCODE=FDSEPSDIL&amp;VAR:SDATE=20070699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75__FDSAUDITLINK__">{"fdsup://IBCentral/FAT Viewer?action=UPDATE&amp;creator=factset&amp;DOC_NAME=fat:reuters_annual_source_window.fat&amp;display_string=Audit&amp;DYN_ARGS=TRUE&amp;VAR:ID1=B1L5MR&amp;VAR:RCODE=NIBX&amp;VAR:SDATE=20070699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76__FDSAUDITLINK__">{"fdsup://IBCentral/FAT Viewer?action=UPDATE&amp;creator=factset&amp;DOC_NAME=fat:reuters_annual_pshs_src_window.fat&amp;display_string=Audit&amp;DYN_ARGS=TRUE&amp;VAR:ID1=B1L5MR&amp;VAR:RCODE=FDSEPSDIL&amp;VAR:SDATE=20060699&amp;VAR:FREQ=Y&amp;VAR:RELITEM=RP&amp;VAR:CURRENCY=&amp;VAR:CURRSOURCE=EXSH","ARE&amp;VAR:NATFREQ=ANNUAL&amp;VAR:RFIELD=FINALIZED&amp;VAR:DB_TYPE=&amp;VAR:UNITS=M&amp;window=popup&amp;width=450&amp;height=300&amp;START_MAXIMIZED=FALSE"}</definedName>
    <definedName name="_77__123Graph_ECHART_1">#REF!</definedName>
    <definedName name="_77__FDSAUDITLINK__">{"fdsup://IBCentral/FAT Viewer?action=UPDATE&amp;creator=factset&amp;DOC_NAME=fat:reuters_annual_source_window.fat&amp;display_string=Audit&amp;DYN_ARGS=TRUE&amp;VAR:ID1=B1L5MR&amp;VAR:RCODE=NIBX&amp;VAR:SDATE=20060699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78">#REF!</definedName>
    <definedName name="_78__FDSAUDITLINK__">{"fdsup://IBCentral/FAT Viewer?action=UPDATE&amp;creator=factset&amp;DOC_NAME=fat:reuters_annual_source_window.fat&amp;display_string=Audit&amp;DYN_ARGS=TRUE&amp;VAR:ID1=B12WJL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79__FDSAUDITLINK__">{"fdsup://IBCentral/FAT Viewer?action=UPDATE&amp;creator=factset&amp;DOC_NAME=fat:reuters_annual_source_window.fat&amp;display_string=Audit&amp;DYN_ARGS=TRUE&amp;VAR:ID1=B1L0L8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7A">#REF!</definedName>
    <definedName name="_8">"$"</definedName>
    <definedName name="_8__123Graph_ACHART_10">#REF!</definedName>
    <definedName name="_8__123Graph_AChart_3G">#REF!</definedName>
    <definedName name="_8__123Graph_ACHART_4">#REF!</definedName>
    <definedName name="_8__123Graph_BCHART_2">#REF!</definedName>
    <definedName name="_8__123Graph_BCHART_3">#REF!</definedName>
    <definedName name="_8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80__FDSAUDITLINK__">{"fdsup://IBCentral/FAT Viewer?action=UPDATE&amp;creator=factset&amp;DOC_NAME=fat:reuters_annual_source_window.fat&amp;display_string=Audit&amp;DYN_ARGS=TRUE&amp;VAR:ID1=637724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81__123Graph_LBL_ACHART_7">#REF!</definedName>
    <definedName name="_81__FDSAUDITLINK__">{"fdsup://IBCentral/FAT Viewer?action=UPDATE&amp;creator=factset&amp;DOC_NAME=fat:reuters_annual_source_window.fat&amp;display_string=Audit&amp;DYN_ARGS=TRUE&amp;VAR:ID1=637488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82__FDSAUDITLINK__">{"fdsup://IBCentral/FAT Viewer?action=UPDATE&amp;creator=factset&amp;DOC_NAME=fat:reuters_annual_source_window.fat&amp;display_string=Audit&amp;DYN_ARGS=TRUE&amp;VAR:ID1=670808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83__FDSAUDITLINK__">{"fdsup://IBCentral/FAT Viewer?action=UPDATE&amp;creator=factset&amp;DOC_NAME=fat:reuters_annual_source_window.fat&amp;display_string=Audit&amp;DYN_ARGS=TRUE&amp;VAR:ID1=699354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84__FDSAUDITLINK__">{"fdsup://IBCentral/FAT Viewer?action=UPDATE&amp;creator=factset&amp;DOC_NAME=fat:reuters_annual_source_window.fat&amp;display_string=Audit&amp;DYN_ARGS=TRUE&amp;VAR:ID1=614325&amp;VAR:RCODE=NIBX&amp;VAR:SDATE=20080399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85__123Graph_LBL_CCHART_10">#REF!</definedName>
    <definedName name="_85__FDSAUDITLINK__">{"fdsup://IBCentral/FAT Viewer?action=UPDATE&amp;creator=factset&amp;DOC_NAME=fat:reuters_annual_pshs_src_window.fat&amp;display_string=Audit&amp;DYN_ARGS=TRUE&amp;VAR:ID1=&amp;VAR:RCODE=FDSEPS&amp;VAR:SDATE=2010&amp;VAR:FREQ=Y&amp;VAR:RELITEM=RP&amp;VAR:CURRENCY=&amp;VAR:CURRSOURCE=EXSHARE&amp;VAR:NATFR","EQ=ANNUAL&amp;VAR:RFIELD=FINALIZED&amp;VAR:DB_TYPE=&amp;VAR:UNITS=M&amp;window=popup&amp;width=450&amp;height=300&amp;START_MAXIMIZED=FALSE"}</definedName>
    <definedName name="_86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87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88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89__123Graph_LBL_CCHART_9">#REF!</definedName>
    <definedName name="_89__FDSAUDITLINK__">{"fdsup://directions/FAT Viewer?action=UPDATE&amp;creator=factset&amp;DYN_ARGS=TRUE&amp;DOC_NAME=FAT:FQL_AUDITING_CLIENT_TEMPLATE.FAT&amp;display_string=Audit&amp;VAR:KEY=FETWBYZUPA&amp;VAR:QUERY=UkdGX0JQUyhBTk4sMjAwOSwsLCwsLCxOT0FVRElUKQ==&amp;WINDOW=FIRST_POPUP&amp;HEIGHT=450&amp;WIDTH=450&amp;","START_MAXIMIZED=FALSE&amp;VAR:CALENDAR=FIVEDAY&amp;VAR:SYMBOL=637488&amp;VAR:INDEX=0"}</definedName>
    <definedName name="_8A">#REF!</definedName>
    <definedName name="_9">"$"</definedName>
    <definedName name="_9__123Graph_ACHART_4">#REF!</definedName>
    <definedName name="_9__123Graph_ACHART_7">#REF!</definedName>
    <definedName name="_9__123Graph_BCHART_3">#REF!</definedName>
    <definedName name="_9__123Graph_BCHART_4">#REF!</definedName>
    <definedName name="_9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9_30_95_Asset_Sales">#REF!</definedName>
    <definedName name="_9_30_95_Capex">#REF!</definedName>
    <definedName name="_9_30_95_Capitalized_Interest">#REF!</definedName>
    <definedName name="_9_30_95_Cash_Flow">#REF!</definedName>
    <definedName name="_9_30_95_Current_Income_Tax">#REF!</definedName>
    <definedName name="_9_30_95_DD_A">#REF!</definedName>
    <definedName name="_9_30_95_Deferred_Income_Tax">#REF!</definedName>
    <definedName name="_9_30_95_EBIT">#REF!</definedName>
    <definedName name="_9_30_95_EBITDAX">#REF!</definedName>
    <definedName name="_9_30_95_Exploration_Expense">#REF!</definedName>
    <definedName name="_9_30_95_Interest_Expense">#REF!</definedName>
    <definedName name="_9_30_95_Minority_Interest">#REF!</definedName>
    <definedName name="_9_30_95_Net_Income">#REF!</definedName>
    <definedName name="_9_30_95_Other_Income">#REF!</definedName>
    <definedName name="_9_30_95_Other_Non_Cash_Items">#REF!</definedName>
    <definedName name="_9_30_95_Revenue">#REF!</definedName>
    <definedName name="_9_30_95_Weighted_Average_Shares_Outstanding">#REF!</definedName>
    <definedName name="_9_30_96_Asset_Sales">#REF!</definedName>
    <definedName name="_9_30_96_Capex">#REF!</definedName>
    <definedName name="_9_30_96_Capitalized_Interest">#REF!</definedName>
    <definedName name="_9_30_96_Cash_Flow">#REF!</definedName>
    <definedName name="_9_30_96_Current_Income_Tax">#REF!</definedName>
    <definedName name="_9_30_96_DD_A">#REF!</definedName>
    <definedName name="_9_30_96_Deferred_Income_Tax">#REF!</definedName>
    <definedName name="_9_30_96_EBIT">#REF!</definedName>
    <definedName name="_9_30_96_EBITDAX">#REF!</definedName>
    <definedName name="_9_30_96_Exploration_Expense">#REF!</definedName>
    <definedName name="_9_30_96_Interest_Expense">#REF!</definedName>
    <definedName name="_9_30_96_Minority_Interest">#REF!</definedName>
    <definedName name="_9_30_96_Net_Income">#REF!</definedName>
    <definedName name="_9_30_96_Other_Income">#REF!</definedName>
    <definedName name="_9_30_96_Other_Non_Cash_Items">#REF!</definedName>
    <definedName name="_9_30_96_Revenue">#REF!</definedName>
    <definedName name="_9_30_96_Weighted_Average_Shares_Outstanding">#REF!</definedName>
    <definedName name="_90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91__FDSAUDITLINK__">{"fdsup://directions/FAT Viewer?action=UPDATE&amp;creator=factset&amp;DYN_ARGS=TRUE&amp;DOC_NAME=FAT:FQL_AUDITING_CLIENT_TEMPLATE.FAT&amp;display_string=Audit&amp;VAR:KEY=TYBGPKXAVQ&amp;VAR:QUERY=UkdGX0JQUyhBTk4sMjAwOSwsLCwsLCxOT0FVRElUKQ==&amp;WINDOW=FIRST_POPUP&amp;HEIGHT=450&amp;WIDTH=450&amp;","START_MAXIMIZED=FALSE&amp;VAR:CALENDAR=FIVEDAY&amp;VAR:SYMBOL=699354&amp;VAR:INDEX=0"}</definedName>
    <definedName name="_9192BUD">#REF!</definedName>
    <definedName name="_92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93__123Graph_LBL_DCHART_1">#REF!</definedName>
    <definedName name="_93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94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95__FDSAUDITLINK__">{"fdsup://directions/FAT Viewer?action=UPDATE&amp;creator=factset&amp;DYN_ARGS=TRUE&amp;DOC_NAME=FAT:FQL_AUDITING_CLIENT_TEMPLATE.FAT&amp;display_string=Audit&amp;VAR:KEY=NQXAZSRMTC&amp;VAR:QUERY=UkdGX0JQUyhBTk4sMjAwOSwsLCwsLCxOT0FVRElUKQ==&amp;WINDOW=FIRST_POPUP&amp;HEIGHT=450&amp;WIDTH=450&amp;","START_MAXIMIZED=FALSE&amp;VAR:CALENDAR=FIVEDAY&amp;VAR:SYMBOL=670808&amp;VAR:INDEX=0"}</definedName>
    <definedName name="_96__FDSAUDITLINK__">{"fdsup://directions/FAT Viewer?action=UPDATE&amp;creator=factset&amp;DYN_ARGS=TRUE&amp;DOC_NAME=FAT:FQL_AUDITING_CLIENT_TEMPLATE.FAT&amp;display_string=Audit&amp;VAR:KEY=NGJUZGBGBU&amp;VAR:QUERY=UkdGX0JQUyhBTk4sMjAwOSwsLCwsLCxOT0FVRElUKQ==&amp;WINDOW=FIRST_POPUP&amp;HEIGHT=450&amp;WIDTH=450&amp;","START_MAXIMIZED=FALSE&amp;VAR:CALENDAR=FIVEDAY&amp;VAR:INDEX=0"}</definedName>
    <definedName name="_97__123Graph_XCHART_1">#REF!</definedName>
    <definedName name="_97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98__FDSAUDITLINK__">{"fdsup://directions/FAT Viewer?action=UPDATE&amp;creator=factset&amp;DYN_ARGS=TRUE&amp;DOC_NAME=FAT:FQL_AUDITING_CLIENT_TEMPLATE.FAT&amp;display_string=Audit&amp;VAR:KEY=TMNEHCFILA&amp;VAR:QUERY=UkdGX0JQUyhBTk4sMjAwOSwsLCwsLCxOT0FVRElUKQ==&amp;WINDOW=FIRST_POPUP&amp;HEIGHT=450&amp;WIDTH=450&amp;","START_MAXIMIZED=FALSE&amp;VAR:CALENDAR=FIVEDAY&amp;VAR:SYMBOL=B097TX&amp;VAR:INDEX=0"}</definedName>
    <definedName name="_99__FDSAUDITLINK__">{"fdsup://directions/FAT Viewer?action=UPDATE&amp;creator=factset&amp;DYN_ARGS=TRUE&amp;DOC_NAME=FAT:FQL_AUDITING_CLIENT_TEMPLATE.FAT&amp;display_string=Audit&amp;VAR:KEY=DAVAVWLCLE&amp;VAR:QUERY=UkdGX0JQUyhBTk4sMjAwOSwsLCwsLCxOT0FVRElUKQ==&amp;WINDOW=FIRST_POPUP&amp;HEIGHT=450&amp;WIDTH=450&amp;","START_MAXIMIZED=FALSE&amp;VAR:CALENDAR=FIVEDAY&amp;VAR:SYMBOL=626187&amp;VAR:INDEX=0"}</definedName>
    <definedName name="_9A">#REF!</definedName>
    <definedName name="_a">#REF!</definedName>
    <definedName name="_a_2">#REF!</definedName>
    <definedName name="_a1">{#N/A,#N/A,FALSE,"Pharm";#N/A,#N/A,FALSE,"WWCM"}</definedName>
    <definedName name="_a1_1">{#N/A,#N/A,FALSE,"Pharm";#N/A,#N/A,FALSE,"WWCM"}</definedName>
    <definedName name="_a1_2">{#N/A,#N/A,FALSE,"Pharm";#N/A,#N/A,FALSE,"WWCM"}</definedName>
    <definedName name="_a1_3">{#N/A,#N/A,FALSE,"Pharm";#N/A,#N/A,FALSE,"WWCM"}</definedName>
    <definedName name="_a1_4">{#N/A,#N/A,FALSE,"Pharm";#N/A,#N/A,FALSE,"WWCM"}</definedName>
    <definedName name="_a1_5">{#N/A,#N/A,FALSE,"Pharm";#N/A,#N/A,FALSE,"WWCM"}</definedName>
    <definedName name="_A11">{#N/A,#N/A,FALSE,"Umsatz 99";#N/A,#N/A,FALSE,"ER 99 "}</definedName>
    <definedName name="_A11_1">{#N/A,#N/A,FALSE,"Umsatz 99";#N/A,#N/A,FALSE,"ER 99 "}</definedName>
    <definedName name="_A11_2">{#N/A,#N/A,FALSE,"Umsatz 99";#N/A,#N/A,FALSE,"ER 99 "}</definedName>
    <definedName name="_A11_3">{#N/A,#N/A,FALSE,"Umsatz 99";#N/A,#N/A,FALSE,"ER 99 "}</definedName>
    <definedName name="_A11_4">{#N/A,#N/A,FALSE,"Umsatz 99";#N/A,#N/A,FALSE,"ER 99 "}</definedName>
    <definedName name="_A11_5">{#N/A,#N/A,FALSE,"Umsatz 99";#N/A,#N/A,FALSE,"ER 99 "}</definedName>
    <definedName name="_a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76">#REF!</definedName>
    <definedName name="_a8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AA">#REF!</definedName>
    <definedName name="_aaa1">{#N/A,#N/A,FALSE,"REPORT"}</definedName>
    <definedName name="_AAA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a1_2">{#N/A,#N/A,FALSE,"REPORT"}</definedName>
    <definedName name="_aaa1_3">{#N/A,#N/A,FALSE,"REPORT"}</definedName>
    <definedName name="_aaa1_4">{#N/A,#N/A,FALSE,"REPORT"}</definedName>
    <definedName name="_aaa1_5">{#N/A,#N/A,FALSE,"REPORT"}</definedName>
    <definedName name="_aas1">{#N/A,#N/A,FALSE,"REPORT"}</definedName>
    <definedName name="_aas1_1">{#N/A,#N/A,FALSE,"REPORT"}</definedName>
    <definedName name="_aas1_2">{#N/A,#N/A,FALSE,"REPORT"}</definedName>
    <definedName name="_aas1_3">{#N/A,#N/A,FALSE,"REPORT"}</definedName>
    <definedName name="_aas1_4">{#N/A,#N/A,FALSE,"REPORT"}</definedName>
    <definedName name="_aas1_5">{#N/A,#N/A,FALSE,"REPORT"}</definedName>
    <definedName name="_abc04">Main.SAPF4Help()</definedName>
    <definedName name="_abc05">Main.SAPF4Help()</definedName>
    <definedName name="_ACK1">#REF!</definedName>
    <definedName name="_ACS2000">{#N/A,#N/A,FALSE,"REPORT"}</definedName>
    <definedName name="_ACS2000_1">{#N/A,#N/A,FALSE,"REPORT"}</definedName>
    <definedName name="_ACS2000_2">{#N/A,#N/A,FALSE,"REPORT"}</definedName>
    <definedName name="_ACS2000_3">{#N/A,#N/A,FALSE,"REPORT"}</definedName>
    <definedName name="_ACS2000_4">{#N/A,#N/A,FALSE,"REPORT"}</definedName>
    <definedName name="_ACS2000_5">{#N/A,#N/A,FALSE,"REPORT"}</definedName>
    <definedName name="_act1">#REF!</definedName>
    <definedName name="_Act2">#REF!</definedName>
    <definedName name="_AD1">{#N/A,#N/A,FALSE,"Cash Flows";#N/A,#N/A,FALSE,"Fixed Assets";#N/A,#N/A,FALSE,"Balance Sheet";#N/A,#N/A,FALSE,"P &amp; L"}</definedName>
    <definedName name="_AD2">{#N/A,#N/A,FALSE,"Cash Flows";#N/A,#N/A,FALSE,"Fixed Assets";#N/A,#N/A,FALSE,"Balance Sheet";#N/A,#N/A,FALSE,"P &amp; L"}</definedName>
    <definedName name="_AD3">{#N/A,#N/A,FALSE,"Cash Flows";#N/A,#N/A,FALSE,"Fixed Assets";#N/A,#N/A,FALSE,"Balance Sheet";#N/A,#N/A,FALSE,"P &amp; L"}</definedName>
    <definedName name="_AD5">{#N/A,#N/A,FALSE,"Cash Flows";#N/A,#N/A,FALSE,"Fixed Assets";#N/A,#N/A,FALSE,"Balance Sheet";#N/A,#N/A,FALSE,"P &amp; L"}</definedName>
    <definedName name="_AD8">{#N/A,#N/A,FALSE,"Cash Flows";#N/A,#N/A,FALSE,"Fixed Assets";#N/A,#N/A,FALSE,"Balance Sheet";#N/A,#N/A,FALSE,"P &amp; L"}</definedName>
    <definedName name="_ADD">#REF!</definedName>
    <definedName name="_ADD_2">#REF!</definedName>
    <definedName name="_adj2">#REF!</definedName>
    <definedName name="_AMT13300">#REF!</definedName>
    <definedName name="_AMT13502">#REF!</definedName>
    <definedName name="_AMT41301">#REF!</definedName>
    <definedName name="_AMT85116">#REF!</definedName>
    <definedName name="_AMT85125">#REF!</definedName>
    <definedName name="_AMT86106">#REF!</definedName>
    <definedName name="_APR03">#REF!</definedName>
    <definedName name="_APR04">#REF!</definedName>
    <definedName name="_APR05">#REF!</definedName>
    <definedName name="_ATK90">#REF!</definedName>
    <definedName name="_AUG04">#REF!</definedName>
    <definedName name="_AUG05">#REF!</definedName>
    <definedName name="_aug98">#REF!</definedName>
    <definedName name="_b1">#REF!</definedName>
    <definedName name="_b111">{#N/A,#N/A,FALSE,"Pharm";#N/A,#N/A,FALSE,"WWCM"}</definedName>
    <definedName name="_b111_1">{#N/A,#N/A,FALSE,"Pharm";#N/A,#N/A,FALSE,"WWCM"}</definedName>
    <definedName name="_b111_2">{#N/A,#N/A,FALSE,"Pharm";#N/A,#N/A,FALSE,"WWCM"}</definedName>
    <definedName name="_b111_3">{#N/A,#N/A,FALSE,"Pharm";#N/A,#N/A,FALSE,"WWCM"}</definedName>
    <definedName name="_b111_4">{#N/A,#N/A,FALSE,"Pharm";#N/A,#N/A,FALSE,"WWCM"}</definedName>
    <definedName name="_b111_5">{#N/A,#N/A,FALSE,"Pharm";#N/A,#N/A,FALSE,"WWCM"}</definedName>
    <definedName name="_b1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1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1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19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2">#REF!</definedName>
    <definedName name="_b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bdm.0013A3E541F742E792BCF8D293359A4F.edm">#REF!</definedName>
    <definedName name="_bdm.02FFCD3A46344C3897B1CFBCE8A2A17B.edm">#REF!</definedName>
    <definedName name="_bdm.0608A37314154F51AE754B1DBA4C4224.edm">#REF!</definedName>
    <definedName name="_bdm.08FEDFC7F12B41189D3AE1CECDCDA3DB.edm">#REF!</definedName>
    <definedName name="_bdm.0E757F2CD4BA41B6A755DB704B82178D.edm">#REF!</definedName>
    <definedName name="_bdm.134fb9096d584cba9e212626a0db18d0.edm">#REF!</definedName>
    <definedName name="_bdm.19D980CE765949C7BDBD4F073E4B9ED2.edm">#REF!</definedName>
    <definedName name="_bdm.1A4882CD289945BC9CE3403E395E28CE.edm">#REF!</definedName>
    <definedName name="_bdm.1C25E66FCD78490BA7AED422D77BAB2E.edm">#REF!</definedName>
    <definedName name="_bdm.2111235102A54129BAC972483EA467FC.edm">#REF!</definedName>
    <definedName name="_bdm.223C3C16721A4ECD969462D5FC7DF615.edm">#REF!</definedName>
    <definedName name="_bdm.23BBC53DC332477B962FDB606AEBC1C4.edm">#REF!</definedName>
    <definedName name="_bdm.2B8B10461F1045F18126AE31F3B8DBCF.edm">#REF!</definedName>
    <definedName name="_bdm.2D5C47F74BCA45DFA36A2E652056C9E9.edm">#REF!</definedName>
    <definedName name="_bdm.3084F013F44D4CBE9482756886E6CFE8.edm">#REF!</definedName>
    <definedName name="_bdm.31854AB935AC4F1881261A19E985C679.edm">#REF!</definedName>
    <definedName name="_bdm.33B0D972F77B4B8E94FB9DF13C9EE335.edm">#REF!</definedName>
    <definedName name="_bdm.37E30A63B10141C485607BFBAFA2284B.edm">#REF!</definedName>
    <definedName name="_bdm.3A07521230F741FB9D7F4DD46ACA65B3.edm">#REF!</definedName>
    <definedName name="_bdm.41005CB43236463C8E71212C49634E3B.edm">#REF!</definedName>
    <definedName name="_bdm.41BCC3A98E1C4B7E93514C850335DB5E.edm">#REF!</definedName>
    <definedName name="_bdm.4F312785954342369A78C3016ABC7546.edm">#REF!</definedName>
    <definedName name="_bdm.51829F657B2640CDAD5FDC1E19FC11BD.edm">#REF!</definedName>
    <definedName name="_bdm.58F04F153FEE4802918802905B69DA6C.edm">#REF!</definedName>
    <definedName name="_bdm.5907F997E083409A838FFA946EA58740.edm">#REF!</definedName>
    <definedName name="_bdm.62C974DBB29244FCAADF19FF44E58FE1.edm">#REF!</definedName>
    <definedName name="_bdm.6434088703CA448C89501AE438EFCE43.edm">#REF!</definedName>
    <definedName name="_bdm.6761E696DF774B68B37D97C1BECAA984.edm">#REF!</definedName>
    <definedName name="_bdm.676C9019B7D94588905155EA857FD5B8.edm">#REF!</definedName>
    <definedName name="_bdm.68F448233C4C4FF98ADC077ABEC7B5E9.edm">#REF!</definedName>
    <definedName name="_bdm.6B98BF661866491A817B055569D35807.edm">#REF!</definedName>
    <definedName name="_bdm.6d6dcd072c2547c5a4502c24da50ee4a.edm">#REF!</definedName>
    <definedName name="_bdm.741EF8135F7E4415A233E3E50158C63C.edm">#REF!</definedName>
    <definedName name="_bdm.75FA598C4D8847729B179DC3AC86A7BB.edm">#REF!</definedName>
    <definedName name="_bdm.7C6BA9F9FD0545C282B15861D9CCFA70.edm">#REF!</definedName>
    <definedName name="_bdm.7C94ADDF8025481C9E3608BC38EB908D.edm">#REF!</definedName>
    <definedName name="_bdm.7CC8EA3BD3254D1C9E7C676AF286AEE6.edm">#REF!</definedName>
    <definedName name="_bdm.7EAAEEA6F8724F1E9DA0B497CC1B42C3.edm">#REF!</definedName>
    <definedName name="_bdm.98120C4D632746ABB1772FD1FDC4B86F.edm">#REF!</definedName>
    <definedName name="_bdm.9B2A088C59FE4303881C4788C97B9560.edm">#REF!</definedName>
    <definedName name="_bdm.9C0252D256514D0998C8394C4582612E.edm">#REF!</definedName>
    <definedName name="_bdm.A21CE3575FC1484BB63EEC713B8D0654.edm">#REF!</definedName>
    <definedName name="_bdm.A288C4FACDCB44A192ADE298401FE89D.edm">#REF!</definedName>
    <definedName name="_bdm.A4D202F4AC5F4B87B3339B723A12F5E7.edm">#REF!</definedName>
    <definedName name="_bdm.ADE0C5A76AC6458CA57429B24AD899A7.edm">#REF!</definedName>
    <definedName name="_bdm.AEC0A93FD65D456387C4CAA69C724725.edm">#REF!</definedName>
    <definedName name="_bdm.B2C46833EB1945BFB0C7DC61F62F93CD.edm">#REF!</definedName>
    <definedName name="_bdm.B8989A2B72E349789EE889E86FE31580.edm">#REF!</definedName>
    <definedName name="_bdm.BA3B78D813694D7AAF4A75642C4178CE.edm">#REF!</definedName>
    <definedName name="_bdm.C03A810325A44503BAF008526160B085.edm">#REF!</definedName>
    <definedName name="_bdm.C4650C908AC9431B9DBD30AC50E0B648.edm">#REF!</definedName>
    <definedName name="_bdm.c710f34e2e4b4da5b9e445cddd4e414d.edm">#REF!</definedName>
    <definedName name="_bdm.C753935263374ACB8E6E5679D6E1C2F4.edm">#REF!</definedName>
    <definedName name="_bdm.E0F26919B4E541E8B82DD7904929DFB9.edm">#REF!</definedName>
    <definedName name="_bdm.E74C727668414479AEDBDCAC39B1B19D.edm">#REF!</definedName>
    <definedName name="_bdm.EC2805DBD615448CBE3749758E97D287.edm">#REF!</definedName>
    <definedName name="_bdm.F710967133AA4C1885E3F697AAADC636.edm">#REF!</definedName>
    <definedName name="_bgt6">#REF!</definedName>
    <definedName name="_BTM150">#REF!</definedName>
    <definedName name="_BTM200">#REF!</definedName>
    <definedName name="_BTM50">#REF!</definedName>
    <definedName name="_bud9899">#REF!</definedName>
    <definedName name="_c">{"Fiesta Facer Page",#N/A,FALSE,"Q_C_S";"Fiesta Main Page",#N/A,FALSE,"V_L";"Fiesta 95BP Struct",#N/A,FALSE,"StructBP";"Fiesta Post 95BP Struct",#N/A,FALSE,"AdjStructBP"}</definedName>
    <definedName name="_c_1">{"Fiesta Facer Page",#N/A,FALSE,"Q_C_S";"Fiesta Main Page",#N/A,FALSE,"V_L";"Fiesta 95BP Struct",#N/A,FALSE,"StructBP";"Fiesta Post 95BP Struct",#N/A,FALSE,"AdjStructBP"}</definedName>
    <definedName name="_c_2">{"Fiesta Facer Page",#N/A,FALSE,"Q_C_S";"Fiesta Main Page",#N/A,FALSE,"V_L";"Fiesta 95BP Struct",#N/A,FALSE,"StructBP";"Fiesta Post 95BP Struct",#N/A,FALSE,"AdjStructBP"}</definedName>
    <definedName name="_c_3">{"Fiesta Facer Page",#N/A,FALSE,"Q_C_S";"Fiesta Main Page",#N/A,FALSE,"V_L";"Fiesta 95BP Struct",#N/A,FALSE,"StructBP";"Fiesta Post 95BP Struct",#N/A,FALSE,"AdjStructBP"}</definedName>
    <definedName name="_c_4">{"Fiesta Facer Page",#N/A,FALSE,"Q_C_S";"Fiesta Main Page",#N/A,FALSE,"V_L";"Fiesta 95BP Struct",#N/A,FALSE,"StructBP";"Fiesta Post 95BP Struct",#N/A,FALSE,"AdjStructBP"}</definedName>
    <definedName name="_c_5">{"Fiesta Facer Page",#N/A,FALSE,"Q_C_S";"Fiesta Main Page",#N/A,FALSE,"V_L";"Fiesta 95BP Struct",#N/A,FALSE,"StructBP";"Fiesta Post 95BP Struct",#N/A,FALSE,"AdjStructBP"}</definedName>
    <definedName name="_C80000">#REF!</definedName>
    <definedName name="_cb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CDE1">#REF!</definedName>
    <definedName name="_cip0306">#REF!</definedName>
    <definedName name="_CL1">#REF!</definedName>
    <definedName name="_Closing_Balance_for_Branch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OM1">#REF!</definedName>
    <definedName name="_CON1">#REF!</definedName>
    <definedName name="_CON2">#REF!</definedName>
    <definedName name="_CUS1">#REF!</definedName>
    <definedName name="_CUS2">#REF!</definedName>
    <definedName name="_CUS3">#REF!</definedName>
    <definedName name="_CUS4">#REF!</definedName>
    <definedName name="_CVD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CVD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">#REF!</definedName>
    <definedName name="_d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8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AT009">#REF!</definedName>
    <definedName name="_DAT1">#REF!</definedName>
    <definedName name="_DAT10">#REF!</definedName>
    <definedName name="_DAT11">#REF!</definedName>
    <definedName name="_DAT1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dd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1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1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d8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DEC03">#REF!</definedName>
    <definedName name="_DEC04">#REF!</definedName>
    <definedName name="_DEC05">#REF!</definedName>
    <definedName name="_DEC06">#REF!</definedName>
    <definedName name="_dec2000">#REF!</definedName>
    <definedName name="_dep1">#REF!</definedName>
    <definedName name="_dep2004">#REF!</definedName>
    <definedName name="_Dist_Bin">#REF!</definedName>
    <definedName name="_Dist_Values">#REF!</definedName>
    <definedName name="_e">#REF!</definedName>
    <definedName name="_e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0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1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8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9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emp1">#REF!</definedName>
    <definedName name="_emp2">#REF!</definedName>
    <definedName name="_EP3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EXC1">#REF!</definedName>
    <definedName name="_EXC2">#REF!</definedName>
    <definedName name="_Exp1">#REF!</definedName>
    <definedName name="_f06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fa1">{"plansummary",#N/A,FALSE,"PlanSummary";"sales",#N/A,FALSE,"Sales Rec";"productivity",#N/A,FALSE,"Productivity Rec";"capitalspending",#N/A,FALSE,"Capital Spending"}</definedName>
    <definedName name="_fa1_1">{"plansummary",#N/A,FALSE,"PlanSummary";"sales",#N/A,FALSE,"Sales Rec";"productivity",#N/A,FALSE,"Productivity Rec";"capitalspending",#N/A,FALSE,"Capital Spending"}</definedName>
    <definedName name="_fa1_2">{"plansummary",#N/A,FALSE,"PlanSummary";"sales",#N/A,FALSE,"Sales Rec";"productivity",#N/A,FALSE,"Productivity Rec";"capitalspending",#N/A,FALSE,"Capital Spending"}</definedName>
    <definedName name="_fa1_3">{"plansummary",#N/A,FALSE,"PlanSummary";"sales",#N/A,FALSE,"Sales Rec";"productivity",#N/A,FALSE,"Productivity Rec";"capitalspending",#N/A,FALSE,"Capital Spending"}</definedName>
    <definedName name="_fa2">{"plansummary",#N/A,FALSE,"PlanSummary";"sales",#N/A,FALSE,"Sales Rec";"productivity",#N/A,FALSE,"Productivity Rec";"capitalspending",#N/A,FALSE,"Capital Spending"}</definedName>
    <definedName name="_fa2_1">{"plansummary",#N/A,FALSE,"PlanSummary";"sales",#N/A,FALSE,"Sales Rec";"productivity",#N/A,FALSE,"Productivity Rec";"capitalspending",#N/A,FALSE,"Capital Spending"}</definedName>
    <definedName name="_fa2_2">{"plansummary",#N/A,FALSE,"PlanSummary";"sales",#N/A,FALSE,"Sales Rec";"productivity",#N/A,FALSE,"Productivity Rec";"capitalspending",#N/A,FALSE,"Capital Spending"}</definedName>
    <definedName name="_fa2_3">{"plansummary",#N/A,FALSE,"PlanSummary";"sales",#N/A,FALSE,"Sales Rec";"productivity",#N/A,FALSE,"Productivity Rec";"capitalspending",#N/A,FALSE,"Capital Spending"}</definedName>
    <definedName name="_fa3">{"plansummary",#N/A,FALSE,"PlanSummary";"sales",#N/A,FALSE,"Sales Rec";"productivity",#N/A,FALSE,"Productivity Rec";"capitalspending",#N/A,FALSE,"Capital Spending"}</definedName>
    <definedName name="_fa3_1">{"plansummary",#N/A,FALSE,"PlanSummary";"sales",#N/A,FALSE,"Sales Rec";"productivity",#N/A,FALSE,"Productivity Rec";"capitalspending",#N/A,FALSE,"Capital Spending"}</definedName>
    <definedName name="_fa3_2">{"plansummary",#N/A,FALSE,"PlanSummary";"sales",#N/A,FALSE,"Sales Rec";"productivity",#N/A,FALSE,"Productivity Rec";"capitalspending",#N/A,FALSE,"Capital Spending"}</definedName>
    <definedName name="_fa3_3">{"plansummary",#N/A,FALSE,"PlanSummary";"sales",#N/A,FALSE,"Sales Rec";"productivity",#N/A,FALSE,"Productivity Rec";"capitalspending",#N/A,FALSE,"Capital Spending"}</definedName>
    <definedName name="_FEB01">#REF!</definedName>
    <definedName name="_FEB02">#REF!</definedName>
    <definedName name="_FEB03">#REF!</definedName>
    <definedName name="_FEB04">#REF!</definedName>
    <definedName name="_FEB05">#REF!</definedName>
    <definedName name="_FEB06">#REF!</definedName>
    <definedName name="_Fill">#REF!</definedName>
    <definedName name="_xlnm._FilterDatabase" localSheetId="0" hidden="1">'Revised MIS Template - KPIs'!$B$2:$P$169</definedName>
    <definedName name="_g1">{"'August 2000'!$A$1:$J$101"}</definedName>
    <definedName name="_Grp16">{#N/A,#N/A,FALSE,"PMTABB";#N/A,#N/A,FALSE,"PMTABB"}</definedName>
    <definedName name="_Grp16_1">{#N/A,#N/A,FALSE,"PMTABB";#N/A,#N/A,FALSE,"PMTABB"}</definedName>
    <definedName name="_Grp16_2">{#N/A,#N/A,FALSE,"PMTABB";#N/A,#N/A,FALSE,"PMTABB"}</definedName>
    <definedName name="_Grp16_3">{#N/A,#N/A,FALSE,"PMTABB";#N/A,#N/A,FALSE,"PMTABB"}</definedName>
    <definedName name="_Grp16_4">{#N/A,#N/A,FALSE,"PMTABB";#N/A,#N/A,FALSE,"PMTABB"}</definedName>
    <definedName name="_hcm3">{#N/A,#N/A,FALSE,"Income State.";#N/A,#N/A,FALSE,"B-S"}</definedName>
    <definedName name="_Hey2">#REF!</definedName>
    <definedName name="_hom2">#REF!</definedName>
    <definedName name="_imp10">#REF!</definedName>
    <definedName name="_imp11">#REF!</definedName>
    <definedName name="_imp12">#REF!</definedName>
    <definedName name="_imp13">#REF!</definedName>
    <definedName name="_imp14">#REF!</definedName>
    <definedName name="_imp15">#REF!</definedName>
    <definedName name="_imp16">#REF!</definedName>
    <definedName name="_imp17">#REF!</definedName>
    <definedName name="_imp18">#REF!</definedName>
    <definedName name="_imp19">#REF!</definedName>
    <definedName name="_imp20">#REF!</definedName>
    <definedName name="_imp8">#REF!</definedName>
    <definedName name="_imp9">#REF!</definedName>
    <definedName name="_iNC1">#REF!</definedName>
    <definedName name="_INC9900">#REF!</definedName>
    <definedName name="_IND1">#REF!</definedName>
    <definedName name="_IND2">#REF!</definedName>
    <definedName name="_IND3">#REF!</definedName>
    <definedName name="_Int9697">#REF!</definedName>
    <definedName name="_Int9798">#REF!</definedName>
    <definedName name="_Int9899">#REF!</definedName>
    <definedName name="_Int992000">#REF!</definedName>
    <definedName name="_iv65537">#REF!</definedName>
    <definedName name="_iv65540">#REF!</definedName>
    <definedName name="_j">#REF!</definedName>
    <definedName name="_JAN01">#REF!</definedName>
    <definedName name="_JAN02">#REF!</definedName>
    <definedName name="_JAN03">#REF!</definedName>
    <definedName name="_JAN04">#REF!</definedName>
    <definedName name="_Jan05">Main.SAPF4Help()</definedName>
    <definedName name="_Jan06">Main.SAPF4Help()</definedName>
    <definedName name="_Jim">#REF!</definedName>
    <definedName name="_jkj">#REF!</definedName>
    <definedName name="_jul04">#REF!</definedName>
    <definedName name="_jul05">#REF!</definedName>
    <definedName name="_jul06">#REF!</definedName>
    <definedName name="_jul98">#REF!</definedName>
    <definedName name="_JUN04">#REF!</definedName>
    <definedName name="_jun98">#REF!</definedName>
    <definedName name="_Key1">#REF!</definedName>
    <definedName name="_Key2">#REF!</definedName>
    <definedName name="_key21">#REF!</definedName>
    <definedName name="_KEY3">#REF!</definedName>
    <definedName name="_Key99">#REF!</definedName>
    <definedName name="_ku1">#REF!</definedName>
    <definedName name="_ku2">#REF!</definedName>
    <definedName name="_kvs1">{#N/A,#N/A,FALSE,"COVER1.XLS ";#N/A,#N/A,FALSE,"RACT1.XLS";#N/A,#N/A,FALSE,"RACT2.XLS";#N/A,#N/A,FALSE,"ECCMP";#N/A,#N/A,FALSE,"WELDER.XLS"}</definedName>
    <definedName name="_kvs2">{#N/A,#N/A,FALSE,"COVER1.XLS ";#N/A,#N/A,FALSE,"RACT1.XLS";#N/A,#N/A,FALSE,"RACT2.XLS";#N/A,#N/A,FALSE,"ECCMP";#N/A,#N/A,FALSE,"WELDER.XLS"}</definedName>
    <definedName name="_kvs5">{#N/A,#N/A,FALSE,"COVER.XLS";#N/A,#N/A,FALSE,"RACT1.XLS";#N/A,#N/A,FALSE,"RACT2.XLS";#N/A,#N/A,FALSE,"ECCMP";#N/A,#N/A,FALSE,"WELDER.XLS"}</definedName>
    <definedName name="_kvs8">{#N/A,#N/A,FALSE,"COVER1.XLS ";#N/A,#N/A,FALSE,"RACT1.XLS";#N/A,#N/A,FALSE,"RACT2.XLS";#N/A,#N/A,FALSE,"ECCMP";#N/A,#N/A,FALSE,"WELDER.XLS"}</definedName>
    <definedName name="_l">#REF!</definedName>
    <definedName name="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">#REF!</definedName>
    <definedName name="_M10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MAR02">#REF!</definedName>
    <definedName name="_MAR03">#REF!</definedName>
    <definedName name="_MAR04">#REF!</definedName>
    <definedName name="_MAR05">#REF!</definedName>
    <definedName name="_MAR06">#REF!</definedName>
    <definedName name="_MAR9091">#REF!</definedName>
    <definedName name="_may03">#REF!</definedName>
    <definedName name="_MAY04">#REF!</definedName>
    <definedName name="_MAY05">#REF!</definedName>
    <definedName name="_may06">#REF!</definedName>
    <definedName name="_M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me10">{#N/A,#N/A,FALSE,"1996 P&amp;L TOWTAC(pk)";#N/A,#N/A,FALSE,"ONGOING P&amp;L TOWTAC(pk)";#N/A,#N/A,FALSE,"ATL6TOWTAC COST CARD"}</definedName>
    <definedName name="_mf12">#REF!</definedName>
    <definedName name="_mfA12">#REF!</definedName>
    <definedName name="_MKT1">#REF!</definedName>
    <definedName name="_MKT10">#REF!</definedName>
    <definedName name="_MKT11">#REF!</definedName>
    <definedName name="_MKT2">#REF!</definedName>
    <definedName name="_MKT3">#REF!</definedName>
    <definedName name="_MKT4">#REF!</definedName>
    <definedName name="_MKT5">#REF!</definedName>
    <definedName name="_MKT6">#REF!</definedName>
    <definedName name="_MKT7">#REF!</definedName>
    <definedName name="_MKT8">#REF!</definedName>
    <definedName name="_MKT9">#REF!</definedName>
    <definedName name="_mm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MV200405">#REF!</definedName>
    <definedName name="_NET2">#REF!</definedName>
    <definedName name="_new1">{#N/A,#N/A,FALSE,"Pharm";#N/A,#N/A,FALSE,"WWCM"}</definedName>
    <definedName name="_new1_1">{#N/A,#N/A,FALSE,"Pharm";#N/A,#N/A,FALSE,"WWCM"}</definedName>
    <definedName name="_new1_2">{#N/A,#N/A,FALSE,"Pharm";#N/A,#N/A,FALSE,"WWCM"}</definedName>
    <definedName name="_new1_3">{#N/A,#N/A,FALSE,"Pharm";#N/A,#N/A,FALSE,"WWCM"}</definedName>
    <definedName name="_new1_4">{#N/A,#N/A,FALSE,"Pharm";#N/A,#N/A,FALSE,"WWCM"}</definedName>
    <definedName name="_new1_5">{#N/A,#N/A,FALSE,"Pharm";#N/A,#N/A,FALSE,"WWCM"}</definedName>
    <definedName name="_new2">{"Graphic",#N/A,TRUE,"Graphic"}</definedName>
    <definedName name="_new4">#REF!</definedName>
    <definedName name="_nm1">#REF!</definedName>
    <definedName name="_nm2">#REF!</definedName>
    <definedName name="_nm3">#REF!</definedName>
    <definedName name="_nm4">#REF!</definedName>
    <definedName name="_nm5">#REF!</definedName>
    <definedName name="_NOV03">#REF!</definedName>
    <definedName name="_NOV04">#REF!</definedName>
    <definedName name="_NOV05">#REF!</definedName>
    <definedName name="_Nov2004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Nov2005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NSO2">{"'Sheet1'!$L$16"}</definedName>
    <definedName name="_O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o2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OCT03">#REF!</definedName>
    <definedName name="_OCT04">#REF!</definedName>
    <definedName name="_OCT05">#REF!</definedName>
    <definedName name="_oct98">#REF!</definedName>
    <definedName name="_one2">{"adj95mult",#N/A,FALSE,"COMPCO";"adj95est",#N/A,FALSE,"COMPCO"}</definedName>
    <definedName name="_Order1">255</definedName>
    <definedName name="_Order2">0</definedName>
    <definedName name="_O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OUT13300">#REF!</definedName>
    <definedName name="_OUT13502">#REF!</definedName>
    <definedName name="_OUT41301">#REF!</definedName>
    <definedName name="_OUT85116">#REF!</definedName>
    <definedName name="_OUT85125">#REF!</definedName>
    <definedName name="_OUT86106">#REF!</definedName>
    <definedName name="_p">"'file://comp2/c/my documents/vh group/vil/tar9900/roi/roi0001.xls'#$roia_y_2000_2001.$"</definedName>
    <definedName name="_P1">#REF!</definedName>
    <definedName name="_Parse_In">#REF!</definedName>
    <definedName name="_Parse_Out">#REF!</definedName>
    <definedName name="_pcSlicerSheet_Slicer1">#REF!</definedName>
    <definedName name="_pcSlicerSheet1_Slicer1">#REF!</definedName>
    <definedName name="_pcSlicerSheet1_Slicer2">#REF!</definedName>
    <definedName name="_pg1">#REF!</definedName>
    <definedName name="_pg12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9">#REF!</definedName>
    <definedName name="_pl2">#REF!</definedName>
    <definedName name="_pm2">#REF!</definedName>
    <definedName name="_pn2">#REF!</definedName>
    <definedName name="_pr10">#REF!</definedName>
    <definedName name="_pu1">#REF!</definedName>
    <definedName name="_pwf320">#REF!</definedName>
    <definedName name="_pwf326">#REF!</definedName>
    <definedName name="_q">#REF!</definedName>
    <definedName name="_q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q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q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q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q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QRA86106">#REF!</definedName>
    <definedName name="_r">{#N/A,#N/A,FALSE,"Pharm";#N/A,#N/A,FALSE,"WWCM"}</definedName>
    <definedName name="_r_1">{#N/A,#N/A,FALSE,"Pharm";#N/A,#N/A,FALSE,"WWCM"}</definedName>
    <definedName name="_r_2">{#N/A,#N/A,FALSE,"Pharm";#N/A,#N/A,FALSE,"WWCM"}</definedName>
    <definedName name="_r_3">{#N/A,#N/A,FALSE,"Pharm";#N/A,#N/A,FALSE,"WWCM"}</definedName>
    <definedName name="_r_4">{#N/A,#N/A,FALSE,"Pharm";#N/A,#N/A,FALSE,"WWCM"}</definedName>
    <definedName name="_r_5">{#N/A,#N/A,FALSE,"Pharm";#N/A,#N/A,FALSE,"WWCM"}</definedName>
    <definedName name="_RA1">{"'Jan-02'!$F$46:$F$47","'Jan-02'!$F$46:$F$47"}</definedName>
    <definedName name="_ra15">#REF!</definedName>
    <definedName name="_Ram1">{#N/A,#N/A,TRUE,"BALSCH";#N/A,#N/A,TRUE,"COMICRO";#N/A,#N/A,TRUE,"CHECKS";#N/A,#N/A,TRUE,"GLASS";#N/A,#N/A,TRUE,"DEPRE";#N/A,#N/A,TRUE,"A&amp;MCUR";#N/A,#N/A,TRUE,"AGEANAlysis";#N/A,#N/A,TRUE,"CHECKS"}</definedName>
    <definedName name="_rbn2">#REF!</definedName>
    <definedName name="_Regression_Int">1</definedName>
    <definedName name="_Regression_Out">#REF!</definedName>
    <definedName name="_Regression_X">#REF!</definedName>
    <definedName name="_Regression_Y">#REF!</definedName>
    <definedName name="_RSE1">#REF!</definedName>
    <definedName name="_RSE2">#REF!</definedName>
    <definedName name="_RT25">{#N/A,#N/A,FALSE,"Umsatz 99";#N/A,#N/A,FALSE,"ER 99 "}</definedName>
    <definedName name="_RT25_1">{#N/A,#N/A,FALSE,"Umsatz 99";#N/A,#N/A,FALSE,"ER 99 "}</definedName>
    <definedName name="_RT25_2">{#N/A,#N/A,FALSE,"Umsatz 99";#N/A,#N/A,FALSE,"ER 99 "}</definedName>
    <definedName name="_RT25_3">{#N/A,#N/A,FALSE,"Umsatz 99";#N/A,#N/A,FALSE,"ER 99 "}</definedName>
    <definedName name="_RT25_4">{#N/A,#N/A,FALSE,"Umsatz 99";#N/A,#N/A,FALSE,"ER 99 "}</definedName>
    <definedName name="_s">#REF!</definedName>
    <definedName name="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sad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sad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sal9899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BG1">#REF!</definedName>
    <definedName name="_SBG2">#REF!</definedName>
    <definedName name="_SBG3">#REF!</definedName>
    <definedName name="_SBG4">#REF!</definedName>
    <definedName name="_SBG5">#REF!</definedName>
    <definedName name="_SBG6">#REF!</definedName>
    <definedName name="_SBG7">#REF!</definedName>
    <definedName name="_SBG8">#REF!</definedName>
    <definedName name="_SBG9">#REF!</definedName>
    <definedName name="_sch1">#REF!</definedName>
    <definedName name="_SCH111213">#REF!</definedName>
    <definedName name="_Sch12">#REF!</definedName>
    <definedName name="_sch1314">#REF!</definedName>
    <definedName name="_SCH1415">#REF!</definedName>
    <definedName name="_SCH1519">#REF!</definedName>
    <definedName name="_sch2">#REF!</definedName>
    <definedName name="_sch3">#REF!</definedName>
    <definedName name="_sch34">#REF!</definedName>
    <definedName name="_sch4">#REF!</definedName>
    <definedName name="_Sch456">#REF!</definedName>
    <definedName name="_Sch4567">#REF!</definedName>
    <definedName name="_Sch467">#REF!</definedName>
    <definedName name="_sch5">#REF!</definedName>
    <definedName name="_sch6">#REF!</definedName>
    <definedName name="_sch7">#REF!</definedName>
    <definedName name="_sch81">#REF!</definedName>
    <definedName name="_sch82">#REF!</definedName>
    <definedName name="_sch83">#REF!</definedName>
    <definedName name="_sch84">#REF!</definedName>
    <definedName name="_sep98">#REF!</definedName>
    <definedName name="_sfd2">#REF!</definedName>
    <definedName name="_SG1">#REF!</definedName>
    <definedName name="_SHR1">#REF!</definedName>
    <definedName name="_sl1">#REF!</definedName>
    <definedName name="_SOP">#REF!</definedName>
    <definedName name="_Sort">#REF!</definedName>
    <definedName name="_spj1">#REF!</definedName>
    <definedName name="_SSK1">{#N/A,#N/A,FALSE,"COMP"}</definedName>
    <definedName name="_sua20">#REF!</definedName>
    <definedName name="_sua30">#REF!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X1">#REF!</definedName>
    <definedName name="_tds1">#REF!</definedName>
    <definedName name="_tm1">{#N/A,#N/A,FALSE,"Pharm";#N/A,#N/A,FALSE,"WWCM"}</definedName>
    <definedName name="_tm1_1">{#N/A,#N/A,FALSE,"Pharm";#N/A,#N/A,FALSE,"WWCM"}</definedName>
    <definedName name="_tm1_2">{#N/A,#N/A,FALSE,"Pharm";#N/A,#N/A,FALSE,"WWCM"}</definedName>
    <definedName name="_tm1_3">{#N/A,#N/A,FALSE,"Pharm";#N/A,#N/A,FALSE,"WWCM"}</definedName>
    <definedName name="_tm1_4">{#N/A,#N/A,FALSE,"Pharm";#N/A,#N/A,FALSE,"WWCM"}</definedName>
    <definedName name="_tm1_5">{#N/A,#N/A,FALSE,"Pharm";#N/A,#N/A,FALSE,"WWCM"}</definedName>
    <definedName name="_TP200203">#REF!</definedName>
    <definedName name="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t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tt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tt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tt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usd975">#REF!</definedName>
    <definedName name="_V2">{#N/A,#N/A,FALSE,"Tabl. A1";#N/A,#N/A,FALSE,"Tabl. A1 b";#N/A,#N/A,FALSE,"Tabl. A2";#N/A,#N/A,FALSE,"Tabl. A2-1";#N/A,#N/A,FALSE,"Tabl. A2-2"}</definedName>
    <definedName name="_V2_1">{#N/A,#N/A,FALSE,"Tabl. A1";#N/A,#N/A,FALSE,"Tabl. A1 b";#N/A,#N/A,FALSE,"Tabl. A2";#N/A,#N/A,FALSE,"Tabl. A2-1";#N/A,#N/A,FALSE,"Tabl. A2-2"}</definedName>
    <definedName name="_V2_2">{#N/A,#N/A,FALSE,"Tabl. A1";#N/A,#N/A,FALSE,"Tabl. A1 b";#N/A,#N/A,FALSE,"Tabl. A2";#N/A,#N/A,FALSE,"Tabl. A2-1";#N/A,#N/A,FALSE,"Tabl. A2-2"}</definedName>
    <definedName name="_V2_3">{#N/A,#N/A,FALSE,"Tabl. A1";#N/A,#N/A,FALSE,"Tabl. A1 b";#N/A,#N/A,FALSE,"Tabl. A2";#N/A,#N/A,FALSE,"Tabl. A2-1";#N/A,#N/A,FALSE,"Tabl. A2-2"}</definedName>
    <definedName name="_V2_4">{#N/A,#N/A,FALSE,"Tabl. A1";#N/A,#N/A,FALSE,"Tabl. A1 b";#N/A,#N/A,FALSE,"Tabl. A2";#N/A,#N/A,FALSE,"Tabl. A2-1";#N/A,#N/A,FALSE,"Tabl. A2-2"}</definedName>
    <definedName name="_VAR13300">#REF!</definedName>
    <definedName name="_VAR13502">#REF!</definedName>
    <definedName name="_vbt150">#REF!</definedName>
    <definedName name="_vbt200">#REF!</definedName>
    <definedName name="_vbt210">#REF!</definedName>
    <definedName name="_vbt400">#REF!</definedName>
    <definedName name="_VE1">#REF!</definedName>
    <definedName name="_vxm100">#REF!</definedName>
    <definedName name="_vxm300">#REF!</definedName>
    <definedName name="_w">#REF!</definedName>
    <definedName name="_x">#REF!</definedName>
    <definedName name="_x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_x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_x1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_x1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_X2">{#N/A,#N/A,FALSE,"Other";#N/A,#N/A,FALSE,"Ace";#N/A,#N/A,FALSE,"Derm"}</definedName>
    <definedName name="_X2_1">{#N/A,#N/A,FALSE,"Other";#N/A,#N/A,FALSE,"Ace";#N/A,#N/A,FALSE,"Derm"}</definedName>
    <definedName name="_X2_2">{#N/A,#N/A,FALSE,"Other";#N/A,#N/A,FALSE,"Ace";#N/A,#N/A,FALSE,"Derm"}</definedName>
    <definedName name="_X2_3">{#N/A,#N/A,FALSE,"Other";#N/A,#N/A,FALSE,"Ace";#N/A,#N/A,FALSE,"Derm"}</definedName>
    <definedName name="_X2_4">{#N/A,#N/A,FALSE,"Other";#N/A,#N/A,FALSE,"Ace";#N/A,#N/A,FALSE,"Derm"}</definedName>
    <definedName name="_X2_5">{#N/A,#N/A,FALSE,"Other";#N/A,#N/A,FALSE,"Ace";#N/A,#N/A,FALSE,"Derm"}</definedName>
    <definedName name="_xx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x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x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x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Z">#REF!</definedName>
    <definedName name="_Z_1">0</definedName>
    <definedName name="_zc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zs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a">42362.5816666667</definedName>
    <definedName name="a___11">#REF!</definedName>
    <definedName name="a_1">{#N/A,#N/A,FALSE,"PMTABB";#N/A,#N/A,FALSE,"PMTABB"}</definedName>
    <definedName name="a_1_1">{#N/A,#N/A,FALSE,"PMTABB";#N/A,#N/A,FALSE,"PMTABB"}</definedName>
    <definedName name="a_1_2">{#N/A,#N/A,FALSE,"PMTABB";#N/A,#N/A,FALSE,"PMTABB"}</definedName>
    <definedName name="a_1_3">{#N/A,#N/A,FALSE,"PMTABB";#N/A,#N/A,FALSE,"PMTABB"}</definedName>
    <definedName name="a_1_4">{#N/A,#N/A,FALSE,"PMTABB";#N/A,#N/A,FALSE,"PMTABB"}</definedName>
    <definedName name="a_2">{#N/A,#N/A,FALSE,"PMTABB";#N/A,#N/A,FALSE,"PMTABB"}</definedName>
    <definedName name="a_2_1">{#N/A,#N/A,FALSE,"PMTABB";#N/A,#N/A,FALSE,"PMTABB"}</definedName>
    <definedName name="a_2_2">{#N/A,#N/A,FALSE,"PMTABB";#N/A,#N/A,FALSE,"PMTABB"}</definedName>
    <definedName name="a_2_3">{#N/A,#N/A,FALSE,"PMTABB";#N/A,#N/A,FALSE,"PMTABB"}</definedName>
    <definedName name="a_2_4">{#N/A,#N/A,FALSE,"PMTABB";#N/A,#N/A,FALSE,"PMTABB"}</definedName>
    <definedName name="a_20">#REF!</definedName>
    <definedName name="a_3">{#N/A,#N/A,FALSE,"PMTABB";#N/A,#N/A,FALSE,"PMTABB"}</definedName>
    <definedName name="a_3_1">{#N/A,#N/A,FALSE,"PMTABB";#N/A,#N/A,FALSE,"PMTABB"}</definedName>
    <definedName name="a_3_2">{#N/A,#N/A,FALSE,"PMTABB";#N/A,#N/A,FALSE,"PMTABB"}</definedName>
    <definedName name="a_3_3">{#N/A,#N/A,FALSE,"PMTABB";#N/A,#N/A,FALSE,"PMTABB"}</definedName>
    <definedName name="a_3_4">{#N/A,#N/A,FALSE,"PMTABB";#N/A,#N/A,FALSE,"PMTABB"}</definedName>
    <definedName name="a_4">{#N/A,#N/A,FALSE,"PMTABB";#N/A,#N/A,FALSE,"PMTABB"}</definedName>
    <definedName name="a_4_1">{#N/A,#N/A,FALSE,"PMTABB";#N/A,#N/A,FALSE,"PMTABB"}</definedName>
    <definedName name="a_4_2">{#N/A,#N/A,FALSE,"PMTABB";#N/A,#N/A,FALSE,"PMTABB"}</definedName>
    <definedName name="a_4_3">{#N/A,#N/A,FALSE,"PMTABB";#N/A,#N/A,FALSE,"PMTABB"}</definedName>
    <definedName name="a_4_4">{#N/A,#N/A,FALSE,"PMTABB";#N/A,#N/A,FALSE,"PMTABB"}</definedName>
    <definedName name="A_Fill">#REF!</definedName>
    <definedName name="A_int">#REF!</definedName>
    <definedName name="A11A">{#N/A,#N/A,FALSE,"Umsatz 99";#N/A,#N/A,FALSE,"ER 99 "}</definedName>
    <definedName name="A11A_1">{#N/A,#N/A,FALSE,"Umsatz 99";#N/A,#N/A,FALSE,"ER 99 "}</definedName>
    <definedName name="A11A_2">{#N/A,#N/A,FALSE,"Umsatz 99";#N/A,#N/A,FALSE,"ER 99 "}</definedName>
    <definedName name="A11A_3">{#N/A,#N/A,FALSE,"Umsatz 99";#N/A,#N/A,FALSE,"ER 99 "}</definedName>
    <definedName name="A11A_4">{#N/A,#N/A,FALSE,"Umsatz 99";#N/A,#N/A,FALSE,"ER 99 "}</definedName>
    <definedName name="A981..A1000_">#REF!</definedName>
    <definedName name="A981__A1000_">"'form 16 list'.$"</definedName>
    <definedName name="aa">#REF!</definedName>
    <definedName name="a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">{#N/A,#N/A,FALSE,"Pharm";#N/A,#N/A,FALSE,"WWCM"}</definedName>
    <definedName name="AA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2">{#N/A,#N/A,FALSE,"PMTABB";#N/A,#N/A,FALSE,"PMTABB"}</definedName>
    <definedName name="aaa_2_1">{#N/A,#N/A,FALSE,"PMTABB";#N/A,#N/A,FALSE,"PMTABB"}</definedName>
    <definedName name="aaa_2_2">{#N/A,#N/A,FALSE,"PMTABB";#N/A,#N/A,FALSE,"PMTABB"}</definedName>
    <definedName name="aaa_2_3">{#N/A,#N/A,FALSE,"PMTABB";#N/A,#N/A,FALSE,"PMTABB"}</definedName>
    <definedName name="aaa_2_4">{#N/A,#N/A,FALSE,"PMTABB";#N/A,#N/A,FALSE,"PMTABB"}</definedName>
    <definedName name="aaa_3">{#N/A,#N/A,FALSE,"PMTABB";#N/A,#N/A,FALSE,"PMTABB"}</definedName>
    <definedName name="aaa_3_1">{#N/A,#N/A,FALSE,"PMTABB";#N/A,#N/A,FALSE,"PMTABB"}</definedName>
    <definedName name="aaa_3_2">{#N/A,#N/A,FALSE,"PMTABB";#N/A,#N/A,FALSE,"PMTABB"}</definedName>
    <definedName name="aaa_3_3">{#N/A,#N/A,FALSE,"PMTABB";#N/A,#N/A,FALSE,"PMTABB"}</definedName>
    <definedName name="aaa_3_4">{#N/A,#N/A,FALSE,"PMTABB";#N/A,#N/A,FALSE,"PMTABB"}</definedName>
    <definedName name="aaa_4">{#N/A,#N/A,FALSE,"PMTABB";#N/A,#N/A,FALSE,"PMTABB"}</definedName>
    <definedName name="aaa_4_1">{#N/A,#N/A,FALSE,"PMTABB";#N/A,#N/A,FALSE,"PMTABB"}</definedName>
    <definedName name="aaa_4_2">{#N/A,#N/A,FALSE,"PMTABB";#N/A,#N/A,FALSE,"PMTABB"}</definedName>
    <definedName name="aaa_4_3">{#N/A,#N/A,FALSE,"PMTABB";#N/A,#N/A,FALSE,"PMTABB"}</definedName>
    <definedName name="aaa_4_4">{#N/A,#N/A,FALSE,"PMTABB";#N/A,#N/A,FALSE,"PMTABB"}</definedName>
    <definedName name="aaa_5">{#N/A,#N/A,FALSE,"Pharm";#N/A,#N/A,FALSE,"WWCM"}</definedName>
    <definedName name="AAA_DOCTOPS">"AAA_SET"</definedName>
    <definedName name="AAA_duser">"OFF"</definedName>
    <definedName name="aaaa">{#N/A,#N/A,FALSE,"REPORT"}</definedName>
    <definedName name="aaaa_1">{#N/A,#N/A,FALSE,"REPORT"}</definedName>
    <definedName name="aaaa_2">{#N/A,#N/A,FALSE,"REPORT"}</definedName>
    <definedName name="aaaa_3">{#N/A,#N/A,FALSE,"REPORT"}</definedName>
    <definedName name="aaaa_4">{#N/A,#N/A,FALSE,"REPORT"}</definedName>
    <definedName name="aaaa_5">{#N/A,#N/A,FALSE,"REPORT"}</definedName>
    <definedName name="aaaaa">{#N/A,#N/A,FALSE,"REPORT"}</definedName>
    <definedName name="aaaaa_1">{#N/A,#N/A,FALSE,"REPORT"}</definedName>
    <definedName name="aaaaa_2">{#N/A,#N/A,FALSE,"REPORT"}</definedName>
    <definedName name="aaaaa_3">{#N/A,#N/A,FALSE,"REPORT"}</definedName>
    <definedName name="aaaaa_4">{#N/A,#N/A,FALSE,"REPORT"}</definedName>
    <definedName name="aaaaa_5">{#N/A,#N/A,FALSE,"REPORT"}</definedName>
    <definedName name="aaaaaa">{#N/A,#N/A,FALSE,"REPORT"}</definedName>
    <definedName name="aaaaaa_1">{#N/A,#N/A,FALSE,"REPORT"}</definedName>
    <definedName name="aaaaaa_2">{#N/A,#N/A,FALSE,"REPORT"}</definedName>
    <definedName name="aaaaaa_3">{#N/A,#N/A,FALSE,"REPORT"}</definedName>
    <definedName name="aaaaaa_4">{#N/A,#N/A,FALSE,"REPORT"}</definedName>
    <definedName name="aaaaaa_5">{#N/A,#N/A,FALSE,"REPORT"}</definedName>
    <definedName name="aaaaaaa">{#N/A,#N/A,FALSE,"REPORT"}</definedName>
    <definedName name="aaaaaaa_1">{#N/A,#N/A,FALSE,"REPORT"}</definedName>
    <definedName name="aaaaaaa_2">{#N/A,#N/A,FALSE,"REPORT"}</definedName>
    <definedName name="aaaaaaa_3">{#N/A,#N/A,FALSE,"REPORT"}</definedName>
    <definedName name="aaaaaaa_4">{#N/A,#N/A,FALSE,"REPORT"}</definedName>
    <definedName name="aaaaaaa_5">{#N/A,#N/A,FALSE,"REPORT"}</definedName>
    <definedName name="aaaaaaaa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4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">{#N/A,#N/A,FALSE,"REPORT"}</definedName>
    <definedName name="aaaaaaaaaaa_1">{#N/A,#N/A,FALSE,"REPORT"}</definedName>
    <definedName name="aaaaaaaaaaa_2">{#N/A,#N/A,FALSE,"REPORT"}</definedName>
    <definedName name="aaaaaaaaaaa_3">{#N/A,#N/A,FALSE,"REPORT"}</definedName>
    <definedName name="aaaaaaaaaaa_4">{#N/A,#N/A,FALSE,"REPORT"}</definedName>
    <definedName name="aaaaaaaaaaa_5">{#N/A,#N/A,FALSE,"REPORT"}</definedName>
    <definedName name="aaaaaaaaaaa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A">{#N/A,#N/A,FALSE,"Tabl. A1";#N/A,#N/A,FALSE,"Tabl. A1 b";#N/A,#N/A,FALSE,"Tabl. A2";#N/A,#N/A,FALSE,"Tabl. A2-1";#N/A,#N/A,FALSE,"Tabl. A2-2"}</definedName>
    <definedName name="AAAAAAAAAAAA_1">{#N/A,#N/A,FALSE,"Tabl. A1";#N/A,#N/A,FALSE,"Tabl. A1 b";#N/A,#N/A,FALSE,"Tabl. A2";#N/A,#N/A,FALSE,"Tabl. A2-1";#N/A,#N/A,FALSE,"Tabl. A2-2"}</definedName>
    <definedName name="AAAAAAAAAAAA_2">{#N/A,#N/A,FALSE,"Tabl. A1";#N/A,#N/A,FALSE,"Tabl. A1 b";#N/A,#N/A,FALSE,"Tabl. A2";#N/A,#N/A,FALSE,"Tabl. A2-1";#N/A,#N/A,FALSE,"Tabl. A2-2"}</definedName>
    <definedName name="AAAAAAAAAAAA_3">{#N/A,#N/A,FALSE,"Tabl. A1";#N/A,#N/A,FALSE,"Tabl. A1 b";#N/A,#N/A,FALSE,"Tabl. A2";#N/A,#N/A,FALSE,"Tabl. A2-1";#N/A,#N/A,FALSE,"Tabl. A2-2"}</definedName>
    <definedName name="AAAAAAAAAAAA_4">{#N/A,#N/A,FALSE,"Tabl. A1";#N/A,#N/A,FALSE,"Tabl. A1 b";#N/A,#N/A,FALSE,"Tabl. A2";#N/A,#N/A,FALSE,"Tabl. A2-1";#N/A,#N/A,FALSE,"Tabl. A2-2"}</definedName>
    <definedName name="aaaaaaaaaaaa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aa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aa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aaaa">{#N/A,#N/A,FALSE,"Pharm";#N/A,#N/A,FALSE,"WWCM"}</definedName>
    <definedName name="aaaaaaaaaaaaaaa_1">{#N/A,#N/A,FALSE,"Pharm";#N/A,#N/A,FALSE,"WWCM"}</definedName>
    <definedName name="aaaaaaaaaaaaaaa_2">{#N/A,#N/A,FALSE,"Pharm";#N/A,#N/A,FALSE,"WWCM"}</definedName>
    <definedName name="aaaaaaaaaaaaaaa_3">{#N/A,#N/A,FALSE,"Pharm";#N/A,#N/A,FALSE,"WWCM"}</definedName>
    <definedName name="aaaaaaaaaaaaaaa_4">{#N/A,#N/A,FALSE,"Pharm";#N/A,#N/A,FALSE,"WWCM"}</definedName>
    <definedName name="aaaaaaaaaaaaaaa_5">{#N/A,#N/A,FALSE,"Pharm";#N/A,#N/A,FALSE,"WWCM"}</definedName>
    <definedName name="aaaaaaaaaaaaaaaa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aaaaaaaaaaaaaa">{#N/A,#N/A,FALSE,"UK";#N/A,#N/A,FALSE,"FR";#N/A,#N/A,FALSE,"SWE";#N/A,#N/A,FALSE,"BE";#N/A,#N/A,FALSE,"IT";#N/A,#N/A,FALSE,"SP";#N/A,#N/A,FALSE,"GE";#N/A,#N/A,FALSE,"PO";#N/A,#N/A,FALSE,"SWI";#N/A,#N/A,FALSE,"NON"}</definedName>
    <definedName name="AAAAAAAAAAAAAAAAAAA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aaaaaaaaaaaaaaaaaaaaa">#REF!</definedName>
    <definedName name="aaaaaaaaaaaaaaaaaaaaaaaa">#REF!</definedName>
    <definedName name="aaaaaaaaaaaaaaaaaaaaaaaaa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aaasb">{#N/A,#N/A,FALSE,"Pharm";#N/A,#N/A,FALSE,"WWCM"}</definedName>
    <definedName name="aaasb_1">{#N/A,#N/A,FALSE,"Pharm";#N/A,#N/A,FALSE,"WWCM"}</definedName>
    <definedName name="aaasb_2">{#N/A,#N/A,FALSE,"Pharm";#N/A,#N/A,FALSE,"WWCM"}</definedName>
    <definedName name="aaasb_3">{#N/A,#N/A,FALSE,"Pharm";#N/A,#N/A,FALSE,"WWCM"}</definedName>
    <definedName name="aaasb_4">{#N/A,#N/A,FALSE,"Pharm";#N/A,#N/A,FALSE,"WWCM"}</definedName>
    <definedName name="aaasb_5">{#N/A,#N/A,FALSE,"Pharm";#N/A,#N/A,FALSE,"WWCM"}</definedName>
    <definedName name="aab">{#N/A,#N/A,FALSE,"Pharm";#N/A,#N/A,FALSE,"WWCM"}</definedName>
    <definedName name="aab_1">{#N/A,#N/A,FALSE,"Pharm";#N/A,#N/A,FALSE,"WWCM"}</definedName>
    <definedName name="aab_2">{#N/A,#N/A,FALSE,"Pharm";#N/A,#N/A,FALSE,"WWCM"}</definedName>
    <definedName name="aab_3">{#N/A,#N/A,FALSE,"Pharm";#N/A,#N/A,FALSE,"WWCM"}</definedName>
    <definedName name="aab_4">{#N/A,#N/A,FALSE,"Pharm";#N/A,#N/A,FALSE,"WWCM"}</definedName>
    <definedName name="aab_5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ddd">{#N/A,#N/A,FALSE,"REPORT"}</definedName>
    <definedName name="aaddd_1">{#N/A,#N/A,FALSE,"REPORT"}</definedName>
    <definedName name="aaddd_2">{#N/A,#N/A,FALSE,"REPORT"}</definedName>
    <definedName name="aaddd_3">{#N/A,#N/A,FALSE,"REPORT"}</definedName>
    <definedName name="aaddd_4">{#N/A,#N/A,FALSE,"REPORT"}</definedName>
    <definedName name="aaddd_5">{#N/A,#N/A,FALSE,"REPORT"}</definedName>
    <definedName name="aa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e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s">{#N/A,#N/A,FALSE,"1";#N/A,#N/A,FALSE,"2";#N/A,#N/A,FALSE,"16 - 17";#N/A,#N/A,FALSE,"18 - 19";#N/A,#N/A,FALSE,"26";#N/A,#N/A,FALSE,"27";#N/A,#N/A,FALSE,"28"}</definedName>
    <definedName name="aas_1">{#N/A,#N/A,FALSE,"1";#N/A,#N/A,FALSE,"2";#N/A,#N/A,FALSE,"16 - 17";#N/A,#N/A,FALSE,"18 - 19";#N/A,#N/A,FALSE,"26";#N/A,#N/A,FALSE,"27";#N/A,#N/A,FALSE,"28"}</definedName>
    <definedName name="aas_2">{#N/A,#N/A,FALSE,"1";#N/A,#N/A,FALSE,"2";#N/A,#N/A,FALSE,"16 - 17";#N/A,#N/A,FALSE,"18 - 19";#N/A,#N/A,FALSE,"26";#N/A,#N/A,FALSE,"27";#N/A,#N/A,FALSE,"28"}</definedName>
    <definedName name="aas_3">{#N/A,#N/A,FALSE,"1";#N/A,#N/A,FALSE,"2";#N/A,#N/A,FALSE,"16 - 17";#N/A,#N/A,FALSE,"18 - 19";#N/A,#N/A,FALSE,"26";#N/A,#N/A,FALSE,"27";#N/A,#N/A,FALSE,"28"}</definedName>
    <definedName name="aas_4">{#N/A,#N/A,FALSE,"1";#N/A,#N/A,FALSE,"2";#N/A,#N/A,FALSE,"16 - 17";#N/A,#N/A,FALSE,"18 - 19";#N/A,#N/A,FALSE,"26";#N/A,#N/A,FALSE,"27";#N/A,#N/A,FALSE,"28"}</definedName>
    <definedName name="aas_5">{#N/A,#N/A,FALSE,"1";#N/A,#N/A,FALSE,"2";#N/A,#N/A,FALSE,"16 - 17";#N/A,#N/A,FALSE,"18 - 19";#N/A,#N/A,FALSE,"26";#N/A,#N/A,FALSE,"27";#N/A,#N/A,FALSE,"28"}</definedName>
    <definedName name="AAT">#REF!</definedName>
    <definedName name="AAZAZER">{#N/A,#N/A,FALSE,"Tabl. A1";#N/A,#N/A,FALSE,"Tabl. A1 b";#N/A,#N/A,FALSE,"Tabl. A2";#N/A,#N/A,FALSE,"Tabl. A2-1";#N/A,#N/A,FALSE,"Tabl. A2-2"}</definedName>
    <definedName name="AAZAZER_1">{#N/A,#N/A,FALSE,"Tabl. A1";#N/A,#N/A,FALSE,"Tabl. A1 b";#N/A,#N/A,FALSE,"Tabl. A2";#N/A,#N/A,FALSE,"Tabl. A2-1";#N/A,#N/A,FALSE,"Tabl. A2-2"}</definedName>
    <definedName name="AAZAZER_2">{#N/A,#N/A,FALSE,"Tabl. A1";#N/A,#N/A,FALSE,"Tabl. A1 b";#N/A,#N/A,FALSE,"Tabl. A2";#N/A,#N/A,FALSE,"Tabl. A2-1";#N/A,#N/A,FALSE,"Tabl. A2-2"}</definedName>
    <definedName name="AAZAZER_3">{#N/A,#N/A,FALSE,"Tabl. A1";#N/A,#N/A,FALSE,"Tabl. A1 b";#N/A,#N/A,FALSE,"Tabl. A2";#N/A,#N/A,FALSE,"Tabl. A2-1";#N/A,#N/A,FALSE,"Tabl. A2-2"}</definedName>
    <definedName name="AAZAZER_4">{#N/A,#N/A,FALSE,"Tabl. A1";#N/A,#N/A,FALSE,"Tabl. A1 b";#N/A,#N/A,FALSE,"Tabl. A2";#N/A,#N/A,FALSE,"Tabl. A2-1";#N/A,#N/A,FALSE,"Tabl. A2-2"}</definedName>
    <definedName name="ab">{#N/A,#N/A,FALSE,"FREE"}</definedName>
    <definedName name="ab_1">{#N/A,#N/A,FALSE,"FREE"}</definedName>
    <definedName name="ab_1_1">{#N/A,#N/A,FALSE,"FREE"}</definedName>
    <definedName name="ab_1_2">{#N/A,#N/A,FALSE,"FREE"}</definedName>
    <definedName name="ab_1_3">{#N/A,#N/A,FALSE,"FREE"}</definedName>
    <definedName name="ab_1_4">{#N/A,#N/A,FALSE,"FREE"}</definedName>
    <definedName name="ab_2">{#N/A,#N/A,FALSE,"FREE"}</definedName>
    <definedName name="ab_2_1">{#N/A,#N/A,FALSE,"FREE"}</definedName>
    <definedName name="ab_2_2">{#N/A,#N/A,FALSE,"FREE"}</definedName>
    <definedName name="ab_2_3">{#N/A,#N/A,FALSE,"FREE"}</definedName>
    <definedName name="ab_2_4">{#N/A,#N/A,FALSE,"FREE"}</definedName>
    <definedName name="ab_3">{#N/A,#N/A,FALSE,"FREE"}</definedName>
    <definedName name="ab_3_1">{#N/A,#N/A,FALSE,"FREE"}</definedName>
    <definedName name="ab_3_2">{#N/A,#N/A,FALSE,"FREE"}</definedName>
    <definedName name="ab_3_3">{#N/A,#N/A,FALSE,"FREE"}</definedName>
    <definedName name="ab_3_4">{#N/A,#N/A,FALSE,"FREE"}</definedName>
    <definedName name="ab_4">{#N/A,#N/A,FALSE,"FREE"}</definedName>
    <definedName name="ab_4_1">{#N/A,#N/A,FALSE,"FREE"}</definedName>
    <definedName name="ab_4_2">{#N/A,#N/A,FALSE,"FREE"}</definedName>
    <definedName name="ab_4_3">{#N/A,#N/A,FALSE,"FREE"}</definedName>
    <definedName name="ab_4_4">{#N/A,#N/A,FALSE,"FREE"}</definedName>
    <definedName name="ab_5">{#N/A,#N/A,FALSE,"FREE"}</definedName>
    <definedName name="ab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_4">{#N/A,#N/A,FALSE,"REPORT"}</definedName>
    <definedName name="abc_5">{#N/A,#N/A,FALSE,"REPORT"}</definedName>
    <definedName name="abcd">#REF!</definedName>
    <definedName name="abe">#REF!</definedName>
    <definedName name="ABHI">#REF!</definedName>
    <definedName name="ABHYANKAR">#REF!</definedName>
    <definedName name="ABN">{#N/A,#N/A,FALSE,"Tabl. FB300";#N/A,#N/A,FALSE,"Tabl. FB350";#N/A,#N/A,FALSE,"Tabl. FB400";#N/A,#N/A,FALSE,"Tabl. FB500";#N/A,#N/A,FALSE,"Tabl. FS090"}</definedName>
    <definedName name="ABN_1">{#N/A,#N/A,FALSE,"Tabl. FB300";#N/A,#N/A,FALSE,"Tabl. FB350";#N/A,#N/A,FALSE,"Tabl. FB400";#N/A,#N/A,FALSE,"Tabl. FB500";#N/A,#N/A,FALSE,"Tabl. FS090"}</definedName>
    <definedName name="ABN_2">{#N/A,#N/A,FALSE,"Tabl. FB300";#N/A,#N/A,FALSE,"Tabl. FB350";#N/A,#N/A,FALSE,"Tabl. FB400";#N/A,#N/A,FALSE,"Tabl. FB500";#N/A,#N/A,FALSE,"Tabl. FS090"}</definedName>
    <definedName name="ABN_3">{#N/A,#N/A,FALSE,"Tabl. FB300";#N/A,#N/A,FALSE,"Tabl. FB350";#N/A,#N/A,FALSE,"Tabl. FB400";#N/A,#N/A,FALSE,"Tabl. FB500";#N/A,#N/A,FALSE,"Tabl. FS090"}</definedName>
    <definedName name="ABN_4">{#N/A,#N/A,FALSE,"Tabl. FB300";#N/A,#N/A,FALSE,"Tabl. FB350";#N/A,#N/A,FALSE,"Tabl. FB400";#N/A,#N/A,FALSE,"Tabl. FB500";#N/A,#N/A,FALSE,"Tabl. FS090"}</definedName>
    <definedName name="ABS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ac">{#N/A,#N/A,FALSE,"Aging Summary";#N/A,#N/A,FALSE,"Ratio Analysis";#N/A,#N/A,FALSE,"Test 120 Day Accts";#N/A,#N/A,FALSE,"Tickmarks"}</definedName>
    <definedName name="ac_1">{#N/A,#N/A,FALSE,"Aging Summary";#N/A,#N/A,FALSE,"Ratio Analysis";#N/A,#N/A,FALSE,"Test 120 Day Accts";#N/A,#N/A,FALSE,"Tickmarks"}</definedName>
    <definedName name="ac_2">{#N/A,#N/A,FALSE,"Aging Summary";#N/A,#N/A,FALSE,"Ratio Analysis";#N/A,#N/A,FALSE,"Test 120 Day Accts";#N/A,#N/A,FALSE,"Tickmarks"}</definedName>
    <definedName name="ac_3">{#N/A,#N/A,FALSE,"Aging Summary";#N/A,#N/A,FALSE,"Ratio Analysis";#N/A,#N/A,FALSE,"Test 120 Day Accts";#N/A,#N/A,FALSE,"Tickmarks"}</definedName>
    <definedName name="ac_4">{#N/A,#N/A,FALSE,"Aging Summary";#N/A,#N/A,FALSE,"Ratio Analysis";#N/A,#N/A,FALSE,"Test 120 Day Accts";#N/A,#N/A,FALSE,"Tickmarks"}</definedName>
    <definedName name="AC_PA">#REF!</definedName>
    <definedName name="ACC">#REF!</definedName>
    <definedName name="ACCCurrency">#REF!</definedName>
    <definedName name="ACCDesignator">#REF!</definedName>
    <definedName name="Accdetail">#REF!</definedName>
    <definedName name="AccessDatabase">"D:\Compensation\comp data 2001.xls"</definedName>
    <definedName name="Account">#REF!</definedName>
    <definedName name="Account_Balance">#REF!</definedName>
    <definedName name="ACCOUNTHEAD">#REF!</definedName>
    <definedName name="AccountLevel">#REF!</definedName>
    <definedName name="ACCR">#REF!</definedName>
    <definedName name="Accr20002001">#REF!</definedName>
    <definedName name="Accr20012002">#REF!</definedName>
    <definedName name="Accr9697">#REF!</definedName>
    <definedName name="Accr9798">#REF!</definedName>
    <definedName name="Accr9899">#REF!</definedName>
    <definedName name="Accr992000">#REF!</definedName>
    <definedName name="accrued">#REF!</definedName>
    <definedName name="ACCT_CODE">#REF!</definedName>
    <definedName name="acctwise">#REF!</definedName>
    <definedName name="ACCType">#REF!</definedName>
    <definedName name="ACCUMULATED_DEPRECIATION">#REF!</definedName>
    <definedName name="ACCYear">#REF!</definedName>
    <definedName name="acid1">#REF!</definedName>
    <definedName name="acid2">#REF!</definedName>
    <definedName name="acid3">#REF!</definedName>
    <definedName name="acid4">#REF!</definedName>
    <definedName name="acid5">#REF!</definedName>
    <definedName name="ACK">#REF!</definedName>
    <definedName name="ACMActionPoints">#REF!</definedName>
    <definedName name="ac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ct">#REF!</definedName>
    <definedName name="ACTEOH">#REF!</definedName>
    <definedName name="Action">#REF!</definedName>
    <definedName name="ActMth">#REF!</definedName>
    <definedName name="ActQties">#REF!</definedName>
    <definedName name="ACTU">#REF!</definedName>
    <definedName name="actual_2005">#REF!</definedName>
    <definedName name="Actual_Forecast">#REF!</definedName>
    <definedName name="actuel">#REF!</definedName>
    <definedName name="ActValues">#REF!</definedName>
    <definedName name="Actwise">#REF!</definedName>
    <definedName name="ActYtd">#REF!</definedName>
    <definedName name="ACwvu.REPORT.">#REF!</definedName>
    <definedName name="ad">{#N/A,#N/A,FALSE,"PMTABB";#N/A,#N/A,FALSE,"PMTABB"}</definedName>
    <definedName name="ad_1">{#N/A,#N/A,FALSE,"PMTABB";#N/A,#N/A,FALSE,"PMTABB"}</definedName>
    <definedName name="ad_1_1">{#N/A,#N/A,FALSE,"PMTABB";#N/A,#N/A,FALSE,"PMTABB"}</definedName>
    <definedName name="ad_1_2">{#N/A,#N/A,FALSE,"PMTABB";#N/A,#N/A,FALSE,"PMTABB"}</definedName>
    <definedName name="ad_1_3">{#N/A,#N/A,FALSE,"PMTABB";#N/A,#N/A,FALSE,"PMTABB"}</definedName>
    <definedName name="ad_1_4">{#N/A,#N/A,FALSE,"PMTABB";#N/A,#N/A,FALSE,"PMTABB"}</definedName>
    <definedName name="ad_2">{#N/A,#N/A,FALSE,"PMTABB";#N/A,#N/A,FALSE,"PMTABB"}</definedName>
    <definedName name="ad_3">{#N/A,#N/A,FALSE,"PMTABB";#N/A,#N/A,FALSE,"PMTABB"}</definedName>
    <definedName name="ad_4">{#N/A,#N/A,FALSE,"PMTABB";#N/A,#N/A,FALSE,"PMTABB"}</definedName>
    <definedName name="ad_5">{#N/A,#N/A,FALSE,"PMTABB";#N/A,#N/A,FALSE,"PMTABB"}</definedName>
    <definedName name="AD1050K544">#REF!</definedName>
    <definedName name="AD1050K545">#REF!</definedName>
    <definedName name="ada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rsh">#REF!</definedName>
    <definedName name="Adas">#REF!</definedName>
    <definedName name="Adasr">#REF!</definedName>
    <definedName name="adckbmc">#REF!</definedName>
    <definedName name="ADD">#REF!</definedName>
    <definedName name="Additional">#REF!</definedName>
    <definedName name="Additionelectrical">#REF!</definedName>
    <definedName name="additions">{#N/A,#N/A,FALSE,"COMP"}</definedName>
    <definedName name="Address">#REF!</definedName>
    <definedName name="adfgasdysty">{#N/A,#N/A,FALSE,"REPORT"}</definedName>
    <definedName name="adfgasdysty_1">{#N/A,#N/A,FALSE,"REPORT"}</definedName>
    <definedName name="adfgasdysty_2">{#N/A,#N/A,FALSE,"REPORT"}</definedName>
    <definedName name="adfgasdysty_3">{#N/A,#N/A,FALSE,"REPORT"}</definedName>
    <definedName name="adfgasdysty_4">{#N/A,#N/A,FALSE,"REPORT"}</definedName>
    <definedName name="adfgasdysty_5">{#N/A,#N/A,FALSE,"REPORT"}</definedName>
    <definedName name="adfrs">{#N/A,#N/A,FALSE,"COVER.XLS";#N/A,#N/A,FALSE,"RACT1.XLS";#N/A,#N/A,FALSE,"RACT2.XLS";#N/A,#N/A,FALSE,"ECCMP";#N/A,#N/A,FALSE,"WELDER.XLS"}</definedName>
    <definedName name="adfs">{#N/A,#N/A,FALSE,"PMTABB";#N/A,#N/A,FALSE,"PMTABB"}</definedName>
    <definedName name="adfs_1">{#N/A,#N/A,FALSE,"PMTABB";#N/A,#N/A,FALSE,"PMTABB"}</definedName>
    <definedName name="adfs_2">{#N/A,#N/A,FALSE,"PMTABB";#N/A,#N/A,FALSE,"PMTABB"}</definedName>
    <definedName name="adfs_2_1">{#N/A,#N/A,FALSE,"PMTABB";#N/A,#N/A,FALSE,"PMTABB"}</definedName>
    <definedName name="adfs_2_2">{#N/A,#N/A,FALSE,"PMTABB";#N/A,#N/A,FALSE,"PMTABB"}</definedName>
    <definedName name="adfs_2_3">{#N/A,#N/A,FALSE,"PMTABB";#N/A,#N/A,FALSE,"PMTABB"}</definedName>
    <definedName name="adfs_2_4">{#N/A,#N/A,FALSE,"PMTABB";#N/A,#N/A,FALSE,"PMTABB"}</definedName>
    <definedName name="adfs_3">{#N/A,#N/A,FALSE,"PMTABB";#N/A,#N/A,FALSE,"PMTABB"}</definedName>
    <definedName name="adfs_3_1">{#N/A,#N/A,FALSE,"PMTABB";#N/A,#N/A,FALSE,"PMTABB"}</definedName>
    <definedName name="adfs_3_2">{#N/A,#N/A,FALSE,"PMTABB";#N/A,#N/A,FALSE,"PMTABB"}</definedName>
    <definedName name="adfs_3_3">{#N/A,#N/A,FALSE,"PMTABB";#N/A,#N/A,FALSE,"PMTABB"}</definedName>
    <definedName name="adfs_3_4">{#N/A,#N/A,FALSE,"PMTABB";#N/A,#N/A,FALSE,"PMTABB"}</definedName>
    <definedName name="adfs_4">{#N/A,#N/A,FALSE,"PMTABB";#N/A,#N/A,FALSE,"PMTABB"}</definedName>
    <definedName name="adfs_4_1">{#N/A,#N/A,FALSE,"PMTABB";#N/A,#N/A,FALSE,"PMTABB"}</definedName>
    <definedName name="adfs_4_2">{#N/A,#N/A,FALSE,"PMTABB";#N/A,#N/A,FALSE,"PMTABB"}</definedName>
    <definedName name="adfs_4_3">{#N/A,#N/A,FALSE,"PMTABB";#N/A,#N/A,FALSE,"PMTABB"}</definedName>
    <definedName name="adfs_4_4">{#N/A,#N/A,FALSE,"PMTABB";#N/A,#N/A,FALSE,"PMTABB"}</definedName>
    <definedName name="adfs_5">{#N/A,#N/A,FALSE,"PMTABB";#N/A,#N/A,FALSE,"PMTABB"}</definedName>
    <definedName name="adfsfjfjky">{#N/A,#N/A,FALSE,"REPORT"}</definedName>
    <definedName name="adfsfjfjky_1">{#N/A,#N/A,FALSE,"REPORT"}</definedName>
    <definedName name="adfsfjfjky_2">{#N/A,#N/A,FALSE,"REPORT"}</definedName>
    <definedName name="adfsfjfjky_3">{#N/A,#N/A,FALSE,"REPORT"}</definedName>
    <definedName name="adfsfjfjky_4">{#N/A,#N/A,FALSE,"REPORT"}</definedName>
    <definedName name="adfsfjfjky_5">{#N/A,#N/A,FALSE,"REPORT"}</definedName>
    <definedName name="Adjusted_Market_Value">#REF!</definedName>
    <definedName name="AdmExpSer">#REF!</definedName>
    <definedName name="ADMINHC">#REF!</definedName>
    <definedName name="ADMINNEW">#REF!</definedName>
    <definedName name="ADMINTOT">#REF!</definedName>
    <definedName name="ADMOH">#REF!</definedName>
    <definedName name="adsasd">#REF!</definedName>
    <definedName name="adt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ADV___OTHERCA">#REF!</definedName>
    <definedName name="ADV_TO_EMPLOYEE__SAL_WAGES">#REF!</definedName>
    <definedName name="ADV_TO_EMPLOYEE_EXP_PUR_SUBLEDGER">#REF!</definedName>
    <definedName name="ADVANCE_INCOME_TAX">#REF!</definedName>
    <definedName name="ADVANCES">#REF!</definedName>
    <definedName name="ADVANCES___EXP_PUR__SUB_CONTRACTOR">#REF!</definedName>
    <definedName name="Advances_for_room_deposit___site">#REF!</definedName>
    <definedName name="Advancetax">{#N/A,#N/A,FALSE,"bs"}</definedName>
    <definedName name="ADVERTISEMENT">#REF!</definedName>
    <definedName name="advr">#REF!</definedName>
    <definedName name="ady">#REF!</definedName>
    <definedName name="ae">{#N/A,#N/A,FALSE,"PMTABB";#N/A,#N/A,FALSE,"PMTABB"}</definedName>
    <definedName name="ae_1">{#N/A,#N/A,FALSE,"PMTABB";#N/A,#N/A,FALSE,"PMTABB"}</definedName>
    <definedName name="ae_2">{#N/A,#N/A,FALSE,"PMTABB";#N/A,#N/A,FALSE,"PMTABB"}</definedName>
    <definedName name="ae_3">{#N/A,#N/A,FALSE,"PMTABB";#N/A,#N/A,FALSE,"PMTABB"}</definedName>
    <definedName name="ae_4">{#N/A,#N/A,FALSE,"PMTABB";#N/A,#N/A,FALSE,"PMTABB"}</definedName>
    <definedName name="aer">{#N/A,#N/A,FALSE,"EW"}</definedName>
    <definedName name="aer_1">{#N/A,#N/A,FALSE,"EW"}</definedName>
    <definedName name="aer_2">{#N/A,#N/A,FALSE,"EW"}</definedName>
    <definedName name="aer_2_1">{#N/A,#N/A,FALSE,"EW"}</definedName>
    <definedName name="aer_2_2">{#N/A,#N/A,FALSE,"EW"}</definedName>
    <definedName name="aer_2_3">{#N/A,#N/A,FALSE,"EW"}</definedName>
    <definedName name="aer_2_4">{#N/A,#N/A,FALSE,"EW"}</definedName>
    <definedName name="aer_3">{#N/A,#N/A,FALSE,"EW"}</definedName>
    <definedName name="aer_3_1">{#N/A,#N/A,FALSE,"EW"}</definedName>
    <definedName name="aer_3_2">{#N/A,#N/A,FALSE,"EW"}</definedName>
    <definedName name="aer_3_3">{#N/A,#N/A,FALSE,"EW"}</definedName>
    <definedName name="aer_3_4">{#N/A,#N/A,FALSE,"EW"}</definedName>
    <definedName name="aer_4">{#N/A,#N/A,FALSE,"EW"}</definedName>
    <definedName name="aer_4_1">{#N/A,#N/A,FALSE,"EW"}</definedName>
    <definedName name="aer_4_2">{#N/A,#N/A,FALSE,"EW"}</definedName>
    <definedName name="aer_4_3">{#N/A,#N/A,FALSE,"EW"}</definedName>
    <definedName name="aer_4_4">{#N/A,#N/A,FALSE,"EW"}</definedName>
    <definedName name="aer_5">{#N/A,#N/A,FALSE,"EW"}</definedName>
    <definedName name="af">#REF!</definedName>
    <definedName name="afasd">{#N/A,#N/A,FALSE,"Income State.";#N/A,#N/A,FALSE,"B-S"}</definedName>
    <definedName name="AFDADSFDAS">{#N/A,#N/A,FALSE,"REPORT"}</definedName>
    <definedName name="AFDADSFDAS_1">{#N/A,#N/A,FALSE,"REPORT"}</definedName>
    <definedName name="AFDADSFDAS_2">{#N/A,#N/A,FALSE,"REPORT"}</definedName>
    <definedName name="AFDADSFDAS_3">{#N/A,#N/A,FALSE,"REPORT"}</definedName>
    <definedName name="AFDADSFDAS_4">{#N/A,#N/A,FALSE,"REPORT"}</definedName>
    <definedName name="AFDADSFDAS_5">{#N/A,#N/A,FALSE,"REPORT"}</definedName>
    <definedName name="AFECLKZE">{#N/A,#N/A,FALSE,"Tabl. A1";#N/A,#N/A,FALSE,"Tabl. A1 b";#N/A,#N/A,FALSE,"Tabl. A2";#N/A,#N/A,FALSE,"Tabl. A2-1";#N/A,#N/A,FALSE,"Tabl. A2-2"}</definedName>
    <definedName name="AFECLKZE_1">{#N/A,#N/A,FALSE,"Tabl. A1";#N/A,#N/A,FALSE,"Tabl. A1 b";#N/A,#N/A,FALSE,"Tabl. A2";#N/A,#N/A,FALSE,"Tabl. A2-1";#N/A,#N/A,FALSE,"Tabl. A2-2"}</definedName>
    <definedName name="AFECLKZE_2">{#N/A,#N/A,FALSE,"Tabl. A1";#N/A,#N/A,FALSE,"Tabl. A1 b";#N/A,#N/A,FALSE,"Tabl. A2";#N/A,#N/A,FALSE,"Tabl. A2-1";#N/A,#N/A,FALSE,"Tabl. A2-2"}</definedName>
    <definedName name="AFECLKZE_3">{#N/A,#N/A,FALSE,"Tabl. A1";#N/A,#N/A,FALSE,"Tabl. A1 b";#N/A,#N/A,FALSE,"Tabl. A2";#N/A,#N/A,FALSE,"Tabl. A2-1";#N/A,#N/A,FALSE,"Tabl. A2-2"}</definedName>
    <definedName name="AFECLKZE_4">{#N/A,#N/A,FALSE,"Tabl. A1";#N/A,#N/A,FALSE,"Tabl. A1 b";#N/A,#N/A,FALSE,"Tabl. A2";#N/A,#N/A,FALSE,"Tabl. A2-1";#N/A,#N/A,FALSE,"Tabl. A2-2"}</definedName>
    <definedName name="AFGGF">{#N/A,#N/A,FALSE,"Tabl. D1";#N/A,#N/A,FALSE,"Tabl. D1 b";#N/A,#N/A,FALSE,"Tabl. D2";#N/A,#N/A,FALSE,"Tabl. D2 b";#N/A,#N/A,FALSE,"Tabl. D3";#N/A,#N/A,FALSE,"Tabl. D4";#N/A,#N/A,FALSE,"Tabl. D5"}</definedName>
    <definedName name="AFGGF_1">{#N/A,#N/A,FALSE,"Tabl. D1";#N/A,#N/A,FALSE,"Tabl. D1 b";#N/A,#N/A,FALSE,"Tabl. D2";#N/A,#N/A,FALSE,"Tabl. D2 b";#N/A,#N/A,FALSE,"Tabl. D3";#N/A,#N/A,FALSE,"Tabl. D4";#N/A,#N/A,FALSE,"Tabl. D5"}</definedName>
    <definedName name="AFGGF_2">{#N/A,#N/A,FALSE,"Tabl. D1";#N/A,#N/A,FALSE,"Tabl. D1 b";#N/A,#N/A,FALSE,"Tabl. D2";#N/A,#N/A,FALSE,"Tabl. D2 b";#N/A,#N/A,FALSE,"Tabl. D3";#N/A,#N/A,FALSE,"Tabl. D4";#N/A,#N/A,FALSE,"Tabl. D5"}</definedName>
    <definedName name="AFGGF_3">{#N/A,#N/A,FALSE,"Tabl. D1";#N/A,#N/A,FALSE,"Tabl. D1 b";#N/A,#N/A,FALSE,"Tabl. D2";#N/A,#N/A,FALSE,"Tabl. D2 b";#N/A,#N/A,FALSE,"Tabl. D3";#N/A,#N/A,FALSE,"Tabl. D4";#N/A,#N/A,FALSE,"Tabl. D5"}</definedName>
    <definedName name="AFGGF_4">{#N/A,#N/A,FALSE,"Tabl. D1";#N/A,#N/A,FALSE,"Tabl. D1 b";#N/A,#N/A,FALSE,"Tabl. D2";#N/A,#N/A,FALSE,"Tabl. D2 b";#N/A,#N/A,FALSE,"Tabl. D3";#N/A,#N/A,FALSE,"Tabl. D4";#N/A,#N/A,FALSE,"Tabl. D5"}</definedName>
    <definedName name="africa">{#N/A,#N/A,FALSE,"CNS";#N/A,#N/A,FALSE,"Serz";#N/A,#N/A,FALSE,"Ace"}</definedName>
    <definedName name="africa_1">{#N/A,#N/A,FALSE,"CNS";#N/A,#N/A,FALSE,"Serz";#N/A,#N/A,FALSE,"Ace"}</definedName>
    <definedName name="africa_2">{#N/A,#N/A,FALSE,"CNS";#N/A,#N/A,FALSE,"Serz";#N/A,#N/A,FALSE,"Ace"}</definedName>
    <definedName name="africa_3">{#N/A,#N/A,FALSE,"CNS";#N/A,#N/A,FALSE,"Serz";#N/A,#N/A,FALSE,"Ace"}</definedName>
    <definedName name="africa_4">{#N/A,#N/A,FALSE,"CNS";#N/A,#N/A,FALSE,"Serz";#N/A,#N/A,FALSE,"Ace"}</definedName>
    <definedName name="africa_5">{#N/A,#N/A,FALSE,"CNS";#N/A,#N/A,FALSE,"Serz";#N/A,#N/A,FALSE,"Ace"}</definedName>
    <definedName name="AFSDF">{#N/A,#N/A,FALSE,"PMTABB";#N/A,#N/A,FALSE,"PMTABB"}</definedName>
    <definedName name="AFSDF_1">{#N/A,#N/A,FALSE,"PMTABB";#N/A,#N/A,FALSE,"PMTABB"}</definedName>
    <definedName name="AFSDF_1_1">{#N/A,#N/A,FALSE,"PMTABB";#N/A,#N/A,FALSE,"PMTABB"}</definedName>
    <definedName name="AFSDF_1_2">{#N/A,#N/A,FALSE,"PMTABB";#N/A,#N/A,FALSE,"PMTABB"}</definedName>
    <definedName name="AFSDF_1_3">{#N/A,#N/A,FALSE,"PMTABB";#N/A,#N/A,FALSE,"PMTABB"}</definedName>
    <definedName name="AFSDF_1_4">{#N/A,#N/A,FALSE,"PMTABB";#N/A,#N/A,FALSE,"PMTABB"}</definedName>
    <definedName name="AFSDF_2">{#N/A,#N/A,FALSE,"PMTABB";#N/A,#N/A,FALSE,"PMTABB"}</definedName>
    <definedName name="AFSDF_2_1">{#N/A,#N/A,FALSE,"PMTABB";#N/A,#N/A,FALSE,"PMTABB"}</definedName>
    <definedName name="AFSDF_2_2">{#N/A,#N/A,FALSE,"PMTABB";#N/A,#N/A,FALSE,"PMTABB"}</definedName>
    <definedName name="AFSDF_2_3">{#N/A,#N/A,FALSE,"PMTABB";#N/A,#N/A,FALSE,"PMTABB"}</definedName>
    <definedName name="AFSDF_2_4">{#N/A,#N/A,FALSE,"PMTABB";#N/A,#N/A,FALSE,"PMTABB"}</definedName>
    <definedName name="AFSDF_3">{#N/A,#N/A,FALSE,"PMTABB";#N/A,#N/A,FALSE,"PMTABB"}</definedName>
    <definedName name="AFSDF_3_1">{#N/A,#N/A,FALSE,"PMTABB";#N/A,#N/A,FALSE,"PMTABB"}</definedName>
    <definedName name="AFSDF_3_2">{#N/A,#N/A,FALSE,"PMTABB";#N/A,#N/A,FALSE,"PMTABB"}</definedName>
    <definedName name="AFSDF_3_3">{#N/A,#N/A,FALSE,"PMTABB";#N/A,#N/A,FALSE,"PMTABB"}</definedName>
    <definedName name="AFSDF_3_4">{#N/A,#N/A,FALSE,"PMTABB";#N/A,#N/A,FALSE,"PMTABB"}</definedName>
    <definedName name="AFSDF_4">{#N/A,#N/A,FALSE,"PMTABB";#N/A,#N/A,FALSE,"PMTABB"}</definedName>
    <definedName name="AFSDF_4_1">{#N/A,#N/A,FALSE,"PMTABB";#N/A,#N/A,FALSE,"PMTABB"}</definedName>
    <definedName name="AFSDF_4_2">{#N/A,#N/A,FALSE,"PMTABB";#N/A,#N/A,FALSE,"PMTABB"}</definedName>
    <definedName name="AFSDF_4_3">{#N/A,#N/A,FALSE,"PMTABB";#N/A,#N/A,FALSE,"PMTABB"}</definedName>
    <definedName name="AFSDF_4_4">{#N/A,#N/A,FALSE,"PMTABB";#N/A,#N/A,FALSE,"PMTABB"}</definedName>
    <definedName name="AFSDF_5">{#N/A,#N/A,FALSE,"PMTABB";#N/A,#N/A,FALSE,"PMTABB"}</definedName>
    <definedName name="afsdrt">{#N/A,#N/A,FALSE,"Aging Summary";#N/A,#N/A,FALSE,"Ratio Analysis";#N/A,#N/A,FALSE,"Test 120 Day Accts";#N/A,#N/A,FALSE,"Tickmarks"}</definedName>
    <definedName name="afsdrt_1">{#N/A,#N/A,FALSE,"Aging Summary";#N/A,#N/A,FALSE,"Ratio Analysis";#N/A,#N/A,FALSE,"Test 120 Day Accts";#N/A,#N/A,FALSE,"Tickmarks"}</definedName>
    <definedName name="afsdrt_2">{#N/A,#N/A,FALSE,"Aging Summary";#N/A,#N/A,FALSE,"Ratio Analysis";#N/A,#N/A,FALSE,"Test 120 Day Accts";#N/A,#N/A,FALSE,"Tickmarks"}</definedName>
    <definedName name="afsdrt_2_1">{#N/A,#N/A,FALSE,"Aging Summary";#N/A,#N/A,FALSE,"Ratio Analysis";#N/A,#N/A,FALSE,"Test 120 Day Accts";#N/A,#N/A,FALSE,"Tickmarks"}</definedName>
    <definedName name="afsdrt_2_2">{#N/A,#N/A,FALSE,"Aging Summary";#N/A,#N/A,FALSE,"Ratio Analysis";#N/A,#N/A,FALSE,"Test 120 Day Accts";#N/A,#N/A,FALSE,"Tickmarks"}</definedName>
    <definedName name="afsdrt_2_3">{#N/A,#N/A,FALSE,"Aging Summary";#N/A,#N/A,FALSE,"Ratio Analysis";#N/A,#N/A,FALSE,"Test 120 Day Accts";#N/A,#N/A,FALSE,"Tickmarks"}</definedName>
    <definedName name="afsdrt_2_4">{#N/A,#N/A,FALSE,"Aging Summary";#N/A,#N/A,FALSE,"Ratio Analysis";#N/A,#N/A,FALSE,"Test 120 Day Accts";#N/A,#N/A,FALSE,"Tickmarks"}</definedName>
    <definedName name="afsdrt_3">{#N/A,#N/A,FALSE,"Aging Summary";#N/A,#N/A,FALSE,"Ratio Analysis";#N/A,#N/A,FALSE,"Test 120 Day Accts";#N/A,#N/A,FALSE,"Tickmarks"}</definedName>
    <definedName name="afsdrt_3_1">{#N/A,#N/A,FALSE,"Aging Summary";#N/A,#N/A,FALSE,"Ratio Analysis";#N/A,#N/A,FALSE,"Test 120 Day Accts";#N/A,#N/A,FALSE,"Tickmarks"}</definedName>
    <definedName name="afsdrt_3_2">{#N/A,#N/A,FALSE,"Aging Summary";#N/A,#N/A,FALSE,"Ratio Analysis";#N/A,#N/A,FALSE,"Test 120 Day Accts";#N/A,#N/A,FALSE,"Tickmarks"}</definedName>
    <definedName name="afsdrt_3_3">{#N/A,#N/A,FALSE,"Aging Summary";#N/A,#N/A,FALSE,"Ratio Analysis";#N/A,#N/A,FALSE,"Test 120 Day Accts";#N/A,#N/A,FALSE,"Tickmarks"}</definedName>
    <definedName name="afsdrt_3_4">{#N/A,#N/A,FALSE,"Aging Summary";#N/A,#N/A,FALSE,"Ratio Analysis";#N/A,#N/A,FALSE,"Test 120 Day Accts";#N/A,#N/A,FALSE,"Tickmarks"}</definedName>
    <definedName name="afsdrt_4">{#N/A,#N/A,FALSE,"Aging Summary";#N/A,#N/A,FALSE,"Ratio Analysis";#N/A,#N/A,FALSE,"Test 120 Day Accts";#N/A,#N/A,FALSE,"Tickmarks"}</definedName>
    <definedName name="afsdrt_4_1">{#N/A,#N/A,FALSE,"Aging Summary";#N/A,#N/A,FALSE,"Ratio Analysis";#N/A,#N/A,FALSE,"Test 120 Day Accts";#N/A,#N/A,FALSE,"Tickmarks"}</definedName>
    <definedName name="afsdrt_4_2">{#N/A,#N/A,FALSE,"Aging Summary";#N/A,#N/A,FALSE,"Ratio Analysis";#N/A,#N/A,FALSE,"Test 120 Day Accts";#N/A,#N/A,FALSE,"Tickmarks"}</definedName>
    <definedName name="afsdrt_4_3">{#N/A,#N/A,FALSE,"Aging Summary";#N/A,#N/A,FALSE,"Ratio Analysis";#N/A,#N/A,FALSE,"Test 120 Day Accts";#N/A,#N/A,FALSE,"Tickmarks"}</definedName>
    <definedName name="afsdrt_4_4">{#N/A,#N/A,FALSE,"Aging Summary";#N/A,#N/A,FALSE,"Ratio Analysis";#N/A,#N/A,FALSE,"Test 120 Day Accts";#N/A,#N/A,FALSE,"Tickmarks"}</definedName>
    <definedName name="afsdrt_5">{#N/A,#N/A,FALSE,"Aging Summary";#N/A,#N/A,FALSE,"Ratio Analysis";#N/A,#N/A,FALSE,"Test 120 Day Accts";#N/A,#N/A,FALSE,"Tickmarks"}</definedName>
    <definedName name="afssdrt">{#N/A,#N/A,FALSE,"EW"}</definedName>
    <definedName name="afssdrt_1">{#N/A,#N/A,FALSE,"EW"}</definedName>
    <definedName name="afssdrt_2">{#N/A,#N/A,FALSE,"EW"}</definedName>
    <definedName name="afssdrt_2_1">{#N/A,#N/A,FALSE,"EW"}</definedName>
    <definedName name="afssdrt_2_2">{#N/A,#N/A,FALSE,"EW"}</definedName>
    <definedName name="afssdrt_2_3">{#N/A,#N/A,FALSE,"EW"}</definedName>
    <definedName name="afssdrt_2_4">{#N/A,#N/A,FALSE,"EW"}</definedName>
    <definedName name="afssdrt_3">{#N/A,#N/A,FALSE,"EW"}</definedName>
    <definedName name="afssdrt_3_1">{#N/A,#N/A,FALSE,"EW"}</definedName>
    <definedName name="afssdrt_3_2">{#N/A,#N/A,FALSE,"EW"}</definedName>
    <definedName name="afssdrt_3_3">{#N/A,#N/A,FALSE,"EW"}</definedName>
    <definedName name="afssdrt_3_4">{#N/A,#N/A,FALSE,"EW"}</definedName>
    <definedName name="afssdrt_4">{#N/A,#N/A,FALSE,"EW"}</definedName>
    <definedName name="afssdrt_4_1">{#N/A,#N/A,FALSE,"EW"}</definedName>
    <definedName name="afssdrt_4_2">{#N/A,#N/A,FALSE,"EW"}</definedName>
    <definedName name="afssdrt_4_3">{#N/A,#N/A,FALSE,"EW"}</definedName>
    <definedName name="afssdrt_4_4">{#N/A,#N/A,FALSE,"EW"}</definedName>
    <definedName name="afssdrt_5">{#N/A,#N/A,FALSE,"EW"}</definedName>
    <definedName name="After_Tax_SEC_PV_10">#REF!</definedName>
    <definedName name="agafdhsdh">{#N/A,#N/A,FALSE,"REPORT"}</definedName>
    <definedName name="agafdhsdh_1">{#N/A,#N/A,FALSE,"REPORT"}</definedName>
    <definedName name="agafdhsdh_2">{#N/A,#N/A,FALSE,"REPORT"}</definedName>
    <definedName name="agafdhsdh_3">{#N/A,#N/A,FALSE,"REPORT"}</definedName>
    <definedName name="agafdhsdh_4">{#N/A,#N/A,FALSE,"REPORT"}</definedName>
    <definedName name="agafdhsdh_5">{#N/A,#N/A,FALSE,"REPORT"}</definedName>
    <definedName name="agag">{"adj95mult",#N/A,FALSE,"COMPCO";"adj95est",#N/A,FALSE,"COMPCO"}</definedName>
    <definedName name="AGE">#REF!</definedName>
    <definedName name="AGELIST">#REF!</definedName>
    <definedName name="AGENTS">#REF!</definedName>
    <definedName name="aggregatetotal">#REF!</definedName>
    <definedName name="Aggressive">#REF!</definedName>
    <definedName name="Aging_dollars">#REF!</definedName>
    <definedName name="Aging_percent">#REF!,#REF!</definedName>
    <definedName name="agsgaghgfj">{#N/A,#N/A,FALSE,"Pharm";#N/A,#N/A,FALSE,"WWCM"}</definedName>
    <definedName name="agsgaghgfj_1">{#N/A,#N/A,FALSE,"Pharm";#N/A,#N/A,FALSE,"WWCM"}</definedName>
    <definedName name="agsgaghgfj_2">{#N/A,#N/A,FALSE,"Pharm";#N/A,#N/A,FALSE,"WWCM"}</definedName>
    <definedName name="agsgaghgfj_3">{#N/A,#N/A,FALSE,"Pharm";#N/A,#N/A,FALSE,"WWCM"}</definedName>
    <definedName name="agsgaghgfj_4">{#N/A,#N/A,FALSE,"Pharm";#N/A,#N/A,FALSE,"WWCM"}</definedName>
    <definedName name="agsgaghgfj_5">{#N/A,#N/A,FALSE,"Pharm";#N/A,#N/A,FALSE,"WWCM"}</definedName>
    <definedName name="AI">#REF!</definedName>
    <definedName name="air_compressor">#REF!</definedName>
    <definedName name="aj">{#N/A,#N/A,FALSE,"PMTABB";#N/A,#N/A,FALSE,"PMTABB"}</definedName>
    <definedName name="aj_1">{#N/A,#N/A,FALSE,"PMTABB";#N/A,#N/A,FALSE,"PMTABB"}</definedName>
    <definedName name="aj_2">{#N/A,#N/A,FALSE,"PMTABB";#N/A,#N/A,FALSE,"PMTABB"}</definedName>
    <definedName name="aj_3">{#N/A,#N/A,FALSE,"PMTABB";#N/A,#N/A,FALSE,"PMTABB"}</definedName>
    <definedName name="aj_4">{#N/A,#N/A,FALSE,"PMTABB";#N/A,#N/A,FALSE,"PMTABB"}</definedName>
    <definedName name="ajcon">#REF!</definedName>
    <definedName name="ajuste">#REF!</definedName>
    <definedName name="akjhad">#REF!</definedName>
    <definedName name="aklam">{#N/A,#N/A,FALSE,"COMP"}</definedName>
    <definedName name="ALBKUQUERQUEANNIE">#REF!</definedName>
    <definedName name="alex">{#N/A,#N/A,FALSE,"REPORT"}</definedName>
    <definedName name="alex_1">{#N/A,#N/A,FALSE,"REPORT"}</definedName>
    <definedName name="alex_2">{#N/A,#N/A,FALSE,"REPORT"}</definedName>
    <definedName name="alex_3">{#N/A,#N/A,FALSE,"REPORT"}</definedName>
    <definedName name="alex_4">{#N/A,#N/A,FALSE,"REPORT"}</definedName>
    <definedName name="alex_5">{#N/A,#N/A,FALSE,"REPORT"}</definedName>
    <definedName name="alexan">{#N/A,#N/A,FALSE,"REPORT"}</definedName>
    <definedName name="alexan_1">{#N/A,#N/A,FALSE,"REPORT"}</definedName>
    <definedName name="alexan_2">{#N/A,#N/A,FALSE,"REPORT"}</definedName>
    <definedName name="alexan_3">{#N/A,#N/A,FALSE,"REPORT"}</definedName>
    <definedName name="alexan_4">{#N/A,#N/A,FALSE,"REPORT"}</definedName>
    <definedName name="alexan_5">{#N/A,#N/A,FALSE,"REPORT"}</definedName>
    <definedName name="all">#REF!</definedName>
    <definedName name="ALL_PR">#REF!</definedName>
    <definedName name="ALLBH">#REF!</definedName>
    <definedName name="ALLBT">#REF!</definedName>
    <definedName name="ALLMC">#REF!</definedName>
    <definedName name="Allocated">#REF!</definedName>
    <definedName name="Allowance_to_Receivables">#REF!,#REF!</definedName>
    <definedName name="Allowance_to_Sales">#REF!,#REF!</definedName>
    <definedName name="allSegments">OFFSET(#REF!,0,0,COUNTA(#REF!),1)</definedName>
    <definedName name="allwyn">#REF!</definedName>
    <definedName name="ALLYEARS">#REF!</definedName>
    <definedName name="alokbsc">#REF!</definedName>
    <definedName name="alokcar">#REF!</definedName>
    <definedName name="alokded">#REF!</definedName>
    <definedName name="alokemi">#REF!</definedName>
    <definedName name="alokfuel">#REF!</definedName>
    <definedName name="alokhm">#REF!</definedName>
    <definedName name="alokins">#REF!</definedName>
    <definedName name="alokit">#REF!</definedName>
    <definedName name="aloklta">#REF!</definedName>
    <definedName name="alokm">{#N/A,#N/A,FALSE,"Cash Flows";#N/A,#N/A,FALSE,"Fixed Assets";#N/A,#N/A,FALSE,"Balance Sheet";#N/A,#N/A,FALSE,"P &amp; L"}</definedName>
    <definedName name="alokmed">#REF!</definedName>
    <definedName name="alokpd">#REF!</definedName>
    <definedName name="alokpf">#REF!</definedName>
    <definedName name="alokpt">#REF!</definedName>
    <definedName name="alokregn">#REF!</definedName>
    <definedName name="alokrent">#REF!</definedName>
    <definedName name="alokspla">#REF!</definedName>
    <definedName name="alpha">#REF!</definedName>
    <definedName name="ALPIC">#REF!</definedName>
    <definedName name="alpuuss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G_AS">#REF!</definedName>
    <definedName name="AMG_PA">#REF!</definedName>
    <definedName name="amit">{"Balance Sheet",#N/A,FALSE,"Balsheet";"Assets Schedule",#N/A,FALSE,"Balsheet";"Abstract",#N/A,FALSE,"Balsheet"}</definedName>
    <definedName name="amolbsc">#REF!</definedName>
    <definedName name="amolconv">#REF!</definedName>
    <definedName name="amolded">#REF!</definedName>
    <definedName name="amolhra">#REF!</definedName>
    <definedName name="amolit">#REF!</definedName>
    <definedName name="amolmed">#REF!</definedName>
    <definedName name="amolpaid">#REF!</definedName>
    <definedName name="amolpf">#REF!</definedName>
    <definedName name="amolpt">#REF!</definedName>
    <definedName name="amolspla">#REF!</definedName>
    <definedName name="Amortization">#REF!</definedName>
    <definedName name="Amount">#REF!</definedName>
    <definedName name="AMOUNT_PAYABLE___P.F.___LABOUR_WELFARE_FUND">#REF!</definedName>
    <definedName name="AMOUNT_PAYABLE_TO_CAN_FIN_HOMES">#REF!</definedName>
    <definedName name="AmountRange">#REF!</definedName>
    <definedName name="AMOUNTS_PAYABLE___H.D.F.C.">#REF!</definedName>
    <definedName name="AMOUNTS_PAYABLE___PROFESSION_TAX">#REF!</definedName>
    <definedName name="amsifsjul">#REF!</definedName>
    <definedName name="AMV____Net_PP_E">#REF!</definedName>
    <definedName name="AMV___1997E_EBITDAX">#REF!</definedName>
    <definedName name="AMV___1998E_EBITDAX">#REF!</definedName>
    <definedName name="AMV___After_Tax_SEC_10_Value">#REF!</definedName>
    <definedName name="AMV___LTM_EBITDAX">#REF!</definedName>
    <definedName name="AMV___Proved_BOE">#REF!</definedName>
    <definedName name="anal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ysi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ndbasic">#REF!</definedName>
    <definedName name="anandconv">#REF!</definedName>
    <definedName name="anandded">#REF!</definedName>
    <definedName name="anandhm">#REF!</definedName>
    <definedName name="anandhra">#REF!</definedName>
    <definedName name="anandint">#REF!</definedName>
    <definedName name="anandit">#REF!</definedName>
    <definedName name="anandlta">#REF!</definedName>
    <definedName name="anandmed">#REF!</definedName>
    <definedName name="anandpd">#REF!</definedName>
    <definedName name="anandpf">#REF!</definedName>
    <definedName name="anandpt">#REF!</definedName>
    <definedName name="anandrent">#REF!</definedName>
    <definedName name="anandspla">#REF!</definedName>
    <definedName name="ANB">#REF!</definedName>
    <definedName name="andy">{#N/A,#N/A,FALSE,"REPORT"}</definedName>
    <definedName name="andy_1">{#N/A,#N/A,FALSE,"REPORT"}</definedName>
    <definedName name="andy_2">{#N/A,#N/A,FALSE,"REPORT"}</definedName>
    <definedName name="andy_3">{#N/A,#N/A,FALSE,"REPORT"}</definedName>
    <definedName name="andy_4">{#N/A,#N/A,FALSE,"REPORT"}</definedName>
    <definedName name="andy_5">{#N/A,#N/A,FALSE,"REPORT"}</definedName>
    <definedName name="Anilofos">#REF!</definedName>
    <definedName name="anindyabsc">#REF!</definedName>
    <definedName name="anindyacar">#REF!</definedName>
    <definedName name="anindyaconv">#REF!</definedName>
    <definedName name="anindyaded">#REF!</definedName>
    <definedName name="anindyaemi">#REF!</definedName>
    <definedName name="anindyafuel">#REF!</definedName>
    <definedName name="anindyahra">#REF!</definedName>
    <definedName name="anindyains">#REF!</definedName>
    <definedName name="Anindyaint">#REF!</definedName>
    <definedName name="anindyait">#REF!</definedName>
    <definedName name="anindyamed">#REF!</definedName>
    <definedName name="anindyapd">#REF!</definedName>
    <definedName name="anindyapf">#REF!</definedName>
    <definedName name="anindyapt">#REF!</definedName>
    <definedName name="anindyaregn">#REF!</definedName>
    <definedName name="anindyarent">#REF!</definedName>
    <definedName name="anindyaspla">#REF!</definedName>
    <definedName name="ann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ex_11">#REF!</definedName>
    <definedName name="annex_12">#REF!</definedName>
    <definedName name="annex_13">#REF!</definedName>
    <definedName name="annex_14">#REF!</definedName>
    <definedName name="annex_5">#REF!</definedName>
    <definedName name="annex_5.1">#REF!</definedName>
    <definedName name="annex_6">#REF!</definedName>
    <definedName name="annex_7">#REF!</definedName>
    <definedName name="annex_8">#REF!</definedName>
    <definedName name="annex_9">#REF!</definedName>
    <definedName name="ANNEXIV">#REF!</definedName>
    <definedName name="ANNEXIVE">#REF!</definedName>
    <definedName name="ANNEXURE">#REF!</definedName>
    <definedName name="Annexure.A">#REF!</definedName>
    <definedName name="Annexure.B">#REF!</definedName>
    <definedName name="Annexure.C.dtl">#REF!</definedName>
    <definedName name="Annexure.C.sum">#REF!</definedName>
    <definedName name="Annexure.D">#REF!</definedName>
    <definedName name="Annexure.E">#REF!</definedName>
    <definedName name="Annexure.F">#REF!</definedName>
    <definedName name="Annexure.G">#REF!</definedName>
    <definedName name="Annexure.H">#REF!</definedName>
    <definedName name="Annexure.I">#REF!</definedName>
    <definedName name="Annexure.J">#REF!</definedName>
    <definedName name="Annexure.K">#REF!</definedName>
    <definedName name="Annexure.L">#REF!</definedName>
    <definedName name="Annexure.M">#REF!</definedName>
    <definedName name="Annexure.N">#REF!</definedName>
    <definedName name="Annexure.O">#REF!</definedName>
    <definedName name="annexure_1">#REF!</definedName>
    <definedName name="Annexure1">#REF!</definedName>
    <definedName name="Annexure2">#REF!</definedName>
    <definedName name="Annexure3">#REF!</definedName>
    <definedName name="Annexure4">#REF!</definedName>
    <definedName name="Annexure5">#REF!</definedName>
    <definedName name="Annexure6">#REF!</definedName>
    <definedName name="annexureChallanSrno">#REF!</definedName>
    <definedName name="annexureEducation">#REF!</definedName>
    <definedName name="ANNEXUREGGK">#REF!</definedName>
    <definedName name="annexureSurcharges">#REF!</definedName>
    <definedName name="annexureTDS">#REF!</definedName>
    <definedName name="annexureTotalDeposit">#REF!</definedName>
    <definedName name="Annual_profit_plan_year_x">#REF!</definedName>
    <definedName name="Annual_profit_plan_year_x1">#REF!</definedName>
    <definedName name="Annual_profit_plan_year_x2">#REF!</definedName>
    <definedName name="Annual_profit_plan_year_x3">#REF!</definedName>
    <definedName name="Annual_profit_plan_year_x4">#REF!</definedName>
    <definedName name="anscount">1</definedName>
    <definedName name="anz">#REF!</definedName>
    <definedName name="AOUTADESUNILC">#REF!</definedName>
    <definedName name="apa">{"AprJE to Everham",#N/A,FALSE,"JEto Jen"}</definedName>
    <definedName name="APACAugRev">#REF!</definedName>
    <definedName name="ApacB2B">#REF!</definedName>
    <definedName name="ApacCrDR">#REF!</definedName>
    <definedName name="APACDNCN">#REF!</definedName>
    <definedName name="ApacDRCR">#REF!</definedName>
    <definedName name="APACJulyRev">#REF!</definedName>
    <definedName name="APACQ1">#REF!</definedName>
    <definedName name="APACQ1Rev">#REF!</definedName>
    <definedName name="APACSepRev">#REF!</definedName>
    <definedName name="apcaugrev">#REF!</definedName>
    <definedName name="apcH1accural">#REF!</definedName>
    <definedName name="apcjulrev">#REF!</definedName>
    <definedName name="apcq1rev">#REF!</definedName>
    <definedName name="apcseprev">#REF!</definedName>
    <definedName name="apformat">#REF!</definedName>
    <definedName name="Application">#REF!</definedName>
    <definedName name="apps">#REF!</definedName>
    <definedName name="APR">#REF!</definedName>
    <definedName name="APRFA">#REF!</definedName>
    <definedName name="APRIL">#REF!</definedName>
    <definedName name="aprildata">#REF!</definedName>
    <definedName name="apriltrade">#REF!</definedName>
    <definedName name="AprPay">#REF!</definedName>
    <definedName name="Aprpayt">MIN(SUM(#REF!),SUM(#REF!))</definedName>
    <definedName name="APSUMMARY">#REF!</definedName>
    <definedName name="APTERAHUL">#REF!</definedName>
    <definedName name="AQP">#REF!</definedName>
    <definedName name="aqqq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r">{"Mgt",#N/A,FALSE,"Summary"}</definedName>
    <definedName name="ARA_Threshold">#REF!</definedName>
    <definedName name="ARE">#REF!</definedName>
    <definedName name="Area">#REF!</definedName>
    <definedName name="ARIAL">#REF!</definedName>
    <definedName name="ARNUMBER">#REF!</definedName>
    <definedName name="ARProf">#REF!</definedName>
    <definedName name="ARPU_Operator_1">#REF!</definedName>
    <definedName name="ARPU_Operator_2">#REF!</definedName>
    <definedName name="ARPU_Operator_3">#REF!</definedName>
    <definedName name="ARPU_Operator_4">#REF!</definedName>
    <definedName name="ARPU_Operator_5">#REF!</definedName>
    <definedName name="ARPU_Operator_6">#REF!</definedName>
    <definedName name="ARPU_Operator_7">#REF!</definedName>
    <definedName name="ARPU_Operator_8">#REF!</definedName>
    <definedName name="Arr_tot">#REF!</definedName>
    <definedName name="article">#REF!</definedName>
    <definedName name="ARTotCoy">#REF!</definedName>
    <definedName name="Arvind">#REF!</definedName>
    <definedName name="AS">{#N/A,#N/A,FALSE,"Pharm";#N/A,#N/A,FALSE,"WWCM"}</definedName>
    <definedName name="AS_1">{#N/A,#N/A,FALSE,"Pharm";#N/A,#N/A,FALSE,"WWCM"}</definedName>
    <definedName name="AS_2">{#N/A,#N/A,FALSE,"Pharm";#N/A,#N/A,FALSE,"WWCM"}</definedName>
    <definedName name="AS_3">{#N/A,#N/A,FALSE,"Pharm";#N/A,#N/A,FALSE,"WWCM"}</definedName>
    <definedName name="AS_4">{#N/A,#N/A,FALSE,"Pharm";#N/A,#N/A,FALSE,"WWCM"}</definedName>
    <definedName name="AS_5">{#N/A,#N/A,FALSE,"Pharm";#N/A,#N/A,FALSE,"WWCM"}</definedName>
    <definedName name="as_at_31stMarch11">#REF!</definedName>
    <definedName name="as_at_31stMarch12">#REF!</definedName>
    <definedName name="AS_PA">#REF!</definedName>
    <definedName name="AS2DocOpenMode">"AS2DocumentEdit"</definedName>
    <definedName name="AS2HasNoAutoHeaderFooter">" "</definedName>
    <definedName name="AS2LinkLS">#REF!</definedName>
    <definedName name="AS2NamedRange">5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sas">{#N/A,#N/A,FALSE,"Pharm";#N/A,#N/A,FALSE,"WWCM"}</definedName>
    <definedName name="asas_1">{#N/A,#N/A,FALSE,"Pharm";#N/A,#N/A,FALSE,"WWCM"}</definedName>
    <definedName name="asas_2">{#N/A,#N/A,FALSE,"Pharm";#N/A,#N/A,FALSE,"WWCM"}</definedName>
    <definedName name="asas_3">{#N/A,#N/A,FALSE,"Pharm";#N/A,#N/A,FALSE,"WWCM"}</definedName>
    <definedName name="asas_4">{#N/A,#N/A,FALSE,"Pharm";#N/A,#N/A,FALSE,"WWCM"}</definedName>
    <definedName name="asas_5">{#N/A,#N/A,FALSE,"Pharm";#N/A,#N/A,FALSE,"WWCM"}</definedName>
    <definedName name="ASCVBN">{#N/A,#N/A,FALSE,"Tabl. D1";#N/A,#N/A,FALSE,"Tabl. D1 b";#N/A,#N/A,FALSE,"Tabl. D2";#N/A,#N/A,FALSE,"Tabl. D2 b";#N/A,#N/A,FALSE,"Tabl. D3";#N/A,#N/A,FALSE,"Tabl. D4";#N/A,#N/A,FALSE,"Tabl. D5"}</definedName>
    <definedName name="ASCVBN_1">{#N/A,#N/A,FALSE,"Tabl. D1";#N/A,#N/A,FALSE,"Tabl. D1 b";#N/A,#N/A,FALSE,"Tabl. D2";#N/A,#N/A,FALSE,"Tabl. D2 b";#N/A,#N/A,FALSE,"Tabl. D3";#N/A,#N/A,FALSE,"Tabl. D4";#N/A,#N/A,FALSE,"Tabl. D5"}</definedName>
    <definedName name="ASCVBN_2">{#N/A,#N/A,FALSE,"Tabl. D1";#N/A,#N/A,FALSE,"Tabl. D1 b";#N/A,#N/A,FALSE,"Tabl. D2";#N/A,#N/A,FALSE,"Tabl. D2 b";#N/A,#N/A,FALSE,"Tabl. D3";#N/A,#N/A,FALSE,"Tabl. D4";#N/A,#N/A,FALSE,"Tabl. D5"}</definedName>
    <definedName name="ASCVBN_3">{#N/A,#N/A,FALSE,"Tabl. D1";#N/A,#N/A,FALSE,"Tabl. D1 b";#N/A,#N/A,FALSE,"Tabl. D2";#N/A,#N/A,FALSE,"Tabl. D2 b";#N/A,#N/A,FALSE,"Tabl. D3";#N/A,#N/A,FALSE,"Tabl. D4";#N/A,#N/A,FALSE,"Tabl. D5"}</definedName>
    <definedName name="ASCVBN_4">{#N/A,#N/A,FALSE,"Tabl. D1";#N/A,#N/A,FALSE,"Tabl. D1 b";#N/A,#N/A,FALSE,"Tabl. D2";#N/A,#N/A,FALSE,"Tabl. D2 b";#N/A,#N/A,FALSE,"Tabl. D3";#N/A,#N/A,FALSE,"Tabl. D4";#N/A,#N/A,FALSE,"Tabl. D5"}</definedName>
    <definedName name="asd">{#N/A,#N/A,FALSE,"Pharm";#N/A,#N/A,FALSE,"WWCM"}</definedName>
    <definedName name="asd_1">{#N/A,#N/A,FALSE,"Pharm";#N/A,#N/A,FALSE,"WWCM"}</definedName>
    <definedName name="asd_1_1">{#N/A,#N/A,FALSE,"Cash Flows";#N/A,#N/A,FALSE,"Fixed Assets";#N/A,#N/A,FALSE,"Balance Sheet";#N/A,#N/A,FALSE,"P &amp; L"}</definedName>
    <definedName name="asd_2">{#N/A,#N/A,FALSE,"Pharm";#N/A,#N/A,FALSE,"WWCM"}</definedName>
    <definedName name="asd_3">{#N/A,#N/A,FALSE,"Pharm";#N/A,#N/A,FALSE,"WWCM"}</definedName>
    <definedName name="asd_4">{#N/A,#N/A,FALSE,"Pharm";#N/A,#N/A,FALSE,"WWCM"}</definedName>
    <definedName name="asd_5">{#N/A,#N/A,FALSE,"Pharm";#N/A,#N/A,FALSE,"WWCM"}</definedName>
    <definedName name="asda">{#N/A,#N/A,FALSE,"Cash Flows";#N/A,#N/A,FALSE,"Fixed Assets";#N/A,#N/A,FALSE,"Balance Sheet";#N/A,#N/A,FALSE,"P &amp; L"}</definedName>
    <definedName name="asda_1">{#N/A,#N/A,FALSE,"Cash Flows";#N/A,#N/A,FALSE,"Fixed Assets";#N/A,#N/A,FALSE,"Balance Sheet";#N/A,#N/A,FALSE,"P &amp; L"}</definedName>
    <definedName name="asda_1_1">{#N/A,#N/A,FALSE,"Cash Flows";#N/A,#N/A,FALSE,"Fixed Assets";#N/A,#N/A,FALSE,"Balance Sheet";#N/A,#N/A,FALSE,"P &amp; L"}</definedName>
    <definedName name="asda_2">{#N/A,#N/A,FALSE,"Cash Flows";#N/A,#N/A,FALSE,"Fixed Assets";#N/A,#N/A,FALSE,"Balance Sheet";#N/A,#N/A,FALSE,"P &amp; L"}</definedName>
    <definedName name="asda_3">{#N/A,#N/A,FALSE,"Cash Flows";#N/A,#N/A,FALSE,"Fixed Assets";#N/A,#N/A,FALSE,"Balance Sheet";#N/A,#N/A,FALSE,"P &amp; L"}</definedName>
    <definedName name="asda1">{#N/A,#N/A,FALSE,"Cash Flows";#N/A,#N/A,FALSE,"Fixed Assets";#N/A,#N/A,FALSE,"Balance Sheet";#N/A,#N/A,FALSE,"P &amp; L"}</definedName>
    <definedName name="asda1_1">{#N/A,#N/A,FALSE,"Cash Flows";#N/A,#N/A,FALSE,"Fixed Assets";#N/A,#N/A,FALSE,"Balance Sheet";#N/A,#N/A,FALSE,"P &amp; L"}</definedName>
    <definedName name="asda2">{#N/A,#N/A,FALSE,"Cash Flows";#N/A,#N/A,FALSE,"Fixed Assets";#N/A,#N/A,FALSE,"Balance Sheet";#N/A,#N/A,FALSE,"P &amp; L"}</definedName>
    <definedName name="asda2_1">{#N/A,#N/A,FALSE,"Cash Flows";#N/A,#N/A,FALSE,"Fixed Assets";#N/A,#N/A,FALSE,"Balance Sheet";#N/A,#N/A,FALSE,"P &amp; L"}</definedName>
    <definedName name="asdaasd">#REF!</definedName>
    <definedName name="asdasd">#REF!</definedName>
    <definedName name="asdf">{#N/A,#N/A,FALSE,"PMTABB";#N/A,#N/A,FALSE,"PMTABB"}</definedName>
    <definedName name="asdf_1">{#N/A,#N/A,FALSE,"PMTABB";#N/A,#N/A,FALSE,"PMTABB"}</definedName>
    <definedName name="asdf_2">{#N/A,#N/A,FALSE,"PMTABB";#N/A,#N/A,FALSE,"PMTABB"}</definedName>
    <definedName name="asdf_2_1">{#N/A,#N/A,FALSE,"PMTABB";#N/A,#N/A,FALSE,"PMTABB"}</definedName>
    <definedName name="asdf_2_2">{#N/A,#N/A,FALSE,"PMTABB";#N/A,#N/A,FALSE,"PMTABB"}</definedName>
    <definedName name="asdf_2_3">{#N/A,#N/A,FALSE,"PMTABB";#N/A,#N/A,FALSE,"PMTABB"}</definedName>
    <definedName name="asdf_2_4">{#N/A,#N/A,FALSE,"PMTABB";#N/A,#N/A,FALSE,"PMTABB"}</definedName>
    <definedName name="asdf_3">{#N/A,#N/A,FALSE,"PMTABB";#N/A,#N/A,FALSE,"PMTABB"}</definedName>
    <definedName name="asdf_3_1">{#N/A,#N/A,FALSE,"PMTABB";#N/A,#N/A,FALSE,"PMTABB"}</definedName>
    <definedName name="asdf_3_2">{#N/A,#N/A,FALSE,"PMTABB";#N/A,#N/A,FALSE,"PMTABB"}</definedName>
    <definedName name="asdf_3_3">{#N/A,#N/A,FALSE,"PMTABB";#N/A,#N/A,FALSE,"PMTABB"}</definedName>
    <definedName name="asdf_3_4">{#N/A,#N/A,FALSE,"PMTABB";#N/A,#N/A,FALSE,"PMTABB"}</definedName>
    <definedName name="asdf_4">{#N/A,#N/A,FALSE,"PMTABB";#N/A,#N/A,FALSE,"PMTABB"}</definedName>
    <definedName name="asdf_4_1">{#N/A,#N/A,FALSE,"PMTABB";#N/A,#N/A,FALSE,"PMTABB"}</definedName>
    <definedName name="asdf_4_2">{#N/A,#N/A,FALSE,"PMTABB";#N/A,#N/A,FALSE,"PMTABB"}</definedName>
    <definedName name="asdf_4_3">{#N/A,#N/A,FALSE,"PMTABB";#N/A,#N/A,FALSE,"PMTABB"}</definedName>
    <definedName name="asdf_4_4">{#N/A,#N/A,FALSE,"PMTABB";#N/A,#N/A,FALSE,"PMTABB"}</definedName>
    <definedName name="asdf_5">{#N/A,#N/A,FALSE,"PMTABB";#N/A,#N/A,FALSE,"PMTABB"}</definedName>
    <definedName name="asdf1">{#N/A,#N/A,FALSE,"Cash Flows";#N/A,#N/A,FALSE,"Fixed Assets";#N/A,#N/A,FALSE,"Balance Sheet";#N/A,#N/A,FALSE,"P &amp; L"}</definedName>
    <definedName name="asdfdfdjf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2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">{#N/A,#N/A,FALSE,"Pharm";#N/A,#N/A,FALSE,"WWCM"}</definedName>
    <definedName name="asdfg_1">{#N/A,#N/A,FALSE,"Pharm";#N/A,#N/A,FALSE,"WWCM"}</definedName>
    <definedName name="asdfg_2">{#N/A,#N/A,FALSE,"Pharm";#N/A,#N/A,FALSE,"WWCM"}</definedName>
    <definedName name="asdfg_3">{#N/A,#N/A,FALSE,"Pharm";#N/A,#N/A,FALSE,"WWCM"}</definedName>
    <definedName name="asdfg_4">{#N/A,#N/A,FALSE,"Pharm";#N/A,#N/A,FALSE,"WWCM"}</definedName>
    <definedName name="asdfg_5">{#N/A,#N/A,FALSE,"Pharm";#N/A,#N/A,FALSE,"WWCM"}</definedName>
    <definedName name="asdgahdfhth">{#N/A,#N/A,FALSE,"REPORT"}</definedName>
    <definedName name="asdgahdfhth_1">{#N/A,#N/A,FALSE,"REPORT"}</definedName>
    <definedName name="asdgahdfhth_2">{#N/A,#N/A,FALSE,"REPORT"}</definedName>
    <definedName name="asdgahdfhth_3">{#N/A,#N/A,FALSE,"REPORT"}</definedName>
    <definedName name="asdgahdfhth_4">{#N/A,#N/A,FALSE,"REPORT"}</definedName>
    <definedName name="asdgahdfhth_5">{#N/A,#N/A,FALSE,"REPORT"}</definedName>
    <definedName name="asdgayery">{#N/A,#N/A,FALSE,"Pharm";#N/A,#N/A,FALSE,"WWCM"}</definedName>
    <definedName name="asdgayery_1">{#N/A,#N/A,FALSE,"Pharm";#N/A,#N/A,FALSE,"WWCM"}</definedName>
    <definedName name="asdgayery_2">{#N/A,#N/A,FALSE,"Pharm";#N/A,#N/A,FALSE,"WWCM"}</definedName>
    <definedName name="asdgayery_3">{#N/A,#N/A,FALSE,"Pharm";#N/A,#N/A,FALSE,"WWCM"}</definedName>
    <definedName name="asdgayery_4">{#N/A,#N/A,FALSE,"Pharm";#N/A,#N/A,FALSE,"WWCM"}</definedName>
    <definedName name="asdgayery_5">{#N/A,#N/A,FALSE,"Pharm";#N/A,#N/A,FALSE,"WWCM"}</definedName>
    <definedName name="asdgfdytyet">{#N/A,#N/A,FALSE,"REPORT"}</definedName>
    <definedName name="asdgfdytyet_1">{#N/A,#N/A,FALSE,"REPORT"}</definedName>
    <definedName name="asdgfdytyet_2">{#N/A,#N/A,FALSE,"REPORT"}</definedName>
    <definedName name="asdgfdytyet_3">{#N/A,#N/A,FALSE,"REPORT"}</definedName>
    <definedName name="asdgfdytyet_4">{#N/A,#N/A,FALSE,"REPORT"}</definedName>
    <definedName name="asdgfdytyet_5">{#N/A,#N/A,FALSE,"REPORT"}</definedName>
    <definedName name="asdgsgasg">{#N/A,#N/A,FALSE,"Income Branch ONLY"}</definedName>
    <definedName name="asdgtryukuio">{#N/A,#N/A,FALSE,"REPORT"}</definedName>
    <definedName name="asdgtryukuio_1">{#N/A,#N/A,FALSE,"REPORT"}</definedName>
    <definedName name="asdgtryukuio_2">{#N/A,#N/A,FALSE,"REPORT"}</definedName>
    <definedName name="asdgtryukuio_3">{#N/A,#N/A,FALSE,"REPORT"}</definedName>
    <definedName name="asdgtryukuio_4">{#N/A,#N/A,FALSE,"REPORT"}</definedName>
    <definedName name="asdgtryukuio_5">{#N/A,#N/A,FALSE,"REPORT"}</definedName>
    <definedName name="asdjasldkfj">{#N/A,#N/A,FALSE,"PMTABB";#N/A,#N/A,FALSE,"PMTABB"}</definedName>
    <definedName name="asdjasldkfj_1">{#N/A,#N/A,FALSE,"PMTABB";#N/A,#N/A,FALSE,"PMTABB"}</definedName>
    <definedName name="asdjasldkfj_1_1">{#N/A,#N/A,FALSE,"PMTABB";#N/A,#N/A,FALSE,"PMTABB"}</definedName>
    <definedName name="asdjasldkfj_1_2">{#N/A,#N/A,FALSE,"PMTABB";#N/A,#N/A,FALSE,"PMTABB"}</definedName>
    <definedName name="asdjasldkfj_1_3">{#N/A,#N/A,FALSE,"PMTABB";#N/A,#N/A,FALSE,"PMTABB"}</definedName>
    <definedName name="asdjasldkfj_1_4">{#N/A,#N/A,FALSE,"PMTABB";#N/A,#N/A,FALSE,"PMTABB"}</definedName>
    <definedName name="asdjasldkfj_2">{#N/A,#N/A,FALSE,"PMTABB";#N/A,#N/A,FALSE,"PMTABB"}</definedName>
    <definedName name="asdjasldkfj_2_1">{#N/A,#N/A,FALSE,"PMTABB";#N/A,#N/A,FALSE,"PMTABB"}</definedName>
    <definedName name="asdjasldkfj_2_2">{#N/A,#N/A,FALSE,"PMTABB";#N/A,#N/A,FALSE,"PMTABB"}</definedName>
    <definedName name="asdjasldkfj_2_3">{#N/A,#N/A,FALSE,"PMTABB";#N/A,#N/A,FALSE,"PMTABB"}</definedName>
    <definedName name="asdjasldkfj_2_4">{#N/A,#N/A,FALSE,"PMTABB";#N/A,#N/A,FALSE,"PMTABB"}</definedName>
    <definedName name="asdjasldkfj_3">{#N/A,#N/A,FALSE,"PMTABB";#N/A,#N/A,FALSE,"PMTABB"}</definedName>
    <definedName name="asdjasldkfj_3_1">{#N/A,#N/A,FALSE,"PMTABB";#N/A,#N/A,FALSE,"PMTABB"}</definedName>
    <definedName name="asdjasldkfj_3_2">{#N/A,#N/A,FALSE,"PMTABB";#N/A,#N/A,FALSE,"PMTABB"}</definedName>
    <definedName name="asdjasldkfj_3_3">{#N/A,#N/A,FALSE,"PMTABB";#N/A,#N/A,FALSE,"PMTABB"}</definedName>
    <definedName name="asdjasldkfj_3_4">{#N/A,#N/A,FALSE,"PMTABB";#N/A,#N/A,FALSE,"PMTABB"}</definedName>
    <definedName name="asdjasldkfj_4">{#N/A,#N/A,FALSE,"PMTABB";#N/A,#N/A,FALSE,"PMTABB"}</definedName>
    <definedName name="asdjasldkfj_4_1">{#N/A,#N/A,FALSE,"PMTABB";#N/A,#N/A,FALSE,"PMTABB"}</definedName>
    <definedName name="asdjasldkfj_4_2">{#N/A,#N/A,FALSE,"PMTABB";#N/A,#N/A,FALSE,"PMTABB"}</definedName>
    <definedName name="asdjasldkfj_4_3">{#N/A,#N/A,FALSE,"PMTABB";#N/A,#N/A,FALSE,"PMTABB"}</definedName>
    <definedName name="asdjasldkfj_4_4">{#N/A,#N/A,FALSE,"PMTABB";#N/A,#N/A,FALSE,"PMTABB"}</definedName>
    <definedName name="asdjasldkfj_5">{#N/A,#N/A,FALSE,"PMTABB";#N/A,#N/A,FALSE,"PMTABB"}</definedName>
    <definedName name="asdjgkl">{#N/A,#N/A,FALSE,"Pharm";#N/A,#N/A,FALSE,"WWCM"}</definedName>
    <definedName name="asdjgkl_1">{#N/A,#N/A,FALSE,"Pharm";#N/A,#N/A,FALSE,"WWCM"}</definedName>
    <definedName name="asdjgkl_2">{#N/A,#N/A,FALSE,"Pharm";#N/A,#N/A,FALSE,"WWCM"}</definedName>
    <definedName name="asdjgkl_3">{#N/A,#N/A,FALSE,"Pharm";#N/A,#N/A,FALSE,"WWCM"}</definedName>
    <definedName name="asdjgkl_4">{#N/A,#N/A,FALSE,"Pharm";#N/A,#N/A,FALSE,"WWCM"}</definedName>
    <definedName name="asdjgkl_5">{#N/A,#N/A,FALSE,"Pharm";#N/A,#N/A,FALSE,"WWCM"}</definedName>
    <definedName name="asdsar">{#N/A,#N/A,FALSE,"ISBL"}</definedName>
    <definedName name="asdsar_1">{#N/A,#N/A,FALSE,"ISBL"}</definedName>
    <definedName name="asdsar_2">{#N/A,#N/A,FALSE,"ISBL"}</definedName>
    <definedName name="asdsar_2_1">{#N/A,#N/A,FALSE,"ISBL"}</definedName>
    <definedName name="asdsar_2_2">{#N/A,#N/A,FALSE,"ISBL"}</definedName>
    <definedName name="asdsar_2_3">{#N/A,#N/A,FALSE,"ISBL"}</definedName>
    <definedName name="asdsar_2_4">{#N/A,#N/A,FALSE,"ISBL"}</definedName>
    <definedName name="asdsar_3">{#N/A,#N/A,FALSE,"ISBL"}</definedName>
    <definedName name="asdsar_3_1">{#N/A,#N/A,FALSE,"ISBL"}</definedName>
    <definedName name="asdsar_3_2">{#N/A,#N/A,FALSE,"ISBL"}</definedName>
    <definedName name="asdsar_3_3">{#N/A,#N/A,FALSE,"ISBL"}</definedName>
    <definedName name="asdsar_3_4">{#N/A,#N/A,FALSE,"ISBL"}</definedName>
    <definedName name="asdsar_4">{#N/A,#N/A,FALSE,"ISBL"}</definedName>
    <definedName name="asdsar_4_1">{#N/A,#N/A,FALSE,"ISBL"}</definedName>
    <definedName name="asdsar_4_2">{#N/A,#N/A,FALSE,"ISBL"}</definedName>
    <definedName name="asdsar_4_3">{#N/A,#N/A,FALSE,"ISBL"}</definedName>
    <definedName name="asdsar_4_4">{#N/A,#N/A,FALSE,"ISBL"}</definedName>
    <definedName name="asdsar_5">{#N/A,#N/A,FALSE,"ISBL"}</definedName>
    <definedName name="as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asd">{#N/A,#N/A,FALSE,"Income Branch ONLY"}</definedName>
    <definedName name="asffghujyki">{#N/A,#N/A,FALSE,"Pharm";#N/A,#N/A,FALSE,"WWCM"}</definedName>
    <definedName name="asffghujyki_1">{#N/A,#N/A,FALSE,"Pharm";#N/A,#N/A,FALSE,"WWCM"}</definedName>
    <definedName name="asffghujyki_2">{#N/A,#N/A,FALSE,"Pharm";#N/A,#N/A,FALSE,"WWCM"}</definedName>
    <definedName name="asffghujyki_3">{#N/A,#N/A,FALSE,"Pharm";#N/A,#N/A,FALSE,"WWCM"}</definedName>
    <definedName name="asffghujyki_4">{#N/A,#N/A,FALSE,"Pharm";#N/A,#N/A,FALSE,"WWCM"}</definedName>
    <definedName name="asffghujyki_5">{#N/A,#N/A,FALSE,"Pharm";#N/A,#N/A,FALSE,"WWCM"}</definedName>
    <definedName name="ashis">{#N/A,#N/A,FALSE,"8"}</definedName>
    <definedName name="ashish">{#N/A,#N/A,FALSE,"11"}</definedName>
    <definedName name="ASIA_PLASTIC_in_KUSD">#REF!</definedName>
    <definedName name="askka">#REF!</definedName>
    <definedName name="a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{#N/A,#N/A,FALSE,"1";#N/A,#N/A,FALSE,"2";#N/A,#N/A,FALSE,"16 - 17";#N/A,#N/A,FALSE,"18 - 19";#N/A,#N/A,FALSE,"26";#N/A,#N/A,FALSE,"27";#N/A,#N/A,FALSE,"28"}</definedName>
    <definedName name="ASSA_1">{#N/A,#N/A,FALSE,"1";#N/A,#N/A,FALSE,"2";#N/A,#N/A,FALSE,"16 - 17";#N/A,#N/A,FALSE,"18 - 19";#N/A,#N/A,FALSE,"26";#N/A,#N/A,FALSE,"27";#N/A,#N/A,FALSE,"28"}</definedName>
    <definedName name="ASSA_2">{#N/A,#N/A,FALSE,"1";#N/A,#N/A,FALSE,"2";#N/A,#N/A,FALSE,"16 - 17";#N/A,#N/A,FALSE,"18 - 19";#N/A,#N/A,FALSE,"26";#N/A,#N/A,FALSE,"27";#N/A,#N/A,FALSE,"28"}</definedName>
    <definedName name="ASSA_3">{#N/A,#N/A,FALSE,"1";#N/A,#N/A,FALSE,"2";#N/A,#N/A,FALSE,"16 - 17";#N/A,#N/A,FALSE,"18 - 19";#N/A,#N/A,FALSE,"26";#N/A,#N/A,FALSE,"27";#N/A,#N/A,FALSE,"28"}</definedName>
    <definedName name="ASSA_4">{#N/A,#N/A,FALSE,"1";#N/A,#N/A,FALSE,"2";#N/A,#N/A,FALSE,"16 - 17";#N/A,#N/A,FALSE,"18 - 19";#N/A,#N/A,FALSE,"26";#N/A,#N/A,FALSE,"27";#N/A,#N/A,FALSE,"28"}</definedName>
    <definedName name="ASSA_5">{#N/A,#N/A,FALSE,"1";#N/A,#N/A,FALSE,"2";#N/A,#N/A,FALSE,"16 - 17";#N/A,#N/A,FALSE,"18 - 19";#N/A,#N/A,FALSE,"26";#N/A,#N/A,FALSE,"27";#N/A,#N/A,FALSE,"28"}</definedName>
    <definedName name="Asset_turn">#REF!</definedName>
    <definedName name="Assets_less_liabilities">#REF!</definedName>
    <definedName name="assets98">#REF!</definedName>
    <definedName name="assets99">#REF!</definedName>
    <definedName name="AssetsFinal">{#N/A,#N/A,FALSE,"Aging Summary";#N/A,#N/A,FALSE,"Ratio Analysis";#N/A,#N/A,FALSE,"Test 120 Day Accts";#N/A,#N/A,FALSE,"Tickmarks"}</definedName>
    <definedName name="asss">#REF!</definedName>
    <definedName name="AsstYr">#REF!</definedName>
    <definedName name="AST_TOTAL">#REF!</definedName>
    <definedName name="ati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KY090">#REF!</definedName>
    <definedName name="ATOLEUP">#REF!</definedName>
    <definedName name="AUDIT">#REF!</definedName>
    <definedName name="AUDIT_FEES">#REF!</definedName>
    <definedName name="AUDIT_FEES_PAYABLE">#REF!</definedName>
    <definedName name="Audit0304">#REF!</definedName>
    <definedName name="Auditorbs">#REF!</definedName>
    <definedName name="Auditorcf">#REF!</definedName>
    <definedName name="AUDITORS_OUT_OF_POCKET_EXPENSES">#REF!</definedName>
    <definedName name="AUDITORS_REMUNERATION">#REF!</definedName>
    <definedName name="Auditorscashf">#REF!</definedName>
    <definedName name="Auditorssch">#REF!</definedName>
    <definedName name="AUG">#REF!</definedName>
    <definedName name="augbang">#REF!</definedName>
    <definedName name="augdata">#REF!</definedName>
    <definedName name="AUGFA">#REF!</definedName>
    <definedName name="AugPay">#REF!</definedName>
    <definedName name="AUGTB">#REF!</definedName>
    <definedName name="augtrade">#REF!</definedName>
    <definedName name="AUGUST">#REF!</definedName>
    <definedName name="Aus_to_Aus">#REF!</definedName>
    <definedName name="AUST">#REF!</definedName>
    <definedName name="Austrailian_Dollars">#REF!</definedName>
    <definedName name="AUSTRALIA">#REF!</definedName>
    <definedName name="AUSTRIA">#REF!</definedName>
    <definedName name="Author">#REF!</definedName>
    <definedName name="AUTOADMIN">#REF!</definedName>
    <definedName name="AUTOCNS">#REF!</definedName>
    <definedName name="AUTOCON">#REF!</definedName>
    <definedName name="AUTOEDU">#REF!</definedName>
    <definedName name="AUTOFIN">#REF!</definedName>
    <definedName name="AUTOIT">#REF!</definedName>
    <definedName name="AUTOMKT">#REF!</definedName>
    <definedName name="AUTOPER">#REF!</definedName>
    <definedName name="AUTOSAL">#REF!</definedName>
    <definedName name="AUTOSSP">#REF!</definedName>
    <definedName name="AUTOTCS">#REF!</definedName>
    <definedName name="Aux_Data">#REF!</definedName>
    <definedName name="AverageRate">#REF!</definedName>
    <definedName name="avg_cost">#REF!</definedName>
    <definedName name="avg_jan">#REF!</definedName>
    <definedName name="AVGCAP">#REF!</definedName>
    <definedName name="avgint">#REF!</definedName>
    <definedName name="AvgSellPr">#REF!,#REF!,#REF!,#REF!,#REF!,#REF!,#REF!,#REF!</definedName>
    <definedName name="AVII">#REF!</definedName>
    <definedName name="AVIII">#REF!</definedName>
    <definedName name="aw4wb">{#N/A,#N/A,FALSE,"ISBL"}</definedName>
    <definedName name="aw4wb_1">{#N/A,#N/A,FALSE,"ISBL"}</definedName>
    <definedName name="aw4wb_2">{#N/A,#N/A,FALSE,"ISBL"}</definedName>
    <definedName name="aw4wb_2_1">{#N/A,#N/A,FALSE,"ISBL"}</definedName>
    <definedName name="aw4wb_2_2">{#N/A,#N/A,FALSE,"ISBL"}</definedName>
    <definedName name="aw4wb_2_3">{#N/A,#N/A,FALSE,"ISBL"}</definedName>
    <definedName name="aw4wb_2_4">{#N/A,#N/A,FALSE,"ISBL"}</definedName>
    <definedName name="aw4wb_3">{#N/A,#N/A,FALSE,"ISBL"}</definedName>
    <definedName name="aw4wb_3_1">{#N/A,#N/A,FALSE,"ISBL"}</definedName>
    <definedName name="aw4wb_3_2">{#N/A,#N/A,FALSE,"ISBL"}</definedName>
    <definedName name="aw4wb_3_3">{#N/A,#N/A,FALSE,"ISBL"}</definedName>
    <definedName name="aw4wb_3_4">{#N/A,#N/A,FALSE,"ISBL"}</definedName>
    <definedName name="aw4wb_4">{#N/A,#N/A,FALSE,"ISBL"}</definedName>
    <definedName name="aw4wb_4_1">{#N/A,#N/A,FALSE,"ISBL"}</definedName>
    <definedName name="aw4wb_4_2">{#N/A,#N/A,FALSE,"ISBL"}</definedName>
    <definedName name="aw4wb_4_3">{#N/A,#N/A,FALSE,"ISBL"}</definedName>
    <definedName name="aw4wb_4_4">{#N/A,#N/A,FALSE,"ISBL"}</definedName>
    <definedName name="aw4wb_5">{#N/A,#N/A,FALSE,"ISBL"}</definedName>
    <definedName name="awe">{#N/A,#N/A,FALSE,"PGW"}</definedName>
    <definedName name="awe_1">{#N/A,#N/A,FALSE,"PGW"}</definedName>
    <definedName name="awe_2">{#N/A,#N/A,FALSE,"PGW"}</definedName>
    <definedName name="awe_2_1">{#N/A,#N/A,FALSE,"PGW"}</definedName>
    <definedName name="awe_2_2">{#N/A,#N/A,FALSE,"PGW"}</definedName>
    <definedName name="awe_2_3">{#N/A,#N/A,FALSE,"PGW"}</definedName>
    <definedName name="awe_2_4">{#N/A,#N/A,FALSE,"PGW"}</definedName>
    <definedName name="awe_3">{#N/A,#N/A,FALSE,"PGW"}</definedName>
    <definedName name="awe_3_1">{#N/A,#N/A,FALSE,"PGW"}</definedName>
    <definedName name="awe_3_2">{#N/A,#N/A,FALSE,"PGW"}</definedName>
    <definedName name="awe_3_3">{#N/A,#N/A,FALSE,"PGW"}</definedName>
    <definedName name="awe_3_4">{#N/A,#N/A,FALSE,"PGW"}</definedName>
    <definedName name="awe_4">{#N/A,#N/A,FALSE,"PGW"}</definedName>
    <definedName name="awe_4_1">{#N/A,#N/A,FALSE,"PGW"}</definedName>
    <definedName name="awe_4_2">{#N/A,#N/A,FALSE,"PGW"}</definedName>
    <definedName name="awe_4_3">{#N/A,#N/A,FALSE,"PGW"}</definedName>
    <definedName name="awe_4_4">{#N/A,#N/A,FALSE,"PGW"}</definedName>
    <definedName name="awe_5">{#N/A,#N/A,FALSE,"PGW"}</definedName>
    <definedName name="aweaw3">{#N/A,#N/A,FALSE,"OSBL"}</definedName>
    <definedName name="aweaw3_1">{#N/A,#N/A,FALSE,"OSBL"}</definedName>
    <definedName name="aweaw3_2">{#N/A,#N/A,FALSE,"OSBL"}</definedName>
    <definedName name="aweaw3_2_1">{#N/A,#N/A,FALSE,"OSBL"}</definedName>
    <definedName name="aweaw3_2_2">{#N/A,#N/A,FALSE,"OSBL"}</definedName>
    <definedName name="aweaw3_2_3">{#N/A,#N/A,FALSE,"OSBL"}</definedName>
    <definedName name="aweaw3_2_4">{#N/A,#N/A,FALSE,"OSBL"}</definedName>
    <definedName name="aweaw3_3">{#N/A,#N/A,FALSE,"OSBL"}</definedName>
    <definedName name="aweaw3_3_1">{#N/A,#N/A,FALSE,"OSBL"}</definedName>
    <definedName name="aweaw3_3_2">{#N/A,#N/A,FALSE,"OSBL"}</definedName>
    <definedName name="aweaw3_3_3">{#N/A,#N/A,FALSE,"OSBL"}</definedName>
    <definedName name="aweaw3_3_4">{#N/A,#N/A,FALSE,"OSBL"}</definedName>
    <definedName name="aweaw3_4">{#N/A,#N/A,FALSE,"OSBL"}</definedName>
    <definedName name="aweaw3_4_1">{#N/A,#N/A,FALSE,"OSBL"}</definedName>
    <definedName name="aweaw3_4_2">{#N/A,#N/A,FALSE,"OSBL"}</definedName>
    <definedName name="aweaw3_4_3">{#N/A,#N/A,FALSE,"OSBL"}</definedName>
    <definedName name="aweaw3_4_4">{#N/A,#N/A,FALSE,"OSBL"}</definedName>
    <definedName name="aweaw3_5">{#N/A,#N/A,FALSE,"OSBL"}</definedName>
    <definedName name="AX">{#N/A,#N/A,FALSE,"Pharm";#N/A,#N/A,FALSE,"WWCM"}</definedName>
    <definedName name="AX_1">{#N/A,#N/A,FALSE,"Pharm";#N/A,#N/A,FALSE,"WWCM"}</definedName>
    <definedName name="AX_2">{#N/A,#N/A,FALSE,"Pharm";#N/A,#N/A,FALSE,"WWCM"}</definedName>
    <definedName name="AX_3">{#N/A,#N/A,FALSE,"Pharm";#N/A,#N/A,FALSE,"WWCM"}</definedName>
    <definedName name="AX_4">{#N/A,#N/A,FALSE,"Pharm";#N/A,#N/A,FALSE,"WWCM"}</definedName>
    <definedName name="AX_5">{#N/A,#N/A,FALSE,"Pharm";#N/A,#N/A,FALSE,"WWCM"}</definedName>
    <definedName name="AXCHUT">{#N/A,#N/A,FALSE,"Tabl. H1";#N/A,#N/A,FALSE,"Tabl. H2"}</definedName>
    <definedName name="AXCHUT_1">{#N/A,#N/A,FALSE,"Tabl. H1";#N/A,#N/A,FALSE,"Tabl. H2"}</definedName>
    <definedName name="AXCHUT_2">{#N/A,#N/A,FALSE,"Tabl. H1";#N/A,#N/A,FALSE,"Tabl. H2"}</definedName>
    <definedName name="AXCHUT_3">{#N/A,#N/A,FALSE,"Tabl. H1";#N/A,#N/A,FALSE,"Tabl. H2"}</definedName>
    <definedName name="AXCHUT_4">{#N/A,#N/A,FALSE,"Tabl. H1";#N/A,#N/A,FALSE,"Tabl. H2"}</definedName>
    <definedName name="axedoc">#REF!</definedName>
    <definedName name="AY">#REF!</definedName>
    <definedName name="ayman">{#N/A,#N/A,FALSE,"1";#N/A,#N/A,FALSE,"2";#N/A,#N/A,FALSE,"16 - 17";#N/A,#N/A,FALSE,"18 - 19";#N/A,#N/A,FALSE,"26";#N/A,#N/A,FALSE,"27";#N/A,#N/A,FALSE,"28"}</definedName>
    <definedName name="ayman_1">{#N/A,#N/A,FALSE,"1";#N/A,#N/A,FALSE,"2";#N/A,#N/A,FALSE,"16 - 17";#N/A,#N/A,FALSE,"18 - 19";#N/A,#N/A,FALSE,"26";#N/A,#N/A,FALSE,"27";#N/A,#N/A,FALSE,"28"}</definedName>
    <definedName name="ayman_2">{#N/A,#N/A,FALSE,"1";#N/A,#N/A,FALSE,"2";#N/A,#N/A,FALSE,"16 - 17";#N/A,#N/A,FALSE,"18 - 19";#N/A,#N/A,FALSE,"26";#N/A,#N/A,FALSE,"27";#N/A,#N/A,FALSE,"28"}</definedName>
    <definedName name="ayman_3">{#N/A,#N/A,FALSE,"1";#N/A,#N/A,FALSE,"2";#N/A,#N/A,FALSE,"16 - 17";#N/A,#N/A,FALSE,"18 - 19";#N/A,#N/A,FALSE,"26";#N/A,#N/A,FALSE,"27";#N/A,#N/A,FALSE,"28"}</definedName>
    <definedName name="ayman_4">{#N/A,#N/A,FALSE,"1";#N/A,#N/A,FALSE,"2";#N/A,#N/A,FALSE,"16 - 17";#N/A,#N/A,FALSE,"18 - 19";#N/A,#N/A,FALSE,"26";#N/A,#N/A,FALSE,"27";#N/A,#N/A,FALSE,"28"}</definedName>
    <definedName name="ayman_5">{#N/A,#N/A,FALSE,"1";#N/A,#N/A,FALSE,"2";#N/A,#N/A,FALSE,"16 - 17";#N/A,#N/A,FALSE,"18 - 19";#N/A,#N/A,FALSE,"26";#N/A,#N/A,FALSE,"27";#N/A,#N/A,FALSE,"28"}</definedName>
    <definedName name="ayman1">{#N/A,#N/A,FALSE,"Pharm";#N/A,#N/A,FALSE,"WWCM"}</definedName>
    <definedName name="ayman1_1">{#N/A,#N/A,FALSE,"Pharm";#N/A,#N/A,FALSE,"WWCM"}</definedName>
    <definedName name="ayman1_2">{#N/A,#N/A,FALSE,"Pharm";#N/A,#N/A,FALSE,"WWCM"}</definedName>
    <definedName name="ayman1_3">{#N/A,#N/A,FALSE,"Pharm";#N/A,#N/A,FALSE,"WWCM"}</definedName>
    <definedName name="ayman1_4">{#N/A,#N/A,FALSE,"Pharm";#N/A,#N/A,FALSE,"WWCM"}</definedName>
    <definedName name="ayman1_5">{#N/A,#N/A,FALSE,"Pharm";#N/A,#N/A,FALSE,"WWCM"}</definedName>
    <definedName name="ayman2">{#N/A,#N/A,FALSE,"Pharm";#N/A,#N/A,FALSE,"WWCM"}</definedName>
    <definedName name="ayman2_1">{#N/A,#N/A,FALSE,"Pharm";#N/A,#N/A,FALSE,"WWCM"}</definedName>
    <definedName name="ayman2_2">{#N/A,#N/A,FALSE,"Pharm";#N/A,#N/A,FALSE,"WWCM"}</definedName>
    <definedName name="ayman2_3">{#N/A,#N/A,FALSE,"Pharm";#N/A,#N/A,FALSE,"WWCM"}</definedName>
    <definedName name="ayman2_4">{#N/A,#N/A,FALSE,"Pharm";#N/A,#N/A,FALSE,"WWCM"}</definedName>
    <definedName name="ayman2_5">{#N/A,#N/A,FALSE,"Pharm";#N/A,#N/A,FALSE,"WWCM"}</definedName>
    <definedName name="ayman7">{#N/A,#N/A,FALSE,"REPORT"}</definedName>
    <definedName name="ayman7_1">{#N/A,#N/A,FALSE,"REPORT"}</definedName>
    <definedName name="ayman7_2">{#N/A,#N/A,FALSE,"REPORT"}</definedName>
    <definedName name="ayman7_3">{#N/A,#N/A,FALSE,"REPORT"}</definedName>
    <definedName name="ayman7_4">{#N/A,#N/A,FALSE,"REPORT"}</definedName>
    <definedName name="ayman7_5">{#N/A,#N/A,FALSE,"REPORT"}</definedName>
    <definedName name="ayman8">{#N/A,#N/A,FALSE,"REPORT"}</definedName>
    <definedName name="ayman8_1">{#N/A,#N/A,FALSE,"REPORT"}</definedName>
    <definedName name="ayman8_2">{#N/A,#N/A,FALSE,"REPORT"}</definedName>
    <definedName name="ayman8_3">{#N/A,#N/A,FALSE,"REPORT"}</definedName>
    <definedName name="ayman8_4">{#N/A,#N/A,FALSE,"REPORT"}</definedName>
    <definedName name="ayman8_5">{#N/A,#N/A,FALSE,"REPORT"}</definedName>
    <definedName name="az">{#N/A,#N/A,FALSE,"Pharm";#N/A,#N/A,FALSE,"WWCM"}</definedName>
    <definedName name="az_1">{#N/A,#N/A,FALSE,"Pharm";#N/A,#N/A,FALSE,"WWCM"}</definedName>
    <definedName name="az_2">{#N/A,#N/A,FALSE,"Pharm";#N/A,#N/A,FALSE,"WWCM"}</definedName>
    <definedName name="az_3">{#N/A,#N/A,FALSE,"Pharm";#N/A,#N/A,FALSE,"WWCM"}</definedName>
    <definedName name="az_4">{#N/A,#N/A,FALSE,"Pharm";#N/A,#N/A,FALSE,"WWCM"}</definedName>
    <definedName name="az_5">{#N/A,#N/A,FALSE,"Pharm";#N/A,#N/A,FALSE,"WWCM"}</definedName>
    <definedName name="azeazr">{#N/A,#N/A,FALSE,"Sales Graph";#N/A,#N/A,FALSE,"BUC Graph";#N/A,#N/A,FALSE,"P&amp;L - YTD"}</definedName>
    <definedName name="azeazr_1">{#N/A,#N/A,FALSE,"Sales Graph";#N/A,#N/A,FALSE,"BUC Graph";#N/A,#N/A,FALSE,"P&amp;L - YTD"}</definedName>
    <definedName name="azeazr_2">{#N/A,#N/A,FALSE,"Sales Graph";#N/A,#N/A,FALSE,"BUC Graph";#N/A,#N/A,FALSE,"P&amp;L - YTD"}</definedName>
    <definedName name="azeazr_3">{#N/A,#N/A,FALSE,"Sales Graph";#N/A,#N/A,FALSE,"BUC Graph";#N/A,#N/A,FALSE,"P&amp;L - YTD"}</definedName>
    <definedName name="azeazr_4">{#N/A,#N/A,FALSE,"Sales Graph";#N/A,#N/A,FALSE,"BUC Graph";#N/A,#N/A,FALSE,"P&amp;L - YTD"}</definedName>
    <definedName name="azeazr_5">{#N/A,#N/A,FALSE,"Sales Graph";#N/A,#N/A,FALSE,"BUC Graph";#N/A,#N/A,FALSE,"P&amp;L - YTD"}</definedName>
    <definedName name="azerety">{#N/A,#N/A,FALSE,"Pharm";#N/A,#N/A,FALSE,"WWCM"}</definedName>
    <definedName name="azerety_1">{#N/A,#N/A,FALSE,"Pharm";#N/A,#N/A,FALSE,"WWCM"}</definedName>
    <definedName name="azerety_2">{#N/A,#N/A,FALSE,"Pharm";#N/A,#N/A,FALSE,"WWCM"}</definedName>
    <definedName name="azerety_3">{#N/A,#N/A,FALSE,"Pharm";#N/A,#N/A,FALSE,"WWCM"}</definedName>
    <definedName name="azerety_4">{#N/A,#N/A,FALSE,"Pharm";#N/A,#N/A,FALSE,"WWCM"}</definedName>
    <definedName name="azerety_5">{#N/A,#N/A,FALSE,"Pharm";#N/A,#N/A,FALSE,"WWCM"}</definedName>
    <definedName name="AZXC">{#N/A,#N/A,FALSE,"Tabl. H1";#N/A,#N/A,FALSE,"Tabl. H2"}</definedName>
    <definedName name="AZXC_1">{#N/A,#N/A,FALSE,"Tabl. H1";#N/A,#N/A,FALSE,"Tabl. H2"}</definedName>
    <definedName name="AZXC_2">{#N/A,#N/A,FALSE,"Tabl. H1";#N/A,#N/A,FALSE,"Tabl. H2"}</definedName>
    <definedName name="AZXC_3">{#N/A,#N/A,FALSE,"Tabl. H1";#N/A,#N/A,FALSE,"Tabl. H2"}</definedName>
    <definedName name="AZXC_4">{#N/A,#N/A,FALSE,"Tabl. H1";#N/A,#N/A,FALSE,"Tabl. H2"}</definedName>
    <definedName name="B">#REF!</definedName>
    <definedName name="b_1">{#N/A,#N/A,FALSE,"PMTABB";#N/A,#N/A,FALSE,"PMTABB"}</definedName>
    <definedName name="b_1_1">{#N/A,#N/A,FALSE,"PMTABB";#N/A,#N/A,FALSE,"PMTABB"}</definedName>
    <definedName name="b_1_2">{#N/A,#N/A,FALSE,"PMTABB";#N/A,#N/A,FALSE,"PMTABB"}</definedName>
    <definedName name="b_1_3">{#N/A,#N/A,FALSE,"PMTABB";#N/A,#N/A,FALSE,"PMTABB"}</definedName>
    <definedName name="b_1_4">{#N/A,#N/A,FALSE,"PMTABB";#N/A,#N/A,FALSE,"PMTABB"}</definedName>
    <definedName name="b_2">{#N/A,#N/A,FALSE,"PMTABB";#N/A,#N/A,FALSE,"PMTABB"}</definedName>
    <definedName name="b_2_1">{#N/A,#N/A,FALSE,"PMTABB";#N/A,#N/A,FALSE,"PMTABB"}</definedName>
    <definedName name="b_2_2">{#N/A,#N/A,FALSE,"PMTABB";#N/A,#N/A,FALSE,"PMTABB"}</definedName>
    <definedName name="b_2_3">{#N/A,#N/A,FALSE,"PMTABB";#N/A,#N/A,FALSE,"PMTABB"}</definedName>
    <definedName name="b_2_4">{#N/A,#N/A,FALSE,"PMTABB";#N/A,#N/A,FALSE,"PMTABB"}</definedName>
    <definedName name="b_3">{#N/A,#N/A,FALSE,"PMTABB";#N/A,#N/A,FALSE,"PMTABB"}</definedName>
    <definedName name="b_3_1">{#N/A,#N/A,FALSE,"PMTABB";#N/A,#N/A,FALSE,"PMTABB"}</definedName>
    <definedName name="b_3_2">{#N/A,#N/A,FALSE,"PMTABB";#N/A,#N/A,FALSE,"PMTABB"}</definedName>
    <definedName name="b_3_3">{#N/A,#N/A,FALSE,"PMTABB";#N/A,#N/A,FALSE,"PMTABB"}</definedName>
    <definedName name="b_3_4">{#N/A,#N/A,FALSE,"PMTABB";#N/A,#N/A,FALSE,"PMTABB"}</definedName>
    <definedName name="b_4">{#N/A,#N/A,FALSE,"PMTABB";#N/A,#N/A,FALSE,"PMTABB"}</definedName>
    <definedName name="b_4_1">{#N/A,#N/A,FALSE,"PMTABB";#N/A,#N/A,FALSE,"PMTABB"}</definedName>
    <definedName name="b_4_2">{#N/A,#N/A,FALSE,"PMTABB";#N/A,#N/A,FALSE,"PMTABB"}</definedName>
    <definedName name="b_4_3">{#N/A,#N/A,FALSE,"PMTABB";#N/A,#N/A,FALSE,"PMTABB"}</definedName>
    <definedName name="b_4_4">{#N/A,#N/A,FALSE,"PMTABB";#N/A,#N/A,FALSE,"PMTABB"}</definedName>
    <definedName name="b_cat">#REF!</definedName>
    <definedName name="b_catg">#REF!</definedName>
    <definedName name="B_PROFIT">#REF!</definedName>
    <definedName name="B_PROFIT_2">#REF!</definedName>
    <definedName name="B_S">#REF!</definedName>
    <definedName name="B_S_GROUPING">#REF!</definedName>
    <definedName name="B_S_Print_A">#REF!</definedName>
    <definedName name="B_S_Print_B">#REF!</definedName>
    <definedName name="BA">#REF!</definedName>
    <definedName name="BA.">#REF!</definedName>
    <definedName name="BAA">#REF!</definedName>
    <definedName name="BABALESHWARSV">#REF!</definedName>
    <definedName name="Back17">#REF!</definedName>
    <definedName name="Back18">#REF!</definedName>
    <definedName name="back3">#REF!</definedName>
    <definedName name="BAGADE">#REF!</definedName>
    <definedName name="BAGCHIANIMESH">#REF!</definedName>
    <definedName name="baj">{"turnover",#N/A,FALSE;"profits",#N/A,FALSE;"cash",#N/A,FALSE}</definedName>
    <definedName name="BajajTempoBH">#REF!</definedName>
    <definedName name="BajajTempoBT">#REF!</definedName>
    <definedName name="bajajTempoMC">#REF!</definedName>
    <definedName name="bal">#REF!</definedName>
    <definedName name="Bal_0001">#REF!</definedName>
    <definedName name="Bal_9900">#REF!</definedName>
    <definedName name="Balance">{#N/A,#N/A,FALSE,"Balance Sheets";#N/A,#N/A,FALSE,"96 Conservative";#N/A,#N/A,FALSE,"96 Possible"}</definedName>
    <definedName name="Balance_1">{#N/A,#N/A,FALSE,"Balance Sheets";#N/A,#N/A,FALSE,"96 Conservative";#N/A,#N/A,FALSE,"96 Possible"}</definedName>
    <definedName name="Balance_2">{#N/A,#N/A,FALSE,"Balance Sheets";#N/A,#N/A,FALSE,"96 Conservative";#N/A,#N/A,FALSE,"96 Possible"}</definedName>
    <definedName name="Balance_3">{#N/A,#N/A,FALSE,"Balance Sheets";#N/A,#N/A,FALSE,"96 Conservative";#N/A,#N/A,FALSE,"96 Possible"}</definedName>
    <definedName name="Balance_4">{#N/A,#N/A,FALSE,"Balance Sheets";#N/A,#N/A,FALSE,"96 Conservative";#N/A,#N/A,FALSE,"96 Possible"}</definedName>
    <definedName name="BALANCE_IN_PROFIT___LOSS_A_C">#REF!</definedName>
    <definedName name="balance_sheet">#REF!</definedName>
    <definedName name="BalanceShee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TGROUPING">#REF!</definedName>
    <definedName name="BALBH">#REF!</definedName>
    <definedName name="BALBT">#REF!</definedName>
    <definedName name="balg1">#REF!</definedName>
    <definedName name="balg2">#REF!</definedName>
    <definedName name="balg3">#REF!</definedName>
    <definedName name="BALMC">#REF!</definedName>
    <definedName name="Balsht">#REF!</definedName>
    <definedName name="BandRange">#REF!</definedName>
    <definedName name="Bang_cly">#REF!</definedName>
    <definedName name="Bang_CVC">#REF!</definedName>
    <definedName name="bang_gia">#REF!</definedName>
    <definedName name="Bang_travl">#REF!</definedName>
    <definedName name="bangjune">#REF!</definedName>
    <definedName name="Bangtrade">#REF!</definedName>
    <definedName name="BANK_CHARGES">#REF!</definedName>
    <definedName name="BANK_OF_BARODA__2ND_BOOK">#REF!</definedName>
    <definedName name="BANK_OF_BARODA_1ST_BOOK">#REF!</definedName>
    <definedName name="bank_of_baroda_2_nd_book">#REF!</definedName>
    <definedName name="BANK_OF_INDIA">#REF!</definedName>
    <definedName name="BARTER">#REF!</definedName>
    <definedName name="barter_exp">#REF!</definedName>
    <definedName name="Base">#REF!</definedName>
    <definedName name="Base_Data_for_COR">#REF!</definedName>
    <definedName name="Base_date">{#N/A,#N/A,FALSE,"Cash Flows";#N/A,#N/A,FALSE,"Fixed Assets";#N/A,#N/A,FALSE,"Balance Sheet";#N/A,#N/A,FALSE,"P &amp; L"}</definedName>
    <definedName name="bASE_FOR_sre">#REF!</definedName>
    <definedName name="Base_PandL">#REF!</definedName>
    <definedName name="base1">#REF!</definedName>
    <definedName name="base2">#REF!</definedName>
    <definedName name="BaseData_1">{#N/A,#N/A,FALSE,"Cash Flows";#N/A,#N/A,FALSE,"Fixed Assets";#N/A,#N/A,FALSE,"Balance Sheet";#N/A,#N/A,FALSE,"P &amp; L"}</definedName>
    <definedName name="BaseData_1_1">{#N/A,#N/A,FALSE,"Cash Flows";#N/A,#N/A,FALSE,"Fixed Assets";#N/A,#N/A,FALSE,"Balance Sheet";#N/A,#N/A,FALSE,"P &amp; L"}</definedName>
    <definedName name="BaseData_1_1_1">{#N/A,#N/A,FALSE,"Cash Flows";#N/A,#N/A,FALSE,"Fixed Assets";#N/A,#N/A,FALSE,"Balance Sheet";#N/A,#N/A,FALSE,"P &amp; L"}</definedName>
    <definedName name="BaseData_1_2">{#N/A,#N/A,FALSE,"Cash Flows";#N/A,#N/A,FALSE,"Fixed Assets";#N/A,#N/A,FALSE,"Balance Sheet";#N/A,#N/A,FALSE,"P &amp; L"}</definedName>
    <definedName name="BaseData_1_3">{#N/A,#N/A,FALSE,"Cash Flows";#N/A,#N/A,FALSE,"Fixed Assets";#N/A,#N/A,FALSE,"Balance Sheet";#N/A,#N/A,FALSE,"P &amp; L"}</definedName>
    <definedName name="baseyear">#REF!</definedName>
    <definedName name="basic">#REF!</definedName>
    <definedName name="BASIC_SALARY">#REF!</definedName>
    <definedName name="BASICA">#REF!</definedName>
    <definedName name="BASICT">#REF!</definedName>
    <definedName name="basisvalue1">#REF!</definedName>
    <definedName name="BAT">#REF!</definedName>
    <definedName name="BATHEJASANNJAY">#REF!</definedName>
    <definedName name="BB">{#N/A,#N/A,FALSE,"Tabl. A1";#N/A,#N/A,FALSE,"Tabl. A1 b";#N/A,#N/A,FALSE,"Tabl. A2";#N/A,#N/A,FALSE,"Tabl. A2-1";#N/A,#N/A,FALSE,"Tabl. A2-2"}</definedName>
    <definedName name="BB_1">{#N/A,#N/A,FALSE,"Tabl. A1";#N/A,#N/A,FALSE,"Tabl. A1 b";#N/A,#N/A,FALSE,"Tabl. A2";#N/A,#N/A,FALSE,"Tabl. A2-1";#N/A,#N/A,FALSE,"Tabl. A2-2"}</definedName>
    <definedName name="BB_2">{#N/A,#N/A,FALSE,"Tabl. A1";#N/A,#N/A,FALSE,"Tabl. A1 b";#N/A,#N/A,FALSE,"Tabl. A2";#N/A,#N/A,FALSE,"Tabl. A2-1";#N/A,#N/A,FALSE,"Tabl. A2-2"}</definedName>
    <definedName name="BB_3">{#N/A,#N/A,FALSE,"Tabl. A1";#N/A,#N/A,FALSE,"Tabl. A1 b";#N/A,#N/A,FALSE,"Tabl. A2";#N/A,#N/A,FALSE,"Tabl. A2-1";#N/A,#N/A,FALSE,"Tabl. A2-2"}</definedName>
    <definedName name="BB_4">{#N/A,#N/A,FALSE,"Tabl. A1";#N/A,#N/A,FALSE,"Tabl. A1 b";#N/A,#N/A,FALSE,"Tabl. A2";#N/A,#N/A,FALSE,"Tabl. A2-1";#N/A,#N/A,FALSE,"Tabl. A2-2"}</definedName>
    <definedName name="bb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">{#N/A,#N/A,FALSE,"Pharm";#N/A,#N/A,FALSE,"WWCM"}</definedName>
    <definedName name="bbb_1">{#N/A,#N/A,FALSE,"Pharm";#N/A,#N/A,FALSE,"WWCM"}</definedName>
    <definedName name="bbb_2">{#N/A,#N/A,FALSE,"Pharm";#N/A,#N/A,FALSE,"WWCM"}</definedName>
    <definedName name="bbb_3">{#N/A,#N/A,FALSE,"Pharm";#N/A,#N/A,FALSE,"WWCM"}</definedName>
    <definedName name="bbb_4">{#N/A,#N/A,FALSE,"Pharm";#N/A,#N/A,FALSE,"WWCM"}</definedName>
    <definedName name="bbb_5">{#N/A,#N/A,FALSE,"Pharm";#N/A,#N/A,FALSE,"WWCM"}</definedName>
    <definedName name="BBBAS">#REF!</definedName>
    <definedName name="bbbb">{#N/A,#N/A,FALSE,"REPORT"}</definedName>
    <definedName name="bbbb_1">{#N/A,#N/A,FALSE,"REPORT"}</definedName>
    <definedName name="bbbb_2">{#N/A,#N/A,FALSE,"REPORT"}</definedName>
    <definedName name="bbbb_3">{#N/A,#N/A,FALSE,"REPORT"}</definedName>
    <definedName name="bbbb_4">{#N/A,#N/A,FALSE,"REPORT"}</definedName>
    <definedName name="bbbb_5">{#N/A,#N/A,FALSE,"REPORT"}</definedName>
    <definedName name="bbbbb">{#N/A,#N/A,FALSE,"Pharm";#N/A,#N/A,FALSE,"WWCM"}</definedName>
    <definedName name="bbbbb_1">{#N/A,#N/A,FALSE,"Pharm";#N/A,#N/A,FALSE,"WWCM"}</definedName>
    <definedName name="bbbbb_2">{#N/A,#N/A,FALSE,"Pharm";#N/A,#N/A,FALSE,"WWCM"}</definedName>
    <definedName name="bbbbb_3">{#N/A,#N/A,FALSE,"Pharm";#N/A,#N/A,FALSE,"WWCM"}</definedName>
    <definedName name="bbbbb_4">{#N/A,#N/A,FALSE,"Pharm";#N/A,#N/A,FALSE,"WWCM"}</definedName>
    <definedName name="bbbbb_5">{#N/A,#N/A,FALSE,"Pharm";#N/A,#N/A,FALSE,"WWCM"}</definedName>
    <definedName name="BBBBBB">{#N/A,#N/A,FALSE,"REPORT"}</definedName>
    <definedName name="BBBBBB_1">{#N/A,#N/A,FALSE,"REPORT"}</definedName>
    <definedName name="BBBBBB_2">{#N/A,#N/A,FALSE,"REPORT"}</definedName>
    <definedName name="BBBBBB_3">{#N/A,#N/A,FALSE,"REPORT"}</definedName>
    <definedName name="BBBBBB_4">{#N/A,#N/A,FALSE,"REPORT"}</definedName>
    <definedName name="BBBBBB_5">{#N/A,#N/A,FALSE,"REPORT"}</definedName>
    <definedName name="BBBBBBBBB">{#N/A,#N/A,FALSE,"REPORT"}</definedName>
    <definedName name="BBBBBBBBB_1">{#N/A,#N/A,FALSE,"REPORT"}</definedName>
    <definedName name="BBBBBBBBB_2">{#N/A,#N/A,FALSE,"REPORT"}</definedName>
    <definedName name="BBBBBBBBB_3">{#N/A,#N/A,FALSE,"REPORT"}</definedName>
    <definedName name="BBBBBBBBB_4">{#N/A,#N/A,FALSE,"REPORT"}</definedName>
    <definedName name="BBBBBBBBB_5">{#N/A,#N/A,FALSE,"REPORT"}</definedName>
    <definedName name="bbbbbbbbbbbbb">{#N/A,#N/A,FALSE,"Pharm";#N/A,#N/A,FALSE,"WWCM"}</definedName>
    <definedName name="bbbbbbbbbbbbb_1">{#N/A,#N/A,FALSE,"Pharm";#N/A,#N/A,FALSE,"WWCM"}</definedName>
    <definedName name="bbbbbbbbbbbbb_2">{#N/A,#N/A,FALSE,"Pharm";#N/A,#N/A,FALSE,"WWCM"}</definedName>
    <definedName name="bbbbbbbbbbbbb_3">{#N/A,#N/A,FALSE,"Pharm";#N/A,#N/A,FALSE,"WWCM"}</definedName>
    <definedName name="bbbbbbbbbbbbb_4">{#N/A,#N/A,FALSE,"Pharm";#N/A,#N/A,FALSE,"WWCM"}</definedName>
    <definedName name="bbbbbbbbbbbbb_5">{#N/A,#N/A,FALSE,"Pharm";#N/A,#N/A,FALSE,"WWCM"}</definedName>
    <definedName name="bb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dep">#REF!</definedName>
    <definedName name="bb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ca">#REF!</definedName>
    <definedName name="bda">#REF!</definedName>
    <definedName name="bdvb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earbeiter">#REF!</definedName>
    <definedName name="beg">#REF!</definedName>
    <definedName name="Beg_Bal">#REF!</definedName>
    <definedName name="BEGIN">#REF!</definedName>
    <definedName name="BELUXFX97P">#REF!</definedName>
    <definedName name="Benefits010404">#REF!</definedName>
    <definedName name="Benefits310304">#REF!</definedName>
    <definedName name="BENJUL">#REF!</definedName>
    <definedName name="bentonite">#REF!</definedName>
    <definedName name="Betriebsaufwand_Monat_Ist">#REF!</definedName>
    <definedName name="Better_Results">#REF!</definedName>
    <definedName name="Bezeichnung">#REF!</definedName>
    <definedName name="bf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Del">15</definedName>
    <definedName name="BG_Ins">4</definedName>
    <definedName name="BG_Mod">6</definedName>
    <definedName name="bgt">#REF!</definedName>
    <definedName name="bha">{#N/A,#N/A,TRUE,"Summary";#N/A,#N/A,TRUE,"Balance Sheet";#N/A,#N/A,TRUE,"P &amp; L";#N/A,#N/A,TRUE,"Fixed Assets";#N/A,#N/A,TRUE,"Cash Flows"}</definedName>
    <definedName name="bha_1">{#N/A,#N/A,TRUE,"Summary";#N/A,#N/A,TRUE,"Balance Sheet";#N/A,#N/A,TRUE,"P &amp; L";#N/A,#N/A,TRUE,"Fixed Assets";#N/A,#N/A,TRUE,"Cash Flows"}</definedName>
    <definedName name="BHAGADEVIKAS">#REF!</definedName>
    <definedName name="BHAGWAT">#REF!</definedName>
    <definedName name="BHAPKAR">#REF!</definedName>
    <definedName name="bhara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IDINESH">#REF!</definedName>
    <definedName name="bhavesh">{#N/A,#N/A,FALSE,"Cash Flows";#N/A,#N/A,FALSE,"Fixed Assets";#N/A,#N/A,FALSE,"Balance Sheet";#N/A,#N/A,FALSE,"P &amp; L"}</definedName>
    <definedName name="bhavesh_1">{#N/A,#N/A,FALSE,"Cash Flows";#N/A,#N/A,FALSE,"Fixed Assets";#N/A,#N/A,FALSE,"Balance Sheet";#N/A,#N/A,FALSE,"P &amp; L"}</definedName>
    <definedName name="bhaveshm">{#N/A,#N/A,FALSE,"Cash Flows";#N/A,#N/A,FALSE,"Fixed Assets";#N/A,#N/A,FALSE,"Balance Sheet";#N/A,#N/A,FALSE,"P &amp; L"}</definedName>
    <definedName name="bhaveshm_1">{#N/A,#N/A,FALSE,"Cash Flows";#N/A,#N/A,FALSE,"Fixed Assets";#N/A,#N/A,FALSE,"Balance Sheet";#N/A,#N/A,FALSE,"P &amp; L"}</definedName>
    <definedName name="BHDF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OJANEUMAKANT">#REF!</definedName>
    <definedName name="BHOR">#REF!</definedName>
    <definedName name="BHORE">#REF!</definedName>
    <definedName name="BHOSALE_DNYANESHWAR">#REF!</definedName>
    <definedName name="BHOSALE_NITIN">#REF!</definedName>
    <definedName name="BHUJBALAMIT">#REF!</definedName>
    <definedName name="BHUJBALEVIVEK">#REF!</definedName>
    <definedName name="BHUSARIPRAMOD">#REF!</definedName>
    <definedName name="BIDBAGMESAJI">#REF!</definedName>
    <definedName name="Big">#REF!</definedName>
    <definedName name="bil">{#N/A,#N/A,FALSE,"Tabl. D1";#N/A,#N/A,FALSE,"Tabl. D1 b";#N/A,#N/A,FALSE,"Tabl. D2";#N/A,#N/A,FALSE,"Tabl. D2 b";#N/A,#N/A,FALSE,"Tabl. D3";#N/A,#N/A,FALSE,"Tabl. D4";#N/A,#N/A,FALSE,"Tabl. D5"}</definedName>
    <definedName name="bil_1">{#N/A,#N/A,FALSE,"Tabl. D1";#N/A,#N/A,FALSE,"Tabl. D1 b";#N/A,#N/A,FALSE,"Tabl. D2";#N/A,#N/A,FALSE,"Tabl. D2 b";#N/A,#N/A,FALSE,"Tabl. D3";#N/A,#N/A,FALSE,"Tabl. D4";#N/A,#N/A,FALSE,"Tabl. D5"}</definedName>
    <definedName name="bil_2">{#N/A,#N/A,FALSE,"Tabl. D1";#N/A,#N/A,FALSE,"Tabl. D1 b";#N/A,#N/A,FALSE,"Tabl. D2";#N/A,#N/A,FALSE,"Tabl. D2 b";#N/A,#N/A,FALSE,"Tabl. D3";#N/A,#N/A,FALSE,"Tabl. D4";#N/A,#N/A,FALSE,"Tabl. D5"}</definedName>
    <definedName name="bil_3">{#N/A,#N/A,FALSE,"Tabl. D1";#N/A,#N/A,FALSE,"Tabl. D1 b";#N/A,#N/A,FALSE,"Tabl. D2";#N/A,#N/A,FALSE,"Tabl. D2 b";#N/A,#N/A,FALSE,"Tabl. D3";#N/A,#N/A,FALSE,"Tabl. D4";#N/A,#N/A,FALSE,"Tabl. D5"}</definedName>
    <definedName name="bil_4">{#N/A,#N/A,FALSE,"Tabl. D1";#N/A,#N/A,FALSE,"Tabl. D1 b";#N/A,#N/A,FALSE,"Tabl. D2";#N/A,#N/A,FALSE,"Tabl. D2 b";#N/A,#N/A,FALSE,"Tabl. D3";#N/A,#N/A,FALSE,"Tabl. D4";#N/A,#N/A,FALSE,"Tabl. D5"}</definedName>
    <definedName name="Bilag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ilanz">#REF!</definedName>
    <definedName name="BillMkt1">#REF!</definedName>
    <definedName name="BillMkt10">#REF!</definedName>
    <definedName name="BillMkt11">#REF!</definedName>
    <definedName name="BillMkt2">#REF!</definedName>
    <definedName name="BillMkt3">#REF!</definedName>
    <definedName name="BillMkt4">#REF!</definedName>
    <definedName name="BillMkt5">#REF!</definedName>
    <definedName name="BillMkt6">#REF!</definedName>
    <definedName name="BillMkt7">#REF!</definedName>
    <definedName name="BillMkt8">#REF!</definedName>
    <definedName name="BillMkt9">#REF!</definedName>
    <definedName name="BillTtl">#REF!</definedName>
    <definedName name="BINNARYUVRAJ">#REF!</definedName>
    <definedName name="BIRADARANAND">#REF!</definedName>
    <definedName name="BIRAJDARSURYAKANT">#REF!</definedName>
    <definedName name="BIRGAVALEGANESH">#REF!</definedName>
    <definedName name="BIRGAVALEPRADEEP">#REF!</definedName>
    <definedName name="BISWASTARUN">#REF!</definedName>
    <definedName name="bjcdbw">{"'August 2000'!$A$1:$J$101"}</definedName>
    <definedName name="bkbal1">#REF!</definedName>
    <definedName name="bkbal2">#REF!</definedName>
    <definedName name="bkod">#REF!</definedName>
    <definedName name="blabla">{#N/A,#N/A,FALSE,"Tabl. H1";#N/A,#N/A,FALSE,"Tabl. H2"}</definedName>
    <definedName name="blabla_1">{#N/A,#N/A,FALSE,"Tabl. H1";#N/A,#N/A,FALSE,"Tabl. H2"}</definedName>
    <definedName name="blabla_2">{#N/A,#N/A,FALSE,"Tabl. H1";#N/A,#N/A,FALSE,"Tabl. H2"}</definedName>
    <definedName name="blabla_3">{#N/A,#N/A,FALSE,"Tabl. H1";#N/A,#N/A,FALSE,"Tabl. H2"}</definedName>
    <definedName name="blabla_4">{#N/A,#N/A,FALSE,"Tabl. H1";#N/A,#N/A,FALSE,"Tabl. H2"}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ended_tenure">#REF!</definedName>
    <definedName name="Blended_tenure_2">#REF!</definedName>
    <definedName name="Blended_tenure_FD_2_new">#REF!</definedName>
    <definedName name="Blore">#REF!</definedName>
    <definedName name="BLPB17">#REF!</definedName>
    <definedName name="BLPB3">#REF!</definedName>
    <definedName name="BLPB4">#REF!</definedName>
    <definedName name="BLPB6">#REF!</definedName>
    <definedName name="BLPH1">#REF!</definedName>
    <definedName name="BLPH10">#REF!</definedName>
    <definedName name="BLPH11">#REF!</definedName>
    <definedName name="BLPH12">#REF!</definedName>
    <definedName name="BLPH13">#REF!</definedName>
    <definedName name="BLPH14">#REF!</definedName>
    <definedName name="BLPH15">#REF!</definedName>
    <definedName name="BLPH16">#REF!</definedName>
    <definedName name="BLPH17">#REF!</definedName>
    <definedName name="BLPH18">#REF!</definedName>
    <definedName name="BLPH19">#REF!</definedName>
    <definedName name="BLPH2">#REF!</definedName>
    <definedName name="BLPH20">#REF!</definedName>
    <definedName name="BLPH200001">#REF!</definedName>
    <definedName name="BLPH21">#REF!</definedName>
    <definedName name="BLPH22">#REF!</definedName>
    <definedName name="BLPH23">#REF!</definedName>
    <definedName name="BLPH24">#REF!</definedName>
    <definedName name="BLPH25">#REF!</definedName>
    <definedName name="BLPH26">#REF!</definedName>
    <definedName name="BLPH27">#REF!</definedName>
    <definedName name="BLPH28">#REF!</definedName>
    <definedName name="BLPH29">#REF!</definedName>
    <definedName name="BLPH3">#REF!</definedName>
    <definedName name="BLPH30">#REF!</definedName>
    <definedName name="BLPH31">#REF!</definedName>
    <definedName name="BLPH32">#REF!</definedName>
    <definedName name="BLPH33">#REF!</definedName>
    <definedName name="BLPH34">#REF!</definedName>
    <definedName name="BLPH35">#REF!</definedName>
    <definedName name="BLPH36">#REF!</definedName>
    <definedName name="BLPH37">#REF!</definedName>
    <definedName name="BLPH38">#REF!</definedName>
    <definedName name="BLPH39">#REF!</definedName>
    <definedName name="BLPH4">#REF!</definedName>
    <definedName name="BLPH40">#REF!</definedName>
    <definedName name="BLPH41">#REF!</definedName>
    <definedName name="BLPH42">#REF!</definedName>
    <definedName name="BLPH43">#REF!</definedName>
    <definedName name="BLPH44">#REF!</definedName>
    <definedName name="BLPH45">#REF!</definedName>
    <definedName name="BLPH46">#REF!</definedName>
    <definedName name="BLPH47">#REF!</definedName>
    <definedName name="BLPH48">#REF!</definedName>
    <definedName name="BLPH49">#REF!</definedName>
    <definedName name="BLPH5">#REF!</definedName>
    <definedName name="BLPH50">#REF!</definedName>
    <definedName name="BLPH51">#REF!</definedName>
    <definedName name="BLPH52">#REF!</definedName>
    <definedName name="BLPH53">#REF!</definedName>
    <definedName name="BLPH54">#REF!</definedName>
    <definedName name="BLPH55">#REF!</definedName>
    <definedName name="BLPH56">#REF!</definedName>
    <definedName name="BLPH57">#REF!</definedName>
    <definedName name="BLPH58">#REF!</definedName>
    <definedName name="BLPH59">#REF!</definedName>
    <definedName name="BLPH6">#REF!</definedName>
    <definedName name="BLPH60">#REF!</definedName>
    <definedName name="BLPH61">#REF!</definedName>
    <definedName name="BLPH62">#REF!</definedName>
    <definedName name="BLPH63">#REF!</definedName>
    <definedName name="BLPH64">#REF!</definedName>
    <definedName name="BLPH65">#REF!</definedName>
    <definedName name="BLPH66">#REF!</definedName>
    <definedName name="BLPH67">#REF!</definedName>
    <definedName name="BLPH68">#REF!</definedName>
    <definedName name="BLPH69">#REF!</definedName>
    <definedName name="BLPH7">#REF!</definedName>
    <definedName name="BLPH70">#REF!</definedName>
    <definedName name="BLPH71">#REF!</definedName>
    <definedName name="BLPH72">#REF!</definedName>
    <definedName name="BLPH73">#REF!</definedName>
    <definedName name="BLPH74">#REF!</definedName>
    <definedName name="BLPH75">#REF!</definedName>
    <definedName name="BLPH76">#REF!</definedName>
    <definedName name="BLPH77">#REF!</definedName>
    <definedName name="BLPH78">#REF!</definedName>
    <definedName name="BLPH8">#REF!</definedName>
    <definedName name="BLPH9">#REF!</definedName>
    <definedName name="BLR80IA">#REF!</definedName>
    <definedName name="BLSCH1_4">#REF!</definedName>
    <definedName name="BLSCH6_7">#REF!</definedName>
    <definedName name="BLSCH8">#REF!</definedName>
    <definedName name="BLSRNG">#REF!</definedName>
    <definedName name="BLSSCH">#REF!</definedName>
    <definedName name="BMActionPoints">#REF!</definedName>
    <definedName name="BMCIndia">#REF!</definedName>
    <definedName name="BMS">#REF!</definedName>
    <definedName name="bn">#REF!</definedName>
    <definedName name="BNE_MESSAGES_HIDDEN">#REF!</definedName>
    <definedName name="bngnhj">#REF!</definedName>
    <definedName name="bnm">{#N/A,#N/A,FALSE,"REPORT"}</definedName>
    <definedName name="bnm_1">{#N/A,#N/A,FALSE,"REPORT"}</definedName>
    <definedName name="bnm_2">{#N/A,#N/A,FALSE,"REPORT"}</definedName>
    <definedName name="bnm_3">{#N/A,#N/A,FALSE,"REPORT"}</definedName>
    <definedName name="bnm_4">{#N/A,#N/A,FALSE,"REPORT"}</definedName>
    <definedName name="bnm_5">{#N/A,#N/A,FALSE,"REPORT"}</definedName>
    <definedName name="bnotes">#REF!</definedName>
    <definedName name="bnuyyg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a">#REF!</definedName>
    <definedName name="BOH_TOTAL">#REF!</definedName>
    <definedName name="BOH_UC">#REF!</definedName>
    <definedName name="BOHAMT">#REF!</definedName>
    <definedName name="BOHQTY">#REF!</definedName>
    <definedName name="Bonus">#REF!</definedName>
    <definedName name="Book2">#REF!</definedName>
    <definedName name="BOQ">#REF!</definedName>
    <definedName name="BORD">#REF!</definedName>
    <definedName name="bpi">#REF!</definedName>
    <definedName name="BRAN_10CY">#REF!</definedName>
    <definedName name="BRAN_10PY">#REF!</definedName>
    <definedName name="BRAN_11CY">#REF!</definedName>
    <definedName name="BRAN_11PY">#REF!</definedName>
    <definedName name="BRAN_12CY">#REF!</definedName>
    <definedName name="BRAN_12PY">#REF!</definedName>
    <definedName name="BRAN_12PY2">#REF!</definedName>
    <definedName name="BRAN_1CY">#REF!</definedName>
    <definedName name="BRAN_1PY">#REF!</definedName>
    <definedName name="BRAN_2CY">#REF!</definedName>
    <definedName name="BRAN_2PY">#REF!</definedName>
    <definedName name="BRAN_3CY">#REF!</definedName>
    <definedName name="BRAN_3PY">#REF!</definedName>
    <definedName name="BRAN_4CY">#REF!</definedName>
    <definedName name="BRAN_4PY">#REF!</definedName>
    <definedName name="BRAN_5CY">#REF!</definedName>
    <definedName name="BRAN_5PY">#REF!</definedName>
    <definedName name="BRAN_6CY">#REF!</definedName>
    <definedName name="BRAN_6PY">#REF!</definedName>
    <definedName name="BRAN_7CY">#REF!</definedName>
    <definedName name="BRAN_7PY">#REF!</definedName>
    <definedName name="BRAN_8CY">#REF!</definedName>
    <definedName name="BRAN_8PY">#REF!</definedName>
    <definedName name="BRAN_9CY">#REF!</definedName>
    <definedName name="BRAN_9PY">#REF!</definedName>
    <definedName name="BRAN_AVG">#REF!</definedName>
    <definedName name="BRAN_BGT_10CY">#REF!</definedName>
    <definedName name="BRAN_BGT_11CY">#REF!</definedName>
    <definedName name="BRAN_BGT_12CY">#REF!</definedName>
    <definedName name="BRAN_BGT_1CY">#REF!</definedName>
    <definedName name="BRAN_BGT_2CY">#REF!</definedName>
    <definedName name="BRAN_BGT_3CY">#REF!</definedName>
    <definedName name="BRAN_BGT_4CY">#REF!</definedName>
    <definedName name="BRAN_BGT_5CY">#REF!</definedName>
    <definedName name="BRAN_BGT_6CY">#REF!</definedName>
    <definedName name="BRAN_BGT_7CY">#REF!</definedName>
    <definedName name="BRAN_BGT_8CY">#REF!</definedName>
    <definedName name="BRAN_BGT_9CY">#REF!</definedName>
    <definedName name="BRAN_BGT_AVG">#REF!</definedName>
    <definedName name="BRAN_CY1QTR">#REF!</definedName>
    <definedName name="BRAN_CY2QTR">#REF!</definedName>
    <definedName name="BRAN_CY3QTR">#REF!</definedName>
    <definedName name="BRAN_CY4QTR">#REF!</definedName>
    <definedName name="BRAN_PY4QTR">#REF!</definedName>
    <definedName name="BranchSort">#REF!</definedName>
    <definedName name="Broadband_SNU_Aggregate">#REF!</definedName>
    <definedName name="Brokerage__194H">#REF!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S_310399">#REF!</definedName>
    <definedName name="BS_AA">#REF!</definedName>
    <definedName name="BS_AD">#REF!</definedName>
    <definedName name="BS_AM_GAAP">#REF!</definedName>
    <definedName name="BS_AP">#REF!</definedName>
    <definedName name="BS_AR">#REF!</definedName>
    <definedName name="BS_AT">#REF!</definedName>
    <definedName name="BS_AT_DT">#REF!</definedName>
    <definedName name="BS_AT_FR">#REF!</definedName>
    <definedName name="BS_AT_OT">#REF!</definedName>
    <definedName name="BS_CA">#REF!</definedName>
    <definedName name="BS_CA_CS">#REF!</definedName>
    <definedName name="BS_CA_EC">#REF!</definedName>
    <definedName name="BS_CA_FR">#REF!</definedName>
    <definedName name="BS_CA_OD">#REF!</definedName>
    <definedName name="BS_CA_OT">#REF!</definedName>
    <definedName name="BS_CA_PP">#REF!</definedName>
    <definedName name="BS_CA_SK">#REF!</definedName>
    <definedName name="BS_CA_TA">#REF!</definedName>
    <definedName name="BS_CA_TD">#REF!</definedName>
    <definedName name="BS_Cash">#REF!</definedName>
    <definedName name="BS_CC">#REF!</definedName>
    <definedName name="BS_CC_CC">#REF!</definedName>
    <definedName name="BS_CC_FL">#REF!</definedName>
    <definedName name="BS_CC_OL">#REF!</definedName>
    <definedName name="BS_CL">#REF!</definedName>
    <definedName name="BS_CL_DD">#REF!</definedName>
    <definedName name="BS_CL_OC">#REF!</definedName>
    <definedName name="BS_CL_RD">#REF!</definedName>
    <definedName name="BS_CL_ST">#REF!</definedName>
    <definedName name="BS_CL_TC">#REF!</definedName>
    <definedName name="BS_CL_TD">#REF!</definedName>
    <definedName name="BS_Convertible_Debt">#REF!</definedName>
    <definedName name="BS_Convertible_Preferred">#REF!</definedName>
    <definedName name="BS_Deferred_Taxes">#REF!</definedName>
    <definedName name="BS_DETAIL">#REF!</definedName>
    <definedName name="BS_DETL_BORDER">#REF!</definedName>
    <definedName name="BS_Difference">#REF!</definedName>
    <definedName name="BS_DL">#REF!</definedName>
    <definedName name="BS_DL_DT">#REF!</definedName>
    <definedName name="BS_DL_LO">#REF!</definedName>
    <definedName name="BS_DL_LT">#REF!</definedName>
    <definedName name="BS_DL_OT">#REF!</definedName>
    <definedName name="BS_DL_PN">#REF!</definedName>
    <definedName name="BS_DL_PV">#REF!</definedName>
    <definedName name="BS_Equity">#REF!</definedName>
    <definedName name="BS_FA">#REF!</definedName>
    <definedName name="BS_FI_AS">#REF!</definedName>
    <definedName name="BS_FI_AT">#REF!</definedName>
    <definedName name="BS_FI_LT">#REF!</definedName>
    <definedName name="BS_GA">#REF!</definedName>
    <definedName name="BS_GD">#REF!</definedName>
    <definedName name="BS_GW_EB">#REF!</definedName>
    <definedName name="BS_GW_WO">#REF!</definedName>
    <definedName name="BS_IC_GAAP">#REF!</definedName>
    <definedName name="BS_IN_GAAP">#REF!</definedName>
    <definedName name="BS_Intangibles">#REF!</definedName>
    <definedName name="BS_Inventory">#REF!</definedName>
    <definedName name="BS_Investments">#REF!</definedName>
    <definedName name="BS_IT_FA">#REF!</definedName>
    <definedName name="BS_IT_GW">#REF!</definedName>
    <definedName name="BS_IT_OI">#REF!</definedName>
    <definedName name="BS_IT_PL">#REF!</definedName>
    <definedName name="BS_LI">#REF!</definedName>
    <definedName name="BS_LI_OT">#REF!</definedName>
    <definedName name="BS_MI">#REF!</definedName>
    <definedName name="BS_Minority">#REF!</definedName>
    <definedName name="BS_NA">#REF!</definedName>
    <definedName name="BS_Other_CA">#REF!</definedName>
    <definedName name="BS_Other_LTAssets">#REF!</definedName>
    <definedName name="BS_Other_LTLiabilities">#REF!</definedName>
    <definedName name="BS_PE_GAAP">#REF!</definedName>
    <definedName name="BS_PPE">#REF!</definedName>
    <definedName name="BS_Revolver">#REF!</definedName>
    <definedName name="BS_SF">#REF!</definedName>
    <definedName name="BS_SF_GAAP">#REF!</definedName>
    <definedName name="BS_SF_MI">#REF!</definedName>
    <definedName name="BS_SF_OS">#REF!</definedName>
    <definedName name="BS_SF_PS">#REF!</definedName>
    <definedName name="BS_SF_RS">#REF!</definedName>
    <definedName name="BS_SF_RSV">#REF!</definedName>
    <definedName name="BS_SF_TO">#REF!</definedName>
    <definedName name="BS_Straight_Debt">#REF!</definedName>
    <definedName name="BS_Straight_Preferred">#REF!</definedName>
    <definedName name="BS_TA_CL">#REF!</definedName>
    <definedName name="BS_TA_FA">#REF!</definedName>
    <definedName name="BS_TA_OT">#REF!</definedName>
    <definedName name="BS_TA_PE">#REF!</definedName>
    <definedName name="BS_TA_PTY">#REF!</definedName>
    <definedName name="BS_tb">#REF!</definedName>
    <definedName name="BS_TE_GAAP">#REF!</definedName>
    <definedName name="BS_TL_SF_MI">#REF!</definedName>
    <definedName name="BS_TN_DTGAAP">#REF!</definedName>
    <definedName name="BS1_">#REF!</definedName>
    <definedName name="BS2_">#REF!</definedName>
    <definedName name="BS3_">#REF!</definedName>
    <definedName name="BS4_">#REF!</definedName>
    <definedName name="BSC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BSDATA">#REF!</definedName>
    <definedName name="BSDateSF">#REF!</definedName>
    <definedName name="BSDEC02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fdsmfbmdsbgm">{#N/A,#N/A,FALSE,"Aging Summary";#N/A,#N/A,FALSE,"Ratio Analysis";#N/A,#N/A,FALSE,"Test 120 Day Accts";#N/A,#N/A,FALSE,"Tickmarks"}</definedName>
    <definedName name="bsdfdsmfbmdsbgm_1">{#N/A,#N/A,FALSE,"Aging Summary";#N/A,#N/A,FALSE,"Ratio Analysis";#N/A,#N/A,FALSE,"Test 120 Day Accts";#N/A,#N/A,FALSE,"Tickmarks"}</definedName>
    <definedName name="bsdfdsmfbmdsbgm_2">{#N/A,#N/A,FALSE,"Aging Summary";#N/A,#N/A,FALSE,"Ratio Analysis";#N/A,#N/A,FALSE,"Test 120 Day Accts";#N/A,#N/A,FALSE,"Tickmarks"}</definedName>
    <definedName name="bsdfdsmfbmdsbgm_3">{#N/A,#N/A,FALSE,"Aging Summary";#N/A,#N/A,FALSE,"Ratio Analysis";#N/A,#N/A,FALSE,"Test 120 Day Accts";#N/A,#N/A,FALSE,"Tickmarks"}</definedName>
    <definedName name="bsdfdsmfbmdsbgm_4">{#N/A,#N/A,FALSE,"Aging Summary";#N/A,#N/A,FALSE,"Ratio Analysis";#N/A,#N/A,FALSE,"Test 120 Day Accts";#N/A,#N/A,FALSE,"Tickmarks"}</definedName>
    <definedName name="BSGROUP">#REF!</definedName>
    <definedName name="BSH">#REF!</definedName>
    <definedName name="BSH_Primary">#REF!</definedName>
    <definedName name="BSHEET">#REF!</definedName>
    <definedName name="BSINR">#REF!</definedName>
    <definedName name="BSINRDTAIL">#REF!</definedName>
    <definedName name="BSM">#REF!</definedName>
    <definedName name="BSMurty">#REF!</definedName>
    <definedName name="BSPRN">#REF!</definedName>
    <definedName name="bss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um">#REF!</definedName>
    <definedName name="BSTB">#REF!</definedName>
    <definedName name="BSUSD">#REF!</definedName>
    <definedName name="BT">#REF!</definedName>
    <definedName name="Bt_Rec">#REF!</definedName>
    <definedName name="BT_Roe">#REF!</definedName>
    <definedName name="btcocnhoi">#REF!</definedName>
    <definedName name="BTOI">{#N/A,#N/A,FALSE,"Tabl. FB300";#N/A,#N/A,FALSE,"Tabl. FB350";#N/A,#N/A,FALSE,"Tabl. FB400";#N/A,#N/A,FALSE,"Tabl. FB500";#N/A,#N/A,FALSE,"Tabl. FS090"}</definedName>
    <definedName name="BTOI_1">{#N/A,#N/A,FALSE,"Tabl. FB300";#N/A,#N/A,FALSE,"Tabl. FB350";#N/A,#N/A,FALSE,"Tabl. FB400";#N/A,#N/A,FALSE,"Tabl. FB500";#N/A,#N/A,FALSE,"Tabl. FS090"}</definedName>
    <definedName name="BTOI_2">{#N/A,#N/A,FALSE,"Tabl. FB300";#N/A,#N/A,FALSE,"Tabl. FB350";#N/A,#N/A,FALSE,"Tabl. FB400";#N/A,#N/A,FALSE,"Tabl. FB500";#N/A,#N/A,FALSE,"Tabl. FS090"}</definedName>
    <definedName name="BTOI_3">{#N/A,#N/A,FALSE,"Tabl. FB300";#N/A,#N/A,FALSE,"Tabl. FB350";#N/A,#N/A,FALSE,"Tabl. FB400";#N/A,#N/A,FALSE,"Tabl. FB500";#N/A,#N/A,FALSE,"Tabl. FS090"}</definedName>
    <definedName name="BTOI_4">{#N/A,#N/A,FALSE,"Tabl. FB300";#N/A,#N/A,FALSE,"Tabl. FB350";#N/A,#N/A,FALSE,"Tabl. FB400";#N/A,#N/A,FALSE,"Tabl. FB500";#N/A,#N/A,FALSE,"Tabl. FS090"}</definedName>
    <definedName name="bty">{#N/A,#N/A,FALSE,"PGW"}</definedName>
    <definedName name="bty_1">{#N/A,#N/A,FALSE,"PGW"}</definedName>
    <definedName name="bty_2">{#N/A,#N/A,FALSE,"PGW"}</definedName>
    <definedName name="bty_2_1">{#N/A,#N/A,FALSE,"PGW"}</definedName>
    <definedName name="bty_2_2">{#N/A,#N/A,FALSE,"PGW"}</definedName>
    <definedName name="bty_2_3">{#N/A,#N/A,FALSE,"PGW"}</definedName>
    <definedName name="bty_2_4">{#N/A,#N/A,FALSE,"PGW"}</definedName>
    <definedName name="bty_3">{#N/A,#N/A,FALSE,"PGW"}</definedName>
    <definedName name="bty_3_1">{#N/A,#N/A,FALSE,"PGW"}</definedName>
    <definedName name="bty_3_2">{#N/A,#N/A,FALSE,"PGW"}</definedName>
    <definedName name="bty_3_3">{#N/A,#N/A,FALSE,"PGW"}</definedName>
    <definedName name="bty_3_4">{#N/A,#N/A,FALSE,"PGW"}</definedName>
    <definedName name="bty_4">{#N/A,#N/A,FALSE,"PGW"}</definedName>
    <definedName name="bty_4_1">{#N/A,#N/A,FALSE,"PGW"}</definedName>
    <definedName name="bty_4_2">{#N/A,#N/A,FALSE,"PGW"}</definedName>
    <definedName name="bty_4_3">{#N/A,#N/A,FALSE,"PGW"}</definedName>
    <definedName name="bty_4_4">{#N/A,#N/A,FALSE,"PGW"}</definedName>
    <definedName name="bty_5">{#N/A,#N/A,FALSE,"PGW"}</definedName>
    <definedName name="bu">#REF!</definedName>
    <definedName name="BU99_Summary_List">#REF!</definedName>
    <definedName name="BUD">#REF!</definedName>
    <definedName name="bud9798_2">#REF!</definedName>
    <definedName name="BUDA">#REF!</definedName>
    <definedName name="BUDB">#REF!</definedName>
    <definedName name="BUDC">#REF!</definedName>
    <definedName name="BUDD">#REF!</definedName>
    <definedName name="BUDE">#REF!</definedName>
    <definedName name="BudFullYr">#REF!</definedName>
    <definedName name="budget">#REF!</definedName>
    <definedName name="BUDGETAMOUNT">#REF!</definedName>
    <definedName name="budgetcommonequity">#REF!</definedName>
    <definedName name="BudgetExchRates">#REF!</definedName>
    <definedName name="BudgetExchRateYrs">#REF!</definedName>
    <definedName name="BudMth">#REF!</definedName>
    <definedName name="BUDP_L">#REF!</definedName>
    <definedName name="BudYtd">#REF!</definedName>
    <definedName name="build_quantity">#REF!</definedName>
    <definedName name="Buildingfactory">#REF!</definedName>
    <definedName name="Buildingoffice">#REF!</definedName>
    <definedName name="BUILDTOT">#REF!</definedName>
    <definedName name="BuiltIn_Database___0">"$"</definedName>
    <definedName name="BuiltIn_Print_Area___0">"'file://comp2/c/my documents/vh group/vil/tar9900/roi/roi0001.xls'#$roia_y_2000_2001.$"</definedName>
    <definedName name="BuiltIn_Print_Area___1">"$#REF!.$A$1:$#REF!.$G$25"</definedName>
    <definedName name="BUN">#REF!</definedName>
    <definedName name="BURLE">#REF!</definedName>
    <definedName name="Busines_Unit">#REF!</definedName>
    <definedName name="Businessindia">#REF!</definedName>
    <definedName name="busscatg">#REF!</definedName>
    <definedName name="Button_7">"profit_plan_model__GUJARAT_APOLLO_EAST_List"</definedName>
    <definedName name="button_area_1">#REF!</definedName>
    <definedName name="BUV">#REF!</definedName>
    <definedName name="buy">#REF!</definedName>
    <definedName name="buyoutprice">#REF!</definedName>
    <definedName name="BVCISUMMARY">#REF!</definedName>
    <definedName name="bwgh">{#N/A,#N/A,FALSE,"OSBL"}</definedName>
    <definedName name="bwgh_1">{#N/A,#N/A,FALSE,"OSBL"}</definedName>
    <definedName name="bwgh_1_1">{#N/A,#N/A,FALSE,"OSBL"}</definedName>
    <definedName name="bwgh_1_2">{#N/A,#N/A,FALSE,"OSBL"}</definedName>
    <definedName name="bwgh_1_3">{#N/A,#N/A,FALSE,"OSBL"}</definedName>
    <definedName name="bwgh_1_4">{#N/A,#N/A,FALSE,"OSBL"}</definedName>
    <definedName name="bwgh_2">{#N/A,#N/A,FALSE,"OSBL"}</definedName>
    <definedName name="bwgh_2_1">{#N/A,#N/A,FALSE,"OSBL"}</definedName>
    <definedName name="bwgh_2_2">{#N/A,#N/A,FALSE,"OSBL"}</definedName>
    <definedName name="bwgh_2_3">{#N/A,#N/A,FALSE,"OSBL"}</definedName>
    <definedName name="bwgh_2_4">{#N/A,#N/A,FALSE,"OSBL"}</definedName>
    <definedName name="bwgh_3">{#N/A,#N/A,FALSE,"OSBL"}</definedName>
    <definedName name="bwgh_3_1">{#N/A,#N/A,FALSE,"OSBL"}</definedName>
    <definedName name="bwgh_3_2">{#N/A,#N/A,FALSE,"OSBL"}</definedName>
    <definedName name="bwgh_3_3">{#N/A,#N/A,FALSE,"OSBL"}</definedName>
    <definedName name="bwgh_3_4">{#N/A,#N/A,FALSE,"OSBL"}</definedName>
    <definedName name="bwgh_4">{#N/A,#N/A,FALSE,"OSBL"}</definedName>
    <definedName name="bwgh_4_1">{#N/A,#N/A,FALSE,"OSBL"}</definedName>
    <definedName name="bwgh_4_2">{#N/A,#N/A,FALSE,"OSBL"}</definedName>
    <definedName name="bwgh_4_3">{#N/A,#N/A,FALSE,"OSBL"}</definedName>
    <definedName name="bwgh_4_4">{#N/A,#N/A,FALSE,"OSBL"}</definedName>
    <definedName name="bwgh_5">{#N/A,#N/A,FALSE,"OSBL"}</definedName>
    <definedName name="bwrhrt">{#N/A,#N/A,FALSE,"PGW"}</definedName>
    <definedName name="bwrhrt_1">{#N/A,#N/A,FALSE,"PGW"}</definedName>
    <definedName name="bwrhrt_1_1">{#N/A,#N/A,FALSE,"PGW"}</definedName>
    <definedName name="bwrhrt_1_2">{#N/A,#N/A,FALSE,"PGW"}</definedName>
    <definedName name="bwrhrt_1_3">{#N/A,#N/A,FALSE,"PGW"}</definedName>
    <definedName name="bwrhrt_1_4">{#N/A,#N/A,FALSE,"PGW"}</definedName>
    <definedName name="bwrhrt_2">{#N/A,#N/A,FALSE,"PGW"}</definedName>
    <definedName name="bwrhrt_2_1">{#N/A,#N/A,FALSE,"PGW"}</definedName>
    <definedName name="bwrhrt_2_2">{#N/A,#N/A,FALSE,"PGW"}</definedName>
    <definedName name="bwrhrt_2_3">{#N/A,#N/A,FALSE,"PGW"}</definedName>
    <definedName name="bwrhrt_2_4">{#N/A,#N/A,FALSE,"PGW"}</definedName>
    <definedName name="bwrhrt_3">{#N/A,#N/A,FALSE,"PGW"}</definedName>
    <definedName name="bwrhrt_3_1">{#N/A,#N/A,FALSE,"PGW"}</definedName>
    <definedName name="bwrhrt_3_2">{#N/A,#N/A,FALSE,"PGW"}</definedName>
    <definedName name="bwrhrt_3_3">{#N/A,#N/A,FALSE,"PGW"}</definedName>
    <definedName name="bwrhrt_3_4">{#N/A,#N/A,FALSE,"PGW"}</definedName>
    <definedName name="bwrhrt_4">{#N/A,#N/A,FALSE,"PGW"}</definedName>
    <definedName name="bwrhrt_4_1">{#N/A,#N/A,FALSE,"PGW"}</definedName>
    <definedName name="bwrhrt_4_2">{#N/A,#N/A,FALSE,"PGW"}</definedName>
    <definedName name="bwrhrt_4_3">{#N/A,#N/A,FALSE,"PGW"}</definedName>
    <definedName name="bwrhrt_4_4">{#N/A,#N/A,FALSE,"PGW"}</definedName>
    <definedName name="bwrhrt_5">{#N/A,#N/A,FALSE,"PGW"}</definedName>
    <definedName name="by">#REF!</definedName>
    <definedName name="bzdg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anne">#REF!</definedName>
    <definedName name="C_Annexure">#REF!</definedName>
    <definedName name="C_C_A_C___BANK_OF_BARODA">#REF!</definedName>
    <definedName name="C_C_A_C___CENTRAL_BANK_OF_INDIA___BILL_DISCOUNTING">#REF!</definedName>
    <definedName name="C_C_A_C___SARASWAT_CO_OP_BANK">#REF!</definedName>
    <definedName name="c_Citiswitch">#REF!</definedName>
    <definedName name="c_date">#REF!</definedName>
    <definedName name="c_dateswitch">#REF!</definedName>
    <definedName name="c_pageswitch">#REF!</definedName>
    <definedName name="c_pathswitch">#REF!</definedName>
    <definedName name="c_proj_switch">#REF!</definedName>
    <definedName name="C_VND">0.03</definedName>
    <definedName name="C_YEN">0.1</definedName>
    <definedName name="CA">#REF!</definedName>
    <definedName name="CAA">#REF!</definedName>
    <definedName name="CAD00D">#REF!</definedName>
    <definedName name="CAD00S">#REF!</definedName>
    <definedName name="CAD0S">#REF!</definedName>
    <definedName name="CAD975A">#REF!</definedName>
    <definedName name="CAD97S">#REF!</definedName>
    <definedName name="CAD98D">#REF!</definedName>
    <definedName name="CAD98S">#REF!</definedName>
    <definedName name="CAD99D">#REF!</definedName>
    <definedName name="CAD99S">#REF!</definedName>
    <definedName name="CADOD">#REF!</definedName>
    <definedName name="cal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caldp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CalendarisationDate">#REF!</definedName>
    <definedName name="camb">#REF!</definedName>
    <definedName name="CANC_YTD_10CY">#REF!</definedName>
    <definedName name="CANC_YTD_10PY">#REF!</definedName>
    <definedName name="CANC_YTD_11CY">#REF!</definedName>
    <definedName name="CANC_YTD_11PY">#REF!</definedName>
    <definedName name="CANC_YTD_12CY">#REF!</definedName>
    <definedName name="CANC_YTD_12PY">#REF!</definedName>
    <definedName name="CANC_YTD_1CY">#REF!</definedName>
    <definedName name="CANC_YTD_1PY">#REF!</definedName>
    <definedName name="CANC_YTD_2CY">#REF!</definedName>
    <definedName name="CANC_YTD_2PY">#REF!</definedName>
    <definedName name="CANC_YTD_3CY">#REF!</definedName>
    <definedName name="CANC_YTD_3PY">#REF!</definedName>
    <definedName name="CANC_YTD_4CY">#REF!</definedName>
    <definedName name="CANC_YTD_4PY">#REF!</definedName>
    <definedName name="CANC_YTD_5CY">#REF!</definedName>
    <definedName name="CANC_YTD_5PY">#REF!</definedName>
    <definedName name="CANC_YTD_6CY">#REF!</definedName>
    <definedName name="CANC_YTD_6PY">#REF!</definedName>
    <definedName name="CANC_YTD_7CY">#REF!</definedName>
    <definedName name="CANC_YTD_7PY">#REF!</definedName>
    <definedName name="CANC_YTD_8CY">#REF!</definedName>
    <definedName name="CANC_YTD_8PY">#REF!</definedName>
    <definedName name="CANC_YTD_9CY">#REF!</definedName>
    <definedName name="CANC_YTD_9PY">#REF!</definedName>
    <definedName name="CANTEEN_EXPENSES">#REF!</definedName>
    <definedName name="CANTEEN_FURNITURE">#REF!</definedName>
    <definedName name="Cap">#REF!</definedName>
    <definedName name="Capacity">#REF!</definedName>
    <definedName name="CapacityPlan">#REF!</definedName>
    <definedName name="CAPBOH">#REF!</definedName>
    <definedName name="CapCase">#REF!</definedName>
    <definedName name="CAPEOH">#REF!</definedName>
    <definedName name="Capex">#REF!</definedName>
    <definedName name="capgains">#REF!</definedName>
    <definedName name="Capital">#REF!</definedName>
    <definedName name="CAPITAL_DESCR">#REF!</definedName>
    <definedName name="CAPITAL_EXPENDITURE">#REF!</definedName>
    <definedName name="CAPITAL_INPUT">#REF!</definedName>
    <definedName name="CAPITAL_RESERVE">#REF!</definedName>
    <definedName name="CAPITAL_TITLE">#REF!</definedName>
    <definedName name="CAPITAL_W.I.P.____CAPITAL_ADVANCES">#REF!</definedName>
    <definedName name="CapitalExpenditure">#REF!</definedName>
    <definedName name="Capture.Capture">#REF!</definedName>
    <definedName name="CARRIAGE_INWARD">#REF!</definedName>
    <definedName name="CARRIAGE_OUTWARD___FREIGHT">#REF!</definedName>
    <definedName name="Carrieraircon">#REF!</definedName>
    <definedName name="cartage">#REF!</definedName>
    <definedName name="cas">{#N/A,#N/A,FALSE,"10"}</definedName>
    <definedName name="CASCSAC">{#N/A,#N/A,FALSE,"TOWNSHIP"}</definedName>
    <definedName name="CASCSAC_1">{#N/A,#N/A,FALSE,"TOWNSHIP"}</definedName>
    <definedName name="CASCSAC_1_1">{#N/A,#N/A,FALSE,"TOWNSHIP"}</definedName>
    <definedName name="CASCSAC_1_2">{#N/A,#N/A,FALSE,"TOWNSHIP"}</definedName>
    <definedName name="CASCSAC_1_3">{#N/A,#N/A,FALSE,"TOWNSHIP"}</definedName>
    <definedName name="CASCSAC_1_4">{#N/A,#N/A,FALSE,"TOWNSHIP"}</definedName>
    <definedName name="CASCSAC_2">{#N/A,#N/A,FALSE,"TOWNSHIP"}</definedName>
    <definedName name="CASCSAC_2_1">{#N/A,#N/A,FALSE,"TOWNSHIP"}</definedName>
    <definedName name="CASCSAC_2_2">{#N/A,#N/A,FALSE,"TOWNSHIP"}</definedName>
    <definedName name="CASCSAC_2_3">{#N/A,#N/A,FALSE,"TOWNSHIP"}</definedName>
    <definedName name="CASCSAC_2_4">{#N/A,#N/A,FALSE,"TOWNSHIP"}</definedName>
    <definedName name="CASCSAC_3">{#N/A,#N/A,FALSE,"TOWNSHIP"}</definedName>
    <definedName name="CASCSAC_3_1">{#N/A,#N/A,FALSE,"TOWNSHIP"}</definedName>
    <definedName name="CASCSAC_3_2">{#N/A,#N/A,FALSE,"TOWNSHIP"}</definedName>
    <definedName name="CASCSAC_3_3">{#N/A,#N/A,FALSE,"TOWNSHIP"}</definedName>
    <definedName name="CASCSAC_3_4">{#N/A,#N/A,FALSE,"TOWNSHIP"}</definedName>
    <definedName name="CASCSAC_4">{#N/A,#N/A,FALSE,"TOWNSHIP"}</definedName>
    <definedName name="CASCSAC_4_1">{#N/A,#N/A,FALSE,"TOWNSHIP"}</definedName>
    <definedName name="CASCSAC_4_2">{#N/A,#N/A,FALSE,"TOWNSHIP"}</definedName>
    <definedName name="CASCSAC_4_3">{#N/A,#N/A,FALSE,"TOWNSHIP"}</definedName>
    <definedName name="CASCSAC_4_4">{#N/A,#N/A,FALSE,"TOWNSHIP"}</definedName>
    <definedName name="CASCSAC_5">{#N/A,#N/A,FALSE,"TOWNSHIP"}</definedName>
    <definedName name="CASE_STUDY">#REF!</definedName>
    <definedName name="CASE1">#REF!</definedName>
    <definedName name="CASE2">#REF!</definedName>
    <definedName name="CaseTitle">#REF!</definedName>
    <definedName name="cash">#REF!</definedName>
    <definedName name="CASH___BANK_BALANCES">#REF!</definedName>
    <definedName name="CASH_DISCOUNT">#REF!</definedName>
    <definedName name="Cash_flow_for_DCF">#REF!</definedName>
    <definedName name="cashfformat">#REF!</definedName>
    <definedName name="CASHFLOW">#REF!</definedName>
    <definedName name="CashFlow_Local_currency">#REF!</definedName>
    <definedName name="cashflow2">{#N/A,#N/A,FALSE,"10"}</definedName>
    <definedName name="CashFlowProf">#REF!</definedName>
    <definedName name="CASHFLOWWORKING">#REF!</definedName>
    <definedName name="CAT">#REF!</definedName>
    <definedName name="CAT6BM004">#REF!</definedName>
    <definedName name="catalyst">#REF!</definedName>
    <definedName name="Category">#REF!</definedName>
    <definedName name="Category_Table">#REF!</definedName>
    <definedName name="category22">{"fdsup://Directions/FactSet Auditing Viewer?action=AUDIT_VALUE&amp;DB=129&amp;ID1=626187&amp;VALUEID=01250&amp;SDATE=2007&amp;PERIODTYPE=ANN_STD&amp;window=popup_no_bar&amp;width=385&amp;height=120&amp;START_MAXIMIZED=FALSE&amp;creator=factset&amp;display_string=Audit"}</definedName>
    <definedName name="cb_Add_CalloutChart_24_opts">"1, 9, 1, False, 2, False, False, , 0, False, False, 1, 1"</definedName>
    <definedName name="cb_Add_CalloutChart_25_opts">"1, 10, 1, False, 2, False, False, , 0, False, True, 1, 1"</definedName>
    <definedName name="cb_Add_CalloutChart_26_opts">"1, 9, 1, False, 2, False, False, , 0, False, True, 1, 1"</definedName>
    <definedName name="cb_ALT_STACKED_COLUMNChart_22_opts">"1, 3, 1, False, 2, True, False, , 0, False, True, 1, 2"</definedName>
    <definedName name="cb_ALT_STACKED_COLUMNChart_23_opts">"1, 3, 1, False, 2, True, False, , 0, False, True, 1, 2"</definedName>
    <definedName name="cb_bChart595EC34_opts">"1, 9, 1, False, 2, False, False, , 0, False, True, 1, 1"</definedName>
    <definedName name="cb_bChart9876793_opts">"1, 2, 1, False, 2, False, False, , 0, False, False, 2, 2"</definedName>
    <definedName name="cb_Chart_1_opts">"1, 5, 1, False, 2, True, False, , 0, False, False, 1, 1"</definedName>
    <definedName name="cb_Chart_10_opts">"1, 8, 1, False, 2, False, False, , 0, False, False, 2, 2"</definedName>
    <definedName name="cb_Chart_100032_opts">"1, 10, 1, False, 2, True, False, , 0, False, False, 2, 2"</definedName>
    <definedName name="cb_Chart_10104_opts">"1, 5, 1, False, 2, True, False, , 0, True, False, 2, 1"</definedName>
    <definedName name="cb_Chart_10401_opts">"1, 5, 1, False, 2, False, False, , 0, True, False, 2, 1"</definedName>
    <definedName name="cb_Chart_10736_opts">"1, 10, 1, False, 2, False, False, , 0, False, False, 2, 2"</definedName>
    <definedName name="cb_Chart_11_opts">"1, 1, 1, False, 2, False, False, , 0, False, False, 2, 2"</definedName>
    <definedName name="cb_Chart_12_opts">"1, 8, 1, False, 2, False, False, , 0, False, False, 2, 2"</definedName>
    <definedName name="cb_Chart_13_opts">"1, 8, 1, False, 2, False, False, , 0, False, False, 2, 2"</definedName>
    <definedName name="cb_Chart_14_opts">"1, 8, 1, False, 2, False, False, , 0, False, False, 2, 2"</definedName>
    <definedName name="cb_Chart_15_opts">"2, 1, 2, True, 2, False, False, , 0, False, True, 1, 2"</definedName>
    <definedName name="cb_Chart_1501_opts">"1, 10, 1, False, 2, True, False, , 0, False, False, 2, 2"</definedName>
    <definedName name="cb_Chart_16_opts">"1, 8, 1, False, 2, False, False, , 0, False, False, 2, 2"</definedName>
    <definedName name="cb_Chart_1670_opts">"1, 5, 1, False, 2, True, False, , 0, False, False, 2, 1"</definedName>
    <definedName name="cb_Chart_17_opts">"1, 6, 1, False, 2, False, False, , 0, False, True, 2, 2"</definedName>
    <definedName name="cb_Chart_18_opts">"1, 9, 1, False, 2, False, False, , 0, False, False, 1, 1"</definedName>
    <definedName name="cb_Chart_19_opts">"1, 2, 1, False, 2, True, False, , 0, True, False, 2, 1"</definedName>
    <definedName name="cb_Chart_1opts1">"1, 9, 1, False, 2, False, True, , 1, False, True, 1, 1"</definedName>
    <definedName name="cb_Chart_2">#REF!</definedName>
    <definedName name="cb_Chart_2_opts">"1, 1, 1, False, 2, False, False, , 0, False, False, 1, 1"</definedName>
    <definedName name="cb_Chart_20_opts">"1, 9, 1, False, 2, False, False, , 0, False, False, 1, 1"</definedName>
    <definedName name="cb_Chart_21_opts">"1, 2, 1, False, 2, False, False, , 0, False, False, 2, 1"</definedName>
    <definedName name="cb_Chart_22_opts">"1, 2, 1, False, 2, True, False, , 0, False, False, 2, 1"</definedName>
    <definedName name="cb_Chart_22784_opts">"1, 9, 1, False, 2, False, False, , 0, False, True, 1, 2"</definedName>
    <definedName name="cb_Chart_23_opts">"1, 9, 1, False, 2, False, False, , 0, False, False, 1, 1"</definedName>
    <definedName name="cb_Chart_24">#REF!</definedName>
    <definedName name="cb_Chart_24_opts">"1, 2, 1, False, 2, False, False, , 0, False, False, 2, 1"</definedName>
    <definedName name="cb_Chart_24490_opts">"1, 10, 1, False, 2, True, False, , 0, False, False, 2, 2"</definedName>
    <definedName name="cb_Chart_25_opts">"1, 3, 1, False, 2, False, False, , 0, True, True, 1, 2"</definedName>
    <definedName name="cb_Chart_26">#REF!</definedName>
    <definedName name="cb_Chart_26_opts">"1, 8, 1, False, 2, False, False, , 0, False, False, 2, 2"</definedName>
    <definedName name="cb_Chart_26476_opts">"1, 1, 1, False, 2, True, False, , 0, False, False, 1, 2"</definedName>
    <definedName name="cb_Chart_27_opts">"1, 1, 1, False, 2, True, False, , 0, False, True, 1, 2"</definedName>
    <definedName name="cb_Chart_28_opts">"1, 3, 1, False, 2, True, False, , 0, False, True, 1, 2"</definedName>
    <definedName name="cb_Chart_28031_opts">"1, 1, 1, False, 2, True, False, , 0, False, False, 1, 2"</definedName>
    <definedName name="cb_Chart_28545_opts">"1, 5, 1, False, 2, True, False, , 0, False, True, 2, 1"</definedName>
    <definedName name="cb_Chart_29_opts">"1, 3, 1, False, 2, False, False, , 0, False, False, 1, 1"</definedName>
    <definedName name="cb_Chart_29053_opts">"1, 10, 1, False, 2, True, False, , 0, False, False, 2, 2"</definedName>
    <definedName name="cb_Chart_29913_opts">"1, 1, 1, False, 2, False, False, , 0, False, False, 1, 1"</definedName>
    <definedName name="cb_Chart_3">#REF!</definedName>
    <definedName name="cb_Chart_3_opts">"1, 1, 1, False, 2, False, False, , 0, False, False, 1, 1"</definedName>
    <definedName name="cb_Chart_30_opts">"1, 3, 1, False, 2, True, False, , 0, False, True, 1, 2"</definedName>
    <definedName name="cb_Chart_30292_opts">"1, 1, 1, False, 2, False, False, , 0, False, False, 1, 2"</definedName>
    <definedName name="cb_Chart_31_opts">"1, 1, 1, False, 2, True, False, , 0, True, True, 2, 2"</definedName>
    <definedName name="cb_Chart_32_opts">"1, 1, 1, False, 2, True, False, , 0, False, False, 2, 2"</definedName>
    <definedName name="cb_Chart_33_opts">"1, 1, 1, False, 2, True, False, , 0, False, True, 3, 2"</definedName>
    <definedName name="cb_Chart_34_opts">"1, 3, 1, False, 2, True, False, , 0, False, True, 2, 1"</definedName>
    <definedName name="cb_Chart_36498_opts">"1, 1, 1, False, 2, True, False, , 0, False, False, 1, 2"</definedName>
    <definedName name="cb_Chart_37450_opts">"1, 10, 1, False, 2, True, False, , 0, False, False, 2, 2"</definedName>
    <definedName name="cb_Chart_4_opts">"1, 7, 1, False, 2, False, False, , 0, False, True, 1, 2"</definedName>
    <definedName name="cb_Chart_40_opts">"1, 1, 1, False, 2, False, False, , 0, False, False, 3, 2"</definedName>
    <definedName name="cb_Chart_41_opts">"1, 10, 1, False, 2, True, False, , 0, False, False, 2, 1"</definedName>
    <definedName name="cb_Chart_41499_opts">"1, 10, 1, False, 2, True, False, , 0, False, False, 2, 2"</definedName>
    <definedName name="cb_Chart_42_opts">"1, 3, 1, False, 2, True, False, , 0, False, True, 1, 2"</definedName>
    <definedName name="cb_Chart_43_opts">"1, 10, 1, False, 2, True, False, , 0, False, False, 2, 1"</definedName>
    <definedName name="cb_Chart_4634_opts">"1, 10, 1, False, 2, True, False, , 0, False, False, 2, 2"</definedName>
    <definedName name="cb_Chart_4664_opts">"1, 5, 1, False, 2, True, False, , 0, False, True, 1, 2"</definedName>
    <definedName name="cb_Chart_46965_opts">"1, 1, 1, False, 2, False, False, , 0, False, False, 1, 1"</definedName>
    <definedName name="cb_Chart_48_opts">"2, 1, 2, True, 2, False, False, , 0, False, True, 1, 1"</definedName>
    <definedName name="cb_Chart_49_opts">"2, 1, 2, True, 2, False, False, , 0, False, True, 1, 1"</definedName>
    <definedName name="cb_Chart_5_opts">"1, 8, 1, False, 2, False, False, , 0, False, False, 1, 2"</definedName>
    <definedName name="cb_Chart_50_opts">"2, 1, 2, True, 2, False, False, , 0, False, True, 1, 1"</definedName>
    <definedName name="cb_Chart_51_opts">"1, 2, 1, False, 2, False, False, , 0, False, False, 2, 1"</definedName>
    <definedName name="cb_Chart_52_opts">"1, 2, 1, False, 2, False, False, , 0, False, False, 2, 1"</definedName>
    <definedName name="cb_Chart_52582_opts">"1, 1, 1, False, 2, False, False, , 0, False, False, 1, 2"</definedName>
    <definedName name="cb_Chart_53_opts">"1, 9, 1, False, 2, False, True, , 3, False, False, 1, 1"</definedName>
    <definedName name="cb_Chart_53437_opts">"1, 10, 1, False, 2, True, False, , 0, False, False, 2, 2"</definedName>
    <definedName name="cb_Chart_53482_opts">"1, 10, 1, False, 2, True, False, , 0, False, False, 2, 2"</definedName>
    <definedName name="cb_Chart_54_opts">"1, 2, 1, False, 2, False, False, , 0, False, False, 2, 1"</definedName>
    <definedName name="cb_Chart_5449_opts">"1, 1, 1, False, 2, False, False, , 0, False, False, 1, 1"</definedName>
    <definedName name="cb_Chart_55_opts">"1, 7, 1, False, 2, False, False, , 0, False, True, 2, 2"</definedName>
    <definedName name="cb_Chart_5723_opts">"1, 1, 1, False, 2, True, False, , 0, False, True, 1, 2"</definedName>
    <definedName name="cb_Chart_57613_opts">"1, 5, 1, False, 2, True, False, , 0, False, True, 2, 1"</definedName>
    <definedName name="cb_Chart_58046_opts">"1, 10, 1, False, 2, True, False, , 0, False, False, 2, 2"</definedName>
    <definedName name="cb_Chart_59010_opts">"1, 2, 1, False, 2, False, False, , 0, False, False, 2, 1"</definedName>
    <definedName name="cb_Chart_59340_opts">"1, 1, 1, False, 2, False, False, , 0, False, False, 1, 1"</definedName>
    <definedName name="cb_Chart_6">#REF!</definedName>
    <definedName name="cb_Chart_6_opts">"1, 10, 1, False, 2, True, False, , 0, False, False, 2, 2"</definedName>
    <definedName name="cb_Chart_62364_opts">"1, 1, 1, False, 2, True, False, , 0, False, False, 1, 2"</definedName>
    <definedName name="cb_Chart_64876_opts">"1, 1, 1, False, 2, True, False, , 0, False, False, 1, 2"</definedName>
    <definedName name="cb_Chart_66_opts">"1, 1, 1, False, 2, False, False, , 0, False, False, 1, 1"</definedName>
    <definedName name="cb_Chart_67711_opts">"1, 10, 1, False, 2, True, False, , 0, False, False, 2, 2"</definedName>
    <definedName name="cb_Chart_69605_opts">"1, 2, 1, False, 2, False, False, , 0, False, False, 2, 1"</definedName>
    <definedName name="cb_Chart_7">#REF!</definedName>
    <definedName name="cb_Chart_7_opts">"2, 1, 2, True, 2, False, False, , 0, False, True, 1, 2"</definedName>
    <definedName name="cb_Chart_70_opts">"1, 10, 1, False, 2, True, False, , 0, False, False, 1, 1"</definedName>
    <definedName name="cb_Chart_70648_opts">"1, 1, 1, False, 2, True, False, , 0, False, False, 2, 2"</definedName>
    <definedName name="cb_Chart_70997_opts">"1, 10, 1, False, 2, False, False, , 0, False, False, 1, 1"</definedName>
    <definedName name="cb_Chart_71_opts">"1, 10, 1, False, 2, False, False, , 0, False, False, 1, 1"</definedName>
    <definedName name="cb_Chart_72_opts">"1, 10, 1, False, 2, True, False, , 0, False, False, 1, 1"</definedName>
    <definedName name="cb_Chart_73_opts">"1, 10, 1, False, 2, False, False, , 0, False, False, 1, 1"</definedName>
    <definedName name="cb_Chart_76165_opts">"1, 10, 1, False, 2, True, False, , 0, False, False, 2, 2"</definedName>
    <definedName name="cb_Chart_76804_opts">"1, 1, 1, False, 2, False, False, , 0, False, False, 1, 1"</definedName>
    <definedName name="cb_Chart_77567_opts">"1, 10, 1, False, 2, False, False, , 0, False, False, 1, 1"</definedName>
    <definedName name="cb_Chart_79140_opts">"1, 10, 1, False, 2, True, False, , 0, False, False, 2, 2"</definedName>
    <definedName name="cb_Chart_79981_opts">"1, 5, 1, False, 2, True, False, , 0, True, False, 2, 1"</definedName>
    <definedName name="cb_Chart_8_opts">"1, 7, 1, False, 2, False, False, , 0, False, True, 2, 2"</definedName>
    <definedName name="cb_Chart_81541_opts">"1, 10, 1, False, 2, True, False, , 0, False, False, 2, 2"</definedName>
    <definedName name="cb_Chart_82552_opts">"1, 1, 1, False, 2, True, False, , 0, False, False, 1, 2"</definedName>
    <definedName name="cb_Chart_83072_opts">"1, 1, 1, False, 2, True, False, , 0, False, False, 1, 2"</definedName>
    <definedName name="cb_Chart_86354_opts">"1, 10, 1, False, 2, False, False, , 0, False, False, 1, 1"</definedName>
    <definedName name="cb_Chart_87236_opts">"1, 1, 1, False, 2, True, False, , 0, False, False, 1, 2"</definedName>
    <definedName name="cb_Chart_9_opts">"1, 8, 1, False, 2, False, False, , 0, False, False, 1, 1"</definedName>
    <definedName name="cb_Chart_91188_opts">"1, 8, 1, False, 2, False, False, , 0, False, False, 1, 2"</definedName>
    <definedName name="cb_Chart_95047_opts">"1, 1, 1, False, 2, False, False, , 0, False, False, 1, 2"</definedName>
    <definedName name="cb_Chart_96286_opts">"1, 10, 1, False, 2, True, False, , 0, False, False, 2, 2"</definedName>
    <definedName name="cb_Chart_98091_opts">"1, 2, 1, False, 2, False, False, , 0, False, False, 2, 1"</definedName>
    <definedName name="cb_Chart_98700_opts">"1, 8, 1, False, 2, False, False, , 0, False, False, 1, 2"</definedName>
    <definedName name="cb_Copy_Chart_w_New_DataChart_10_opts">"2, 1, 1, True, 4, False, False, , 0, False, False, 2, 2"</definedName>
    <definedName name="cb_Copy_Chart_w_New_DataChart_7_opts">"2, 1, 1, True, 4, False, False, , 0, False, False, 2, 2"</definedName>
    <definedName name="cb_Copy_Chart_w_New_DataChart_8_opts">"2, 1, 1, True, 4, False, False, , 0, False, False, 2, 2"</definedName>
    <definedName name="cb_Copy_Chart_w_New_DataChart_9_opts">"2, 1, 1, True, 4, False, False, , 0, False, False, 2, 2"</definedName>
    <definedName name="cb_Dimension_Pie_ChartsChart_1_opts">"1, 1, 1, False, 2, True, False, , 0, False, False, 2, 2"</definedName>
    <definedName name="cb_Dimension_Pie_ChartsChart_2_opts">"1, 10, 1, False, 2, True, False, , 0, False, False, 2, 2"</definedName>
    <definedName name="cb_Export_LegendChart_14_opts">"1, 10, 1, False, 2, True, False, , 0, False, False, 2, 2"</definedName>
    <definedName name="cb_Export_LegendChart_15_opts">"1, 10, 1, False, 2, True, False, , 0, False, False, 2, 2"</definedName>
    <definedName name="cb_PieChart_16_opts">"1, 10, 1, False, 2, True, False, , 0, False, False, 2, 2"</definedName>
    <definedName name="cb_sChart_1501_opts">"1, 1, 1, False, 2, True, False, , 0, False, False, 1, 2"</definedName>
    <definedName name="cb_sChart_26476_opts">"1, 4, 1, False, 2, True, False, , 0, False, False, 1, 2"</definedName>
    <definedName name="cb_sChart_28031_opts">"1, 4, 1, False, 2, True, False, , 0, False, False, 1, 1"</definedName>
    <definedName name="cb_sChart_29053_opts">"1, 2, 1, False, 2, False, False, , 0, False, False, 2, 1"</definedName>
    <definedName name="cb_sChart_29913_opts">"1, 3, 1, False, 2, False, False, , 0, False, True, 2, 2"</definedName>
    <definedName name="cb_sChart_30292_opts">"1, 1, 1, False, 2, True, False, , 0, False, False, 1, 2"</definedName>
    <definedName name="cb_sChart_36498_opts">"1, 3, 1, False, 2, False, False, , 0, False, False, 1, 2"</definedName>
    <definedName name="cb_sChart_37450_opts">"1, 5, 1, False, 2, True, False, , 0, False, True, 2, 1"</definedName>
    <definedName name="cb_sChart_41499_opts">"1, 2, 1, False, 2, False, False, , 0, False, False, 2, 1"</definedName>
    <definedName name="cb_sChart_4634_opts">"1, 2, 1, False, 2, False, False, , 0, False, False, 2, 1"</definedName>
    <definedName name="cb_sChart_46965_opts">"1, 1, 1, False, 2, False, False, , 0, False, False, 1, 1"</definedName>
    <definedName name="cb_sChart_52582_opts">"1, 5, 1, False, 2, False, False, , 0, False, True, 1, 2"</definedName>
    <definedName name="cb_sChart_53437_opts">"1, 9, 1, False, 2, False, False, , 0, False, True, 2, 2"</definedName>
    <definedName name="cb_sChart_5449_opts">"1, 3, 1, False, 2, False, False, , 0, False, True, 2, 2"</definedName>
    <definedName name="cb_sChart_5723_opts">"1, 3, 1, False, 2, False, False, , 0, False, True, 2, 2"</definedName>
    <definedName name="cb_sChart_58046_opts">"1, 9, 1, False, 2, False, False, , 0, False, True, 2, 2"</definedName>
    <definedName name="cb_sChart_59010_opts">"1, 5, 1, False, 2, True, False, , 0, False, False, 2, 1"</definedName>
    <definedName name="cb_sChart_59340_opts">"1, 3, 1, False, 2, False, False, , 0, False, True, 2, 2"</definedName>
    <definedName name="cb_sChart_62364_opts">"1, 3, 1, False, 2, False, False, , 0, False, True, 2, 2"</definedName>
    <definedName name="cb_sChart_64876_opts">"1, 5, 1, False, 2, True, False, , 0, False, False, 2, 2"</definedName>
    <definedName name="cb_sChart_70648_opts">"1, 8, 1, False, 2, False, False, , 0, False, False, 2, 2"</definedName>
    <definedName name="cb_sChart_70997_opts">"1, 2, 1, False, 2, False, False, , 0, False, False, 2, 1"</definedName>
    <definedName name="cb_sChart_76165_opts">"1, 2, 1, False, 2, False, False, , 0, False, False, 2, 1"</definedName>
    <definedName name="cb_sChart_76804_opts">"1, 3, 1, False, 2, False, False, , 0, False, True, 2, 2"</definedName>
    <definedName name="cb_sChart_77567_opts">"1, 1, 1, False, 2, True, False, , 0, False, False, 1, 2"</definedName>
    <definedName name="cb_sChart_79140_opts">"1, 5, 1, False, 2, False, False, , 0, False, True, 2, 1"</definedName>
    <definedName name="cb_sChart_81541_opts">"1, 2, 1, False, 2, False, False, , 0, False, False, 2, 1"</definedName>
    <definedName name="cb_sChart_82552_opts">"1, 4, 1, False, 2, True, False, , 0, False, False, 2, 1"</definedName>
    <definedName name="cb_sChart_83072_opts">"1, 4, 1, False, 2, True, False, , 0, False, False, 2, 1"</definedName>
    <definedName name="cb_sChart_86354_opts">"1, 4, 1, False, 2, True, False, , 0, False, False, 1, 1"</definedName>
    <definedName name="cb_sChart_87236_opts">"1, 1, 1, False, 2, False, False, , 0, False, False, 1, 1"</definedName>
    <definedName name="cb_sChart_95047_opts">"1, 6, 1, False, 2, False, False, , 0, False, True, 2, 2"</definedName>
    <definedName name="cb_sChart_96286_opts">"1, 2, 1, False, 2, False, False, , 0, False, False, 2, 1"</definedName>
    <definedName name="cb_sChart105F0196_opts">"1, 2, 1, False, 2, False, False, , 1,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83A2_opts">"1, 1, 1, False, 2, False, False, , 0, False, True, 2, 2"</definedName>
    <definedName name="cb_sChart12D852C_opts">"1, 1, 1, False, 2, False, False, , 0, False, True, 2, 2"</definedName>
    <definedName name="cb_sChart12D89EB_opts">"1, 1, 1, False, 2, False, False, , 0, False, True, 2, 2"</definedName>
    <definedName name="cb_sChart12DAD51_opts">"1, 1, 1, False, 2, False, False, , 0, False, True, 2, 2"</definedName>
    <definedName name="cb_sChart12E7B7B_opts">"1, 1, 1, False, 2, True, False, , 0, False, True, 2, 2"</definedName>
    <definedName name="cb_sChart12E83C1_opts">"1, 1, 1, False, 2, False, False, , 0, False, True, 2, 1"</definedName>
    <definedName name="cb_sChart12E85B3_opts">"1, 1, 1, False, 2, False, False, , 0, False, True, 2, 2"</definedName>
    <definedName name="cb_sChart12E8C9E_opts">"1, 2, 1, False, 2, False, False, , 0, False, False, 2, 1"</definedName>
    <definedName name="cb_sChart12EA8E0_opts">"1, 1, 1, False, 2, True, False, , 0, False, False, 2, 2"</definedName>
    <definedName name="cb_sChart12EB078_opts">"1, 1, 1, False, 2, False, False, , 0, False, False, 2, 2"</definedName>
    <definedName name="cb_sChart12EBD15_opts">"1, 1, 1, False, 2, False, False, , 0, False, False, 2, 2"</definedName>
    <definedName name="cb_sChart12FE48A_opts">"1, 2, 1, False, 2, False, False, , 0, False, False, 2, 1"</definedName>
    <definedName name="cb_sChart12FE9EB_opts">"1, 1, 1, False, 2, False, False, , 0, False, False, 1, 2"</definedName>
    <definedName name="cb_sChart12FEDFD_opts">"1, 1, 1, False, 2, False, False, , 0, False, False, 1, 2"</definedName>
    <definedName name="cb_sChart12FF231_opts">"1, 1, 1, False, 2, False, False, , 0, False, False, 1, 2"</definedName>
    <definedName name="cb_sChart12FF8BF_opts">"1, 1, 1, False, 2, False, False, , 0, False, False, 1, 2"</definedName>
    <definedName name="cb_sChart12FF933_opts">"1, 3, 1, False, 2, False, False, , 0, False, False, 1, 2"</definedName>
    <definedName name="cb_sChart12FFC46_opts">"1, 1, 1, False, 2, False, False, , 0, False, False, 1, 2"</definedName>
    <definedName name="cb_sChart1392F7EF_opts">"1, 1, 1, False, 2, False, False, , 0, False, False, 1, 1"</definedName>
    <definedName name="cb_sChart1392FB30_opts">"1, 1, 1, False, 2, False, False, , 0, False, False, 1, 1"</definedName>
    <definedName name="cb_sChart1392FCDC_opts">"1, 1, 1, False, 2, False, False, , 0, False, False, 1, 1"</definedName>
    <definedName name="cb_sChart1392FDFD_opts">"1, 1, 1, False, 2, False, False, , 0, False, False, 1, 1"</definedName>
    <definedName name="cb_sChart13936FE1_opts">"1, 1, 1, False, 2, False, False, , 0, False, False, 1, 1"</definedName>
    <definedName name="cb_sChart1489E789_opts">"2, 1, 2, True, 2, False, False, , 0, False, True, 2, 2"</definedName>
    <definedName name="cb_sChart1489EC54_opts">"2, 1, 2, True, 2, False, False, , 0, False, True, 2, 2"</definedName>
    <definedName name="cb_sChart14E6EA1E_opts">"1, 9, 1, False, 2, False, False, , 0, False, False, 1, 2"</definedName>
    <definedName name="cb_sChart14E6EB91_opts">"1, 9, 1, False, 2, False, False, , 0, False, False, 1, 1"</definedName>
    <definedName name="cb_sChart14E6ED99_opts">"1, 9, 1, False, 2, False, False, , 0, False, False, 1, 1"</definedName>
    <definedName name="cb_sChart14E6F3EE_opts">"1, 9, 1, False, 2, False, False, , 0, False, False, 1, 1"</definedName>
    <definedName name="cb_sChart14E81502_opts">"1, 9, 1, False, 2, False, False, , 0, False, False, 1, 2"</definedName>
    <definedName name="cb_sChart14E81DF6_opts">"1, 9, 1, False, 2, False, False, , 0, False, False, 1, 2"</definedName>
    <definedName name="cb_sChart14E82800_opts">"1, 9, 1, False, 2, False, False, , 0, False, False, 1, 2"</definedName>
    <definedName name="cb_sChart14E83288_opts">"1, 9, 1, False, 2, False, False, , 0, False, False, 1, 2"</definedName>
    <definedName name="cb_sChart14E8F629_opts">"1, 9, 1, False, 2, False, False, , 0, False, False, 1, 2"</definedName>
    <definedName name="cb_sChart14F787E8_opts">"1, 9, 1, False, 2, False, False, , 0, False, False, 1, 2"</definedName>
    <definedName name="cb_sChart14F7947A_opts">"1, 9, 1, False, 2, False, False, , 0, False, False, 1, 2"</definedName>
    <definedName name="cb_sChart14F79A09_opts">"1, 9, 1, False, 2, False, False, , 0, False, False, 1, 2"</definedName>
    <definedName name="cb_sChart14FA60AB_opts">"1, 9, 1, False, 2, False, False, , 0, False, False, 1, 2"</definedName>
    <definedName name="cb_sChart14FA650D_opts">"1, 9, 1, False, 2, False, False, , 0, False, False, 1, 2"</definedName>
    <definedName name="cb_sChart1501ACE3_opts">"1, 8, 1, False, 2, False, False, , 0, False, False, 1, 2"</definedName>
    <definedName name="cb_sChart1501AEF7_opts">"1, 9, 1, False, 2, False, False, , 0, False, False, 1, 2"</definedName>
    <definedName name="cb_sChart1501DCE6_opts">"1, 9, 1, False, 2, False, False, , 0, False, False, 1, 2"</definedName>
    <definedName name="cb_sChart1501EF92_opts">"1, 9, 1, False, 2, False, False, , 0, False, False, 1, 2"</definedName>
    <definedName name="cb_sChart1501F8CB_opts">"1, 9, 1, False, 2, False, False, , 0, False, False, 1, 2"</definedName>
    <definedName name="cb_sChart150208AA_opts">"1, 9, 1, False, 2, False, False, , 0, False, False, 1, 2"</definedName>
    <definedName name="cb_sChart15020EC4_opts">"1, 9, 1, False, 2, False, False, , 0, False, False, 1, 2"</definedName>
    <definedName name="cb_sChart150212BF_opts">"1, 9, 1, False, 2, False, False, , 0, False, False, 1, 2"</definedName>
    <definedName name="cb_sChart15021F68_opts">"1, 9, 1, False, 2, False, False, , 0, False, False, 1, 1"</definedName>
    <definedName name="cb_sChart15022484_opts">"1, 9, 1, False, 2, False, False, , 0, False, False, 1, 2"</definedName>
    <definedName name="cb_sChart150226F5_opts">"1, 9, 1, False, 2, False, False, , 0, False, False, 1, 2"</definedName>
    <definedName name="cb_sChart15144595_opts">"1, 9, 1, False, 2, False, False, , 0, False, False, 1, 2"</definedName>
    <definedName name="cb_sChart15145615_opts">"1, 9, 1, False, 2, False, False, , 0, False, False, 1, 2"</definedName>
    <definedName name="cb_sChart151464B0_opts">"1, 9, 1, False, 2, False, False, , 0, False, False, 1, 2"</definedName>
    <definedName name="cb_sChart15146FA1_opts">"1, 9, 1, False, 2, False, False, , 0, False, False, 1, 2"</definedName>
    <definedName name="cb_sChart15149A94_opts">"1, 9, 1, False, 2, False, False, , 0, False, False, 1, 2"</definedName>
    <definedName name="cb_sChart1514EEC3_opts">"1, 9, 1, False, 2, False, False, , 0, False, False, 1, 2"</definedName>
    <definedName name="cb_sChart1514F2E0_opts">"1, 9, 1, False, 2, False, False, , 0, False, False, 1, 2"</definedName>
    <definedName name="cb_sChart151510A0_opts">"1, 9, 1, False, 2, False, False, , 0, False, False, 1, 2"</definedName>
    <definedName name="cb_sChart15154C37_opts">"1, 9, 1, False, 2, False, False, , 0, False, False, 1, 2"</definedName>
    <definedName name="cb_sChart15157034_opts">"1, 9, 1, False, 2, False, False, , 0, False, False, 1, 2"</definedName>
    <definedName name="cb_sChart1515F81B_opts">"1, 9, 1, False, 2, False, False, , 0, False, False, 1, 2"</definedName>
    <definedName name="cb_sChart1515F9EA_opts">"1, 9, 1, False, 2, False, False, , 0, False, False, 1, 2"</definedName>
    <definedName name="cb_sChart15161029_opts">"1, 9, 1, False, 2, False, False, , 0, False, False, 1, 2"</definedName>
    <definedName name="cb_sChart15163773_opts">"1, 9, 1, False, 2, False, False, , 0, False, False, 1, 2"</definedName>
    <definedName name="cb_sChart15164F8C_opts">"1, 9, 1, False, 2, False, False, , 0, False, False, 1, 2"</definedName>
    <definedName name="cb_sChart15165265_opts">"1, 9, 1, False, 2, False, False, , 0, False, False, 1, 2"</definedName>
    <definedName name="cb_sChart15166173_opts">"1, 9, 1, False, 2, False, False, , 0, False, False, 1, 2"</definedName>
    <definedName name="cb_sChart1516A84C_opts">"1, 9, 1, False, 2, False, False, , 0, False, False, 1, 2"</definedName>
    <definedName name="cb_sChart16EBA7BA_opts">"1, 1, 1, False, 2, True, False, , 0, False, True, 1, 2"</definedName>
    <definedName name="cb_sChart181056D9_opts">"1, 1, 1, False, 2, True, False, , 0, False, False, 1, 2"</definedName>
    <definedName name="cb_sChart181DCCD8_opts">"1, 9, 1, False, 2, False, False, , 0, False, True, 1, 2"</definedName>
    <definedName name="cb_sChart181DCFF7_opts">"1, 3, 1, False, 2, True, False, , 0, True, True, 2, 1"</definedName>
    <definedName name="cb_sChart181DDD93_opts">"1, 3, 1, False, 2, True, False, , 0, True, True, 2, 1"</definedName>
    <definedName name="cb_sChart181DDEEE_opts">"1, 3, 1, False, 2, True, False, , 0, True, True, 2, 1"</definedName>
    <definedName name="cb_sChart181DE1C7_opts">"1, 10, 1, False, 2, True, False, , 0, False, True, 2, 1"</definedName>
    <definedName name="cb_sChart181E8791_opts">"2, 1, 2, True, 2, True, False, , 0, False, True, 1, 2"</definedName>
    <definedName name="cb_sChart181E96D9_opts">"1, 9, 1, False, 2, False, False, , 0, False, True, 1, 2"</definedName>
    <definedName name="cb_sChart181F8633_opts">"1, 1, 1, False, 2, False, False, , 0, False, True,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9EB7A17_opts">"1, 3, 1, False, 2, False, False, , 0, False, True, 1, 1"</definedName>
    <definedName name="cb_sChart19EB7D70_opts">"1, 5, 1, False, 2, False, False, , 0, False, True, 1, 1"</definedName>
    <definedName name="cb_sChart19EB7F61_opts">"1, 3, 1, False, 2, False, False, , 0, False, True, 1, 1"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_sChart1B7AB11_opts">"1, 7, 1, False, 2, False, False, , 0, False, True, 1, 1"</definedName>
    <definedName name="cb_sChart1B7ECF0_opts">"1, 9, 1, False, 2, False, False, , 0, False, False, 1, 1"</definedName>
    <definedName name="cb_sChart1B8AF1F_opts">"1, 9, 1, False, 2, False, True, , 0, False, False, 1, 1"</definedName>
    <definedName name="cb_sChart1B99DE1_opts">"1, 7, 1, False, 2, False, False, , 0, False, True, 1, 2"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BA8AA_opts">"1, 1, 1, False, 2, False, False, , 0, False, False, 1, 2"</definedName>
    <definedName name="cb_sChart1BADD1_opts">"1, 1, 1, False, 2, False, False, , 0, False, False, 2, 2"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AAAF_opts">"1, 1, 1, False, 2, False, False, , 0, False, False, 3, 2"</definedName>
    <definedName name="cb_sChart1D05BD_opts">"1, 4, 1, False, 2, True, False, , 0, False, False, 2, 1"</definedName>
    <definedName name="cb_sChart1D0E49_opts">"1, 1, 1, False, 2, True, False, , 0, False, True, 2, 1"</definedName>
    <definedName name="cb_sChart1D0EF7_opts">"1, 5, 1, False, 2, True, False, , 0, False, True, 2, 1"</definedName>
    <definedName name="cb_sChart1D3AE8_opts">"1, 6, 1, False, 2, False, False, , 0, False, True, 2, 2"</definedName>
    <definedName name="cb_sChart1D3EEF_opts">"1, 7, 1, False, 2, False, False, , 0, False, True, 2, 2"</definedName>
    <definedName name="cb_sChart1D41EA_opts">"1, 8, 1, False, 2, False, False, , 0, False, False, 2, 2"</definedName>
    <definedName name="cb_sChart1D5891_opts">"1, 9, 1, False, 2, False, False, , 0, False, True, 2, 2"</definedName>
    <definedName name="cb_sChart1D9CE2_opts">"1, 10, 1, False, 2, True, False, , 0, False, False, 2, 2"</definedName>
    <definedName name="cb_sChart1DA03A_opts">"2, 1, 1, True, 3, False, False, , 0, False, True, 1, 2"</definedName>
    <definedName name="cb_sChart1DA590_opts">"2, 1, 1, True, 3, False, False, , 0, False, True, 2, 2"</definedName>
    <definedName name="cb_sChart1DBAAD_opts">"2, 1, 2, True, 2, False, False, , 0, False, True, 1, 2"</definedName>
    <definedName name="cb_sChart1DBB89_opts">"2, 1, 2, True, 2, False, False, , 0, False, True, 1, 1"</definedName>
    <definedName name="cb_sChart1DCA97_opts">"2, 1, 1, True, 2, False, False, , 0, False, True, 2, 1"</definedName>
    <definedName name="cb_sChart1DCCF1_opts">"2, 1, 1, True, 2, False, False, , 0, False, True, 1, 2"</definedName>
    <definedName name="cb_sChart1E1206_opts">"2, 1, 3, False, 2, False, False, , 0, False, True, 2, 2"</definedName>
    <definedName name="cb_sChart1E17F2_opts">"1, 9, 1, False, 2, False, False, , 0, False, True, 1, 1"</definedName>
    <definedName name="cb_sChart1E2D49_opts">"1, 10, 1, False, 2, True, False, , 0, False, False, 3, 2"</definedName>
    <definedName name="cb_sChart1E2DEB_opts">"1, 10, 1, False, 2, True, False, , 0, False, False, 2, 2"</definedName>
    <definedName name="cb_sChart1E3944_opts">"1, 10, 1, False, 2, True, False, , 0, False, False, 2, 2"</definedName>
    <definedName name="cb_sChart1E3BE4_opts">"1, 10, 1, False, 2, True, False, , 0, False, False, 2, 2"</definedName>
    <definedName name="cb_sChart1E3E3D_opts">"1, 10, 1, False, 2, True, False, , 0, False, False, 1, 2"</definedName>
    <definedName name="cb_sChart1E4314_opts">"1, 10, 1, False, 2, True, False, , 0, False, False, 2, 2"</definedName>
    <definedName name="cb_sChart1E4E56_opts">"1, 1, 1, False, 2, False, False, , 0, False, False, 2, 2"</definedName>
    <definedName name="cb_sChart1E5372_opts">"1, 1, 1, False, 2, True, False, , 0, False, True, 2, 2"</definedName>
    <definedName name="cb_sChart1E5975_opts">"2, 1, 2, True, 2, False, False, , 0, False, True, 1, 2"</definedName>
    <definedName name="cb_sChart1E5C43_opts">"2, 1, 2, True, 2, False, False, , 0, False, True, 2, 2"</definedName>
    <definedName name="cb_sChart1E5F4A_opts">"2, 1, 2, True, 2, False, False, , 0, False, True, 1, 2"</definedName>
    <definedName name="cb_sChart23F891A_opts">"1, 9, 1, False, 2, False, False, , 0, False, True, 1, 1"</definedName>
    <definedName name="cb_sChart24ED245_opts">"1, 9, 1, False, 2, False, False, , 0, False, True, 1, 1"</definedName>
    <definedName name="cb_sChart24ED930_opts">"1, 9, 1, False, 2, False, False, , 0, False, False, 1, 1"</definedName>
    <definedName name="cb_sChart26CA498_opts">"1, 9, 1, False, 2, False, False, , 0, False, False, 1, 1"</definedName>
    <definedName name="cb_sChart27D31D5_opts">"1, 9, 1, False, 2, False, False, , 0, False, True, 1, 1"</definedName>
    <definedName name="cb_sChart27D3990_opts">"1, 9, 1, False, 2, False, False, , 0, False, True, 1, 1"</definedName>
    <definedName name="cb_sChart2A64D8F_opts">"1, 8, 1, False, 2, False, False, , 0, False, True, 1, 1"</definedName>
    <definedName name="cb_sChart2A65748_opts">"1, 8, 1, False, 2, False, False, , 0, False, True, 1, 1"</definedName>
    <definedName name="cb_sChart2A667D4_opts">"1, 8, 1, False, 2, False, False, , 0, False, True, 1, 1"</definedName>
    <definedName name="cb_sChart2A66D9D_opts">"1, 8, 1, False, 2, False, False, , 0, False, True, 1, 1"</definedName>
    <definedName name="cb_sChart2A67124_opts">"2, 1, 3, False, 2, False, False, , 0, False, True, 1, 1"</definedName>
    <definedName name="cb_sChart2A673A1_opts">"1, 8, 1, False, 2, False, False, , 0, False, True, 1, 1"</definedName>
    <definedName name="cb_sChart2A67A0C_opts">"1, 8, 1, False, 2, False, False, , 0, False, True, 1, 1"</definedName>
    <definedName name="cb_sChart2A68670_opts">"1, 8, 1, False, 2, False, False, , 0, False, True, 1, 1"</definedName>
    <definedName name="cb_sChart2A6C43D_opts">"1, 9, 1, False, 2, False, False, , 0, False, True, 1, 1"</definedName>
    <definedName name="cb_sChart2A74E8A_opts">"1, 9, 1, False, 2, False, False, , 0, False, True, 1, 1"</definedName>
    <definedName name="cb_sChart2A76BA8_opts">"1, 9, 1, False, 2, False, False, , 0, False, True, 1, 1"</definedName>
    <definedName name="cb_sChart2D6F93B_opts">"1, 9, 1, False, 2, False, False, , 0, False, True, 1, 1"</definedName>
    <definedName name="cb_sChart2D714FE_opts">"1, 9, 1, False, 2, False, False, , 0, False, True, 1, 2"</definedName>
    <definedName name="cb_sChart2D737E5_opts">"1, 9, 1, False, 2, False, False, , 0, False, False, 1, 2"</definedName>
    <definedName name="cb_sChart2D73A28_opts">"1, 9, 1, False, 2, False, False, , 0, False, True, 1, 1"</definedName>
    <definedName name="cb_sChart2D759D9_opts">"1, 10, 1, False, 2, False, False, , 0, False, False, 1, 2"</definedName>
    <definedName name="cb_sChart2D76823_opts">"1, 9, 1, False, 2, False, False, , 0, False, True, 1, 2"</definedName>
    <definedName name="cb_sChart2D76BFA_opts">"1, 9, 1, False, 2, False, False, , 0, False, True, 1, 2"</definedName>
    <definedName name="cb_sChart2D9FB96_opts">"1, 9, 1, False, 2, False, False, , 0, False, True, 1, 2"</definedName>
    <definedName name="cb_sChart2D9FE6F_opts">"1, 9, 1, False, 2, False, False, , 0, False, True, 1, 2"</definedName>
    <definedName name="cb_sChart2DA6F48_opts">"1, 9, 1, False, 2, False, False, , 0, False, True, 1, 2"</definedName>
    <definedName name="cb_sChart2DAB5B8_opts">"1, 7, 1, False, 2, False, False, , 0, False, True, 1, 1"</definedName>
    <definedName name="cb_sChart2DAC2D5_opts">"1, 7, 1, False, 2, False, False, , 0, False, True, 1, 1"</definedName>
    <definedName name="cb_sChart2DADDDE_opts">"1, 7, 1, False, 2, False, False, , 0, False, False, 1, 1"</definedName>
    <definedName name="cb_sChart2DADE5D_opts">"1, 7, 1, False, 2, False, False, , 0, False, True, 1, 1"</definedName>
    <definedName name="cb_sChart2DAF358_opts">"1, 7, 1, False, 2, False, False, , 0, False, True, 1, 1"</definedName>
    <definedName name="cb_sChart2DB05D6_opts">"1, 7, 1, False, 2, False, False, , 0, False, True, 1, 1"</definedName>
    <definedName name="cb_sChart2DBCB46_opts">"1, 7, 1, False, 2, False, False, , 0, False, True, 1, 1"</definedName>
    <definedName name="cb_sChart2E6278B_opts">"1, 9, 1, False, 2, False, False, , 0, False, True, 1, 1"</definedName>
    <definedName name="cb_sChart2EB0678_opts">"1, 1, 1, False, 2, True, False, , 0, False, True, 2, 2"</definedName>
    <definedName name="cb_sChart2F3EBCE_opts">"2, 1, 1, False, 2, False, False, , 0, False, True, 2, 2"</definedName>
    <definedName name="cb_sChart2F3F63F_opts">"1, 5, 1, False, 2, True, False, , 0, False, False, 1, 1"</definedName>
    <definedName name="cb_sChart2F3F90D_opts">"1, 5, 1, False, 2, True, False, , 0, False, False, 2, 2"</definedName>
    <definedName name="cb_sChart2F46DBE_opts">"2, 1, 1, True, 2, False, False, , 0, False, True, 1, 2"</definedName>
    <definedName name="cb_sChart2F470D1_opts">"2, 1, 1, False, 2, True, False, , 0, False, True, 1, 2"</definedName>
    <definedName name="cb_sChart2F4952A_opts">"1, 5, 1, False, 2, False, False, , 0, False, False, 1, 1"</definedName>
    <definedName name="cb_sChart2F49CDA_opts">"1, 5, 1, False, 2, False, False, , 0, False, False, 1, 1"</definedName>
    <definedName name="cb_sChart2F4A3D0_opts">"1, 5, 1, False, 2, False, False, , 0, False, False, 1, 1"</definedName>
    <definedName name="cb_sChart2F4A9B1_opts">"1, 5, 1, False, 2, False, False, , 0, False, False, 1, 1"</definedName>
    <definedName name="cb_sChart2F65E86_opts">"1, 1, 1, False, 2, True, False, , 0, False, False, 2, 2"</definedName>
    <definedName name="cb_sChart2F6A8C2_opts">"1, 1, 1, False, 2, True, False, , 0, False, False, 1, 2"</definedName>
    <definedName name="cb_sChart2F6AAB4_opts">"1, 1, 1, False, 2, True, False, , 0, False, True, 1, 2"</definedName>
    <definedName name="cb_sChart2F6B601_opts">"1, 1, 1, False, 2, False, False, , 0, False, False, 1, 1"</definedName>
    <definedName name="cb_sChart2F730C1_opts">"1, 4, 1, False, 2, False, False, , 0, False, False, 1, 1"</definedName>
    <definedName name="cb_sChart2FA9A3C_opts">"1, 3, 1, False, 2, False, False, , 0, False, True, 1, 2"</definedName>
    <definedName name="cb_sChart2FA9CC4_opts">"1, 3, 1, False, 2, False, False, , 0, False, True, 1, 2"</definedName>
    <definedName name="cb_sChart33FC2FF_opts">"1, 5, 1, False, 2, False, False, , 0, False, False, 1, 2"</definedName>
    <definedName name="cb_sChart33FC8D4_opts">"1, 5, 1, False, 2, False, False, , 0, False, False, 1, 2"</definedName>
    <definedName name="cb_sChart33FE8BF_opts">"1, 5, 1, False, 2, False, False, , 0, False, False, 1, 2"</definedName>
    <definedName name="cb_sChart34010F1_opts">"1, 5, 1, False, 2, False, False, , 0, False, False, 1, 2"</definedName>
    <definedName name="cb_sChart3401AFA_opts">"1, 5, 1, False, 2, False, False, , 0, False, False, 1, 2"</definedName>
    <definedName name="cb_sChart3409186_opts">"1, 5, 1, False, 2, False, False, , 0, False, False, 1, 2"</definedName>
    <definedName name="cb_sChart340A263_opts">"1, 5, 1, False, 2, False, False, , 0, False, False, 1, 1"</definedName>
    <definedName name="cb_sChart340F629_opts">"1, 8, 1, False, 2, False, False, , 0, False, False, 1, 2"</definedName>
    <definedName name="cb_sChart340FD14_opts">"1, 8, 1, False, 2, False, False, , 0, False, False, 1, 2"</definedName>
    <definedName name="cb_sChart34107E2_opts">"1, 8, 1, False, 2, False, False, , 0, False, False, 1, 1"</definedName>
    <definedName name="cb_sChart3434ED7_opts">"1, 5, 1, False, 2, False, False, , 0, False, False, 1, 2"</definedName>
    <definedName name="cb_sChart343DEED_opts">"2, 1, 2, True, 2, False, False, , 0, False, True, 1, 2"</definedName>
    <definedName name="cb_sChart344EE9A_opts">"1, 9, 1, False, 2, False, False, , 0, False, True, 1, 1"</definedName>
    <definedName name="cb_sChart344F24F_opts">"1, 9, 1, False, 2, False, False, , 0, False, True, 1, 2"</definedName>
    <definedName name="cb_sChart3450777_opts">"1, 9, 1, False, 2, False, True, 13, 2, False, False, 1, 1"</definedName>
    <definedName name="cb_sChart3450E85_opts">"1, 9, 1, False, 2, False, False, , 0, False, True, 1, 2"</definedName>
    <definedName name="cb_sChart3452C22_opts">"1, 3, 1, False, 2, False, False, , 0, False, True, 1, 2"</definedName>
    <definedName name="cb_sChart345311B_opts">"1, 3, 1, False, 2, False, False, , 0, False, True, 1, 2"</definedName>
    <definedName name="cb_sChart3453B0D_opts">"2, 1, 1, True, 2, False, False, , 0, False, True, 1, 2"</definedName>
    <definedName name="cb_sChart34647CA_opts">"1, 8, 1, False, 2, False, False, , 0, False, False, 2, 2"</definedName>
    <definedName name="cb_sChart346520D_opts">"1, 8, 1, False, 2, False, False, , 0, False, False, 1, 2"</definedName>
    <definedName name="cb_sChart34654DB_opts">"1, 8, 1, False, 2, False, False, , 0, False, False, 1, 2"</definedName>
    <definedName name="cb_sChart346953C_opts">"2, 1, 1, False, 2, False, False, , 0, False, False, 2, 2"</definedName>
    <definedName name="cb_sChart346A27B_opts">"1, 3, 1, False, 2, False, False, , 0, False, True, 2, 2"</definedName>
    <definedName name="cb_sChart347102A_opts">"2, 1, 1, False, 2, False, False, , 0, False, True, 2, 2"</definedName>
    <definedName name="cb_sChart34E448E_opts">"1, 1, 1, False, 2, False, False, , 0, False, False, 1, 1"</definedName>
    <definedName name="cb_sChart34F5376_opts">"2, 1, 2, True, 2, False, False, , 0, False, True, 1, 2"</definedName>
    <definedName name="cb_sChart34F577C_opts">"2, 1, 2, True, 2, False, False, , 0, False, True, 1, 2"</definedName>
    <definedName name="cb_sChart34F5A05_opts">"2, 1, 2, True, 2, False, False, , 0, False, True, 1, 2"</definedName>
    <definedName name="cb_sChart34F5F2C_opts">"2, 1, 2, True, 2, False, False, , 0, False, True, 1, 2"</definedName>
    <definedName name="cb_sChart34F92FC_opts">"1, 1, 1, False, 2, True, False, , 0, False, False, 1, 2"</definedName>
    <definedName name="cb_sChart34F9B08_opts">"1, 4, 1, False, 2, False, False, , 0, False, False, 1, 1"</definedName>
    <definedName name="cb_sChart34FAEB3_opts">"1, 3, 1, False, 2, False, False, , 0, False, True, 1, 1"</definedName>
    <definedName name="cb_sChart34FB053_opts">"1, 3, 1, False, 2, True, False, , 0, False, False, 1, 1"</definedName>
    <definedName name="cb_sChart352F02B_opts">"1, 5, 1, False, 2, True, False, , 0, False, False, 1, 2"</definedName>
    <definedName name="cb_sChart3532FF6_opts">"2, 1, 1, False, 2, False, False, , 0, False, True, 1, 2"</definedName>
    <definedName name="cb_sChart355BCAD_opts">"2, 1, 1, False, 2, False, False, , 0, False, True, 1, 2"</definedName>
    <definedName name="cb_sChart35FF6A2_opts">"1, 8, 1, False, 2, False, False, , 0, False, False, 1, 2"</definedName>
    <definedName name="cb_sChart3624091_opts">"1, 8, 1, False, 2, False, False, , 0, False, False, 1, 2"</definedName>
    <definedName name="cb_sChart36406CE_opts">"1, 3, 1, False, 2, True, False, , 0, False, True, 1, 1"</definedName>
    <definedName name="cb_sChart3AB73A1_opts">"2, 1, 1, False, 2, True, False, , 0, False, True, 2, 2"</definedName>
    <definedName name="cb_sChart3ABAD51_opts">"1, 5, 1, False, 2, True, False, , 0, False, False, 2, 2"</definedName>
    <definedName name="cb_sChart3AE4A4F_opts">"2, 1, 1, True, 2, False, False, , 0, False, True, 2, 2"</definedName>
    <definedName name="cb_sChart3AEA7B7_opts">"2, 1, 1, True, 2, False, False, , 0, False, True, 1, 1"</definedName>
    <definedName name="cb_sChart3AEAB83_opts">"2, 1, 1, True, 2, False, False, , 0, False, True, 2, 2"</definedName>
    <definedName name="cb_sChart3AF2834_opts">"1, 3, 1, False, 2, False, False, , 0, False, False, 2, 2"</definedName>
    <definedName name="cb_sChart3AF5310_opts">"1, 1, 1, False, 2, False, False, , 0, False, False, 1, 2"</definedName>
    <definedName name="cb_sChart3AF68AD_opts">"1, 1, 1, False, 2, False, False, , 0, False, False, 2, 2"</definedName>
    <definedName name="cb_sChart3AF71DA_opts">"1, 1, 1, False, 2, False, False, , 0, False, False, 1, 1"</definedName>
    <definedName name="cb_sChart3AF76D4_opts">"1, 1, 1, False, 2, False, False, , 0, False, False, 2, 2"</definedName>
    <definedName name="cb_sChart3AF8492_opts">"1, 1, 1, False, 2, False, False, , 0, False, False, 1, 1"</definedName>
    <definedName name="cb_sChart3AFF994_opts">"1, 1, 1, False, 2, False, False, , 0, False, False, 2, 2"</definedName>
    <definedName name="cb_sChart3B004D6_opts">"1, 1, 1, False, 2, False, False, , 0, False, False, 1, 1"</definedName>
    <definedName name="cb_sChart3B03C44_opts">"1, 1, 1, False, 2, False, False, , 0, False, False, 1, 1"</definedName>
    <definedName name="cb_sChart3B08D31_opts">"1, 8, 1, False, 2, False, False, , 0, False, False, 2, 2"</definedName>
    <definedName name="cb_sChart3B09A9F_opts">"1, 8, 1, False, 2, False, False, , 0, False, False, 2, 2"</definedName>
    <definedName name="cb_sChart3B09F8C_opts">"1, 8, 1, False, 2, False, False, , 0, False, False, 2, 2"</definedName>
    <definedName name="cb_sChart3B0ABD8_opts">"1, 8, 1, False, 2, False, False, , 0, False, False, 2, 2"</definedName>
    <definedName name="cb_sChart3B12357_opts">"1, 8, 1, False, 2, False, False, , 0, False, False, 2, 2"</definedName>
    <definedName name="cb_sChart3B12816_opts">"1, 8, 1, False, 2, False, False, , 0, False, False, 2, 2"</definedName>
    <definedName name="cb_sChart3B12D0F_opts">"1, 8, 1, False, 2, False, False, , 0, False, False, 2, 2"</definedName>
    <definedName name="cb_sChart3BA9EF5_opts">"1, 9, 1, False, 2, False, False, , 0, False, True, 1, 1"</definedName>
    <definedName name="cb_sChart3BAA0A1_opts">"1, 9, 1, False, 2, False, False, , 0, False, True, 1, 1"</definedName>
    <definedName name="cb_sChart3BAA29E_opts">"1, 9, 1, False, 2, False, False, , 0, False, True, 1, 1"</definedName>
    <definedName name="cb_sChart3BAACED_opts">"1, 9, 1, False, 2, False, False, , 0, False, True, 1, 1"</definedName>
    <definedName name="cb_sChart3BAD7A6_opts">"2, 1, 2, True, 2, False, False, , 0, False, True, 1, 2"</definedName>
    <definedName name="cb_sChart3BBD972_opts">"1, 1, 1, False, 2, False, False, , 0, False, False, 1, 1"</definedName>
    <definedName name="cb_sChart3BC0E91_opts">"2, 1, 1, False, 2, True, False, , 0, False, True, 1, 1"</definedName>
    <definedName name="cb_sChart3BFC30E_opts">"1, 4, 1, False, 2, False, False, , 0, False, False, 1, 1"</definedName>
    <definedName name="cb_sChart3BFD9FA_opts">"2, 1, 1, True, 2, False, False, , 0, False, True, 2, 2"</definedName>
    <definedName name="cb_sChart3BFEF23_opts">"1, 4, 1, False, 2, False, False, , 0, False, False, 1, 1"</definedName>
    <definedName name="cb_sChart3BFF2E3_opts">"1, 1, 1, False, 2, False, False, , 0, False, False, 1, 1"</definedName>
    <definedName name="cb_sChart463330_opts">"2, 1, 2, True, 2, False, False, , 0, False, True, 1, 2"</definedName>
    <definedName name="cb_sChart4665D3_opts">"1, 9, 1, False, 2, False, False, , 0, False, True, 2, 2"</definedName>
    <definedName name="cb_sChart4680DD_opts">"1, 10, 1, False, 2, True, False, , 0, False, False, 2, 2"</definedName>
    <definedName name="cb_sChart468801_opts">"1, 10, 1, False, 2, True, False, , 0, False, False, 2, 2"</definedName>
    <definedName name="cb_sChart46BC0B_opts">"2, 1, 2, True, 2, False, False, , 0, False, True, 1, 2"</definedName>
    <definedName name="cb_sChart4828C3_opts">"1, 1, 1, False, 2, False, False, , 0, False, False, 1, 2"</definedName>
    <definedName name="cb_sChart482D03_opts">"1, 1, 1, False, 2, False, False, , 0, False, False, 1, 2"</definedName>
    <definedName name="cb_sChart595EE0E_opts">"1, 9, 1, False, 2, False, True, , 3, False, True, 1, 1"</definedName>
    <definedName name="cb_sChart5D0C805_opts">"1, 4, 1, False, 2, False, False, , 0, False, False, 1, 1"</definedName>
    <definedName name="cb_sChart5D375C8_opts">"1, 9, 1, False, 2, False, False, , 0, False, True, 1, 1"</definedName>
    <definedName name="cb_sChart6A2ED7_opts">"1, 10, 1, False, 2, True, False, , 0, False, False, 1, 1"</definedName>
    <definedName name="cb_sChart6A6617_opts">"1, 10, 1, False, 2, True, False, , 0, False, False, 1, 1"</definedName>
    <definedName name="cb_sChart6A66F3_opts">"1, 10, 1, False, 2, True, False, , 0, False, False, 1, 1"</definedName>
    <definedName name="cb_sChart6A7DF6_opts">"1, 3, 1, False, 2, True, False, , 0, False, True, 2, 1"</definedName>
    <definedName name="cb_sChart74E984_opts">"1, 1, 1, False, 2, False, False, , 0, False, False, 2, 2"</definedName>
    <definedName name="cb_sChart8CD287E_opts">"1, 1, 1, False, 2, False, False, , 0, False, False, 1, 1"</definedName>
    <definedName name="cb_sChartD086F3E_opts">"1, 1, 1, False, 2, False, False, , 1, False, True, 2, 2"</definedName>
    <definedName name="cb_sChartD0876B3_opts">"2, 2, 2, True, 2, False, False, , 1, False, True, 2, 2"</definedName>
    <definedName name="cb_sChartEB337E1_opts">"1, 10, 1, False, 2, False, False, , 1, False, True, 2, 2"</definedName>
    <definedName name="cb_sChartEB33A80_opts">"1, 10, 1, False, 2, False, False, , 1, False, True, 2, 2"</definedName>
    <definedName name="cb_sChartEB33EA9_opts">"1, 10, 1, False, 2, False, False, , 1, False, True, 2, 2"</definedName>
    <definedName name="cb_sChartEB340BD_opts">"1, 10, 1, False, 2, False, False, , 1, False, True, 2, 2"</definedName>
    <definedName name="cb_sChartEB344DA_opts">"1, 10, 1, False, 2, False, False, , 1, False, False, 2, 2"</definedName>
    <definedName name="cb_sChartEB3479C_opts">"1, 1, 1, False, 2, False, False, , 1, False, True, 2, 1"</definedName>
    <definedName name="cb_sChartEB34833_opts">"1, 10, 1, False, 2, False, False, , 1, False, True, 2, 1"</definedName>
    <definedName name="cb_sChartEB34DCE_opts">"1, 10, 1, False, 2, False, False, , 1, False, True, 2, 1"</definedName>
    <definedName name="cb_sChartEB36CAF_opts">"1, 9, 1, False, 2, False, False, , 1, False, True, 1, 2"</definedName>
    <definedName name="cb_sChartEB38838_opts">"1, 9, 1, False, 2, False, False, , 1, False, True, 2, 2"</definedName>
    <definedName name="cb_sChartEB38E8C_opts">"1, 10, 1, False, 2, False, False, , 1, False, True, 2, 2"</definedName>
    <definedName name="cb_sChartEB3980B_opts">"1, 2, 1, False, 2, False, False, , 1, False, False, 2, 1"</definedName>
    <definedName name="cb_sChartEB39C1C_opts">"1, 2, 1, False, 2, False, False, , 1, False, False, 2,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FF3D7_opts">"1, 8, 1, False, 2, False, False, , 1, False, True, 1, 2"</definedName>
    <definedName name="cb_sChartF1BF8C8_opts">"1, 8, 1, False, 2, False, False, , 1, False, True, 1, 2"</definedName>
    <definedName name="cb_sChartF1C057C_opts">"1, 2, 1, False, 2, False, False, , 1, False, False, 2, 1"</definedName>
    <definedName name="cb_sChartF1C0A0D_opts">"1, 8, 1, False, 2, False, False, , 1, False, True, 1, 1"</definedName>
    <definedName name="cb_sChartF1C9DF0_opts">"1, 8, 1, False, 2, False, False, , 1, False, True, 1, 2"</definedName>
    <definedName name="cb_sChartF1F24F5_opts">"1, 8, 1, False, 2, False, False, , 1, False, True, 1, 2"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>"1, 4, 1, False, 2, False, False, , 0, False, False, 1, 1"</definedName>
    <definedName name="cb_Size_by_height_and_widthChart_7_opts">"1, 4, 1, False, 2, False, False, , 0, False, False, 1, 1"</definedName>
    <definedName name="cb_Size_by_height_and_widthChart_8_opts">"1, 4, 1, False, 2, False, False, , 0, False, False, 1, 1"</definedName>
    <definedName name="CBA">#REF!</definedName>
    <definedName name="cbjhfwhnvsbfkjhfewhmsnv">#REF!</definedName>
    <definedName name="CBM">#REF!</definedName>
    <definedName name="CC">#REF!</definedName>
    <definedName name="CC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_12519">#REF!</definedName>
    <definedName name="CC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_CD_B">#REF!</definedName>
    <definedName name="CC_CD_G">#REF!</definedName>
    <definedName name="CC_CD_IDB">#REF!</definedName>
    <definedName name="CC_CD_LEV">#REF!</definedName>
    <definedName name="CC_CD_RRD">#REF!</definedName>
    <definedName name="CC_CF_GE">#REF!</definedName>
    <definedName name="CC_CF_UGE">#REF!</definedName>
    <definedName name="CC_CF_WACC">#REF!</definedName>
    <definedName name="CC_direct">#REF!</definedName>
    <definedName name="CC_dist">#REF!</definedName>
    <definedName name="CC_Enable">#REF!</definedName>
    <definedName name="CC_ETA">#REF!</definedName>
    <definedName name="CC_GPS">#REF!</definedName>
    <definedName name="CC_MD_ERP">#REF!</definedName>
    <definedName name="CC_MD_RF">#REF!</definedName>
    <definedName name="cc_nbd">#REF!</definedName>
    <definedName name="cc_rec">#REF!</definedName>
    <definedName name="CC_recover">#REF!</definedName>
    <definedName name="CC_RR_GE">#REF!</definedName>
    <definedName name="CC_RR_UGE">#REF!</definedName>
    <definedName name="CC_SECT_AG">#REF!</definedName>
    <definedName name="CC_SECT_ARD">#REF!</definedName>
    <definedName name="CC_SECT_EB">#REF!</definedName>
    <definedName name="CC_SECT_EBU">#REF!</definedName>
    <definedName name="CC_SECT_IDB">#REF!</definedName>
    <definedName name="CC_TD_CT">#REF!</definedName>
    <definedName name="CC_TD_Q">#REF!</definedName>
    <definedName name="CC_TD_TADV">#REF!</definedName>
    <definedName name="CC_TD_TI">#REF!</definedName>
    <definedName name="cc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AA">#REF!</definedName>
    <definedName name="CCAT">#REF!</definedName>
    <definedName name="ccb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C">{#N/A,#N/A,FALSE,"Tabl. FB300";#N/A,#N/A,FALSE,"Tabl. FB350";#N/A,#N/A,FALSE,"Tabl. FB400";#N/A,#N/A,FALSE,"Tabl. FB500";#N/A,#N/A,FALSE,"Tabl. FS090"}</definedName>
    <definedName name="CCC_1">{#N/A,#N/A,FALSE,"Tabl. FB300";#N/A,#N/A,FALSE,"Tabl. FB350";#N/A,#N/A,FALSE,"Tabl. FB400";#N/A,#N/A,FALSE,"Tabl. FB500";#N/A,#N/A,FALSE,"Tabl. FS090"}</definedName>
    <definedName name="ccc_1_1">{#N/A,#N/A,TRUE,"Summary";#N/A,#N/A,TRUE,"Balance Sheet";#N/A,#N/A,TRUE,"P &amp; L";#N/A,#N/A,TRUE,"Fixed Assets";#N/A,#N/A,TRUE,"Cash Flows"}</definedName>
    <definedName name="ccc_2">{#N/A,#N/A,FALSE,"OSBL"}</definedName>
    <definedName name="ccc_2_1">{#N/A,#N/A,FALSE,"OSBL"}</definedName>
    <definedName name="ccc_2_2">{#N/A,#N/A,FALSE,"OSBL"}</definedName>
    <definedName name="ccc_2_3">{#N/A,#N/A,FALSE,"OSBL"}</definedName>
    <definedName name="ccc_2_4">{#N/A,#N/A,FALSE,"OSBL"}</definedName>
    <definedName name="ccc_3">{#N/A,#N/A,FALSE,"OSBL"}</definedName>
    <definedName name="ccc_3_1">{#N/A,#N/A,FALSE,"OSBL"}</definedName>
    <definedName name="ccc_3_2">{#N/A,#N/A,FALSE,"OSBL"}</definedName>
    <definedName name="ccc_3_3">{#N/A,#N/A,FALSE,"OSBL"}</definedName>
    <definedName name="ccc_3_4">{#N/A,#N/A,FALSE,"OSBL"}</definedName>
    <definedName name="ccc_4">{#N/A,#N/A,FALSE,"OSBL"}</definedName>
    <definedName name="ccc_4_1">{#N/A,#N/A,FALSE,"OSBL"}</definedName>
    <definedName name="ccc_4_2">{#N/A,#N/A,FALSE,"OSBL"}</definedName>
    <definedName name="ccc_4_3">{#N/A,#N/A,FALSE,"OSBL"}</definedName>
    <definedName name="ccc_4_4">{#N/A,#N/A,FALSE,"OSBL"}</definedName>
    <definedName name="CCC_5">{#N/A,#N/A,FALSE,"Tabl. FB300";#N/A,#N/A,FALSE,"Tabl. FB350";#N/A,#N/A,FALSE,"Tabl. FB400";#N/A,#N/A,FALSE,"Tabl. FB500";#N/A,#N/A,FALSE,"Tabl. FS090"}</definedName>
    <definedName name="ccc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cccccccc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detail">#REF!</definedName>
    <definedName name="cc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clist">#REF!</definedName>
    <definedName name="CD">#REF!</definedName>
    <definedName name="cd_Start_year">#REF!</definedName>
    <definedName name="CDE">#REF!</definedName>
    <definedName name="CDG__AET">"y"</definedName>
    <definedName name="CDSL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du">{#N/A,#N/A,FALSE,"COVER.XLS";#N/A,#N/A,FALSE,"RACT1.XLS";#N/A,#N/A,FALSE,"RACT2.XLS";#N/A,#N/A,FALSE,"ECCMP";#N/A,#N/A,FALSE,"WELDER.XLS"}</definedName>
    <definedName name="cdv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eline">{#N/A,#N/A,FALSE,"Tabl. G1";#N/A,#N/A,FALSE,"Tabl. G2"}</definedName>
    <definedName name="celine_1">{#N/A,#N/A,FALSE,"Tabl. G1";#N/A,#N/A,FALSE,"Tabl. G2"}</definedName>
    <definedName name="celine_2">{#N/A,#N/A,FALSE,"Tabl. G1";#N/A,#N/A,FALSE,"Tabl. G2"}</definedName>
    <definedName name="celine_3">{#N/A,#N/A,FALSE,"Tabl. G1";#N/A,#N/A,FALSE,"Tabl. G2"}</definedName>
    <definedName name="celine_4">{#N/A,#N/A,FALSE,"Tabl. G1";#N/A,#N/A,FALSE,"Tabl. G2"}</definedName>
    <definedName name="celltips_area">#REF!</definedName>
    <definedName name="CENTRAL_BANK_OF_INDIA">#REF!</definedName>
    <definedName name="central_bank_of_india___2_nd_book">#REF!</definedName>
    <definedName name="CERTIFICATION_FEES">#REF!</definedName>
    <definedName name="CES_Jan">#REF!</definedName>
    <definedName name="CES_January">#REF!</definedName>
    <definedName name="CEUS">#REF!</definedName>
    <definedName name="CF">#REF!</definedName>
    <definedName name="CF_AD_RD">#REF!</definedName>
    <definedName name="CF_Amortization">#REF!</definedName>
    <definedName name="CF_AP">#REF!</definedName>
    <definedName name="CF_AR">#REF!</definedName>
    <definedName name="CF_AS_AQ">#REF!</definedName>
    <definedName name="CF_AS_DV">#REF!</definedName>
    <definedName name="CF_AS_NT">#REF!</definedName>
    <definedName name="CF_Beg_Cash">#REF!</definedName>
    <definedName name="CF_Capex">#REF!</definedName>
    <definedName name="CF_CE">#REF!</definedName>
    <definedName name="CF_CE_MT">#REF!</definedName>
    <definedName name="CF_CF">#REF!</definedName>
    <definedName name="cf_comp">#REF!</definedName>
    <definedName name="CF_Convertible_Debt">#REF!</definedName>
    <definedName name="CF_Convertible_Preferred">#REF!</definedName>
    <definedName name="CF_Deferred_Taxes">#REF!</definedName>
    <definedName name="CF_Depreciation">#REF!</definedName>
    <definedName name="CF_DI_MN">#REF!</definedName>
    <definedName name="CF_DI_PD">#REF!</definedName>
    <definedName name="CF_Dividends">#REF!</definedName>
    <definedName name="CF_Dividends_Subsidiary">#REF!</definedName>
    <definedName name="CF_EQ_NT">#REF!</definedName>
    <definedName name="CF_Equity">#REF!</definedName>
    <definedName name="CF_Equity_Earnings">#REF!</definedName>
    <definedName name="CF_FA_AQ">#REF!</definedName>
    <definedName name="CF_FA_DV">#REF!</definedName>
    <definedName name="CF_FA_NT">#REF!</definedName>
    <definedName name="CF_FAC_DV">#REF!</definedName>
    <definedName name="CF_HS">#REF!</definedName>
    <definedName name="CF_IC">#REF!</definedName>
    <definedName name="CF_IN_PD">#REF!</definedName>
    <definedName name="CF_IN_RD">#REF!</definedName>
    <definedName name="CF_Inventory">#REF!</definedName>
    <definedName name="CF_Investments">#REF!</definedName>
    <definedName name="CF_IV">#REF!</definedName>
    <definedName name="CF_IV_CF">#REF!</definedName>
    <definedName name="CF_IV_OT">#REF!</definedName>
    <definedName name="CF_Minority_NI">#REF!</definedName>
    <definedName name="CF_NC_CH">#REF!</definedName>
    <definedName name="CF_NC_CL">#REF!</definedName>
    <definedName name="CF_NC_OP">#REF!</definedName>
    <definedName name="CF_NDE">#REF!</definedName>
    <definedName name="CF_NetIncome">#REF!</definedName>
    <definedName name="CF_NI">#REF!</definedName>
    <definedName name="CF_NO">#REF!</definedName>
    <definedName name="CF_Non_Cash_Charges">#REF!</definedName>
    <definedName name="CF_Non_Cash_Interest">#REF!</definedName>
    <definedName name="CF_Non_Cash_Straight_PDividend">#REF!</definedName>
    <definedName name="CF_NT">#REF!</definedName>
    <definedName name="CF_OP">#REF!</definedName>
    <definedName name="CF_OP_DVGR">#REF!</definedName>
    <definedName name="CF_OP_GR">"'=BackSheet!$D$239:$AG$239"</definedName>
    <definedName name="CF_Other">#REF!</definedName>
    <definedName name="CF_Other_CA">#REF!</definedName>
    <definedName name="CF_Other_CL">#REF!</definedName>
    <definedName name="CF_PR_DV">"'=BackSheet!$D$241:$AG$241"</definedName>
    <definedName name="CF_PR_DVFA">#REF!</definedName>
    <definedName name="CF_PR_OT">#REF!</definedName>
    <definedName name="CF_PR_SP">#REF!</definedName>
    <definedName name="CF_SB_AQ">#REF!</definedName>
    <definedName name="CF_SB_DV">#REF!</definedName>
    <definedName name="CF_SB_NT">#REF!</definedName>
    <definedName name="CF_SH_IS">#REF!</definedName>
    <definedName name="CF_SH_PU">#REF!</definedName>
    <definedName name="CF_Straight_Debt">#REF!</definedName>
    <definedName name="CF_Straight_Preferred">#REF!</definedName>
    <definedName name="CF_TN_PD">#REF!</definedName>
    <definedName name="CF_TR">#REF!</definedName>
    <definedName name="CF_TR_OT">#REF!</definedName>
    <definedName name="CF_WC_CH">#REF!</definedName>
    <definedName name="CFCELL">#REF!</definedName>
    <definedName name="CFCORNER">#REF!</definedName>
    <definedName name="cfk">#REF!</definedName>
    <definedName name="cflow00">#REF!</definedName>
    <definedName name="cflow98">#REF!</definedName>
    <definedName name="cflow99">#REF!</definedName>
    <definedName name="CFPositiveInMonths">#REF!</definedName>
    <definedName name="CFPS">#REF!</definedName>
    <definedName name="CG">#REF!</definedName>
    <definedName name="CGF">{#N/A,#N/A,FALSE,"TOWNSHIP"}</definedName>
    <definedName name="CGF_1">{#N/A,#N/A,FALSE,"TOWNSHIP"}</definedName>
    <definedName name="CGF_2">{#N/A,#N/A,FALSE,"TOWNSHIP"}</definedName>
    <definedName name="CGF_3">{#N/A,#N/A,FALSE,"TOWNSHIP"}</definedName>
    <definedName name="CGF_4">{#N/A,#N/A,FALSE,"TOWNSHIP"}</definedName>
    <definedName name="CGFGFGF">{#N/A,#N/A,FALSE,"FREE"}</definedName>
    <definedName name="CGFGFGF_1">{#N/A,#N/A,FALSE,"FREE"}</definedName>
    <definedName name="CGFGFGF_2">{#N/A,#N/A,FALSE,"FREE"}</definedName>
    <definedName name="CGFGFGF_3">{#N/A,#N/A,FALSE,"FREE"}</definedName>
    <definedName name="CGFGFGF_4">{#N/A,#N/A,FALSE,"FREE"}</definedName>
    <definedName name="cghf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P">#REF!</definedName>
    <definedName name="CGS">#REF!</definedName>
    <definedName name="cgvg">{#N/A,#N/A,FALSE,"FREE"}</definedName>
    <definedName name="cgvg_1">{#N/A,#N/A,FALSE,"FREE"}</definedName>
    <definedName name="cgvg_2">{#N/A,#N/A,FALSE,"FREE"}</definedName>
    <definedName name="cgvg_2_1">{#N/A,#N/A,FALSE,"FREE"}</definedName>
    <definedName name="cgvg_2_2">{#N/A,#N/A,FALSE,"FREE"}</definedName>
    <definedName name="cgvg_2_3">{#N/A,#N/A,FALSE,"FREE"}</definedName>
    <definedName name="cgvg_2_4">{#N/A,#N/A,FALSE,"FREE"}</definedName>
    <definedName name="cgvg_3">{#N/A,#N/A,FALSE,"FREE"}</definedName>
    <definedName name="cgvg_3_1">{#N/A,#N/A,FALSE,"FREE"}</definedName>
    <definedName name="cgvg_3_2">{#N/A,#N/A,FALSE,"FREE"}</definedName>
    <definedName name="cgvg_3_3">{#N/A,#N/A,FALSE,"FREE"}</definedName>
    <definedName name="cgvg_3_4">{#N/A,#N/A,FALSE,"FREE"}</definedName>
    <definedName name="cgvg_4">{#N/A,#N/A,FALSE,"FREE"}</definedName>
    <definedName name="cgvg_4_1">{#N/A,#N/A,FALSE,"FREE"}</definedName>
    <definedName name="cgvg_4_2">{#N/A,#N/A,FALSE,"FREE"}</definedName>
    <definedName name="cgvg_4_3">{#N/A,#N/A,FALSE,"FREE"}</definedName>
    <definedName name="cgvg_4_4">{#N/A,#N/A,FALSE,"FREE"}</definedName>
    <definedName name="cgvg_5">{#N/A,#N/A,FALSE,"FREE"}</definedName>
    <definedName name="CH">#REF!</definedName>
    <definedName name="CHA">#REF!</definedName>
    <definedName name="Chal">#REF!</definedName>
    <definedName name="CHALAKRAMESHS">#REF!</definedName>
    <definedName name="CHALBURGE">#REF!</definedName>
    <definedName name="Chall">#REF!</definedName>
    <definedName name="Chandan">#REF!</definedName>
    <definedName name="CHANDAVALEA">#REF!</definedName>
    <definedName name="CHANGE">#REF!</definedName>
    <definedName name="CHANGEFA">#REF!</definedName>
    <definedName name="changename">{#N/A,#N/A,FALSE,"Assessment";#N/A,#N/A,FALSE,"Staffing";#N/A,#N/A,FALSE,"Hires";#N/A,#N/A,FALSE,"Assumptions"}</definedName>
    <definedName name="Channel">#REF!</definedName>
    <definedName name="Chart">{#N/A,#N/A,FALSE,"Pharm";#N/A,#N/A,FALSE,"WWCM"}</definedName>
    <definedName name="Chart_1">{#N/A,#N/A,FALSE,"Pharm";#N/A,#N/A,FALSE,"WWCM"}</definedName>
    <definedName name="Chart_2">{#N/A,#N/A,FALSE,"Pharm";#N/A,#N/A,FALSE,"WWCM"}</definedName>
    <definedName name="Chart_3">{#N/A,#N/A,FALSE,"Pharm";#N/A,#N/A,FALSE,"WWCM"}</definedName>
    <definedName name="Chart_4">{#N/A,#N/A,FALSE,"Pharm";#N/A,#N/A,FALSE,"WWCM"}</definedName>
    <definedName name="Chart_5">{#N/A,#N/A,FALSE,"Pharm";#N/A,#N/A,FALSE,"WWCM"}</definedName>
    <definedName name="ChartSubtitle">#REF!</definedName>
    <definedName name="ChartTitle">#REF!</definedName>
    <definedName name="CHAUDHARI">#REF!</definedName>
    <definedName name="CHAUDHARICHITRAKUT">#REF!</definedName>
    <definedName name="CHAVAN">#REF!</definedName>
    <definedName name="check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_ONE">#REF!</definedName>
    <definedName name="CHECK_TWO">#REF!</definedName>
    <definedName name="check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nnai">#REF!</definedName>
    <definedName name="chetanbsc">#REF!</definedName>
    <definedName name="chetanconv">#REF!</definedName>
    <definedName name="chetanded">#REF!</definedName>
    <definedName name="chetanhra">#REF!</definedName>
    <definedName name="chetanit">#REF!</definedName>
    <definedName name="chetanlta">#REF!</definedName>
    <definedName name="chetanmed">#REF!</definedName>
    <definedName name="chetanpd">#REF!</definedName>
    <definedName name="chetanpf">#REF!</definedName>
    <definedName name="chetanpt">#REF!</definedName>
    <definedName name="chetanspla">#REF!</definedName>
    <definedName name="CHFX97P">#REF!</definedName>
    <definedName name="CHG_MKT_10CY">#REF!</definedName>
    <definedName name="CHG_MKT_10PY">#REF!</definedName>
    <definedName name="CHG_MKT_11CY">#REF!</definedName>
    <definedName name="CHG_MKT_11PY">#REF!</definedName>
    <definedName name="CHG_MKT_12CY">#REF!</definedName>
    <definedName name="CHG_MKT_12PY">#REF!</definedName>
    <definedName name="CHG_MKT_1CY">#REF!</definedName>
    <definedName name="CHG_MKT_1PY">#REF!</definedName>
    <definedName name="CHG_MKT_2CY">#REF!</definedName>
    <definedName name="CHG_MKT_2PY">#REF!</definedName>
    <definedName name="CHG_MKT_3CY">#REF!</definedName>
    <definedName name="CHG_MKT_3PY">#REF!</definedName>
    <definedName name="CHG_MKT_4CY">#REF!</definedName>
    <definedName name="CHG_MKT_4PY">#REF!</definedName>
    <definedName name="CHG_MKT_5CY">#REF!</definedName>
    <definedName name="CHG_MKT_5PY">#REF!</definedName>
    <definedName name="CHG_MKT_6CY">#REF!</definedName>
    <definedName name="CHG_MKT_6PY">#REF!</definedName>
    <definedName name="CHG_MKT_7CY">#REF!</definedName>
    <definedName name="CHG_MKT_7PY">#REF!</definedName>
    <definedName name="CHG_MKT_8CY">#REF!</definedName>
    <definedName name="CHG_MKT_8PY">#REF!</definedName>
    <definedName name="CHG_MKT_9CY">#REF!</definedName>
    <definedName name="CHG_MKT_9PY">#REF!</definedName>
    <definedName name="CHG_MKT_CY1QTR">#REF!</definedName>
    <definedName name="CHG_MKT_CY2QTR">#REF!</definedName>
    <definedName name="CHG_MKT_CY3QTR">#REF!</definedName>
    <definedName name="CHG_MKT_CY4QTR">#REF!</definedName>
    <definedName name="CHG_MKT_PY4QTR">#REF!</definedName>
    <definedName name="chgdtoexps">#REF!</definedName>
    <definedName name="CHHANELS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ILLEPRAMOD">#REF!</definedName>
    <definedName name="CHINA_PLASTIC_in_KUSD">#REF!</definedName>
    <definedName name="chitnisbsc">#REF!</definedName>
    <definedName name="chitniscar">#REF!</definedName>
    <definedName name="chitnisded">#REF!</definedName>
    <definedName name="chitnisemi">#REF!</definedName>
    <definedName name="chitnisfuel">#REF!</definedName>
    <definedName name="chitnishra">#REF!</definedName>
    <definedName name="chitnisins">#REF!</definedName>
    <definedName name="chitnisit">#REF!</definedName>
    <definedName name="chitnislta">#REF!</definedName>
    <definedName name="chitnismed">#REF!</definedName>
    <definedName name="chitnispd">#REF!</definedName>
    <definedName name="chitnispf">#REF!</definedName>
    <definedName name="chitnispt">#REF!</definedName>
    <definedName name="chitnissaf">#REF!</definedName>
    <definedName name="chitnisspla">#REF!</definedName>
    <definedName name="CHIVATER">#REF!</definedName>
    <definedName name="chiyoko">#REF!</definedName>
    <definedName name="CHK">#REF!</definedName>
    <definedName name="CHOBED">#REF!</definedName>
    <definedName name="CHOGULEVINOD">#REF!</definedName>
    <definedName name="chosie">{#N/A,#N/A,FALSE,"Pharm";#N/A,#N/A,FALSE,"WWCM"}</definedName>
    <definedName name="chosie_1">{#N/A,#N/A,FALSE,"Pharm";#N/A,#N/A,FALSE,"WWCM"}</definedName>
    <definedName name="chosie_2">{#N/A,#N/A,FALSE,"Pharm";#N/A,#N/A,FALSE,"WWCM"}</definedName>
    <definedName name="chosie_3">{#N/A,#N/A,FALSE,"Pharm";#N/A,#N/A,FALSE,"WWCM"}</definedName>
    <definedName name="chosie_4">{#N/A,#N/A,FALSE,"Pharm";#N/A,#N/A,FALSE,"WWCM"}</definedName>
    <definedName name="chosie_5">{#N/A,#N/A,FALSE,"Pharm";#N/A,#N/A,FALSE,"WWCM"}</definedName>
    <definedName name="chung">66</definedName>
    <definedName name="CII">#REF!</definedName>
    <definedName name="CIQWBGuid">"68e37a6e-f549-462c-bc37-963bb6608011"</definedName>
    <definedName name="CIQWBGuid_1">"Project Trump - Databook 24th Jan .xlsx"</definedName>
    <definedName name="CIQWBInfo">"{ ""CIQVersion"":""9.47.1108.4092"" }"</definedName>
    <definedName name="City">#REF!</definedName>
    <definedName name="CL">#REF!</definedName>
    <definedName name="CL_Q1NP_US">#REF!</definedName>
    <definedName name="CL_Q2NP_US">#REF!</definedName>
    <definedName name="CL_Q3NP_US">#REF!</definedName>
    <definedName name="CL_Q4NP_US">#REF!</definedName>
    <definedName name="CL1_CFPS">#REF!</definedName>
    <definedName name="CL1_CFPS_DV">#REF!</definedName>
    <definedName name="CL1_DPS_AD">#REF!</definedName>
    <definedName name="CL1_DPS_FD">#REF!</definedName>
    <definedName name="CL1_DPS_PD">#REF!</definedName>
    <definedName name="CL1_EFTW_SHN">#REF!</definedName>
    <definedName name="CL1_EPE_ADF">#REF!</definedName>
    <definedName name="CL1_EPE_SHN">#REF!</definedName>
    <definedName name="CL1_EPS">#REF!</definedName>
    <definedName name="CL1_EPS_DVFA">#REF!</definedName>
    <definedName name="CL1_EPS_HS">#REF!</definedName>
    <definedName name="CL1_EPSC">#REF!</definedName>
    <definedName name="CL1_EPSD">#REF!</definedName>
    <definedName name="CL1_EPSD_HS">#REF!</definedName>
    <definedName name="CL1_EPSG">#REF!</definedName>
    <definedName name="CL1_ETW_SHN">#REF!</definedName>
    <definedName name="CL1_FDW_SHN">#REF!</definedName>
    <definedName name="CL1_FX">#REF!</definedName>
    <definedName name="CL1_NAV">#REF!</definedName>
    <definedName name="CL1_PCF">#REF!</definedName>
    <definedName name="CL1_PCF_DV">#REF!</definedName>
    <definedName name="CL1_PE">#REF!</definedName>
    <definedName name="CL1_PE_DV">#REF!</definedName>
    <definedName name="CL1_PE_SHN">#REF!</definedName>
    <definedName name="CL1_PNAV">#REF!</definedName>
    <definedName name="CL1_Recommend">#REF!</definedName>
    <definedName name="CL1_W_SHN">#REF!</definedName>
    <definedName name="CL2_CFPS">#REF!</definedName>
    <definedName name="CL2_CFPS_DV">#REF!</definedName>
    <definedName name="CL2_DPS_AD">#REF!</definedName>
    <definedName name="CL2_DPS_FD">#REF!</definedName>
    <definedName name="CL2_DPS_PD">#REF!</definedName>
    <definedName name="CL2_EFTW_SHN">#REF!</definedName>
    <definedName name="CL2_EPE_ADF">#REF!</definedName>
    <definedName name="CL2_EPE_SHN">#REF!</definedName>
    <definedName name="CL2_EPS">#REF!</definedName>
    <definedName name="CL2_EPS_DVFA">#REF!</definedName>
    <definedName name="CL2_EPS_HS">#REF!</definedName>
    <definedName name="CL2_EPSC">#REF!</definedName>
    <definedName name="CL2_EPSD">#REF!</definedName>
    <definedName name="CL2_EPSD_HS">#REF!</definedName>
    <definedName name="CL2_EPSG">#REF!</definedName>
    <definedName name="CL2_EQ_FCT">#REF!</definedName>
    <definedName name="CL2_ETW_SHN">#REF!</definedName>
    <definedName name="CL2_FDW_SHN">#REF!</definedName>
    <definedName name="CL2_FX">#REF!</definedName>
    <definedName name="CL2_NAV">#REF!</definedName>
    <definedName name="CL2_PCF">#REF!</definedName>
    <definedName name="CL2_PCF_DV">#REF!</definedName>
    <definedName name="CL2_PE">#REF!</definedName>
    <definedName name="CL2_PE_DV">#REF!</definedName>
    <definedName name="CL2_PE_SHN">#REF!</definedName>
    <definedName name="CL2_PNAV">#REF!</definedName>
    <definedName name="cl2_recommend">#REF!</definedName>
    <definedName name="CL2_W_SHN">#REF!</definedName>
    <definedName name="CL3_CFPS">#REF!</definedName>
    <definedName name="CL3_CFPS_DV">#REF!</definedName>
    <definedName name="CL3_DPS_AD">#REF!</definedName>
    <definedName name="CL3_DPS_FD">#REF!</definedName>
    <definedName name="CL3_DPS_PD">#REF!</definedName>
    <definedName name="CL3_EFTW_SHN">#REF!</definedName>
    <definedName name="CL3_EPE_ADF">#REF!</definedName>
    <definedName name="CL3_EPE_SHN">#REF!</definedName>
    <definedName name="CL3_EPS">#REF!</definedName>
    <definedName name="CL3_EPS_DVFA">#REF!</definedName>
    <definedName name="CL3_EPS_HS">#REF!</definedName>
    <definedName name="CL3_EPSC">#REF!</definedName>
    <definedName name="CL3_EPSD">#REF!</definedName>
    <definedName name="CL3_EPSD_HS">#REF!</definedName>
    <definedName name="CL3_EPSG">#REF!</definedName>
    <definedName name="CL3_EQ_FCT">#REF!</definedName>
    <definedName name="CL3_ETW_SHN">#REF!</definedName>
    <definedName name="CL3_FDW_SHN">#REF!</definedName>
    <definedName name="CL3_FX">#REF!</definedName>
    <definedName name="CL3_NAV">#REF!</definedName>
    <definedName name="CL3_PCF">#REF!</definedName>
    <definedName name="CL3_PCF_DV">#REF!</definedName>
    <definedName name="CL3_PE">#REF!</definedName>
    <definedName name="CL3_PE_DV">#REF!</definedName>
    <definedName name="CL3_PE_SHN">#REF!</definedName>
    <definedName name="CL3_PNAV">#REF!</definedName>
    <definedName name="CL3_recommend">#REF!</definedName>
    <definedName name="CL3_W_SHN">#REF!</definedName>
    <definedName name="CL4_ADR">#REF!</definedName>
    <definedName name="CL4_CCS">#REF!</definedName>
    <definedName name="CL4_CFPS">#REF!</definedName>
    <definedName name="CL4_CFPS_DV">#REF!</definedName>
    <definedName name="CL4_CFPS_DVUS">#REF!</definedName>
    <definedName name="CL4_CFPS_US">#REF!</definedName>
    <definedName name="CL4_DPADR_AD">#REF!</definedName>
    <definedName name="CL4_DPADR_ADUS">#REF!</definedName>
    <definedName name="CL4_DPS_FD">#REF!</definedName>
    <definedName name="CL4_DPS_PD">#REF!</definedName>
    <definedName name="CL4_DPS_PD_US">#REF!</definedName>
    <definedName name="CL4_EFTW_SHN">#REF!</definedName>
    <definedName name="CL4_EPE_ADF">#REF!</definedName>
    <definedName name="CL4_EPE_SHN">#REF!</definedName>
    <definedName name="CL4_EPS">#REF!</definedName>
    <definedName name="CL4_EPS_DVFA">#REF!</definedName>
    <definedName name="CL4_EPS_DVUS">#REF!</definedName>
    <definedName name="CL4_EPSC">#REF!</definedName>
    <definedName name="CL4_EPSD">#REF!</definedName>
    <definedName name="CL4_EPSD_GAAP">#REF!</definedName>
    <definedName name="CL4_EPSD_HS">#REF!</definedName>
    <definedName name="CL4_EPSD_HSUS">#REF!</definedName>
    <definedName name="CL4_EPSG">#REF!</definedName>
    <definedName name="CL4_EQ_FCT">#REF!</definedName>
    <definedName name="CL4_ETW_SHN">#REF!</definedName>
    <definedName name="CL4_FDW_SHN">#REF!</definedName>
    <definedName name="CL4_FX">#REF!</definedName>
    <definedName name="CL4_NAV">#REF!</definedName>
    <definedName name="CL4_PCF">#REF!</definedName>
    <definedName name="CL4_PCF_DV">#REF!</definedName>
    <definedName name="CL4_PE">#REF!</definedName>
    <definedName name="CL4_PE_DV">#REF!</definedName>
    <definedName name="CL4_PE_SHN">#REF!</definedName>
    <definedName name="CL4_PNAV">#REF!</definedName>
    <definedName name="CL4_W_SHN">#REF!</definedName>
    <definedName name="ClAccrual">#REF!</definedName>
    <definedName name="ClAdvance">#REF!</definedName>
    <definedName name="cld">#REF!</definedName>
    <definedName name="CLD_January">#REF!</definedName>
    <definedName name="CLD_January_HC">#REF!</definedName>
    <definedName name="Clean_Earnings">#REF!</definedName>
    <definedName name="Clean_EBITDA">#REF!</definedName>
    <definedName name="Clean_EPS">#REF!</definedName>
    <definedName name="Clean_Interest_Cover">#REF!</definedName>
    <definedName name="Clean_PBT">#REF!</definedName>
    <definedName name="Clean_ROCE">#REF!</definedName>
    <definedName name="CLEARING_CHARGES">#REF!</definedName>
    <definedName name="CLEARING_CHARGES___EXPORT">#REF!</definedName>
    <definedName name="CLEARING_CHARGES_EXPORT">#REF!</definedName>
    <definedName name="Client">"Client"</definedName>
    <definedName name="Client_Grade">"C"</definedName>
    <definedName name="CLOSING_STOCK">#REF!</definedName>
    <definedName name="ClosingAccrual">#REF!</definedName>
    <definedName name="closingAcrl">#REF!</definedName>
    <definedName name="closingAdvance">#REF!</definedName>
    <definedName name="ClosingCV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Rate">#REF!</definedName>
    <definedName name="CLOSTOCK.QTY">#REF!</definedName>
    <definedName name="CLOSTOCK.VALUE">#REF!</definedName>
    <definedName name="ClsAccrual">#REF!</definedName>
    <definedName name="ClsAdvance">#REF!</definedName>
    <definedName name="CLUBS">#REF!</definedName>
    <definedName name="cmb_TDS2.StateCode">#REF!</definedName>
    <definedName name="CMD_January">#REF!</definedName>
    <definedName name="cmp">#REF!</definedName>
    <definedName name="cmth">{#N/A,#N/A,FALSE,"ACQ_GRAPHS";#N/A,#N/A,FALSE,"T_1 GRAPHS";#N/A,#N/A,FALSE,"T_2 GRAPHS";#N/A,#N/A,FALSE,"COMB_GRAPHS"}</definedName>
    <definedName name="CNG">#REF!</definedName>
    <definedName name="cnotes">#REF!</definedName>
    <definedName name="CNSHC">#REF!</definedName>
    <definedName name="CNSNEW">#REF!</definedName>
    <definedName name="CNSTOTAL">#REF!</definedName>
    <definedName name="Co">#REF!</definedName>
    <definedName name="CoAdd">#REF!</definedName>
    <definedName name="COAT">#REF!</definedName>
    <definedName name="COB">#REF!</definedName>
    <definedName name="Code">#REF!</definedName>
    <definedName name="CodePL">#REF!</definedName>
    <definedName name="COG">#REF!</definedName>
    <definedName name="COGstandard">{#N/A,#N/A,FALSE,"Pharm";#N/A,#N/A,FALSE,"WWCM"}</definedName>
    <definedName name="COGstandard_1">{#N/A,#N/A,FALSE,"Pharm";#N/A,#N/A,FALSE,"WWCM"}</definedName>
    <definedName name="COGstandard_2">{#N/A,#N/A,FALSE,"Pharm";#N/A,#N/A,FALSE,"WWCM"}</definedName>
    <definedName name="COGstandard_3">{#N/A,#N/A,FALSE,"Pharm";#N/A,#N/A,FALSE,"WWCM"}</definedName>
    <definedName name="COGstandard_4">{#N/A,#N/A,FALSE,"Pharm";#N/A,#N/A,FALSE,"WWCM"}</definedName>
    <definedName name="COGstandard_5">{#N/A,#N/A,FALSE,"Pharm";#N/A,#N/A,FALSE,"WWCM"}</definedName>
    <definedName name="Columnstohide">#REF!</definedName>
    <definedName name="comment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Commentary">#REF!</definedName>
    <definedName name="Commercial_Veh">#REF!</definedName>
    <definedName name="COMMISSION_DISCOUNT_ON_SALES">#REF!</definedName>
    <definedName name="COMMISSION_ON_EXPORT_SALES">#REF!</definedName>
    <definedName name="COMMISSION_ON_SALES">#REF!</definedName>
    <definedName name="COMMON">#REF!</definedName>
    <definedName name="Common_Shareholders__Equity">#REF!</definedName>
    <definedName name="common1">#REF!</definedName>
    <definedName name="common2">#REF!</definedName>
    <definedName name="common3">#REF!</definedName>
    <definedName name="common4">#REF!</definedName>
    <definedName name="common5">#REF!</definedName>
    <definedName name="COMMUNICATIONS">#REF!</definedName>
    <definedName name="comp">#REF!</definedName>
    <definedName name="comp1">#REF!</definedName>
    <definedName name="comp2">#REF!</definedName>
    <definedName name="comp2003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3">#REF!</definedName>
    <definedName name="Company">#REF!</definedName>
    <definedName name="Company_Fig_ID">#REF!</definedName>
    <definedName name="Company_ID">#REF!</definedName>
    <definedName name="Company_Name">#REF!</definedName>
    <definedName name="CompanyName">#REF!</definedName>
    <definedName name="Compco1">{"Page1",#N/A,FALSE,"CompCo";"Page2",#N/A,FALSE,"CompCo"}</definedName>
    <definedName name="Compco2">{"Page1",#N/A,FALSE,"CompCo";"Page2",#N/A,FALSE,"CompCo"}</definedName>
    <definedName name="compeqp">#REF!</definedName>
    <definedName name="Completions">#REF!</definedName>
    <definedName name="Completions_Per_FTE">#REF!</definedName>
    <definedName name="Computation">#REF!</definedName>
    <definedName name="COMPUTATION_OF_INTEREST_UNDER_SECTION_234_C">#REF!</definedName>
    <definedName name="computation0809">#REF!</definedName>
    <definedName name="Computers">#REF!</definedName>
    <definedName name="Computersadd">#REF!</definedName>
    <definedName name="Computersoftware">#REF!</definedName>
    <definedName name="computersoftwareadd">#REF!</definedName>
    <definedName name="con">#REF!</definedName>
    <definedName name="CON_EQP_COS">#REF!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f_balamended">{#N/A,#N/A,FALSE,"PMTABB";#N/A,#N/A,FALSE,"PMTABB"}</definedName>
    <definedName name="conf_balamended_1">{#N/A,#N/A,FALSE,"PMTABB";#N/A,#N/A,FALSE,"PMTABB"}</definedName>
    <definedName name="conf_balamended_1_1">{#N/A,#N/A,FALSE,"PMTABB";#N/A,#N/A,FALSE,"PMTABB"}</definedName>
    <definedName name="conf_balamended_1_2">{#N/A,#N/A,FALSE,"PMTABB";#N/A,#N/A,FALSE,"PMTABB"}</definedName>
    <definedName name="conf_balamended_1_3">{#N/A,#N/A,FALSE,"PMTABB";#N/A,#N/A,FALSE,"PMTABB"}</definedName>
    <definedName name="conf_balamended_1_4">{#N/A,#N/A,FALSE,"PMTABB";#N/A,#N/A,FALSE,"PMTABB"}</definedName>
    <definedName name="conf_balamended_2">{#N/A,#N/A,FALSE,"PMTABB";#N/A,#N/A,FALSE,"PMTABB"}</definedName>
    <definedName name="conf_balamended_2_1">{#N/A,#N/A,FALSE,"PMTABB";#N/A,#N/A,FALSE,"PMTABB"}</definedName>
    <definedName name="conf_balamended_2_2">{#N/A,#N/A,FALSE,"PMTABB";#N/A,#N/A,FALSE,"PMTABB"}</definedName>
    <definedName name="conf_balamended_2_3">{#N/A,#N/A,FALSE,"PMTABB";#N/A,#N/A,FALSE,"PMTABB"}</definedName>
    <definedName name="conf_balamended_2_4">{#N/A,#N/A,FALSE,"PMTABB";#N/A,#N/A,FALSE,"PMTABB"}</definedName>
    <definedName name="conf_balamended_3">{#N/A,#N/A,FALSE,"PMTABB";#N/A,#N/A,FALSE,"PMTABB"}</definedName>
    <definedName name="conf_balamended_3_1">{#N/A,#N/A,FALSE,"PMTABB";#N/A,#N/A,FALSE,"PMTABB"}</definedName>
    <definedName name="conf_balamended_3_2">{#N/A,#N/A,FALSE,"PMTABB";#N/A,#N/A,FALSE,"PMTABB"}</definedName>
    <definedName name="conf_balamended_3_3">{#N/A,#N/A,FALSE,"PMTABB";#N/A,#N/A,FALSE,"PMTABB"}</definedName>
    <definedName name="conf_balamended_3_4">{#N/A,#N/A,FALSE,"PMTABB";#N/A,#N/A,FALSE,"PMTABB"}</definedName>
    <definedName name="conf_balamended_4">{#N/A,#N/A,FALSE,"PMTABB";#N/A,#N/A,FALSE,"PMTABB"}</definedName>
    <definedName name="conf_balamended_4_1">{#N/A,#N/A,FALSE,"PMTABB";#N/A,#N/A,FALSE,"PMTABB"}</definedName>
    <definedName name="conf_balamended_4_2">{#N/A,#N/A,FALSE,"PMTABB";#N/A,#N/A,FALSE,"PMTABB"}</definedName>
    <definedName name="conf_balamended_4_3">{#N/A,#N/A,FALSE,"PMTABB";#N/A,#N/A,FALSE,"PMTABB"}</definedName>
    <definedName name="conf_balamended_4_4">{#N/A,#N/A,FALSE,"PMTABB";#N/A,#N/A,FALSE,"PMTABB"}</definedName>
    <definedName name="conf_balamended_5">{#N/A,#N/A,FALSE,"PMTABB";#N/A,#N/A,FALSE,"PMTABB"}</definedName>
    <definedName name="Confidentiality">#REF!</definedName>
    <definedName name="Cong_HM_DTCT">#REF!</definedName>
    <definedName name="Cong_M_DTCT">#REF!</definedName>
    <definedName name="Cong_NC_DTCT">#REF!</definedName>
    <definedName name="Cong_VL_DTCT">#REF!</definedName>
    <definedName name="CONHC">#REF!</definedName>
    <definedName name="CONL1">#REF!</definedName>
    <definedName name="CONL2">#REF!</definedName>
    <definedName name="CONNEW">#REF!</definedName>
    <definedName name="cons">#REF!</definedName>
    <definedName name="cons1">#REF!</definedName>
    <definedName name="cons2">#REF!</definedName>
    <definedName name="ConsComm">#REF!</definedName>
    <definedName name="Conservative">#REF!</definedName>
    <definedName name="cONSO_UNIT">"OFFSET(TMasterConsUnit!$A$2,0,0,COUNTA(TMasterConsUnit!$A:$A)-1,1)"</definedName>
    <definedName name="Conso_Unit_Desc">OFFSET(#REF!,0,0,COUNTA(#REF!)-1,2)</definedName>
    <definedName name="conso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nsolac">#REF!</definedName>
    <definedName name="CONSOLIDATION">#REF!</definedName>
    <definedName name="CONSULTANCY_FEES">#REF!</definedName>
    <definedName name="Consultants">#REF!</definedName>
    <definedName name="CONSUMABLE_STORES_INDUSTRIAL_PURCHASES">#REF!</definedName>
    <definedName name="CONSUMABLE_TOOLS">#REF!</definedName>
    <definedName name="CONSUMABLES">#REF!</definedName>
    <definedName name="CONSUMABLESA">#REF!</definedName>
    <definedName name="Consumer">#REF!</definedName>
    <definedName name="CONT.TO_MEDI_SCHEME">#REF!</definedName>
    <definedName name="CONT.TO_SUPERANNUATION_FUND">#REF!</definedName>
    <definedName name="Contact">#REF!</definedName>
    <definedName name="Contacts">#REF!</definedName>
    <definedName name="ContAverage">#REF!</definedName>
    <definedName name="content_100">#REF!</definedName>
    <definedName name="contingent1">#REF!</definedName>
    <definedName name="CONTINUE">#REF!</definedName>
    <definedName name="CONTOT">#REF!</definedName>
    <definedName name="Contract">#REF!</definedName>
    <definedName name="CONTRACT_LABOUR">#REF!</definedName>
    <definedName name="Contractor_TDS___194C">#REF!</definedName>
    <definedName name="Contribution">#REF!</definedName>
    <definedName name="CONTRIBUTION_TO_E.D.L.I._SCHEME">#REF!</definedName>
    <definedName name="CONTRIBUTION_TO_FPF">#REF!</definedName>
    <definedName name="CONTRIBUTION_TO_GRATUITY_FUND">#REF!</definedName>
    <definedName name="CONTRIBUTION_TO_PROVIDENT___OTHER_FUNDS">#REF!</definedName>
    <definedName name="CONTRIBUTION_TO_PROVIDENT_FUND">#REF!</definedName>
    <definedName name="Controls">#REF!</definedName>
    <definedName name="CONTROLS_TITLE">#REF!</definedName>
    <definedName name="ConvDate">#REF!</definedName>
    <definedName name="Convertible_Debt">#REF!</definedName>
    <definedName name="Convertible_Debt_Converted">#REF!</definedName>
    <definedName name="Convertible_Preferred_Converted">#REF!</definedName>
    <definedName name="COPM">#REF!</definedName>
    <definedName name="COPY">{#N/A,#N/A,FALSE,"Pharm";#N/A,#N/A,FALSE,"WWCM"}</definedName>
    <definedName name="COPY_1">{#N/A,#N/A,FALSE,"Pharm";#N/A,#N/A,FALSE,"WWCM"}</definedName>
    <definedName name="COPY_2">{#N/A,#N/A,FALSE,"Pharm";#N/A,#N/A,FALSE,"WWCM"}</definedName>
    <definedName name="COPY_3">{#N/A,#N/A,FALSE,"Pharm";#N/A,#N/A,FALSE,"WWCM"}</definedName>
    <definedName name="COPY_4">{#N/A,#N/A,FALSE,"Pharm";#N/A,#N/A,FALSE,"WWCM"}</definedName>
    <definedName name="COPY_5">{#N/A,#N/A,FALSE,"Pharm";#N/A,#N/A,FALSE,"WWCM"}</definedName>
    <definedName name="copy_area">#REF!,#REF!,#REF!,#REF!,#REF!,#REF!,#REF!,#REF!,#REF!,#REF!,#REF!,#REF!,#REF!,#REF!</definedName>
    <definedName name="copy1">{#N/A,#N/A,FALSE,"Pharm";#N/A,#N/A,FALSE,"WWCM"}</definedName>
    <definedName name="copy1_1">{#N/A,#N/A,FALSE,"Pharm";#N/A,#N/A,FALSE,"WWCM"}</definedName>
    <definedName name="copy1_2">{#N/A,#N/A,FALSE,"Pharm";#N/A,#N/A,FALSE,"WWCM"}</definedName>
    <definedName name="copy1_3">{#N/A,#N/A,FALSE,"Pharm";#N/A,#N/A,FALSE,"WWCM"}</definedName>
    <definedName name="copy1_4">{#N/A,#N/A,FALSE,"Pharm";#N/A,#N/A,FALSE,"WWCM"}</definedName>
    <definedName name="copy1_5">{#N/A,#N/A,FALSE,"Pharm";#N/A,#N/A,FALSE,"WWCM"}</definedName>
    <definedName name="COPY2">{#N/A,#N/A,FALSE,"Pharm";#N/A,#N/A,FALSE,"WWCM"}</definedName>
    <definedName name="COPY2_1">{#N/A,#N/A,FALSE,"Pharm";#N/A,#N/A,FALSE,"WWCM"}</definedName>
    <definedName name="COPY2_2">{#N/A,#N/A,FALSE,"Pharm";#N/A,#N/A,FALSE,"WWCM"}</definedName>
    <definedName name="COPY2_3">{#N/A,#N/A,FALSE,"Pharm";#N/A,#N/A,FALSE,"WWCM"}</definedName>
    <definedName name="COPY2_4">{#N/A,#N/A,FALSE,"Pharm";#N/A,#N/A,FALSE,"WWCM"}</definedName>
    <definedName name="COPY2_5">{#N/A,#N/A,FALSE,"Pharm";#N/A,#N/A,FALSE,"WWCM"}</definedName>
    <definedName name="copy233">{#N/A,#N/A,FALSE,"Pharm";#N/A,#N/A,FALSE,"WWCM"}</definedName>
    <definedName name="copy233_1">{#N/A,#N/A,FALSE,"Pharm";#N/A,#N/A,FALSE,"WWCM"}</definedName>
    <definedName name="copy233_2">{#N/A,#N/A,FALSE,"Pharm";#N/A,#N/A,FALSE,"WWCM"}</definedName>
    <definedName name="copy233_3">{#N/A,#N/A,FALSE,"Pharm";#N/A,#N/A,FALSE,"WWCM"}</definedName>
    <definedName name="copy233_4">{#N/A,#N/A,FALSE,"Pharm";#N/A,#N/A,FALSE,"WWCM"}</definedName>
    <definedName name="copy233_5">{#N/A,#N/A,FALSE,"Pharm";#N/A,#N/A,FALSE,"WWCM"}</definedName>
    <definedName name="copy33">{#N/A,#N/A,FALSE,"Pharm";#N/A,#N/A,FALSE,"WWCM"}</definedName>
    <definedName name="copy33_1">{#N/A,#N/A,FALSE,"Pharm";#N/A,#N/A,FALSE,"WWCM"}</definedName>
    <definedName name="copy33_2">{#N/A,#N/A,FALSE,"Pharm";#N/A,#N/A,FALSE,"WWCM"}</definedName>
    <definedName name="copy33_3">{#N/A,#N/A,FALSE,"Pharm";#N/A,#N/A,FALSE,"WWCM"}</definedName>
    <definedName name="copy33_4">{#N/A,#N/A,FALSE,"Pharm";#N/A,#N/A,FALSE,"WWCM"}</definedName>
    <definedName name="copy33_5">{#N/A,#N/A,FALSE,"Pharm";#N/A,#N/A,FALSE,"WWCM"}</definedName>
    <definedName name="copy38">{#N/A,#N/A,FALSE,"Pharm";#N/A,#N/A,FALSE,"WWCM"}</definedName>
    <definedName name="copy38_1">{#N/A,#N/A,FALSE,"Pharm";#N/A,#N/A,FALSE,"WWCM"}</definedName>
    <definedName name="copy38_2">{#N/A,#N/A,FALSE,"Pharm";#N/A,#N/A,FALSE,"WWCM"}</definedName>
    <definedName name="copy38_3">{#N/A,#N/A,FALSE,"Pharm";#N/A,#N/A,FALSE,"WWCM"}</definedName>
    <definedName name="copy38_4">{#N/A,#N/A,FALSE,"Pharm";#N/A,#N/A,FALSE,"WWCM"}</definedName>
    <definedName name="copy38_5">{#N/A,#N/A,FALSE,"Pharm";#N/A,#N/A,FALSE,"WWCM"}</definedName>
    <definedName name="copyarea">#REF!,#REF!,#REF!,#REF!,#REF!,#REF!,#REF!,#REF!,#REF!,#REF!,#REF!,#REF!,#REF!,#REF!</definedName>
    <definedName name="COR_Local_Currency">#REF!</definedName>
    <definedName name="CORPORATE">#REF!</definedName>
    <definedName name="Corporate_Budget04_05">#REF!</definedName>
    <definedName name="Corporate_FC">#REF!</definedName>
    <definedName name="Corporate_Objectives_Link">#REF!</definedName>
    <definedName name="CORPORATION_BANK">#REF!</definedName>
    <definedName name="corporation_bank___Unsecured_book_OD">#REF!</definedName>
    <definedName name="Corporation_Tax">#REF!</definedName>
    <definedName name="COS">#REF!</definedName>
    <definedName name="COS_UC">#REF!</definedName>
    <definedName name="COST">#REF!</definedName>
    <definedName name="cost_calcn">#REF!</definedName>
    <definedName name="cost_cat">#REF!</definedName>
    <definedName name="Cost_center">#REF!</definedName>
    <definedName name="CoStatus">#REF!</definedName>
    <definedName name="costbytype">#REF!</definedName>
    <definedName name="Costcentre">#REF!</definedName>
    <definedName name="costs">#REF!</definedName>
    <definedName name="CostType">#REF!</definedName>
    <definedName name="cot7.5">#REF!</definedName>
    <definedName name="cot8.5">#REF!</definedName>
    <definedName name="coun">{#N/A,#N/A,FALSE,"Assessment";#N/A,#N/A,FALSE,"Staffing";#N/A,#N/A,FALSE,"Hires";#N/A,#N/A,FALSE,"Assumptions"}</definedName>
    <definedName name="COUNT2">{#N/A,#N/A,FALSE,"Assessment";#N/A,#N/A,FALSE,"Staffing";#N/A,#N/A,FALSE,"Hires";#N/A,#N/A,FALSE,"Assumptions"}</definedName>
    <definedName name="Countries">#REF!</definedName>
    <definedName name="Country">{#N/A,#N/A,FALSE,"Balance Sheets";#N/A,#N/A,FALSE,"96 Conservative";#N/A,#N/A,FALSE,"96 Possible"}</definedName>
    <definedName name="Country_1">{#N/A,#N/A,FALSE,"Balance Sheets";#N/A,#N/A,FALSE,"96 Conservative";#N/A,#N/A,FALSE,"96 Possible"}</definedName>
    <definedName name="Country_2">{#N/A,#N/A,FALSE,"Balance Sheets";#N/A,#N/A,FALSE,"96 Conservative";#N/A,#N/A,FALSE,"96 Possible"}</definedName>
    <definedName name="Country_3">{#N/A,#N/A,FALSE,"Balance Sheets";#N/A,#N/A,FALSE,"96 Conservative";#N/A,#N/A,FALSE,"96 Possible"}</definedName>
    <definedName name="Country_4">{#N/A,#N/A,FALSE,"Balance Sheets";#N/A,#N/A,FALSE,"96 Conservative";#N/A,#N/A,FALSE,"96 Possible"}</definedName>
    <definedName name="Country_Index">#REF!</definedName>
    <definedName name="Country_Name">#REF!</definedName>
    <definedName name="Courier_charges">#REF!</definedName>
    <definedName name="COURIER_SERVICES">#REF!</definedName>
    <definedName name="cover">{#N/A,#N/A,FALSE,"Staffnos &amp; cost"}</definedName>
    <definedName name="CoverageStatus">#REF!</definedName>
    <definedName name="cpc">#REF!</definedName>
    <definedName name="Cr">10^7</definedName>
    <definedName name="CR3RT">#REF!</definedName>
    <definedName name="CR3RTDK">#REF!</definedName>
    <definedName name="CR5RTDK">#REF!</definedName>
    <definedName name="cre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1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1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REDIT_BALANCE_IN_DEBTORS_LEDGER">#REF!</definedName>
    <definedName name="CREDIT_NOTE_PROVISION">#REF!</definedName>
    <definedName name="Creditors___1_Year">#REF!</definedName>
    <definedName name="CREDITORS_CONTROL">#REF!</definedName>
    <definedName name="CRITINST">#REF!</definedName>
    <definedName name="CRITPURC">#REF!</definedName>
    <definedName name="crore">10000000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dfdfds">#REF!</definedName>
    <definedName name="csDesignMode">1</definedName>
    <definedName name="Csdfs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MBushings">#REF!</definedName>
    <definedName name="CSMFabEff">#REF!</definedName>
    <definedName name="CT">#REF!</definedName>
    <definedName name="ctc">#REF!</definedName>
    <definedName name="ctccoe">#REF!</definedName>
    <definedName name="ctcdec04">#REF!</definedName>
    <definedName name="ctiep">#REF!</definedName>
    <definedName name="cto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CU_LY">#REF!</definedName>
    <definedName name="Cumulative">#REF!</definedName>
    <definedName name="Cumulative_2">#REF!</definedName>
    <definedName name="Cumulative_Cash">#REF!</definedName>
    <definedName name="Cumulative_FD_2nd_part">#REF!</definedName>
    <definedName name="Cumulative_value">#REF!</definedName>
    <definedName name="cuoc_vc">#REF!</definedName>
    <definedName name="Cur">#REF!</definedName>
    <definedName name="cur_mth">#REF!</definedName>
    <definedName name="Curr.Rates">#REF!</definedName>
    <definedName name="Currencies">#REF!</definedName>
    <definedName name="Currency">#REF!</definedName>
    <definedName name="CurrencyMarker">#REF!</definedName>
    <definedName name="CurrencyNote">#REF!</definedName>
    <definedName name="CurrencyOfEntity">#REF!</definedName>
    <definedName name="Current">#REF!</definedName>
    <definedName name="CURRENT_A_C_WITH_BANKS">#REF!</definedName>
    <definedName name="Current_Assets">#REF!</definedName>
    <definedName name="CURRENT_LIAB">#REF!</definedName>
    <definedName name="CURRENT_LIBILITIES">#REF!</definedName>
    <definedName name="Current_Line">#REF!</definedName>
    <definedName name="Current_Month">#REF!</definedName>
    <definedName name="currentassets1">#REF!</definedName>
    <definedName name="currentassets2">#REF!</definedName>
    <definedName name="currentassets3">#REF!</definedName>
    <definedName name="currentassets4">#REF!</definedName>
    <definedName name="currentassets5">#REF!</definedName>
    <definedName name="currentliabilities1">#REF!</definedName>
    <definedName name="currentliabilities2">#REF!</definedName>
    <definedName name="currentliabilities3">#REF!</definedName>
    <definedName name="currentliabilities4">#REF!</definedName>
    <definedName name="currentliabilities5">#REF!</definedName>
    <definedName name="CurrentSO">#REF!</definedName>
    <definedName name="currmth">#REF!</definedName>
    <definedName name="CurrMth1">#REF!</definedName>
    <definedName name="CURVE">{#N/A,#N/A,FALSE,"COVER1.XLS ";#N/A,#N/A,FALSE,"RACT1.XLS";#N/A,#N/A,FALSE,"RACT2.XLS";#N/A,#N/A,FALSE,"ECCMP";#N/A,#N/A,FALSE,"WELDER.XLS"}</definedName>
    <definedName name="cuslist">#REF!</definedName>
    <definedName name="CustDIST">#REF!</definedName>
    <definedName name="Custlist">#REF!</definedName>
    <definedName name="CustOEM">#REF!</definedName>
    <definedName name="customer">#REF!</definedName>
    <definedName name="Customer_Address">"Rm 2409, 24/F Winsor House"</definedName>
    <definedName name="Customer_City">"Causeway Bay, Hong KOng"</definedName>
    <definedName name="Customer_Name">"Trend_Micro_HK_Limited"</definedName>
    <definedName name="Customer_State">"Hong KOng"</definedName>
    <definedName name="Customer_ZIP">"sdf"</definedName>
    <definedName name="Customers">#REF!</definedName>
    <definedName name="CUSTOMS_DUTY">#REF!</definedName>
    <definedName name="CutOffDate">#REF!</definedName>
    <definedName name="cv">{#N/A,#N/A,FALSE,"EW"}</definedName>
    <definedName name="cv_1">{#N/A,#N/A,FALSE,"EW"}</definedName>
    <definedName name="cv_2">{#N/A,#N/A,FALSE,"EW"}</definedName>
    <definedName name="cv_2_1">{#N/A,#N/A,FALSE,"EW"}</definedName>
    <definedName name="cv_2_2">{#N/A,#N/A,FALSE,"EW"}</definedName>
    <definedName name="cv_2_3">{#N/A,#N/A,FALSE,"EW"}</definedName>
    <definedName name="cv_2_4">{#N/A,#N/A,FALSE,"EW"}</definedName>
    <definedName name="cv_3">{#N/A,#N/A,FALSE,"EW"}</definedName>
    <definedName name="cv_3_1">{#N/A,#N/A,FALSE,"EW"}</definedName>
    <definedName name="cv_3_2">{#N/A,#N/A,FALSE,"EW"}</definedName>
    <definedName name="cv_3_3">{#N/A,#N/A,FALSE,"EW"}</definedName>
    <definedName name="cv_3_4">{#N/A,#N/A,FALSE,"EW"}</definedName>
    <definedName name="cv_4">{#N/A,#N/A,FALSE,"EW"}</definedName>
    <definedName name="cv_4_1">{#N/A,#N/A,FALSE,"EW"}</definedName>
    <definedName name="cv_4_2">{#N/A,#N/A,FALSE,"EW"}</definedName>
    <definedName name="cv_4_3">{#N/A,#N/A,FALSE,"EW"}</definedName>
    <definedName name="cv_4_4">{#N/A,#N/A,FALSE,"EW"}</definedName>
    <definedName name="cv_5">{#N/A,#N/A,FALSE,"EW"}</definedName>
    <definedName name="CV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h">{#N/A,#N/A,FALSE,"TOWNSHIP"}</definedName>
    <definedName name="cvh_1">{#N/A,#N/A,FALSE,"TOWNSHIP"}</definedName>
    <definedName name="cvh_2">{#N/A,#N/A,FALSE,"TOWNSHIP"}</definedName>
    <definedName name="cvh_2_1">{#N/A,#N/A,FALSE,"TOWNSHIP"}</definedName>
    <definedName name="cvh_2_2">{#N/A,#N/A,FALSE,"TOWNSHIP"}</definedName>
    <definedName name="cvh_2_3">{#N/A,#N/A,FALSE,"TOWNSHIP"}</definedName>
    <definedName name="cvh_2_4">{#N/A,#N/A,FALSE,"TOWNSHIP"}</definedName>
    <definedName name="cvh_3">{#N/A,#N/A,FALSE,"TOWNSHIP"}</definedName>
    <definedName name="cvh_3_1">{#N/A,#N/A,FALSE,"TOWNSHIP"}</definedName>
    <definedName name="cvh_3_2">{#N/A,#N/A,FALSE,"TOWNSHIP"}</definedName>
    <definedName name="cvh_3_3">{#N/A,#N/A,FALSE,"TOWNSHIP"}</definedName>
    <definedName name="cvh_3_4">{#N/A,#N/A,FALSE,"TOWNSHIP"}</definedName>
    <definedName name="cvh_4">{#N/A,#N/A,FALSE,"TOWNSHIP"}</definedName>
    <definedName name="cvh_4_1">{#N/A,#N/A,FALSE,"TOWNSHIP"}</definedName>
    <definedName name="cvh_4_2">{#N/A,#N/A,FALSE,"TOWNSHIP"}</definedName>
    <definedName name="cvh_4_3">{#N/A,#N/A,FALSE,"TOWNSHIP"}</definedName>
    <definedName name="cvh_4_4">{#N/A,#N/A,FALSE,"TOWNSHIP"}</definedName>
    <definedName name="cvh_5">{#N/A,#N/A,FALSE,"TOWNSHIP"}</definedName>
    <definedName name="cvv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>{#N/A,#N/A,FALSE,"PGW"}</definedName>
    <definedName name="CX_1">{#N/A,#N/A,FALSE,"PGW"}</definedName>
    <definedName name="CX_1_1">{#N/A,#N/A,FALSE,"PGW"}</definedName>
    <definedName name="CX_1_2">{#N/A,#N/A,FALSE,"PGW"}</definedName>
    <definedName name="CX_1_3">{#N/A,#N/A,FALSE,"PGW"}</definedName>
    <definedName name="CX_1_4">{#N/A,#N/A,FALSE,"PGW"}</definedName>
    <definedName name="CX_2">{#N/A,#N/A,FALSE,"PGW"}</definedName>
    <definedName name="CX_2_1">{#N/A,#N/A,FALSE,"PGW"}</definedName>
    <definedName name="CX_2_2">{#N/A,#N/A,FALSE,"PGW"}</definedName>
    <definedName name="CX_2_3">{#N/A,#N/A,FALSE,"PGW"}</definedName>
    <definedName name="CX_2_4">{#N/A,#N/A,FALSE,"PGW"}</definedName>
    <definedName name="CX_3">{#N/A,#N/A,FALSE,"PGW"}</definedName>
    <definedName name="CX_3_1">{#N/A,#N/A,FALSE,"PGW"}</definedName>
    <definedName name="CX_3_2">{#N/A,#N/A,FALSE,"PGW"}</definedName>
    <definedName name="CX_3_3">{#N/A,#N/A,FALSE,"PGW"}</definedName>
    <definedName name="CX_3_4">{#N/A,#N/A,FALSE,"PGW"}</definedName>
    <definedName name="CX_4">{#N/A,#N/A,FALSE,"PGW"}</definedName>
    <definedName name="CX_4_1">{#N/A,#N/A,FALSE,"PGW"}</definedName>
    <definedName name="CX_4_2">{#N/A,#N/A,FALSE,"PGW"}</definedName>
    <definedName name="CX_4_3">{#N/A,#N/A,FALSE,"PGW"}</definedName>
    <definedName name="CX_4_4">{#N/A,#N/A,FALSE,"PGW"}</definedName>
    <definedName name="CX_5">{#N/A,#N/A,FALSE,"PGW"}</definedName>
    <definedName name="CXL">#REF!</definedName>
    <definedName name="C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_1">{#N/A,#N/A,FALSE,"PMTABB";#N/A,#N/A,FALSE,"PMTABB"}</definedName>
    <definedName name="D_1_1">{#N/A,#N/A,FALSE,"PMTABB";#N/A,#N/A,FALSE,"PMTABB"}</definedName>
    <definedName name="D_1_2">{#N/A,#N/A,FALSE,"PMTABB";#N/A,#N/A,FALSE,"PMTABB"}</definedName>
    <definedName name="D_1_3">{#N/A,#N/A,FALSE,"PMTABB";#N/A,#N/A,FALSE,"PMTABB"}</definedName>
    <definedName name="D_1_4">{#N/A,#N/A,FALSE,"PMTABB";#N/A,#N/A,FALSE,"PMTABB"}</definedName>
    <definedName name="d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a">#REF!</definedName>
    <definedName name="DA_1848744485200000706">#REF!</definedName>
    <definedName name="DA_1848744485200000985">#REF!</definedName>
    <definedName name="DA_1848744485200001021">#REF!</definedName>
    <definedName name="DA_1848744485200001060">#REF!</definedName>
    <definedName name="DAAAT">#REF!</definedName>
    <definedName name="daaq">{#N/A,#N/A,TRUE,"Centrally Managed Alloc Costs"}</definedName>
    <definedName name="DAD">{#N/A,#N/A,FALSE,"REPORT"}</definedName>
    <definedName name="DAD_1">{#N/A,#N/A,FALSE,"REPORT"}</definedName>
    <definedName name="DAD_2">{#N/A,#N/A,FALSE,"REPORT"}</definedName>
    <definedName name="DAD_3">{#N/A,#N/A,FALSE,"REPORT"}</definedName>
    <definedName name="DAD_4">{#N/A,#N/A,FALSE,"REPORT"}</definedName>
    <definedName name="DAD_5">{#N/A,#N/A,FALSE,"REPORT"}</definedName>
    <definedName name="DADF">{#N/A,#N/A,FALSE,"REPORT"}</definedName>
    <definedName name="DADF_1">{#N/A,#N/A,FALSE,"REPORT"}</definedName>
    <definedName name="DADF_2">{#N/A,#N/A,FALSE,"REPORT"}</definedName>
    <definedName name="DADF_3">{#N/A,#N/A,FALSE,"REPORT"}</definedName>
    <definedName name="DADF_4">{#N/A,#N/A,FALSE,"REPORT"}</definedName>
    <definedName name="DADF_5">{#N/A,#N/A,FALSE,"REPORT"}</definedName>
    <definedName name="dadja">{#N/A,#N/A,FALSE,"Full";#N/A,#N/A,FALSE,"Half";#N/A,#N/A,FALSE,"Op Expenses";#N/A,#N/A,FALSE,"Cap Charge";#N/A,#N/A,FALSE,"Cost C";#N/A,#N/A,FALSE,"PP&amp;E";#N/A,#N/A,FALSE,"R&amp;D"}</definedName>
    <definedName name="dadja_1">{#N/A,#N/A,FALSE,"Full";#N/A,#N/A,FALSE,"Half";#N/A,#N/A,FALSE,"Op Expenses";#N/A,#N/A,FALSE,"Cap Charge";#N/A,#N/A,FALSE,"Cost C";#N/A,#N/A,FALSE,"PP&amp;E";#N/A,#N/A,FALSE,"R&amp;D"}</definedName>
    <definedName name="dadja_2">{#N/A,#N/A,FALSE,"Full";#N/A,#N/A,FALSE,"Half";#N/A,#N/A,FALSE,"Op Expenses";#N/A,#N/A,FALSE,"Cap Charge";#N/A,#N/A,FALSE,"Cost C";#N/A,#N/A,FALSE,"PP&amp;E";#N/A,#N/A,FALSE,"R&amp;D"}</definedName>
    <definedName name="dadja_3">{#N/A,#N/A,FALSE,"Full";#N/A,#N/A,FALSE,"Half";#N/A,#N/A,FALSE,"Op Expenses";#N/A,#N/A,FALSE,"Cap Charge";#N/A,#N/A,FALSE,"Cost C";#N/A,#N/A,FALSE,"PP&amp;E";#N/A,#N/A,FALSE,"R&amp;D"}</definedName>
    <definedName name="DADOS">#REF!</definedName>
    <definedName name="dadsas">#REF!</definedName>
    <definedName name="DaewooBH">#REF!</definedName>
    <definedName name="DaewooBT">#REF!</definedName>
    <definedName name="DaewooMC">#REF!</definedName>
    <definedName name="daf">{#N/A,#N/A,FALSE,"1";#N/A,#N/A,FALSE,"2";#N/A,#N/A,FALSE,"16 - 17";#N/A,#N/A,FALSE,"18 - 19";#N/A,#N/A,FALSE,"26";#N/A,#N/A,FALSE,"27";#N/A,#N/A,FALSE,"28"}</definedName>
    <definedName name="daf_1">{#N/A,#N/A,FALSE,"1";#N/A,#N/A,FALSE,"2";#N/A,#N/A,FALSE,"16 - 17";#N/A,#N/A,FALSE,"18 - 19";#N/A,#N/A,FALSE,"26";#N/A,#N/A,FALSE,"27";#N/A,#N/A,FALSE,"28"}</definedName>
    <definedName name="daf_2">{#N/A,#N/A,FALSE,"1";#N/A,#N/A,FALSE,"2";#N/A,#N/A,FALSE,"16 - 17";#N/A,#N/A,FALSE,"18 - 19";#N/A,#N/A,FALSE,"26";#N/A,#N/A,FALSE,"27";#N/A,#N/A,FALSE,"28"}</definedName>
    <definedName name="daf_3">{#N/A,#N/A,FALSE,"1";#N/A,#N/A,FALSE,"2";#N/A,#N/A,FALSE,"16 - 17";#N/A,#N/A,FALSE,"18 - 19";#N/A,#N/A,FALSE,"26";#N/A,#N/A,FALSE,"27";#N/A,#N/A,FALSE,"28"}</definedName>
    <definedName name="daf_4">{#N/A,#N/A,FALSE,"1";#N/A,#N/A,FALSE,"2";#N/A,#N/A,FALSE,"16 - 17";#N/A,#N/A,FALSE,"18 - 19";#N/A,#N/A,FALSE,"26";#N/A,#N/A,FALSE,"27";#N/A,#N/A,FALSE,"28"}</definedName>
    <definedName name="daf_5">{#N/A,#N/A,FALSE,"1";#N/A,#N/A,FALSE,"2";#N/A,#N/A,FALSE,"16 - 17";#N/A,#N/A,FALSE,"18 - 19";#N/A,#N/A,FALSE,"26";#N/A,#N/A,FALSE,"27";#N/A,#N/A,FALSE,"28"}</definedName>
    <definedName name="dakfkjafgkeaj">{#N/A,#N/A,FALSE,"Pharm";#N/A,#N/A,FALSE,"WWCM"}</definedName>
    <definedName name="dakfkjafgkeaj_1">{#N/A,#N/A,FALSE,"Pharm";#N/A,#N/A,FALSE,"WWCM"}</definedName>
    <definedName name="dakfkjafgkeaj_2">{#N/A,#N/A,FALSE,"Pharm";#N/A,#N/A,FALSE,"WWCM"}</definedName>
    <definedName name="dakfkjafgkeaj_3">{#N/A,#N/A,FALSE,"Pharm";#N/A,#N/A,FALSE,"WWCM"}</definedName>
    <definedName name="dakfkjafgkeaj_4">{#N/A,#N/A,FALSE,"Pharm";#N/A,#N/A,FALSE,"WWCM"}</definedName>
    <definedName name="dakfkjafgkeaj_5">{#N/A,#N/A,FALSE,"Pharm";#N/A,#N/A,FALSE,"WWCM"}</definedName>
    <definedName name="DALVI_RAMESH">#REF!</definedName>
    <definedName name="DALVI_SUDARSHAN">#REF!</definedName>
    <definedName name="dam">78000</definedName>
    <definedName name="DANDAGULBHEEMAREDDYG">#REF!</definedName>
    <definedName name="DARADENILESH">#REF!</definedName>
    <definedName name="da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T_10PYM">#REF!</definedName>
    <definedName name="DAT_11PYM">#REF!</definedName>
    <definedName name="DAT_12PYM">#REF!</definedName>
    <definedName name="DAT_13PYM">#REF!</definedName>
    <definedName name="DAT_14PYM">#REF!</definedName>
    <definedName name="DAT_15PYM">#REF!</definedName>
    <definedName name="DAT_16PYM">#REF!</definedName>
    <definedName name="DAT_17PYM">#REF!</definedName>
    <definedName name="DAT_18PYM">#REF!</definedName>
    <definedName name="DAT_19PYM">#REF!</definedName>
    <definedName name="DAT_1CYM">#REF!</definedName>
    <definedName name="DAT_1PYM">#REF!</definedName>
    <definedName name="DAT_20PYM">#REF!</definedName>
    <definedName name="DAT_21PYM">#REF!</definedName>
    <definedName name="DAT_22PYM">#REF!</definedName>
    <definedName name="DAT_2PYM">#REF!</definedName>
    <definedName name="DAT_3PYM">#REF!</definedName>
    <definedName name="DAT_4PYM">#REF!</definedName>
    <definedName name="DAT_5PYM">#REF!</definedName>
    <definedName name="DAT_6PYM">#REF!</definedName>
    <definedName name="DAT_7PYM">#REF!</definedName>
    <definedName name="DAT_8PYM">#REF!</definedName>
    <definedName name="DAT_9PYM">#REF!</definedName>
    <definedName name="DAT_CYM">#REF!</definedName>
    <definedName name="DAT_PYM">#REF!</definedName>
    <definedName name="DAT1_1">#REF!</definedName>
    <definedName name="DAT10_1">#REF!</definedName>
    <definedName name="DAT11_1">#REF!</definedName>
    <definedName name="DAT12_1">#REF!</definedName>
    <definedName name="DAT13_1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PROCESSING_MACHINE">#REF!</definedName>
    <definedName name="data_row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1PL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2PL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3PL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base_2">#REF!</definedName>
    <definedName name="Dataclients">#REF!</definedName>
    <definedName name="DataSource">#REF!</definedName>
    <definedName name="Date">#REF!</definedName>
    <definedName name="DATECALC">#REF!</definedName>
    <definedName name="Dated">#REF!</definedName>
    <definedName name="DateHeader">#REF!</definedName>
    <definedName name="Datenbank1">#REF!</definedName>
    <definedName name="DateRange">"1998.10.01 To 1998.10.31"</definedName>
    <definedName name="DateRangePrice">OFFSET(#REF!,5,0,COUNTA(#REF!)-COUNTA(#REF!),1)</definedName>
    <definedName name="DateRangePriceMain">#REF!</definedName>
    <definedName name="dates">#REF!</definedName>
    <definedName name="datesdetail">#REF!</definedName>
    <definedName name="DateStart">#REF!</definedName>
    <definedName name="Datum">#REF!</definedName>
    <definedName name="DAUNDKARGANESH">#REF!</definedName>
    <definedName name="dave">#REF!</definedName>
    <definedName name="Dave2">#REF!</definedName>
    <definedName name="Day">#REF!</definedName>
    <definedName name="Daypart1">"Morning"</definedName>
    <definedName name="Daypart2">"Weekend Morning"</definedName>
    <definedName name="Daypart3">"Day"</definedName>
    <definedName name="Daypart4">"Weekend Day"</definedName>
    <definedName name="Daypart5">"Early Fringe"</definedName>
    <definedName name="Daypart6">"Prime Access"</definedName>
    <definedName name="Daypart7">"Prime"</definedName>
    <definedName name="Daypart8">"Prime2"</definedName>
    <definedName name="Days_in_Receivables">#REF!,#REF!</definedName>
    <definedName name="DaysYear">#REF!</definedName>
    <definedName name="DB_Doku">#REF!</definedName>
    <definedName name="DB_LCMR">#REF!</definedName>
    <definedName name="DBBT">{#N/A,#N/A,FALSE,"Income Branch ONLY"}</definedName>
    <definedName name="DBResult">#REF!</definedName>
    <definedName name="DBS">#REF!</definedName>
    <definedName name="DCF">{#N/A,#N/A,FALSE,"DCF Summary";#N/A,#N/A,FALSE,"Casema";#N/A,#N/A,FALSE,"Casema NoTel";#N/A,#N/A,FALSE,"UK";#N/A,#N/A,FALSE,"RCF";#N/A,#N/A,FALSE,"Intercable CZ";#N/A,#N/A,FALSE,"Interkabel P"}</definedName>
    <definedName name="DCFConvention">#REF!=0</definedName>
    <definedName name="dclien">#REF!</definedName>
    <definedName name="dd">{#N/A,#N/A,FALSE,"Pharm";#N/A,#N/A,FALSE,"WWCM"}</definedName>
    <definedName name="dd_1">{#N/A,#N/A,FALSE,"Pharm";#N/A,#N/A,FALSE,"WWCM"}</definedName>
    <definedName name="dd_2">{#N/A,#N/A,FALSE,"Pharm";#N/A,#N/A,FALSE,"WWCM"}</definedName>
    <definedName name="dd_3">{#N/A,#N/A,FALSE,"Pharm";#N/A,#N/A,FALSE,"WWCM"}</definedName>
    <definedName name="dd_4">{#N/A,#N/A,FALSE,"Pharm";#N/A,#N/A,FALSE,"WWCM"}</definedName>
    <definedName name="dd_5">{#N/A,#N/A,FALSE,"Pharm";#N/A,#N/A,FALSE,"WWCM"}</definedName>
    <definedName name="DD_Curr">#REF!</definedName>
    <definedName name="dd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A1_Item_1">#REF!</definedName>
    <definedName name="DDA1_Item_10">#REF!</definedName>
    <definedName name="DDA1_Item_2">#REF!</definedName>
    <definedName name="DDA1_Item_3">#REF!</definedName>
    <definedName name="DDA1_Item_4">#REF!</definedName>
    <definedName name="DDA1_Item_5">#REF!</definedName>
    <definedName name="DDA1_Item_6">#REF!</definedName>
    <definedName name="DDA1_Item_7">#REF!</definedName>
    <definedName name="DDA1_Item_8">#REF!</definedName>
    <definedName name="DDA1_Item_9">#REF!</definedName>
    <definedName name="DDA2_Item_1">#REF!</definedName>
    <definedName name="DDA2_Item_10">#REF!</definedName>
    <definedName name="DDA2_Item_2">#REF!</definedName>
    <definedName name="DDA2_Item_3">#REF!</definedName>
    <definedName name="DDA2_Item_4">#REF!</definedName>
    <definedName name="DDA2_Item_5">#REF!</definedName>
    <definedName name="DDA2_Item_6">#REF!</definedName>
    <definedName name="DDA2_Item_7">#REF!</definedName>
    <definedName name="DDA2_Item_8">#REF!</definedName>
    <definedName name="DDA2_Item_9">#REF!</definedName>
    <definedName name="DDA3_Item_1">#REF!</definedName>
    <definedName name="DDA3_Item_10">#REF!</definedName>
    <definedName name="DDA3_Item_2">#REF!</definedName>
    <definedName name="DDA3_Item_3">#REF!</definedName>
    <definedName name="DDA3_Item_4">#REF!</definedName>
    <definedName name="DDA3_Item_5">#REF!</definedName>
    <definedName name="DDA3_Item_6">#REF!</definedName>
    <definedName name="DDA3_Item_7">#REF!</definedName>
    <definedName name="DDA3_Item_8">#REF!</definedName>
    <definedName name="DDA3_Item_9">#REF!</definedName>
    <definedName name="DDA4_Item_1">#REF!</definedName>
    <definedName name="DDA4_Item_10">#REF!</definedName>
    <definedName name="DDA4_Item_2">#REF!</definedName>
    <definedName name="DDA4_Item_3">#REF!</definedName>
    <definedName name="DDA4_Item_4">#REF!</definedName>
    <definedName name="DDA4_Item_5">#REF!</definedName>
    <definedName name="DDA4_Item_6">#REF!</definedName>
    <definedName name="DDA4_Item_7">#REF!</definedName>
    <definedName name="DDA4_Item_8">#REF!</definedName>
    <definedName name="DDA4_Item_9">#REF!</definedName>
    <definedName name="ddaadf">{"Fiesta Facer Page",#N/A,FALSE,"Q_C_S";"Fiesta Main Page",#N/A,FALSE,"V_L";"Fiesta 95BP Struct",#N/A,FALSE,"StructBP";"Fiesta Post 95BP Struct",#N/A,FALSE,"AdjStructBP"}</definedName>
    <definedName name="ddaadf_1">{"Fiesta Facer Page",#N/A,FALSE,"Q_C_S";"Fiesta Main Page",#N/A,FALSE,"V_L";"Fiesta 95BP Struct",#N/A,FALSE,"StructBP";"Fiesta Post 95BP Struct",#N/A,FALSE,"AdjStructBP"}</definedName>
    <definedName name="ddaadf_2">{"Fiesta Facer Page",#N/A,FALSE,"Q_C_S";"Fiesta Main Page",#N/A,FALSE,"V_L";"Fiesta 95BP Struct",#N/A,FALSE,"StructBP";"Fiesta Post 95BP Struct",#N/A,FALSE,"AdjStructBP"}</definedName>
    <definedName name="ddaadf_3">{"Fiesta Facer Page",#N/A,FALSE,"Q_C_S";"Fiesta Main Page",#N/A,FALSE,"V_L";"Fiesta 95BP Struct",#N/A,FALSE,"StructBP";"Fiesta Post 95BP Struct",#N/A,FALSE,"AdjStructBP"}</definedName>
    <definedName name="ddaadf_4">{"Fiesta Facer Page",#N/A,FALSE,"Q_C_S";"Fiesta Main Page",#N/A,FALSE,"V_L";"Fiesta 95BP Struct",#N/A,FALSE,"StructBP";"Fiesta Post 95BP Struct",#N/A,FALSE,"AdjStructBP"}</definedName>
    <definedName name="ddamt">#REF!</definedName>
    <definedName name="ddamtboi">#REF!</definedName>
    <definedName name="ddb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cc">#REF!</definedName>
    <definedName name="ddd">{#N/A,#N/A,FALSE,"Pharm";#N/A,#N/A,FALSE,"WWCM"}</definedName>
    <definedName name="ddD_1">{#N/A,#N/A,FALSE,"PMTABB";#N/A,#N/A,FALSE,"PMTABB"}</definedName>
    <definedName name="ddD_1_1">{#N/A,#N/A,FALSE,"PMTABB";#N/A,#N/A,FALSE,"PMTABB"}</definedName>
    <definedName name="ddD_1_2">{#N/A,#N/A,FALSE,"PMTABB";#N/A,#N/A,FALSE,"PMTABB"}</definedName>
    <definedName name="ddD_1_3">{#N/A,#N/A,FALSE,"PMTABB";#N/A,#N/A,FALSE,"PMTABB"}</definedName>
    <definedName name="ddD_1_4">{#N/A,#N/A,FALSE,"PMTABB";#N/A,#N/A,FALSE,"PMTABB"}</definedName>
    <definedName name="ddD_1_5">{#N/A,#N/A,FALSE,"PMTABB";#N/A,#N/A,FALSE,"PMTABB"}</definedName>
    <definedName name="ddD_2">{#N/A,#N/A,FALSE,"PMTABB";#N/A,#N/A,FALSE,"PMTABB"}</definedName>
    <definedName name="ddD_2_1">{#N/A,#N/A,FALSE,"PMTABB";#N/A,#N/A,FALSE,"PMTABB"}</definedName>
    <definedName name="ddD_2_2">{#N/A,#N/A,FALSE,"PMTABB";#N/A,#N/A,FALSE,"PMTABB"}</definedName>
    <definedName name="ddD_2_3">{#N/A,#N/A,FALSE,"PMTABB";#N/A,#N/A,FALSE,"PMTABB"}</definedName>
    <definedName name="ddD_2_4">{#N/A,#N/A,FALSE,"PMTABB";#N/A,#N/A,FALSE,"PMTABB"}</definedName>
    <definedName name="ddD_3">{#N/A,#N/A,FALSE,"PMTABB";#N/A,#N/A,FALSE,"PMTABB"}</definedName>
    <definedName name="ddD_3_1">{#N/A,#N/A,FALSE,"PMTABB";#N/A,#N/A,FALSE,"PMTABB"}</definedName>
    <definedName name="ddD_3_2">{#N/A,#N/A,FALSE,"PMTABB";#N/A,#N/A,FALSE,"PMTABB"}</definedName>
    <definedName name="ddD_3_3">{#N/A,#N/A,FALSE,"PMTABB";#N/A,#N/A,FALSE,"PMTABB"}</definedName>
    <definedName name="ddD_3_4">{#N/A,#N/A,FALSE,"PMTABB";#N/A,#N/A,FALSE,"PMTABB"}</definedName>
    <definedName name="ddD_4">{#N/A,#N/A,FALSE,"PMTABB";#N/A,#N/A,FALSE,"PMTABB"}</definedName>
    <definedName name="ddD_4_1">{#N/A,#N/A,FALSE,"PMTABB";#N/A,#N/A,FALSE,"PMTABB"}</definedName>
    <definedName name="ddD_4_2">{#N/A,#N/A,FALSE,"PMTABB";#N/A,#N/A,FALSE,"PMTABB"}</definedName>
    <definedName name="ddD_4_3">{#N/A,#N/A,FALSE,"PMTABB";#N/A,#N/A,FALSE,"PMTABB"}</definedName>
    <definedName name="ddD_4_4">{#N/A,#N/A,FALSE,"PMTABB";#N/A,#N/A,FALSE,"PMTABB"}</definedName>
    <definedName name="ddd_5">{#N/A,#N/A,FALSE,"Pharm";#N/A,#N/A,FALSE,"WWCM"}</definedName>
    <definedName name="dddaz">{#N/A,#N/A,FALSE,"Pharm";#N/A,#N/A,FALSE,"WWCM"}</definedName>
    <definedName name="dddaz_1">{#N/A,#N/A,FALSE,"Pharm";#N/A,#N/A,FALSE,"WWCM"}</definedName>
    <definedName name="dddaz_2">{#N/A,#N/A,FALSE,"Pharm";#N/A,#N/A,FALSE,"WWCM"}</definedName>
    <definedName name="dddaz_3">{#N/A,#N/A,FALSE,"Pharm";#N/A,#N/A,FALSE,"WWCM"}</definedName>
    <definedName name="dddaz_4">{#N/A,#N/A,FALSE,"Pharm";#N/A,#N/A,FALSE,"WWCM"}</definedName>
    <definedName name="dddaz_5">{#N/A,#N/A,FALSE,"Pharm";#N/A,#N/A,FALSE,"WWCM"}</definedName>
    <definedName name="dddd">#REF!</definedName>
    <definedName name="dddddd">{#N/A,#N/A,FALSE,"Pharm";#N/A,#N/A,FALSE,"WWCM"}</definedName>
    <definedName name="dddddd_1">{#N/A,#N/A,FALSE,"Pharm";#N/A,#N/A,FALSE,"WWCM"}</definedName>
    <definedName name="dddddd_2">{#N/A,#N/A,FALSE,"Pharm";#N/A,#N/A,FALSE,"WWCM"}</definedName>
    <definedName name="dddddd_3">{#N/A,#N/A,FALSE,"Pharm";#N/A,#N/A,FALSE,"WWCM"}</definedName>
    <definedName name="dddddd_4">{#N/A,#N/A,FALSE,"Pharm";#N/A,#N/A,FALSE,"WWCM"}</definedName>
    <definedName name="dddddd_5">{#N/A,#N/A,FALSE,"Pharm";#N/A,#N/A,FALSE,"WWCM"}</definedName>
    <definedName name="ddddddddd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EA_Item_1">#REF!</definedName>
    <definedName name="DDEA_Item_10">#REF!</definedName>
    <definedName name="DDEA_Item_2">#REF!</definedName>
    <definedName name="DDEA_Item_3">#REF!</definedName>
    <definedName name="DDEA_Item_4">#REF!</definedName>
    <definedName name="DDEA_Item_5">#REF!</definedName>
    <definedName name="DDEA_Item_6">#REF!</definedName>
    <definedName name="DDEA_Item_7">#REF!</definedName>
    <definedName name="DDEA_Item_8">#REF!</definedName>
    <definedName name="DDEA_Item_9">#REF!</definedName>
    <definedName name="dde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DSA_Item_1">#REF!</definedName>
    <definedName name="DDSA_Item_10">#REF!</definedName>
    <definedName name="DDSA_Item_2">#REF!</definedName>
    <definedName name="DDSA_Item_3">#REF!</definedName>
    <definedName name="DDSA_Item_4">#REF!</definedName>
    <definedName name="DDSA_Item_5">#REF!</definedName>
    <definedName name="DDSA_Item_6">#REF!</definedName>
    <definedName name="DDSA_Item_7">#REF!</definedName>
    <definedName name="DDSA_Item_8">#REF!</definedName>
    <definedName name="DDSA_Item_9">#REF!</definedName>
    <definedName name="DDSDS">{#N/A,#N/A,FALSE,"PMTABB";#N/A,#N/A,FALSE,"PMTABB"}</definedName>
    <definedName name="DDSDS_1">{#N/A,#N/A,FALSE,"PMTABB";#N/A,#N/A,FALSE,"PMTABB"}</definedName>
    <definedName name="DDSDS_2">{#N/A,#N/A,FALSE,"PMTABB";#N/A,#N/A,FALSE,"PMTABB"}</definedName>
    <definedName name="DDSDS_3">{#N/A,#N/A,FALSE,"PMTABB";#N/A,#N/A,FALSE,"PMTABB"}</definedName>
    <definedName name="DDSDS_4">{#N/A,#N/A,FALSE,"PMTABB";#N/A,#N/A,FALSE,"PMTABB"}</definedName>
    <definedName name="DE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2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3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4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5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DE_GAAP">#REF!</definedName>
    <definedName name="Dealer">#REF!</definedName>
    <definedName name="DEBIT_BAL._IN_CREDITORS_LEDGER">#REF!</definedName>
    <definedName name="DEBIT_BALANCE_W_OFF">#REF!</definedName>
    <definedName name="Debt_Exp_to_Sales">#REF!,#REF!</definedName>
    <definedName name="Debtors">#REF!</definedName>
    <definedName name="debtors_1">{#N/A,#N/A,FALSE,"Cash Flows";#N/A,#N/A,FALSE,"Fixed Assets";#N/A,#N/A,FALSE,"Balance Sheet";#N/A,#N/A,FALSE,"P &amp; L"}</definedName>
    <definedName name="DebtorsAnalysis">#REF!</definedName>
    <definedName name="DebtorsEstimate">#REF!</definedName>
    <definedName name="DebtorsNextQuarter">#REF!</definedName>
    <definedName name="dec">{#N/A,#N/A,TRUE,"Summary";#N/A,#N/A,TRUE,"Balance Sheet";#N/A,#N/A,TRUE,"P &amp; L";#N/A,#N/A,TRUE,"Fixed Assets";#N/A,#N/A,TRUE,"Cash Flows"}</definedName>
    <definedName name="Dec_09">{#N/A,#N/A,FALSE,"Cash Flows";#N/A,#N/A,FALSE,"Fixed Assets";#N/A,#N/A,FALSE,"Balance Sheet";#N/A,#N/A,FALSE,"P &amp; L"}</definedName>
    <definedName name="Dec_09_1">{#N/A,#N/A,FALSE,"Cash Flows";#N/A,#N/A,FALSE,"Fixed Assets";#N/A,#N/A,FALSE,"Balance Sheet";#N/A,#N/A,FALSE,"P &amp; L"}</definedName>
    <definedName name="Dec_09_2">{#N/A,#N/A,FALSE,"Cash Flows";#N/A,#N/A,FALSE,"Fixed Assets";#N/A,#N/A,FALSE,"Balance Sheet";#N/A,#N/A,FALSE,"P &amp; L"}</definedName>
    <definedName name="Dec_09_3">{#N/A,#N/A,FALSE,"Cash Flows";#N/A,#N/A,FALSE,"Fixed Assets";#N/A,#N/A,FALSE,"Balance Sheet";#N/A,#N/A,FALSE,"P &amp; L"}</definedName>
    <definedName name="dec_1">{#N/A,#N/A,TRUE,"Summary";#N/A,#N/A,TRUE,"Balance Sheet";#N/A,#N/A,TRUE,"P &amp; L";#N/A,#N/A,TRUE,"Fixed Assets";#N/A,#N/A,TRUE,"Cash Flows"}</definedName>
    <definedName name="dec_2">{#N/A,#N/A,TRUE,"Summary";#N/A,#N/A,TRUE,"Balance Sheet";#N/A,#N/A,TRUE,"P &amp; L";#N/A,#N/A,TRUE,"Fixed Assets";#N/A,#N/A,TRUE,"Cash Flows"}</definedName>
    <definedName name="dec_3">{#N/A,#N/A,TRUE,"Summary";#N/A,#N/A,TRUE,"Balance Sheet";#N/A,#N/A,TRUE,"P &amp; L";#N/A,#N/A,TRUE,"Fixed Assets";#N/A,#N/A,TRUE,"Cash Flows"}</definedName>
    <definedName name="DEC_4">{#N/A,#N/A,FALSE,"Tabl. H1";#N/A,#N/A,FALSE,"Tabl. H2"}</definedName>
    <definedName name="DecArr">#REF!</definedName>
    <definedName name="DECEMBER">#REF!</definedName>
    <definedName name="DECEXP">#REF!</definedName>
    <definedName name="DECFA">#REF!</definedName>
    <definedName name="DecimalWords">#REF!</definedName>
    <definedName name="Decis">#REF!</definedName>
    <definedName name="DecPay">#REF!</definedName>
    <definedName name="DECTB">#REF!</definedName>
    <definedName name="dede">{#N/A,#N/A,FALSE,"Pharm";#N/A,#N/A,FALSE,"WWCM"}</definedName>
    <definedName name="dede_1">{#N/A,#N/A,FALSE,"Pharm";#N/A,#N/A,FALSE,"WWCM"}</definedName>
    <definedName name="dede_2">{#N/A,#N/A,FALSE,"Pharm";#N/A,#N/A,FALSE,"WWCM"}</definedName>
    <definedName name="dede_3">{#N/A,#N/A,FALSE,"Pharm";#N/A,#N/A,FALSE,"WWCM"}</definedName>
    <definedName name="dede_4">{#N/A,#N/A,FALSE,"Pharm";#N/A,#N/A,FALSE,"WWCM"}</definedName>
    <definedName name="dede_5">{#N/A,#N/A,FALSE,"Pharm";#N/A,#N/A,FALSE,"WWCM"}</definedName>
    <definedName name="DEDED">{#N/A,#N/A,FALSE,"Card";#N/A,#N/A,FALSE,"Prav";#N/A,#N/A,FALSE,"Irbe";#N/A,#N/A,FALSE,"Plavix";#N/A,#N/A,FALSE,"Capt";#N/A,#N/A,FALSE,"Fosi"}</definedName>
    <definedName name="DEDED_1">{#N/A,#N/A,FALSE,"Card";#N/A,#N/A,FALSE,"Prav";#N/A,#N/A,FALSE,"Irbe";#N/A,#N/A,FALSE,"Plavix";#N/A,#N/A,FALSE,"Capt";#N/A,#N/A,FALSE,"Fosi"}</definedName>
    <definedName name="DEDED_2">{#N/A,#N/A,FALSE,"Card";#N/A,#N/A,FALSE,"Prav";#N/A,#N/A,FALSE,"Irbe";#N/A,#N/A,FALSE,"Plavix";#N/A,#N/A,FALSE,"Capt";#N/A,#N/A,FALSE,"Fosi"}</definedName>
    <definedName name="DEDED_3">{#N/A,#N/A,FALSE,"Card";#N/A,#N/A,FALSE,"Prav";#N/A,#N/A,FALSE,"Irbe";#N/A,#N/A,FALSE,"Plavix";#N/A,#N/A,FALSE,"Capt";#N/A,#N/A,FALSE,"Fosi"}</definedName>
    <definedName name="DEDED_4">{#N/A,#N/A,FALSE,"Card";#N/A,#N/A,FALSE,"Prav";#N/A,#N/A,FALSE,"Irbe";#N/A,#N/A,FALSE,"Plavix";#N/A,#N/A,FALSE,"Capt";#N/A,#N/A,FALSE,"Fosi"}</definedName>
    <definedName name="DEDED_5">{#N/A,#N/A,FALSE,"Card";#N/A,#N/A,FALSE,"Prav";#N/A,#N/A,FALSE,"Irbe";#N/A,#N/A,FALSE,"Plavix";#N/A,#N/A,FALSE,"Capt";#N/A,#N/A,FALSE,"Fosi"}</definedName>
    <definedName name="DEDEDZE">{#N/A,#N/A,FALSE,"Pharm";#N/A,#N/A,FALSE,"WWCM"}</definedName>
    <definedName name="DEDEDZE_1">{#N/A,#N/A,FALSE,"Pharm";#N/A,#N/A,FALSE,"WWCM"}</definedName>
    <definedName name="DEDEDZE_2">{#N/A,#N/A,FALSE,"Pharm";#N/A,#N/A,FALSE,"WWCM"}</definedName>
    <definedName name="DEDEDZE_3">{#N/A,#N/A,FALSE,"Pharm";#N/A,#N/A,FALSE,"WWCM"}</definedName>
    <definedName name="DEDEDZE_4">{#N/A,#N/A,FALSE,"Pharm";#N/A,#N/A,FALSE,"WWCM"}</definedName>
    <definedName name="DEDEDZE_5">{#N/A,#N/A,FALSE,"Pharm";#N/A,#N/A,FALSE,"WWCM"}</definedName>
    <definedName name="DEDZD">{#N/A,#N/A,FALSE,"Pharm";#N/A,#N/A,FALSE,"WWCM"}</definedName>
    <definedName name="DEDZD_1">{#N/A,#N/A,FALSE,"Pharm";#N/A,#N/A,FALSE,"WWCM"}</definedName>
    <definedName name="DEDZD_2">{#N/A,#N/A,FALSE,"Pharm";#N/A,#N/A,FALSE,"WWCM"}</definedName>
    <definedName name="DEDZD_3">{#N/A,#N/A,FALSE,"Pharm";#N/A,#N/A,FALSE,"WWCM"}</definedName>
    <definedName name="DEDZD_4">{#N/A,#N/A,FALSE,"Pharm";#N/A,#N/A,FALSE,"WWCM"}</definedName>
    <definedName name="DEDZD_5">{#N/A,#N/A,FALSE,"Pharm";#N/A,#N/A,FALSE,"WWCM"}</definedName>
    <definedName name="DEE">{#N/A,#N/A,FALSE,"Pharm";#N/A,#N/A,FALSE,"WWCM"}</definedName>
    <definedName name="DEE_1">{#N/A,#N/A,FALSE,"Pharm";#N/A,#N/A,FALSE,"WWCM"}</definedName>
    <definedName name="DEE_2">{#N/A,#N/A,FALSE,"Pharm";#N/A,#N/A,FALSE,"WWCM"}</definedName>
    <definedName name="DEE_3">{#N/A,#N/A,FALSE,"Pharm";#N/A,#N/A,FALSE,"WWCM"}</definedName>
    <definedName name="DEE_4">{#N/A,#N/A,FALSE,"Pharm";#N/A,#N/A,FALSE,"WWCM"}</definedName>
    <definedName name="DEE_5">{#N/A,#N/A,FALSE,"Pharm";#N/A,#N/A,FALSE,"WWCM"}</definedName>
    <definedName name="deepak">#REF!</definedName>
    <definedName name="deepakbsc">#REF!</definedName>
    <definedName name="deepakcar">#REF!</definedName>
    <definedName name="deepakded">#REF!</definedName>
    <definedName name="deepakemi">#REF!</definedName>
    <definedName name="deepakfuel">#REF!</definedName>
    <definedName name="deepakhm">#REF!</definedName>
    <definedName name="deepakins">#REF!</definedName>
    <definedName name="deepakint">#REF!</definedName>
    <definedName name="deepakit">#REF!</definedName>
    <definedName name="deepaklta">#REF!</definedName>
    <definedName name="deepakmed">#REF!</definedName>
    <definedName name="deepakpd">#REF!</definedName>
    <definedName name="deepakpf">#REF!</definedName>
    <definedName name="deepakpt">#REF!</definedName>
    <definedName name="deepakregn">#REF!</definedName>
    <definedName name="deepakrent">#REF!</definedName>
    <definedName name="deepakspla">#REF!</definedName>
    <definedName name="def">{#N/A,#N/A,FALSE,"Tabl. A1";#N/A,#N/A,FALSE,"Tabl. A1 b";#N/A,#N/A,FALSE,"Tabl. A2";#N/A,#N/A,FALSE,"Tabl. A2-1";#N/A,#N/A,FALSE,"Tabl. A2-2"}</definedName>
    <definedName name="def_1">{#N/A,#N/A,FALSE,"Tabl. A1";#N/A,#N/A,FALSE,"Tabl. A1 b";#N/A,#N/A,FALSE,"Tabl. A2";#N/A,#N/A,FALSE,"Tabl. A2-1";#N/A,#N/A,FALSE,"Tabl. A2-2"}</definedName>
    <definedName name="def_2">{#N/A,#N/A,FALSE,"Tabl. A1";#N/A,#N/A,FALSE,"Tabl. A1 b";#N/A,#N/A,FALSE,"Tabl. A2";#N/A,#N/A,FALSE,"Tabl. A2-1";#N/A,#N/A,FALSE,"Tabl. A2-2"}</definedName>
    <definedName name="def_3">{#N/A,#N/A,FALSE,"Tabl. A1";#N/A,#N/A,FALSE,"Tabl. A1 b";#N/A,#N/A,FALSE,"Tabl. A2";#N/A,#N/A,FALSE,"Tabl. A2-1";#N/A,#N/A,FALSE,"Tabl. A2-2"}</definedName>
    <definedName name="def_4">{#N/A,#N/A,FALSE,"Tabl. A1";#N/A,#N/A,FALSE,"Tabl. A1 b";#N/A,#N/A,FALSE,"Tabl. A2";#N/A,#N/A,FALSE,"Tabl. A2-1";#N/A,#N/A,FALSE,"Tabl. A2-2"}</definedName>
    <definedName name="DEFERRED_REVENUE_EXPENSES">#REF!</definedName>
    <definedName name="deff">#REF!</definedName>
    <definedName name="Deffered">#REF!</definedName>
    <definedName name="DEFFERED_SALES_TAX_LIABILITY">#REF!</definedName>
    <definedName name="deftax04">{#N/A,#N/A,FALSE,"12"}</definedName>
    <definedName name="DEKATEVINAYAK">#REF!</definedName>
    <definedName name="DEM">#REF!</definedName>
    <definedName name="DEMONSTRATION_PLOT">#REF!</definedName>
    <definedName name="Den">#REF!</definedName>
    <definedName name="den_bu">#REF!</definedName>
    <definedName name="denbu">#REF!</definedName>
    <definedName name="denomination">#REF!</definedName>
    <definedName name="denys">{#N/A,#N/A,FALSE,"Income State.";#N/A,#N/A,FALSE,"B-S"}</definedName>
    <definedName name="dep">{#N/A,#N/A,FALSE,"17"}</definedName>
    <definedName name="Dep.IncomeTax">{#N/A,#N/A,FALSE,"COMICRO";#N/A,#N/A,FALSE,"BALSCH";#N/A,#N/A,FALSE,"GLASS";#N/A,#N/A,FALSE,"DEPRE";#N/A,#N/A,FALSE,"A&amp;MCUR";#N/A,#N/A,FALSE,"AGEANAlysis";#N/A,#N/A,FALSE,"CHECKS";#N/A,#N/A,FALSE,"CHECKS"}</definedName>
    <definedName name="Dep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p_pm">#REF!</definedName>
    <definedName name="DEP_REVIEW_JUNE_02">#REF!</definedName>
    <definedName name="DEP_SUMMY">#REF!</definedName>
    <definedName name="Department">#REF!</definedName>
    <definedName name="DEPB_ADVANCES">#REF!</definedName>
    <definedName name="DEPB_COMMISSION">#REF!</definedName>
    <definedName name="depcom_pa">#REF!</definedName>
    <definedName name="DepDate">#REF!</definedName>
    <definedName name="DEPDAYS">#REF!</definedName>
    <definedName name="DEPDiff">#REF!</definedName>
    <definedName name="DEPINR">#REF!</definedName>
    <definedName name="depn">#REF!</definedName>
    <definedName name="DEPNFINAL">#REF!</definedName>
    <definedName name="deposit">#REF!</definedName>
    <definedName name="DEPOSIT_PAID">#REF!</definedName>
    <definedName name="DEPOSITS_RECEIVED">#REF!</definedName>
    <definedName name="DEPOSITS_WITH_BANK">#REF!</definedName>
    <definedName name="DEPR">#REF!</definedName>
    <definedName name="DEPR_TITLE">#REF!</definedName>
    <definedName name="DEPRATES">#REF!</definedName>
    <definedName name="Depr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Depreciation">#REF!</definedName>
    <definedName name="DEPRECIATION_FOR_THE_YEAR">#REF!</definedName>
    <definedName name="DEPREN">#REF!</definedName>
    <definedName name="DEPRI">#REF!</definedName>
    <definedName name="depsch_pa">#REF!</definedName>
    <definedName name="DepSumry">{#N/A,#N/A,FALSE,"Sheet7"}</definedName>
    <definedName name="DEPTB">#REF!</definedName>
    <definedName name="deptexp">#REF!</definedName>
    <definedName name="DEPUSD">#REF!</definedName>
    <definedName name="depveh_pa">#REF!</definedName>
    <definedName name="DESAIASHRAF">#REF!</definedName>
    <definedName name="DESAISANDEEP">#REF!</definedName>
    <definedName name="DESAIVENKAT">#REF!</definedName>
    <definedName name="desc">#REF!</definedName>
    <definedName name="desclanz">#REF!</definedName>
    <definedName name="description">#REF!</definedName>
    <definedName name="DESHMUKH">#REF!</definedName>
    <definedName name="DESHMUKHATUL">#REF!</definedName>
    <definedName name="DESHMUKHSURAJ">#REF!</definedName>
    <definedName name="DESHPANDERAHUL">#REF!</definedName>
    <definedName name="DESIGN___SUPERVISION_CHARGES">#REF!</definedName>
    <definedName name="Designation">#REF!</definedName>
    <definedName name="DespORigin">#REF!</definedName>
    <definedName name="Destination">#REF!</definedName>
    <definedName name="DET">#REF!</definedName>
    <definedName name="detai">#REF!</definedName>
    <definedName name="detail_1">#REF!</definedName>
    <definedName name="Details">#REF!</definedName>
    <definedName name="DEUTSCH">#REF!</definedName>
    <definedName name="dev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LOPMENT_EXPENSES">#REF!</definedName>
    <definedName name="DEVICE">#REF!</definedName>
    <definedName name="devrajanbsc">#REF!</definedName>
    <definedName name="devrajanconv">#REF!</definedName>
    <definedName name="devrajanded">#REF!</definedName>
    <definedName name="devrajanhra">#REF!</definedName>
    <definedName name="devrajanit">#REF!</definedName>
    <definedName name="devrajanmed">#REF!</definedName>
    <definedName name="devrajanpd">#REF!</definedName>
    <definedName name="devrajanpf">#REF!</definedName>
    <definedName name="devrajanpt">#REF!</definedName>
    <definedName name="devrajanspla">#REF!</definedName>
    <definedName name="dew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ZLFEZKLHF">{#N/A,#N/A,FALSE,"Pharm";#N/A,#N/A,FALSE,"WWCM"}</definedName>
    <definedName name="DEZLFEZKLHF_1">{#N/A,#N/A,FALSE,"Pharm";#N/A,#N/A,FALSE,"WWCM"}</definedName>
    <definedName name="DEZLFEZKLHF_2">{#N/A,#N/A,FALSE,"Pharm";#N/A,#N/A,FALSE,"WWCM"}</definedName>
    <definedName name="DEZLFEZKLHF_3">{#N/A,#N/A,FALSE,"Pharm";#N/A,#N/A,FALSE,"WWCM"}</definedName>
    <definedName name="DEZLFEZKLHF_4">{#N/A,#N/A,FALSE,"Pharm";#N/A,#N/A,FALSE,"WWCM"}</definedName>
    <definedName name="DEZLFEZKLHF_5">{#N/A,#N/A,FALSE,"Pharm";#N/A,#N/A,FALSE,"WWCM"}</definedName>
    <definedName name="df">{#N/A,#N/A,FALSE,"PGW"}</definedName>
    <definedName name="df_1">{#N/A,#N/A,FALSE,"PGW"}</definedName>
    <definedName name="df_2">{#N/A,#N/A,FALSE,"PGW"}</definedName>
    <definedName name="df_2_1">{#N/A,#N/A,FALSE,"PGW"}</definedName>
    <definedName name="df_2_2">{#N/A,#N/A,FALSE,"PGW"}</definedName>
    <definedName name="df_2_3">{#N/A,#N/A,FALSE,"PGW"}</definedName>
    <definedName name="df_2_4">{#N/A,#N/A,FALSE,"PGW"}</definedName>
    <definedName name="df_3">{#N/A,#N/A,FALSE,"PGW"}</definedName>
    <definedName name="df_3_1">{#N/A,#N/A,FALSE,"PGW"}</definedName>
    <definedName name="df_3_2">{#N/A,#N/A,FALSE,"PGW"}</definedName>
    <definedName name="df_3_3">{#N/A,#N/A,FALSE,"PGW"}</definedName>
    <definedName name="df_3_4">{#N/A,#N/A,FALSE,"PGW"}</definedName>
    <definedName name="df_4">{#N/A,#N/A,FALSE,"PGW"}</definedName>
    <definedName name="df_4_1">{#N/A,#N/A,FALSE,"PGW"}</definedName>
    <definedName name="df_4_2">{#N/A,#N/A,FALSE,"PGW"}</definedName>
    <definedName name="df_4_3">{#N/A,#N/A,FALSE,"PGW"}</definedName>
    <definedName name="df_4_4">{#N/A,#N/A,FALSE,"PGW"}</definedName>
    <definedName name="df_5">{#N/A,#N/A,FALSE,"PGW"}</definedName>
    <definedName name="dfasd">{#N/A,#N/A,FALSE,"Aging Summary";#N/A,#N/A,FALSE,"Ratio Analysis";#N/A,#N/A,FALSE,"Test 120 Day Accts";#N/A,#N/A,FALSE,"Tickmarks"}</definedName>
    <definedName name="DFASDSF">#REF!</definedName>
    <definedName name="dfd">#REF!</definedName>
    <definedName name="DFDD">{#N/A,#N/A,FALSE,"REPORT"}</definedName>
    <definedName name="DFDD_1">{#N/A,#N/A,FALSE,"REPORT"}</definedName>
    <definedName name="DFDD_2">{#N/A,#N/A,FALSE,"REPORT"}</definedName>
    <definedName name="DFDD_3">{#N/A,#N/A,FALSE,"REPORT"}</definedName>
    <definedName name="DFDD_4">{#N/A,#N/A,FALSE,"REPORT"}</definedName>
    <definedName name="DFDD_5">{#N/A,#N/A,FALSE,"REPORT"}</definedName>
    <definedName name="dfdf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dfgdfg">{#N/A,#N/A,FALSE,"PMTABB";#N/A,#N/A,FALSE,"PMTABB"}</definedName>
    <definedName name="dfgdfg_1">{#N/A,#N/A,FALSE,"PMTABB";#N/A,#N/A,FALSE,"PMTABB"}</definedName>
    <definedName name="dfgdfg_2">{#N/A,#N/A,FALSE,"PMTABB";#N/A,#N/A,FALSE,"PMTABB"}</definedName>
    <definedName name="dfgdfg_3">{#N/A,#N/A,FALSE,"PMTABB";#N/A,#N/A,FALSE,"PMTABB"}</definedName>
    <definedName name="dfgdfg_4">{#N/A,#N/A,FALSE,"PMTABB";#N/A,#N/A,FALSE,"PMTABB"}</definedName>
    <definedName name="dfgdfsfgfsdg">#REF!</definedName>
    <definedName name="dfghfd">{#N/A,#N/A,FALSE,"PMTABB";#N/A,#N/A,FALSE,"PMTABB"}</definedName>
    <definedName name="dfghfd_1">{#N/A,#N/A,FALSE,"PMTABB";#N/A,#N/A,FALSE,"PMTABB"}</definedName>
    <definedName name="dfghfd_2">{#N/A,#N/A,FALSE,"PMTABB";#N/A,#N/A,FALSE,"PMTABB"}</definedName>
    <definedName name="dfghfd_2_1">{#N/A,#N/A,FALSE,"PMTABB";#N/A,#N/A,FALSE,"PMTABB"}</definedName>
    <definedName name="dfghfd_2_2">{#N/A,#N/A,FALSE,"PMTABB";#N/A,#N/A,FALSE,"PMTABB"}</definedName>
    <definedName name="dfghfd_2_3">{#N/A,#N/A,FALSE,"PMTABB";#N/A,#N/A,FALSE,"PMTABB"}</definedName>
    <definedName name="dfghfd_2_4">{#N/A,#N/A,FALSE,"PMTABB";#N/A,#N/A,FALSE,"PMTABB"}</definedName>
    <definedName name="dfghfd_3">{#N/A,#N/A,FALSE,"PMTABB";#N/A,#N/A,FALSE,"PMTABB"}</definedName>
    <definedName name="dfghfd_3_1">{#N/A,#N/A,FALSE,"PMTABB";#N/A,#N/A,FALSE,"PMTABB"}</definedName>
    <definedName name="dfghfd_3_2">{#N/A,#N/A,FALSE,"PMTABB";#N/A,#N/A,FALSE,"PMTABB"}</definedName>
    <definedName name="dfghfd_3_3">{#N/A,#N/A,FALSE,"PMTABB";#N/A,#N/A,FALSE,"PMTABB"}</definedName>
    <definedName name="dfghfd_3_4">{#N/A,#N/A,FALSE,"PMTABB";#N/A,#N/A,FALSE,"PMTABB"}</definedName>
    <definedName name="dfghfd_4">{#N/A,#N/A,FALSE,"PMTABB";#N/A,#N/A,FALSE,"PMTABB"}</definedName>
    <definedName name="dfghfd_4_1">{#N/A,#N/A,FALSE,"PMTABB";#N/A,#N/A,FALSE,"PMTABB"}</definedName>
    <definedName name="dfghfd_4_2">{#N/A,#N/A,FALSE,"PMTABB";#N/A,#N/A,FALSE,"PMTABB"}</definedName>
    <definedName name="dfghfd_4_3">{#N/A,#N/A,FALSE,"PMTABB";#N/A,#N/A,FALSE,"PMTABB"}</definedName>
    <definedName name="dfghfd_4_4">{#N/A,#N/A,FALSE,"PMTABB";#N/A,#N/A,FALSE,"PMTABB"}</definedName>
    <definedName name="dfghfd_5">{#N/A,#N/A,FALSE,"PMTABB";#N/A,#N/A,FALSE,"PMTABB"}</definedName>
    <definedName name="DFGHJK">8</definedName>
    <definedName name="dfgrrwer">MATCH(0.01,End_Bal,-1)+1</definedName>
    <definedName name="DFHGH">{#N/A,#N/A,FALSE,"PGW"}</definedName>
    <definedName name="DFHGH_1">{#N/A,#N/A,FALSE,"PGW"}</definedName>
    <definedName name="DFHGH_1_1">{#N/A,#N/A,FALSE,"PGW"}</definedName>
    <definedName name="DFHGH_1_2">{#N/A,#N/A,FALSE,"PGW"}</definedName>
    <definedName name="DFHGH_1_3">{#N/A,#N/A,FALSE,"PGW"}</definedName>
    <definedName name="DFHGH_1_4">{#N/A,#N/A,FALSE,"PGW"}</definedName>
    <definedName name="DFHGH_2">{#N/A,#N/A,FALSE,"PGW"}</definedName>
    <definedName name="DFHGH_2_1">{#N/A,#N/A,FALSE,"PGW"}</definedName>
    <definedName name="DFHGH_2_2">{#N/A,#N/A,FALSE,"PGW"}</definedName>
    <definedName name="DFHGH_2_3">{#N/A,#N/A,FALSE,"PGW"}</definedName>
    <definedName name="DFHGH_2_4">{#N/A,#N/A,FALSE,"PGW"}</definedName>
    <definedName name="DFHGH_3">{#N/A,#N/A,FALSE,"PGW"}</definedName>
    <definedName name="DFHGH_3_1">{#N/A,#N/A,FALSE,"PGW"}</definedName>
    <definedName name="DFHGH_3_2">{#N/A,#N/A,FALSE,"PGW"}</definedName>
    <definedName name="DFHGH_3_3">{#N/A,#N/A,FALSE,"PGW"}</definedName>
    <definedName name="DFHGH_3_4">{#N/A,#N/A,FALSE,"PGW"}</definedName>
    <definedName name="DFHGH_4">{#N/A,#N/A,FALSE,"PGW"}</definedName>
    <definedName name="DFHGH_4_1">{#N/A,#N/A,FALSE,"PGW"}</definedName>
    <definedName name="DFHGH_4_2">{#N/A,#N/A,FALSE,"PGW"}</definedName>
    <definedName name="DFHGH_4_3">{#N/A,#N/A,FALSE,"PGW"}</definedName>
    <definedName name="DFHGH_4_4">{#N/A,#N/A,FALSE,"PGW"}</definedName>
    <definedName name="DFHGH_5">{#N/A,#N/A,FALSE,"PGW"}</definedName>
    <definedName name="dflkfg">#REF!</definedName>
    <definedName name="dflt2">#REF!</definedName>
    <definedName name="dfosdfs">#REF!</definedName>
    <definedName name="dfr">{#N/A,#N/A,FALSE,"Pharm";#N/A,#N/A,FALSE,"WWCM"}</definedName>
    <definedName name="dfr_1">{#N/A,#N/A,FALSE,"Pharm";#N/A,#N/A,FALSE,"WWCM"}</definedName>
    <definedName name="dfr_2">{#N/A,#N/A,FALSE,"Pharm";#N/A,#N/A,FALSE,"WWCM"}</definedName>
    <definedName name="dfr_3">{#N/A,#N/A,FALSE,"Pharm";#N/A,#N/A,FALSE,"WWCM"}</definedName>
    <definedName name="dfr_4">{#N/A,#N/A,FALSE,"Pharm";#N/A,#N/A,FALSE,"WWCM"}</definedName>
    <definedName name="dfr_5">{#N/A,#N/A,FALSE,"Pharm";#N/A,#N/A,FALSE,"WWCM"}</definedName>
    <definedName name="DGCTI592">#REF!</definedName>
    <definedName name="dgfgfd">{#N/A,#N/A,FALSE,"COVER.XLS";#N/A,#N/A,FALSE,"RACT1.XLS";#N/A,#N/A,FALSE,"RACT2.XLS";#N/A,#N/A,FALSE,"ECCMP";#N/A,#N/A,FALSE,"WELDER.XLS"}</definedName>
    <definedName name="DGP">#REF!</definedName>
    <definedName name="DHAVALEMANOJ">#REF!</definedName>
    <definedName name="dhom">#REF!</definedName>
    <definedName name="DHUMALSAMEER">#REF!</definedName>
    <definedName name="dhw">#REF!</definedName>
    <definedName name="Dieta">#REF!</definedName>
    <definedName name="diff">#REF!</definedName>
    <definedName name="DIFFERED_REVENUE_EXPENSES_WRITTEN_OFF">#REF!</definedName>
    <definedName name="Difference">#REF!</definedName>
    <definedName name="DIGIKAR">#REF!</definedName>
    <definedName name="dii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DilutedShares">#REF!</definedName>
    <definedName name="dimac">{#N/A,#N/A,FALSE,"Tabl. D1";#N/A,#N/A,FALSE,"Tabl. D1 b";#N/A,#N/A,FALSE,"Tabl. D2";#N/A,#N/A,FALSE,"Tabl. D2 b";#N/A,#N/A,FALSE,"Tabl. D3";#N/A,#N/A,FALSE,"Tabl. D4";#N/A,#N/A,FALSE,"Tabl. D5"}</definedName>
    <definedName name="dimac_1">{#N/A,#N/A,FALSE,"Tabl. D1";#N/A,#N/A,FALSE,"Tabl. D1 b";#N/A,#N/A,FALSE,"Tabl. D2";#N/A,#N/A,FALSE,"Tabl. D2 b";#N/A,#N/A,FALSE,"Tabl. D3";#N/A,#N/A,FALSE,"Tabl. D4";#N/A,#N/A,FALSE,"Tabl. D5"}</definedName>
    <definedName name="dimac_2">{#N/A,#N/A,FALSE,"Tabl. D1";#N/A,#N/A,FALSE,"Tabl. D1 b";#N/A,#N/A,FALSE,"Tabl. D2";#N/A,#N/A,FALSE,"Tabl. D2 b";#N/A,#N/A,FALSE,"Tabl. D3";#N/A,#N/A,FALSE,"Tabl. D4";#N/A,#N/A,FALSE,"Tabl. D5"}</definedName>
    <definedName name="dimac_3">{#N/A,#N/A,FALSE,"Tabl. D1";#N/A,#N/A,FALSE,"Tabl. D1 b";#N/A,#N/A,FALSE,"Tabl. D2";#N/A,#N/A,FALSE,"Tabl. D2 b";#N/A,#N/A,FALSE,"Tabl. D3";#N/A,#N/A,FALSE,"Tabl. D4";#N/A,#N/A,FALSE,"Tabl. D5"}</definedName>
    <definedName name="dimac_4">{#N/A,#N/A,FALSE,"Tabl. D1";#N/A,#N/A,FALSE,"Tabl. D1 b";#N/A,#N/A,FALSE,"Tabl. D2";#N/A,#N/A,FALSE,"Tabl. D2 b";#N/A,#N/A,FALSE,"Tabl. D3";#N/A,#N/A,FALSE,"Tabl. D4";#N/A,#N/A,FALSE,"Tabl. D5"}</definedName>
    <definedName name="dipp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Direct_Labour_Cost">#REF!</definedName>
    <definedName name="DIRECTORS_EXPS.">#REF!</definedName>
    <definedName name="DIS">#REF!</definedName>
    <definedName name="Disaggregations">#REF!</definedName>
    <definedName name="Discount">#REF!</definedName>
    <definedName name="DISCOUNT_PAYABLE">#REF!</definedName>
    <definedName name="DiscountPL">#REF!</definedName>
    <definedName name="DiscountYears">#REF!</definedName>
    <definedName name="Dish_cost">#REF!</definedName>
    <definedName name="DISP_DATE">#REF!</definedName>
    <definedName name="DISP_PDATE">#REF!</definedName>
    <definedName name="DispFmt">#REF!</definedName>
    <definedName name="display_area_2">#REF!</definedName>
    <definedName name="display_area_2PL">#REF!</definedName>
    <definedName name="Disposbal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Dist_bud">#REF!</definedName>
    <definedName name="DIV">#REF!</definedName>
    <definedName name="Divdepts">#REF!</definedName>
    <definedName name="DivDesc">#REF!</definedName>
    <definedName name="DIVIDEND_RECEIVED">#REF!</definedName>
    <definedName name="Dividend_Yield">#REF!</definedName>
    <definedName name="DividendPayout">#REF!</definedName>
    <definedName name="Dividends_from_JVs___asscts">#REF!</definedName>
    <definedName name="Division">#REF!</definedName>
    <definedName name="divyadivya">{"Fiesta Facer Page",#N/A,FALSE,"Q_C_S";"Fiesta Main Page",#N/A,FALSE,"V_L";"Fiesta 95BP Struct",#N/A,FALSE,"StructBP";"Fiesta Post 95BP Struct",#N/A,FALSE,"AdjStructBP"}</definedName>
    <definedName name="divyadivya_1">{"Fiesta Facer Page",#N/A,FALSE,"Q_C_S";"Fiesta Main Page",#N/A,FALSE,"V_L";"Fiesta 95BP Struct",#N/A,FALSE,"StructBP";"Fiesta Post 95BP Struct",#N/A,FALSE,"AdjStructBP"}</definedName>
    <definedName name="divyadivya_2">{"Fiesta Facer Page",#N/A,FALSE,"Q_C_S";"Fiesta Main Page",#N/A,FALSE,"V_L";"Fiesta 95BP Struct",#N/A,FALSE,"StructBP";"Fiesta Post 95BP Struct",#N/A,FALSE,"AdjStructBP"}</definedName>
    <definedName name="divyadivya_3">{"Fiesta Facer Page",#N/A,FALSE,"Q_C_S";"Fiesta Main Page",#N/A,FALSE,"V_L";"Fiesta 95BP Struct",#N/A,FALSE,"StructBP";"Fiesta Post 95BP Struct",#N/A,FALSE,"AdjStructBP"}</definedName>
    <definedName name="divyadivya_4">{"Fiesta Facer Page",#N/A,FALSE,"Q_C_S";"Fiesta Main Page",#N/A,FALSE,"V_L";"Fiesta 95BP Struct",#N/A,FALSE,"StructBP";"Fiesta Post 95BP Struct",#N/A,FALSE,"AdjStructBP"}</definedName>
    <definedName name="DIXITJITENDRA">#REF!</definedName>
    <definedName name="DIY_Aggregate">#REF!</definedName>
    <definedName name="DIY_Corp_Alloc">#REF!</definedName>
    <definedName name="DIY_Corp_Brand">#REF!</definedName>
    <definedName name="diy_dep">#REF!</definedName>
    <definedName name="DIYAggRate">#REF!</definedName>
    <definedName name="DIYBaseRate">#REF!</definedName>
    <definedName name="DIYConRate">#REF!</definedName>
    <definedName name="DIYDep">#REF!</definedName>
    <definedName name="DIYResearch">#REF!</definedName>
    <definedName name="djksljd">{#N/A,#N/A,FALSE,"Other";#N/A,#N/A,FALSE,"Ace";#N/A,#N/A,FALSE,"Derm"}</definedName>
    <definedName name="djksljd_1">{#N/A,#N/A,FALSE,"Other";#N/A,#N/A,FALSE,"Ace";#N/A,#N/A,FALSE,"Derm"}</definedName>
    <definedName name="djksljd_2">{#N/A,#N/A,FALSE,"Other";#N/A,#N/A,FALSE,"Ace";#N/A,#N/A,FALSE,"Derm"}</definedName>
    <definedName name="djksljd_3">{#N/A,#N/A,FALSE,"Other";#N/A,#N/A,FALSE,"Ace";#N/A,#N/A,FALSE,"Derm"}</definedName>
    <definedName name="djksljd_4">{#N/A,#N/A,FALSE,"Other";#N/A,#N/A,FALSE,"Ace";#N/A,#N/A,FALSE,"Derm"}</definedName>
    <definedName name="djksljd_5">{#N/A,#N/A,FALSE,"Other";#N/A,#N/A,FALSE,"Ace";#N/A,#N/A,FALSE,"Derm"}</definedName>
    <definedName name="dkgahirghigf">{#N/A,#N/A,FALSE,"Pharm";#N/A,#N/A,FALSE,"WWCM"}</definedName>
    <definedName name="dkgahirghigf_1">{#N/A,#N/A,FALSE,"Pharm";#N/A,#N/A,FALSE,"WWCM"}</definedName>
    <definedName name="dkgahirghigf_2">{#N/A,#N/A,FALSE,"Pharm";#N/A,#N/A,FALSE,"WWCM"}</definedName>
    <definedName name="dkgahirghigf_3">{#N/A,#N/A,FALSE,"Pharm";#N/A,#N/A,FALSE,"WWCM"}</definedName>
    <definedName name="dkgahirghigf_4">{#N/A,#N/A,FALSE,"Pharm";#N/A,#N/A,FALSE,"WWCM"}</definedName>
    <definedName name="dkgahirghigf_5">{#N/A,#N/A,FALSE,"Pharm";#N/A,#N/A,FALSE,"WWCM"}</definedName>
    <definedName name="dksakd">#REF!</definedName>
    <definedName name="Dm_to_Oz">#REF!</definedName>
    <definedName name="Dmalik">{#N/A,#N/A,FALSE,"Umsatz 99";#N/A,#N/A,FALSE,"ER 99 "}</definedName>
    <definedName name="Dmalik_1">{#N/A,#N/A,FALSE,"Umsatz 99";#N/A,#N/A,FALSE,"ER 99 "}</definedName>
    <definedName name="Dmalik_2">{#N/A,#N/A,FALSE,"Umsatz 99";#N/A,#N/A,FALSE,"ER 99 "}</definedName>
    <definedName name="Dmalik_3">{#N/A,#N/A,FALSE,"Umsatz 99";#N/A,#N/A,FALSE,"ER 99 "}</definedName>
    <definedName name="Dmalik_4">{#N/A,#N/A,FALSE,"Umsatz 99";#N/A,#N/A,FALSE,"ER 99 "}</definedName>
    <definedName name="DMCost">#REF!</definedName>
    <definedName name="DME_BeforeCloseCompleted">"False"</definedName>
    <definedName name="DME_Dirty">"False"</definedName>
    <definedName name="DME_LocalFile">"True"</definedName>
    <definedName name="DME_ODMALinks1">"::ODMA\DME-MSE\ADMIN-741=C:\DOCUME~1\tduff\LOCALS~1\Temp\Dme\ADMIN-741.xls"</definedName>
    <definedName name="DME_ODMALinksCount">"1"</definedName>
    <definedName name="dmp">#REF!</definedName>
    <definedName name="DNFL">{#N/A,#N/A,FALSE,"PART-1234-8-12-9(41)";#N/A,#N/A,FALSE,"PARTS-2(3)";#N/A,#N/A,FALSE,"VAN SYSTEM";#N/A,#N/A,FALSE,"PARTS-10(26)";#N/A,#N/A,FALSE,"PART-5-6-7-11(14)";#N/A,#N/A,FALSE,"PARTS-4(3)";#N/A,#N/A,FALSE,"PCLASS"}</definedName>
    <definedName name="DNH">#REF!</definedName>
    <definedName name="dnotes">#REF!</definedName>
    <definedName name="DO">#REF!</definedName>
    <definedName name="doc">#REF!</definedName>
    <definedName name="dohppwv">{"qtrvspyr",#N/A,FALSE,"qtrvspryrqtr"}</definedName>
    <definedName name="DollarHeader">#REF!</definedName>
    <definedName name="DOM_COS">#REF!</definedName>
    <definedName name="DOM_SALE">#REF!</definedName>
    <definedName name="DOMSALE">#REF!</definedName>
    <definedName name="DONATIONS">#REF!</definedName>
    <definedName name="donot">#REF!</definedName>
    <definedName name="DOSAJ">#REF!</definedName>
    <definedName name="DP">#REF!</definedName>
    <definedName name="dpandpe">#REF!</definedName>
    <definedName name="DPL">#REF!</definedName>
    <definedName name="DPMO">#REF!</definedName>
    <definedName name="DPO">#REF!</definedName>
    <definedName name="dprov">#REF!</definedName>
    <definedName name="DPS">#REF!</definedName>
    <definedName name="dpt">#REF!</definedName>
    <definedName name="DPU">#REF!</definedName>
    <definedName name="dqdq">{#N/A,#N/A,TRUE,"Capital Projects"}</definedName>
    <definedName name="dqwdq">{"Yearly_1",#N/A,FALSE,"Summary P&amp;L (1)";"Qua_1",#N/A,FALSE,"Summary P&amp;L (1)";"Yearly_2",#N/A,FALSE,"Earnings by sec (2)";"Qua_2",#N/A,FALSE,"Earnings by sec (2)";"Yearly_3",#N/A,FALSE,"Production Sector (3)";"Qua_3",#N/A,FALSE,"Production Sector (3)";"Yearly_4",#N/A,FALSE,"Production Volume (4)";"Qua_4",#N/A,FALSE,"Production Volume (4)";"Yearly_5",#N/A,FALSE,"Production Notes (5)";"Qua_5",#N/A,FALSE,"Production Notes (5)";"Yearly_6",#N/A,FALSE,"Servicing Sector (6)";"Qua_6",#N/A,FALSE,"Servicing Sector (6)";"Yearly_7",#N/A,FALSE,"CCI Exp (7)";"Qua_7",#N/A,FALSE,"CCI Exp (7)";"Yearly_8",#N/A,FALSE,"Cent_Off Exp (8)";"Qua_8",#N/A,FALSE,"Cent_Off Exp (8)";"Yearly_9",#N/A,FALSE,"CCI HC (9)";"Qua_9",#N/A,FALSE,"CCI HC (9)";"Yearly_10",#N/A,FALSE,"Cent_Off HC (10)";"Qua_10",#N/A,FALSE,"Cent_Off HC (10)";"Yearly_11",#N/A,FALSE,"Fin Pos (11)";"Qua_11",#N/A,FALSE,"Fin Pos (11)"}</definedName>
    <definedName name="draws">#REF!</definedName>
    <definedName name="drbilling">#REF!</definedName>
    <definedName name="drilllink">#REF!</definedName>
    <definedName name="DRS">#REF!</definedName>
    <definedName name="DRS_CASH">#REF!</definedName>
    <definedName name="Druckbereich_MI">#REF!</definedName>
    <definedName name="ds">#REF!</definedName>
    <definedName name="dsad">#REF!</definedName>
    <definedName name="DS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sd">{#N/A,#N/A,FALSE,"PMTABB";#N/A,#N/A,FALSE,"PMTABB"}</definedName>
    <definedName name="dsd_1">{#N/A,#N/A,FALSE,"PMTABB";#N/A,#N/A,FALSE,"PMTABB"}</definedName>
    <definedName name="dsd_2">{#N/A,#N/A,FALSE,"PMTABB";#N/A,#N/A,FALSE,"PMTABB"}</definedName>
    <definedName name="dsd_3">{#N/A,#N/A,FALSE,"PMTABB";#N/A,#N/A,FALSE,"PMTABB"}</definedName>
    <definedName name="dsd_4">{#N/A,#N/A,FALSE,"PMTABB";#N/A,#N/A,FALSE,"PMTABB"}</definedName>
    <definedName name="dsdfdafd">{#N/A,#N/A,FALSE,"Tabl. A1";#N/A,#N/A,FALSE,"Tabl. A1 b";#N/A,#N/A,FALSE,"Tabl. A2";#N/A,#N/A,FALSE,"Tabl. A2-1";#N/A,#N/A,FALSE,"Tabl. A2-2"}</definedName>
    <definedName name="dsdfdafd_1">{#N/A,#N/A,FALSE,"Tabl. A1";#N/A,#N/A,FALSE,"Tabl. A1 b";#N/A,#N/A,FALSE,"Tabl. A2";#N/A,#N/A,FALSE,"Tabl. A2-1";#N/A,#N/A,FALSE,"Tabl. A2-2"}</definedName>
    <definedName name="dsdfdafd_2">{#N/A,#N/A,FALSE,"Tabl. A1";#N/A,#N/A,FALSE,"Tabl. A1 b";#N/A,#N/A,FALSE,"Tabl. A2";#N/A,#N/A,FALSE,"Tabl. A2-1";#N/A,#N/A,FALSE,"Tabl. A2-2"}</definedName>
    <definedName name="dsdfdafd_3">{#N/A,#N/A,FALSE,"Tabl. A1";#N/A,#N/A,FALSE,"Tabl. A1 b";#N/A,#N/A,FALSE,"Tabl. A2";#N/A,#N/A,FALSE,"Tabl. A2-1";#N/A,#N/A,FALSE,"Tabl. A2-2"}</definedName>
    <definedName name="dsdfdafd_4">{#N/A,#N/A,FALSE,"Tabl. A1";#N/A,#N/A,FALSE,"Tabl. A1 b";#N/A,#N/A,FALSE,"Tabl. A2";#N/A,#N/A,FALSE,"Tabl. A2-1";#N/A,#N/A,FALSE,"Tabl. A2-2"}</definedName>
    <definedName name="dsfd">{#N/A,#N/A,FALSE,"Income State.";#N/A,#N/A,FALSE,"B-S"}</definedName>
    <definedName name="dsfe">{#N/A,#N/A,FALSE,"Full";#N/A,#N/A,FALSE,"Half";#N/A,#N/A,FALSE,"Op Expenses";#N/A,#N/A,FALSE,"Cap Charge";#N/A,#N/A,FALSE,"Cost C";#N/A,#N/A,FALSE,"PP&amp;E";#N/A,#N/A,FALSE,"R&amp;D"}</definedName>
    <definedName name="dsfe_1">{#N/A,#N/A,FALSE,"Full";#N/A,#N/A,FALSE,"Half";#N/A,#N/A,FALSE,"Op Expenses";#N/A,#N/A,FALSE,"Cap Charge";#N/A,#N/A,FALSE,"Cost C";#N/A,#N/A,FALSE,"PP&amp;E";#N/A,#N/A,FALSE,"R&amp;D"}</definedName>
    <definedName name="dsfe_2">{#N/A,#N/A,FALSE,"Full";#N/A,#N/A,FALSE,"Half";#N/A,#N/A,FALSE,"Op Expenses";#N/A,#N/A,FALSE,"Cap Charge";#N/A,#N/A,FALSE,"Cost C";#N/A,#N/A,FALSE,"PP&amp;E";#N/A,#N/A,FALSE,"R&amp;D"}</definedName>
    <definedName name="dsfe_3">{#N/A,#N/A,FALSE,"Full";#N/A,#N/A,FALSE,"Half";#N/A,#N/A,FALSE,"Op Expenses";#N/A,#N/A,FALSE,"Cap Charge";#N/A,#N/A,FALSE,"Cost C";#N/A,#N/A,FALSE,"PP&amp;E";#N/A,#N/A,FALSE,"R&amp;D"}</definedName>
    <definedName name="dsfgdfklhglkdflkglkjh">{#N/A,#N/A,FALSE,"PMTABB";#N/A,#N/A,FALSE,"PMTABB"}</definedName>
    <definedName name="dsfgdfklhglkdflkglkjh_1">{#N/A,#N/A,FALSE,"PMTABB";#N/A,#N/A,FALSE,"PMTABB"}</definedName>
    <definedName name="dsfgdfklhglkdflkglkjh_2">{#N/A,#N/A,FALSE,"PMTABB";#N/A,#N/A,FALSE,"PMTABB"}</definedName>
    <definedName name="dsfgdfklhglkdflkglkjh_3">{#N/A,#N/A,FALSE,"PMTABB";#N/A,#N/A,FALSE,"PMTABB"}</definedName>
    <definedName name="dsfgdfklhglkdflkglkjh_4">{#N/A,#N/A,FALSE,"PMTABB";#N/A,#N/A,FALSE,"PMTABB"}</definedName>
    <definedName name="dsfsffss">{#N/A,#N/A,FALSE,"Pharm";#N/A,#N/A,FALSE,"WWCM"}</definedName>
    <definedName name="dsfsffss_1">{#N/A,#N/A,FALSE,"Pharm";#N/A,#N/A,FALSE,"WWCM"}</definedName>
    <definedName name="dsfsffss_2">{#N/A,#N/A,FALSE,"Pharm";#N/A,#N/A,FALSE,"WWCM"}</definedName>
    <definedName name="dsfsffss_3">{#N/A,#N/A,FALSE,"Pharm";#N/A,#N/A,FALSE,"WWCM"}</definedName>
    <definedName name="dsfsffss_4">{#N/A,#N/A,FALSE,"Pharm";#N/A,#N/A,FALSE,"WWCM"}</definedName>
    <definedName name="dsfsffss_5">{#N/A,#N/A,FALSE,"Pharm";#N/A,#N/A,FALSE,"WWCM"}</definedName>
    <definedName name="dsjkds">#REF!</definedName>
    <definedName name="dsm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SR_solve">#REF!</definedName>
    <definedName name="ds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SUMDATA">#REF!</definedName>
    <definedName name="Dta">#REF!</definedName>
    <definedName name="dtata">#REF!</definedName>
    <definedName name="dummy">#REF!</definedName>
    <definedName name="DUNDAGEKAR">#REF!</definedName>
    <definedName name="duoi">#REF!</definedName>
    <definedName name="DutoanDongmo">#REF!</definedName>
    <definedName name="DUTY_DRAWBACK_RECEIVABLE">#REF!</definedName>
    <definedName name="dv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vc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VC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w">#REF!</definedName>
    <definedName name="DWAX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E.25">#REF!</definedName>
    <definedName name="E.30">#REF!</definedName>
    <definedName name="E.32">#REF!</definedName>
    <definedName name="E.33">#REF!</definedName>
    <definedName name="E.34">#REF!</definedName>
    <definedName name="E.37">#REF!</definedName>
    <definedName name="E.38">#REF!</definedName>
    <definedName name="E.40">#REF!</definedName>
    <definedName name="E.41">#REF!</definedName>
    <definedName name="E.42">#REF!</definedName>
    <definedName name="e_1">{#N/A,#N/A,FALSE,"Full";#N/A,#N/A,FALSE,"Half";#N/A,#N/A,FALSE,"Op Expenses";#N/A,#N/A,FALSE,"Cap Charge";#N/A,#N/A,FALSE,"Cost C";#N/A,#N/A,FALSE,"PP&amp;E";#N/A,#N/A,FALSE,"R&amp;D"}</definedName>
    <definedName name="e_2">{#N/A,#N/A,FALSE,"Full";#N/A,#N/A,FALSE,"Half";#N/A,#N/A,FALSE,"Op Expenses";#N/A,#N/A,FALSE,"Cap Charge";#N/A,#N/A,FALSE,"Cost C";#N/A,#N/A,FALSE,"PP&amp;E";#N/A,#N/A,FALSE,"R&amp;D"}</definedName>
    <definedName name="e_3">{#N/A,#N/A,FALSE,"Full";#N/A,#N/A,FALSE,"Half";#N/A,#N/A,FALSE,"Op Expenses";#N/A,#N/A,FALSE,"Cap Charge";#N/A,#N/A,FALSE,"Cost C";#N/A,#N/A,FALSE,"PP&amp;E";#N/A,#N/A,FALSE,"R&amp;D"}</definedName>
    <definedName name="ea">{#N/A,#N/A,TRUE,"Summary";#N/A,#N/A,TRUE,"Balance Sheet";#N/A,#N/A,TRUE,"P &amp; L";#N/A,#N/A,TRUE,"Fixed Assets";#N/A,#N/A,TRUE,"Cash Flows"}</definedName>
    <definedName name="ea_1">{#N/A,#N/A,TRUE,"Summary";#N/A,#N/A,TRUE,"Balance Sheet";#N/A,#N/A,TRUE,"P &amp; L";#N/A,#N/A,TRUE,"Fixed Assets";#N/A,#N/A,TRUE,"Cash Flows"}</definedName>
    <definedName name="EAA">#REF!</definedName>
    <definedName name="Earnings">#REF!</definedName>
    <definedName name="EastAndWest">#REF!,#REF!</definedName>
    <definedName name="EAT">#REF!</definedName>
    <definedName name="EBITDA">#REF!</definedName>
    <definedName name="ed">{#N/A,#N/A,FALSE,"Summary";#N/A,#N/A,FALSE,"Total";#N/A,#N/A,FALSE,"Total ex Swe";#N/A,#N/A,FALSE,"Volume";#N/A,#N/A,FALSE,"Expenses";#N/A,#N/A,FALSE,"CM Var";#N/A,#N/A,FALSE,"YTD Var"}</definedName>
    <definedName name="EDD">{#N/A,#N/A,FALSE,"PMTABB";#N/A,#N/A,FALSE,"PMTABB"}</definedName>
    <definedName name="EDD_1">{#N/A,#N/A,FALSE,"PMTABB";#N/A,#N/A,FALSE,"PMTABB"}</definedName>
    <definedName name="EDD_2">{#N/A,#N/A,FALSE,"PMTABB";#N/A,#N/A,FALSE,"PMTABB"}</definedName>
    <definedName name="EDD_3">{#N/A,#N/A,FALSE,"PMTABB";#N/A,#N/A,FALSE,"PMTABB"}</definedName>
    <definedName name="EDD_4">{#N/A,#N/A,FALSE,"PMTABB";#N/A,#N/A,FALSE,"PMTABB"}</definedName>
    <definedName name="EDIT__END__LEFT__DEL___DOWN">#REF!</definedName>
    <definedName name="edr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d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DUCATION_ALLOWANCE">#REF!</definedName>
    <definedName name="EDUHC">#REF!</definedName>
    <definedName name="EDUNEW">#REF!</definedName>
    <definedName name="EDUTOT">#REF!</definedName>
    <definedName name="e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b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E">{#N/A,#N/A,FALSE,"Pharm";#N/A,#N/A,FALSE,"WWCM"}</definedName>
    <definedName name="EEE_1">{#N/A,#N/A,FALSE,"Pharm";#N/A,#N/A,FALSE,"WWCM"}</definedName>
    <definedName name="EEE_2">{#N/A,#N/A,FALSE,"Pharm";#N/A,#N/A,FALSE,"WWCM"}</definedName>
    <definedName name="EEE_3">{#N/A,#N/A,FALSE,"Pharm";#N/A,#N/A,FALSE,"WWCM"}</definedName>
    <definedName name="EEE_4">{#N/A,#N/A,FALSE,"Pharm";#N/A,#N/A,FALSE,"WWCM"}</definedName>
    <definedName name="EEE_5">{#N/A,#N/A,FALSE,"Pharm";#N/A,#N/A,FALSE,"WWCM"}</definedName>
    <definedName name="eeeee">{#N/A,#N/A,FALSE,"Pharm";#N/A,#N/A,FALSE,"WWCM"}</definedName>
    <definedName name="eeeee_1">{#N/A,#N/A,FALSE,"Pharm";#N/A,#N/A,FALSE,"WWCM"}</definedName>
    <definedName name="eeeee_2">{#N/A,#N/A,FALSE,"Pharm";#N/A,#N/A,FALSE,"WWCM"}</definedName>
    <definedName name="eeeee_3">{#N/A,#N/A,FALSE,"Pharm";#N/A,#N/A,FALSE,"WWCM"}</definedName>
    <definedName name="eeeee_4">{#N/A,#N/A,FALSE,"Pharm";#N/A,#N/A,FALSE,"WWCM"}</definedName>
    <definedName name="eeeee_5">{#N/A,#N/A,FALSE,"Pharm";#N/A,#N/A,FALSE,"WWCM"}</definedName>
    <definedName name="eeeeeee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q">#REF!</definedName>
    <definedName name="EEX">#REF!</definedName>
    <definedName name="EF">#REF!</definedName>
    <definedName name="efefefwse">#REF!</definedName>
    <definedName name="Effective_Tax_Rate">#REF!</definedName>
    <definedName name="Efficiencies">{"AprJE to Everham",#N/A,FALSE,"JEto Jen"}</definedName>
    <definedName name="efr">#REF!</definedName>
    <definedName name="eft_julyfixed">#REF!</definedName>
    <definedName name="EicherBH">#REF!</definedName>
    <definedName name="EicherBT">#REF!</definedName>
    <definedName name="EicherMC">#REF!</definedName>
    <definedName name="ejkfgkjze">{#N/A,#N/A,FALSE,"Pharm";#N/A,#N/A,FALSE,"WWCM"}</definedName>
    <definedName name="ejkfgkjze_1">{#N/A,#N/A,FALSE,"Pharm";#N/A,#N/A,FALSE,"WWCM"}</definedName>
    <definedName name="ejkfgkjze_2">{#N/A,#N/A,FALSE,"Pharm";#N/A,#N/A,FALSE,"WWCM"}</definedName>
    <definedName name="ejkfgkjze_3">{#N/A,#N/A,FALSE,"Pharm";#N/A,#N/A,FALSE,"WWCM"}</definedName>
    <definedName name="ejkfgkjze_4">{#N/A,#N/A,FALSE,"Pharm";#N/A,#N/A,FALSE,"WWCM"}</definedName>
    <definedName name="ejkfgkjze_5">{#N/A,#N/A,FALSE,"Pharm";#N/A,#N/A,FALSE,"WWCM"}</definedName>
    <definedName name="ele">#REF!</definedName>
    <definedName name="Electrical">#REF!</definedName>
    <definedName name="ELECTRICAL_INSTALLATION">#REF!</definedName>
    <definedName name="ELECTRICAL_INSTALLATIONS">#REF!</definedName>
    <definedName name="Electrical_stores">#REF!</definedName>
    <definedName name="Electricaladd">#REF!</definedName>
    <definedName name="Electricity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_Water_etc">#REF!</definedName>
    <definedName name="Electricity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CHARGES">#REF!</definedName>
    <definedName name="Email">#REF!</definedName>
    <definedName name="emis_cashflow">#REF!</definedName>
    <definedName name="emis_controls">#REF!</definedName>
    <definedName name="emis_debtors">#REF!</definedName>
    <definedName name="emis_forecast">#REF!</definedName>
    <definedName name="emis_grossup">#REF!</definedName>
    <definedName name="emis_ops_engg">#REF!</definedName>
    <definedName name="emis_sales_cp">#REF!</definedName>
    <definedName name="emis_sc">#REF!</definedName>
    <definedName name="EMP">#REF!</definedName>
    <definedName name="empcost">#REF!</definedName>
    <definedName name="EMPDETA">#REF!</definedName>
    <definedName name="EMPLOYEE">#REF!</definedName>
    <definedName name="EMPLOYEE_COSTS">#REF!</definedName>
    <definedName name="EmployTaxPercent">#REF!</definedName>
    <definedName name="EMPMAST">#REF!</definedName>
    <definedName name="EMPS_10CY">#REF!</definedName>
    <definedName name="EMPS_10PY">#REF!</definedName>
    <definedName name="EMPS_11CY">#REF!</definedName>
    <definedName name="EMPS_11PY">#REF!</definedName>
    <definedName name="EMPS_12CY">#REF!</definedName>
    <definedName name="EMPS_12PY">#REF!</definedName>
    <definedName name="EMPS_12PY2">#REF!</definedName>
    <definedName name="EMPS_1CY">#REF!</definedName>
    <definedName name="EMPS_1PY">#REF!</definedName>
    <definedName name="EMPS_2CY">#REF!</definedName>
    <definedName name="EMPS_2PY">#REF!</definedName>
    <definedName name="EMPS_3CY">#REF!</definedName>
    <definedName name="EMPS_3PY">#REF!</definedName>
    <definedName name="EMPS_4CY">#REF!</definedName>
    <definedName name="EMPS_4PY">#REF!</definedName>
    <definedName name="EMPS_5CY">#REF!</definedName>
    <definedName name="EMPS_5PY">#REF!</definedName>
    <definedName name="EMPS_6CY">#REF!</definedName>
    <definedName name="EMPS_6PY">#REF!</definedName>
    <definedName name="EMPS_7CY">#REF!</definedName>
    <definedName name="EMPS_7PY">#REF!</definedName>
    <definedName name="EMPS_8CY">#REF!</definedName>
    <definedName name="EMPS_8PY">#REF!</definedName>
    <definedName name="EMPS_9CY">#REF!</definedName>
    <definedName name="EMPS_9PY">#REF!</definedName>
    <definedName name="EMPS_AVG">#REF!</definedName>
    <definedName name="EMPS_BGT_10CY">#REF!</definedName>
    <definedName name="EMPS_BGT_11CY">#REF!</definedName>
    <definedName name="EMPS_BGT_12CY">#REF!</definedName>
    <definedName name="EMPS_BGT_1CY">#REF!</definedName>
    <definedName name="EMPS_BGT_2CY">#REF!</definedName>
    <definedName name="EMPS_BGT_3CY">#REF!</definedName>
    <definedName name="EMPS_BGT_4CY">#REF!</definedName>
    <definedName name="EMPS_BGT_5CY">#REF!</definedName>
    <definedName name="EMPS_BGT_6CY">#REF!</definedName>
    <definedName name="EMPS_BGT_7CY">#REF!</definedName>
    <definedName name="EMPS_BGT_8CY">#REF!</definedName>
    <definedName name="EMPS_BGT_9CY">#REF!</definedName>
    <definedName name="EMPS_BGT_AVG">#REF!</definedName>
    <definedName name="EMPS_CY1QTR">#REF!</definedName>
    <definedName name="EMPS_CY2QTR">#REF!</definedName>
    <definedName name="EMPS_CY3QTR">#REF!</definedName>
    <definedName name="EMPS_CY4QTR">#REF!</definedName>
    <definedName name="EMPS_PY4QTR">#REF!</definedName>
    <definedName name="Empty">#REF!</definedName>
    <definedName name="Empty1">#REF!</definedName>
    <definedName name="Empty2">#REF!</definedName>
    <definedName name="Enable_bud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d_of_Modelling">#REF!</definedName>
    <definedName name="EndDate">#REF!</definedName>
    <definedName name="ENE">#REF!</definedName>
    <definedName name="EnEsMode">#REF!</definedName>
    <definedName name="EnggBH">#REF!</definedName>
    <definedName name="EnggBT">#REF!</definedName>
    <definedName name="EnggMC">#REF!</definedName>
    <definedName name="ENGL">#REF!</definedName>
    <definedName name="ENGLAND">#REF!</definedName>
    <definedName name="ENGLISCH">#REF!</definedName>
    <definedName name="ENILHDFCIncome">#REF!</definedName>
    <definedName name="ENILHDFCLiquid">#REF!</definedName>
    <definedName name="ENILHDFCSTP">#REF!</definedName>
    <definedName name="ENILPruFlexi">#REF!</definedName>
    <definedName name="ENILPruIncome">#REF!</definedName>
    <definedName name="ENILPruLiquid">#REF!</definedName>
    <definedName name="ENILPruSTP">#REF!</definedName>
    <definedName name="ENILZurLiquid">#REF!</definedName>
    <definedName name="ENILZurSTP">#REF!</definedName>
    <definedName name="ENMULWAR">#REF!</definedName>
    <definedName name="enotes">#REF!</definedName>
    <definedName name="Enquirie_Format">#REF!</definedName>
    <definedName name="ENT">#REF!</definedName>
    <definedName name="entamt">IF(#REF!&lt;#REF!,#REF!/12,IF(AND(#REF!&gt;(#REF!-1),#REF!&lt;(#REF!+1)),(#REF!/12)/(#REF!-#REF!+1)*(#REF!-#REF!+1),0))</definedName>
    <definedName name="ENTERTAINMENT_EXPENSES">#REF!</definedName>
    <definedName name="ENTITY_NAME">#REF!</definedName>
    <definedName name="EnYrRng">#REF!</definedName>
    <definedName name="EO">#REF!</definedName>
    <definedName name="EOH">#REF!</definedName>
    <definedName name="EOH_UC">#REF!</definedName>
    <definedName name="EOHAMT">#REF!</definedName>
    <definedName name="EOHQTY">#REF!</definedName>
    <definedName name="EOLsupplyLC">{#N/A,#N/A,FALSE,"PMTABB";#N/A,#N/A,FALSE,"PMTABB"}</definedName>
    <definedName name="EOLsupplyLC_1">{#N/A,#N/A,FALSE,"PMTABB";#N/A,#N/A,FALSE,"PMTABB"}</definedName>
    <definedName name="EOLsupplyLC_2">{#N/A,#N/A,FALSE,"PMTABB";#N/A,#N/A,FALSE,"PMTABB"}</definedName>
    <definedName name="EOLsupplyLC_2_1">{#N/A,#N/A,FALSE,"PMTABB";#N/A,#N/A,FALSE,"PMTABB"}</definedName>
    <definedName name="EOLsupplyLC_2_2">{#N/A,#N/A,FALSE,"PMTABB";#N/A,#N/A,FALSE,"PMTABB"}</definedName>
    <definedName name="EOLsupplyLC_2_3">{#N/A,#N/A,FALSE,"PMTABB";#N/A,#N/A,FALSE,"PMTABB"}</definedName>
    <definedName name="EOLsupplyLC_2_4">{#N/A,#N/A,FALSE,"PMTABB";#N/A,#N/A,FALSE,"PMTABB"}</definedName>
    <definedName name="EOLsupplyLC_3">{#N/A,#N/A,FALSE,"PMTABB";#N/A,#N/A,FALSE,"PMTABB"}</definedName>
    <definedName name="EOLsupplyLC_3_1">{#N/A,#N/A,FALSE,"PMTABB";#N/A,#N/A,FALSE,"PMTABB"}</definedName>
    <definedName name="EOLsupplyLC_3_2">{#N/A,#N/A,FALSE,"PMTABB";#N/A,#N/A,FALSE,"PMTABB"}</definedName>
    <definedName name="EOLsupplyLC_3_3">{#N/A,#N/A,FALSE,"PMTABB";#N/A,#N/A,FALSE,"PMTABB"}</definedName>
    <definedName name="EOLsupplyLC_3_4">{#N/A,#N/A,FALSE,"PMTABB";#N/A,#N/A,FALSE,"PMTABB"}</definedName>
    <definedName name="EOLsupplyLC_4">{#N/A,#N/A,FALSE,"PMTABB";#N/A,#N/A,FALSE,"PMTABB"}</definedName>
    <definedName name="EOLsupplyLC_4_1">{#N/A,#N/A,FALSE,"PMTABB";#N/A,#N/A,FALSE,"PMTABB"}</definedName>
    <definedName name="EOLsupplyLC_4_2">{#N/A,#N/A,FALSE,"PMTABB";#N/A,#N/A,FALSE,"PMTABB"}</definedName>
    <definedName name="EOLsupplyLC_4_3">{#N/A,#N/A,FALSE,"PMTABB";#N/A,#N/A,FALSE,"PMTABB"}</definedName>
    <definedName name="EOLsupplyLC_4_4">{#N/A,#N/A,FALSE,"PMTABB";#N/A,#N/A,FALSE,"PMTABB"}</definedName>
    <definedName name="EOLsupplyLC_5">{#N/A,#N/A,FALSE,"PMTABB";#N/A,#N/A,FALSE,"PMTABB"}</definedName>
    <definedName name="EPG">#REF!</definedName>
    <definedName name="EPS">#REF!</definedName>
    <definedName name="EqMult">#REF!</definedName>
    <definedName name="Equity_dividends_paid">#REF!</definedName>
    <definedName name="Equity_local_currency">#REF!</definedName>
    <definedName name="equity1">#REF!</definedName>
    <definedName name="equity2">#REF!</definedName>
    <definedName name="equity3">#REF!</definedName>
    <definedName name="equity4">#REF!</definedName>
    <definedName name="equity5">#REF!</definedName>
    <definedName name="eqwd">{"turnover",#N/A,FALSE;"profits",#N/A,FALSE;"cash",#N/A,FALSE}</definedName>
    <definedName name="eqwwd">{"Accomm &amp; Admin Commentary",#N/A,FALSE,"Accomm &amp; Admin";"Accomm &amp; Admin P&amp;L",#N/A,FALSE,"Accomm &amp; Admin";"Admin Staff list",#N/A,FALSE,"Accomm &amp; Admin";"Accomm - Staff Cost",#N/A,FALSE,"Accomm &amp; Admin";"Accomm - Premises",#N/A,FALSE,"Accomm &amp; Admin";"Accomm - Other",#N/A,FALSE,"Accomm &amp; Admin"}</definedName>
    <definedName name="er">#REF!</definedName>
    <definedName name="ERC_2T02_NARO_SCH6_DATA">#REF!</definedName>
    <definedName name="erd">{#N/A,#N/A,FALSE,"Pharm";#N/A,#N/A,FALSE,"WWCM"}</definedName>
    <definedName name="erd_1">{#N/A,#N/A,FALSE,"Pharm";#N/A,#N/A,FALSE,"WWCM"}</definedName>
    <definedName name="erd_2">{#N/A,#N/A,FALSE,"Pharm";#N/A,#N/A,FALSE,"WWCM"}</definedName>
    <definedName name="erd_3">{#N/A,#N/A,FALSE,"Pharm";#N/A,#N/A,FALSE,"WWCM"}</definedName>
    <definedName name="erd_4">{#N/A,#N/A,FALSE,"Pharm";#N/A,#N/A,FALSE,"WWCM"}</definedName>
    <definedName name="erd_5">{#N/A,#N/A,FALSE,"Pharm";#N/A,#N/A,FALSE,"WWCM"}</definedName>
    <definedName name="erere">#REF!</definedName>
    <definedName name="ERERW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_Box_AddSamp">#REF!</definedName>
    <definedName name="Err_Box_Rej">#REF!</definedName>
    <definedName name="Err_CellComments">#REF!</definedName>
    <definedName name="Err_SampErr">#REF!</definedName>
    <definedName name="Errorline">#REF!</definedName>
    <definedName name="erryeyetyuu">{#N/A,#N/A,FALSE,"Pharm";#N/A,#N/A,FALSE,"WWCM"}</definedName>
    <definedName name="erryeyetyuu_1">{#N/A,#N/A,FALSE,"Pharm";#N/A,#N/A,FALSE,"WWCM"}</definedName>
    <definedName name="erryeyetyuu_2">{#N/A,#N/A,FALSE,"Pharm";#N/A,#N/A,FALSE,"WWCM"}</definedName>
    <definedName name="erryeyetyuu_3">{#N/A,#N/A,FALSE,"Pharm";#N/A,#N/A,FALSE,"WWCM"}</definedName>
    <definedName name="erryeyetyuu_4">{#N/A,#N/A,FALSE,"Pharm";#N/A,#N/A,FALSE,"WWCM"}</definedName>
    <definedName name="erryeyetyuu_5">{#N/A,#N/A,FALSE,"Pharm";#N/A,#N/A,FALSE,"WWCM"}</definedName>
    <definedName name="ers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ErstattungEntwicklung">#REF!</definedName>
    <definedName name="Erstelldatum">#REF!</definedName>
    <definedName name="ERTFDSG">{#N/A,#N/A,FALSE,"PGW"}</definedName>
    <definedName name="ERTFDSG_1">{#N/A,#N/A,FALSE,"PGW"}</definedName>
    <definedName name="ERTFDSG_1_1">{#N/A,#N/A,FALSE,"PGW"}</definedName>
    <definedName name="ERTFDSG_1_2">{#N/A,#N/A,FALSE,"PGW"}</definedName>
    <definedName name="ERTFDSG_1_3">{#N/A,#N/A,FALSE,"PGW"}</definedName>
    <definedName name="ERTFDSG_1_4">{#N/A,#N/A,FALSE,"PGW"}</definedName>
    <definedName name="ERTFDSG_2">{#N/A,#N/A,FALSE,"PGW"}</definedName>
    <definedName name="ERTFDSG_2_1">{#N/A,#N/A,FALSE,"PGW"}</definedName>
    <definedName name="ERTFDSG_2_2">{#N/A,#N/A,FALSE,"PGW"}</definedName>
    <definedName name="ERTFDSG_2_3">{#N/A,#N/A,FALSE,"PGW"}</definedName>
    <definedName name="ERTFDSG_2_4">{#N/A,#N/A,FALSE,"PGW"}</definedName>
    <definedName name="ERTFDSG_3">{#N/A,#N/A,FALSE,"PGW"}</definedName>
    <definedName name="ERTFDSG_3_1">{#N/A,#N/A,FALSE,"PGW"}</definedName>
    <definedName name="ERTFDSG_3_2">{#N/A,#N/A,FALSE,"PGW"}</definedName>
    <definedName name="ERTFDSG_3_3">{#N/A,#N/A,FALSE,"PGW"}</definedName>
    <definedName name="ERTFDSG_3_4">{#N/A,#N/A,FALSE,"PGW"}</definedName>
    <definedName name="ERTFDSG_4">{#N/A,#N/A,FALSE,"PGW"}</definedName>
    <definedName name="ERTFDSG_4_1">{#N/A,#N/A,FALSE,"PGW"}</definedName>
    <definedName name="ERTFDSG_4_2">{#N/A,#N/A,FALSE,"PGW"}</definedName>
    <definedName name="ERTFDSG_4_3">{#N/A,#N/A,FALSE,"PGW"}</definedName>
    <definedName name="ERTFDSG_4_4">{#N/A,#N/A,FALSE,"PGW"}</definedName>
    <definedName name="ERTFDSG_5">{#N/A,#N/A,FALSE,"PGW"}</definedName>
    <definedName name="ERUSD___CAPCORP_V2_">#REF!</definedName>
    <definedName name="eryer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IC">#REF!</definedName>
    <definedName name="ESICA">#REF!</definedName>
    <definedName name="ESICT">#REF!</definedName>
    <definedName name="ESSAI">{#N/A,#N/A,FALSE,"Pharm";#N/A,#N/A,FALSE,"WWCM"}</definedName>
    <definedName name="ESSAI_1">{#N/A,#N/A,FALSE,"Pharm";#N/A,#N/A,FALSE,"WWCM"}</definedName>
    <definedName name="ESSAI_2">{#N/A,#N/A,FALSE,"Pharm";#N/A,#N/A,FALSE,"WWCM"}</definedName>
    <definedName name="ESSAI_3">{#N/A,#N/A,FALSE,"Pharm";#N/A,#N/A,FALSE,"WWCM"}</definedName>
    <definedName name="ESSAI_4">{#N/A,#N/A,FALSE,"Pharm";#N/A,#N/A,FALSE,"WWCM"}</definedName>
    <definedName name="ESSAI_5">{#N/A,#N/A,FALSE,"Pharm";#N/A,#N/A,FALSE,"WWCM"}</definedName>
    <definedName name="Essar">{#N/A,#N/A,FALSE,"PMTABB";#N/A,#N/A,FALSE,"PMTABB"}</definedName>
    <definedName name="Essar_1">{#N/A,#N/A,FALSE,"PMTABB";#N/A,#N/A,FALSE,"PMTABB"}</definedName>
    <definedName name="Essar_2">{#N/A,#N/A,FALSE,"PMTABB";#N/A,#N/A,FALSE,"PMTABB"}</definedName>
    <definedName name="Essar_3">{#N/A,#N/A,FALSE,"PMTABB";#N/A,#N/A,FALSE,"PMTABB"}</definedName>
    <definedName name="Essar_4">{#N/A,#N/A,FALSE,"PMTABB";#N/A,#N/A,FALSE,"PMTABB"}</definedName>
    <definedName name="est">{"EVA",#N/A,FALSE,"EVA";"WACC",#N/A,FALSE,"WACC"}</definedName>
    <definedName name="estimatesrevenueh1">#REF!</definedName>
    <definedName name="EstRef">#REF!</definedName>
    <definedName name="EsYrRng">#REF!</definedName>
    <definedName name="ETA_Act">#REF!</definedName>
    <definedName name="ETA_Bud">#REF!</definedName>
    <definedName name="ETA_GCF_Bud">#REF!</definedName>
    <definedName name="etc">#REF!</definedName>
    <definedName name="ethrthrthtyj">IF(Loan_Amount*Interest_Rate*Loan_Years*Loan_Start&gt;0,1,0)</definedName>
    <definedName name="ETNPlant">#REF!</definedName>
    <definedName name="EU">#REF!</definedName>
    <definedName name="EUHQ">#REF!</definedName>
    <definedName name="Eur_to_Oz">#REF!</definedName>
    <definedName name="EURO">#REF!</definedName>
    <definedName name="EUROCALC">INDEX(Costcentre,MATCH(#REF!,ccdetail,0),2)</definedName>
    <definedName name="EUROPEAN_HQ">#REF!</definedName>
    <definedName name="ev.Calculation">-4135</definedName>
    <definedName name="ev.Initialized">FALSE</definedName>
    <definedName name="EV__CVPARAMS__">"Trend!$B$17:$C$38;"</definedName>
    <definedName name="EV__LASTREFTIME__">39374.4897222222</definedName>
    <definedName name="EV__MAXEXPCOLS__">100</definedName>
    <definedName name="EV__MAXEXPROWS__">1000</definedName>
    <definedName name="EV__WBEVMODE__">0</definedName>
    <definedName name="EV__WBREFOPTIONS__">134217783</definedName>
    <definedName name="EV__WSINFO__">"monkey"</definedName>
    <definedName name="Eval_MR">#REF!</definedName>
    <definedName name="Event_Type">#REF!</definedName>
    <definedName name="ewdw">#REF!</definedName>
    <definedName name="EWFASD">{#N/A,#N/A,TRUE,"RM-June"}</definedName>
    <definedName name="ew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wwe">{#N/A,#N/A,FALSE,"REPORT"}</definedName>
    <definedName name="ewwe_1">{#N/A,#N/A,FALSE,"REPORT"}</definedName>
    <definedName name="ewwe_2">{#N/A,#N/A,FALSE,"REPORT"}</definedName>
    <definedName name="ewwe_3">{#N/A,#N/A,FALSE,"REPORT"}</definedName>
    <definedName name="ewwe_4">{#N/A,#N/A,FALSE,"REPORT"}</definedName>
    <definedName name="ewwe_5">{#N/A,#N/A,FALSE,"REPORT"}</definedName>
    <definedName name="ex">#REF!</definedName>
    <definedName name="EX_GRATIA">#REF!</definedName>
    <definedName name="EX_GRATIA_PAYABLE">#REF!</definedName>
    <definedName name="EXC">#REF!</definedName>
    <definedName name="Excel_BuiltIn__FilterDatabase_37">#REF!</definedName>
    <definedName name="Excel_BuiltIn_Criteria">"$#REF!.#REF!#REF!"</definedName>
    <definedName name="Excel_BuiltIn_Database">#REF!</definedName>
    <definedName name="Excel_BuiltIn_Database_2">#REF!</definedName>
    <definedName name="Excel_BuiltIn_Extract">"$#REF!.#REF!#REF!"</definedName>
    <definedName name="Excel_BuiltIn_Print_Area">#REF!</definedName>
    <definedName name="Excel_BuiltIn_Print_Titles">#REF!</definedName>
    <definedName name="Excel_BuiltIn_Print_Titles_5">#REF!</definedName>
    <definedName name="Excel_BuiltIn_Recorder">"$#REF!.$A$1:$A$65536"</definedName>
    <definedName name="Exception_Q___Select_All_From_EXPRPT_Table">#REF!</definedName>
    <definedName name="EXCH">#REF!</definedName>
    <definedName name="Exchange">#REF!</definedName>
    <definedName name="EXCHANGE_FLUCTUATION_A_C.">#REF!</definedName>
    <definedName name="EXCHANGE_FLUCTUATION_GAIN">#REF!</definedName>
    <definedName name="ExchangeRate">#REF!</definedName>
    <definedName name="ExchangeRateSymbol">#REF!</definedName>
    <definedName name="ExchangeRateTable">#REF!</definedName>
    <definedName name="EXCISE__DUTY__EXPENSE">#REF!</definedName>
    <definedName name="EXCISE_DUTY_BILLED">#REF!</definedName>
    <definedName name="EXCISE_DUTY_RECOVERED">#REF!</definedName>
    <definedName name="EXDIFF">#REF!</definedName>
    <definedName name="exgdiff">#REF!</definedName>
    <definedName name="EXHIBITION_EXPENSES">#REF!</definedName>
    <definedName name="Existing">#REF!</definedName>
    <definedName name="Existing_Rent">#REF!</definedName>
    <definedName name="Existing1">#REF!</definedName>
    <definedName name="exitmult">#REF!</definedName>
    <definedName name="ExitYear">#REF!</definedName>
    <definedName name="exityr">#REF!</definedName>
    <definedName name="EXP">#REF!</definedName>
    <definedName name="Exp_Area">#REF!,#REF!,#REF!,#REF!,#REF!,#REF!,#REF!,#REF!,#REF!</definedName>
    <definedName name="EXP_COS">#REF!</definedName>
    <definedName name="EXP_SALE">#REF!</definedName>
    <definedName name="Expat">#REF!</definedName>
    <definedName name="Expected_balance">#REF!</definedName>
    <definedName name="Expense">#REF!</definedName>
    <definedName name="Expense_Category">#REF!</definedName>
    <definedName name="EXPENSES_ON_EDP">#REF!</definedName>
    <definedName name="EXPENSES_ON_PREMISES">#REF!</definedName>
    <definedName name="EXPENSES_ON_TRAINING">#REF!</definedName>
    <definedName name="expinrrechrge">#REF!</definedName>
    <definedName name="ExpMfgDmy">#REF!</definedName>
    <definedName name="EXPORT_CIRCUIT">#REF!</definedName>
    <definedName name="EXPORT_PARTS_MAE">#REF!</definedName>
    <definedName name="EXPORT_PARTS_PL">#REF!</definedName>
    <definedName name="EXPORT_SALES">#REF!</definedName>
    <definedName name="EXPORT_TUBE">#REF!</definedName>
    <definedName name="ExportFile">#REF!</definedName>
    <definedName name="ExportsBH">#REF!</definedName>
    <definedName name="ExportsBT">#REF!</definedName>
    <definedName name="ExportsMC">#REF!</definedName>
    <definedName name="EXPOTHSREC">#REF!</definedName>
    <definedName name="ExpPerDmy">#REF!</definedName>
    <definedName name="EXPSALE">#REF!</definedName>
    <definedName name="ExpSaleDmy">#REF!</definedName>
    <definedName name="EXPSREC">#REF!</definedName>
    <definedName name="expsum">#REF!</definedName>
    <definedName name="EXPTITLE">#REF!</definedName>
    <definedName name="Ext_Act">#REF!</definedName>
    <definedName name="Ext_bud">#REF!</definedName>
    <definedName name="External">#REF!</definedName>
    <definedName name="Extra_Pay">#REF!</definedName>
    <definedName name="extra1">#REF!</definedName>
    <definedName name="extra2">#REF!</definedName>
    <definedName name="extra3">#REF!</definedName>
    <definedName name="extra4">#REF!</definedName>
    <definedName name="extra5">#REF!</definedName>
    <definedName name="F">{#N/A,#N/A,FALSE,"EW"}</definedName>
    <definedName name="F.01">#REF!</definedName>
    <definedName name="f.01_June">#REF!</definedName>
    <definedName name="F_1">{#N/A,#N/A,FALSE,"EW"}</definedName>
    <definedName name="F_2">{#N/A,#N/A,FALSE,"EW"}</definedName>
    <definedName name="F_3">{#N/A,#N/A,FALSE,"EW"}</definedName>
    <definedName name="F_4">{#N/A,#N/A,FALSE,"EW"}</definedName>
    <definedName name="F_CSF">#REF!</definedName>
    <definedName name="F_EADS">#REF!</definedName>
    <definedName name="F01_Q4">{"Groupings",#N/A,TRUE,"GROUP_99 ";"Groupings-Comparitive",#N/A,TRUE,"GROUP_99 "}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3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F6.8xxx">{#N/A,#N/A,FALSE,"431"}</definedName>
    <definedName name="FA">#REF!</definedName>
    <definedName name="FA_DEL">#REF!</definedName>
    <definedName name="FA_SCH_5">#REF!</definedName>
    <definedName name="FA_SCHEDUL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_SCHEDULE_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_SCHEDULE_2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_SCHEDULE_3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_Schedule_Combined">#REF!</definedName>
    <definedName name="FAB">#REF!</definedName>
    <definedName name="FaceVal">#REF!</definedName>
    <definedName name="FACILITY">#REF!</definedName>
    <definedName name="FACLASS">#REF!</definedName>
    <definedName name="FACOH">#REF!</definedName>
    <definedName name="Factor">#REF!</definedName>
    <definedName name="Factor_Labor">#REF!</definedName>
    <definedName name="Factor_Matl">#REF!</definedName>
    <definedName name="Factor_OV">#REF!</definedName>
    <definedName name="Factor_SVR">#REF!</definedName>
    <definedName name="FACTORY_BUILDING">#REF!</definedName>
    <definedName name="FACTORY_EQUIPMENTS">#REF!</definedName>
    <definedName name="factorybuildingadd">#REF!</definedName>
    <definedName name="facul">#REF!</definedName>
    <definedName name="FailureActual">#REF!</definedName>
    <definedName name="FailurePlan">#REF!</definedName>
    <definedName name="FAND">#REF!</definedName>
    <definedName name="Fans">#REF!</definedName>
    <definedName name="fansaddition">#REF!</definedName>
    <definedName name="FAREG">#REF!</definedName>
    <definedName name="FARKATEDATTATRAYA">#REF!</definedName>
    <definedName name="farng">#REF!</definedName>
    <definedName name="farwfsdg">#REF!</definedName>
    <definedName name="fasd">#REF!</definedName>
    <definedName name="fasdfsdfsegds">{#N/A,#N/A,FALSE,"PMTABB";#N/A,#N/A,FALSE,"PMTABB"}</definedName>
    <definedName name="fasdfsdfsegds_1">{#N/A,#N/A,FALSE,"PMTABB";#N/A,#N/A,FALSE,"PMTABB"}</definedName>
    <definedName name="fasdfsdfsegds_2">{#N/A,#N/A,FALSE,"PMTABB";#N/A,#N/A,FALSE,"PMTABB"}</definedName>
    <definedName name="fasdfsdfsegds_3">{#N/A,#N/A,FALSE,"PMTABB";#N/A,#N/A,FALSE,"PMTABB"}</definedName>
    <definedName name="fasdfsdfsegds_4">{#N/A,#N/A,FALSE,"PMTABB";#N/A,#N/A,FALSE,"PMTABB"}</definedName>
    <definedName name="FASer">#REF!</definedName>
    <definedName name="fathth">#REF!</definedName>
    <definedName name="FATT">#REF!</definedName>
    <definedName name="Fax">#REF!</definedName>
    <definedName name="FAXNO">#REF!</definedName>
    <definedName name="FBT">#REF!</definedName>
    <definedName name="FBTapr">(VLOOKUP(#REF!,#REF!,32,0)*#REF!+VLOOKUP(#REF!,#REF!,32,0)*#REF!+VLOOKUP(#REF!,#REF!,32,0)*#REF!+VLOOKUP(#REF!,#REF!,32,0)*#REF!)*#REF!</definedName>
    <definedName name="FBTaug">(VLOOKUP(#REF!,#REF!,36,0)*#REF!+VLOOKUP(#REF!,#REF!,36,0)*#REF!+VLOOKUP(#REF!,#REF!,36,0)*#REF!+VLOOKUP(#REF!,#REF!,36,0)*#REF!)*#REF!</definedName>
    <definedName name="FBTdec">(VLOOKUP(#REF!,#REF!,40,0)*#REF!+VLOOKUP(#REF!,#REF!,40,0)*#REF!+VLOOKUP(#REF!,#REF!,40,0)*#REF!+VLOOKUP(#REF!,#REF!,40,0)*#REF!)*#REF!</definedName>
    <definedName name="FBTfeb">(VLOOKUP(#REF!,#REF!,42,0)*#REF!+VLOOKUP(#REF!,#REF!,42,0)*#REF!+VLOOKUP(#REF!,#REF!,42,0)*#REF!+VLOOKUP(#REF!,#REF!,42,0)*#REF!)*#REF!</definedName>
    <definedName name="FBTjan">(VLOOKUP(#REF!,#REF!,41,0)*#REF!+VLOOKUP(#REF!,#REF!,41,0)*#REF!+VLOOKUP(#REF!,#REF!,41,0)*#REF!+VLOOKUP(#REF!,#REF!,41,0)*#REF!)*#REF!</definedName>
    <definedName name="FBTjul">(VLOOKUP(#REF!,#REF!,35,0)*#REF!+VLOOKUP(#REF!,#REF!,35,0)*#REF!+VLOOKUP(#REF!,#REF!,35,0)*#REF!+VLOOKUP(#REF!,#REF!,35,0)*#REF!)*#REF!</definedName>
    <definedName name="FBTjun">(VLOOKUP(#REF!,#REF!,34,0)*#REF!+VLOOKUP(#REF!,#REF!,34,0)*#REF!+VLOOKUP(#REF!,#REF!,34,0)*#REF!+VLOOKUP(#REF!,#REF!,34,0)*#REF!)*#REF!</definedName>
    <definedName name="FBTLTAMar">(VLOOKUP(#REF!,#REF!,43,0)-VLOOKUP(#REF!,#REF!,45,0))*#REF!</definedName>
    <definedName name="FBTmay">(VLOOKUP(#REF!,#REF!,33,0)*#REF!+VLOOKUP(#REF!,#REF!,33,0)*#REF!+VLOOKUP(#REF!,#REF!,33,0)*#REF!+VLOOKUP(#REF!,#REF!,33,0)*#REF!)*#REF!</definedName>
    <definedName name="FBTMedMar">((VLOOKUP(#REF!,#REF!,43,0)-(VLOOKUP(#REF!,#REF!,45,0)))*#REF!)</definedName>
    <definedName name="FBTnov">(VLOOKUP(#REF!,#REF!,39,0)*#REF!+VLOOKUP(#REF!,#REF!,39,0)*#REF!+VLOOKUP(#REF!,#REF!,39,0)*#REF!+VLOOKUP(#REF!,#REF!,39,0)*#REF!)*#REF!</definedName>
    <definedName name="FBToct">(VLOOKUP(#REF!,#REF!,38,0)*#REF!+VLOOKUP(#REF!,#REF!,38,0)*#REF!+VLOOKUP(#REF!,#REF!,38,0)*#REF!+VLOOKUP(#REF!,#REF!,38,0)*#REF!)*#REF!</definedName>
    <definedName name="FBTsep">(VLOOKUP(#REF!,#REF!,37,0)*#REF!+VLOOKUP(#REF!,#REF!,37,0)*#REF!+VLOOKUP(#REF!,#REF!,37,0)*#REF!+VLOOKUP(#REF!,#REF!,37,0)*#REF!)*#REF!</definedName>
    <definedName name="FBTTelMar">((VLOOKUP(#REF!,#REF!,43,0)-(VLOOKUP(#REF!,#REF!,45,0)))*#REF!)</definedName>
    <definedName name="FBTVehMar">((VLOOKUP(#REF!,#REF!,43,0)-VLOOKUP(#REF!,#REF!,45,0)))*#REF!</definedName>
    <definedName name="FC">#REF!</definedName>
    <definedName name="FC5_total">#REF!</definedName>
    <definedName name="FC6_total">#REF!</definedName>
    <definedName name="FCDiff">#REF!</definedName>
    <definedName name="FCode">#REF!</definedName>
    <definedName name="FCodePL">#REF!</definedName>
    <definedName name="fda">#REF!</definedName>
    <definedName name="FDAA">#REF!</definedName>
    <definedName name="fdas">#REF!</definedName>
    <definedName name="FDAT">#REF!</definedName>
    <definedName name="FDFD">{#N/A,#N/A,FALSE,"Pharm";#N/A,#N/A,FALSE,"WWCM"}</definedName>
    <definedName name="FDFD_1">{#N/A,#N/A,FALSE,"Pharm";#N/A,#N/A,FALSE,"WWCM"}</definedName>
    <definedName name="FDFD_2">{#N/A,#N/A,FALSE,"Pharm";#N/A,#N/A,FALSE,"WWCM"}</definedName>
    <definedName name="FDFD_3">{#N/A,#N/A,FALSE,"Pharm";#N/A,#N/A,FALSE,"WWCM"}</definedName>
    <definedName name="FDFD_4">{#N/A,#N/A,FALSE,"Pharm";#N/A,#N/A,FALSE,"WWCM"}</definedName>
    <definedName name="FDFD_5">{#N/A,#N/A,FALSE,"Pharm";#N/A,#N/A,FALSE,"WWCM"}</definedName>
    <definedName name="fdfdsfd">#REF!</definedName>
    <definedName name="fdfwegerger">{#N/A,#N/A,FALSE,"Cash Flows";#N/A,#N/A,FALSE,"Fixed Assets";#N/A,#N/A,FALSE,"Balance Sheet";#N/A,#N/A,FALSE,"P &amp; L"}</definedName>
    <definedName name="fdfwegerger_1">{#N/A,#N/A,FALSE,"Cash Flows";#N/A,#N/A,FALSE,"Fixed Assets";#N/A,#N/A,FALSE,"Balance Sheet";#N/A,#N/A,FALSE,"P &amp; L"}</definedName>
    <definedName name="fds">{#N/A,#N/A,FALSE,"Pharm";#N/A,#N/A,FALSE,"WWCM"}</definedName>
    <definedName name="fds_1">{#N/A,#N/A,FALSE,"Pharm";#N/A,#N/A,FALSE,"WWCM"}</definedName>
    <definedName name="fds_2">{#N/A,#N/A,FALSE,"Pharm";#N/A,#N/A,FALSE,"WWCM"}</definedName>
    <definedName name="fds_3">{#N/A,#N/A,FALSE,"Pharm";#N/A,#N/A,FALSE,"WWCM"}</definedName>
    <definedName name="fds_4">{#N/A,#N/A,FALSE,"Pharm";#N/A,#N/A,FALSE,"WWCM"}</definedName>
    <definedName name="fds_5">{#N/A,#N/A,FALSE,"Pharm";#N/A,#N/A,FALSE,"WWCM"}</definedName>
    <definedName name="fe">{#N/A,#N/A,FALSE,"PMTABB";#N/A,#N/A,FALSE,"PMTABB"}</definedName>
    <definedName name="fe_1">{#N/A,#N/A,FALSE,"PMTABB";#N/A,#N/A,FALSE,"PMTABB"}</definedName>
    <definedName name="fe_1_1">{#N/A,#N/A,FALSE,"PMTABB";#N/A,#N/A,FALSE,"PMTABB"}</definedName>
    <definedName name="fe_1_2">{#N/A,#N/A,FALSE,"PMTABB";#N/A,#N/A,FALSE,"PMTABB"}</definedName>
    <definedName name="fe_1_3">{#N/A,#N/A,FALSE,"PMTABB";#N/A,#N/A,FALSE,"PMTABB"}</definedName>
    <definedName name="fe_1_4">{#N/A,#N/A,FALSE,"PMTABB";#N/A,#N/A,FALSE,"PMTABB"}</definedName>
    <definedName name="fe_2">{#N/A,#N/A,FALSE,"PMTABB";#N/A,#N/A,FALSE,"PMTABB"}</definedName>
    <definedName name="fe_2_1">{#N/A,#N/A,FALSE,"PMTABB";#N/A,#N/A,FALSE,"PMTABB"}</definedName>
    <definedName name="fe_2_2">{#N/A,#N/A,FALSE,"PMTABB";#N/A,#N/A,FALSE,"PMTABB"}</definedName>
    <definedName name="fe_2_3">{#N/A,#N/A,FALSE,"PMTABB";#N/A,#N/A,FALSE,"PMTABB"}</definedName>
    <definedName name="fe_2_4">{#N/A,#N/A,FALSE,"PMTABB";#N/A,#N/A,FALSE,"PMTABB"}</definedName>
    <definedName name="fe_3">{#N/A,#N/A,FALSE,"PMTABB";#N/A,#N/A,FALSE,"PMTABB"}</definedName>
    <definedName name="fe_3_1">{#N/A,#N/A,FALSE,"PMTABB";#N/A,#N/A,FALSE,"PMTABB"}</definedName>
    <definedName name="fe_3_2">{#N/A,#N/A,FALSE,"PMTABB";#N/A,#N/A,FALSE,"PMTABB"}</definedName>
    <definedName name="fe_3_3">{#N/A,#N/A,FALSE,"PMTABB";#N/A,#N/A,FALSE,"PMTABB"}</definedName>
    <definedName name="fe_3_4">{#N/A,#N/A,FALSE,"PMTABB";#N/A,#N/A,FALSE,"PMTABB"}</definedName>
    <definedName name="fe_4">{#N/A,#N/A,FALSE,"PMTABB";#N/A,#N/A,FALSE,"PMTABB"}</definedName>
    <definedName name="fe_4_1">{#N/A,#N/A,FALSE,"PMTABB";#N/A,#N/A,FALSE,"PMTABB"}</definedName>
    <definedName name="fe_4_2">{#N/A,#N/A,FALSE,"PMTABB";#N/A,#N/A,FALSE,"PMTABB"}</definedName>
    <definedName name="fe_4_3">{#N/A,#N/A,FALSE,"PMTABB";#N/A,#N/A,FALSE,"PMTABB"}</definedName>
    <definedName name="fe_4_4">{#N/A,#N/A,FALSE,"PMTABB";#N/A,#N/A,FALSE,"PMTABB"}</definedName>
    <definedName name="fe_5">{#N/A,#N/A,FALSE,"PMTABB";#N/A,#N/A,FALSE,"PMTABB"}</definedName>
    <definedName name="FEB">#REF!</definedName>
    <definedName name="FEBFA">#REF!</definedName>
    <definedName name="FebPay">#REF!</definedName>
    <definedName name="February">{#N/A,#N/A,FALSE,"Income Branch ONLY"}</definedName>
    <definedName name="FEBTB">#REF!</definedName>
    <definedName name="FeeGrowth">#REF!</definedName>
    <definedName name="FEES_FOR_CERTIFICATION_WORKS">#REF!</definedName>
    <definedName name="FEF">#REF!</definedName>
    <definedName name="feret">{#N/A,#N/A,FALSE,"FREE"}</definedName>
    <definedName name="feret_1">{#N/A,#N/A,FALSE,"FREE"}</definedName>
    <definedName name="feret_1_1">{#N/A,#N/A,FALSE,"FREE"}</definedName>
    <definedName name="feret_1_2">{#N/A,#N/A,FALSE,"FREE"}</definedName>
    <definedName name="feret_1_3">{#N/A,#N/A,FALSE,"FREE"}</definedName>
    <definedName name="feret_1_4">{#N/A,#N/A,FALSE,"FREE"}</definedName>
    <definedName name="feret_2">{#N/A,#N/A,FALSE,"FREE"}</definedName>
    <definedName name="feret_2_1">{#N/A,#N/A,FALSE,"FREE"}</definedName>
    <definedName name="feret_2_2">{#N/A,#N/A,FALSE,"FREE"}</definedName>
    <definedName name="feret_2_3">{#N/A,#N/A,FALSE,"FREE"}</definedName>
    <definedName name="feret_2_4">{#N/A,#N/A,FALSE,"FREE"}</definedName>
    <definedName name="feret_3">{#N/A,#N/A,FALSE,"FREE"}</definedName>
    <definedName name="feret_3_1">{#N/A,#N/A,FALSE,"FREE"}</definedName>
    <definedName name="feret_3_2">{#N/A,#N/A,FALSE,"FREE"}</definedName>
    <definedName name="feret_3_3">{#N/A,#N/A,FALSE,"FREE"}</definedName>
    <definedName name="feret_3_4">{#N/A,#N/A,FALSE,"FREE"}</definedName>
    <definedName name="feret_4">{#N/A,#N/A,FALSE,"FREE"}</definedName>
    <definedName name="feret_4_1">{#N/A,#N/A,FALSE,"FREE"}</definedName>
    <definedName name="feret_4_2">{#N/A,#N/A,FALSE,"FREE"}</definedName>
    <definedName name="feret_4_3">{#N/A,#N/A,FALSE,"FREE"}</definedName>
    <definedName name="feret_4_4">{#N/A,#N/A,FALSE,"FREE"}</definedName>
    <definedName name="feret_5">{#N/A,#N/A,FALSE,"FREE"}</definedName>
    <definedName name="few">{#N/A,#N/A,FALSE,"PMTABB";#N/A,#N/A,FALSE,"PMTABB"}</definedName>
    <definedName name="few_1">{#N/A,#N/A,FALSE,"PMTABB";#N/A,#N/A,FALSE,"PMTABB"}</definedName>
    <definedName name="few_1_1">{#N/A,#N/A,FALSE,"PMTABB";#N/A,#N/A,FALSE,"PMTABB"}</definedName>
    <definedName name="few_1_2">{#N/A,#N/A,FALSE,"PMTABB";#N/A,#N/A,FALSE,"PMTABB"}</definedName>
    <definedName name="few_1_3">{#N/A,#N/A,FALSE,"PMTABB";#N/A,#N/A,FALSE,"PMTABB"}</definedName>
    <definedName name="few_1_4">{#N/A,#N/A,FALSE,"PMTABB";#N/A,#N/A,FALSE,"PMTABB"}</definedName>
    <definedName name="few_2">{#N/A,#N/A,FALSE,"PMTABB";#N/A,#N/A,FALSE,"PMTABB"}</definedName>
    <definedName name="few_2_1">{#N/A,#N/A,FALSE,"PMTABB";#N/A,#N/A,FALSE,"PMTABB"}</definedName>
    <definedName name="few_2_2">{#N/A,#N/A,FALSE,"PMTABB";#N/A,#N/A,FALSE,"PMTABB"}</definedName>
    <definedName name="few_2_3">{#N/A,#N/A,FALSE,"PMTABB";#N/A,#N/A,FALSE,"PMTABB"}</definedName>
    <definedName name="few_2_4">{#N/A,#N/A,FALSE,"PMTABB";#N/A,#N/A,FALSE,"PMTABB"}</definedName>
    <definedName name="few_3">{#N/A,#N/A,FALSE,"PMTABB";#N/A,#N/A,FALSE,"PMTABB"}</definedName>
    <definedName name="few_3_1">{#N/A,#N/A,FALSE,"PMTABB";#N/A,#N/A,FALSE,"PMTABB"}</definedName>
    <definedName name="few_3_2">{#N/A,#N/A,FALSE,"PMTABB";#N/A,#N/A,FALSE,"PMTABB"}</definedName>
    <definedName name="few_3_3">{#N/A,#N/A,FALSE,"PMTABB";#N/A,#N/A,FALSE,"PMTABB"}</definedName>
    <definedName name="few_3_4">{#N/A,#N/A,FALSE,"PMTABB";#N/A,#N/A,FALSE,"PMTABB"}</definedName>
    <definedName name="few_4">{#N/A,#N/A,FALSE,"PMTABB";#N/A,#N/A,FALSE,"PMTABB"}</definedName>
    <definedName name="few_4_1">{#N/A,#N/A,FALSE,"PMTABB";#N/A,#N/A,FALSE,"PMTABB"}</definedName>
    <definedName name="few_4_2">{#N/A,#N/A,FALSE,"PMTABB";#N/A,#N/A,FALSE,"PMTABB"}</definedName>
    <definedName name="few_4_3">{#N/A,#N/A,FALSE,"PMTABB";#N/A,#N/A,FALSE,"PMTABB"}</definedName>
    <definedName name="few_4_4">{#N/A,#N/A,FALSE,"PMTABB";#N/A,#N/A,FALSE,"PMTABB"}</definedName>
    <definedName name="few_5">{#N/A,#N/A,FALSE,"PMTABB";#N/A,#N/A,FALSE,"PMTABB"}</definedName>
    <definedName name="fewt">{#N/A,#N/A,FALSE,"EW"}</definedName>
    <definedName name="fewt_1">{#N/A,#N/A,FALSE,"EW"}</definedName>
    <definedName name="fewt_1_1">{#N/A,#N/A,FALSE,"EW"}</definedName>
    <definedName name="fewt_1_2">{#N/A,#N/A,FALSE,"EW"}</definedName>
    <definedName name="fewt_1_3">{#N/A,#N/A,FALSE,"EW"}</definedName>
    <definedName name="fewt_1_4">{#N/A,#N/A,FALSE,"EW"}</definedName>
    <definedName name="fewt_2">{#N/A,#N/A,FALSE,"EW"}</definedName>
    <definedName name="fewt_2_1">{#N/A,#N/A,FALSE,"EW"}</definedName>
    <definedName name="fewt_2_2">{#N/A,#N/A,FALSE,"EW"}</definedName>
    <definedName name="fewt_2_3">{#N/A,#N/A,FALSE,"EW"}</definedName>
    <definedName name="fewt_2_4">{#N/A,#N/A,FALSE,"EW"}</definedName>
    <definedName name="fewt_3">{#N/A,#N/A,FALSE,"EW"}</definedName>
    <definedName name="fewt_3_1">{#N/A,#N/A,FALSE,"EW"}</definedName>
    <definedName name="fewt_3_2">{#N/A,#N/A,FALSE,"EW"}</definedName>
    <definedName name="fewt_3_3">{#N/A,#N/A,FALSE,"EW"}</definedName>
    <definedName name="fewt_3_4">{#N/A,#N/A,FALSE,"EW"}</definedName>
    <definedName name="fewt_4">{#N/A,#N/A,FALSE,"EW"}</definedName>
    <definedName name="fewt_4_1">{#N/A,#N/A,FALSE,"EW"}</definedName>
    <definedName name="fewt_4_2">{#N/A,#N/A,FALSE,"EW"}</definedName>
    <definedName name="fewt_4_3">{#N/A,#N/A,FALSE,"EW"}</definedName>
    <definedName name="fewt_4_4">{#N/A,#N/A,FALSE,"EW"}</definedName>
    <definedName name="fewt_5">{#N/A,#N/A,FALSE,"EW"}</definedName>
    <definedName name="ff">{#N/A,#N/A,FALSE,"Pharm";#N/A,#N/A,FALSE,"WWCM"}</definedName>
    <definedName name="ff_1">{#N/A,#N/A,FALSE,"Pharm";#N/A,#N/A,FALSE,"WWCM"}</definedName>
    <definedName name="ff_2">{#N/A,#N/A,FALSE,"Pharm";#N/A,#N/A,FALSE,"WWCM"}</definedName>
    <definedName name="ff_3">{#N/A,#N/A,FALSE,"Pharm";#N/A,#N/A,FALSE,"WWCM"}</definedName>
    <definedName name="ff_4">{#N/A,#N/A,FALSE,"Pharm";#N/A,#N/A,FALSE,"WWCM"}</definedName>
    <definedName name="ff_5">{#N/A,#N/A,FALSE,"Pharm";#N/A,#N/A,FALSE,"WWCM"}</definedName>
    <definedName name="FF_945_956">#REF!</definedName>
    <definedName name="FF_967">#REF!</definedName>
    <definedName name="ffefe">{"adj95mult",#N/A,FALSE,"COMPCO";"adj95est",#N/A,FALSE,"COMPCO"}</definedName>
    <definedName name="fff">{#N/A,#N/A,FALSE,"Pharm";#N/A,#N/A,FALSE,"WWCM"}</definedName>
    <definedName name="fff_1">{#N/A,#N/A,FALSE,"Pharm";#N/A,#N/A,FALSE,"WWCM"}</definedName>
    <definedName name="fff_2">{#N/A,#N/A,FALSE,"Pharm";#N/A,#N/A,FALSE,"WWCM"}</definedName>
    <definedName name="fff_3">{#N/A,#N/A,FALSE,"Pharm";#N/A,#N/A,FALSE,"WWCM"}</definedName>
    <definedName name="fff_4">{#N/A,#N/A,FALSE,"Pharm";#N/A,#N/A,FALSE,"WWCM"}</definedName>
    <definedName name="fff_5">{#N/A,#N/A,FALSE,"Pharm";#N/A,#N/A,FALSE,"WWCM"}</definedName>
    <definedName name="ffff">#REF!</definedName>
    <definedName name="fffff">{#N/A,#N/A,FALSE,"Cash Flows";#N/A,#N/A,FALSE,"Fixed Assets";#N/A,#N/A,FALSE,"Balance Sheet";#N/A,#N/A,FALSE,"P &amp; L"}</definedName>
    <definedName name="fffff_1">{#N/A,#N/A,FALSE,"Cash Flows";#N/A,#N/A,FALSE,"Fixed Assets";#N/A,#N/A,FALSE,"Balance Sheet";#N/A,#N/A,FALSE,"P &amp; L"}</definedName>
    <definedName name="ffffff">{#N/A,#N/A,FALSE,"Provisions"}</definedName>
    <definedName name="fffffff">{#N/A,#N/A,FALSE,"Pharm";#N/A,#N/A,FALSE,"WWCM"}</definedName>
    <definedName name="fffffff_1">{#N/A,#N/A,FALSE,"Pharm";#N/A,#N/A,FALSE,"WWCM"}</definedName>
    <definedName name="fffffff_2">{#N/A,#N/A,FALSE,"Pharm";#N/A,#N/A,FALSE,"WWCM"}</definedName>
    <definedName name="fffffff_3">{#N/A,#N/A,FALSE,"Pharm";#N/A,#N/A,FALSE,"WWCM"}</definedName>
    <definedName name="fffffff_4">{#N/A,#N/A,FALSE,"Pharm";#N/A,#N/A,FALSE,"WWCM"}</definedName>
    <definedName name="fffffff_5">{#N/A,#N/A,FALSE,"Pharm";#N/A,#N/A,FALSE,"WWCM"}</definedName>
    <definedName name="ffffffffffffff">#REF!</definedName>
    <definedName name="FFINR">#REF!</definedName>
    <definedName name="FFUSD">#REF!</definedName>
    <definedName name="fg">{#N/A,#N/A,FALSE,"REPORT"}</definedName>
    <definedName name="fg_1">{#N/A,#N/A,FALSE,"REPORT"}</definedName>
    <definedName name="fg_2">{#N/A,#N/A,FALSE,"REPORT"}</definedName>
    <definedName name="fg_3">{#N/A,#N/A,FALSE,"REPORT"}</definedName>
    <definedName name="fg_4">{#N/A,#N/A,FALSE,"REPORT"}</definedName>
    <definedName name="fg_5">{#N/A,#N/A,FALSE,"REPORT"}</definedName>
    <definedName name="FG46TBTB4RTDKDK">#REF!</definedName>
    <definedName name="FGFG">{#N/A,#N/A,FALSE,"Tabl. A1";#N/A,#N/A,FALSE,"Tabl. A1 b";#N/A,#N/A,FALSE,"Tabl. A2";#N/A,#N/A,FALSE,"Tabl. A2-1";#N/A,#N/A,FALSE,"Tabl. A2-2"}</definedName>
    <definedName name="FGFG_1">{#N/A,#N/A,FALSE,"Tabl. A1";#N/A,#N/A,FALSE,"Tabl. A1 b";#N/A,#N/A,FALSE,"Tabl. A2";#N/A,#N/A,FALSE,"Tabl. A2-1";#N/A,#N/A,FALSE,"Tabl. A2-2"}</definedName>
    <definedName name="FGFG_2">{#N/A,#N/A,FALSE,"Tabl. A1";#N/A,#N/A,FALSE,"Tabl. A1 b";#N/A,#N/A,FALSE,"Tabl. A2";#N/A,#N/A,FALSE,"Tabl. A2-1";#N/A,#N/A,FALSE,"Tabl. A2-2"}</definedName>
    <definedName name="FGFG_3">{#N/A,#N/A,FALSE,"Tabl. A1";#N/A,#N/A,FALSE,"Tabl. A1 b";#N/A,#N/A,FALSE,"Tabl. A2";#N/A,#N/A,FALSE,"Tabl. A2-1";#N/A,#N/A,FALSE,"Tabl. A2-2"}</definedName>
    <definedName name="FGFG_4">{#N/A,#N/A,FALSE,"Tabl. A1";#N/A,#N/A,FALSE,"Tabl. A1 b";#N/A,#N/A,FALSE,"Tabl. A2";#N/A,#N/A,FALSE,"Tabl. A2-1";#N/A,#N/A,FALSE,"Tabl. A2-2"}</definedName>
    <definedName name="FGHFD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>{#N/A,#N/A,FALSE,"PGW"}</definedName>
    <definedName name="FGHFH_1">{#N/A,#N/A,FALSE,"PGW"}</definedName>
    <definedName name="FGHFH_1_1">{#N/A,#N/A,FALSE,"PGW"}</definedName>
    <definedName name="FGHFH_1_2">{#N/A,#N/A,FALSE,"PGW"}</definedName>
    <definedName name="FGHFH_1_3">{#N/A,#N/A,FALSE,"PGW"}</definedName>
    <definedName name="FGHFH_1_4">{#N/A,#N/A,FALSE,"PGW"}</definedName>
    <definedName name="FGHFH_2">{#N/A,#N/A,FALSE,"PGW"}</definedName>
    <definedName name="FGHFH_2_1">{#N/A,#N/A,FALSE,"PGW"}</definedName>
    <definedName name="FGHFH_2_2">{#N/A,#N/A,FALSE,"PGW"}</definedName>
    <definedName name="FGHFH_2_3">{#N/A,#N/A,FALSE,"PGW"}</definedName>
    <definedName name="FGHFH_2_4">{#N/A,#N/A,FALSE,"PGW"}</definedName>
    <definedName name="FGHFH_3">{#N/A,#N/A,FALSE,"PGW"}</definedName>
    <definedName name="FGHFH_3_1">{#N/A,#N/A,FALSE,"PGW"}</definedName>
    <definedName name="FGHFH_3_2">{#N/A,#N/A,FALSE,"PGW"}</definedName>
    <definedName name="FGHFH_3_3">{#N/A,#N/A,FALSE,"PGW"}</definedName>
    <definedName name="FGHFH_3_4">{#N/A,#N/A,FALSE,"PGW"}</definedName>
    <definedName name="FGHFH_4">{#N/A,#N/A,FALSE,"PGW"}</definedName>
    <definedName name="FGHFH_4_1">{#N/A,#N/A,FALSE,"PGW"}</definedName>
    <definedName name="FGHFH_4_2">{#N/A,#N/A,FALSE,"PGW"}</definedName>
    <definedName name="FGHFH_4_3">{#N/A,#N/A,FALSE,"PGW"}</definedName>
    <definedName name="FGHFH_4_4">{#N/A,#N/A,FALSE,"PGW"}</definedName>
    <definedName name="FGHFH_5">{#N/A,#N/A,FALSE,"PGW"}</definedName>
    <definedName name="fgkjkh">{#N/A,#N/A,FALSE,"REPORT"}</definedName>
    <definedName name="fgkjkh_1">{#N/A,#N/A,FALSE,"REPORT"}</definedName>
    <definedName name="fgkjkh_2">{#N/A,#N/A,FALSE,"REPORT"}</definedName>
    <definedName name="fgkjkh_3">{#N/A,#N/A,FALSE,"REPORT"}</definedName>
    <definedName name="fgkjkh_4">{#N/A,#N/A,FALSE,"REPORT"}</definedName>
    <definedName name="fgkjkh_5">{#N/A,#N/A,FALSE,"REPORT"}</definedName>
    <definedName name="FGR53C11R63C11TB3RTCN">#REF!</definedName>
    <definedName name="FGR6C8R8C8TB4RTCN">#REF!</definedName>
    <definedName name="FGR6C9R8C9TB3RTCN">#REF!</definedName>
    <definedName name="FGSOUTMP">#REF!</definedName>
    <definedName name="FGSOUTPP">#REF!</definedName>
    <definedName name="FHJFJ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AT_PR">#REF!</definedName>
    <definedName name="FiatBH">#REF!</definedName>
    <definedName name="FiatBT">#REF!</definedName>
    <definedName name="FiatMC">#REF!</definedName>
    <definedName name="fiaz">#REF!</definedName>
    <definedName name="field_headings">#REF!</definedName>
    <definedName name="FIF">#REF!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"</definedName>
    <definedName name="Figure_4_Head">"Daily Virus Count"</definedName>
    <definedName name="Figure_5_Comment">" "</definedName>
    <definedName name="Figure_5_Head">"Virus Type Analysis"</definedName>
    <definedName name="Figure_6_Comment">" "</definedName>
    <definedName name="Figure_6_Head">"Common Viruses"</definedName>
    <definedName name="Figure_7_Comment">" "</definedName>
    <definedName name="Figure_7_Head">"Virus Source Analysis"</definedName>
    <definedName name="Figure_8_Comment">" "</definedName>
    <definedName name="Figure_8_Head">"Virus Destination Analysis"</definedName>
    <definedName name="Figures_as_at_the_end_of_31st_March_2011">#REF!</definedName>
    <definedName name="Figures_as_at_the_end_of_31st_March_2012">#REF!</definedName>
    <definedName name="File_Date">#REF!</definedName>
    <definedName name="FileServer">"File Server"</definedName>
    <definedName name="FileServer_Grade">"C"</definedName>
    <definedName name="FIN">#REF!</definedName>
    <definedName name="final">#REF!</definedName>
    <definedName name="FinalRank">#REF!</definedName>
    <definedName name="finance">{#N/A,#N/A,FALSE,"Cash Flows";#N/A,#N/A,FALSE,"Fixed Assets";#N/A,#N/A,FALSE,"Balance Sheet";#N/A,#N/A,FALSE,"P &amp; L"}</definedName>
    <definedName name="finance_1">{#N/A,#N/A,FALSE,"Cash Flows";#N/A,#N/A,FALSE,"Fixed Assets";#N/A,#N/A,FALSE,"Balance Sheet";#N/A,#N/A,FALSE,"P &amp; L"}</definedName>
    <definedName name="FINANCIAL_CHARGES">#REF!</definedName>
    <definedName name="financingcash1">#REF!</definedName>
    <definedName name="financingcash2">#REF!</definedName>
    <definedName name="financingcash3">#REF!</definedName>
    <definedName name="financingcash4">#REF!</definedName>
    <definedName name="financingcash5">#REF!</definedName>
    <definedName name="findme">{#N/A,#N/A,FALSE,"Assumptions";#N/A,#N/A,FALSE,"1997 P&amp;L(pk) Estrada";#N/A,#N/A,FALSE,"ONGOING P&amp;L(pk) Estrada"}</definedName>
    <definedName name="findme10">{#N/A,#N/A,FALSE,"1996 P&amp;L TOWTAC(pk)";#N/A,#N/A,FALSE,"ONGOING P&amp;L TOWTAC(pk)";#N/A,#N/A,FALSE,"ATL6TOWTAC COST CARD"}</definedName>
    <definedName name="findme11">{#N/A,#N/A,FALSE,"npv sort";#N/A,#N/A,FALSE,"npv";#N/A,#N/A,FALSE,"npv 4 years  sort";#N/A,#N/A,FALSE,"npv 4 years";#N/A,#N/A,FALSE,"npv 5 years ";#N/A,#N/A,FALSE,"npv 5 years sort"}</definedName>
    <definedName name="findme12">{#N/A,#N/A,FALSE,"Ranch WT ATP Fact Sheet";#N/A,#N/A,FALSE,"1996 P&amp;L Ranch W.T.(pk)";#N/A,#N/A,FALSE,"ONGOING P&amp;L Ranch W.T.(pk)"}</definedName>
    <definedName name="findme13">{#N/A,#N/A,FALSE,"Assumptions";#N/A,#N/A,FALSE,"ATP SCORAC (lb)";#N/A,#N/A,FALSE,"1996 P&amp;L SCO (lb)";#N/A,#N/A,FALSE,"ONG P&amp;L SCO (LB)"}</definedName>
    <definedName name="findme14">{#N/A,#N/A,FALSE,"1997 P&amp;L(pk) (Atlanta)";#N/A,#N/A,FALSE,"ONGOING P&amp;L(PK)(Atlanta)"}</definedName>
    <definedName name="findme2">{#N/A,#N/A,FALSE,"Assumptions";#N/A,#N/A,FALSE,"1997 P&amp;L(pk) Estrada";#N/A,#N/A,FALSE,"ONGOING P&amp;L(pk) Estrada"}</definedName>
    <definedName name="findme3">{#N/A,#N/A,FALSE,"ONGOING P&amp;L TOWTAC(lb)";#N/A,#N/A,FALSE,"ONGOING P&amp;L TOWTAC(pk)";#N/A,#N/A,FALSE,"1996 P&amp;L TOWTAC(lb)";#N/A,#N/A,FALSE,"1996 P&amp;L TOWTAC(pk)"}</definedName>
    <definedName name="findme4">{#N/A,#N/A,FALSE,"Assumptions";#N/A,#N/A,FALSE,"1996 P&amp;L SCO (lb)";#N/A,#N/A,FALSE,"ONG P&amp;L SCO (LB)"}</definedName>
    <definedName name="findme5">{#N/A,#N/A,FALSE,"1996 P&amp;L Pretzels (pk)";#N/A,#N/A,FALSE,"YEAR 1 P&amp;L Pretzels (pk)";#N/A,#N/A,FALSE,"ONGOING P&amp;L (pk) SNK CAN";#N/A,#N/A,FALSE,"Assumptions";#N/A,#N/A,FALSE,"assessment"}</definedName>
    <definedName name="findme6">{#N/A,#N/A,FALSE,"1997 P&amp;L(pk) (Atlanta)";#N/A,#N/A,FALSE,"ONGOING P&amp;L(PK)(Atlanta)"}</definedName>
    <definedName name="findme7">{#N/A,#N/A,FALSE,"Assumptions";#N/A,#N/A,FALSE,"1997 P&amp;L POTATO AC";#N/A,#N/A,FALSE,"ONGOING P&amp;L POTATO AC";#N/A,#N/A,FALSE,"ONGOING P&amp;L POTATO AC (70%)"}</definedName>
    <definedName name="findme8">{#N/A,#N/A,FALSE,"ONGOING P&amp;L POTATO AC";#N/A,#N/A,FALSE,"1997 P&amp;L POTATO AC"}</definedName>
    <definedName name="findme9">{#N/A,#N/A,FALSE,"Assumptions";#N/A,#N/A,FALSE,"1997 P&amp;L(pk) Estrada";#N/A,#N/A,FALSE,"ONGOING P&amp;L(pk) Estrada"}</definedName>
    <definedName name="Fine_Living_IRR">#REF!</definedName>
    <definedName name="FINHC">#REF!</definedName>
    <definedName name="FINISHED_GOODS">#REF!</definedName>
    <definedName name="FINNEW">#REF!</definedName>
    <definedName name="Finolexcables">#REF!</definedName>
    <definedName name="FINTOT">#REF!</definedName>
    <definedName name="firefighting">#REF!</definedName>
    <definedName name="firefightingadd">#REF!</definedName>
    <definedName name="FirstPlotDate">#REF!</definedName>
    <definedName name="FirstSlip">#REF!</definedName>
    <definedName name="FirstYear">#REF!</definedName>
    <definedName name="fix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ASSETS">#REF!</definedName>
    <definedName name="Fixed_Assets">#REF!</definedName>
    <definedName name="FIXED_ASSETS___GROSS">#REF!</definedName>
    <definedName name="FixedAssets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Assets_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Assets_2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Assets_3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or0304">#REF!</definedName>
    <definedName name="fixregjun">#REF!</definedName>
    <definedName name="FJEZK">{#N/A,#N/A,FALSE,"Pharm";#N/A,#N/A,FALSE,"WWCM"}</definedName>
    <definedName name="FJEZK_1">{#N/A,#N/A,FALSE,"Pharm";#N/A,#N/A,FALSE,"WWCM"}</definedName>
    <definedName name="FJEZK_2">{#N/A,#N/A,FALSE,"Pharm";#N/A,#N/A,FALSE,"WWCM"}</definedName>
    <definedName name="FJEZK_3">{#N/A,#N/A,FALSE,"Pharm";#N/A,#N/A,FALSE,"WWCM"}</definedName>
    <definedName name="FJEZK_4">{#N/A,#N/A,FALSE,"Pharm";#N/A,#N/A,FALSE,"WWCM"}</definedName>
    <definedName name="FJEZK_5">{#N/A,#N/A,FALSE,"Pharm";#N/A,#N/A,FALSE,"WWCM"}</definedName>
    <definedName name="fk">#REF!</definedName>
    <definedName name="fl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FL_Aggregate">#REF!</definedName>
    <definedName name="FL_Corp_Alloc">#REF!</definedName>
    <definedName name="fl_dep">#REF!</definedName>
    <definedName name="Flash">#REF!</definedName>
    <definedName name="FLDep">#REF!</definedName>
    <definedName name="FleetAdj">#REF!</definedName>
    <definedName name="FleetNoAdj">#REF!</definedName>
    <definedName name="flow">#REF!</definedName>
    <definedName name="fnotes">#REF!</definedName>
    <definedName name="FOOD_Aggregate">#REF!</definedName>
    <definedName name="FOOD_Corp_Alloc">#REF!</definedName>
    <definedName name="FOOD_Corp_Brand">#REF!</definedName>
    <definedName name="fooddep">#REF!</definedName>
    <definedName name="FoodResearch">#REF!</definedName>
    <definedName name="Footage">#REF!</definedName>
    <definedName name="Footnote5">#REF!</definedName>
    <definedName name="Footnote6">#REF!</definedName>
    <definedName name="Footnote7">#REF!</definedName>
    <definedName name="Footnote8">#REF!</definedName>
    <definedName name="FordBH">#REF!</definedName>
    <definedName name="FordBT">#REF!</definedName>
    <definedName name="FordMC">#REF!</definedName>
    <definedName name="forecast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FirstYear">#REF!</definedName>
    <definedName name="ForecastYear2">#REF!</definedName>
    <definedName name="ForecastYear3">#REF!</definedName>
    <definedName name="ForecastYear4">#REF!</definedName>
    <definedName name="ForecastYear5">#REF!</definedName>
    <definedName name="ForecastYear6">#REF!</definedName>
    <definedName name="ForecastYear7">#REF!</definedName>
    <definedName name="ForecastYear8">#REF!</definedName>
    <definedName name="form3cd">#REF!</definedName>
    <definedName name="Format">#REF!</definedName>
    <definedName name="Formatcf">#REF!</definedName>
    <definedName name="Formatt">#REF!</definedName>
    <definedName name="formb">#REF!</definedName>
    <definedName name="formc">#REF!</definedName>
    <definedName name="FORMII">#REF!</definedName>
    <definedName name="FORMIII">#REF!</definedName>
    <definedName name="Formln">#REF!</definedName>
    <definedName name="FOUR">#REF!</definedName>
    <definedName name="FPS">#REF!</definedName>
    <definedName name="Frachtkosten">#REF!+#REF!+#REF!</definedName>
    <definedName name="FRAN">#REF!</definedName>
    <definedName name="FRANCE">#REF!</definedName>
    <definedName name="Freight.Rates">#REF!</definedName>
    <definedName name="FREIGHT_PACKING">#REF!</definedName>
    <definedName name="French_Franc">#REF!</definedName>
    <definedName name="Freq">#REF!</definedName>
    <definedName name="Frequency">#REF!</definedName>
    <definedName name="fre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esh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esh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esh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F">{#N/A,#N/A,FALSE,"1";#N/A,#N/A,FALSE,"2";#N/A,#N/A,FALSE,"16 - 17";#N/A,#N/A,FALSE,"18 - 19";#N/A,#N/A,FALSE,"26";#N/A,#N/A,FALSE,"27";#N/A,#N/A,FALSE,"28"}</definedName>
    <definedName name="FRF_1">{#N/A,#N/A,FALSE,"1";#N/A,#N/A,FALSE,"2";#N/A,#N/A,FALSE,"16 - 17";#N/A,#N/A,FALSE,"18 - 19";#N/A,#N/A,FALSE,"26";#N/A,#N/A,FALSE,"27";#N/A,#N/A,FALSE,"28"}</definedName>
    <definedName name="FRF_2">{#N/A,#N/A,FALSE,"1";#N/A,#N/A,FALSE,"2";#N/A,#N/A,FALSE,"16 - 17";#N/A,#N/A,FALSE,"18 - 19";#N/A,#N/A,FALSE,"26";#N/A,#N/A,FALSE,"27";#N/A,#N/A,FALSE,"28"}</definedName>
    <definedName name="FRF_3">{#N/A,#N/A,FALSE,"1";#N/A,#N/A,FALSE,"2";#N/A,#N/A,FALSE,"16 - 17";#N/A,#N/A,FALSE,"18 - 19";#N/A,#N/A,FALSE,"26";#N/A,#N/A,FALSE,"27";#N/A,#N/A,FALSE,"28"}</definedName>
    <definedName name="FRF_4">{#N/A,#N/A,FALSE,"1";#N/A,#N/A,FALSE,"2";#N/A,#N/A,FALSE,"16 - 17";#N/A,#N/A,FALSE,"18 - 19";#N/A,#N/A,FALSE,"26";#N/A,#N/A,FALSE,"27";#N/A,#N/A,FALSE,"28"}</definedName>
    <definedName name="FRF_5">{#N/A,#N/A,FALSE,"1";#N/A,#N/A,FALSE,"2";#N/A,#N/A,FALSE,"16 - 17";#N/A,#N/A,FALSE,"18 - 19";#N/A,#N/A,FALSE,"26";#N/A,#N/A,FALSE,"27";#N/A,#N/A,FALSE,"28"}</definedName>
    <definedName name="FRFERFE">{#N/A,#N/A,FALSE,"Pharm";#N/A,#N/A,FALSE,"WWCM"}</definedName>
    <definedName name="FRFERFE_1">{#N/A,#N/A,FALSE,"Pharm";#N/A,#N/A,FALSE,"WWCM"}</definedName>
    <definedName name="FRFERFE_2">{#N/A,#N/A,FALSE,"Pharm";#N/A,#N/A,FALSE,"WWCM"}</definedName>
    <definedName name="FRFERFE_3">{#N/A,#N/A,FALSE,"Pharm";#N/A,#N/A,FALSE,"WWCM"}</definedName>
    <definedName name="FRFERFE_4">{#N/A,#N/A,FALSE,"Pharm";#N/A,#N/A,FALSE,"WWCM"}</definedName>
    <definedName name="FRFERFE_5">{#N/A,#N/A,FALSE,"Pharm";#N/A,#N/A,FALSE,"WWCM"}</definedName>
    <definedName name="FRFX97P">#REF!</definedName>
    <definedName name="from">#REF!</definedName>
    <definedName name="frqer">{#N/A,#N/A,FALSE,"OSBL"}</definedName>
    <definedName name="frqer_1">{#N/A,#N/A,FALSE,"OSBL"}</definedName>
    <definedName name="frqer_2">{#N/A,#N/A,FALSE,"OSBL"}</definedName>
    <definedName name="frqer_3">{#N/A,#N/A,FALSE,"OSBL"}</definedName>
    <definedName name="frqer_4">{#N/A,#N/A,FALSE,"OSBL"}</definedName>
    <definedName name="frr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s">{#N/A,#N/A,FALSE,"UK";#N/A,#N/A,FALSE,"FR";#N/A,#N/A,FALSE,"SWE";#N/A,#N/A,FALSE,"BE";#N/A,#N/A,FALSE,"IT";#N/A,#N/A,FALSE,"SP";#N/A,#N/A,FALSE,"GE";#N/A,#N/A,FALSE,"PO";#N/A,#N/A,FALSE,"SWI";#N/A,#N/A,FALSE,"NON"}</definedName>
    <definedName name="FSDFDS">{#N/A,#N/A,FALSE,"PMTABB";#N/A,#N/A,FALSE,"PMTABB"}</definedName>
    <definedName name="FSDFDS_1">{#N/A,#N/A,FALSE,"PMTABB";#N/A,#N/A,FALSE,"PMTABB"}</definedName>
    <definedName name="FSDFDS_2">{#N/A,#N/A,FALSE,"PMTABB";#N/A,#N/A,FALSE,"PMTABB"}</definedName>
    <definedName name="FSDFDS_3">{#N/A,#N/A,FALSE,"PMTABB";#N/A,#N/A,FALSE,"PMTABB"}</definedName>
    <definedName name="FSDFDS_4">{#N/A,#N/A,FALSE,"PMTABB";#N/A,#N/A,FALSE,"PMTABB"}</definedName>
    <definedName name="FSItem">OFFSET(#REF!,0,0,COUNTA(#REF!)-3,1)</definedName>
    <definedName name="ftm">ROUND(IF(OR(#REF!&lt;#REF!,#REF!&gt;#REF!),0,IF(#REF!&lt;#REF!-1,IF(#REF!&gt;#REF!,#REF!/#REF!*#REF!,#REF!/#REF!*(#REF!-#REF!+1)),IF(#REF!&gt;#REF!,#REF!/#REF!*(#REF!-#REF!+1),#REF!/#REF!*(#REF!-#REF!+1)))),0)</definedName>
    <definedName name="FUEL">#REF!</definedName>
    <definedName name="FULLBS">#REF!</definedName>
    <definedName name="FULLCOMPANY">#REF!</definedName>
    <definedName name="Fully_Diluted_No_of_Shares">#REF!</definedName>
    <definedName name="Fully_Diluted_Shares_Outstanding__Millions">#REF!</definedName>
    <definedName name="Function">#REF!</definedName>
    <definedName name="FUND_10CY">#REF!</definedName>
    <definedName name="FUND_10PY">#REF!</definedName>
    <definedName name="FUND_11CY">#REF!</definedName>
    <definedName name="FUND_11PY">#REF!</definedName>
    <definedName name="FUND_12CY">#REF!</definedName>
    <definedName name="FUND_12PY">#REF!</definedName>
    <definedName name="FUND_12PY2">#REF!</definedName>
    <definedName name="FUND_1CY">#REF!</definedName>
    <definedName name="FUND_1PY">#REF!</definedName>
    <definedName name="FUND_2CY">#REF!</definedName>
    <definedName name="FUND_2PY">#REF!</definedName>
    <definedName name="FUND_3CY">#REF!</definedName>
    <definedName name="FUND_3PY">#REF!</definedName>
    <definedName name="FUND_4CY">#REF!</definedName>
    <definedName name="FUND_4PY">#REF!</definedName>
    <definedName name="FUND_5CY">#REF!</definedName>
    <definedName name="FUND_5PY">#REF!</definedName>
    <definedName name="FUND_6CY">#REF!</definedName>
    <definedName name="FUND_6PY">#REF!</definedName>
    <definedName name="FUND_7CY">#REF!</definedName>
    <definedName name="FUND_7PY">#REF!</definedName>
    <definedName name="FUND_8CY">#REF!</definedName>
    <definedName name="FUND_8PY">#REF!</definedName>
    <definedName name="FUND_9CY">#REF!</definedName>
    <definedName name="FUND_9PY">#REF!</definedName>
    <definedName name="FUND_CY1QTR">#REF!</definedName>
    <definedName name="FUND_CY2QTR">#REF!</definedName>
    <definedName name="FUND_CY3QTR">#REF!</definedName>
    <definedName name="FUND_CY4QTR">#REF!</definedName>
    <definedName name="FUND_PY4QTR">#REF!</definedName>
    <definedName name="FUND_YTD_10CY">#REF!</definedName>
    <definedName name="FUND_YTD_10PY">#REF!</definedName>
    <definedName name="FUND_YTD_11CY">#REF!</definedName>
    <definedName name="FUND_YTD_11PY">#REF!</definedName>
    <definedName name="FUND_YTD_12CY">#REF!</definedName>
    <definedName name="FUND_YTD_12PY">#REF!</definedName>
    <definedName name="FUND_YTD_1CY">#REF!</definedName>
    <definedName name="FUND_YTD_1PY">#REF!</definedName>
    <definedName name="FUND_YTD_2CY">#REF!</definedName>
    <definedName name="FUND_YTD_2PY">#REF!</definedName>
    <definedName name="FUND_YTD_3CY">#REF!</definedName>
    <definedName name="FUND_YTD_3PY">#REF!</definedName>
    <definedName name="FUND_YTD_4CY">#REF!</definedName>
    <definedName name="FUND_YTD_4PY">#REF!</definedName>
    <definedName name="FUND_YTD_5CY">#REF!</definedName>
    <definedName name="FUND_YTD_5PY">#REF!</definedName>
    <definedName name="FUND_YTD_6CY">#REF!</definedName>
    <definedName name="FUND_YTD_6PY">#REF!</definedName>
    <definedName name="FUND_YTD_7CY">#REF!</definedName>
    <definedName name="FUND_YTD_7PY">#REF!</definedName>
    <definedName name="FUND_YTD_8CY">#REF!</definedName>
    <definedName name="FUND_YTD_8PY">#REF!</definedName>
    <definedName name="FUND_YTD_9CY">#REF!</definedName>
    <definedName name="FUND_YTD_9PY">#REF!</definedName>
    <definedName name="FUND_YTDN_10CY">#REF!</definedName>
    <definedName name="FUND_YTDN_10PY">#REF!</definedName>
    <definedName name="FUND_YTDN_11CY">#REF!</definedName>
    <definedName name="FUND_YTDN_11PY">#REF!</definedName>
    <definedName name="FUND_YTDN_12CY">#REF!</definedName>
    <definedName name="FUND_YTDN_12PY">#REF!</definedName>
    <definedName name="FUND_YTDN_1CY">#REF!</definedName>
    <definedName name="FUND_YTDN_1PY">#REF!</definedName>
    <definedName name="FUND_YTDN_2CY">#REF!</definedName>
    <definedName name="FUND_YTDN_2PY">#REF!</definedName>
    <definedName name="FUND_YTDN_3CY">#REF!</definedName>
    <definedName name="FUND_YTDN_3PY">#REF!</definedName>
    <definedName name="FUND_YTDN_4CY">#REF!</definedName>
    <definedName name="FUND_YTDN_4PY">#REF!</definedName>
    <definedName name="FUND_YTDN_5CY">#REF!</definedName>
    <definedName name="FUND_YTDN_5PY">#REF!</definedName>
    <definedName name="FUND_YTDN_6CY">#REF!</definedName>
    <definedName name="FUND_YTDN_6PY">#REF!</definedName>
    <definedName name="FUND_YTDN_7CY">#REF!</definedName>
    <definedName name="FUND_YTDN_7PY">#REF!</definedName>
    <definedName name="FUND_YTDN_8CY">#REF!</definedName>
    <definedName name="FUND_YTDN_8PY">#REF!</definedName>
    <definedName name="FUND_YTDN_9CY">#REF!</definedName>
    <definedName name="FUND_YTDN_9PY">#REF!</definedName>
    <definedName name="furniture">#REF!</definedName>
    <definedName name="FURNITURE___FIXTURE">#REF!</definedName>
    <definedName name="furnitureaddition">#REF!</definedName>
    <definedName name="Furniturefixture">#REF!</definedName>
    <definedName name="furniturefixtureadd">#REF!</definedName>
    <definedName name="FVG">{#N/A,#N/A,FALSE,"Pharm";#N/A,#N/A,FALSE,"WWCM"}</definedName>
    <definedName name="FVG_1">{#N/A,#N/A,FALSE,"Pharm";#N/A,#N/A,FALSE,"WWCM"}</definedName>
    <definedName name="FVG_2">{#N/A,#N/A,FALSE,"Pharm";#N/A,#N/A,FALSE,"WWCM"}</definedName>
    <definedName name="FVG_3">{#N/A,#N/A,FALSE,"Pharm";#N/A,#N/A,FALSE,"WWCM"}</definedName>
    <definedName name="FVG_4">{#N/A,#N/A,FALSE,"Pharm";#N/A,#N/A,FALSE,"WWCM"}</definedName>
    <definedName name="FVG_5">{#N/A,#N/A,FALSE,"Pharm";#N/A,#N/A,FALSE,"WWCM"}</definedName>
    <definedName name="fwef">{#N/A,#N/A,FALSE,"OSBL"}</definedName>
    <definedName name="fwef_1">{#N/A,#N/A,FALSE,"OSBL"}</definedName>
    <definedName name="fwef_1_1">{#N/A,#N/A,FALSE,"OSBL"}</definedName>
    <definedName name="fwef_1_2">{#N/A,#N/A,FALSE,"OSBL"}</definedName>
    <definedName name="fwef_1_3">{#N/A,#N/A,FALSE,"OSBL"}</definedName>
    <definedName name="fwef_1_4">{#N/A,#N/A,FALSE,"OSBL"}</definedName>
    <definedName name="fwef_2">{#N/A,#N/A,FALSE,"OSBL"}</definedName>
    <definedName name="fwef_2_1">{#N/A,#N/A,FALSE,"OSBL"}</definedName>
    <definedName name="fwef_2_2">{#N/A,#N/A,FALSE,"OSBL"}</definedName>
    <definedName name="fwef_2_3">{#N/A,#N/A,FALSE,"OSBL"}</definedName>
    <definedName name="fwef_2_4">{#N/A,#N/A,FALSE,"OSBL"}</definedName>
    <definedName name="fwef_3">{#N/A,#N/A,FALSE,"OSBL"}</definedName>
    <definedName name="fwef_3_1">{#N/A,#N/A,FALSE,"OSBL"}</definedName>
    <definedName name="fwef_3_2">{#N/A,#N/A,FALSE,"OSBL"}</definedName>
    <definedName name="fwef_3_3">{#N/A,#N/A,FALSE,"OSBL"}</definedName>
    <definedName name="fwef_3_4">{#N/A,#N/A,FALSE,"OSBL"}</definedName>
    <definedName name="fwef_4">{#N/A,#N/A,FALSE,"OSBL"}</definedName>
    <definedName name="fwef_4_1">{#N/A,#N/A,FALSE,"OSBL"}</definedName>
    <definedName name="fwef_4_2">{#N/A,#N/A,FALSE,"OSBL"}</definedName>
    <definedName name="fwef_4_3">{#N/A,#N/A,FALSE,"OSBL"}</definedName>
    <definedName name="fwef_4_4">{#N/A,#N/A,FALSE,"OSBL"}</definedName>
    <definedName name="fwef_5">{#N/A,#N/A,FALSE,"OSBL"}</definedName>
    <definedName name="FXTable">#REF!</definedName>
    <definedName name="FY">#REF!</definedName>
    <definedName name="fyhfhyfhj">{"qtrvspyr",#N/A,FALSE,"qtrvspryrqtr"}</definedName>
    <definedName name="g">{#N/A,#N/A,FALSE,"Pharm";#N/A,#N/A,FALSE,"WWCM"}</definedName>
    <definedName name="G.R.R._PROVISION___PLUS__ADHOC_PURCHASE_PROVISION">#REF!</definedName>
    <definedName name="G_1">#REF!</definedName>
    <definedName name="G_10">#REF!</definedName>
    <definedName name="G_2">#REF!</definedName>
    <definedName name="G_3">#REF!</definedName>
    <definedName name="G_4">#REF!</definedName>
    <definedName name="g_5">{#N/A,#N/A,FALSE,"Pharm";#N/A,#N/A,FALSE,"WWCM"}</definedName>
    <definedName name="G_6">#REF!</definedName>
    <definedName name="G_7">#REF!</definedName>
    <definedName name="G_8">#REF!</definedName>
    <definedName name="G_9">#REF!</definedName>
    <definedName name="GAC_Aggregate">#REF!</definedName>
    <definedName name="GAC_dep">#REF!</definedName>
    <definedName name="GAC_IncStatement">#REF!</definedName>
    <definedName name="GACAggRate">#REF!</definedName>
    <definedName name="GACBaseRate">#REF!</definedName>
    <definedName name="GACConRate">#REF!</definedName>
    <definedName name="GADHAVEVISHALS">#REF!</definedName>
    <definedName name="GAHLODSS">#REF!</definedName>
    <definedName name="GAIKWAD">#REF!</definedName>
    <definedName name="GAIKWADAMRITA">#REF!</definedName>
    <definedName name="GAIKWADSACHIN">#REF!</definedName>
    <definedName name="GALANDE">#REF!</definedName>
    <definedName name="GALANDEBAJIRAO">#REF!</definedName>
    <definedName name="ganesh1">#REF!</definedName>
    <definedName name="GANORKARR">#REF!</definedName>
    <definedName name="Gaprate">#REF!</definedName>
    <definedName name="GARDENING_EXPENSES">#REF!</definedName>
    <definedName name="Gas_as_a___of_Total">#REF!</definedName>
    <definedName name="GAVANDHARE">#REF!</definedName>
    <definedName name="GAWAREKIRAN">#REF!</definedName>
    <definedName name="GAWARI">#REF!</definedName>
    <definedName name="GB">{#N/A,#N/A,FALSE,"Income Branch ONLY"}</definedName>
    <definedName name="gbdiff">#REF!</definedName>
    <definedName name="gcf_acc">#REF!</definedName>
    <definedName name="gcomer">#REF!</definedName>
    <definedName name="GCS">#REF!</definedName>
    <definedName name="GDES_Ctry_1">#REF!</definedName>
    <definedName name="GDES_Ctry_10">#REF!</definedName>
    <definedName name="GDES_Ctry_11">#REF!</definedName>
    <definedName name="GDES_Ctry_12">#REF!</definedName>
    <definedName name="GDES_Ctry_13">#REF!</definedName>
    <definedName name="GDES_Ctry_14">#REF!</definedName>
    <definedName name="GDES_Ctry_15">#REF!</definedName>
    <definedName name="GDES_Ctry_16">#REF!</definedName>
    <definedName name="GDES_Ctry_17">#REF!</definedName>
    <definedName name="GDES_Ctry_18">#REF!</definedName>
    <definedName name="GDES_Ctry_19">#REF!</definedName>
    <definedName name="GDES_Ctry_2">#REF!</definedName>
    <definedName name="GDES_Ctry_3">#REF!</definedName>
    <definedName name="GDES_Ctry_4">#REF!</definedName>
    <definedName name="GDES_Ctry_5">#REF!</definedName>
    <definedName name="GDES_Ctry_6">#REF!</definedName>
    <definedName name="GDES_Ctry_7">#REF!</definedName>
    <definedName name="GDES_Ctry_8">#REF!</definedName>
    <definedName name="GDES_Ctry_9">#REF!</definedName>
    <definedName name="GDF">{#N/A,#N/A,FALSE,"COMP"}</definedName>
    <definedName name="GDF_1">{#N/A,#N/A,FALSE,"COMP"}</definedName>
    <definedName name="gdfgdf">{#N/A,#N/A,FALSE,"Pharm";#N/A,#N/A,FALSE,"WWCM"}</definedName>
    <definedName name="gdfgdf_1">{#N/A,#N/A,FALSE,"Pharm";#N/A,#N/A,FALSE,"WWCM"}</definedName>
    <definedName name="gdfgdf_2">{#N/A,#N/A,FALSE,"Pharm";#N/A,#N/A,FALSE,"WWCM"}</definedName>
    <definedName name="gdfgdf_3">{#N/A,#N/A,FALSE,"Pharm";#N/A,#N/A,FALSE,"WWCM"}</definedName>
    <definedName name="gdfgdf_4">{#N/A,#N/A,FALSE,"Pharm";#N/A,#N/A,FALSE,"WWCM"}</definedName>
    <definedName name="gdfgdf_5">{#N/A,#N/A,FALSE,"Pharm";#N/A,#N/A,FALSE,"WWCM"}</definedName>
    <definedName name="GDRM_Ctry_1">#REF!</definedName>
    <definedName name="GDRM_Ctry_10">#REF!</definedName>
    <definedName name="GDRM_Ctry_11">#REF!</definedName>
    <definedName name="GDRM_Ctry_12">#REF!</definedName>
    <definedName name="GDRM_Ctry_13">#REF!</definedName>
    <definedName name="GDRM_Ctry_14">#REF!</definedName>
    <definedName name="GDRM_Ctry_15">#REF!</definedName>
    <definedName name="GDRM_Ctry_16">#REF!</definedName>
    <definedName name="GDRM_Ctry_17">#REF!</definedName>
    <definedName name="GDRM_Ctry_18">#REF!</definedName>
    <definedName name="GDRM_Ctry_19">#REF!</definedName>
    <definedName name="GDRM_Ctry_2">#REF!</definedName>
    <definedName name="GDRM_Ctry_3">#REF!</definedName>
    <definedName name="GDRM_Ctry_4">#REF!</definedName>
    <definedName name="GDRM_Ctry_5">#REF!</definedName>
    <definedName name="GDRM_Ctry_6">#REF!</definedName>
    <definedName name="GDRM_Ctry_7">#REF!</definedName>
    <definedName name="GDRM_Ctry_8">#REF!</definedName>
    <definedName name="GDRM_Ctry_9">#REF!</definedName>
    <definedName name="GDRV_Ctry_1">#REF!</definedName>
    <definedName name="GDRV_Ctry_10">#REF!</definedName>
    <definedName name="GDRV_Ctry_11">#REF!</definedName>
    <definedName name="GDRV_Ctry_12">#REF!</definedName>
    <definedName name="GDRV_Ctry_13">#REF!</definedName>
    <definedName name="GDRV_Ctry_14">#REF!</definedName>
    <definedName name="GDRV_Ctry_15">#REF!</definedName>
    <definedName name="GDRV_Ctry_16">#REF!</definedName>
    <definedName name="GDRV_Ctry_17">#REF!</definedName>
    <definedName name="GDRV_Ctry_18">#REF!</definedName>
    <definedName name="GDRV_Ctry_19">#REF!</definedName>
    <definedName name="GDRV_Ctry_2">#REF!</definedName>
    <definedName name="GDRV_Ctry_3">#REF!</definedName>
    <definedName name="GDRV_Ctry_4">#REF!</definedName>
    <definedName name="GDRV_Ctry_5">#REF!</definedName>
    <definedName name="GDRV_Ctry_6">#REF!</definedName>
    <definedName name="GDRV_Ctry_7">#REF!</definedName>
    <definedName name="GDRV_Ctry_8">#REF!</definedName>
    <definedName name="GDRV_Ctry_9">#REF!</definedName>
    <definedName name="ge">{#N/A,#N/A,FALSE,"EW"}</definedName>
    <definedName name="ge_1">{#N/A,#N/A,FALSE,"EW"}</definedName>
    <definedName name="ge_1_1">{#N/A,#N/A,FALSE,"EW"}</definedName>
    <definedName name="ge_1_2">{#N/A,#N/A,FALSE,"EW"}</definedName>
    <definedName name="ge_1_3">{#N/A,#N/A,FALSE,"EW"}</definedName>
    <definedName name="ge_1_4">{#N/A,#N/A,FALSE,"EW"}</definedName>
    <definedName name="ge_2">{#N/A,#N/A,FALSE,"EW"}</definedName>
    <definedName name="ge_2_1">{#N/A,#N/A,FALSE,"EW"}</definedName>
    <definedName name="ge_2_2">{#N/A,#N/A,FALSE,"EW"}</definedName>
    <definedName name="ge_2_3">{#N/A,#N/A,FALSE,"EW"}</definedName>
    <definedName name="ge_2_4">{#N/A,#N/A,FALSE,"EW"}</definedName>
    <definedName name="ge_3">{#N/A,#N/A,FALSE,"EW"}</definedName>
    <definedName name="ge_3_1">{#N/A,#N/A,FALSE,"EW"}</definedName>
    <definedName name="ge_3_2">{#N/A,#N/A,FALSE,"EW"}</definedName>
    <definedName name="ge_3_3">{#N/A,#N/A,FALSE,"EW"}</definedName>
    <definedName name="ge_3_4">{#N/A,#N/A,FALSE,"EW"}</definedName>
    <definedName name="ge_4">{#N/A,#N/A,FALSE,"EW"}</definedName>
    <definedName name="ge_4_1">{#N/A,#N/A,FALSE,"EW"}</definedName>
    <definedName name="ge_4_2">{#N/A,#N/A,FALSE,"EW"}</definedName>
    <definedName name="ge_4_3">{#N/A,#N/A,FALSE,"EW"}</definedName>
    <definedName name="ge_4_4">{#N/A,#N/A,FALSE,"EW"}</definedName>
    <definedName name="ge_5">{#N/A,#N/A,FALSE,"EW"}</definedName>
    <definedName name="gedsj">#REF!</definedName>
    <definedName name="GEFX97P">#REF!</definedName>
    <definedName name="geN_0102">#REF!</definedName>
    <definedName name="GENERAL_RESERVE">#REF!</definedName>
    <definedName name="Generators">#REF!</definedName>
    <definedName name="GENWIP">#REF!</definedName>
    <definedName name="georges">{#N/A,#N/A,FALSE,"Tabl. FB300";#N/A,#N/A,FALSE,"Tabl. FB350";#N/A,#N/A,FALSE,"Tabl. FB400";#N/A,#N/A,FALSE,"Tabl. FB500";#N/A,#N/A,FALSE,"Tabl. FS090"}</definedName>
    <definedName name="georges_1">{#N/A,#N/A,FALSE,"Tabl. FB300";#N/A,#N/A,FALSE,"Tabl. FB350";#N/A,#N/A,FALSE,"Tabl. FB400";#N/A,#N/A,FALSE,"Tabl. FB500";#N/A,#N/A,FALSE,"Tabl. FS090"}</definedName>
    <definedName name="georges_2">{#N/A,#N/A,FALSE,"Tabl. FB300";#N/A,#N/A,FALSE,"Tabl. FB350";#N/A,#N/A,FALSE,"Tabl. FB400";#N/A,#N/A,FALSE,"Tabl. FB500";#N/A,#N/A,FALSE,"Tabl. FS090"}</definedName>
    <definedName name="georges_3">{#N/A,#N/A,FALSE,"Tabl. FB300";#N/A,#N/A,FALSE,"Tabl. FB350";#N/A,#N/A,FALSE,"Tabl. FB400";#N/A,#N/A,FALSE,"Tabl. FB500";#N/A,#N/A,FALSE,"Tabl. FS090"}</definedName>
    <definedName name="georges_4">{#N/A,#N/A,FALSE,"Tabl. FB300";#N/A,#N/A,FALSE,"Tabl. FB350";#N/A,#N/A,FALSE,"Tabl. FB400";#N/A,#N/A,FALSE,"Tabl. FB500";#N/A,#N/A,FALSE,"Tabl. FS090"}</definedName>
    <definedName name="GERM">#REF!</definedName>
    <definedName name="GERMANY">#REF!</definedName>
    <definedName name="ges_nr">#REF!</definedName>
    <definedName name="ges_status">#REF!</definedName>
    <definedName name="GEShip">#REF!</definedName>
    <definedName name="Gexter">#REF!</definedName>
    <definedName name="g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gfdjhjh">{#N/A,#N/A,FALSE,"Pharm";#N/A,#N/A,FALSE,"WWCM"}</definedName>
    <definedName name="gfdjhjh_1">{#N/A,#N/A,FALSE,"Pharm";#N/A,#N/A,FALSE,"WWCM"}</definedName>
    <definedName name="gfdjhjh_2">{#N/A,#N/A,FALSE,"Pharm";#N/A,#N/A,FALSE,"WWCM"}</definedName>
    <definedName name="gfdjhjh_3">{#N/A,#N/A,FALSE,"Pharm";#N/A,#N/A,FALSE,"WWCM"}</definedName>
    <definedName name="gfdjhjh_4">{#N/A,#N/A,FALSE,"Pharm";#N/A,#N/A,FALSE,"WWCM"}</definedName>
    <definedName name="gfdjhjh_5">{#N/A,#N/A,FALSE,"Pharm";#N/A,#N/A,FALSE,"WWCM"}</definedName>
    <definedName name="gff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gfh">{#N/A,#N/A,FALSE,"PMTABB";#N/A,#N/A,FALSE,"PMTABB"}</definedName>
    <definedName name="gfh_1">{#N/A,#N/A,FALSE,"PMTABB";#N/A,#N/A,FALSE,"PMTABB"}</definedName>
    <definedName name="gfh_2">{#N/A,#N/A,FALSE,"PMTABB";#N/A,#N/A,FALSE,"PMTABB"}</definedName>
    <definedName name="gfh_2_1">{#N/A,#N/A,FALSE,"PMTABB";#N/A,#N/A,FALSE,"PMTABB"}</definedName>
    <definedName name="gfh_2_2">{#N/A,#N/A,FALSE,"PMTABB";#N/A,#N/A,FALSE,"PMTABB"}</definedName>
    <definedName name="gfh_2_3">{#N/A,#N/A,FALSE,"PMTABB";#N/A,#N/A,FALSE,"PMTABB"}</definedName>
    <definedName name="gfh_2_4">{#N/A,#N/A,FALSE,"PMTABB";#N/A,#N/A,FALSE,"PMTABB"}</definedName>
    <definedName name="gfh_3">{#N/A,#N/A,FALSE,"PMTABB";#N/A,#N/A,FALSE,"PMTABB"}</definedName>
    <definedName name="gfh_3_1">{#N/A,#N/A,FALSE,"PMTABB";#N/A,#N/A,FALSE,"PMTABB"}</definedName>
    <definedName name="gfh_3_2">{#N/A,#N/A,FALSE,"PMTABB";#N/A,#N/A,FALSE,"PMTABB"}</definedName>
    <definedName name="gfh_3_3">{#N/A,#N/A,FALSE,"PMTABB";#N/A,#N/A,FALSE,"PMTABB"}</definedName>
    <definedName name="gfh_3_4">{#N/A,#N/A,FALSE,"PMTABB";#N/A,#N/A,FALSE,"PMTABB"}</definedName>
    <definedName name="gfh_4">{#N/A,#N/A,FALSE,"PMTABB";#N/A,#N/A,FALSE,"PMTABB"}</definedName>
    <definedName name="gfh_4_1">{#N/A,#N/A,FALSE,"PMTABB";#N/A,#N/A,FALSE,"PMTABB"}</definedName>
    <definedName name="gfh_4_2">{#N/A,#N/A,FALSE,"PMTABB";#N/A,#N/A,FALSE,"PMTABB"}</definedName>
    <definedName name="gfh_4_3">{#N/A,#N/A,FALSE,"PMTABB";#N/A,#N/A,FALSE,"PMTABB"}</definedName>
    <definedName name="gfh_4_4">{#N/A,#N/A,FALSE,"PMTABB";#N/A,#N/A,FALSE,"PMTABB"}</definedName>
    <definedName name="gfh_5">{#N/A,#N/A,FALSE,"PMTABB";#N/A,#N/A,FALSE,"PMTABB"}</definedName>
    <definedName name="GFNFGJH">{#N/A,#N/A,FALSE,"TOWNSHIP"}</definedName>
    <definedName name="GFNFGJH_1">{#N/A,#N/A,FALSE,"TOWNSHIP"}</definedName>
    <definedName name="GFNFGJH_1_1">{#N/A,#N/A,FALSE,"TOWNSHIP"}</definedName>
    <definedName name="GFNFGJH_1_2">{#N/A,#N/A,FALSE,"TOWNSHIP"}</definedName>
    <definedName name="GFNFGJH_1_3">{#N/A,#N/A,FALSE,"TOWNSHIP"}</definedName>
    <definedName name="GFNFGJH_1_4">{#N/A,#N/A,FALSE,"TOWNSHIP"}</definedName>
    <definedName name="GFNFGJH_2">{#N/A,#N/A,FALSE,"TOWNSHIP"}</definedName>
    <definedName name="GFNFGJH_2_1">{#N/A,#N/A,FALSE,"TOWNSHIP"}</definedName>
    <definedName name="GFNFGJH_2_2">{#N/A,#N/A,FALSE,"TOWNSHIP"}</definedName>
    <definedName name="GFNFGJH_2_3">{#N/A,#N/A,FALSE,"TOWNSHIP"}</definedName>
    <definedName name="GFNFGJH_2_4">{#N/A,#N/A,FALSE,"TOWNSHIP"}</definedName>
    <definedName name="GFNFGJH_3">{#N/A,#N/A,FALSE,"TOWNSHIP"}</definedName>
    <definedName name="GFNFGJH_3_1">{#N/A,#N/A,FALSE,"TOWNSHIP"}</definedName>
    <definedName name="GFNFGJH_3_2">{#N/A,#N/A,FALSE,"TOWNSHIP"}</definedName>
    <definedName name="GFNFGJH_3_3">{#N/A,#N/A,FALSE,"TOWNSHIP"}</definedName>
    <definedName name="GFNFGJH_3_4">{#N/A,#N/A,FALSE,"TOWNSHIP"}</definedName>
    <definedName name="GFNFGJH_4">{#N/A,#N/A,FALSE,"TOWNSHIP"}</definedName>
    <definedName name="GFNFGJH_4_1">{#N/A,#N/A,FALSE,"TOWNSHIP"}</definedName>
    <definedName name="GFNFGJH_4_2">{#N/A,#N/A,FALSE,"TOWNSHIP"}</definedName>
    <definedName name="GFNFGJH_4_3">{#N/A,#N/A,FALSE,"TOWNSHIP"}</definedName>
    <definedName name="GFNFGJH_4_4">{#N/A,#N/A,FALSE,"TOWNSHIP"}</definedName>
    <definedName name="GFNFGJH_5">{#N/A,#N/A,FALSE,"TOWNSHIP"}</definedName>
    <definedName name="gg">#REF!</definedName>
    <definedName name="GGF">{#N/A,#N/A,FALSE,"SUMMARY";#N/A,#N/A,FALSE,"SUMMARY"}</definedName>
    <definedName name="GGF_1">{#N/A,#N/A,FALSE,"SUMMARY";#N/A,#N/A,FALSE,"SUMMARY"}</definedName>
    <definedName name="GGF_2">{#N/A,#N/A,FALSE,"SUMMARY";#N/A,#N/A,FALSE,"SUMMARY"}</definedName>
    <definedName name="GGF_3">{#N/A,#N/A,FALSE,"SUMMARY";#N/A,#N/A,FALSE,"SUMMARY"}</definedName>
    <definedName name="GGF_4">{#N/A,#N/A,FALSE,"SUMMARY";#N/A,#N/A,FALSE,"SUMMARY"}</definedName>
    <definedName name="ggg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ggggg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gggggg">#REF!</definedName>
    <definedName name="gggggggggggggggg">#REF!</definedName>
    <definedName name="GHADAGEBALASAHEBS">#REF!</definedName>
    <definedName name="ghi">{#N/A,#N/A,FALSE,"Tabl. FB300";#N/A,#N/A,FALSE,"Tabl. FB350";#N/A,#N/A,FALSE,"Tabl. FB400";#N/A,#N/A,FALSE,"Tabl. FB500";#N/A,#N/A,FALSE,"Tabl. FS090"}</definedName>
    <definedName name="ghi_1">{#N/A,#N/A,FALSE,"Tabl. FB300";#N/A,#N/A,FALSE,"Tabl. FB350";#N/A,#N/A,FALSE,"Tabl. FB400";#N/A,#N/A,FALSE,"Tabl. FB500";#N/A,#N/A,FALSE,"Tabl. FS090"}</definedName>
    <definedName name="ghi_2">{#N/A,#N/A,FALSE,"Tabl. FB300";#N/A,#N/A,FALSE,"Tabl. FB350";#N/A,#N/A,FALSE,"Tabl. FB400";#N/A,#N/A,FALSE,"Tabl. FB500";#N/A,#N/A,FALSE,"Tabl. FS090"}</definedName>
    <definedName name="ghi_3">{#N/A,#N/A,FALSE,"Tabl. FB300";#N/A,#N/A,FALSE,"Tabl. FB350";#N/A,#N/A,FALSE,"Tabl. FB400";#N/A,#N/A,FALSE,"Tabl. FB500";#N/A,#N/A,FALSE,"Tabl. FS090"}</definedName>
    <definedName name="ghi_4">{#N/A,#N/A,FALSE,"Tabl. FB300";#N/A,#N/A,FALSE,"Tabl. FB350";#N/A,#N/A,FALSE,"Tabl. FB400";#N/A,#N/A,FALSE,"Tabl. FB500";#N/A,#N/A,FALSE,"Tabl. FS090"}</definedName>
    <definedName name="ghip">#REF!</definedName>
    <definedName name="ghjggjh">{#N/A,#N/A,FALSE,"Pharm";#N/A,#N/A,FALSE,"WWCM"}</definedName>
    <definedName name="ghjggjh_1">{#N/A,#N/A,FALSE,"Pharm";#N/A,#N/A,FALSE,"WWCM"}</definedName>
    <definedName name="ghjggjh_2">{#N/A,#N/A,FALSE,"Pharm";#N/A,#N/A,FALSE,"WWCM"}</definedName>
    <definedName name="ghjggjh_3">{#N/A,#N/A,FALSE,"Pharm";#N/A,#N/A,FALSE,"WWCM"}</definedName>
    <definedName name="ghjggjh_4">{#N/A,#N/A,FALSE,"Pharm";#N/A,#N/A,FALSE,"WWCM"}</definedName>
    <definedName name="ghjggjh_5">{#N/A,#N/A,FALSE,"Pharm";#N/A,#N/A,FALSE,"WWCM"}</definedName>
    <definedName name="GHJTI">{#N/A,#N/A,FALSE,"FREE"}</definedName>
    <definedName name="GHJTI_1">{#N/A,#N/A,FALSE,"FREE"}</definedName>
    <definedName name="GHJTI_1_1">{#N/A,#N/A,FALSE,"FREE"}</definedName>
    <definedName name="GHJTI_1_2">{#N/A,#N/A,FALSE,"FREE"}</definedName>
    <definedName name="GHJTI_1_3">{#N/A,#N/A,FALSE,"FREE"}</definedName>
    <definedName name="GHJTI_1_4">{#N/A,#N/A,FALSE,"FREE"}</definedName>
    <definedName name="GHJTI_2">{#N/A,#N/A,FALSE,"FREE"}</definedName>
    <definedName name="GHJTI_2_1">{#N/A,#N/A,FALSE,"FREE"}</definedName>
    <definedName name="GHJTI_2_2">{#N/A,#N/A,FALSE,"FREE"}</definedName>
    <definedName name="GHJTI_2_3">{#N/A,#N/A,FALSE,"FREE"}</definedName>
    <definedName name="GHJTI_2_4">{#N/A,#N/A,FALSE,"FREE"}</definedName>
    <definedName name="GHJTI_3">{#N/A,#N/A,FALSE,"FREE"}</definedName>
    <definedName name="GHJTI_3_1">{#N/A,#N/A,FALSE,"FREE"}</definedName>
    <definedName name="GHJTI_3_2">{#N/A,#N/A,FALSE,"FREE"}</definedName>
    <definedName name="GHJTI_3_3">{#N/A,#N/A,FALSE,"FREE"}</definedName>
    <definedName name="GHJTI_3_4">{#N/A,#N/A,FALSE,"FREE"}</definedName>
    <definedName name="GHJTI_4">{#N/A,#N/A,FALSE,"FREE"}</definedName>
    <definedName name="GHJTI_4_1">{#N/A,#N/A,FALSE,"FREE"}</definedName>
    <definedName name="GHJTI_4_2">{#N/A,#N/A,FALSE,"FREE"}</definedName>
    <definedName name="GHJTI_4_3">{#N/A,#N/A,FALSE,"FREE"}</definedName>
    <definedName name="GHJTI_4_4">{#N/A,#N/A,FALSE,"FREE"}</definedName>
    <definedName name="GHJTI_5">{#N/A,#N/A,FALSE,"FREE"}</definedName>
    <definedName name="GHL">#REF!</definedName>
    <definedName name="GHODEKARKEDAR">#REF!</definedName>
    <definedName name="GHOLAPATUL">#REF!</definedName>
    <definedName name="GHULE">#REF!</definedName>
    <definedName name="gia">#REF!</definedName>
    <definedName name="gia_tien">#REF!</definedName>
    <definedName name="gia_tien_BTN">#REF!</definedName>
    <definedName name="girishbsc">#REF!</definedName>
    <definedName name="girishconv">#REF!</definedName>
    <definedName name="girishded">#REF!</definedName>
    <definedName name="girishhra">#REF!</definedName>
    <definedName name="girishit">#REF!</definedName>
    <definedName name="girishlta">#REF!</definedName>
    <definedName name="girishmed">#REF!</definedName>
    <definedName name="girishpd">#REF!</definedName>
    <definedName name="girishpf">#REF!</definedName>
    <definedName name="girishpt">#REF!</definedName>
    <definedName name="girishspla">#REF!</definedName>
    <definedName name="girnar">#REF!</definedName>
    <definedName name="GIVEAWAYS">#REF!</definedName>
    <definedName name="gk0901int">{#N/A,#N/A,FALSE,"PMTABB";#N/A,#N/A,FALSE,"PMTABB"}</definedName>
    <definedName name="gk0901int_1">{#N/A,#N/A,FALSE,"PMTABB";#N/A,#N/A,FALSE,"PMTABB"}</definedName>
    <definedName name="gk0901int_1_1">{#N/A,#N/A,FALSE,"PMTABB";#N/A,#N/A,FALSE,"PMTABB"}</definedName>
    <definedName name="gk0901int_1_2">{#N/A,#N/A,FALSE,"PMTABB";#N/A,#N/A,FALSE,"PMTABB"}</definedName>
    <definedName name="gk0901int_1_3">{#N/A,#N/A,FALSE,"PMTABB";#N/A,#N/A,FALSE,"PMTABB"}</definedName>
    <definedName name="gk0901int_1_4">{#N/A,#N/A,FALSE,"PMTABB";#N/A,#N/A,FALSE,"PMTABB"}</definedName>
    <definedName name="gk0901int_2">{#N/A,#N/A,FALSE,"PMTABB";#N/A,#N/A,FALSE,"PMTABB"}</definedName>
    <definedName name="gk0901int_2_1">{#N/A,#N/A,FALSE,"PMTABB";#N/A,#N/A,FALSE,"PMTABB"}</definedName>
    <definedName name="gk0901int_2_2">{#N/A,#N/A,FALSE,"PMTABB";#N/A,#N/A,FALSE,"PMTABB"}</definedName>
    <definedName name="gk0901int_2_3">{#N/A,#N/A,FALSE,"PMTABB";#N/A,#N/A,FALSE,"PMTABB"}</definedName>
    <definedName name="gk0901int_2_4">{#N/A,#N/A,FALSE,"PMTABB";#N/A,#N/A,FALSE,"PMTABB"}</definedName>
    <definedName name="gk0901int_3">{#N/A,#N/A,FALSE,"PMTABB";#N/A,#N/A,FALSE,"PMTABB"}</definedName>
    <definedName name="gk0901int_3_1">{#N/A,#N/A,FALSE,"PMTABB";#N/A,#N/A,FALSE,"PMTABB"}</definedName>
    <definedName name="gk0901int_3_2">{#N/A,#N/A,FALSE,"PMTABB";#N/A,#N/A,FALSE,"PMTABB"}</definedName>
    <definedName name="gk0901int_3_3">{#N/A,#N/A,FALSE,"PMTABB";#N/A,#N/A,FALSE,"PMTABB"}</definedName>
    <definedName name="gk0901int_3_4">{#N/A,#N/A,FALSE,"PMTABB";#N/A,#N/A,FALSE,"PMTABB"}</definedName>
    <definedName name="gk0901int_4">{#N/A,#N/A,FALSE,"PMTABB";#N/A,#N/A,FALSE,"PMTABB"}</definedName>
    <definedName name="gk0901int_4_1">{#N/A,#N/A,FALSE,"PMTABB";#N/A,#N/A,FALSE,"PMTABB"}</definedName>
    <definedName name="gk0901int_4_2">{#N/A,#N/A,FALSE,"PMTABB";#N/A,#N/A,FALSE,"PMTABB"}</definedName>
    <definedName name="gk0901int_4_3">{#N/A,#N/A,FALSE,"PMTABB";#N/A,#N/A,FALSE,"PMTABB"}</definedName>
    <definedName name="gk0901int_4_4">{#N/A,#N/A,FALSE,"PMTABB";#N/A,#N/A,FALSE,"PMTABB"}</definedName>
    <definedName name="gk0901int_5">{#N/A,#N/A,FALSE,"PMTABB";#N/A,#N/A,FALSE,"PMTABB"}</definedName>
    <definedName name="GLACCT">#REF!</definedName>
    <definedName name="Global_Sector">#REF!</definedName>
    <definedName name="Global1">{#N/A,#N/A,FALSE,"Pharm";#N/A,#N/A,FALSE,"WWCM"}</definedName>
    <definedName name="Global1_1">{#N/A,#N/A,FALSE,"Pharm";#N/A,#N/A,FALSE,"WWCM"}</definedName>
    <definedName name="Global1_2">{#N/A,#N/A,FALSE,"Pharm";#N/A,#N/A,FALSE,"WWCM"}</definedName>
    <definedName name="Global1_3">{#N/A,#N/A,FALSE,"Pharm";#N/A,#N/A,FALSE,"WWCM"}</definedName>
    <definedName name="Global1_4">{#N/A,#N/A,FALSE,"Pharm";#N/A,#N/A,FALSE,"WWCM"}</definedName>
    <definedName name="Global1_5">{#N/A,#N/A,FALSE,"Pharm";#N/A,#N/A,FALSE,"WWCM"}</definedName>
    <definedName name="GMBH">#REF!</definedName>
    <definedName name="GMBT">#REF!</definedName>
    <definedName name="GMI_PR">#REF!</definedName>
    <definedName name="GMMC">#REF!</definedName>
    <definedName name="gnaes">#REF!</definedName>
    <definedName name="GODRINAGESH">#REF!</definedName>
    <definedName name="GOGAWALEK">#REF!</definedName>
    <definedName name="Goodwill">#REF!</definedName>
    <definedName name="GOSAIN">#REF!</definedName>
    <definedName name="Goto_Instructions">#REF!</definedName>
    <definedName name="Goto_Program_Editor_Sheet">#REF!</definedName>
    <definedName name="gourav">#REF!</definedName>
    <definedName name="gprofit">#REF!</definedName>
    <definedName name="GPS_Bud">#REF!</definedName>
    <definedName name="gqarefg">{#N/A,#N/A,FALSE,"PMTABB";#N/A,#N/A,FALSE,"PMTABB"}</definedName>
    <definedName name="gqarefg_1">{#N/A,#N/A,FALSE,"PMTABB";#N/A,#N/A,FALSE,"PMTABB"}</definedName>
    <definedName name="gqarefg_1_1">{#N/A,#N/A,FALSE,"PMTABB";#N/A,#N/A,FALSE,"PMTABB"}</definedName>
    <definedName name="gqarefg_1_2">{#N/A,#N/A,FALSE,"PMTABB";#N/A,#N/A,FALSE,"PMTABB"}</definedName>
    <definedName name="gqarefg_1_3">{#N/A,#N/A,FALSE,"PMTABB";#N/A,#N/A,FALSE,"PMTABB"}</definedName>
    <definedName name="gqarefg_1_4">{#N/A,#N/A,FALSE,"PMTABB";#N/A,#N/A,FALSE,"PMTABB"}</definedName>
    <definedName name="gqarefg_2">{#N/A,#N/A,FALSE,"PMTABB";#N/A,#N/A,FALSE,"PMTABB"}</definedName>
    <definedName name="gqarefg_2_1">{#N/A,#N/A,FALSE,"PMTABB";#N/A,#N/A,FALSE,"PMTABB"}</definedName>
    <definedName name="gqarefg_2_2">{#N/A,#N/A,FALSE,"PMTABB";#N/A,#N/A,FALSE,"PMTABB"}</definedName>
    <definedName name="gqarefg_2_3">{#N/A,#N/A,FALSE,"PMTABB";#N/A,#N/A,FALSE,"PMTABB"}</definedName>
    <definedName name="gqarefg_2_4">{#N/A,#N/A,FALSE,"PMTABB";#N/A,#N/A,FALSE,"PMTABB"}</definedName>
    <definedName name="gqarefg_3">{#N/A,#N/A,FALSE,"PMTABB";#N/A,#N/A,FALSE,"PMTABB"}</definedName>
    <definedName name="gqarefg_3_1">{#N/A,#N/A,FALSE,"PMTABB";#N/A,#N/A,FALSE,"PMTABB"}</definedName>
    <definedName name="gqarefg_3_2">{#N/A,#N/A,FALSE,"PMTABB";#N/A,#N/A,FALSE,"PMTABB"}</definedName>
    <definedName name="gqarefg_3_3">{#N/A,#N/A,FALSE,"PMTABB";#N/A,#N/A,FALSE,"PMTABB"}</definedName>
    <definedName name="gqarefg_3_4">{#N/A,#N/A,FALSE,"PMTABB";#N/A,#N/A,FALSE,"PMTABB"}</definedName>
    <definedName name="gqarefg_4">{#N/A,#N/A,FALSE,"PMTABB";#N/A,#N/A,FALSE,"PMTABB"}</definedName>
    <definedName name="gqarefg_4_1">{#N/A,#N/A,FALSE,"PMTABB";#N/A,#N/A,FALSE,"PMTABB"}</definedName>
    <definedName name="gqarefg_4_2">{#N/A,#N/A,FALSE,"PMTABB";#N/A,#N/A,FALSE,"PMTABB"}</definedName>
    <definedName name="gqarefg_4_3">{#N/A,#N/A,FALSE,"PMTABB";#N/A,#N/A,FALSE,"PMTABB"}</definedName>
    <definedName name="gqarefg_4_4">{#N/A,#N/A,FALSE,"PMTABB";#N/A,#N/A,FALSE,"PMTABB"}</definedName>
    <definedName name="gqarefg_5">{#N/A,#N/A,FALSE,"PMTABB";#N/A,#N/A,FALSE,"PMTABB"}</definedName>
    <definedName name="gr">{#N/A,#N/A,FALSE,"SUMMARY";#N/A,#N/A,FALSE,"SUMMARY"}</definedName>
    <definedName name="gr_1">{#N/A,#N/A,FALSE,"SUMMARY";#N/A,#N/A,FALSE,"SUMMARY"}</definedName>
    <definedName name="gr_1_1">{#N/A,#N/A,FALSE,"SUMMARY";#N/A,#N/A,FALSE,"SUMMARY"}</definedName>
    <definedName name="gr_1_2">{#N/A,#N/A,FALSE,"SUMMARY";#N/A,#N/A,FALSE,"SUMMARY"}</definedName>
    <definedName name="gr_1_3">{#N/A,#N/A,FALSE,"SUMMARY";#N/A,#N/A,FALSE,"SUMMARY"}</definedName>
    <definedName name="gr_1_4">{#N/A,#N/A,FALSE,"SUMMARY";#N/A,#N/A,FALSE,"SUMMARY"}</definedName>
    <definedName name="gr_2">{#N/A,#N/A,FALSE,"SUMMARY";#N/A,#N/A,FALSE,"SUMMARY"}</definedName>
    <definedName name="gr_2_1">{#N/A,#N/A,FALSE,"SUMMARY";#N/A,#N/A,FALSE,"SUMMARY"}</definedName>
    <definedName name="gr_2_2">{#N/A,#N/A,FALSE,"SUMMARY";#N/A,#N/A,FALSE,"SUMMARY"}</definedName>
    <definedName name="gr_2_3">{#N/A,#N/A,FALSE,"SUMMARY";#N/A,#N/A,FALSE,"SUMMARY"}</definedName>
    <definedName name="gr_2_4">{#N/A,#N/A,FALSE,"SUMMARY";#N/A,#N/A,FALSE,"SUMMARY"}</definedName>
    <definedName name="gr_3">{#N/A,#N/A,FALSE,"SUMMARY";#N/A,#N/A,FALSE,"SUMMARY"}</definedName>
    <definedName name="gr_3_1">{#N/A,#N/A,FALSE,"SUMMARY";#N/A,#N/A,FALSE,"SUMMARY"}</definedName>
    <definedName name="gr_3_2">{#N/A,#N/A,FALSE,"SUMMARY";#N/A,#N/A,FALSE,"SUMMARY"}</definedName>
    <definedName name="gr_3_3">{#N/A,#N/A,FALSE,"SUMMARY";#N/A,#N/A,FALSE,"SUMMARY"}</definedName>
    <definedName name="gr_3_4">{#N/A,#N/A,FALSE,"SUMMARY";#N/A,#N/A,FALSE,"SUMMARY"}</definedName>
    <definedName name="gr_4">{#N/A,#N/A,FALSE,"SUMMARY";#N/A,#N/A,FALSE,"SUMMARY"}</definedName>
    <definedName name="gr_4_1">{#N/A,#N/A,FALSE,"SUMMARY";#N/A,#N/A,FALSE,"SUMMARY"}</definedName>
    <definedName name="gr_4_2">{#N/A,#N/A,FALSE,"SUMMARY";#N/A,#N/A,FALSE,"SUMMARY"}</definedName>
    <definedName name="gr_4_3">{#N/A,#N/A,FALSE,"SUMMARY";#N/A,#N/A,FALSE,"SUMMARY"}</definedName>
    <definedName name="gr_4_4">{#N/A,#N/A,FALSE,"SUMMARY";#N/A,#N/A,FALSE,"SUMMARY"}</definedName>
    <definedName name="gr_5">{#N/A,#N/A,FALSE,"SUMMARY";#N/A,#N/A,FALSE,"SUMMARY"}</definedName>
    <definedName name="Grade">"C"</definedName>
    <definedName name="Grade_Level">"Grade "</definedName>
    <definedName name="GRAMPUROHITVINAYAK">#REF!</definedName>
    <definedName name="graph">{#N/A,#N/A,FALSE,"REPORT"}</definedName>
    <definedName name="graph_1">{#N/A,#N/A,FALSE,"REPORT"}</definedName>
    <definedName name="graph_2">{#N/A,#N/A,FALSE,"REPORT"}</definedName>
    <definedName name="graph_3">{#N/A,#N/A,FALSE,"REPORT"}</definedName>
    <definedName name="graph_4">{#N/A,#N/A,FALSE,"REPORT"}</definedName>
    <definedName name="graph_5">{#N/A,#N/A,FALSE,"REPORT"}</definedName>
    <definedName name="GRAPH_MENU">#REF!</definedName>
    <definedName name="GRAPH_SAVE">#REF!</definedName>
    <definedName name="GRAPH_SAVE2">#REF!</definedName>
    <definedName name="GraphPage">#REF!</definedName>
    <definedName name="Grasim">#REF!</definedName>
    <definedName name="grate">#REF!</definedName>
    <definedName name="GREENKOCFSPL">#REF!</definedName>
    <definedName name="Gridlines">#REF!</definedName>
    <definedName name="gross">#REF!</definedName>
    <definedName name="Gross_Margin___Rs_M">#REF!</definedName>
    <definedName name="Gross_profit_forecast_act_year">#REF!</definedName>
    <definedName name="Gross_profit_plan_year_x">#REF!</definedName>
    <definedName name="Gross_profit_plan_year_x1">#REF!</definedName>
    <definedName name="Gross_profit_plan_year_x2">#REF!</definedName>
    <definedName name="Gross_profit_plan_year_x3">#REF!</definedName>
    <definedName name="Gross_profit_plan_year_x4">#REF!</definedName>
    <definedName name="Group">#REF!</definedName>
    <definedName name="Group_clean_operating_profit">#REF!</definedName>
    <definedName name="Group_Clean_Turnover">#REF!</definedName>
    <definedName name="Group_operating_profit">#REF!</definedName>
    <definedName name="Group_turnover">#REF!</definedName>
    <definedName name="GROUPCALC">INDEX(Costcentre,MATCH(#REF!,ccdetail,0),2)</definedName>
    <definedName name="grouping">#REF!</definedName>
    <definedName name="GROUPINGS">#REF!</definedName>
    <definedName name="GROUPINGS1">#REF!</definedName>
    <definedName name="groupingtb">#REF!</definedName>
    <definedName name="growth">#REF!</definedName>
    <definedName name="GrowthCase">#REF!</definedName>
    <definedName name="GRR_PROVISION">#REF!</definedName>
    <definedName name="gsfds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_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_2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_3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t">#REF!</definedName>
    <definedName name="GUILLAU">{#N/A,#N/A,FALSE,"Tabl. D1";#N/A,#N/A,FALSE,"Tabl. D1 b";#N/A,#N/A,FALSE,"Tabl. D2";#N/A,#N/A,FALSE,"Tabl. D2 b";#N/A,#N/A,FALSE,"Tabl. D3";#N/A,#N/A,FALSE,"Tabl. D4";#N/A,#N/A,FALSE,"Tabl. D5"}</definedName>
    <definedName name="GUILLAU_1">{#N/A,#N/A,FALSE,"Tabl. D1";#N/A,#N/A,FALSE,"Tabl. D1 b";#N/A,#N/A,FALSE,"Tabl. D2";#N/A,#N/A,FALSE,"Tabl. D2 b";#N/A,#N/A,FALSE,"Tabl. D3";#N/A,#N/A,FALSE,"Tabl. D4";#N/A,#N/A,FALSE,"Tabl. D5"}</definedName>
    <definedName name="GUILLAU_2">{#N/A,#N/A,FALSE,"Tabl. D1";#N/A,#N/A,FALSE,"Tabl. D1 b";#N/A,#N/A,FALSE,"Tabl. D2";#N/A,#N/A,FALSE,"Tabl. D2 b";#N/A,#N/A,FALSE,"Tabl. D3";#N/A,#N/A,FALSE,"Tabl. D4";#N/A,#N/A,FALSE,"Tabl. D5"}</definedName>
    <definedName name="GUILLAU_3">{#N/A,#N/A,FALSE,"Tabl. D1";#N/A,#N/A,FALSE,"Tabl. D1 b";#N/A,#N/A,FALSE,"Tabl. D2";#N/A,#N/A,FALSE,"Tabl. D2 b";#N/A,#N/A,FALSE,"Tabl. D3";#N/A,#N/A,FALSE,"Tabl. D4";#N/A,#N/A,FALSE,"Tabl. D5"}</definedName>
    <definedName name="GUILLAU_4">{#N/A,#N/A,FALSE,"Tabl. D1";#N/A,#N/A,FALSE,"Tabl. D1 b";#N/A,#N/A,FALSE,"Tabl. D2";#N/A,#N/A,FALSE,"Tabl. D2 b";#N/A,#N/A,FALSE,"Tabl. D3";#N/A,#N/A,FALSE,"Tabl. D4";#N/A,#N/A,FALSE,"Tabl. D5"}</definedName>
    <definedName name="GUNJAL">#REF!</definedName>
    <definedName name="GUPTAN">#REF!</definedName>
    <definedName name="GURAVSHREE">#REF!</definedName>
    <definedName name="GUS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GW">#REF!</definedName>
    <definedName name="gwergwr">{#N/A,#N/A,FALSE,"ISBL"}</definedName>
    <definedName name="gwergwr_1">{#N/A,#N/A,FALSE,"ISBL"}</definedName>
    <definedName name="gwergwr_1_1">{#N/A,#N/A,FALSE,"ISBL"}</definedName>
    <definedName name="gwergwr_1_2">{#N/A,#N/A,FALSE,"ISBL"}</definedName>
    <definedName name="gwergwr_1_3">{#N/A,#N/A,FALSE,"ISBL"}</definedName>
    <definedName name="gwergwr_1_4">{#N/A,#N/A,FALSE,"ISBL"}</definedName>
    <definedName name="gwergwr_2">{#N/A,#N/A,FALSE,"ISBL"}</definedName>
    <definedName name="gwergwr_2_1">{#N/A,#N/A,FALSE,"ISBL"}</definedName>
    <definedName name="gwergwr_2_2">{#N/A,#N/A,FALSE,"ISBL"}</definedName>
    <definedName name="gwergwr_2_3">{#N/A,#N/A,FALSE,"ISBL"}</definedName>
    <definedName name="gwergwr_2_4">{#N/A,#N/A,FALSE,"ISBL"}</definedName>
    <definedName name="gwergwr_3">{#N/A,#N/A,FALSE,"ISBL"}</definedName>
    <definedName name="gwergwr_3_1">{#N/A,#N/A,FALSE,"ISBL"}</definedName>
    <definedName name="gwergwr_3_2">{#N/A,#N/A,FALSE,"ISBL"}</definedName>
    <definedName name="gwergwr_3_3">{#N/A,#N/A,FALSE,"ISBL"}</definedName>
    <definedName name="gwergwr_3_4">{#N/A,#N/A,FALSE,"ISBL"}</definedName>
    <definedName name="gwergwr_4">{#N/A,#N/A,FALSE,"ISBL"}</definedName>
    <definedName name="gwergwr_4_1">{#N/A,#N/A,FALSE,"ISBL"}</definedName>
    <definedName name="gwergwr_4_2">{#N/A,#N/A,FALSE,"ISBL"}</definedName>
    <definedName name="gwergwr_4_3">{#N/A,#N/A,FALSE,"ISBL"}</definedName>
    <definedName name="gwergwr_4_4">{#N/A,#N/A,FALSE,"ISBL"}</definedName>
    <definedName name="gwergwr_5">{#N/A,#N/A,FALSE,"ISBL"}</definedName>
    <definedName name="gytuy">#REF!</definedName>
    <definedName name="h">{#N/A,#N/A,FALSE,"REPORT"}</definedName>
    <definedName name="h_1">{#N/A,#N/A,FALSE,"REPORT"}</definedName>
    <definedName name="h_2">{#N/A,#N/A,FALSE,"REPORT"}</definedName>
    <definedName name="h_3">{#N/A,#N/A,FALSE,"REPORT"}</definedName>
    <definedName name="h_4">{#N/A,#N/A,FALSE,"REPORT"}</definedName>
    <definedName name="h_5">{#N/A,#N/A,FALSE,"REPORT"}</definedName>
    <definedName name="HAKE">#REF!</definedName>
    <definedName name="halol">#REF!</definedName>
    <definedName name="hand">#REF!</definedName>
    <definedName name="HANDEPRAVIN">#REF!</definedName>
    <definedName name="harrybsc">#REF!</definedName>
    <definedName name="harrycar">#REF!</definedName>
    <definedName name="harryded">#REF!</definedName>
    <definedName name="harryemi">#REF!</definedName>
    <definedName name="harryfuel">#REF!</definedName>
    <definedName name="harryhra">#REF!</definedName>
    <definedName name="harryins">#REF!</definedName>
    <definedName name="harryit">#REF!</definedName>
    <definedName name="harrylta">#REF!</definedName>
    <definedName name="harrypd">#REF!</definedName>
    <definedName name="harrypf">#REF!</definedName>
    <definedName name="harrypt">#REF!</definedName>
    <definedName name="harrysaf">#REF!</definedName>
    <definedName name="harryspla">#REF!</definedName>
    <definedName name="hba">#REF!</definedName>
    <definedName name="hbb">#REF!</definedName>
    <definedName name="HC">#REF!</definedName>
    <definedName name="hca">#REF!</definedName>
    <definedName name="hcb">#REF!</definedName>
    <definedName name="hd">#REF!</definedName>
    <definedName name="HDA">#REF!</definedName>
    <definedName name="HDAA">#REF!</definedName>
    <definedName name="HDAT">#REF!</definedName>
    <definedName name="HDATA2">#REF!</definedName>
    <definedName name="HDD">#REF!</definedName>
    <definedName name="HDFC">#REF!</definedName>
    <definedName name="HDFC_icic_cash">#REF!</definedName>
    <definedName name="Head1T2F">#REF!</definedName>
    <definedName name="Headcount">#REF!</definedName>
    <definedName name="Header">#REF!</definedName>
    <definedName name="Header_Row">ROW(#REF!)</definedName>
    <definedName name="HEADER2">#REF!</definedName>
    <definedName name="HEADING">#REF!</definedName>
    <definedName name="HEADING2">#REF!</definedName>
    <definedName name="HeadingCurrentMonth">#REF!</definedName>
    <definedName name="HeadingCurrentYear">#REF!</definedName>
    <definedName name="HeadingFirstDayOfYear">#REF!</definedName>
    <definedName name="HeadingPreviousMonth">#REF!</definedName>
    <definedName name="HeadingPreviousPriorMonth">#REF!</definedName>
    <definedName name="HeadingPriorBSMonth">#REF!</definedName>
    <definedName name="HeadingPriorBSYear">#REF!</definedName>
    <definedName name="HeadingPriorISMonth">#REF!</definedName>
    <definedName name="HeadingPriorISYear">#REF!</definedName>
    <definedName name="HeadlineCell">#REF!</definedName>
    <definedName name="headsonly">#REF!</definedName>
    <definedName name="hei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HEKIE?.">{#N/A,#N/A,FALSE,"Tabl. FB300";#N/A,#N/A,FALSE,"Tabl. FB350";#N/A,#N/A,FALSE,"Tabl. FB400";#N/A,#N/A,FALSE,"Tabl. FB500";#N/A,#N/A,FALSE,"Tabl. FS090"}</definedName>
    <definedName name="HEKIE?._1">{#N/A,#N/A,FALSE,"Tabl. FB300";#N/A,#N/A,FALSE,"Tabl. FB350";#N/A,#N/A,FALSE,"Tabl. FB400";#N/A,#N/A,FALSE,"Tabl. FB500";#N/A,#N/A,FALSE,"Tabl. FS090"}</definedName>
    <definedName name="HEKIE?._2">{#N/A,#N/A,FALSE,"Tabl. FB300";#N/A,#N/A,FALSE,"Tabl. FB350";#N/A,#N/A,FALSE,"Tabl. FB400";#N/A,#N/A,FALSE,"Tabl. FB500";#N/A,#N/A,FALSE,"Tabl. FS090"}</definedName>
    <definedName name="HEKIE?._3">{#N/A,#N/A,FALSE,"Tabl. FB300";#N/A,#N/A,FALSE,"Tabl. FB350";#N/A,#N/A,FALSE,"Tabl. FB400";#N/A,#N/A,FALSE,"Tabl. FB500";#N/A,#N/A,FALSE,"Tabl. FS090"}</definedName>
    <definedName name="HEKIE?._4">{#N/A,#N/A,FALSE,"Tabl. FB300";#N/A,#N/A,FALSE,"Tabl. FB350";#N/A,#N/A,FALSE,"Tabl. FB400";#N/A,#N/A,FALSE,"Tabl. FB500";#N/A,#N/A,FALSE,"Tabl. FS090"}</definedName>
    <definedName name="HELOC_Jan">#REF!</definedName>
    <definedName name="HELOC_January">#REF!</definedName>
    <definedName name="help">#REF!</definedName>
    <definedName name="help1">#REF!</definedName>
    <definedName name="Hemas">{"'August 2000'!$A$1:$J$101"}</definedName>
    <definedName name="HEMBADEUDAYKANT">#REF!</definedName>
    <definedName name="henning">{"Side 1",#N/A,FALSE,"Hovedark";"Side 2",#N/A,FALSE,"Hovedark";"Cash Flow",#N/A,FALSE,"Hovedark";"Breakdown",#N/A,FALSE,"Breakdown";"Valuation",#N/A,FALSE,"Valuation";"Bidrag",#N/A,FALSE,"Bidrag"}</definedName>
    <definedName name="herher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O">#REF!</definedName>
    <definedName name="HF">#REF!</definedName>
    <definedName name="hffffffffffffffffffffff">#REF!</definedName>
    <definedName name="HFGJM">{#N/A,#N/A,FALSE,"PGW"}</definedName>
    <definedName name="HFGJM_1">{#N/A,#N/A,FALSE,"PGW"}</definedName>
    <definedName name="HFGJM_1_1">{#N/A,#N/A,FALSE,"PGW"}</definedName>
    <definedName name="HFGJM_1_2">{#N/A,#N/A,FALSE,"PGW"}</definedName>
    <definedName name="HFGJM_1_3">{#N/A,#N/A,FALSE,"PGW"}</definedName>
    <definedName name="HFGJM_1_4">{#N/A,#N/A,FALSE,"PGW"}</definedName>
    <definedName name="HFGJM_2">{#N/A,#N/A,FALSE,"PGW"}</definedName>
    <definedName name="HFGJM_2_1">{#N/A,#N/A,FALSE,"PGW"}</definedName>
    <definedName name="HFGJM_2_2">{#N/A,#N/A,FALSE,"PGW"}</definedName>
    <definedName name="HFGJM_2_3">{#N/A,#N/A,FALSE,"PGW"}</definedName>
    <definedName name="HFGJM_2_4">{#N/A,#N/A,FALSE,"PGW"}</definedName>
    <definedName name="HFGJM_3">{#N/A,#N/A,FALSE,"PGW"}</definedName>
    <definedName name="HFGJM_3_1">{#N/A,#N/A,FALSE,"PGW"}</definedName>
    <definedName name="HFGJM_3_2">{#N/A,#N/A,FALSE,"PGW"}</definedName>
    <definedName name="HFGJM_3_3">{#N/A,#N/A,FALSE,"PGW"}</definedName>
    <definedName name="HFGJM_3_4">{#N/A,#N/A,FALSE,"PGW"}</definedName>
    <definedName name="HFGJM_4">{#N/A,#N/A,FALSE,"PGW"}</definedName>
    <definedName name="HFGJM_4_1">{#N/A,#N/A,FALSE,"PGW"}</definedName>
    <definedName name="HFGJM_4_2">{#N/A,#N/A,FALSE,"PGW"}</definedName>
    <definedName name="HFGJM_4_3">{#N/A,#N/A,FALSE,"PGW"}</definedName>
    <definedName name="HFGJM_4_4">{#N/A,#N/A,FALSE,"PGW"}</definedName>
    <definedName name="HFGJM_5">{#N/A,#N/A,FALSE,"PGW"}</definedName>
    <definedName name="HFinGraph">{#N/A,#N/A,FALSE,"Pharm";#N/A,#N/A,FALSE,"WWCM"}</definedName>
    <definedName name="HFinGraph_1">{#N/A,#N/A,FALSE,"Pharm";#N/A,#N/A,FALSE,"WWCM"}</definedName>
    <definedName name="HFinGraph_2">{#N/A,#N/A,FALSE,"Pharm";#N/A,#N/A,FALSE,"WWCM"}</definedName>
    <definedName name="HFinGraph_3">{#N/A,#N/A,FALSE,"Pharm";#N/A,#N/A,FALSE,"WWCM"}</definedName>
    <definedName name="HFinGraph_4">{#N/A,#N/A,FALSE,"Pharm";#N/A,#N/A,FALSE,"WWCM"}</definedName>
    <definedName name="HFinGraph_5">{#N/A,#N/A,FALSE,"Pharm";#N/A,#N/A,FALSE,"WWCM"}</definedName>
    <definedName name="HFM_App">#REF!</definedName>
    <definedName name="HFM_Cus2">#REF!</definedName>
    <definedName name="HFM_Cus3">#REF!</definedName>
    <definedName name="HFM_Cus4">#REF!</definedName>
    <definedName name="HFM_Division">#REF!</definedName>
    <definedName name="HFM_Division_number">#REF!</definedName>
    <definedName name="HFM_EntityCurrency">#REF!</definedName>
    <definedName name="HFM_Group">#REF!</definedName>
    <definedName name="HFM_ICP">#REF!</definedName>
    <definedName name="HFM_Months">#REF!</definedName>
    <definedName name="HFM_Per1">#REF!</definedName>
    <definedName name="HFM_Per10">#REF!</definedName>
    <definedName name="HFM_Per11">#REF!</definedName>
    <definedName name="HFM_Per12">#REF!</definedName>
    <definedName name="HFM_Per3">#REF!</definedName>
    <definedName name="HFM_Per4">#REF!</definedName>
    <definedName name="HFM_Per5">#REF!</definedName>
    <definedName name="HFM_Per6">#REF!</definedName>
    <definedName name="HFM_Per7">#REF!</definedName>
    <definedName name="HFM_Per8">#REF!</definedName>
    <definedName name="HFM_Per9">#REF!</definedName>
    <definedName name="HFM_Sce">#REF!</definedName>
    <definedName name="HFM_Val">#REF!</definedName>
    <definedName name="HFM_Vw">#REF!</definedName>
    <definedName name="HFM_Yea">#REF!</definedName>
    <definedName name="HFUJYT">{#N/A,#N/A,FALSE,"PMTABB";#N/A,#N/A,FALSE,"PMTABB"}</definedName>
    <definedName name="HFUJYT_1">{#N/A,#N/A,FALSE,"PMTABB";#N/A,#N/A,FALSE,"PMTABB"}</definedName>
    <definedName name="HFUJYT_1_1">{#N/A,#N/A,FALSE,"PMTABB";#N/A,#N/A,FALSE,"PMTABB"}</definedName>
    <definedName name="HFUJYT_1_2">{#N/A,#N/A,FALSE,"PMTABB";#N/A,#N/A,FALSE,"PMTABB"}</definedName>
    <definedName name="HFUJYT_1_3">{#N/A,#N/A,FALSE,"PMTABB";#N/A,#N/A,FALSE,"PMTABB"}</definedName>
    <definedName name="HFUJYT_1_4">{#N/A,#N/A,FALSE,"PMTABB";#N/A,#N/A,FALSE,"PMTABB"}</definedName>
    <definedName name="HFUJYT_2">{#N/A,#N/A,FALSE,"PMTABB";#N/A,#N/A,FALSE,"PMTABB"}</definedName>
    <definedName name="HFUJYT_2_1">{#N/A,#N/A,FALSE,"PMTABB";#N/A,#N/A,FALSE,"PMTABB"}</definedName>
    <definedName name="HFUJYT_2_2">{#N/A,#N/A,FALSE,"PMTABB";#N/A,#N/A,FALSE,"PMTABB"}</definedName>
    <definedName name="HFUJYT_2_3">{#N/A,#N/A,FALSE,"PMTABB";#N/A,#N/A,FALSE,"PMTABB"}</definedName>
    <definedName name="HFUJYT_2_4">{#N/A,#N/A,FALSE,"PMTABB";#N/A,#N/A,FALSE,"PMTABB"}</definedName>
    <definedName name="HFUJYT_3">{#N/A,#N/A,FALSE,"PMTABB";#N/A,#N/A,FALSE,"PMTABB"}</definedName>
    <definedName name="HFUJYT_3_1">{#N/A,#N/A,FALSE,"PMTABB";#N/A,#N/A,FALSE,"PMTABB"}</definedName>
    <definedName name="HFUJYT_3_2">{#N/A,#N/A,FALSE,"PMTABB";#N/A,#N/A,FALSE,"PMTABB"}</definedName>
    <definedName name="HFUJYT_3_3">{#N/A,#N/A,FALSE,"PMTABB";#N/A,#N/A,FALSE,"PMTABB"}</definedName>
    <definedName name="HFUJYT_3_4">{#N/A,#N/A,FALSE,"PMTABB";#N/A,#N/A,FALSE,"PMTABB"}</definedName>
    <definedName name="HFUJYT_4">{#N/A,#N/A,FALSE,"PMTABB";#N/A,#N/A,FALSE,"PMTABB"}</definedName>
    <definedName name="HFUJYT_4_1">{#N/A,#N/A,FALSE,"PMTABB";#N/A,#N/A,FALSE,"PMTABB"}</definedName>
    <definedName name="HFUJYT_4_2">{#N/A,#N/A,FALSE,"PMTABB";#N/A,#N/A,FALSE,"PMTABB"}</definedName>
    <definedName name="HFUJYT_4_3">{#N/A,#N/A,FALSE,"PMTABB";#N/A,#N/A,FALSE,"PMTABB"}</definedName>
    <definedName name="HFUJYT_4_4">{#N/A,#N/A,FALSE,"PMTABB";#N/A,#N/A,FALSE,"PMTABB"}</definedName>
    <definedName name="HFUJYT_5">{#N/A,#N/A,FALSE,"PMTABB";#N/A,#N/A,FALSE,"PMTABB"}</definedName>
    <definedName name="HGMYGJ">{#N/A,#N/A,FALSE,"OSBL"}</definedName>
    <definedName name="HGMYGJ_1">{#N/A,#N/A,FALSE,"OSBL"}</definedName>
    <definedName name="HGMYGJ_1_1">{#N/A,#N/A,FALSE,"OSBL"}</definedName>
    <definedName name="HGMYGJ_1_2">{#N/A,#N/A,FALSE,"OSBL"}</definedName>
    <definedName name="HGMYGJ_1_3">{#N/A,#N/A,FALSE,"OSBL"}</definedName>
    <definedName name="HGMYGJ_1_4">{#N/A,#N/A,FALSE,"OSBL"}</definedName>
    <definedName name="HGMYGJ_2">{#N/A,#N/A,FALSE,"OSBL"}</definedName>
    <definedName name="HGMYGJ_2_1">{#N/A,#N/A,FALSE,"OSBL"}</definedName>
    <definedName name="HGMYGJ_2_2">{#N/A,#N/A,FALSE,"OSBL"}</definedName>
    <definedName name="HGMYGJ_2_3">{#N/A,#N/A,FALSE,"OSBL"}</definedName>
    <definedName name="HGMYGJ_2_4">{#N/A,#N/A,FALSE,"OSBL"}</definedName>
    <definedName name="HGMYGJ_3">{#N/A,#N/A,FALSE,"OSBL"}</definedName>
    <definedName name="HGMYGJ_3_1">{#N/A,#N/A,FALSE,"OSBL"}</definedName>
    <definedName name="HGMYGJ_3_2">{#N/A,#N/A,FALSE,"OSBL"}</definedName>
    <definedName name="HGMYGJ_3_3">{#N/A,#N/A,FALSE,"OSBL"}</definedName>
    <definedName name="HGMYGJ_3_4">{#N/A,#N/A,FALSE,"OSBL"}</definedName>
    <definedName name="HGMYGJ_4">{#N/A,#N/A,FALSE,"OSBL"}</definedName>
    <definedName name="HGMYGJ_4_1">{#N/A,#N/A,FALSE,"OSBL"}</definedName>
    <definedName name="HGMYGJ_4_2">{#N/A,#N/A,FALSE,"OSBL"}</definedName>
    <definedName name="HGMYGJ_4_3">{#N/A,#N/A,FALSE,"OSBL"}</definedName>
    <definedName name="HGMYGJ_4_4">{#N/A,#N/A,FALSE,"OSBL"}</definedName>
    <definedName name="HGMYGJ_5">{#N/A,#N/A,FALSE,"OSBL"}</definedName>
    <definedName name="HGTV_Aggregate">#REF!</definedName>
    <definedName name="hgtv_dep">#REF!</definedName>
    <definedName name="hgtvdep">#REF!</definedName>
    <definedName name="hgwr">{#N/A,#N/A,FALSE,"PGW"}</definedName>
    <definedName name="hgwr_1">{#N/A,#N/A,FALSE,"PGW"}</definedName>
    <definedName name="hgwr_1_1">{#N/A,#N/A,FALSE,"PGW"}</definedName>
    <definedName name="hgwr_1_2">{#N/A,#N/A,FALSE,"PGW"}</definedName>
    <definedName name="hgwr_1_3">{#N/A,#N/A,FALSE,"PGW"}</definedName>
    <definedName name="hgwr_1_4">{#N/A,#N/A,FALSE,"PGW"}</definedName>
    <definedName name="hgwr_2">{#N/A,#N/A,FALSE,"PGW"}</definedName>
    <definedName name="hgwr_2_1">{#N/A,#N/A,FALSE,"PGW"}</definedName>
    <definedName name="hgwr_2_2">{#N/A,#N/A,FALSE,"PGW"}</definedName>
    <definedName name="hgwr_2_3">{#N/A,#N/A,FALSE,"PGW"}</definedName>
    <definedName name="hgwr_2_4">{#N/A,#N/A,FALSE,"PGW"}</definedName>
    <definedName name="hgwr_3">{#N/A,#N/A,FALSE,"PGW"}</definedName>
    <definedName name="hgwr_3_1">{#N/A,#N/A,FALSE,"PGW"}</definedName>
    <definedName name="hgwr_3_2">{#N/A,#N/A,FALSE,"PGW"}</definedName>
    <definedName name="hgwr_3_3">{#N/A,#N/A,FALSE,"PGW"}</definedName>
    <definedName name="hgwr_3_4">{#N/A,#N/A,FALSE,"PGW"}</definedName>
    <definedName name="hgwr_4">{#N/A,#N/A,FALSE,"PGW"}</definedName>
    <definedName name="hgwr_4_1">{#N/A,#N/A,FALSE,"PGW"}</definedName>
    <definedName name="hgwr_4_2">{#N/A,#N/A,FALSE,"PGW"}</definedName>
    <definedName name="hgwr_4_3">{#N/A,#N/A,FALSE,"PGW"}</definedName>
    <definedName name="hgwr_4_4">{#N/A,#N/A,FALSE,"PGW"}</definedName>
    <definedName name="hgwr_5">{#N/A,#N/A,FALSE,"PGW"}</definedName>
    <definedName name="hh">#REF!</definedName>
    <definedName name="hha">#REF!</definedName>
    <definedName name="hhb">#REF!</definedName>
    <definedName name="HHcat">#REF!</definedName>
    <definedName name="HHda">#REF!</definedName>
    <definedName name="hh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hhhhhhhhhhhhhhhhh">#REF!</definedName>
    <definedName name="HHxm">#REF!</definedName>
    <definedName name="Hibh">{#N/A,#N/A,FALSE,"Pharm";#N/A,#N/A,FALSE,"WWCM"}</definedName>
    <definedName name="Hibh_1">{#N/A,#N/A,FALSE,"Pharm";#N/A,#N/A,FALSE,"WWCM"}</definedName>
    <definedName name="Hibh_2">{#N/A,#N/A,FALSE,"Pharm";#N/A,#N/A,FALSE,"WWCM"}</definedName>
    <definedName name="Hibh_3">{#N/A,#N/A,FALSE,"Pharm";#N/A,#N/A,FALSE,"WWCM"}</definedName>
    <definedName name="Hibh_4">{#N/A,#N/A,FALSE,"Pharm";#N/A,#N/A,FALSE,"WWCM"}</definedName>
    <definedName name="Hibh_5">{#N/A,#N/A,FALSE,"Pharm";#N/A,#N/A,FALSE,"WWCM"}</definedName>
    <definedName name="HICOUT">#REF!</definedName>
    <definedName name="HiddenRows">#REF!</definedName>
    <definedName name="HiddenRowsPL">#REF!</definedName>
    <definedName name="HIDE">#REF!,#REF!,#REF!,#REF!,#REF!,#REF!,#REF!,#REF!,#REF!,#REF!</definedName>
    <definedName name="HideColumns">#REF!,#REF!,#REF!,#REF!,#REF!</definedName>
    <definedName name="HideRows">#REF!,#REF!,#REF!,#REF!,#REF!,#REF!</definedName>
    <definedName name="hien">#REF!</definedName>
    <definedName name="High">{#N/A,#N/A,FALSE,"Pharm";#N/A,#N/A,FALSE,"WWCM"}</definedName>
    <definedName name="High_1">{#N/A,#N/A,FALSE,"Pharm";#N/A,#N/A,FALSE,"WWCM"}</definedName>
    <definedName name="High_2">{#N/A,#N/A,FALSE,"Pharm";#N/A,#N/A,FALSE,"WWCM"}</definedName>
    <definedName name="High_3">{#N/A,#N/A,FALSE,"Pharm";#N/A,#N/A,FALSE,"WWCM"}</definedName>
    <definedName name="High_4">{#N/A,#N/A,FALSE,"Pharm";#N/A,#N/A,FALSE,"WWCM"}</definedName>
    <definedName name="High_5">{#N/A,#N/A,FALSE,"Pharm";#N/A,#N/A,FALSE,"WWCM"}</definedName>
    <definedName name="HIREMATHVS">#REF!</definedName>
    <definedName name="History_Line">#REF!</definedName>
    <definedName name="HIVAREDEEPAK">#REF!</definedName>
    <definedName name="hjdsfkjdsfkh">{"'Sheet1'!$L$16"}</definedName>
    <definedName name="hjhjffukfuk">{#N/A,#N/A,FALSE,"Pharm";#N/A,#N/A,FALSE,"WWCM"}</definedName>
    <definedName name="hjhjffukfuk_1">{#N/A,#N/A,FALSE,"Pharm";#N/A,#N/A,FALSE,"WWCM"}</definedName>
    <definedName name="hjhjffukfuk_2">{#N/A,#N/A,FALSE,"Pharm";#N/A,#N/A,FALSE,"WWCM"}</definedName>
    <definedName name="hjhjffukfuk_3">{#N/A,#N/A,FALSE,"Pharm";#N/A,#N/A,FALSE,"WWCM"}</definedName>
    <definedName name="hjhjffukfuk_4">{#N/A,#N/A,FALSE,"Pharm";#N/A,#N/A,FALSE,"WWCM"}</definedName>
    <definedName name="hjhjffukfuk_5">{#N/A,#N/A,FALSE,"Pharm";#N/A,#N/A,FALSE,"WWCM"}</definedName>
    <definedName name="hjhjfh">#REF!</definedName>
    <definedName name="hjhjfkfukywrte">{#N/A,#N/A,FALSE,"Pharm";#N/A,#N/A,FALSE,"WWCM"}</definedName>
    <definedName name="hjhjfkfukywrte_1">{#N/A,#N/A,FALSE,"Pharm";#N/A,#N/A,FALSE,"WWCM"}</definedName>
    <definedName name="hjhjfkfukywrte_2">{#N/A,#N/A,FALSE,"Pharm";#N/A,#N/A,FALSE,"WWCM"}</definedName>
    <definedName name="hjhjfkfukywrte_3">{#N/A,#N/A,FALSE,"Pharm";#N/A,#N/A,FALSE,"WWCM"}</definedName>
    <definedName name="hjhjfkfukywrte_4">{#N/A,#N/A,FALSE,"Pharm";#N/A,#N/A,FALSE,"WWCM"}</definedName>
    <definedName name="hjhjfkfukywrte_5">{#N/A,#N/A,FALSE,"Pharm";#N/A,#N/A,FALSE,"WWCM"}</definedName>
    <definedName name="hjhkjkl">{#N/A,#N/A,FALSE,"Pharm";#N/A,#N/A,FALSE,"WWCM"}</definedName>
    <definedName name="hjhkjkl_1">{#N/A,#N/A,FALSE,"Pharm";#N/A,#N/A,FALSE,"WWCM"}</definedName>
    <definedName name="hjhkjkl_2">{#N/A,#N/A,FALSE,"Pharm";#N/A,#N/A,FALSE,"WWCM"}</definedName>
    <definedName name="hjhkjkl_3">{#N/A,#N/A,FALSE,"Pharm";#N/A,#N/A,FALSE,"WWCM"}</definedName>
    <definedName name="hjhkjkl_4">{#N/A,#N/A,FALSE,"Pharm";#N/A,#N/A,FALSE,"WWCM"}</definedName>
    <definedName name="hjhkjkl_5">{#N/A,#N/A,FALSE,"Pharm";#N/A,#N/A,FALSE,"WWCM"}</definedName>
    <definedName name="hjjjkk">{#N/A,#N/A,FALSE,"REPORT"}</definedName>
    <definedName name="hjjjkk_1">{#N/A,#N/A,FALSE,"REPORT"}</definedName>
    <definedName name="hjjjkk_2">{#N/A,#N/A,FALSE,"REPORT"}</definedName>
    <definedName name="hjjjkk_3">{#N/A,#N/A,FALSE,"REPORT"}</definedName>
    <definedName name="hjjjkk_4">{#N/A,#N/A,FALSE,"REPORT"}</definedName>
    <definedName name="hjjjkk_5">{#N/A,#N/A,FALSE,"REPORT"}</definedName>
    <definedName name="hjjkk">{#N/A,#N/A,FALSE,"Pharm";#N/A,#N/A,FALSE,"WWCM"}</definedName>
    <definedName name="hjjkk_1">{#N/A,#N/A,FALSE,"Pharm";#N/A,#N/A,FALSE,"WWCM"}</definedName>
    <definedName name="hjjkk_2">{#N/A,#N/A,FALSE,"Pharm";#N/A,#N/A,FALSE,"WWCM"}</definedName>
    <definedName name="hjjkk_3">{#N/A,#N/A,FALSE,"Pharm";#N/A,#N/A,FALSE,"WWCM"}</definedName>
    <definedName name="hjjkk_4">{#N/A,#N/A,FALSE,"Pharm";#N/A,#N/A,FALSE,"WWCM"}</definedName>
    <definedName name="hjjkk_5">{#N/A,#N/A,FALSE,"Pharm";#N/A,#N/A,FALSE,"WWCM"}</definedName>
    <definedName name="hjkfh_control">{"'August 2000'!$A$1:$J$101"}</definedName>
    <definedName name="hjkk">{#N/A,#N/A,FALSE,"Pharm";#N/A,#N/A,FALSE,"WWCM"}</definedName>
    <definedName name="hjkk_1">{#N/A,#N/A,FALSE,"Pharm";#N/A,#N/A,FALSE,"WWCM"}</definedName>
    <definedName name="hjkk_2">{#N/A,#N/A,FALSE,"Pharm";#N/A,#N/A,FALSE,"WWCM"}</definedName>
    <definedName name="hjkk_3">{#N/A,#N/A,FALSE,"Pharm";#N/A,#N/A,FALSE,"WWCM"}</definedName>
    <definedName name="hjkk_4">{#N/A,#N/A,FALSE,"Pharm";#N/A,#N/A,FALSE,"WWCM"}</definedName>
    <definedName name="hjkk_5">{#N/A,#N/A,FALSE,"Pharm";#N/A,#N/A,FALSE,"WWCM"}</definedName>
    <definedName name="hkd">#REF!</definedName>
    <definedName name="HKSH">{#N/A,#N/A,FALSE,"REPORT"}</definedName>
    <definedName name="HKSH_1">{#N/A,#N/A,FALSE,"REPORT"}</definedName>
    <definedName name="HKSH_2">{#N/A,#N/A,FALSE,"REPORT"}</definedName>
    <definedName name="HKSH_3">{#N/A,#N/A,FALSE,"REPORT"}</definedName>
    <definedName name="HKSH_4">{#N/A,#N/A,FALSE,"REPORT"}</definedName>
    <definedName name="HKSH_5">{#N/A,#N/A,FALSE,"REPORT"}</definedName>
    <definedName name="hlh">#REF!</definedName>
    <definedName name="HMG">{#N/A,#N/A,FALSE,"REPORT"}</definedName>
    <definedName name="HMG_1">{#N/A,#N/A,FALSE,"REPORT"}</definedName>
    <definedName name="HMG_2">{#N/A,#N/A,FALSE,"REPORT"}</definedName>
    <definedName name="HMG_3">{#N/A,#N/A,FALSE,"REPORT"}</definedName>
    <definedName name="HMG_4">{#N/A,#N/A,FALSE,"REPORT"}</definedName>
    <definedName name="HMG_5">{#N/A,#N/A,FALSE,"REPORT"}</definedName>
    <definedName name="hn.ModelVersion">1</definedName>
    <definedName name="hn.NoUpload">0</definedName>
    <definedName name="hoc">55000</definedName>
    <definedName name="HOLL">#REF!</definedName>
    <definedName name="HOLLAND">#REF!</definedName>
    <definedName name="Home">#REF!</definedName>
    <definedName name="HOME_MANP">#REF!</definedName>
    <definedName name="HOMEOFFICE_COST">#REF!</definedName>
    <definedName name="HOMFE">{#N/A,#N/A,FALSE,"Assessment";#N/A,#N/A,FALSE,"Staffing";#N/A,#N/A,FALSE,"Hires";#N/A,#N/A,FALSE,"Assumptions"}</definedName>
    <definedName name="HOPIP">{#N/A,#N/A,FALSE,"PMTABB";#N/A,#N/A,FALSE,"PMTABB"}</definedName>
    <definedName name="HOPIP_1">{#N/A,#N/A,FALSE,"PMTABB";#N/A,#N/A,FALSE,"PMTABB"}</definedName>
    <definedName name="HOPIP_1_1">{#N/A,#N/A,FALSE,"PMTABB";#N/A,#N/A,FALSE,"PMTABB"}</definedName>
    <definedName name="HOPIP_1_2">{#N/A,#N/A,FALSE,"PMTABB";#N/A,#N/A,FALSE,"PMTABB"}</definedName>
    <definedName name="HOPIP_1_3">{#N/A,#N/A,FALSE,"PMTABB";#N/A,#N/A,FALSE,"PMTABB"}</definedName>
    <definedName name="HOPIP_1_4">{#N/A,#N/A,FALSE,"PMTABB";#N/A,#N/A,FALSE,"PMTABB"}</definedName>
    <definedName name="HOPIP_2">{#N/A,#N/A,FALSE,"PMTABB";#N/A,#N/A,FALSE,"PMTABB"}</definedName>
    <definedName name="HOPIP_2_1">{#N/A,#N/A,FALSE,"PMTABB";#N/A,#N/A,FALSE,"PMTABB"}</definedName>
    <definedName name="HOPIP_2_2">{#N/A,#N/A,FALSE,"PMTABB";#N/A,#N/A,FALSE,"PMTABB"}</definedName>
    <definedName name="HOPIP_2_3">{#N/A,#N/A,FALSE,"PMTABB";#N/A,#N/A,FALSE,"PMTABB"}</definedName>
    <definedName name="HOPIP_2_4">{#N/A,#N/A,FALSE,"PMTABB";#N/A,#N/A,FALSE,"PMTABB"}</definedName>
    <definedName name="HOPIP_3">{#N/A,#N/A,FALSE,"PMTABB";#N/A,#N/A,FALSE,"PMTABB"}</definedName>
    <definedName name="HOPIP_3_1">{#N/A,#N/A,FALSE,"PMTABB";#N/A,#N/A,FALSE,"PMTABB"}</definedName>
    <definedName name="HOPIP_3_2">{#N/A,#N/A,FALSE,"PMTABB";#N/A,#N/A,FALSE,"PMTABB"}</definedName>
    <definedName name="HOPIP_3_3">{#N/A,#N/A,FALSE,"PMTABB";#N/A,#N/A,FALSE,"PMTABB"}</definedName>
    <definedName name="HOPIP_3_4">{#N/A,#N/A,FALSE,"PMTABB";#N/A,#N/A,FALSE,"PMTABB"}</definedName>
    <definedName name="HOPIP_4">{#N/A,#N/A,FALSE,"PMTABB";#N/A,#N/A,FALSE,"PMTABB"}</definedName>
    <definedName name="HOPIP_4_1">{#N/A,#N/A,FALSE,"PMTABB";#N/A,#N/A,FALSE,"PMTABB"}</definedName>
    <definedName name="HOPIP_4_2">{#N/A,#N/A,FALSE,"PMTABB";#N/A,#N/A,FALSE,"PMTABB"}</definedName>
    <definedName name="HOPIP_4_3">{#N/A,#N/A,FALSE,"PMTABB";#N/A,#N/A,FALSE,"PMTABB"}</definedName>
    <definedName name="HOPIP_4_4">{#N/A,#N/A,FALSE,"PMTABB";#N/A,#N/A,FALSE,"PMTABB"}</definedName>
    <definedName name="HOPIP_5">{#N/A,#N/A,FALSE,"PMTABB";#N/A,#N/A,FALSE,"PMTABB"}</definedName>
    <definedName name="HOR">#REF!</definedName>
    <definedName name="Hosprk">#REF!</definedName>
    <definedName name="Hotline_to_Mumbai">#REF!</definedName>
    <definedName name="hpa">#REF!</definedName>
    <definedName name="hpb">#REF!</definedName>
    <definedName name="HRA">#REF!</definedName>
    <definedName name="HRAA">#REF!</definedName>
    <definedName name="HRAT">#REF!</definedName>
    <definedName name="hre">{#N/A,#N/A,FALSE,"TOWNSHIP"}</definedName>
    <definedName name="hre_1">{#N/A,#N/A,FALSE,"TOWNSHIP"}</definedName>
    <definedName name="hre_1_1">{#N/A,#N/A,FALSE,"TOWNSHIP"}</definedName>
    <definedName name="hre_1_2">{#N/A,#N/A,FALSE,"TOWNSHIP"}</definedName>
    <definedName name="hre_1_3">{#N/A,#N/A,FALSE,"TOWNSHIP"}</definedName>
    <definedName name="hre_1_4">{#N/A,#N/A,FALSE,"TOWNSHIP"}</definedName>
    <definedName name="hre_2">{#N/A,#N/A,FALSE,"TOWNSHIP"}</definedName>
    <definedName name="hre_2_1">{#N/A,#N/A,FALSE,"TOWNSHIP"}</definedName>
    <definedName name="hre_2_2">{#N/A,#N/A,FALSE,"TOWNSHIP"}</definedName>
    <definedName name="hre_2_3">{#N/A,#N/A,FALSE,"TOWNSHIP"}</definedName>
    <definedName name="hre_2_4">{#N/A,#N/A,FALSE,"TOWNSHIP"}</definedName>
    <definedName name="hre_3">{#N/A,#N/A,FALSE,"TOWNSHIP"}</definedName>
    <definedName name="hre_3_1">{#N/A,#N/A,FALSE,"TOWNSHIP"}</definedName>
    <definedName name="hre_3_2">{#N/A,#N/A,FALSE,"TOWNSHIP"}</definedName>
    <definedName name="hre_3_3">{#N/A,#N/A,FALSE,"TOWNSHIP"}</definedName>
    <definedName name="hre_3_4">{#N/A,#N/A,FALSE,"TOWNSHIP"}</definedName>
    <definedName name="hre_4">{#N/A,#N/A,FALSE,"TOWNSHIP"}</definedName>
    <definedName name="hre_4_1">{#N/A,#N/A,FALSE,"TOWNSHIP"}</definedName>
    <definedName name="hre_4_2">{#N/A,#N/A,FALSE,"TOWNSHIP"}</definedName>
    <definedName name="hre_4_3">{#N/A,#N/A,FALSE,"TOWNSHIP"}</definedName>
    <definedName name="hre_4_4">{#N/A,#N/A,FALSE,"TOWNSHIP"}</definedName>
    <definedName name="hre_5">{#N/A,#N/A,FALSE,"TOWNSHIP"}</definedName>
    <definedName name="HRS">#REF!</definedName>
    <definedName name="HRSA">#REF!</definedName>
    <definedName name="HSBCTbl_Table1">#REF!</definedName>
    <definedName name="hshhr">{#N/A,#N/A,TRUE,"Staffnos &amp; cost"}</definedName>
    <definedName name="hßm4">#REF!</definedName>
    <definedName name="hta">#REF!</definedName>
    <definedName name="HTML">{"'DISTRIBUTORS ADDRESS'!$L$7","'DISTRIBUTORS ADDRESS'!$A$40:$J$45"}</definedName>
    <definedName name="HTML_CodePage">1252</definedName>
    <definedName name="HTML_Control">{"'Income Statement'!$D$96:$E$101"}</definedName>
    <definedName name="HTML_Control_1">{"'Income Statement'!$D$96:$E$101"}</definedName>
    <definedName name="HTML_Control_1_1">{"'p&amp;l.htm'!$A$1:$G$126","'p&amp;l.htm'!$A$1:$G$115","'p&amp;l.htm'!$A$88:$B$88","'p&amp;l.htm'!$A$1:$G$35","'p&amp;l.htm'!$A$9:$G$34","'p&amp;l.htm'!$A$87:$H$116"}</definedName>
    <definedName name="HTML_Control_2">{"'Income Statement'!$D$96:$E$101"}</definedName>
    <definedName name="HTML_Control_3">{"'Income Statement'!$D$96:$E$101"}</definedName>
    <definedName name="HTML_Control_4">{"'A'!$CL$1:$DB$170"}</definedName>
    <definedName name="HTML_Control_5">{"'A'!$CL$1:$DB$170"}</definedName>
    <definedName name="HTML_Control2">{"'Market &amp; Company Profile'!$H$24:$I$25"}</definedName>
    <definedName name="HTML_Description">"IBN Products"</definedName>
    <definedName name="HTML_Email">""</definedName>
    <definedName name="HTML_Header">"Edit"</definedName>
    <definedName name="HTML_LastUpdate">"24/05/97"</definedName>
    <definedName name="HTML_LineAfter">FALSE</definedName>
    <definedName name="HTML_LineBefore">TRUE</definedName>
    <definedName name="HTML_Name">"Mike Bibbings"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Documents\mmelHTML.htm"</definedName>
    <definedName name="HTML_PathTemplate">"C:\infac\pricewth\Aug99\Page06e.htm"</definedName>
    <definedName name="HTML_Title">"Master Edit List"</definedName>
    <definedName name="htyuityuiotio">{#N/A,#N/A,FALSE,"REPORT"}</definedName>
    <definedName name="htyuityuiotio_1">{#N/A,#N/A,FALSE,"REPORT"}</definedName>
    <definedName name="htyuityuiotio_2">{#N/A,#N/A,FALSE,"REPORT"}</definedName>
    <definedName name="htyuityuiotio_3">{#N/A,#N/A,FALSE,"REPORT"}</definedName>
    <definedName name="htyuityuiotio_4">{#N/A,#N/A,FALSE,"REPORT"}</definedName>
    <definedName name="htyuityuiotio_5">{#N/A,#N/A,FALSE,"REPORT"}</definedName>
    <definedName name="Hubspot">#REF!</definedName>
    <definedName name="huy">{"'Sheet1'!$L$16"}</definedName>
    <definedName name="hw">{#N/A,#N/A,FALSE,"SUMMARY";#N/A,#N/A,FALSE,"SUMMARY"}</definedName>
    <definedName name="hw_1">{#N/A,#N/A,FALSE,"SUMMARY";#N/A,#N/A,FALSE,"SUMMARY"}</definedName>
    <definedName name="hw_1_1">{#N/A,#N/A,FALSE,"SUMMARY";#N/A,#N/A,FALSE,"SUMMARY"}</definedName>
    <definedName name="hw_1_2">{#N/A,#N/A,FALSE,"SUMMARY";#N/A,#N/A,FALSE,"SUMMARY"}</definedName>
    <definedName name="hw_1_3">{#N/A,#N/A,FALSE,"SUMMARY";#N/A,#N/A,FALSE,"SUMMARY"}</definedName>
    <definedName name="hw_1_4">{#N/A,#N/A,FALSE,"SUMMARY";#N/A,#N/A,FALSE,"SUMMARY"}</definedName>
    <definedName name="hw_2">{#N/A,#N/A,FALSE,"SUMMARY";#N/A,#N/A,FALSE,"SUMMARY"}</definedName>
    <definedName name="hw_2_1">{#N/A,#N/A,FALSE,"SUMMARY";#N/A,#N/A,FALSE,"SUMMARY"}</definedName>
    <definedName name="hw_2_2">{#N/A,#N/A,FALSE,"SUMMARY";#N/A,#N/A,FALSE,"SUMMARY"}</definedName>
    <definedName name="hw_2_3">{#N/A,#N/A,FALSE,"SUMMARY";#N/A,#N/A,FALSE,"SUMMARY"}</definedName>
    <definedName name="hw_2_4">{#N/A,#N/A,FALSE,"SUMMARY";#N/A,#N/A,FALSE,"SUMMARY"}</definedName>
    <definedName name="hw_3">{#N/A,#N/A,FALSE,"SUMMARY";#N/A,#N/A,FALSE,"SUMMARY"}</definedName>
    <definedName name="hw_3_1">{#N/A,#N/A,FALSE,"SUMMARY";#N/A,#N/A,FALSE,"SUMMARY"}</definedName>
    <definedName name="hw_3_2">{#N/A,#N/A,FALSE,"SUMMARY";#N/A,#N/A,FALSE,"SUMMARY"}</definedName>
    <definedName name="hw_3_3">{#N/A,#N/A,FALSE,"SUMMARY";#N/A,#N/A,FALSE,"SUMMARY"}</definedName>
    <definedName name="hw_3_4">{#N/A,#N/A,FALSE,"SUMMARY";#N/A,#N/A,FALSE,"SUMMARY"}</definedName>
    <definedName name="hw_4">{#N/A,#N/A,FALSE,"SUMMARY";#N/A,#N/A,FALSE,"SUMMARY"}</definedName>
    <definedName name="hw_4_1">{#N/A,#N/A,FALSE,"SUMMARY";#N/A,#N/A,FALSE,"SUMMARY"}</definedName>
    <definedName name="hw_4_2">{#N/A,#N/A,FALSE,"SUMMARY";#N/A,#N/A,FALSE,"SUMMARY"}</definedName>
    <definedName name="hw_4_3">{#N/A,#N/A,FALSE,"SUMMARY";#N/A,#N/A,FALSE,"SUMMARY"}</definedName>
    <definedName name="hw_4_4">{#N/A,#N/A,FALSE,"SUMMARY";#N/A,#N/A,FALSE,"SUMMARY"}</definedName>
    <definedName name="hw_5">{#N/A,#N/A,FALSE,"SUMMARY";#N/A,#N/A,FALSE,"SUMMARY"}</definedName>
    <definedName name="Hybrid_Jan">#REF!</definedName>
    <definedName name="Hybrid_January">#REF!</definedName>
    <definedName name="Hyd">#REF!</definedName>
    <definedName name="HYP_2PMTH">#REF!</definedName>
    <definedName name="HYP_MTH">#REF!</definedName>
    <definedName name="HYP_PMTH">#REF!</definedName>
    <definedName name="Hypertention">{#N/A,#N/A,FALSE,"Pharm";#N/A,#N/A,FALSE,"WWCM"}</definedName>
    <definedName name="Hypertention_1">{#N/A,#N/A,FALSE,"Pharm";#N/A,#N/A,FALSE,"WWCM"}</definedName>
    <definedName name="Hypertention_2">{#N/A,#N/A,FALSE,"Pharm";#N/A,#N/A,FALSE,"WWCM"}</definedName>
    <definedName name="Hypertention_3">{#N/A,#N/A,FALSE,"Pharm";#N/A,#N/A,FALSE,"WWCM"}</definedName>
    <definedName name="Hypertention_4">{#N/A,#N/A,FALSE,"Pharm";#N/A,#N/A,FALSE,"WWCM"}</definedName>
    <definedName name="Hypertention_5">{#N/A,#N/A,FALSE,"Pharm";#N/A,#N/A,FALSE,"WWCM"}</definedName>
    <definedName name="hypo">{#N/A,#N/A,FALSE,"Pharm";#N/A,#N/A,FALSE,"WWCM"}</definedName>
    <definedName name="hypo_1">{#N/A,#N/A,FALSE,"Pharm";#N/A,#N/A,FALSE,"WWCM"}</definedName>
    <definedName name="hypo_2">{#N/A,#N/A,FALSE,"Pharm";#N/A,#N/A,FALSE,"WWCM"}</definedName>
    <definedName name="hypo_3">{#N/A,#N/A,FALSE,"Pharm";#N/A,#N/A,FALSE,"WWCM"}</definedName>
    <definedName name="hypo_4">{#N/A,#N/A,FALSE,"Pharm";#N/A,#N/A,FALSE,"WWCM"}</definedName>
    <definedName name="hypo_5">{#N/A,#N/A,FALSE,"Pharm";#N/A,#N/A,FALSE,"WWCM"}</definedName>
    <definedName name="HyundaiBH">#REF!</definedName>
    <definedName name="HyundaiBT">#REF!</definedName>
    <definedName name="HyundaiMC">#REF!</definedName>
    <definedName name="i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_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_2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_3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_4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camb">#REF!</definedName>
    <definedName name="icd">#REF!</definedName>
    <definedName name="ICDS">#REF!</definedName>
    <definedName name="icic">#REF!</definedName>
    <definedName name="ICICI">#REF!</definedName>
    <definedName name="icil">#REF!</definedName>
    <definedName name="ICOSTTECH">#REF!</definedName>
    <definedName name="ICP">#REF!</definedName>
    <definedName name="Identnr">#REF!</definedName>
    <definedName name="IDLAB_COST">#REF!</definedName>
    <definedName name="IFRS">#REF!</definedName>
    <definedName name="ihb">{#N/A,#N/A,FALSE,"Tabl. D1";#N/A,#N/A,FALSE,"Tabl. D1 b";#N/A,#N/A,FALSE,"Tabl. D2";#N/A,#N/A,FALSE,"Tabl. D2 b";#N/A,#N/A,FALSE,"Tabl. D3";#N/A,#N/A,FALSE,"Tabl. D4";#N/A,#N/A,FALSE,"Tabl. D5"}</definedName>
    <definedName name="ihb_1">{#N/A,#N/A,FALSE,"Tabl. D1";#N/A,#N/A,FALSE,"Tabl. D1 b";#N/A,#N/A,FALSE,"Tabl. D2";#N/A,#N/A,FALSE,"Tabl. D2 b";#N/A,#N/A,FALSE,"Tabl. D3";#N/A,#N/A,FALSE,"Tabl. D4";#N/A,#N/A,FALSE,"Tabl. D5"}</definedName>
    <definedName name="ihb_2">{#N/A,#N/A,FALSE,"Tabl. D1";#N/A,#N/A,FALSE,"Tabl. D1 b";#N/A,#N/A,FALSE,"Tabl. D2";#N/A,#N/A,FALSE,"Tabl. D2 b";#N/A,#N/A,FALSE,"Tabl. D3";#N/A,#N/A,FALSE,"Tabl. D4";#N/A,#N/A,FALSE,"Tabl. D5"}</definedName>
    <definedName name="ihb_3">{#N/A,#N/A,FALSE,"Tabl. D1";#N/A,#N/A,FALSE,"Tabl. D1 b";#N/A,#N/A,FALSE,"Tabl. D2";#N/A,#N/A,FALSE,"Tabl. D2 b";#N/A,#N/A,FALSE,"Tabl. D3";#N/A,#N/A,FALSE,"Tabl. D4";#N/A,#N/A,FALSE,"Tabl. D5"}</definedName>
    <definedName name="ihb_4">{#N/A,#N/A,FALSE,"Tabl. D1";#N/A,#N/A,FALSE,"Tabl. D1 b";#N/A,#N/A,FALSE,"Tabl. D2";#N/A,#N/A,FALSE,"Tabl. D2 b";#N/A,#N/A,FALSE,"Tabl. D3";#N/A,#N/A,FALSE,"Tabl. D4";#N/A,#N/A,FALSE,"Tabl. D5"}</definedName>
    <definedName name="ii">#REF!</definedName>
    <definedName name="II_control">{"'August 2000'!$A$1:$J$101"}</definedName>
    <definedName name="iii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II_control">{"'August 2000'!$A$1:$J$101"}</definedName>
    <definedName name="Im_control">{"'August 2000'!$A$1:$J$101"}</definedName>
    <definedName name="Img_ML_2x8r4a2e">"IMG_10"</definedName>
    <definedName name="Img_ML_5k1g6v5e">"IMG_11"</definedName>
    <definedName name="Img_ML_6f9i2b5e">"IMG_18"</definedName>
    <definedName name="Img_ML_7m5m4k3b">"IMG_6"</definedName>
    <definedName name="Img_ML_7n6h3t1t">"IMG_10"</definedName>
    <definedName name="Img_ML_8b9j5t1p">"IMG_10"</definedName>
    <definedName name="Img_ML_8i9u7w8k">"IMG_10"</definedName>
    <definedName name="Img_ML_8r1k8t4y">"IMG_10"</definedName>
    <definedName name="imp">#REF!</definedName>
    <definedName name="ImportFile">#REF!</definedName>
    <definedName name="IMPREST_ADV_TO_EMPLOYEE">#REF!</definedName>
    <definedName name="in">#REF!</definedName>
    <definedName name="IN_TAMT">#REF!</definedName>
    <definedName name="IN_TOTAL">#REF!</definedName>
    <definedName name="IN_TQTY">#REF!</definedName>
    <definedName name="IN_UC">#REF!</definedName>
    <definedName name="INAMT">#REF!</definedName>
    <definedName name="INCLUDED">#REF!</definedName>
    <definedName name="IncludeRestructuringInTFCF">#REF!</definedName>
    <definedName name="Income">#REF!</definedName>
    <definedName name="INCOME_TAX_DEDUCTED_AT_CONTRACTOR">#REF!</definedName>
    <definedName name="INCOME_TAX_DEDUCTED_AT_SOURCE___INTEREST">#REF!</definedName>
    <definedName name="INCOME_TAX_DEDUCTED_AT_SOURCE___PROFEESION_FEES">#REF!</definedName>
    <definedName name="INCOME_TAX_DEDUCTED_AT_SOURCE___RENT">#REF!</definedName>
    <definedName name="INCOME_TAX_DEDUCTED_At_SOURCE__SALARY">#REF!</definedName>
    <definedName name="INCOME_TAX_DEDUCTED_AT_SOURCE_COMMISSION">#REF!</definedName>
    <definedName name="income_tax_deducted_at_source_sub_contractor">#REF!</definedName>
    <definedName name="Increase__decrease__in_cash">#REF!</definedName>
    <definedName name="Inctaxdep">#REF!</definedName>
    <definedName name="indcost">#REF!</definedName>
    <definedName name="india">#REF!</definedName>
    <definedName name="INDIA_PLASTIC_in_KUSD">#REF!</definedName>
    <definedName name="Indianhotels">#REF!</definedName>
    <definedName name="Indicated_Annual_Dividend">#REF!</definedName>
    <definedName name="Indirect_income">#REF!</definedName>
    <definedName name="INDMANP">#REF!</definedName>
    <definedName name="IndType">#REF!</definedName>
    <definedName name="INDUSIND_BANK">#REF!</definedName>
    <definedName name="INDUSTRIAL_SALES">#REF!</definedName>
    <definedName name="infes">#REF!</definedName>
    <definedName name="Inflation">#REF!</definedName>
    <definedName name="INL">#REF!</definedName>
    <definedName name="Innovmarine">#REF!</definedName>
    <definedName name="INPUT">#REF!</definedName>
    <definedName name="INPUT_MENU">#REF!</definedName>
    <definedName name="Input_tax">#REF!</definedName>
    <definedName name="INPUTCELL">#REF!</definedName>
    <definedName name="INPUTCORNER">#REF!</definedName>
    <definedName name="InputQ1">#REF!</definedName>
    <definedName name="INQTY">#REF!</definedName>
    <definedName name="INR">#REF!</definedName>
    <definedName name="InstCap">#REF!,#REF!,#REF!,#REF!,#REF!,#REF!,#REF!,#REF!</definedName>
    <definedName name="instimprev">#REF!</definedName>
    <definedName name="Insuranc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surance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surance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surance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SURANCE_ASSETS">#REF!</definedName>
    <definedName name="INSURANCE_OTHER">#REF!</definedName>
    <definedName name="INSURANCE_VEHICLE">#REF!</definedName>
    <definedName name="int">#REF!</definedName>
    <definedName name="Intangible_Assets">#REF!</definedName>
    <definedName name="Intellectual">#REF!</definedName>
    <definedName name="Inter__company_account__begin">#REF!</definedName>
    <definedName name="InterBH">#REF!</definedName>
    <definedName name="InterBT">#REF!</definedName>
    <definedName name="INTEREST">#REF!</definedName>
    <definedName name="Interest___194A">#REF!</definedName>
    <definedName name="INTEREST___TERM_LOAN">#REF!</definedName>
    <definedName name="INTEREST_INCOME__OTHER">#REF!</definedName>
    <definedName name="INTEREST_ON_BANK_DEPOSIT">#REF!</definedName>
    <definedName name="INTEREST_ON_CASH_CREDIT">#REF!</definedName>
    <definedName name="INTEREST_ON_DEPOSIT">#REF!</definedName>
    <definedName name="INTEREST_ON_PACKING_CREDIT">#REF!</definedName>
    <definedName name="INTEREST_ON_UNSECURED_LOAN">#REF!</definedName>
    <definedName name="Interest_Rate">#REF!</definedName>
    <definedName name="INTEREST_RECEIVABLES">#REF!</definedName>
    <definedName name="INTEREST_TO_OTHERS">#REF!</definedName>
    <definedName name="INTEREST1">#REF!</definedName>
    <definedName name="Interface">#REF!</definedName>
    <definedName name="InterMC">#REF!</definedName>
    <definedName name="INTERNAL_AUDIT_FEES">#REF!</definedName>
    <definedName name="International_Uplinking_Charges">#REF!</definedName>
    <definedName name="InternetProtection">"Internet Protection"</definedName>
    <definedName name="InternetProtection_Grade">"C"</definedName>
    <definedName name="inv">#REF!</definedName>
    <definedName name="inv_prt">#REF!</definedName>
    <definedName name="INV_SR">#REF!</definedName>
    <definedName name="InvChg">#REF!</definedName>
    <definedName name="INVEN">#REF!</definedName>
    <definedName name="Inventory">#REF!</definedName>
    <definedName name="InventoryAnalysis">#REF!</definedName>
    <definedName name="InventoryEstimate">#REF!</definedName>
    <definedName name="InventoryNextQuarter">#REF!</definedName>
    <definedName name="INVEST">#REF!</definedName>
    <definedName name="INVEST1">#REF!</definedName>
    <definedName name="INVEST2">#REF!</definedName>
    <definedName name="Investment_in_Subs">#REF!</definedName>
    <definedName name="Investment_in_Subsidiaries">#REF!</definedName>
    <definedName name="Investment_tangible_forecast_act_year">#REF!</definedName>
    <definedName name="Investment_tangible_plan_year_x">#REF!</definedName>
    <definedName name="Investment_tangible_plan_year_x1">#REF!</definedName>
    <definedName name="Investment_tangible_plan_year_x2">#REF!</definedName>
    <definedName name="Investment_tangible_plan_year_x3">#REF!</definedName>
    <definedName name="Investment_tangible_plan_year_x4">#REF!</definedName>
    <definedName name="investmentcash1">#REF!</definedName>
    <definedName name="investmentcash2">#REF!</definedName>
    <definedName name="investmentcash3">#REF!</definedName>
    <definedName name="investmentcash4">#REF!</definedName>
    <definedName name="investmentcash5">#REF!</definedName>
    <definedName name="Investments">#REF!</definedName>
    <definedName name="Investments___Cash_at_Bank">#REF!</definedName>
    <definedName name="INVESTMENTS_IN_SHARES">#REF!</definedName>
    <definedName name="invpks1">#REF!</definedName>
    <definedName name="INVProf">#REF!</definedName>
    <definedName name="Invsest">#REF!</definedName>
    <definedName name="INVTotal">#REF!</definedName>
    <definedName name="IP">{#N/A,#N/A,FALSE,"Pharm";#N/A,#N/A,FALSE,"WWCM"}</definedName>
    <definedName name="IP_1">{#N/A,#N/A,FALSE,"Pharm";#N/A,#N/A,FALSE,"WWCM"}</definedName>
    <definedName name="IP_2">{#N/A,#N/A,FALSE,"Pharm";#N/A,#N/A,FALSE,"WWCM"}</definedName>
    <definedName name="IP_3">{#N/A,#N/A,FALSE,"Pharm";#N/A,#N/A,FALSE,"WWCM"}</definedName>
    <definedName name="IP_4">{#N/A,#N/A,FALSE,"Pharm";#N/A,#N/A,FALSE,"WWCM"}</definedName>
    <definedName name="IP_5">{#N/A,#N/A,FALSE,"Pharm";#N/A,#N/A,FALSE,"WWCM"}</definedName>
    <definedName name="IPPIF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CCOUNT_CHANGE">"c1449"</definedName>
    <definedName name="IQ_ACCOUNTING_FFIEC">"c13054"</definedName>
    <definedName name="IQ_ACCOUNTING_STANDARD">"c4539"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>"c6583"</definedName>
    <definedName name="IQ_AGENCY">"c8960"</definedName>
    <definedName name="IQ_AGENCY_INVEST_SECURITIES_FFIEC">"c13458"</definedName>
    <definedName name="IQ_AGRICULTURAL_GROSS_LOANS_FFIEC">"c13413"</definedName>
    <definedName name="IQ_AGRICULTURAL_LOANS_FOREIGN_FFIEC">"c13481"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>"c6499"</definedName>
    <definedName name="IQ_AMORT_EXP_IMPAIRMENT_OTHER_INTANGIBLE_ASSETS_FFIEC">"c13026"</definedName>
    <definedName name="IQ_AMORT_EXPENSE_FDIC">"c6677"</definedName>
    <definedName name="IQ_AMORTIZATION">"c1591"</definedName>
    <definedName name="IQ_AMORTIZED_COST_FDIC">"c6426"</definedName>
    <definedName name="IQ_AMOUNT_FINANCIAL_LOC_CONVEYED_FFIEC">"c13250"</definedName>
    <definedName name="IQ_AMOUNT_PERFORMANCE_LOC_CONVEYED_FFIEC">"c13252"</definedName>
    <definedName name="IQ_AMT_OUT">"c2145"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REPRICE_ASSETS_TOT_FFIEC">"c13454"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AILABLE_SALE_SEC_FFIEC">"c12791"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NO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>"c8353"</definedName>
    <definedName name="IQ_BALANCE_GOODS_APR_UNUSED">"c7473"</definedName>
    <definedName name="IQ_BALANCE_GOODS_APR_UNUSED_UNUSED_UNUSED">"c7473"</definedName>
    <definedName name="IQ_BALANCE_GOODS_FC_UNUSED">"c7693"</definedName>
    <definedName name="IQ_BALANCE_GOODS_FC_UNUSED_UNUSED_UNUSED">"c7693"</definedName>
    <definedName name="IQ_BALANCE_GOODS_POP_FC_UNUSED">"c7913"</definedName>
    <definedName name="IQ_BALANCE_GOODS_POP_FC_UNUSED_UNUSED_UNUSED">"c7913"</definedName>
    <definedName name="IQ_BALANCE_GOODS_POP_UNUSED">"c7033"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>"c8133"</definedName>
    <definedName name="IQ_BALANCE_GOODS_YOY_UNUSED">"c7253"</definedName>
    <definedName name="IQ_BALANCE_GOODS_YOY_UNUSED_UNUSED_UNUSED">"c7253"</definedName>
    <definedName name="IQ_BALANCE_SERV_APR_FC_UNUSED">"c8355"</definedName>
    <definedName name="IQ_BALANCE_SERV_APR_FC_UNUSED_UNUSED_UNUSED">"c8355"</definedName>
    <definedName name="IQ_BALANCE_SERV_APR_UNUSED">"c7475"</definedName>
    <definedName name="IQ_BALANCE_SERV_APR_UNUSED_UNUSED_UNUSED">"c7475"</definedName>
    <definedName name="IQ_BALANCE_SERV_FC_UNUSED">"c7695"</definedName>
    <definedName name="IQ_BALANCE_SERV_FC_UNUSED_UNUSED_UNUSED">"c7695"</definedName>
    <definedName name="IQ_BALANCE_SERV_POP_FC_UNUSED">"c7915"</definedName>
    <definedName name="IQ_BALANCE_SERV_POP_FC_UNUSED_UNUSED_UNUSED">"c7915"</definedName>
    <definedName name="IQ_BALANCE_SERV_POP_UNUSED">"c7035"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>"c8135"</definedName>
    <definedName name="IQ_BALANCE_SERV_YOY_UNUSED">"c7255"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>"c8357"</definedName>
    <definedName name="IQ_BALANCE_TRADE_APR_UNUSED">"c7477"</definedName>
    <definedName name="IQ_BALANCE_TRADE_APR_UNUSED_UNUSED_UNUSED">"c7477"</definedName>
    <definedName name="IQ_BALANCE_TRADE_FC_UNUSED">"c7697"</definedName>
    <definedName name="IQ_BALANCE_TRADE_FC_UNUSED_UNUSED_UNUSED">"c7697"</definedName>
    <definedName name="IQ_BALANCE_TRADE_POP_FC_UNUSED">"c7917"</definedName>
    <definedName name="IQ_BALANCE_TRADE_POP_FC_UNUSED_UNUSED_UNUSED">"c7917"</definedName>
    <definedName name="IQ_BALANCE_TRADE_POP_UNUSED">"c7037"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>"c8137"</definedName>
    <definedName name="IQ_BALANCE_TRADE_YOY_UNUSED">"c7257"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LOAN_LIST">"c13507"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ING_FEES_OPERATING_INC_FFIEC">"c13386"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LIST">"c13505"</definedName>
    <definedName name="IQ_BOND_PRICE">"c2162"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ED_DEPOSITS_FDIC">"c6486"</definedName>
    <definedName name="IQ_BUDGET_BALANCE_APR_FC_UNUSED">"c8359"</definedName>
    <definedName name="IQ_BUDGET_BALANCE_APR_FC_UNUSED_UNUSED_UNUSED">"c8359"</definedName>
    <definedName name="IQ_BUDGET_BALANCE_APR_UNUSED">"c7479"</definedName>
    <definedName name="IQ_BUDGET_BALANCE_APR_UNUSED_UNUSED_UNUSED">"c7479"</definedName>
    <definedName name="IQ_BUDGET_BALANCE_FC_UNUSED">"c7699"</definedName>
    <definedName name="IQ_BUDGET_BALANCE_FC_UNUSED_UNUSED_UNUSED">"c7699"</definedName>
    <definedName name="IQ_BUDGET_BALANCE_POP_FC_UNUSED">"c7919"</definedName>
    <definedName name="IQ_BUDGET_BALANCE_POP_FC_UNUSED_UNUSED_UNUSED">"c7919"</definedName>
    <definedName name="IQ_BUDGET_BALANCE_POP_UNUSED">"c7039"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>"c6819"</definedName>
    <definedName name="IQ_BUDGET_BALANCE_YOY_FC_UNUSED">"c8139"</definedName>
    <definedName name="IQ_BUDGET_BALANCE_YOY_FC_UNUSED_UNUSED_UNUSED">"c8139"</definedName>
    <definedName name="IQ_BUDGET_BALANCE_YOY_UNUSED">"c7259"</definedName>
    <definedName name="IQ_BUDGET_BALANCE_YOY_UNUSED_UNUSED_UNUSED">"c7259"</definedName>
    <definedName name="IQ_BUDGET_RECEIPTS_APR_FC_UNUSED">"c8361"</definedName>
    <definedName name="IQ_BUDGET_RECEIPTS_APR_FC_UNUSED_UNUSED_UNUSED">"c8361"</definedName>
    <definedName name="IQ_BUDGET_RECEIPTS_APR_UNUSED">"c7481"</definedName>
    <definedName name="IQ_BUDGET_RECEIPTS_APR_UNUSED_UNUSED_UNUSED">"c7481"</definedName>
    <definedName name="IQ_BUDGET_RECEIPTS_FC_UNUSED">"c7701"</definedName>
    <definedName name="IQ_BUDGET_RECEIPTS_FC_UNUSED_UNUSED_UNUSED">"c7701"</definedName>
    <definedName name="IQ_BUDGET_RECEIPTS_POP_FC_UNUSED">"c7921"</definedName>
    <definedName name="IQ_BUDGET_RECEIPTS_POP_FC_UNUSED_UNUSED_UNUSED">"c7921"</definedName>
    <definedName name="IQ_BUDGET_RECEIPTS_POP_UNUSED">"c7041"</definedName>
    <definedName name="IQ_BUDGET_RECEIPTS_POP_UNUSED_UNUSED_UNUSED">"c7041"</definedName>
    <definedName name="IQ_BUDGET_RECEIPTS_UNUSED">"c6821"</definedName>
    <definedName name="IQ_BUDGET_RECEIPTS_UNUSED_UNUSED_UNUSED">"c6821"</definedName>
    <definedName name="IQ_BUDGET_RECEIPTS_YOY_FC_UNUSED">"c8141"</definedName>
    <definedName name="IQ_BUDGET_RECEIPTS_YOY_FC_UNUSED_UNUSED_UNUSED">"c8141"</definedName>
    <definedName name="IQ_BUDGET_RECEIPTS_YOY_UNUSED">"c7261"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COMBINATIONS_FFIEC">"c12967"</definedName>
    <definedName name="IQ_BUSINESS_DESCRIPTION">"c322"</definedName>
    <definedName name="IQ_BV_ACT_OR_EST_REUT">"c5471"</definedName>
    <definedName name="IQ_BV_ACT_OR_EST_THOM">"c5308"</definedName>
    <definedName name="IQ_BV_EST">"c5624"</definedName>
    <definedName name="IQ_BV_EST_REUT">"c5403"</definedName>
    <definedName name="IQ_BV_EST_THOM">"c5147"</definedName>
    <definedName name="IQ_BV_HIGH_EST">"c5626"</definedName>
    <definedName name="IQ_BV_HIGH_EST_REUT">"c5405"</definedName>
    <definedName name="IQ_BV_HIGH_EST_THOM">"c5149"</definedName>
    <definedName name="IQ_BV_LOW_EST">"c5627"</definedName>
    <definedName name="IQ_BV_LOW_EST_REUT">"c5406"</definedName>
    <definedName name="IQ_BV_LOW_EST_THOM">"c5150"</definedName>
    <definedName name="IQ_BV_MEDIAN_EST">"c5625"</definedName>
    <definedName name="IQ_BV_MEDIAN_EST_REUT">"c5404"</definedName>
    <definedName name="IQ_BV_MEDIAN_EST_THOM">"c5148"</definedName>
    <definedName name="IQ_BV_NUM_EST">"c5628"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">"c5629"</definedName>
    <definedName name="IQ_BV_STDDEV_EST_REUT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_REUT">"c6800"</definedName>
    <definedName name="IQ_CAL_Y">"c102"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BALANCES_DUE_FFIEC">"c12773"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P">"c8888"</definedName>
    <definedName name="IQ_CASH_OPER_AP_ABS">"c8907"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DERIVATIVES_BENEFICIARY_FFIEC">"c13119"</definedName>
    <definedName name="IQ_CDS_DERIVATIVES_GUARANTOR_FFIEC">"c13112"</definedName>
    <definedName name="IQ_CDS_EVAL_DATE">"c6029"</definedName>
    <definedName name="IQ_CDS_LIST">"c13510"</definedName>
    <definedName name="IQ_CDS_LOAN_LIST">"c13518"</definedName>
    <definedName name="IQ_CDS_MID">"c6028"</definedName>
    <definedName name="IQ_CDS_NAME">"c6034"</definedName>
    <definedName name="IQ_CDS_SENIOR_LIST">"c13508"</definedName>
    <definedName name="IQ_CDS_SUB_LIST">"c13509"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>"c8500"</definedName>
    <definedName name="IQ_CHANGE_INVENT_REAL_APR_UNUSED">"c7620"</definedName>
    <definedName name="IQ_CHANGE_INVENT_REAL_APR_UNUSED_UNUSED_UNUSED">"c7620"</definedName>
    <definedName name="IQ_CHANGE_INVENT_REAL_FC_UNUSED">"c7840"</definedName>
    <definedName name="IQ_CHANGE_INVENT_REAL_FC_UNUSED_UNUSED_UNUSED">"c7840"</definedName>
    <definedName name="IQ_CHANGE_INVENT_REAL_POP_FC_UNUSED">"c8060"</definedName>
    <definedName name="IQ_CHANGE_INVENT_REAL_POP_FC_UNUSED_UNUSED_UNUSED">"c8060"</definedName>
    <definedName name="IQ_CHANGE_INVENT_REAL_POP_UNUSED">"c7180"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>"c8280"</definedName>
    <definedName name="IQ_CHANGE_INVENT_REAL_YOY_UNUSED">"c7400"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MBS_ISSUED_AVAIL_SALE_FFIEC">"c12800"</definedName>
    <definedName name="IQ_CMBS_ISSUED_FFIEC">"c12786"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>"c6317"</definedName>
    <definedName name="IQ_COMMERCIAL_INDUSTRIAL_LOANS_NON_ACCRUAL_FFIEC">"c13323"</definedName>
    <definedName name="IQ_COMMERCIAL_INDUSTRIAL_NET_CHARGE_OFFS_FDIC">"c6636"</definedName>
    <definedName name="IQ_COMMERCIAL_INDUSTRIAL_NON_US_CHARGE_OFFS_FFIEC">"c13179"</definedName>
    <definedName name="IQ_COMMERCIAL_INDUSTRIAL_NON_US_RECOV_FFIEC">"c13201"</definedName>
    <definedName name="IQ_COMMERCIAL_INDUSTRIAL_RECOVERIES_FDIC">"c6617"</definedName>
    <definedName name="IQ_COMMERCIAL_INDUSTRIAL_RISK_BASED_FFIEC">"c13431"</definedName>
    <definedName name="IQ_COMMERCIAL_INDUSTRIAL_TOTAL_LOANS_FOREIGN_FDIC">"c6451"</definedName>
    <definedName name="IQ_COMMERCIAL_INDUSTRIAL_TRADING_DOM_FFIEC">"c12932"</definedName>
    <definedName name="IQ_COMMERCIAL_INDUSTRIAL_US_CHARGE_OFFS_FFIEC">"c13178"</definedName>
    <definedName name="IQ_COMMERCIAL_INDUSTRIAL_US_RECOV_FFIEC">"c13200"</definedName>
    <definedName name="IQ_COMMERCIAL_MORT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>"c6526"</definedName>
    <definedName name="IQ_COMMERCIAL_RE_GROSS_LOANS_FFIEC">"c13400"</definedName>
    <definedName name="IQ_COMMERCIAL_RE_LOANS_FDIC">"c6312"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ITMENTS_SELL_SEC_OTHER_OFF_BS_FFIEC">"c13129"</definedName>
    <definedName name="IQ_COMMODITY_EXPOSURE_FFIEC">"c13061"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T_LAND_DEVELOP_OTHER_DOM_CHARGE_OFFS_FFIEC">"c13628"</definedName>
    <definedName name="IQ_CONST_LAND_DEVELOP_OTHER_DOM_RECOV_FFIEC">"c13632"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>"c12964"</definedName>
    <definedName name="IQ_CONVERSION_PREF_FFIEC">"c12962"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E_DEPOSITS_ASSETS_TOT_FFIEC">"c13442"</definedName>
    <definedName name="IQ_CORP_GOODS_PRICE_INDEX_APR_FC_UNUSED">"c8381"</definedName>
    <definedName name="IQ_CORP_GOODS_PRICE_INDEX_APR_FC_UNUSED_UNUSED_UNUSED">"c8381"</definedName>
    <definedName name="IQ_CORP_GOODS_PRICE_INDEX_APR_UNUSED">"c7501"</definedName>
    <definedName name="IQ_CORP_GOODS_PRICE_INDEX_APR_UNUSED_UNUSED_UNUSED">"c7501"</definedName>
    <definedName name="IQ_CORP_GOODS_PRICE_INDEX_FC_UNUSED">"c7721"</definedName>
    <definedName name="IQ_CORP_GOODS_PRICE_INDEX_FC_UNUSED_UNUSED_UNUSED">"c7721"</definedName>
    <definedName name="IQ_CORP_GOODS_PRICE_INDEX_POP_FC_UNUSED">"c7941"</definedName>
    <definedName name="IQ_CORP_GOODS_PRICE_INDEX_POP_FC_UNUSED_UNUSED_UNUSED">"c7941"</definedName>
    <definedName name="IQ_CORP_GOODS_PRICE_INDEX_POP_UNUSED">"c7061"</definedName>
    <definedName name="IQ_CORP_GOODS_PRICE_INDEX_POP_UNUSED_UNUSED_UNUSED">"c7061"</definedName>
    <definedName name="IQ_CORP_GOODS_PRICE_INDEX_UNUSED">"c6841"</definedName>
    <definedName name="IQ_CORP_GOODS_PRICE_INDEX_UNUSED_UNUSED_UNUSED">"c6841"</definedName>
    <definedName name="IQ_CORP_GOODS_PRICE_INDEX_YOY_FC_UNUSED">"c8161"</definedName>
    <definedName name="IQ_CORP_GOODS_PRICE_INDEX_YOY_FC_UNUSED_UNUSED_UNUSED">"c8161"</definedName>
    <definedName name="IQ_CORP_GOODS_PRICE_INDEX_YOY_UNUSED">"c7281"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_PURCHASED_FFIEC">"c13491"</definedName>
    <definedName name="IQ_COST_INT_DEPOSITS_FFIEC">"c13489"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>"c6525"</definedName>
    <definedName name="IQ_CREDIT_CARD_LINES_UNUSED_FFIEC">"c13242"</definedName>
    <definedName name="IQ_CREDIT_CARD_LOANS_CHARGE_OFFS_FFIEC">"c13180"</definedName>
    <definedName name="IQ_CREDIT_CARD_LOANS_DUE_30_89_FFIEC">"c13272"</definedName>
    <definedName name="IQ_CREDIT_CARD_LOANS_DUE_90_FFIEC">"c13298"</definedName>
    <definedName name="IQ_CREDIT_CARD_LOANS_FDIC">"c6319"</definedName>
    <definedName name="IQ_CREDIT_CARD_LOANS_NON_ACCRUAL_FFIEC">"c13324"</definedName>
    <definedName name="IQ_CREDIT_CARD_LOANS_RECOV_FFIEC">"c13202"</definedName>
    <definedName name="IQ_CREDIT_CARD_NET_CHARGE_OFFS_FDIC">"c6654"</definedName>
    <definedName name="IQ_CREDIT_CARD_RECOVERIES_FDIC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>"c8387"</definedName>
    <definedName name="IQ_CURR_ACCT_BALANCE_APR_UNUSED">"c7507"</definedName>
    <definedName name="IQ_CURR_ACCT_BALANCE_APR_UNUSED_UNUSED_UNUSED">"c7507"</definedName>
    <definedName name="IQ_CURR_ACCT_BALANCE_FC_UNUSED">"c7727"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>"c7947"</definedName>
    <definedName name="IQ_CURR_ACCT_BALANCE_POP_UNUSED">"c7067"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>"c8167"</definedName>
    <definedName name="IQ_CURR_ACCT_BALANCE_YOY_UNUSED">"c7287"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USTOMER_LIAB_ACCEPTANCES_OUT_FFIEC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1_5_INVEST_SECURITIES_FFIEC">"c13465"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ES">"c1356"</definedName>
    <definedName name="IQ_DEMAND_DEP">"c320"</definedName>
    <definedName name="IQ_DEMAND_DEPOSITS_COMMERCIAL_BANK_SUBS_FFIEC">"c12945"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FFIEC">"c12853"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100K_COMMERCIAL_BANK_SUBS_FFIEC">"c12948"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"c2205"</definedName>
    <definedName name="IQ_DIV_PAYMENT_TYPE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COMMON_FFIEC">"c12969"</definedName>
    <definedName name="IQ_DIVIDENDS_DECLARED_PREFERRED_FDIC">"c6658"</definedName>
    <definedName name="IQ_DIVIDENDS_DECLARED_PREFERRED_FFIEC">"c12968"</definedName>
    <definedName name="IQ_DIVIDENDS_FDIC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AVG_ASSETS_FFIEC">"c13354"</definedName>
    <definedName name="IQ_EARNING_ASSETS_FDIC">"c6360"</definedName>
    <definedName name="IQ_EARNING_ASSETS_QUARTERLY_AVG_FFIEC">"c13086"</definedName>
    <definedName name="IQ_EARNING_ASSETS_REPRICE_ASSETS_TOT_FFIEC">"c13451"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_FFIEC">"c13032"</definedName>
    <definedName name="IQ_EARNINGS_COVERAGE_LOSSES_FFIEC">"c13351"</definedName>
    <definedName name="IQ_EARNINGS_COVERAGE_NET_CHARGE_OFFS_FDIC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BC_ACT_OR_EST">"c4316"</definedName>
    <definedName name="IQ_EBIT_SBC_EST">"c4315"</definedName>
    <definedName name="IQ_EBIT_SBC_GUIDANCE">"c4317"</definedName>
    <definedName name="IQ_EBIT_SBC_GW_ACT_OR_EST">"c4320"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HIGH_EST">"c370"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>"c1371"</definedName>
    <definedName name="IQ_EBITDA_SBC_ACT_OR_EST">"c4337"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">"c6215"</definedName>
    <definedName name="IQ_EBT_REIT">"c389"</definedName>
    <definedName name="IQ_EBT_SBC_ACT_OR_EST">"c4350"</definedName>
    <definedName name="IQ_EBT_SBC_EST">"c4349"</definedName>
    <definedName name="IQ_EBT_SBC_GUIDANCE">"c4351"</definedName>
    <definedName name="IQ_EBT_SBC_GW_ACT_OR_EST">"c4354"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">"c6825"</definedName>
    <definedName name="IQ_ECO_METRIC_6825_UNUSED_UNUSED_UNUSED">"c6825"</definedName>
    <definedName name="IQ_ECO_METRIC_6839_UNUSED">"c6839"</definedName>
    <definedName name="IQ_ECO_METRIC_6839_UNUSED_UNUSED_UNUSED">"c6839"</definedName>
    <definedName name="IQ_ECO_METRIC_6896_UNUSED">"c6896"</definedName>
    <definedName name="IQ_ECO_METRIC_6896_UNUSED_UNUSED_UNUSED">"c6896"</definedName>
    <definedName name="IQ_ECO_METRIC_6897_UNUSED">"c6897"</definedName>
    <definedName name="IQ_ECO_METRIC_6897_UNUSED_UNUSED_UNUSED">"c6897"</definedName>
    <definedName name="IQ_ECO_METRIC_6927">"c6927"</definedName>
    <definedName name="IQ_ECO_METRIC_6988_UNUSED">"c6988"</definedName>
    <definedName name="IQ_ECO_METRIC_6988_UNUSED_UNUSED_UNUSED">"c6988"</definedName>
    <definedName name="IQ_ECO_METRIC_7045_UNUSED">"c7045"</definedName>
    <definedName name="IQ_ECO_METRIC_7045_UNUSED_UNUSED_UNUSED">"c7045"</definedName>
    <definedName name="IQ_ECO_METRIC_7059_UNUSED">"c7059"</definedName>
    <definedName name="IQ_ECO_METRIC_7059_UNUSED_UNUSED_UNUSED">"c7059"</definedName>
    <definedName name="IQ_ECO_METRIC_7116_UNUSED">"c7116"</definedName>
    <definedName name="IQ_ECO_METRIC_7116_UNUSED_UNUSED_UNUSED">"c7116"</definedName>
    <definedName name="IQ_ECO_METRIC_7117_UNUSED">"c7117"</definedName>
    <definedName name="IQ_ECO_METRIC_7117_UNUSED_UNUSED_UNUSED">"c7117"</definedName>
    <definedName name="IQ_ECO_METRIC_7147">"c7147"</definedName>
    <definedName name="IQ_ECO_METRIC_7208_UNUSED">"c7208"</definedName>
    <definedName name="IQ_ECO_METRIC_7208_UNUSED_UNUSED_UNUSED">"c7208"</definedName>
    <definedName name="IQ_ECO_METRIC_7265_UNUSED">"c7265"</definedName>
    <definedName name="IQ_ECO_METRIC_7265_UNUSED_UNUSED_UNUSED">"c7265"</definedName>
    <definedName name="IQ_ECO_METRIC_7279_UNUSED">"c7279"</definedName>
    <definedName name="IQ_ECO_METRIC_7279_UNUSED_UNUSED_UNUSED">"c7279"</definedName>
    <definedName name="IQ_ECO_METRIC_7336_UNUSED">"c7336"</definedName>
    <definedName name="IQ_ECO_METRIC_7336_UNUSED_UNUSED_UNUSED">"c7336"</definedName>
    <definedName name="IQ_ECO_METRIC_7337_UNUSED">"c7337"</definedName>
    <definedName name="IQ_ECO_METRIC_7337_UNUSED_UNUSED_UNUSED">"c7337"</definedName>
    <definedName name="IQ_ECO_METRIC_7367">"c7367"</definedName>
    <definedName name="IQ_ECO_METRIC_7428_UNUSED">"c7428"</definedName>
    <definedName name="IQ_ECO_METRIC_7428_UNUSED_UNUSED_UNUSED">"c7428"</definedName>
    <definedName name="IQ_ECO_METRIC_7556_UNUSED">"c7556"</definedName>
    <definedName name="IQ_ECO_METRIC_7556_UNUSED_UNUSED_UNUSED">"c7556"</definedName>
    <definedName name="IQ_ECO_METRIC_7557_UNUSED">"c7557"</definedName>
    <definedName name="IQ_ECO_METRIC_7557_UNUSED_UNUSED_UNUSED">"c7557"</definedName>
    <definedName name="IQ_ECO_METRIC_7587">"c7587"</definedName>
    <definedName name="IQ_ECO_METRIC_7648_UNUSED">"c7648"</definedName>
    <definedName name="IQ_ECO_METRIC_7648_UNUSED_UNUSED_UNUSED">"c7648"</definedName>
    <definedName name="IQ_ECO_METRIC_7704">"c7704"</definedName>
    <definedName name="IQ_ECO_METRIC_7705_UNUSED">"c7705"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>"c7719"</definedName>
    <definedName name="IQ_ECO_METRIC_7776_UNUSED">"c7776"</definedName>
    <definedName name="IQ_ECO_METRIC_7776_UNUSED_UNUSED_UNUSED">"c7776"</definedName>
    <definedName name="IQ_ECO_METRIC_7777_UNUSED">"c7777"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>"c7939"</definedName>
    <definedName name="IQ_ECO_METRIC_7996_UNUSED">"c7996"</definedName>
    <definedName name="IQ_ECO_METRIC_7996_UNUSED_UNUSED_UNUSED">"c7996"</definedName>
    <definedName name="IQ_ECO_METRIC_7997_UNUSED">"c7997"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>"c8159"</definedName>
    <definedName name="IQ_ECO_METRIC_8216_UNUSED">"c8216"</definedName>
    <definedName name="IQ_ECO_METRIC_8216_UNUSED_UNUSED_UNUSED">"c8216"</definedName>
    <definedName name="IQ_ECO_METRIC_8217_UNUSED">"c8217"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>"c8436"</definedName>
    <definedName name="IQ_ECO_METRIC_8437_UNUSED">"c8437"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REUT">"c5460"</definedName>
    <definedName name="IQ_EPS_AP">"c8880"</definedName>
    <definedName name="IQ_EPS_AP_ABS">"c8899"</definedName>
    <definedName name="IQ_EPS_EST">"c399"</definedName>
    <definedName name="IQ_EPS_EST_1">"IQ_EPS_EST_1"</definedName>
    <definedName name="IQ_EPS_EST_BOTTOM_UP">"c5489"</definedName>
    <definedName name="IQ_EPS_EST_BOTTOM_UP_REUT">"c5497"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REUT">"c5389"</definedName>
    <definedName name="IQ_EPS_GW_GUIDANCE">"c4372"</definedName>
    <definedName name="IQ_EPS_GW_HIGH_EST">"c1739"</definedName>
    <definedName name="IQ_EPS_GW_HIGH_EST_REUT">"c5391"</definedName>
    <definedName name="IQ_EPS_GW_HIGH_GUIDANCE">"c4373"</definedName>
    <definedName name="IQ_EPS_GW_LOW_EST">"c1740"</definedName>
    <definedName name="IQ_EPS_GW_LOW_EST_REUT">"c5392"</definedName>
    <definedName name="IQ_EPS_GW_LOW_GUIDANCE">"c4206"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EST">"c4375"</definedName>
    <definedName name="IQ_EPS_SBC_GUIDANCE">"c4377"</definedName>
    <definedName name="IQ_EPS_SBC_GW_ACT_OR_EST">"c4380"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REUT">"c5452"</definedName>
    <definedName name="IQ_EQUITY_AFFIL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>"c6744"</definedName>
    <definedName name="IQ_EQUITY_CAPITAL_QUARTERLY_AVG_FFIEC">"c13092"</definedName>
    <definedName name="IQ_EQUITY_ENDING_FFIEC">"c12973"</definedName>
    <definedName name="IQ_EQUITY_FDIC">"c6353"</definedName>
    <definedName name="IQ_EQUITY_INDEX_EXPOSURE_FFIEC">"c13060"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>"c6304"</definedName>
    <definedName name="IQ_EQUITY_SECURITIES_WITHOUT_FAIR_VALUES_FFIEC">"c12846"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OP_DEBT_GUARANTEED_FFIEC">"c12971"</definedName>
    <definedName name="IQ_EST_ACT_BV">"c5630"</definedName>
    <definedName name="IQ_EST_ACT_BV_REUT">"c5409"</definedName>
    <definedName name="IQ_EST_ACT_BV_SHARE">"c3549"</definedName>
    <definedName name="IQ_EST_ACT_BV_SHARE_REUT">"c5445"</definedName>
    <definedName name="IQ_EST_ACT_BV_THOM">"c5153"</definedName>
    <definedName name="IQ_EST_ACT_CAPEX">"c3546"</definedName>
    <definedName name="IQ_EST_ACT_CAPEX_REUT">"c3975"</definedName>
    <definedName name="IQ_EST_ACT_CASH_EPS">"c5637"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GROSS_MARGIN">"c5553"</definedName>
    <definedName name="IQ_EST_ACT_MAINT_CAPEX">"c4408"</definedName>
    <definedName name="IQ_EST_ACT_NAV">"c1757"</definedName>
    <definedName name="IQ_EST_ACT_NAV_SHARE">"c5608"</definedName>
    <definedName name="IQ_EST_ACT_NAV_SHARE_REUT">"c5616"</definedName>
    <definedName name="IQ_EST_ACT_NET_DEBT">"c3545"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DIFF_THOM">"c5204"</definedName>
    <definedName name="IQ_EST_BV_SHARE_DIFF">"c4147"</definedName>
    <definedName name="IQ_EST_BV_SHARE_SURPRISE_PERCENT">"c4148"</definedName>
    <definedName name="IQ_EST_BV_SURPRISE_PERCENT_REUT">"c5434"</definedName>
    <definedName name="IQ_EST_BV_SURPRISE_PERCENT_THOM">"c5205"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AIR_VALUE_MORT_SERVICING_ASSETS_FFIEC">"c12956"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OOTNOTE">"c4540"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NO_OPINION">"c1758"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"001"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>"c8401"</definedName>
    <definedName name="IQ_EXPORTS_APR_UNUSED">"c7521"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>"c8512"</definedName>
    <definedName name="IQ_EXPORTS_GOODS_REAL_SAAR_APR_UNUSED">"c7632"</definedName>
    <definedName name="IQ_EXPORTS_GOODS_REAL_SAAR_APR_UNUSED_UNUSED_UNUSED">"c7632"</definedName>
    <definedName name="IQ_EXPORTS_GOODS_REAL_SAAR_FC_UNUSED">"c7852"</definedName>
    <definedName name="IQ_EXPORTS_GOODS_REAL_SAAR_FC_UNUSED_UNUSED_UNUSED">"c7852"</definedName>
    <definedName name="IQ_EXPORTS_GOODS_REAL_SAAR_POP">"c11931"</definedName>
    <definedName name="IQ_EXPORTS_GOODS_REAL_SAAR_POP_FC_UNUSED">"c8072"</definedName>
    <definedName name="IQ_EXPORTS_GOODS_REAL_SAAR_POP_FC_UNUSED_UNUSED_UNUSED">"c8072"</definedName>
    <definedName name="IQ_EXPORTS_GOODS_REAL_SAAR_POP_UNUSED">"c7192"</definedName>
    <definedName name="IQ_EXPORTS_GOODS_REAL_SAAR_POP_UNUSED_UNUSED_UNUSED">"c7192"</definedName>
    <definedName name="IQ_EXPORTS_GOODS_REAL_SAAR_UNUSED">"c6972"</definedName>
    <definedName name="IQ_EXPORTS_GOODS_REAL_SAAR_UNUSED_UNUSED_UNUSED">"c6972"</definedName>
    <definedName name="IQ_EXPORTS_GOODS_REAL_SAAR_YOY">"c11932"</definedName>
    <definedName name="IQ_EXPORTS_GOODS_REAL_SAAR_YOY_FC_UNUSED">"c8292"</definedName>
    <definedName name="IQ_EXPORTS_GOODS_REAL_SAAR_YOY_FC_UNUSED_UNUSED_UNUSED">"c8292"</definedName>
    <definedName name="IQ_EXPORTS_GOODS_REAL_SAAR_YOY_UNUSED">"c7412"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>"c7961"</definedName>
    <definedName name="IQ_EXPORTS_POP_UNUSED">"c7081"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>"c8516"</definedName>
    <definedName name="IQ_EXPORTS_SERVICES_REAL_SAAR_APR_UNUSED">"c7636"</definedName>
    <definedName name="IQ_EXPORTS_SERVICES_REAL_SAAR_APR_UNUSED_UNUSED_UNUSED">"c7636"</definedName>
    <definedName name="IQ_EXPORTS_SERVICES_REAL_SAAR_FC_UNUSED">"c7856"</definedName>
    <definedName name="IQ_EXPORTS_SERVICES_REAL_SAAR_FC_UNUSED_UNUSED_UNUSED">"c7856"</definedName>
    <definedName name="IQ_EXPORTS_SERVICES_REAL_SAAR_POP">"c11935"</definedName>
    <definedName name="IQ_EXPORTS_SERVICES_REAL_SAAR_POP_FC_UNUSED">"c8076"</definedName>
    <definedName name="IQ_EXPORTS_SERVICES_REAL_SAAR_POP_FC_UNUSED_UNUSED_UNUSED">"c8076"</definedName>
    <definedName name="IQ_EXPORTS_SERVICES_REAL_SAAR_POP_UNUSED">"c7196"</definedName>
    <definedName name="IQ_EXPORTS_SERVICES_REAL_SAAR_POP_UNUSED_UNUSED_UNUSED">"c7196"</definedName>
    <definedName name="IQ_EXPORTS_SERVICES_REAL_SAAR_UNUSED">"c6976"</definedName>
    <definedName name="IQ_EXPORTS_SERVICES_REAL_SAAR_UNUSED_UNUSED_UNUSED">"c6976"</definedName>
    <definedName name="IQ_EXPORTS_SERVICES_REAL_SAAR_YOY">"c11936"</definedName>
    <definedName name="IQ_EXPORTS_SERVICES_REAL_SAAR_YOY_FC_UNUSED">"c8296"</definedName>
    <definedName name="IQ_EXPORTS_SERVICES_REAL_SAAR_YOY_FC_UNUSED_UNUSED_UNUSED">"c8296"</definedName>
    <definedName name="IQ_EXPORTS_SERVICES_REAL_SAAR_YOY_UNUSED">"c7416"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>"c8181"</definedName>
    <definedName name="IQ_EXPORTS_YOY_UNUSED">"c7301"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"c1459"</definedName>
    <definedName name="IQ_EXTRAORDINARY_GAINS_FDIC">"c6586"</definedName>
    <definedName name="IQ_EXTRAORDINARY_ITEMS_FFIEC">"c13033"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DOM_FFIEC">"c12856"</definedName>
    <definedName name="IQ_FED_FUNDS_PURCHASED_FDIC">"c6343"</definedName>
    <definedName name="IQ_FED_FUNDS_PURCHASED_QUARTERLY_AVG_FFIEC">"c13090"</definedName>
    <definedName name="IQ_FED_FUNDS_SOLD_DOM_FFIEC">"c12806"</definedName>
    <definedName name="IQ_FED_FUNDS_SOLD_FDIC">"c6307"</definedName>
    <definedName name="IQ_FED_FUNDS_SOLD_QUARTERLY_AVG_FFIEC">"c13080"</definedName>
    <definedName name="IQ_FEDFUNDS_SOLD">"c2256"</definedName>
    <definedName name="IQ_FEES_COMMISSIONS_BROKERAGE_FFIEC">"c13005"</definedName>
    <definedName name="IQ_FFO">"c1574"</definedName>
    <definedName name="IQ_FFO_ACT_OR_EST">"c2216"</definedName>
    <definedName name="IQ_FFO_ADJ_ACT_OR_EST">"c4435"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GUIDANCE">"c4443"</definedName>
    <definedName name="IQ_FFO_HIGH_EST">"c419"</definedName>
    <definedName name="IQ_FFO_HIGH_EST_REUT">"c3839"</definedName>
    <definedName name="IQ_FFO_HIGH_GUIDANCE">"c4184"</definedName>
    <definedName name="IQ_FFO_LOW_EST">"c420"</definedName>
    <definedName name="IQ_FFO_LOW_EST_REUT">"c3840"</definedName>
    <definedName name="IQ_FFO_LOW_GUIDANCE">"c4224"</definedName>
    <definedName name="IQ_FFO_MEDIAN_EST">"c1665"</definedName>
    <definedName name="IQ_FFO_MEDIAN_EST_REUT">"c3838"</definedName>
    <definedName name="IQ_FFO_NUM_EST">"c421"</definedName>
    <definedName name="IQ_FFO_NUM_EST_REUT">"c3841"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DUCIARY_INCOME_OPERATING_INC_FFIEC">"c13383"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_REUT">"c6798"</definedName>
    <definedName name="IQ_FISCAL_Y">"c441"</definedName>
    <definedName name="IQ_FISCAL_Y_EST_REUT">"c6799"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>"c8410"</definedName>
    <definedName name="IQ_FIXED_INVEST_APR_UNUSED">"c7530"</definedName>
    <definedName name="IQ_FIXED_INVEST_APR_UNUSED_UNUSED_UNUSED">"c7530"</definedName>
    <definedName name="IQ_FIXED_INVEST_FC_UNUSED">"c7750"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>"c7970"</definedName>
    <definedName name="IQ_FIXED_INVEST_POP_UNUSED">"c7090"</definedName>
    <definedName name="IQ_FIXED_INVEST_POP_UNUSED_UNUSED_UNUSED">"c7090"</definedName>
    <definedName name="IQ_FIXED_INVEST_REAL_APR_FC_UNUSED">"c8518"</definedName>
    <definedName name="IQ_FIXED_INVEST_REAL_APR_FC_UNUSED_UNUSED_UNUSED">"c8518"</definedName>
    <definedName name="IQ_FIXED_INVEST_REAL_APR_UNUSED">"c7638"</definedName>
    <definedName name="IQ_FIXED_INVEST_REAL_APR_UNUSED_UNUSED_UNUSED">"c7638"</definedName>
    <definedName name="IQ_FIXED_INVEST_REAL_FC_UNUSED">"c7858"</definedName>
    <definedName name="IQ_FIXED_INVEST_REAL_FC_UNUSED_UNUSED_UNUSED">"c7858"</definedName>
    <definedName name="IQ_FIXED_INVEST_REAL_POP_FC_UNUSED">"c8078"</definedName>
    <definedName name="IQ_FIXED_INVEST_REAL_POP_FC_UNUSED_UNUSED_UNUSED">"c8078"</definedName>
    <definedName name="IQ_FIXED_INVEST_REAL_POP_UNUSED">"c7198"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>"c8298"</definedName>
    <definedName name="IQ_FIXED_INVEST_REAL_YOY_UNUSED">"c7418"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>"c8190"</definedName>
    <definedName name="IQ_FIXED_INVEST_YOY_UNUSED">"c7310"</definedName>
    <definedName name="IQ_FIXED_INVEST_YOY_UNUSED_UNUSED_UNUSED">"c7310"</definedName>
    <definedName name="IQ_FLOAT">"c225"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DUE_30_89_FFIEC">"c13269"</definedName>
    <definedName name="IQ_FOREIGN_BANKS_DUE_90_FFIEC">"c13295"</definedName>
    <definedName name="IQ_FOREIGN_BANKS_LOAN_CHARG_OFFS_FDIC">"c6645"</definedName>
    <definedName name="IQ_FOREIGN_BANKS_NET_CHARGE_OFFS_FDIC">"c6647"</definedName>
    <definedName name="IQ_FOREIGN_BANKS_NON_ACCRUAL_FFIEC">"c13321"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>"c6549"</definedName>
    <definedName name="IQ_FOREIGN_DEPOSITS_TOT_FFIEC">"c13486"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L_REC_FFIEC">"c12892"</definedName>
    <definedName name="IQ_FOREIGN_LOANS">"c448"</definedName>
    <definedName name="IQ_FOREIGN_LOANS_LEASES_FOREIGN_FFIEC">"c13478"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ND_FEE_INC_NON_INT_INC_FFIEC">"c13493"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FFIEC">"c13125"</definedName>
    <definedName name="IQ_FX_CONTRACTS_SPOT_FDIC">"c6356"</definedName>
    <definedName name="IQ_FX_EXPOSURE_FFIEC">"c13059"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FFIEC">"c12836"</definedName>
    <definedName name="IQ_GOODWILL_IMPAIRMENT_FDIC">"c6678"</definedName>
    <definedName name="IQ_GOODWILL_IMPAIRMENT_FFIEC">"c13025"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_AVG_LOANS_FFIEC">"c13475"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TARGET_PRICE">"c1651"</definedName>
    <definedName name="IQ_HIGH_TARGET_PRICE_REUT">"c5317"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>"c8422"</definedName>
    <definedName name="IQ_HOUSING_COMPLETIONS_SINGLE_FAM_APR_UNUSED">"c7542"</definedName>
    <definedName name="IQ_HOUSING_COMPLETIONS_SINGLE_FAM_APR_UNUSED_UNUSED_UNUSED">"c7542"</definedName>
    <definedName name="IQ_HOUSING_COMPLETIONS_SINGLE_FAM_FC_UNUSED">"c7762"</definedName>
    <definedName name="IQ_HOUSING_COMPLETIONS_SINGLE_FAM_FC_UNUSED_UNUSED_UNUSED">"c7762"</definedName>
    <definedName name="IQ_HOUSING_COMPLETIONS_SINGLE_FAM_POP_FC_UNUSED">"c7982"</definedName>
    <definedName name="IQ_HOUSING_COMPLETIONS_SINGLE_FAM_POP_FC_UNUSED_UNUSED_UNUSED">"c7982"</definedName>
    <definedName name="IQ_HOUSING_COMPLETIONS_SINGLE_FAM_POP_UNUSED">"c7102"</definedName>
    <definedName name="IQ_HOUSING_COMPLETIONS_SINGLE_FAM_POP_UNUSED_UNUSED_UNUSED">"c7102"</definedName>
    <definedName name="IQ_HOUSING_COMPLETIONS_SINGLE_FAM_UNUSED">"c6882"</definedName>
    <definedName name="IQ_HOUSING_COMPLETIONS_SINGLE_FAM_UNUSED_UNUSED_UNUSED">"c6882"</definedName>
    <definedName name="IQ_HOUSING_COMPLETIONS_SINGLE_FAM_YOY_FC_UNUSED">"c8202"</definedName>
    <definedName name="IQ_HOUSING_COMPLETIONS_SINGLE_FAM_YOY_FC_UNUSED_UNUSED_UNUSED">"c8202"</definedName>
    <definedName name="IQ_HOUSING_COMPLETIONS_SINGLE_FAM_YOY_UNUSED">"c7322"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>"c8523"</definedName>
    <definedName name="IQ_IMPORTS_GOODS_REAL_SAAR_APR_UNUSED">"c7643"</definedName>
    <definedName name="IQ_IMPORTS_GOODS_REAL_SAAR_APR_UNUSED_UNUSED_UNUSED">"c7643"</definedName>
    <definedName name="IQ_IMPORTS_GOODS_REAL_SAAR_FC_UNUSED">"c7863"</definedName>
    <definedName name="IQ_IMPORTS_GOODS_REAL_SAAR_FC_UNUSED_UNUSED_UNUSED">"c7863"</definedName>
    <definedName name="IQ_IMPORTS_GOODS_REAL_SAAR_POP_FC_UNUSED">"c8083"</definedName>
    <definedName name="IQ_IMPORTS_GOODS_REAL_SAAR_POP_FC_UNUSED_UNUSED_UNUSED">"c8083"</definedName>
    <definedName name="IQ_IMPORTS_GOODS_REAL_SAAR_POP_UNUSED">"c7203"</definedName>
    <definedName name="IQ_IMPORTS_GOODS_REAL_SAAR_POP_UNUSED_UNUSED_UNUSED">"c7203"</definedName>
    <definedName name="IQ_IMPORTS_GOODS_REAL_SAAR_UNUSED">"c6983"</definedName>
    <definedName name="IQ_IMPORTS_GOODS_REAL_SAAR_UNUSED_UNUSED_UNUSED">"c6983"</definedName>
    <definedName name="IQ_IMPORTS_GOODS_REAL_SAAR_YOY_FC_UNUSED">"c8303"</definedName>
    <definedName name="IQ_IMPORTS_GOODS_REAL_SAAR_YOY_FC_UNUSED_UNUSED_UNUSED">"c8303"</definedName>
    <definedName name="IQ_IMPORTS_GOODS_REAL_SAAR_YOY_UNUSED">"c7423"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>"c8429"</definedName>
    <definedName name="IQ_IMPORTS_GOODS_SERVICES_APR_UNUSED">"c7549"</definedName>
    <definedName name="IQ_IMPORTS_GOODS_SERVICES_APR_UNUSED_UNUSED_UNUSED">"c7549"</definedName>
    <definedName name="IQ_IMPORTS_GOODS_SERVICES_FC_UNUSED">"c7769"</definedName>
    <definedName name="IQ_IMPORTS_GOODS_SERVICES_FC_UNUSED_UNUSED_UNUSED">"c7769"</definedName>
    <definedName name="IQ_IMPORTS_GOODS_SERVICES_POP_FC_UNUSED">"c7989"</definedName>
    <definedName name="IQ_IMPORTS_GOODS_SERVICES_POP_FC_UNUSED_UNUSED_UNUSED">"c7989"</definedName>
    <definedName name="IQ_IMPORTS_GOODS_SERVICES_POP_UNUSED">"c7109"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>"c8524"</definedName>
    <definedName name="IQ_IMPORTS_GOODS_SERVICES_REAL_SAAR_APR_UNUSED">"c7644"</definedName>
    <definedName name="IQ_IMPORTS_GOODS_SERVICES_REAL_SAAR_APR_UNUSED_UNUSED_UNUSED">"c7644"</definedName>
    <definedName name="IQ_IMPORTS_GOODS_SERVICES_REAL_SAAR_FC_UNUSED">"c7864"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>"c8084"</definedName>
    <definedName name="IQ_IMPORTS_GOODS_SERVICES_REAL_SAAR_POP_UNUSED">"c7204"</definedName>
    <definedName name="IQ_IMPORTS_GOODS_SERVICES_REAL_SAAR_POP_UNUSED_UNUSED_UNUSED">"c7204"</definedName>
    <definedName name="IQ_IMPORTS_GOODS_SERVICES_REAL_SAAR_UNUSED">"c6984"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>"c8304"</definedName>
    <definedName name="IQ_IMPORTS_GOODS_SERVICES_REAL_SAAR_YOY_UNUSED">"c7424"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>"c8209"</definedName>
    <definedName name="IQ_IMPORTS_GOODS_SERVICES_YOY_UNUSED">"c7329"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DOM_LOANS_FFIEC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CHECKS_FFIEC">"c13040"</definedName>
    <definedName name="IQ_INCOME_EARNED_FDIC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ES_FDIC">"c6582"</definedName>
    <definedName name="IQ_INCOME_TAXES_FFIEC">"c13030"</definedName>
    <definedName name="IQ_INCREASE_INT_INCOME_FFIEC">"c13063"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GROSS_LOANS_FFIEC">"c13411"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REINSURANCE_UNDERWRITING_INCOME_FFIEC">"c13008"</definedName>
    <definedName name="IQ_INSURANCE_REV_OPERATING_INC_FFIEC">"c13387"</definedName>
    <definedName name="IQ_INSURANCE_UNDERWRITING_INCOME_FDIC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>"c6564"</definedName>
    <definedName name="IQ_INT_EXP_AVG_ASSETS_FFIEC">"c13357"</definedName>
    <definedName name="IQ_INT_EXP_BR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SECURED_RE_DOM_FFIEC">"c12977"</definedName>
    <definedName name="IQ_INT_FEE_INCOME_FFIEC">"c12974"</definedName>
    <definedName name="IQ_INT_FOREIGN_DEPOSITS_FDIC">"c6565"</definedName>
    <definedName name="IQ_INT_INC_AVG_ASSETS_FFIEC">"c13356"</definedName>
    <definedName name="IQ_INT_INC_BR">"c593"</definedName>
    <definedName name="IQ_INT_INC_DEPOSITORY_INST_FDIC">"c6558"</definedName>
    <definedName name="IQ_INT_INC_DOM_LOANS_FDIC">"c6555"</definedName>
    <definedName name="IQ_INT_INC_DUE_DEPOSITORY_INSTITUTIONS_FFIEC">"c12981"</definedName>
    <definedName name="IQ_INT_INC_EARNING_ASSETS_FFIEC">"c13375"</definedName>
    <definedName name="IQ_INT_INC_FED_FUNDS_FDIC">"c6561"</definedName>
    <definedName name="IQ_INT_INC_FED_FUNDS_SOLD_FFIEC">"c12987"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TRADING_ASSETS_FFIEC">"c12986"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UB_NOTES_FDIC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ANGIBLES_NET">"c1407"</definedName>
    <definedName name="IQ_INTEREST_BEARING_BALANCES_FDIC">"c6371"</definedName>
    <definedName name="IQ_INTEREST_BEARING_CASH_FOREIGN_FFIEC">"c12776"</definedName>
    <definedName name="IQ_INTEREST_BEARING_CASH_US_FFIEC">"c12775"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>"c6666"</definedName>
    <definedName name="IQ_IPRD">"c644"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>"c8443"</definedName>
    <definedName name="IQ_ISM_SERVICES_APR_UNUSED">"c7563"</definedName>
    <definedName name="IQ_ISM_SERVICES_APR_UNUSED_UNUSED_UNUSED">"c7563"</definedName>
    <definedName name="IQ_ISM_SERVICES_FC_UNUSED">"c7783"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>"c8003"</definedName>
    <definedName name="IQ_ISM_SERVICES_POP_UNUSED">"c7123"</definedName>
    <definedName name="IQ_ISM_SERVICES_POP_UNUSED_UNUSED_UNUSED">"c7123"</definedName>
    <definedName name="IQ_ISM_SERVICES_UNUSED">"c6903"</definedName>
    <definedName name="IQ_ISM_SERVICES_UNUSED_UNUSED_UNUSED">"c6903"</definedName>
    <definedName name="IQ_ISM_SERVICES_YOY_FC_UNUSED">"c8223"</definedName>
    <definedName name="IQ_ISM_SERVICES_YOY_FC_UNUSED_UNUSED_UNUSED">"c8223"</definedName>
    <definedName name="IQ_ISM_SERVICES_YOY_UNUSED">"c7343"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_MONTHLY_FACTOR">"c8971"</definedName>
    <definedName name="IQ_LATEST_MONTHLY_FACTOR_DATE">"c8972"</definedName>
    <definedName name="IQ_LATESTK">1000</definedName>
    <definedName name="IQ_LATESTKFR">"100"</definedName>
    <definedName name="IQ_LATESTQ">500</definedName>
    <definedName name="IQ_LATESTQFR">"50"</definedName>
    <definedName name="IQ_LEAD_UNDERWRITER">"c8957"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>"c6602"</definedName>
    <definedName name="IQ_LEASE_FINANCING_RECEIVABLES_DOM_FFIEC">"c12915"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ASE_RECEIVABLES_FOREIGN_FFIEC">"c13483"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Y_ACCEPTANCES_OUT_FFIEC">"c12866"</definedName>
    <definedName name="IQ_LIABILITY_SHORT_POSITIONS_DOM_FFIEC">"c12941"</definedName>
    <definedName name="IQ_LICENSED_POPS">"c2123"</definedName>
    <definedName name="IQ_LIFE_EARNED">"c2739"</definedName>
    <definedName name="IQ_LIFE_INSURANCE_ASSETS_FDIC">"c6372"</definedName>
    <definedName name="IQ_LIFE_INSURANCE_ASSETS_FFIEC">"c12847"</definedName>
    <definedName name="IQ_LIFOR">"c655"</definedName>
    <definedName name="IQ_LIQUID_ASSETS_ASSETS_TOT_FFIEC">"c13439"</definedName>
    <definedName name="IQ_LIQUID_ASSETS_NONCORE_FUNDING_FFIEC">"c13339"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AVERAGE_LOANS_FFIEC">"c13350"</definedName>
    <definedName name="IQ_LOAN_LOSSES_FDIC">"c6580"</definedName>
    <definedName name="IQ_LOAN_SERVICE_REV">"c658"</definedName>
    <definedName name="IQ_LOANS_AGRICULTURAL_PROD_LL_REC_FFIEC">"c12886"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ELD_SALE_FFIEC">"c12808"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>"c6327"</definedName>
    <definedName name="IQ_LOANS_LEASES_NET_UNEARNED_FDIC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>"c6588"</definedName>
    <definedName name="IQ_LOANS_SECURED_BY_RE_RECOVERIES_FDIC">"c6607"</definedName>
    <definedName name="IQ_LOANS_SECURED_CONSTRUCTION_TRADING_DOM_FFIEC">"c12925"</definedName>
    <definedName name="IQ_LOANS_SECURED_FARMLAND_TRADING_DOM_FFIEC">"c12926"</definedName>
    <definedName name="IQ_LOANS_SECURED_NON_US_FDIC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ANS_US_INST_CHARGE_OFFS_FFIEC">"c13175"</definedName>
    <definedName name="IQ_LOANS_US_INST_RECOV_FFIEC">"c13197"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AVAIL_SALE_EQUITY_SEC_T1_FFIEC">"c13132"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>"c8460"</definedName>
    <definedName name="IQ_MEDIAN_NEW_HOME_SALES_APR_UNUSED">"c7580"</definedName>
    <definedName name="IQ_MEDIAN_NEW_HOME_SALES_APR_UNUSED_UNUSED_UNUSED">"c7580"</definedName>
    <definedName name="IQ_MEDIAN_NEW_HOME_SALES_FC_UNUSED">"c7800"</definedName>
    <definedName name="IQ_MEDIAN_NEW_HOME_SALES_FC_UNUSED_UNUSED_UNUSED">"c7800"</definedName>
    <definedName name="IQ_MEDIAN_NEW_HOME_SALES_POP_FC_UNUSED">"c8020"</definedName>
    <definedName name="IQ_MEDIAN_NEW_HOME_SALES_POP_FC_UNUSED_UNUSED_UNUSED">"c8020"</definedName>
    <definedName name="IQ_MEDIAN_NEW_HOME_SALES_POP_UNUSED">"c7140"</definedName>
    <definedName name="IQ_MEDIAN_NEW_HOME_SALES_POP_UNUSED_UNUSED_UNUSED">"c7140"</definedName>
    <definedName name="IQ_MEDIAN_NEW_HOME_SALES_UNUSED">"c6920"</definedName>
    <definedName name="IQ_MEDIAN_NEW_HOME_SALES_UNUSED_UNUSED_UNUSED">"c6920"</definedName>
    <definedName name="IQ_MEDIAN_NEW_HOME_SALES_YOY_FC_UNUSED">"c8240"</definedName>
    <definedName name="IQ_MEDIAN_NEW_HOME_SALES_YOY_FC_UNUSED_UNUSED_UNUSED">"c8240"</definedName>
    <definedName name="IQ_MEDIAN_NEW_HOME_SALES_YOY_UNUSED">"c7360"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ACCOUNTS_COMMERCIAL_BANK_SUBS_FFIEC">"c12947"</definedName>
    <definedName name="IQ_MONEY_MARKET_ACCOUNTS_OTHER_INSTITUTIONS_FFIEC">"c12952"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ASSETS_FFIEC">"c12838"</definedName>
    <definedName name="IQ_MORTGAGE_SERVICING_FDIC">"c6335"</definedName>
    <definedName name="IQ_MTD">800000</definedName>
    <definedName name="IQ_MULTI_RES_PROPERTIES_TRADING_DOM_FFIEC">"c12930"</definedName>
    <definedName name="IQ_MULTIFAMILY_LOANS_GROSS_LOANS_FFIEC">"c13404"</definedName>
    <definedName name="IQ_MULTIFAMILY_LOANS_RISK_BASED_FFIEC">"c13425"</definedName>
    <definedName name="IQ_MULTIFAMILY_RESIDENTIAL_LOANS_FDIC">"c6311"</definedName>
    <definedName name="IQ_MUNICIPAL_INVEST_SECURITIES_FFIEC">"c13459"</definedName>
    <definedName name="IQ_Name_Revision_Date_">43594.8314467593</definedName>
    <definedName name="IQ_Name_Revisions_Date_">43594.8314467593</definedName>
    <definedName name="IQ_NAMES_REVISION_DATE_">"02/15/2025 07:26:02"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"c5615"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EGATIVE_FAIR_VALUE_DERIVATIVES_BENEFICIARY_FFIEC">"c13124"</definedName>
    <definedName name="IQ_NEGATIVE_FAIR_VALUE_DERIVATIVES_GUARANTOR_FFIEC">"c13117"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FUNDS_PURCHASED_ASSETS_TOT_FFIEC">"c13448"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>"c6587"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>"c5368"</definedName>
    <definedName name="IQ_NI_FFIEC">"c13034"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>"c1723"</definedName>
    <definedName name="IQ_NI_GW_EST_REUT">"c5375"</definedName>
    <definedName name="IQ_NI_GW_GUIDANCE">"c4471"</definedName>
    <definedName name="IQ_NI_GW_HIGH_EST">"c1725"</definedName>
    <definedName name="IQ_NI_GW_HIGH_EST_REUT">"c5377"</definedName>
    <definedName name="IQ_NI_GW_HIGH_GUIDANCE">"c4178"</definedName>
    <definedName name="IQ_NI_GW_LOW_EST">"c1726"</definedName>
    <definedName name="IQ_NI_GW_LOW_EST_REUT">"c5378"</definedName>
    <definedName name="IQ_NI_GW_LOW_GUIDANCE">"c4218"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EST">"c4473"</definedName>
    <definedName name="IQ_NI_SBC_GUIDANCE">"c4475"</definedName>
    <definedName name="IQ_NI_SBC_GW_ACT_OR_EST">"c4478"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LOANS">"c796"</definedName>
    <definedName name="IQ_NON_CASH">"c1399"</definedName>
    <definedName name="IQ_NON_CASH_ITEMS">"c797"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_INC_OPERATING_INC_FFIEC">"c13382"</definedName>
    <definedName name="IQ_NON_INT_INCOME_FFIEC">"c13017"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_LEASE_FIN_REC_FFIEC">"c13625"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CASH_FFIEC">"c12774"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>"c8468"</definedName>
    <definedName name="IQ_NONRES_FIXED_INVEST_PRIV_APR_UNUSED">"c7588"</definedName>
    <definedName name="IQ_NONRES_FIXED_INVEST_PRIV_APR_UNUSED_UNUSED_UNUSED">"c7588"</definedName>
    <definedName name="IQ_NONRES_FIXED_INVEST_PRIV_FC_UNUSED">"c7808"</definedName>
    <definedName name="IQ_NONRES_FIXED_INVEST_PRIV_FC_UNUSED_UNUSED_UNUSED">"c7808"</definedName>
    <definedName name="IQ_NONRES_FIXED_INVEST_PRIV_POP_FC_UNUSED">"c8028"</definedName>
    <definedName name="IQ_NONRES_FIXED_INVEST_PRIV_POP_FC_UNUSED_UNUSED_UNUSED">"c8028"</definedName>
    <definedName name="IQ_NONRES_FIXED_INVEST_PRIV_POP_UNUSED">"c7148"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>"c8248"</definedName>
    <definedName name="IQ_NONRES_FIXED_INVEST_PRIV_YOY_UNUSED">"c7368"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>"c6552"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AMT_DERIVATIVES_BENEFICIARY_FFIEC">"c13118"</definedName>
    <definedName name="IQ_NOTIONAL_AMT_DERIVATIVES_GUARANTOR_FFIEC">"c13111"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FIEC">"c12831"</definedName>
    <definedName name="IQ_OREO_FOREIGN_FDIC">"c6460"</definedName>
    <definedName name="IQ_OREO_MULTI_FAMILY_RESIDENTIAL_FDIC">"c6455"</definedName>
    <definedName name="IQ_OREO_OTHER_FFIEC">"c12833"</definedName>
    <definedName name="IQ_OTHER_ADDITIONS_T1_FFIEC">"c13142"</definedName>
    <definedName name="IQ_OTHER_ADDITIONS_T2_FFIEC">"c13148"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FIEC">"c12862"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DUCTIONS_LEVERAGE_RATIO_FFIEC">"c13158"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EPOSITS_FFIEC">"c12994"</definedName>
    <definedName name="IQ_OTHER_DERIVATIVES_BENEFICIARY_FFIEC">"c13122"</definedName>
    <definedName name="IQ_OTHER_DERIVATIVES_GUARANTOR_FFIEC">"c13115"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NSURANCE_FEES_FDIC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>"c6322"</definedName>
    <definedName name="IQ_OTHER_LOANS_LL_REC_DOM_FFIEC">"c12914"</definedName>
    <definedName name="IQ_OTHER_LOANS_NET_CHARGE_OFFS_FDIC">"c6639"</definedName>
    <definedName name="IQ_OTHER_LOANS_NON_ACCRUAL_FFIEC">"c13327"</definedName>
    <definedName name="IQ_OTHER_LOANS_RECOVERIES_FDIC">"c6620"</definedName>
    <definedName name="IQ_OTHER_LOANS_RISK_BASED_FFIEC">"c13435"</definedName>
    <definedName name="IQ_OTHER_LOANS_TOTAL_FDIC">"c6432"</definedName>
    <definedName name="IQ_OTHER_LOANS_TRADING_DOM_FFIEC">"c12936"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NET">"c1453"</definedName>
    <definedName name="IQ_OTHER_NON_INT_ALLOCATIONS_FFIEC">"c13065"</definedName>
    <definedName name="IQ_OTHER_NON_INT_EXP">"c953"</definedName>
    <definedName name="IQ_OTHER_NON_INT_EXP_FDIC">"c6578"</definedName>
    <definedName name="IQ_OTHER_NON_INT_EXP_FFIEC">"c13027"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OFF_BS_ITEMS_FFIEC">"c13126"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DING_ASSETS_FFIEC">"c12826"</definedName>
    <definedName name="IQ_OTHER_TRADING_ASSETS_TOTAL_FFIEC">"c12937"</definedName>
    <definedName name="IQ_OTHER_TRADING_LIABILITIES_FFIEC">"c12860"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ED_FFIEC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>"c2160"</definedName>
    <definedName name="IQ_PART_TIME">"c1024"</definedName>
    <definedName name="IQ_PARTICIPATION_POOLS_RESIDENTIAL_MORTGAGES_FDIC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ST_DUE_ALLOW_GROSS_LOANS_FFIEC">"c13416"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FLOAT">"c227"</definedName>
    <definedName name="IQ_PERCENT_INSURED_FDIC">"c6374"</definedName>
    <definedName name="IQ_PERFORMANCE_LOC_FOREIGN_GUARANTEES_FFIEC">"c13251"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STOCK_FFIEC">"c12875"</definedName>
    <definedName name="IQ_PREF_TOT">"c1415"</definedName>
    <definedName name="IQ_PREFERRED_FDIC">"c6349"</definedName>
    <definedName name="IQ_PREFERRED_LIST">"c13506"</definedName>
    <definedName name="IQ_PREMISES_EQUIPMENT_FDIC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CFPS_FWD_REUT">"c4053"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REUT">"c5494"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">"c8559"</definedName>
    <definedName name="IQ_PRIVATE_CONST_TOTAL_APR_FC_UNUSED_UNUSED_UNUSED">"c8559"</definedName>
    <definedName name="IQ_PRIVATE_CONST_TOTAL_APR_UNUSED">"c7679"</definedName>
    <definedName name="IQ_PRIVATE_CONST_TOTAL_APR_UNUSED_UNUSED_UNUSED">"c7679"</definedName>
    <definedName name="IQ_PRIVATE_CONST_TOTAL_FC_UNUSED">"c7899"</definedName>
    <definedName name="IQ_PRIVATE_CONST_TOTAL_FC_UNUSED_UNUSED_UNUSED">"c7899"</definedName>
    <definedName name="IQ_PRIVATE_CONST_TOTAL_POP_FC_UNUSED">"c8119"</definedName>
    <definedName name="IQ_PRIVATE_CONST_TOTAL_POP_FC_UNUSED_UNUSED_UNUSED">"c8119"</definedName>
    <definedName name="IQ_PRIVATE_CONST_TOTAL_POP_UNUSED">"c7239"</definedName>
    <definedName name="IQ_PRIVATE_CONST_TOTAL_POP_UNUSED_UNUSED_UNUSED">"c7239"</definedName>
    <definedName name="IQ_PRIVATE_CONST_TOTAL_UNUSED">"c7019"</definedName>
    <definedName name="IQ_PRIVATE_CONST_TOTAL_UNUSED_UNUSED_UNUSED">"c7019"</definedName>
    <definedName name="IQ_PRIVATE_CONST_TOTAL_YOY_FC_UNUSED">"c8339"</definedName>
    <definedName name="IQ_PRIVATE_CONST_TOTAL_YOY_FC_UNUSED_UNUSED_UNUSED">"c8339"</definedName>
    <definedName name="IQ_PRIVATE_CONST_TOTAL_YOY_UNUSED">"c7459"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>"c8535"</definedName>
    <definedName name="IQ_PRIVATE_RES_CONST_REAL_APR_UNUSED">"c7655"</definedName>
    <definedName name="IQ_PRIVATE_RES_CONST_REAL_APR_UNUSED_UNUSED_UNUSED">"c7655"</definedName>
    <definedName name="IQ_PRIVATE_RES_CONST_REAL_FC_UNUSED">"c7875"</definedName>
    <definedName name="IQ_PRIVATE_RES_CONST_REAL_FC_UNUSED_UNUSED_UNUSED">"c7875"</definedName>
    <definedName name="IQ_PRIVATE_RES_CONST_REAL_POP_FC_UNUSED">"c8095"</definedName>
    <definedName name="IQ_PRIVATE_RES_CONST_REAL_POP_FC_UNUSED_UNUSED_UNUSED">"c8095"</definedName>
    <definedName name="IQ_PRIVATE_RES_CONST_REAL_POP_UNUSED">"c7215"</definedName>
    <definedName name="IQ_PRIVATE_RES_CONST_REAL_POP_UNUSED_UNUSED_UNUSED">"c7215"</definedName>
    <definedName name="IQ_PRIVATE_RES_CONST_REAL_UNUSED">"c6995"</definedName>
    <definedName name="IQ_PRIVATE_RES_CONST_REAL_UNUSED_UNUSED_UNUSED">"c6995"</definedName>
    <definedName name="IQ_PRIVATE_RES_CONST_REAL_YOY_FC_UNUSED">"c8315"</definedName>
    <definedName name="IQ_PRIVATE_RES_CONST_REAL_YOY_FC_UNUSED_UNUSED_UNUSED">"c8315"</definedName>
    <definedName name="IQ_PRIVATE_RES_CONST_REAL_YOY_UNUSED">"c7435"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ROVISION_LL_FFIEC">"c13019"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TBV">"c1084"</definedName>
    <definedName name="IQ_PTBV_AVG">"c1085"</definedName>
    <definedName name="IQ_PURCHASE_FOREIGN_CURRENCIES_FDIC">"c6513"</definedName>
    <definedName name="IQ_PURCHASE_TREASURY_FFIEC">"c12966"</definedName>
    <definedName name="IQ_PURCHASED_CREDIT_RELS_SERVICING_ASSETS_FFIEC">"c12839"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">"c8491"</definedName>
    <definedName name="IQ_PURCHASES_EQUIP_NONRES_SAAR_APR_FC_UNUSED_UNUSED_UNUSED">"c8491"</definedName>
    <definedName name="IQ_PURCHASES_EQUIP_NONRES_SAAR_APR_UNUSED">"c7611"</definedName>
    <definedName name="IQ_PURCHASES_EQUIP_NONRES_SAAR_APR_UNUSED_UNUSED_UNUSED">"c7611"</definedName>
    <definedName name="IQ_PURCHASES_EQUIP_NONRES_SAAR_FC_UNUSED">"c7831"</definedName>
    <definedName name="IQ_PURCHASES_EQUIP_NONRES_SAAR_FC_UNUSED_UNUSED_UNUSED">"c7831"</definedName>
    <definedName name="IQ_PURCHASES_EQUIP_NONRES_SAAR_POP_FC_UNUSED">"c8051"</definedName>
    <definedName name="IQ_PURCHASES_EQUIP_NONRES_SAAR_POP_FC_UNUSED_UNUSED_UNUSED">"c8051"</definedName>
    <definedName name="IQ_PURCHASES_EQUIP_NONRES_SAAR_POP_UNUSED">"c7171"</definedName>
    <definedName name="IQ_PURCHASES_EQUIP_NONRES_SAAR_POP_UNUSED_UNUSED_UNUSED">"c7171"</definedName>
    <definedName name="IQ_PURCHASES_EQUIP_NONRES_SAAR_UNUSED">"c6951"</definedName>
    <definedName name="IQ_PURCHASES_EQUIP_NONRES_SAAR_UNUSED_UNUSED_UNUSED">"c6951"</definedName>
    <definedName name="IQ_PURCHASES_EQUIP_NONRES_SAAR_YOY_FC_UNUSED">"c8271"</definedName>
    <definedName name="IQ_PURCHASES_EQUIP_NONRES_SAAR_YOY_FC_UNUSED_UNUSED_UNUSED">"c8271"</definedName>
    <definedName name="IQ_PURCHASES_EQUIP_NONRES_SAAR_YOY_UNUSED">"c7391"</definedName>
    <definedName name="IQ_PURCHASES_EQUIP_NONRES_SAAR_YOY_UNUSED_UNUSED_UNUSED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DEPR_AMORT">"c8750"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FOREIGN_FFIEC">"c13479"</definedName>
    <definedName name="IQ_RE_GAIN_LOSS_SALE_ASSETS">"c8751"</definedName>
    <definedName name="IQ_RE_INVEST_FDIC">"c6331"</definedName>
    <definedName name="IQ_RE_LOANS_1_4_GROSS_LOANS_FFIEC">"c13397"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OVERIES_1_4_FAMILY_LOANS_FDIC">"c6707"</definedName>
    <definedName name="IQ_RECOVERIES_AUTO_LOANS_FDIC">"c6701"</definedName>
    <definedName name="IQ_RECOVERIES_AVG_LOANS_FFIEC">"c13476"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>"c6320"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REV">"c1101"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>"c8536"</definedName>
    <definedName name="IQ_RES_CONST_REAL_APR_UNUSED">"c7656"</definedName>
    <definedName name="IQ_RES_CONST_REAL_APR_UNUSED_UNUSED_UNUSED">"c7656"</definedName>
    <definedName name="IQ_RES_CONST_REAL_FC_UNUSED">"c7876"</definedName>
    <definedName name="IQ_RES_CONST_REAL_FC_UNUSED_UNUSED_UNUSED">"c7876"</definedName>
    <definedName name="IQ_RES_CONST_REAL_POP_FC_UNUSED">"c8096"</definedName>
    <definedName name="IQ_RES_CONST_REAL_POP_FC_UNUSED_UNUSED_UNUSED">"c8096"</definedName>
    <definedName name="IQ_RES_CONST_REAL_POP_UNUSED">"c7216"</definedName>
    <definedName name="IQ_RES_CONST_REAL_POP_UNUSED_UNUSED_UNUSED">"c7216"</definedName>
    <definedName name="IQ_RES_CONST_REAL_SAAR_APR_FC_UNUSED">"c8537"</definedName>
    <definedName name="IQ_RES_CONST_REAL_SAAR_APR_FC_UNUSED_UNUSED_UNUSED">"c8537"</definedName>
    <definedName name="IQ_RES_CONST_REAL_SAAR_APR_UNUSED">"c7657"</definedName>
    <definedName name="IQ_RES_CONST_REAL_SAAR_APR_UNUSED_UNUSED_UNUSED">"c7657"</definedName>
    <definedName name="IQ_RES_CONST_REAL_SAAR_FC_UNUSED">"c7877"</definedName>
    <definedName name="IQ_RES_CONST_REAL_SAAR_FC_UNUSED_UNUSED_UNUSED">"c7877"</definedName>
    <definedName name="IQ_RES_CONST_REAL_SAAR_POP_FC_UNUSED">"c8097"</definedName>
    <definedName name="IQ_RES_CONST_REAL_SAAR_POP_FC_UNUSED_UNUSED_UNUSED">"c8097"</definedName>
    <definedName name="IQ_RES_CONST_REAL_SAAR_POP_UNUSED">"c7217"</definedName>
    <definedName name="IQ_RES_CONST_REAL_SAAR_POP_UNUSED_UNUSED_UNUSED">"c7217"</definedName>
    <definedName name="IQ_RES_CONST_REAL_SAAR_UNUSED">"c6997"</definedName>
    <definedName name="IQ_RES_CONST_REAL_SAAR_UNUSED_UNUSED_UNUSED">"c6997"</definedName>
    <definedName name="IQ_RES_CONST_REAL_SAAR_YOY_FC_UNUSED">"c8317"</definedName>
    <definedName name="IQ_RES_CONST_REAL_SAAR_YOY_FC_UNUSED_UNUSED_UNUSED">"c8317"</definedName>
    <definedName name="IQ_RES_CONST_REAL_SAAR_YOY_UNUSED">"c7437"</definedName>
    <definedName name="IQ_RES_CONST_REAL_SAAR_YOY_UNUSED_UNUSED_UNUSED">"c7437"</definedName>
    <definedName name="IQ_RES_CONST_REAL_UNUSED">"c6996"</definedName>
    <definedName name="IQ_RES_CONST_REAL_UNUSED_UNUSED_UNUSED">"c6996"</definedName>
    <definedName name="IQ_RES_CONST_REAL_YOY_FC_UNUSED">"c8316"</definedName>
    <definedName name="IQ_RES_CONST_REAL_YOY_FC_UNUSED_UNUSED_UNUSED">"c8316"</definedName>
    <definedName name="IQ_RES_CONST_REAL_YOY_UNUSED">"c7436"</definedName>
    <definedName name="IQ_RES_CONST_REAL_YOY_UNUSED_UNUSED_UNUSED">"c7436"</definedName>
    <definedName name="IQ_RES_CONST_SAAR_APR_FC_UNUSED">"c8540"</definedName>
    <definedName name="IQ_RES_CONST_SAAR_APR_FC_UNUSED_UNUSED_UNUSED">"c8540"</definedName>
    <definedName name="IQ_RES_CONST_SAAR_APR_UNUSED">"c7660"</definedName>
    <definedName name="IQ_RES_CONST_SAAR_APR_UNUSED_UNUSED_UNUSED">"c7660"</definedName>
    <definedName name="IQ_RES_CONST_SAAR_FC_UNUSED">"c7880"</definedName>
    <definedName name="IQ_RES_CONST_SAAR_FC_UNUSED_UNUSED_UNUSED">"c7880"</definedName>
    <definedName name="IQ_RES_CONST_SAAR_POP_FC_UNUSED">"c8100"</definedName>
    <definedName name="IQ_RES_CONST_SAAR_POP_FC_UNUSED_UNUSED_UNUSED">"c8100"</definedName>
    <definedName name="IQ_RES_CONST_SAAR_POP_UNUSED">"c7220"</definedName>
    <definedName name="IQ_RES_CONST_SAAR_POP_UNUSED_UNUSED_UNUSED">"c7220"</definedName>
    <definedName name="IQ_RES_CONST_SAAR_UNUSED">"c7000"</definedName>
    <definedName name="IQ_RES_CONST_SAAR_UNUSED_UNUSED_UNUSED">"c7000"</definedName>
    <definedName name="IQ_RES_CONST_SAAR_YOY_FC_UNUSED">"c8320"</definedName>
    <definedName name="IQ_RES_CONST_SAAR_YOY_FC_UNUSED_UNUSED_UNUSED">"c8320"</definedName>
    <definedName name="IQ_RES_CONST_SAAR_YOY_UNUSED">"c7440"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EST">"c3529"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EST">"c3535"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REUT">"c3639"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REUT">"c5461"</definedName>
    <definedName name="IQ_REVENUE_BEFORE_LL_FFIEC">"c13018"</definedName>
    <definedName name="IQ_REVENUE_EST">"c1126"</definedName>
    <definedName name="IQ_REVENUE_EST_1">"IQ_REVENUE_EST_1"</definedName>
    <definedName name="IQ_REVENUE_EST_BOTTOM_UP">"c5488"</definedName>
    <definedName name="IQ_REVENUE_EST_BOTTOM_UP_REUT">"c5496"</definedName>
    <definedName name="IQ_REVENUE_EST_REUT">"c3634"</definedName>
    <definedName name="IQ_REVENUE_GROWTH_1">"IQ_REVENUE_GROWTH_1"</definedName>
    <definedName name="IQ_REVENUE_GROWTH_2">"IQ_REVENUE_GROWTH_2"</definedName>
    <definedName name="IQ_REVENUE_GUIDANCE">"c4519"</definedName>
    <definedName name="IQ_REVENUE_HIGH_EST">"c1127"</definedName>
    <definedName name="IQ_REVENUE_HIGH_EST_REUT">"c3636"</definedName>
    <definedName name="IQ_REVENUE_HIGH_GUIDANCE">"c4169"</definedName>
    <definedName name="IQ_REVENUE_LOW_EST">"c1128"</definedName>
    <definedName name="IQ_REVENUE_LOW_EST_REUT">"c3637"</definedName>
    <definedName name="IQ_REVENUE_LOW_GUIDANCE">"c4209"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>39036.4994560185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ISK_ADJ_BANK_ASSETS">"c2670"</definedName>
    <definedName name="IQ_RISK_WEIGHTED_ASSETS_FDIC">"c6370"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Y">"c1130"</definedName>
    <definedName name="IQ_SALARY_FDIC">"c6576"</definedName>
    <definedName name="IQ_SALE_COMMON_GROSS_FFIEC">"c12963"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>"c6631"</definedName>
    <definedName name="IQ_SECURED_FARMLAND_RECOVERIES_FDIC">"c6612"</definedName>
    <definedName name="IQ_SECURED_MULTI_RES_LL_REC_DOM_FFIEC">"c12905"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HELD_MATURITY_FFIEC">"c12777"</definedName>
    <definedName name="IQ_SECURITIES_ISSUED_STATES_FDIC">"c6300"</definedName>
    <definedName name="IQ_SECURITIES_ISSUED_US_FFIEC">"c12781"</definedName>
    <definedName name="IQ_SECURITIES_LENT_FDIC">"c6532"</definedName>
    <definedName name="IQ_SECURITIES_LENT_FFIEC">"c13255"</definedName>
    <definedName name="IQ_SECURITIES_QUARTERLY_AVG_FFIEC">"c13079"</definedName>
    <definedName name="IQ_SECURITIES_UNDERWRITING_FDIC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DOL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>"c6572"</definedName>
    <definedName name="IQ_SERVICE_CHARGES_OPERATING_INC_FFIEC">"c13384"</definedName>
    <definedName name="IQ_SERVICE_FEE">"c8951"</definedName>
    <definedName name="IQ_SERVICING_FEES_FFIEC">"c13011"</definedName>
    <definedName name="IQ_SERVICING_FEES_OPERATING_INC_FFIEC">"c13389"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POSITIONS_FFIEC">"c12859"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>"c2644"</definedName>
    <definedName name="IQ_SP_ISSUE_LC_DATE">"c2643"</definedName>
    <definedName name="IQ_SP_ISSUE_LC_LT">"c2645"</definedName>
    <definedName name="IQ_SP_ISSUE_LT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>"c8950"</definedName>
    <definedName name="IQ_STRUCT_FIN_SERIES">"c8956"</definedName>
    <definedName name="IQ_STRUCTURED_NOTES_INVEST_SECURITIES_FFIEC">"c13468"</definedName>
    <definedName name="IQ_STRUCTURING_NOTES_TIER_1_FFIEC">"c13344"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FIEC">"c12867"</definedName>
    <definedName name="IQ_SUB_NOTES_PAYABLE_UNCONSOLIDATED_TRUSTS_FFIEC">"c12868"</definedName>
    <definedName name="IQ_SUPPLIES_FFIEC">"c13050"</definedName>
    <definedName name="IQ_SURPLUS_FDIC">"c6351"</definedName>
    <definedName name="IQ_SURPLUS_FFIEC">"c12877"</definedName>
    <definedName name="IQ_SVA">"c1214"</definedName>
    <definedName name="IQ_TANGIBLE_EQUITY_ASSETS_FFIEC">"c13346"</definedName>
    <definedName name="IQ_TANGIBLE_TIER_1_LEVERAGE_FFIEC">"c13345"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ELECOM_FFIEC">"c13057"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100K_OTHER_INSTITUTIONS_FFIEC">"c12953"</definedName>
    <definedName name="IQ_TIME_DEPOSITS_LESS_THAN_100K_FDIC">"c6465"</definedName>
    <definedName name="IQ_TIME_DEPOSITS_MORE_100K_OTHER_INSTITUTIONS_FFIEC">"c12954"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DIC">"c6339"</definedName>
    <definedName name="IQ_TOTAL_ASSETS_FFIEC">"c12849"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OMMON_SHARES_OUT_FFIEC">"c12955"</definedName>
    <definedName name="IQ_TOTAL_CONSTRUCTION_LL_REC_DOM_FFIEC">"c13515"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ON_CURRENT">"c6191"</definedName>
    <definedName name="IQ_TOTAL_DEBT_NUM_EST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FDIC">"c6342"</definedName>
    <definedName name="IQ_TOTAL_DEPOSITS_FFIEC">"c13623"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LH_FFIEC">"c13109"</definedName>
    <definedName name="IQ_TOTAL_EQUITY_PC_FFIEC">"c13102"</definedName>
    <definedName name="IQ_TOTAL_EQUITY_SUBTOTAL_AP">"c8989"</definedName>
    <definedName name="IQ_TOTAL_INT_EXPENSE_FFIEC">"c13000"</definedName>
    <definedName name="IQ_TOTAL_INT_INCOME_FFIEC">"c12989"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EQUITY_FFIEC">"c12882"</definedName>
    <definedName name="IQ_TOTAL_LIABILITIES_FDIC">"c6348"</definedName>
    <definedName name="IQ_TOTAL_LIABILITIES_FFIEC">"c12873"</definedName>
    <definedName name="IQ_TOTAL_LL_REC_DOM_FFIEC">"c12917"</definedName>
    <definedName name="IQ_TOTAL_LL_REC_FFIEC">"c12898"</definedName>
    <definedName name="IQ_TOTAL_LOANS">"c5653"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RECOV_FFIEC">"c13208"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FFIEC">"c13020"</definedName>
    <definedName name="IQ_TOTAL_RISK_BASED_CAPITAL_FFIEC">"c13153"</definedName>
    <definedName name="IQ_TOTAL_RISK_BASED_CAPITAL_RATIO_FDIC">"c6747"</definedName>
    <definedName name="IQ_TOTAL_RISK_BASED_CAPITAL_RATIO_FFIEC">"c13162"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TRADING_ASSETS_FFIEC">"c12939"</definedName>
    <definedName name="IQ_TOTAL_TRADING_LIAB_DOM_FFIEC">"c12944"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AIR_VALUE_TOT_FFIEC">"c13210"</definedName>
    <definedName name="IQ_TRADING_ASSETS_FDIC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OPERATING_INC_FFIEC">"c13385"</definedName>
    <definedName name="IQ_TRADING_REVENUE_FFIEC">"c13004"</definedName>
    <definedName name="IQ_TRANSACTION_ACCOUNTS_FDIC">"c6544"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>"c6298"</definedName>
    <definedName name="IQ_US_TREASURY_SECURITIES_FFIEC">"c12778"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WAP">"c13514"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IELD_FED_FUNDS_SOLD_FFIEC">"c13487"</definedName>
    <definedName name="IQ_YIELD_TRADING_ASSETS_FFIEC">"c13488"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B_BOOKMARK_LOCATION_0">#REF!</definedName>
    <definedName name="IQB_BOOKMARK_LOCATION_1">#REF!</definedName>
    <definedName name="IQB_BOOKMARK_LOCATION_2">#REF!</definedName>
    <definedName name="IQB_CURRENT_BOOKMARK">1</definedName>
    <definedName name="IQRA10">"$A$11:$A$262"</definedName>
    <definedName name="IQRA7">"$A$8:$A$11"</definedName>
    <definedName name="IQRAllianceF44">#REF!</definedName>
    <definedName name="IQRB15">"$B$16:$B$17"</definedName>
    <definedName name="IQRB17">"$B$18:$B$22"</definedName>
    <definedName name="IQRB18">"$B$19:$B$23"</definedName>
    <definedName name="IQRB19">"$B$20:$B$24"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4">"$B$25:$B$29"</definedName>
    <definedName name="IQRB32">"$B$33:$B$37"</definedName>
    <definedName name="IQRB33">"$B$34:$B$38"</definedName>
    <definedName name="IQRB34">"$B$35:$B$39"</definedName>
    <definedName name="IQRB7">"$B$8:$B$11"</definedName>
    <definedName name="IQRC15">"$C$16:$C$20"</definedName>
    <definedName name="IQRC24">"$C$25:$C$29"</definedName>
    <definedName name="IQRC7">"$C$8:$C$11"</definedName>
    <definedName name="IQRCieloF51">#REF!</definedName>
    <definedName name="IQRCieloF52">#REF!</definedName>
    <definedName name="IQRCieloG51">#REF!</definedName>
    <definedName name="IQRCieloG52">#REF!</definedName>
    <definedName name="IQRCieloL52">#REF!</definedName>
    <definedName name="IQRCieloL55">#REF!</definedName>
    <definedName name="IQRCieloM52">#REF!</definedName>
    <definedName name="IQRCieloM55">#REF!</definedName>
    <definedName name="IQRD15">"$D$16:$D$17"</definedName>
    <definedName name="IQRD7">"$D$8:$D$11"</definedName>
    <definedName name="IQRDIBSF52">#REF!</definedName>
    <definedName name="IQRDIBSG52">#REF!</definedName>
    <definedName name="IQRDIBSL52">#REF!</definedName>
    <definedName name="IQRDIBSM52">#REF!</definedName>
    <definedName name="IQRDieboldF52">#REF!</definedName>
    <definedName name="IQRDieboldG52">#REF!</definedName>
    <definedName name="IQRDieboldL52">#REF!</definedName>
    <definedName name="IQRDieboldM52">#REF!</definedName>
    <definedName name="IQRDigRivF52">#REF!</definedName>
    <definedName name="IQRDigRivG52">#REF!</definedName>
    <definedName name="IQRDigRivL52">#REF!</definedName>
    <definedName name="IQRDigRivM52">#REF!</definedName>
    <definedName name="IQRE7">"$E$8:$E$11"</definedName>
    <definedName name="IQREdenredF52">#REF!</definedName>
    <definedName name="IQREdenredG52">#REF!</definedName>
    <definedName name="IQREdenredL52">#REF!</definedName>
    <definedName name="IQREdenredM52">#REF!</definedName>
    <definedName name="IQREuronetF52">#REF!</definedName>
    <definedName name="IQREuronetG52">#REF!</definedName>
    <definedName name="IQREuronetL52">#REF!</definedName>
    <definedName name="IQREuronetM52">#REF!</definedName>
    <definedName name="IQREvertecF52">#REF!</definedName>
    <definedName name="IQREvertecG52">#REF!</definedName>
    <definedName name="IQREvertecL52">#REF!</definedName>
    <definedName name="IQREvertecM52">#REF!</definedName>
    <definedName name="IQRF7">"$F$8:$F$11"</definedName>
    <definedName name="IQRFidelityF52">#REF!</definedName>
    <definedName name="IQRFidelityG52">#REF!</definedName>
    <definedName name="IQRFidelityL52">#REF!</definedName>
    <definedName name="IQRFidelityM52">#REF!</definedName>
    <definedName name="IQRFiservF52">#REF!</definedName>
    <definedName name="IQRFiservG52">#REF!</definedName>
    <definedName name="IQRFiservL52">#REF!</definedName>
    <definedName name="IQRFiservM52">#REF!</definedName>
    <definedName name="IQRG7">"$G$8:$G$11"</definedName>
    <definedName name="IQRGlobalPay2F64">#REF!</definedName>
    <definedName name="IQRGlobalPay2G64">#REF!</definedName>
    <definedName name="IQRGlobalPay2K64">#REF!</definedName>
    <definedName name="IQRGlobalPay2L64">#REF!</definedName>
    <definedName name="IQRGlobalPay3F64">#REF!</definedName>
    <definedName name="IQRGlobalPay3G64">#REF!</definedName>
    <definedName name="IQRGlobalPay3K64">#REF!</definedName>
    <definedName name="IQRGlobalPay3L64">#REF!</definedName>
    <definedName name="IQRGlobalPayF52">#REF!</definedName>
    <definedName name="IQRGlobalPayF58">#REF!</definedName>
    <definedName name="IQRGlobalPayF63">#REF!</definedName>
    <definedName name="IQRGlobalPayG52">#REF!</definedName>
    <definedName name="IQRGlobalPayG58">#REF!</definedName>
    <definedName name="IQRGlobalPayG63">#REF!</definedName>
    <definedName name="IQRGlobalPayL52">#REF!</definedName>
    <definedName name="IQRGlobalPayL58">#REF!</definedName>
    <definedName name="IQRGlobalPayL63">#REF!</definedName>
    <definedName name="IQRGlobalPayM52">#REF!</definedName>
    <definedName name="IQRGlobalPayM58">#REF!</definedName>
    <definedName name="IQRGlobalPayM63">#REF!</definedName>
    <definedName name="IQRH7">"$H$8:$H$11"</definedName>
    <definedName name="IQRHeartlandF52">#REF!</definedName>
    <definedName name="IQRHeartlandG52">#REF!</definedName>
    <definedName name="IQRHeartlandL52">#REF!</definedName>
    <definedName name="IQRHeartlandM52">#REF!</definedName>
    <definedName name="IQRI7">"$I$8:$I$11"</definedName>
    <definedName name="IQRIngenicoF52">#REF!</definedName>
    <definedName name="IQRIngenicoG52">#REF!</definedName>
    <definedName name="IQRIngenicoL52">#REF!</definedName>
    <definedName name="IQRIngenicoM52">#REF!</definedName>
    <definedName name="IQRJ7">"$J$8:$J$11"</definedName>
    <definedName name="IQRMCF52">#REF!</definedName>
    <definedName name="IQRMCG52">#REF!</definedName>
    <definedName name="IQRMCL52">#REF!</definedName>
    <definedName name="IQRMCM52">#REF!</definedName>
    <definedName name="IQRNCRF52">#REF!</definedName>
    <definedName name="IQRNCRG52">#REF!</definedName>
    <definedName name="IQRNCRL52">#REF!</definedName>
    <definedName name="IQRNCRM52">#REF!</definedName>
    <definedName name="IQROptPayF52">#REF!</definedName>
    <definedName name="IQROptPayG52">#REF!</definedName>
    <definedName name="IQROptPayL52">#REF!</definedName>
    <definedName name="IQROptPayM52">#REF!</definedName>
    <definedName name="IQRPayPointF52">#REF!</definedName>
    <definedName name="IQRPayPointG52">#REF!</definedName>
    <definedName name="IQRPayPointL52">#REF!</definedName>
    <definedName name="IQRPayPointM52">#REF!</definedName>
    <definedName name="IQRQiwiF52">#REF!</definedName>
    <definedName name="IQRQiwiG52">#REF!</definedName>
    <definedName name="IQRQiwiL52">#REF!</definedName>
    <definedName name="IQRQiwiM52">#REF!</definedName>
    <definedName name="IQRTSYSF52">#REF!</definedName>
    <definedName name="IQRTSYSF64">#REF!</definedName>
    <definedName name="IQRTSYSG52">#REF!</definedName>
    <definedName name="IQRTSYSG64">#REF!</definedName>
    <definedName name="IQRTSYSK64">#REF!</definedName>
    <definedName name="IQRTSYSL52">#REF!</definedName>
    <definedName name="IQRTSYSL64">#REF!</definedName>
    <definedName name="IQRTSYSM52">#REF!</definedName>
    <definedName name="IQRVantivF52">#REF!</definedName>
    <definedName name="IQRVantivG52">#REF!</definedName>
    <definedName name="IQRVantivL52">#REF!</definedName>
    <definedName name="IQRVantivM52">#REF!</definedName>
    <definedName name="IQRVerifoneF52">#REF!</definedName>
    <definedName name="IQRVerifoneF64">#REF!</definedName>
    <definedName name="IQRVerifoneG52">#REF!</definedName>
    <definedName name="IQRVerifoneG64">#REF!</definedName>
    <definedName name="IQRVerifoneK64">#REF!</definedName>
    <definedName name="IQRVerifoneL52">#REF!</definedName>
    <definedName name="IQRVerifoneL64">#REF!</definedName>
    <definedName name="IQRVerifoneM52">#REF!</definedName>
    <definedName name="IQRVisaF52">#REF!</definedName>
    <definedName name="IQRVisaF64">#REF!</definedName>
    <definedName name="IQRVisaG52">#REF!</definedName>
    <definedName name="IQRVisaG64">#REF!</definedName>
    <definedName name="IQRVisaK64">#REF!</definedName>
    <definedName name="IQRVisaL52">#REF!</definedName>
    <definedName name="IQRVisaL64">#REF!</definedName>
    <definedName name="IQRVisaM52">#REF!</definedName>
    <definedName name="IQRWirecardF52">#REF!</definedName>
    <definedName name="IQRWirecardG52">#REF!</definedName>
    <definedName name="IQRWirecardL52">#REF!</definedName>
    <definedName name="IQRWirecardM52">#REF!</definedName>
    <definedName name="IQRWrightF52">#REF!</definedName>
    <definedName name="IQRWrightG52">#REF!</definedName>
    <definedName name="IQRWrightL52">#REF!</definedName>
    <definedName name="IQRWrightM52">#REF!</definedName>
    <definedName name="IRank">#REF!</definedName>
    <definedName name="Irbe">{#N/A,#N/A,FALSE,"Pharm";#N/A,#N/A,FALSE,"WWCM"}</definedName>
    <definedName name="Irbe_1">{#N/A,#N/A,FALSE,"Pharm";#N/A,#N/A,FALSE,"WWCM"}</definedName>
    <definedName name="Irbe_2">{#N/A,#N/A,FALSE,"Pharm";#N/A,#N/A,FALSE,"WWCM"}</definedName>
    <definedName name="Irbe_3">{#N/A,#N/A,FALSE,"Pharm";#N/A,#N/A,FALSE,"WWCM"}</definedName>
    <definedName name="Irbe_4">{#N/A,#N/A,FALSE,"Pharm";#N/A,#N/A,FALSE,"WWCM"}</definedName>
    <definedName name="Irbe_5">{#N/A,#N/A,FALSE,"Pharm";#N/A,#N/A,FALSE,"WWCM"}</definedName>
    <definedName name="irr">#REF!</definedName>
    <definedName name="is">#REF!</definedName>
    <definedName name="ISEDITED">#REF!</definedName>
    <definedName name="ISHIDA">#REF!</definedName>
    <definedName name="ISINR">#REF!</definedName>
    <definedName name="ISINRDTAIL">#REF!</definedName>
    <definedName name="ISO_EXPENSES">#REF!</definedName>
    <definedName name="ispl">#REF!</definedName>
    <definedName name="Issue_Id_Primary">#REF!</definedName>
    <definedName name="Issue_Id_Secondary">#REF!</definedName>
    <definedName name="Issue_Id_Tertiary">#REF!</definedName>
    <definedName name="ist">#REF!</definedName>
    <definedName name="ISUSD">#REF!</definedName>
    <definedName name="it">#REF!</definedName>
    <definedName name="IT_DEPN">#REF!</definedName>
    <definedName name="ITAL">#REF!</definedName>
    <definedName name="ITALY">#REF!</definedName>
    <definedName name="ITC_TITLE">#REF!</definedName>
    <definedName name="itdep">#REF!</definedName>
    <definedName name="itdepr">#REF!</definedName>
    <definedName name="ItemStart">#REF!</definedName>
    <definedName name="ITFX97P">#REF!</definedName>
    <definedName name="ITHC">#REF!</definedName>
    <definedName name="ITNEW">#REF!</definedName>
    <definedName name="ITTOT">#REF!</definedName>
    <definedName name="IVTH">#REF!</definedName>
    <definedName name="IX.4">#REF!</definedName>
    <definedName name="j">{#N/A,#N/A,FALSE,"REPORT"}</definedName>
    <definedName name="j_1">{#N/A,#N/A,FALSE,"REPORT"}</definedName>
    <definedName name="j_2">{#N/A,#N/A,FALSE,"REPORT"}</definedName>
    <definedName name="j_3">{#N/A,#N/A,FALSE,"REPORT"}</definedName>
    <definedName name="j_4">{#N/A,#N/A,FALSE,"REPORT"}</definedName>
    <definedName name="j_5">{#N/A,#N/A,FALSE,"REPORT"}</definedName>
    <definedName name="JA">#REF!</definedName>
    <definedName name="JADAVR">#REF!</definedName>
    <definedName name="JADHAVHARSH">#REF!</definedName>
    <definedName name="JADHAVMARUTIRAM">#REF!</definedName>
    <definedName name="JADHAVSANDESH">#REF!</definedName>
    <definedName name="JADHAVVIJAY">#REF!</definedName>
    <definedName name="JAGATAPSS">#REF!</definedName>
    <definedName name="JAGDALE">#REF!</definedName>
    <definedName name="jagdi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AGTAPKIRAN">#REF!</definedName>
    <definedName name="Jahr">#REF!</definedName>
    <definedName name="Jahreszahl">#REF!</definedName>
    <definedName name="Jai">{"'August 2000'!$A$1:$J$101"}</definedName>
    <definedName name="JAIWANTTHORWAT">#REF!</definedName>
    <definedName name="jaj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AMDADEV">#REF!</definedName>
    <definedName name="Jamey">#REF!</definedName>
    <definedName name="jan">#REF!</definedName>
    <definedName name="Jan_12">#REF!</definedName>
    <definedName name="Jan_BWQuery">#REF!</definedName>
    <definedName name="Jan_ext">#REF!</definedName>
    <definedName name="JANAUG03">#REF!</definedName>
    <definedName name="JANDEC01">#REF!</definedName>
    <definedName name="JANDEC02">#REF!</definedName>
    <definedName name="JANFA">#REF!</definedName>
    <definedName name="JANJUL02">#REF!</definedName>
    <definedName name="JANNOV01">#REF!</definedName>
    <definedName name="JANNOV02">#REF!</definedName>
    <definedName name="JanPay">#REF!</definedName>
    <definedName name="JANSEPT02">#REF!</definedName>
    <definedName name="JANTB">#REF!</definedName>
    <definedName name="JANUARY">#REF!</definedName>
    <definedName name="JANV">{#N/A,#N/A,FALSE,"Tabl. H1";#N/A,#N/A,FALSE,"Tabl. H2"}</definedName>
    <definedName name="JANV_1">{#N/A,#N/A,FALSE,"Tabl. H1";#N/A,#N/A,FALSE,"Tabl. H2"}</definedName>
    <definedName name="JANV_2">{#N/A,#N/A,FALSE,"Tabl. H1";#N/A,#N/A,FALSE,"Tabl. H2"}</definedName>
    <definedName name="JANV_3">{#N/A,#N/A,FALSE,"Tabl. H1";#N/A,#N/A,FALSE,"Tabl. H2"}</definedName>
    <definedName name="JANV_4">{#N/A,#N/A,FALSE,"Tabl. H1";#N/A,#N/A,FALSE,"Tabl. H2"}</definedName>
    <definedName name="JAPA">#REF!</definedName>
    <definedName name="JAPAN">#REF!</definedName>
    <definedName name="JAPR02">#REF!</definedName>
    <definedName name="JAUG">#REF!</definedName>
    <definedName name="JAUG00">#REF!</definedName>
    <definedName name="JAUG02">#REF!</definedName>
    <definedName name="JDEC">#REF!</definedName>
    <definedName name="JDEC00">#REF!</definedName>
    <definedName name="jeetubsc">#REF!</definedName>
    <definedName name="jeetuconv">#REF!</definedName>
    <definedName name="jeetuded">#REF!</definedName>
    <definedName name="jeetuit">#REF!</definedName>
    <definedName name="jeetulta">#REF!</definedName>
    <definedName name="jeetumed">#REF!</definedName>
    <definedName name="jeetupd">#REF!</definedName>
    <definedName name="jeetupf">#REF!</definedName>
    <definedName name="jeetupt">#REF!</definedName>
    <definedName name="jeetuspla">#REF!</definedName>
    <definedName name="JEOUTPUT">#REF!</definedName>
    <definedName name="jeudi">{#N/A,#N/A,FALSE,"Tabl. A1";#N/A,#N/A,FALSE,"Tabl. A1 b";#N/A,#N/A,FALSE,"Tabl. A2";#N/A,#N/A,FALSE,"Tabl. A2-1";#N/A,#N/A,FALSE,"Tabl. A2-2"}</definedName>
    <definedName name="jeudi_1">{#N/A,#N/A,FALSE,"Tabl. A1";#N/A,#N/A,FALSE,"Tabl. A1 b";#N/A,#N/A,FALSE,"Tabl. A2";#N/A,#N/A,FALSE,"Tabl. A2-1";#N/A,#N/A,FALSE,"Tabl. A2-2"}</definedName>
    <definedName name="jeudi_2">{#N/A,#N/A,FALSE,"Tabl. A1";#N/A,#N/A,FALSE,"Tabl. A1 b";#N/A,#N/A,FALSE,"Tabl. A2";#N/A,#N/A,FALSE,"Tabl. A2-1";#N/A,#N/A,FALSE,"Tabl. A2-2"}</definedName>
    <definedName name="jeudi_3">{#N/A,#N/A,FALSE,"Tabl. A1";#N/A,#N/A,FALSE,"Tabl. A1 b";#N/A,#N/A,FALSE,"Tabl. A2";#N/A,#N/A,FALSE,"Tabl. A2-1";#N/A,#N/A,FALSE,"Tabl. A2-2"}</definedName>
    <definedName name="jeudi_4">{#N/A,#N/A,FALSE,"Tabl. A1";#N/A,#N/A,FALSE,"Tabl. A1 b";#N/A,#N/A,FALSE,"Tabl. A2";#N/A,#N/A,FALSE,"Tabl. A2-1";#N/A,#N/A,FALSE,"Tabl. A2-2"}</definedName>
    <definedName name="jf">#REF!</definedName>
    <definedName name="jfjfj_control">{"'August 2000'!$A$1:$J$101"}</definedName>
    <definedName name="jgjgj">{#N/A,#N/A,FALSE,"COVER.XLS";#N/A,#N/A,FALSE,"RACT1.XLS";#N/A,#N/A,FALSE,"RACT2.XLS";#N/A,#N/A,FALSE,"ECCMP";#N/A,#N/A,FALSE,"WELDER.XLS"}</definedName>
    <definedName name="jhfjhfhjf">{#N/A,#N/A,FALSE,"PMTABB";#N/A,#N/A,FALSE,"PMTABB"}</definedName>
    <definedName name="jhfjhfhjf_1">{#N/A,#N/A,FALSE,"PMTABB";#N/A,#N/A,FALSE,"PMTABB"}</definedName>
    <definedName name="jhfjhfhjf_2">{#N/A,#N/A,FALSE,"PMTABB";#N/A,#N/A,FALSE,"PMTABB"}</definedName>
    <definedName name="jhfjhfhjf_3">{#N/A,#N/A,FALSE,"PMTABB";#N/A,#N/A,FALSE,"PMTABB"}</definedName>
    <definedName name="jhfjhfhjf_4">{#N/A,#N/A,FALSE,"PMTABB";#N/A,#N/A,FALSE,"PMTABB"}</definedName>
    <definedName name="JHGF">{#N/A,#N/A,FALSE,"Tabl. A1";#N/A,#N/A,FALSE,"Tabl. A1 b";#N/A,#N/A,FALSE,"Tabl. A2";#N/A,#N/A,FALSE,"Tabl. A2-1";#N/A,#N/A,FALSE,"Tabl. A2-2"}</definedName>
    <definedName name="JHGF_1">{#N/A,#N/A,FALSE,"Tabl. A1";#N/A,#N/A,FALSE,"Tabl. A1 b";#N/A,#N/A,FALSE,"Tabl. A2";#N/A,#N/A,FALSE,"Tabl. A2-1";#N/A,#N/A,FALSE,"Tabl. A2-2"}</definedName>
    <definedName name="JHGF_2">{#N/A,#N/A,FALSE,"Tabl. A1";#N/A,#N/A,FALSE,"Tabl. A1 b";#N/A,#N/A,FALSE,"Tabl. A2";#N/A,#N/A,FALSE,"Tabl. A2-1";#N/A,#N/A,FALSE,"Tabl. A2-2"}</definedName>
    <definedName name="JHGF_3">{#N/A,#N/A,FALSE,"Tabl. A1";#N/A,#N/A,FALSE,"Tabl. A1 b";#N/A,#N/A,FALSE,"Tabl. A2";#N/A,#N/A,FALSE,"Tabl. A2-1";#N/A,#N/A,FALSE,"Tabl. A2-2"}</definedName>
    <definedName name="JHGF_4">{#N/A,#N/A,FALSE,"Tabl. A1";#N/A,#N/A,FALSE,"Tabl. A1 b";#N/A,#N/A,FALSE,"Tabl. A2";#N/A,#N/A,FALSE,"Tabl. A2-1";#N/A,#N/A,FALSE,"Tabl. A2-2"}</definedName>
    <definedName name="JHGFDS">{#N/A,#N/A,FALSE,"Tabl. G1";#N/A,#N/A,FALSE,"Tabl. G2"}</definedName>
    <definedName name="JHGFDS_1">{#N/A,#N/A,FALSE,"Tabl. G1";#N/A,#N/A,FALSE,"Tabl. G2"}</definedName>
    <definedName name="JHGFDS_2">{#N/A,#N/A,FALSE,"Tabl. G1";#N/A,#N/A,FALSE,"Tabl. G2"}</definedName>
    <definedName name="JHGFDS_3">{#N/A,#N/A,FALSE,"Tabl. G1";#N/A,#N/A,FALSE,"Tabl. G2"}</definedName>
    <definedName name="JHGFDS_4">{#N/A,#N/A,FALSE,"Tabl. G1";#N/A,#N/A,FALSE,"Tabl. G2"}</definedName>
    <definedName name="jhk">{#N/A,#N/A,FALSE,"Tabl. D1";#N/A,#N/A,FALSE,"Tabl. D1 b";#N/A,#N/A,FALSE,"Tabl. D2";#N/A,#N/A,FALSE,"Tabl. D2 b";#N/A,#N/A,FALSE,"Tabl. D3";#N/A,#N/A,FALSE,"Tabl. D4";#N/A,#N/A,FALSE,"Tabl. D5"}</definedName>
    <definedName name="jhk_1">{#N/A,#N/A,FALSE,"Tabl. D1";#N/A,#N/A,FALSE,"Tabl. D1 b";#N/A,#N/A,FALSE,"Tabl. D2";#N/A,#N/A,FALSE,"Tabl. D2 b";#N/A,#N/A,FALSE,"Tabl. D3";#N/A,#N/A,FALSE,"Tabl. D4";#N/A,#N/A,FALSE,"Tabl. D5"}</definedName>
    <definedName name="jhk_2">{#N/A,#N/A,FALSE,"Tabl. D1";#N/A,#N/A,FALSE,"Tabl. D1 b";#N/A,#N/A,FALSE,"Tabl. D2";#N/A,#N/A,FALSE,"Tabl. D2 b";#N/A,#N/A,FALSE,"Tabl. D3";#N/A,#N/A,FALSE,"Tabl. D4";#N/A,#N/A,FALSE,"Tabl. D5"}</definedName>
    <definedName name="jhk_3">{#N/A,#N/A,FALSE,"Tabl. D1";#N/A,#N/A,FALSE,"Tabl. D1 b";#N/A,#N/A,FALSE,"Tabl. D2";#N/A,#N/A,FALSE,"Tabl. D2 b";#N/A,#N/A,FALSE,"Tabl. D3";#N/A,#N/A,FALSE,"Tabl. D4";#N/A,#N/A,FALSE,"Tabl. D5"}</definedName>
    <definedName name="jhk_4">{#N/A,#N/A,FALSE,"Tabl. D1";#N/A,#N/A,FALSE,"Tabl. D1 b";#N/A,#N/A,FALSE,"Tabl. D2";#N/A,#N/A,FALSE,"Tabl. D2 b";#N/A,#N/A,FALSE,"Tabl. D3";#N/A,#N/A,FALSE,"Tabl. D4";#N/A,#N/A,FALSE,"Tabl. D5"}</definedName>
    <definedName name="jim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im.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in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J_control">{"'August 2000'!$A$1:$J$101"}</definedName>
    <definedName name="jj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j">{#N/A,#N/A,FALSE,"REPORT"}</definedName>
    <definedName name="jjj_1">{#N/A,#N/A,FALSE,"REPORT"}</definedName>
    <definedName name="jjj_2">{#N/A,#N/A,FALSE,"REPORT"}</definedName>
    <definedName name="jjj_3">{#N/A,#N/A,FALSE,"REPORT"}</definedName>
    <definedName name="jjj_4">{#N/A,#N/A,FALSE,"REPORT"}</definedName>
    <definedName name="jjj_5">{#N/A,#N/A,FALSE,"REPORT"}</definedName>
    <definedName name="jjjj">{#N/A,#N/A,FALSE,"Staffnos &amp; cost"}</definedName>
    <definedName name="JJUL">#REF!</definedName>
    <definedName name="JJUL00">#REF!</definedName>
    <definedName name="JJUL03">#REF!</definedName>
    <definedName name="JJUN">#REF!</definedName>
    <definedName name="JJUN00">#REF!</definedName>
    <definedName name="JJUNE02">#REF!</definedName>
    <definedName name="jkj">{"mult96",#N/A,FALSE,"PETCOMP";"est96",#N/A,FALSE,"PETCOMP";"mult95",#N/A,FALSE,"PETCOMP";"est95",#N/A,FALSE,"PETCOMP";"multltm",#N/A,FALSE,"PETCOMP";"resultltm",#N/A,FALSE,"PETCOMP"}</definedName>
    <definedName name="jkl">{#N/A,#N/A,FALSE,"REPORT"}</definedName>
    <definedName name="jkl_1">{#N/A,#N/A,FALSE,"REPORT"}</definedName>
    <definedName name="jkl_2">{#N/A,#N/A,FALSE,"REPORT"}</definedName>
    <definedName name="jkl_3">{#N/A,#N/A,FALSE,"REPORT"}</definedName>
    <definedName name="jkl_4">{#N/A,#N/A,FALSE,"REPORT"}</definedName>
    <definedName name="jkl_5">{#N/A,#N/A,FALSE,"REPORT"}</definedName>
    <definedName name="jlkdjklsdjf">{"K3Cash",#N/A,FALSE,"Ann";"K3Income",#N/A,FALSE,"Ann";"K3Educ",#N/A,FALSE,"Ann";"K3media",#N/A,FALSE,"Ann";"K3Info",#N/A,FALSE,"Ann";"K3Valuation",#N/A,FALSE,"Ann"}</definedName>
    <definedName name="JM">#REF!</definedName>
    <definedName name="JMAY">#REF!</definedName>
    <definedName name="JMAY00">#REF!</definedName>
    <definedName name="JMAY02">#REF!</definedName>
    <definedName name="jmgkdjgkdfjgkf">{#N/A,#N/A,FALSE,"Cash Flows";#N/A,#N/A,FALSE,"Fixed Assets";#N/A,#N/A,FALSE,"Balance Sheet";#N/A,#N/A,FALSE,"P &amp; L"}</definedName>
    <definedName name="jmgkdjgkdfjgkf_1">{#N/A,#N/A,FALSE,"Cash Flows";#N/A,#N/A,FALSE,"Fixed Assets";#N/A,#N/A,FALSE,"Balance Sheet";#N/A,#N/A,FALSE,"P &amp; L"}</definedName>
    <definedName name="JNOV">#REF!</definedName>
    <definedName name="JNOV00">#REF!</definedName>
    <definedName name="JOCT">#REF!</definedName>
    <definedName name="JOCT00">#REF!</definedName>
    <definedName name="JOCT02">#REF!</definedName>
    <definedName name="JOGDAND">#REF!</definedName>
    <definedName name="jom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ORGE">#REF!</definedName>
    <definedName name="JORKARDATTATRAYA">#REF!</definedName>
    <definedName name="JOSHIABHAY">#REF!</definedName>
    <definedName name="JOSHIBHARAT">#REF!</definedName>
    <definedName name="JOSHIRANJIT">#REF!</definedName>
    <definedName name="JOSHISHAILESH">#REF!</definedName>
    <definedName name="jrfh">#REF!</definedName>
    <definedName name="JRN">{#N/A,#N/A,FALSE,"Tabl. FB300";#N/A,#N/A,FALSE,"Tabl. FB350";#N/A,#N/A,FALSE,"Tabl. FB400";#N/A,#N/A,FALSE,"Tabl. FB500";#N/A,#N/A,FALSE,"Tabl. FS090"}</definedName>
    <definedName name="JRN_1">{#N/A,#N/A,FALSE,"Tabl. FB300";#N/A,#N/A,FALSE,"Tabl. FB350";#N/A,#N/A,FALSE,"Tabl. FB400";#N/A,#N/A,FALSE,"Tabl. FB500";#N/A,#N/A,FALSE,"Tabl. FS090"}</definedName>
    <definedName name="JRN_2">{#N/A,#N/A,FALSE,"Tabl. FB300";#N/A,#N/A,FALSE,"Tabl. FB350";#N/A,#N/A,FALSE,"Tabl. FB400";#N/A,#N/A,FALSE,"Tabl. FB500";#N/A,#N/A,FALSE,"Tabl. FS090"}</definedName>
    <definedName name="JRN_3">{#N/A,#N/A,FALSE,"Tabl. FB300";#N/A,#N/A,FALSE,"Tabl. FB350";#N/A,#N/A,FALSE,"Tabl. FB400";#N/A,#N/A,FALSE,"Tabl. FB500";#N/A,#N/A,FALSE,"Tabl. FS090"}</definedName>
    <definedName name="JRN_4">{#N/A,#N/A,FALSE,"Tabl. FB300";#N/A,#N/A,FALSE,"Tabl. FB350";#N/A,#N/A,FALSE,"Tabl. FB400";#N/A,#N/A,FALSE,"Tabl. FB500";#N/A,#N/A,FALSE,"Tabl. FS090"}</definedName>
    <definedName name="JSEPT">#REF!</definedName>
    <definedName name="JSEPT00">#REF!</definedName>
    <definedName name="JSEPT03">#REF!</definedName>
    <definedName name="jt">#REF!</definedName>
    <definedName name="judy">{#N/A,#N/A,FALSE,"Pharm";#N/A,#N/A,FALSE,"WWCM"}</definedName>
    <definedName name="judy_1">{#N/A,#N/A,FALSE,"Pharm";#N/A,#N/A,FALSE,"WWCM"}</definedName>
    <definedName name="judy_2">{#N/A,#N/A,FALSE,"Pharm";#N/A,#N/A,FALSE,"WWCM"}</definedName>
    <definedName name="judy_3">{#N/A,#N/A,FALSE,"Pharm";#N/A,#N/A,FALSE,"WWCM"}</definedName>
    <definedName name="judy_4">{#N/A,#N/A,FALSE,"Pharm";#N/A,#N/A,FALSE,"WWCM"}</definedName>
    <definedName name="judy_5">{#N/A,#N/A,FALSE,"Pharm";#N/A,#N/A,FALSE,"WWCM"}</definedName>
    <definedName name="judy1">{#N/A,#N/A,FALSE,"Pharm";#N/A,#N/A,FALSE,"WWCM"}</definedName>
    <definedName name="judy1_1">{#N/A,#N/A,FALSE,"Pharm";#N/A,#N/A,FALSE,"WWCM"}</definedName>
    <definedName name="judy1_2">{#N/A,#N/A,FALSE,"Pharm";#N/A,#N/A,FALSE,"WWCM"}</definedName>
    <definedName name="judy1_3">{#N/A,#N/A,FALSE,"Pharm";#N/A,#N/A,FALSE,"WWCM"}</definedName>
    <definedName name="judy1_4">{#N/A,#N/A,FALSE,"Pharm";#N/A,#N/A,FALSE,"WWCM"}</definedName>
    <definedName name="judy1_5">{#N/A,#N/A,FALSE,"Pharm";#N/A,#N/A,FALSE,"WWCM"}</definedName>
    <definedName name="JUL">#REF!</definedName>
    <definedName name="JULFA">#REF!</definedName>
    <definedName name="JulPay">#REF!</definedName>
    <definedName name="JULTB">#REF!</definedName>
    <definedName name="july">#REF!</definedName>
    <definedName name="Julybang">#REF!</definedName>
    <definedName name="julydata">#REF!</definedName>
    <definedName name="Julytrade">#REF!</definedName>
    <definedName name="JUN">#REF!</definedName>
    <definedName name="june">{"AprJE to Everham",#N/A,FALSE,"JEto Jen"}</definedName>
    <definedName name="JUNE03">#REF!</definedName>
    <definedName name="JUNE05">#REF!</definedName>
    <definedName name="june06">#REF!</definedName>
    <definedName name="junedata">#REF!</definedName>
    <definedName name="junesal">#REF!</definedName>
    <definedName name="junetrade">#REF!</definedName>
    <definedName name="JUNFA">#REF!</definedName>
    <definedName name="JuniorRate">#REF!</definedName>
    <definedName name="JunPay">#REF!</definedName>
    <definedName name="JUNTB">#REF!</definedName>
    <definedName name="JV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V_Area">#REF!</definedName>
    <definedName name="jykukuykuy">MATCH(0.01,End_Bal,-1)+1</definedName>
    <definedName name="jzf">#REF!</definedName>
    <definedName name="k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5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EXP">#REF!</definedName>
    <definedName name="K_EXP_2">#REF!</definedName>
    <definedName name="K_PROFIT">#REF!</definedName>
    <definedName name="K_PROFIT_2">#REF!</definedName>
    <definedName name="K2_WBEVMODE">0</definedName>
    <definedName name="KACHAREBAJIRAO">#REF!</definedName>
    <definedName name="KADAM">#REF!</definedName>
    <definedName name="KADAMVIJAY">#REF!</definedName>
    <definedName name="KAGINALKAR">#REF!</definedName>
    <definedName name="KAJALE">#REF!</definedName>
    <definedName name="KAJGARMB">#REF!</definedName>
    <definedName name="KAKADE">#REF!</definedName>
    <definedName name="kakaka">#REF!</definedName>
    <definedName name="KALASKARP">#REF!</definedName>
    <definedName name="Kalender">#REF!</definedName>
    <definedName name="KAMBLE">#REF!</definedName>
    <definedName name="KAMRUDDININAMDAR">#REF!</definedName>
    <definedName name="KANEKAR">#REF!</definedName>
    <definedName name="KANHEREAMOL">#REF!</definedName>
    <definedName name="kaori">#REF!</definedName>
    <definedName name="KAPSES">#REF!</definedName>
    <definedName name="KARDILEKISHOR">#REF!</definedName>
    <definedName name="KASHIDNARENDRA">#REF!</definedName>
    <definedName name="KATERAMDASB">#REF!</definedName>
    <definedName name="KATESOMNATH">#REF!</definedName>
    <definedName name="KATIF_DRIPPERS">#REF!</definedName>
    <definedName name="kaval">#REF!</definedName>
    <definedName name="Kaval1">#REF!</definedName>
    <definedName name="kaval13">#REF!</definedName>
    <definedName name="kaval5">#REF!</definedName>
    <definedName name="kazuyo">#REF!</definedName>
    <definedName name="kb">#REF!</definedName>
    <definedName name="kcong">#REF!</definedName>
    <definedName name="kDAVDVJBJB">#REF!</definedName>
    <definedName name="KELKARGANESH">#REF!</definedName>
    <definedName name="kendata">#REF!</definedName>
    <definedName name="KESKARK">#REF!</definedName>
    <definedName name="key">#REF!</definedName>
    <definedName name="Key_Results_Area">#REF!</definedName>
    <definedName name="KeyDate1">#REF!</definedName>
    <definedName name="KeyDate2">#REF!</definedName>
    <definedName name="KeyDate3">#REF!</definedName>
    <definedName name="KH">{#N/A,#N/A,FALSE,"schdls"}</definedName>
    <definedName name="khac">2</definedName>
    <definedName name="KHACHANEGANESH">#REF!</definedName>
    <definedName name="KHAIRNARD">#REF!</definedName>
    <definedName name="KHAIRNARPRASHANT">#REF!</definedName>
    <definedName name="KHAMBESATISHS">#REF!</definedName>
    <definedName name="KHARAT">#REF!</definedName>
    <definedName name="KHATKEAJITG">#REF!</definedName>
    <definedName name="KHEDKAR">#REF!</definedName>
    <definedName name="khkh">#REF!</definedName>
    <definedName name="KHOMNEMANISHA">#REF!</definedName>
    <definedName name="KHOPDES">#REF!</definedName>
    <definedName name="Kiem_tra_trung_ten">#REF!</definedName>
    <definedName name="KJH">{#N/A,#N/A,FALSE,"Tabl. FB300";#N/A,#N/A,FALSE,"Tabl. FB350";#N/A,#N/A,FALSE,"Tabl. FB400";#N/A,#N/A,FALSE,"Tabl. FB500";#N/A,#N/A,FALSE,"Tabl. FS090"}</definedName>
    <definedName name="KJH_1">{#N/A,#N/A,FALSE,"Tabl. FB300";#N/A,#N/A,FALSE,"Tabl. FB350";#N/A,#N/A,FALSE,"Tabl. FB400";#N/A,#N/A,FALSE,"Tabl. FB500";#N/A,#N/A,FALSE,"Tabl. FS090"}</definedName>
    <definedName name="KJH_2">{#N/A,#N/A,FALSE,"Tabl. FB300";#N/A,#N/A,FALSE,"Tabl. FB350";#N/A,#N/A,FALSE,"Tabl. FB400";#N/A,#N/A,FALSE,"Tabl. FB500";#N/A,#N/A,FALSE,"Tabl. FS090"}</definedName>
    <definedName name="KJH_3">{#N/A,#N/A,FALSE,"Tabl. FB300";#N/A,#N/A,FALSE,"Tabl. FB350";#N/A,#N/A,FALSE,"Tabl. FB400";#N/A,#N/A,FALSE,"Tabl. FB500";#N/A,#N/A,FALSE,"Tabl. FS090"}</definedName>
    <definedName name="KJH_4">{#N/A,#N/A,FALSE,"Tabl. FB300";#N/A,#N/A,FALSE,"Tabl. FB350";#N/A,#N/A,FALSE,"Tabl. FB400";#N/A,#N/A,FALSE,"Tabl. FB500";#N/A,#N/A,FALSE,"Tabl. FS090"}</definedName>
    <definedName name="KK">#REF!</definedName>
    <definedName name="kk_1">{"EVA",#N/A,FALSE,"SMT2";#N/A,#N/A,FALSE,"Summary";#N/A,#N/A,FALSE,"Graphs";#N/A,#N/A,FALSE,"4 Panel"}</definedName>
    <definedName name="kk_2">{"EVA",#N/A,FALSE,"SMT2";#N/A,#N/A,FALSE,"Summary";#N/A,#N/A,FALSE,"Graphs";#N/A,#N/A,FALSE,"4 Panel"}</definedName>
    <definedName name="kk_3">{"EVA",#N/A,FALSE,"SMT2";#N/A,#N/A,FALSE,"Summary";#N/A,#N/A,FALSE,"Graphs";#N/A,#N/A,FALSE,"4 Panel"}</definedName>
    <definedName name="kkk">{#N/A,#N/A,FALSE,"Pharm";#N/A,#N/A,FALSE,"WWCM"}</definedName>
    <definedName name="kkk_1">{#N/A,#N/A,FALSE,"Pharm";#N/A,#N/A,FALSE,"WWCM"}</definedName>
    <definedName name="kkk_2">{#N/A,#N/A,FALSE,"Pharm";#N/A,#N/A,FALSE,"WWCM"}</definedName>
    <definedName name="kkk_3">{#N/A,#N/A,FALSE,"Pharm";#N/A,#N/A,FALSE,"WWCM"}</definedName>
    <definedName name="kkk_4">{#N/A,#N/A,FALSE,"Pharm";#N/A,#N/A,FALSE,"WWCM"}</definedName>
    <definedName name="kkk_5">{#N/A,#N/A,FALSE,"Pharm";#N/A,#N/A,FALSE,"WWCM"}</definedName>
    <definedName name="kkkk">#REF!</definedName>
    <definedName name="klasjdf">#REF!</definedName>
    <definedName name="KLD">{#N/A,#N/A,FALSE,"Tabl. A1";#N/A,#N/A,FALSE,"Tabl. A1 b";#N/A,#N/A,FALSE,"Tabl. A2";#N/A,#N/A,FALSE,"Tabl. A2-1";#N/A,#N/A,FALSE,"Tabl. A2-2"}</definedName>
    <definedName name="KLD_1">{#N/A,#N/A,FALSE,"Tabl. A1";#N/A,#N/A,FALSE,"Tabl. A1 b";#N/A,#N/A,FALSE,"Tabl. A2";#N/A,#N/A,FALSE,"Tabl. A2-1";#N/A,#N/A,FALSE,"Tabl. A2-2"}</definedName>
    <definedName name="KLD_2">{#N/A,#N/A,FALSE,"Tabl. A1";#N/A,#N/A,FALSE,"Tabl. A1 b";#N/A,#N/A,FALSE,"Tabl. A2";#N/A,#N/A,FALSE,"Tabl. A2-1";#N/A,#N/A,FALSE,"Tabl. A2-2"}</definedName>
    <definedName name="KLD_3">{#N/A,#N/A,FALSE,"Tabl. A1";#N/A,#N/A,FALSE,"Tabl. A1 b";#N/A,#N/A,FALSE,"Tabl. A2";#N/A,#N/A,FALSE,"Tabl. A2-1";#N/A,#N/A,FALSE,"Tabl. A2-2"}</definedName>
    <definedName name="KLD_4">{#N/A,#N/A,FALSE,"Tabl. A1";#N/A,#N/A,FALSE,"Tabl. A1 b";#N/A,#N/A,FALSE,"Tabl. A2";#N/A,#N/A,FALSE,"Tabl. A2-1";#N/A,#N/A,FALSE,"Tabl. A2-2"}</definedName>
    <definedName name="KLE">{#N/A,#N/A,FALSE,"Tabl. H1";#N/A,#N/A,FALSE,"Tabl. H2"}</definedName>
    <definedName name="KLE_1">{#N/A,#N/A,FALSE,"Tabl. H1";#N/A,#N/A,FALSE,"Tabl. H2"}</definedName>
    <definedName name="KLE_2">{#N/A,#N/A,FALSE,"Tabl. H1";#N/A,#N/A,FALSE,"Tabl. H2"}</definedName>
    <definedName name="KLE_3">{#N/A,#N/A,FALSE,"Tabl. H1";#N/A,#N/A,FALSE,"Tabl. H2"}</definedName>
    <definedName name="KLE_4">{#N/A,#N/A,FALSE,"Tabl. H1";#N/A,#N/A,FALSE,"Tabl. H2"}</definedName>
    <definedName name="KLKK">{#N/A,#N/A,FALSE,"OSBL"}</definedName>
    <definedName name="KLKK_1">{#N/A,#N/A,FALSE,"OSBL"}</definedName>
    <definedName name="KLKK_1_1">{#N/A,#N/A,FALSE,"OSBL"}</definedName>
    <definedName name="KLKK_1_2">{#N/A,#N/A,FALSE,"OSBL"}</definedName>
    <definedName name="KLKK_1_3">{#N/A,#N/A,FALSE,"OSBL"}</definedName>
    <definedName name="KLKK_1_4">{#N/A,#N/A,FALSE,"OSBL"}</definedName>
    <definedName name="KLKK_2">{#N/A,#N/A,FALSE,"OSBL"}</definedName>
    <definedName name="KLKK_2_1">{#N/A,#N/A,FALSE,"OSBL"}</definedName>
    <definedName name="KLKK_2_2">{#N/A,#N/A,FALSE,"OSBL"}</definedName>
    <definedName name="KLKK_2_3">{#N/A,#N/A,FALSE,"OSBL"}</definedName>
    <definedName name="KLKK_2_4">{#N/A,#N/A,FALSE,"OSBL"}</definedName>
    <definedName name="KLKK_3">{#N/A,#N/A,FALSE,"OSBL"}</definedName>
    <definedName name="KLKK_3_1">{#N/A,#N/A,FALSE,"OSBL"}</definedName>
    <definedName name="KLKK_3_2">{#N/A,#N/A,FALSE,"OSBL"}</definedName>
    <definedName name="KLKK_3_3">{#N/A,#N/A,FALSE,"OSBL"}</definedName>
    <definedName name="KLKK_3_4">{#N/A,#N/A,FALSE,"OSBL"}</definedName>
    <definedName name="KLKK_4">{#N/A,#N/A,FALSE,"OSBL"}</definedName>
    <definedName name="KLKK_4_1">{#N/A,#N/A,FALSE,"OSBL"}</definedName>
    <definedName name="KLKK_4_2">{#N/A,#N/A,FALSE,"OSBL"}</definedName>
    <definedName name="KLKK_4_3">{#N/A,#N/A,FALSE,"OSBL"}</definedName>
    <definedName name="KLKK_4_4">{#N/A,#N/A,FALSE,"OSBL"}</definedName>
    <definedName name="KLKK_5">{#N/A,#N/A,FALSE,"OSBL"}</definedName>
    <definedName name="KlxToolbarCONTROLS">"DIM5SET"</definedName>
    <definedName name="KlxToolbarCURRENCY">"TUSD"</definedName>
    <definedName name="KlxToolbarENTITIES">"P0255ADM"</definedName>
    <definedName name="KlxToolbarOTHER">"DEPT"</definedName>
    <definedName name="KNE">#REF!</definedName>
    <definedName name="KOJIMA">#REF!</definedName>
    <definedName name="KOLHATKARAMEET">#REF!</definedName>
    <definedName name="KOLHEDHIRAJ">#REF!</definedName>
    <definedName name="KOPARDE">#REF!</definedName>
    <definedName name="KOREA_PLASTIC_in_KUSD">#REF!</definedName>
    <definedName name="ko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otakmahindra">#REF!</definedName>
    <definedName name="KRW_USD_EX_RATE">#REF!</definedName>
    <definedName name="ksdkdsk">#REF!</definedName>
    <definedName name="kskk">{#N/A,#N/A,FALSE,"COVER.XLS";#N/A,#N/A,FALSE,"RACT1.XLS";#N/A,#N/A,FALSE,"RACT2.XLS";#N/A,#N/A,FALSE,"ECCMP";#N/A,#N/A,FALSE,"WELDER.XLS"}</definedName>
    <definedName name="kslkjkjlkjd">{#N/A,#N/A,FALSE,"REPORT"}</definedName>
    <definedName name="kslkjkjlkjd_1">{#N/A,#N/A,FALSE,"REPORT"}</definedName>
    <definedName name="kslkjkjlkjd_2">{#N/A,#N/A,FALSE,"REPORT"}</definedName>
    <definedName name="kslkjkjlkjd_3">{#N/A,#N/A,FALSE,"REPORT"}</definedName>
    <definedName name="kslkjkjlkjd_4">{#N/A,#N/A,FALSE,"REPORT"}</definedName>
    <definedName name="kslkjkjlkjd_5">{#N/A,#N/A,FALSE,"REPORT"}</definedName>
    <definedName name="KUDALEPANDHARINATH">#REF!</definedName>
    <definedName name="KUDAVAKKALAGIRAJENDRA">#REF!</definedName>
    <definedName name="kuldeepakbsc">#REF!</definedName>
    <definedName name="kuldeepakconv">#REF!</definedName>
    <definedName name="kuldeepakded">#REF!</definedName>
    <definedName name="kuldeepakint">#REF!</definedName>
    <definedName name="kuldeepakit">#REF!</definedName>
    <definedName name="kuldeepaklta">#REF!</definedName>
    <definedName name="kuldeepakmed">#REF!</definedName>
    <definedName name="kuldeepakpd">#REF!</definedName>
    <definedName name="kuldeepakpf">#REF!</definedName>
    <definedName name="kuldeepakpt">#REF!</definedName>
    <definedName name="kuldeepakrent">#REF!</definedName>
    <definedName name="kuldeepakspla">#REF!</definedName>
    <definedName name="KULKARNI_ABHAY">#REF!</definedName>
    <definedName name="KULKARNI_SUHAS">#REF!</definedName>
    <definedName name="KULKARNIP">#REF!</definedName>
    <definedName name="KULKARNIRAHULSUDHAKAR">#REF!</definedName>
    <definedName name="KULKARNISANDEEPPRABHAKAR">#REF!</definedName>
    <definedName name="KULKARNIVIJAY">#REF!</definedName>
    <definedName name="KUMARRAKESH">#REF!</definedName>
    <definedName name="KUMBHAR">#REF!</definedName>
    <definedName name="KUMBHARGANESH">#REF!</definedName>
    <definedName name="KUNJIR">#REF!</definedName>
    <definedName name="KUNTE">#REF!</definedName>
    <definedName name="KUULSD">{#N/A,#N/A,FALSE,"COMP"}</definedName>
    <definedName name="KUULSD_1">{#N/A,#N/A,FALSE,"COMP"}</definedName>
    <definedName name="KUULSD_2">{#N/A,#N/A,FALSE,"COMP"}</definedName>
    <definedName name="KUULSD_3">{#N/A,#N/A,FALSE,"COMP"}</definedName>
    <definedName name="KV_AC">#REF!</definedName>
    <definedName name="kvs">{#N/A,#N/A,FALSE,"COVER1.XLS ";#N/A,#N/A,FALSE,"RACT1.XLS";#N/A,#N/A,FALSE,"RACT2.XLS";#N/A,#N/A,FALSE,"ECCMP";#N/A,#N/A,FALSE,"WELDER.XLS"}</definedName>
    <definedName name="kw">{#N/A,#N/A,FALSE,"17"}</definedName>
    <definedName name="kyd.ChngCell.01.">#REF!</definedName>
    <definedName name="kyd.ChngDateCell.">#REF!</definedName>
    <definedName name="kyd.CounterLimitCell.01.">"x"</definedName>
    <definedName name="kyd.Dim.01.">"TM1SERV:depts"</definedName>
    <definedName name="kyd.ElementList.01.">#REF!</definedName>
    <definedName name="kyd.ElementType.01.">3</definedName>
    <definedName name="kyd.FileNameCell.">#REF!</definedName>
    <definedName name="kyd.FileSaveDir.">"S:\finance\ADMIN\STEPHEN\"</definedName>
    <definedName name="kyd.ItemType.01.">2</definedName>
    <definedName name="kyd.KillLinks.">1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>999</definedName>
    <definedName name="kyd.PanicStop.">FALSE</definedName>
    <definedName name="kyd.ParentName.01.">"Offshore Group"</definedName>
    <definedName name="kyd.Password.">""</definedName>
    <definedName name="kyd.PreScreenData.">FALSE</definedName>
    <definedName name="kyd.PrintMemo.">FALSE</definedName>
    <definedName name="kyd.PrintParent.01.">TRUE</definedName>
    <definedName name="kyd.PrintStdWhen.">3</definedName>
    <definedName name="kyd.Protect1.">"input"</definedName>
    <definedName name="kyd.ProtWbkStruct.">1</definedName>
    <definedName name="kyd.ProtWbkWin.">-4146</definedName>
    <definedName name="kyd.ReplaceFile.">1</definedName>
    <definedName name="kyd.SaveAsFile.">TRUE</definedName>
    <definedName name="kyd.SaveCopy.">2</definedName>
    <definedName name="kyd.SaveCopyAlertCell.">#REF!</definedName>
    <definedName name="kyd.SaveMemo.">FALSE</definedName>
    <definedName name="kyd.SelectString.01.">"*"</definedName>
    <definedName name="kyd.StdSortHide.">FALSE</definedName>
    <definedName name="kyd.StopRow.">65536</definedName>
    <definedName name="kyd.WriteMemWhenOptn.">3</definedName>
    <definedName name="l">#REF!</definedName>
    <definedName name="L.T._Z_value">#REF!</definedName>
    <definedName name="L.T.A.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1_">#REF!</definedName>
    <definedName name="LABORATORY_EXPENSES">#REF!</definedName>
    <definedName name="LABOUR_CHARGES">#REF!</definedName>
    <definedName name="LABOUR_WELFARE_FUND">#REF!</definedName>
    <definedName name="LAC">#REF!</definedName>
    <definedName name="LAKAMBLES">#REF!</definedName>
    <definedName name="lan">#REF!</definedName>
    <definedName name="LAND">#REF!</definedName>
    <definedName name="language">#REF!</definedName>
    <definedName name="LanguageComment">#REF!</definedName>
    <definedName name="last_change">#REF!</definedName>
    <definedName name="Last_Results">#REF!</definedName>
    <definedName name="Last_Results_Quarter">#REF!</definedName>
    <definedName name="Last_Results_Year">#REF!</definedName>
    <definedName name="Last_Row">#REF!</definedName>
    <definedName name="laura">{#N/A,#N/A,FALSE,"qtr97vs98";#N/A,#N/A,FALSE,"qtr398vsq298";#N/A,#N/A,FALSE,"qtr98vsplan";#N/A,#N/A,FALSE,"fy97vs98";#N/A,#N/A,FALSE,"fy98vsplan";#N/A,#N/A,FALSE,"coversheet"}</definedName>
    <definedName name="laura1">{#N/A,#N/A,FALSE,"qtr97vs98";#N/A,#N/A,FALSE,"qtr398vsq298";#N/A,#N/A,FALSE,"qtr98vsplan";#N/A,#N/A,FALSE,"fy97vs98";#N/A,#N/A,FALSE,"fy98vsplan";#N/A,#N/A,FALSE,"coversheet"}</definedName>
    <definedName name="LBOIPOExit1">#REF!</definedName>
    <definedName name="LBOIPOExit2">#REF!</definedName>
    <definedName name="LBOSaleExit1">#REF!</definedName>
    <definedName name="LBOSaleExit2">#REF!</definedName>
    <definedName name="LC">{#N/A,#N/A,FALSE,"PMTABB";#N/A,#N/A,FALSE,"PMTABB"}</definedName>
    <definedName name="LC_1">{#N/A,#N/A,FALSE,"PMTABB";#N/A,#N/A,FALSE,"PMTABB"}</definedName>
    <definedName name="LC_2">{#N/A,#N/A,FALSE,"PMTABB";#N/A,#N/A,FALSE,"PMTABB"}</definedName>
    <definedName name="LC_2_1">{#N/A,#N/A,FALSE,"PMTABB";#N/A,#N/A,FALSE,"PMTABB"}</definedName>
    <definedName name="LC_2_2">{#N/A,#N/A,FALSE,"PMTABB";#N/A,#N/A,FALSE,"PMTABB"}</definedName>
    <definedName name="LC_2_3">{#N/A,#N/A,FALSE,"PMTABB";#N/A,#N/A,FALSE,"PMTABB"}</definedName>
    <definedName name="LC_2_4">{#N/A,#N/A,FALSE,"PMTABB";#N/A,#N/A,FALSE,"PMTABB"}</definedName>
    <definedName name="LC_3">{#N/A,#N/A,FALSE,"PMTABB";#N/A,#N/A,FALSE,"PMTABB"}</definedName>
    <definedName name="LC_3_1">{#N/A,#N/A,FALSE,"PMTABB";#N/A,#N/A,FALSE,"PMTABB"}</definedName>
    <definedName name="LC_3_2">{#N/A,#N/A,FALSE,"PMTABB";#N/A,#N/A,FALSE,"PMTABB"}</definedName>
    <definedName name="LC_3_3">{#N/A,#N/A,FALSE,"PMTABB";#N/A,#N/A,FALSE,"PMTABB"}</definedName>
    <definedName name="LC_3_4">{#N/A,#N/A,FALSE,"PMTABB";#N/A,#N/A,FALSE,"PMTABB"}</definedName>
    <definedName name="LC_4">{#N/A,#N/A,FALSE,"PMTABB";#N/A,#N/A,FALSE,"PMTABB"}</definedName>
    <definedName name="LC_4_1">{#N/A,#N/A,FALSE,"PMTABB";#N/A,#N/A,FALSE,"PMTABB"}</definedName>
    <definedName name="LC_4_2">{#N/A,#N/A,FALSE,"PMTABB";#N/A,#N/A,FALSE,"PMTABB"}</definedName>
    <definedName name="LC_4_3">{#N/A,#N/A,FALSE,"PMTABB";#N/A,#N/A,FALSE,"PMTABB"}</definedName>
    <definedName name="LC_4_4">{#N/A,#N/A,FALSE,"PMTABB";#N/A,#N/A,FALSE,"PMTABB"}</definedName>
    <definedName name="LC_5">{#N/A,#N/A,FALSE,"PMTABB";#N/A,#N/A,FALSE,"PMTABB"}</definedName>
    <definedName name="lc_are">#REF!</definedName>
    <definedName name="lc_fiscal_year">#REF!</definedName>
    <definedName name="LC_MARGIN">#REF!</definedName>
    <definedName name="lc_period">#REF!</definedName>
    <definedName name="lc_posplan">#REF!</definedName>
    <definedName name="lc_version">#REF!</definedName>
    <definedName name="LC5_total">#REF!</definedName>
    <definedName name="LC6_total">#REF!</definedName>
    <definedName name="LDPO">#REF!</definedName>
    <definedName name="LE">#REF!</definedName>
    <definedName name="Lea">{"AprJE to Everham",#N/A,FALSE,"JEto Jen"}</definedName>
    <definedName name="Leader">#REF!</definedName>
    <definedName name="Lease_hold_improvements">#REF!</definedName>
    <definedName name="leasehold">#REF!</definedName>
    <definedName name="LEAVE_ENCASHMENT">#REF!</definedName>
    <definedName name="LEAVEENPRO2001">#REF!</definedName>
    <definedName name="LedgerAmt">#REF!</definedName>
    <definedName name="LedgerName">#REF!</definedName>
    <definedName name="lee">{#N/A,#N/A,FALSE,"Pharm";#N/A,#N/A,FALSE,"WWCM"}</definedName>
    <definedName name="lee_1">{#N/A,#N/A,FALSE,"Pharm";#N/A,#N/A,FALSE,"WWCM"}</definedName>
    <definedName name="lee_2">{#N/A,#N/A,FALSE,"Pharm";#N/A,#N/A,FALSE,"WWCM"}</definedName>
    <definedName name="lee_3">{#N/A,#N/A,FALSE,"Pharm";#N/A,#N/A,FALSE,"WWCM"}</definedName>
    <definedName name="lee_4">{#N/A,#N/A,FALSE,"Pharm";#N/A,#N/A,FALSE,"WWCM"}</definedName>
    <definedName name="lee_5">{#N/A,#N/A,FALSE,"Pharm";#N/A,#N/A,FALSE,"WWCM"}</definedName>
    <definedName name="LEGAL_FEES">#REF!</definedName>
    <definedName name="legal1">#REF!</definedName>
    <definedName name="LESS___D.R.E._WRITTEN_OFF">#REF!</definedName>
    <definedName name="Less__Cash_and_Equivalents">#REF!</definedName>
    <definedName name="LESS_THAN_SIX_MONTHS">#REF!</definedName>
    <definedName name="LET">#REF!</definedName>
    <definedName name="lewis">{#N/A,#N/A,FALSE,"Valuation Assumptions";#N/A,#N/A,FALSE,"Summary";#N/A,#N/A,FALSE,"DCF";#N/A,#N/A,FALSE,"Valuation";#N/A,#N/A,FALSE,"WACC";#N/A,#N/A,FALSE,"UBVH";#N/A,#N/A,FALSE,"Free Cash Flow"}</definedName>
    <definedName name="LFY">#REF!</definedName>
    <definedName name="LFYE">#REF!</definedName>
    <definedName name="LG">#REF!</definedName>
    <definedName name="lglglg">#REF!</definedName>
    <definedName name="lglglgl">#REF!</definedName>
    <definedName name="lia">#REF!</definedName>
    <definedName name="liabs98">#REF!</definedName>
    <definedName name="liabs99">#REF!</definedName>
    <definedName name="Lib_Deprec">#REF!</definedName>
    <definedName name="LIB_TOTAL">#REF!</definedName>
    <definedName name="LIBOR">#REF!</definedName>
    <definedName name="LICENCE_FEES">#REF!</definedName>
    <definedName name="limcount">1</definedName>
    <definedName name="LINE">#REF!</definedName>
    <definedName name="LINKS">#REF!</definedName>
    <definedName name="LIPL">#REF!</definedName>
    <definedName name="List">#REF!</definedName>
    <definedName name="List_ARPopulation">#REF!</definedName>
    <definedName name="List_Curr">#REF!</definedName>
    <definedName name="List_ExpandedTesting">#REF!</definedName>
    <definedName name="List_Level_Assr">#REF!</definedName>
    <definedName name="List_LevelAssurance">#REF!</definedName>
    <definedName name="List_Number_of_Exceptions_Identified">#REF!</definedName>
    <definedName name="List_NumberTolerableExceptions">#REF!</definedName>
    <definedName name="List_Proj_Meth">#REF!</definedName>
    <definedName name="List_Samp_Sel">#REF!</definedName>
    <definedName name="List_SampleSelectionMethod">#REF!</definedName>
    <definedName name="liste">#REF!</definedName>
    <definedName name="ListOffset">1</definedName>
    <definedName name="LJLJJ">{#N/A,#N/A,FALSE,"FREE"}</definedName>
    <definedName name="LJLJJ_1">{#N/A,#N/A,FALSE,"FREE"}</definedName>
    <definedName name="LJLJJ_1_1">{#N/A,#N/A,FALSE,"FREE"}</definedName>
    <definedName name="LJLJJ_1_2">{#N/A,#N/A,FALSE,"FREE"}</definedName>
    <definedName name="LJLJJ_1_3">{#N/A,#N/A,FALSE,"FREE"}</definedName>
    <definedName name="LJLJJ_1_4">{#N/A,#N/A,FALSE,"FREE"}</definedName>
    <definedName name="LJLJJ_2">{#N/A,#N/A,FALSE,"FREE"}</definedName>
    <definedName name="LJLJJ_2_1">{#N/A,#N/A,FALSE,"FREE"}</definedName>
    <definedName name="LJLJJ_2_2">{#N/A,#N/A,FALSE,"FREE"}</definedName>
    <definedName name="LJLJJ_2_3">{#N/A,#N/A,FALSE,"FREE"}</definedName>
    <definedName name="LJLJJ_2_4">{#N/A,#N/A,FALSE,"FREE"}</definedName>
    <definedName name="LJLJJ_3">{#N/A,#N/A,FALSE,"FREE"}</definedName>
    <definedName name="LJLJJ_3_1">{#N/A,#N/A,FALSE,"FREE"}</definedName>
    <definedName name="LJLJJ_3_2">{#N/A,#N/A,FALSE,"FREE"}</definedName>
    <definedName name="LJLJJ_3_3">{#N/A,#N/A,FALSE,"FREE"}</definedName>
    <definedName name="LJLJJ_3_4">{#N/A,#N/A,FALSE,"FREE"}</definedName>
    <definedName name="LJLJJ_4">{#N/A,#N/A,FALSE,"FREE"}</definedName>
    <definedName name="LJLJJ_4_1">{#N/A,#N/A,FALSE,"FREE"}</definedName>
    <definedName name="LJLJJ_4_2">{#N/A,#N/A,FALSE,"FREE"}</definedName>
    <definedName name="LJLJJ_4_3">{#N/A,#N/A,FALSE,"FREE"}</definedName>
    <definedName name="LJLJJ_4_4">{#N/A,#N/A,FALSE,"FREE"}</definedName>
    <definedName name="LJLJJ_5">{#N/A,#N/A,FALSE,"FREE"}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G">{#N/A,#N/A,FALSE,"Tabl. G1";#N/A,#N/A,FALSE,"Tabl. G2"}</definedName>
    <definedName name="LKG_1">{#N/A,#N/A,FALSE,"Tabl. G1";#N/A,#N/A,FALSE,"Tabl. G2"}</definedName>
    <definedName name="LKG_2">{#N/A,#N/A,FALSE,"Tabl. G1";#N/A,#N/A,FALSE,"Tabl. G2"}</definedName>
    <definedName name="LKG_3">{#N/A,#N/A,FALSE,"Tabl. G1";#N/A,#N/A,FALSE,"Tabl. G2"}</definedName>
    <definedName name="LKG_4">{#N/A,#N/A,FALSE,"Tabl. G1";#N/A,#N/A,FALSE,"Tabl. G2"}</definedName>
    <definedName name="lkjsdfkjdfs">#REF!</definedName>
    <definedName name="ll">{#N/A,#N/A,FALSE,"SMT1";#N/A,#N/A,FALSE,"SMT2";#N/A,#N/A,FALSE,"Summary";#N/A,#N/A,FALSE,"Graphs";#N/A,#N/A,FALSE,"4 Panel"}</definedName>
    <definedName name="ll_1">{#N/A,#N/A,FALSE,"SMT1";#N/A,#N/A,FALSE,"SMT2";#N/A,#N/A,FALSE,"Summary";#N/A,#N/A,FALSE,"Graphs";#N/A,#N/A,FALSE,"4 Panel"}</definedName>
    <definedName name="ll_2">{#N/A,#N/A,FALSE,"SMT1";#N/A,#N/A,FALSE,"SMT2";#N/A,#N/A,FALSE,"Summary";#N/A,#N/A,FALSE,"Graphs";#N/A,#N/A,FALSE,"4 Panel"}</definedName>
    <definedName name="ll_3">{#N/A,#N/A,FALSE,"SMT1";#N/A,#N/A,FALSE,"SMT2";#N/A,#N/A,FALSE,"Summary";#N/A,#N/A,FALSE,"Graphs";#N/A,#N/A,FALSE,"4 Panel"}</definedName>
    <definedName name="LL_control">{"'August 2000'!$A$1:$J$101"}</definedName>
    <definedName name="lll">{#N/A,#N/A,FALSE,"12"}</definedName>
    <definedName name="LLOYED">#REF!</definedName>
    <definedName name="LLPModel">#REF!</definedName>
    <definedName name="Loan_Amount">#REF!</definedName>
    <definedName name="LOAN_FROM_FINOLEX_INDUSTRIES_LIMITED">#REF!</definedName>
    <definedName name="LOAN_FROM_FINOLEX_INDUSTRIES_LIMITED_SHEET_DIVISION">#REF!</definedName>
    <definedName name="LOAN_FROM_PLASCHINE_LIMITED">#REF!</definedName>
    <definedName name="Loan_Start">#REF!</definedName>
    <definedName name="Loan_Years">#REF!</definedName>
    <definedName name="Loan20002001">#REF!</definedName>
    <definedName name="Loan20012002">#REF!</definedName>
    <definedName name="Loan9697">#REF!</definedName>
    <definedName name="Loan9798">#REF!</definedName>
    <definedName name="Loan9899">#REF!</definedName>
    <definedName name="Loan992000">#REF!</definedName>
    <definedName name="LOANS">#REF!</definedName>
    <definedName name="LOANS___ADVANCES">#REF!</definedName>
    <definedName name="Loans_and_Other_Borrowings">#REF!</definedName>
    <definedName name="Local_Currency">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tor">#REF!</definedName>
    <definedName name="LOCAL_TRAVELLING_EXP_CONVEYANCE">#REF!</definedName>
    <definedName name="LocalData">#REF!</definedName>
    <definedName name="LocalGlobal">#REF!</definedName>
    <definedName name="Locality">#REF!</definedName>
    <definedName name="Location">#REF!</definedName>
    <definedName name="Log_tax">#REF!</definedName>
    <definedName name="LOKHANDE">#REF!</definedName>
    <definedName name="Lokhouse">#REF!</definedName>
    <definedName name="LOMATEARUN">#REF!</definedName>
    <definedName name="LONDHEN">#REF!</definedName>
    <definedName name="Long_Term_Debt">#REF!</definedName>
    <definedName name="LONKARYOGESH">#REF!</definedName>
    <definedName name="LookUpRange">#REF!</definedName>
    <definedName name="LOSS_ON_SALE_OF_ASSET">#REF!</definedName>
    <definedName name="Lsigmal">#REF!</definedName>
    <definedName name="lslsl">#REF!</definedName>
    <definedName name="LST_Level1assets">#REF!</definedName>
    <definedName name="LST_Level2assets">#REF!</definedName>
    <definedName name="LST_Location">#REF!</definedName>
    <definedName name="LTA">#REF!</definedName>
    <definedName name="LTC_DAC_Query">#REF!</definedName>
    <definedName name="LtDebtChg">#REF!</definedName>
    <definedName name="LtDebtDmy">#REF!,#REF!,#REF!,#REF!,#REF!</definedName>
    <definedName name="LTDebtSer">#REF!</definedName>
    <definedName name="LTH">#REF!</definedName>
    <definedName name="LTHA">#REF!</definedName>
    <definedName name="LTM_Asset_Sales">#REF!</definedName>
    <definedName name="LTM_ATCF___LTM_Revenues">#REF!</definedName>
    <definedName name="LTM_Capex">#REF!</definedName>
    <definedName name="LTM_Capitalized_Interest">#REF!</definedName>
    <definedName name="LTM_Cash_Flow">#REF!</definedName>
    <definedName name="LTM_Current_Income_Tax">#REF!</definedName>
    <definedName name="LTM_DD_A">#REF!</definedName>
    <definedName name="LTM_Deferred_Income_Tax">#REF!</definedName>
    <definedName name="LTM_EBIT">#REF!</definedName>
    <definedName name="LTM_EBITDAX">#REF!</definedName>
    <definedName name="LTM_Exploration_Expense">#REF!</definedName>
    <definedName name="LTM_High">#REF!</definedName>
    <definedName name="LTM_Interest_Expense">#REF!</definedName>
    <definedName name="LTM_Low">#REF!</definedName>
    <definedName name="LTM_Minority_Interest">#REF!</definedName>
    <definedName name="LTM_Net_Income">#REF!</definedName>
    <definedName name="LTM_Non_Cash_Items">#REF!</definedName>
    <definedName name="LTM_Other_Income">#REF!</definedName>
    <definedName name="LTM_Revenue">#REF!</definedName>
    <definedName name="LTM_Weighted_Average_Shares_Outstanding">#REF!</definedName>
    <definedName name="lundi">{#N/A,#N/A,FALSE,"Tabl. G1";#N/A,#N/A,FALSE,"Tabl. G2"}</definedName>
    <definedName name="lundi_1">{#N/A,#N/A,FALSE,"Tabl. G1";#N/A,#N/A,FALSE,"Tabl. G2"}</definedName>
    <definedName name="lundi_2">{#N/A,#N/A,FALSE,"Tabl. G1";#N/A,#N/A,FALSE,"Tabl. G2"}</definedName>
    <definedName name="lundi_3">{#N/A,#N/A,FALSE,"Tabl. G1";#N/A,#N/A,FALSE,"Tabl. G2"}</definedName>
    <definedName name="lundi_4">{#N/A,#N/A,FALSE,"Tabl. G1";#N/A,#N/A,FALSE,"Tabl. G2"}</definedName>
    <definedName name="LYBS">#REF!</definedName>
    <definedName name="LYMth">#REF!</definedName>
    <definedName name="LYYtd">#REF!</definedName>
    <definedName name="m">{#N/A,#N/A,FALSE,"CNS";#N/A,#N/A,FALSE,"Serz";#N/A,#N/A,FALSE,"Ace"}</definedName>
    <definedName name="m_1">{#N/A,#N/A,FALSE,"CNS";#N/A,#N/A,FALSE,"Serz";#N/A,#N/A,FALSE,"Ace"}</definedName>
    <definedName name="m_2">{#N/A,#N/A,FALSE,"CNS";#N/A,#N/A,FALSE,"Serz";#N/A,#N/A,FALSE,"Ace"}</definedName>
    <definedName name="m_3">{#N/A,#N/A,FALSE,"CNS";#N/A,#N/A,FALSE,"Serz";#N/A,#N/A,FALSE,"Ace"}</definedName>
    <definedName name="m_4">{#N/A,#N/A,FALSE,"CNS";#N/A,#N/A,FALSE,"Serz";#N/A,#N/A,FALSE,"Ace"}</definedName>
    <definedName name="m_5">{#N/A,#N/A,FALSE,"CNS";#N/A,#N/A,FALSE,"Serz";#N/A,#N/A,FALSE,"Ace"}</definedName>
    <definedName name="m1500.">#REF!</definedName>
    <definedName name="M2_BR">#REF!</definedName>
    <definedName name="MA">#REF!</definedName>
    <definedName name="MA.SelectActualWSheet">#REF!</definedName>
    <definedName name="MAA">#REF!</definedName>
    <definedName name="machin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acro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acro1">#REF!</definedName>
    <definedName name="macro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S">#REF!</definedName>
    <definedName name="MAHAJAN">#REF!</definedName>
    <definedName name="MAHALDAR">#REF!</definedName>
    <definedName name="maheshbsc">#REF!</definedName>
    <definedName name="maheshconv">#REF!</definedName>
    <definedName name="maheshded">#REF!</definedName>
    <definedName name="maheshhra">#REF!</definedName>
    <definedName name="maheshit">#REF!</definedName>
    <definedName name="maheshlta">#REF!</definedName>
    <definedName name="maheshmed">#REF!</definedName>
    <definedName name="maheshpd">#REF!</definedName>
    <definedName name="maheshpf">#REF!</definedName>
    <definedName name="maheshpt">#REF!</definedName>
    <definedName name="MAHESHPTORO">#REF!</definedName>
    <definedName name="maheshspla">#REF!</definedName>
    <definedName name="MailSystem">"Mail System"</definedName>
    <definedName name="MailSystem_Grade">"C"</definedName>
    <definedName name="main">#REF!</definedName>
    <definedName name="main_comp">#REF!</definedName>
    <definedName name="MAIN_MENU">#REF!</definedName>
    <definedName name="MAJ_CON_EQP">#REF!</definedName>
    <definedName name="MALHOTRA">#REF!</definedName>
    <definedName name="MAN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anagement_of_lqd_resources">#REF!</definedName>
    <definedName name="Management_Profile">#REF!</definedName>
    <definedName name="Manager">#REF!</definedName>
    <definedName name="MANAGERCALC">INDEX(Costcentre,MATCH(#REF!,ccdetail,0),3)</definedName>
    <definedName name="MANDALB">#REF!</definedName>
    <definedName name="mandarbasic">#REF!</definedName>
    <definedName name="mandarconv">#REF!</definedName>
    <definedName name="mandarded">#REF!</definedName>
    <definedName name="mandarhm">#REF!</definedName>
    <definedName name="mandarhra">#REF!</definedName>
    <definedName name="mandarint">#REF!</definedName>
    <definedName name="mandarit">#REF!</definedName>
    <definedName name="mandarlta">#REF!</definedName>
    <definedName name="mandarmed">#REF!</definedName>
    <definedName name="mandarpd">#REF!</definedName>
    <definedName name="mandarpf">#REF!</definedName>
    <definedName name="mandarpt">#REF!</definedName>
    <definedName name="mandarrent">#REF!</definedName>
    <definedName name="mandarsaf">#REF!</definedName>
    <definedName name="mandarspla">#REF!</definedName>
    <definedName name="MANDAVKARMAHESH">#REF!</definedName>
    <definedName name="Maneja">Main.SAPF4Help()</definedName>
    <definedName name="MANESANDEEP">#REF!</definedName>
    <definedName name="mangal">#REF!</definedName>
    <definedName name="manger">INDEX(#REF!,MATCH(#REF!,#REF!,0),3)</definedName>
    <definedName name="mani">#REF!</definedName>
    <definedName name="manish">#REF!</definedName>
    <definedName name="manoj">#REF!</definedName>
    <definedName name="manojbsc">#REF!</definedName>
    <definedName name="manojded">#REF!</definedName>
    <definedName name="manojhm">#REF!</definedName>
    <definedName name="manojhra">#REF!</definedName>
    <definedName name="manojint">#REF!</definedName>
    <definedName name="manojit">#REF!</definedName>
    <definedName name="manojmed">#REF!</definedName>
    <definedName name="manojpd">#REF!</definedName>
    <definedName name="manojpf">#REF!</definedName>
    <definedName name="manojpt">#REF!</definedName>
    <definedName name="manojrent">#REF!</definedName>
    <definedName name="manojspla">#REF!</definedName>
    <definedName name="Manuf">{"detail",#N/A,FALSE,"Revenue Strat Plan"}</definedName>
    <definedName name="Manuf._material_forecast_current_year">#REF!</definedName>
    <definedName name="Manuf._material_plan_year_X">#REF!</definedName>
    <definedName name="Manuf._material_plan_year_X1">#REF!</definedName>
    <definedName name="Manuf._material_plan_year_X2">#REF!</definedName>
    <definedName name="Manuf._material_plan_year_X3">#REF!</definedName>
    <definedName name="Manuf._material_plan_year_X4">#REF!</definedName>
    <definedName name="Manufact._turnover_forecast_current_year">#REF!</definedName>
    <definedName name="Manufact._turnover_plan_year_x">#REF!</definedName>
    <definedName name="Manufact._turnover_plan_year_x1">#REF!</definedName>
    <definedName name="Manufact._turnover_plan_year_x2">#REF!</definedName>
    <definedName name="Manufact._turnover_plan_year_x3">#REF!</definedName>
    <definedName name="Manufact._turnover_plan_year_x4">#REF!</definedName>
    <definedName name="manufacturing">#REF!</definedName>
    <definedName name="MAP">#REF!</definedName>
    <definedName name="Mapping">#REF!</definedName>
    <definedName name="MAR">#REF!</definedName>
    <definedName name="MAR_11_TRIAL_BALANCE">#REF!</definedName>
    <definedName name="MAR_12_TRIAL_BALANCE">#REF!</definedName>
    <definedName name="Mar03Pay">#REF!</definedName>
    <definedName name="maract">#REF!</definedName>
    <definedName name="MARCH">#REF!</definedName>
    <definedName name="march04">#REF!</definedName>
    <definedName name="March2008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co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ardi">{#N/A,#N/A,FALSE,"Tabl. H1";#N/A,#N/A,FALSE,"Tabl. H2"}</definedName>
    <definedName name="mardi_1">{#N/A,#N/A,FALSE,"Tabl. H1";#N/A,#N/A,FALSE,"Tabl. H2"}</definedName>
    <definedName name="mardi_2">{#N/A,#N/A,FALSE,"Tabl. H1";#N/A,#N/A,FALSE,"Tabl. H2"}</definedName>
    <definedName name="mardi_3">{#N/A,#N/A,FALSE,"Tabl. H1";#N/A,#N/A,FALSE,"Tabl. H2"}</definedName>
    <definedName name="mardi_4">{#N/A,#N/A,FALSE,"Tabl. H1";#N/A,#N/A,FALSE,"Tabl. H2"}</definedName>
    <definedName name="MARFA">#REF!</definedName>
    <definedName name="Marge_Lu">#REF!</definedName>
    <definedName name="Marge_VB">#REF!</definedName>
    <definedName name="margen">#REF!</definedName>
    <definedName name="marginal">#REF!</definedName>
    <definedName name="Market">#REF!</definedName>
    <definedName name="Market____Book_Value">#REF!</definedName>
    <definedName name="Market_Capital">#REF!</definedName>
    <definedName name="Market_Index">#REF!</definedName>
    <definedName name="Market_price">#REF!</definedName>
    <definedName name="Market_Scenario">#REF!</definedName>
    <definedName name="Market_Value">#REF!</definedName>
    <definedName name="Market_Value___Book_Value">#REF!</definedName>
    <definedName name="Market_Value_1">#REF!</definedName>
    <definedName name="Market_Value_of_Reserves___After_Tax_SEC_10_Value">#REF!</definedName>
    <definedName name="Market_Value_of_Reserves___Proved_BOE">#REF!</definedName>
    <definedName name="Market_Value_of_Reserves___Proved_BOE_10">#REF!</definedName>
    <definedName name="MarketPrice">#REF!</definedName>
    <definedName name="MARKF98L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rkup_rate">#REF!</definedName>
    <definedName name="MarPay">#REF!</definedName>
    <definedName name="MARQ5">#REF!</definedName>
    <definedName name="MARQ6">#REF!</definedName>
    <definedName name="MARTB">#REF!</definedName>
    <definedName name="MarutiBT">#REF!</definedName>
    <definedName name="masaru">#REF!</definedName>
    <definedName name="Master">#REF!</definedName>
    <definedName name="Master1">#REF!</definedName>
    <definedName name="Master2">#REF!</definedName>
    <definedName name="Master3">#REF!</definedName>
    <definedName name="Master4">#REF!</definedName>
    <definedName name="Master5">#REF!</definedName>
    <definedName name="MAT">#REF!</definedName>
    <definedName name="matcomp">#REF!</definedName>
    <definedName name="Materialaufwand_Monat_Ist">#REF!</definedName>
    <definedName name="Materiality">#REF!</definedName>
    <definedName name="Materials">#REF!</definedName>
    <definedName name="MaterialsEstimate">#REF!</definedName>
    <definedName name="MaterialsPlan">#REF!</definedName>
    <definedName name="MATLCONS">#REF!</definedName>
    <definedName name="matnotes">#REF!</definedName>
    <definedName name="Max_Min">#REF!</definedName>
    <definedName name="MAY">#REF!</definedName>
    <definedName name="Maybang">#REF!</definedName>
    <definedName name="maydata">#REF!</definedName>
    <definedName name="MAYEKARHEMANT">#REF!</definedName>
    <definedName name="MAYFA">#REF!</definedName>
    <definedName name="MAYIPP">#REF!</definedName>
    <definedName name="MayPay">#REF!</definedName>
    <definedName name="maytrade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SIMP">#REF!</definedName>
    <definedName name="MCSLOC">#REF!</definedName>
    <definedName name="mcuakl1.7">#REF!</definedName>
    <definedName name="m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C">#REF!</definedName>
    <definedName name="MDEVISES">#REF!,#REF!,#REF!</definedName>
    <definedName name="md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e">{#N/A,#N/A,FALSE,"Assumptions";#N/A,#N/A,FALSE,"1997 P&amp;L(pk) Estrada";#N/A,#N/A,FALSE,"ONGOING P&amp;L(pk) Estrada"}</definedName>
    <definedName name="Measure">#REF!</definedName>
    <definedName name="Measuring">#REF!</definedName>
    <definedName name="measuringaddition">#REF!</definedName>
    <definedName name="MEDICAL_REIMBURSMENT___MEDICAL_ALLOWANCE">#REF!</definedName>
    <definedName name="MEDICLAIM1">#REF!</definedName>
    <definedName name="MEDICLAIM2">#REF!</definedName>
    <definedName name="Meldende_Gesellschaft">#REF!</definedName>
    <definedName name="memo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_B">#REF!</definedName>
    <definedName name="memo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2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2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2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x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x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x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mox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MENU">#REF!</definedName>
    <definedName name="MenuPrint">#REF!</definedName>
    <definedName name="mepcocsau1">#REF!</definedName>
    <definedName name="mepcoctr100">#REF!</definedName>
    <definedName name="mepcoctr60">#REF!</definedName>
    <definedName name="MethodAcc">#REF!</definedName>
    <definedName name="Metro">#REF!</definedName>
    <definedName name="MFG.SALES_EXTRUDER_ITEMS">#REF!</definedName>
    <definedName name="MFG.SALES_MOULDING_ITEMS">#REF!</definedName>
    <definedName name="MfgExpSer">#REF!</definedName>
    <definedName name="MFRF">#REF!,#REF!,#REF!,#REF!,#REF!</definedName>
    <definedName name="MG_A">#REF!</definedName>
    <definedName name="MgrRate">#REF!</definedName>
    <definedName name="MGRREM">#REF!</definedName>
    <definedName name="Mgt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HETRESACHIN">#REF!</definedName>
    <definedName name="MHGMGH">{#N/A,#N/A,FALSE,"ISBL"}</definedName>
    <definedName name="MHGMGH_1">{#N/A,#N/A,FALSE,"ISBL"}</definedName>
    <definedName name="MHGMGH_1_1">{#N/A,#N/A,FALSE,"ISBL"}</definedName>
    <definedName name="MHGMGH_1_2">{#N/A,#N/A,FALSE,"ISBL"}</definedName>
    <definedName name="MHGMGH_1_3">{#N/A,#N/A,FALSE,"ISBL"}</definedName>
    <definedName name="MHGMGH_1_4">{#N/A,#N/A,FALSE,"ISBL"}</definedName>
    <definedName name="MHGMGH_2">{#N/A,#N/A,FALSE,"ISBL"}</definedName>
    <definedName name="MHGMGH_2_1">{#N/A,#N/A,FALSE,"ISBL"}</definedName>
    <definedName name="MHGMGH_2_2">{#N/A,#N/A,FALSE,"ISBL"}</definedName>
    <definedName name="MHGMGH_2_3">{#N/A,#N/A,FALSE,"ISBL"}</definedName>
    <definedName name="MHGMGH_2_4">{#N/A,#N/A,FALSE,"ISBL"}</definedName>
    <definedName name="MHGMGH_3">{#N/A,#N/A,FALSE,"ISBL"}</definedName>
    <definedName name="MHGMGH_3_1">{#N/A,#N/A,FALSE,"ISBL"}</definedName>
    <definedName name="MHGMGH_3_2">{#N/A,#N/A,FALSE,"ISBL"}</definedName>
    <definedName name="MHGMGH_3_3">{#N/A,#N/A,FALSE,"ISBL"}</definedName>
    <definedName name="MHGMGH_3_4">{#N/A,#N/A,FALSE,"ISBL"}</definedName>
    <definedName name="MHGMGH_4">{#N/A,#N/A,FALSE,"ISBL"}</definedName>
    <definedName name="MHGMGH_4_1">{#N/A,#N/A,FALSE,"ISBL"}</definedName>
    <definedName name="MHGMGH_4_2">{#N/A,#N/A,FALSE,"ISBL"}</definedName>
    <definedName name="MHGMGH_4_3">{#N/A,#N/A,FALSE,"ISBL"}</definedName>
    <definedName name="MHGMGH_4_4">{#N/A,#N/A,FALSE,"ISBL"}</definedName>
    <definedName name="MHGMGH_5">{#N/A,#N/A,FALSE,"ISBL"}</definedName>
    <definedName name="MICHELE">{#N/A,#N/A,FALSE,"Tabl. FB300";#N/A,#N/A,FALSE,"Tabl. FB350";#N/A,#N/A,FALSE,"Tabl. FB400";#N/A,#N/A,FALSE,"Tabl. FB500";#N/A,#N/A,FALSE,"Tabl. FS090"}</definedName>
    <definedName name="MICHELE_1">{#N/A,#N/A,FALSE,"Tabl. FB300";#N/A,#N/A,FALSE,"Tabl. FB350";#N/A,#N/A,FALSE,"Tabl. FB400";#N/A,#N/A,FALSE,"Tabl. FB500";#N/A,#N/A,FALSE,"Tabl. FS090"}</definedName>
    <definedName name="MICHELE_2">{#N/A,#N/A,FALSE,"Tabl. FB300";#N/A,#N/A,FALSE,"Tabl. FB350";#N/A,#N/A,FALSE,"Tabl. FB400";#N/A,#N/A,FALSE,"Tabl. FB500";#N/A,#N/A,FALSE,"Tabl. FS090"}</definedName>
    <definedName name="MICHELE_3">{#N/A,#N/A,FALSE,"Tabl. FB300";#N/A,#N/A,FALSE,"Tabl. FB350";#N/A,#N/A,FALSE,"Tabl. FB400";#N/A,#N/A,FALSE,"Tabl. FB500";#N/A,#N/A,FALSE,"Tabl. FS090"}</definedName>
    <definedName name="MICHELE_4">{#N/A,#N/A,FALSE,"Tabl. FB300";#N/A,#N/A,FALSE,"Tabl. FB350";#N/A,#N/A,FALSE,"Tabl. FB400";#N/A,#N/A,FALSE,"Tabl. FB500";#N/A,#N/A,FALSE,"Tabl. FS090"}</definedName>
    <definedName name="MICON">#REF!</definedName>
    <definedName name="Micro5">#REF!</definedName>
    <definedName name="milindAbsc">#REF!</definedName>
    <definedName name="milindAconv">#REF!</definedName>
    <definedName name="milindAded">#REF!</definedName>
    <definedName name="milindAhra">#REF!</definedName>
    <definedName name="milindAit">#REF!</definedName>
    <definedName name="milindAmed">#REF!</definedName>
    <definedName name="milindApd">#REF!</definedName>
    <definedName name="milindApf">#REF!</definedName>
    <definedName name="milindApt">#REF!</definedName>
    <definedName name="milindAsaf">#REF!</definedName>
    <definedName name="milindAspla">#REF!</definedName>
    <definedName name="milindPbsc">#REF!</definedName>
    <definedName name="milindPconv">#REF!</definedName>
    <definedName name="milindPded">#REF!</definedName>
    <definedName name="milindPhm">#REF!</definedName>
    <definedName name="milindPint">#REF!</definedName>
    <definedName name="milindPit">#REF!</definedName>
    <definedName name="milindPmed">#REF!</definedName>
    <definedName name="milindPpd">#REF!</definedName>
    <definedName name="milindPpf">#REF!</definedName>
    <definedName name="milindPpt">#REF!</definedName>
    <definedName name="milindPrent">#REF!</definedName>
    <definedName name="milindPsaf">#REF!</definedName>
    <definedName name="milindPspla">#REF!</definedName>
    <definedName name="Million">#REF!</definedName>
    <definedName name="Millions_Or_Billions">#REF!</definedName>
    <definedName name="min">{#N/A,#N/A,FALSE,"REPORT"}</definedName>
    <definedName name="min_1">{#N/A,#N/A,FALSE,"REPORT"}</definedName>
    <definedName name="min_2">{#N/A,#N/A,FALSE,"REPORT"}</definedName>
    <definedName name="min_3">{#N/A,#N/A,FALSE,"REPORT"}</definedName>
    <definedName name="min_4">{#N/A,#N/A,FALSE,"REPORT"}</definedName>
    <definedName name="min_5">{#N/A,#N/A,FALSE,"REPORT"}</definedName>
    <definedName name="mina">{#N/A,#N/A,FALSE,"REPORT"}</definedName>
    <definedName name="mina_1">{#N/A,#N/A,FALSE,"REPORT"}</definedName>
    <definedName name="mina_2">{#N/A,#N/A,FALSE,"REPORT"}</definedName>
    <definedName name="mina_3">{#N/A,#N/A,FALSE,"REPORT"}</definedName>
    <definedName name="mina_4">{#N/A,#N/A,FALSE,"REPORT"}</definedName>
    <definedName name="mina_5">{#N/A,#N/A,FALSE,"REPORT"}</definedName>
    <definedName name="mincash">#REF!</definedName>
    <definedName name="MINIMUM_ALTERNATE_TAX_CO._TAX">#REF!</definedName>
    <definedName name="Minimum_Cash">#REF!</definedName>
    <definedName name="Minority_Interest">#REF!</definedName>
    <definedName name="Minority_Interests">#REF!</definedName>
    <definedName name="MIRGAL">#REF!</definedName>
    <definedName name="MISAL">#REF!</definedName>
    <definedName name="MISC._EXPENSES___ROUND_OFF___MISC_EXP__PURCHASE">#REF!</definedName>
    <definedName name="MISC.EXPENSES">#REF!</definedName>
    <definedName name="MISC.RECEIPTS">#REF!</definedName>
    <definedName name="MISC_EXP">#REF!</definedName>
    <definedName name="MISC_INCOME">#REF!</definedName>
    <definedName name="miu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K">#REF!</definedName>
    <definedName name="MK11USD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kjl">#REF!</definedName>
    <definedName name="MKT_2">#REF!</definedName>
    <definedName name="MKT10LC">#REF!</definedName>
    <definedName name="Mkt10Local">#REF!</definedName>
    <definedName name="Mkt10USD">#REF!</definedName>
    <definedName name="MKT11LC">#REF!</definedName>
    <definedName name="Mkt11Local">#REF!</definedName>
    <definedName name="Mkt11USD">#REF!</definedName>
    <definedName name="MKT1LC">#REF!</definedName>
    <definedName name="Mkt1Local">#REF!</definedName>
    <definedName name="Mkt1USD">#REF!</definedName>
    <definedName name="MKT2LC">#REF!</definedName>
    <definedName name="Mkt2Local">#REF!</definedName>
    <definedName name="Mkt2USD">#REF!</definedName>
    <definedName name="MKT3LC">#REF!</definedName>
    <definedName name="Mkt3Local">#REF!</definedName>
    <definedName name="Mkt3USD">#REF!</definedName>
    <definedName name="MKT4LC">#REF!</definedName>
    <definedName name="Mkt4Local">#REF!</definedName>
    <definedName name="Mkt4USD">#REF!</definedName>
    <definedName name="MKT5LC">#REF!</definedName>
    <definedName name="Mkt5Local">#REF!</definedName>
    <definedName name="Mkt5USD">#REF!</definedName>
    <definedName name="MKT6LC">#REF!</definedName>
    <definedName name="Mkt6Local">#REF!</definedName>
    <definedName name="Mkt6USD">#REF!</definedName>
    <definedName name="MKT7LC">#REF!</definedName>
    <definedName name="Mkt7Local">#REF!</definedName>
    <definedName name="Mkt7USD">#REF!</definedName>
    <definedName name="MKT8LC">#REF!</definedName>
    <definedName name="Mkt8Local">#REF!</definedName>
    <definedName name="Mkt8USD">#REF!</definedName>
    <definedName name="MKT9LC">#REF!</definedName>
    <definedName name="Mkt9Local">#REF!</definedName>
    <definedName name="Mkt9USD">#REF!</definedName>
    <definedName name="MKTHC">#REF!</definedName>
    <definedName name="MKTNEW">#REF!</definedName>
    <definedName name="MKTTOT">#REF!</definedName>
    <definedName name="MLKJH">{#N/A,#N/A,FALSE,"Tabl. G1";#N/A,#N/A,FALSE,"Tabl. G2"}</definedName>
    <definedName name="MLKJH_1">{#N/A,#N/A,FALSE,"Tabl. G1";#N/A,#N/A,FALSE,"Tabl. G2"}</definedName>
    <definedName name="MLKJH_2">{#N/A,#N/A,FALSE,"Tabl. G1";#N/A,#N/A,FALSE,"Tabl. G2"}</definedName>
    <definedName name="MLKJH_3">{#N/A,#N/A,FALSE,"Tabl. G1";#N/A,#N/A,FALSE,"Tabl. G2"}</definedName>
    <definedName name="MLKJH_4">{#N/A,#N/A,FALSE,"Tabl. G1";#N/A,#N/A,FALSE,"Tabl. G2"}</definedName>
    <definedName name="MLMbsc">#REF!</definedName>
    <definedName name="MLMcar">#REF!</definedName>
    <definedName name="MLMded">#REF!</definedName>
    <definedName name="MLMemi">#REF!</definedName>
    <definedName name="MLMfuel">#REF!</definedName>
    <definedName name="mlmhm">#REF!</definedName>
    <definedName name="MLMins">#REF!</definedName>
    <definedName name="MLMit">#REF!</definedName>
    <definedName name="MLMmed">#REF!</definedName>
    <definedName name="MLMpd">#REF!</definedName>
    <definedName name="MLMpf">#REF!</definedName>
    <definedName name="MLMpt">#REF!</definedName>
    <definedName name="MLMrent">#REF!</definedName>
    <definedName name="MLMsaf">#REF!</definedName>
    <definedName name="MLMspla">#REF!</definedName>
    <definedName name="mluoncap15">#REF!</definedName>
    <definedName name="mlw">{#N/A,#N/A,FALSE,"Pharm";#N/A,#N/A,FALSE,"WWCM"}</definedName>
    <definedName name="mlw_1">{#N/A,#N/A,FALSE,"Pharm";#N/A,#N/A,FALSE,"WWCM"}</definedName>
    <definedName name="mlw_2">{#N/A,#N/A,FALSE,"Pharm";#N/A,#N/A,FALSE,"WWCM"}</definedName>
    <definedName name="mlw_3">{#N/A,#N/A,FALSE,"Pharm";#N/A,#N/A,FALSE,"WWCM"}</definedName>
    <definedName name="mlw_4">{#N/A,#N/A,FALSE,"Pharm";#N/A,#N/A,FALSE,"WWCM"}</definedName>
    <definedName name="mlw_5">{#N/A,#N/A,FALSE,"Pharm";#N/A,#N/A,FALSE,"WWCM"}</definedName>
    <definedName name="mm">{"adj95mult",#N/A,FALSE,"COMPCO";"adj95est",#N/A,FALSE,"COMPCO"}</definedName>
    <definedName name="MM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M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M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m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mai2.7">#REF!</definedName>
    <definedName name="MMF">#REF!</definedName>
    <definedName name="MMFGROUP">#REF!</definedName>
    <definedName name="MMFSUBCALC">IF(#REF!="SEUGI",INDEX(Account,MATCH(#REF!,Accdetail,0),3),INDEX(Account,MATCH(#REF!,Accdetail,0),3))</definedName>
    <definedName name="mmm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mmm">{#N/A,#N/A,FALSE,"431"}</definedName>
    <definedName name="MMMUVBH">#REF!</definedName>
    <definedName name="MMMUVBT">#REF!</definedName>
    <definedName name="MMMUVMC">#REF!</definedName>
    <definedName name="MMTractorBH">#REF!</definedName>
    <definedName name="MMTractorBT">#REF!</definedName>
    <definedName name="MMTractorsMC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GTFEE">#REF!</definedName>
    <definedName name="mnhogcaydk100">#REF!</definedName>
    <definedName name="mnhogcaydk54">#REF!</definedName>
    <definedName name="mnhogcaydk75">#REF!</definedName>
    <definedName name="mno">{#N/A,#N/A,FALSE,"Tabl. H1";#N/A,#N/A,FALSE,"Tabl. H2"}</definedName>
    <definedName name="mno_1">{#N/A,#N/A,FALSE,"Tabl. H1";#N/A,#N/A,FALSE,"Tabl. H2"}</definedName>
    <definedName name="mno_2">{#N/A,#N/A,FALSE,"Tabl. H1";#N/A,#N/A,FALSE,"Tabl. H2"}</definedName>
    <definedName name="mno_3">{#N/A,#N/A,FALSE,"Tabl. H1";#N/A,#N/A,FALSE,"Tabl. H2"}</definedName>
    <definedName name="mno_4">{#N/A,#N/A,FALSE,"Tabl. H1";#N/A,#N/A,FALSE,"Tabl. H2"}</definedName>
    <definedName name="Mobile">#REF!</definedName>
    <definedName name="MODEL">#REF!</definedName>
    <definedName name="MODI">#REF!</definedName>
    <definedName name="mohanbsc">#REF!</definedName>
    <definedName name="mohanconv">#REF!</definedName>
    <definedName name="mohanded">#REF!</definedName>
    <definedName name="mohanint">#REF!</definedName>
    <definedName name="mohanit">#REF!</definedName>
    <definedName name="mohanlta">#REF!</definedName>
    <definedName name="mohanmed">#REF!</definedName>
    <definedName name="mohanpd">#REF!</definedName>
    <definedName name="mohanpf">#REF!</definedName>
    <definedName name="mohanpt">#REF!</definedName>
    <definedName name="mohanrent">#REF!</definedName>
    <definedName name="mohansaf">#REF!</definedName>
    <definedName name="Mohanspla">#REF!</definedName>
    <definedName name="MOHANTY">#REF!</definedName>
    <definedName name="MOHITEG">#REF!</definedName>
    <definedName name="Monat">#REF!</definedName>
    <definedName name="MonBS">#REF!</definedName>
    <definedName name="Mondal">#REF!</definedName>
    <definedName name="monend">SUM(#REF!)-SUM(#REF!)</definedName>
    <definedName name="Monetary_Precision">#REF!</definedName>
    <definedName name="month">#REF!</definedName>
    <definedName name="Month1_Ending_Bal">#REF!</definedName>
    <definedName name="Monthdata">#REF!</definedName>
    <definedName name="monthLookUP">#REF!</definedName>
    <definedName name="monthly">#REF!</definedName>
    <definedName name="Months">#REF!</definedName>
    <definedName name="Months_Period">#REF!</definedName>
    <definedName name="MORE">#REF!</definedName>
    <definedName name="MORE_THAN_SIX_MONTHS">#REF!</definedName>
    <definedName name="MoreRowstohide">#REF!,#REF!,#REF!,#REF!</definedName>
    <definedName name="MORESUNIL">#REF!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BOH">#REF!</definedName>
    <definedName name="MPEOH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g">{#N/A,#N/A,FALSE,"Tabl. H1";#N/A,#N/A,FALSE,"Tabl. H2"}</definedName>
    <definedName name="mqg_1">{#N/A,#N/A,FALSE,"Tabl. H1";#N/A,#N/A,FALSE,"Tabl. H2"}</definedName>
    <definedName name="mqg_2">{#N/A,#N/A,FALSE,"Tabl. H1";#N/A,#N/A,FALSE,"Tabl. H2"}</definedName>
    <definedName name="mqg_3">{#N/A,#N/A,FALSE,"Tabl. H1";#N/A,#N/A,FALSE,"Tabl. H2"}</definedName>
    <definedName name="mqg_4">{#N/A,#N/A,FALSE,"Tabl. H1";#N/A,#N/A,FALSE,"Tabl. H2"}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RPA">#REF!</definedName>
    <definedName name="ms">#REF!</definedName>
    <definedName name="MSA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T">#REF!</definedName>
    <definedName name="MStVal">#REF!</definedName>
    <definedName name="mtaukeo150">#REF!</definedName>
    <definedName name="mtaukeo360">#REF!</definedName>
    <definedName name="mtaukeo600">#REF!</definedName>
    <definedName name="mtbipvlan150">#REF!</definedName>
    <definedName name="MthAct">#REF!</definedName>
    <definedName name="MthBud">#REF!</definedName>
    <definedName name="MTHEXP">#REF!</definedName>
    <definedName name="MthHeading">#REF!</definedName>
    <definedName name="MTHP_L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k">{#N/A,#N/A,FALSE,"Tabl. FB300";#N/A,#N/A,FALSE,"Tabl. FB350";#N/A,#N/A,FALSE,"Tabl. FB400";#N/A,#N/A,FALSE,"Tabl. FB500";#N/A,#N/A,FALSE,"Tabl. FS090"}</definedName>
    <definedName name="mtk_1">{#N/A,#N/A,FALSE,"Tabl. FB300";#N/A,#N/A,FALSE,"Tabl. FB350";#N/A,#N/A,FALSE,"Tabl. FB400";#N/A,#N/A,FALSE,"Tabl. FB500";#N/A,#N/A,FALSE,"Tabl. FS090"}</definedName>
    <definedName name="mtk_2">{#N/A,#N/A,FALSE,"Tabl. FB300";#N/A,#N/A,FALSE,"Tabl. FB350";#N/A,#N/A,FALSE,"Tabl. FB400";#N/A,#N/A,FALSE,"Tabl. FB500";#N/A,#N/A,FALSE,"Tabl. FS090"}</definedName>
    <definedName name="mtk_3">{#N/A,#N/A,FALSE,"Tabl. FB300";#N/A,#N/A,FALSE,"Tabl. FB350";#N/A,#N/A,FALSE,"Tabl. FB400";#N/A,#N/A,FALSE,"Tabl. FB500";#N/A,#N/A,FALSE,"Tabl. FS090"}</definedName>
    <definedName name="mtk_4">{#N/A,#N/A,FALSE,"Tabl. FB300";#N/A,#N/A,FALSE,"Tabl. FB350";#N/A,#N/A,FALSE,"Tabl. FB400";#N/A,#N/A,FALSE,"Tabl. FB500";#N/A,#N/A,FALSE,"Tabl. FS090"}</definedName>
    <definedName name="mtm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k">{#N/A,#N/A,FALSE,"Tabl. FB300";#N/A,#N/A,FALSE,"Tabl. FB350";#N/A,#N/A,FALSE,"Tabl. FB400";#N/A,#N/A,FALSE,"Tabl. FB500";#N/A,#N/A,FALSE,"Tabl. FS090"}</definedName>
    <definedName name="mtrk_1">{#N/A,#N/A,FALSE,"Tabl. FB300";#N/A,#N/A,FALSE,"Tabl. FB350";#N/A,#N/A,FALSE,"Tabl. FB400";#N/A,#N/A,FALSE,"Tabl. FB500";#N/A,#N/A,FALSE,"Tabl. FS090"}</definedName>
    <definedName name="mtrk_2">{#N/A,#N/A,FALSE,"Tabl. FB300";#N/A,#N/A,FALSE,"Tabl. FB350";#N/A,#N/A,FALSE,"Tabl. FB400";#N/A,#N/A,FALSE,"Tabl. FB500";#N/A,#N/A,FALSE,"Tabl. FS090"}</definedName>
    <definedName name="mtrk_3">{#N/A,#N/A,FALSE,"Tabl. FB300";#N/A,#N/A,FALSE,"Tabl. FB350";#N/A,#N/A,FALSE,"Tabl. FB400";#N/A,#N/A,FALSE,"Tabl. FB500";#N/A,#N/A,FALSE,"Tabl. FS090"}</definedName>
    <definedName name="mtrk_4">{#N/A,#N/A,FALSE,"Tabl. FB300";#N/A,#N/A,FALSE,"Tabl. FB350";#N/A,#N/A,FALSE,"Tabl. FB400";#N/A,#N/A,FALSE,"Tabl. FB500";#N/A,#N/A,FALSE,"Tabl. FS090"}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cwip">{#N/A,#N/A,TRUE,"RM-June"}</definedName>
    <definedName name="MUKNAKSACHIN">#REF!</definedName>
    <definedName name="MULBH">#REF!</definedName>
    <definedName name="MULLALALMOHAMADK">#REF!</definedName>
    <definedName name="MULMC">#REF!</definedName>
    <definedName name="Mumbai">#REF!</definedName>
    <definedName name="muonong2.8">#REF!</definedName>
    <definedName name="Murty">#REF!</definedName>
    <definedName name="MUTALIKSACHIN">#REF!</definedName>
    <definedName name="MV___1997E_Cash_Flow">#REF!</definedName>
    <definedName name="MV___1997E_Net_Income">#REF!</definedName>
    <definedName name="MV___1998E_Cash_Flow">#REF!</definedName>
    <definedName name="MV___1998E_Net_Income">#REF!</definedName>
    <definedName name="MV___LTM_Cash_Flow">#REF!</definedName>
    <definedName name="MV___LTM_Net_Income">#REF!</definedName>
    <definedName name="mvanthang0.3">#REF!</definedName>
    <definedName name="mvanthang0.5">#REF!</definedName>
    <definedName name="mvanthang2">#REF!</definedName>
    <definedName name="mw">{#N/A,#N/A,FALSE,"Pharm";#N/A,#N/A,FALSE,"WWCM"}</definedName>
    <definedName name="mw_1">{#N/A,#N/A,FALSE,"Pharm";#N/A,#N/A,FALSE,"WWCM"}</definedName>
    <definedName name="mw_2">{#N/A,#N/A,FALSE,"Pharm";#N/A,#N/A,FALSE,"WWCM"}</definedName>
    <definedName name="mw_3">{#N/A,#N/A,FALSE,"Pharm";#N/A,#N/A,FALSE,"WWCM"}</definedName>
    <definedName name="mw_4">{#N/A,#N/A,FALSE,"Pharm";#N/A,#N/A,FALSE,"WWCM"}</definedName>
    <definedName name="mw_5">{#N/A,#N/A,FALSE,"Pharm";#N/A,#N/A,FALSE,"WWCM"}</definedName>
    <definedName name="MW_PA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F2W">#REF!</definedName>
    <definedName name="myle">#REF!</definedName>
    <definedName name="MYUJTG">{#N/A,#N/A,FALSE,"EW"}</definedName>
    <definedName name="MYUJTG_1">{#N/A,#N/A,FALSE,"EW"}</definedName>
    <definedName name="MYUJTG_1_1">{#N/A,#N/A,FALSE,"EW"}</definedName>
    <definedName name="MYUJTG_1_2">{#N/A,#N/A,FALSE,"EW"}</definedName>
    <definedName name="MYUJTG_1_3">{#N/A,#N/A,FALSE,"EW"}</definedName>
    <definedName name="MYUJTG_1_4">{#N/A,#N/A,FALSE,"EW"}</definedName>
    <definedName name="MYUJTG_2">{#N/A,#N/A,FALSE,"EW"}</definedName>
    <definedName name="MYUJTG_2_1">{#N/A,#N/A,FALSE,"EW"}</definedName>
    <definedName name="MYUJTG_2_2">{#N/A,#N/A,FALSE,"EW"}</definedName>
    <definedName name="MYUJTG_2_3">{#N/A,#N/A,FALSE,"EW"}</definedName>
    <definedName name="MYUJTG_2_4">{#N/A,#N/A,FALSE,"EW"}</definedName>
    <definedName name="MYUJTG_3">{#N/A,#N/A,FALSE,"EW"}</definedName>
    <definedName name="MYUJTG_3_1">{#N/A,#N/A,FALSE,"EW"}</definedName>
    <definedName name="MYUJTG_3_2">{#N/A,#N/A,FALSE,"EW"}</definedName>
    <definedName name="MYUJTG_3_3">{#N/A,#N/A,FALSE,"EW"}</definedName>
    <definedName name="MYUJTG_3_4">{#N/A,#N/A,FALSE,"EW"}</definedName>
    <definedName name="MYUJTG_4">{#N/A,#N/A,FALSE,"EW"}</definedName>
    <definedName name="MYUJTG_4_1">{#N/A,#N/A,FALSE,"EW"}</definedName>
    <definedName name="MYUJTG_4_2">{#N/A,#N/A,FALSE,"EW"}</definedName>
    <definedName name="MYUJTG_4_3">{#N/A,#N/A,FALSE,"EW"}</definedName>
    <definedName name="MYUJTG_4_4">{#N/A,#N/A,FALSE,"EW"}</definedName>
    <definedName name="MYUJTG_5">{#N/A,#N/A,FALSE,"EW"}</definedName>
    <definedName name="MyWord2Go">#REF!</definedName>
    <definedName name="MyWords">#REF!</definedName>
    <definedName name="mzb">{#N/A,#N/A,FALSE,"Tabl. D1";#N/A,#N/A,FALSE,"Tabl. D1 b";#N/A,#N/A,FALSE,"Tabl. D2";#N/A,#N/A,FALSE,"Tabl. D2 b";#N/A,#N/A,FALSE,"Tabl. D3";#N/A,#N/A,FALSE,"Tabl. D4";#N/A,#N/A,FALSE,"Tabl. D5"}</definedName>
    <definedName name="mzb_1">{#N/A,#N/A,FALSE,"Tabl. D1";#N/A,#N/A,FALSE,"Tabl. D1 b";#N/A,#N/A,FALSE,"Tabl. D2";#N/A,#N/A,FALSE,"Tabl. D2 b";#N/A,#N/A,FALSE,"Tabl. D3";#N/A,#N/A,FALSE,"Tabl. D4";#N/A,#N/A,FALSE,"Tabl. D5"}</definedName>
    <definedName name="mzb_2">{#N/A,#N/A,FALSE,"Tabl. D1";#N/A,#N/A,FALSE,"Tabl. D1 b";#N/A,#N/A,FALSE,"Tabl. D2";#N/A,#N/A,FALSE,"Tabl. D2 b";#N/A,#N/A,FALSE,"Tabl. D3";#N/A,#N/A,FALSE,"Tabl. D4";#N/A,#N/A,FALSE,"Tabl. D5"}</definedName>
    <definedName name="mzb_3">{#N/A,#N/A,FALSE,"Tabl. D1";#N/A,#N/A,FALSE,"Tabl. D1 b";#N/A,#N/A,FALSE,"Tabl. D2";#N/A,#N/A,FALSE,"Tabl. D2 b";#N/A,#N/A,FALSE,"Tabl. D3";#N/A,#N/A,FALSE,"Tabl. D4";#N/A,#N/A,FALSE,"Tabl. D5"}</definedName>
    <definedName name="mzb_4">{#N/A,#N/A,FALSE,"Tabl. D1";#N/A,#N/A,FALSE,"Tabl. D1 b";#N/A,#N/A,FALSE,"Tabl. D2";#N/A,#N/A,FALSE,"Tabl. D2 b";#N/A,#N/A,FALSE,"Tabl. D3";#N/A,#N/A,FALSE,"Tabl. D4";#N/A,#N/A,FALSE,"Tabl. D5"}</definedName>
    <definedName name="N">#REF!</definedName>
    <definedName name="na">#REF!</definedName>
    <definedName name="nagar">#REF!</definedName>
    <definedName name="NAGARE_KALIDAS">#REF!</definedName>
    <definedName name="Name">#REF!</definedName>
    <definedName name="NAMEINPUT">#REF!</definedName>
    <definedName name="NANDPURE">#REF!</definedName>
    <definedName name="NANDREV">#REF!</definedName>
    <definedName name="NANGARE">#REF!</definedName>
    <definedName name="NARSALETUKARAM">#REF!</definedName>
    <definedName name="Nature">#REF!</definedName>
    <definedName name="NatureBusiness">#REF!</definedName>
    <definedName name="NAV_Share">#REF!</definedName>
    <definedName name="navjitbsc">#REF!</definedName>
    <definedName name="navjitconv">#REF!</definedName>
    <definedName name="navjitded">#REF!</definedName>
    <definedName name="navjithra">#REF!</definedName>
    <definedName name="navjitit">#REF!</definedName>
    <definedName name="navjitmed">#REF!</definedName>
    <definedName name="navjitpd">#REF!</definedName>
    <definedName name="navjitpf">#REF!</definedName>
    <definedName name="navjitpt">#REF!</definedName>
    <definedName name="navjitspla">#REF!</definedName>
    <definedName name="NAVNATH">#REF!</definedName>
    <definedName name="navneet">{"'Sheet3'!$A$1:$B$30"}</definedName>
    <definedName name="navneet_1">{"'Sheet3'!$A$1:$B$30"}</definedName>
    <definedName name="navneet_2">{"'Sheet3'!$A$1:$B$30"}</definedName>
    <definedName name="navneet_3">{"'Sheet3'!$A$1:$B$30"}</definedName>
    <definedName name="Naxk7">#REF!</definedName>
    <definedName name="nbvgh">{#N/A,#N/A,FALSE,"PMTABB";#N/A,#N/A,FALSE,"PMTABB"}</definedName>
    <definedName name="nbvgh_1">{#N/A,#N/A,FALSE,"PMTABB";#N/A,#N/A,FALSE,"PMTABB"}</definedName>
    <definedName name="nbvgh_2">{#N/A,#N/A,FALSE,"PMTABB";#N/A,#N/A,FALSE,"PMTABB"}</definedName>
    <definedName name="nbvgh_2_1">{#N/A,#N/A,FALSE,"PMTABB";#N/A,#N/A,FALSE,"PMTABB"}</definedName>
    <definedName name="nbvgh_2_2">{#N/A,#N/A,FALSE,"PMTABB";#N/A,#N/A,FALSE,"PMTABB"}</definedName>
    <definedName name="nbvgh_2_3">{#N/A,#N/A,FALSE,"PMTABB";#N/A,#N/A,FALSE,"PMTABB"}</definedName>
    <definedName name="nbvgh_2_4">{#N/A,#N/A,FALSE,"PMTABB";#N/A,#N/A,FALSE,"PMTABB"}</definedName>
    <definedName name="nbvgh_3">{#N/A,#N/A,FALSE,"PMTABB";#N/A,#N/A,FALSE,"PMTABB"}</definedName>
    <definedName name="nbvgh_3_1">{#N/A,#N/A,FALSE,"PMTABB";#N/A,#N/A,FALSE,"PMTABB"}</definedName>
    <definedName name="nbvgh_3_2">{#N/A,#N/A,FALSE,"PMTABB";#N/A,#N/A,FALSE,"PMTABB"}</definedName>
    <definedName name="nbvgh_3_3">{#N/A,#N/A,FALSE,"PMTABB";#N/A,#N/A,FALSE,"PMTABB"}</definedName>
    <definedName name="nbvgh_3_4">{#N/A,#N/A,FALSE,"PMTABB";#N/A,#N/A,FALSE,"PMTABB"}</definedName>
    <definedName name="nbvgh_4">{#N/A,#N/A,FALSE,"PMTABB";#N/A,#N/A,FALSE,"PMTABB"}</definedName>
    <definedName name="nbvgh_4_1">{#N/A,#N/A,FALSE,"PMTABB";#N/A,#N/A,FALSE,"PMTABB"}</definedName>
    <definedName name="nbvgh_4_2">{#N/A,#N/A,FALSE,"PMTABB";#N/A,#N/A,FALSE,"PMTABB"}</definedName>
    <definedName name="nbvgh_4_3">{#N/A,#N/A,FALSE,"PMTABB";#N/A,#N/A,FALSE,"PMTABB"}</definedName>
    <definedName name="nbvgh_4_4">{#N/A,#N/A,FALSE,"PMTABB";#N/A,#N/A,FALSE,"PMTABB"}</definedName>
    <definedName name="nbvgh_5">{#N/A,#N/A,FALSE,"PMTABB";#N/A,#N/A,FALSE,"PMTABB"}</definedName>
    <definedName name="nc">#REF!</definedName>
    <definedName name="NCA">#REF!</definedName>
    <definedName name="ncong">#REF!</definedName>
    <definedName name="ndtv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N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egAM_Jan">#REF!</definedName>
    <definedName name="NegAM_January">#REF!</definedName>
    <definedName name="NENEPRASAD">#REF!</definedName>
    <definedName name="Nerpr1">#REF!</definedName>
    <definedName name="NET">#REF!</definedName>
    <definedName name="Net__debt__cash">#REF!</definedName>
    <definedName name="NET_1">#REF!</definedName>
    <definedName name="Net_Act">#REF!</definedName>
    <definedName name="NET_ANA">#REF!</definedName>
    <definedName name="NET_ANA_1">#REF!</definedName>
    <definedName name="NET_ANA_2">#REF!</definedName>
    <definedName name="Net_Bud">#REF!</definedName>
    <definedName name="Net_c_f_for_acqns___disposals">#REF!</definedName>
    <definedName name="Net_c_f_from_capex___fin_invst">#REF!</definedName>
    <definedName name="Net_c_f_from_invst_rtrns__etc">#REF!</definedName>
    <definedName name="Net_c_f_from_op_activities">#REF!</definedName>
    <definedName name="Net_c_f_pre_lqd_resource___fin">#REF!</definedName>
    <definedName name="Net_cash_flow_from_financing">#REF!</definedName>
    <definedName name="Net_current_assets">#REF!</definedName>
    <definedName name="Net_financial">#REF!</definedName>
    <definedName name="NET_SAL">#REF!</definedName>
    <definedName name="Net_Total_Book_Capitalization">#REF!</definedName>
    <definedName name="NetCAChg">#REF!</definedName>
    <definedName name="NetDebtChg">#REF!</definedName>
    <definedName name="NetEqChg">#REF!</definedName>
    <definedName name="NETEXPENSE">#REF!</definedName>
    <definedName name="NEUC">#REF!</definedName>
    <definedName name="NEUCHATEL">#REF!</definedName>
    <definedName name="new">{#N/A,#N/A,FALSE,"Pharm";#N/A,#N/A,FALSE,"WWCM"}</definedName>
    <definedName name="NEW.XL">14</definedName>
    <definedName name="new_1">{#N/A,#N/A,FALSE,"Pharm";#N/A,#N/A,FALSE,"WWCM"}</definedName>
    <definedName name="new_2">{#N/A,#N/A,FALSE,"Pharm";#N/A,#N/A,FALSE,"WWCM"}</definedName>
    <definedName name="new_3">{#N/A,#N/A,FALSE,"Pharm";#N/A,#N/A,FALSE,"WWCM"}</definedName>
    <definedName name="new_4">{#N/A,#N/A,FALSE,"Pharm";#N/A,#N/A,FALSE,"WWCM"}</definedName>
    <definedName name="new_5">{#N/A,#N/A,FALSE,"Pharm";#N/A,#N/A,FALSE,"WWCM"}</definedName>
    <definedName name="NEW_FILE">#REF!</definedName>
    <definedName name="newack2">#REF!</definedName>
    <definedName name="newbasic">#REF!</definedName>
    <definedName name="newi">#REF!</definedName>
    <definedName name="NewName">{"PMT_48","A",FALSE,"Amortization Table";"PMT_360","B",FALSE,"Amortization Table";"PMT_20","C",FALSE,"Amortization Table";"PMT_48","D",FALSE,"Amortization Table"}</definedName>
    <definedName name="newnewnew">{#N/A,#N/A,FALSE,"Pharm";#N/A,#N/A,FALSE,"WWCM"}</definedName>
    <definedName name="newnewnew_1">{#N/A,#N/A,FALSE,"Pharm";#N/A,#N/A,FALSE,"WWCM"}</definedName>
    <definedName name="newnewnew_2">{#N/A,#N/A,FALSE,"Pharm";#N/A,#N/A,FALSE,"WWCM"}</definedName>
    <definedName name="newnewnew_3">{#N/A,#N/A,FALSE,"Pharm";#N/A,#N/A,FALSE,"WWCM"}</definedName>
    <definedName name="newnewnew_4">{#N/A,#N/A,FALSE,"Pharm";#N/A,#N/A,FALSE,"WWCM"}</definedName>
    <definedName name="newnewnew_5">{#N/A,#N/A,FALSE,"Pharm";#N/A,#N/A,FALSE,"WWCM"}</definedName>
    <definedName name="Newpr">#REF!</definedName>
    <definedName name="newpr1">#REF!</definedName>
    <definedName name="NEW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EWS_PAPERS___PERIODICAL__BOOKS___PERIODICAL">#REF!</definedName>
    <definedName name="Newspaper___periodicals">#REF!</definedName>
    <definedName name="next">{#N/A,#N/A,FALSE,"COMICRO";#N/A,#N/A,FALSE,"BALSCH";#N/A,#N/A,FALSE,"GLASS";#N/A,#N/A,FALSE,"DEPRE";#N/A,#N/A,FALSE,"A&amp;MCUR";#N/A,#N/A,FALSE,"AGEANAlysis";#N/A,#N/A,FALSE,"CHECKS";#N/A,#N/A,FALSE,"CHECKS"}</definedName>
    <definedName name="Next_Event_Type">#REF!</definedName>
    <definedName name="NextYear">#REF!</definedName>
    <definedName name="NFAChg">#REF!</definedName>
    <definedName name="NGFHFG">{#N/A,#N/A,FALSE,"PGW"}</definedName>
    <definedName name="NGFHFG_1">{#N/A,#N/A,FALSE,"PGW"}</definedName>
    <definedName name="NGFHFG_1_1">{#N/A,#N/A,FALSE,"PGW"}</definedName>
    <definedName name="NGFHFG_1_2">{#N/A,#N/A,FALSE,"PGW"}</definedName>
    <definedName name="NGFHFG_1_3">{#N/A,#N/A,FALSE,"PGW"}</definedName>
    <definedName name="NGFHFG_1_4">{#N/A,#N/A,FALSE,"PGW"}</definedName>
    <definedName name="NGFHFG_2">{#N/A,#N/A,FALSE,"PGW"}</definedName>
    <definedName name="NGFHFG_2_1">{#N/A,#N/A,FALSE,"PGW"}</definedName>
    <definedName name="NGFHFG_2_2">{#N/A,#N/A,FALSE,"PGW"}</definedName>
    <definedName name="NGFHFG_2_3">{#N/A,#N/A,FALSE,"PGW"}</definedName>
    <definedName name="NGFHFG_2_4">{#N/A,#N/A,FALSE,"PGW"}</definedName>
    <definedName name="NGFHFG_3">{#N/A,#N/A,FALSE,"PGW"}</definedName>
    <definedName name="NGFHFG_3_1">{#N/A,#N/A,FALSE,"PGW"}</definedName>
    <definedName name="NGFHFG_3_2">{#N/A,#N/A,FALSE,"PGW"}</definedName>
    <definedName name="NGFHFG_3_3">{#N/A,#N/A,FALSE,"PGW"}</definedName>
    <definedName name="NGFHFG_3_4">{#N/A,#N/A,FALSE,"PGW"}</definedName>
    <definedName name="NGFHFG_4">{#N/A,#N/A,FALSE,"PGW"}</definedName>
    <definedName name="NGFHFG_4_1">{#N/A,#N/A,FALSE,"PGW"}</definedName>
    <definedName name="NGFHFG_4_2">{#N/A,#N/A,FALSE,"PGW"}</definedName>
    <definedName name="NGFHFG_4_3">{#N/A,#N/A,FALSE,"PGW"}</definedName>
    <definedName name="NGFHFG_4_4">{#N/A,#N/A,FALSE,"PGW"}</definedName>
    <definedName name="NGFHFG_5">{#N/A,#N/A,FALSE,"PGW"}</definedName>
    <definedName name="NGL">#REF!</definedName>
    <definedName name="NH">#REF!</definedName>
    <definedName name="NHot">#REF!</definedName>
    <definedName name="NIKAMCHANDRAKANT">#REF!</definedName>
    <definedName name="nirmala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nit">{#N/A,#N/A,FALSE,"Tabl. D1";#N/A,#N/A,FALSE,"Tabl. D1 b";#N/A,#N/A,FALSE,"Tabl. D2";#N/A,#N/A,FALSE,"Tabl. D2 b";#N/A,#N/A,FALSE,"Tabl. D3";#N/A,#N/A,FALSE,"Tabl. D4";#N/A,#N/A,FALSE,"Tabl. D5"}</definedName>
    <definedName name="nit_1">{#N/A,#N/A,FALSE,"Tabl. D1";#N/A,#N/A,FALSE,"Tabl. D1 b";#N/A,#N/A,FALSE,"Tabl. D2";#N/A,#N/A,FALSE,"Tabl. D2 b";#N/A,#N/A,FALSE,"Tabl. D3";#N/A,#N/A,FALSE,"Tabl. D4";#N/A,#N/A,FALSE,"Tabl. D5"}</definedName>
    <definedName name="nit_2">{#N/A,#N/A,FALSE,"Tabl. D1";#N/A,#N/A,FALSE,"Tabl. D1 b";#N/A,#N/A,FALSE,"Tabl. D2";#N/A,#N/A,FALSE,"Tabl. D2 b";#N/A,#N/A,FALSE,"Tabl. D3";#N/A,#N/A,FALSE,"Tabl. D4";#N/A,#N/A,FALSE,"Tabl. D5"}</definedName>
    <definedName name="nit_3">{#N/A,#N/A,FALSE,"Tabl. D1";#N/A,#N/A,FALSE,"Tabl. D1 b";#N/A,#N/A,FALSE,"Tabl. D2";#N/A,#N/A,FALSE,"Tabl. D2 b";#N/A,#N/A,FALSE,"Tabl. D3";#N/A,#N/A,FALSE,"Tabl. D4";#N/A,#N/A,FALSE,"Tabl. D5"}</definedName>
    <definedName name="nit_4">{#N/A,#N/A,FALSE,"Tabl. D1";#N/A,#N/A,FALSE,"Tabl. D1 b";#N/A,#N/A,FALSE,"Tabl. D2";#N/A,#N/A,FALSE,"Tabl. D2 b";#N/A,#N/A,FALSE,"Tabl. D3";#N/A,#N/A,FALSE,"Tabl. D4";#N/A,#N/A,FALSE,"Tabl. D5"}</definedName>
    <definedName name="Nitin">{"First 2 Pages",#N/A,FALSE,"A";"First 2 Pages",#N/A,FALSE,"A"}</definedName>
    <definedName name="Nitril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Nitrile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nitru">{#N/A,#N/A,FALSE,"Tabl. G1";#N/A,#N/A,FALSE,"Tabl. G2"}</definedName>
    <definedName name="nitru_1">{#N/A,#N/A,FALSE,"Tabl. G1";#N/A,#N/A,FALSE,"Tabl. G2"}</definedName>
    <definedName name="nitru_2">{#N/A,#N/A,FALSE,"Tabl. G1";#N/A,#N/A,FALSE,"Tabl. G2"}</definedName>
    <definedName name="nitru_3">{#N/A,#N/A,FALSE,"Tabl. G1";#N/A,#N/A,FALSE,"Tabl. G2"}</definedName>
    <definedName name="nitru_4">{#N/A,#N/A,FALSE,"Tabl. G1";#N/A,#N/A,FALSE,"Tabl. G2"}</definedName>
    <definedName name="NIVANGUNE">#REF!</definedName>
    <definedName name="nj">#REF!</definedName>
    <definedName name="NLFX97P">#REF!</definedName>
    <definedName name="nm">#REF!</definedName>
    <definedName name="nn">#REF!</definedName>
    <definedName name="nnn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nnnnnnnnn">{#N/A,#N/A,FALSE,"Status of Projects";#N/A,#N/A,FALSE,"CEA-TEC";#N/A,#N/A,FALSE,"U-Constr.";#N/A,#N/A,FALSE,"summary";#N/A,#N/A,FALSE,"PPP-3 yrs"}</definedName>
    <definedName name="nnnnnnnnnn_1">{#N/A,#N/A,FALSE,"Status of Projects";#N/A,#N/A,FALSE,"CEA-TEC";#N/A,#N/A,FALSE,"U-Constr.";#N/A,#N/A,FALSE,"summary";#N/A,#N/A,FALSE,"PPP-3 yrs"}</definedName>
    <definedName name="nnnnnnnnnn_2">{#N/A,#N/A,FALSE,"Status of Projects";#N/A,#N/A,FALSE,"CEA-TEC";#N/A,#N/A,FALSE,"U-Constr.";#N/A,#N/A,FALSE,"summary";#N/A,#N/A,FALSE,"PPP-3 yrs"}</definedName>
    <definedName name="no">#REF!</definedName>
    <definedName name="No_of_Shares">#REF!</definedName>
    <definedName name="noa">#REF!</definedName>
    <definedName name="noausgaap">#REF!</definedName>
    <definedName name="NOFX97P">#REF!</definedName>
    <definedName name="NOI">{"AprJE to Everham",#N/A,FALSE,"JEto Jen"}</definedName>
    <definedName name="NON_RECOVERABLE__EXCISE_DUTY">#REF!</definedName>
    <definedName name="NonAutoBH">#REF!</definedName>
    <definedName name="NonautoBT">#REF!</definedName>
    <definedName name="NonautoMC">#REF!</definedName>
    <definedName name="noncurrentassets1">#REF!</definedName>
    <definedName name="noncurrentassets2">#REF!</definedName>
    <definedName name="noncurrentassets3">#REF!</definedName>
    <definedName name="noncurrentassets4">#REF!</definedName>
    <definedName name="noncurrentassets5">#REF!</definedName>
    <definedName name="nonoperatingexpenses1">#REF!</definedName>
    <definedName name="nonoperatingexpenses2">#REF!</definedName>
    <definedName name="nonoperatingexpenses3">#REF!</definedName>
    <definedName name="nonoperatingexpenses4">#REF!</definedName>
    <definedName name="nonoperatingexpenses5">#REF!</definedName>
    <definedName name="NoOfOvens">#REF!</definedName>
    <definedName name="NORIN">#REF!</definedName>
    <definedName name="NorthAndSouth">#REF!,#REF!</definedName>
    <definedName name="NOS">#REF!</definedName>
    <definedName name="Note">#REF!</definedName>
    <definedName name="NOTE_2">#REF!</definedName>
    <definedName name="NOTE_3">#REF!</definedName>
    <definedName name="NOTE_4">#REF!</definedName>
    <definedName name="Note1">#REF!</definedName>
    <definedName name="Note23">#REF!</definedName>
    <definedName name="notes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12">#REF!</definedName>
    <definedName name="notes2021">#REF!</definedName>
    <definedName name="notes22">#REF!</definedName>
    <definedName name="NOTINCLUDED">#REF!</definedName>
    <definedName name="nouv">{#N/A,#N/A,FALSE,"Pharm";#N/A,#N/A,FALSE,"WWCM"}</definedName>
    <definedName name="nouv_1">{#N/A,#N/A,FALSE,"Pharm";#N/A,#N/A,FALSE,"WWCM"}</definedName>
    <definedName name="nouv_2">{#N/A,#N/A,FALSE,"Pharm";#N/A,#N/A,FALSE,"WWCM"}</definedName>
    <definedName name="nouv_3">{#N/A,#N/A,FALSE,"Pharm";#N/A,#N/A,FALSE,"WWCM"}</definedName>
    <definedName name="nouv_4">{#N/A,#N/A,FALSE,"Pharm";#N/A,#N/A,FALSE,"WWCM"}</definedName>
    <definedName name="nouv_5">{#N/A,#N/A,FALSE,"Pharm";#N/A,#N/A,FALSE,"WWCM"}</definedName>
    <definedName name="Nov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ovArr">#REF!</definedName>
    <definedName name="NOVEMBER">#REF!</definedName>
    <definedName name="NOVFA">#REF!</definedName>
    <definedName name="NovPay">#REF!</definedName>
    <definedName name="NOVTB">#REF!</definedName>
    <definedName name="nozerbsc">#REF!</definedName>
    <definedName name="nozercar">#REF!</definedName>
    <definedName name="nozerded">#REF!</definedName>
    <definedName name="nozeremi">#REF!</definedName>
    <definedName name="nozerfuel">#REF!</definedName>
    <definedName name="nozerhra">#REF!</definedName>
    <definedName name="nozerins">#REF!</definedName>
    <definedName name="nozerit">#REF!</definedName>
    <definedName name="nozermed">#REF!</definedName>
    <definedName name="nozerpd">#REF!</definedName>
    <definedName name="nozerpf">#REF!</definedName>
    <definedName name="nozerpt">#REF!</definedName>
    <definedName name="nozersaf">#REF!</definedName>
    <definedName name="nozerspla">#REF!</definedName>
    <definedName name="nszgd">{#N/A,#N/A,FALSE,"Assets"}</definedName>
    <definedName name="ntd">#REF!</definedName>
    <definedName name="NtnlPr">#REF!</definedName>
    <definedName name="Num_Pmt_Per_Year">#REF!</definedName>
    <definedName name="NUMBER">#REF!</definedName>
    <definedName name="Number_of_employees">#REF!</definedName>
    <definedName name="Number_of_Payments">MATCH(0.01,End_Bal,-1)+1</definedName>
    <definedName name="Number_of_Selections">#REF!</definedName>
    <definedName name="Number2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NUMBERINPUT">#REF!</definedName>
    <definedName name="NvsAnswerCol">"[PLYTDUSD.xls]InfoTab!$A$13:$A$58"</definedName>
    <definedName name="NvsASD">"V2002-09-30"</definedName>
    <definedName name="NvsAutoDrillOk">"VN"</definedName>
    <definedName name="NvsElapsedTime">0.00246469907870051</definedName>
    <definedName name="NvsEndTime">37538.5634164352</definedName>
    <definedName name="NvsInstLang">"VENG"</definedName>
    <definedName name="NvsInstSpec">"%,FBUSINESS_UNIT,TREPORTING_SBU_TREE,NEQUIPMENT FINANCE"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"V1999-11-16"</definedName>
    <definedName name="NvsPanelSetid">"VSHARE"</definedName>
    <definedName name="NvsReqBU">"VEFUSD"</definedName>
    <definedName name="NvsReqBUOnly">"VY"</definedName>
    <definedName name="NvsStyleNme">"Copy of Classical_second.xls"</definedName>
    <definedName name="NvsTransLed">"VN"</definedName>
    <definedName name="NvsTreeASD">"V2002-09-30"</definedName>
    <definedName name="NvsValTbl.ACCOUNT">"GL_ACCOUNT_TBL"</definedName>
    <definedName name="NvsValTbl.BUSINESS_UNIT">"BUS_UNIT_TBL_FS"</definedName>
    <definedName name="NvsValTbl.CHARTFIELD1">"CHARTFIELD1_TBL"</definedName>
    <definedName name="NvsValTbl.DEPTID">"DEPT_TBL"</definedName>
    <definedName name="NvsValTbl.PRODUCT">"PRODUCT_TBL"</definedName>
    <definedName name="ny">{"targetdcf",#N/A,FALSE,"Merger consequences";"TARGETASSU",#N/A,FALSE,"Merger consequences";"TERMINAL VALUE",#N/A,FALSE,"Merger consequences"}</definedName>
    <definedName name="ny_comp">#REF!</definedName>
    <definedName name="o">#REF!</definedName>
    <definedName name="OA">#REF!</definedName>
    <definedName name="OAA">#REF!</definedName>
    <definedName name="OAT">#REF!</definedName>
    <definedName name="obc">#REF!</definedName>
    <definedName name="Objective">#REF!</definedName>
    <definedName name="OCF">#REF!</definedName>
    <definedName name="OCT">{#N/A,#N/A,FALSE,"Tabl. G1";#N/A,#N/A,FALSE,"Tabl. G2"}</definedName>
    <definedName name="OCT_1">{#N/A,#N/A,FALSE,"Tabl. G1";#N/A,#N/A,FALSE,"Tabl. G2"}</definedName>
    <definedName name="OCT_2">{#N/A,#N/A,FALSE,"Tabl. G1";#N/A,#N/A,FALSE,"Tabl. G2"}</definedName>
    <definedName name="OCT_3">{#N/A,#N/A,FALSE,"Tabl. G1";#N/A,#N/A,FALSE,"Tabl. G2"}</definedName>
    <definedName name="OCT_4">{#N/A,#N/A,FALSE,"Tabl. G1";#N/A,#N/A,FALSE,"Tabl. G2"}</definedName>
    <definedName name="Octbang">#REF!</definedName>
    <definedName name="OCTFA">#REF!</definedName>
    <definedName name="OCTOBER">#REF!</definedName>
    <definedName name="OCTTB">#REF!</definedName>
    <definedName name="Octtrade">#REF!</definedName>
    <definedName name="OD">#REF!</definedName>
    <definedName name="odaki">#REF!</definedName>
    <definedName name="offeqp">#REF!</definedName>
    <definedName name="Offer_Format">#REF!</definedName>
    <definedName name="OFFICE_EQUIPMENT">#REF!</definedName>
    <definedName name="OFFICE_EXPENSES">#REF!</definedName>
    <definedName name="Office_Maint._Cost">#REF!</definedName>
    <definedName name="Office_Rental">#REF!</definedName>
    <definedName name="officebuildingadd">#REF!</definedName>
    <definedName name="Officeequipments">#REF!</definedName>
    <definedName name="officeequipmentsadd">#REF!</definedName>
    <definedName name="OFFICETOT">#REF!</definedName>
    <definedName name="Offset">#REF!</definedName>
    <definedName name="OI">#REF!</definedName>
    <definedName name="OIA">#REF!</definedName>
    <definedName name="OIT">#REF!</definedName>
    <definedName name="oiuj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K">{#N/A,#N/A,FALSE,"REPORT"}</definedName>
    <definedName name="OK_1">{#N/A,#N/A,FALSE,"REPORT"}</definedName>
    <definedName name="OK_2">{#N/A,#N/A,FALSE,"REPORT"}</definedName>
    <definedName name="OK_3">{#N/A,#N/A,FALSE,"REPORT"}</definedName>
    <definedName name="OK_4">{#N/A,#N/A,FALSE,"REPORT"}</definedName>
    <definedName name="OK_5">{#N/A,#N/A,FALSE,"REPORT"}</definedName>
    <definedName name="oki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ld">#REF!</definedName>
    <definedName name="oldc">{#N/A,#N/A,FALSE,"Income State.";#N/A,#N/A,FALSE,"B-S"}</definedName>
    <definedName name="olddsfd">{#N/A,#N/A,FALSE,"Income State.";#N/A,#N/A,FALSE,"B-S"}</definedName>
    <definedName name="oldeee">{#N/A,#N/A,FALSE,"Income State.";#N/A,#N/A,FALSE,"B-S"}</definedName>
    <definedName name="oldloan">{#N/A,#N/A,FALSE,"Income State.";#N/A,#N/A,FALSE,"B-S"}</definedName>
    <definedName name="oldwrnisbs">{#N/A,#N/A,FALSE,"Income State.";#N/A,#N/A,FALSE,"B-S"}</definedName>
    <definedName name="oldxxx">{#N/A,#N/A,FALSE,"Income State.";#N/A,#N/A,FALSE,"B-S"}</definedName>
    <definedName name="OLE_LINK1">#REF!</definedName>
    <definedName name="olk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m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m_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m_2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m_3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m_4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ne">{"adj95mult",#N/A,FALSE,"COMPCO";"adj95est",#N/A,FALSE,"COMPCO"}</definedName>
    <definedName name="onsolidat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oo">{#N/A,#N/A,FALSE,"REPORT"}</definedName>
    <definedName name="ooo_1">{#N/A,#N/A,FALSE,"REPORT"}</definedName>
    <definedName name="ooo_2">{#N/A,#N/A,FALSE,"REPORT"}</definedName>
    <definedName name="ooo_3">{#N/A,#N/A,FALSE,"REPORT"}</definedName>
    <definedName name="ooo_4">{#N/A,#N/A,FALSE,"REPORT"}</definedName>
    <definedName name="ooo_5">{#N/A,#N/A,FALSE,"REPORT"}</definedName>
    <definedName name="oooo">#REF!</definedName>
    <definedName name="OP">#REF!</definedName>
    <definedName name="op_clstk">#REF!</definedName>
    <definedName name="Op_exp">#REF!</definedName>
    <definedName name="OpAccruals">#REF!</definedName>
    <definedName name="OpAdvances">#REF!</definedName>
    <definedName name="opcase">#REF!</definedName>
    <definedName name="OPDNAME">#REF!</definedName>
    <definedName name="open">{"plansummary",#N/A,FALSE,"PlanSummary";"sales",#N/A,FALSE,"Sales Rec";"productivity",#N/A,FALSE,"Productivity Rec";"capitalspending",#N/A,FALSE,"Capital Spending"}</definedName>
    <definedName name="open_1">{"plansummary",#N/A,FALSE,"PlanSummary";"sales",#N/A,FALSE,"Sales Rec";"productivity",#N/A,FALSE,"Productivity Rec";"capitalspending",#N/A,FALSE,"Capital Spending"}</definedName>
    <definedName name="open_2">{"plansummary",#N/A,FALSE,"PlanSummary";"sales",#N/A,FALSE,"Sales Rec";"productivity",#N/A,FALSE,"Productivity Rec";"capitalspending",#N/A,FALSE,"Capital Spending"}</definedName>
    <definedName name="open_3">{"plansummary",#N/A,FALSE,"PlanSummary";"sales",#N/A,FALSE,"Sales Rec";"productivity",#N/A,FALSE,"Productivity Rec";"capitalspending",#N/A,FALSE,"Capital Spending"}</definedName>
    <definedName name="openAdvance">#REF!</definedName>
    <definedName name="Opening">{"plansummary",#N/A,FALSE,"PlanSummary";"sales",#N/A,FALSE,"Sales Rec";"productivity",#N/A,FALSE,"Productivity Rec";"capitalspending",#N/A,FALSE,"Capital Spending"}</definedName>
    <definedName name="Opening_1">{"plansummary",#N/A,FALSE,"PlanSummary";"sales",#N/A,FALSE,"Sales Rec";"productivity",#N/A,FALSE,"Productivity Rec";"capitalspending",#N/A,FALSE,"Capital Spending"}</definedName>
    <definedName name="Opening_2">{"plansummary",#N/A,FALSE,"PlanSummary";"sales",#N/A,FALSE,"Sales Rec";"productivity",#N/A,FALSE,"Productivity Rec";"capitalspending",#N/A,FALSE,"Capital Spending"}</definedName>
    <definedName name="Opening_3">{"plansummary",#N/A,FALSE,"PlanSummary";"sales",#N/A,FALSE,"Sales Rec";"productivity",#N/A,FALSE,"Productivity Rec";"capitalspending",#N/A,FALSE,"Capital Spending"}</definedName>
    <definedName name="OPENING_STOCK">#REF!</definedName>
    <definedName name="OpeningAcrual">#REF!</definedName>
    <definedName name="OpeningAdvance">#REF!</definedName>
    <definedName name="openingRate">#REF!</definedName>
    <definedName name="operatingcash1">#REF!</definedName>
    <definedName name="operatingcash2">#REF!</definedName>
    <definedName name="operatingcash3">#REF!</definedName>
    <definedName name="operatingcash4">#REF!</definedName>
    <definedName name="operatingcash5">#REF!</definedName>
    <definedName name="Operational">#REF!</definedName>
    <definedName name="operations">#REF!</definedName>
    <definedName name="ophom">#REF!</definedName>
    <definedName name="OpIncDmy">#REF!</definedName>
    <definedName name="OpIncSer">#REF!</definedName>
    <definedName name="OplAdjustment">#REF!</definedName>
    <definedName name="OpnAccrual">#REF!</definedName>
    <definedName name="OPNACR">#REF!</definedName>
    <definedName name="OpnAdvance">#REF!</definedName>
    <definedName name="OPNAME">#REF!</definedName>
    <definedName name="opnamenew">#REF!</definedName>
    <definedName name="Oprate">#REF!</definedName>
    <definedName name="OPSTOCK.QTY">#REF!</definedName>
    <definedName name="OPSTOCK.VALUE">#REF!</definedName>
    <definedName name="OPTB">#REF!</definedName>
    <definedName name="Option_Proceeds">#REF!</definedName>
    <definedName name="option1">#REF!</definedName>
    <definedName name="option2">#REF!</definedName>
    <definedName name="optionnew">#REF!</definedName>
    <definedName name="Oracleref">#REF!</definedName>
    <definedName name="ORCActionPoints">#REF!</definedName>
    <definedName name="Order_Format">#REF!</definedName>
    <definedName name="OrderTable">#REF!</definedName>
    <definedName name="OrderTablePL">#REF!</definedName>
    <definedName name="oS">#REF!</definedName>
    <definedName name="oth">#REF!,#REF!</definedName>
    <definedName name="Oth_inc">#REF!</definedName>
    <definedName name="OTH_UC">#REF!</definedName>
    <definedName name="OTHAMT">#REF!</definedName>
    <definedName name="OTHBOH">#REF!</definedName>
    <definedName name="OTHEOH">#REF!</definedName>
    <definedName name="other">#REF!</definedName>
    <definedName name="Other_Cost_Per_Completion">#REF!</definedName>
    <definedName name="Other_Costs">#REF!</definedName>
    <definedName name="Other_Creditors">#REF!</definedName>
    <definedName name="OTHER_INCOME">#REF!</definedName>
    <definedName name="OTHER_INCOME_____AMOUNTS_WRITTEN_BACK">#REF!</definedName>
    <definedName name="Other_market_services">#REF!</definedName>
    <definedName name="Other_miscellaneous">#REF!</definedName>
    <definedName name="OTHER_RECEIVABLES">#REF!</definedName>
    <definedName name="Other2WBH">#REF!</definedName>
    <definedName name="Other2WBT">#REF!</definedName>
    <definedName name="Other2WMC">#REF!</definedName>
    <definedName name="other33">{#N/A,#N/A,FALSE,"Pharm";#N/A,#N/A,FALSE,"WWCM"}</definedName>
    <definedName name="other33_1">{#N/A,#N/A,FALSE,"Pharm";#N/A,#N/A,FALSE,"WWCM"}</definedName>
    <definedName name="other33_2">{#N/A,#N/A,FALSE,"Pharm";#N/A,#N/A,FALSE,"WWCM"}</definedName>
    <definedName name="other33_3">{#N/A,#N/A,FALSE,"Pharm";#N/A,#N/A,FALSE,"WWCM"}</definedName>
    <definedName name="other33_4">{#N/A,#N/A,FALSE,"Pharm";#N/A,#N/A,FALSE,"WWCM"}</definedName>
    <definedName name="other33_5">{#N/A,#N/A,FALSE,"Pharm";#N/A,#N/A,FALSE,"WWCM"}</definedName>
    <definedName name="Other3WBH">#REF!</definedName>
    <definedName name="Other3WBT">#REF!</definedName>
    <definedName name="OtherCVBH">#REF!</definedName>
    <definedName name="OtherCVBT">#REF!</definedName>
    <definedName name="OtherCVMC">#REF!</definedName>
    <definedName name="othermar">{#N/A,#N/A,FALSE,"Pharm";#N/A,#N/A,FALSE,"WWCM"}</definedName>
    <definedName name="othermar_1">{#N/A,#N/A,FALSE,"Pharm";#N/A,#N/A,FALSE,"WWCM"}</definedName>
    <definedName name="othermar_2">{#N/A,#N/A,FALSE,"Pharm";#N/A,#N/A,FALSE,"WWCM"}</definedName>
    <definedName name="othermar_3">{#N/A,#N/A,FALSE,"Pharm";#N/A,#N/A,FALSE,"WWCM"}</definedName>
    <definedName name="othermar_4">{#N/A,#N/A,FALSE,"Pharm";#N/A,#N/A,FALSE,"WWCM"}</definedName>
    <definedName name="othermar_5">{#N/A,#N/A,FALSE,"Pharm";#N/A,#N/A,FALSE,"WWCM"}</definedName>
    <definedName name="OtherPercent">#REF!</definedName>
    <definedName name="otherplantaddition">#REF!</definedName>
    <definedName name="OtherPM">#REF!</definedName>
    <definedName name="OtherPVBH">#REF!</definedName>
    <definedName name="OtherPVBT">#REF!</definedName>
    <definedName name="OtherPVMC">#REF!</definedName>
    <definedName name="OTHERR_COSTS">#REF!</definedName>
    <definedName name="others">#REF!,#REF!</definedName>
    <definedName name="OtherTractorBT">#REF!</definedName>
    <definedName name="OtherTractorMC">#REF!</definedName>
    <definedName name="OtherTractorsBH">#REF!</definedName>
    <definedName name="Othr3WMC">#REF!</definedName>
    <definedName name="otrochat">#REF!</definedName>
    <definedName name="OUT_TOTAL">#REF!</definedName>
    <definedName name="OUTAMT">#REF!</definedName>
    <definedName name="OUTPOCKET">#REF!</definedName>
    <definedName name="Output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QTY">#REF!</definedName>
    <definedName name="OutstandingRange">#REF!</definedName>
    <definedName name="OVERHEAD_BASIS">#REF!</definedName>
    <definedName name="OVERHEAD_RATES">#REF!</definedName>
    <definedName name="Overheads">#REF!</definedName>
    <definedName name="OverheadsEstimate">#REF!</definedName>
    <definedName name="OverheadsPlan">#REF!</definedName>
    <definedName name="OVHAL">#REF!</definedName>
    <definedName name="P">#REF!</definedName>
    <definedName name="p.2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P.B.T.BLACK_MASTER_BATCH">#REF!</definedName>
    <definedName name="P?HG">{#N/A,#N/A,FALSE,"Tabl. D1";#N/A,#N/A,FALSE,"Tabl. D1 b";#N/A,#N/A,FALSE,"Tabl. D2";#N/A,#N/A,FALSE,"Tabl. D2 b";#N/A,#N/A,FALSE,"Tabl. D3";#N/A,#N/A,FALSE,"Tabl. D4";#N/A,#N/A,FALSE,"Tabl. D5"}</definedName>
    <definedName name="P?HG_1">{#N/A,#N/A,FALSE,"Tabl. D1";#N/A,#N/A,FALSE,"Tabl. D1 b";#N/A,#N/A,FALSE,"Tabl. D2";#N/A,#N/A,FALSE,"Tabl. D2 b";#N/A,#N/A,FALSE,"Tabl. D3";#N/A,#N/A,FALSE,"Tabl. D4";#N/A,#N/A,FALSE,"Tabl. D5"}</definedName>
    <definedName name="P?HG_2">{#N/A,#N/A,FALSE,"Tabl. D1";#N/A,#N/A,FALSE,"Tabl. D1 b";#N/A,#N/A,FALSE,"Tabl. D2";#N/A,#N/A,FALSE,"Tabl. D2 b";#N/A,#N/A,FALSE,"Tabl. D3";#N/A,#N/A,FALSE,"Tabl. D4";#N/A,#N/A,FALSE,"Tabl. D5"}</definedName>
    <definedName name="P?HG_3">{#N/A,#N/A,FALSE,"Tabl. D1";#N/A,#N/A,FALSE,"Tabl. D1 b";#N/A,#N/A,FALSE,"Tabl. D2";#N/A,#N/A,FALSE,"Tabl. D2 b";#N/A,#N/A,FALSE,"Tabl. D3";#N/A,#N/A,FALSE,"Tabl. D4";#N/A,#N/A,FALSE,"Tabl. D5"}</definedName>
    <definedName name="P?HG_4">{#N/A,#N/A,FALSE,"Tabl. D1";#N/A,#N/A,FALSE,"Tabl. D1 b";#N/A,#N/A,FALSE,"Tabl. D2";#N/A,#N/A,FALSE,"Tabl. D2 b";#N/A,#N/A,FALSE,"Tabl. D3";#N/A,#N/A,FALSE,"Tabl. D4";#N/A,#N/A,FALSE,"Tabl. D5"}</definedName>
    <definedName name="P___L___Statement">#REF!</definedName>
    <definedName name="P_01">#REF!</definedName>
    <definedName name="P_02">#REF!</definedName>
    <definedName name="p_Amort">#REF!</definedName>
    <definedName name="p_Assump">#REF!</definedName>
    <definedName name="p_BS">#REF!</definedName>
    <definedName name="p_CFS">#REF!</definedName>
    <definedName name="p_ConvDebt">#REF!</definedName>
    <definedName name="p_ConvPref">#REF!</definedName>
    <definedName name="p_DCF">#REF!</definedName>
    <definedName name="p_DebtBreakdownA">#REF!</definedName>
    <definedName name="p_DebtBreakdownB">#REF!</definedName>
    <definedName name="p_DebtBreakdownC">#REF!</definedName>
    <definedName name="p_DebtBreakdownD">#REF!</definedName>
    <definedName name="p_DebtSummary">#REF!</definedName>
    <definedName name="p_Depr">#REF!</definedName>
    <definedName name="p_DiscretionaryDebt">#REF!</definedName>
    <definedName name="p_EVA">#REF!</definedName>
    <definedName name="p_FirmValue">#REF!</definedName>
    <definedName name="p_highyield_BS">#REF!</definedName>
    <definedName name="p_highyield_CFS">#REF!</definedName>
    <definedName name="p_highyield_Depr">#REF!</definedName>
    <definedName name="p_highyield_FA">#REF!</definedName>
    <definedName name="p_highyield_IS">#REF!</definedName>
    <definedName name="p_highyield_Return">#REF!</definedName>
    <definedName name="p_highyield_to">#REF!</definedName>
    <definedName name="p_IncomeStatement">#REF!</definedName>
    <definedName name="p_Index">#REF!</definedName>
    <definedName name="p_InterestExp">#REF!</definedName>
    <definedName name="P_L">#REF!</definedName>
    <definedName name="P_L_GORUPING">#REF!</definedName>
    <definedName name="P_L_Print_A">#REF!</definedName>
    <definedName name="P_L_Print_B">#REF!</definedName>
    <definedName name="P_L2">#REF!</definedName>
    <definedName name="p_LBO_Amort">#REF!</definedName>
    <definedName name="p_LBO_BS">#REF!</definedName>
    <definedName name="p_LBO_BS_Adj">#REF!</definedName>
    <definedName name="p_LBO_CF">#REF!</definedName>
    <definedName name="p_LBO_Debt">#REF!</definedName>
    <definedName name="p_LBO_DebtB">#REF!</definedName>
    <definedName name="p_LBO_IS">#REF!</definedName>
    <definedName name="p_LBO_returncalc">#REF!</definedName>
    <definedName name="p_LBO_returncalcb">#REF!</definedName>
    <definedName name="p_LBO_Returns">#REF!</definedName>
    <definedName name="p_LBO_SO">#REF!</definedName>
    <definedName name="p_LBO_Summary">#REF!</definedName>
    <definedName name="p_LBO_Tax">#REF!</definedName>
    <definedName name="P_LTITLE">#REF!</definedName>
    <definedName name="p_LTM_BS">#REF!</definedName>
    <definedName name="p_LTM_IS">#REF!</definedName>
    <definedName name="p_MandatoryDebt">#REF!</definedName>
    <definedName name="p_Options">#REF!</definedName>
    <definedName name="p_Preferred">#REF!</definedName>
    <definedName name="p_Premium">#REF!</definedName>
    <definedName name="p_SharesOutstanding">#REF!</definedName>
    <definedName name="p_Sum">#REF!</definedName>
    <definedName name="p_Tax">#REF!</definedName>
    <definedName name="P5.1">#REF!</definedName>
    <definedName name="P7b">#REF!</definedName>
    <definedName name="PA">#REF!</definedName>
    <definedName name="PA_BS">#REF!</definedName>
    <definedName name="PA_DET">#REF!</definedName>
    <definedName name="PA_SCH1_2">#REF!</definedName>
    <definedName name="PA_SCH3">#REF!</definedName>
    <definedName name="PA_SCH4_5">#REF!</definedName>
    <definedName name="PA_SCH5_7">#REF!</definedName>
    <definedName name="PA_SCH5_8">#REF!</definedName>
    <definedName name="PA_TXd">#REF!</definedName>
    <definedName name="packing">{#N/A,#N/A,FALSE,"ISBL"}</definedName>
    <definedName name="packing_1">{#N/A,#N/A,FALSE,"ISBL"}</definedName>
    <definedName name="packing_2">{#N/A,#N/A,FALSE,"ISBL"}</definedName>
    <definedName name="packing_3">{#N/A,#N/A,FALSE,"ISBL"}</definedName>
    <definedName name="packing_4">{#N/A,#N/A,FALSE,"ISBL"}</definedName>
    <definedName name="PACKING_MATERIAL">#REF!</definedName>
    <definedName name="paf">{#N/A,#N/A,FALSE,"Income State.";#N/A,#N/A,FALSE,"B-S"}</definedName>
    <definedName name="PAG">#REF!</definedName>
    <definedName name="PAGE">#REF!</definedName>
    <definedName name="Page_1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1">#REF!</definedName>
    <definedName name="PAGE10">#REF!</definedName>
    <definedName name="PAGE11">#REF!</definedName>
    <definedName name="PAGE13">#REF!</definedName>
    <definedName name="PAGE14">#REF!</definedName>
    <definedName name="PAGE15">#REF!</definedName>
    <definedName name="PAGE16">#REF!:#REF!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3">#REF!</definedName>
    <definedName name="Page4">#REF!</definedName>
    <definedName name="PAGE5">#REF!</definedName>
    <definedName name="Page5_OS_Supported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PAGE6">#REF!</definedName>
    <definedName name="Page7">#REF!</definedName>
    <definedName name="PAGE8">#REF!</definedName>
    <definedName name="PAGE9">#REF!</definedName>
    <definedName name="PAGEJ">#REF!</definedName>
    <definedName name="PageNumber">#REF!</definedName>
    <definedName name="PaidBandRange">#REF!</definedName>
    <definedName name="pakhak">{#N/A,#N/A,FALSE,"PMTABB";#N/A,#N/A,FALSE,"PMTABB"}</definedName>
    <definedName name="pakhak_1">{#N/A,#N/A,FALSE,"PMTABB";#N/A,#N/A,FALSE,"PMTABB"}</definedName>
    <definedName name="pakhak_2">{#N/A,#N/A,FALSE,"PMTABB";#N/A,#N/A,FALSE,"PMTABB"}</definedName>
    <definedName name="pakhak_3">{#N/A,#N/A,FALSE,"PMTABB";#N/A,#N/A,FALSE,"PMTABB"}</definedName>
    <definedName name="pakhak_4">{#N/A,#N/A,FALSE,"PMTABB";#N/A,#N/A,FALSE,"PMTABB"}</definedName>
    <definedName name="PALARPWAR">#REF!</definedName>
    <definedName name="pallav">{#N/A,#N/A,FALSE,"PMTABB";#N/A,#N/A,FALSE,"PMTABB"}</definedName>
    <definedName name="pallav_1">{#N/A,#N/A,FALSE,"PMTABB";#N/A,#N/A,FALSE,"PMTABB"}</definedName>
    <definedName name="pallav_2">{#N/A,#N/A,FALSE,"PMTABB";#N/A,#N/A,FALSE,"PMTABB"}</definedName>
    <definedName name="pallav_3">{#N/A,#N/A,FALSE,"PMTABB";#N/A,#N/A,FALSE,"PMTABB"}</definedName>
    <definedName name="pallav_4">{#N/A,#N/A,FALSE,"PMTABB";#N/A,#N/A,FALSE,"PMTABB"}</definedName>
    <definedName name="PAN">#REF!</definedName>
    <definedName name="Pan_Asia_Ad_Percentage">#REF!</definedName>
    <definedName name="PANCHALBABURAO">#REF!</definedName>
    <definedName name="pandl">#REF!</definedName>
    <definedName name="PandLCons">#REF!</definedName>
    <definedName name="PandLTotCoy">#REF!</definedName>
    <definedName name="PANSAREKISHIRKUMAR">#REF!</definedName>
    <definedName name="PAR_CALCORI">#REF!</definedName>
    <definedName name="para">#REF!</definedName>
    <definedName name="PARANDKARANAND">#REF!</definedName>
    <definedName name="PARKHIPAPPU">#REF!</definedName>
    <definedName name="PARSFO_E">#REF!</definedName>
    <definedName name="PARSFORM">#REF!</definedName>
    <definedName name="PART">#REF!</definedName>
    <definedName name="part4">#REF!</definedName>
    <definedName name="PartDesignation">#REF!</definedName>
    <definedName name="PARTF">#REF!</definedName>
    <definedName name="PASALKAR">#REF!</definedName>
    <definedName name="Passages">{#N/A,#N/A,FALSE,"Tabl. A1";#N/A,#N/A,FALSE,"Tabl. A1 b";#N/A,#N/A,FALSE,"Tabl. A2";#N/A,#N/A,FALSE,"Tabl. A2-1";#N/A,#N/A,FALSE,"Tabl. A2-2"}</definedName>
    <definedName name="Passages_1">{#N/A,#N/A,FALSE,"Tabl. A1";#N/A,#N/A,FALSE,"Tabl. A1 b";#N/A,#N/A,FALSE,"Tabl. A2";#N/A,#N/A,FALSE,"Tabl. A2-1";#N/A,#N/A,FALSE,"Tabl. A2-2"}</definedName>
    <definedName name="Passages_2">{#N/A,#N/A,FALSE,"Tabl. A1";#N/A,#N/A,FALSE,"Tabl. A1 b";#N/A,#N/A,FALSE,"Tabl. A2";#N/A,#N/A,FALSE,"Tabl. A2-1";#N/A,#N/A,FALSE,"Tabl. A2-2"}</definedName>
    <definedName name="Passages_3">{#N/A,#N/A,FALSE,"Tabl. A1";#N/A,#N/A,FALSE,"Tabl. A1 b";#N/A,#N/A,FALSE,"Tabl. A2";#N/A,#N/A,FALSE,"Tabl. A2-1";#N/A,#N/A,FALSE,"Tabl. A2-2"}</definedName>
    <definedName name="Passages_4">{#N/A,#N/A,FALSE,"Tabl. A1";#N/A,#N/A,FALSE,"Tabl. A1 b";#N/A,#N/A,FALSE,"Tabl. A2";#N/A,#N/A,FALSE,"Tabl. A2-1";#N/A,#N/A,FALSE,"Tabl. A2-2"}</definedName>
    <definedName name="PATHAK">#REF!</definedName>
    <definedName name="PATIL">#REF!</definedName>
    <definedName name="PATIL_PANKAJ">#REF!</definedName>
    <definedName name="PATIL_PRASHANT">#REF!</definedName>
    <definedName name="PATIL_RUSHIKUMAR">#REF!</definedName>
    <definedName name="PATIL_VIKRAM">#REF!</definedName>
    <definedName name="PATILCHANDRAKANT">#REF!</definedName>
    <definedName name="PATILD">#REF!</definedName>
    <definedName name="PATILGANESH">#REF!</definedName>
    <definedName name="PATILGANESHN">#REF!</definedName>
    <definedName name="PATILMANOJ">#REF!</definedName>
    <definedName name="PATILRAHUL">#REF!</definedName>
    <definedName name="PATILRAVI">#REF!</definedName>
    <definedName name="PATILSUDHIR">#REF!</definedName>
    <definedName name="PATILTUKARAM">#REF!</definedName>
    <definedName name="PATILVIJAYGANGARAM">#REF!</definedName>
    <definedName name="PATILVILAS">#REF!</definedName>
    <definedName name="PATILVISHWAS">#REF!</definedName>
    <definedName name="PATILVIVEKB">#REF!</definedName>
    <definedName name="pattabhibsc">#REF!</definedName>
    <definedName name="pattabhided">#REF!</definedName>
    <definedName name="pattabhihra">#REF!</definedName>
    <definedName name="pattabhipd">#REF!</definedName>
    <definedName name="pattabhipf">#REF!</definedName>
    <definedName name="pattabhisaf">#REF!</definedName>
    <definedName name="pattabhispla">#REF!</definedName>
    <definedName name="Pattern">#REF!</definedName>
    <definedName name="PATTERNS__DIES_AND_MOULDS">#REF!</definedName>
    <definedName name="PATTERNS__DIES_MOULDS">#REF!</definedName>
    <definedName name="PAWAR_DADA">#REF!</definedName>
    <definedName name="PAWAR_MAHESH">#REF!</definedName>
    <definedName name="PAWAR_SACHIN">#REF!</definedName>
    <definedName name="PAWARAMARJEET">#REF!</definedName>
    <definedName name="PAWARNAVNATH">#REF!</definedName>
    <definedName name="Pay">{"'Market &amp; Company Profile'!$H$24:$I$25"}</definedName>
    <definedName name="Pay_Num">#REF!</definedName>
    <definedName name="Payroll">#REF!</definedName>
    <definedName name="PAYROLL_FOR_THE_MONTH_OF_JUNE_1999">#REF!</definedName>
    <definedName name="payslips">#REF!</definedName>
    <definedName name="payt">MIN(SUM(#REF!),SUM(#REF!))-SUM(#REF!)</definedName>
    <definedName name="pbm">#REF!</definedName>
    <definedName name="PBT">#REF!</definedName>
    <definedName name="Pc_proj">#REF!</definedName>
    <definedName name="PCP">#REF!</definedName>
    <definedName name="PD">#REF!</definedName>
    <definedName name="Pdct">#REF!</definedName>
    <definedName name="PE_DETAILED">#REF!</definedName>
    <definedName name="PEL">#REF!</definedName>
    <definedName name="PENSION">#REF!</definedName>
    <definedName name="PensionPercent">#REF!</definedName>
    <definedName name="PeopleLists">#REF!,#REF!</definedName>
    <definedName name="pepe">{#N/A,#N/A,FALSE,"Pharm";#N/A,#N/A,FALSE,"WWCM"}</definedName>
    <definedName name="pepe_1">{#N/A,#N/A,FALSE,"Pharm";#N/A,#N/A,FALSE,"WWCM"}</definedName>
    <definedName name="pepe_2">{#N/A,#N/A,FALSE,"Pharm";#N/A,#N/A,FALSE,"WWCM"}</definedName>
    <definedName name="pepe_3">{#N/A,#N/A,FALSE,"Pharm";#N/A,#N/A,FALSE,"WWCM"}</definedName>
    <definedName name="pepe_4">{#N/A,#N/A,FALSE,"Pharm";#N/A,#N/A,FALSE,"WWCM"}</definedName>
    <definedName name="pepe_5">{#N/A,#N/A,FALSE,"Pharm";#N/A,#N/A,FALSE,"WWCM"}</definedName>
    <definedName name="PEPE4">{#N/A,#N/A,FALSE,"Pharm";#N/A,#N/A,FALSE,"WWCM"}</definedName>
    <definedName name="PEPE4_1">{#N/A,#N/A,FALSE,"Pharm";#N/A,#N/A,FALSE,"WWCM"}</definedName>
    <definedName name="PEPE4_2">{#N/A,#N/A,FALSE,"Pharm";#N/A,#N/A,FALSE,"WWCM"}</definedName>
    <definedName name="PEPE4_3">{#N/A,#N/A,FALSE,"Pharm";#N/A,#N/A,FALSE,"WWCM"}</definedName>
    <definedName name="PEPE4_4">{#N/A,#N/A,FALSE,"Pharm";#N/A,#N/A,FALSE,"WWCM"}</definedName>
    <definedName name="PEPE4_5">{#N/A,#N/A,FALSE,"Pharm";#N/A,#N/A,FALSE,"WWCM"}</definedName>
    <definedName name="PEPE5">{#N/A,#N/A,FALSE,"Pharm";#N/A,#N/A,FALSE,"WWCM"}</definedName>
    <definedName name="PEPE5_1">{#N/A,#N/A,FALSE,"Pharm";#N/A,#N/A,FALSE,"WWCM"}</definedName>
    <definedName name="PEPE5_2">{#N/A,#N/A,FALSE,"Pharm";#N/A,#N/A,FALSE,"WWCM"}</definedName>
    <definedName name="PEPE5_3">{#N/A,#N/A,FALSE,"Pharm";#N/A,#N/A,FALSE,"WWCM"}</definedName>
    <definedName name="PEPE5_4">{#N/A,#N/A,FALSE,"Pharm";#N/A,#N/A,FALSE,"WWCM"}</definedName>
    <definedName name="PEPE5_5">{#N/A,#N/A,FALSE,"Pharm";#N/A,#N/A,FALSE,"WWCM"}</definedName>
    <definedName name="PER">#REF!</definedName>
    <definedName name="Percent_Staff_Costs_Other_Costs">#REF!</definedName>
    <definedName name="PERHC">#REF!</definedName>
    <definedName name="Period">#REF!</definedName>
    <definedName name="Period_Level">#REF!</definedName>
    <definedName name="PeriodCosts">#REF!</definedName>
    <definedName name="Periodmonthweeks">#REF!</definedName>
    <definedName name="PeriodsInYear">#REF!</definedName>
    <definedName name="Permanent_Staff_No">#REF!</definedName>
    <definedName name="PERNEW">#REF!</definedName>
    <definedName name="Personal_Arr">#REF!</definedName>
    <definedName name="Personalaufwand_Monat_Ist">#REF!</definedName>
    <definedName name="personn">#REF!</definedName>
    <definedName name="personn1">#REF!</definedName>
    <definedName name="Personnel">#REF!</definedName>
    <definedName name="personnel_expenses_forecast_current_year">#REF!</definedName>
    <definedName name="personnel_expenses_plan_year_x">#REF!</definedName>
    <definedName name="personnel_expenses_plan_year_x1">#REF!</definedName>
    <definedName name="personnel_expenses_plan_year_x2">#REF!</definedName>
    <definedName name="personnel_expenses_plan_year_x3">#REF!</definedName>
    <definedName name="personnel_expenses_plan_year_x4">#REF!</definedName>
    <definedName name="Personnel1">#REF!</definedName>
    <definedName name="PersonwiseDetails">#REF!</definedName>
    <definedName name="PERTOT">#REF!</definedName>
    <definedName name="PF">#REF!</definedName>
    <definedName name="PF_ADMIN_CHARGES">#REF!</definedName>
    <definedName name="PFA">#REF!</definedName>
    <definedName name="PFT">#REF!</definedName>
    <definedName name="PG">#REF!</definedName>
    <definedName name="Pg_Enq">#REF!</definedName>
    <definedName name="Pg_Off">#REF!</definedName>
    <definedName name="Pg_Ord">#REF!</definedName>
    <definedName name="PH">#REF!</definedName>
    <definedName name="PHADKE">#REF!</definedName>
    <definedName name="PHADNIS">#REF!</definedName>
    <definedName name="pharma">{#N/A,#N/A,FALSE,"Sales Graph";#N/A,#N/A,FALSE,"PSBM";#N/A,#N/A,FALSE,"BUC Graph";#N/A,#N/A,FALSE,"P&amp;L - YTD"}</definedName>
    <definedName name="pharma_1">{#N/A,#N/A,FALSE,"Sales Graph";#N/A,#N/A,FALSE,"PSBM";#N/A,#N/A,FALSE,"BUC Graph";#N/A,#N/A,FALSE,"P&amp;L - YTD"}</definedName>
    <definedName name="pharma_2">{#N/A,#N/A,FALSE,"Sales Graph";#N/A,#N/A,FALSE,"PSBM";#N/A,#N/A,FALSE,"BUC Graph";#N/A,#N/A,FALSE,"P&amp;L - YTD"}</definedName>
    <definedName name="pharma_3">{#N/A,#N/A,FALSE,"Sales Graph";#N/A,#N/A,FALSE,"PSBM";#N/A,#N/A,FALSE,"BUC Graph";#N/A,#N/A,FALSE,"P&amp;L - YTD"}</definedName>
    <definedName name="pharma_4">{#N/A,#N/A,FALSE,"Sales Graph";#N/A,#N/A,FALSE,"PSBM";#N/A,#N/A,FALSE,"BUC Graph";#N/A,#N/A,FALSE,"P&amp;L - YTD"}</definedName>
    <definedName name="pharma_5">{#N/A,#N/A,FALSE,"Sales Graph";#N/A,#N/A,FALSE,"PSBM";#N/A,#N/A,FALSE,"BUC Graph";#N/A,#N/A,FALSE,"P&amp;L - YTD"}</definedName>
    <definedName name="Phone">#REF!</definedName>
    <definedName name="Phoneaddition">#REF!</definedName>
    <definedName name="Phones">#REF!</definedName>
    <definedName name="PHOTOGRAPHS___FILMS">#REF!</definedName>
    <definedName name="PIC">"Picture 1"</definedName>
    <definedName name="PIPE_10CY">#REF!</definedName>
    <definedName name="PIPE_10PY">#REF!</definedName>
    <definedName name="PIPE_11CY">#REF!</definedName>
    <definedName name="PIPE_11PY">#REF!</definedName>
    <definedName name="PIPE_12CY">#REF!</definedName>
    <definedName name="PIPE_12PY">#REF!</definedName>
    <definedName name="PIPE_12PY2">#REF!</definedName>
    <definedName name="PIPE_1CY">#REF!</definedName>
    <definedName name="PIPE_1PY">#REF!</definedName>
    <definedName name="PIPE_2CY">#REF!</definedName>
    <definedName name="PIPE_2PY">#REF!</definedName>
    <definedName name="PIPE_3CY">#REF!</definedName>
    <definedName name="PIPE_3PY">#REF!</definedName>
    <definedName name="PIPE_4CY">#REF!</definedName>
    <definedName name="PIPE_4PY">#REF!</definedName>
    <definedName name="PIPE_5CY">#REF!</definedName>
    <definedName name="PIPE_5PY">#REF!</definedName>
    <definedName name="PIPE_6CY">#REF!</definedName>
    <definedName name="PIPE_6PY">#REF!</definedName>
    <definedName name="PIPE_7CY">#REF!</definedName>
    <definedName name="PIPE_7PY">#REF!</definedName>
    <definedName name="PIPE_8CY">#REF!</definedName>
    <definedName name="PIPE_8PY">#REF!</definedName>
    <definedName name="PIPE_9CY">#REF!</definedName>
    <definedName name="PIPE_9PY">#REF!</definedName>
    <definedName name="PIS">#REF!</definedName>
    <definedName name="PISA">#REF!</definedName>
    <definedName name="PIST">#REF!</definedName>
    <definedName name="Pitchbook">{#N/A,#N/A,TRUE,"Sheet16"}</definedName>
    <definedName name="PJ_RPK">#REF!</definedName>
    <definedName name="pjj_pa">#REF!</definedName>
    <definedName name="PKG_LD">#REF!</definedName>
    <definedName name="PKK">#REF!</definedName>
    <definedName name="pl">{#N/A,#N/A,FALSE,"REPORT"}</definedName>
    <definedName name="pl_1">{#N/A,#N/A,FALSE,"REPORT"}</definedName>
    <definedName name="pl_2">{#N/A,#N/A,FALSE,"REPORT"}</definedName>
    <definedName name="pl_3">{#N/A,#N/A,FALSE,"REPORT"}</definedName>
    <definedName name="PL_310399">#REF!</definedName>
    <definedName name="pl_4">{#N/A,#N/A,FALSE,"REPORT"}</definedName>
    <definedName name="pl_5">{#N/A,#N/A,FALSE,"REPORT"}</definedName>
    <definedName name="PL_AM">#REF!</definedName>
    <definedName name="PL_AM_GAAP">#REF!</definedName>
    <definedName name="PL_AM_M">#REF!</definedName>
    <definedName name="PL_Amortization">#REF!</definedName>
    <definedName name="PL_BasicSO">#REF!</definedName>
    <definedName name="PL_Budget_Exp">#REF!</definedName>
    <definedName name="PL_CG">#REF!</definedName>
    <definedName name="PL_CG_CT">#REF!</definedName>
    <definedName name="PL_CG_DS">#REF!</definedName>
    <definedName name="PL_COGS">#REF!</definedName>
    <definedName name="PL_Convertible_Interest">#REF!</definedName>
    <definedName name="PL_Convertible_PDividend">#REF!</definedName>
    <definedName name="PL_CP">#REF!</definedName>
    <definedName name="PL_DAB">#REF!</definedName>
    <definedName name="PL_DE">#REF!</definedName>
    <definedName name="PL_DE_AA">#REF!</definedName>
    <definedName name="PL_DE_AB">#REF!</definedName>
    <definedName name="PL_DE_GAAP">#REF!</definedName>
    <definedName name="PL_DE_M">#REF!</definedName>
    <definedName name="PL_Depreciation">#REF!</definedName>
    <definedName name="PL_DETL_BORDER">#REF!</definedName>
    <definedName name="PL_Difference">#REF!</definedName>
    <definedName name="PL_DVAD">#REF!</definedName>
    <definedName name="PL_DVFA">#REF!</definedName>
    <definedName name="PL_EBIT">#REF!</definedName>
    <definedName name="PL_EBIT_DS">#REF!</definedName>
    <definedName name="PL_EBIT_HS">#REF!</definedName>
    <definedName name="PL_EBIT_M">#REF!</definedName>
    <definedName name="PL_EBITDA">#REF!</definedName>
    <definedName name="PL_EBITDA_HS">#REF!</definedName>
    <definedName name="PL_EI_DS">#REF!</definedName>
    <definedName name="PL_EN_AV">#REF!</definedName>
    <definedName name="PL_Equity_Earnings">#REF!</definedName>
    <definedName name="PL_FDEPS">#REF!</definedName>
    <definedName name="PL_FDSO">#REF!</definedName>
    <definedName name="PL_FOR_2011">#REF!</definedName>
    <definedName name="PL_FOR_2012">#REF!</definedName>
    <definedName name="PL_GP">#REF!</definedName>
    <definedName name="PL_H1NP">#REF!</definedName>
    <definedName name="PL_H1NP_US">#REF!</definedName>
    <definedName name="PL_H1P">#REF!</definedName>
    <definedName name="PL_H1P_US">#REF!</definedName>
    <definedName name="PL_H1R">#REF!</definedName>
    <definedName name="PL_H1R_US">#REF!</definedName>
    <definedName name="PL_IC_AS">#REF!</definedName>
    <definedName name="PL_IC_DI">#REF!</definedName>
    <definedName name="PL_IC_GAAP">#REF!</definedName>
    <definedName name="PL_IC_OT">#REF!</definedName>
    <definedName name="PL_IN">#REF!</definedName>
    <definedName name="PL_IN_HS">#REF!</definedName>
    <definedName name="PL_IN_PY">#REF!</definedName>
    <definedName name="PL_IN_RC">#REF!</definedName>
    <definedName name="PL_Income_Taxes">#REF!</definedName>
    <definedName name="PL_Interest_Income">#REF!</definedName>
    <definedName name="PL_Loss_Debt">#REF!</definedName>
    <definedName name="PL_Loss_Preferred">#REF!</definedName>
    <definedName name="PL_Minority_NI">#REF!</definedName>
    <definedName name="PL_NE">#REF!</definedName>
    <definedName name="PL_NE_OD">#REF!</definedName>
    <definedName name="PL_NE_SD">#REF!</definedName>
    <definedName name="PL_Non_Operating_Expenses">#REF!</definedName>
    <definedName name="PL_NP">#REF!</definedName>
    <definedName name="PL_NP_DI">#REF!</definedName>
    <definedName name="PL_NP_GAAP">#REF!</definedName>
    <definedName name="PL_NP_HS">#REF!</definedName>
    <definedName name="PL_NP_MI">#REF!</definedName>
    <definedName name="PL_NP_OD">#REF!</definedName>
    <definedName name="PL_Operating_Expenses">#REF!</definedName>
    <definedName name="PL_PAM_BD">#REF!</definedName>
    <definedName name="PL_PAT">#REF!</definedName>
    <definedName name="PL_PAT_HS">#REF!</definedName>
    <definedName name="PL_PBT">#REF!</definedName>
    <definedName name="PL_PBT_HS">#REF!</definedName>
    <definedName name="PL_PE_GAAP">#REF!</definedName>
    <definedName name="PL_PYP">#REF!</definedName>
    <definedName name="PL_Q1NP">#REF!</definedName>
    <definedName name="PL_Q1NP_US">#REF!</definedName>
    <definedName name="PL_Q1P">#REF!</definedName>
    <definedName name="PL_Q1P_US">#REF!</definedName>
    <definedName name="PL_Q1R">#REF!</definedName>
    <definedName name="PL_Q1R_US">#REF!</definedName>
    <definedName name="PL_Q2NP">#REF!</definedName>
    <definedName name="PL_Q2NP_US">#REF!</definedName>
    <definedName name="PL_Q2P">#REF!</definedName>
    <definedName name="PL_Q2P_US">#REF!</definedName>
    <definedName name="PL_Q2R">#REF!</definedName>
    <definedName name="PL_Q2R_US">#REF!</definedName>
    <definedName name="PL_Q3NP">#REF!</definedName>
    <definedName name="PL_Q3NP_US">#REF!</definedName>
    <definedName name="PL_Q3P">#REF!</definedName>
    <definedName name="PL_Q3P_US">#REF!</definedName>
    <definedName name="PL_Q3R">#REF!</definedName>
    <definedName name="PL_Q3R_US">#REF!</definedName>
    <definedName name="PL_Q4NP">#REF!</definedName>
    <definedName name="PL_Q4NP_US">#REF!</definedName>
    <definedName name="PL_Q4P">#REF!</definedName>
    <definedName name="PL_Q4P_US">#REF!</definedName>
    <definedName name="PL_Q4R">#REF!</definedName>
    <definedName name="PL_Q4R_US">#REF!</definedName>
    <definedName name="PL_Rent">#REF!</definedName>
    <definedName name="PL_Revenues">#REF!</definedName>
    <definedName name="PL_RP">#REF!</definedName>
    <definedName name="PL_RV">#REF!</definedName>
    <definedName name="PL_RV_CO">#REF!</definedName>
    <definedName name="PL_RV_CT">#REF!</definedName>
    <definedName name="PL_RV_DS">#REF!</definedName>
    <definedName name="PL_RV_TO">#REF!</definedName>
    <definedName name="PL_SGA">#REF!</definedName>
    <definedName name="PL_Straight_Interest">#REF!</definedName>
    <definedName name="PL_Straight_PDividend">#REF!</definedName>
    <definedName name="PL_TE">#REF!</definedName>
    <definedName name="PL_TE_AD">#REF!</definedName>
    <definedName name="PL_TE_AE">#REF!</definedName>
    <definedName name="PL_TE_CU">#REF!</definedName>
    <definedName name="PL_TE_EA">#REF!</definedName>
    <definedName name="PL_TE_EB">#REF!</definedName>
    <definedName name="PL_TE_EC">#REF!</definedName>
    <definedName name="PL_TE_EI">#REF!</definedName>
    <definedName name="PL_TE_EI_M">#REF!</definedName>
    <definedName name="PL_TE_EN">#REF!</definedName>
    <definedName name="PL_TE_MC">#REF!</definedName>
    <definedName name="PL_TE_OL">#REF!</definedName>
    <definedName name="PL_TE_OP">#REF!</definedName>
    <definedName name="PL_TE_OT">#REF!</definedName>
    <definedName name="PL_TE_PD">#REF!</definedName>
    <definedName name="PL_TE_PE">#REF!</definedName>
    <definedName name="PL_TE_PF">#REF!</definedName>
    <definedName name="PL_TE_RC">#REF!</definedName>
    <definedName name="PL_TE_RD">#REF!</definedName>
    <definedName name="PL_TE_RM">#REF!</definedName>
    <definedName name="PL_TE_SC">#REF!</definedName>
    <definedName name="PL_TE_SD">#REF!</definedName>
    <definedName name="PL_TE_SV">#REF!</definedName>
    <definedName name="PL_TE_VC">#REF!</definedName>
    <definedName name="PL_TN">#REF!</definedName>
    <definedName name="PL_TN_DT">#REF!</definedName>
    <definedName name="PL_TN_DTGAAP">#REF!</definedName>
    <definedName name="PL_TN_HS">#REF!</definedName>
    <definedName name="PL_TN_NR">#REF!</definedName>
    <definedName name="PL_TN_OT">#REF!</definedName>
    <definedName name="PL_TN_TO">#REF!</definedName>
    <definedName name="PL_TX">#REF!</definedName>
    <definedName name="PL_TX_HS">#REF!</definedName>
    <definedName name="PL_XO">#REF!</definedName>
    <definedName name="plac">#REF!</definedName>
    <definedName name="placct">#REF!</definedName>
    <definedName name="PLAN">#REF!</definedName>
    <definedName name="planfy">#REF!</definedName>
    <definedName name="PlanQties">#REF!</definedName>
    <definedName name="PlanRates">#REF!</definedName>
    <definedName name="PLANT___MACHINERY">#REF!</definedName>
    <definedName name="PLANT___MACHINERY__TESTING_EQUIPMENT_F.EQUIPMENT">#REF!</definedName>
    <definedName name="PlantCommissioningDate">#REF!</definedName>
    <definedName name="PlantSelect">INDEX(#REF!,#REF!)</definedName>
    <definedName name="PlanValues">#REF!</definedName>
    <definedName name="plastro_o_s31.03.02">#REF!</definedName>
    <definedName name="plastroRECO_RUPEE_31.03.02">#REF!</definedName>
    <definedName name="PLCepi">{#N/A,#N/A,FALSE,"REPORT"}</definedName>
    <definedName name="PLCepi_1">{#N/A,#N/A,FALSE,"REPORT"}</definedName>
    <definedName name="PLCepi_2">{#N/A,#N/A,FALSE,"REPORT"}</definedName>
    <definedName name="PLCepi_3">{#N/A,#N/A,FALSE,"REPORT"}</definedName>
    <definedName name="PLCepi_4">{#N/A,#N/A,FALSE,"REPORT"}</definedName>
    <definedName name="PLCepi_5">{#N/A,#N/A,FALSE,"REPORT"}</definedName>
    <definedName name="pliu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mnj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PL">#REF!</definedName>
    <definedName name="PLProcef">{#N/A,#N/A,FALSE,"REPORT"}</definedName>
    <definedName name="PLProcef_1">{#N/A,#N/A,FALSE,"REPORT"}</definedName>
    <definedName name="PLProcef_2">{#N/A,#N/A,FALSE,"REPORT"}</definedName>
    <definedName name="PLProcef_3">{#N/A,#N/A,FALSE,"REPORT"}</definedName>
    <definedName name="PLProcef_4">{#N/A,#N/A,FALSE,"REPORT"}</definedName>
    <definedName name="PLProcef_5">{#N/A,#N/A,FALSE,"REPORT"}</definedName>
    <definedName name="plsum">#REF!</definedName>
    <definedName name="PLTALLY">#REF!</definedName>
    <definedName name="PLTaxol">{#N/A,#N/A,FALSE,"REPORT"}</definedName>
    <definedName name="PLTaxol_1">{#N/A,#N/A,FALSE,"REPORT"}</definedName>
    <definedName name="PLTaxol_2">{#N/A,#N/A,FALSE,"REPORT"}</definedName>
    <definedName name="PLTaxol_3">{#N/A,#N/A,FALSE,"REPORT"}</definedName>
    <definedName name="PLTaxol_4">{#N/A,#N/A,FALSE,"REPORT"}</definedName>
    <definedName name="PLTaxol_5">{#N/A,#N/A,FALSE,"REPORT"}</definedName>
    <definedName name="PLTB">#REF!</definedName>
    <definedName name="pm">{#N/A,#N/A,FALSE,"UK";#N/A,#N/A,FALSE,"FR";#N/A,#N/A,FALSE,"SWE";#N/A,#N/A,FALSE,"BE";#N/A,#N/A,FALSE,"IT";#N/A,#N/A,FALSE,"SP";#N/A,#N/A,FALSE,"GE";#N/A,#N/A,FALSE,"PO";#N/A,#N/A,FALSE,"SWI";#N/A,#N/A,FALSE,"NON"}</definedName>
    <definedName name="PM_1">#REF!</definedName>
    <definedName name="PM_2">#REF!</definedName>
    <definedName name="pmc">{#N/A,#N/A,FALSE,"PMTABB";#N/A,#N/A,FALSE,"PMTABB"}</definedName>
    <definedName name="pmc_1">{#N/A,#N/A,FALSE,"PMTABB";#N/A,#N/A,FALSE,"PMTABB"}</definedName>
    <definedName name="pmc_2">{#N/A,#N/A,FALSE,"PMTABB";#N/A,#N/A,FALSE,"PMTABB"}</definedName>
    <definedName name="pmc_2_1">{#N/A,#N/A,FALSE,"PMTABB";#N/A,#N/A,FALSE,"PMTABB"}</definedName>
    <definedName name="pmc_2_2">{#N/A,#N/A,FALSE,"PMTABB";#N/A,#N/A,FALSE,"PMTABB"}</definedName>
    <definedName name="pmc_2_3">{#N/A,#N/A,FALSE,"PMTABB";#N/A,#N/A,FALSE,"PMTABB"}</definedName>
    <definedName name="pmc_2_4">{#N/A,#N/A,FALSE,"PMTABB";#N/A,#N/A,FALSE,"PMTABB"}</definedName>
    <definedName name="pmc_3">{#N/A,#N/A,FALSE,"PMTABB";#N/A,#N/A,FALSE,"PMTABB"}</definedName>
    <definedName name="pmc_3_1">{#N/A,#N/A,FALSE,"PMTABB";#N/A,#N/A,FALSE,"PMTABB"}</definedName>
    <definedName name="pmc_3_2">{#N/A,#N/A,FALSE,"PMTABB";#N/A,#N/A,FALSE,"PMTABB"}</definedName>
    <definedName name="pmc_3_3">{#N/A,#N/A,FALSE,"PMTABB";#N/A,#N/A,FALSE,"PMTABB"}</definedName>
    <definedName name="pmc_3_4">{#N/A,#N/A,FALSE,"PMTABB";#N/A,#N/A,FALSE,"PMTABB"}</definedName>
    <definedName name="pmc_4">{#N/A,#N/A,FALSE,"PMTABB";#N/A,#N/A,FALSE,"PMTABB"}</definedName>
    <definedName name="pmc_4_1">{#N/A,#N/A,FALSE,"PMTABB";#N/A,#N/A,FALSE,"PMTABB"}</definedName>
    <definedName name="pmc_4_2">{#N/A,#N/A,FALSE,"PMTABB";#N/A,#N/A,FALSE,"PMTABB"}</definedName>
    <definedName name="pmc_4_3">{#N/A,#N/A,FALSE,"PMTABB";#N/A,#N/A,FALSE,"PMTABB"}</definedName>
    <definedName name="pmc_4_4">{#N/A,#N/A,FALSE,"PMTABB";#N/A,#N/A,FALSE,"PMTABB"}</definedName>
    <definedName name="pmc_5">{#N/A,#N/A,FALSE,"PMTABB";#N/A,#N/A,FALSE,"PMTABB"}</definedName>
    <definedName name="pmcf">{#N/A,#N/A,FALSE,"PMTABB";#N/A,#N/A,FALSE,"PMTABB"}</definedName>
    <definedName name="pmcf_1">{#N/A,#N/A,FALSE,"PMTABB";#N/A,#N/A,FALSE,"PMTABB"}</definedName>
    <definedName name="pmcf_2">{#N/A,#N/A,FALSE,"PMTABB";#N/A,#N/A,FALSE,"PMTABB"}</definedName>
    <definedName name="pmcf_2_1">{#N/A,#N/A,FALSE,"PMTABB";#N/A,#N/A,FALSE,"PMTABB"}</definedName>
    <definedName name="pmcf_2_2">{#N/A,#N/A,FALSE,"PMTABB";#N/A,#N/A,FALSE,"PMTABB"}</definedName>
    <definedName name="pmcf_2_3">{#N/A,#N/A,FALSE,"PMTABB";#N/A,#N/A,FALSE,"PMTABB"}</definedName>
    <definedName name="pmcf_2_4">{#N/A,#N/A,FALSE,"PMTABB";#N/A,#N/A,FALSE,"PMTABB"}</definedName>
    <definedName name="pmcf_3">{#N/A,#N/A,FALSE,"PMTABB";#N/A,#N/A,FALSE,"PMTABB"}</definedName>
    <definedName name="pmcf_3_1">{#N/A,#N/A,FALSE,"PMTABB";#N/A,#N/A,FALSE,"PMTABB"}</definedName>
    <definedName name="pmcf_3_2">{#N/A,#N/A,FALSE,"PMTABB";#N/A,#N/A,FALSE,"PMTABB"}</definedName>
    <definedName name="pmcf_3_3">{#N/A,#N/A,FALSE,"PMTABB";#N/A,#N/A,FALSE,"PMTABB"}</definedName>
    <definedName name="pmcf_3_4">{#N/A,#N/A,FALSE,"PMTABB";#N/A,#N/A,FALSE,"PMTABB"}</definedName>
    <definedName name="pmcf_4">{#N/A,#N/A,FALSE,"PMTABB";#N/A,#N/A,FALSE,"PMTABB"}</definedName>
    <definedName name="pmcf_4_1">{#N/A,#N/A,FALSE,"PMTABB";#N/A,#N/A,FALSE,"PMTABB"}</definedName>
    <definedName name="pmcf_4_2">{#N/A,#N/A,FALSE,"PMTABB";#N/A,#N/A,FALSE,"PMTABB"}</definedName>
    <definedName name="pmcf_4_3">{#N/A,#N/A,FALSE,"PMTABB";#N/A,#N/A,FALSE,"PMTABB"}</definedName>
    <definedName name="pmcf_4_4">{#N/A,#N/A,FALSE,"PMTABB";#N/A,#N/A,FALSE,"PMTABB"}</definedName>
    <definedName name="pmcf_5">{#N/A,#N/A,FALSE,"PMTABB";#N/A,#N/A,FALSE,"PMTABB"}</definedName>
    <definedName name="PN_PA">#REF!</definedName>
    <definedName name="PN_VT">#REF!</definedName>
    <definedName name="Pnl">{#N/A,#N/A,FALSE,"Pharm";#N/A,#N/A,FALSE,"WWCM"}</definedName>
    <definedName name="Pnl_1">{#N/A,#N/A,FALSE,"Pharm";#N/A,#N/A,FALSE,"WWCM"}</definedName>
    <definedName name="Pnl_2">{#N/A,#N/A,FALSE,"Pharm";#N/A,#N/A,FALSE,"WWCM"}</definedName>
    <definedName name="Pnl_3">{#N/A,#N/A,FALSE,"Pharm";#N/A,#N/A,FALSE,"WWCM"}</definedName>
    <definedName name="Pnl_4">{#N/A,#N/A,FALSE,"Pharm";#N/A,#N/A,FALSE,"WWCM"}</definedName>
    <definedName name="Pnl_5">{#N/A,#N/A,FALSE,"Pharm";#N/A,#N/A,FALSE,"WWCM"}</definedName>
    <definedName name="PNL_MONTH">#REF!</definedName>
    <definedName name="PO_Link">#REF!</definedName>
    <definedName name="PoCInv">#REF!</definedName>
    <definedName name="PoCInvoices">#REF!</definedName>
    <definedName name="POFX97P">#REF!</definedName>
    <definedName name="poi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OK?ZEFIFVXVW">{#N/A,#N/A,FALSE,"Tabl. H1";#N/A,#N/A,FALSE,"Tabl. H2"}</definedName>
    <definedName name="POK?ZEFIFVXVW_1">{#N/A,#N/A,FALSE,"Tabl. H1";#N/A,#N/A,FALSE,"Tabl. H2"}</definedName>
    <definedName name="POK?ZEFIFVXVW_2">{#N/A,#N/A,FALSE,"Tabl. H1";#N/A,#N/A,FALSE,"Tabl. H2"}</definedName>
    <definedName name="POK?ZEFIFVXVW_3">{#N/A,#N/A,FALSE,"Tabl. H1";#N/A,#N/A,FALSE,"Tabl. H2"}</definedName>
    <definedName name="POK?ZEFIFVXVW_4">{#N/A,#N/A,FALSE,"Tabl. H1";#N/A,#N/A,FALSE,"Tabl. H2"}</definedName>
    <definedName name="POKALAPRASAD">#REF!</definedName>
    <definedName name="POLYTHENE_SHEETS">#REF!</definedName>
    <definedName name="PopCache_FA_MASS_ADDITIONS_ASSET_TYPE">#REF!</definedName>
    <definedName name="PopCache_FA_MASS_ADDITIONS_DEPRECIATE_FLAG">#REF!</definedName>
    <definedName name="PopCache_GL_INTERFACE_REFERENCE7">#REF!</definedName>
    <definedName name="porntip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port29">{#N/A,#N/A,FALSE,"Pharm";#N/A,#N/A,FALSE,"WWCM"}</definedName>
    <definedName name="port29_1">{#N/A,#N/A,FALSE,"Pharm";#N/A,#N/A,FALSE,"WWCM"}</definedName>
    <definedName name="port29_2">{#N/A,#N/A,FALSE,"Pharm";#N/A,#N/A,FALSE,"WWCM"}</definedName>
    <definedName name="port29_3">{#N/A,#N/A,FALSE,"Pharm";#N/A,#N/A,FALSE,"WWCM"}</definedName>
    <definedName name="port29_4">{#N/A,#N/A,FALSE,"Pharm";#N/A,#N/A,FALSE,"WWCM"}</definedName>
    <definedName name="port29_5">{#N/A,#N/A,FALSE,"Pharm";#N/A,#N/A,FALSE,"WWCM"}</definedName>
    <definedName name="POSTAGE">#REF!</definedName>
    <definedName name="Pounds">#REF!</definedName>
    <definedName name="POWARUDAY">#REF!</definedName>
    <definedName name="POWER">#REF!</definedName>
    <definedName name="POWERA">#REF!</definedName>
    <definedName name="pp">#REF!</definedName>
    <definedName name="PP_Company">#REF!</definedName>
    <definedName name="PP_CompanyName">#REF!</definedName>
    <definedName name="PP_Country">#REF!</definedName>
    <definedName name="PP_CountryName">#REF!</definedName>
    <definedName name="PP_Jahr">#REF!</definedName>
    <definedName name="PPBOH">#REF!</definedName>
    <definedName name="PPEOH">#REF!</definedName>
    <definedName name="ppp">{"detail",#N/A,FALSE,"Revenue Strat Plan"}</definedName>
    <definedName name="PPPP">{#N/A,#N/A,FALSE,"ISBL"}</definedName>
    <definedName name="PPPP_1">{#N/A,#N/A,FALSE,"ISBL"}</definedName>
    <definedName name="PPPP_1_1">{#N/A,#N/A,FALSE,"ISBL"}</definedName>
    <definedName name="PPPP_1_2">{#N/A,#N/A,FALSE,"ISBL"}</definedName>
    <definedName name="PPPP_1_3">{#N/A,#N/A,FALSE,"ISBL"}</definedName>
    <definedName name="PPPP_1_4">{#N/A,#N/A,FALSE,"ISBL"}</definedName>
    <definedName name="PPPP_2">{#N/A,#N/A,FALSE,"ISBL"}</definedName>
    <definedName name="PPPP_2_1">{#N/A,#N/A,FALSE,"ISBL"}</definedName>
    <definedName name="PPPP_2_2">{#N/A,#N/A,FALSE,"ISBL"}</definedName>
    <definedName name="PPPP_2_3">{#N/A,#N/A,FALSE,"ISBL"}</definedName>
    <definedName name="PPPP_2_4">{#N/A,#N/A,FALSE,"ISBL"}</definedName>
    <definedName name="PPPP_3">{#N/A,#N/A,FALSE,"ISBL"}</definedName>
    <definedName name="PPPP_3_1">{#N/A,#N/A,FALSE,"ISBL"}</definedName>
    <definedName name="PPPP_3_2">{#N/A,#N/A,FALSE,"ISBL"}</definedName>
    <definedName name="PPPP_3_3">{#N/A,#N/A,FALSE,"ISBL"}</definedName>
    <definedName name="PPPP_3_4">{#N/A,#N/A,FALSE,"ISBL"}</definedName>
    <definedName name="PPPP_4">{#N/A,#N/A,FALSE,"ISBL"}</definedName>
    <definedName name="PPPP_4_1">{#N/A,#N/A,FALSE,"ISBL"}</definedName>
    <definedName name="PPPP_4_2">{#N/A,#N/A,FALSE,"ISBL"}</definedName>
    <definedName name="PPPP_4_3">{#N/A,#N/A,FALSE,"ISBL"}</definedName>
    <definedName name="PPPP_4_4">{#N/A,#N/A,FALSE,"ISBL"}</definedName>
    <definedName name="PPPP_5">{#N/A,#N/A,FALSE,"ISBL"}</definedName>
    <definedName name="pprevissed">#REF!</definedName>
    <definedName name="pqr">{#N/A,#N/A,FALSE,"Tabl. A1";#N/A,#N/A,FALSE,"Tabl. A1 b";#N/A,#N/A,FALSE,"Tabl. A2";#N/A,#N/A,FALSE,"Tabl. A2-1";#N/A,#N/A,FALSE,"Tabl. A2-2"}</definedName>
    <definedName name="pqr_1">{#N/A,#N/A,FALSE,"Tabl. A1";#N/A,#N/A,FALSE,"Tabl. A1 b";#N/A,#N/A,FALSE,"Tabl. A2";#N/A,#N/A,FALSE,"Tabl. A2-1";#N/A,#N/A,FALSE,"Tabl. A2-2"}</definedName>
    <definedName name="pqr_2">{#N/A,#N/A,FALSE,"Tabl. A1";#N/A,#N/A,FALSE,"Tabl. A1 b";#N/A,#N/A,FALSE,"Tabl. A2";#N/A,#N/A,FALSE,"Tabl. A2-1";#N/A,#N/A,FALSE,"Tabl. A2-2"}</definedName>
    <definedName name="pqr_3">{#N/A,#N/A,FALSE,"Tabl. A1";#N/A,#N/A,FALSE,"Tabl. A1 b";#N/A,#N/A,FALSE,"Tabl. A2";#N/A,#N/A,FALSE,"Tabl. A2-1";#N/A,#N/A,FALSE,"Tabl. A2-2"}</definedName>
    <definedName name="pqr_4">{#N/A,#N/A,FALSE,"Tabl. A1";#N/A,#N/A,FALSE,"Tabl. A1 b";#N/A,#N/A,FALSE,"Tabl. A2";#N/A,#N/A,FALSE,"Tabl. A2-1";#N/A,#N/A,FALSE,"Tabl. A2-2"}</definedName>
    <definedName name="PR00BG01">{#N/A,#N/A,FALSE,"Tabl. D1";#N/A,#N/A,FALSE,"Tabl. D1 b";#N/A,#N/A,FALSE,"Tabl. D2";#N/A,#N/A,FALSE,"Tabl. D2 b";#N/A,#N/A,FALSE,"Tabl. D3";#N/A,#N/A,FALSE,"Tabl. D4";#N/A,#N/A,FALSE,"Tabl. D5"}</definedName>
    <definedName name="PR00BG01_1">{#N/A,#N/A,FALSE,"Tabl. D1";#N/A,#N/A,FALSE,"Tabl. D1 b";#N/A,#N/A,FALSE,"Tabl. D2";#N/A,#N/A,FALSE,"Tabl. D2 b";#N/A,#N/A,FALSE,"Tabl. D3";#N/A,#N/A,FALSE,"Tabl. D4";#N/A,#N/A,FALSE,"Tabl. D5"}</definedName>
    <definedName name="PR00BG01_2">{#N/A,#N/A,FALSE,"Tabl. D1";#N/A,#N/A,FALSE,"Tabl. D1 b";#N/A,#N/A,FALSE,"Tabl. D2";#N/A,#N/A,FALSE,"Tabl. D2 b";#N/A,#N/A,FALSE,"Tabl. D3";#N/A,#N/A,FALSE,"Tabl. D4";#N/A,#N/A,FALSE,"Tabl. D5"}</definedName>
    <definedName name="PR00BG01_3">{#N/A,#N/A,FALSE,"Tabl. D1";#N/A,#N/A,FALSE,"Tabl. D1 b";#N/A,#N/A,FALSE,"Tabl. D2";#N/A,#N/A,FALSE,"Tabl. D2 b";#N/A,#N/A,FALSE,"Tabl. D3";#N/A,#N/A,FALSE,"Tabl. D4";#N/A,#N/A,FALSE,"Tabl. D5"}</definedName>
    <definedName name="PR00BG01_4">{#N/A,#N/A,FALSE,"Tabl. D1";#N/A,#N/A,FALSE,"Tabl. D1 b";#N/A,#N/A,FALSE,"Tabl. D2";#N/A,#N/A,FALSE,"Tabl. D2 b";#N/A,#N/A,FALSE,"Tabl. D3";#N/A,#N/A,FALSE,"Tabl. D4";#N/A,#N/A,FALSE,"Tabl. D5"}</definedName>
    <definedName name="prabhanjanbsc">#REF!</definedName>
    <definedName name="prabhanjanconv">#REF!</definedName>
    <definedName name="prabhanjanded">#REF!</definedName>
    <definedName name="prabhanjanhra">#REF!</definedName>
    <definedName name="prabhanjanit">#REF!</definedName>
    <definedName name="prabhanjanmed">#REF!</definedName>
    <definedName name="prabhanjanpd">#REF!</definedName>
    <definedName name="prabhanjanpf">#REF!</definedName>
    <definedName name="prabhanjanpt">#REF!</definedName>
    <definedName name="prabhanjansaf">#REF!</definedName>
    <definedName name="prabhanjanspla">#REF!</definedName>
    <definedName name="PRADHANSANJAY">#REF!</definedName>
    <definedName name="prakash">{#N/A,#N/A,FALSE,"COMICRO";#N/A,#N/A,FALSE,"BALSCH";#N/A,#N/A,FALSE,"GLASS";#N/A,#N/A,FALSE,"DEPRE";#N/A,#N/A,FALSE,"A&amp;MCUR";#N/A,#N/A,FALSE,"AGEANAlysis";#N/A,#N/A,FALSE,"CHECKS";#N/A,#N/A,FALSE,"CHECKS"}</definedName>
    <definedName name="PRASHANTYPATIL">#REF!</definedName>
    <definedName name="pravin">#REF!</definedName>
    <definedName name="prc">{#N/A,#N/A,FALSE,"Cash Flows";#N/A,#N/A,FALSE,"Fixed Assets";#N/A,#N/A,FALSE,"Balance Sheet";#N/A,#N/A,FALSE,"P &amp; L"}</definedName>
    <definedName name="prc_1">{#N/A,#N/A,FALSE,"Cash Flows";#N/A,#N/A,FALSE,"Fixed Assets";#N/A,#N/A,FALSE,"Balance Sheet";#N/A,#N/A,FALSE,"P &amp; L"}</definedName>
    <definedName name="Prd.Cls">#REF!</definedName>
    <definedName name="Prd_Profit_Center">#REF!</definedName>
    <definedName name="PrDEPRI">#REF!</definedName>
    <definedName name="Pre_tax_materiality">#REF!</definedName>
    <definedName name="Preferred_Stock">#REF!</definedName>
    <definedName name="prel.">#REF!</definedName>
    <definedName name="PREMEXP">#REF!</definedName>
    <definedName name="PREPAID_EXPENSES">#REF!</definedName>
    <definedName name="Prepared">#REF!</definedName>
    <definedName name="prepay">{#N/A,#N/A,FALSE,"PMTABB";#N/A,#N/A,FALSE,"PMTABB"}</definedName>
    <definedName name="prepay_1">{#N/A,#N/A,FALSE,"PMTABB";#N/A,#N/A,FALSE,"PMTABB"}</definedName>
    <definedName name="prepay_2">{#N/A,#N/A,FALSE,"PMTABB";#N/A,#N/A,FALSE,"PMTABB"}</definedName>
    <definedName name="prepay_3">{#N/A,#N/A,FALSE,"PMTABB";#N/A,#N/A,FALSE,"PMTABB"}</definedName>
    <definedName name="prepay_4">{#N/A,#N/A,FALSE,"PMTABB";#N/A,#N/A,FALSE,"PMTABB"}</definedName>
    <definedName name="PRESENT_VALUE_DISCOUNT_ACCOUNT">"ㅣ"</definedName>
    <definedName name="presnt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Previous_Month">#REF!</definedName>
    <definedName name="prevyr_bytype">#REF!</definedName>
    <definedName name="PrfDmy">#REF!</definedName>
    <definedName name="Prfin">#REF!</definedName>
    <definedName name="PrfShSer">#REF!</definedName>
    <definedName name="prg">#REF!</definedName>
    <definedName name="Price">#REF!</definedName>
    <definedName name="Price_AsAt">#REF!</definedName>
    <definedName name="Price_Prim">#REF!</definedName>
    <definedName name="Price_Sec">#REF!</definedName>
    <definedName name="Price_Tert">#REF!</definedName>
    <definedName name="PriceRange">OFFSET(#REF!,5,0,COUNTA(#REF!)-COUNTA(#REF!),1)</definedName>
    <definedName name="PriceRangeMain">#REF!</definedName>
    <definedName name="Pricerelative_12Month">#REF!</definedName>
    <definedName name="PriceRelative_1Month">#REF!</definedName>
    <definedName name="PriceRelative_3Month">#REF!</definedName>
    <definedName name="Princ">#REF!</definedName>
    <definedName name="Print">"$#REF!.$A$1"</definedName>
    <definedName name="print.range.ff">#REF!</definedName>
    <definedName name="PRINT.RANGE.PL">#REF!</definedName>
    <definedName name="Print_1">#REF!</definedName>
    <definedName name="PRINT_2">#REF!</definedName>
    <definedName name="Print_Accounts_lacs">#REF!</definedName>
    <definedName name="Print_Accounts_lacs_20">#REF!</definedName>
    <definedName name="Print_Area_1">#REF!</definedName>
    <definedName name="Print_Area_2">#REF!</definedName>
    <definedName name="Print_Area_2_20">#REF!</definedName>
    <definedName name="Print_Area_3">#REF!</definedName>
    <definedName name="Print_Area_3_20">#REF!</definedName>
    <definedName name="Print_Area_5">#REF!</definedName>
    <definedName name="Print_Area_6">#REF!</definedName>
    <definedName name="Print_Area_MI">#REF!</definedName>
    <definedName name="Print_Area1">#REF!</definedName>
    <definedName name="Print_Area100">#REF!</definedName>
    <definedName name="PRINT_AREA12">#REF!</definedName>
    <definedName name="Print_Area2">#REF!</definedName>
    <definedName name="PRINT_AREA22">#REF!</definedName>
    <definedName name="Print_Button">#REF!</definedName>
    <definedName name="Print_Details">#REF!</definedName>
    <definedName name="Print_Details_20">#REF!</definedName>
    <definedName name="PRINT_JV">#REF!</definedName>
    <definedName name="PRINT_MENU">#REF!</definedName>
    <definedName name="PRINT_SCHED">#REF!</definedName>
    <definedName name="Print_Titles_MI">#REF!</definedName>
    <definedName name="PRINT1">#REF!</definedName>
    <definedName name="PRINT2">#REF!</definedName>
    <definedName name="PRINTA">#REF!</definedName>
    <definedName name="Printarea">#REF!</definedName>
    <definedName name="PrintAreaPrice">#REF!</definedName>
    <definedName name="PRINTB">#REF!</definedName>
    <definedName name="PRINTC">#REF!</definedName>
    <definedName name="PrintChart">#REF!</definedName>
    <definedName name="Printed_Accounts">#REF!</definedName>
    <definedName name="Printed_Accounts_20">#REF!</definedName>
    <definedName name="printfirstinstalment">#REF!</definedName>
    <definedName name="Printing">#REF!</definedName>
    <definedName name="PRINTING___STATIONERY">#REF!</definedName>
    <definedName name="PRINTING_OF_SALES_LIT.">#REF!</definedName>
    <definedName name="Prior">#REF!</definedName>
    <definedName name="Prior_Year_End">#REF!</definedName>
    <definedName name="PriorMonth2">{#N/A,#N/A,FALSE,"Income Branch ONLY"}</definedName>
    <definedName name="PriorMth">#REF!</definedName>
    <definedName name="prn">{#N/A,#N/A,FALSE,"Cash Flows";#N/A,#N/A,FALSE,"Fixed Assets";#N/A,#N/A,FALSE,"Balance Sheet";#N/A,#N/A,FALSE,"P &amp; L"}</definedName>
    <definedName name="prn_1">{#N/A,#N/A,FALSE,"Cash Flows";#N/A,#N/A,FALSE,"Fixed Assets";#N/A,#N/A,FALSE,"Balance Sheet";#N/A,#N/A,FALSE,"P &amp; L"}</definedName>
    <definedName name="prntpurchact">#REF!</definedName>
    <definedName name="Proactivenet">#REF!</definedName>
    <definedName name="Procef">{#N/A,#N/A,FALSE,"Pharm";#N/A,#N/A,FALSE,"WWCM"}</definedName>
    <definedName name="Procef_1">{#N/A,#N/A,FALSE,"Pharm";#N/A,#N/A,FALSE,"WWCM"}</definedName>
    <definedName name="Procef_2">{#N/A,#N/A,FALSE,"Pharm";#N/A,#N/A,FALSE,"WWCM"}</definedName>
    <definedName name="Procef_3">{#N/A,#N/A,FALSE,"Pharm";#N/A,#N/A,FALSE,"WWCM"}</definedName>
    <definedName name="Procef_4">{#N/A,#N/A,FALSE,"Pharm";#N/A,#N/A,FALSE,"WWCM"}</definedName>
    <definedName name="Procef_5">{#N/A,#N/A,FALSE,"Pharm";#N/A,#N/A,FALSE,"WWCM"}</definedName>
    <definedName name="process">{#N/A,#N/A,FALSE,"PMTABB";#N/A,#N/A,FALSE,"PMTABB"}</definedName>
    <definedName name="process_1">{#N/A,#N/A,FALSE,"PMTABB";#N/A,#N/A,FALSE,"PMTABB"}</definedName>
    <definedName name="process_2">{#N/A,#N/A,FALSE,"PMTABB";#N/A,#N/A,FALSE,"PMTABB"}</definedName>
    <definedName name="process_3">{#N/A,#N/A,FALSE,"PMTABB";#N/A,#N/A,FALSE,"PMTABB"}</definedName>
    <definedName name="process_4">{#N/A,#N/A,FALSE,"PMTABB";#N/A,#N/A,FALSE,"PMTABB"}</definedName>
    <definedName name="prod">{#N/A,#N/A,FALSE,"Pharm";#N/A,#N/A,FALSE,"WWCM"}</definedName>
    <definedName name="prod_1">{#N/A,#N/A,FALSE,"Pharm";#N/A,#N/A,FALSE,"WWCM"}</definedName>
    <definedName name="prod_2">{#N/A,#N/A,FALSE,"Pharm";#N/A,#N/A,FALSE,"WWCM"}</definedName>
    <definedName name="prod_3">{#N/A,#N/A,FALSE,"Pharm";#N/A,#N/A,FALSE,"WWCM"}</definedName>
    <definedName name="prod_4">{#N/A,#N/A,FALSE,"Pharm";#N/A,#N/A,FALSE,"WWCM"}</definedName>
    <definedName name="prod_5">{#N/A,#N/A,FALSE,"Pharm";#N/A,#N/A,FALSE,"WWCM"}</definedName>
    <definedName name="prod_grp">#REF!</definedName>
    <definedName name="ProdDiv">#REF!</definedName>
    <definedName name="ProdDmy">#REF!</definedName>
    <definedName name="ProdForm">#REF!</definedName>
    <definedName name="ProdFromPL">#REF!</definedName>
    <definedName name="ProdLvl1">#REF!</definedName>
    <definedName name="ProdLvl2">#REF!</definedName>
    <definedName name="ProdLvl3">#REF!</definedName>
    <definedName name="PRODP_L">#REF!</definedName>
    <definedName name="Product">#REF!</definedName>
    <definedName name="Production_Expenses___Misc">#REF!</definedName>
    <definedName name="ProductivityWith">#REF!</definedName>
    <definedName name="ProductivityWithout">#REF!</definedName>
    <definedName name="ProductPL">#REF!</definedName>
    <definedName name="ProdUnit">#REF!</definedName>
    <definedName name="Prof">#REF!</definedName>
    <definedName name="PROF.___CONSULTANCY">#REF!</definedName>
    <definedName name="ProfComm">#REF!</definedName>
    <definedName name="Professional">#REF!</definedName>
    <definedName name="PROFESSIONAL___LEGAL_CHARGES_INTERNAL_AUDIT_FES">#REF!</definedName>
    <definedName name="Professional_Fees___194J">#REF!</definedName>
    <definedName name="PROFIT">#REF!</definedName>
    <definedName name="Profit___loss_account">#REF!</definedName>
    <definedName name="PROFIT_BEFORE_TAX">#REF!</definedName>
    <definedName name="Profit_elimination">#REF!</definedName>
    <definedName name="profit_loss">#REF!</definedName>
    <definedName name="PROFIT_ON_SALE_OF_ASSET">#REF!</definedName>
    <definedName name="profit_plan_model__GUJARAT_APOLLO_EAST_List">#REF!</definedName>
    <definedName name="PROFIT_RECO">#REF!</definedName>
    <definedName name="PROFIT_RECO_2">#REF!</definedName>
    <definedName name="profitftp">#REF!</definedName>
    <definedName name="PROFITLOSSGROUPING">#REF!</definedName>
    <definedName name="PROFQ">#REF!</definedName>
    <definedName name="ProImportExport.ImportFile">#REF!</definedName>
    <definedName name="ProImportExport.SaveNewFile">#REF!</definedName>
    <definedName name="proj">#REF!</definedName>
    <definedName name="proj9798">#REF!</definedName>
    <definedName name="proj9900">#REF!</definedName>
    <definedName name="PROJCATEGORY">#REF!</definedName>
    <definedName name="Project">#REF!</definedName>
    <definedName name="ProjectName">#REF!</definedName>
    <definedName name="PROJTITLE">#REF!</definedName>
    <definedName name="PROLOSS">#REF!</definedName>
    <definedName name="PROPOSAL">#REF!</definedName>
    <definedName name="prov">#REF!</definedName>
    <definedName name="PROV._FOR_DOUBTFUL_DEBTS">#REF!</definedName>
    <definedName name="Prov_Lu">#REF!</definedName>
    <definedName name="Prov_VB">#REF!</definedName>
    <definedName name="provi">{#N/A,#N/A,FALSE,"Income State.";#N/A,#N/A,FALSE,"B-S"}</definedName>
    <definedName name="provision">{#N/A,#N/A,FALSE,"Cash Flows";#N/A,#N/A,FALSE,"Fixed Assets";#N/A,#N/A,FALSE,"Balance Sheet";#N/A,#N/A,FALSE,"P &amp; L"}</definedName>
    <definedName name="PROVISION___LEAVE_ENCASHMENT">#REF!</definedName>
    <definedName name="PROVISION___WARRANTY_COST">#REF!</definedName>
    <definedName name="PROVISION_FOR_EXCISE_LIABILITY">#REF!</definedName>
    <definedName name="PROVISION_FOR_INCOME_TAX__CR">#REF!</definedName>
    <definedName name="PROVISION_FOR_INCOME_TAX__DR">#REF!</definedName>
    <definedName name="Provision2">{"plansummary",#N/A,FALSE,"PlanSummary";"sales",#N/A,FALSE,"Sales Rec";"productivity",#N/A,FALSE,"Productivity Rec";"capitalspending",#N/A,FALSE,"Capital Spending"}</definedName>
    <definedName name="Provision2_1">{"plansummary",#N/A,FALSE,"PlanSummary";"sales",#N/A,FALSE,"Sales Rec";"productivity",#N/A,FALSE,"Productivity Rec";"capitalspending",#N/A,FALSE,"Capital Spending"}</definedName>
    <definedName name="Provision2_2">{"plansummary",#N/A,FALSE,"PlanSummary";"sales",#N/A,FALSE,"Sales Rec";"productivity",#N/A,FALSE,"Productivity Rec";"capitalspending",#N/A,FALSE,"Capital Spending"}</definedName>
    <definedName name="Provision2_3">{"plansummary",#N/A,FALSE,"PlanSummary";"sales",#N/A,FALSE,"Sales Rec";"productivity",#N/A,FALSE,"Productivity Rec";"capitalspending",#N/A,FALSE,"Capital Spending"}</definedName>
    <definedName name="provisionactualizada">{#N/A,#N/A,FALSE,"Income State.";#N/A,#N/A,FALSE,"B-S"}</definedName>
    <definedName name="Provisions">#REF!</definedName>
    <definedName name="PrsExpSer">#REF!</definedName>
    <definedName name="pru_icic_cash">#REF!</definedName>
    <definedName name="Prudential_ICICI">#REF!</definedName>
    <definedName name="PrYears">#REF!</definedName>
    <definedName name="PS">#REF!</definedName>
    <definedName name="pss">{#N/A,#N/A,FALSE,"COMICRO";#N/A,#N/A,FALSE,"BALSCH";#N/A,#N/A,FALSE,"GLASS";#N/A,#N/A,FALSE,"DEPRE";#N/A,#N/A,FALSE,"A&amp;MCUR";#N/A,#N/A,FALSE,"AGEANAlysis";#N/A,#N/A,FALSE,"CHECKS";#N/A,#N/A,FALSE,"CHECKS"}</definedName>
    <definedName name="pssq">{#N/A,#N/A,FALSE,"COMICRO";#N/A,#N/A,FALSE,"BALSCH";#N/A,#N/A,FALSE,"GLASS";#N/A,#N/A,FALSE,"DEPRE";#N/A,#N/A,FALSE,"A&amp;MCUR";#N/A,#N/A,FALSE,"AGEANAlysis";#N/A,#N/A,FALSE,"CHECKS";#N/A,#N/A,FALSE,"CHECKS"}</definedName>
    <definedName name="pt">{#N/A,#N/A,FALSE,"UK";#N/A,#N/A,FALSE,"FR";#N/A,#N/A,FALSE,"SWE";#N/A,#N/A,FALSE,"BE";#N/A,#N/A,FALSE,"IT";#N/A,#N/A,FALSE,"SP";#N/A,#N/A,FALSE,"GE";#N/A,#N/A,FALSE,"PO";#N/A,#N/A,FALSE,"SWI";#N/A,#N/A,FALSE,"NON"}</definedName>
    <definedName name="PT_Duong">#REF!</definedName>
    <definedName name="PTD_Aggregation">#REF!</definedName>
    <definedName name="PTD_Function">#REF!</definedName>
    <definedName name="ptdg">#REF!</definedName>
    <definedName name="PTDG_cau">#REF!</definedName>
    <definedName name="ptdg_cong">#REF!</definedName>
    <definedName name="ptdg_duong">#REF!</definedName>
    <definedName name="PUB_FileID">"L10004431.xls"</definedName>
    <definedName name="PUB_UserID">"MAYERX"</definedName>
    <definedName name="Publish_From">#REF!</definedName>
    <definedName name="Publish_Until">#REF!</definedName>
    <definedName name="puiouiyyrrt">{#N/A,#N/A,FALSE,"Income Branch ONLY"}</definedName>
    <definedName name="PUR">#REF!</definedName>
    <definedName name="PUR.QTY">#REF!</definedName>
    <definedName name="PUR.VALUE">#REF!</definedName>
    <definedName name="PURCHASE">#REF!</definedName>
    <definedName name="PURCHASEPRICE">#REF!</definedName>
    <definedName name="PURCHASES___FILTER">#REF!</definedName>
    <definedName name="PURCHASES___FILTER___IMPORT">#REF!</definedName>
    <definedName name="PURCHASES__AMIAD_COMPONENT">#REF!</definedName>
    <definedName name="PURCHASES__COMPO.OTHERS">#REF!</definedName>
    <definedName name="PURCHASES__COMPONENT_BERMAD">#REF!</definedName>
    <definedName name="PURCHASES__COMPONENT_PLASSON">#REF!</definedName>
    <definedName name="PURCHASES__DERLINE">#REF!</definedName>
    <definedName name="PURCHASES__EVA">#REF!</definedName>
    <definedName name="PURCHASES__FITTI.___ACCES">#REF!</definedName>
    <definedName name="PURCHASES__GFPP____GI_FITTINGS">#REF!</definedName>
    <definedName name="PURCHASES__HDPE">#REF!</definedName>
    <definedName name="PURCHASES__HDPE__IMPORT">#REF!</definedName>
    <definedName name="PURCHASES__HYDROGOAL_DRIPPERS">#REF!</definedName>
    <definedName name="PURCHASES__LATERALS">#REF!</definedName>
    <definedName name="PURCHASES__LDPE__IMPORT">#REF!</definedName>
    <definedName name="PURCHASES__LDPE__LOCAL">#REF!</definedName>
    <definedName name="PURCHASES__LLDPE__IMPORT">#REF!</definedName>
    <definedName name="PURCHASES__LLDPE__LOCAL">#REF!</definedName>
    <definedName name="PURCHASES__LOCAL_COMPONENT">#REF!</definedName>
    <definedName name="PURCHASES__MASTERBATCH___M.B.">#REF!</definedName>
    <definedName name="PURCHASES__PLASTRO_COMPONENT">#REF!</definedName>
    <definedName name="PURCHASES__POLYESTER_CHIPS">#REF!</definedName>
    <definedName name="PURCHASES__POLYPROPELENE">#REF!</definedName>
    <definedName name="PURCHASES__PROCESS_AID">#REF!</definedName>
    <definedName name="PURCHASES__PVC_PIPES">#REF!</definedName>
    <definedName name="PURCHASES_COMPONENTS_IMPORT">#REF!</definedName>
    <definedName name="PURCHASES_P.B.T._CRASTIN">#REF!</definedName>
    <definedName name="PURCHASES_POLYCETAL">#REF!</definedName>
    <definedName name="PWHT">#REF!</definedName>
    <definedName name="PY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ZO">{#N/A,#N/A,FALSE,"Tabl. D1";#N/A,#N/A,FALSE,"Tabl. D1 b";#N/A,#N/A,FALSE,"Tabl. D2";#N/A,#N/A,FALSE,"Tabl. D2 b";#N/A,#N/A,FALSE,"Tabl. D3";#N/A,#N/A,FALSE,"Tabl. D4";#N/A,#N/A,FALSE,"Tabl. D5"}</definedName>
    <definedName name="PZO_1">{#N/A,#N/A,FALSE,"Tabl. D1";#N/A,#N/A,FALSE,"Tabl. D1 b";#N/A,#N/A,FALSE,"Tabl. D2";#N/A,#N/A,FALSE,"Tabl. D2 b";#N/A,#N/A,FALSE,"Tabl. D3";#N/A,#N/A,FALSE,"Tabl. D4";#N/A,#N/A,FALSE,"Tabl. D5"}</definedName>
    <definedName name="PZO_2">{#N/A,#N/A,FALSE,"Tabl. D1";#N/A,#N/A,FALSE,"Tabl. D1 b";#N/A,#N/A,FALSE,"Tabl. D2";#N/A,#N/A,FALSE,"Tabl. D2 b";#N/A,#N/A,FALSE,"Tabl. D3";#N/A,#N/A,FALSE,"Tabl. D4";#N/A,#N/A,FALSE,"Tabl. D5"}</definedName>
    <definedName name="PZO_3">{#N/A,#N/A,FALSE,"Tabl. D1";#N/A,#N/A,FALSE,"Tabl. D1 b";#N/A,#N/A,FALSE,"Tabl. D2";#N/A,#N/A,FALSE,"Tabl. D2 b";#N/A,#N/A,FALSE,"Tabl. D3";#N/A,#N/A,FALSE,"Tabl. D4";#N/A,#N/A,FALSE,"Tabl. D5"}</definedName>
    <definedName name="PZO_4">{#N/A,#N/A,FALSE,"Tabl. D1";#N/A,#N/A,FALSE,"Tabl. D1 b";#N/A,#N/A,FALSE,"Tabl. D2";#N/A,#N/A,FALSE,"Tabl. D2 b";#N/A,#N/A,FALSE,"Tabl. D3";#N/A,#N/A,FALSE,"Tabl. D4";#N/A,#N/A,FALSE,"Tabl. D5"}</definedName>
    <definedName name="q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5">{#N/A,#N/A,FALSE,"Balance Sheets";#N/A,#N/A,FALSE,"96 Conservative";#N/A,#N/A,FALSE,"96 Possible"}</definedName>
    <definedName name="Q_pcs_rej_year">#REF!</definedName>
    <definedName name="QA">#REF!</definedName>
    <definedName name="qaaasd">{#N/A,#N/A,TRUE,"Directors' Office"}</definedName>
    <definedName name="QAMT86106">#REF!</definedName>
    <definedName name="qaz">{#N/A,#N/A,FALSE,"Pharm";#N/A,#N/A,FALSE,"WWCM"}</definedName>
    <definedName name="qaz_1">{#N/A,#N/A,FALSE,"Pharm";#N/A,#N/A,FALSE,"WWCM"}</definedName>
    <definedName name="qaz_2">{#N/A,#N/A,FALSE,"Pharm";#N/A,#N/A,FALSE,"WWCM"}</definedName>
    <definedName name="qaz_3">{#N/A,#N/A,FALSE,"Pharm";#N/A,#N/A,FALSE,"WWCM"}</definedName>
    <definedName name="qaz_4">{#N/A,#N/A,FALSE,"Pharm";#N/A,#N/A,FALSE,"WWCM"}</definedName>
    <definedName name="qaz_5">{#N/A,#N/A,FALSE,"Pharm";#N/A,#N/A,FALSE,"WWCM"}</definedName>
    <definedName name="qeqqwq">{#N/A,#N/A,FALSE,"Assets"}</definedName>
    <definedName name="qertweyu">{#N/A,#N/A,FALSE,"REPORT"}</definedName>
    <definedName name="qertweyu_1">{#N/A,#N/A,FALSE,"REPORT"}</definedName>
    <definedName name="qertweyu_2">{#N/A,#N/A,FALSE,"REPORT"}</definedName>
    <definedName name="qertweyu_3">{#N/A,#N/A,FALSE,"REPORT"}</definedName>
    <definedName name="qertweyu_4">{#N/A,#N/A,FALSE,"REPORT"}</definedName>
    <definedName name="qertweyu_5">{#N/A,#N/A,FALSE,"REPORT"}</definedName>
    <definedName name="qetryywt">{#N/A,#N/A,FALSE,"REPORT"}</definedName>
    <definedName name="qetryywt_1">{#N/A,#N/A,FALSE,"REPORT"}</definedName>
    <definedName name="qetryywt_2">{#N/A,#N/A,FALSE,"REPORT"}</definedName>
    <definedName name="qetryywt_3">{#N/A,#N/A,FALSE,"REPORT"}</definedName>
    <definedName name="qetryywt_4">{#N/A,#N/A,FALSE,"REPORT"}</definedName>
    <definedName name="qetryywt_5">{#N/A,#N/A,FALSE,"REPORT"}</definedName>
    <definedName name="qewqeqwerq">{#N/A,#N/A,FALSE,"Cash Flows";#N/A,#N/A,FALSE,"Fixed Assets";#N/A,#N/A,FALSE,"Balance Sheet";#N/A,#N/A,FALSE,"P &amp; L"}</definedName>
    <definedName name="qewqeqwerq_1">{#N/A,#N/A,FALSE,"Cash Flows";#N/A,#N/A,FALSE,"Fixed Assets";#N/A,#N/A,FALSE,"Balance Sheet";#N/A,#N/A,FALSE,"P &amp; L"}</definedName>
    <definedName name="qgfqerg">{#N/A,#N/A,FALSE,"PMTABB";#N/A,#N/A,FALSE,"PMTABB"}</definedName>
    <definedName name="qgfqerg_1">{#N/A,#N/A,FALSE,"PMTABB";#N/A,#N/A,FALSE,"PMTABB"}</definedName>
    <definedName name="qgfqerg_1_1">{#N/A,#N/A,FALSE,"PMTABB";#N/A,#N/A,FALSE,"PMTABB"}</definedName>
    <definedName name="qgfqerg_1_2">{#N/A,#N/A,FALSE,"PMTABB";#N/A,#N/A,FALSE,"PMTABB"}</definedName>
    <definedName name="qgfqerg_1_3">{#N/A,#N/A,FALSE,"PMTABB";#N/A,#N/A,FALSE,"PMTABB"}</definedName>
    <definedName name="qgfqerg_1_4">{#N/A,#N/A,FALSE,"PMTABB";#N/A,#N/A,FALSE,"PMTABB"}</definedName>
    <definedName name="qgfqerg_2">{#N/A,#N/A,FALSE,"PMTABB";#N/A,#N/A,FALSE,"PMTABB"}</definedName>
    <definedName name="qgfqerg_2_1">{#N/A,#N/A,FALSE,"PMTABB";#N/A,#N/A,FALSE,"PMTABB"}</definedName>
    <definedName name="qgfqerg_2_2">{#N/A,#N/A,FALSE,"PMTABB";#N/A,#N/A,FALSE,"PMTABB"}</definedName>
    <definedName name="qgfqerg_2_3">{#N/A,#N/A,FALSE,"PMTABB";#N/A,#N/A,FALSE,"PMTABB"}</definedName>
    <definedName name="qgfqerg_2_4">{#N/A,#N/A,FALSE,"PMTABB";#N/A,#N/A,FALSE,"PMTABB"}</definedName>
    <definedName name="qgfqerg_3">{#N/A,#N/A,FALSE,"PMTABB";#N/A,#N/A,FALSE,"PMTABB"}</definedName>
    <definedName name="qgfqerg_3_1">{#N/A,#N/A,FALSE,"PMTABB";#N/A,#N/A,FALSE,"PMTABB"}</definedName>
    <definedName name="qgfqerg_3_2">{#N/A,#N/A,FALSE,"PMTABB";#N/A,#N/A,FALSE,"PMTABB"}</definedName>
    <definedName name="qgfqerg_3_3">{#N/A,#N/A,FALSE,"PMTABB";#N/A,#N/A,FALSE,"PMTABB"}</definedName>
    <definedName name="qgfqerg_3_4">{#N/A,#N/A,FALSE,"PMTABB";#N/A,#N/A,FALSE,"PMTABB"}</definedName>
    <definedName name="qgfqerg_4">{#N/A,#N/A,FALSE,"PMTABB";#N/A,#N/A,FALSE,"PMTABB"}</definedName>
    <definedName name="qgfqerg_4_1">{#N/A,#N/A,FALSE,"PMTABB";#N/A,#N/A,FALSE,"PMTABB"}</definedName>
    <definedName name="qgfqerg_4_2">{#N/A,#N/A,FALSE,"PMTABB";#N/A,#N/A,FALSE,"PMTABB"}</definedName>
    <definedName name="qgfqerg_4_3">{#N/A,#N/A,FALSE,"PMTABB";#N/A,#N/A,FALSE,"PMTABB"}</definedName>
    <definedName name="qgfqerg_4_4">{#N/A,#N/A,FALSE,"PMTABB";#N/A,#N/A,FALSE,"PMTABB"}</definedName>
    <definedName name="qgfqerg_5">{#N/A,#N/A,FALSE,"PMTABB";#N/A,#N/A,FALSE,"PMTABB"}</definedName>
    <definedName name="QQ">{#N/A,#N/A,FALSE,"PMTABB";#N/A,#N/A,FALSE,"PMTABB"}</definedName>
    <definedName name="QQ_1">{#N/A,#N/A,FALSE,"PMTABB";#N/A,#N/A,FALSE,"PMTABB"}</definedName>
    <definedName name="QQ_1_1">{#N/A,#N/A,FALSE,"PMTABB";#N/A,#N/A,FALSE,"PMTABB"}</definedName>
    <definedName name="QQ_1_2">{#N/A,#N/A,FALSE,"PMTABB";#N/A,#N/A,FALSE,"PMTABB"}</definedName>
    <definedName name="QQ_1_3">{#N/A,#N/A,FALSE,"PMTABB";#N/A,#N/A,FALSE,"PMTABB"}</definedName>
    <definedName name="QQ_1_4">{#N/A,#N/A,FALSE,"PMTABB";#N/A,#N/A,FALSE,"PMTABB"}</definedName>
    <definedName name="QQ_2">{#N/A,#N/A,FALSE,"PMTABB";#N/A,#N/A,FALSE,"PMTABB"}</definedName>
    <definedName name="QQ_2_1">{#N/A,#N/A,FALSE,"PMTABB";#N/A,#N/A,FALSE,"PMTABB"}</definedName>
    <definedName name="QQ_2_2">{#N/A,#N/A,FALSE,"PMTABB";#N/A,#N/A,FALSE,"PMTABB"}</definedName>
    <definedName name="QQ_2_3">{#N/A,#N/A,FALSE,"PMTABB";#N/A,#N/A,FALSE,"PMTABB"}</definedName>
    <definedName name="QQ_2_4">{#N/A,#N/A,FALSE,"PMTABB";#N/A,#N/A,FALSE,"PMTABB"}</definedName>
    <definedName name="QQ_3">{#N/A,#N/A,FALSE,"PMTABB";#N/A,#N/A,FALSE,"PMTABB"}</definedName>
    <definedName name="QQ_3_1">{#N/A,#N/A,FALSE,"PMTABB";#N/A,#N/A,FALSE,"PMTABB"}</definedName>
    <definedName name="QQ_3_2">{#N/A,#N/A,FALSE,"PMTABB";#N/A,#N/A,FALSE,"PMTABB"}</definedName>
    <definedName name="QQ_3_3">{#N/A,#N/A,FALSE,"PMTABB";#N/A,#N/A,FALSE,"PMTABB"}</definedName>
    <definedName name="QQ_3_4">{#N/A,#N/A,FALSE,"PMTABB";#N/A,#N/A,FALSE,"PMTABB"}</definedName>
    <definedName name="QQ_4">{#N/A,#N/A,FALSE,"PMTABB";#N/A,#N/A,FALSE,"PMTABB"}</definedName>
    <definedName name="QQ_4_1">{#N/A,#N/A,FALSE,"PMTABB";#N/A,#N/A,FALSE,"PMTABB"}</definedName>
    <definedName name="QQ_4_2">{#N/A,#N/A,FALSE,"PMTABB";#N/A,#N/A,FALSE,"PMTABB"}</definedName>
    <definedName name="QQ_4_3">{#N/A,#N/A,FALSE,"PMTABB";#N/A,#N/A,FALSE,"PMTABB"}</definedName>
    <definedName name="QQ_4_4">{#N/A,#N/A,FALSE,"PMTABB";#N/A,#N/A,FALSE,"PMTABB"}</definedName>
    <definedName name="QQ_5">{#N/A,#N/A,FALSE,"PMTABB";#N/A,#N/A,FALSE,"PMTABB"}</definedName>
    <definedName name="qqq">{#N/A,#N/A,FALSE,"Pharm";#N/A,#N/A,FALSE,"WWCM"}</definedName>
    <definedName name="QQQ_1">{#N/A,#N/A,FALSE,"PMTABB";#N/A,#N/A,FALSE,"PMTABB"}</definedName>
    <definedName name="QQQ_1_1">{#N/A,#N/A,FALSE,"PMTABB";#N/A,#N/A,FALSE,"PMTABB"}</definedName>
    <definedName name="QQQ_1_2">{#N/A,#N/A,FALSE,"PMTABB";#N/A,#N/A,FALSE,"PMTABB"}</definedName>
    <definedName name="QQQ_1_3">{#N/A,#N/A,FALSE,"PMTABB";#N/A,#N/A,FALSE,"PMTABB"}</definedName>
    <definedName name="QQQ_1_4">{#N/A,#N/A,FALSE,"PMTABB";#N/A,#N/A,FALSE,"PMTABB"}</definedName>
    <definedName name="QQQ_1_5">{#N/A,#N/A,FALSE,"PMTABB";#N/A,#N/A,FALSE,"PMTABB"}</definedName>
    <definedName name="QQQ_2">{#N/A,#N/A,FALSE,"PMTABB";#N/A,#N/A,FALSE,"PMTABB"}</definedName>
    <definedName name="QQQ_2_1">{#N/A,#N/A,FALSE,"PMTABB";#N/A,#N/A,FALSE,"PMTABB"}</definedName>
    <definedName name="QQQ_2_2">{#N/A,#N/A,FALSE,"PMTABB";#N/A,#N/A,FALSE,"PMTABB"}</definedName>
    <definedName name="QQQ_2_3">{#N/A,#N/A,FALSE,"PMTABB";#N/A,#N/A,FALSE,"PMTABB"}</definedName>
    <definedName name="QQQ_2_4">{#N/A,#N/A,FALSE,"PMTABB";#N/A,#N/A,FALSE,"PMTABB"}</definedName>
    <definedName name="QQQ_3">{#N/A,#N/A,FALSE,"PMTABB";#N/A,#N/A,FALSE,"PMTABB"}</definedName>
    <definedName name="QQQ_3_1">{#N/A,#N/A,FALSE,"PMTABB";#N/A,#N/A,FALSE,"PMTABB"}</definedName>
    <definedName name="QQQ_3_2">{#N/A,#N/A,FALSE,"PMTABB";#N/A,#N/A,FALSE,"PMTABB"}</definedName>
    <definedName name="QQQ_3_3">{#N/A,#N/A,FALSE,"PMTABB";#N/A,#N/A,FALSE,"PMTABB"}</definedName>
    <definedName name="QQQ_3_4">{#N/A,#N/A,FALSE,"PMTABB";#N/A,#N/A,FALSE,"PMTABB"}</definedName>
    <definedName name="QQQ_4">{#N/A,#N/A,FALSE,"PMTABB";#N/A,#N/A,FALSE,"PMTABB"}</definedName>
    <definedName name="QQQ_4_1">{#N/A,#N/A,FALSE,"PMTABB";#N/A,#N/A,FALSE,"PMTABB"}</definedName>
    <definedName name="QQQ_4_2">{#N/A,#N/A,FALSE,"PMTABB";#N/A,#N/A,FALSE,"PMTABB"}</definedName>
    <definedName name="QQQ_4_3">{#N/A,#N/A,FALSE,"PMTABB";#N/A,#N/A,FALSE,"PMTABB"}</definedName>
    <definedName name="QQQ_4_4">{#N/A,#N/A,FALSE,"PMTABB";#N/A,#N/A,FALSE,"PMTABB"}</definedName>
    <definedName name="qqq_5">{#N/A,#N/A,FALSE,"Pharm";#N/A,#N/A,FALSE,"WWCM"}</definedName>
    <definedName name="QQQQ">{#N/A,#N/A,FALSE,"EW"}</definedName>
    <definedName name="QQQQ_1">{#N/A,#N/A,FALSE,"EW"}</definedName>
    <definedName name="QQQQ_1_1">{#N/A,#N/A,FALSE,"EW"}</definedName>
    <definedName name="QQQQ_1_2">{#N/A,#N/A,FALSE,"EW"}</definedName>
    <definedName name="QQQQ_1_3">{#N/A,#N/A,FALSE,"EW"}</definedName>
    <definedName name="QQQQ_1_4">{#N/A,#N/A,FALSE,"EW"}</definedName>
    <definedName name="QQQQ_2">{#N/A,#N/A,FALSE,"EW"}</definedName>
    <definedName name="QQQQ_2_1">{#N/A,#N/A,FALSE,"EW"}</definedName>
    <definedName name="QQQQ_2_2">{#N/A,#N/A,FALSE,"EW"}</definedName>
    <definedName name="QQQQ_2_3">{#N/A,#N/A,FALSE,"EW"}</definedName>
    <definedName name="QQQQ_2_4">{#N/A,#N/A,FALSE,"EW"}</definedName>
    <definedName name="QQQQ_3">{#N/A,#N/A,FALSE,"EW"}</definedName>
    <definedName name="QQQQ_3_1">{#N/A,#N/A,FALSE,"EW"}</definedName>
    <definedName name="QQQQ_3_2">{#N/A,#N/A,FALSE,"EW"}</definedName>
    <definedName name="QQQQ_3_3">{#N/A,#N/A,FALSE,"EW"}</definedName>
    <definedName name="QQQQ_3_4">{#N/A,#N/A,FALSE,"EW"}</definedName>
    <definedName name="QQQQ_4">{#N/A,#N/A,FALSE,"EW"}</definedName>
    <definedName name="QQQQ_4_1">{#N/A,#N/A,FALSE,"EW"}</definedName>
    <definedName name="QQQQ_4_2">{#N/A,#N/A,FALSE,"EW"}</definedName>
    <definedName name="QQQQ_4_3">{#N/A,#N/A,FALSE,"EW"}</definedName>
    <definedName name="QQQQ_4_4">{#N/A,#N/A,FALSE,"EW"}</definedName>
    <definedName name="QQQQ_5">{#N/A,#N/A,FALSE,"EW"}</definedName>
    <definedName name="qqqqqqqqqqq">#REF!</definedName>
    <definedName name="qqqqqqqqqqqqqqqqqqqqqqq">#REF!</definedName>
    <definedName name="qqqwww">{#N/A,#N/A,FALSE,"Income Branch ONLY"}</definedName>
    <definedName name="qqwtweryey">{#N/A,#N/A,FALSE,"REPORT"}</definedName>
    <definedName name="qqwtweryey_1">{#N/A,#N/A,FALSE,"REPORT"}</definedName>
    <definedName name="qqwtweryey_2">{#N/A,#N/A,FALSE,"REPORT"}</definedName>
    <definedName name="qqwtweryey_3">{#N/A,#N/A,FALSE,"REPORT"}</definedName>
    <definedName name="qqwtweryey_4">{#N/A,#N/A,FALSE,"REPORT"}</definedName>
    <definedName name="qqwtweryey_5">{#N/A,#N/A,FALSE,"REPORT"}</definedName>
    <definedName name="QRABOH">#REF!</definedName>
    <definedName name="QRAEOH">#REF!</definedName>
    <definedName name="qrtanal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qryReportLevel3">#REF!</definedName>
    <definedName name="qt">{"'Sheet1'!$L$16"}</definedName>
    <definedName name="qtdm">#REF!</definedName>
    <definedName name="qtract">#REF!</definedName>
    <definedName name="qtract2">#REF!</definedName>
    <definedName name="qtrplan">#REF!</definedName>
    <definedName name="QTY_DETAIL_1">#REF!</definedName>
    <definedName name="QTY_DETAIL_2">#REF!</definedName>
    <definedName name="Quarter1">#REF!</definedName>
    <definedName name="Quarter2">#REF!</definedName>
    <definedName name="Quarter3">#REF!</definedName>
    <definedName name="Quarter4">#REF!</definedName>
    <definedName name="Quarters">#REF!</definedName>
    <definedName name="Query1">#REF!</definedName>
    <definedName name="Queue">#REF!</definedName>
    <definedName name="qw">{#N/A,#N/A,FALSE,"REPORT"}</definedName>
    <definedName name="qw_1">{#N/A,#N/A,FALSE,"REPORT"}</definedName>
    <definedName name="qw_2">{#N/A,#N/A,FALSE,"REPORT"}</definedName>
    <definedName name="qw_3">{#N/A,#N/A,FALSE,"REPORT"}</definedName>
    <definedName name="qw_4">{#N/A,#N/A,FALSE,"REPORT"}</definedName>
    <definedName name="qw_5">{#N/A,#N/A,FALSE,"REPORT"}</definedName>
    <definedName name="QWE">#REF!</definedName>
    <definedName name="qwef">{#N/A,#N/A,FALSE,"EW"}</definedName>
    <definedName name="qwef_1">{#N/A,#N/A,FALSE,"EW"}</definedName>
    <definedName name="qwef_1_1">{#N/A,#N/A,FALSE,"EW"}</definedName>
    <definedName name="qwef_1_2">{#N/A,#N/A,FALSE,"EW"}</definedName>
    <definedName name="qwef_1_3">{#N/A,#N/A,FALSE,"EW"}</definedName>
    <definedName name="qwef_1_4">{#N/A,#N/A,FALSE,"EW"}</definedName>
    <definedName name="qwef_2">{#N/A,#N/A,FALSE,"EW"}</definedName>
    <definedName name="qwef_2_1">{#N/A,#N/A,FALSE,"EW"}</definedName>
    <definedName name="qwef_2_2">{#N/A,#N/A,FALSE,"EW"}</definedName>
    <definedName name="qwef_2_3">{#N/A,#N/A,FALSE,"EW"}</definedName>
    <definedName name="qwef_2_4">{#N/A,#N/A,FALSE,"EW"}</definedName>
    <definedName name="qwef_3">{#N/A,#N/A,FALSE,"EW"}</definedName>
    <definedName name="qwef_3_1">{#N/A,#N/A,FALSE,"EW"}</definedName>
    <definedName name="qwef_3_2">{#N/A,#N/A,FALSE,"EW"}</definedName>
    <definedName name="qwef_3_3">{#N/A,#N/A,FALSE,"EW"}</definedName>
    <definedName name="qwef_3_4">{#N/A,#N/A,FALSE,"EW"}</definedName>
    <definedName name="qwef_4">{#N/A,#N/A,FALSE,"EW"}</definedName>
    <definedName name="qwef_4_1">{#N/A,#N/A,FALSE,"EW"}</definedName>
    <definedName name="qwef_4_2">{#N/A,#N/A,FALSE,"EW"}</definedName>
    <definedName name="qwef_4_3">{#N/A,#N/A,FALSE,"EW"}</definedName>
    <definedName name="qwef_4_4">{#N/A,#N/A,FALSE,"EW"}</definedName>
    <definedName name="qwef_5">{#N/A,#N/A,FALSE,"EW"}</definedName>
    <definedName name="QWER">{#N/A,#N/A,FALSE,"SUMMARY";#N/A,#N/A,FALSE,"SUMMARY"}</definedName>
    <definedName name="QWER_1">{#N/A,#N/A,FALSE,"SUMMARY";#N/A,#N/A,FALSE,"SUMMARY"}</definedName>
    <definedName name="QWER_1_1">{#N/A,#N/A,FALSE,"SUMMARY";#N/A,#N/A,FALSE,"SUMMARY"}</definedName>
    <definedName name="QWER_1_2">{#N/A,#N/A,FALSE,"SUMMARY";#N/A,#N/A,FALSE,"SUMMARY"}</definedName>
    <definedName name="QWER_1_3">{#N/A,#N/A,FALSE,"SUMMARY";#N/A,#N/A,FALSE,"SUMMARY"}</definedName>
    <definedName name="QWER_1_4">{#N/A,#N/A,FALSE,"SUMMARY";#N/A,#N/A,FALSE,"SUMMARY"}</definedName>
    <definedName name="QWER_2">{#N/A,#N/A,FALSE,"SUMMARY";#N/A,#N/A,FALSE,"SUMMARY"}</definedName>
    <definedName name="QWER_2_1">{#N/A,#N/A,FALSE,"SUMMARY";#N/A,#N/A,FALSE,"SUMMARY"}</definedName>
    <definedName name="QWER_2_2">{#N/A,#N/A,FALSE,"SUMMARY";#N/A,#N/A,FALSE,"SUMMARY"}</definedName>
    <definedName name="QWER_2_3">{#N/A,#N/A,FALSE,"SUMMARY";#N/A,#N/A,FALSE,"SUMMARY"}</definedName>
    <definedName name="QWER_2_4">{#N/A,#N/A,FALSE,"SUMMARY";#N/A,#N/A,FALSE,"SUMMARY"}</definedName>
    <definedName name="QWER_3">{#N/A,#N/A,FALSE,"SUMMARY";#N/A,#N/A,FALSE,"SUMMARY"}</definedName>
    <definedName name="QWER_3_1">{#N/A,#N/A,FALSE,"SUMMARY";#N/A,#N/A,FALSE,"SUMMARY"}</definedName>
    <definedName name="QWER_3_2">{#N/A,#N/A,FALSE,"SUMMARY";#N/A,#N/A,FALSE,"SUMMARY"}</definedName>
    <definedName name="QWER_3_3">{#N/A,#N/A,FALSE,"SUMMARY";#N/A,#N/A,FALSE,"SUMMARY"}</definedName>
    <definedName name="QWER_3_4">{#N/A,#N/A,FALSE,"SUMMARY";#N/A,#N/A,FALSE,"SUMMARY"}</definedName>
    <definedName name="QWER_4">{#N/A,#N/A,FALSE,"SUMMARY";#N/A,#N/A,FALSE,"SUMMARY"}</definedName>
    <definedName name="QWER_4_1">{#N/A,#N/A,FALSE,"SUMMARY";#N/A,#N/A,FALSE,"SUMMARY"}</definedName>
    <definedName name="QWER_4_2">{#N/A,#N/A,FALSE,"SUMMARY";#N/A,#N/A,FALSE,"SUMMARY"}</definedName>
    <definedName name="QWER_4_3">{#N/A,#N/A,FALSE,"SUMMARY";#N/A,#N/A,FALSE,"SUMMARY"}</definedName>
    <definedName name="QWER_4_4">{#N/A,#N/A,FALSE,"SUMMARY";#N/A,#N/A,FALSE,"SUMMARY"}</definedName>
    <definedName name="QWER_5">{#N/A,#N/A,FALSE,"SUMMARY";#N/A,#N/A,FALSE,"SUMMARY"}</definedName>
    <definedName name="qwertqry">{#N/A,#N/A,FALSE,"REPORT"}</definedName>
    <definedName name="qwertqry_1">{#N/A,#N/A,FALSE,"REPORT"}</definedName>
    <definedName name="qwertqry_2">{#N/A,#N/A,FALSE,"REPORT"}</definedName>
    <definedName name="qwertqry_3">{#N/A,#N/A,FALSE,"REPORT"}</definedName>
    <definedName name="qwertqry_4">{#N/A,#N/A,FALSE,"REPORT"}</definedName>
    <definedName name="qwertqry_5">{#N/A,#N/A,FALSE,"REPORT"}</definedName>
    <definedName name="qwetqryetytu">{#N/A,#N/A,FALSE,"Pharm";#N/A,#N/A,FALSE,"WWCM"}</definedName>
    <definedName name="qwetqryetytu_1">{#N/A,#N/A,FALSE,"Pharm";#N/A,#N/A,FALSE,"WWCM"}</definedName>
    <definedName name="qwetqryetytu_2">{#N/A,#N/A,FALSE,"Pharm";#N/A,#N/A,FALSE,"WWCM"}</definedName>
    <definedName name="qwetqryetytu_3">{#N/A,#N/A,FALSE,"Pharm";#N/A,#N/A,FALSE,"WWCM"}</definedName>
    <definedName name="qwetqryetytu_4">{#N/A,#N/A,FALSE,"Pharm";#N/A,#N/A,FALSE,"WWCM"}</definedName>
    <definedName name="qwetqryetytu_5">{#N/A,#N/A,FALSE,"Pharm";#N/A,#N/A,FALSE,"WWCM"}</definedName>
    <definedName name="qwqqqq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qwqre">{"EVA",#N/A,FALSE,"SMT2";#N/A,#N/A,FALSE,"Summary";#N/A,#N/A,FALSE,"Graphs";#N/A,#N/A,FALSE,"4 Panel"}</definedName>
    <definedName name="qwqre_1">{"EVA",#N/A,FALSE,"SMT2";#N/A,#N/A,FALSE,"Summary";#N/A,#N/A,FALSE,"Graphs";#N/A,#N/A,FALSE,"4 Panel"}</definedName>
    <definedName name="qwqre_2">{"EVA",#N/A,FALSE,"SMT2";#N/A,#N/A,FALSE,"Summary";#N/A,#N/A,FALSE,"Graphs";#N/A,#N/A,FALSE,"4 Panel"}</definedName>
    <definedName name="qwqre_3">{"EVA",#N/A,FALSE,"SMT2";#N/A,#N/A,FALSE,"Summary";#N/A,#N/A,FALSE,"Graphs";#N/A,#N/A,FALSE,"4 Panel"}</definedName>
    <definedName name="qww">#REF!</definedName>
    <definedName name="QXC">{#N/A,#N/A,FALSE,"Tabl. H1";#N/A,#N/A,FALSE,"Tabl. H2"}</definedName>
    <definedName name="QXC_1">{#N/A,#N/A,FALSE,"Tabl. H1";#N/A,#N/A,FALSE,"Tabl. H2"}</definedName>
    <definedName name="QXC_2">{#N/A,#N/A,FALSE,"Tabl. H1";#N/A,#N/A,FALSE,"Tabl. H2"}</definedName>
    <definedName name="QXC_3">{#N/A,#N/A,FALSE,"Tabl. H1";#N/A,#N/A,FALSE,"Tabl. H2"}</definedName>
    <definedName name="QXC_4">{#N/A,#N/A,FALSE,"Tabl. H1";#N/A,#N/A,FALSE,"Tabl. H2"}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___M___COMPUTERS">#REF!</definedName>
    <definedName name="R___M___ELECTRICALS___PURCHASES_ELECTRICALS">#REF!</definedName>
    <definedName name="R___M___FACTORY_BUILDING">#REF!</definedName>
    <definedName name="R___M___FURNITURE">#REF!</definedName>
    <definedName name="R___M___OTHER_ASSETS">#REF!</definedName>
    <definedName name="R___M___PLANT___MACHINERY">#REF!</definedName>
    <definedName name="R___M___VEHICLES">#REF!</definedName>
    <definedName name="R___M___WORKSHOP_MACHINERY">#REF!</definedName>
    <definedName name="R_Factor">#REF!</definedName>
    <definedName name="r_printfunction">#REF!</definedName>
    <definedName name="RAJAPURE">#REF!</definedName>
    <definedName name="Rajesh">#REF!</definedName>
    <definedName name="RAJPUTRAJESH">#REF!</definedName>
    <definedName name="RAJURKARMANISH">#REF!</definedName>
    <definedName name="rama">{"'August 2000'!$A$1:$J$101"}</definedName>
    <definedName name="ramnathbsc">#REF!</definedName>
    <definedName name="ramnathded">#REF!</definedName>
    <definedName name="ramnathemi">#REF!</definedName>
    <definedName name="ramnathhra">#REF!</definedName>
    <definedName name="ramnathins">#REF!</definedName>
    <definedName name="ramnathpd">#REF!</definedName>
    <definedName name="ramnathpf">#REF!</definedName>
    <definedName name="ramnathregn">#REF!</definedName>
    <definedName name="ramnathsaf">#REF!</definedName>
    <definedName name="RANAWAREASHOK">#REF!</definedName>
    <definedName name="RANGE4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angeADauerE">#REF!</definedName>
    <definedName name="Rank">#REF!</definedName>
    <definedName name="RANKHAMBBHARAT">#REF!</definedName>
    <definedName name="RankI">#REF!</definedName>
    <definedName name="RASSET">#REF!</definedName>
    <definedName name="rate">#REF!</definedName>
    <definedName name="rate_table">#REF!</definedName>
    <definedName name="rate2">#REF!</definedName>
    <definedName name="ratebyname">#REF!</definedName>
    <definedName name="ratecc">#REF!</definedName>
    <definedName name="RATES___TAXES">#REF!</definedName>
    <definedName name="rateusd">#REF!</definedName>
    <definedName name="ratio">#REF!</definedName>
    <definedName name="RAUTSANJAYKUMAR">#REF!</definedName>
    <definedName name="ravi">#REF!</definedName>
    <definedName name="ravi1">#REF!</definedName>
    <definedName name="ravi2">#REF!</definedName>
    <definedName name="ravi4">#REF!</definedName>
    <definedName name="ravi5">#REF!</definedName>
    <definedName name="ravi6">#REF!</definedName>
    <definedName name="ravi7">#REF!</definedName>
    <definedName name="ravia">{"Annual 1996",#N/A,FALSE,"Ann-Op (Mng)";"Annual 1996",#N/A,FALSE,"Ann-Op (Rep)";"Operating Vs. Reported Earnings",#N/A,FALSE,"Rpt-Op Inc"}</definedName>
    <definedName name="RAW_MATERIAL_W.I.P._AND_OTHER_STOCK">#REF!</definedName>
    <definedName name="RawData">#REF!</definedName>
    <definedName name="RAWDATA2">#REF!</definedName>
    <definedName name="Rawdata9">#REF!</definedName>
    <definedName name="RawMat">#REF!</definedName>
    <definedName name="RBG">{#N/A,#N/A,FALSE,"Tabl. D1";#N/A,#N/A,FALSE,"Tabl. D1 b";#N/A,#N/A,FALSE,"Tabl. D2";#N/A,#N/A,FALSE,"Tabl. D2 b";#N/A,#N/A,FALSE,"Tabl. D3";#N/A,#N/A,FALSE,"Tabl. D4";#N/A,#N/A,FALSE,"Tabl. D5"}</definedName>
    <definedName name="RBG_1">{#N/A,#N/A,FALSE,"Tabl. D1";#N/A,#N/A,FALSE,"Tabl. D1 b";#N/A,#N/A,FALSE,"Tabl. D2";#N/A,#N/A,FALSE,"Tabl. D2 b";#N/A,#N/A,FALSE,"Tabl. D3";#N/A,#N/A,FALSE,"Tabl. D4";#N/A,#N/A,FALSE,"Tabl. D5"}</definedName>
    <definedName name="RBG_2">{#N/A,#N/A,FALSE,"Tabl. D1";#N/A,#N/A,FALSE,"Tabl. D1 b";#N/A,#N/A,FALSE,"Tabl. D2";#N/A,#N/A,FALSE,"Tabl. D2 b";#N/A,#N/A,FALSE,"Tabl. D3";#N/A,#N/A,FALSE,"Tabl. D4";#N/A,#N/A,FALSE,"Tabl. D5"}</definedName>
    <definedName name="RBG_3">{#N/A,#N/A,FALSE,"Tabl. D1";#N/A,#N/A,FALSE,"Tabl. D1 b";#N/A,#N/A,FALSE,"Tabl. D2";#N/A,#N/A,FALSE,"Tabl. D2 b";#N/A,#N/A,FALSE,"Tabl. D3";#N/A,#N/A,FALSE,"Tabl. D4";#N/A,#N/A,FALSE,"Tabl. D5"}</definedName>
    <definedName name="RBG_4">{#N/A,#N/A,FALSE,"Tabl. D1";#N/A,#N/A,FALSE,"Tabl. D1 b";#N/A,#N/A,FALSE,"Tabl. D2";#N/A,#N/A,FALSE,"Tabl. D2 b";#N/A,#N/A,FALSE,"Tabl. D3";#N/A,#N/A,FALSE,"Tabl. D4";#N/A,#N/A,FALSE,"Tabl. D5"}</definedName>
    <definedName name="rbn">#REF!</definedName>
    <definedName name="RBS">#REF!</definedName>
    <definedName name="RBS_1">#REF!</definedName>
    <definedName name="RBS_2">#REF!</definedName>
    <definedName name="RBS_3">#REF!</definedName>
    <definedName name="RBS_7">#REF!</definedName>
    <definedName name="RBS_8">#REF!</definedName>
    <definedName name="RBS_9">#REF!</definedName>
    <definedName name="RCAPITAL">#REF!</definedName>
    <definedName name="RCArea">#REF!</definedName>
    <definedName name="RCAreaPL">#REF!</definedName>
    <definedName name="r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DEPREC">#REF!</definedName>
    <definedName name="rd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E">#REF!</definedName>
    <definedName name="Realisations_salevalue">#REF!</definedName>
    <definedName name="Reasons">#REF!</definedName>
    <definedName name="RecCurrent">#REF!</definedName>
    <definedName name="reco">#REF!</definedName>
    <definedName name="RECO01_02">#REF!</definedName>
    <definedName name="Recommendation">#REF!</definedName>
    <definedName name="RECON">#REF!</definedName>
    <definedName name="Record1">#REF!</definedName>
    <definedName name="Record2">#REF!</definedName>
    <definedName name="RecPY4_Sel1">#REF!</definedName>
    <definedName name="RecRollFWD">#REF!</definedName>
    <definedName name="RECRUITMENT_EXPENSES">#REF!</definedName>
    <definedName name="re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ED_RIVER_BRIDGE__THANH_TRI_BRIDGE__CONSTRUCTION_PROJECT">#REF!</definedName>
    <definedName name="redadm">#REF!</definedName>
    <definedName name="redcoin">#REF!</definedName>
    <definedName name="redG1">#REF!</definedName>
    <definedName name="redG2">#REF!</definedName>
    <definedName name="redo">{#N/A,#N/A,FALSE,"ACQ_GRAPHS";#N/A,#N/A,FALSE,"T_1 GRAPHS";#N/A,#N/A,FALSE,"T_2 GRAPHS";#N/A,#N/A,FALSE,"COMB_GRAPHS"}</definedName>
    <definedName name="redpin">#REF!</definedName>
    <definedName name="redTrans">#REF!</definedName>
    <definedName name="reducva">#REF!</definedName>
    <definedName name="redvain">#REF!</definedName>
    <definedName name="REF">{#N/A,#N/A,FALSE,"COMP"}</definedName>
    <definedName name="REF_1">{#N/A,#N/A,FALSE,"COMP"}</definedName>
    <definedName name="REF_10PER">#REF!</definedName>
    <definedName name="REF_11PER">#REF!</definedName>
    <definedName name="REF_1PER">#REF!</definedName>
    <definedName name="REF_2">{#N/A,#N/A,FALSE,"COMP"}</definedName>
    <definedName name="REF_2PER">#REF!</definedName>
    <definedName name="REF_3">{#N/A,#N/A,FALSE,"COMP"}</definedName>
    <definedName name="REF_3PER">#REF!</definedName>
    <definedName name="REF_4">{#N/A,#N/A,FALSE,"Tabl. A1";#N/A,#N/A,FALSE,"Tabl. A1 b";#N/A,#N/A,FALSE,"Tabl. A2";#N/A,#N/A,FALSE,"Tabl. A2-1";#N/A,#N/A,FALSE,"Tabl. A2-2"}</definedName>
    <definedName name="REF_4PER">#REF!</definedName>
    <definedName name="REF_5PER">#REF!</definedName>
    <definedName name="REF_6PER">#REF!</definedName>
    <definedName name="REF_7PER">#REF!</definedName>
    <definedName name="REF_8PER">#REF!</definedName>
    <definedName name="REF_9PER">#REF!</definedName>
    <definedName name="REF_PER">#REF!</definedName>
    <definedName name="REF_PYT">#REF!</definedName>
    <definedName name="REFI_10CY">#REF!</definedName>
    <definedName name="REFI_10PY">#REF!</definedName>
    <definedName name="REFI_11CY">#REF!</definedName>
    <definedName name="REFI_11PY">#REF!</definedName>
    <definedName name="REFI_12CY">#REF!</definedName>
    <definedName name="REFI_12PY">#REF!</definedName>
    <definedName name="REFI_12PY2">#REF!</definedName>
    <definedName name="REFI_1CY">#REF!</definedName>
    <definedName name="REFI_1PY">#REF!</definedName>
    <definedName name="REFI_2CY">#REF!</definedName>
    <definedName name="REFI_2PY">#REF!</definedName>
    <definedName name="REFI_3CY">#REF!</definedName>
    <definedName name="REFI_3PY">#REF!</definedName>
    <definedName name="REFI_4CY">#REF!</definedName>
    <definedName name="REFI_4PY">#REF!</definedName>
    <definedName name="REFI_5CY">#REF!</definedName>
    <definedName name="REFI_5PY">#REF!</definedName>
    <definedName name="REFI_6CY">#REF!</definedName>
    <definedName name="REFI_6PY">#REF!</definedName>
    <definedName name="REFI_7CY">#REF!</definedName>
    <definedName name="REFI_7PY">#REF!</definedName>
    <definedName name="REFI_8CY">#REF!</definedName>
    <definedName name="REFI_8PY">#REF!</definedName>
    <definedName name="REFI_9CY">#REF!</definedName>
    <definedName name="REFI_9PY">#REF!</definedName>
    <definedName name="REFI_CY1QTR">#REF!</definedName>
    <definedName name="REFI_CY2QTR">#REF!</definedName>
    <definedName name="REFI_CY3QTR">#REF!</definedName>
    <definedName name="REFI_CY4QTR">#REF!</definedName>
    <definedName name="REFI_PY4QTR">#REF!</definedName>
    <definedName name="REFI_YTD_10CY">#REF!</definedName>
    <definedName name="REFI_YTD_10PY">#REF!</definedName>
    <definedName name="REFI_YTD_11CY">#REF!</definedName>
    <definedName name="REFI_YTD_11PY">#REF!</definedName>
    <definedName name="REFI_YTD_12CY">#REF!</definedName>
    <definedName name="REFI_YTD_12PY">#REF!</definedName>
    <definedName name="REFI_YTD_1CY">#REF!</definedName>
    <definedName name="REFI_YTD_1PY">#REF!</definedName>
    <definedName name="REFI_YTD_2CY">#REF!</definedName>
    <definedName name="REFI_YTD_2PY">#REF!</definedName>
    <definedName name="REFI_YTD_3CY">#REF!</definedName>
    <definedName name="REFI_YTD_3PY">#REF!</definedName>
    <definedName name="REFI_YTD_4CY">#REF!</definedName>
    <definedName name="REFI_YTD_4PY">#REF!</definedName>
    <definedName name="REFI_YTD_5CY">#REF!</definedName>
    <definedName name="REFI_YTD_5PY">#REF!</definedName>
    <definedName name="REFI_YTD_6CY">#REF!</definedName>
    <definedName name="REFI_YTD_6PY">#REF!</definedName>
    <definedName name="REFI_YTD_7CY">#REF!</definedName>
    <definedName name="REFI_YTD_7PY">#REF!</definedName>
    <definedName name="REFI_YTD_8CY">#REF!</definedName>
    <definedName name="REFI_YTD_8PY">#REF!</definedName>
    <definedName name="REFI_YTD_9CY">#REF!</definedName>
    <definedName name="REFI_YTD_9PY">#REF!</definedName>
    <definedName name="Refund">#REF!</definedName>
    <definedName name="reg">#REF!</definedName>
    <definedName name="regcont">#REF!</definedName>
    <definedName name="reggie">{#N/A,#N/A,FALSE,"Pharm";#N/A,#N/A,FALSE,"WWCM"}</definedName>
    <definedName name="reggie_1">{#N/A,#N/A,FALSE,"Pharm";#N/A,#N/A,FALSE,"WWCM"}</definedName>
    <definedName name="reggie_2">{#N/A,#N/A,FALSE,"Pharm";#N/A,#N/A,FALSE,"WWCM"}</definedName>
    <definedName name="reggie_3">{#N/A,#N/A,FALSE,"Pharm";#N/A,#N/A,FALSE,"WWCM"}</definedName>
    <definedName name="reggie_4">{#N/A,#N/A,FALSE,"Pharm";#N/A,#N/A,FALSE,"WWCM"}</definedName>
    <definedName name="reggie_5">{#N/A,#N/A,FALSE,"Pharm";#N/A,#N/A,FALSE,"WWCM"}</definedName>
    <definedName name="Region">#REF!</definedName>
    <definedName name="regular">#REF!,#REF!</definedName>
    <definedName name="rehyhjyj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REIMURSEMENT_OF_CONVEYANCE_EXPENSES">#REF!</definedName>
    <definedName name="related">{#N/A,#N/A,FALSE,"PMTABB";#N/A,#N/A,FALSE,"PMTABB"}</definedName>
    <definedName name="related_1">{#N/A,#N/A,FALSE,"PMTABB";#N/A,#N/A,FALSE,"PMTABB"}</definedName>
    <definedName name="related_2">{#N/A,#N/A,FALSE,"PMTABB";#N/A,#N/A,FALSE,"PMTABB"}</definedName>
    <definedName name="related_3">{#N/A,#N/A,FALSE,"PMTABB";#N/A,#N/A,FALSE,"PMTABB"}</definedName>
    <definedName name="related_4">{#N/A,#N/A,FALSE,"PMTABB";#N/A,#N/A,FALSE,"PMTABB"}</definedName>
    <definedName name="Reliance">#REF!</definedName>
    <definedName name="rem">#REF!</definedName>
    <definedName name="REMAIN">{#N/A,#N/A,FALSE,"Aging Summary";#N/A,#N/A,FALSE,"Ratio Analysis";#N/A,#N/A,FALSE,"Test 120 Day Accts";#N/A,#N/A,FALSE,"Tickmarks"}</definedName>
    <definedName name="RENCAN">#REF!</definedName>
    <definedName name="RENGROSS">#REF!</definedName>
    <definedName name="Rent">#REF!</definedName>
    <definedName name="Rent___194I">#REF!</definedName>
    <definedName name="Rent_Costs">#REF!</definedName>
    <definedName name="RENT_PAID">#REF!</definedName>
    <definedName name="REO">#REF!</definedName>
    <definedName name="rep">{#N/A,#N/A,FALSE,"COVER";#N/A,#N/A,FALSE,"VALUATION";#N/A,#N/A,FALSE,"FORECAST";#N/A,#N/A,FALSE,"FY ANALYSIS ";#N/A,#N/A,FALSE," HY ANALYSIS"}</definedName>
    <definedName name="Repair___Maintenance_equipments___AMC">#REF!</definedName>
    <definedName name="REPAIRS___MAINTENANCE_EXPENSES">#REF!</definedName>
    <definedName name="RepCurrency">#REF!</definedName>
    <definedName name="RepCurrencyFactor">#REF!</definedName>
    <definedName name="RepDatum">#REF!</definedName>
    <definedName name="RepFileName">#REF!</definedName>
    <definedName name="RepMandant">#REF!</definedName>
    <definedName name="RepMonth">#REF!</definedName>
    <definedName name="report">#REF!</definedName>
    <definedName name="Report_Title">"Trend eDoctor Virus Diagnostic Report for  Trend_Micro_HK_Limited"</definedName>
    <definedName name="report3">#REF!</definedName>
    <definedName name="ReportCreated">TRUE</definedName>
    <definedName name="ReportDataRange">#REF!</definedName>
    <definedName name="ReportDataStart">#REF!</definedName>
    <definedName name="reporting">{#N/A,#N/A,FALSE,"Tabl. FB300";#N/A,#N/A,FALSE,"Tabl. FB350";#N/A,#N/A,FALSE,"Tabl. FB400";#N/A,#N/A,FALSE,"Tabl. FB500";#N/A,#N/A,FALSE,"Tabl. FS090"}</definedName>
    <definedName name="reporting_1">{#N/A,#N/A,FALSE,"Tabl. FB300";#N/A,#N/A,FALSE,"Tabl. FB350";#N/A,#N/A,FALSE,"Tabl. FB400";#N/A,#N/A,FALSE,"Tabl. FB500";#N/A,#N/A,FALSE,"Tabl. FS090"}</definedName>
    <definedName name="reporting_2">{#N/A,#N/A,FALSE,"Tabl. FB300";#N/A,#N/A,FALSE,"Tabl. FB350";#N/A,#N/A,FALSE,"Tabl. FB400";#N/A,#N/A,FALSE,"Tabl. FB500";#N/A,#N/A,FALSE,"Tabl. FS090"}</definedName>
    <definedName name="reporting_3">{#N/A,#N/A,FALSE,"Tabl. FB300";#N/A,#N/A,FALSE,"Tabl. FB350";#N/A,#N/A,FALSE,"Tabl. FB400";#N/A,#N/A,FALSE,"Tabl. FB500";#N/A,#N/A,FALSE,"Tabl. FS090"}</definedName>
    <definedName name="reporting_4">{#N/A,#N/A,FALSE,"Tabl. FB300";#N/A,#N/A,FALSE,"Tabl. FB350";#N/A,#N/A,FALSE,"Tabl. FB400";#N/A,#N/A,FALSE,"Tabl. FB500";#N/A,#N/A,FALSE,"Tabl. FS090"}</definedName>
    <definedName name="Reporting_Company">#REF!</definedName>
    <definedName name="REporting_discipline">#REF!</definedName>
    <definedName name="RepYear">#REF!</definedName>
    <definedName name="res">{#N/A,#N/A,FALSE,"Tabl. FB300";#N/A,#N/A,FALSE,"Tabl. FB350";#N/A,#N/A,FALSE,"Tabl. FB400";#N/A,#N/A,FALSE,"Tabl. FB500";#N/A,#N/A,FALSE,"Tabl. FS090"}</definedName>
    <definedName name="res_1">{#N/A,#N/A,FALSE,"Tabl. FB300";#N/A,#N/A,FALSE,"Tabl. FB350";#N/A,#N/A,FALSE,"Tabl. FB400";#N/A,#N/A,FALSE,"Tabl. FB500";#N/A,#N/A,FALSE,"Tabl. FS090"}</definedName>
    <definedName name="res_2">{#N/A,#N/A,FALSE,"Tabl. FB300";#N/A,#N/A,FALSE,"Tabl. FB350";#N/A,#N/A,FALSE,"Tabl. FB400";#N/A,#N/A,FALSE,"Tabl. FB500";#N/A,#N/A,FALSE,"Tabl. FS090"}</definedName>
    <definedName name="res_3">{#N/A,#N/A,FALSE,"Tabl. FB300";#N/A,#N/A,FALSE,"Tabl. FB350";#N/A,#N/A,FALSE,"Tabl. FB400";#N/A,#N/A,FALSE,"Tabl. FB500";#N/A,#N/A,FALSE,"Tabl. FS090"}</definedName>
    <definedName name="res_4">{#N/A,#N/A,FALSE,"Tabl. FB300";#N/A,#N/A,FALSE,"Tabl. FB350";#N/A,#N/A,FALSE,"Tabl. FB400";#N/A,#N/A,FALSE,"Tabl. FB500";#N/A,#N/A,FALSE,"Tabl. FS090"}</definedName>
    <definedName name="res_sum">{#N/A,#N/A,FALSE,"COVER1.XLS ";#N/A,#N/A,FALSE,"RACT1.XLS";#N/A,#N/A,FALSE,"RACT2.XLS";#N/A,#N/A,FALSE,"ECCMP";#N/A,#N/A,FALSE,"WELDER.XLS"}</definedName>
    <definedName name="RES_SURPLUS">#REF!</definedName>
    <definedName name="RESERVE_FOR_DOUBTFUL_DEBTS">#REF!</definedName>
    <definedName name="Residual_difference">#REF!</definedName>
    <definedName name="resources">{#N/A,#N/A,FALSE,"Assessment";#N/A,#N/A,FALSE,"Staffing";#N/A,#N/A,FALSE,"Hires";#N/A,#N/A,FALSE,"Assumptions"}</definedName>
    <definedName name="resp.">{#N/A,#N/A,FALSE,"Pharm";#N/A,#N/A,FALSE,"WWCM"}</definedName>
    <definedName name="resp._1">{#N/A,#N/A,FALSE,"Pharm";#N/A,#N/A,FALSE,"WWCM"}</definedName>
    <definedName name="resp._2">{#N/A,#N/A,FALSE,"Pharm";#N/A,#N/A,FALSE,"WWCM"}</definedName>
    <definedName name="resp._3">{#N/A,#N/A,FALSE,"Pharm";#N/A,#N/A,FALSE,"WWCM"}</definedName>
    <definedName name="resp._4">{#N/A,#N/A,FALSE,"Pharm";#N/A,#N/A,FALSE,"WWCM"}</definedName>
    <definedName name="resp._5">{#N/A,#N/A,FALSE,"Pharm";#N/A,#N/A,FALSE,"WWCM"}</definedName>
    <definedName name="result">{#N/A,#N/A,FALSE,"Tabl. G1";#N/A,#N/A,FALSE,"Tabl. G2"}</definedName>
    <definedName name="result_1">{#N/A,#N/A,FALSE,"Tabl. G1";#N/A,#N/A,FALSE,"Tabl. G2"}</definedName>
    <definedName name="result_2">{#N/A,#N/A,FALSE,"Tabl. G1";#N/A,#N/A,FALSE,"Tabl. G2"}</definedName>
    <definedName name="result_3">{#N/A,#N/A,FALSE,"Tabl. G1";#N/A,#N/A,FALSE,"Tabl. G2"}</definedName>
    <definedName name="result_4">{#N/A,#N/A,FALSE,"Tabl. G1";#N/A,#N/A,FALSE,"Tabl. G2"}</definedName>
    <definedName name="Retrieve">#REF!</definedName>
    <definedName name="Reuters_REDD">#REF!</definedName>
    <definedName name="Reuters_RIC">#REF!</definedName>
    <definedName name="Rev_Area">#REF!,#REF!,#REF!,#REF!,#REF!</definedName>
    <definedName name="rev_jan">#REF!</definedName>
    <definedName name="Rev_Val">#REF!</definedName>
    <definedName name="REV_VALNGR">#REF!</definedName>
    <definedName name="revatibsc">#REF!</definedName>
    <definedName name="revaticonv">#REF!</definedName>
    <definedName name="revatided">#REF!</definedName>
    <definedName name="revatihra">#REF!</definedName>
    <definedName name="revatiit">#REF!</definedName>
    <definedName name="revatimed">#REF!</definedName>
    <definedName name="revatipd">#REF!</definedName>
    <definedName name="revatipf">#REF!</definedName>
    <definedName name="revatipt">#REF!</definedName>
    <definedName name="revatispla">#REF!</definedName>
    <definedName name="Revenue">#REF!</definedName>
    <definedName name="Revenue_1">Main.SAPF4Help()</definedName>
    <definedName name="REVENUE_DEPOSIT">#REF!</definedName>
    <definedName name="revenuegrowthh1">#REF!</definedName>
    <definedName name="Revenues">#REF!</definedName>
    <definedName name="Reviewed">#REF!</definedName>
    <definedName name="Revised">#REF!</definedName>
    <definedName name="Revised1">#REF!</definedName>
    <definedName name="Revolver_Interest">#REF!</definedName>
    <definedName name="rewq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f2e">{#N/A,#N/A,FALSE,"Pharm";#N/A,#N/A,FALSE,"WWCM"}</definedName>
    <definedName name="rf2e_1">{#N/A,#N/A,FALSE,"Pharm";#N/A,#N/A,FALSE,"WWCM"}</definedName>
    <definedName name="rf2e_2">{#N/A,#N/A,FALSE,"Pharm";#N/A,#N/A,FALSE,"WWCM"}</definedName>
    <definedName name="rf2e_3">{#N/A,#N/A,FALSE,"Pharm";#N/A,#N/A,FALSE,"WWCM"}</definedName>
    <definedName name="rf2e_4">{#N/A,#N/A,FALSE,"Pharm";#N/A,#N/A,FALSE,"WWCM"}</definedName>
    <definedName name="rf2e_5">{#N/A,#N/A,FALSE,"Pharm";#N/A,#N/A,FALSE,"WWCM"}</definedName>
    <definedName name="rh">{#N/A,#N/A,FALSE,"FREE"}</definedName>
    <definedName name="rh_1">{#N/A,#N/A,FALSE,"FREE"}</definedName>
    <definedName name="rh_2">{#N/A,#N/A,FALSE,"FREE"}</definedName>
    <definedName name="rh_3">{#N/A,#N/A,FALSE,"FREE"}</definedName>
    <definedName name="rh_4">{#N/A,#N/A,FALSE,"FREE"}</definedName>
    <definedName name="rhw">{#N/A,#N/A,FALSE,"FREE"}</definedName>
    <definedName name="rhw_1">{#N/A,#N/A,FALSE,"FREE"}</definedName>
    <definedName name="rhw_1_1">{#N/A,#N/A,FALSE,"FREE"}</definedName>
    <definedName name="rhw_1_2">{#N/A,#N/A,FALSE,"FREE"}</definedName>
    <definedName name="rhw_1_3">{#N/A,#N/A,FALSE,"FREE"}</definedName>
    <definedName name="rhw_1_4">{#N/A,#N/A,FALSE,"FREE"}</definedName>
    <definedName name="rhw_2">{#N/A,#N/A,FALSE,"FREE"}</definedName>
    <definedName name="rhw_2_1">{#N/A,#N/A,FALSE,"FREE"}</definedName>
    <definedName name="rhw_2_2">{#N/A,#N/A,FALSE,"FREE"}</definedName>
    <definedName name="rhw_2_3">{#N/A,#N/A,FALSE,"FREE"}</definedName>
    <definedName name="rhw_2_4">{#N/A,#N/A,FALSE,"FREE"}</definedName>
    <definedName name="rhw_3">{#N/A,#N/A,FALSE,"FREE"}</definedName>
    <definedName name="rhw_3_1">{#N/A,#N/A,FALSE,"FREE"}</definedName>
    <definedName name="rhw_3_2">{#N/A,#N/A,FALSE,"FREE"}</definedName>
    <definedName name="rhw_3_3">{#N/A,#N/A,FALSE,"FREE"}</definedName>
    <definedName name="rhw_3_4">{#N/A,#N/A,FALSE,"FREE"}</definedName>
    <definedName name="rhw_4">{#N/A,#N/A,FALSE,"FREE"}</definedName>
    <definedName name="rhw_4_1">{#N/A,#N/A,FALSE,"FREE"}</definedName>
    <definedName name="rhw_4_2">{#N/A,#N/A,FALSE,"FREE"}</definedName>
    <definedName name="rhw_4_3">{#N/A,#N/A,FALSE,"FREE"}</definedName>
    <definedName name="rhw_4_4">{#N/A,#N/A,FALSE,"FREE"}</definedName>
    <definedName name="rhw_5">{#N/A,#N/A,FALSE,"FREE"}</definedName>
    <definedName name="rhwr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NCRM">#REF!</definedName>
    <definedName name="RINPUT">#REF!</definedName>
    <definedName name="RINVESTMENTS">#REF!</definedName>
    <definedName name="Rishabh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TC">#REF!</definedName>
    <definedName name="riteshbsc">#REF!</definedName>
    <definedName name="riteshconv">#REF!</definedName>
    <definedName name="riteshded">#REF!</definedName>
    <definedName name="riteshhra">#REF!</definedName>
    <definedName name="riteshit">#REF!</definedName>
    <definedName name="riteshmed">#REF!</definedName>
    <definedName name="riteshpd">#REF!</definedName>
    <definedName name="riteshpf">#REF!</definedName>
    <definedName name="riteshpt">#REF!</definedName>
    <definedName name="riteshrent">#REF!</definedName>
    <definedName name="riteshspla">#REF!</definedName>
    <definedName name="RMB">#REF!</definedName>
    <definedName name="rmcAccount">"FS_TOTSALX"</definedName>
    <definedName name="rmcApplication">97</definedName>
    <definedName name="rmcCategory">"ACTUAL"</definedName>
    <definedName name="rmcFrequency">"YTD"</definedName>
    <definedName name="rmcName">"TOTBS"</definedName>
    <definedName name="RMCOptions">"*100000000000000"</definedName>
    <definedName name="rmcPeriod">9811</definedName>
    <definedName name="RMDmy">#REF!</definedName>
    <definedName name="rmhx35">#REF!</definedName>
    <definedName name="RMIN">#REF!</definedName>
    <definedName name="RMREOH">#REF!</definedName>
    <definedName name="RMRNOT">#REF!</definedName>
    <definedName name="RMUnit">#REF!</definedName>
    <definedName name="RNDBOH">#REF!</definedName>
    <definedName name="RNDEOH">#REF!</definedName>
    <definedName name="Rnge_Table">OFFSET(#REF!,0,0,COUNTA(#REF!)-2,COUNTA(#REF!))</definedName>
    <definedName name="ROECC">#REF!</definedName>
    <definedName name="ROEUSD">#REF!</definedName>
    <definedName name="rohig">{#N/A,#N/A,TRUE,"Staffnos &amp; cost"}</definedName>
    <definedName name="Rolta">#REF!</definedName>
    <definedName name="round">#REF!</definedName>
    <definedName name="route">#REF!</definedName>
    <definedName name="RovingsBushings">#REF!</definedName>
    <definedName name="RovingsFabEff">#REF!</definedName>
    <definedName name="row">#REF!</definedName>
    <definedName name="Rows">#REF!,#REF!,#REF!,#REF!,#REF!</definedName>
    <definedName name="Rows_To_Hide_in_Main">OFFSET(#REF!,0,0,COUNTA(#REF!),1)</definedName>
    <definedName name="Rowstohide">#REF!,#REF!,#REF!,#REF!,#REF!,#REF!,#REF!,#REF!,#REF!</definedName>
    <definedName name="ROYALTY">#REF!</definedName>
    <definedName name="roybsc">#REF!</definedName>
    <definedName name="ROYCons">#REF!</definedName>
    <definedName name="royconv">#REF!</definedName>
    <definedName name="royded">#REF!</definedName>
    <definedName name="royhra">#REF!</definedName>
    <definedName name="royit">#REF!</definedName>
    <definedName name="roymed">#REF!</definedName>
    <definedName name="roypd">#REF!</definedName>
    <definedName name="roypf">#REF!</definedName>
    <definedName name="ROYProf">#REF!</definedName>
    <definedName name="roypt">#REF!</definedName>
    <definedName name="royspla">#REF!</definedName>
    <definedName name="ROYTotalCoy">#REF!</definedName>
    <definedName name="RP_USD_EX_RATE">#REF!</definedName>
    <definedName name="rpd">#REF!</definedName>
    <definedName name="RPK_PA">#REF!</definedName>
    <definedName name="RPT">#REF!</definedName>
    <definedName name="rr">{"plansummary",#N/A,FALSE,"PlanSummary";"sales",#N/A,FALSE,"Sales Rec";"productivity",#N/A,FALSE,"Productivity Rec";"capitalspending",#N/A,FALSE,"Capital Spending"}</definedName>
    <definedName name="rr_1">{"plansummary",#N/A,FALSE,"PlanSummary";"sales",#N/A,FALSE,"Sales Rec";"productivity",#N/A,FALSE,"Productivity Rec";"capitalspending",#N/A,FALSE,"Capital Spending"}</definedName>
    <definedName name="rr_2">{"plansummary",#N/A,FALSE,"PlanSummary";"sales",#N/A,FALSE,"Sales Rec";"productivity",#N/A,FALSE,"Productivity Rec";"capitalspending",#N/A,FALSE,"Capital Spending"}</definedName>
    <definedName name="rr_3">{"plansummary",#N/A,FALSE,"PlanSummary";"sales",#N/A,FALSE,"Sales Rec";"productivity",#N/A,FALSE,"Productivity Rec";"capitalspending",#N/A,FALSE,"Capital Spending"}</definedName>
    <definedName name="rre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rr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rrrr">{#N/A,#N/A,FALSE,"Tabl. H1";#N/A,#N/A,FALSE,"Tabl. H2"}</definedName>
    <definedName name="rrrr_1">{#N/A,#N/A,FALSE,"Tabl. H1";#N/A,#N/A,FALSE,"Tabl. H2"}</definedName>
    <definedName name="rrrr_2">{#N/A,#N/A,FALSE,"Tabl. H1";#N/A,#N/A,FALSE,"Tabl. H2"}</definedName>
    <definedName name="rrrr_3">{#N/A,#N/A,FALSE,"Tabl. H1";#N/A,#N/A,FALSE,"Tabl. H2"}</definedName>
    <definedName name="rrrr_4">{#N/A,#N/A,FALSE,"Tabl. H1";#N/A,#N/A,FALSE,"Tabl. H2"}</definedName>
    <definedName name="rrrrr">{#N/A,#N/A,FALSE,"Pharm";#N/A,#N/A,FALSE,"WWCM"}</definedName>
    <definedName name="rrrrr_1">{#N/A,#N/A,FALSE,"Pharm";#N/A,#N/A,FALSE,"WWCM"}</definedName>
    <definedName name="rrrrr_2">{#N/A,#N/A,FALSE,"Pharm";#N/A,#N/A,FALSE,"WWCM"}</definedName>
    <definedName name="rrrrr_3">{#N/A,#N/A,FALSE,"Pharm";#N/A,#N/A,FALSE,"WWCM"}</definedName>
    <definedName name="rrrrr_4">{#N/A,#N/A,FALSE,"Pharm";#N/A,#N/A,FALSE,"WWCM"}</definedName>
    <definedName name="rrrrr_5">{#N/A,#N/A,FALSE,"Pharm";#N/A,#N/A,FALSE,"WWCM"}</definedName>
    <definedName name="rrrrrr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rsurp">#REF!</definedName>
    <definedName name="RTA">{#N/A,#N/A,FALSE,"Tabl. G1";#N/A,#N/A,FALSE,"Tabl. G2"}</definedName>
    <definedName name="RTA_1">{#N/A,#N/A,FALSE,"Tabl. G1";#N/A,#N/A,FALSE,"Tabl. G2"}</definedName>
    <definedName name="RTA_2">{#N/A,#N/A,FALSE,"Tabl. G1";#N/A,#N/A,FALSE,"Tabl. G2"}</definedName>
    <definedName name="RTA_3">{#N/A,#N/A,FALSE,"Tabl. G1";#N/A,#N/A,FALSE,"Tabl. G2"}</definedName>
    <definedName name="RTA_4">{#N/A,#N/A,FALSE,"Tabl. G1";#N/A,#N/A,FALSE,"Tabl. G2"}</definedName>
    <definedName name="rterm">#REF!</definedName>
    <definedName name="rtgdsfgdsrhdf">{#N/A,#N/A,FALSE,"PMTABB";#N/A,#N/A,FALSE,"PMTABB"}</definedName>
    <definedName name="rtgdsfgdsrhdf_1">{#N/A,#N/A,FALSE,"PMTABB";#N/A,#N/A,FALSE,"PMTABB"}</definedName>
    <definedName name="rtgdsfgdsrhdf_2">{#N/A,#N/A,FALSE,"PMTABB";#N/A,#N/A,FALSE,"PMTABB"}</definedName>
    <definedName name="rtgdsfgdsrhdf_3">{#N/A,#N/A,FALSE,"PMTABB";#N/A,#N/A,FALSE,"PMTABB"}</definedName>
    <definedName name="rtgdsfgdsrhdf_4">{#N/A,#N/A,FALSE,"PMTABB";#N/A,#N/A,FALSE,"PMTABB"}</definedName>
    <definedName name="rthjyj">{#N/A,#N/A,FALSE,"Income Branch ONLY"}</definedName>
    <definedName name="rthrjeye">{#N/A,#N/A,FALSE,"Assets"}</definedName>
    <definedName name="rtht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rhyjyj">{#N/A,#N/A,FALSE,"Income Branch ONLY"}</definedName>
    <definedName name="RTIN">#REF!</definedName>
    <definedName name="rtyhjrh">{#N/A,#N/A,FALSE,"Income Branch ONLY"}</definedName>
    <definedName name="RTYU">{#N/A,#N/A,FALSE,"PGW"}</definedName>
    <definedName name="RTYU_1">{#N/A,#N/A,FALSE,"PGW"}</definedName>
    <definedName name="RTYU_1_1">{#N/A,#N/A,FALSE,"PGW"}</definedName>
    <definedName name="RTYU_1_2">{#N/A,#N/A,FALSE,"PGW"}</definedName>
    <definedName name="RTYU_1_3">{#N/A,#N/A,FALSE,"PGW"}</definedName>
    <definedName name="RTYU_1_4">{#N/A,#N/A,FALSE,"PGW"}</definedName>
    <definedName name="RTYU_2">{#N/A,#N/A,FALSE,"PGW"}</definedName>
    <definedName name="RTYU_2_1">{#N/A,#N/A,FALSE,"PGW"}</definedName>
    <definedName name="RTYU_2_2">{#N/A,#N/A,FALSE,"PGW"}</definedName>
    <definedName name="RTYU_2_3">{#N/A,#N/A,FALSE,"PGW"}</definedName>
    <definedName name="RTYU_2_4">{#N/A,#N/A,FALSE,"PGW"}</definedName>
    <definedName name="RTYU_3">{#N/A,#N/A,FALSE,"PGW"}</definedName>
    <definedName name="RTYU_3_1">{#N/A,#N/A,FALSE,"PGW"}</definedName>
    <definedName name="RTYU_3_2">{#N/A,#N/A,FALSE,"PGW"}</definedName>
    <definedName name="RTYU_3_3">{#N/A,#N/A,FALSE,"PGW"}</definedName>
    <definedName name="RTYU_3_4">{#N/A,#N/A,FALSE,"PGW"}</definedName>
    <definedName name="RTYU_4">{#N/A,#N/A,FALSE,"PGW"}</definedName>
    <definedName name="RTYU_4_1">{#N/A,#N/A,FALSE,"PGW"}</definedName>
    <definedName name="RTYU_4_2">{#N/A,#N/A,FALSE,"PGW"}</definedName>
    <definedName name="RTYU_4_3">{#N/A,#N/A,FALSE,"PGW"}</definedName>
    <definedName name="RTYU_4_4">{#N/A,#N/A,FALSE,"PGW"}</definedName>
    <definedName name="RTYU_5">{#N/A,#N/A,FALSE,"PGW"}</definedName>
    <definedName name="RUN_COPY2_TO_COPY_LM_DATA_TO_YTDLM___INPUT_CURR_MTH_IN_A2">#REF!</definedName>
    <definedName name="RunningHead">#REF!</definedName>
    <definedName name="Rup">#REF!</definedName>
    <definedName name="RV_TM">#REF!</definedName>
    <definedName name="RW">#REF!</definedName>
    <definedName name="rwere">{#N/A,#N/A,FALSE,"COVER1.XLS ";#N/A,#N/A,FALSE,"RACT1.XLS";#N/A,#N/A,FALSE,"RACT2.XLS";#N/A,#N/A,FALSE,"ECCMP";#N/A,#N/A,FALSE,"WELDER.XLS"}</definedName>
    <definedName name="rwert">{#N/A,#N/A,FALSE,"Pharm";#N/A,#N/A,FALSE,"WWCM"}</definedName>
    <definedName name="rwert_1">{#N/A,#N/A,FALSE,"Pharm";#N/A,#N/A,FALSE,"WWCM"}</definedName>
    <definedName name="rwert_2">{#N/A,#N/A,FALSE,"Pharm";#N/A,#N/A,FALSE,"WWCM"}</definedName>
    <definedName name="rwert_3">{#N/A,#N/A,FALSE,"Pharm";#N/A,#N/A,FALSE,"WWCM"}</definedName>
    <definedName name="rwert_4">{#N/A,#N/A,FALSE,"Pharm";#N/A,#N/A,FALSE,"WWCM"}</definedName>
    <definedName name="rwert_5">{#N/A,#N/A,FALSE,"Pharm";#N/A,#N/A,FALSE,"WWCM"}</definedName>
    <definedName name="rwh">{#N/A,#N/A,FALSE,"PGW"}</definedName>
    <definedName name="rwh_1">{#N/A,#N/A,FALSE,"PGW"}</definedName>
    <definedName name="rwh_1_1">{#N/A,#N/A,FALSE,"PGW"}</definedName>
    <definedName name="rwh_1_2">{#N/A,#N/A,FALSE,"PGW"}</definedName>
    <definedName name="rwh_1_3">{#N/A,#N/A,FALSE,"PGW"}</definedName>
    <definedName name="rwh_1_4">{#N/A,#N/A,FALSE,"PGW"}</definedName>
    <definedName name="rwh_2">{#N/A,#N/A,FALSE,"PGW"}</definedName>
    <definedName name="rwh_2_1">{#N/A,#N/A,FALSE,"PGW"}</definedName>
    <definedName name="rwh_2_2">{#N/A,#N/A,FALSE,"PGW"}</definedName>
    <definedName name="rwh_2_3">{#N/A,#N/A,FALSE,"PGW"}</definedName>
    <definedName name="rwh_2_4">{#N/A,#N/A,FALSE,"PGW"}</definedName>
    <definedName name="rwh_3">{#N/A,#N/A,FALSE,"PGW"}</definedName>
    <definedName name="rwh_3_1">{#N/A,#N/A,FALSE,"PGW"}</definedName>
    <definedName name="rwh_3_2">{#N/A,#N/A,FALSE,"PGW"}</definedName>
    <definedName name="rwh_3_3">{#N/A,#N/A,FALSE,"PGW"}</definedName>
    <definedName name="rwh_3_4">{#N/A,#N/A,FALSE,"PGW"}</definedName>
    <definedName name="rwh_4">{#N/A,#N/A,FALSE,"PGW"}</definedName>
    <definedName name="rwh_4_1">{#N/A,#N/A,FALSE,"PGW"}</definedName>
    <definedName name="rwh_4_2">{#N/A,#N/A,FALSE,"PGW"}</definedName>
    <definedName name="rwh_4_3">{#N/A,#N/A,FALSE,"PGW"}</definedName>
    <definedName name="rwh_4_4">{#N/A,#N/A,FALSE,"PGW"}</definedName>
    <definedName name="rwh_5">{#N/A,#N/A,FALSE,"PGW"}</definedName>
    <definedName name="rwhwr">{#N/A,#N/A,FALSE,"PGW"}</definedName>
    <definedName name="rwhwr_1">{#N/A,#N/A,FALSE,"PGW"}</definedName>
    <definedName name="rwhwr_1_1">{#N/A,#N/A,FALSE,"PGW"}</definedName>
    <definedName name="rwhwr_1_2">{#N/A,#N/A,FALSE,"PGW"}</definedName>
    <definedName name="rwhwr_1_3">{#N/A,#N/A,FALSE,"PGW"}</definedName>
    <definedName name="rwhwr_1_4">{#N/A,#N/A,FALSE,"PGW"}</definedName>
    <definedName name="rwhwr_2">{#N/A,#N/A,FALSE,"PGW"}</definedName>
    <definedName name="rwhwr_2_1">{#N/A,#N/A,FALSE,"PGW"}</definedName>
    <definedName name="rwhwr_2_2">{#N/A,#N/A,FALSE,"PGW"}</definedName>
    <definedName name="rwhwr_2_3">{#N/A,#N/A,FALSE,"PGW"}</definedName>
    <definedName name="rwhwr_2_4">{#N/A,#N/A,FALSE,"PGW"}</definedName>
    <definedName name="rwhwr_3">{#N/A,#N/A,FALSE,"PGW"}</definedName>
    <definedName name="rwhwr_3_1">{#N/A,#N/A,FALSE,"PGW"}</definedName>
    <definedName name="rwhwr_3_2">{#N/A,#N/A,FALSE,"PGW"}</definedName>
    <definedName name="rwhwr_3_3">{#N/A,#N/A,FALSE,"PGW"}</definedName>
    <definedName name="rwhwr_3_4">{#N/A,#N/A,FALSE,"PGW"}</definedName>
    <definedName name="rwhwr_4">{#N/A,#N/A,FALSE,"PGW"}</definedName>
    <definedName name="rwhwr_4_1">{#N/A,#N/A,FALSE,"PGW"}</definedName>
    <definedName name="rwhwr_4_2">{#N/A,#N/A,FALSE,"PGW"}</definedName>
    <definedName name="rwhwr_4_3">{#N/A,#N/A,FALSE,"PGW"}</definedName>
    <definedName name="rwhwr_4_4">{#N/A,#N/A,FALSE,"PGW"}</definedName>
    <definedName name="rwhwr_5">{#N/A,#N/A,FALSE,"PGW"}</definedName>
    <definedName name="Rwvu.otr.">#REF!</definedName>
    <definedName name="ry">#REF!</definedName>
    <definedName name="s">{#N/A,#N/A,FALSE,"Aging Summary";#N/A,#N/A,FALSE,"Ratio Analysis";#N/A,#N/A,FALSE,"Test 120 Day Accts";#N/A,#N/A,FALSE,"Tickmarks"}</definedName>
    <definedName name="s_1">{#N/A,#N/A,FALSE,"Aging Summary";#N/A,#N/A,FALSE,"Ratio Analysis";#N/A,#N/A,FALSE,"Test 120 Day Accts";#N/A,#N/A,FALSE,"Tickmarks"}</definedName>
    <definedName name="s_2">{#N/A,#N/A,FALSE,"EW"}</definedName>
    <definedName name="s_2_1">{#N/A,#N/A,FALSE,"EW"}</definedName>
    <definedName name="s_2_2">{#N/A,#N/A,FALSE,"EW"}</definedName>
    <definedName name="s_2_3">{#N/A,#N/A,FALSE,"EW"}</definedName>
    <definedName name="s_2_4">{#N/A,#N/A,FALSE,"EW"}</definedName>
    <definedName name="s_3">{#N/A,#N/A,FALSE,"EW"}</definedName>
    <definedName name="s_3_1">{#N/A,#N/A,FALSE,"EW"}</definedName>
    <definedName name="s_3_2">{#N/A,#N/A,FALSE,"EW"}</definedName>
    <definedName name="s_3_3">{#N/A,#N/A,FALSE,"EW"}</definedName>
    <definedName name="s_3_4">{#N/A,#N/A,FALSE,"EW"}</definedName>
    <definedName name="s_4">{#N/A,#N/A,FALSE,"EW"}</definedName>
    <definedName name="s_4_1">{#N/A,#N/A,FALSE,"EW"}</definedName>
    <definedName name="s_4_2">{#N/A,#N/A,FALSE,"EW"}</definedName>
    <definedName name="s_4_3">{#N/A,#N/A,FALSE,"EW"}</definedName>
    <definedName name="s_4_4">{#N/A,#N/A,FALSE,"EW"}</definedName>
    <definedName name="s_5">{#N/A,#N/A,FALSE,"Aging Summary";#N/A,#N/A,FALSE,"Ratio Analysis";#N/A,#N/A,FALSE,"Test 120 Day Accts";#N/A,#N/A,FALSE,"Tickmarks"}</definedName>
    <definedName name="S_Adjust_Data">#REF!</definedName>
    <definedName name="S_AJE_Tot_Data">#REF!</definedName>
    <definedName name="S_CY_Beg_Data">#REF!</definedName>
    <definedName name="S_CY_End_Data">#REF!</definedName>
    <definedName name="S_PY_End_Data">#REF!</definedName>
    <definedName name="S_RJE_Tot_Data">#REF!</definedName>
    <definedName name="S3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3A.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A">#REF!</definedName>
    <definedName name="sa_Local_Currency">#REF!</definedName>
    <definedName name="SA_PA">#REF!</definedName>
    <definedName name="SAA">#REF!</definedName>
    <definedName name="SABRINATHANV">#REF!</definedName>
    <definedName name="sad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sadasdfff">{#N/A,#N/A,FALSE,"Assets"}</definedName>
    <definedName name="sadfs">#REF!</definedName>
    <definedName name="sadgtdrt">{#N/A,#N/A,FALSE,"PMTABB";#N/A,#N/A,FALSE,"PMTABB"}</definedName>
    <definedName name="sadgtdrt_1">{#N/A,#N/A,FALSE,"PMTABB";#N/A,#N/A,FALSE,"PMTABB"}</definedName>
    <definedName name="sadgtdrt_2">{#N/A,#N/A,FALSE,"PMTABB";#N/A,#N/A,FALSE,"PMTABB"}</definedName>
    <definedName name="sadgtdrt_2_1">{#N/A,#N/A,FALSE,"PMTABB";#N/A,#N/A,FALSE,"PMTABB"}</definedName>
    <definedName name="sadgtdrt_2_2">{#N/A,#N/A,FALSE,"PMTABB";#N/A,#N/A,FALSE,"PMTABB"}</definedName>
    <definedName name="sadgtdrt_2_3">{#N/A,#N/A,FALSE,"PMTABB";#N/A,#N/A,FALSE,"PMTABB"}</definedName>
    <definedName name="sadgtdrt_2_4">{#N/A,#N/A,FALSE,"PMTABB";#N/A,#N/A,FALSE,"PMTABB"}</definedName>
    <definedName name="sadgtdrt_3">{#N/A,#N/A,FALSE,"PMTABB";#N/A,#N/A,FALSE,"PMTABB"}</definedName>
    <definedName name="sadgtdrt_3_1">{#N/A,#N/A,FALSE,"PMTABB";#N/A,#N/A,FALSE,"PMTABB"}</definedName>
    <definedName name="sadgtdrt_3_2">{#N/A,#N/A,FALSE,"PMTABB";#N/A,#N/A,FALSE,"PMTABB"}</definedName>
    <definedName name="sadgtdrt_3_3">{#N/A,#N/A,FALSE,"PMTABB";#N/A,#N/A,FALSE,"PMTABB"}</definedName>
    <definedName name="sadgtdrt_3_4">{#N/A,#N/A,FALSE,"PMTABB";#N/A,#N/A,FALSE,"PMTABB"}</definedName>
    <definedName name="sadgtdrt_4">{#N/A,#N/A,FALSE,"PMTABB";#N/A,#N/A,FALSE,"PMTABB"}</definedName>
    <definedName name="sadgtdrt_4_1">{#N/A,#N/A,FALSE,"PMTABB";#N/A,#N/A,FALSE,"PMTABB"}</definedName>
    <definedName name="sadgtdrt_4_2">{#N/A,#N/A,FALSE,"PMTABB";#N/A,#N/A,FALSE,"PMTABB"}</definedName>
    <definedName name="sadgtdrt_4_3">{#N/A,#N/A,FALSE,"PMTABB";#N/A,#N/A,FALSE,"PMTABB"}</definedName>
    <definedName name="sadgtdrt_4_4">{#N/A,#N/A,FALSE,"PMTABB";#N/A,#N/A,FALSE,"PMTABB"}</definedName>
    <definedName name="sadgtdrt_5">{#N/A,#N/A,FALSE,"PMTABB";#N/A,#N/A,FALSE,"PMTABB"}</definedName>
    <definedName name="saef">{#N/A,#N/A,FALSE,"Emerging Mkt Fund"}</definedName>
    <definedName name="sagarbsc">#REF!</definedName>
    <definedName name="sagarconv">#REF!</definedName>
    <definedName name="sagarded">#REF!</definedName>
    <definedName name="sagarhra">#REF!</definedName>
    <definedName name="Sagarit">#REF!</definedName>
    <definedName name="sagarmed">#REF!</definedName>
    <definedName name="sagarpd">#REF!</definedName>
    <definedName name="sagarpf">#REF!</definedName>
    <definedName name="sagarpt">#REF!</definedName>
    <definedName name="sagarspla">#REF!</definedName>
    <definedName name="SAHOTASATNAMSINGHJAGDISH">#REF!</definedName>
    <definedName name="sajkdkjkjfnenkfndkmncirfndvcijndjncmdncjjicndkjnckjndskmcnmdksncmjnwkmndfmnminkjnsmncfmsncvnsmncdsandmrkjfklfwlffk">#REF!</definedName>
    <definedName name="SAKORE">#REF!</definedName>
    <definedName name="SAL">#REF!</definedName>
    <definedName name="SALA">#REF!</definedName>
    <definedName name="salajbsc">#REF!</definedName>
    <definedName name="salajconv">#REF!</definedName>
    <definedName name="salajded">#REF!</definedName>
    <definedName name="salajhm">#REF!</definedName>
    <definedName name="salajint">#REF!</definedName>
    <definedName name="salajit">#REF!</definedName>
    <definedName name="salajmed">#REF!</definedName>
    <definedName name="salajpd">#REF!</definedName>
    <definedName name="salajpf">#REF!</definedName>
    <definedName name="salajpt">#REF!</definedName>
    <definedName name="salajrent">#REF!</definedName>
    <definedName name="salajspla">#REF!</definedName>
    <definedName name="SALARIES__WAGES___BONUS">#REF!</definedName>
    <definedName name="Salaries_and_Related_Costs">#REF!</definedName>
    <definedName name="SALARIES_OTHER_ALLOWANCE">#REF!</definedName>
    <definedName name="SALARIES_STIPEND">#REF!</definedName>
    <definedName name="SALARIES_WAGES_PAYABLE">#REF!</definedName>
    <definedName name="salary">#REF!</definedName>
    <definedName name="Salary___192B">#REF!</definedName>
    <definedName name="Salary___Other_Benefits">#REF!</definedName>
    <definedName name="SALARY_CONVEYANCE_ALLOWANCE">#REF!</definedName>
    <definedName name="SALARY_SPECIAL_ALLOWANCE">#REF!</definedName>
    <definedName name="SALARYCENTER">#REF!</definedName>
    <definedName name="SALARYCENTER1">#REF!</definedName>
    <definedName name="SALARYCENTER10">#REF!</definedName>
    <definedName name="SALARYCENTER11">#REF!</definedName>
    <definedName name="SALARYCENTER12">#REF!</definedName>
    <definedName name="SALARYCENTER13">#REF!</definedName>
    <definedName name="SALARYCENTER14">#REF!</definedName>
    <definedName name="SALARYCENTER15">#REF!</definedName>
    <definedName name="SALARYCENTER16">#REF!</definedName>
    <definedName name="SALARYCENTER17">#REF!</definedName>
    <definedName name="SALARYCENTER18">#REF!</definedName>
    <definedName name="SALARYCENTER19">#REF!</definedName>
    <definedName name="SALARYCENTER2">#REF!</definedName>
    <definedName name="SALARYCENTER20">#REF!</definedName>
    <definedName name="SALARYCENTER21">#REF!</definedName>
    <definedName name="SALARYCENTER22">#REF!</definedName>
    <definedName name="SALARYCENTER3">#REF!</definedName>
    <definedName name="SALARYCENTER4">#REF!</definedName>
    <definedName name="SALARYCENTER5">#REF!</definedName>
    <definedName name="SALARYCENTER6">#REF!</definedName>
    <definedName name="SALARYCENTER7">#REF!</definedName>
    <definedName name="SALARYCENTER8">#REF!</definedName>
    <definedName name="SALARYCENTER9">#REF!</definedName>
    <definedName name="SALE">#REF!</definedName>
    <definedName name="SALE.QTY">#REF!</definedName>
    <definedName name="SALE.VALUE">#REF!</definedName>
    <definedName name="SALE1">{#N/A,#N/A,FALSE,"12"}</definedName>
    <definedName name="SALEBOH">#REF!</definedName>
    <definedName name="SALEEOH">#REF!</definedName>
    <definedName name="SALES">#REF!</definedName>
    <definedName name="SALES_INCENTIVE">#REF!</definedName>
    <definedName name="SALES_PROMOTION_EXPENSES">#REF!</definedName>
    <definedName name="Sales_Receipts">#REF!</definedName>
    <definedName name="SALES_TAX__EXPENSES">#REF!</definedName>
    <definedName name="SALES_TAX_BILLED">#REF!</definedName>
    <definedName name="SALES_TAX_PAYABLE">#REF!</definedName>
    <definedName name="SALES_TAX_REFUNDABLE">#REF!</definedName>
    <definedName name="SalesRep1">#REF!</definedName>
    <definedName name="SaleType">#REF!</definedName>
    <definedName name="SaleUnit">#REF!,#REF!,#REF!,#REF!,#REF!,#REF!,#REF!,#REF!</definedName>
    <definedName name="SaleValue">#REF!,#REF!,#REF!,#REF!,#REF!,#REF!,#REF!,#REF!</definedName>
    <definedName name="SALHC">#REF!</definedName>
    <definedName name="sally">{#N/A,#N/A,FALSE,"Pharm";#N/A,#N/A,FALSE,"WWCM"}</definedName>
    <definedName name="sally_1">{#N/A,#N/A,FALSE,"Pharm";#N/A,#N/A,FALSE,"WWCM"}</definedName>
    <definedName name="sally_2">{#N/A,#N/A,FALSE,"Pharm";#N/A,#N/A,FALSE,"WWCM"}</definedName>
    <definedName name="sally_3">{#N/A,#N/A,FALSE,"Pharm";#N/A,#N/A,FALSE,"WWCM"}</definedName>
    <definedName name="sally_4">{#N/A,#N/A,FALSE,"Pharm";#N/A,#N/A,FALSE,"WWCM"}</definedName>
    <definedName name="sally_5">{#N/A,#N/A,FALSE,"Pharm";#N/A,#N/A,FALSE,"WWCM"}</definedName>
    <definedName name="SALNEW">#REF!</definedName>
    <definedName name="salsum">#REF!</definedName>
    <definedName name="salsun">#REF!</definedName>
    <definedName name="saltech">#REF!</definedName>
    <definedName name="SALTOT">#REF!</definedName>
    <definedName name="SALVI">#REF!</definedName>
    <definedName name="SAMBOH">#REF!</definedName>
    <definedName name="samedi">{#N/A,#N/A,FALSE,"Tabl. A1";#N/A,#N/A,FALSE,"Tabl. A1 b";#N/A,#N/A,FALSE,"Tabl. A2";#N/A,#N/A,FALSE,"Tabl. A2-1";#N/A,#N/A,FALSE,"Tabl. A2-2"}</definedName>
    <definedName name="samedi_1">{#N/A,#N/A,FALSE,"Tabl. A1";#N/A,#N/A,FALSE,"Tabl. A1 b";#N/A,#N/A,FALSE,"Tabl. A2";#N/A,#N/A,FALSE,"Tabl. A2-1";#N/A,#N/A,FALSE,"Tabl. A2-2"}</definedName>
    <definedName name="samedi_2">{#N/A,#N/A,FALSE,"Tabl. A1";#N/A,#N/A,FALSE,"Tabl. A1 b";#N/A,#N/A,FALSE,"Tabl. A2";#N/A,#N/A,FALSE,"Tabl. A2-1";#N/A,#N/A,FALSE,"Tabl. A2-2"}</definedName>
    <definedName name="samedi_3">{#N/A,#N/A,FALSE,"Tabl. A1";#N/A,#N/A,FALSE,"Tabl. A1 b";#N/A,#N/A,FALSE,"Tabl. A2";#N/A,#N/A,FALSE,"Tabl. A2-1";#N/A,#N/A,FALSE,"Tabl. A2-2"}</definedName>
    <definedName name="samedi_4">{#N/A,#N/A,FALSE,"Tabl. A1";#N/A,#N/A,FALSE,"Tabl. A1 b";#N/A,#N/A,FALSE,"Tabl. A2";#N/A,#N/A,FALSE,"Tabl. A2-1";#N/A,#N/A,FALSE,"Tabl. A2-2"}</definedName>
    <definedName name="sameerbsc">#REF!</definedName>
    <definedName name="sameercar">#REF!</definedName>
    <definedName name="sameerded">#REF!</definedName>
    <definedName name="sameeremi">#REF!</definedName>
    <definedName name="sameerfuel">#REF!</definedName>
    <definedName name="sameerhra">#REF!</definedName>
    <definedName name="sameerins">#REF!</definedName>
    <definedName name="sameerit">#REF!</definedName>
    <definedName name="sameermed">#REF!</definedName>
    <definedName name="sameerpd">#REF!</definedName>
    <definedName name="sameerpf">#REF!</definedName>
    <definedName name="sameerpt">#REF!</definedName>
    <definedName name="sameersaf">#REF!</definedName>
    <definedName name="sameerspla">#REF!</definedName>
    <definedName name="SAMEOH">#REF!</definedName>
    <definedName name="Samp_TM_Exp_Diff">#REF!</definedName>
    <definedName name="sandeepCbsc">#REF!</definedName>
    <definedName name="sandeepCcar">#REF!</definedName>
    <definedName name="sandeepCded">#REF!</definedName>
    <definedName name="sandeepCemi">#REF!</definedName>
    <definedName name="sandeepCfuel">#REF!</definedName>
    <definedName name="sandeepChm">#REF!</definedName>
    <definedName name="sandeepCins">#REF!</definedName>
    <definedName name="sandeepCit">#REF!</definedName>
    <definedName name="sandeepCmed">#REF!</definedName>
    <definedName name="sandeepCpd">#REF!</definedName>
    <definedName name="sandeepCpf">#REF!</definedName>
    <definedName name="sandeepCpt">#REF!</definedName>
    <definedName name="sandeepCregn">#REF!</definedName>
    <definedName name="sandeepCrent">#REF!</definedName>
    <definedName name="sandeepCspla">#REF!</definedName>
    <definedName name="sandeepTbsc">#REF!</definedName>
    <definedName name="sandeepTconv">#REF!</definedName>
    <definedName name="sandeepTded">#REF!</definedName>
    <definedName name="sandeepThra">#REF!</definedName>
    <definedName name="sandeepTit">#REF!</definedName>
    <definedName name="sandeepTmed">#REF!</definedName>
    <definedName name="sandeepTpd">#REF!</definedName>
    <definedName name="sandeepTpf">#REF!</definedName>
    <definedName name="sandeepTpt">#REF!</definedName>
    <definedName name="sandeepTspla">#REF!</definedName>
    <definedName name="SANGLEG">#REF!</definedName>
    <definedName name="sanjaybsc">#REF!</definedName>
    <definedName name="sanjayconv">#REF!</definedName>
    <definedName name="sanjayded">#REF!</definedName>
    <definedName name="sanjayhra">#REF!</definedName>
    <definedName name="sanjayint">#REF!</definedName>
    <definedName name="sanjayit">#REF!</definedName>
    <definedName name="sanjaymed">#REF!</definedName>
    <definedName name="sanjaypd">#REF!</definedName>
    <definedName name="sanjaypf">#REF!</definedName>
    <definedName name="sanjaypt">#REF!</definedName>
    <definedName name="sanjayrent">#REF!</definedName>
    <definedName name="sanjayspla">#REF!</definedName>
    <definedName name="santoshbsc">#REF!</definedName>
    <definedName name="santoshconv">#REF!</definedName>
    <definedName name="santoshded">#REF!</definedName>
    <definedName name="santoshemi">#REF!</definedName>
    <definedName name="santoshhra">#REF!</definedName>
    <definedName name="santoshins">#REF!</definedName>
    <definedName name="santoshit">#REF!</definedName>
    <definedName name="santoshmed">#REF!</definedName>
    <definedName name="SANTOSHMJADHAV">#REF!</definedName>
    <definedName name="santoshpd">#REF!</definedName>
    <definedName name="santoshpf">#REF!</definedName>
    <definedName name="santoshpt">#REF!</definedName>
    <definedName name="santoshregn">#REF!</definedName>
    <definedName name="santoshsaf">#REF!</definedName>
    <definedName name="santoshspla">#REF!</definedName>
    <definedName name="SAPBEXdnldView">"44SJDJGBS7UXL226DUCMWI5N5"</definedName>
    <definedName name="SAPBEXhrIndnt">"Wide"</definedName>
    <definedName name="SAPBEXrevision">1</definedName>
    <definedName name="SAPBEXsysID">"PPX"</definedName>
    <definedName name="SAPBEXwbID">"3MLCRHQXZKKPW0CTN5L78D5ZO"</definedName>
    <definedName name="SAPFuncF4Help">Main.SAPF4Help()</definedName>
    <definedName name="SAPJEOUTPUT">#REF!</definedName>
    <definedName name="SAPsysID">"708C5W7SBKP804JT78WJ0JNKI"</definedName>
    <definedName name="SAPwbID">"ARS"</definedName>
    <definedName name="saraswat_co_op_bank___book">#REF!</definedName>
    <definedName name="SARASWAT_CO_OP_BANK___CAR_LOAN">#REF!</definedName>
    <definedName name="saraswat_co_op_bank__1st_book">#REF!</definedName>
    <definedName name="SARASWAT_CO_OP_BANK_CAR_LOAN_II__QUALIS">#REF!</definedName>
    <definedName name="SARDESHPANDEPRASHANT">#REF!</definedName>
    <definedName name="SARODEAVINASH">#REF!</definedName>
    <definedName name="SARVADNYAR">#REF!</definedName>
    <definedName name="saryder">{#N/A,#N/A,FALSE,"PGW"}</definedName>
    <definedName name="saryder_1">{#N/A,#N/A,FALSE,"PGW"}</definedName>
    <definedName name="saryder_1_1">{#N/A,#N/A,FALSE,"PGW"}</definedName>
    <definedName name="saryder_1_2">{#N/A,#N/A,FALSE,"PGW"}</definedName>
    <definedName name="saryder_1_3">{#N/A,#N/A,FALSE,"PGW"}</definedName>
    <definedName name="saryder_1_4">{#N/A,#N/A,FALSE,"PGW"}</definedName>
    <definedName name="saryder_2">{#N/A,#N/A,FALSE,"PGW"}</definedName>
    <definedName name="saryder_2_1">{#N/A,#N/A,FALSE,"PGW"}</definedName>
    <definedName name="saryder_2_2">{#N/A,#N/A,FALSE,"PGW"}</definedName>
    <definedName name="saryder_2_3">{#N/A,#N/A,FALSE,"PGW"}</definedName>
    <definedName name="saryder_2_4">{#N/A,#N/A,FALSE,"PGW"}</definedName>
    <definedName name="saryder_3">{#N/A,#N/A,FALSE,"PGW"}</definedName>
    <definedName name="saryder_3_1">{#N/A,#N/A,FALSE,"PGW"}</definedName>
    <definedName name="saryder_3_2">{#N/A,#N/A,FALSE,"PGW"}</definedName>
    <definedName name="saryder_3_3">{#N/A,#N/A,FALSE,"PGW"}</definedName>
    <definedName name="saryder_3_4">{#N/A,#N/A,FALSE,"PGW"}</definedName>
    <definedName name="saryder_4">{#N/A,#N/A,FALSE,"PGW"}</definedName>
    <definedName name="saryder_4_1">{#N/A,#N/A,FALSE,"PGW"}</definedName>
    <definedName name="saryder_4_2">{#N/A,#N/A,FALSE,"PGW"}</definedName>
    <definedName name="saryder_4_3">{#N/A,#N/A,FALSE,"PGW"}</definedName>
    <definedName name="saryder_4_4">{#N/A,#N/A,FALSE,"PGW"}</definedName>
    <definedName name="saryder_5">{#N/A,#N/A,FALSE,"PGW"}</definedName>
    <definedName name="SAS_Institute_Japan">#REF!</definedName>
    <definedName name="sasa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SAT">#REF!</definedName>
    <definedName name="SATPUTE">#REF!</definedName>
    <definedName name="satu">#REF!</definedName>
    <definedName name="SAVE">#REF!</definedName>
    <definedName name="SAVE_MENU">#REF!</definedName>
    <definedName name="SaveNewFile">#REF!</definedName>
    <definedName name="SAWANTAMOL">#REF!</definedName>
    <definedName name="SAWANTS">#REF!</definedName>
    <definedName name="sb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BI">#REF!</definedName>
    <definedName name="sc">{#N/A,#N/A,FALSE,"Cash Flows";#N/A,#N/A,FALSE,"Fixed Assets";#N/A,#N/A,FALSE,"Balance Sheet";#N/A,#N/A,FALSE,"P &amp; L"}</definedName>
    <definedName name="Scale">#REF!</definedName>
    <definedName name="SCB">#REF!</definedName>
    <definedName name="scbl_car_loan___222018">#REF!</definedName>
    <definedName name="SCE">#REF!</definedName>
    <definedName name="scenario">#REF!</definedName>
    <definedName name="scF">#REF!</definedName>
    <definedName name="SCG">{#N/A,#N/A,FALSE,"Tabl. D1";#N/A,#N/A,FALSE,"Tabl. D1 b";#N/A,#N/A,FALSE,"Tabl. D2";#N/A,#N/A,FALSE,"Tabl. D2 b";#N/A,#N/A,FALSE,"Tabl. D3";#N/A,#N/A,FALSE,"Tabl. D4";#N/A,#N/A,FALSE,"Tabl. D5"}</definedName>
    <definedName name="SCG_1">{#N/A,#N/A,FALSE,"Tabl. D1";#N/A,#N/A,FALSE,"Tabl. D1 b";#N/A,#N/A,FALSE,"Tabl. D2";#N/A,#N/A,FALSE,"Tabl. D2 b";#N/A,#N/A,FALSE,"Tabl. D3";#N/A,#N/A,FALSE,"Tabl. D4";#N/A,#N/A,FALSE,"Tabl. D5"}</definedName>
    <definedName name="SCG_2">{#N/A,#N/A,FALSE,"Tabl. D1";#N/A,#N/A,FALSE,"Tabl. D1 b";#N/A,#N/A,FALSE,"Tabl. D2";#N/A,#N/A,FALSE,"Tabl. D2 b";#N/A,#N/A,FALSE,"Tabl. D3";#N/A,#N/A,FALSE,"Tabl. D4";#N/A,#N/A,FALSE,"Tabl. D5"}</definedName>
    <definedName name="SCG_3">{#N/A,#N/A,FALSE,"Tabl. D1";#N/A,#N/A,FALSE,"Tabl. D1 b";#N/A,#N/A,FALSE,"Tabl. D2";#N/A,#N/A,FALSE,"Tabl. D2 b";#N/A,#N/A,FALSE,"Tabl. D3";#N/A,#N/A,FALSE,"Tabl. D4";#N/A,#N/A,FALSE,"Tabl. D5"}</definedName>
    <definedName name="SCG_4">{#N/A,#N/A,FALSE,"Tabl. D1";#N/A,#N/A,FALSE,"Tabl. D1 b";#N/A,#N/A,FALSE,"Tabl. D2";#N/A,#N/A,FALSE,"Tabl. D2 b";#N/A,#N/A,FALSE,"Tabl. D3";#N/A,#N/A,FALSE,"Tabl. D4";#N/A,#N/A,FALSE,"Tabl. D5"}</definedName>
    <definedName name="Sch">#REF!</definedName>
    <definedName name="SCH_12_13">#REF!</definedName>
    <definedName name="SCH_INVENTORY_CHANGE">#REF!</definedName>
    <definedName name="SCH_MATERIALS_CONSUMED">#REF!</definedName>
    <definedName name="SCH1_1">#REF!</definedName>
    <definedName name="Sch13_16">#REF!</definedName>
    <definedName name="SCH2FA_2003_BARODA">{#N/A,#N/A,FALSE,"Sheet7"}</definedName>
    <definedName name="SCH3_1">#REF!</definedName>
    <definedName name="SCH3_2">#REF!</definedName>
    <definedName name="SCH3_3">#REF!</definedName>
    <definedName name="SCH3DEP">#REF!</definedName>
    <definedName name="SCH6_2">#REF!</definedName>
    <definedName name="SCH6_3">#REF!</definedName>
    <definedName name="SCH6_4">#REF!</definedName>
    <definedName name="SCH6_5">#REF!</definedName>
    <definedName name="SCH6DM95">#REF!</definedName>
    <definedName name="Sch7_11">#REF!</definedName>
    <definedName name="SCH7B">#REF!</definedName>
    <definedName name="Sch8_12">#REF!</definedName>
    <definedName name="schb">#REF!</definedName>
    <definedName name="schbal1">#REF!</definedName>
    <definedName name="schbal2">#REF!</definedName>
    <definedName name="schc">#REF!</definedName>
    <definedName name="schd">#REF!</definedName>
    <definedName name="Schdule1">{#N/A,#N/A,FALSE,"COMP"}</definedName>
    <definedName name="sche">#REF!</definedName>
    <definedName name="SCHE.3">#REF!</definedName>
    <definedName name="SCHE.4">#REF!</definedName>
    <definedName name="SCHE.6">#REF!</definedName>
    <definedName name="SCHE.7">#REF!</definedName>
    <definedName name="SCHED.11">#REF!</definedName>
    <definedName name="SCHED.12">#REF!</definedName>
    <definedName name="SCHED.13">#REF!</definedName>
    <definedName name="SCHED.17">#REF!</definedName>
    <definedName name="Sched_Pay">#REF!</definedName>
    <definedName name="SCHEDULE">#REF!</definedName>
    <definedName name="schedule1">#REF!</definedName>
    <definedName name="schedule4">#REF!</definedName>
    <definedName name="schedule6">#REF!</definedName>
    <definedName name="schedule9">#REF!</definedName>
    <definedName name="Scheduled_Extra_Payments">#REF!</definedName>
    <definedName name="Scheduled_Monthly_Payment">#REF!</definedName>
    <definedName name="schf">#REF!</definedName>
    <definedName name="schi">#REF!</definedName>
    <definedName name="schj">#REF!</definedName>
    <definedName name="schk">#REF!</definedName>
    <definedName name="schl1">#REF!</definedName>
    <definedName name="schl2">#REF!</definedName>
    <definedName name="schl3">#REF!</definedName>
    <definedName name="SCHN_ANNUAL_CAPACITIES_AND_PRODUCTION">#REF!</definedName>
    <definedName name="SCHN_CONSUMPTION_OF_RAW_MATERIALS_AND_STORES">#REF!</definedName>
    <definedName name="SCHN_INVENTORY_OF_FINISHED_GOODS">#REF!</definedName>
    <definedName name="SCHN_PURCHASES">#REF!</definedName>
    <definedName name="SCHN_RAW_MATERIALS_CONSUMED">#REF!</definedName>
    <definedName name="SCHN_SALES_TURNOVER">#REF!</definedName>
    <definedName name="SCHN_SEGMENTAL_INFORMATION">#REF!</definedName>
    <definedName name="SCRAP_SALES">#REF!</definedName>
    <definedName name="SCRBOH">#REF!</definedName>
    <definedName name="SCREOH">#REF!</definedName>
    <definedName name="SD">{#N/A,#N/A,FALSE,"Pharm";#N/A,#N/A,FALSE,"WWCM"}</definedName>
    <definedName name="SD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5">{#N/A,#N/A,FALSE,"Pharm";#N/A,#N/A,FALSE,"WWCM"}</definedName>
    <definedName name="SD_SB">#REF!</definedName>
    <definedName name="SDA">#REF!</definedName>
    <definedName name="SDADSD">{#N/A,#N/A,FALSE,"6"}</definedName>
    <definedName name="sdafgs">{#N/A,#N/A,FALSE,"Pharm";#N/A,#N/A,FALSE,"WWCM"}</definedName>
    <definedName name="sdafgs_1">{#N/A,#N/A,FALSE,"Pharm";#N/A,#N/A,FALSE,"WWCM"}</definedName>
    <definedName name="sdafgs_2">{#N/A,#N/A,FALSE,"Pharm";#N/A,#N/A,FALSE,"WWCM"}</definedName>
    <definedName name="sdafgs_3">{#N/A,#N/A,FALSE,"Pharm";#N/A,#N/A,FALSE,"WWCM"}</definedName>
    <definedName name="sdafgs_4">{#N/A,#N/A,FALSE,"Pharm";#N/A,#N/A,FALSE,"WWCM"}</definedName>
    <definedName name="sdafgs_5">{#N/A,#N/A,FALSE,"Pharm";#N/A,#N/A,FALSE,"WWCM"}</definedName>
    <definedName name="SDASD">#REF!</definedName>
    <definedName name="sdbbsdkbfgbsdk.fj">{#N/A,#N/A,FALSE,"PMTABB";#N/A,#N/A,FALSE,"PMTABB"}</definedName>
    <definedName name="sdbbsdkbfgbsdk.fj_1">{#N/A,#N/A,FALSE,"PMTABB";#N/A,#N/A,FALSE,"PMTABB"}</definedName>
    <definedName name="sdbbsdkbfgbsdk.fj_2">{#N/A,#N/A,FALSE,"PMTABB";#N/A,#N/A,FALSE,"PMTABB"}</definedName>
    <definedName name="sdbbsdkbfgbsdk.fj_3">{#N/A,#N/A,FALSE,"PMTABB";#N/A,#N/A,FALSE,"PMTABB"}</definedName>
    <definedName name="sdbbsdkbfgbsdk.fj_4">{#N/A,#N/A,FALSE,"PMTABB";#N/A,#N/A,FALSE,"PMTABB"}</definedName>
    <definedName name="sdcasc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dcfa">#REF!</definedName>
    <definedName name="SDF">{#N/A,#N/A,FALSE,"Tabl. G1";#N/A,#N/A,FALSE,"Tabl. G2"}</definedName>
    <definedName name="SDF_1">{#N/A,#N/A,FALSE,"Tabl. G1";#N/A,#N/A,FALSE,"Tabl. G2"}</definedName>
    <definedName name="SDF_2">{#N/A,#N/A,FALSE,"Tabl. G1";#N/A,#N/A,FALSE,"Tabl. G2"}</definedName>
    <definedName name="SDF_3">{#N/A,#N/A,FALSE,"Tabl. G1";#N/A,#N/A,FALSE,"Tabl. G2"}</definedName>
    <definedName name="SDF_4">{#N/A,#N/A,FALSE,"Tabl. G1";#N/A,#N/A,FALSE,"Tabl. G2"}</definedName>
    <definedName name="sdfag">{#N/A,#N/A,FALSE,"FREE"}</definedName>
    <definedName name="sdfag_1">{#N/A,#N/A,FALSE,"FREE"}</definedName>
    <definedName name="sdfag_2">{#N/A,#N/A,FALSE,"FREE"}</definedName>
    <definedName name="sdfag_2_1">{#N/A,#N/A,FALSE,"FREE"}</definedName>
    <definedName name="sdfag_2_2">{#N/A,#N/A,FALSE,"FREE"}</definedName>
    <definedName name="sdfag_2_3">{#N/A,#N/A,FALSE,"FREE"}</definedName>
    <definedName name="sdfag_2_4">{#N/A,#N/A,FALSE,"FREE"}</definedName>
    <definedName name="sdfag_3">{#N/A,#N/A,FALSE,"FREE"}</definedName>
    <definedName name="sdfag_3_1">{#N/A,#N/A,FALSE,"FREE"}</definedName>
    <definedName name="sdfag_3_2">{#N/A,#N/A,FALSE,"FREE"}</definedName>
    <definedName name="sdfag_3_3">{#N/A,#N/A,FALSE,"FREE"}</definedName>
    <definedName name="sdfag_3_4">{#N/A,#N/A,FALSE,"FREE"}</definedName>
    <definedName name="sdfag_4">{#N/A,#N/A,FALSE,"FREE"}</definedName>
    <definedName name="sdfag_4_1">{#N/A,#N/A,FALSE,"FREE"}</definedName>
    <definedName name="sdfag_4_2">{#N/A,#N/A,FALSE,"FREE"}</definedName>
    <definedName name="sdfag_4_3">{#N/A,#N/A,FALSE,"FREE"}</definedName>
    <definedName name="sdfag_4_4">{#N/A,#N/A,FALSE,"FREE"}</definedName>
    <definedName name="sdfag_5">{#N/A,#N/A,FALSE,"FREE"}</definedName>
    <definedName name="sdfdsfsdfs">#REF!</definedName>
    <definedName name="sdfg">#REF!</definedName>
    <definedName name="sdfh">{#N/A,#N/A,FALSE,"Pharm";#N/A,#N/A,FALSE,"WWCM"}</definedName>
    <definedName name="sdfh_1">{#N/A,#N/A,FALSE,"Pharm";#N/A,#N/A,FALSE,"WWCM"}</definedName>
    <definedName name="sdfh_2">{#N/A,#N/A,FALSE,"Pharm";#N/A,#N/A,FALSE,"WWCM"}</definedName>
    <definedName name="sdfh_3">{#N/A,#N/A,FALSE,"Pharm";#N/A,#N/A,FALSE,"WWCM"}</definedName>
    <definedName name="sdfh_4">{#N/A,#N/A,FALSE,"Pharm";#N/A,#N/A,FALSE,"WWCM"}</definedName>
    <definedName name="sdfh_5">{#N/A,#N/A,FALSE,"Pharm";#N/A,#N/A,FALSE,"WWCM"}</definedName>
    <definedName name="sdfskdfskdf">{#N/A,#N/A,FALSE,"TOWNSHIP"}</definedName>
    <definedName name="sdfskdfskdf_1">{#N/A,#N/A,FALSE,"TOWNSHIP"}</definedName>
    <definedName name="sdfskdfskdf_1_1">{#N/A,#N/A,FALSE,"TOWNSHIP"}</definedName>
    <definedName name="sdfskdfskdf_1_2">{#N/A,#N/A,FALSE,"TOWNSHIP"}</definedName>
    <definedName name="sdfskdfskdf_1_3">{#N/A,#N/A,FALSE,"TOWNSHIP"}</definedName>
    <definedName name="sdfskdfskdf_1_4">{#N/A,#N/A,FALSE,"TOWNSHIP"}</definedName>
    <definedName name="sdfskdfskdf_2">{#N/A,#N/A,FALSE,"TOWNSHIP"}</definedName>
    <definedName name="sdfskdfskdf_2_1">{#N/A,#N/A,FALSE,"TOWNSHIP"}</definedName>
    <definedName name="sdfskdfskdf_2_2">{#N/A,#N/A,FALSE,"TOWNSHIP"}</definedName>
    <definedName name="sdfskdfskdf_2_3">{#N/A,#N/A,FALSE,"TOWNSHIP"}</definedName>
    <definedName name="sdfskdfskdf_2_4">{#N/A,#N/A,FALSE,"TOWNSHIP"}</definedName>
    <definedName name="sdfskdfskdf_3">{#N/A,#N/A,FALSE,"TOWNSHIP"}</definedName>
    <definedName name="sdfskdfskdf_3_1">{#N/A,#N/A,FALSE,"TOWNSHIP"}</definedName>
    <definedName name="sdfskdfskdf_3_2">{#N/A,#N/A,FALSE,"TOWNSHIP"}</definedName>
    <definedName name="sdfskdfskdf_3_3">{#N/A,#N/A,FALSE,"TOWNSHIP"}</definedName>
    <definedName name="sdfskdfskdf_3_4">{#N/A,#N/A,FALSE,"TOWNSHIP"}</definedName>
    <definedName name="sdfskdfskdf_4">{#N/A,#N/A,FALSE,"TOWNSHIP"}</definedName>
    <definedName name="sdfskdfskdf_4_1">{#N/A,#N/A,FALSE,"TOWNSHIP"}</definedName>
    <definedName name="sdfskdfskdf_4_2">{#N/A,#N/A,FALSE,"TOWNSHIP"}</definedName>
    <definedName name="sdfskdfskdf_4_3">{#N/A,#N/A,FALSE,"TOWNSHIP"}</definedName>
    <definedName name="sdfskdfskdf_4_4">{#N/A,#N/A,FALSE,"TOWNSHIP"}</definedName>
    <definedName name="sdfskdfskdf_5">{#N/A,#N/A,FALSE,"TOWNSHIP"}</definedName>
    <definedName name="sdg">{#N/A,#N/A,FALSE,"TOWNSHIP"}</definedName>
    <definedName name="sdg_1">{#N/A,#N/A,FALSE,"TOWNSHIP"}</definedName>
    <definedName name="sdg_2">{#N/A,#N/A,FALSE,"TOWNSHIP"}</definedName>
    <definedName name="sdg_2_1">{#N/A,#N/A,FALSE,"TOWNSHIP"}</definedName>
    <definedName name="sdg_2_2">{#N/A,#N/A,FALSE,"TOWNSHIP"}</definedName>
    <definedName name="sdg_2_3">{#N/A,#N/A,FALSE,"TOWNSHIP"}</definedName>
    <definedName name="sdg_2_4">{#N/A,#N/A,FALSE,"TOWNSHIP"}</definedName>
    <definedName name="sdg_3">{#N/A,#N/A,FALSE,"TOWNSHIP"}</definedName>
    <definedName name="sdg_3_1">{#N/A,#N/A,FALSE,"TOWNSHIP"}</definedName>
    <definedName name="sdg_3_2">{#N/A,#N/A,FALSE,"TOWNSHIP"}</definedName>
    <definedName name="sdg_3_3">{#N/A,#N/A,FALSE,"TOWNSHIP"}</definedName>
    <definedName name="sdg_3_4">{#N/A,#N/A,FALSE,"TOWNSHIP"}</definedName>
    <definedName name="sdg_4">{#N/A,#N/A,FALSE,"TOWNSHIP"}</definedName>
    <definedName name="sdg_4_1">{#N/A,#N/A,FALSE,"TOWNSHIP"}</definedName>
    <definedName name="sdg_4_2">{#N/A,#N/A,FALSE,"TOWNSHIP"}</definedName>
    <definedName name="sdg_4_3">{#N/A,#N/A,FALSE,"TOWNSHIP"}</definedName>
    <definedName name="sdg_4_4">{#N/A,#N/A,FALSE,"TOWNSHIP"}</definedName>
    <definedName name="sdg_5">{#N/A,#N/A,FALSE,"TOWNSHIP"}</definedName>
    <definedName name="sdgagf">{#N/A,#N/A,FALSE,"Pharm";#N/A,#N/A,FALSE,"WWCM"}</definedName>
    <definedName name="sdgagf_1">{#N/A,#N/A,FALSE,"Pharm";#N/A,#N/A,FALSE,"WWCM"}</definedName>
    <definedName name="sdgagf_2">{#N/A,#N/A,FALSE,"Pharm";#N/A,#N/A,FALSE,"WWCM"}</definedName>
    <definedName name="sdgagf_3">{#N/A,#N/A,FALSE,"Pharm";#N/A,#N/A,FALSE,"WWCM"}</definedName>
    <definedName name="sdgagf_4">{#N/A,#N/A,FALSE,"Pharm";#N/A,#N/A,FALSE,"WWCM"}</definedName>
    <definedName name="sdgagf_5">{#N/A,#N/A,FALSE,"Pharm";#N/A,#N/A,FALSE,"WWCM"}</definedName>
    <definedName name="sdgg">{#N/A,#N/A,FALSE,"Cash Flows";#N/A,#N/A,FALSE,"Fixed Assets";#N/A,#N/A,FALSE,"Balance Sheet";#N/A,#N/A,FALSE,"P &amp; L"}</definedName>
    <definedName name="sdn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drf">{#N/A,#N/A,FALSE,"FREE"}</definedName>
    <definedName name="sdrf_1">{#N/A,#N/A,FALSE,"FREE"}</definedName>
    <definedName name="sdrf_2">{#N/A,#N/A,FALSE,"FREE"}</definedName>
    <definedName name="sdrf_2_1">{#N/A,#N/A,FALSE,"FREE"}</definedName>
    <definedName name="sdrf_2_2">{#N/A,#N/A,FALSE,"FREE"}</definedName>
    <definedName name="sdrf_2_3">{#N/A,#N/A,FALSE,"FREE"}</definedName>
    <definedName name="sdrf_2_4">{#N/A,#N/A,FALSE,"FREE"}</definedName>
    <definedName name="sdrf_3">{#N/A,#N/A,FALSE,"FREE"}</definedName>
    <definedName name="sdrf_3_1">{#N/A,#N/A,FALSE,"FREE"}</definedName>
    <definedName name="sdrf_3_2">{#N/A,#N/A,FALSE,"FREE"}</definedName>
    <definedName name="sdrf_3_3">{#N/A,#N/A,FALSE,"FREE"}</definedName>
    <definedName name="sdrf_3_4">{#N/A,#N/A,FALSE,"FREE"}</definedName>
    <definedName name="sdrf_4">{#N/A,#N/A,FALSE,"FREE"}</definedName>
    <definedName name="sdrf_4_1">{#N/A,#N/A,FALSE,"FREE"}</definedName>
    <definedName name="sdrf_4_2">{#N/A,#N/A,FALSE,"FREE"}</definedName>
    <definedName name="sdrf_4_3">{#N/A,#N/A,FALSE,"FREE"}</definedName>
    <definedName name="sdrf_4_4">{#N/A,#N/A,FALSE,"FREE"}</definedName>
    <definedName name="sdrf_5">{#N/A,#N/A,FALSE,"FREE"}</definedName>
    <definedName name="sds">{"plansummary",#N/A,FALSE,"PlanSummary";"sales",#N/A,FALSE,"Sales Rec";"productivity",#N/A,FALSE,"Productivity Rec";"capitalspending",#N/A,FALSE,"Capital Spending"}</definedName>
    <definedName name="sds_1">{"plansummary",#N/A,FALSE,"PlanSummary";"sales",#N/A,FALSE,"Sales Rec";"productivity",#N/A,FALSE,"Productivity Rec";"capitalspending",#N/A,FALSE,"Capital Spending"}</definedName>
    <definedName name="sds_2">{"plansummary",#N/A,FALSE,"PlanSummary";"sales",#N/A,FALSE,"Sales Rec";"productivity",#N/A,FALSE,"Productivity Rec";"capitalspending",#N/A,FALSE,"Capital Spending"}</definedName>
    <definedName name="sds_3">{"plansummary",#N/A,FALSE,"PlanSummary";"sales",#N/A,FALSE,"Sales Rec";"productivity",#N/A,FALSE,"Productivity Rec";"capitalspending",#N/A,FALSE,"Capital Spending"}</definedName>
    <definedName name="sdsadasd">{#N/A,#N/A,FALSE,"Pharm";#N/A,#N/A,FALSE,"WWCM"}</definedName>
    <definedName name="sdsadasd_1">{#N/A,#N/A,FALSE,"Pharm";#N/A,#N/A,FALSE,"WWCM"}</definedName>
    <definedName name="sdsadasd_2">{#N/A,#N/A,FALSE,"Pharm";#N/A,#N/A,FALSE,"WWCM"}</definedName>
    <definedName name="sdsadasd_3">{#N/A,#N/A,FALSE,"Pharm";#N/A,#N/A,FALSE,"WWCM"}</definedName>
    <definedName name="sdsadasd_4">{#N/A,#N/A,FALSE,"Pharm";#N/A,#N/A,FALSE,"WWCM"}</definedName>
    <definedName name="sdsadasd_5">{#N/A,#N/A,FALSE,"Pharm";#N/A,#N/A,FALSE,"WWCM"}</definedName>
    <definedName name="sdsd">{#N/A,#N/A,FALSE,"REPORT"}</definedName>
    <definedName name="sdsd_1">{#N/A,#N/A,FALSE,"REPORT"}</definedName>
    <definedName name="sdsd_2">{#N/A,#N/A,FALSE,"REPORT"}</definedName>
    <definedName name="sdsd_3">{#N/A,#N/A,FALSE,"REPORT"}</definedName>
    <definedName name="sdsd_4">{#N/A,#N/A,FALSE,"REPORT"}</definedName>
    <definedName name="sdsd_5">{#N/A,#N/A,FALSE,"REPORT"}</definedName>
    <definedName name="SDT">#REF!</definedName>
    <definedName name="SE_NAME">""</definedName>
    <definedName name="SEBASTIANTITTO">#REF!</definedName>
    <definedName name="SECOND_SALES">#REF!</definedName>
    <definedName name="SecondMelterSize">#REF!</definedName>
    <definedName name="SecondSlip">#REF!</definedName>
    <definedName name="section">#REF!</definedName>
    <definedName name="Section_195">#REF!</definedName>
    <definedName name="Section_List">#REF!</definedName>
    <definedName name="SEctionCode">#REF!</definedName>
    <definedName name="SectionHead">#REF!</definedName>
    <definedName name="Sector">#REF!</definedName>
    <definedName name="SECURITY_EXPENSES">#REF!</definedName>
    <definedName name="Security_guard">#REF!</definedName>
    <definedName name="SECURITY_SERVICES">#REF!</definedName>
    <definedName name="sed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egment_desc">OFFSET(#REF!,0,0,COUNTA(#REF!)-1,2)</definedName>
    <definedName name="Segment_ID">OFFSET(#REF!,0,0,COUNTA(#REF!)-1,1)</definedName>
    <definedName name="SEGMENTAL">#REF!</definedName>
    <definedName name="SEGMT">#REF!</definedName>
    <definedName name="SEGUINE">#REF!</definedName>
    <definedName name="select2">#REF!</definedName>
    <definedName name="select2.Next">#REF!</definedName>
    <definedName name="SELECTION">#REF!</definedName>
    <definedName name="SelExpSer">#REF!</definedName>
    <definedName name="sell">#REF!</definedName>
    <definedName name="SEMIIN">#REF!</definedName>
    <definedName name="sencount">1</definedName>
    <definedName name="Sensitivity">#REF!</definedName>
    <definedName name="SEP">#REF!</definedName>
    <definedName name="SEPFA">#REF!</definedName>
    <definedName name="SepPay">#REF!</definedName>
    <definedName name="Sept">#REF!</definedName>
    <definedName name="SEPT04">#REF!</definedName>
    <definedName name="SEPT05">#REF!</definedName>
    <definedName name="SEPT06">#REF!</definedName>
    <definedName name="SEPTB">#REF!</definedName>
    <definedName name="septbang">#REF!</definedName>
    <definedName name="SEPTEMBER">#REF!</definedName>
    <definedName name="September.Adj">#REF!</definedName>
    <definedName name="septtrade">#REF!</definedName>
    <definedName name="serv">#REF!</definedName>
    <definedName name="servers">#REF!</definedName>
    <definedName name="Service_expense">#REF!</definedName>
    <definedName name="SERVICE_TAX_PAYABLE">#REF!</definedName>
    <definedName name="SERVICE_TAX_PROFESSION_TAX">#REF!</definedName>
    <definedName name="Service_Type">"Service Type"</definedName>
    <definedName name="SETUP">#REF!</definedName>
    <definedName name="SETUP_ONE">#REF!</definedName>
    <definedName name="SETUP_TWO">#REF!</definedName>
    <definedName name="sf">{#N/A,#N/A,FALSE,"Sales Graph";#N/A,#N/A,FALSE,"BUC Graph";#N/A,#N/A,FALSE,"P&amp;L - YTD"}</definedName>
    <definedName name="s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5">{#N/A,#N/A,FALSE,"Sales Graph";#N/A,#N/A,FALSE,"BUC Graph";#N/A,#N/A,FALSE,"P&amp;L - YTD"}</definedName>
    <definedName name="sfd">#REF!</definedName>
    <definedName name="sfdirect">{#N/A,#N/A,FALSE,"REPORT"}</definedName>
    <definedName name="sfdirect_1">{#N/A,#N/A,FALSE,"REPORT"}</definedName>
    <definedName name="sfdirect_2">{#N/A,#N/A,FALSE,"REPORT"}</definedName>
    <definedName name="sfdirect_3">{#N/A,#N/A,FALSE,"REPORT"}</definedName>
    <definedName name="sfdirect_4">{#N/A,#N/A,FALSE,"REPORT"}</definedName>
    <definedName name="sfdirect_5">{#N/A,#N/A,FALSE,"REPORT"}</definedName>
    <definedName name="sfdsfsdfds">#REF!</definedName>
    <definedName name="sfgerg">#REF!</definedName>
    <definedName name="sfv">#REF!</definedName>
    <definedName name="SG">#REF!</definedName>
    <definedName name="SGCInvChg">#REF!</definedName>
    <definedName name="sgddfg">{#N/A,#N/A,FALSE,"PMTABB";#N/A,#N/A,FALSE,"PMTABB"}</definedName>
    <definedName name="sgddfg_1">{#N/A,#N/A,FALSE,"PMTABB";#N/A,#N/A,FALSE,"PMTABB"}</definedName>
    <definedName name="sgddfg_2">{#N/A,#N/A,FALSE,"PMTABB";#N/A,#N/A,FALSE,"PMTABB"}</definedName>
    <definedName name="sgddfg_2_1">{#N/A,#N/A,FALSE,"PMTABB";#N/A,#N/A,FALSE,"PMTABB"}</definedName>
    <definedName name="sgddfg_2_2">{#N/A,#N/A,FALSE,"PMTABB";#N/A,#N/A,FALSE,"PMTABB"}</definedName>
    <definedName name="sgddfg_2_3">{#N/A,#N/A,FALSE,"PMTABB";#N/A,#N/A,FALSE,"PMTABB"}</definedName>
    <definedName name="sgddfg_2_4">{#N/A,#N/A,FALSE,"PMTABB";#N/A,#N/A,FALSE,"PMTABB"}</definedName>
    <definedName name="sgddfg_3">{#N/A,#N/A,FALSE,"PMTABB";#N/A,#N/A,FALSE,"PMTABB"}</definedName>
    <definedName name="sgddfg_3_1">{#N/A,#N/A,FALSE,"PMTABB";#N/A,#N/A,FALSE,"PMTABB"}</definedName>
    <definedName name="sgddfg_3_2">{#N/A,#N/A,FALSE,"PMTABB";#N/A,#N/A,FALSE,"PMTABB"}</definedName>
    <definedName name="sgddfg_3_3">{#N/A,#N/A,FALSE,"PMTABB";#N/A,#N/A,FALSE,"PMTABB"}</definedName>
    <definedName name="sgddfg_3_4">{#N/A,#N/A,FALSE,"PMTABB";#N/A,#N/A,FALSE,"PMTABB"}</definedName>
    <definedName name="sgddfg_4">{#N/A,#N/A,FALSE,"PMTABB";#N/A,#N/A,FALSE,"PMTABB"}</definedName>
    <definedName name="sgddfg_4_1">{#N/A,#N/A,FALSE,"PMTABB";#N/A,#N/A,FALSE,"PMTABB"}</definedName>
    <definedName name="sgddfg_4_2">{#N/A,#N/A,FALSE,"PMTABB";#N/A,#N/A,FALSE,"PMTABB"}</definedName>
    <definedName name="sgddfg_4_3">{#N/A,#N/A,FALSE,"PMTABB";#N/A,#N/A,FALSE,"PMTABB"}</definedName>
    <definedName name="sgddfg_4_4">{#N/A,#N/A,FALSE,"PMTABB";#N/A,#N/A,FALSE,"PMTABB"}</definedName>
    <definedName name="sgddfg_5">{#N/A,#N/A,FALSE,"PMTABB";#N/A,#N/A,FALSE,"PMTABB"}</definedName>
    <definedName name="SH_CAPITAL">#REF!</definedName>
    <definedName name="SHAIKH">#REF!</definedName>
    <definedName name="SHANBHAGPRASHANT">#REF!</definedName>
    <definedName name="shardulbsc">#REF!</definedName>
    <definedName name="shardulconv">#REF!</definedName>
    <definedName name="shardulded">#REF!</definedName>
    <definedName name="shardulhra">#REF!</definedName>
    <definedName name="shardulit">#REF!</definedName>
    <definedName name="shardulmed">#REF!</definedName>
    <definedName name="shardulpd">#REF!</definedName>
    <definedName name="shardulpf">#REF!</definedName>
    <definedName name="shardulpt">#REF!</definedName>
    <definedName name="shardulspla">#REF!</definedName>
    <definedName name="Share">#REF!</definedName>
    <definedName name="SHARE_CALL_MONEY">#REF!</definedName>
    <definedName name="SHARE_CAPITAL">#REF!</definedName>
    <definedName name="Share_Price">#REF!</definedName>
    <definedName name="SHARES">#REF!</definedName>
    <definedName name="Shares_Issued_Debt">#REF!</definedName>
    <definedName name="Shares_Issued_Option">#REF!</definedName>
    <definedName name="Shares_Issued_Preferred">#REF!</definedName>
    <definedName name="Shares_Outstanding">#REF!</definedName>
    <definedName name="SHARMA">#REF!</definedName>
    <definedName name="SHARMAAJAY">#REF!</definedName>
    <definedName name="sheet_choice">#REF!</definedName>
    <definedName name="Sheet_name_start">#REF!</definedName>
    <definedName name="sheet1">{#N/A,#N/A,FALSE,"Assumptions";#N/A,#N/A,FALSE,"1997 P&amp;L(pk) Estrada";#N/A,#N/A,FALSE,"ONGOING P&amp;L(pk) Estrada"}</definedName>
    <definedName name="Sheet1_BNE_MESSAGES">#REF!</definedName>
    <definedName name="Sheet1_BNE_MESSAGES_HIDDEN">#REF!</definedName>
    <definedName name="Sheet1_BNE_MESSAGES_LAMP">#REF!</definedName>
    <definedName name="Sheet1_BNE_UPLOAD">#REF!</definedName>
    <definedName name="Sheet1_GL_INTERFACE_ACCOUNTING_DATE">#REF!</definedName>
    <definedName name="Sheet1_GL_INTERFACE_ACTUAL_FLAG">#REF!</definedName>
    <definedName name="Sheet1_GL_INTERFACE_CURRENCY_CODE">#REF!</definedName>
    <definedName name="Sheet1_GL_INTERFACE_DATABASE">#REF!</definedName>
    <definedName name="Sheet1_GL_INTERFACE_ENTERED_CR">#REF!</definedName>
    <definedName name="Sheet1_GL_INTERFACE_ENTERED_DR">#REF!</definedName>
    <definedName name="Sheet1_GL_INTERFACE_REFERENCE1">#REF!</definedName>
    <definedName name="Sheet1_GL_INTERFACE_REFERENCE10">#REF!</definedName>
    <definedName name="Sheet1_GL_INTERFACE_REFERENCE4">#REF!</definedName>
    <definedName name="Sheet1_GL_INTERFACE_SEGMENT1">#REF!</definedName>
    <definedName name="Sheet1_GL_INTERFACE_SEGMENT3">#REF!</definedName>
    <definedName name="Sheet1_GL_INTERFACE_SEGMENT4">#REF!</definedName>
    <definedName name="Sheet1_GL_INTERFACE_SEGMENT5">#REF!</definedName>
    <definedName name="Sheet1_GL_INTERFACE_SEGMENT6">#REF!</definedName>
    <definedName name="Sheet1_GL_INTERFACE_SEGMENT7">#REF!</definedName>
    <definedName name="Sheet1_GL_INTERFACE_SET_OF_BOOKS_ID">#REF!</definedName>
    <definedName name="Sheet1_GL_INTERFACE_USER_JE_CATEGORY_NAME">#REF!</definedName>
    <definedName name="Sheet1_GL_INTERFACE_USER_JE_SOURCE_NAME">#REF!</definedName>
    <definedName name="Sheet2">{#N/A,#N/A,FALSE,"Assumptions";#N/A,#N/A,FALSE,"1997 P&amp;L(pk) Estrada";#N/A,#N/A,FALSE,"ONGOING P&amp;L(pk) Estrada"}</definedName>
    <definedName name="sheet4">#REF!</definedName>
    <definedName name="sheetnames">#REF!</definedName>
    <definedName name="SHEGANE">#REF!</definedName>
    <definedName name="SHELAR">#REF!</definedName>
    <definedName name="SHELKE">#REF!</definedName>
    <definedName name="SHENDAGE">#REF!</definedName>
    <definedName name="SHENDGEA">#REF!</definedName>
    <definedName name="SHERKARACHYUT">#REF!</definedName>
    <definedName name="shfsdfjsjf">#REF!</definedName>
    <definedName name="Shift">#REF!</definedName>
    <definedName name="SHINDE_BABURAO">#REF!</definedName>
    <definedName name="SHINDE_SADASHIV">#REF!</definedName>
    <definedName name="SHINDEKIRAN">#REF!</definedName>
    <definedName name="SHINDEP">#REF!</definedName>
    <definedName name="SHINDESUDHIR">#REF!</definedName>
    <definedName name="SHINDEVIJAY">#REF!</definedName>
    <definedName name="SHINGADERAJENDRAS">#REF!</definedName>
    <definedName name="SHIVAKUMARJK">#REF!</definedName>
    <definedName name="SHIVBP">#REF!</definedName>
    <definedName name="shivbsc">#REF!</definedName>
    <definedName name="shivconv">#REF!</definedName>
    <definedName name="shivded">#REF!</definedName>
    <definedName name="shivhra">#REF!</definedName>
    <definedName name="shivint">#REF!</definedName>
    <definedName name="shivit">#REF!</definedName>
    <definedName name="shivmed">#REF!</definedName>
    <definedName name="shivpd">#REF!</definedName>
    <definedName name="shivpf">#REF!</definedName>
    <definedName name="shivpt">#REF!</definedName>
    <definedName name="shivrent">#REF!</definedName>
    <definedName name="shivsaf">#REF!</definedName>
    <definedName name="shivspla">#REF!</definedName>
    <definedName name="sho">#REF!</definedName>
    <definedName name="Short_Term_Debt">#REF!</definedName>
    <definedName name="ShPrmChg">#REF!</definedName>
    <definedName name="Shree">#REF!</definedName>
    <definedName name="SHREEKUMAR">#REF!</definedName>
    <definedName name="SHREEMANTSHIT">#REF!</definedName>
    <definedName name="shriram">#REF!</definedName>
    <definedName name="SI_NAME">"Trend Micro HK eDoctor"</definedName>
    <definedName name="Sigma">#REF!</definedName>
    <definedName name="Sing_USD_EX_RATE">#REF!</definedName>
    <definedName name="SINGHBRIJRAJ">#REF!</definedName>
    <definedName name="SINGHRAKESH">#REF!</definedName>
    <definedName name="SINGHSHIVPRATAP">#REF!</definedName>
    <definedName name="SIRVANIK">#REF!</definedName>
    <definedName name="sit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SIVADASANS">#REF!</definedName>
    <definedName name="SIX">#REF!</definedName>
    <definedName name="SIXA">#REF!</definedName>
    <definedName name="SIXT">#REF!</definedName>
    <definedName name="sjnj">{#N/A,#N/A,FALSE,"COMP"}</definedName>
    <definedName name="sk">"1, 3, 1, False, 2, False, False, , 0, False, True, 3, 2"</definedName>
    <definedName name="skhsj">#REF!</definedName>
    <definedName name="sknjjasfksdfkshdfk">#REF!</definedName>
    <definedName name="SKSS">IF(#REF!="SEUGI",INDEX(Account,MATCH(#REF!,Accdetail,0),3),INDEX(Account,MATCH(#REF!,Accdetail,0),3))</definedName>
    <definedName name="SKSSK">IF(#REF!="SEUGI",INDEX(Account,MATCH(#REF!,Accdetail,0),3),INDEX(Account,MATCH(#REF!,Accdetail,0),3))</definedName>
    <definedName name="sl">#REF!</definedName>
    <definedName name="SLD">#REF!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">#REF!</definedName>
    <definedName name="smeeta">#REF!</definedName>
    <definedName name="SMPIMP">#REF!</definedName>
    <definedName name="SNT">#REF!</definedName>
    <definedName name="SOCIETY_MEMBERSHIP_FEES">#REF!</definedName>
    <definedName name="SOCSEC">#REF!</definedName>
    <definedName name="SOFT_FURNISHING_ALLOWANCE">#REF!</definedName>
    <definedName name="SOFTADMIN">#REF!</definedName>
    <definedName name="SOFTCNS">#REF!</definedName>
    <definedName name="SOFTCON">#REF!</definedName>
    <definedName name="SOFTEDU">#REF!</definedName>
    <definedName name="SOFTFIN">#REF!</definedName>
    <definedName name="SOFTIT">#REF!</definedName>
    <definedName name="SOFTMKT">#REF!</definedName>
    <definedName name="SOFTPER">#REF!</definedName>
    <definedName name="SOFTSAL">#REF!</definedName>
    <definedName name="SOFTSSP">#REF!</definedName>
    <definedName name="SOFTTCS">#REF!</definedName>
    <definedName name="software">#REF!</definedName>
    <definedName name="solver_adj">#REF!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opt">#REF!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SONALI">#REF!</definedName>
    <definedName name="SONAWANE">#REF!</definedName>
    <definedName name="SONAWANEMP">#REF!</definedName>
    <definedName name="SONBOH">#REF!</definedName>
    <definedName name="SONEOH">#REF!</definedName>
    <definedName name="Sort">#REF!</definedName>
    <definedName name="Sort_Branches">#REF!</definedName>
    <definedName name="sortrnge">#REF!</definedName>
    <definedName name="sotr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ource">#REF!</definedName>
    <definedName name="SOVANID">#REF!</definedName>
    <definedName name="SP">#REF!</definedName>
    <definedName name="SPA">#REF!</definedName>
    <definedName name="SPAIN">#REF!</definedName>
    <definedName name="SPAN">#REF!</definedName>
    <definedName name="SparesBH">#REF!</definedName>
    <definedName name="SparesBT">#REF!</definedName>
    <definedName name="SparesMC">#REF!</definedName>
    <definedName name="Spec">#REF!</definedName>
    <definedName name="SPECIAL_DISCOUNT_STANDARD_DISCOUNT">#REF!</definedName>
    <definedName name="SpecialPrice">#REF!</definedName>
    <definedName name="SpecialPricePL">#REF!</definedName>
    <definedName name="SPECSUMMARY">#REF!</definedName>
    <definedName name="SPFX97P">#REF!</definedName>
    <definedName name="spj">#REF!</definedName>
    <definedName name="SPLALL">#REF!</definedName>
    <definedName name="SPLALLA">#REF!</definedName>
    <definedName name="SPLALLT">#REF!</definedName>
    <definedName name="SPT">#REF!</definedName>
    <definedName name="SRS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S">{"Groupings",#N/A,TRUE,"GROUP_99 ";"Groupings-Comparitive",#N/A,TRUE,"GROUP_99 "}</definedName>
    <definedName name="ss_1">{#N/A,#N/A,FALSE,"Cash Flows";#N/A,#N/A,FALSE,"Fixed Assets";#N/A,#N/A,FALSE,"Balance Sheet";#N/A,#N/A,FALSE,"P &amp; L"}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ASDASD">#REF!</definedName>
    <definedName name="SSD">{#N/A,#N/A,FALSE,"REPORT"}</definedName>
    <definedName name="SSD_1">{#N/A,#N/A,FALSE,"REPORT"}</definedName>
    <definedName name="SSD_2">{#N/A,#N/A,FALSE,"REPORT"}</definedName>
    <definedName name="SSD_3">{#N/A,#N/A,FALSE,"REPORT"}</definedName>
    <definedName name="SSD_4">{#N/A,#N/A,FALSE,"REPORT"}</definedName>
    <definedName name="SSD_5">{#N/A,#N/A,FALSE,"REPORT"}</definedName>
    <definedName name="ssdsa">{#N/A,#N/A,FALSE,"FREE"}</definedName>
    <definedName name="ssdsa_1">{#N/A,#N/A,FALSE,"FREE"}</definedName>
    <definedName name="ssdsa_2">{#N/A,#N/A,FALSE,"FREE"}</definedName>
    <definedName name="ssdsa_2_1">{#N/A,#N/A,FALSE,"FREE"}</definedName>
    <definedName name="ssdsa_2_2">{#N/A,#N/A,FALSE,"FREE"}</definedName>
    <definedName name="ssdsa_2_3">{#N/A,#N/A,FALSE,"FREE"}</definedName>
    <definedName name="ssdsa_2_4">{#N/A,#N/A,FALSE,"FREE"}</definedName>
    <definedName name="ssdsa_3">{#N/A,#N/A,FALSE,"FREE"}</definedName>
    <definedName name="ssdsa_3_1">{#N/A,#N/A,FALSE,"FREE"}</definedName>
    <definedName name="ssdsa_3_2">{#N/A,#N/A,FALSE,"FREE"}</definedName>
    <definedName name="ssdsa_3_3">{#N/A,#N/A,FALSE,"FREE"}</definedName>
    <definedName name="ssdsa_3_4">{#N/A,#N/A,FALSE,"FREE"}</definedName>
    <definedName name="ssdsa_4">{#N/A,#N/A,FALSE,"FREE"}</definedName>
    <definedName name="ssdsa_4_1">{#N/A,#N/A,FALSE,"FREE"}</definedName>
    <definedName name="ssdsa_4_2">{#N/A,#N/A,FALSE,"FREE"}</definedName>
    <definedName name="ssdsa_4_3">{#N/A,#N/A,FALSE,"FREE"}</definedName>
    <definedName name="ssdsa_4_4">{#N/A,#N/A,FALSE,"FREE"}</definedName>
    <definedName name="ssdsa_5">{#N/A,#N/A,FALSE,"FREE"}</definedName>
    <definedName name="ssfg">{#N/A,#N/A,FALSE,"Assets"}</definedName>
    <definedName name="ssh">#REF!</definedName>
    <definedName name="SSK">{#N/A,#N/A,FALSE,"COMP"}</definedName>
    <definedName name="SSPHC">#REF!</definedName>
    <definedName name="SSPNEW">#REF!</definedName>
    <definedName name="SSPTOT">#REF!</definedName>
    <definedName name="sss">{#N/A,#N/A,FALSE,"Pharm";#N/A,#N/A,FALSE,"WWCM"}</definedName>
    <definedName name="sss_1">{#N/A,#N/A,FALSE,"Pharm";#N/A,#N/A,FALSE,"WWCM"}</definedName>
    <definedName name="sss_2">{#N/A,#N/A,FALSE,"Pharm";#N/A,#N/A,FALSE,"WWCM"}</definedName>
    <definedName name="sss_3">{#N/A,#N/A,FALSE,"Pharm";#N/A,#N/A,FALSE,"WWCM"}</definedName>
    <definedName name="sss_4">{#N/A,#N/A,FALSE,"Pharm";#N/A,#N/A,FALSE,"WWCM"}</definedName>
    <definedName name="sss_5">{#N/A,#N/A,FALSE,"Pharm";#N/A,#N/A,FALSE,"WWCM"}</definedName>
    <definedName name="ssss">{#N/A,#N/A,FALSE,"Aging Summary";#N/A,#N/A,FALSE,"Ratio Analysis";#N/A,#N/A,FALSE,"Test 120 Day Accts";#N/A,#N/A,FALSE,"Tickmarks"}</definedName>
    <definedName name="SSSSS">{#N/A,#N/A,FALSE,"Staffnos &amp; cost"}</definedName>
    <definedName name="ssssss">#REF!</definedName>
    <definedName name="sssssssssssss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sssssssssssssss">#REF!</definedName>
    <definedName name="SSSSSSSSSSSSSSSSSSSSS">#REF!</definedName>
    <definedName name="SSTR">#REF!</definedName>
    <definedName name="st">#REF!</definedName>
    <definedName name="staff">#REF!</definedName>
    <definedName name="STAFF_WELFARE_EXPENSES">#REF!</definedName>
    <definedName name="staffing2">{#N/A,#N/A,FALSE,"Assessment";#N/A,#N/A,FALSE,"Staffing";#N/A,#N/A,FALSE,"Hires";#N/A,#N/A,FALSE,"Assumptions"}</definedName>
    <definedName name="Staffing3">{#N/A,#N/A,FALSE,"Assessment";#N/A,#N/A,FALSE,"Staffing";#N/A,#N/A,FALSE,"Hires";#N/A,#N/A,FALSE,"Assumptions"}</definedName>
    <definedName name="Staril">{#N/A,#N/A,FALSE,"REPORT"}</definedName>
    <definedName name="Staril_1">{#N/A,#N/A,FALSE,"REPORT"}</definedName>
    <definedName name="Staril_2">{#N/A,#N/A,FALSE,"REPORT"}</definedName>
    <definedName name="Staril_3">{#N/A,#N/A,FALSE,"REPORT"}</definedName>
    <definedName name="Staril_4">{#N/A,#N/A,FALSE,"REPORT"}</definedName>
    <definedName name="Staril_5">{#N/A,#N/A,FALSE,"REPORT"}</definedName>
    <definedName name="start">39538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of_Modelling">#REF!</definedName>
    <definedName name="StartDate">#REF!</definedName>
    <definedName name="State">#REF!</definedName>
    <definedName name="STATE_BANK_OF_INDIA">#REF!</definedName>
    <definedName name="states">#REF!</definedName>
    <definedName name="status">#REF!</definedName>
    <definedName name="std">#REF!</definedName>
    <definedName name="StDebtChg">#REF!</definedName>
    <definedName name="StDebtDmy">#REF!,#REF!,#REF!,#REF!,#REF!</definedName>
    <definedName name="STDebtSer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tfcost">#REF!</definedName>
    <definedName name="stfesh">#REF!</definedName>
    <definedName name="stkmar03">#REF!</definedName>
    <definedName name="Stock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TOCK_FINISHED_GOODS">#REF!</definedName>
    <definedName name="STOCK_FITTINGS___ACCESSORIES">#REF!</definedName>
    <definedName name="STOCK_IMPORTED_COMPONENTS">#REF!</definedName>
    <definedName name="STOCK_LATERALS">#REF!</definedName>
    <definedName name="STOCK_LOCAL_COMPONENTS">#REF!</definedName>
    <definedName name="STOCK_PVC_PIPES">#REF!</definedName>
    <definedName name="STOCK_RAW_MATERIAL">#REF!</definedName>
    <definedName name="Stocks">#REF!</definedName>
    <definedName name="STOCKS____">#REF!</definedName>
    <definedName name="StoryCell">#REF!</definedName>
    <definedName name="StoryCells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f">#REF!</definedName>
    <definedName name="Strat_T_It">#REF!</definedName>
    <definedName name="Strat_T_T">#REF!</definedName>
    <definedName name="StratPlanAP">{#N/A,#N/A,FALSE,"Pharm";#N/A,#N/A,FALSE,"WWCM"}</definedName>
    <definedName name="StratPlanAP_1">{#N/A,#N/A,FALSE,"Pharm";#N/A,#N/A,FALSE,"WWCM"}</definedName>
    <definedName name="StratPlanAP_2">{#N/A,#N/A,FALSE,"Pharm";#N/A,#N/A,FALSE,"WWCM"}</definedName>
    <definedName name="StratPlanAP_3">{#N/A,#N/A,FALSE,"Pharm";#N/A,#N/A,FALSE,"WWCM"}</definedName>
    <definedName name="StratPlanAP_4">{#N/A,#N/A,FALSE,"Pharm";#N/A,#N/A,FALSE,"WWCM"}</definedName>
    <definedName name="StratPlanAP_5">{#N/A,#N/A,FALSE,"Pharm";#N/A,#N/A,FALSE,"WWCM"}</definedName>
    <definedName name="St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tu">{#N/A,#N/A,FALSE,"Tabl. D1";#N/A,#N/A,FALSE,"Tabl. D1 b";#N/A,#N/A,FALSE,"Tabl. D2";#N/A,#N/A,FALSE,"Tabl. D2 b";#N/A,#N/A,FALSE,"Tabl. D3";#N/A,#N/A,FALSE,"Tabl. D4";#N/A,#N/A,FALSE,"Tabl. D5"}</definedName>
    <definedName name="stu_1">{#N/A,#N/A,FALSE,"Tabl. D1";#N/A,#N/A,FALSE,"Tabl. D1 b";#N/A,#N/A,FALSE,"Tabl. D2";#N/A,#N/A,FALSE,"Tabl. D2 b";#N/A,#N/A,FALSE,"Tabl. D3";#N/A,#N/A,FALSE,"Tabl. D4";#N/A,#N/A,FALSE,"Tabl. D5"}</definedName>
    <definedName name="stu_2">{#N/A,#N/A,FALSE,"Tabl. D1";#N/A,#N/A,FALSE,"Tabl. D1 b";#N/A,#N/A,FALSE,"Tabl. D2";#N/A,#N/A,FALSE,"Tabl. D2 b";#N/A,#N/A,FALSE,"Tabl. D3";#N/A,#N/A,FALSE,"Tabl. D4";#N/A,#N/A,FALSE,"Tabl. D5"}</definedName>
    <definedName name="stu_3">{#N/A,#N/A,FALSE,"Tabl. D1";#N/A,#N/A,FALSE,"Tabl. D1 b";#N/A,#N/A,FALSE,"Tabl. D2";#N/A,#N/A,FALSE,"Tabl. D2 b";#N/A,#N/A,FALSE,"Tabl. D3";#N/A,#N/A,FALSE,"Tabl. D4";#N/A,#N/A,FALSE,"Tabl. D5"}</definedName>
    <definedName name="stu_4">{#N/A,#N/A,FALSE,"Tabl. D1";#N/A,#N/A,FALSE,"Tabl. D1 b";#N/A,#N/A,FALSE,"Tabl. D2";#N/A,#N/A,FALSE,"Tabl. D2 b";#N/A,#N/A,FALSE,"Tabl. D3";#N/A,#N/A,FALSE,"Tabl. D4";#N/A,#N/A,FALSE,"Tabl. D5"}</definedName>
    <definedName name="Studio_Hire_Charges">#REF!</definedName>
    <definedName name="subcat">#REF!</definedName>
    <definedName name="SubGrowth">#REF!</definedName>
    <definedName name="subirbsc">#REF!</definedName>
    <definedName name="subirconv">#REF!</definedName>
    <definedName name="subirded">#REF!</definedName>
    <definedName name="subirhra">#REF!</definedName>
    <definedName name="subirit">#REF!</definedName>
    <definedName name="subirmed">#REF!</definedName>
    <definedName name="subirpd">#REF!</definedName>
    <definedName name="subirpf">#REF!</definedName>
    <definedName name="subirpt">#REF!</definedName>
    <definedName name="subirspla">#REF!</definedName>
    <definedName name="Subscriptiopn_News">#REF!</definedName>
    <definedName name="Subsidaries">#REF!</definedName>
    <definedName name="subsidary_number">#REF!</definedName>
    <definedName name="SUBSIDY_RECEIVABLE">#REF!</definedName>
    <definedName name="SUM">#REF!</definedName>
    <definedName name="sumanbsc">#REF!</definedName>
    <definedName name="sumancar">#REF!</definedName>
    <definedName name="sumanded">#REF!</definedName>
    <definedName name="sumanemi">#REF!</definedName>
    <definedName name="sumanfuel">#REF!</definedName>
    <definedName name="sumanhm">#REF!</definedName>
    <definedName name="sumanins">#REF!</definedName>
    <definedName name="sumanint">#REF!</definedName>
    <definedName name="sumanit">#REF!</definedName>
    <definedName name="sumanlta">#REF!</definedName>
    <definedName name="sumanmed">#REF!</definedName>
    <definedName name="sumanpd">#REF!</definedName>
    <definedName name="sumanpf">#REF!</definedName>
    <definedName name="sumanpt">#REF!</definedName>
    <definedName name="sumanregn">#REF!</definedName>
    <definedName name="sumanrent">#REF!</definedName>
    <definedName name="sumansaf">#REF!</definedName>
    <definedName name="sumanspla">#REF!</definedName>
    <definedName name="sumit">{#N/A,#N/A,FALSE,"Tabl. FB300";#N/A,#N/A,FALSE,"Tabl. FB350";#N/A,#N/A,FALSE,"Tabl. FB400";#N/A,#N/A,FALSE,"Tabl. FB500";#N/A,#N/A,FALSE,"Tabl. FS090"}</definedName>
    <definedName name="sumit_1">{#N/A,#N/A,FALSE,"Tabl. FB300";#N/A,#N/A,FALSE,"Tabl. FB350";#N/A,#N/A,FALSE,"Tabl. FB400";#N/A,#N/A,FALSE,"Tabl. FB500";#N/A,#N/A,FALSE,"Tabl. FS090"}</definedName>
    <definedName name="sumit_2">{#N/A,#N/A,FALSE,"Tabl. FB300";#N/A,#N/A,FALSE,"Tabl. FB350";#N/A,#N/A,FALSE,"Tabl. FB400";#N/A,#N/A,FALSE,"Tabl. FB500";#N/A,#N/A,FALSE,"Tabl. FS090"}</definedName>
    <definedName name="sumit_3">{#N/A,#N/A,FALSE,"Tabl. FB300";#N/A,#N/A,FALSE,"Tabl. FB350";#N/A,#N/A,FALSE,"Tabl. FB400";#N/A,#N/A,FALSE,"Tabl. FB500";#N/A,#N/A,FALSE,"Tabl. FS090"}</definedName>
    <definedName name="sumit_4">{#N/A,#N/A,FALSE,"Tabl. FB300";#N/A,#N/A,FALSE,"Tabl. FB350";#N/A,#N/A,FALSE,"Tabl. FB400";#N/A,#N/A,FALSE,"Tabl. FB500";#N/A,#N/A,FALSE,"Tabl. FS090"}</definedName>
    <definedName name="summ">#REF!</definedName>
    <definedName name="Summ2">#REF!</definedName>
    <definedName name="Summary">#REF!</definedName>
    <definedName name="Summary_Delete">#REF!,#REF!</definedName>
    <definedName name="SummaryUK">#REF!</definedName>
    <definedName name="SummaryUS">#REF!</definedName>
    <definedName name="Sundry">#REF!</definedName>
    <definedName name="SUNDRY_BALANCE___SUSPENSE">#REF!</definedName>
    <definedName name="SUNDRY_CLAIMS_RECEIVABLE">#REF!</definedName>
    <definedName name="SUNDRY_CREDITORS">#REF!</definedName>
    <definedName name="SUNDRY_DEBTORS">#REF!</definedName>
    <definedName name="SUNDRY_DEPOSITS">#REF!</definedName>
    <definedName name="SUNDRY_LIABILITIES__OTHERS_PAYABLE_A_C">#REF!</definedName>
    <definedName name="SUNDRY_SERVICES">#REF!</definedName>
    <definedName name="SUNIL">#REF!</definedName>
    <definedName name="Supan">#REF!</definedName>
    <definedName name="superficie">#REF!</definedName>
    <definedName name="superoficina">#REF!</definedName>
    <definedName name="supply">{#N/A,#N/A,FALSE,"PMTABB";#N/A,#N/A,FALSE,"PMTABB"}</definedName>
    <definedName name="supply_1">{#N/A,#N/A,FALSE,"PMTABB";#N/A,#N/A,FALSE,"PMTABB"}</definedName>
    <definedName name="supply_2">{#N/A,#N/A,FALSE,"PMTABB";#N/A,#N/A,FALSE,"PMTABB"}</definedName>
    <definedName name="supply_2_1">{#N/A,#N/A,FALSE,"PMTABB";#N/A,#N/A,FALSE,"PMTABB"}</definedName>
    <definedName name="supply_2_2">{#N/A,#N/A,FALSE,"PMTABB";#N/A,#N/A,FALSE,"PMTABB"}</definedName>
    <definedName name="supply_2_3">{#N/A,#N/A,FALSE,"PMTABB";#N/A,#N/A,FALSE,"PMTABB"}</definedName>
    <definedName name="supply_2_4">{#N/A,#N/A,FALSE,"PMTABB";#N/A,#N/A,FALSE,"PMTABB"}</definedName>
    <definedName name="supply_3">{#N/A,#N/A,FALSE,"PMTABB";#N/A,#N/A,FALSE,"PMTABB"}</definedName>
    <definedName name="supply_3_1">{#N/A,#N/A,FALSE,"PMTABB";#N/A,#N/A,FALSE,"PMTABB"}</definedName>
    <definedName name="supply_3_2">{#N/A,#N/A,FALSE,"PMTABB";#N/A,#N/A,FALSE,"PMTABB"}</definedName>
    <definedName name="supply_3_3">{#N/A,#N/A,FALSE,"PMTABB";#N/A,#N/A,FALSE,"PMTABB"}</definedName>
    <definedName name="supply_3_4">{#N/A,#N/A,FALSE,"PMTABB";#N/A,#N/A,FALSE,"PMTABB"}</definedName>
    <definedName name="supply_4">{#N/A,#N/A,FALSE,"PMTABB";#N/A,#N/A,FALSE,"PMTABB"}</definedName>
    <definedName name="supply_4_1">{#N/A,#N/A,FALSE,"PMTABB";#N/A,#N/A,FALSE,"PMTABB"}</definedName>
    <definedName name="supply_4_2">{#N/A,#N/A,FALSE,"PMTABB";#N/A,#N/A,FALSE,"PMTABB"}</definedName>
    <definedName name="supply_4_3">{#N/A,#N/A,FALSE,"PMTABB";#N/A,#N/A,FALSE,"PMTABB"}</definedName>
    <definedName name="supply_4_4">{#N/A,#N/A,FALSE,"PMTABB";#N/A,#N/A,FALSE,"PMTABB"}</definedName>
    <definedName name="supply_5">{#N/A,#N/A,FALSE,"PMTABB";#N/A,#N/A,FALSE,"PMTABB"}</definedName>
    <definedName name="SupplyOrigin">#REF!</definedName>
    <definedName name="Supported_2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surabhi">#REF!</definedName>
    <definedName name="SURVEPANKAJ">#REF!</definedName>
    <definedName name="SURVEY_FEES">#REF!</definedName>
    <definedName name="SURWASEV">#REF!</definedName>
    <definedName name="SURYANARAYANANKANDUR">#REF!</definedName>
    <definedName name="SURYAVANSHIVIJAY">#REF!</definedName>
    <definedName name="SUTAR">#REF!</definedName>
    <definedName name="SUTARGORAKSHANATH">#REF!</definedName>
    <definedName name="SUTARR">#REF!</definedName>
    <definedName name="SUTARSACHIN">#REF!</definedName>
    <definedName name="SVFX97P">#REF!</definedName>
    <definedName name="swamibsc">#REF!</definedName>
    <definedName name="swamicar">#REF!</definedName>
    <definedName name="swamided">#REF!</definedName>
    <definedName name="swamiemi">#REF!</definedName>
    <definedName name="swamifuel">#REF!</definedName>
    <definedName name="swamiins">#REF!</definedName>
    <definedName name="swamiint">#REF!</definedName>
    <definedName name="swamiit">#REF!</definedName>
    <definedName name="swamilta">#REF!</definedName>
    <definedName name="swamimed">#REF!</definedName>
    <definedName name="swamipd">#REF!</definedName>
    <definedName name="swamipf">#REF!</definedName>
    <definedName name="swamipt">#REF!</definedName>
    <definedName name="swamirent">#REF!</definedName>
    <definedName name="swamisaf">#REF!</definedName>
    <definedName name="swamispla">#REF!</definedName>
    <definedName name="SWED">#REF!</definedName>
    <definedName name="SWEDEN">#REF!</definedName>
    <definedName name="swerr4tgy5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SWIT">#REF!</definedName>
    <definedName name="SWITZERLAND">#REF!</definedName>
    <definedName name="SWN">#REF!</definedName>
    <definedName name="Swvu.REPORT.">#REF!</definedName>
    <definedName name="SX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5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>{#N/A,#N/A,FALSE,"PGW"}</definedName>
    <definedName name="sxcg_1">{#N/A,#N/A,FALSE,"PGW"}</definedName>
    <definedName name="sxcg_2">{#N/A,#N/A,FALSE,"PGW"}</definedName>
    <definedName name="sxcg_2_1">{#N/A,#N/A,FALSE,"PGW"}</definedName>
    <definedName name="sxcg_2_2">{#N/A,#N/A,FALSE,"PGW"}</definedName>
    <definedName name="sxcg_2_3">{#N/A,#N/A,FALSE,"PGW"}</definedName>
    <definedName name="sxcg_2_4">{#N/A,#N/A,FALSE,"PGW"}</definedName>
    <definedName name="sxcg_3">{#N/A,#N/A,FALSE,"PGW"}</definedName>
    <definedName name="sxcg_3_1">{#N/A,#N/A,FALSE,"PGW"}</definedName>
    <definedName name="sxcg_3_2">{#N/A,#N/A,FALSE,"PGW"}</definedName>
    <definedName name="sxcg_3_3">{#N/A,#N/A,FALSE,"PGW"}</definedName>
    <definedName name="sxcg_3_4">{#N/A,#N/A,FALSE,"PGW"}</definedName>
    <definedName name="sxcg_4">{#N/A,#N/A,FALSE,"PGW"}</definedName>
    <definedName name="sxcg_4_1">{#N/A,#N/A,FALSE,"PGW"}</definedName>
    <definedName name="sxcg_4_2">{#N/A,#N/A,FALSE,"PGW"}</definedName>
    <definedName name="sxcg_4_3">{#N/A,#N/A,FALSE,"PGW"}</definedName>
    <definedName name="sxcg_4_4">{#N/A,#N/A,FALSE,"PGW"}</definedName>
    <definedName name="sxcg_5">{#N/A,#N/A,FALSE,"PGW"}</definedName>
    <definedName name="sxxx">{#N/A,#N/A,FALSE,"Income State.";#N/A,#N/A,FALSE,"B-S"}</definedName>
    <definedName name="SYM">#REF!</definedName>
    <definedName name="SYSGROSS">#REF!</definedName>
    <definedName name="SysIntBH">#REF!</definedName>
    <definedName name="SysIntBT">#REF!</definedName>
    <definedName name="SysIntMC">#REF!</definedName>
    <definedName name="szsa">#REF!</definedName>
    <definedName name="t">{#N/A,#N/A,FALSE,"Tabl. A1";#N/A,#N/A,FALSE,"Tabl. A1 b";#N/A,#N/A,FALSE,"Tabl. A2";#N/A,#N/A,FALSE,"Tabl. A2-1";#N/A,#N/A,FALSE,"Tabl. A2-2"}</definedName>
    <definedName name="t_1">{#N/A,#N/A,FALSE,"Tabl. A1";#N/A,#N/A,FALSE,"Tabl. A1 b";#N/A,#N/A,FALSE,"Tabl. A2";#N/A,#N/A,FALSE,"Tabl. A2-1";#N/A,#N/A,FALSE,"Tabl. A2-2"}</definedName>
    <definedName name="t_2">{#N/A,#N/A,FALSE,"Tabl. A1";#N/A,#N/A,FALSE,"Tabl. A1 b";#N/A,#N/A,FALSE,"Tabl. A2";#N/A,#N/A,FALSE,"Tabl. A2-1";#N/A,#N/A,FALSE,"Tabl. A2-2"}</definedName>
    <definedName name="t_3">{#N/A,#N/A,FALSE,"Tabl. A1";#N/A,#N/A,FALSE,"Tabl. A1 b";#N/A,#N/A,FALSE,"Tabl. A2";#N/A,#N/A,FALSE,"Tabl. A2-1";#N/A,#N/A,FALSE,"Tabl. A2-2"}</definedName>
    <definedName name="t_4">{#N/A,#N/A,FALSE,"Tabl. A1";#N/A,#N/A,FALSE,"Tabl. A1 b";#N/A,#N/A,FALSE,"Tabl. A2";#N/A,#N/A,FALSE,"Tabl. A2-1";#N/A,#N/A,FALSE,"Tabl. A2-2"}</definedName>
    <definedName name="T_BLARKY">"$"</definedName>
    <definedName name="T_BLCCKY">"$"</definedName>
    <definedName name="T_BLCLBAL">"$"</definedName>
    <definedName name="T_BLCLCR">"$"</definedName>
    <definedName name="T_BLCLDR">"$"</definedName>
    <definedName name="T_BLCRRS">"$"</definedName>
    <definedName name="T_BLDRRS">"$"</definedName>
    <definedName name="T_BLDVKY">"$"</definedName>
    <definedName name="T_BLDVNM">"$"</definedName>
    <definedName name="T_BLENDT">"$"</definedName>
    <definedName name="T_BLGLACTY">"$"</definedName>
    <definedName name="T_BLGLKY">"$"</definedName>
    <definedName name="T_BLGLTY">"$"</definedName>
    <definedName name="T_BLMEMCR">"$"</definedName>
    <definedName name="T_BLMEMDR">"$"</definedName>
    <definedName name="T_BLNM">"$"</definedName>
    <definedName name="T_BLOPBAL">"$"</definedName>
    <definedName name="T_BLOPCR">"$"</definedName>
    <definedName name="T_BLOPDR">"$"</definedName>
    <definedName name="T_BLSHRT">"$"</definedName>
    <definedName name="T_BLSLKY">"$"</definedName>
    <definedName name="T_BLSLNM">"$"</definedName>
    <definedName name="T_BLSLSHRT">"$"</definedName>
    <definedName name="T_BLSLTY">"$"</definedName>
    <definedName name="T_BLSTDT">"$"</definedName>
    <definedName name="tabl">{#N/A,#N/A,FALSE,"Tabl. H1";#N/A,#N/A,FALSE,"Tabl. H2"}</definedName>
    <definedName name="tabl_1">{#N/A,#N/A,FALSE,"Tabl. H1";#N/A,#N/A,FALSE,"Tabl. H2"}</definedName>
    <definedName name="tabl_2">{#N/A,#N/A,FALSE,"Tabl. H1";#N/A,#N/A,FALSE,"Tabl. H2"}</definedName>
    <definedName name="tabl_3">{#N/A,#N/A,FALSE,"Tabl. H1";#N/A,#N/A,FALSE,"Tabl. H2"}</definedName>
    <definedName name="tabl_4">{#N/A,#N/A,FALSE,"Tabl. H1";#N/A,#N/A,FALSE,"Tabl. H2"}</definedName>
    <definedName name="Table">#REF!</definedName>
    <definedName name="table_a">#REF!</definedName>
    <definedName name="table_b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1">#REF!</definedName>
    <definedName name="TABLE2">#REF!</definedName>
    <definedName name="tableau">{#N/A,#N/A,FALSE,"Tabl. A1";#N/A,#N/A,FALSE,"Tabl. A1 b";#N/A,#N/A,FALSE,"Tabl. A2";#N/A,#N/A,FALSE,"Tabl. A2-1";#N/A,#N/A,FALSE,"Tabl. A2-2"}</definedName>
    <definedName name="tableau_1">{#N/A,#N/A,FALSE,"Tabl. A1";#N/A,#N/A,FALSE,"Tabl. A1 b";#N/A,#N/A,FALSE,"Tabl. A2";#N/A,#N/A,FALSE,"Tabl. A2-1";#N/A,#N/A,FALSE,"Tabl. A2-2"}</definedName>
    <definedName name="tableau_2">{#N/A,#N/A,FALSE,"Tabl. A1";#N/A,#N/A,FALSE,"Tabl. A1 b";#N/A,#N/A,FALSE,"Tabl. A2";#N/A,#N/A,FALSE,"Tabl. A2-1";#N/A,#N/A,FALSE,"Tabl. A2-2"}</definedName>
    <definedName name="tableau_3">{#N/A,#N/A,FALSE,"Tabl. A1";#N/A,#N/A,FALSE,"Tabl. A1 b";#N/A,#N/A,FALSE,"Tabl. A2";#N/A,#N/A,FALSE,"Tabl. A2-1";#N/A,#N/A,FALSE,"Tabl. A2-2"}</definedName>
    <definedName name="tableau_4">{#N/A,#N/A,FALSE,"Tabl. A1";#N/A,#N/A,FALSE,"Tabl. A1 b";#N/A,#N/A,FALSE,"Tabl. A2";#N/A,#N/A,FALSE,"Tabl. A2-1";#N/A,#N/A,FALSE,"Tabl. A2-2"}</definedName>
    <definedName name="tableboi">#REF!</definedName>
    <definedName name="TableName">"Dummy"</definedName>
    <definedName name="TAFName">#REF!</definedName>
    <definedName name="TAKLEVAIBHAV">#REF!</definedName>
    <definedName name="TALLY">#REF!</definedName>
    <definedName name="TAMBOLI">#REF!</definedName>
    <definedName name="TAMNo">#REF!</definedName>
    <definedName name="TAName">#REF!</definedName>
    <definedName name="Tangible_Assets">#REF!</definedName>
    <definedName name="TAPlace">#REF!</definedName>
    <definedName name="tar">#REF!</definedName>
    <definedName name="TARATESUDHIR">#REF!</definedName>
    <definedName name="TATA">#REF!</definedName>
    <definedName name="TAWADE">#REF!</definedName>
    <definedName name="tax">#REF!</definedName>
    <definedName name="Tax_Amortization">#REF!</definedName>
    <definedName name="TAX_AUDIT_FEES">#REF!</definedName>
    <definedName name="tax_comp">#REF!</definedName>
    <definedName name="Tax_Effect_Income">#REF!</definedName>
    <definedName name="Tax_Effect_Liabs">#REF!</definedName>
    <definedName name="Tax_Effect_RetEarn">#REF!</definedName>
    <definedName name="Tax_paid">#REF!</definedName>
    <definedName name="TAX_RATE">#REF!</definedName>
    <definedName name="taxable">IF(#REF!&gt;#REF!,0,IF(#REF!&lt;#REF!,#REF!-#REF!,0))</definedName>
    <definedName name="TaxAudAdd">#REF!</definedName>
    <definedName name="TaxAuditDate">#REF!</definedName>
    <definedName name="TAXCOMP1">#REF!</definedName>
    <definedName name="TAXCOMPMAR03">{#N/A,#N/A,FALSE,"4"}</definedName>
    <definedName name="taxol">{#N/A,#N/A,FALSE,"Pharm";#N/A,#N/A,FALSE,"WWCM"}</definedName>
    <definedName name="taxol_1">{#N/A,#N/A,FALSE,"Pharm";#N/A,#N/A,FALSE,"WWCM"}</definedName>
    <definedName name="taxol_2">{#N/A,#N/A,FALSE,"Pharm";#N/A,#N/A,FALSE,"WWCM"}</definedName>
    <definedName name="taxol_3">{#N/A,#N/A,FALSE,"Pharm";#N/A,#N/A,FALSE,"WWCM"}</definedName>
    <definedName name="taxol_4">{#N/A,#N/A,FALSE,"Pharm";#N/A,#N/A,FALSE,"WWCM"}</definedName>
    <definedName name="taxol_5">{#N/A,#N/A,FALSE,"Pharm";#N/A,#N/A,FALSE,"WWCM"}</definedName>
    <definedName name="taxrate">#REF!</definedName>
    <definedName name="TaxTV">10%</definedName>
    <definedName name="TaxXL">5%</definedName>
    <definedName name="tb">#REF!</definedName>
    <definedName name="TB_310399_A">#REF!</definedName>
    <definedName name="TB_310399_B">#REF!</definedName>
    <definedName name="TBA">#REF!</definedName>
    <definedName name="TBBS">#REF!</definedName>
    <definedName name="tbg">{#N/A,#N/A,FALSE,"Tabl. G1";#N/A,#N/A,FALSE,"Tabl. G2"}</definedName>
    <definedName name="tbg_1">{#N/A,#N/A,FALSE,"Tabl. G1";#N/A,#N/A,FALSE,"Tabl. G2"}</definedName>
    <definedName name="tbg_2">{#N/A,#N/A,FALSE,"Tabl. G1";#N/A,#N/A,FALSE,"Tabl. G2"}</definedName>
    <definedName name="tbg_3">{#N/A,#N/A,FALSE,"Tabl. G1";#N/A,#N/A,FALSE,"Tabl. G2"}</definedName>
    <definedName name="tbg_4">{#N/A,#N/A,FALSE,"Tabl. G1";#N/A,#N/A,FALSE,"Tabl. G2"}</definedName>
    <definedName name="TBH">#REF!</definedName>
    <definedName name="TBINR">#REF!</definedName>
    <definedName name="tbl_ProdInfo">#REF!</definedName>
    <definedName name="tbl_ProdInfoPL">#REF!</definedName>
    <definedName name="tblMain">#REF!</definedName>
    <definedName name="TBNAME">#REF!</definedName>
    <definedName name="TBPL">#REF!</definedName>
    <definedName name="TBUSD">#REF!</definedName>
    <definedName name="TBW">#REF!</definedName>
    <definedName name="tco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CSHC">#REF!</definedName>
    <definedName name="TCSNEW">#REF!</definedName>
    <definedName name="TCSTOT">#REF!</definedName>
    <definedName name="tdfhfg">{#N/A,#N/A,TRUE,"RM-June"}</definedName>
    <definedName name="tdia">#REF!</definedName>
    <definedName name="tds">{#N/A,#N/A,FALSE,"schdls"}</definedName>
    <definedName name="TDS_BY_CLIENT_TAX_DEDUCTED_AT_SOURCE">#REF!</definedName>
    <definedName name="TDS2.ClaimOutOfTotTDSOnAmtPaid">#REF!</definedName>
    <definedName name="TDSCERTICATES">#REF!</definedName>
    <definedName name="tdt">#REF!</definedName>
    <definedName name="TE">#REF!</definedName>
    <definedName name="Tech98">#REF!</definedName>
    <definedName name="TECHADMIN">#REF!</definedName>
    <definedName name="TECHCNS">#REF!</definedName>
    <definedName name="Techco">#REF!</definedName>
    <definedName name="TECHCON">#REF!</definedName>
    <definedName name="TECHEDU">#REF!</definedName>
    <definedName name="TechFee">#REF!</definedName>
    <definedName name="TECHFIN">#REF!</definedName>
    <definedName name="TECHIT">#REF!</definedName>
    <definedName name="TECHMKT">#REF!</definedName>
    <definedName name="TECHPER">#REF!</definedName>
    <definedName name="TECHSAL">#REF!</definedName>
    <definedName name="TECHSSP">#REF!</definedName>
    <definedName name="TECHTCS">#REF!</definedName>
    <definedName name="TEJ">#REF!</definedName>
    <definedName name="TEKALEDHANANJAY">#REF!</definedName>
    <definedName name="TELCO">#REF!</definedName>
    <definedName name="TELCO_JsrLkw">#REF!</definedName>
    <definedName name="TELCO_PR">#REF!</definedName>
    <definedName name="TelcoCVBH">#REF!</definedName>
    <definedName name="TelcoCVBT">#REF!</definedName>
    <definedName name="TelcoCVMC">#REF!</definedName>
    <definedName name="TelcoLCVBH">#REF!</definedName>
    <definedName name="TelcoLCVBT">#REF!</definedName>
    <definedName name="TelcoLCVMC">#REF!</definedName>
    <definedName name="TelcoMUVBH">#REF!</definedName>
    <definedName name="TelcoMUVBT">#REF!</definedName>
    <definedName name="TelcoMUVMC">#REF!</definedName>
    <definedName name="TelcoPVBH">#REF!</definedName>
    <definedName name="TelcoPVBT">#REF!</definedName>
    <definedName name="TelcoPVMC">#REF!</definedName>
    <definedName name="Telephone">#REF!</definedName>
    <definedName name="Telephone___Leaseline">#REF!</definedName>
    <definedName name="TELEX">#REF!</definedName>
    <definedName name="Tem">{#N/A,#N/A,FALSE,"Pharm";#N/A,#N/A,FALSE,"WWCM"}</definedName>
    <definedName name="Tem_1">{#N/A,#N/A,FALSE,"Pharm";#N/A,#N/A,FALSE,"WWCM"}</definedName>
    <definedName name="Tem_2">{#N/A,#N/A,FALSE,"Pharm";#N/A,#N/A,FALSE,"WWCM"}</definedName>
    <definedName name="Tem_3">{#N/A,#N/A,FALSE,"Pharm";#N/A,#N/A,FALSE,"WWCM"}</definedName>
    <definedName name="Tem_4">{#N/A,#N/A,FALSE,"Pharm";#N/A,#N/A,FALSE,"WWCM"}</definedName>
    <definedName name="Tem_5">{#N/A,#N/A,FALSE,"Pharm";#N/A,#N/A,FALSE,"WWCM"}</definedName>
    <definedName name="temp">{#N/A,#N/A,FALSE,"Assumptions";#N/A,#N/A,FALSE,"1997 P&amp;L(pk) Estrada";#N/A,#N/A,FALSE,"ONGOING P&amp;L(pk) Estrada"}</definedName>
    <definedName name="Temp_2">{#N/A,#N/A,FALSE,"Assessment";#N/A,#N/A,FALSE,"Staffing";#N/A,#N/A,FALSE,"Hires";#N/A,#N/A,FALSE,"Assumptions"}</definedName>
    <definedName name="Temp_3">{#N/A,#N/A,FALSE,"Assessment";#N/A,#N/A,FALSE,"Staffing";#N/A,#N/A,FALSE,"Hires";#N/A,#N/A,FALSE,"Assumptions"}</definedName>
    <definedName name="TEMP1">#REF!</definedName>
    <definedName name="TEMP2">#REF!</definedName>
    <definedName name="TEMPL">#REF!</definedName>
    <definedName name="templatefield">#REF!</definedName>
    <definedName name="Temporary_Staff_No">#REF!</definedName>
    <definedName name="Temps">#REF!</definedName>
    <definedName name="TENDER_FORMS">#REF!</definedName>
    <definedName name="Tenure">#REF!</definedName>
    <definedName name="teq">{#N/A,#N/A,FALSE,"Pharm";#N/A,#N/A,FALSE,"WWCM"}</definedName>
    <definedName name="teq_1">{#N/A,#N/A,FALSE,"Pharm";#N/A,#N/A,FALSE,"WWCM"}</definedName>
    <definedName name="teq_2">{#N/A,#N/A,FALSE,"Pharm";#N/A,#N/A,FALSE,"WWCM"}</definedName>
    <definedName name="teq_3">{#N/A,#N/A,FALSE,"Pharm";#N/A,#N/A,FALSE,"WWCM"}</definedName>
    <definedName name="teq_4">{#N/A,#N/A,FALSE,"Pharm";#N/A,#N/A,FALSE,"WWCM"}</definedName>
    <definedName name="teq_5">{#N/A,#N/A,FALSE,"Pharm";#N/A,#N/A,FALSE,"WWCM"}</definedName>
    <definedName name="Tequin">{#N/A,#N/A,FALSE,"Pharm";#N/A,#N/A,FALSE,"WWCM"}</definedName>
    <definedName name="Tequin_1">{#N/A,#N/A,FALSE,"Pharm";#N/A,#N/A,FALSE,"WWCM"}</definedName>
    <definedName name="Tequin_2">{#N/A,#N/A,FALSE,"Pharm";#N/A,#N/A,FALSE,"WWCM"}</definedName>
    <definedName name="Tequin_3">{#N/A,#N/A,FALSE,"Pharm";#N/A,#N/A,FALSE,"WWCM"}</definedName>
    <definedName name="Tequin_4">{#N/A,#N/A,FALSE,"Pharm";#N/A,#N/A,FALSE,"WWCM"}</definedName>
    <definedName name="Tequin_5">{#N/A,#N/A,FALSE,"Pharm";#N/A,#N/A,FALSE,"WWCM"}</definedName>
    <definedName name="tequinol">{#N/A,#N/A,FALSE,"REPORT"}</definedName>
    <definedName name="tequinol_1">{#N/A,#N/A,FALSE,"REPORT"}</definedName>
    <definedName name="tequinol_2">{#N/A,#N/A,FALSE,"REPORT"}</definedName>
    <definedName name="tequinol_3">{#N/A,#N/A,FALSE,"REPORT"}</definedName>
    <definedName name="tequinol_4">{#N/A,#N/A,FALSE,"REPORT"}</definedName>
    <definedName name="tequinol_5">{#N/A,#N/A,FALSE,"REPORT"}</definedName>
    <definedName name="TERM_LOAN_CBI_2ND">#REF!</definedName>
    <definedName name="TERM_LOAN_FROM_BANKS">#REF!</definedName>
    <definedName name="TERM_LOAN_SCBL">#REF!</definedName>
    <definedName name="TERM_LOAN_SCBL_2ND">#REF!</definedName>
    <definedName name="TERRYTOWEL">#REF!</definedName>
    <definedName name="test">{#N/A,#N/A,FALSE,"Pharm";#N/A,#N/A,FALSE,"WWCM"}</definedName>
    <definedName name="TEST_1">{#N/A,#N/A,FALSE,"PMTABB";#N/A,#N/A,FALSE,"PMTABB"}</definedName>
    <definedName name="TEST_1_1">{#N/A,#N/A,FALSE,"PMTABB";#N/A,#N/A,FALSE,"PMTABB"}</definedName>
    <definedName name="TEST_1_2">{#N/A,#N/A,FALSE,"PMTABB";#N/A,#N/A,FALSE,"PMTABB"}</definedName>
    <definedName name="TEST_1_3">{#N/A,#N/A,FALSE,"PMTABB";#N/A,#N/A,FALSE,"PMTABB"}</definedName>
    <definedName name="TEST_1_4">{#N/A,#N/A,FALSE,"PMTABB";#N/A,#N/A,FALSE,"PMTABB"}</definedName>
    <definedName name="TEST_1_5">{#N/A,#N/A,FALSE,"PMTABB";#N/A,#N/A,FALSE,"PMTABB"}</definedName>
    <definedName name="test_2">{#N/A,#N/A,FALSE,"Pharm";#N/A,#N/A,FALSE,"WWCM"}</definedName>
    <definedName name="test_3">{#N/A,#N/A,FALSE,"Pharm";#N/A,#N/A,FALSE,"WWCM"}</definedName>
    <definedName name="test_4">{#N/A,#N/A,FALSE,"Pharm";#N/A,#N/A,FALSE,"WWCM"}</definedName>
    <definedName name="test_5">{#N/A,#N/A,FALSE,"Pharm";#N/A,#N/A,FALSE,"WWCM"}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est2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est2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>{#N/A,#N/A,FALSE,"Pharm";#N/A,#N/A,FALSE,"WWCM"}</definedName>
    <definedName name="teste_1">{#N/A,#N/A,FALSE,"Pharm";#N/A,#N/A,FALSE,"WWCM"}</definedName>
    <definedName name="teste_2">{#N/A,#N/A,FALSE,"Pharm";#N/A,#N/A,FALSE,"WWCM"}</definedName>
    <definedName name="teste_3">{#N/A,#N/A,FALSE,"Pharm";#N/A,#N/A,FALSE,"WWCM"}</definedName>
    <definedName name="teste_4">{#N/A,#N/A,FALSE,"Pharm";#N/A,#N/A,FALSE,"WWCM"}</definedName>
    <definedName name="teste_5">{#N/A,#N/A,FALSE,"Pharm";#N/A,#N/A,FALSE,"WWCM"}</definedName>
    <definedName name="TESTHKEY">#REF!</definedName>
    <definedName name="TESTING_CHARGES">#REF!</definedName>
    <definedName name="TESTING_EQUIPMENTS">#REF!</definedName>
    <definedName name="testing_measuring">#REF!</definedName>
    <definedName name="TESTKEYS">#REF!</definedName>
    <definedName name="TESTVKEY">#REF!</definedName>
    <definedName name="text">#REF!</definedName>
    <definedName name="text_d">#REF!</definedName>
    <definedName name="text1">{"'Sheet1'!$L$16"}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4">#REF!</definedName>
    <definedName name="TextRefCopy4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1</definedName>
    <definedName name="TextRefCopyRangeCount_1">2</definedName>
    <definedName name="TEXTURISING">#REF!</definedName>
    <definedName name="TGHG">{#N/A,#N/A,FALSE,"SUMMARY";#N/A,#N/A,FALSE,"SUMMARY"}</definedName>
    <definedName name="TGHG_1">{#N/A,#N/A,FALSE,"SUMMARY";#N/A,#N/A,FALSE,"SUMMARY"}</definedName>
    <definedName name="TGHG_1_1">{#N/A,#N/A,FALSE,"SUMMARY";#N/A,#N/A,FALSE,"SUMMARY"}</definedName>
    <definedName name="TGHG_1_2">{#N/A,#N/A,FALSE,"SUMMARY";#N/A,#N/A,FALSE,"SUMMARY"}</definedName>
    <definedName name="TGHG_1_3">{#N/A,#N/A,FALSE,"SUMMARY";#N/A,#N/A,FALSE,"SUMMARY"}</definedName>
    <definedName name="TGHG_1_4">{#N/A,#N/A,FALSE,"SUMMARY";#N/A,#N/A,FALSE,"SUMMARY"}</definedName>
    <definedName name="TGHG_2">{#N/A,#N/A,FALSE,"SUMMARY";#N/A,#N/A,FALSE,"SUMMARY"}</definedName>
    <definedName name="TGHG_2_1">{#N/A,#N/A,FALSE,"SUMMARY";#N/A,#N/A,FALSE,"SUMMARY"}</definedName>
    <definedName name="TGHG_2_2">{#N/A,#N/A,FALSE,"SUMMARY";#N/A,#N/A,FALSE,"SUMMARY"}</definedName>
    <definedName name="TGHG_2_3">{#N/A,#N/A,FALSE,"SUMMARY";#N/A,#N/A,FALSE,"SUMMARY"}</definedName>
    <definedName name="TGHG_2_4">{#N/A,#N/A,FALSE,"SUMMARY";#N/A,#N/A,FALSE,"SUMMARY"}</definedName>
    <definedName name="TGHG_3">{#N/A,#N/A,FALSE,"SUMMARY";#N/A,#N/A,FALSE,"SUMMARY"}</definedName>
    <definedName name="TGHG_3_1">{#N/A,#N/A,FALSE,"SUMMARY";#N/A,#N/A,FALSE,"SUMMARY"}</definedName>
    <definedName name="TGHG_3_2">{#N/A,#N/A,FALSE,"SUMMARY";#N/A,#N/A,FALSE,"SUMMARY"}</definedName>
    <definedName name="TGHG_3_3">{#N/A,#N/A,FALSE,"SUMMARY";#N/A,#N/A,FALSE,"SUMMARY"}</definedName>
    <definedName name="TGHG_3_4">{#N/A,#N/A,FALSE,"SUMMARY";#N/A,#N/A,FALSE,"SUMMARY"}</definedName>
    <definedName name="TGHG_4">{#N/A,#N/A,FALSE,"SUMMARY";#N/A,#N/A,FALSE,"SUMMARY"}</definedName>
    <definedName name="TGHG_4_1">{#N/A,#N/A,FALSE,"SUMMARY";#N/A,#N/A,FALSE,"SUMMARY"}</definedName>
    <definedName name="TGHG_4_2">{#N/A,#N/A,FALSE,"SUMMARY";#N/A,#N/A,FALSE,"SUMMARY"}</definedName>
    <definedName name="TGHG_4_3">{#N/A,#N/A,FALSE,"SUMMARY";#N/A,#N/A,FALSE,"SUMMARY"}</definedName>
    <definedName name="TGHG_4_4">{#N/A,#N/A,FALSE,"SUMMARY";#N/A,#N/A,FALSE,"SUMMARY"}</definedName>
    <definedName name="TGHG_5">{#N/A,#N/A,FALSE,"SUMMARY";#N/A,#N/A,FALSE,"SUMMARY"}</definedName>
    <definedName name="TGTFG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I_PLASTIC_in_KUSD">#REF!</definedName>
    <definedName name="THAKARRAJARAM">#REF!</definedName>
    <definedName name="THANEKARKISHOR">#REF!</definedName>
    <definedName name="THANK">#REF!</definedName>
    <definedName name="thdt">#REF!</definedName>
    <definedName name="thirdinstalment">#REF!</definedName>
    <definedName name="ThisMonth">#REF!</definedName>
    <definedName name="THITE">#REF!</definedName>
    <definedName name="THITED">#REF!</definedName>
    <definedName name="THNEN">{#N/A,#N/A,FALSE,"Tabl. FB300";#N/A,#N/A,FALSE,"Tabl. FB350";#N/A,#N/A,FALSE,"Tabl. FB400";#N/A,#N/A,FALSE,"Tabl. FB500";#N/A,#N/A,FALSE,"Tabl. FS090"}</definedName>
    <definedName name="THNEN_1">{#N/A,#N/A,FALSE,"Tabl. FB300";#N/A,#N/A,FALSE,"Tabl. FB350";#N/A,#N/A,FALSE,"Tabl. FB400";#N/A,#N/A,FALSE,"Tabl. FB500";#N/A,#N/A,FALSE,"Tabl. FS090"}</definedName>
    <definedName name="THNEN_2">{#N/A,#N/A,FALSE,"Tabl. FB300";#N/A,#N/A,FALSE,"Tabl. FB350";#N/A,#N/A,FALSE,"Tabl. FB400";#N/A,#N/A,FALSE,"Tabl. FB500";#N/A,#N/A,FALSE,"Tabl. FS090"}</definedName>
    <definedName name="THNEN_3">{#N/A,#N/A,FALSE,"Tabl. FB300";#N/A,#N/A,FALSE,"Tabl. FB350";#N/A,#N/A,FALSE,"Tabl. FB400";#N/A,#N/A,FALSE,"Tabl. FB500";#N/A,#N/A,FALSE,"Tabl. FS090"}</definedName>
    <definedName name="THNEN_4">{#N/A,#N/A,FALSE,"Tabl. FB300";#N/A,#N/A,FALSE,"Tabl. FB350";#N/A,#N/A,FALSE,"Tabl. FB400";#N/A,#N/A,FALSE,"Tabl. FB500";#N/A,#N/A,FALSE,"Tabl. FS090"}</definedName>
    <definedName name="THOMBARE">#REF!</definedName>
    <definedName name="three">#REF!</definedName>
    <definedName name="Threshhold">#REF!</definedName>
    <definedName name="Threshold">#REF!</definedName>
    <definedName name="THTH">{#N/A,#N/A,FALSE,"TOWNSHIP"}</definedName>
    <definedName name="THTH_1">{#N/A,#N/A,FALSE,"TOWNSHIP"}</definedName>
    <definedName name="THTH_1_1">{#N/A,#N/A,FALSE,"TOWNSHIP"}</definedName>
    <definedName name="THTH_1_2">{#N/A,#N/A,FALSE,"TOWNSHIP"}</definedName>
    <definedName name="THTH_1_3">{#N/A,#N/A,FALSE,"TOWNSHIP"}</definedName>
    <definedName name="THTH_1_4">{#N/A,#N/A,FALSE,"TOWNSHIP"}</definedName>
    <definedName name="THTH_2">{#N/A,#N/A,FALSE,"TOWNSHIP"}</definedName>
    <definedName name="THTH_2_1">{#N/A,#N/A,FALSE,"TOWNSHIP"}</definedName>
    <definedName name="THTH_2_2">{#N/A,#N/A,FALSE,"TOWNSHIP"}</definedName>
    <definedName name="THTH_2_3">{#N/A,#N/A,FALSE,"TOWNSHIP"}</definedName>
    <definedName name="THTH_2_4">{#N/A,#N/A,FALSE,"TOWNSHIP"}</definedName>
    <definedName name="THTH_3">{#N/A,#N/A,FALSE,"TOWNSHIP"}</definedName>
    <definedName name="THTH_3_1">{#N/A,#N/A,FALSE,"TOWNSHIP"}</definedName>
    <definedName name="THTH_3_2">{#N/A,#N/A,FALSE,"TOWNSHIP"}</definedName>
    <definedName name="THTH_3_3">{#N/A,#N/A,FALSE,"TOWNSHIP"}</definedName>
    <definedName name="THTH_3_4">{#N/A,#N/A,FALSE,"TOWNSHIP"}</definedName>
    <definedName name="THTH_4">{#N/A,#N/A,FALSE,"TOWNSHIP"}</definedName>
    <definedName name="THTH_4_1">{#N/A,#N/A,FALSE,"TOWNSHIP"}</definedName>
    <definedName name="THTH_4_2">{#N/A,#N/A,FALSE,"TOWNSHIP"}</definedName>
    <definedName name="THTH_4_3">{#N/A,#N/A,FALSE,"TOWNSHIP"}</definedName>
    <definedName name="THTH_4_4">{#N/A,#N/A,FALSE,"TOWNSHIP"}</definedName>
    <definedName name="THTH_5">{#N/A,#N/A,FALSE,"TOWNSHIP"}</definedName>
    <definedName name="thue">6</definedName>
    <definedName name="THX">#REF!</definedName>
    <definedName name="Ticker">#REF!</definedName>
    <definedName name="Ticker_Symbol">#REF!</definedName>
    <definedName name="Tien">#REF!</definedName>
    <definedName name="til">#REF!</definedName>
    <definedName name="Tim_lan_xuat_hien">#REF!</definedName>
    <definedName name="tim_xuat_hien">#REF!</definedName>
    <definedName name="Time">#REF!</definedName>
    <definedName name="TIMEPER">#REF!</definedName>
    <definedName name="Timestamp">#REF!</definedName>
    <definedName name="TIMLPruFlexi">#REF!</definedName>
    <definedName name="TIMLPruIncome">#REF!</definedName>
    <definedName name="TIMLPruLiquid">#REF!</definedName>
    <definedName name="TIMLPruSTP">#REF!</definedName>
    <definedName name="TISCO">#REF!</definedName>
    <definedName name="Titan">#REF!</definedName>
    <definedName name="TITLE">#REF!</definedName>
    <definedName name="title_100">#REF!</definedName>
    <definedName name="TITLEINPUT">#REF!</definedName>
    <definedName name="TKML_PR">#REF!</definedName>
    <definedName name="TKT_NO">#REF!</definedName>
    <definedName name="TKT_NOA">#REF!</definedName>
    <definedName name="TKTCODE">#REF!</definedName>
    <definedName name="tld">#REF!</definedName>
    <definedName name="tly">#REF!</definedName>
    <definedName name="TM_PA">#REF!</definedName>
    <definedName name="tmkk_control">{"'August 2000'!$A$1:$J$101"}</definedName>
    <definedName name="TML_control">{"'August 2000'!$A$1:$J$101"}</definedName>
    <definedName name="TMP">#REF!</definedName>
    <definedName name="tn">#REF!</definedName>
    <definedName name="To">#REF!</definedName>
    <definedName name="to_employees_for_purchases">#REF!</definedName>
    <definedName name="tobecharged">#REF!</definedName>
    <definedName name="tobechgd">#REF!</definedName>
    <definedName name="toll">#REF!</definedName>
    <definedName name="tom__this_file_incorporates_the_funky_budget_changes">#REF!</definedName>
    <definedName name="Tong">#REF!</definedName>
    <definedName name="tongcong">#REF!</definedName>
    <definedName name="ToolingBH">#REF!</definedName>
    <definedName name="ToolingBT">#REF!</definedName>
    <definedName name="ToolingMC">#REF!</definedName>
    <definedName name="ToolingThreshhold">#REF!</definedName>
    <definedName name="toolsaddition">#REF!</definedName>
    <definedName name="TOP">#REF!</definedName>
    <definedName name="top_sheet">#REF!</definedName>
    <definedName name="TOPFBTDEC0506">{#N/A,#N/A,FALSE,"PMTABB";#N/A,#N/A,FALSE,"PMTABB"}</definedName>
    <definedName name="TOPFBTDEC0506_1">{#N/A,#N/A,FALSE,"PMTABB";#N/A,#N/A,FALSE,"PMTABB"}</definedName>
    <definedName name="TOPFBTDEC0506_1_1">{#N/A,#N/A,FALSE,"PMTABB";#N/A,#N/A,FALSE,"PMTABB"}</definedName>
    <definedName name="TOPFBTDEC0506_1_2">{#N/A,#N/A,FALSE,"PMTABB";#N/A,#N/A,FALSE,"PMTABB"}</definedName>
    <definedName name="TOPFBTDEC0506_1_3">{#N/A,#N/A,FALSE,"PMTABB";#N/A,#N/A,FALSE,"PMTABB"}</definedName>
    <definedName name="TOPFBTDEC0506_1_4">{#N/A,#N/A,FALSE,"PMTABB";#N/A,#N/A,FALSE,"PMTABB"}</definedName>
    <definedName name="TOPFBTDEC0506_2">{#N/A,#N/A,FALSE,"PMTABB";#N/A,#N/A,FALSE,"PMTABB"}</definedName>
    <definedName name="TOPFBTDEC0506_3">{#N/A,#N/A,FALSE,"PMTABB";#N/A,#N/A,FALSE,"PMTABB"}</definedName>
    <definedName name="TOPFBTDEC0506_4">{#N/A,#N/A,FALSE,"PMTABB";#N/A,#N/A,FALSE,"PMTABB"}</definedName>
    <definedName name="TOPFBTDEC0506_5">{#N/A,#N/A,FALSE,"PMTABB";#N/A,#N/A,FALSE,"PMTABB"}</definedName>
    <definedName name="topnames">#REF!</definedName>
    <definedName name="TOT">#REF!</definedName>
    <definedName name="TOT.ST">#REF!</definedName>
    <definedName name="Tot_knw_Xfoot">#REF!</definedName>
    <definedName name="Tot_lik_Xfoot">#REF!</definedName>
    <definedName name="Total">#REF!</definedName>
    <definedName name="Total__MMboe___Year__Production">#REF!</definedName>
    <definedName name="Total__MMboe__Reserves">#REF!</definedName>
    <definedName name="Total_Amount">#REF!</definedName>
    <definedName name="TOTAL_ASSETS_CQ">#REF!</definedName>
    <definedName name="TOTAL_ASSETS_PY">#REF!</definedName>
    <definedName name="TOTAL_ASSETS_PY_YTD">#REF!</definedName>
    <definedName name="Total_Book_Capitalization">#REF!</definedName>
    <definedName name="Total_Cost_Per_Completion">#REF!</definedName>
    <definedName name="Total_Debt___Total_Book_Capitalization">#REF!</definedName>
    <definedName name="Total_Debt___Total_Market_Capitalization">#REF!</definedName>
    <definedName name="Total_equity_forecast_act_year">#REF!</definedName>
    <definedName name="Total_equity_plan_year_x">#REF!</definedName>
    <definedName name="Total_equity_plan_year_x1">#REF!</definedName>
    <definedName name="Total_equity_plan_year_x2">#REF!</definedName>
    <definedName name="Total_equity_plan_year_x3">#REF!</definedName>
    <definedName name="Total_equity_s_holders__funds">#REF!</definedName>
    <definedName name="Total_Expenses">#REF!</definedName>
    <definedName name="TOTAL_LIAB_CQ">#REF!</definedName>
    <definedName name="TOTAL_LIAB_PY">#REF!</definedName>
    <definedName name="TOTAL_LIAB_PY_YTD">#REF!</definedName>
    <definedName name="TOTAL_OF_APPLICATION_OF_FUNDS">#REF!</definedName>
    <definedName name="Total_Pay">#REF!</definedName>
    <definedName name="Total_Rent_Cost_Per_Completion">#REF!</definedName>
    <definedName name="total_salary_profit">#REF!</definedName>
    <definedName name="Total_Staff_Cost_Per_Completion">#REF!</definedName>
    <definedName name="Total_Staff_Cost_Per_FTE">#REF!</definedName>
    <definedName name="Total_Staff_No">#REF!</definedName>
    <definedName name="TotalCompany">#REF!</definedName>
    <definedName name="TotalLocal">#REF!</definedName>
    <definedName name="TotalOfAllData">OFFSET(#REF!,0,0,COUNTA(#REF!),1)</definedName>
    <definedName name="Totalsourcesoffunds">#REF!</definedName>
    <definedName name="TotalUSD">#REF!</definedName>
    <definedName name="totbills">SUM(#REF!)</definedName>
    <definedName name="totent">SUM(#REF!)</definedName>
    <definedName name="TOTIPP">#REF!</definedName>
    <definedName name="totpayt">SUM(#REF!)</definedName>
    <definedName name="totunique">#REF!</definedName>
    <definedName name="TOW">#REF!</definedName>
    <definedName name="ToyotaBH">#REF!</definedName>
    <definedName name="ToyotaBT">#REF!</definedName>
    <definedName name="ToyotaMC">#REF!</definedName>
    <definedName name="TP">#REF!</definedName>
    <definedName name="TPC">#REF!</definedName>
    <definedName name="TR">#REF!</definedName>
    <definedName name="TR_ACT">#REF!</definedName>
    <definedName name="TR_RATES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ctor_Consumption">#REF!</definedName>
    <definedName name="traded">#REF!</definedName>
    <definedName name="TRADED1">#REF!</definedName>
    <definedName name="Trader">#REF!</definedName>
    <definedName name="TRADING_SALES">#REF!</definedName>
    <definedName name="TRADING_SALES_EXPORT">#REF!</definedName>
    <definedName name="TradingBH">#REF!</definedName>
    <definedName name="TradingBT">#REF!</definedName>
    <definedName name="TradingMC">#REF!</definedName>
    <definedName name="traduction">#REF!</definedName>
    <definedName name="Traffic">{"'Market &amp; Company Profile'!$H$24:$I$25"}</definedName>
    <definedName name="Traffic2">{"'Market &amp; Company Profile'!$H$24:$I$25"}</definedName>
    <definedName name="Training">#REF!</definedName>
    <definedName name="transfer">26</definedName>
    <definedName name="Transformers">#REF!</definedName>
    <definedName name="Transponder_Fees">#REF!</definedName>
    <definedName name="Transport___cab_hire">#REF!</definedName>
    <definedName name="TRANSPORT_TO_EMPLOYEE">#REF!</definedName>
    <definedName name="Travel_budget">#REF!</definedName>
    <definedName name="TRAVELLING_ADV_TO_EMPLOYEES">#REF!</definedName>
    <definedName name="TRAVELLING_EXP._DIRECTOR">#REF!</definedName>
    <definedName name="TRAVELLING_EXP.ABROAD">#REF!</definedName>
    <definedName name="TRAVELLING_EXP.MANAGERS">#REF!</definedName>
    <definedName name="TRAVELLING_EXP.OTHERS">#REF!</definedName>
    <definedName name="TRAVELLING_EXP.STAFF">#REF!</definedName>
    <definedName name="TRAVELLING_EXPENSES">#REF!</definedName>
    <definedName name="TRAVL">#REF!</definedName>
    <definedName name="TRB">#REF!</definedName>
    <definedName name="Trd">{#N/A,#N/A,FALSE,"Assumptions";#N/A,#N/A,FALSE,"ATP SCORAC (lb)";#N/A,#N/A,FALSE,"1996 P&amp;L SCO (lb)";#N/A,#N/A,FALSE,"ONG P&amp;L SCO (LB)"}</definedName>
    <definedName name="treeList">"10000000000000000000000000000000000000000000000000000000000000000000000000000000000000000000000000000000000000000000000000000000000000000000000000000000000000000000000000000000000000000000000000000000"</definedName>
    <definedName name="TRENCHING_EXPENSES">#REF!</definedName>
    <definedName name="Trend">#REF!</definedName>
    <definedName name="TRENDCHART1_BANGALORE_List">#REF!</definedName>
    <definedName name="TrendCurrent">#REF!</definedName>
    <definedName name="TrendPY4_Sel1">#REF!</definedName>
    <definedName name="TrendRollFWD">#REF!</definedName>
    <definedName name="TRGCOST">#REF!</definedName>
    <definedName name="TrgtQties">#REF!</definedName>
    <definedName name="TrgtValues">#REF!</definedName>
    <definedName name="TRIA">#REF!</definedName>
    <definedName name="trial">#REF!</definedName>
    <definedName name="TrialA">#REF!</definedName>
    <definedName name="TRP">#REF!</definedName>
    <definedName name="TRS">#REF!</definedName>
    <definedName name="trt">#REF!</definedName>
    <definedName name="tryeuyit">{#N/A,#N/A,FALSE,"Pharm";#N/A,#N/A,FALSE,"WWCM"}</definedName>
    <definedName name="tryeuyit_1">{#N/A,#N/A,FALSE,"Pharm";#N/A,#N/A,FALSE,"WWCM"}</definedName>
    <definedName name="tryeuyit_2">{#N/A,#N/A,FALSE,"Pharm";#N/A,#N/A,FALSE,"WWCM"}</definedName>
    <definedName name="tryeuyit_3">{#N/A,#N/A,FALSE,"Pharm";#N/A,#N/A,FALSE,"WWCM"}</definedName>
    <definedName name="tryeuyit_4">{#N/A,#N/A,FALSE,"Pharm";#N/A,#N/A,FALSE,"WWCM"}</definedName>
    <definedName name="tryeuyit_5">{#N/A,#N/A,FALSE,"Pharm";#N/A,#N/A,FALSE,"WWCM"}</definedName>
    <definedName name="TSA">#REF!</definedName>
    <definedName name="tsr">#REF!</definedName>
    <definedName name="TT">{#N/A,#N/A,FALSE,"Tabl. FB300";#N/A,#N/A,FALSE,"Tabl. FB350";#N/A,#N/A,FALSE,"Tabl. FB400";#N/A,#N/A,FALSE,"Tabl. FB500";#N/A,#N/A,FALSE,"Tabl. FS090"}</definedName>
    <definedName name="TT_1">{#N/A,#N/A,FALSE,"Tabl. FB300";#N/A,#N/A,FALSE,"Tabl. FB350";#N/A,#N/A,FALSE,"Tabl. FB400";#N/A,#N/A,FALSE,"Tabl. FB500";#N/A,#N/A,FALSE,"Tabl. FS090"}</definedName>
    <definedName name="tt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T_2">{#N/A,#N/A,FALSE,"Tabl. FB300";#N/A,#N/A,FALSE,"Tabl. FB350";#N/A,#N/A,FALSE,"Tabl. FB400";#N/A,#N/A,FALSE,"Tabl. FB500";#N/A,#N/A,FALSE,"Tabl. FS090"}</definedName>
    <definedName name="TT_3">{#N/A,#N/A,FALSE,"Tabl. FB300";#N/A,#N/A,FALSE,"Tabl. FB350";#N/A,#N/A,FALSE,"Tabl. FB400";#N/A,#N/A,FALSE,"Tabl. FB500";#N/A,#N/A,FALSE,"Tabl. FS090"}</definedName>
    <definedName name="TT_4">{#N/A,#N/A,FALSE,"Tabl. FB300";#N/A,#N/A,FALSE,"Tabl. FB350";#N/A,#N/A,FALSE,"Tabl. FB400";#N/A,#N/A,FALSE,"Tabl. FB500";#N/A,#N/A,FALSE,"Tabl. FS090"}</definedName>
    <definedName name="tt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TBA_Environement">#REF!</definedName>
    <definedName name="TTBA_Labor">#REF!</definedName>
    <definedName name="TTBA_Matl">#REF!</definedName>
    <definedName name="TTBA_OV">#REF!</definedName>
    <definedName name="tthi">#REF!</definedName>
    <definedName name="TTL_COS">#REF!</definedName>
    <definedName name="TTL_SALE">#REF!</definedName>
    <definedName name="TTL_UC">#REF!</definedName>
    <definedName name="TTLB1">#REF!</definedName>
    <definedName name="TTLB2">#REF!</definedName>
    <definedName name="TTLB3">#REF!</definedName>
    <definedName name="TTLSALE">#REF!</definedName>
    <definedName name="TTT">{#N/A,#N/A,FALSE,"Staffnos &amp; cost"}</definedName>
    <definedName name="TTT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TT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TT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ttthtr">{#N/A,#N/A,FALSE,"TOWNSHIP"}</definedName>
    <definedName name="ttthtr_1">{#N/A,#N/A,FALSE,"TOWNSHIP"}</definedName>
    <definedName name="ttthtr_1_1">{#N/A,#N/A,FALSE,"TOWNSHIP"}</definedName>
    <definedName name="ttthtr_1_2">{#N/A,#N/A,FALSE,"TOWNSHIP"}</definedName>
    <definedName name="ttthtr_1_3">{#N/A,#N/A,FALSE,"TOWNSHIP"}</definedName>
    <definedName name="ttthtr_1_4">{#N/A,#N/A,FALSE,"TOWNSHIP"}</definedName>
    <definedName name="ttthtr_2">{#N/A,#N/A,FALSE,"TOWNSHIP"}</definedName>
    <definedName name="ttthtr_2_1">{#N/A,#N/A,FALSE,"TOWNSHIP"}</definedName>
    <definedName name="ttthtr_2_2">{#N/A,#N/A,FALSE,"TOWNSHIP"}</definedName>
    <definedName name="ttthtr_2_3">{#N/A,#N/A,FALSE,"TOWNSHIP"}</definedName>
    <definedName name="ttthtr_2_4">{#N/A,#N/A,FALSE,"TOWNSHIP"}</definedName>
    <definedName name="ttthtr_3">{#N/A,#N/A,FALSE,"TOWNSHIP"}</definedName>
    <definedName name="ttthtr_3_1">{#N/A,#N/A,FALSE,"TOWNSHIP"}</definedName>
    <definedName name="ttthtr_3_2">{#N/A,#N/A,FALSE,"TOWNSHIP"}</definedName>
    <definedName name="ttthtr_3_3">{#N/A,#N/A,FALSE,"TOWNSHIP"}</definedName>
    <definedName name="ttthtr_3_4">{#N/A,#N/A,FALSE,"TOWNSHIP"}</definedName>
    <definedName name="ttthtr_4">{#N/A,#N/A,FALSE,"TOWNSHIP"}</definedName>
    <definedName name="ttthtr_4_1">{#N/A,#N/A,FALSE,"TOWNSHIP"}</definedName>
    <definedName name="ttthtr_4_2">{#N/A,#N/A,FALSE,"TOWNSHIP"}</definedName>
    <definedName name="ttthtr_4_3">{#N/A,#N/A,FALSE,"TOWNSHIP"}</definedName>
    <definedName name="ttthtr_4_4">{#N/A,#N/A,FALSE,"TOWNSHIP"}</definedName>
    <definedName name="ttthtr_5">{#N/A,#N/A,FALSE,"TOWNSHIP"}</definedName>
    <definedName name="tttt">#REF!</definedName>
    <definedName name="ttttttttttttttttttttt">#REF!</definedName>
    <definedName name="TURNOVER_DISCOUNT___INTRODUCTORY_DISCOUNT">#REF!</definedName>
    <definedName name="turnover_goods">#REF!</definedName>
    <definedName name="tw">#REF!</definedName>
    <definedName name="ty">{"plansummary",#N/A,FALSE,"PlanSummary";"sales",#N/A,FALSE,"Sales Rec";"productivity",#N/A,FALSE,"Productivity Rec";"capitalspending",#N/A,FALSE,"Capital Spending"}</definedName>
    <definedName name="ty_1">{"plansummary",#N/A,FALSE,"PlanSummary";"sales",#N/A,FALSE,"Sales Rec";"productivity",#N/A,FALSE,"Productivity Rec";"capitalspending",#N/A,FALSE,"Capital Spending"}</definedName>
    <definedName name="ty_2">{"plansummary",#N/A,FALSE,"PlanSummary";"sales",#N/A,FALSE,"Sales Rec";"productivity",#N/A,FALSE,"Productivity Rec";"capitalspending",#N/A,FALSE,"Capital Spending"}</definedName>
    <definedName name="ty_3">{"plansummary",#N/A,FALSE,"PlanSummary";"sales",#N/A,FALSE,"Sales Rec";"productivity",#N/A,FALSE,"Productivity Rec";"capitalspending",#N/A,FALSE,"Capital Spending"}</definedName>
    <definedName name="ty_le">#REF!</definedName>
    <definedName name="ty_le_BTN">#REF!</definedName>
    <definedName name="Ty_le1">#REF!</definedName>
    <definedName name="tyff">{#N/A,#N/A,FALSE,"PGW"}</definedName>
    <definedName name="tyff_1">{#N/A,#N/A,FALSE,"PGW"}</definedName>
    <definedName name="tyff_2">{#N/A,#N/A,FALSE,"PGW"}</definedName>
    <definedName name="tyff_2_1">{#N/A,#N/A,FALSE,"PGW"}</definedName>
    <definedName name="tyff_2_2">{#N/A,#N/A,FALSE,"PGW"}</definedName>
    <definedName name="tyff_2_3">{#N/A,#N/A,FALSE,"PGW"}</definedName>
    <definedName name="tyff_2_4">{#N/A,#N/A,FALSE,"PGW"}</definedName>
    <definedName name="tyff_3">{#N/A,#N/A,FALSE,"PGW"}</definedName>
    <definedName name="tyff_3_1">{#N/A,#N/A,FALSE,"PGW"}</definedName>
    <definedName name="tyff_3_2">{#N/A,#N/A,FALSE,"PGW"}</definedName>
    <definedName name="tyff_3_3">{#N/A,#N/A,FALSE,"PGW"}</definedName>
    <definedName name="tyff_3_4">{#N/A,#N/A,FALSE,"PGW"}</definedName>
    <definedName name="tyff_4">{#N/A,#N/A,FALSE,"PGW"}</definedName>
    <definedName name="tyff_4_1">{#N/A,#N/A,FALSE,"PGW"}</definedName>
    <definedName name="tyff_4_2">{#N/A,#N/A,FALSE,"PGW"}</definedName>
    <definedName name="tyff_4_3">{#N/A,#N/A,FALSE,"PGW"}</definedName>
    <definedName name="tyff_4_4">{#N/A,#N/A,FALSE,"PGW"}</definedName>
    <definedName name="tyff_5">{#N/A,#N/A,FALSE,"PGW"}</definedName>
    <definedName name="Type">#REF!</definedName>
    <definedName name="TypeofPayment">#REF!</definedName>
    <definedName name="tyutytyi">{#N/A,#N/A,FALSE,"Pharm";#N/A,#N/A,FALSE,"WWCM"}</definedName>
    <definedName name="tyutytyi_1">{#N/A,#N/A,FALSE,"Pharm";#N/A,#N/A,FALSE,"WWCM"}</definedName>
    <definedName name="tyutytyi_2">{#N/A,#N/A,FALSE,"Pharm";#N/A,#N/A,FALSE,"WWCM"}</definedName>
    <definedName name="tyutytyi_3">{#N/A,#N/A,FALSE,"Pharm";#N/A,#N/A,FALSE,"WWCM"}</definedName>
    <definedName name="tyutytyi_4">{#N/A,#N/A,FALSE,"Pharm";#N/A,#N/A,FALSE,"WWCM"}</definedName>
    <definedName name="tyutytyi_5">{#N/A,#N/A,FALSE,"Pharm";#N/A,#N/A,FALSE,"WWCM"}</definedName>
    <definedName name="tyyufkjkhjd">{#N/A,#N/A,FALSE,"Pharm";#N/A,#N/A,FALSE,"WWCM"}</definedName>
    <definedName name="tyyufkjkhjd_1">{#N/A,#N/A,FALSE,"Pharm";#N/A,#N/A,FALSE,"WWCM"}</definedName>
    <definedName name="tyyufkjkhjd_2">{#N/A,#N/A,FALSE,"Pharm";#N/A,#N/A,FALSE,"WWCM"}</definedName>
    <definedName name="tyyufkjkhjd_3">{#N/A,#N/A,FALSE,"Pharm";#N/A,#N/A,FALSE,"WWCM"}</definedName>
    <definedName name="tyyufkjkhjd_4">{#N/A,#N/A,FALSE,"Pharm";#N/A,#N/A,FALSE,"WWCM"}</definedName>
    <definedName name="tyyufkjkhjd_5">{#N/A,#N/A,FALSE,"Pharm";#N/A,#N/A,FALSE,"WWCM"}</definedName>
    <definedName name="U">#REF!</definedName>
    <definedName name="UDPO">#REF!</definedName>
    <definedName name="UHJ">{#N/A,#N/A,FALSE,"Tabl. FB300";#N/A,#N/A,FALSE,"Tabl. FB350";#N/A,#N/A,FALSE,"Tabl. FB400";#N/A,#N/A,FALSE,"Tabl. FB500";#N/A,#N/A,FALSE,"Tabl. FS090"}</definedName>
    <definedName name="UHJ_1">{#N/A,#N/A,FALSE,"Tabl. FB300";#N/A,#N/A,FALSE,"Tabl. FB350";#N/A,#N/A,FALSE,"Tabl. FB400";#N/A,#N/A,FALSE,"Tabl. FB500";#N/A,#N/A,FALSE,"Tabl. FS090"}</definedName>
    <definedName name="UHJ_2">{#N/A,#N/A,FALSE,"Tabl. FB300";#N/A,#N/A,FALSE,"Tabl. FB350";#N/A,#N/A,FALSE,"Tabl. FB400";#N/A,#N/A,FALSE,"Tabl. FB500";#N/A,#N/A,FALSE,"Tabl. FS090"}</definedName>
    <definedName name="UHJ_3">{#N/A,#N/A,FALSE,"Tabl. FB300";#N/A,#N/A,FALSE,"Tabl. FB350";#N/A,#N/A,FALSE,"Tabl. FB400";#N/A,#N/A,FALSE,"Tabl. FB500";#N/A,#N/A,FALSE,"Tabl. FS090"}</definedName>
    <definedName name="UHJ_4">{#N/A,#N/A,FALSE,"Tabl. FB300";#N/A,#N/A,FALSE,"Tabl. FB350";#N/A,#N/A,FALSE,"Tabl. FB400";#N/A,#N/A,FALSE,"Tabl. FB500";#N/A,#N/A,FALSE,"Tabl. FS090"}</definedName>
    <definedName name="UK_tax">#REF!</definedName>
    <definedName name="UKFX97P">#REF!</definedName>
    <definedName name="ukp">#REF!</definedName>
    <definedName name="UKV">#REF!</definedName>
    <definedName name="ulkruku6ku">IF([0]!yjetyjj,Header_Row+jykukuykuy,Header_Row)</definedName>
    <definedName name="Umlage">#REF!</definedName>
    <definedName name="UNEARNED">#REF!</definedName>
    <definedName name="Unit">{#N/A,#N/A,FALSE,"Pharm";#N/A,#N/A,FALSE,"WWCM"}</definedName>
    <definedName name="Unit_1">{#N/A,#N/A,FALSE,"Pharm";#N/A,#N/A,FALSE,"WWCM"}</definedName>
    <definedName name="Unit_2">{#N/A,#N/A,FALSE,"Pharm";#N/A,#N/A,FALSE,"WWCM"}</definedName>
    <definedName name="Unit_3">{#N/A,#N/A,FALSE,"Pharm";#N/A,#N/A,FALSE,"WWCM"}</definedName>
    <definedName name="Unit_4">{#N/A,#N/A,FALSE,"Pharm";#N/A,#N/A,FALSE,"WWCM"}</definedName>
    <definedName name="Unit_5">{#N/A,#N/A,FALSE,"Pharm";#N/A,#N/A,FALSE,"WWCM"}</definedName>
    <definedName name="UnitCodes">#REF!</definedName>
    <definedName name="Units">#REF!</definedName>
    <definedName name="unnamed">#REF!</definedName>
    <definedName name="UNSECURED_LOANS">#REF!</definedName>
    <definedName name="uoopuikknn">{#N/A,#N/A,FALSE,"Income Branch ONLY"}</definedName>
    <definedName name="Upcomcables">#REF!</definedName>
    <definedName name="Updated">#REF!</definedName>
    <definedName name="UPGGROSS">#REF!</definedName>
    <definedName name="Uplinking_Charges___See_Remarks">#REF!</definedName>
    <definedName name="UPLOAD">#REF!</definedName>
    <definedName name="upsAccounts">#REF!</definedName>
    <definedName name="us">#REF!</definedName>
    <definedName name="US_OF_JAN">#REF!</definedName>
    <definedName name="US_to_Oz">#REF!</definedName>
    <definedName name="USD">8450</definedName>
    <definedName name="USD.A">#REF!</definedName>
    <definedName name="USD.E">#REF!</definedName>
    <definedName name="USD_B">#REF!</definedName>
    <definedName name="USD00D">#REF!</definedName>
    <definedName name="USD00S">#REF!</definedName>
    <definedName name="USD97S">#REF!</definedName>
    <definedName name="USD98D">#REF!</definedName>
    <definedName name="USD98S">#REF!</definedName>
    <definedName name="USD99D">#REF!</definedName>
    <definedName name="USD99S">#REF!</definedName>
    <definedName name="usdn">#REF!</definedName>
    <definedName name="usdollar">#REF!</definedName>
    <definedName name="USE">#REF!</definedName>
    <definedName name="UserChoice">#REF!</definedName>
    <definedName name="usergroup">#REF!</definedName>
    <definedName name="usergroupdetail">#REF!</definedName>
    <definedName name="Usigma">#REF!</definedName>
    <definedName name="usrPeriod">#REF!</definedName>
    <definedName name="usrUnit">#REF!</definedName>
    <definedName name="usrWholeYear">#REF!</definedName>
    <definedName name="usrYear">#REF!</definedName>
    <definedName name="utg">{#N/A,#N/A,FALSE,"Tabl. H1";#N/A,#N/A,FALSE,"Tabl. H2"}</definedName>
    <definedName name="utg_1">{#N/A,#N/A,FALSE,"Tabl. H1";#N/A,#N/A,FALSE,"Tabl. H2"}</definedName>
    <definedName name="utg_2">{#N/A,#N/A,FALSE,"Tabl. H1";#N/A,#N/A,FALSE,"Tabl. H2"}</definedName>
    <definedName name="utg_3">{#N/A,#N/A,FALSE,"Tabl. H1";#N/A,#N/A,FALSE,"Tabl. H2"}</definedName>
    <definedName name="utg_4">{#N/A,#N/A,FALSE,"Tabl. H1";#N/A,#N/A,FALSE,"Tabl. H2"}</definedName>
    <definedName name="UtilCap">#REF!,#REF!,#REF!,#REF!,#REF!,#REF!,#REF!,#REF!</definedName>
    <definedName name="Utility">#REF!</definedName>
    <definedName name="UtilProd">#REF!,#REF!,#REF!,#REF!,#REF!,#REF!,#REF!,#REF!</definedName>
    <definedName name="uu">#REF!</definedName>
    <definedName name="UU_control">{"'August 2000'!$A$1:$J$101"}</definedName>
    <definedName name="UUJNN?JNJ">{#N/A,#N/A,FALSE,"Tabl. G1";#N/A,#N/A,FALSE,"Tabl. G2"}</definedName>
    <definedName name="UUJNN?JNJ_1">{#N/A,#N/A,FALSE,"Tabl. G1";#N/A,#N/A,FALSE,"Tabl. G2"}</definedName>
    <definedName name="UUJNN?JNJ_2">{#N/A,#N/A,FALSE,"Tabl. G1";#N/A,#N/A,FALSE,"Tabl. G2"}</definedName>
    <definedName name="UUJNN?JNJ_3">{#N/A,#N/A,FALSE,"Tabl. G1";#N/A,#N/A,FALSE,"Tabl. G2"}</definedName>
    <definedName name="UUJNN?JNJ_4">{#N/A,#N/A,FALSE,"Tabl. G1";#N/A,#N/A,FALSE,"Tabl. G2"}</definedName>
    <definedName name="UUYYYYYYYY">{#N/A,#N/A,FALSE,"Tabl. A1";#N/A,#N/A,FALSE,"Tabl. A1 b";#N/A,#N/A,FALSE,"Tabl. A2";#N/A,#N/A,FALSE,"Tabl. A2-1";#N/A,#N/A,FALSE,"Tabl. A2-2"}</definedName>
    <definedName name="UUYYYYYYYY_1">{#N/A,#N/A,FALSE,"Tabl. A1";#N/A,#N/A,FALSE,"Tabl. A1 b";#N/A,#N/A,FALSE,"Tabl. A2";#N/A,#N/A,FALSE,"Tabl. A2-1";#N/A,#N/A,FALSE,"Tabl. A2-2"}</definedName>
    <definedName name="UUYYYYYYYY_2">{#N/A,#N/A,FALSE,"Tabl. A1";#N/A,#N/A,FALSE,"Tabl. A1 b";#N/A,#N/A,FALSE,"Tabl. A2";#N/A,#N/A,FALSE,"Tabl. A2-1";#N/A,#N/A,FALSE,"Tabl. A2-2"}</definedName>
    <definedName name="UUYYYYYYYY_3">{#N/A,#N/A,FALSE,"Tabl. A1";#N/A,#N/A,FALSE,"Tabl. A1 b";#N/A,#N/A,FALSE,"Tabl. A2";#N/A,#N/A,FALSE,"Tabl. A2-1";#N/A,#N/A,FALSE,"Tabl. A2-2"}</definedName>
    <definedName name="UUYYYYYYYY_4">{#N/A,#N/A,FALSE,"Tabl. A1";#N/A,#N/A,FALSE,"Tabl. A1 b";#N/A,#N/A,FALSE,"Tabl. A2";#N/A,#N/A,FALSE,"Tabl. A2-1";#N/A,#N/A,FALSE,"Tabl. A2-2"}</definedName>
    <definedName name="UV">#REF!</definedName>
    <definedName name="UYB">{#N/A,#N/A,FALSE,"Tabl. A1";#N/A,#N/A,FALSE,"Tabl. A1 b";#N/A,#N/A,FALSE,"Tabl. A2";#N/A,#N/A,FALSE,"Tabl. A2-1";#N/A,#N/A,FALSE,"Tabl. A2-2"}</definedName>
    <definedName name="UYB_1">{#N/A,#N/A,FALSE,"Tabl. A1";#N/A,#N/A,FALSE,"Tabl. A1 b";#N/A,#N/A,FALSE,"Tabl. A2";#N/A,#N/A,FALSE,"Tabl. A2-1";#N/A,#N/A,FALSE,"Tabl. A2-2"}</definedName>
    <definedName name="UYB_2">{#N/A,#N/A,FALSE,"Tabl. A1";#N/A,#N/A,FALSE,"Tabl. A1 b";#N/A,#N/A,FALSE,"Tabl. A2";#N/A,#N/A,FALSE,"Tabl. A2-1";#N/A,#N/A,FALSE,"Tabl. A2-2"}</definedName>
    <definedName name="UYB_3">{#N/A,#N/A,FALSE,"Tabl. A1";#N/A,#N/A,FALSE,"Tabl. A1 b";#N/A,#N/A,FALSE,"Tabl. A2";#N/A,#N/A,FALSE,"Tabl. A2-1";#N/A,#N/A,FALSE,"Tabl. A2-2"}</definedName>
    <definedName name="UYB_4">{#N/A,#N/A,FALSE,"Tabl. A1";#N/A,#N/A,FALSE,"Tabl. A1 b";#N/A,#N/A,FALSE,"Tabl. A2";#N/A,#N/A,FALSE,"Tabl. A2-1";#N/A,#N/A,FALSE,"Tabl. A2-2"}</definedName>
    <definedName name="uyutyrrtrrtrereer">{#N/A,#N/A,FALSE,"Income Branch ONLY"}</definedName>
    <definedName name="v">#REF!</definedName>
    <definedName name="vacant">#REF!</definedName>
    <definedName name="VADAPURE">#REF!</definedName>
    <definedName name="VAL">#REF!</definedName>
    <definedName name="valid">#REF!</definedName>
    <definedName name="VALMAR">#REF!</definedName>
    <definedName name="VALMARNGR">#REF!</definedName>
    <definedName name="VALPPVKHD">#REF!</definedName>
    <definedName name="VALPPVKHD2">#REF!</definedName>
    <definedName name="VALPPVNGR">#REF!</definedName>
    <definedName name="VALPPVNGR2">#REF!</definedName>
    <definedName name="ValuationDate">#REF!</definedName>
    <definedName name="ValuationYear">#REF!</definedName>
    <definedName name="valuefield">#REF!</definedName>
    <definedName name="Values_Entered">IF(Loan_Amount*Interest_Rate*Loan_Years*Loan_Start&gt;0,1,0)</definedName>
    <definedName name="VARAMT">#REF!</definedName>
    <definedName name="VAREOH">#REF!</definedName>
    <definedName name="VARGESES">#REF!</definedName>
    <definedName name="VARIABABUBHAI">#REF!</definedName>
    <definedName name="VariableCosts">#REF!</definedName>
    <definedName name="VariableCostsEstimate">#REF!</definedName>
    <definedName name="VariableCostsPlan">#REF!</definedName>
    <definedName name="VARIINST">#REF!</definedName>
    <definedName name="VARIPURC">#REF!</definedName>
    <definedName name="VARSHA">#REF!</definedName>
    <definedName name="VAT">#REF!</definedName>
    <definedName name="vb">{#N/A,#N/A,FALSE,"Staffnos &amp; cost"}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g">#REF!</definedName>
    <definedName name="vbv">{#N/A,#N/A,FALSE,"Income State.";#N/A,#N/A,FALSE,"B-S"}</definedName>
    <definedName name="VDA">#REF!</definedName>
    <definedName name="VDAA">#REF!</definedName>
    <definedName name="VDAT">#REF!</definedName>
    <definedName name="VEHICLES">#REF!</definedName>
    <definedName name="velqj">#REF!</definedName>
    <definedName name="VENDOR">#REF!</definedName>
    <definedName name="venkat">#REF!</definedName>
    <definedName name="VENKATESANJ">#REF!</definedName>
    <definedName name="ventilation">#REF!</definedName>
    <definedName name="VER">#REF!</definedName>
    <definedName name="Version">#REF!</definedName>
    <definedName name="Version_Number">#REF!</definedName>
    <definedName name="Verwaltungsaufwand_Monat_Ist">#REF!</definedName>
    <definedName name="Vessels_under_construction">"Vessels_under_construction"</definedName>
    <definedName name="vga">{#N/A,#N/A,TRUE,"Summary";#N/A,#N/A,TRUE,"Balance Sheet";#N/A,#N/A,TRUE,"P &amp; L";#N/A,#N/A,TRUE,"Fixed Assets";#N/A,#N/A,TRUE,"Cash Flows"}</definedName>
    <definedName name="vga_1">{#N/A,#N/A,TRUE,"Summary";#N/A,#N/A,TRUE,"Balance Sheet";#N/A,#N/A,TRUE,"P &amp; L";#N/A,#N/A,TRUE,"Fixed Assets";#N/A,#N/A,TRUE,"Cash Flows"}</definedName>
    <definedName name="vhg">#REF!</definedName>
    <definedName name="vhl">"$exhibit3.$"</definedName>
    <definedName name="viaje">#REF!</definedName>
    <definedName name="VIANNEYDCUNHA">#REF!</definedName>
    <definedName name="viet">#REF!</definedName>
    <definedName name="VIEW_MENU">#REF!</definedName>
    <definedName name="vighneshbsc">#REF!</definedName>
    <definedName name="vighneshconv">#REF!</definedName>
    <definedName name="vighneshded">#REF!</definedName>
    <definedName name="vighneshhra">#REF!</definedName>
    <definedName name="vighneshmed">#REF!</definedName>
    <definedName name="vighneshpd">#REF!</definedName>
    <definedName name="vighneshpf">#REF!</definedName>
    <definedName name="vighneshspla">#REF!</definedName>
    <definedName name="Vijay">{#N/A,#N/A,FALSE,"Cash Flows";#N/A,#N/A,FALSE,"Fixed Assets";#N/A,#N/A,FALSE,"Balance Sheet";#N/A,#N/A,FALSE,"P &amp; L"}</definedName>
    <definedName name="Vijay_1">{#N/A,#N/A,FALSE,"Cash Flows";#N/A,#N/A,FALSE,"Fixed Assets";#N/A,#N/A,FALSE,"Balance Sheet";#N/A,#N/A,FALSE,"P &amp; L"}</definedName>
    <definedName name="VINAYAK">#REF!</definedName>
    <definedName name="vish">{#N/A,#N/A,FALSE,"COMP"}</definedName>
    <definedName name="vishalbsc">#REF!</definedName>
    <definedName name="vishalconv">#REF!</definedName>
    <definedName name="vishalded">#REF!</definedName>
    <definedName name="vishalhra">#REF!</definedName>
    <definedName name="vishalit">#REF!</definedName>
    <definedName name="vishalmed">#REF!</definedName>
    <definedName name="vishalpd">#REF!</definedName>
    <definedName name="vishalpf">#REF!</definedName>
    <definedName name="vishalpt">#REF!</definedName>
    <definedName name="vishalspla">#REF!</definedName>
    <definedName name="vjbekf">#REF!</definedName>
    <definedName name="vlm">{#N/A,#N/A,FALSE,"15"}</definedName>
    <definedName name="VOLCons">#REF!</definedName>
    <definedName name="VOLProf">#REF!</definedName>
    <definedName name="votl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RS">#REF!</definedName>
    <definedName name="VT">#REF!</definedName>
    <definedName name="VT_PA">#REF!</definedName>
    <definedName name="VT_RATES">#REF!</definedName>
    <definedName name="vt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>{"DCF","UPSIDE CASE",FALSE,"Sheet1";"DCF","BASE CASE",FALSE,"Sheet1";"DCF","DOWNSIDE CASE",FALSE,"Sheet1"}</definedName>
    <definedName name="vvv.dd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>{#N/A,#N/A,FALSE,"TOWNSHIP"}</definedName>
    <definedName name="vvv.ss_1">{#N/A,#N/A,FALSE,"TOWNSHIP"}</definedName>
    <definedName name="vvv.ss_2">{#N/A,#N/A,FALSE,"TOWNSHIP"}</definedName>
    <definedName name="vvv.ss_2_1">{#N/A,#N/A,FALSE,"TOWNSHIP"}</definedName>
    <definedName name="vvv.ss_2_2">{#N/A,#N/A,FALSE,"TOWNSHIP"}</definedName>
    <definedName name="vvv.ss_2_3">{#N/A,#N/A,FALSE,"TOWNSHIP"}</definedName>
    <definedName name="vvv.ss_2_4">{#N/A,#N/A,FALSE,"TOWNSHIP"}</definedName>
    <definedName name="vvv.ss_3">{#N/A,#N/A,FALSE,"TOWNSHIP"}</definedName>
    <definedName name="vvv.ss_3_1">{#N/A,#N/A,FALSE,"TOWNSHIP"}</definedName>
    <definedName name="vvv.ss_3_2">{#N/A,#N/A,FALSE,"TOWNSHIP"}</definedName>
    <definedName name="vvv.ss_3_3">{#N/A,#N/A,FALSE,"TOWNSHIP"}</definedName>
    <definedName name="vvv.ss_3_4">{#N/A,#N/A,FALSE,"TOWNSHIP"}</definedName>
    <definedName name="vvv.ss_4">{#N/A,#N/A,FALSE,"TOWNSHIP"}</definedName>
    <definedName name="vvv.ss_4_1">{#N/A,#N/A,FALSE,"TOWNSHIP"}</definedName>
    <definedName name="vvv.ss_4_2">{#N/A,#N/A,FALSE,"TOWNSHIP"}</definedName>
    <definedName name="vvv.ss_4_3">{#N/A,#N/A,FALSE,"TOWNSHIP"}</definedName>
    <definedName name="vvv.ss_4_4">{#N/A,#N/A,FALSE,"TOWNSHIP"}</definedName>
    <definedName name="vvv.ss_5">{#N/A,#N/A,FALSE,"TOWNSHIP"}</definedName>
    <definedName name="vvv.xxx">{#N/A,#N/A,FALSE,"SUMMARY";#N/A,#N/A,FALSE,"SUMMARY"}</definedName>
    <definedName name="vvv.xxx_1">{#N/A,#N/A,FALSE,"SUMMARY";#N/A,#N/A,FALSE,"SUMMARY"}</definedName>
    <definedName name="vvv.xxx_2">{#N/A,#N/A,FALSE,"SUMMARY";#N/A,#N/A,FALSE,"SUMMARY"}</definedName>
    <definedName name="vvv.xxx_2_1">{#N/A,#N/A,FALSE,"SUMMARY";#N/A,#N/A,FALSE,"SUMMARY"}</definedName>
    <definedName name="vvv.xxx_2_2">{#N/A,#N/A,FALSE,"SUMMARY";#N/A,#N/A,FALSE,"SUMMARY"}</definedName>
    <definedName name="vvv.xxx_2_3">{#N/A,#N/A,FALSE,"SUMMARY";#N/A,#N/A,FALSE,"SUMMARY"}</definedName>
    <definedName name="vvv.xxx_2_4">{#N/A,#N/A,FALSE,"SUMMARY";#N/A,#N/A,FALSE,"SUMMARY"}</definedName>
    <definedName name="vvv.xxx_3">{#N/A,#N/A,FALSE,"SUMMARY";#N/A,#N/A,FALSE,"SUMMARY"}</definedName>
    <definedName name="vvv.xxx_3_1">{#N/A,#N/A,FALSE,"SUMMARY";#N/A,#N/A,FALSE,"SUMMARY"}</definedName>
    <definedName name="vvv.xxx_3_2">{#N/A,#N/A,FALSE,"SUMMARY";#N/A,#N/A,FALSE,"SUMMARY"}</definedName>
    <definedName name="vvv.xxx_3_3">{#N/A,#N/A,FALSE,"SUMMARY";#N/A,#N/A,FALSE,"SUMMARY"}</definedName>
    <definedName name="vvv.xxx_3_4">{#N/A,#N/A,FALSE,"SUMMARY";#N/A,#N/A,FALSE,"SUMMARY"}</definedName>
    <definedName name="vvv.xxx_4">{#N/A,#N/A,FALSE,"SUMMARY";#N/A,#N/A,FALSE,"SUMMARY"}</definedName>
    <definedName name="vvv.xxx_4_1">{#N/A,#N/A,FALSE,"SUMMARY";#N/A,#N/A,FALSE,"SUMMARY"}</definedName>
    <definedName name="vvv.xxx_4_2">{#N/A,#N/A,FALSE,"SUMMARY";#N/A,#N/A,FALSE,"SUMMARY"}</definedName>
    <definedName name="vvv.xxx_4_3">{#N/A,#N/A,FALSE,"SUMMARY";#N/A,#N/A,FALSE,"SUMMARY"}</definedName>
    <definedName name="vvv.xxx_4_4">{#N/A,#N/A,FALSE,"SUMMARY";#N/A,#N/A,FALSE,"SUMMARY"}</definedName>
    <definedName name="vvv.xxx_5">{#N/A,#N/A,FALSE,"SUMMARY";#N/A,#N/A,FALSE,"SUMMARY"}</definedName>
    <definedName name="VW">#REF!</definedName>
    <definedName name="vwx">{#N/A,#N/A,FALSE,"Tabl. FB300";#N/A,#N/A,FALSE,"Tabl. FB350";#N/A,#N/A,FALSE,"Tabl. FB400";#N/A,#N/A,FALSE,"Tabl. FB500";#N/A,#N/A,FALSE,"Tabl. FS090"}</definedName>
    <definedName name="vwx_1">{#N/A,#N/A,FALSE,"Tabl. FB300";#N/A,#N/A,FALSE,"Tabl. FB350";#N/A,#N/A,FALSE,"Tabl. FB400";#N/A,#N/A,FALSE,"Tabl. FB500";#N/A,#N/A,FALSE,"Tabl. FS090"}</definedName>
    <definedName name="vwx_2">{#N/A,#N/A,FALSE,"Tabl. FB300";#N/A,#N/A,FALSE,"Tabl. FB350";#N/A,#N/A,FALSE,"Tabl. FB400";#N/A,#N/A,FALSE,"Tabl. FB500";#N/A,#N/A,FALSE,"Tabl. FS090"}</definedName>
    <definedName name="vwx_3">{#N/A,#N/A,FALSE,"Tabl. FB300";#N/A,#N/A,FALSE,"Tabl. FB350";#N/A,#N/A,FALSE,"Tabl. FB400";#N/A,#N/A,FALSE,"Tabl. FB500";#N/A,#N/A,FALSE,"Tabl. FS090"}</definedName>
    <definedName name="vwx_4">{#N/A,#N/A,FALSE,"Tabl. FB300";#N/A,#N/A,FALSE,"Tabl. FB350";#N/A,#N/A,FALSE,"Tabl. FB400";#N/A,#N/A,FALSE,"Tabl. FB500";#N/A,#N/A,FALSE,"Tabl. FS090"}</definedName>
    <definedName name="w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.ActMonth">#REF!</definedName>
    <definedName name="W.ActUnitNo">#REF!</definedName>
    <definedName name="W.ActWSheet">#REF!</definedName>
    <definedName name="W.ActYear">#REF!</definedName>
    <definedName name="W.CatAct">#REF!</definedName>
    <definedName name="W.Category">#REF!</definedName>
    <definedName name="W.CatFirst">#REF!</definedName>
    <definedName name="W.CatList">#REF!</definedName>
    <definedName name="W.CatZero">#REF!</definedName>
    <definedName name="W.FileListAll">#REF!</definedName>
    <definedName name="W.FileListOption">#REF!</definedName>
    <definedName name="W.FileListSelected">#REF!</definedName>
    <definedName name="W.FileListToPrint">#REF!</definedName>
    <definedName name="w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>#REF!</definedName>
    <definedName name="WAA">#REF!</definedName>
    <definedName name="wacc">#REF!</definedName>
    <definedName name="WACC_Switch">#REF!</definedName>
    <definedName name="WACHAKAWADEPRASAD">#REF!</definedName>
    <definedName name="WADEKAR">#REF!</definedName>
    <definedName name="WAGES_OVERTIME">#REF!</definedName>
    <definedName name="WAGHMARESANTOSH">#REF!</definedName>
    <definedName name="WAIKAR">#REF!</definedName>
    <definedName name="WALUNJR">#REF!</definedName>
    <definedName name="WANI">#REF!</definedName>
    <definedName name="WARRENTY_COST">#REF!</definedName>
    <definedName name="was">{#N/A,#N/A,FALSE,"Sales Graph";#N/A,#N/A,FALSE,"BUC Graph";#N/A,#N/A,FALSE,"P&amp;L - YTD"}</definedName>
    <definedName name="was_1">{#N/A,#N/A,FALSE,"Sales Graph";#N/A,#N/A,FALSE,"BUC Graph";#N/A,#N/A,FALSE,"P&amp;L - YTD"}</definedName>
    <definedName name="was_2">{#N/A,#N/A,FALSE,"Sales Graph";#N/A,#N/A,FALSE,"BUC Graph";#N/A,#N/A,FALSE,"P&amp;L - YTD"}</definedName>
    <definedName name="was_3">{#N/A,#N/A,FALSE,"Sales Graph";#N/A,#N/A,FALSE,"BUC Graph";#N/A,#N/A,FALSE,"P&amp;L - YTD"}</definedName>
    <definedName name="was_4">{#N/A,#N/A,FALSE,"Sales Graph";#N/A,#N/A,FALSE,"BUC Graph";#N/A,#N/A,FALSE,"P&amp;L - YTD"}</definedName>
    <definedName name="was_5">{#N/A,#N/A,FALSE,"Sales Graph";#N/A,#N/A,FALSE,"BUC Graph";#N/A,#N/A,FALSE,"P&amp;L - YTD"}</definedName>
    <definedName name="WASANKARSUSHILKUMAR">#REF!</definedName>
    <definedName name="WAT">#REF!</definedName>
    <definedName name="WATER_CHARGES">#REF!</definedName>
    <definedName name="waterway">#REF!</definedName>
    <definedName name="WAVE">#REF!</definedName>
    <definedName name="WAYKOLECHETAN">#REF!</definedName>
    <definedName name="wb">{#N/A,#N/A,FALSE,"Pharm";#N/A,#N/A,FALSE,"WWCM"}</definedName>
    <definedName name="wb_1">{#N/A,#N/A,FALSE,"Pharm";#N/A,#N/A,FALSE,"WWCM"}</definedName>
    <definedName name="wb_2">{#N/A,#N/A,FALSE,"Pharm";#N/A,#N/A,FALSE,"WWCM"}</definedName>
    <definedName name="wb_3">{#N/A,#N/A,FALSE,"Pharm";#N/A,#N/A,FALSE,"WWCM"}</definedName>
    <definedName name="wb_4">{#N/A,#N/A,FALSE,"Pharm";#N/A,#N/A,FALSE,"WWCM"}</definedName>
    <definedName name="wb_5">{#N/A,#N/A,FALSE,"Pharm";#N/A,#N/A,FALSE,"WWCM"}</definedName>
    <definedName name="wc">{#N/A,#N/A,FALSE,"Pharm";#N/A,#N/A,FALSE,"WWCM"}</definedName>
    <definedName name="wc_1">{#N/A,#N/A,FALSE,"Pharm";#N/A,#N/A,FALSE,"WWCM"}</definedName>
    <definedName name="wc_2">{#N/A,#N/A,FALSE,"Pharm";#N/A,#N/A,FALSE,"WWCM"}</definedName>
    <definedName name="wc_3">{#N/A,#N/A,FALSE,"Pharm";#N/A,#N/A,FALSE,"WWCM"}</definedName>
    <definedName name="wc_4">{#N/A,#N/A,FALSE,"Pharm";#N/A,#N/A,FALSE,"WWCM"}</definedName>
    <definedName name="wc_5">{#N/A,#N/A,FALSE,"Pharm";#N/A,#N/A,FALSE,"WWCM"}</definedName>
    <definedName name="WCAP">#REF!</definedName>
    <definedName name="wcrzz">#REF!</definedName>
    <definedName name="WD">{#N/A,#N/A,FALSE,"CIF APR'03-SEP'03 (2)"}</definedName>
    <definedName name="WDESAX">{#N/A,#N/A,FALSE,"SUMMARY";#N/A,#N/A,FALSE,"SUMMARY"}</definedName>
    <definedName name="WDESAX_1">{#N/A,#N/A,FALSE,"SUMMARY";#N/A,#N/A,FALSE,"SUMMARY"}</definedName>
    <definedName name="WDESAX_1_1">{#N/A,#N/A,FALSE,"SUMMARY";#N/A,#N/A,FALSE,"SUMMARY"}</definedName>
    <definedName name="WDESAX_1_2">{#N/A,#N/A,FALSE,"SUMMARY";#N/A,#N/A,FALSE,"SUMMARY"}</definedName>
    <definedName name="WDESAX_1_3">{#N/A,#N/A,FALSE,"SUMMARY";#N/A,#N/A,FALSE,"SUMMARY"}</definedName>
    <definedName name="WDESAX_1_4">{#N/A,#N/A,FALSE,"SUMMARY";#N/A,#N/A,FALSE,"SUMMARY"}</definedName>
    <definedName name="WDESAX_2">{#N/A,#N/A,FALSE,"SUMMARY";#N/A,#N/A,FALSE,"SUMMARY"}</definedName>
    <definedName name="WDESAX_2_1">{#N/A,#N/A,FALSE,"SUMMARY";#N/A,#N/A,FALSE,"SUMMARY"}</definedName>
    <definedName name="WDESAX_2_2">{#N/A,#N/A,FALSE,"SUMMARY";#N/A,#N/A,FALSE,"SUMMARY"}</definedName>
    <definedName name="WDESAX_2_3">{#N/A,#N/A,FALSE,"SUMMARY";#N/A,#N/A,FALSE,"SUMMARY"}</definedName>
    <definedName name="WDESAX_2_4">{#N/A,#N/A,FALSE,"SUMMARY";#N/A,#N/A,FALSE,"SUMMARY"}</definedName>
    <definedName name="WDESAX_3">{#N/A,#N/A,FALSE,"SUMMARY";#N/A,#N/A,FALSE,"SUMMARY"}</definedName>
    <definedName name="WDESAX_3_1">{#N/A,#N/A,FALSE,"SUMMARY";#N/A,#N/A,FALSE,"SUMMARY"}</definedName>
    <definedName name="WDESAX_3_2">{#N/A,#N/A,FALSE,"SUMMARY";#N/A,#N/A,FALSE,"SUMMARY"}</definedName>
    <definedName name="WDESAX_3_3">{#N/A,#N/A,FALSE,"SUMMARY";#N/A,#N/A,FALSE,"SUMMARY"}</definedName>
    <definedName name="WDESAX_3_4">{#N/A,#N/A,FALSE,"SUMMARY";#N/A,#N/A,FALSE,"SUMMARY"}</definedName>
    <definedName name="WDESAX_4">{#N/A,#N/A,FALSE,"SUMMARY";#N/A,#N/A,FALSE,"SUMMARY"}</definedName>
    <definedName name="WDESAX_4_1">{#N/A,#N/A,FALSE,"SUMMARY";#N/A,#N/A,FALSE,"SUMMARY"}</definedName>
    <definedName name="WDESAX_4_2">{#N/A,#N/A,FALSE,"SUMMARY";#N/A,#N/A,FALSE,"SUMMARY"}</definedName>
    <definedName name="WDESAX_4_3">{#N/A,#N/A,FALSE,"SUMMARY";#N/A,#N/A,FALSE,"SUMMARY"}</definedName>
    <definedName name="WDESAX_4_4">{#N/A,#N/A,FALSE,"SUMMARY";#N/A,#N/A,FALSE,"SUMMARY"}</definedName>
    <definedName name="WDESAX_5">{#N/A,#N/A,FALSE,"SUMMARY";#N/A,#N/A,FALSE,"SUMMARY"}</definedName>
    <definedName name="WDSX">{#N/A,#N/A,FALSE,"PGW"}</definedName>
    <definedName name="WDSX_1">{#N/A,#N/A,FALSE,"PGW"}</definedName>
    <definedName name="WDSX_1_1">{#N/A,#N/A,FALSE,"PGW"}</definedName>
    <definedName name="WDSX_1_2">{#N/A,#N/A,FALSE,"PGW"}</definedName>
    <definedName name="WDSX_1_3">{#N/A,#N/A,FALSE,"PGW"}</definedName>
    <definedName name="WDSX_1_4">{#N/A,#N/A,FALSE,"PGW"}</definedName>
    <definedName name="WDSX_2">{#N/A,#N/A,FALSE,"PGW"}</definedName>
    <definedName name="WDSX_2_1">{#N/A,#N/A,FALSE,"PGW"}</definedName>
    <definedName name="WDSX_2_2">{#N/A,#N/A,FALSE,"PGW"}</definedName>
    <definedName name="WDSX_2_3">{#N/A,#N/A,FALSE,"PGW"}</definedName>
    <definedName name="WDSX_2_4">{#N/A,#N/A,FALSE,"PGW"}</definedName>
    <definedName name="WDSX_3">{#N/A,#N/A,FALSE,"PGW"}</definedName>
    <definedName name="WDSX_3_1">{#N/A,#N/A,FALSE,"PGW"}</definedName>
    <definedName name="WDSX_3_2">{#N/A,#N/A,FALSE,"PGW"}</definedName>
    <definedName name="WDSX_3_3">{#N/A,#N/A,FALSE,"PGW"}</definedName>
    <definedName name="WDSX_3_4">{#N/A,#N/A,FALSE,"PGW"}</definedName>
    <definedName name="WDSX_4">{#N/A,#N/A,FALSE,"PGW"}</definedName>
    <definedName name="WDSX_4_1">{#N/A,#N/A,FALSE,"PGW"}</definedName>
    <definedName name="WDSX_4_2">{#N/A,#N/A,FALSE,"PGW"}</definedName>
    <definedName name="WDSX_4_3">{#N/A,#N/A,FALSE,"PGW"}</definedName>
    <definedName name="WDSX_4_4">{#N/A,#N/A,FALSE,"PGW"}</definedName>
    <definedName name="WDSX_5">{#N/A,#N/A,FALSE,"PGW"}</definedName>
    <definedName name="WDWD">{#N/A,#N/A,FALSE,"PGW"}</definedName>
    <definedName name="WDWD_1">{#N/A,#N/A,FALSE,"PGW"}</definedName>
    <definedName name="WDWD_2">{#N/A,#N/A,FALSE,"PGW"}</definedName>
    <definedName name="WDWD_3">{#N/A,#N/A,FALSE,"PGW"}</definedName>
    <definedName name="WDWD_4">{#N/A,#N/A,FALSE,"PGW"}</definedName>
    <definedName name="w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_4">{#N/A,#N/A,FALSE,"Pharm";#N/A,#N/A,FALSE,"WWCM"}</definedName>
    <definedName name="we_5">{#N/A,#N/A,FALSE,"Pharm";#N/A,#N/A,FALSE,"WWCM"}</definedName>
    <definedName name="Web">#REF!</definedName>
    <definedName name="WEDWQDX">{#N/A,#N/A,FALSE,"OSBL"}</definedName>
    <definedName name="WEDWQDX_1">{#N/A,#N/A,FALSE,"OSBL"}</definedName>
    <definedName name="WEDWQDX_1_1">{#N/A,#N/A,FALSE,"OSBL"}</definedName>
    <definedName name="WEDWQDX_1_2">{#N/A,#N/A,FALSE,"OSBL"}</definedName>
    <definedName name="WEDWQDX_1_3">{#N/A,#N/A,FALSE,"OSBL"}</definedName>
    <definedName name="WEDWQDX_1_4">{#N/A,#N/A,FALSE,"OSBL"}</definedName>
    <definedName name="WEDWQDX_2">{#N/A,#N/A,FALSE,"OSBL"}</definedName>
    <definedName name="WEDWQDX_2_1">{#N/A,#N/A,FALSE,"OSBL"}</definedName>
    <definedName name="WEDWQDX_2_2">{#N/A,#N/A,FALSE,"OSBL"}</definedName>
    <definedName name="WEDWQDX_2_3">{#N/A,#N/A,FALSE,"OSBL"}</definedName>
    <definedName name="WEDWQDX_2_4">{#N/A,#N/A,FALSE,"OSBL"}</definedName>
    <definedName name="WEDWQDX_3">{#N/A,#N/A,FALSE,"OSBL"}</definedName>
    <definedName name="WEDWQDX_3_1">{#N/A,#N/A,FALSE,"OSBL"}</definedName>
    <definedName name="WEDWQDX_3_2">{#N/A,#N/A,FALSE,"OSBL"}</definedName>
    <definedName name="WEDWQDX_3_3">{#N/A,#N/A,FALSE,"OSBL"}</definedName>
    <definedName name="WEDWQDX_3_4">{#N/A,#N/A,FALSE,"OSBL"}</definedName>
    <definedName name="WEDWQDX_4">{#N/A,#N/A,FALSE,"OSBL"}</definedName>
    <definedName name="WEDWQDX_4_1">{#N/A,#N/A,FALSE,"OSBL"}</definedName>
    <definedName name="WEDWQDX_4_2">{#N/A,#N/A,FALSE,"OSBL"}</definedName>
    <definedName name="WEDWQDX_4_3">{#N/A,#N/A,FALSE,"OSBL"}</definedName>
    <definedName name="WEDWQDX_4_4">{#N/A,#N/A,FALSE,"OSBL"}</definedName>
    <definedName name="WEDWQDX_5">{#N/A,#N/A,FALSE,"OSBL"}</definedName>
    <definedName name="weighingadd">#REF!</definedName>
    <definedName name="WELFARE_EXPENSES">#REF!</definedName>
    <definedName name="wen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q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>{#N/A,#N/A,FALSE,"Umsatz 99";#N/A,#N/A,FALSE,"ER 99 "}</definedName>
    <definedName name="wer_1">{#N/A,#N/A,FALSE,"Umsatz 99";#N/A,#N/A,FALSE,"ER 99 "}</definedName>
    <definedName name="wer_2">{#N/A,#N/A,FALSE,"Umsatz 99";#N/A,#N/A,FALSE,"ER 99 "}</definedName>
    <definedName name="wer_3">{#N/A,#N/A,FALSE,"Umsatz 99";#N/A,#N/A,FALSE,"ER 99 "}</definedName>
    <definedName name="wer_4">{#N/A,#N/A,FALSE,"Umsatz 99";#N/A,#N/A,FALSE,"ER 99 "}</definedName>
    <definedName name="werrr">{#N/A,#N/A,FALSE,"Pharm";#N/A,#N/A,FALSE,"WWCM"}</definedName>
    <definedName name="werrr_1">{#N/A,#N/A,FALSE,"Pharm";#N/A,#N/A,FALSE,"WWCM"}</definedName>
    <definedName name="werrr_2">{#N/A,#N/A,FALSE,"Pharm";#N/A,#N/A,FALSE,"WWCM"}</definedName>
    <definedName name="werrr_3">{#N/A,#N/A,FALSE,"Pharm";#N/A,#N/A,FALSE,"WWCM"}</definedName>
    <definedName name="werrr_4">{#N/A,#N/A,FALSE,"Pharm";#N/A,#N/A,FALSE,"WWCM"}</definedName>
    <definedName name="werrr_5">{#N/A,#N/A,FALSE,"Pharm";#N/A,#N/A,FALSE,"WWCM"}</definedName>
    <definedName name="wewew">#REF!</definedName>
    <definedName name="WG">#REF!</definedName>
    <definedName name="wgbwt">{#N/A,#N/A,FALSE,"ISBL"}</definedName>
    <definedName name="wgbwt_1">{#N/A,#N/A,FALSE,"ISBL"}</definedName>
    <definedName name="wgbwt_1_1">{#N/A,#N/A,FALSE,"ISBL"}</definedName>
    <definedName name="wgbwt_1_2">{#N/A,#N/A,FALSE,"ISBL"}</definedName>
    <definedName name="wgbwt_1_3">{#N/A,#N/A,FALSE,"ISBL"}</definedName>
    <definedName name="wgbwt_1_4">{#N/A,#N/A,FALSE,"ISBL"}</definedName>
    <definedName name="wgbwt_2">{#N/A,#N/A,FALSE,"ISBL"}</definedName>
    <definedName name="wgbwt_2_1">{#N/A,#N/A,FALSE,"ISBL"}</definedName>
    <definedName name="wgbwt_2_2">{#N/A,#N/A,FALSE,"ISBL"}</definedName>
    <definedName name="wgbwt_2_3">{#N/A,#N/A,FALSE,"ISBL"}</definedName>
    <definedName name="wgbwt_2_4">{#N/A,#N/A,FALSE,"ISBL"}</definedName>
    <definedName name="wgbwt_3">{#N/A,#N/A,FALSE,"ISBL"}</definedName>
    <definedName name="wgbwt_3_1">{#N/A,#N/A,FALSE,"ISBL"}</definedName>
    <definedName name="wgbwt_3_2">{#N/A,#N/A,FALSE,"ISBL"}</definedName>
    <definedName name="wgbwt_3_3">{#N/A,#N/A,FALSE,"ISBL"}</definedName>
    <definedName name="wgbwt_3_4">{#N/A,#N/A,FALSE,"ISBL"}</definedName>
    <definedName name="wgbwt_4">{#N/A,#N/A,FALSE,"ISBL"}</definedName>
    <definedName name="wgbwt_4_1">{#N/A,#N/A,FALSE,"ISBL"}</definedName>
    <definedName name="wgbwt_4_2">{#N/A,#N/A,FALSE,"ISBL"}</definedName>
    <definedName name="wgbwt_4_3">{#N/A,#N/A,FALSE,"ISBL"}</definedName>
    <definedName name="wgbwt_4_4">{#N/A,#N/A,FALSE,"ISBL"}</definedName>
    <definedName name="wgbwt_5">{#N/A,#N/A,FALSE,"ISBL"}</definedName>
    <definedName name="WGR">#REF!</definedName>
    <definedName name="whatisthis">{#N/A,#N/A,FALSE,"Assumptions";#N/A,#N/A,FALSE,"1997 P&amp;L(pk) Estrada";#N/A,#N/A,FALSE,"ONGOING P&amp;L(pk) Estrada"}</definedName>
    <definedName name="WHATISTHIS1">{#N/A,#N/A,FALSE,"431"}</definedName>
    <definedName name="whatisthis2">{#N/A,#N/A,FALSE,"Assumptions";#N/A,#N/A,FALSE,"1997 P&amp;L(pk) Estrada";#N/A,#N/A,FALSE,"ONGOING P&amp;L(pk) Estrada"}</definedName>
    <definedName name="WHATISTHIS3">{#N/A,#N/A,FALSE,"431"}</definedName>
    <definedName name="WHATISTHIS4">{#N/A,#N/A,FALSE,"431"}</definedName>
    <definedName name="WHATISTHIS5">{#N/A,#N/A,FALSE,"431"}</definedName>
    <definedName name="Whitegoods">#REF!</definedName>
    <definedName name="WIP">#REF!</definedName>
    <definedName name="WithSecondMelter">#REF!</definedName>
    <definedName name="WksinMonth">#REF!</definedName>
    <definedName name="WksinPriorMonth">#REF!</definedName>
    <definedName name="WLD_January">#REF!</definedName>
    <definedName name="WLD_January_Post">#REF!</definedName>
    <definedName name="WMB">#REF!</definedName>
    <definedName name="WNDY">{#N/A,#N/A,FALSE,"PART-1234-8-12-9(41)";#N/A,#N/A,FALSE,"PARTS-2(3)";#N/A,#N/A,FALSE,"VAN SYSTEM";#N/A,#N/A,FALSE,"PARTS-10(26)";#N/A,#N/A,FALSE,"PART-5-6-7-11(14)";#N/A,#N/A,FALSE,"PARTS-4(3)";#N/A,#N/A,FALSE,"PCLASS"}</definedName>
    <definedName name="WOFF">#REF!</definedName>
    <definedName name="woo">{"summary",#N/A,FALSE,"Revenue Strat Plan"}</definedName>
    <definedName name="wooo">{"detail",#N/A,FALSE,"Revenue Strat Plan"}</definedName>
    <definedName name="wordings">#REF!</definedName>
    <definedName name="Words">#REF!</definedName>
    <definedName name="Work_contract_Tax">#REF!</definedName>
    <definedName name="Work_Cost_Center">#REF!</definedName>
    <definedName name="WORK_IN_PROGRESS">#REF!</definedName>
    <definedName name="Workcenter">#REF!</definedName>
    <definedName name="workexmw_pa">#REF!</definedName>
    <definedName name="working">{#N/A,#N/A,FALSE,"REPORT"}</definedName>
    <definedName name="working_1">{#N/A,#N/A,FALSE,"REPORT"}</definedName>
    <definedName name="working_2">{#N/A,#N/A,FALSE,"REPORT"}</definedName>
    <definedName name="working_3">{#N/A,#N/A,FALSE,"REPORT"}</definedName>
    <definedName name="working_4">{#N/A,#N/A,FALSE,"REPORT"}</definedName>
    <definedName name="working_5">{#N/A,#N/A,FALSE,"REPORT"}</definedName>
    <definedName name="WORKING_CAPITAL_BORROWING_FROM_BANKS">#REF!</definedName>
    <definedName name="workingss">#REF!</definedName>
    <definedName name="Worksheet_1">#REF!</definedName>
    <definedName name="Worksheet_2">#REF!</definedName>
    <definedName name="Worksheet_3">#REF!</definedName>
    <definedName name="Worksheet_4">#REF!</definedName>
    <definedName name="WORKSHOP_MACHINERY__BELOW_5000">#REF!</definedName>
    <definedName name="WORKSHOP_MACHINERY__BELOW_RS_5000">#REF!</definedName>
    <definedName name="WOT">#REF!</definedName>
    <definedName name="wq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QDAW">{#N/A,#N/A,FALSE,"ISBL"}</definedName>
    <definedName name="WQDAW_1">{#N/A,#N/A,FALSE,"ISBL"}</definedName>
    <definedName name="WQDAW_1_1">{#N/A,#N/A,FALSE,"ISBL"}</definedName>
    <definedName name="WQDAW_1_2">{#N/A,#N/A,FALSE,"ISBL"}</definedName>
    <definedName name="WQDAW_1_3">{#N/A,#N/A,FALSE,"ISBL"}</definedName>
    <definedName name="WQDAW_1_4">{#N/A,#N/A,FALSE,"ISBL"}</definedName>
    <definedName name="WQDAW_2">{#N/A,#N/A,FALSE,"ISBL"}</definedName>
    <definedName name="WQDAW_2_1">{#N/A,#N/A,FALSE,"ISBL"}</definedName>
    <definedName name="WQDAW_2_2">{#N/A,#N/A,FALSE,"ISBL"}</definedName>
    <definedName name="WQDAW_2_3">{#N/A,#N/A,FALSE,"ISBL"}</definedName>
    <definedName name="WQDAW_2_4">{#N/A,#N/A,FALSE,"ISBL"}</definedName>
    <definedName name="WQDAW_3">{#N/A,#N/A,FALSE,"ISBL"}</definedName>
    <definedName name="WQDAW_3_1">{#N/A,#N/A,FALSE,"ISBL"}</definedName>
    <definedName name="WQDAW_3_2">{#N/A,#N/A,FALSE,"ISBL"}</definedName>
    <definedName name="WQDAW_3_3">{#N/A,#N/A,FALSE,"ISBL"}</definedName>
    <definedName name="WQDAW_3_4">{#N/A,#N/A,FALSE,"ISBL"}</definedName>
    <definedName name="WQDAW_4">{#N/A,#N/A,FALSE,"ISBL"}</definedName>
    <definedName name="WQDAW_4_1">{#N/A,#N/A,FALSE,"ISBL"}</definedName>
    <definedName name="WQDAW_4_2">{#N/A,#N/A,FALSE,"ISBL"}</definedName>
    <definedName name="WQDAW_4_3">{#N/A,#N/A,FALSE,"ISBL"}</definedName>
    <definedName name="WQDAW_4_4">{#N/A,#N/A,FALSE,"ISBL"}</definedName>
    <definedName name="WQDAW_5">{#N/A,#N/A,FALSE,"ISBL"}</definedName>
    <definedName name="wqdqw">{#N/A,#N/A,TRUE,"Summary";#N/A,#N/A,TRUE,"Balance Sheet";#N/A,#N/A,TRUE,"P &amp; L";#N/A,#N/A,TRUE,"Fixed Assets";#N/A,#N/A,TRUE,"Cash Flows"}</definedName>
    <definedName name="WQDSA">{#N/A,#N/A,FALSE,"PGW"}</definedName>
    <definedName name="WQDSA_1">{#N/A,#N/A,FALSE,"PGW"}</definedName>
    <definedName name="WQDSA_1_1">{#N/A,#N/A,FALSE,"PGW"}</definedName>
    <definedName name="WQDSA_1_2">{#N/A,#N/A,FALSE,"PGW"}</definedName>
    <definedName name="WQDSA_1_3">{#N/A,#N/A,FALSE,"PGW"}</definedName>
    <definedName name="WQDSA_1_4">{#N/A,#N/A,FALSE,"PGW"}</definedName>
    <definedName name="WQDSA_2">{#N/A,#N/A,FALSE,"PGW"}</definedName>
    <definedName name="WQDSA_2_1">{#N/A,#N/A,FALSE,"PGW"}</definedName>
    <definedName name="WQDSA_2_2">{#N/A,#N/A,FALSE,"PGW"}</definedName>
    <definedName name="WQDSA_2_3">{#N/A,#N/A,FALSE,"PGW"}</definedName>
    <definedName name="WQDSA_2_4">{#N/A,#N/A,FALSE,"PGW"}</definedName>
    <definedName name="WQDSA_3">{#N/A,#N/A,FALSE,"PGW"}</definedName>
    <definedName name="WQDSA_3_1">{#N/A,#N/A,FALSE,"PGW"}</definedName>
    <definedName name="WQDSA_3_2">{#N/A,#N/A,FALSE,"PGW"}</definedName>
    <definedName name="WQDSA_3_3">{#N/A,#N/A,FALSE,"PGW"}</definedName>
    <definedName name="WQDSA_3_4">{#N/A,#N/A,FALSE,"PGW"}</definedName>
    <definedName name="WQDSA_4">{#N/A,#N/A,FALSE,"PGW"}</definedName>
    <definedName name="WQDSA_4_1">{#N/A,#N/A,FALSE,"PGW"}</definedName>
    <definedName name="WQDSA_4_2">{#N/A,#N/A,FALSE,"PGW"}</definedName>
    <definedName name="WQDSA_4_3">{#N/A,#N/A,FALSE,"PGW"}</definedName>
    <definedName name="WQDSA_4_4">{#N/A,#N/A,FALSE,"PGW"}</definedName>
    <definedName name="WQDSA_5">{#N/A,#N/A,FALSE,"PGW"}</definedName>
    <definedName name="WQDWAX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>{#N/A,#N/A,FALSE,"FREE"}</definedName>
    <definedName name="WQEFAS_1">{#N/A,#N/A,FALSE,"FREE"}</definedName>
    <definedName name="WQEFAS_1_1">{#N/A,#N/A,FALSE,"FREE"}</definedName>
    <definedName name="WQEFAS_1_2">{#N/A,#N/A,FALSE,"FREE"}</definedName>
    <definedName name="WQEFAS_1_3">{#N/A,#N/A,FALSE,"FREE"}</definedName>
    <definedName name="WQEFAS_1_4">{#N/A,#N/A,FALSE,"FREE"}</definedName>
    <definedName name="WQEFAS_2">{#N/A,#N/A,FALSE,"FREE"}</definedName>
    <definedName name="WQEFAS_2_1">{#N/A,#N/A,FALSE,"FREE"}</definedName>
    <definedName name="WQEFAS_2_2">{#N/A,#N/A,FALSE,"FREE"}</definedName>
    <definedName name="WQEFAS_2_3">{#N/A,#N/A,FALSE,"FREE"}</definedName>
    <definedName name="WQEFAS_2_4">{#N/A,#N/A,FALSE,"FREE"}</definedName>
    <definedName name="WQEFAS_3">{#N/A,#N/A,FALSE,"FREE"}</definedName>
    <definedName name="WQEFAS_3_1">{#N/A,#N/A,FALSE,"FREE"}</definedName>
    <definedName name="WQEFAS_3_2">{#N/A,#N/A,FALSE,"FREE"}</definedName>
    <definedName name="WQEFAS_3_3">{#N/A,#N/A,FALSE,"FREE"}</definedName>
    <definedName name="WQEFAS_3_4">{#N/A,#N/A,FALSE,"FREE"}</definedName>
    <definedName name="WQEFAS_4">{#N/A,#N/A,FALSE,"FREE"}</definedName>
    <definedName name="WQEFAS_4_1">{#N/A,#N/A,FALSE,"FREE"}</definedName>
    <definedName name="WQEFAS_4_2">{#N/A,#N/A,FALSE,"FREE"}</definedName>
    <definedName name="WQEFAS_4_3">{#N/A,#N/A,FALSE,"FREE"}</definedName>
    <definedName name="WQEFAS_4_4">{#N/A,#N/A,FALSE,"FREE"}</definedName>
    <definedName name="WQEFAS_5">{#N/A,#N/A,FALSE,"FREE"}</definedName>
    <definedName name="wqrhwth">{#N/A,#N/A,FALSE,"Income Branch ONLY"}</definedName>
    <definedName name="wr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1.">{#N/A,#N/A,FALSE,"17MAY";#N/A,#N/A,FALSE,"24MAY"}</definedName>
    <definedName name="wrn.104.">{#N/A,#N/A,FALSE,"TOTAL104";#N/A,#N/A,FALSE,"4206055";#N/A,#N/A,FALSE,"4355405"}</definedName>
    <definedName name="wrn.111111">{#N/A,#N/A,FALSE,"Pharm";#N/A,#N/A,FALSE,"WWCM"}</definedName>
    <definedName name="wrn.111111_1">{#N/A,#N/A,FALSE,"Pharm";#N/A,#N/A,FALSE,"WWCM"}</definedName>
    <definedName name="wrn.111111_2">{#N/A,#N/A,FALSE,"Pharm";#N/A,#N/A,FALSE,"WWCM"}</definedName>
    <definedName name="wrn.111111_3">{#N/A,#N/A,FALSE,"Pharm";#N/A,#N/A,FALSE,"WWCM"}</definedName>
    <definedName name="wrn.111111_4">{#N/A,#N/A,FALSE,"Pharm";#N/A,#N/A,FALSE,"WWCM"}</definedName>
    <definedName name="wrn.111111_5">{#N/A,#N/A,FALSE,"Pharm";#N/A,#N/A,FALSE,"WWCM"}</definedName>
    <definedName name="wrn.2.2">{#N/A,#N/A,FALSE,"17MAY";#N/A,#N/A,FALSE,"24MAY"}</definedName>
    <definedName name="wrn.730.">{#N/A,#N/A,FALSE,"REPORT"}</definedName>
    <definedName name="wrn.730._1">{#N/A,#N/A,FALSE,"REPORT"}</definedName>
    <definedName name="wrn.730._2">{#N/A,#N/A,FALSE,"REPORT"}</definedName>
    <definedName name="wrn.730._3">{#N/A,#N/A,FALSE,"REPORT"}</definedName>
    <definedName name="wrn.730._4">{#N/A,#N/A,FALSE,"REPORT"}</definedName>
    <definedName name="wrn.730._5">{#N/A,#N/A,FALSE,"REPORT"}</definedName>
    <definedName name="wrn.731">{#N/A,#N/A,FALSE,"REPORT"}</definedName>
    <definedName name="wrn.731_1">{#N/A,#N/A,FALSE,"REPORT"}</definedName>
    <definedName name="wrn.731_2">{#N/A,#N/A,FALSE,"REPORT"}</definedName>
    <definedName name="wrn.731_3">{#N/A,#N/A,FALSE,"REPORT"}</definedName>
    <definedName name="wrn.731_4">{#N/A,#N/A,FALSE,"REPORT"}</definedName>
    <definedName name="wrn.731_5">{#N/A,#N/A,FALSE,"REPORT"}</definedName>
    <definedName name="wrn.750.">{#N/A,#N/A,FALSE,"REPORT"}</definedName>
    <definedName name="wrn.750._1">{#N/A,#N/A,FALSE,"REPORT"}</definedName>
    <definedName name="wrn.750._2">{#N/A,#N/A,FALSE,"REPORT"}</definedName>
    <definedName name="wrn.750._3">{#N/A,#N/A,FALSE,"REPORT"}</definedName>
    <definedName name="wrn.750._4">{#N/A,#N/A,FALSE,"REPORT"}</definedName>
    <definedName name="wrn.750._5">{#N/A,#N/A,FALSE,"REPORT"}</definedName>
    <definedName name="wrn.7501">{#N/A,#N/A,FALSE,"REPORT"}</definedName>
    <definedName name="wrn.7501_1">{#N/A,#N/A,FALSE,"REPORT"}</definedName>
    <definedName name="wrn.7501_2">{#N/A,#N/A,FALSE,"REPORT"}</definedName>
    <definedName name="wrn.7501_3">{#N/A,#N/A,FALSE,"REPORT"}</definedName>
    <definedName name="wrn.7501_4">{#N/A,#N/A,FALSE,"REPORT"}</definedName>
    <definedName name="wrn.7501_5">{#N/A,#N/A,FALSE,"REPORT"}</definedName>
    <definedName name="wrn.760.16.">{#N/A,#N/A,FALSE,"REPORT"}</definedName>
    <definedName name="wrn.760.16._1">{#N/A,#N/A,FALSE,"REPORT"}</definedName>
    <definedName name="wrn.760.16._2">{#N/A,#N/A,FALSE,"REPORT"}</definedName>
    <definedName name="wrn.760.16._3">{#N/A,#N/A,FALSE,"REPORT"}</definedName>
    <definedName name="wrn.760.16._4">{#N/A,#N/A,FALSE,"REPORT"}</definedName>
    <definedName name="wrn.760.16._5">{#N/A,#N/A,FALSE,"REPORT"}</definedName>
    <definedName name="wrn.7900">{#N/A,#N/A,FALSE,"REPORT"}</definedName>
    <definedName name="wrn.7900_1">{#N/A,#N/A,FALSE,"REPORT"}</definedName>
    <definedName name="wrn.7900_2">{#N/A,#N/A,FALSE,"REPORT"}</definedName>
    <definedName name="wrn.7900_3">{#N/A,#N/A,FALSE,"REPORT"}</definedName>
    <definedName name="wrn.7900_4">{#N/A,#N/A,FALSE,"REPORT"}</definedName>
    <definedName name="wrn.7900_5">{#N/A,#N/A,FALSE,"REPORT"}</definedName>
    <definedName name="wrn.905">{#N/A,#N/A,FALSE,"REPORT"}</definedName>
    <definedName name="wrn.905_1">{#N/A,#N/A,FALSE,"REPORT"}</definedName>
    <definedName name="wrn.905_2">{#N/A,#N/A,FALSE,"REPORT"}</definedName>
    <definedName name="wrn.905_3">{#N/A,#N/A,FALSE,"REPORT"}</definedName>
    <definedName name="wrn.905_4">{#N/A,#N/A,FALSE,"REPORT"}</definedName>
    <definedName name="wrn.905_5">{#N/A,#N/A,FALSE,"REPORT"}</definedName>
    <definedName name="wrn.99999">{#N/A,#N/A,FALSE,"REPORT"}</definedName>
    <definedName name="wrn.99999_1">{#N/A,#N/A,FALSE,"REPORT"}</definedName>
    <definedName name="wrn.99999_2">{#N/A,#N/A,FALSE,"REPORT"}</definedName>
    <definedName name="wrn.99999_3">{#N/A,#N/A,FALSE,"REPORT"}</definedName>
    <definedName name="wrn.99999_4">{#N/A,#N/A,FALSE,"REPORT"}</definedName>
    <definedName name="wrn.99999_5">{#N/A,#N/A,FALSE,"REPORT"}</definedName>
    <definedName name="wrn.A.">{#N/A,#N/A,FALSE,"Income Branch ONLY"}</definedName>
    <definedName name="wrn.AA.">{#N/A,#N/A,FALSE,"PMTABB";#N/A,#N/A,FALSE,"PMTABB"}</definedName>
    <definedName name="wrn.AA._1">{#N/A,#N/A,FALSE,"PMTABB";#N/A,#N/A,FALSE,"PMTABB"}</definedName>
    <definedName name="wrn.AA._1_1">{#N/A,#N/A,FALSE,"PMTABB";#N/A,#N/A,FALSE,"PMTABB"}</definedName>
    <definedName name="wrn.AA._1_2">{#N/A,#N/A,FALSE,"PMTABB";#N/A,#N/A,FALSE,"PMTABB"}</definedName>
    <definedName name="wrn.AA._1_3">{#N/A,#N/A,FALSE,"PMTABB";#N/A,#N/A,FALSE,"PMTABB"}</definedName>
    <definedName name="wrn.AA._1_4">{#N/A,#N/A,FALSE,"PMTABB";#N/A,#N/A,FALSE,"PMTABB"}</definedName>
    <definedName name="wrn.AA._2">{#N/A,#N/A,FALSE,"PMTABB";#N/A,#N/A,FALSE,"PMTABB"}</definedName>
    <definedName name="wrn.AA._2_1">{#N/A,#N/A,FALSE,"PMTABB";#N/A,#N/A,FALSE,"PMTABB"}</definedName>
    <definedName name="wrn.AA._2_2">{#N/A,#N/A,FALSE,"PMTABB";#N/A,#N/A,FALSE,"PMTABB"}</definedName>
    <definedName name="wrn.AA._2_3">{#N/A,#N/A,FALSE,"PMTABB";#N/A,#N/A,FALSE,"PMTABB"}</definedName>
    <definedName name="wrn.AA._2_4">{#N/A,#N/A,FALSE,"PMTABB";#N/A,#N/A,FALSE,"PMTABB"}</definedName>
    <definedName name="wrn.AA._3">{#N/A,#N/A,FALSE,"PMTABB";#N/A,#N/A,FALSE,"PMTABB"}</definedName>
    <definedName name="wrn.AA._3_1">{#N/A,#N/A,FALSE,"PMTABB";#N/A,#N/A,FALSE,"PMTABB"}</definedName>
    <definedName name="wrn.AA._3_2">{#N/A,#N/A,FALSE,"PMTABB";#N/A,#N/A,FALSE,"PMTABB"}</definedName>
    <definedName name="wrn.AA._3_3">{#N/A,#N/A,FALSE,"PMTABB";#N/A,#N/A,FALSE,"PMTABB"}</definedName>
    <definedName name="wrn.AA._3_4">{#N/A,#N/A,FALSE,"PMTABB";#N/A,#N/A,FALSE,"PMTABB"}</definedName>
    <definedName name="wrn.AA._4">{#N/A,#N/A,FALSE,"PMTABB";#N/A,#N/A,FALSE,"PMTABB"}</definedName>
    <definedName name="wrn.AA._4_1">{#N/A,#N/A,FALSE,"PMTABB";#N/A,#N/A,FALSE,"PMTABB"}</definedName>
    <definedName name="wrn.AA._4_2">{#N/A,#N/A,FALSE,"PMTABB";#N/A,#N/A,FALSE,"PMTABB"}</definedName>
    <definedName name="wrn.AA._4_3">{#N/A,#N/A,FALSE,"PMTABB";#N/A,#N/A,FALSE,"PMTABB"}</definedName>
    <definedName name="wrn.AA._4_4">{#N/A,#N/A,FALSE,"PMTABB";#N/A,#N/A,FALSE,"PMTABB"}</definedName>
    <definedName name="wrn.AA._5">{#N/A,#N/A,FALSE,"PMTABB";#N/A,#N/A,FALSE,"PMTABB"}</definedName>
    <definedName name="wrn.aaa">{#N/A,#N/A,FALSE,"Pharm";#N/A,#N/A,FALSE,"WWCM"}</definedName>
    <definedName name="wrn.aaa_1">{#N/A,#N/A,FALSE,"Pharm";#N/A,#N/A,FALSE,"WWCM"}</definedName>
    <definedName name="wrn.aaa_2">{#N/A,#N/A,FALSE,"Pharm";#N/A,#N/A,FALSE,"WWCM"}</definedName>
    <definedName name="wrn.aaa_3">{#N/A,#N/A,FALSE,"Pharm";#N/A,#N/A,FALSE,"WWCM"}</definedName>
    <definedName name="wrn.aaa_4">{#N/A,#N/A,FALSE,"Pharm";#N/A,#N/A,FALSE,"WWCM"}</definedName>
    <definedName name="wrn.aaa_5">{#N/A,#N/A,FALSE,"Pharm";#N/A,#N/A,FALSE,"WWCM"}</definedName>
    <definedName name="wrn.aaaaaaa">{#N/A,#N/A,FALSE,"Pharm";#N/A,#N/A,FALSE,"WWCM"}</definedName>
    <definedName name="wrn.aaaaaaa_1">{#N/A,#N/A,FALSE,"Pharm";#N/A,#N/A,FALSE,"WWCM"}</definedName>
    <definedName name="wrn.aaaaaaa_2">{#N/A,#N/A,FALSE,"Pharm";#N/A,#N/A,FALSE,"WWCM"}</definedName>
    <definedName name="wrn.aaaaaaa_3">{#N/A,#N/A,FALSE,"Pharm";#N/A,#N/A,FALSE,"WWCM"}</definedName>
    <definedName name="wrn.aaaaaaa_4">{#N/A,#N/A,FALSE,"Pharm";#N/A,#N/A,FALSE,"WWCM"}</definedName>
    <definedName name="wrn.aaaaaaa_5">{#N/A,#N/A,FALSE,"Pharm";#N/A,#N/A,FALSE,"WWCM"}</definedName>
    <definedName name="wrn.abc.">{#N/A,#N/A,FALSE,"Sheet7"}</definedName>
    <definedName name="wrn.Accommodation._.and._.Admin.">{"Accomm &amp; Admin Commentary",#N/A,FALSE,"Accomm &amp; Admin";"Accomm &amp; Admin P&amp;L",#N/A,FALSE,"Accomm &amp; Admin";"Admin Staff list",#N/A,FALSE,"Accomm &amp; Admin";"Accomm - Staff Cost",#N/A,FALSE,"Accomm &amp; Admin";"Accomm - Premises",#N/A,FALSE,"Accomm &amp; Admin";"Accomm - Other",#N/A,FALSE,"Accomm &amp; Admin"}</definedName>
    <definedName name="wrn.Accommodation._.and._.Admin._1">{"Accomm &amp; Admin Commentary",#N/A,FALSE,"Accomm &amp; Admin";"Accomm &amp; Admin P&amp;L",#N/A,FALSE,"Accomm &amp; Admin";"Admin Staff list",#N/A,FALSE,"Accomm &amp; Admin";"Accomm - Staff Cost",#N/A,FALSE,"Accomm &amp; Admin";"Accomm - Premises",#N/A,FALSE,"Accomm &amp; Admin";"Accomm - Other",#N/A,FALSE,"Accomm &amp; Admin"}</definedName>
    <definedName name="wrn.Accommodation._.and._.Admin._1_1">{"Accomm &amp; Admin Commentary",#N/A,FALSE,"Accomm &amp; Admin";"Accomm &amp; Admin P&amp;L",#N/A,FALSE,"Accomm &amp; Admin";"Admin Staff list",#N/A,FALSE,"Accomm &amp; Admin";"Accomm - Staff Cost",#N/A,FALSE,"Accomm &amp; Admin";"Accomm - Premises",#N/A,FALSE,"Accomm &amp; Admin";"Accomm - Other",#N/A,FALSE,"Accomm &amp; Admin"}</definedName>
    <definedName name="wrn.Accommodation._.and._.Admin._2">{"Accomm &amp; Admin Commentary",#N/A,FALSE,"Accomm &amp; Admin";"Accomm &amp; Admin P&amp;L",#N/A,FALSE,"Accomm &amp; Admin";"Admin Staff list",#N/A,FALSE,"Accomm &amp; Admin";"Accomm - Staff Cost",#N/A,FALSE,"Accomm &amp; Admin";"Accomm - Premises",#N/A,FALSE,"Accomm &amp; Admin";"Accomm - Other",#N/A,FALSE,"Accomm &amp; Admin"}</definedName>
    <definedName name="wrn.Accounts.">{#N/A,#N/A,TRUE,"SCH99";#N/A,#N/A,TRUE,"BS99";"Groupings",#N/A,TRUE,"GROUP_99 ";"Groupings-Comparitive",#N/A,TRUE,"GROUP_99 ";#N/A,#N/A,TRUE,"SCH98_E";#N/A,#N/A,TRUE,"ASSET_99 "}</definedName>
    <definedName name="wrn.Accounts._1">{"Cover1",#N/A,TRUE,"Cover";"Summ Comm",#N/A,TRUE,"Ops Summary";"Summary - P&amp;L",#N/A,TRUE,"Ops Summary";"Fin Mgt - Exec Commentaries",#N/A,TRUE,"Financial Mgt";"Fin Mgt - P&amp;L",#N/A,TRUE,"Financial Mgt";"IS - Commentary",#N/A,TRUE,"Information Syst";"IS - P&amp;L",#N/A,TRUE,"Information Syst";"HR - Commentary",#N/A,TRUE,"Human Res";"HR - P&amp;L",#N/A,TRUE,"Human Res";"Accomm - Commentary",#N/A,TRUE,"Accomm &amp; Admin";"Accomm - P&amp;L",#N/A,TRUE,"Accomm &amp; Admin";"Central - Commentary",#N/A,TRUE,"GPS Central";"Central - P&amp;L",#N/A,TRUE,"GPS Central";"Non Rech Trans - Commentary",#N/A,TRUE,"Non Recharge Transition";"Non Rech Trans - P&amp;L",#N/A,TRUE,"Non Recharge Transition";"Provision",#N/A,TRUE,"provision";"Blank Page - page no's",#N/A,TRUE,"Blank (page no)"}</definedName>
    <definedName name="wrn.Accounts._1_1">{"Cover1",#N/A,TRUE,"Cover";"Summ Comm",#N/A,TRUE,"Ops Summary";"Summary - P&amp;L",#N/A,TRUE,"Ops Summary";"Fin Mgt - Exec Commentaries",#N/A,TRUE,"Financial Mgt";"Fin Mgt - P&amp;L",#N/A,TRUE,"Financial Mgt";"IS - Commentary",#N/A,TRUE,"Information Syst";"IS - P&amp;L",#N/A,TRUE,"Information Syst";"HR - Commentary",#N/A,TRUE,"Human Res";"HR - P&amp;L",#N/A,TRUE,"Human Res";"Accomm - Commentary",#N/A,TRUE,"Accomm &amp; Admin";"Accomm - P&amp;L",#N/A,TRUE,"Accomm &amp; Admin";"Central - Commentary",#N/A,TRUE,"GPS Central";"Central - P&amp;L",#N/A,TRUE,"GPS Central";"Non Rech Trans - Commentary",#N/A,TRUE,"Non Recharge Transition";"Non Rech Trans - P&amp;L",#N/A,TRUE,"Non Recharge Transition";"Provision",#N/A,TRUE,"provision";"Blank Page - page no's",#N/A,TRUE,"Blank (page no)"}</definedName>
    <definedName name="wrn.Accounts._2">{"Cover1",#N/A,TRUE,"Cover";"Summ Comm",#N/A,TRUE,"Ops Summary";"Summary - P&amp;L",#N/A,TRUE,"Ops Summary";"Fin Mgt - Exec Commentaries",#N/A,TRUE,"Financial Mgt";"Fin Mgt - P&amp;L",#N/A,TRUE,"Financial Mgt";"IS - Commentary",#N/A,TRUE,"Information Syst";"IS - P&amp;L",#N/A,TRUE,"Information Syst";"HR - Commentary",#N/A,TRUE,"Human Res";"HR - P&amp;L",#N/A,TRUE,"Human Res";"Accomm - Commentary",#N/A,TRUE,"Accomm &amp; Admin";"Accomm - P&amp;L",#N/A,TRUE,"Accomm &amp; Admin";"Central - Commentary",#N/A,TRUE,"GPS Central";"Central - P&amp;L",#N/A,TRUE,"GPS Central";"Non Rech Trans - Commentary",#N/A,TRUE,"Non Recharge Transition";"Non Rech Trans - P&amp;L",#N/A,TRUE,"Non Recharge Transition";"Provision",#N/A,TRUE,"provision";"Blank Page - page no's",#N/A,TRUE,"Blank (page no)"}</definedName>
    <definedName name="wrn.Acquisition_matrix.">{"Acq_matrix",#N/A,FALSE,"Acquisition Matrix"}</definedName>
    <definedName name="wrn.adj95.">{"adj95mult",#N/A,FALSE,"COMPCO";"adj95est",#N/A,FALSE,"COMPCO"}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1_4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2_1">{#N/A,#N/A,FALSE,"Aging Summary";#N/A,#N/A,FALSE,"Ratio Analysis";#N/A,#N/A,FALSE,"Test 120 Day Accts";#N/A,#N/A,FALSE,"Tickmarks"}</definedName>
    <definedName name="wrn.Aging._.and._.Trend._.Analysis._2_2">{#N/A,#N/A,FALSE,"Aging Summary";#N/A,#N/A,FALSE,"Ratio Analysis";#N/A,#N/A,FALSE,"Test 120 Day Accts";#N/A,#N/A,FALSE,"Tickmarks"}</definedName>
    <definedName name="wrn.Aging._.and._.Trend._.Analysis._2_3">{#N/A,#N/A,FALSE,"Aging Summary";#N/A,#N/A,FALSE,"Ratio Analysis";#N/A,#N/A,FALSE,"Test 120 Day Accts";#N/A,#N/A,FALSE,"Tickmarks"}</definedName>
    <definedName name="wrn.Aging._.and._.Trend._.Analysis._2_4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3_1">{#N/A,#N/A,FALSE,"Aging Summary";#N/A,#N/A,FALSE,"Ratio Analysis";#N/A,#N/A,FALSE,"Test 120 Day Accts";#N/A,#N/A,FALSE,"Tickmarks"}</definedName>
    <definedName name="wrn.Aging._.and._.Trend._.Analysis._3_2">{#N/A,#N/A,FALSE,"Aging Summary";#N/A,#N/A,FALSE,"Ratio Analysis";#N/A,#N/A,FALSE,"Test 120 Day Accts";#N/A,#N/A,FALSE,"Tickmarks"}</definedName>
    <definedName name="wrn.Aging._.and._.Trend._.Analysis._3_3">{#N/A,#N/A,FALSE,"Aging Summary";#N/A,#N/A,FALSE,"Ratio Analysis";#N/A,#N/A,FALSE,"Test 120 Day Accts";#N/A,#N/A,FALSE,"Tickmarks"}</definedName>
    <definedName name="wrn.Aging._.and._.Trend._.Analysis._3_4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ging._.and._.Trend._.Analysis._4_1">{#N/A,#N/A,FALSE,"Aging Summary";#N/A,#N/A,FALSE,"Ratio Analysis";#N/A,#N/A,FALSE,"Test 120 Day Accts";#N/A,#N/A,FALSE,"Tickmarks"}</definedName>
    <definedName name="wrn.Aging._.and._.Trend._.Analysis._4_2">{#N/A,#N/A,FALSE,"Aging Summary";#N/A,#N/A,FALSE,"Ratio Analysis";#N/A,#N/A,FALSE,"Test 120 Day Accts";#N/A,#N/A,FALSE,"Tickmarks"}</definedName>
    <definedName name="wrn.Aging._.and._.Trend._.Analysis._4_3">{#N/A,#N/A,FALSE,"Aging Summary";#N/A,#N/A,FALSE,"Ratio Analysis";#N/A,#N/A,FALSE,"Test 120 Day Accts";#N/A,#N/A,FALSE,"Tickmarks"}</definedName>
    <definedName name="wrn.Aging._.and._.Trend._.Analysis._4_4">{#N/A,#N/A,FALSE,"Aging Summary";#N/A,#N/A,FALSE,"Ratio Analysis";#N/A,#N/A,FALSE,"Test 120 Day Accts";#N/A,#N/A,FALSE,"Tickmarks"}</definedName>
    <definedName name="wrn.Aging._.and._.Trend._.Analysis._5">{#N/A,#N/A,FALSE,"Aging Summary";#N/A,#N/A,FALSE,"Ratio Analysis";#N/A,#N/A,FALSE,"Test 120 Day Accts";#N/A,#N/A,FALSE,"Tickmarks"}</definedName>
    <definedName name="wrn.All.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_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_2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_3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>{#N/A,#N/A,FALSE,"all";#N/A,#N/A,FALSE,"prod";#N/A,#N/A,FALSE,"Serv";#N/A,#N/A,FALSE,"Subs";#N/A,#N/A,FALSE,"Cent Off";#N/A,#N/A,FALSE,"Bal Sheet"}</definedName>
    <definedName name="wrn.All._1_1">{#N/A,#N/A,FALSE,"all";#N/A,#N/A,FALSE,"prod";#N/A,#N/A,FALSE,"Serv";#N/A,#N/A,FALSE,"Subs";#N/A,#N/A,FALSE,"Cent Off";#N/A,#N/A,FALSE,"Bal Sheet"}</definedName>
    <definedName name="wrn.All._2">{#N/A,#N/A,FALSE,"all";#N/A,#N/A,FALSE,"prod";#N/A,#N/A,FALSE,"Serv";#N/A,#N/A,FALSE,"Subs";#N/A,#N/A,FALSE,"Cent Off";#N/A,#N/A,FALSE,"Bal Sheet"}</definedName>
    <definedName name="wrn.Annual._.Operating._.Earnings.">{"Annual 1996",#N/A,FALSE,"Ann-Op (Mng)";"Annual 1996",#N/A,FALSE,"Ann-Op (Rep)";"Operating Vs. Reported Earnings",#N/A,FALSE,"Rpt-Op Inc"}</definedName>
    <definedName name="wrn.ANZ._.Report.">{#N/A,#N/A,FALSE,"Balance Sheets";#N/A,#N/A,FALSE,"96 Conservative";#N/A,#N/A,FALSE,"96 Possible"}</definedName>
    <definedName name="wrn.ANZ._.Report._1">{#N/A,#N/A,FALSE,"Balance Sheets";#N/A,#N/A,FALSE,"96 Conservative";#N/A,#N/A,FALSE,"96 Possible"}</definedName>
    <definedName name="wrn.ANZ._.Report._2">{#N/A,#N/A,FALSE,"Balance Sheets";#N/A,#N/A,FALSE,"96 Conservative";#N/A,#N/A,FALSE,"96 Possible"}</definedName>
    <definedName name="wrn.ANZ._.Report._3">{#N/A,#N/A,FALSE,"Balance Sheets";#N/A,#N/A,FALSE,"96 Conservative";#N/A,#N/A,FALSE,"96 Possible"}</definedName>
    <definedName name="wrn.ANZ._.Report._4">{#N/A,#N/A,FALSE,"Balance Sheets";#N/A,#N/A,FALSE,"96 Conservative";#N/A,#N/A,FALSE,"96 Possible"}</definedName>
    <definedName name="wrn.April._.JE.">{"AprJE to Everham",#N/A,FALSE,"JEto Jen"}</definedName>
    <definedName name="wrn.AQUIROR._.DCF.">{"AQUIRORDCF",#N/A,FALSE,"Merger consequences";"Acquirorassns",#N/A,FALSE,"Merger consequences"}</definedName>
    <definedName name="wrn.B.SHEET.">{#N/A,#N/A,FALSE,"COMICRO";#N/A,#N/A,FALSE,"BALSCH";#N/A,#N/A,FALSE,"GLASS";#N/A,#N/A,FALSE,"DEPRE";#N/A,#N/A,FALSE,"A&amp;MCUR";#N/A,#N/A,FALSE,"AGEANAlysis";#N/A,#N/A,FALSE,"CHECKS";#N/A,#N/A,FALSE,"CHECKS"}</definedName>
    <definedName name="wrn.Balance._.Sheet._.Set.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m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5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ok.">{"EVA",#N/A,FALSE,"SMT2";#N/A,#N/A,FALSE,"Summary";#N/A,#N/A,FALSE,"Graphs";#N/A,#N/A,FALSE,"4 Panel"}</definedName>
    <definedName name="wrn.Book._1">{"EVA",#N/A,FALSE,"SMT2";#N/A,#N/A,FALSE,"Summary";#N/A,#N/A,FALSE,"Graphs";#N/A,#N/A,FALSE,"4 Panel"}</definedName>
    <definedName name="wrn.Book._2">{"EVA",#N/A,FALSE,"SMT2";#N/A,#N/A,FALSE,"Summary";#N/A,#N/A,FALSE,"Graphs";#N/A,#N/A,FALSE,"4 Panel"}</definedName>
    <definedName name="wrn.Book._3">{"EVA",#N/A,FALSE,"SMT2";#N/A,#N/A,FALSE,"Summary";#N/A,#N/A,FALSE,"Graphs";#N/A,#N/A,FALSE,"4 Panel"}</definedName>
    <definedName name="wrn.Brief.">{#N/A,#N/A,TRUE,"Summary";#N/A,#N/A,TRUE,"Balance Sheet";#N/A,#N/A,TRUE,"P &amp; L";#N/A,#N/A,TRUE,"Fixed Assets";#N/A,#N/A,TRUE,"Cash Flows"}</definedName>
    <definedName name="wrn.Brief._1">{#N/A,#N/A,TRUE,"Summary";#N/A,#N/A,TRUE,"Balance Sheet";#N/A,#N/A,TRUE,"P &amp; L";#N/A,#N/A,TRUE,"Fixed Assets";#N/A,#N/A,TRUE,"Cash Flows"}</definedName>
    <definedName name="wrn.Brief._1_1">{#N/A,#N/A,TRUE,"Summary";#N/A,#N/A,TRUE,"Balance Sheet";#N/A,#N/A,TRUE,"P &amp; L";#N/A,#N/A,TRUE,"Fixed Assets";#N/A,#N/A,TRUE,"Cash Flows"}</definedName>
    <definedName name="wrn.Brief._2">{#N/A,#N/A,TRUE,"Summary";#N/A,#N/A,TRUE,"Balance Sheet";#N/A,#N/A,TRUE,"P &amp; L";#N/A,#N/A,TRUE,"Fixed Assets";#N/A,#N/A,TRUE,"Cash Flows"}</definedName>
    <definedName name="wrn.Brief._3">{#N/A,#N/A,TRUE,"Summary";#N/A,#N/A,TRUE,"Balance Sheet";#N/A,#N/A,TRUE,"P &amp; L";#N/A,#N/A,TRUE,"Fixed Assets";#N/A,#N/A,TRUE,"Cash Flows"}</definedName>
    <definedName name="wrn.BrkgPkg.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wrn.bs1.">{"bs",#N/A,FALSE,"BS";"pl",#N/A,FALSE,"PL"}</definedName>
    <definedName name="wrn.bsall.">{"bs",#N/A,FALSE,"BS";"pl",#N/A,FALSE,"PL";"res",#N/A,FALSE,"S.CAP,RES";"loans",#N/A,FALSE,"Loans";"inv",#N/A,FALSE,"C.Assets";"fa",#N/A,FALSE,"F.Assets";"ca",#N/A,FALSE,"C.Assets";"cl",#N/A,FALSE,"CL,Sales,Income";"ovh",#N/A,FALSE,"OVH"}</definedName>
    <definedName name="wrn.bscch.">{#N/A,#N/A,FALSE,"bs"}</definedName>
    <definedName name="wrn.BSPL.">{"BS",#N/A,FALSE,"Accounts2002 New";"PL",#N/A,FALSE,"Accounts2002 New"}</definedName>
    <definedName name="wrn.Bud._.Memo.">{"Yearly_1",#N/A,FALSE,"Summary P&amp;L (1)";"Qua_1",#N/A,FALSE,"Summary P&amp;L (1)";"Yearly_2",#N/A,FALSE,"Earnings by sec (2)";"Qua_2",#N/A,FALSE,"Earnings by sec (2)";"Yearly_3",#N/A,FALSE,"Production Sector (3)";"Qua_3",#N/A,FALSE,"Production Sector (3)";"Yearly_4",#N/A,FALSE,"Production Volume (4)";"Qua_4",#N/A,FALSE,"Production Volume (4)";"Yearly_5",#N/A,FALSE,"Production Notes (5)";"Qua_5",#N/A,FALSE,"Production Notes (5)";"Yearly_6",#N/A,FALSE,"Servicing Sector (6)";"Qua_6",#N/A,FALSE,"Servicing Sector (6)";"Yearly_7",#N/A,FALSE,"CCI Exp (7)";"Qua_7",#N/A,FALSE,"CCI Exp (7)";"Yearly_8",#N/A,FALSE,"Cent_Off Exp (8)";"Qua_8",#N/A,FALSE,"Cent_Off Exp (8)";"Yearly_9",#N/A,FALSE,"CCI HC (9)";"Qua_9",#N/A,FALSE,"CCI HC (9)";"Yearly_10",#N/A,FALSE,"Cent_Off HC (10)";"Qua_10",#N/A,FALSE,"Cent_Off HC (10)";"Yearly_11",#N/A,FALSE,"Fin Pos (11)";"Qua_11",#N/A,FALSE,"Fin Pos (11)"}</definedName>
    <definedName name="wrn.Bud._.Memo._1">{"Yearly_1",#N/A,FALSE,"Summary P&amp;L (1)";"Qua_1",#N/A,FALSE,"Summary P&amp;L (1)";"Yearly_2",#N/A,FALSE,"Earnings by sec (2)";"Qua_2",#N/A,FALSE,"Earnings by sec (2)";"Yearly_3",#N/A,FALSE,"Production Sector (3)";"Qua_3",#N/A,FALSE,"Production Sector (3)";"Yearly_4",#N/A,FALSE,"Production Volume (4)";"Qua_4",#N/A,FALSE,"Production Volume (4)";"Yearly_5",#N/A,FALSE,"Production Notes (5)";"Qua_5",#N/A,FALSE,"Production Notes (5)";"Yearly_6",#N/A,FALSE,"Servicing Sector (6)";"Qua_6",#N/A,FALSE,"Servicing Sector (6)";"Yearly_7",#N/A,FALSE,"CCI Exp (7)";"Qua_7",#N/A,FALSE,"CCI Exp (7)";"Yearly_8",#N/A,FALSE,"Cent_Off Exp (8)";"Qua_8",#N/A,FALSE,"Cent_Off Exp (8)";"Yearly_9",#N/A,FALSE,"CCI HC (9)";"Qua_9",#N/A,FALSE,"CCI HC (9)";"Yearly_10",#N/A,FALSE,"Cent_Off HC (10)";"Qua_10",#N/A,FALSE,"Cent_Off HC (10)";"Yearly_11",#N/A,FALSE,"Fin Pos (11)";"Qua_11",#N/A,FALSE,"Fin Pos (11)"}</definedName>
    <definedName name="wrn.Bud._.Memo._1_1">{"Yearly_1",#N/A,FALSE,"Summary P&amp;L (1)";"Qua_1",#N/A,FALSE,"Summary P&amp;L (1)";"Yearly_2",#N/A,FALSE,"Earnings by sec (2)";"Qua_2",#N/A,FALSE,"Earnings by sec (2)";"Yearly_3",#N/A,FALSE,"Production Sector (3)";"Qua_3",#N/A,FALSE,"Production Sector (3)";"Yearly_4",#N/A,FALSE,"Production Volume (4)";"Qua_4",#N/A,FALSE,"Production Volume (4)";"Yearly_5",#N/A,FALSE,"Production Notes (5)";"Qua_5",#N/A,FALSE,"Production Notes (5)";"Yearly_6",#N/A,FALSE,"Servicing Sector (6)";"Qua_6",#N/A,FALSE,"Servicing Sector (6)";"Yearly_7",#N/A,FALSE,"CCI Exp (7)";"Qua_7",#N/A,FALSE,"CCI Exp (7)";"Yearly_8",#N/A,FALSE,"Cent_Off Exp (8)";"Qua_8",#N/A,FALSE,"Cent_Off Exp (8)";"Yearly_9",#N/A,FALSE,"CCI HC (9)";"Qua_9",#N/A,FALSE,"CCI HC (9)";"Yearly_10",#N/A,FALSE,"Cent_Off HC (10)";"Qua_10",#N/A,FALSE,"Cent_Off HC (10)";"Yearly_11",#N/A,FALSE,"Fin Pos (11)";"Qua_11",#N/A,FALSE,"Fin Pos (11)"}</definedName>
    <definedName name="wrn.Bud._.Memo._2">{"Yearly_1",#N/A,FALSE,"Summary P&amp;L (1)";"Qua_1",#N/A,FALSE,"Summary P&amp;L (1)";"Yearly_2",#N/A,FALSE,"Earnings by sec (2)";"Qua_2",#N/A,FALSE,"Earnings by sec (2)";"Yearly_3",#N/A,FALSE,"Production Sector (3)";"Qua_3",#N/A,FALSE,"Production Sector (3)";"Yearly_4",#N/A,FALSE,"Production Volume (4)";"Qua_4",#N/A,FALSE,"Production Volume (4)";"Yearly_5",#N/A,FALSE,"Production Notes (5)";"Qua_5",#N/A,FALSE,"Production Notes (5)";"Yearly_6",#N/A,FALSE,"Servicing Sector (6)";"Qua_6",#N/A,FALSE,"Servicing Sector (6)";"Yearly_7",#N/A,FALSE,"CCI Exp (7)";"Qua_7",#N/A,FALSE,"CCI Exp (7)";"Yearly_8",#N/A,FALSE,"Cent_Off Exp (8)";"Qua_8",#N/A,FALSE,"Cent_Off Exp (8)";"Yearly_9",#N/A,FALSE,"CCI HC (9)";"Qua_9",#N/A,FALSE,"CCI HC (9)";"Yearly_10",#N/A,FALSE,"Cent_Off HC (10)";"Qua_10",#N/A,FALSE,"Cent_Off HC (10)";"Yearly_11",#N/A,FALSE,"Fin Pos (11)";"Qua_11",#N/A,FALSE,"Fin Pos (11)"}</definedName>
    <definedName name="wrn.Businessplan._.1999.">{#N/A,#N/A,TRUE,"Market Information";#N/A,#N/A,TRUE,"org-ma";#N/A,#N/A,TRUE,"Salesorganistion"}</definedName>
    <definedName name="wrn.C_G_Hele.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pital._.Projects.">{#N/A,#N/A,TRUE,"Capital Projects"}</definedName>
    <definedName name="wrn.Capital._.Projects._1">{#N/A,#N/A,TRUE,"Capital Projects"}</definedName>
    <definedName name="wrn.Capital._.Projects._1_1">{#N/A,#N/A,TRUE,"Capital Projects"}</definedName>
    <definedName name="wrn.Capital._.Projects._2">{#N/A,#N/A,TRUE,"Capital Projects"}</definedName>
    <definedName name="wrn.Cardiovasculars.">{#N/A,#N/A,FALSE,"Card";#N/A,#N/A,FALSE,"Prav";#N/A,#N/A,FALSE,"Irbe";#N/A,#N/A,FALSE,"Plavix";#N/A,#N/A,FALSE,"Capt";#N/A,#N/A,FALSE,"Fosi"}</definedName>
    <definedName name="wrn.Cardiovasculars._1">{#N/A,#N/A,FALSE,"Card";#N/A,#N/A,FALSE,"Prav";#N/A,#N/A,FALSE,"Irbe";#N/A,#N/A,FALSE,"Plavix";#N/A,#N/A,FALSE,"Capt";#N/A,#N/A,FALSE,"Fosi"}</definedName>
    <definedName name="wrn.Cardiovasculars._2">{#N/A,#N/A,FALSE,"Card";#N/A,#N/A,FALSE,"Prav";#N/A,#N/A,FALSE,"Irbe";#N/A,#N/A,FALSE,"Plavix";#N/A,#N/A,FALSE,"Capt";#N/A,#N/A,FALSE,"Fosi"}</definedName>
    <definedName name="wrn.Cardiovasculars._3">{#N/A,#N/A,FALSE,"Card";#N/A,#N/A,FALSE,"Prav";#N/A,#N/A,FALSE,"Irbe";#N/A,#N/A,FALSE,"Plavix";#N/A,#N/A,FALSE,"Capt";#N/A,#N/A,FALSE,"Fosi"}</definedName>
    <definedName name="wrn.Cardiovasculars._4">{#N/A,#N/A,FALSE,"Card";#N/A,#N/A,FALSE,"Prav";#N/A,#N/A,FALSE,"Irbe";#N/A,#N/A,FALSE,"Plavix";#N/A,#N/A,FALSE,"Capt";#N/A,#N/A,FALSE,"Fosi"}</definedName>
    <definedName name="wrn.Cardiovasculars._5">{#N/A,#N/A,FALSE,"Card";#N/A,#N/A,FALSE,"Prav";#N/A,#N/A,FALSE,"Irbe";#N/A,#N/A,FALSE,"Plavix";#N/A,#N/A,FALSE,"Capt";#N/A,#N/A,FALSE,"Fosi"}</definedName>
    <definedName name="wrn.Carter.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wrn.cellular.">{#N/A,#N/A,TRUE,"TITLE";#N/A,#N/A,TRUE,"MKT Cellular Subs";#N/A,#N/A,TRUE,"Cellular sub ";#N/A,#N/A,TRUE,"P&amp;L - Cell";#N/A,#N/A,TRUE,"Rev &amp; Usage assump - Cell";#N/A,#N/A,TRUE,"Cost -  Cellular";"cellular",#N/A,TRUE,"Capex "}</definedName>
    <definedName name="wrn.Central.">{"Side 1",#N/A,FALSE,"Hovedark";"Side 2",#N/A,FALSE,"Hovedark";"Side 3",#N/A,FALSE,"Hovedark"}</definedName>
    <definedName name="wrn.Central._.Nervous._.System.">{#N/A,#N/A,FALSE,"CNS";#N/A,#N/A,FALSE,"Serz";#N/A,#N/A,FALSE,"Ace"}</definedName>
    <definedName name="wrn.Central._.Nervous._.System._1">{#N/A,#N/A,FALSE,"CNS";#N/A,#N/A,FALSE,"Serz";#N/A,#N/A,FALSE,"Ace"}</definedName>
    <definedName name="wrn.Central._.Nervous._.System._2">{#N/A,#N/A,FALSE,"CNS";#N/A,#N/A,FALSE,"Serz";#N/A,#N/A,FALSE,"Ace"}</definedName>
    <definedName name="wrn.Central._.Nervous._.System._3">{#N/A,#N/A,FALSE,"CNS";#N/A,#N/A,FALSE,"Serz";#N/A,#N/A,FALSE,"Ace"}</definedName>
    <definedName name="wrn.Central._.Nervous._.System._4">{#N/A,#N/A,FALSE,"CNS";#N/A,#N/A,FALSE,"Serz";#N/A,#N/A,FALSE,"Ace"}</definedName>
    <definedName name="wrn.Central._.Nervous._.System._5">{#N/A,#N/A,FALSE,"CNS";#N/A,#N/A,FALSE,"Serz";#N/A,#N/A,FALSE,"Ace"}</definedName>
    <definedName name="wrn.Centrally._.Managed._.Alloc._.Costs.">{#N/A,#N/A,TRUE,"Centrally Managed Alloc Costs"}</definedName>
    <definedName name="wrn.Centrally._.Managed._.Alloc._.Costs._1">{#N/A,#N/A,TRUE,"Centrally Managed Alloc Costs"}</definedName>
    <definedName name="wrn.Centrally._.Managed._.Alloc._.Costs._1_1">{#N/A,#N/A,TRUE,"Centrally Managed Alloc Costs"}</definedName>
    <definedName name="wrn.Centrally._.Managed._.Alloc._.Costs._2">{#N/A,#N/A,TRUE,"Centrally Managed Alloc Costs"}</definedName>
    <definedName name="wrn.Chart._.Printouts.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OMBINED.">{#N/A,#N/A,FALSE,"INPUTS";#N/A,#N/A,FALSE,"PROFORMA BSHEET";#N/A,#N/A,FALSE,"COMBINED";#N/A,#N/A,FALSE,"HIGH YIELD";#N/A,#N/A,FALSE,"COMB_GRAPHS"}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CO.">{"Page1",#N/A,FALSE,"CompCo";"Page2",#N/A,FALSE,"CompCo"}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e._.Report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et.">{#N/A,#N/A,FALSE,"Full";#N/A,#N/A,FALSE,"Half";#N/A,#N/A,FALSE,"Op Expenses";#N/A,#N/A,FALSE,"Cap Charge";#N/A,#N/A,FALSE,"Cost C";#N/A,#N/A,FALSE,"PP&amp;E";#N/A,#N/A,FALSE,"R&amp;D"}</definedName>
    <definedName name="wrn.Complete._.Set._1">{#N/A,#N/A,FALSE,"Full";#N/A,#N/A,FALSE,"Half";#N/A,#N/A,FALSE,"Op Expenses";#N/A,#N/A,FALSE,"Cap Charge";#N/A,#N/A,FALSE,"Cost C";#N/A,#N/A,FALSE,"PP&amp;E";#N/A,#N/A,FALSE,"R&amp;D"}</definedName>
    <definedName name="wrn.Complete._.Set._2">{#N/A,#N/A,FALSE,"Full";#N/A,#N/A,FALSE,"Half";#N/A,#N/A,FALSE,"Op Expenses";#N/A,#N/A,FALSE,"Cap Charge";#N/A,#N/A,FALSE,"Cost C";#N/A,#N/A,FALSE,"PP&amp;E";#N/A,#N/A,FALSE,"R&amp;D"}</definedName>
    <definedName name="wrn.Complete._.Set._3">{#N/A,#N/A,FALSE,"Full";#N/A,#N/A,FALSE,"Half";#N/A,#N/A,FALSE,"Op Expenses";#N/A,#N/A,FALSE,"Cap Charge";#N/A,#N/A,FALSE,"Cost C";#N/A,#N/A,FALSE,"PP&amp;E";#N/A,#N/A,FALSE,"R&amp;D"}</definedName>
    <definedName name="wrn.Complete._1">{#N/A,#N/A,FALSE,"SMT1";#N/A,#N/A,FALSE,"SMT2";#N/A,#N/A,FALSE,"Summary";#N/A,#N/A,FALSE,"Graphs";#N/A,#N/A,FALSE,"4 Panel"}</definedName>
    <definedName name="wrn.Complete._2">{#N/A,#N/A,FALSE,"SMT1";#N/A,#N/A,FALSE,"SMT2";#N/A,#N/A,FALSE,"Summary";#N/A,#N/A,FALSE,"Graphs";#N/A,#N/A,FALSE,"4 Panel"}</definedName>
    <definedName name="wrn.Complete._3">{#N/A,#N/A,FALSE,"SMT1";#N/A,#N/A,FALSE,"SMT2";#N/A,#N/A,FALSE,"Summary";#N/A,#N/A,FALSE,"Graphs";#N/A,#N/A,FALSE,"4 Panel"}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utation._.3CD._.Details.">{"Computation Tax",#N/A,FALSE,"43B";"Dep I.Tax",#N/A,FALSE,"43B";"I Tax Losses",#N/A,FALSE,"43B";"Annex-III 3CD",#N/A,FALSE,"43B";"Cash Payments",#N/A,FALSE,"43B";"43B",#N/A,FALSE,"43B"}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er._.Medicines.">{#N/A,#N/A,FALSE,"OTC";#N/A,#N/A,FALSE,"Ther";#N/A,#N/A,FALSE,"Temp";#N/A,#N/A,FALSE,"Exce";#N/A,#N/A,FALSE,"Buff";#N/A,#N/A,FALSE,"Picot";#N/A,#N/A,FALSE,"Luftal";#N/A,#N/A,FALSE,"Comt"}</definedName>
    <definedName name="wrn.Consumer._.Medicines._1">{#N/A,#N/A,FALSE,"OTC";#N/A,#N/A,FALSE,"Ther";#N/A,#N/A,FALSE,"Temp";#N/A,#N/A,FALSE,"Exce";#N/A,#N/A,FALSE,"Buff";#N/A,#N/A,FALSE,"Picot";#N/A,#N/A,FALSE,"Luftal";#N/A,#N/A,FALSE,"Comt"}</definedName>
    <definedName name="wrn.Consumer._.Medicines._2">{#N/A,#N/A,FALSE,"OTC";#N/A,#N/A,FALSE,"Ther";#N/A,#N/A,FALSE,"Temp";#N/A,#N/A,FALSE,"Exce";#N/A,#N/A,FALSE,"Buff";#N/A,#N/A,FALSE,"Picot";#N/A,#N/A,FALSE,"Luftal";#N/A,#N/A,FALSE,"Comt"}</definedName>
    <definedName name="wrn.Consumer._.Medicines._3">{#N/A,#N/A,FALSE,"OTC";#N/A,#N/A,FALSE,"Ther";#N/A,#N/A,FALSE,"Temp";#N/A,#N/A,FALSE,"Exce";#N/A,#N/A,FALSE,"Buff";#N/A,#N/A,FALSE,"Picot";#N/A,#N/A,FALSE,"Luftal";#N/A,#N/A,FALSE,"Comt"}</definedName>
    <definedName name="wrn.Consumer._.Medicines._4">{#N/A,#N/A,FALSE,"OTC";#N/A,#N/A,FALSE,"Ther";#N/A,#N/A,FALSE,"Temp";#N/A,#N/A,FALSE,"Exce";#N/A,#N/A,FALSE,"Buff";#N/A,#N/A,FALSE,"Picot";#N/A,#N/A,FALSE,"Luftal";#N/A,#N/A,FALSE,"Comt"}</definedName>
    <definedName name="wrn.Consumer._.Medicines._5">{#N/A,#N/A,FALSE,"OTC";#N/A,#N/A,FALSE,"Ther";#N/A,#N/A,FALSE,"Temp";#N/A,#N/A,FALSE,"Exce";#N/A,#N/A,FALSE,"Buff";#N/A,#N/A,FALSE,"Picot";#N/A,#N/A,FALSE,"Luftal";#N/A,#N/A,FALSE,"Comt"}</definedName>
    <definedName name="wrn.Dahl.">{"Resultat",#N/A,TRUE,"Hovedtal";"Balance",#N/A,TRUE,"Hovedtal";"Cash_Flow",#N/A,TRUE,"Hovedtal"}</definedName>
    <definedName name="wrn.Daily._.Report.">{#N/A,#N/A,FALSE,"INSTALL";#N/A,#N/A,FALSE,"SALE"}</definedName>
    <definedName name="wrn.datapak.">{#N/A,#N/A,FALSE,"Status of Projects";#N/A,#N/A,FALSE,"CEA-TEC";#N/A,#N/A,FALSE,"U-Constr.";#N/A,#N/A,FALSE,"summary";#N/A,#N/A,FALSE,"PPP-3 yrs"}</definedName>
    <definedName name="wrn.datapak._1">{#N/A,#N/A,FALSE,"Status of Projects";#N/A,#N/A,FALSE,"CEA-TEC";#N/A,#N/A,FALSE,"U-Constr.";#N/A,#N/A,FALSE,"summary";#N/A,#N/A,FALSE,"PPP-3 yrs"}</definedName>
    <definedName name="wrn.datapak._2">{#N/A,#N/A,FALSE,"Status of Projects";#N/A,#N/A,FALSE,"CEA-TEC";#N/A,#N/A,FALSE,"U-Constr.";#N/A,#N/A,FALSE,"summary";#N/A,#N/A,FALSE,"PPP-3 yrs"}</definedName>
    <definedName name="wrn.David.">{"PMT_48","A",FALSE,"Amortization Table";"PMT_360","B",FALSE,"Amortization Table";"PMT_20","C",FALSE,"Amortization Table";"PMT_48","D",FALSE,"Amortization Table"}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CF_Terminal_Value_qchm.">{"qchm_dcf",#N/A,FALSE,"QCHMDCF2";"qchm_terminal",#N/A,FALSE,"QCHMDCF2"}</definedName>
    <definedName name="wrn.dec02.">{#N/A,#N/A,FALSE,"BS"}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>{"Build1",#N/A,FALSE,"Buildup";"Build2",#N/A,FALSE,"Buildup";"Build3",#N/A,FALSE,"Buildup"}</definedName>
    <definedName name="wrn.Detail._.Balance._.Sheet.">{#N/A,#N/A,FALSE,"Detail"}</definedName>
    <definedName name="wrn.Detail._.Balance._.Sheet._1">{#N/A,#N/A,FALSE,"Detail"}</definedName>
    <definedName name="wrn.Detail._.Balance._.Sheet._2">{#N/A,#N/A,FALSE,"Detail"}</definedName>
    <definedName name="wrn.Detail._.Balance._.Sheet._3">{#N/A,#N/A,FALSE,"Detail"}</definedName>
    <definedName name="wrn.Detail._.Balance._.Sheet._4">{#N/A,#N/A,FALSE,"Detail"}</definedName>
    <definedName name="wrn.Detail._.Balance._.Sheet._5">{#N/A,#N/A,FALSE,"Detail"}</definedName>
    <definedName name="wrn.Detail_Projection.">{#N/A,#N/A,FALSE,"Detail YTD"}</definedName>
    <definedName name="wrn.Detail_Projection._1">{#N/A,#N/A,FALSE,"Detail YTD"}</definedName>
    <definedName name="wrn.Detail_Projection._2">{#N/A,#N/A,FALSE,"Detail YTD"}</definedName>
    <definedName name="wrn.Detail_Projection._3">{#N/A,#N/A,FALSE,"Detail YTD"}</definedName>
    <definedName name="wrn.Detail_Projection._4">{#N/A,#N/A,FALSE,"Detail YTD"}</definedName>
    <definedName name="wrn.Detail_Projection._5">{#N/A,#N/A,FALSE,"Detail YTD"}</definedName>
    <definedName name="wrn.Directors._.Office.">{#N/A,#N/A,TRUE,"Directors' Office"}</definedName>
    <definedName name="wrn.Directors._.Office._1">{#N/A,#N/A,TRUE,"Directors' Office"}</definedName>
    <definedName name="wrn.Directors._.Office._1_1">{#N/A,#N/A,TRUE,"Directors' Office"}</definedName>
    <definedName name="wrn.Directors._.Office._2">{#N/A,#N/A,TRUE,"Directors' Office"}</definedName>
    <definedName name="wrn.djall.">{"djcash",#N/A,FALSE,"DJann";"djinc",#N/A,FALSE,"DJann";"djtaxes",#N/A,FALSE,"DJann";"djbuspub",#N/A,FALSE,"DJann";"djwall",#N/A,FALSE,"DJann";"djcompprs",#N/A,FALSE,"DJann";"djteler",#N/A,FALSE,"DJann"}</definedName>
    <definedName name="wrn.DLH_hele.">{"Side 1",#N/A,FALSE,"Hovedark";"Side 2",#N/A,FALSE,"Hovedark";"Cash Flow",#N/A,FALSE,"Hovedark";"Breakdown",#N/A,FALSE,"Breakdown";"Valuation",#N/A,FALSE,"Valuation";"Bidrag",#N/A,FALSE,"Bidrag"}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>{"EVA",#N/A,FALSE,"EVA";"WACC",#N/A,FALSE,"WACC"}</definedName>
    <definedName name="wrn.ecpall.">{"ecpcash",#N/A,FALSE,"ECPann";"ecpinc",#N/A,FALSE,"ECPann";"ecpindia",#N/A,FALSE,"ECPann";"ecpmun",#N/A,FALSE,"ECPann";"ecpphoenix",#N/A,FALSE,"ECPann";"ecpothe",#N/A,FALSE,"ECPann";"ecpbalsht",#N/A,FALSE,"ECPann"}</definedName>
    <definedName name="wrn.ela">{#N/A,#N/A,FALSE,"Cash Flows";#N/A,#N/A,FALSE,"Fixed Assets";#N/A,#N/A,FALSE,"Balance Sheet";#N/A,#N/A,FALSE,"P &amp; L"}</definedName>
    <definedName name="wrn.ela_1">{#N/A,#N/A,FALSE,"Cash Flows";#N/A,#N/A,FALSE,"Fixed Assets";#N/A,#N/A,FALSE,"Balance Sheet";#N/A,#N/A,FALSE,"P &amp; L"}</definedName>
    <definedName name="wrn.ela_1_1">{#N/A,#N/A,FALSE,"Cash Flows";#N/A,#N/A,FALSE,"Fixed Assets";#N/A,#N/A,FALSE,"Balance Sheet";#N/A,#N/A,FALSE,"P &amp; L"}</definedName>
    <definedName name="wrn.ela_2">{#N/A,#N/A,FALSE,"Cash Flows";#N/A,#N/A,FALSE,"Fixed Assets";#N/A,#N/A,FALSE,"Balance Sheet";#N/A,#N/A,FALSE,"P &amp; L"}</definedName>
    <definedName name="wrn.Elaborate.">{#N/A,#N/A,FALSE,"Cash Flows";#N/A,#N/A,FALSE,"Fixed Assets";#N/A,#N/A,FALSE,"Balance Sheet";#N/A,#N/A,FALSE,"P &amp; L"}</definedName>
    <definedName name="wrn.Elaborate._1">{#N/A,#N/A,FALSE,"Cash Flows";#N/A,#N/A,FALSE,"Fixed Assets";#N/A,#N/A,FALSE,"Balance Sheet";#N/A,#N/A,FALSE,"P &amp; L"}</definedName>
    <definedName name="wrn.Elaborate._1_1">{#N/A,#N/A,FALSE,"Cash Flows";#N/A,#N/A,FALSE,"Fixed Assets";#N/A,#N/A,FALSE,"Balance Sheet";#N/A,#N/A,FALSE,"P &amp; L"}</definedName>
    <definedName name="wrn.Elaborate._2">{#N/A,#N/A,FALSE,"Cash Flows";#N/A,#N/A,FALSE,"Fixed Assets";#N/A,#N/A,FALSE,"Balance Sheet";#N/A,#N/A,FALSE,"P &amp; L"}</definedName>
    <definedName name="wrn.Elaborate._3">{#N/A,#N/A,FALSE,"Cash Flows";#N/A,#N/A,FALSE,"Fixed Assets";#N/A,#N/A,FALSE,"Balance Sheet";#N/A,#N/A,FALSE,"P &amp; L"}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>{#N/A,#N/A,FALSE,"Emerging Mkt Fund"}</definedName>
    <definedName name="wrn.EO.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W.">{#N/A,#N/A,FALSE,"EW"}</definedName>
    <definedName name="wrn.EW._1">{#N/A,#N/A,FALSE,"EW"}</definedName>
    <definedName name="wrn.EW._1_1">{#N/A,#N/A,FALSE,"EW"}</definedName>
    <definedName name="wrn.EW._1_2">{#N/A,#N/A,FALSE,"EW"}</definedName>
    <definedName name="wrn.EW._1_3">{#N/A,#N/A,FALSE,"EW"}</definedName>
    <definedName name="wrn.EW._1_4">{#N/A,#N/A,FALSE,"EW"}</definedName>
    <definedName name="wrn.EW._2">{#N/A,#N/A,FALSE,"EW"}</definedName>
    <definedName name="wrn.EW._2_1">{#N/A,#N/A,FALSE,"EW"}</definedName>
    <definedName name="wrn.EW._2_2">{#N/A,#N/A,FALSE,"EW"}</definedName>
    <definedName name="wrn.EW._2_3">{#N/A,#N/A,FALSE,"EW"}</definedName>
    <definedName name="wrn.EW._2_4">{#N/A,#N/A,FALSE,"EW"}</definedName>
    <definedName name="wrn.EW._3">{#N/A,#N/A,FALSE,"EW"}</definedName>
    <definedName name="wrn.EW._3_1">{#N/A,#N/A,FALSE,"EW"}</definedName>
    <definedName name="wrn.EW._3_2">{#N/A,#N/A,FALSE,"EW"}</definedName>
    <definedName name="wrn.EW._3_3">{#N/A,#N/A,FALSE,"EW"}</definedName>
    <definedName name="wrn.EW._3_4">{#N/A,#N/A,FALSE,"EW"}</definedName>
    <definedName name="wrn.EW._4">{#N/A,#N/A,FALSE,"EW"}</definedName>
    <definedName name="wrn.EW._4_1">{#N/A,#N/A,FALSE,"EW"}</definedName>
    <definedName name="wrn.EW._4_2">{#N/A,#N/A,FALSE,"EW"}</definedName>
    <definedName name="wrn.EW._4_3">{#N/A,#N/A,FALSE,"EW"}</definedName>
    <definedName name="wrn.EW._4_4">{#N/A,#N/A,FALSE,"EW"}</definedName>
    <definedName name="wrn.EW._5">{#N/A,#N/A,FALSE,"EW"}</definedName>
    <definedName name="wrn.executive._.summary.">{"ex sum oth brnds",#N/A,FALSE,"Baking - retail"}</definedName>
    <definedName name="wrn.Facilities._.Mgt.">{#N/A,#N/A,TRUE,"Facilities Mgt"}</definedName>
    <definedName name="wrn.Facilities._.Mgt._1">{#N/A,#N/A,TRUE,"Facilities Mgt"}</definedName>
    <definedName name="wrn.Facilities._.Mgt._1_1">{#N/A,#N/A,TRUE,"Facilities Mgt"}</definedName>
    <definedName name="wrn.Facilities._.Mgt._2">{#N/A,#N/A,TRUE,"Facilities Mgt"}</definedName>
    <definedName name="wrn.Feb.">{#N/A,#N/A,FALSE,"431"}</definedName>
    <definedName name="wrn.final.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Scheds.">{#N/A,#N/A,FALSE,"brokerage";#N/A,#N/A,FALSE,"institutional"}</definedName>
    <definedName name="wrn.Finance.">{"Fin - Commentary",#N/A,FALSE,"Financial Mgt";"Finance p&amp;l",#N/A,FALSE,"Financial Mgt";"Fin Mgt Staff",#N/A,FALSE,"Financial Mgt";"Fin - Staff Cost",#N/A,FALSE,"Financial Mgt";"Fin - Travel etc",#N/A,FALSE,"Financial Mgt";"Fin - Other",#N/A,FALSE,"Financial Mgt"}</definedName>
    <definedName name="wrn.Finance._1">{"Fin - Commentary",#N/A,FALSE,"Financial Mgt";"Finance p&amp;l",#N/A,FALSE,"Financial Mgt";"Fin Mgt Staff",#N/A,FALSE,"Financial Mgt";"Fin - Staff Cost",#N/A,FALSE,"Financial Mgt";"Fin - Travel etc",#N/A,FALSE,"Financial Mgt";"Fin - Other",#N/A,FALSE,"Financial Mgt"}</definedName>
    <definedName name="wrn.Finance._1_1">{"Fin - Commentary",#N/A,FALSE,"Financial Mgt";"Finance p&amp;l",#N/A,FALSE,"Financial Mgt";"Fin Mgt Staff",#N/A,FALSE,"Financial Mgt";"Fin - Staff Cost",#N/A,FALSE,"Financial Mgt";"Fin - Travel etc",#N/A,FALSE,"Financial Mgt";"Fin - Other",#N/A,FALSE,"Financial Mgt"}</definedName>
    <definedName name="wrn.Finance._2">{"Fin - Commentary",#N/A,FALSE,"Financial Mgt";"Finance p&amp;l",#N/A,FALSE,"Financial Mgt";"Fin Mgt Staff",#N/A,FALSE,"Financial Mgt";"Fin - Staff Cost",#N/A,FALSE,"Financial Mgt";"Fin - Travel etc",#N/A,FALSE,"Financial Mgt";"Fin - Other",#N/A,FALSE,"Financial Mgt"}</definedName>
    <definedName name="wrn.FINANCIALS.">{#N/A,#N/A,TRUE,"SUMMARY";#N/A,#N/A,TRUE,"CASH CON";#N/A,#N/A,TRUE,"CASH OP";#N/A,#N/A,TRUE,"INCOME";#N/A,#N/A,TRUE,"BAL SHEET"}</definedName>
    <definedName name="wrn.Financials._.April._.02._.Rs._.000.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_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_2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_3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rst._.2._.Pages.">{"First 2 Pages",#N/A,FALSE,"A";"First 2 Pages",#N/A,FALSE,"A"}</definedName>
    <definedName name="wrn.Flugger.">{"Res_og_nøgle",#N/A,FALSE,"Hovedark";"Balance",#N/A,FALSE,"Hovedark";"Bagside_DK",#N/A,FALSE,"Bagside"}</definedName>
    <definedName name="wrn.FM._.Buildings.">{#N/A,#N/A,TRUE,"Facilities Managed Buildings"}</definedName>
    <definedName name="wrn.FM._.Buildings._1">{#N/A,#N/A,TRUE,"Facilities Managed Buildings"}</definedName>
    <definedName name="wrn.FM._.Buildings._1_1">{#N/A,#N/A,TRUE,"Facilities Managed Buildings"}</definedName>
    <definedName name="wrn.FM._.Buildings._2">{#N/A,#N/A,TRUE,"Facilities Managed Buildings"}</definedName>
    <definedName name="wrn.Forecast._.Q1.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1.">{#N/A,#N/A,FALSE,"COMP"}</definedName>
    <definedName name="wrn.FORM1._1">{#N/A,#N/A,FALSE,"COMP"}</definedName>
    <definedName name="wrn.FORM1._2">{#N/A,#N/A,FALSE,"COMP"}</definedName>
    <definedName name="wrn.FORM1._3">{#N/A,#N/A,FALSE,"COMP"}</definedName>
    <definedName name="wrn.FREE.">{#N/A,#N/A,FALSE,"FREE"}</definedName>
    <definedName name="wrn.FREE._1">{#N/A,#N/A,FALSE,"FREE"}</definedName>
    <definedName name="wrn.FREE._1_1">{#N/A,#N/A,FALSE,"FREE"}</definedName>
    <definedName name="wrn.FREE._1_2">{#N/A,#N/A,FALSE,"FREE"}</definedName>
    <definedName name="wrn.FREE._1_3">{#N/A,#N/A,FALSE,"FREE"}</definedName>
    <definedName name="wrn.FREE._1_4">{#N/A,#N/A,FALSE,"FREE"}</definedName>
    <definedName name="wrn.FREE._2">{#N/A,#N/A,FALSE,"FREE"}</definedName>
    <definedName name="wrn.FREE._2_1">{#N/A,#N/A,FALSE,"FREE"}</definedName>
    <definedName name="wrn.FREE._2_2">{#N/A,#N/A,FALSE,"FREE"}</definedName>
    <definedName name="wrn.FREE._2_3">{#N/A,#N/A,FALSE,"FREE"}</definedName>
    <definedName name="wrn.FREE._2_4">{#N/A,#N/A,FALSE,"FREE"}</definedName>
    <definedName name="wrn.FREE._3">{#N/A,#N/A,FALSE,"FREE"}</definedName>
    <definedName name="wrn.FREE._3_1">{#N/A,#N/A,FALSE,"FREE"}</definedName>
    <definedName name="wrn.FREE._3_2">{#N/A,#N/A,FALSE,"FREE"}</definedName>
    <definedName name="wrn.FREE._3_3">{#N/A,#N/A,FALSE,"FREE"}</definedName>
    <definedName name="wrn.FREE._3_4">{#N/A,#N/A,FALSE,"FREE"}</definedName>
    <definedName name="wrn.FREE._4">{#N/A,#N/A,FALSE,"FREE"}</definedName>
    <definedName name="wrn.FREE._4_1">{#N/A,#N/A,FALSE,"FREE"}</definedName>
    <definedName name="wrn.FREE._4_2">{#N/A,#N/A,FALSE,"FREE"}</definedName>
    <definedName name="wrn.FREE._4_3">{#N/A,#N/A,FALSE,"FREE"}</definedName>
    <definedName name="wrn.FREE._4_4">{#N/A,#N/A,FALSE,"FREE"}</definedName>
    <definedName name="wrn.FREE._5">{#N/A,#N/A,FALSE,"FREE"}</definedName>
    <definedName name="wrn.Ful._.Set.">{"Bsheet",#N/A,FALSE,"Details";"P&amp;L",#N/A,FALSE,"Details";"Schedule",#N/A,FALSE,"Details";"Details",#N/A,FALSE,"Details"}</definedName>
    <definedName name="wrn.full.">{#N/A,#N/A,FALSE,"Income Statement";#N/A,#N/A,FALSE,"Balance Sheet";#N/A,#N/A,FALSE,"Cash Flow";#N/A,#N/A,FALSE,"D&amp;A";#N/A,#N/A,FALSE,"Capitalization";#N/A,#N/A,FALSE,"Debt Amortization";#N/A,#N/A,FALSE,"Deferred Taxes"}</definedName>
    <definedName name="wrn.Full._.Exec._.Pack.">{"Cover - GPS",#N/A,TRUE,"Cover";"Summary Commentary",#N/A,TRUE,"Summary";"Summary_Numbers",#N/A,TRUE,"Summary";"RAF_Stream Run Rate Comm",#N/A,TRUE,"Stream Summary RAF Run rate";"RAF_Stream Run Rate No",#N/A,TRUE,"Stream Summary RAF Run rate";"Stream staff",#N/A,TRUE,"Stream Summary";"Stream summary",#N/A,TRUE,"Stream Summary";"Stream summary Notes 1",#N/A,TRUE,"Stream Summary";"capital project commentary",#N/A,TRUE,"Capital Projects";"Capital projects P&amp;L",#N/A,TRUE,"Capital Projects";"Fac Mgmt Commentary",#N/A,TRUE,"Facilities Mgt";"Fac Mgmt P&amp;L",#N/A,TRUE,"Facilities Mgt";"Property Services Commentary",#N/A,TRUE,"Prop Services";"Property Services P&amp;L",#N/A,TRUE,"Prop Services";"Ops Comm2",#N/A,TRUE,"Operations";"operations p&amp;l",#N/A,TRUE,"Operations";"Directors Off Commentary",#N/A,TRUE,"Directors' Office";"Directors Off P&amp;L",#N/A,TRUE,"Directors' Office";"premises related risk comm",#N/A,TRUE,"Premises Related Risk";"premises related risk nos",#N/A,TRUE,"Premises Related Risk";"PPP Commentary",#N/A,TRUE,"Prop Planning and Policy";"PPP P&amp;L",#N/A,TRUE,"Prop Planning and Policy";"GPS Central Commentary",#N/A,TRUE,"GPS Central";"GPS Central P&amp;L",#N/A,TRUE,"GPS Central";"Non Recharge Trans Commentary",#N/A,TRUE,"Non Recharge";"Non Rech Trans P&amp;L",#N/A,TRUE,"Non Recharge";"Blank (pg numbers)",#N/A,TRUE,"Blank (pg number)"}</definedName>
    <definedName name="wrn.Full._.Exec._.Pack._1">{"Cover - GPS",#N/A,TRUE,"Cover";"Summary Commentary",#N/A,TRUE,"Summary";"Summary_Numbers",#N/A,TRUE,"Summary";"RAF_Stream Run Rate Comm",#N/A,TRUE,"Stream Summary RAF Run rate";"RAF_Stream Run Rate No",#N/A,TRUE,"Stream Summary RAF Run rate";"Stream staff",#N/A,TRUE,"Stream Summary";"Stream summary",#N/A,TRUE,"Stream Summary";"Stream summary Notes 1",#N/A,TRUE,"Stream Summary";"capital project commentary",#N/A,TRUE,"Capital Projects";"Capital projects P&amp;L",#N/A,TRUE,"Capital Projects";"Fac Mgmt Commentary",#N/A,TRUE,"Facilities Mgt";"Fac Mgmt P&amp;L",#N/A,TRUE,"Facilities Mgt";"Property Services Commentary",#N/A,TRUE,"Prop Services";"Property Services P&amp;L",#N/A,TRUE,"Prop Services";"Ops Comm2",#N/A,TRUE,"Operations";"operations p&amp;l",#N/A,TRUE,"Operations";"Directors Off Commentary",#N/A,TRUE,"Directors' Office";"Directors Off P&amp;L",#N/A,TRUE,"Directors' Office";"premises related risk comm",#N/A,TRUE,"Premises Related Risk";"premises related risk nos",#N/A,TRUE,"Premises Related Risk";"PPP Commentary",#N/A,TRUE,"Prop Planning and Policy";"PPP P&amp;L",#N/A,TRUE,"Prop Planning and Policy";"GPS Central Commentary",#N/A,TRUE,"GPS Central";"GPS Central P&amp;L",#N/A,TRUE,"GPS Central";"Non Recharge Trans Commentary",#N/A,TRUE,"Non Recharge";"Non Rech Trans P&amp;L",#N/A,TRUE,"Non Recharge";"Blank (pg numbers)",#N/A,TRUE,"Blank (pg number)"}</definedName>
    <definedName name="wrn.Full._.Exec._.Pack._1_1">{"Cover - GPS",#N/A,TRUE,"Cover";"Summary Commentary",#N/A,TRUE,"Summary";"Summary_Numbers",#N/A,TRUE,"Summary";"RAF_Stream Run Rate Comm",#N/A,TRUE,"Stream Summary RAF Run rate";"RAF_Stream Run Rate No",#N/A,TRUE,"Stream Summary RAF Run rate";"Stream staff",#N/A,TRUE,"Stream Summary";"Stream summary",#N/A,TRUE,"Stream Summary";"Stream summary Notes 1",#N/A,TRUE,"Stream Summary";"capital project commentary",#N/A,TRUE,"Capital Projects";"Capital projects P&amp;L",#N/A,TRUE,"Capital Projects";"Fac Mgmt Commentary",#N/A,TRUE,"Facilities Mgt";"Fac Mgmt P&amp;L",#N/A,TRUE,"Facilities Mgt";"Property Services Commentary",#N/A,TRUE,"Prop Services";"Property Services P&amp;L",#N/A,TRUE,"Prop Services";"Ops Comm2",#N/A,TRUE,"Operations";"operations p&amp;l",#N/A,TRUE,"Operations";"Directors Off Commentary",#N/A,TRUE,"Directors' Office";"Directors Off P&amp;L",#N/A,TRUE,"Directors' Office";"premises related risk comm",#N/A,TRUE,"Premises Related Risk";"premises related risk nos",#N/A,TRUE,"Premises Related Risk";"PPP Commentary",#N/A,TRUE,"Prop Planning and Policy";"PPP P&amp;L",#N/A,TRUE,"Prop Planning and Policy";"GPS Central Commentary",#N/A,TRUE,"GPS Central";"GPS Central P&amp;L",#N/A,TRUE,"GPS Central";"Non Recharge Trans Commentary",#N/A,TRUE,"Non Recharge";"Non Rech Trans P&amp;L",#N/A,TRUE,"Non Recharge";"Blank (pg numbers)",#N/A,TRUE,"Blank (pg number)"}</definedName>
    <definedName name="wrn.Full._.Exec._.Pack._2">{"Cover - GPS",#N/A,TRUE,"Cover";"Summary Commentary",#N/A,TRUE,"Summary";"Summary_Numbers",#N/A,TRUE,"Summary";"RAF_Stream Run Rate Comm",#N/A,TRUE,"Stream Summary RAF Run rate";"RAF_Stream Run Rate No",#N/A,TRUE,"Stream Summary RAF Run rate";"Stream staff",#N/A,TRUE,"Stream Summary";"Stream summary",#N/A,TRUE,"Stream Summary";"Stream summary Notes 1",#N/A,TRUE,"Stream Summary";"capital project commentary",#N/A,TRUE,"Capital Projects";"Capital projects P&amp;L",#N/A,TRUE,"Capital Projects";"Fac Mgmt Commentary",#N/A,TRUE,"Facilities Mgt";"Fac Mgmt P&amp;L",#N/A,TRUE,"Facilities Mgt";"Property Services Commentary",#N/A,TRUE,"Prop Services";"Property Services P&amp;L",#N/A,TRUE,"Prop Services";"Ops Comm2",#N/A,TRUE,"Operations";"operations p&amp;l",#N/A,TRUE,"Operations";"Directors Off Commentary",#N/A,TRUE,"Directors' Office";"Directors Off P&amp;L",#N/A,TRUE,"Directors' Office";"premises related risk comm",#N/A,TRUE,"Premises Related Risk";"premises related risk nos",#N/A,TRUE,"Premises Related Risk";"PPP Commentary",#N/A,TRUE,"Prop Planning and Policy";"PPP P&amp;L",#N/A,TRUE,"Prop Planning and Policy";"GPS Central Commentary",#N/A,TRUE,"GPS Central";"GPS Central P&amp;L",#N/A,TRUE,"GPS Central";"Non Recharge Trans Commentary",#N/A,TRUE,"Non Recharge";"Non Rech Trans P&amp;L",#N/A,TRUE,"Non Recharge";"Blank (pg numbers)",#N/A,TRUE,"Blank (pg number)"}</definedName>
    <definedName name="wrn.Full._.Financials.">{#N/A,#N/A,TRUE,"Financials";#N/A,#N/A,TRUE,"Operating Statistics";#N/A,#N/A,TRUE,"Capex &amp; Depreciation";#N/A,#N/A,TRUE,"Debt"}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Y2000._.with._.Q4Est.">{"Q4Est_(1)",#N/A,FALSE,"Summary P&amp;L (1)";"Q4Est_(2)",#N/A,FALSE,"Earnings by sub (2)";"Q4Est_(3)",#N/A,FALSE,"Production Sector (3)";"Q4Est_(4)",#N/A,FALSE,"Production Volume (4)";"Q4Est_nec",#N/A,FALSE,"nec";"Q4Est_RPL",#N/A,FALSE,"RevPerLoan";"Q4Est_(6)",#N/A,FALSE,"Servicing Sector (6)";"Q4Est_(7)",#N/A,FALSE,"CCI Exp (7)";"Q4Est_(8)",#N/A,FALSE,"Cent_Off Exp (8)";"Q4Est_(9)",#N/A,FALSE,"CCI HC (9)";"Q4Est_(10)",#N/A,FALSE,"Cent_Off HC (10)"}</definedName>
    <definedName name="wrn.FY2000._.with._.Q4Est._1">{"Q4Est_(1)",#N/A,FALSE,"Summary P&amp;L (1)";"Q4Est_(2)",#N/A,FALSE,"Earnings by sub (2)";"Q4Est_(3)",#N/A,FALSE,"Production Sector (3)";"Q4Est_(4)",#N/A,FALSE,"Production Volume (4)";"Q4Est_nec",#N/A,FALSE,"nec";"Q4Est_RPL",#N/A,FALSE,"RevPerLoan";"Q4Est_(6)",#N/A,FALSE,"Servicing Sector (6)";"Q4Est_(7)",#N/A,FALSE,"CCI Exp (7)";"Q4Est_(8)",#N/A,FALSE,"Cent_Off Exp (8)";"Q4Est_(9)",#N/A,FALSE,"CCI HC (9)";"Q4Est_(10)",#N/A,FALSE,"Cent_Off HC (10)"}</definedName>
    <definedName name="wrn.FY2000._.with._.Q4Est._1_1">{"Q4Est_(1)",#N/A,FALSE,"Summary P&amp;L (1)";"Q4Est_(2)",#N/A,FALSE,"Earnings by sub (2)";"Q4Est_(3)",#N/A,FALSE,"Production Sector (3)";"Q4Est_(4)",#N/A,FALSE,"Production Volume (4)";"Q4Est_nec",#N/A,FALSE,"nec";"Q4Est_RPL",#N/A,FALSE,"RevPerLoan";"Q4Est_(6)",#N/A,FALSE,"Servicing Sector (6)";"Q4Est_(7)",#N/A,FALSE,"CCI Exp (7)";"Q4Est_(8)",#N/A,FALSE,"Cent_Off Exp (8)";"Q4Est_(9)",#N/A,FALSE,"CCI HC (9)";"Q4Est_(10)",#N/A,FALSE,"Cent_Off HC (10)"}</definedName>
    <definedName name="wrn.FY2000._.with._.Q4Est._2">{"Q4Est_(1)",#N/A,FALSE,"Summary P&amp;L (1)";"Q4Est_(2)",#N/A,FALSE,"Earnings by sub (2)";"Q4Est_(3)",#N/A,FALSE,"Production Sector (3)";"Q4Est_(4)",#N/A,FALSE,"Production Volume (4)";"Q4Est_nec",#N/A,FALSE,"nec";"Q4Est_RPL",#N/A,FALSE,"RevPerLoan";"Q4Est_(6)",#N/A,FALSE,"Servicing Sector (6)";"Q4Est_(7)",#N/A,FALSE,"CCI Exp (7)";"Q4Est_(8)",#N/A,FALSE,"Cent_Off Exp (8)";"Q4Est_(9)",#N/A,FALSE,"CCI HC (9)";"Q4Est_(10)",#N/A,FALSE,"Cent_Off HC (10)"}</definedName>
    <definedName name="wrn.FY2000._.Yearly.">{"Yearly_1",#N/A,FALSE,"Summary P&amp;L (1)";"Yearly_2",#N/A,FALSE,"Earnings by sub (2)";"Yearly_3",#N/A,FALSE,"Production Sector (3)";"Yearly_4",#N/A,FALSE,"Production Volume (4)";"Yearly_6",#N/A,FALSE,"Servicing Sector (6)";"Yearly_7",#N/A,FALSE,"CCI Exp (7)";"Yearly_8",#N/A,FALSE,"Cent_Off Exp (8)";"Yearly_9",#N/A,FALSE,"CCI HC (9)";"Yearly_10",#N/A,FALSE,"Cent_Off HC (10)"}</definedName>
    <definedName name="wrn.FY2000._.Yearly._1">{"Yearly_1",#N/A,FALSE,"Summary P&amp;L (1)";"Yearly_2",#N/A,FALSE,"Earnings by sub (2)";"Yearly_3",#N/A,FALSE,"Production Sector (3)";"Yearly_4",#N/A,FALSE,"Production Volume (4)";"Yearly_6",#N/A,FALSE,"Servicing Sector (6)";"Yearly_7",#N/A,FALSE,"CCI Exp (7)";"Yearly_8",#N/A,FALSE,"Cent_Off Exp (8)";"Yearly_9",#N/A,FALSE,"CCI HC (9)";"Yearly_10",#N/A,FALSE,"Cent_Off HC (10)"}</definedName>
    <definedName name="wrn.FY2000._.Yearly._1_1">{"Yearly_1",#N/A,FALSE,"Summary P&amp;L (1)";"Yearly_2",#N/A,FALSE,"Earnings by sub (2)";"Yearly_3",#N/A,FALSE,"Production Sector (3)";"Yearly_4",#N/A,FALSE,"Production Volume (4)";"Yearly_6",#N/A,FALSE,"Servicing Sector (6)";"Yearly_7",#N/A,FALSE,"CCI Exp (7)";"Yearly_8",#N/A,FALSE,"Cent_Off Exp (8)";"Yearly_9",#N/A,FALSE,"CCI HC (9)";"Yearly_10",#N/A,FALSE,"Cent_Off HC (10)"}</definedName>
    <definedName name="wrn.FY2000._.Yearly._2">{"Yearly_1",#N/A,FALSE,"Summary P&amp;L (1)";"Yearly_2",#N/A,FALSE,"Earnings by sub (2)";"Yearly_3",#N/A,FALSE,"Production Sector (3)";"Yearly_4",#N/A,FALSE,"Production Volume (4)";"Yearly_6",#N/A,FALSE,"Servicing Sector (6)";"Yearly_7",#N/A,FALSE,"CCI Exp (7)";"Yearly_8",#N/A,FALSE,"Cent_Off Exp (8)";"Yearly_9",#N/A,FALSE,"CCI HC (9)";"Yearly_10",#N/A,FALSE,"Cent_Off HC (10)"}</definedName>
    <definedName name="wrn.FY2001._.FC.">{#N/A,#N/A,FALSE,"SUMMARY (1)";#N/A,#N/A,FALSE,"Summary P&amp;L (2)";#N/A,#N/A,FALSE,"Earnings by sub (3)";#N/A,#N/A,FALSE,"Production Volume (4)";#N/A,#N/A,FALSE,"Prod Sector (5)";#N/A,#N/A,FALSE,"Rev by Prod (6)";#N/A,#N/A,FALSE,"Rev by Prod (detail) (7)";#N/A,#N/A,FALSE,"Prod Exp (8)";#N/A,#N/A,FALSE,"NEC (9)";#N/A,#N/A,FALSE,"Serv Sector (10)";#N/A,#N/A,FALSE,"CCI Exp (11)";#N/A,#N/A,FALSE,"Cent_Off Exp (12)";#N/A,#N/A,FALSE,"CCI HC (13)";#N/A,#N/A,FALSE,"Cent_Off HC (14)";#N/A,#N/A,FALSE,"BS (15)"}</definedName>
    <definedName name="wrn.FY2001._.FC._1">{#N/A,#N/A,FALSE,"SUMMARY (1)";#N/A,#N/A,FALSE,"Summary P&amp;L (2)";#N/A,#N/A,FALSE,"Earnings by sub (3)";#N/A,#N/A,FALSE,"Production Volume (4)";#N/A,#N/A,FALSE,"Prod Sector (5)";#N/A,#N/A,FALSE,"Rev by Prod (6)";#N/A,#N/A,FALSE,"Rev by Prod (detail) (7)";#N/A,#N/A,FALSE,"Prod Exp (8)";#N/A,#N/A,FALSE,"NEC (9)";#N/A,#N/A,FALSE,"Serv Sector (10)";#N/A,#N/A,FALSE,"CCI Exp (11)";#N/A,#N/A,FALSE,"Cent_Off Exp (12)";#N/A,#N/A,FALSE,"CCI HC (13)";#N/A,#N/A,FALSE,"Cent_Off HC (14)";#N/A,#N/A,FALSE,"BS (15)"}</definedName>
    <definedName name="wrn.FY2001._.FC._1_1">{#N/A,#N/A,FALSE,"SUMMARY (1)";#N/A,#N/A,FALSE,"Summary P&amp;L (2)";#N/A,#N/A,FALSE,"Earnings by sub (3)";#N/A,#N/A,FALSE,"Production Volume (4)";#N/A,#N/A,FALSE,"Prod Sector (5)";#N/A,#N/A,FALSE,"Rev by Prod (6)";#N/A,#N/A,FALSE,"Rev by Prod (detail) (7)";#N/A,#N/A,FALSE,"Prod Exp (8)";#N/A,#N/A,FALSE,"NEC (9)";#N/A,#N/A,FALSE,"Serv Sector (10)";#N/A,#N/A,FALSE,"CCI Exp (11)";#N/A,#N/A,FALSE,"Cent_Off Exp (12)";#N/A,#N/A,FALSE,"CCI HC (13)";#N/A,#N/A,FALSE,"Cent_Off HC (14)";#N/A,#N/A,FALSE,"BS (15)"}</definedName>
    <definedName name="wrn.FY2001._.FC._2">{#N/A,#N/A,FALSE,"SUMMARY (1)";#N/A,#N/A,FALSE,"Summary P&amp;L (2)";#N/A,#N/A,FALSE,"Earnings by sub (3)";#N/A,#N/A,FALSE,"Production Volume (4)";#N/A,#N/A,FALSE,"Prod Sector (5)";#N/A,#N/A,FALSE,"Rev by Prod (6)";#N/A,#N/A,FALSE,"Rev by Prod (detail) (7)";#N/A,#N/A,FALSE,"Prod Exp (8)";#N/A,#N/A,FALSE,"NEC (9)";#N/A,#N/A,FALSE,"Serv Sector (10)";#N/A,#N/A,FALSE,"CCI Exp (11)";#N/A,#N/A,FALSE,"Cent_Off Exp (12)";#N/A,#N/A,FALSE,"CCI HC (13)";#N/A,#N/A,FALSE,"Cent_Off HC (14)";#N/A,#N/A,FALSE,"BS (15)"}</definedName>
    <definedName name="wrn.FY99.">{#N/A,#N/A,FALSE,"TOTAL105";#N/A,#N/A,FALSE,"4206010";#N/A,#N/A,FALSE,"4206012";#N/A,#N/A,FALSE,"4206015";#N/A,#N/A,FALSE,"4206020";#N/A,#N/A,FALSE,"4206045";#N/A,#N/A,FALSE,"4206065";#N/A,#N/A,FALSE,"4206120";#N/A,#N/A,FALSE,"4355415";#N/A,#N/A,FALSE,"4355500";#N/A,#N/A,FALSE,"4355505";#N/A,#N/A,FALSE,"4355560";#N/A,#N/A,FALSE,"4355650";#N/A,#N/A,FALSE,"STRAT"}</definedName>
    <definedName name="wrn.GCIall.">{"gcicash",#N/A,FALSE,"GCIINC";"gciinc",#N/A,FALSE,"GCIINC";"gciexclusa",#N/A,FALSE,"GCIINC";"usatdy",#N/A,FALSE,"GCIINC"}</definedName>
    <definedName name="wrn.General._.OTC.">{#N/A,#N/A,FALSE,"Title Page (3)";#N/A,#N/A,FALSE,"YTD - OTC";#N/A,#N/A,FALSE,"MTH - OTC"}</definedName>
    <definedName name="wrn.General._.OTC._1">{#N/A,#N/A,FALSE,"Title Page (3)";#N/A,#N/A,FALSE,"YTD - OTC";#N/A,#N/A,FALSE,"MTH - OTC"}</definedName>
    <definedName name="wrn.General._.OTC._2">{#N/A,#N/A,FALSE,"Title Page (3)";#N/A,#N/A,FALSE,"YTD - OTC";#N/A,#N/A,FALSE,"MTH - OTC"}</definedName>
    <definedName name="wrn.General._.OTC._3">{#N/A,#N/A,FALSE,"Title Page (3)";#N/A,#N/A,FALSE,"YTD - OTC";#N/A,#N/A,FALSE,"MTH - OTC"}</definedName>
    <definedName name="wrn.General._.OTC._4">{#N/A,#N/A,FALSE,"Title Page (3)";#N/A,#N/A,FALSE,"YTD - OTC";#N/A,#N/A,FALSE,"MTH - OTC"}</definedName>
    <definedName name="wrn.General._.OTC._5">{#N/A,#N/A,FALSE,"Title Page (3)";#N/A,#N/A,FALSE,"YTD - OTC";#N/A,#N/A,FALSE,"MTH - OTC"}</definedName>
    <definedName name="wrn.General._.Pharm.">{#N/A,#N/A,FALSE,"Title Page (2)";#N/A,#N/A,FALSE,"YTD - Pharm";#N/A,#N/A,FALSE,"MTH - Pharm"}</definedName>
    <definedName name="wrn.General._.Pharm._1">{#N/A,#N/A,FALSE,"Title Page (2)";#N/A,#N/A,FALSE,"YTD - Pharm";#N/A,#N/A,FALSE,"MTH - Pharm"}</definedName>
    <definedName name="wrn.General._.Pharm._2">{#N/A,#N/A,FALSE,"Title Page (2)";#N/A,#N/A,FALSE,"YTD - Pharm";#N/A,#N/A,FALSE,"MTH - Pharm"}</definedName>
    <definedName name="wrn.General._.Pharm._3">{#N/A,#N/A,FALSE,"Title Page (2)";#N/A,#N/A,FALSE,"YTD - Pharm";#N/A,#N/A,FALSE,"MTH - Pharm"}</definedName>
    <definedName name="wrn.General._.Pharm._4">{#N/A,#N/A,FALSE,"Title Page (2)";#N/A,#N/A,FALSE,"YTD - Pharm";#N/A,#N/A,FALSE,"MTH - Pharm"}</definedName>
    <definedName name="wrn.General._.Pharm._5">{#N/A,#N/A,FALSE,"Title Page (2)";#N/A,#N/A,FALSE,"YTD - Pharm";#N/A,#N/A,FALSE,"MTH - Pharm"}</definedName>
    <definedName name="wrn.General._.Total.">{#N/A,#N/A,FALSE,"Title Page (4)";#N/A,#N/A,FALSE,"YTD - Total";#N/A,#N/A,FALSE,"MTH - Total"}</definedName>
    <definedName name="wrn.General._.Total._1">{#N/A,#N/A,FALSE,"Title Page (4)";#N/A,#N/A,FALSE,"YTD - Total";#N/A,#N/A,FALSE,"MTH - Total"}</definedName>
    <definedName name="wrn.General._.Total._2">{#N/A,#N/A,FALSE,"Title Page (4)";#N/A,#N/A,FALSE,"YTD - Total";#N/A,#N/A,FALSE,"MTH - Total"}</definedName>
    <definedName name="wrn.General._.Total._3">{#N/A,#N/A,FALSE,"Title Page (4)";#N/A,#N/A,FALSE,"YTD - Total";#N/A,#N/A,FALSE,"MTH - Total"}</definedName>
    <definedName name="wrn.General._.Total._4">{#N/A,#N/A,FALSE,"Title Page (4)";#N/A,#N/A,FALSE,"YTD - Total";#N/A,#N/A,FALSE,"MTH - Total"}</definedName>
    <definedName name="wrn.General._.Total._5">{#N/A,#N/A,FALSE,"Title Page (4)";#N/A,#N/A,FALSE,"YTD - Total";#N/A,#N/A,FALSE,"MTH - Total"}</definedName>
    <definedName name="wrn.Global._.CompCo.">{"Outputs",#N/A,TRUE,"North America";"Outputs",#N/A,TRUE,"Europe";"Outputs",#N/A,TRUE,"Asia Pacific";"Outputs",#N/A,TRUE,"Latin America";"Outputs",#N/A,TRUE,"Wireless"}</definedName>
    <definedName name="wrn.GPS._.Central.">{#N/A,#N/A,TRUE,"GPS Central"}</definedName>
    <definedName name="wrn.GPS._.Central._1">{#N/A,#N/A,TRUE,"GPS Central"}</definedName>
    <definedName name="wrn.GPS._.Central._1_1">{#N/A,#N/A,TRUE,"GPS Central"}</definedName>
    <definedName name="wrn.GPS._.Central._2">{#N/A,#N/A,TRUE,"GPS Central"}</definedName>
    <definedName name="wrn.GPS._.REPORT.">{#N/A,#N/A,TRUE,"Summary";#N/A,#N/A,TRUE,"Capital Projects";#N/A,#N/A,TRUE,"Facilities Mgt";#N/A,#N/A,TRUE,"Prop Services";#N/A,#N/A,TRUE,"Operations";#N/A,#N/A,TRUE,"Directors' Office";#N/A,#N/A,TRUE,"Prop Planning and Policy";#N/A,#N/A,TRUE,"International";#N/A,#N/A,TRUE,"Y2K Embedded Chip Project Mgt ";#N/A,#N/A,TRUE,"Y2K Compliance";#N/A,#N/A,TRUE,"GPS Central";#N/A,#N/A,TRUE,"Non Recharge Transition"}</definedName>
    <definedName name="wrn.GPS._.REPORT._1">{#N/A,#N/A,TRUE,"Summary";#N/A,#N/A,TRUE,"Capital Projects";#N/A,#N/A,TRUE,"Facilities Mgt";#N/A,#N/A,TRUE,"Prop Services";#N/A,#N/A,TRUE,"Operations";#N/A,#N/A,TRUE,"Directors' Office";#N/A,#N/A,TRUE,"Prop Planning and Policy";#N/A,#N/A,TRUE,"International";#N/A,#N/A,TRUE,"Y2K Embedded Chip Project Mgt ";#N/A,#N/A,TRUE,"Y2K Compliance";#N/A,#N/A,TRUE,"GPS Central";#N/A,#N/A,TRUE,"Non Recharge Transition"}</definedName>
    <definedName name="wrn.GPS._.REPORT._1_1">{#N/A,#N/A,TRUE,"Summary";#N/A,#N/A,TRUE,"Capital Projects";#N/A,#N/A,TRUE,"Facilities Mgt";#N/A,#N/A,TRUE,"Prop Services";#N/A,#N/A,TRUE,"Operations";#N/A,#N/A,TRUE,"Directors' Office";#N/A,#N/A,TRUE,"Prop Planning and Policy";#N/A,#N/A,TRUE,"International";#N/A,#N/A,TRUE,"Y2K Embedded Chip Project Mgt ";#N/A,#N/A,TRUE,"Y2K Compliance";#N/A,#N/A,TRUE,"GPS Central";#N/A,#N/A,TRUE,"Non Recharge Transition"}</definedName>
    <definedName name="wrn.GPS._.REPORT._2">{#N/A,#N/A,TRUE,"Summary";#N/A,#N/A,TRUE,"Capital Projects";#N/A,#N/A,TRUE,"Facilities Mgt";#N/A,#N/A,TRUE,"Prop Services";#N/A,#N/A,TRUE,"Operations";#N/A,#N/A,TRUE,"Directors' Office";#N/A,#N/A,TRUE,"Prop Planning and Policy";#N/A,#N/A,TRUE,"International";#N/A,#N/A,TRUE,"Y2K Embedded Chip Project Mgt ";#N/A,#N/A,TRUE,"Y2K Compliance";#N/A,#N/A,TRUE,"GPS Central";#N/A,#N/A,TRUE,"Non Recharge Transition"}</definedName>
    <definedName name="wrn.GRAPHS.">{#N/A,#N/A,FALSE,"ACQ_GRAPHS";#N/A,#N/A,FALSE,"T_1 GRAPHS";#N/A,#N/A,FALSE,"T_2 GRAPHS";#N/A,#N/A,FALSE,"COMB_GRAPHS"}</definedName>
    <definedName name="wrn.Group._.Property._.Costs.">{#N/A,#N/A,TRUE,"Group Property Costs"}</definedName>
    <definedName name="wrn.Group._.Property._.Costs._1">{#N/A,#N/A,TRUE,"Group Property Costs"}</definedName>
    <definedName name="wrn.Group._.Property._.Costs._1_1">{#N/A,#N/A,TRUE,"Group Property Costs"}</definedName>
    <definedName name="wrn.Group._.Property._.Costs._2">{#N/A,#N/A,TRUE,"Group Property Costs"}</definedName>
    <definedName name="wrn.Groupings.">{"Groupings",#N/A,TRUE,"GROUP_99 ";"Groupings-Comparitive",#N/A,TRUE,"GROUP_99 "}</definedName>
    <definedName name="wrn.GTC._.Exec.">{"GTC Cover",#N/A,TRUE,"Cover";"blank page with nos",#N/A,TRUE,"Blank (pg number)";"Summary",#N/A,TRUE,"Summary";"Tenants fittings commentary",#N/A,TRUE,"Tenants Fittings";"Tenants Fittings p&amp;l",#N/A,TRUE,"Tenants Fittings";"Group Property costs commentary",#N/A,TRUE,"Group Property Costs";"Group Property Costs p&amp;l",#N/A,TRUE,"Group Property Costs";"Third party commentary",#N/A,TRUE,"Third party";"Third Party p&amp;l",#N/A,TRUE,"Third party";"FM Buildings commentary",#N/A,TRUE,"Facilities Managed Buildings";"FM Buildings p&amp;l",#N/A,TRUE,"Facilities Managed Buildings";"Non SAP Units commentary",#N/A,TRUE,"Non SAP Units";"Non SAP units p&amp;l",#N/A,TRUE,"Non SAP Units";"Centrally Managed Allo costs commentary",#N/A,TRUE,"Centrally Managed Alloc Costs";"Centrally Managed  allo costs p&amp;l",#N/A,TRUE,"Centrally Managed Alloc Costs";"blank page with nos",#N/A,TRUE,"Blank (pg number)";"Glossary2",#N/A,TRUE,"Glossary"}</definedName>
    <definedName name="wrn.GTC._.Exec._1">{"GTC Cover",#N/A,TRUE,"Cover";"blank page with nos",#N/A,TRUE,"Blank (pg number)";"Summary",#N/A,TRUE,"Summary";"Tenants fittings commentary",#N/A,TRUE,"Tenants Fittings";"Tenants Fittings p&amp;l",#N/A,TRUE,"Tenants Fittings";"Group Property costs commentary",#N/A,TRUE,"Group Property Costs";"Group Property Costs p&amp;l",#N/A,TRUE,"Group Property Costs";"Third party commentary",#N/A,TRUE,"Third party";"Third Party p&amp;l",#N/A,TRUE,"Third party";"FM Buildings commentary",#N/A,TRUE,"Facilities Managed Buildings";"FM Buildings p&amp;l",#N/A,TRUE,"Facilities Managed Buildings";"Non SAP Units commentary",#N/A,TRUE,"Non SAP Units";"Non SAP units p&amp;l",#N/A,TRUE,"Non SAP Units";"Centrally Managed Allo costs commentary",#N/A,TRUE,"Centrally Managed Alloc Costs";"Centrally Managed  allo costs p&amp;l",#N/A,TRUE,"Centrally Managed Alloc Costs";"blank page with nos",#N/A,TRUE,"Blank (pg number)";"Glossary2",#N/A,TRUE,"Glossary"}</definedName>
    <definedName name="wrn.GTC._.Exec._1_1">{"GTC Cover",#N/A,TRUE,"Cover";"blank page with nos",#N/A,TRUE,"Blank (pg number)";"Summary",#N/A,TRUE,"Summary";"Tenants fittings commentary",#N/A,TRUE,"Tenants Fittings";"Tenants Fittings p&amp;l",#N/A,TRUE,"Tenants Fittings";"Group Property costs commentary",#N/A,TRUE,"Group Property Costs";"Group Property Costs p&amp;l",#N/A,TRUE,"Group Property Costs";"Third party commentary",#N/A,TRUE,"Third party";"Third Party p&amp;l",#N/A,TRUE,"Third party";"FM Buildings commentary",#N/A,TRUE,"Facilities Managed Buildings";"FM Buildings p&amp;l",#N/A,TRUE,"Facilities Managed Buildings";"Non SAP Units commentary",#N/A,TRUE,"Non SAP Units";"Non SAP units p&amp;l",#N/A,TRUE,"Non SAP Units";"Centrally Managed Allo costs commentary",#N/A,TRUE,"Centrally Managed Alloc Costs";"Centrally Managed  allo costs p&amp;l",#N/A,TRUE,"Centrally Managed Alloc Costs";"blank page with nos",#N/A,TRUE,"Blank (pg number)";"Glossary2",#N/A,TRUE,"Glossary"}</definedName>
    <definedName name="wrn.GTC._.Exec._2">{"GTC Cover",#N/A,TRUE,"Cover";"blank page with nos",#N/A,TRUE,"Blank (pg number)";"Summary",#N/A,TRUE,"Summary";"Tenants fittings commentary",#N/A,TRUE,"Tenants Fittings";"Tenants Fittings p&amp;l",#N/A,TRUE,"Tenants Fittings";"Group Property costs commentary",#N/A,TRUE,"Group Property Costs";"Group Property Costs p&amp;l",#N/A,TRUE,"Group Property Costs";"Third party commentary",#N/A,TRUE,"Third party";"Third Party p&amp;l",#N/A,TRUE,"Third party";"FM Buildings commentary",#N/A,TRUE,"Facilities Managed Buildings";"FM Buildings p&amp;l",#N/A,TRUE,"Facilities Managed Buildings";"Non SAP Units commentary",#N/A,TRUE,"Non SAP Units";"Non SAP units p&amp;l",#N/A,TRUE,"Non SAP Units";"Centrally Managed Allo costs commentary",#N/A,TRUE,"Centrally Managed Alloc Costs";"Centrally Managed  allo costs p&amp;l",#N/A,TRUE,"Centrally Managed Alloc Costs";"blank page with nos",#N/A,TRUE,"Blank (pg number)";"Glossary2",#N/A,TRUE,"Glossary"}</definedName>
    <definedName name="wrn.GTC._.Report.">{#N/A,#N/A,FALSE,"RAF";#N/A,#N/A,FALSE,"Summary";#N/A,#N/A,FALSE,"Tenants Fittings";#N/A,#N/A,FALSE,"Group Property Costs";#N/A,#N/A,FALSE,"Third party";#N/A,#N/A,FALSE,"Facilities Managed Buildings";#N/A,#N/A,FALSE,"Non SAP Units";#N/A,#N/A,FALSE,"Centrally Managed Alloc Costs"}</definedName>
    <definedName name="wrn.GTC._.Report._1">{#N/A,#N/A,FALSE,"RAF";#N/A,#N/A,FALSE,"Summary";#N/A,#N/A,FALSE,"Tenants Fittings";#N/A,#N/A,FALSE,"Group Property Costs";#N/A,#N/A,FALSE,"Third party";#N/A,#N/A,FALSE,"Facilities Managed Buildings";#N/A,#N/A,FALSE,"Non SAP Units";#N/A,#N/A,FALSE,"Centrally Managed Alloc Costs"}</definedName>
    <definedName name="wrn.GTC._.Report._1_1">{#N/A,#N/A,FALSE,"RAF";#N/A,#N/A,FALSE,"Summary";#N/A,#N/A,FALSE,"Tenants Fittings";#N/A,#N/A,FALSE,"Group Property Costs";#N/A,#N/A,FALSE,"Third party";#N/A,#N/A,FALSE,"Facilities Managed Buildings";#N/A,#N/A,FALSE,"Non SAP Units";#N/A,#N/A,FALSE,"Centrally Managed Alloc Costs"}</definedName>
    <definedName name="wrn.GTC._.Report._2">{#N/A,#N/A,FALSE,"RAF";#N/A,#N/A,FALSE,"Summary";#N/A,#N/A,FALSE,"Tenants Fittings";#N/A,#N/A,FALSE,"Group Property Costs";#N/A,#N/A,FALSE,"Third party";#N/A,#N/A,FALSE,"Facilities Managed Buildings";#N/A,#N/A,FALSE,"Non SAP Units";#N/A,#N/A,FALSE,"Centrally Managed Alloc Costs"}</definedName>
    <definedName name="wrn.h.">{#N/A,#N/A,FALSE,"Assets"}</definedName>
    <definedName name="wrn.Hele.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wrn.Human._.Resources.">{"HR Commentary",#N/A,FALSE,"Human Res";"HR P&amp;L",#N/A,FALSE,"Human Res";"HR Staff list",#N/A,FALSE,"Human Res";"HR - Staff Cost",#N/A,FALSE,"Human Res";"HR - Consultancy",#N/A,FALSE,"Human Res"}</definedName>
    <definedName name="wrn.Human._.Resources._1">{"HR Commentary",#N/A,FALSE,"Human Res";"HR P&amp;L",#N/A,FALSE,"Human Res";"HR Staff list",#N/A,FALSE,"Human Res";"HR - Staff Cost",#N/A,FALSE,"Human Res";"HR - Consultancy",#N/A,FALSE,"Human Res"}</definedName>
    <definedName name="wrn.Human._.Resources._1_1">{"HR Commentary",#N/A,FALSE,"Human Res";"HR P&amp;L",#N/A,FALSE,"Human Res";"HR Staff list",#N/A,FALSE,"Human Res";"HR - Staff Cost",#N/A,FALSE,"Human Res";"HR - Consultancy",#N/A,FALSE,"Human Res"}</definedName>
    <definedName name="wrn.Human._.Resources._2">{"HR Commentary",#N/A,FALSE,"Human Res";"HR P&amp;L",#N/A,FALSE,"Human Res";"HR Staff list",#N/A,FALSE,"Human Res";"HR - Staff Cost",#N/A,FALSE,"Human Res";"HR - Consultancy",#N/A,FALSE,"Human Res"}</definedName>
    <definedName name="wrn.imprim.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fectious._.Diseases.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5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_.systems.">{"is commentary",#N/A,FALSE,"Information Syst";"is p&amp;l",#N/A,FALSE,"Information Syst";"IS Staff list",#N/A,FALSE,"Information Syst";"IS - Staff Cost",#N/A,FALSE,"Information Syst";"IS - Equipment",#N/A,FALSE,"Information Syst";"IS - Consultancy",#N/A,FALSE,"Information Syst";"IS - Travel etc",#N/A,FALSE,"Information Syst";"IS - Other",#N/A,FALSE,"Information Syst"}</definedName>
    <definedName name="wrn.Info._.systems._1">{"is commentary",#N/A,FALSE,"Information Syst";"is p&amp;l",#N/A,FALSE,"Information Syst";"IS Staff list",#N/A,FALSE,"Information Syst";"IS - Staff Cost",#N/A,FALSE,"Information Syst";"IS - Equipment",#N/A,FALSE,"Information Syst";"IS - Consultancy",#N/A,FALSE,"Information Syst";"IS - Travel etc",#N/A,FALSE,"Information Syst";"IS - Other",#N/A,FALSE,"Information Syst"}</definedName>
    <definedName name="wrn.Info._.systems._1_1">{"is commentary",#N/A,FALSE,"Information Syst";"is p&amp;l",#N/A,FALSE,"Information Syst";"IS Staff list",#N/A,FALSE,"Information Syst";"IS - Staff Cost",#N/A,FALSE,"Information Syst";"IS - Equipment",#N/A,FALSE,"Information Syst";"IS - Consultancy",#N/A,FALSE,"Information Syst";"IS - Travel etc",#N/A,FALSE,"Information Syst";"IS - Other",#N/A,FALSE,"Information Syst"}</definedName>
    <definedName name="wrn.Info._.systems._2">{"is commentary",#N/A,FALSE,"Information Syst";"is p&amp;l",#N/A,FALSE,"Information Syst";"IS Staff list",#N/A,FALSE,"Information Syst";"IS - Staff Cost",#N/A,FALSE,"Information Syst";"IS - Equipment",#N/A,FALSE,"Information Syst";"IS - Consultancy",#N/A,FALSE,"Information Syst";"IS - Travel etc",#N/A,FALSE,"Information Syst";"IS - Other",#N/A,FALSE,"Information Syst"}</definedName>
    <definedName name="wrn.Inputs.">{"Inputs",#N/A,TRUE,"North America";"Inputs",#N/A,TRUE,"Europe";"Inputs",#N/A,TRUE,"Asia Pacific";"Inputs",#N/A,TRUE,"Latin America";"Inputs",#N/A,TRUE,"Wireless"}</definedName>
    <definedName name="wrn.Instructor._.Tips.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national.">{#N/A,#N/A,TRUE,"International"}</definedName>
    <definedName name="wrn.International._1">{#N/A,#N/A,TRUE,"International"}</definedName>
    <definedName name="wrn.International._1_1">{#N/A,#N/A,TRUE,"International"}</definedName>
    <definedName name="wrn.International._2">{#N/A,#N/A,TRUE,"International"}</definedName>
    <definedName name="wrn.INVOICES.">{#N/A,#N/A,FALSE,"INVOICE";#N/A,#N/A,FALSE,"COC COPY";#N/A,#N/A,FALSE,"FILE COPY"}</definedName>
    <definedName name="wrn.InWear_Hele.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S._.BS.">{#N/A,#N/A,FALSE,"Income State.";#N/A,#N/A,FALSE,"B-S"}</definedName>
    <definedName name="wrn.ISBL.">{#N/A,#N/A,FALSE,"ISBL"}</definedName>
    <definedName name="wrn.ISBL._1">{#N/A,#N/A,FALSE,"ISBL"}</definedName>
    <definedName name="wrn.ISBL._1_1">{#N/A,#N/A,FALSE,"ISBL"}</definedName>
    <definedName name="wrn.ISBL._1_2">{#N/A,#N/A,FALSE,"ISBL"}</definedName>
    <definedName name="wrn.ISBL._1_3">{#N/A,#N/A,FALSE,"ISBL"}</definedName>
    <definedName name="wrn.ISBL._1_4">{#N/A,#N/A,FALSE,"ISBL"}</definedName>
    <definedName name="wrn.ISBL._2">{#N/A,#N/A,FALSE,"ISBL"}</definedName>
    <definedName name="wrn.ISBL._2_1">{#N/A,#N/A,FALSE,"ISBL"}</definedName>
    <definedName name="wrn.ISBL._2_2">{#N/A,#N/A,FALSE,"ISBL"}</definedName>
    <definedName name="wrn.ISBL._2_3">{#N/A,#N/A,FALSE,"ISBL"}</definedName>
    <definedName name="wrn.ISBL._2_4">{#N/A,#N/A,FALSE,"ISBL"}</definedName>
    <definedName name="wrn.ISBL._3">{#N/A,#N/A,FALSE,"ISBL"}</definedName>
    <definedName name="wrn.ISBL._3_1">{#N/A,#N/A,FALSE,"ISBL"}</definedName>
    <definedName name="wrn.ISBL._3_2">{#N/A,#N/A,FALSE,"ISBL"}</definedName>
    <definedName name="wrn.ISBL._3_3">{#N/A,#N/A,FALSE,"ISBL"}</definedName>
    <definedName name="wrn.ISBL._3_4">{#N/A,#N/A,FALSE,"ISBL"}</definedName>
    <definedName name="wrn.ISBL._4">{#N/A,#N/A,FALSE,"ISBL"}</definedName>
    <definedName name="wrn.ISBL._4_1">{#N/A,#N/A,FALSE,"ISBL"}</definedName>
    <definedName name="wrn.ISBL._4_2">{#N/A,#N/A,FALSE,"ISBL"}</definedName>
    <definedName name="wrn.ISBL._4_3">{#N/A,#N/A,FALSE,"ISBL"}</definedName>
    <definedName name="wrn.ISBL._4_4">{#N/A,#N/A,FALSE,"ISBL"}</definedName>
    <definedName name="wrn.ISBL._5">{#N/A,#N/A,FALSE,"ISBL"}</definedName>
    <definedName name="wrn.Jamo_Hele.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ck94TAXRETURN.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3._.Annual.">{"K3Cash",#N/A,FALSE,"Ann";"K3Income",#N/A,FALSE,"Ann";"K3Educ",#N/A,FALSE,"Ann";"K3media",#N/A,FALSE,"Ann";"K3Info",#N/A,FALSE,"Ann";"K3Valuation",#N/A,FALSE,"Ann"}</definedName>
    <definedName name="wrn.K3._.Quarterly.">{"K3 first",#N/A,FALSE,"Qtr.";"K3 second",#N/A,FALSE,"Qtr.";"K3 Third",#N/A,FALSE,"Qtr.";"K3 Fourth",#N/A,FALSE,"Qtr.";"K3 Full",#N/A,FALSE,"Qtr."}</definedName>
    <definedName name="wrn.kriall.">{"kricash",#N/A,FALSE,"INC";"kriinc",#N/A,FALSE,"INC";"krimiami",#N/A,FALSE,"INC";"kriother",#N/A,FALSE,"INC";"kripapers",#N/A,FALSE,"INC"}</definedName>
    <definedName name="wrn.ks">{#N/A,#N/A,FALSE,"431"}</definedName>
    <definedName name="wrn.Last._.Page.">{"Last Page",#N/A,FALSE,"A"}</definedName>
    <definedName name="wrn.Lead._.Schedule.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manager.">{#N/A,#N/A,FALSE,"PART-1234-8-12-9(41)";#N/A,#N/A,FALSE,"PARTS-2(3)";#N/A,#N/A,FALSE,"VAN SYSTEM";#N/A,#N/A,FALSE,"PARTS-10(26)";#N/A,#N/A,FALSE,"PART-5-6-7-11(14)";#N/A,#N/A,FALSE,"PARTS-4(3)";#N/A,#N/A,FALSE,"PCLASS"}</definedName>
    <definedName name="wrn.MARKF98FULL.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DS1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3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mo.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wrn.Memo.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wrn.Memo._1_1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wrn.Memo._2">{#N/A,#N/A,FALSE,"Pre-tax earnings";#N/A,#N/A,FALSE,"Pre-tax earnings (Qtr)";#N/A,#N/A,FALSE,"Rev";#N/A,#N/A,FALSE,"$ Prod";#N/A,#N/A,FALSE,"$ Prod by qr";#N/A,#N/A,FALSE,"CCI Exp";#N/A,#N/A,FALSE,"Cent_Off Exp";#N/A,#N/A,FALSE,"CCI HC";#N/A,#N/A,FALSE,"Cent_Off HC";#N/A,#N/A,FALSE,"marketing"}</definedName>
    <definedName name="wrn.MEPACKAGE.">{"FLASH FOR",#N/A,FALSE,"FLASH FOR";"CONTENTS",#N/A,FALSE,"CONTENTS PAGE";"HEADCOUNT",#N/A,FALSE,"HEAD COUNT SUM";"CAPITAL",#N/A,FALSE,"CAPITAL";"PROD STATS",#N/A,FALSE,"PROD STATS";"FC ADJ",#N/A,FALSE,"FC ADJ";"FLASH BUD",#N/A,FALSE,"FLASH BUD";"DISTIBUTION",#N/A,FALSE,"DISTRIBUTION"}</definedName>
    <definedName name="wrn.Mgt.">{"Mgt",#N/A,FALSE,"Summary"}</definedName>
    <definedName name="wrn.mhpall.">{"mhpcash",#N/A,FALSE,"MHPNEWX";"mhpinc",#N/A,FALSE,"MHPNEWX";"mhptax",#N/A,FALSE,"MHPNEWX";"mhpbroad",#N/A,FALSE,"MHPNEWX";"mhpeduc",#N/A,FALSE,"MHPNEWX";"mhpfin",#N/A,FALSE,"MHPNEWX";"mhpinfo",#N/A,FALSE,"MHPNEWX"}</definedName>
    <definedName name="wrn.Models.">{"cable_one",#N/A,FALSE,"cable 96-02";"cable_two",#N/A,FALSE,"cable 96-02";"Newrev_one",#N/A,FALSE,"New rev 97 - 02";"Newrev_two",#N/A,FALSE,"New rev 97 - 02"}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ly._.Financials.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2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3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Non._.Recharge._.Transaction.">{#N/A,#N/A,TRUE,"Non Recharge Transition"}</definedName>
    <definedName name="wrn.Non._.Recharge._.Transaction._1">{#N/A,#N/A,TRUE,"Non Recharge Transition"}</definedName>
    <definedName name="wrn.Non._.Recharge._.Transaction._1_1">{#N/A,#N/A,TRUE,"Non Recharge Transition"}</definedName>
    <definedName name="wrn.Non._.Recharge._.Transaction._2">{#N/A,#N/A,TRUE,"Non Recharge Transition"}</definedName>
    <definedName name="wrn.Non._.SAP._.Units.">{#N/A,#N/A,TRUE,"Non SAP Units"}</definedName>
    <definedName name="wrn.Non._.SAP._.Units._1">{#N/A,#N/A,TRUE,"Non SAP Units"}</definedName>
    <definedName name="wrn.Non._.SAP._.Units._1_1">{#N/A,#N/A,TRUE,"Non SAP Units"}</definedName>
    <definedName name="wrn.Non._.SAP._.Units._2">{#N/A,#N/A,TRUE,"Non SAP Units"}</definedName>
    <definedName name="wrn.note._.on._.cif.">{#N/A,#N/A,FALSE,"CIF APR'03-SEP'03 (2)"}</definedName>
    <definedName name="wrn.nytaann.">{"nytacash",#N/A,FALSE,"GLOBEINC";"nytainc",#N/A,FALSE,"GLOBEINC";"nytanyt",#N/A,FALSE,"GLOBEINC";"nytareg",#N/A,FALSE,"GLOBEINC";"nytaglobe",#N/A,FALSE,"GLOBEINC";"nytapprttl",#N/A,FALSE,"GLOBEINC"}</definedName>
    <definedName name="wrn.oct">{"AcctsSept",#N/A,FALSE,"September";"CommSept",#N/A,FALSE,"September"}</definedName>
    <definedName name="wrn.Oncology.">{#N/A,#N/A,FALSE,"Onco";#N/A,#N/A,FALSE,"Taxol";#N/A,#N/A,FALSE,"UFT";#N/A,#N/A,FALSE,"Carb"}</definedName>
    <definedName name="wrn.Oncology._1">{#N/A,#N/A,FALSE,"Onco";#N/A,#N/A,FALSE,"Taxol";#N/A,#N/A,FALSE,"UFT";#N/A,#N/A,FALSE,"Carb"}</definedName>
    <definedName name="wrn.Oncology._2">{#N/A,#N/A,FALSE,"Onco";#N/A,#N/A,FALSE,"Taxol";#N/A,#N/A,FALSE,"UFT";#N/A,#N/A,FALSE,"Carb"}</definedName>
    <definedName name="wrn.Oncology._3">{#N/A,#N/A,FALSE,"Onco";#N/A,#N/A,FALSE,"Taxol";#N/A,#N/A,FALSE,"UFT";#N/A,#N/A,FALSE,"Carb"}</definedName>
    <definedName name="wrn.Oncology._4">{#N/A,#N/A,FALSE,"Onco";#N/A,#N/A,FALSE,"Taxol";#N/A,#N/A,FALSE,"UFT";#N/A,#N/A,FALSE,"Carb"}</definedName>
    <definedName name="wrn.Oncology._5">{#N/A,#N/A,FALSE,"Onco";#N/A,#N/A,FALSE,"Taxol";#N/A,#N/A,FALSE,"UFT";#N/A,#N/A,FALSE,"Carb"}</definedName>
    <definedName name="wrn.One._.Pager._.plus._.Technicals.">{#N/A,#N/A,FALSE,"One Pager";#N/A,#N/A,FALSE,"Technical"}</definedName>
    <definedName name="wrn.Operations.">{#N/A,#N/A,TRUE,"Operations"}</definedName>
    <definedName name="wrn.Operations._1">{#N/A,#N/A,TRUE,"Operations"}</definedName>
    <definedName name="wrn.Operations._1_1">{#N/A,#N/A,TRUE,"Operations"}</definedName>
    <definedName name="wrn.Operations._2">{#N/A,#N/A,TRUE,"Operations"}</definedName>
    <definedName name="wrn.Operations_Equipment.">{"IS - Equipment",#N/A,FALSE,"Information Syst"}</definedName>
    <definedName name="wrn.Operations_Equipment._1">{"IS - Equipment",#N/A,FALSE,"Information Syst"}</definedName>
    <definedName name="wrn.Operations_Equipment._1_1">{"IS - Equipment",#N/A,FALSE,"Information Syst"}</definedName>
    <definedName name="wrn.Operations_Equipment._2">{"IS - Equipment",#N/A,FALSE,"Information Syst"}</definedName>
    <definedName name="wrn.Operations_Other.">{"Fin - Other",#N/A,FALSE,"Financial Mgt";"IS - Other",#N/A,FALSE,"Information Syst";"Accomm - Other",#N/A,FALSE,"Accomm &amp; Admin"}</definedName>
    <definedName name="wrn.Operations_Other._1">{"Fin - Other",#N/A,FALSE,"Financial Mgt";"IS - Other",#N/A,FALSE,"Information Syst";"Accomm - Other",#N/A,FALSE,"Accomm &amp; Admin"}</definedName>
    <definedName name="wrn.Operations_Other._1_1">{"Fin - Other",#N/A,FALSE,"Financial Mgt";"IS - Other",#N/A,FALSE,"Information Syst";"Accomm - Other",#N/A,FALSE,"Accomm &amp; Admin"}</definedName>
    <definedName name="wrn.Operations_Other._2">{"Fin - Other",#N/A,FALSE,"Financial Mgt";"IS - Other",#N/A,FALSE,"Information Syst";"Accomm - Other",#N/A,FALSE,"Accomm &amp; Admin"}</definedName>
    <definedName name="wrn.Operations_Premises.">{"Accomm - Premises",#N/A,FALSE,"Accomm &amp; Admin"}</definedName>
    <definedName name="wrn.Operations_Premises._1">{"Accomm - Premises",#N/A,FALSE,"Accomm &amp; Admin"}</definedName>
    <definedName name="wrn.Operations_Premises._1_1">{"Accomm - Premises",#N/A,FALSE,"Accomm &amp; Admin"}</definedName>
    <definedName name="wrn.Operations_Premises._2">{"Accomm - Premises",#N/A,FALSE,"Accomm &amp; Admin"}</definedName>
    <definedName name="wrn.Operations_Staff._.Cost.">{"Fin - Staff Cost",#N/A,FALSE,"Financial Mgt";"IS - Staff Cost",#N/A,FALSE,"Information Syst";"HR - Staff Cost",#N/A,FALSE,"Human Res";"Accomm - Staff Cost",#N/A,FALSE,"Accomm &amp; Admin"}</definedName>
    <definedName name="wrn.Operations_Staff._.Cost._1">{"Fin - Staff Cost",#N/A,FALSE,"Financial Mgt";"IS - Staff Cost",#N/A,FALSE,"Information Syst";"HR - Staff Cost",#N/A,FALSE,"Human Res";"Accomm - Staff Cost",#N/A,FALSE,"Accomm &amp; Admin"}</definedName>
    <definedName name="wrn.Operations_Staff._.Cost._1_1">{"Fin - Staff Cost",#N/A,FALSE,"Financial Mgt";"IS - Staff Cost",#N/A,FALSE,"Information Syst";"HR - Staff Cost",#N/A,FALSE,"Human Res";"Accomm - Staff Cost",#N/A,FALSE,"Accomm &amp; Admin"}</definedName>
    <definedName name="wrn.Operations_Staff._.Cost._2">{"Fin - Staff Cost",#N/A,FALSE,"Financial Mgt";"IS - Staff Cost",#N/A,FALSE,"Information Syst";"HR - Staff Cost",#N/A,FALSE,"Human Res";"Accomm - Staff Cost",#N/A,FALSE,"Accomm &amp; Admin"}</definedName>
    <definedName name="wrn.Operations_Staff._.List.">{"Fin Mgt Staff",#N/A,FALSE,"Financial Mgt";"IS Staff list",#N/A,FALSE,"Information Syst";"HR Staff list",#N/A,FALSE,"Human Res";"Admin Staff list",#N/A,FALSE,"Accomm &amp; Admin";"Ops Trans Staff list",#N/A,FALSE,"Operations Transition"}</definedName>
    <definedName name="wrn.Operations_Staff._.List._1">{"Fin Mgt Staff",#N/A,FALSE,"Financial Mgt";"IS Staff list",#N/A,FALSE,"Information Syst";"HR Staff list",#N/A,FALSE,"Human Res";"Admin Staff list",#N/A,FALSE,"Accomm &amp; Admin";"Ops Trans Staff list",#N/A,FALSE,"Operations Transition"}</definedName>
    <definedName name="wrn.Operations_Staff._.List._1_1">{"Fin Mgt Staff",#N/A,FALSE,"Financial Mgt";"IS Staff list",#N/A,FALSE,"Information Syst";"HR Staff list",#N/A,FALSE,"Human Res";"Admin Staff list",#N/A,FALSE,"Accomm &amp; Admin";"Ops Trans Staff list",#N/A,FALSE,"Operations Transition"}</definedName>
    <definedName name="wrn.Operations_Staff._.List._2">{"Fin Mgt Staff",#N/A,FALSE,"Financial Mgt";"IS Staff list",#N/A,FALSE,"Information Syst";"HR Staff list",#N/A,FALSE,"Human Res";"Admin Staff list",#N/A,FALSE,"Accomm &amp; Admin";"Ops Trans Staff list",#N/A,FALSE,"Operations Transition"}</definedName>
    <definedName name="wrn.Operations_Travel._.etc.">{"Fin - Travel etc",#N/A,FALSE,"Financial Mgt";"IS - Travel etc",#N/A,FALSE,"Information Syst"}</definedName>
    <definedName name="wrn.Operations_Travel._.etc._1">{"Fin - Travel etc",#N/A,FALSE,"Financial Mgt";"IS - Travel etc",#N/A,FALSE,"Information Syst"}</definedName>
    <definedName name="wrn.Operations_Travel._.etc._1_1">{"Fin - Travel etc",#N/A,FALSE,"Financial Mgt";"IS - Travel etc",#N/A,FALSE,"Information Syst"}</definedName>
    <definedName name="wrn.Operations_Travel._.etc._2">{"Fin - Travel etc",#N/A,FALSE,"Financial Mgt";"IS - Travel etc",#N/A,FALSE,"Information Syst"}</definedName>
    <definedName name="wrn.OSBL.">{#N/A,#N/A,FALSE,"OSBL"}</definedName>
    <definedName name="wrn.OSBL._1">{#N/A,#N/A,FALSE,"OSBL"}</definedName>
    <definedName name="wrn.OSBL._1_1">{#N/A,#N/A,FALSE,"OSBL"}</definedName>
    <definedName name="wrn.OSBL._1_2">{#N/A,#N/A,FALSE,"OSBL"}</definedName>
    <definedName name="wrn.OSBL._1_3">{#N/A,#N/A,FALSE,"OSBL"}</definedName>
    <definedName name="wrn.OSBL._1_4">{#N/A,#N/A,FALSE,"OSBL"}</definedName>
    <definedName name="wrn.OSBL._2">{#N/A,#N/A,FALSE,"OSBL"}</definedName>
    <definedName name="wrn.OSBL._2_1">{#N/A,#N/A,FALSE,"OSBL"}</definedName>
    <definedName name="wrn.OSBL._2_2">{#N/A,#N/A,FALSE,"OSBL"}</definedName>
    <definedName name="wrn.OSBL._2_3">{#N/A,#N/A,FALSE,"OSBL"}</definedName>
    <definedName name="wrn.OSBL._2_4">{#N/A,#N/A,FALSE,"OSBL"}</definedName>
    <definedName name="wrn.OSBL._3">{#N/A,#N/A,FALSE,"OSBL"}</definedName>
    <definedName name="wrn.OSBL._3_1">{#N/A,#N/A,FALSE,"OSBL"}</definedName>
    <definedName name="wrn.OSBL._3_2">{#N/A,#N/A,FALSE,"OSBL"}</definedName>
    <definedName name="wrn.OSBL._3_3">{#N/A,#N/A,FALSE,"OSBL"}</definedName>
    <definedName name="wrn.OSBL._3_4">{#N/A,#N/A,FALSE,"OSBL"}</definedName>
    <definedName name="wrn.OSBL._4">{#N/A,#N/A,FALSE,"OSBL"}</definedName>
    <definedName name="wrn.OSBL._4_1">{#N/A,#N/A,FALSE,"OSBL"}</definedName>
    <definedName name="wrn.OSBL._4_2">{#N/A,#N/A,FALSE,"OSBL"}</definedName>
    <definedName name="wrn.OSBL._4_3">{#N/A,#N/A,FALSE,"OSBL"}</definedName>
    <definedName name="wrn.OSBL._4_4">{#N/A,#N/A,FALSE,"OSBL"}</definedName>
    <definedName name="wrn.OSBL._5">{#N/A,#N/A,FALSE,"OSBL"}</definedName>
    <definedName name="wrn.OTC._.Market._.Report.">{#N/A,#N/A,FALSE,"Sales Graph";#N/A,#N/A,FALSE,"BUC Graph";#N/A,#N/A,FALSE,"P&amp;L - YTD"}</definedName>
    <definedName name="wrn.OTC._.Market._.Report._1">{#N/A,#N/A,FALSE,"Sales Graph";#N/A,#N/A,FALSE,"BUC Graph";#N/A,#N/A,FALSE,"P&amp;L - YTD"}</definedName>
    <definedName name="wrn.OTC._.Market._.Report._2">{#N/A,#N/A,FALSE,"Sales Graph";#N/A,#N/A,FALSE,"BUC Graph";#N/A,#N/A,FALSE,"P&amp;L - YTD"}</definedName>
    <definedName name="wrn.OTC._.Market._.Report._3">{#N/A,#N/A,FALSE,"Sales Graph";#N/A,#N/A,FALSE,"BUC Graph";#N/A,#N/A,FALSE,"P&amp;L - YTD"}</definedName>
    <definedName name="wrn.OTC._.Market._.Report._4">{#N/A,#N/A,FALSE,"Sales Graph";#N/A,#N/A,FALSE,"BUC Graph";#N/A,#N/A,FALSE,"P&amp;L - YTD"}</definedName>
    <definedName name="wrn.OTC._.Market._.Report._5">{#N/A,#N/A,FALSE,"Sales Graph";#N/A,#N/A,FALSE,"BUC Graph";#N/A,#N/A,FALSE,"P&amp;L - YTD"}</definedName>
    <definedName name="wrn.Other._.Pharm.">{#N/A,#N/A,FALSE,"Other";#N/A,#N/A,FALSE,"Ace";#N/A,#N/A,FALSE,"Derm"}</definedName>
    <definedName name="wrn.Other._.Pharm._1">{#N/A,#N/A,FALSE,"Other";#N/A,#N/A,FALSE,"Ace";#N/A,#N/A,FALSE,"Derm"}</definedName>
    <definedName name="wrn.Other._.Pharm._2">{#N/A,#N/A,FALSE,"Other";#N/A,#N/A,FALSE,"Ace";#N/A,#N/A,FALSE,"Derm"}</definedName>
    <definedName name="wrn.Other._.Pharm._3">{#N/A,#N/A,FALSE,"Other";#N/A,#N/A,FALSE,"Ace";#N/A,#N/A,FALSE,"Derm"}</definedName>
    <definedName name="wrn.Other._.Pharm._4">{#N/A,#N/A,FALSE,"Other";#N/A,#N/A,FALSE,"Ace";#N/A,#N/A,FALSE,"Derm"}</definedName>
    <definedName name="wrn.Other._.Pharm._5">{#N/A,#N/A,FALSE,"Other";#N/A,#N/A,FALSE,"Ace";#N/A,#N/A,FALSE,"Derm"}</definedName>
    <definedName name="wrn.OUTPUT.">{"DCF","UPSIDE CASE",FALSE,"Sheet1";"DCF","BASE CASE",FALSE,"Sheet1";"DCF","DOWNSIDE CASE",FALSE,"Sheet1"}</definedName>
    <definedName name="wrn.p">{#N/A,#N/A,FALSE,"1";#N/A,#N/A,FALSE,"2";#N/A,#N/A,FALSE,"16 - 17";#N/A,#N/A,FALSE,"18 - 19";#N/A,#N/A,FALSE,"26";#N/A,#N/A,FALSE,"27";#N/A,#N/A,FALSE,"28"}</definedName>
    <definedName name="wrn.p_1">{#N/A,#N/A,FALSE,"1";#N/A,#N/A,FALSE,"2";#N/A,#N/A,FALSE,"16 - 17";#N/A,#N/A,FALSE,"18 - 19";#N/A,#N/A,FALSE,"26";#N/A,#N/A,FALSE,"27";#N/A,#N/A,FALSE,"28"}</definedName>
    <definedName name="wrn.p_2">{#N/A,#N/A,FALSE,"1";#N/A,#N/A,FALSE,"2";#N/A,#N/A,FALSE,"16 - 17";#N/A,#N/A,FALSE,"18 - 19";#N/A,#N/A,FALSE,"26";#N/A,#N/A,FALSE,"27";#N/A,#N/A,FALSE,"28"}</definedName>
    <definedName name="wrn.p_3">{#N/A,#N/A,FALSE,"1";#N/A,#N/A,FALSE,"2";#N/A,#N/A,FALSE,"16 - 17";#N/A,#N/A,FALSE,"18 - 19";#N/A,#N/A,FALSE,"26";#N/A,#N/A,FALSE,"27";#N/A,#N/A,FALSE,"28"}</definedName>
    <definedName name="wrn.p_4">{#N/A,#N/A,FALSE,"1";#N/A,#N/A,FALSE,"2";#N/A,#N/A,FALSE,"16 - 17";#N/A,#N/A,FALSE,"18 - 19";#N/A,#N/A,FALSE,"26";#N/A,#N/A,FALSE,"27";#N/A,#N/A,FALSE,"28"}</definedName>
    <definedName name="wrn.p_5">{#N/A,#N/A,FALSE,"1";#N/A,#N/A,FALSE,"2";#N/A,#N/A,FALSE,"16 - 17";#N/A,#N/A,FALSE,"18 - 19";#N/A,#N/A,FALSE,"26";#N/A,#N/A,FALSE,"27";#N/A,#N/A,FALSE,"28"}</definedName>
    <definedName name="wrn.package.">{#N/A,#N/A,FALSE,"qtr97vs98";#N/A,#N/A,FALSE,"qtr398vsq298";#N/A,#N/A,FALSE,"qtr98vsplan";#N/A,#N/A,FALSE,"fy97vs98";#N/A,#N/A,FALSE,"fy98vsplan";#N/A,#N/A,FALSE,"coversheet"}</definedName>
    <definedName name="wrn.paging.">{"paging",#N/A,TRUE,"TITLE";#N/A,#N/A,TRUE,"Paging subs";#N/A,#N/A,TRUE,"P&amp;L - Paging";#N/A,#N/A,TRUE,"Rev &amp; Usage Assump - Paging";#N/A,#N/A,TRUE,"Cost - Paging";"paging",#N/A,TRUE,"Capex "}</definedName>
    <definedName name="wrn.Paquet.._.Conso.._.P.E..">{#N/A,#N/A,FALSE,"DeudAcre";#N/A,#N/A,FALSE,"Compvta";#N/A,#N/A,FALSE,"Ajust.IM";#N/A,#N/A,FALSE,"Ajust.Exi";#N/A,#N/A,FALSE,"Ajust.Div";#N/A,#N/A,FALSE,"Ajust.IF"}</definedName>
    <definedName name="wrn.Paquet.._.Conso.I.G..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wrn.Perioderapportage.">{#N/A,#N/A,FALSE,"Standard Analysis";#N/A,#N/A,FALSE,"OC results per month";#N/A,#N/A,FALSE,"Sales Details";#N/A,#N/A,FALSE,"Brand result analysis";#N/A,#N/A,FALSE,"Working Capital"}</definedName>
    <definedName name="wrn.PEWC1.">{"Graphic",#N/A,TRUE,"Graphic"}</definedName>
    <definedName name="wrn.pg1">{#N/A,#N/A,FALSE,"2"}</definedName>
    <definedName name="wrn.pg1.">{#N/A,#N/A,FALSE,"1"}</definedName>
    <definedName name="wrn.pg10.">{#N/A,#N/A,FALSE,"10"}</definedName>
    <definedName name="wrn.pg100">{#N/A,#N/A,FALSE,"8"}</definedName>
    <definedName name="wrn.pg11.">{#N/A,#N/A,FALSE,"11"}</definedName>
    <definedName name="wrn.pg12.">{#N/A,#N/A,FALSE,"12"}</definedName>
    <definedName name="wrn.pg13.">{#N/A,#N/A,FALSE,"13"}</definedName>
    <definedName name="wrn.pg14.">{#N/A,#N/A,FALSE,"14"}</definedName>
    <definedName name="wrn.pg15.">{#N/A,#N/A,FALSE,"15"}</definedName>
    <definedName name="wrn.pg16.">{#N/A,#N/A,FALSE,"16"}</definedName>
    <definedName name="wrn.pg17.">{#N/A,#N/A,FALSE,"17"}</definedName>
    <definedName name="wrn.pg2.">{#N/A,#N/A,FALSE,"2"}</definedName>
    <definedName name="wrn.pg20">{#N/A,#N/A,FALSE,"4"}</definedName>
    <definedName name="wrn.pg3.">{#N/A,#N/A,FALSE,"3"}</definedName>
    <definedName name="wrn.pg4.">{#N/A,#N/A,FALSE,"4"}</definedName>
    <definedName name="wrn.pg5.">{#N/A,#N/A,FALSE,"5"}</definedName>
    <definedName name="wrn.pg6.">{#N/A,#N/A,FALSE,"6"}</definedName>
    <definedName name="wrn.pg7">{#N/A,#N/A,FALSE,"6"}</definedName>
    <definedName name="wrn.pg7.">{#N/A,#N/A,FALSE,"7"}</definedName>
    <definedName name="wrn.pg8">{#N/A,#N/A,FALSE,"8"}</definedName>
    <definedName name="wrn.pg8.">{#N/A,#N/A,FALSE,"8"}</definedName>
    <definedName name="wrn.pg9.">{#N/A,#N/A,FALSE,"9"}</definedName>
    <definedName name="wrn.PGW.">{#N/A,#N/A,FALSE,"PGW"}</definedName>
    <definedName name="wrn.PGW._1">{#N/A,#N/A,FALSE,"PGW"}</definedName>
    <definedName name="wrn.PGW._1_1">{#N/A,#N/A,FALSE,"PGW"}</definedName>
    <definedName name="wrn.PGW._1_2">{#N/A,#N/A,FALSE,"PGW"}</definedName>
    <definedName name="wrn.PGW._1_3">{#N/A,#N/A,FALSE,"PGW"}</definedName>
    <definedName name="wrn.PGW._1_4">{#N/A,#N/A,FALSE,"PGW"}</definedName>
    <definedName name="wrn.PGW._2">{#N/A,#N/A,FALSE,"PGW"}</definedName>
    <definedName name="wrn.PGW._2_1">{#N/A,#N/A,FALSE,"PGW"}</definedName>
    <definedName name="wrn.PGW._2_2">{#N/A,#N/A,FALSE,"PGW"}</definedName>
    <definedName name="wrn.PGW._2_3">{#N/A,#N/A,FALSE,"PGW"}</definedName>
    <definedName name="wrn.PGW._2_4">{#N/A,#N/A,FALSE,"PGW"}</definedName>
    <definedName name="wrn.PGW._3">{#N/A,#N/A,FALSE,"PGW"}</definedName>
    <definedName name="wrn.PGW._3_1">{#N/A,#N/A,FALSE,"PGW"}</definedName>
    <definedName name="wrn.PGW._3_2">{#N/A,#N/A,FALSE,"PGW"}</definedName>
    <definedName name="wrn.PGW._3_3">{#N/A,#N/A,FALSE,"PGW"}</definedName>
    <definedName name="wrn.PGW._3_4">{#N/A,#N/A,FALSE,"PGW"}</definedName>
    <definedName name="wrn.PGW._4">{#N/A,#N/A,FALSE,"PGW"}</definedName>
    <definedName name="wrn.PGW._4_1">{#N/A,#N/A,FALSE,"PGW"}</definedName>
    <definedName name="wrn.PGW._4_2">{#N/A,#N/A,FALSE,"PGW"}</definedName>
    <definedName name="wrn.PGW._4_3">{#N/A,#N/A,FALSE,"PGW"}</definedName>
    <definedName name="wrn.PGW._4_4">{#N/A,#N/A,FALSE,"PGW"}</definedName>
    <definedName name="wrn.PGW._5">{#N/A,#N/A,FALSE,"PGW"}</definedName>
    <definedName name="wrn.Pharm._.Market._.Report.">{#N/A,#N/A,FALSE,"Sales Graph";#N/A,#N/A,FALSE,"PSBM";#N/A,#N/A,FALSE,"BUC Graph";#N/A,#N/A,FALSE,"P&amp;L - YTD"}</definedName>
    <definedName name="wrn.Pharm._.Market._.Report._1">{#N/A,#N/A,FALSE,"Sales Graph";#N/A,#N/A,FALSE,"PSBM";#N/A,#N/A,FALSE,"BUC Graph";#N/A,#N/A,FALSE,"P&amp;L - YTD"}</definedName>
    <definedName name="wrn.Pharm._.Market._.Report._2">{#N/A,#N/A,FALSE,"Sales Graph";#N/A,#N/A,FALSE,"PSBM";#N/A,#N/A,FALSE,"BUC Graph";#N/A,#N/A,FALSE,"P&amp;L - YTD"}</definedName>
    <definedName name="wrn.Pharm._.Market._.Report._3">{#N/A,#N/A,FALSE,"Sales Graph";#N/A,#N/A,FALSE,"PSBM";#N/A,#N/A,FALSE,"BUC Graph";#N/A,#N/A,FALSE,"P&amp;L - YTD"}</definedName>
    <definedName name="wrn.Pharm._.Market._.Report._4">{#N/A,#N/A,FALSE,"Sales Graph";#N/A,#N/A,FALSE,"PSBM";#N/A,#N/A,FALSE,"BUC Graph";#N/A,#N/A,FALSE,"P&amp;L - YTD"}</definedName>
    <definedName name="wrn.Pharm._.Market._.Report._5">{#N/A,#N/A,FALSE,"Sales Graph";#N/A,#N/A,FALSE,"PSBM";#N/A,#N/A,FALSE,"BUC Graph";#N/A,#N/A,FALSE,"P&amp;L - YTD"}</definedName>
    <definedName name="wrn.Pharmaceuticals.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5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.">{"Aar",#N/A,FALSE,"Divisioner";"Kvartaler",#N/A,FALSE,"Divisioner";"Aggregering",#N/A,FALSE,"Divisioner";"Aar",#N/A,FALSE,"Norge div. (gl)";"Kvartal",#N/A,FALSE,"Norge div. (gl)";"Samling",#N/A,FALSE,"Norge div. (gl)"}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_Commentaries.">{#N/A,#N/A,FALSE,"Cover";"Summary Commentary",#N/A,FALSE,"Ops Summary";"Summary P&amp;L",#N/A,FALSE,"Ops Summary";"Fin - Commentary",#N/A,FALSE,"Financial Mgt";"Finance p&amp;l",#N/A,FALSE,"Financial Mgt";"IS Commentary",#N/A,FALSE,"Information Syst";"IS P&amp;L",#N/A,FALSE,"Information Syst";"HR Commentary",#N/A,FALSE,"Human Res";"HR P&amp;L",#N/A,FALSE,"Human Res";"Accomm &amp; Admin Commentary",#N/A,FALSE,"Accomm &amp; Admin";"Accomm &amp; Admin P&amp;L",#N/A,FALSE,"Accomm &amp; Admin";"Operations Trans Commentary",#N/A,FALSE,"Operations Transition";"Operations Trans P&amp;L",#N/A,FALSE,"Operations Transition";"GPS Central Commentary",#N/A,FALSE,"GPS Central";"GPS Central P&amp;L",#N/A,FALSE,"GPS Central";"Non Rech - Commentary",#N/A,FALSE,"Non Recharge Transition";"Non Rech - P&amp;L",#N/A,FALSE,"Non Recharge Transition";"Blank page NO no",#N/A,FALSE,"Blank (page no)";"SAP - Glossary",#N/A,FALSE,"Glossary"}</definedName>
    <definedName name="wrn.PL_Commentaries._1">{#N/A,#N/A,FALSE,"Cover";"Summary Commentary",#N/A,FALSE,"Ops Summary";"Summary P&amp;L",#N/A,FALSE,"Ops Summary";"Fin - Commentary",#N/A,FALSE,"Financial Mgt";"Finance p&amp;l",#N/A,FALSE,"Financial Mgt";"IS Commentary",#N/A,FALSE,"Information Syst";"IS P&amp;L",#N/A,FALSE,"Information Syst";"HR Commentary",#N/A,FALSE,"Human Res";"HR P&amp;L",#N/A,FALSE,"Human Res";"Accomm &amp; Admin Commentary",#N/A,FALSE,"Accomm &amp; Admin";"Accomm &amp; Admin P&amp;L",#N/A,FALSE,"Accomm &amp; Admin";"Operations Trans Commentary",#N/A,FALSE,"Operations Transition";"Operations Trans P&amp;L",#N/A,FALSE,"Operations Transition";"GPS Central Commentary",#N/A,FALSE,"GPS Central";"GPS Central P&amp;L",#N/A,FALSE,"GPS Central";"Non Rech - Commentary",#N/A,FALSE,"Non Recharge Transition";"Non Rech - P&amp;L",#N/A,FALSE,"Non Recharge Transition";"Blank page NO no",#N/A,FALSE,"Blank (page no)";"SAP - Glossary",#N/A,FALSE,"Glossary"}</definedName>
    <definedName name="wrn.PL_Commentaries._1_1">{#N/A,#N/A,FALSE,"Cover";"Summary Commentary",#N/A,FALSE,"Ops Summary";"Summary P&amp;L",#N/A,FALSE,"Ops Summary";"Fin - Commentary",#N/A,FALSE,"Financial Mgt";"Finance p&amp;l",#N/A,FALSE,"Financial Mgt";"IS Commentary",#N/A,FALSE,"Information Syst";"IS P&amp;L",#N/A,FALSE,"Information Syst";"HR Commentary",#N/A,FALSE,"Human Res";"HR P&amp;L",#N/A,FALSE,"Human Res";"Accomm &amp; Admin Commentary",#N/A,FALSE,"Accomm &amp; Admin";"Accomm &amp; Admin P&amp;L",#N/A,FALSE,"Accomm &amp; Admin";"Operations Trans Commentary",#N/A,FALSE,"Operations Transition";"Operations Trans P&amp;L",#N/A,FALSE,"Operations Transition";"GPS Central Commentary",#N/A,FALSE,"GPS Central";"GPS Central P&amp;L",#N/A,FALSE,"GPS Central";"Non Rech - Commentary",#N/A,FALSE,"Non Recharge Transition";"Non Rech - P&amp;L",#N/A,FALSE,"Non Recharge Transition";"Blank page NO no",#N/A,FALSE,"Blank (page no)";"SAP - Glossary",#N/A,FALSE,"Glossary"}</definedName>
    <definedName name="wrn.PL_Commentaries._2">{#N/A,#N/A,FALSE,"Cover";"Summary Commentary",#N/A,FALSE,"Ops Summary";"Summary P&amp;L",#N/A,FALSE,"Ops Summary";"Fin - Commentary",#N/A,FALSE,"Financial Mgt";"Finance p&amp;l",#N/A,FALSE,"Financial Mgt";"IS Commentary",#N/A,FALSE,"Information Syst";"IS P&amp;L",#N/A,FALSE,"Information Syst";"HR Commentary",#N/A,FALSE,"Human Res";"HR P&amp;L",#N/A,FALSE,"Human Res";"Accomm &amp; Admin Commentary",#N/A,FALSE,"Accomm &amp; Admin";"Accomm &amp; Admin P&amp;L",#N/A,FALSE,"Accomm &amp; Admin";"Operations Trans Commentary",#N/A,FALSE,"Operations Transition";"Operations Trans P&amp;L",#N/A,FALSE,"Operations Transition";"GPS Central Commentary",#N/A,FALSE,"GPS Central";"GPS Central P&amp;L",#N/A,FALSE,"GPS Central";"Non Rech - Commentary",#N/A,FALSE,"Non Recharge Transition";"Non Rech - P&amp;L",#N/A,FALSE,"Non Recharge Transition";"Blank page NO no",#N/A,FALSE,"Blank (page no)";"SAP - Glossary",#N/A,FALSE,"Glossary"}</definedName>
    <definedName name="wrn.plsch.">{#N/A,#N/A,FALSE,"bs"}</definedName>
    <definedName name="wrn.polymwe.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2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p97schedules.">{"plansummary",#N/A,FALSE,"PlanSummary";"sales",#N/A,FALSE,"Sales Rec";"productivity",#N/A,FALSE,"Productivity Rec";"capitalspending",#N/A,FALSE,"Capital Spending"}</definedName>
    <definedName name="wrn.pp97schedules._1">{"plansummary",#N/A,FALSE,"PlanSummary";"sales",#N/A,FALSE,"Sales Rec";"productivity",#N/A,FALSE,"Productivity Rec";"capitalspending",#N/A,FALSE,"Capital Spending"}</definedName>
    <definedName name="wrn.pp97schedules._2">{"plansummary",#N/A,FALSE,"PlanSummary";"sales",#N/A,FALSE,"Sales Rec";"productivity",#N/A,FALSE,"Productivity Rec";"capitalspending",#N/A,FALSE,"Capital Spending"}</definedName>
    <definedName name="wrn.pp97schedules._3">{"plansummary",#N/A,FALSE,"PlanSummary";"sales",#N/A,FALSE,"Sales Rec";"productivity",#N/A,FALSE,"Productivity Rec";"capitalspending",#N/A,FALSE,"Capital Spending"}</definedName>
    <definedName name="wrn.ppp">{#N/A,#N/A,FALSE,"1";#N/A,#N/A,FALSE,"2";#N/A,#N/A,FALSE,"16 - 17";#N/A,#N/A,FALSE,"18 - 19";#N/A,#N/A,FALSE,"26";#N/A,#N/A,FALSE,"27";#N/A,#N/A,FALSE,"28"}</definedName>
    <definedName name="wrn.ppp_1">{#N/A,#N/A,FALSE,"1";#N/A,#N/A,FALSE,"2";#N/A,#N/A,FALSE,"16 - 17";#N/A,#N/A,FALSE,"18 - 19";#N/A,#N/A,FALSE,"26";#N/A,#N/A,FALSE,"27";#N/A,#N/A,FALSE,"28"}</definedName>
    <definedName name="wrn.ppp_2">{#N/A,#N/A,FALSE,"1";#N/A,#N/A,FALSE,"2";#N/A,#N/A,FALSE,"16 - 17";#N/A,#N/A,FALSE,"18 - 19";#N/A,#N/A,FALSE,"26";#N/A,#N/A,FALSE,"27";#N/A,#N/A,FALSE,"28"}</definedName>
    <definedName name="wrn.ppp_3">{#N/A,#N/A,FALSE,"1";#N/A,#N/A,FALSE,"2";#N/A,#N/A,FALSE,"16 - 17";#N/A,#N/A,FALSE,"18 - 19";#N/A,#N/A,FALSE,"26";#N/A,#N/A,FALSE,"27";#N/A,#N/A,FALSE,"28"}</definedName>
    <definedName name="wrn.ppp_4">{#N/A,#N/A,FALSE,"1";#N/A,#N/A,FALSE,"2";#N/A,#N/A,FALSE,"16 - 17";#N/A,#N/A,FALSE,"18 - 19";#N/A,#N/A,FALSE,"26";#N/A,#N/A,FALSE,"27";#N/A,#N/A,FALSE,"28"}</definedName>
    <definedName name="wrn.ppp_5">{#N/A,#N/A,FALSE,"1";#N/A,#N/A,FALSE,"2";#N/A,#N/A,FALSE,"16 - 17";#N/A,#N/A,FALSE,"18 - 19";#N/A,#N/A,FALSE,"26";#N/A,#N/A,FALSE,"27";#N/A,#N/A,FALSE,"28"}</definedName>
    <definedName name="wrn.pri.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._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._2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._3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._4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n2._.all.">{#N/A,#N/A,FALSE,"Pharm";#N/A,#N/A,FALSE,"WWCM"}</definedName>
    <definedName name="wrn.prin2._.all._1">{#N/A,#N/A,FALSE,"Pharm";#N/A,#N/A,FALSE,"WWCM"}</definedName>
    <definedName name="wrn.prin2._.all._2">{#N/A,#N/A,FALSE,"Pharm";#N/A,#N/A,FALSE,"WWCM"}</definedName>
    <definedName name="wrn.prin2._.all._3">{#N/A,#N/A,FALSE,"Pharm";#N/A,#N/A,FALSE,"WWCM"}</definedName>
    <definedName name="wrn.prin2._.all._4">{#N/A,#N/A,FALSE,"Pharm";#N/A,#N/A,FALSE,"WWCM"}</definedName>
    <definedName name="wrn.prin2._.all._5">{#N/A,#N/A,FALSE,"Pharm";#N/A,#N/A,FALSE,"WWCM"}</definedName>
    <definedName name="wrn.prin3">{#N/A,#N/A,FALSE,"Pharm";#N/A,#N/A,FALSE,"WWCM"}</definedName>
    <definedName name="wrn.prin3_1">{#N/A,#N/A,FALSE,"Pharm";#N/A,#N/A,FALSE,"WWCM"}</definedName>
    <definedName name="wrn.prin3_2">{#N/A,#N/A,FALSE,"Pharm";#N/A,#N/A,FALSE,"WWCM"}</definedName>
    <definedName name="wrn.prin3_3">{#N/A,#N/A,FALSE,"Pharm";#N/A,#N/A,FALSE,"WWCM"}</definedName>
    <definedName name="wrn.prin3_4">{#N/A,#N/A,FALSE,"Pharm";#N/A,#N/A,FALSE,"WWCM"}</definedName>
    <definedName name="wrn.prin3_5">{#N/A,#N/A,FALSE,"Pharm";#N/A,#N/A,FALSE,"WWCM"}</definedName>
    <definedName name="wrn.print">{#N/A,#N/A,FALSE,"Pharm";#N/A,#N/A,FALSE,"WWCM"}</definedName>
    <definedName name="wrn.Print.">{"vi1",#N/A,FALSE,"Financial Statements";"vi2",#N/A,FALSE,"Financial Statements";#N/A,#N/A,FALSE,"DCF"}</definedName>
    <definedName name="wrn.PRINT._.ALL.">{#N/A,#N/A,FALSE,"Pharm";#N/A,#N/A,FALSE,"WWCM"}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_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_2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_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_2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>{#N/A,#N/A,FALSE,"Group Fcst";#N/A,#N/A,FALSE,"Group Fcst Variance";#N/A,#N/A,FALSE,"Consolidated";#N/A,#N/A,FALSE,"Subscriber Mktg";#N/A,#N/A,FALSE,"Vendor Mktg";#N/A,#N/A,FALSE,"Corporate";#N/A,#N/A,FALSE,"Finance";#N/A,#N/A,FALSE,"Cust Svc-Legal";#N/A,#N/A,FALSE,"Legal";#N/A,#N/A,FALSE,"Cust Supp";#N/A,#N/A,FALSE,"Logistics";#N/A,#N/A,FALSE,"Service Mgmt";#N/A,#N/A,FALSE,"GlobalFares";#N/A,#N/A,FALSE,"HR";#N/A,#N/A,FALSE,"President";#N/A,#N/A,FALSE,"Information Services";#N/A,#N/A,FALSE,"Systems Dev";#N/A,#N/A,FALSE,"Network Services";#N/A,#N/A,FALSE,"Data Center"}</definedName>
    <definedName name="wrn.PRINT._.ALL._1">{#N/A,#N/A,FALSE,"Pharm";#N/A,#N/A,FALSE,"WWCM"}</definedName>
    <definedName name="wrn.PRINT._.ALL._2">{#N/A,#N/A,FALSE,"Pharm";#N/A,#N/A,FALSE,"WWCM"}</definedName>
    <definedName name="wrn.PRINT._.ALL._3">{#N/A,#N/A,FALSE,"Pharm";#N/A,#N/A,FALSE,"WWCM"}</definedName>
    <definedName name="wrn.PRINT._.ALL._4">{#N/A,#N/A,FALSE,"Pharm";#N/A,#N/A,FALSE,"WWCM"}</definedName>
    <definedName name="wrn.PRINT._.ALL._5">{#N/A,#N/A,FALSE,"Pharm";#N/A,#N/A,FALSE,"WWCM"}</definedName>
    <definedName name="wrn.PRINT._.ALL.2">{#N/A,#N/A,FALSE,"Pharm";#N/A,#N/A,FALSE,"WWCM"}</definedName>
    <definedName name="wrn.PRINT._.ALL.2_1">{#N/A,#N/A,FALSE,"Pharm";#N/A,#N/A,FALSE,"WWCM"}</definedName>
    <definedName name="wrn.PRINT._.ALL.2_2">{#N/A,#N/A,FALSE,"Pharm";#N/A,#N/A,FALSE,"WWCM"}</definedName>
    <definedName name="wrn.PRINT._.ALL.2_3">{#N/A,#N/A,FALSE,"Pharm";#N/A,#N/A,FALSE,"WWCM"}</definedName>
    <definedName name="wrn.PRINT._.ALL.2_4">{#N/A,#N/A,FALSE,"Pharm";#N/A,#N/A,FALSE,"WWCM"}</definedName>
    <definedName name="wrn.PRINT._.ALL.2_5">{#N/A,#N/A,FALSE,"Pharm";#N/A,#N/A,FALSE,"WWCM"}</definedName>
    <definedName name="wrn.print._.all2">{#N/A,#N/A,FALSE,"Pharm";#N/A,#N/A,FALSE,"WWCM"}</definedName>
    <definedName name="wrn.print._.all2_1">{#N/A,#N/A,FALSE,"Pharm";#N/A,#N/A,FALSE,"WWCM"}</definedName>
    <definedName name="wrn.print._.all2_2">{#N/A,#N/A,FALSE,"Pharm";#N/A,#N/A,FALSE,"WWCM"}</definedName>
    <definedName name="wrn.print._.all2_3">{#N/A,#N/A,FALSE,"Pharm";#N/A,#N/A,FALSE,"WWCM"}</definedName>
    <definedName name="wrn.print._.all2_4">{#N/A,#N/A,FALSE,"Pharm";#N/A,#N/A,FALSE,"WWCM"}</definedName>
    <definedName name="wrn.print._.all2_5">{#N/A,#N/A,FALSE,"Pharm";#N/A,#N/A,FALSE,"WWCM"}</definedName>
    <definedName name="wrn.Print._.FY01YTD.">{"All Quarters",#N/A,FALSE,"Production Volume (3)";"All Quarters",#N/A,FALSE,"Serv Sector (10)";"All Quarters",#N/A,FALSE,"Serv Sector (acctg)"}</definedName>
    <definedName name="wrn.Print._.FY01YTD._1">{"All Quarters",#N/A,FALSE,"Production Volume (3)";"All Quarters",#N/A,FALSE,"Serv Sector (10)";"All Quarters",#N/A,FALSE,"Serv Sector (acctg)"}</definedName>
    <definedName name="wrn.Print._.FY01YTD._1_1">{"All Quarters",#N/A,FALSE,"Production Volume (3)";"All Quarters",#N/A,FALSE,"Serv Sector (10)";"All Quarters",#N/A,FALSE,"Serv Sector (acctg)"}</definedName>
    <definedName name="wrn.Print._.FY01YTD._2">{"All Quarters",#N/A,FALSE,"Production Volume (3)";"All Quarters",#N/A,FALSE,"Serv Sector (10)";"All Quarters",#N/A,FALSE,"Serv Sector (acctg)"}</definedName>
    <definedName name="wrn.Print._.New._.Sum._.Rpt.">{"volume mtd",#N/A,FALSE,"Production Volume (3)";"serv sec (10) mtd",#N/A,FALSE,"Serv Sector (10)";"serv sec (acctg) mtd",#N/A,FALSE,"Serv Sector (acctg)"}</definedName>
    <definedName name="wrn.Print._.New._.Sum._.Rpt._1">{"volume mtd",#N/A,FALSE,"Production Volume (3)";"serv sec (10) mtd",#N/A,FALSE,"Serv Sector (10)";"serv sec (acctg) mtd",#N/A,FALSE,"Serv Sector (acctg)"}</definedName>
    <definedName name="wrn.Print._.New._.Sum._.Rpt._1_1">{"volume mtd",#N/A,FALSE,"Production Volume (3)";"serv sec (10) mtd",#N/A,FALSE,"Serv Sector (10)";"serv sec (acctg) mtd",#N/A,FALSE,"Serv Sector (acctg)"}</definedName>
    <definedName name="wrn.Print._.New._.Sum._.Rpt._2">{"volume mtd",#N/A,FALSE,"Production Volume (3)";"serv sec (10) mtd",#N/A,FALSE,"Serv Sector (10)";"serv sec (acctg) mtd",#N/A,FALSE,"Serv Sector (acctg)"}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A4._1">{"Valuation",#N/A,TRUE,"Valuation Summary";"Financial Statements",#N/A,TRUE,"Results";"Results",#N/A,TRUE,"Results";"Ratios",#N/A,TRUE,"Results";"P2 Summary",#N/A,TRUE,"Results"}</definedName>
    <definedName name="wrn.Print._.Results._.A4._2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_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_2">{"Valuation - Letter",#N/A,TRUE,"Valuation Summary";"Financial Statements - Letter",#N/A,TRUE,"Results";"Results - Letter",#N/A,TRUE,"Results";"Ratios - Letter",#N/A,TRUE,"Results";"P2 Summary - Letter",#N/A,TRUE,"Results"}</definedName>
    <definedName name="wrn.print._all1.">{#N/A,#N/A,FALSE,"Pharm";#N/A,#N/A,FALSE,"WWCM"}</definedName>
    <definedName name="wrn.print._all1._1">{#N/A,#N/A,FALSE,"Pharm";#N/A,#N/A,FALSE,"WWCM"}</definedName>
    <definedName name="wrn.print._all1._2">{#N/A,#N/A,FALSE,"Pharm";#N/A,#N/A,FALSE,"WWCM"}</definedName>
    <definedName name="wrn.print._all1._3">{#N/A,#N/A,FALSE,"Pharm";#N/A,#N/A,FALSE,"WWCM"}</definedName>
    <definedName name="wrn.print._all1._4">{#N/A,#N/A,FALSE,"Pharm";#N/A,#N/A,FALSE,"WWCM"}</definedName>
    <definedName name="wrn.print._all1._5">{#N/A,#N/A,FALSE,"Pharm";#N/A,#N/A,FALSE,"WWCM"}</definedName>
    <definedName name="wrn.print_1">{#N/A,#N/A,FALSE,"Pharm";#N/A,#N/A,FALSE,"WWCM"}</definedName>
    <definedName name="wrn.print_2">{#N/A,#N/A,FALSE,"Pharm";#N/A,#N/A,FALSE,"WWCM"}</definedName>
    <definedName name="wrn.print_3">{#N/A,#N/A,FALSE,"Pharm";#N/A,#N/A,FALSE,"WWCM"}</definedName>
    <definedName name="wrn.print_4">{#N/A,#N/A,FALSE,"Pharm";#N/A,#N/A,FALSE,"WWCM"}</definedName>
    <definedName name="wrn.print_5">{#N/A,#N/A,FALSE,"Pharm";#N/A,#N/A,FALSE,"WWCM"}</definedName>
    <definedName name="wrn.print2">{#N/A,#N/A,FALSE,"Pharm";#N/A,#N/A,FALSE,"WWCM"}</definedName>
    <definedName name="wrn.print2_1">{#N/A,#N/A,FALSE,"Pharm";#N/A,#N/A,FALSE,"WWCM"}</definedName>
    <definedName name="wrn.print2_2">{#N/A,#N/A,FALSE,"Pharm";#N/A,#N/A,FALSE,"WWCM"}</definedName>
    <definedName name="wrn.print2_3">{#N/A,#N/A,FALSE,"Pharm";#N/A,#N/A,FALSE,"WWCM"}</definedName>
    <definedName name="wrn.print2_4">{#N/A,#N/A,FALSE,"Pharm";#N/A,#N/A,FALSE,"WWCM"}</definedName>
    <definedName name="wrn.print2_5">{#N/A,#N/A,FALSE,"Pharm";#N/A,#N/A,FALSE,"WWCM"}</definedName>
    <definedName name="wrn.PrintAll.">{"PA1",#N/A,FALSE,"BORDMW";"pa2",#N/A,FALSE,"BORDMW";"PA3",#N/A,FALSE,"BORDMW";"PA4",#N/A,FALSE,"BORDMW"}</definedName>
    <definedName name="wrn.printqtr.">{"nytasecond",#N/A,FALSE,"NYTQTRS";"nytafirst",#N/A,FALSE,"NYTQTRS";"nytathird",#N/A,FALSE,"NYTQTRS";"nytafourth",#N/A,FALSE,"NYTQTRS";"nytafull",#N/A,FALSE,"NYTQTRS"}</definedName>
    <definedName name="wrn.Printsmalls.">{"Printsmall",#N/A,FALSE,"Balance Sheet"}</definedName>
    <definedName name="wrn.Printsmalls._1">{"Printsmall",#N/A,FALSE,"Balance Sheet"}</definedName>
    <definedName name="wrn.Printsmalls._2">{"Printsmall",#N/A,FALSE,"Balance Sheet"}</definedName>
    <definedName name="wrn.Prod._.Report.">{#N/A,#N/A,FALSE,"Prod_CMD";#N/A,#N/A,FALSE,"prod_CMD (2)";#N/A,#N/A,FALSE,"Prod_CMDchnl";#N/A,#N/A,FALSE,"Prod_WLD";#N/A,#N/A,FALSE,"prod_WLD (2)";#N/A,#N/A,FALSE,"Prod_CLD";#N/A,#N/A,FALSE,"prod_CLD (2)";#N/A,#N/A,FALSE,"Prod_FSLIchnl"}</definedName>
    <definedName name="wrn.Prod._.Report._1">{#N/A,#N/A,FALSE,"Prod_CMD";#N/A,#N/A,FALSE,"prod_CMD (2)";#N/A,#N/A,FALSE,"Prod_CMDchnl";#N/A,#N/A,FALSE,"Prod_WLD";#N/A,#N/A,FALSE,"prod_WLD (2)";#N/A,#N/A,FALSE,"Prod_CLD";#N/A,#N/A,FALSE,"prod_CLD (2)";#N/A,#N/A,FALSE,"Prod_FSLIchnl"}</definedName>
    <definedName name="wrn.Prod._.Report._1_1">{#N/A,#N/A,FALSE,"Prod_CMD";#N/A,#N/A,FALSE,"prod_CMD (2)";#N/A,#N/A,FALSE,"Prod_CMDchnl";#N/A,#N/A,FALSE,"Prod_WLD";#N/A,#N/A,FALSE,"prod_WLD (2)";#N/A,#N/A,FALSE,"Prod_CLD";#N/A,#N/A,FALSE,"prod_CLD (2)";#N/A,#N/A,FALSE,"Prod_FSLIchnl"}</definedName>
    <definedName name="wrn.Prod._.Report._2">{#N/A,#N/A,FALSE,"Prod_CMD";#N/A,#N/A,FALSE,"prod_CMD (2)";#N/A,#N/A,FALSE,"Prod_CMDchnl";#N/A,#N/A,FALSE,"Prod_WLD";#N/A,#N/A,FALSE,"prod_WLD (2)";#N/A,#N/A,FALSE,"Prod_CLD";#N/A,#N/A,FALSE,"prod_CLD (2)";#N/A,#N/A,FALSE,"Prod_FSLIchnl"}</definedName>
    <definedName name="wrn.products">{#N/A,#N/A,FALSE,"1";#N/A,#N/A,FALSE,"2";#N/A,#N/A,FALSE,"16 - 17";#N/A,#N/A,FALSE,"18 - 19";#N/A,#N/A,FALSE,"26";#N/A,#N/A,FALSE,"27";#N/A,#N/A,FALSE,"28"}</definedName>
    <definedName name="wrn.Products.">{#N/A,#N/A,FALSE,"1";#N/A,#N/A,FALSE,"2";#N/A,#N/A,FALSE,"16 - 17";#N/A,#N/A,FALSE,"18 - 19";#N/A,#N/A,FALSE,"26";#N/A,#N/A,FALSE,"27";#N/A,#N/A,FALSE,"28"}</definedName>
    <definedName name="wrn.Products._1">{#N/A,#N/A,FALSE,"1";#N/A,#N/A,FALSE,"2";#N/A,#N/A,FALSE,"16 - 17";#N/A,#N/A,FALSE,"18 - 19";#N/A,#N/A,FALSE,"26";#N/A,#N/A,FALSE,"27";#N/A,#N/A,FALSE,"28"}</definedName>
    <definedName name="wrn.Products._2">{#N/A,#N/A,FALSE,"1";#N/A,#N/A,FALSE,"2";#N/A,#N/A,FALSE,"16 - 17";#N/A,#N/A,FALSE,"18 - 19";#N/A,#N/A,FALSE,"26";#N/A,#N/A,FALSE,"27";#N/A,#N/A,FALSE,"28"}</definedName>
    <definedName name="wrn.Products._3">{#N/A,#N/A,FALSE,"1";#N/A,#N/A,FALSE,"2";#N/A,#N/A,FALSE,"16 - 17";#N/A,#N/A,FALSE,"18 - 19";#N/A,#N/A,FALSE,"26";#N/A,#N/A,FALSE,"27";#N/A,#N/A,FALSE,"28"}</definedName>
    <definedName name="wrn.Products._4">{#N/A,#N/A,FALSE,"1";#N/A,#N/A,FALSE,"2";#N/A,#N/A,FALSE,"16 - 17";#N/A,#N/A,FALSE,"18 - 19";#N/A,#N/A,FALSE,"26";#N/A,#N/A,FALSE,"27";#N/A,#N/A,FALSE,"28"}</definedName>
    <definedName name="wrn.Products._5">{#N/A,#N/A,FALSE,"1";#N/A,#N/A,FALSE,"2";#N/A,#N/A,FALSE,"16 - 17";#N/A,#N/A,FALSE,"18 - 19";#N/A,#N/A,FALSE,"26";#N/A,#N/A,FALSE,"27";#N/A,#N/A,FALSE,"28"}</definedName>
    <definedName name="wrn.products_1">{#N/A,#N/A,FALSE,"1";#N/A,#N/A,FALSE,"2";#N/A,#N/A,FALSE,"16 - 17";#N/A,#N/A,FALSE,"18 - 19";#N/A,#N/A,FALSE,"26";#N/A,#N/A,FALSE,"27";#N/A,#N/A,FALSE,"28"}</definedName>
    <definedName name="wrn.products_2">{#N/A,#N/A,FALSE,"1";#N/A,#N/A,FALSE,"2";#N/A,#N/A,FALSE,"16 - 17";#N/A,#N/A,FALSE,"18 - 19";#N/A,#N/A,FALSE,"26";#N/A,#N/A,FALSE,"27";#N/A,#N/A,FALSE,"28"}</definedName>
    <definedName name="wrn.products_3">{#N/A,#N/A,FALSE,"1";#N/A,#N/A,FALSE,"2";#N/A,#N/A,FALSE,"16 - 17";#N/A,#N/A,FALSE,"18 - 19";#N/A,#N/A,FALSE,"26";#N/A,#N/A,FALSE,"27";#N/A,#N/A,FALSE,"28"}</definedName>
    <definedName name="wrn.products_4">{#N/A,#N/A,FALSE,"1";#N/A,#N/A,FALSE,"2";#N/A,#N/A,FALSE,"16 - 17";#N/A,#N/A,FALSE,"18 - 19";#N/A,#N/A,FALSE,"26";#N/A,#N/A,FALSE,"27";#N/A,#N/A,FALSE,"28"}</definedName>
    <definedName name="wrn.products_5">{#N/A,#N/A,FALSE,"1";#N/A,#N/A,FALSE,"2";#N/A,#N/A,FALSE,"16 - 17";#N/A,#N/A,FALSE,"18 - 19";#N/A,#N/A,FALSE,"26";#N/A,#N/A,FALSE,"27";#N/A,#N/A,FALSE,"28"}</definedName>
    <definedName name="wrn.Prop._.Planning._.and._.Policy.">{#N/A,#N/A,TRUE,"Prop Planning and Policy"}</definedName>
    <definedName name="wrn.Prop._.Planning._.and._.Policy._1">{#N/A,#N/A,TRUE,"Prop Planning and Policy"}</definedName>
    <definedName name="wrn.Prop._.Planning._.and._.Policy._1_1">{#N/A,#N/A,TRUE,"Prop Planning and Policy"}</definedName>
    <definedName name="wrn.Prop._.Planning._.and._.Policy._2">{#N/A,#N/A,TRUE,"Prop Planning and Policy"}</definedName>
    <definedName name="wrn.Prop._.Services.">{#N/A,#N/A,TRUE,"Prop Services"}</definedName>
    <definedName name="wrn.Prop._.Services._1">{#N/A,#N/A,TRUE,"Prop Services"}</definedName>
    <definedName name="wrn.Prop._.Services._1_1">{#N/A,#N/A,TRUE,"Prop Services"}</definedName>
    <definedName name="wrn.Prop._.Services._2">{#N/A,#N/A,TRUE,"Prop Services"}</definedName>
    <definedName name="wrn.pror">{#N/A,#N/A,FALSE,"Pharm";#N/A,#N/A,FALSE,"WWCM"}</definedName>
    <definedName name="wrn.pror_1">{#N/A,#N/A,FALSE,"Pharm";#N/A,#N/A,FALSE,"WWCM"}</definedName>
    <definedName name="wrn.pror_2">{#N/A,#N/A,FALSE,"Pharm";#N/A,#N/A,FALSE,"WWCM"}</definedName>
    <definedName name="wrn.pror_3">{#N/A,#N/A,FALSE,"Pharm";#N/A,#N/A,FALSE,"WWCM"}</definedName>
    <definedName name="wrn.pror_4">{#N/A,#N/A,FALSE,"Pharm";#N/A,#N/A,FALSE,"WWCM"}</definedName>
    <definedName name="wrn.pror_5">{#N/A,#N/A,FALSE,"Pharm";#N/A,#N/A,FALSE,"WWCM"}</definedName>
    <definedName name="wrn.provisions.">{#N/A,#N/A,FALSE,"Provisions"}</definedName>
    <definedName name="wrn.purchase._.register.">{#N/A,#N/A,TRUE,"RM-June"}</definedName>
    <definedName name="wrn.Qtr._.Op._.Q1.">{"Qtr Op Mgd Q1",#N/A,FALSE,"Qtr-Op (Mng)";"Qtr Op Rpt Q1",#N/A,FALSE,"Qtr-Op (Rpt)";"Operating Vs Reported",#N/A,FALSE,"Rpt-Op Inc"}</definedName>
    <definedName name="wrn.Qtr._.Op._.Q2.">{"Qtr Op Mgd Q2",#N/A,FALSE,"Qtr-Op (Mng)";"Qtr Op Rpt Q2",#N/A,FALSE,"Qtr-Op (Rpt)";"Operating Vs Reported",#N/A,FALSE,"Rpt-Op Inc"}</definedName>
    <definedName name="wrn.Qtr._.Op._.Q3.">{"Qtr Op Mgd Q3",#N/A,FALSE,"Qtr-Op (Mng)";"Qtr Op Rpt Q3",#N/A,FALSE,"Qtr-Op (Rpt)";"Operating Vs Reported",#N/A,FALSE,"Rpt-Op Inc"}</definedName>
    <definedName name="wrn.Qtr._.Op._.Q4.">{"Qtr Op Mgd Q3",#N/A,FALSE,"Qtr-Op (Mng)";"Qtr Op Rpt Q4",#N/A,FALSE,"Qtr-Op (Rpt)";"Operating Vs Reported",#N/A,FALSE,"Rpt-Op Inc"}</definedName>
    <definedName name="wrn.Qtr1._.Exec._.Review.">{"Cover",#N/A,TRUE,"Cover";"Operations - 02 Commentary",#N/A,TRUE,"Ops Summary";"Operations - 01 Profit &amp; Loss",#N/A,TRUE,"Ops Summary";"Finance M - 02 Commentary",#N/A,TRUE,"Financial Mgt";"Finance M - 01 Profit &amp; Loss",#N/A,TRUE,"Financial Mgt";"I Systems - 02 Commentary",#N/A,TRUE,"Information Syst";"I Systems - 01 Profit &amp; Loss",#N/A,TRUE,"Information Syst";"Human Res - 02 Commentary",#N/A,TRUE,"Human Res";"Human Res - 01 Profit &amp; Loss",#N/A,TRUE,"Human Res";"Accomm &amp; A - 02 Commentary",#N/A,TRUE,"Accomm &amp; Admin";"Accomm &amp; A - 01 Profit &amp; Loss",#N/A,TRUE,"Accomm &amp; Admin"}</definedName>
    <definedName name="wrn.Qtr1._.Exec._.Review._1">{"Cover",#N/A,TRUE,"Cover";"Operations - 02 Commentary",#N/A,TRUE,"Ops Summary";"Operations - 01 Profit &amp; Loss",#N/A,TRUE,"Ops Summary";"Finance M - 02 Commentary",#N/A,TRUE,"Financial Mgt";"Finance M - 01 Profit &amp; Loss",#N/A,TRUE,"Financial Mgt";"I Systems - 02 Commentary",#N/A,TRUE,"Information Syst";"I Systems - 01 Profit &amp; Loss",#N/A,TRUE,"Information Syst";"Human Res - 02 Commentary",#N/A,TRUE,"Human Res";"Human Res - 01 Profit &amp; Loss",#N/A,TRUE,"Human Res";"Accomm &amp; A - 02 Commentary",#N/A,TRUE,"Accomm &amp; Admin";"Accomm &amp; A - 01 Profit &amp; Loss",#N/A,TRUE,"Accomm &amp; Admin"}</definedName>
    <definedName name="wrn.Qtr1._.Exec._.Review._1_1">{"Cover",#N/A,TRUE,"Cover";"Operations - 02 Commentary",#N/A,TRUE,"Ops Summary";"Operations - 01 Profit &amp; Loss",#N/A,TRUE,"Ops Summary";"Finance M - 02 Commentary",#N/A,TRUE,"Financial Mgt";"Finance M - 01 Profit &amp; Loss",#N/A,TRUE,"Financial Mgt";"I Systems - 02 Commentary",#N/A,TRUE,"Information Syst";"I Systems - 01 Profit &amp; Loss",#N/A,TRUE,"Information Syst";"Human Res - 02 Commentary",#N/A,TRUE,"Human Res";"Human Res - 01 Profit &amp; Loss",#N/A,TRUE,"Human Res";"Accomm &amp; A - 02 Commentary",#N/A,TRUE,"Accomm &amp; Admin";"Accomm &amp; A - 01 Profit &amp; Loss",#N/A,TRUE,"Accomm &amp; Admin"}</definedName>
    <definedName name="wrn.Qtr1._.Exec._.Review._2">{"Cover",#N/A,TRUE,"Cover";"Operations - 02 Commentary",#N/A,TRUE,"Ops Summary";"Operations - 01 Profit &amp; Loss",#N/A,TRUE,"Ops Summary";"Finance M - 02 Commentary",#N/A,TRUE,"Financial Mgt";"Finance M - 01 Profit &amp; Loss",#N/A,TRUE,"Financial Mgt";"I Systems - 02 Commentary",#N/A,TRUE,"Information Syst";"I Systems - 01 Profit &amp; Loss",#N/A,TRUE,"Information Syst";"Human Res - 02 Commentary",#N/A,TRUE,"Human Res";"Human Res - 01 Profit &amp; Loss",#N/A,TRUE,"Human Res";"Accomm &amp; A - 02 Commentary",#N/A,TRUE,"Accomm &amp; Admin";"Accomm &amp; A - 01 Profit &amp; Loss",#N/A,TRUE,"Accomm &amp; Admin"}</definedName>
    <definedName name="wrn.QTR2._.Review._.detail.">{"Fin Mgt - Act V Bud Comm",#N/A,TRUE,"Financial Mgt";"Fin Mgt - Act V Bud No's",#N/A,TRUE,"Financial Mgt";"Fin Mgt - RAF V Bud Comm",#N/A,TRUE,"Financial Mgt";"Fin Mgt - RAF V Bud No's",#N/A,TRUE,"Financial Mgt";"Info Sys - Act V Bud Comm",#N/A,TRUE,"Information Syst";"Info Sys - Act V Bud No's",#N/A,TRUE,"Information Syst";"Info Sys - RAF V Bud Comm",#N/A,TRUE,"Information Syst";"Info Sys - RAF V Bud No's",#N/A,TRUE,"Information Syst";"HR - Act V Bud Comm",#N/A,TRUE,"Human Res";"HR - Act V Bud No's",#N/A,TRUE,"Human Res";"HR - RAF V Bud Comm",#N/A,TRUE,"Human Res";"HR - RAF V Bud No's",#N/A,TRUE,"Human Res";"Accomm - Act V Bud Comm",#N/A,TRUE,"Accomm &amp; Admin";"Accomm - Act V Bud No's",#N/A,TRUE,"Accomm &amp; Admin";"Accomm - RAF V Bud Comm",#N/A,TRUE,"Accomm &amp; Admin";"Accomm - RAF V Bud No's",#N/A,TRUE,"Accomm &amp; Admin"}</definedName>
    <definedName name="wrn.QTR2._.Review._.detail._1">{"Fin Mgt - Act V Bud Comm",#N/A,TRUE,"Financial Mgt";"Fin Mgt - Act V Bud No's",#N/A,TRUE,"Financial Mgt";"Fin Mgt - RAF V Bud Comm",#N/A,TRUE,"Financial Mgt";"Fin Mgt - RAF V Bud No's",#N/A,TRUE,"Financial Mgt";"Info Sys - Act V Bud Comm",#N/A,TRUE,"Information Syst";"Info Sys - Act V Bud No's",#N/A,TRUE,"Information Syst";"Info Sys - RAF V Bud Comm",#N/A,TRUE,"Information Syst";"Info Sys - RAF V Bud No's",#N/A,TRUE,"Information Syst";"HR - Act V Bud Comm",#N/A,TRUE,"Human Res";"HR - Act V Bud No's",#N/A,TRUE,"Human Res";"HR - RAF V Bud Comm",#N/A,TRUE,"Human Res";"HR - RAF V Bud No's",#N/A,TRUE,"Human Res";"Accomm - Act V Bud Comm",#N/A,TRUE,"Accomm &amp; Admin";"Accomm - Act V Bud No's",#N/A,TRUE,"Accomm &amp; Admin";"Accomm - RAF V Bud Comm",#N/A,TRUE,"Accomm &amp; Admin";"Accomm - RAF V Bud No's",#N/A,TRUE,"Accomm &amp; Admin"}</definedName>
    <definedName name="wrn.QTR2._.Review._.detail._1_1">{"Fin Mgt - Act V Bud Comm",#N/A,TRUE,"Financial Mgt";"Fin Mgt - Act V Bud No's",#N/A,TRUE,"Financial Mgt";"Fin Mgt - RAF V Bud Comm",#N/A,TRUE,"Financial Mgt";"Fin Mgt - RAF V Bud No's",#N/A,TRUE,"Financial Mgt";"Info Sys - Act V Bud Comm",#N/A,TRUE,"Information Syst";"Info Sys - Act V Bud No's",#N/A,TRUE,"Information Syst";"Info Sys - RAF V Bud Comm",#N/A,TRUE,"Information Syst";"Info Sys - RAF V Bud No's",#N/A,TRUE,"Information Syst";"HR - Act V Bud Comm",#N/A,TRUE,"Human Res";"HR - Act V Bud No's",#N/A,TRUE,"Human Res";"HR - RAF V Bud Comm",#N/A,TRUE,"Human Res";"HR - RAF V Bud No's",#N/A,TRUE,"Human Res";"Accomm - Act V Bud Comm",#N/A,TRUE,"Accomm &amp; Admin";"Accomm - Act V Bud No's",#N/A,TRUE,"Accomm &amp; Admin";"Accomm - RAF V Bud Comm",#N/A,TRUE,"Accomm &amp; Admin";"Accomm - RAF V Bud No's",#N/A,TRUE,"Accomm &amp; Admin"}</definedName>
    <definedName name="wrn.QTR2._.Review._.detail._2">{"Fin Mgt - Act V Bud Comm",#N/A,TRUE,"Financial Mgt";"Fin Mgt - Act V Bud No's",#N/A,TRUE,"Financial Mgt";"Fin Mgt - RAF V Bud Comm",#N/A,TRUE,"Financial Mgt";"Fin Mgt - RAF V Bud No's",#N/A,TRUE,"Financial Mgt";"Info Sys - Act V Bud Comm",#N/A,TRUE,"Information Syst";"Info Sys - Act V Bud No's",#N/A,TRUE,"Information Syst";"Info Sys - RAF V Bud Comm",#N/A,TRUE,"Information Syst";"Info Sys - RAF V Bud No's",#N/A,TRUE,"Information Syst";"HR - Act V Bud Comm",#N/A,TRUE,"Human Res";"HR - Act V Bud No's",#N/A,TRUE,"Human Res";"HR - RAF V Bud Comm",#N/A,TRUE,"Human Res";"HR - RAF V Bud No's",#N/A,TRUE,"Human Res";"Accomm - Act V Bud Comm",#N/A,TRUE,"Accomm &amp; Admin";"Accomm - Act V Bud No's",#N/A,TRUE,"Accomm &amp; Admin";"Accomm - RAF V Bud Comm",#N/A,TRUE,"Accomm &amp; Admin";"Accomm - RAF V Bud No's",#N/A,TRUE,"Accomm &amp; Admin"}</definedName>
    <definedName name="wrn.Quarter._.2._.review.">{"Cover1",#N/A,TRUE,"Cover";"Blank Page - page no's",#N/A,TRUE,"Blank (page no)";"Summary - P&amp;L",#N/A,TRUE,"Ops Summary";"Fin Mgt - Exec Commentaries",#N/A,TRUE,"Financial Mgt";"Fin Mgt - P&amp;L",#N/A,TRUE,"Financial Mgt";"Fin Mgt - Act V Bud Comm",#N/A,TRUE,"Financial Mgt";"Fin Mgt - Act V Bud No's",#N/A,TRUE,"Financial Mgt";"Fin Mgt - RAF V Bud Comm",#N/A,TRUE,"Financial Mgt";"Fin Mgt - RAF V Bud No's",#N/A,TRUE,"Financial Mgt";"IS - Commentary",#N/A,TRUE,"Information Syst";"IS - P&amp;L",#N/A,TRUE,"Information Syst";"Info Sys - Act V Bud Comm",#N/A,TRUE,"Information Syst";"Info Sys - Act V Bud No's",#N/A,TRUE,"Information Syst";"Info Sys - RAF V Bud Comm",#N/A,TRUE,"Information Syst";"Info Sys - RAF V Bud No's",#N/A,TRUE,"Information Syst";"HR - Commentary",#N/A,TRUE,"Human Res";"HR - P&amp;L",#N/A,TRUE,"Human Res";"HR - Act V Bud Comm",#N/A,TRUE,"Human Res";"HR - Act V Bud No's",#N/A,TRUE,"Human Res";"HR - RAF V Bud Comm",#N/A,TRUE,"Human Res";"HR - RAF V Bud No's",#N/A,TRUE,"Human Res";"Accomm - Commentary",#N/A,TRUE,"Accomm &amp; Admin";"Accomm - P&amp;L",#N/A,TRUE,"Accomm &amp; Admin";"Accomm - Act V Bud Comm",#N/A,TRUE,"Accomm &amp; Admin";"Accomm - Act V Bud No's",#N/A,TRUE,"Accomm &amp; Admin";"Accomm - RAF V Bud Comm",#N/A,TRUE,"Accomm &amp; Admin";"Accomm - RAF V Bud No's",#N/A,TRUE,"Accomm &amp; Admin";"Ops Trans - Commentary",#N/A,TRUE,"Operations Transition";"Ops Trans - P&amp;L",#N/A,TRUE,"Operations Transition";"Central - Commentary",#N/A,TRUE,"GPS Central";"Central - P&amp;L",#N/A,TRUE,"GPS Central";"Non Rech Trans - Commentary",#N/A,TRUE,"Non Recharge Transition";"Non Rech Trans - P&amp;L",#N/A,TRUE,"Non Recharge Transition";"Blank Page - page no's",#N/A,TRUE,"Non Recharge Transition"}</definedName>
    <definedName name="wrn.Quarter._.2._.review._1">{"Cover1",#N/A,TRUE,"Cover";"Blank Page - page no's",#N/A,TRUE,"Blank (page no)";"Summary - P&amp;L",#N/A,TRUE,"Ops Summary";"Fin Mgt - Exec Commentaries",#N/A,TRUE,"Financial Mgt";"Fin Mgt - P&amp;L",#N/A,TRUE,"Financial Mgt";"Fin Mgt - Act V Bud Comm",#N/A,TRUE,"Financial Mgt";"Fin Mgt - Act V Bud No's",#N/A,TRUE,"Financial Mgt";"Fin Mgt - RAF V Bud Comm",#N/A,TRUE,"Financial Mgt";"Fin Mgt - RAF V Bud No's",#N/A,TRUE,"Financial Mgt";"IS - Commentary",#N/A,TRUE,"Information Syst";"IS - P&amp;L",#N/A,TRUE,"Information Syst";"Info Sys - Act V Bud Comm",#N/A,TRUE,"Information Syst";"Info Sys - Act V Bud No's",#N/A,TRUE,"Information Syst";"Info Sys - RAF V Bud Comm",#N/A,TRUE,"Information Syst";"Info Sys - RAF V Bud No's",#N/A,TRUE,"Information Syst";"HR - Commentary",#N/A,TRUE,"Human Res";"HR - P&amp;L",#N/A,TRUE,"Human Res";"HR - Act V Bud Comm",#N/A,TRUE,"Human Res";"HR - Act V Bud No's",#N/A,TRUE,"Human Res";"HR - RAF V Bud Comm",#N/A,TRUE,"Human Res";"HR - RAF V Bud No's",#N/A,TRUE,"Human Res";"Accomm - Commentary",#N/A,TRUE,"Accomm &amp; Admin";"Accomm - P&amp;L",#N/A,TRUE,"Accomm &amp; Admin";"Accomm - Act V Bud Comm",#N/A,TRUE,"Accomm &amp; Admin";"Accomm - Act V Bud No's",#N/A,TRUE,"Accomm &amp; Admin";"Accomm - RAF V Bud Comm",#N/A,TRUE,"Accomm &amp; Admin";"Accomm - RAF V Bud No's",#N/A,TRUE,"Accomm &amp; Admin";"Ops Trans - Commentary",#N/A,TRUE,"Operations Transition";"Ops Trans - P&amp;L",#N/A,TRUE,"Operations Transition";"Central - Commentary",#N/A,TRUE,"GPS Central";"Central - P&amp;L",#N/A,TRUE,"GPS Central";"Non Rech Trans - Commentary",#N/A,TRUE,"Non Recharge Transition";"Non Rech Trans - P&amp;L",#N/A,TRUE,"Non Recharge Transition";"Blank Page - page no's",#N/A,TRUE,"Non Recharge Transition"}</definedName>
    <definedName name="wrn.Quarter._.2._.review._1_1">{"Cover1",#N/A,TRUE,"Cover";"Blank Page - page no's",#N/A,TRUE,"Blank (page no)";"Summary - P&amp;L",#N/A,TRUE,"Ops Summary";"Fin Mgt - Exec Commentaries",#N/A,TRUE,"Financial Mgt";"Fin Mgt - P&amp;L",#N/A,TRUE,"Financial Mgt";"Fin Mgt - Act V Bud Comm",#N/A,TRUE,"Financial Mgt";"Fin Mgt - Act V Bud No's",#N/A,TRUE,"Financial Mgt";"Fin Mgt - RAF V Bud Comm",#N/A,TRUE,"Financial Mgt";"Fin Mgt - RAF V Bud No's",#N/A,TRUE,"Financial Mgt";"IS - Commentary",#N/A,TRUE,"Information Syst";"IS - P&amp;L",#N/A,TRUE,"Information Syst";"Info Sys - Act V Bud Comm",#N/A,TRUE,"Information Syst";"Info Sys - Act V Bud No's",#N/A,TRUE,"Information Syst";"Info Sys - RAF V Bud Comm",#N/A,TRUE,"Information Syst";"Info Sys - RAF V Bud No's",#N/A,TRUE,"Information Syst";"HR - Commentary",#N/A,TRUE,"Human Res";"HR - P&amp;L",#N/A,TRUE,"Human Res";"HR - Act V Bud Comm",#N/A,TRUE,"Human Res";"HR - Act V Bud No's",#N/A,TRUE,"Human Res";"HR - RAF V Bud Comm",#N/A,TRUE,"Human Res";"HR - RAF V Bud No's",#N/A,TRUE,"Human Res";"Accomm - Commentary",#N/A,TRUE,"Accomm &amp; Admin";"Accomm - P&amp;L",#N/A,TRUE,"Accomm &amp; Admin";"Accomm - Act V Bud Comm",#N/A,TRUE,"Accomm &amp; Admin";"Accomm - Act V Bud No's",#N/A,TRUE,"Accomm &amp; Admin";"Accomm - RAF V Bud Comm",#N/A,TRUE,"Accomm &amp; Admin";"Accomm - RAF V Bud No's",#N/A,TRUE,"Accomm &amp; Admin";"Ops Trans - Commentary",#N/A,TRUE,"Operations Transition";"Ops Trans - P&amp;L",#N/A,TRUE,"Operations Transition";"Central - Commentary",#N/A,TRUE,"GPS Central";"Central - P&amp;L",#N/A,TRUE,"GPS Central";"Non Rech Trans - Commentary",#N/A,TRUE,"Non Recharge Transition";"Non Rech Trans - P&amp;L",#N/A,TRUE,"Non Recharge Transition";"Blank Page - page no's",#N/A,TRUE,"Non Recharge Transition"}</definedName>
    <definedName name="wrn.Quarter._.2._.review._2">{"Cover1",#N/A,TRUE,"Cover";"Blank Page - page no's",#N/A,TRUE,"Blank (page no)";"Summary - P&amp;L",#N/A,TRUE,"Ops Summary";"Fin Mgt - Exec Commentaries",#N/A,TRUE,"Financial Mgt";"Fin Mgt - P&amp;L",#N/A,TRUE,"Financial Mgt";"Fin Mgt - Act V Bud Comm",#N/A,TRUE,"Financial Mgt";"Fin Mgt - Act V Bud No's",#N/A,TRUE,"Financial Mgt";"Fin Mgt - RAF V Bud Comm",#N/A,TRUE,"Financial Mgt";"Fin Mgt - RAF V Bud No's",#N/A,TRUE,"Financial Mgt";"IS - Commentary",#N/A,TRUE,"Information Syst";"IS - P&amp;L",#N/A,TRUE,"Information Syst";"Info Sys - Act V Bud Comm",#N/A,TRUE,"Information Syst";"Info Sys - Act V Bud No's",#N/A,TRUE,"Information Syst";"Info Sys - RAF V Bud Comm",#N/A,TRUE,"Information Syst";"Info Sys - RAF V Bud No's",#N/A,TRUE,"Information Syst";"HR - Commentary",#N/A,TRUE,"Human Res";"HR - P&amp;L",#N/A,TRUE,"Human Res";"HR - Act V Bud Comm",#N/A,TRUE,"Human Res";"HR - Act V Bud No's",#N/A,TRUE,"Human Res";"HR - RAF V Bud Comm",#N/A,TRUE,"Human Res";"HR - RAF V Bud No's",#N/A,TRUE,"Human Res";"Accomm - Commentary",#N/A,TRUE,"Accomm &amp; Admin";"Accomm - P&amp;L",#N/A,TRUE,"Accomm &amp; Admin";"Accomm - Act V Bud Comm",#N/A,TRUE,"Accomm &amp; Admin";"Accomm - Act V Bud No's",#N/A,TRUE,"Accomm &amp; Admin";"Accomm - RAF V Bud Comm",#N/A,TRUE,"Accomm &amp; Admin";"Accomm - RAF V Bud No's",#N/A,TRUE,"Accomm &amp; Admin";"Ops Trans - Commentary",#N/A,TRUE,"Operations Transition";"Ops Trans - P&amp;L",#N/A,TRUE,"Operations Transition";"Central - Commentary",#N/A,TRUE,"GPS Central";"Central - P&amp;L",#N/A,TRUE,"GPS Central";"Non Rech Trans - Commentary",#N/A,TRUE,"Non Recharge Transition";"Non Rech Trans - P&amp;L",#N/A,TRUE,"Non Recharge Transition";"Blank Page - page no's",#N/A,TRUE,"Non Recharge Transition"}</definedName>
    <definedName name="wrn.RCC.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_.1.">{#N/A,#N/A,FALSE,"Forecast to Budget Recon";#N/A,#N/A,FALSE,"Summary";#N/A,#N/A,FALSE,"Detail";#N/A,#N/A,FALSE,"servicing";#N/A,#N/A,FALSE,"Internal";#N/A,#N/A,FALSE,"Other Subs";#N/A,#N/A,FALSE,"Internal Scenarios"}</definedName>
    <definedName name="wrn.Report._.1._1">{#N/A,#N/A,FALSE,"Forecast to Budget Recon";#N/A,#N/A,FALSE,"Summary";#N/A,#N/A,FALSE,"Detail";#N/A,#N/A,FALSE,"servicing";#N/A,#N/A,FALSE,"Internal";#N/A,#N/A,FALSE,"Other Subs";#N/A,#N/A,FALSE,"Internal Scenarios"}</definedName>
    <definedName name="wrn.Report._.1._1_1">{#N/A,#N/A,FALSE,"Forecast to Budget Recon";#N/A,#N/A,FALSE,"Summary";#N/A,#N/A,FALSE,"Detail";#N/A,#N/A,FALSE,"servicing";#N/A,#N/A,FALSE,"Internal";#N/A,#N/A,FALSE,"Other Subs";#N/A,#N/A,FALSE,"Internal Scenarios"}</definedName>
    <definedName name="wrn.Report._.1._2">{#N/A,#N/A,FALSE,"Forecast to Budget Recon";#N/A,#N/A,FALSE,"Summary";#N/A,#N/A,FALSE,"Detail";#N/A,#N/A,FALSE,"servicing";#N/A,#N/A,FALSE,"Internal";#N/A,#N/A,FALSE,"Other Subs";#N/A,#N/A,FALSE,"Internal Scenarios"}</definedName>
    <definedName name="wrn.Report._.Comp._.Fst.">{"Comparative Forecast",#N/A,FALSE,"SUMMARY (1)";"Comparative Forecast",#N/A,FALSE,"SUMMARY (2)";"Comparative Forecast",#N/A,FALSE,"Summary (4)";"Comparative Forecast",#N/A,FALSE,"Summary (5)";"Comparative Forecast",#N/A,FALSE,"Summary (6)";"Comparative Forecast",#N/A,FALSE,"Summary (7)";"Comparative Forecast",#N/A,FALSE,"Summary (8) NEC $";"Comparative Forecast",#N/A,FALSE,"Summary (9) NEC bps";"Comparative Forecast",#N/A,FALSE,"Earnings by sub (11)"}</definedName>
    <definedName name="wrn.Report._.Comp._.Fst._1">{"Comparative Forecast",#N/A,FALSE,"SUMMARY (1)";"Comparative Forecast",#N/A,FALSE,"SUMMARY (2)";"Comparative Forecast",#N/A,FALSE,"Summary (4)";"Comparative Forecast",#N/A,FALSE,"Summary (5)";"Comparative Forecast",#N/A,FALSE,"Summary (6)";"Comparative Forecast",#N/A,FALSE,"Summary (7)";"Comparative Forecast",#N/A,FALSE,"Summary (8) NEC $";"Comparative Forecast",#N/A,FALSE,"Summary (9) NEC bps";"Comparative Forecast",#N/A,FALSE,"Earnings by sub (11)"}</definedName>
    <definedName name="wrn.Report._.Comp._.Fst._1_1">{"Comparative Forecast",#N/A,FALSE,"SUMMARY (1)";"Comparative Forecast",#N/A,FALSE,"SUMMARY (2)";"Comparative Forecast",#N/A,FALSE,"Summary (4)";"Comparative Forecast",#N/A,FALSE,"Summary (5)";"Comparative Forecast",#N/A,FALSE,"Summary (6)";"Comparative Forecast",#N/A,FALSE,"Summary (7)";"Comparative Forecast",#N/A,FALSE,"Summary (8) NEC $";"Comparative Forecast",#N/A,FALSE,"Summary (9) NEC bps";"Comparative Forecast",#N/A,FALSE,"Earnings by sub (11)"}</definedName>
    <definedName name="wrn.Report._.Comp._.Fst._2">{"Comparative Forecast",#N/A,FALSE,"SUMMARY (1)";"Comparative Forecast",#N/A,FALSE,"SUMMARY (2)";"Comparative Forecast",#N/A,FALSE,"Summary (4)";"Comparative Forecast",#N/A,FALSE,"Summary (5)";"Comparative Forecast",#N/A,FALSE,"Summary (6)";"Comparative Forecast",#N/A,FALSE,"Summary (7)";"Comparative Forecast",#N/A,FALSE,"Summary (8) NEC $";"Comparative Forecast",#N/A,FALSE,"Summary (9) NEC bps";"Comparative Forecast",#N/A,FALSE,"Earnings by sub (11)"}</definedName>
    <definedName name="wrn.Report._.Fcq.">{"Normal View Reports",#N/A,TRUE,"SUMMARY (1)";"Normal View Reports",#N/A,TRUE,"Summary P&amp;L (2)";"Normal View Reports",#N/A,TRUE,"Earnings by sub (3)";"Normal View Reports",#N/A,TRUE,"Production Volume (4)";"Normal View Reports",#N/A,TRUE,"Prod Sector (5)";"Normal View Reports",#N/A,TRUE,"Rev by Prod (6)";"Normal View Reports",#N/A,TRUE,"Rev by Prod (detail) (7)";"Normal View Reports",#N/A,TRUE,"Prod Exp (8)";"Normal View Reports",#N/A,TRUE,"Serv Sector (9)";"Normal View Reports",#N/A,TRUE,"CCI Exp (10)";"Normal View Reports",#N/A,TRUE,"Cent_Off Exp (11)";"Normal View Reports",#N/A,TRUE,"Cent_Off HC (13)";"Normal View Reports",#N/A,TRUE,"CCI HC (12)";"Normal View Reports",#N/A,TRUE,"BS (14)"}</definedName>
    <definedName name="wrn.Report._.Fcq._1">{"Normal View Reports",#N/A,TRUE,"SUMMARY (1)";"Normal View Reports",#N/A,TRUE,"Summary P&amp;L (2)";"Normal View Reports",#N/A,TRUE,"Earnings by sub (3)";"Normal View Reports",#N/A,TRUE,"Production Volume (4)";"Normal View Reports",#N/A,TRUE,"Prod Sector (5)";"Normal View Reports",#N/A,TRUE,"Rev by Prod (6)";"Normal View Reports",#N/A,TRUE,"Rev by Prod (detail) (7)";"Normal View Reports",#N/A,TRUE,"Prod Exp (8)";"Normal View Reports",#N/A,TRUE,"Serv Sector (9)";"Normal View Reports",#N/A,TRUE,"CCI Exp (10)";"Normal View Reports",#N/A,TRUE,"Cent_Off Exp (11)";"Normal View Reports",#N/A,TRUE,"Cent_Off HC (13)";"Normal View Reports",#N/A,TRUE,"CCI HC (12)";"Normal View Reports",#N/A,TRUE,"BS (14)"}</definedName>
    <definedName name="wrn.Report._.Fcq._1_1">{"Normal View Reports",#N/A,TRUE,"SUMMARY (1)";"Normal View Reports",#N/A,TRUE,"Summary P&amp;L (2)";"Normal View Reports",#N/A,TRUE,"Earnings by sub (3)";"Normal View Reports",#N/A,TRUE,"Production Volume (4)";"Normal View Reports",#N/A,TRUE,"Prod Sector (5)";"Normal View Reports",#N/A,TRUE,"Rev by Prod (6)";"Normal View Reports",#N/A,TRUE,"Rev by Prod (detail) (7)";"Normal View Reports",#N/A,TRUE,"Prod Exp (8)";"Normal View Reports",#N/A,TRUE,"Serv Sector (9)";"Normal View Reports",#N/A,TRUE,"CCI Exp (10)";"Normal View Reports",#N/A,TRUE,"Cent_Off Exp (11)";"Normal View Reports",#N/A,TRUE,"Cent_Off HC (13)";"Normal View Reports",#N/A,TRUE,"CCI HC (12)";"Normal View Reports",#N/A,TRUE,"BS (14)"}</definedName>
    <definedName name="wrn.Report._.Fcq._2">{"Normal View Reports",#N/A,TRUE,"SUMMARY (1)";"Normal View Reports",#N/A,TRUE,"Summary P&amp;L (2)";"Normal View Reports",#N/A,TRUE,"Earnings by sub (3)";"Normal View Reports",#N/A,TRUE,"Production Volume (4)";"Normal View Reports",#N/A,TRUE,"Prod Sector (5)";"Normal View Reports",#N/A,TRUE,"Rev by Prod (6)";"Normal View Reports",#N/A,TRUE,"Rev by Prod (detail) (7)";"Normal View Reports",#N/A,TRUE,"Prod Exp (8)";"Normal View Reports",#N/A,TRUE,"Serv Sector (9)";"Normal View Reports",#N/A,TRUE,"CCI Exp (10)";"Normal View Reports",#N/A,TRUE,"Cent_Off Exp (11)";"Normal View Reports",#N/A,TRUE,"Cent_Off HC (13)";"Normal View Reports",#N/A,TRUE,"CCI HC (12)";"Normal View Reports",#N/A,TRUE,"BS (14)"}</definedName>
    <definedName name="wrn.Report._.FY._.01._.By._.Qrts.">{"FY 2001 All Quarters",#N/A,FALSE,"SUMMARY (1)";"FY 2001 All Quarters",#N/A,FALSE,"Summary (3)";"FY 2001 All Quarters",#N/A,FALSE,"Summary (4)";"FY 2001 All Quarters",#N/A,FALSE,"Summary (6)";"FY 2001 All Quarters",#N/A,FALSE,"Summary (7)";"FY 2001 All Quarters",#N/A,FALSE,"Summary (9)";"FY 2001 All Quarters",#N/A,FALSE,"Earnings by sub (10)";"FY 2001 All Quarters",#N/A,FALSE,"Summary (11)";"FY 2001 All Quarters",#N/A,FALSE,"Summary (12)";"FY 2001 All Quarters",#N/A,FALSE,"Summary (BS-12)";"FY 2001 All Quarters",#N/A,FALSE,"SUMMARY (18)";"FY 2001 All Quarters",#N/A,FALSE,"SUMMARY (19)";"FY 2001 All Quarters",#N/A,FALSE,"SUMMARY (20)";"FY 2001 All Quarters",#N/A,FALSE,"SUMMARY (21)";"FY 2001 All Quarters",#N/A,FALSE,"Summary (5)";"FY 2001 All Quarters",#N/A,FALSE,"Summary (22)";"FY 2001 All Quarters",#N/A,FALSE,"Summary (23)"}</definedName>
    <definedName name="wrn.Report._.FY._.01._.By._.Qrts._1">{"FY 2001 All Quarters",#N/A,FALSE,"SUMMARY (1)";"FY 2001 All Quarters",#N/A,FALSE,"Summary (3)";"FY 2001 All Quarters",#N/A,FALSE,"Summary (4)";"FY 2001 All Quarters",#N/A,FALSE,"Summary (6)";"FY 2001 All Quarters",#N/A,FALSE,"Summary (7)";"FY 2001 All Quarters",#N/A,FALSE,"Summary (9)";"FY 2001 All Quarters",#N/A,FALSE,"Earnings by sub (10)";"FY 2001 All Quarters",#N/A,FALSE,"Summary (11)";"FY 2001 All Quarters",#N/A,FALSE,"Summary (12)";"FY 2001 All Quarters",#N/A,FALSE,"Summary (BS-12)";"FY 2001 All Quarters",#N/A,FALSE,"SUMMARY (18)";"FY 2001 All Quarters",#N/A,FALSE,"SUMMARY (19)";"FY 2001 All Quarters",#N/A,FALSE,"SUMMARY (20)";"FY 2001 All Quarters",#N/A,FALSE,"SUMMARY (21)";"FY 2001 All Quarters",#N/A,FALSE,"Summary (5)";"FY 2001 All Quarters",#N/A,FALSE,"Summary (22)";"FY 2001 All Quarters",#N/A,FALSE,"Summary (23)"}</definedName>
    <definedName name="wrn.Report._.FY._.01._.By._.Qrts._1_1">{"FY 2001 All Quarters",#N/A,FALSE,"SUMMARY (1)";"FY 2001 All Quarters",#N/A,FALSE,"Summary (3)";"FY 2001 All Quarters",#N/A,FALSE,"Summary (4)";"FY 2001 All Quarters",#N/A,FALSE,"Summary (6)";"FY 2001 All Quarters",#N/A,FALSE,"Summary (7)";"FY 2001 All Quarters",#N/A,FALSE,"Summary (9)";"FY 2001 All Quarters",#N/A,FALSE,"Earnings by sub (10)";"FY 2001 All Quarters",#N/A,FALSE,"Summary (11)";"FY 2001 All Quarters",#N/A,FALSE,"Summary (12)";"FY 2001 All Quarters",#N/A,FALSE,"Summary (BS-12)";"FY 2001 All Quarters",#N/A,FALSE,"SUMMARY (18)";"FY 2001 All Quarters",#N/A,FALSE,"SUMMARY (19)";"FY 2001 All Quarters",#N/A,FALSE,"SUMMARY (20)";"FY 2001 All Quarters",#N/A,FALSE,"SUMMARY (21)";"FY 2001 All Quarters",#N/A,FALSE,"Summary (5)";"FY 2001 All Quarters",#N/A,FALSE,"Summary (22)";"FY 2001 All Quarters",#N/A,FALSE,"Summary (23)"}</definedName>
    <definedName name="wrn.Report._.FY._.01._.By._.Qrts._2">{"FY 2001 All Quarters",#N/A,FALSE,"SUMMARY (1)";"FY 2001 All Quarters",#N/A,FALSE,"Summary (3)";"FY 2001 All Quarters",#N/A,FALSE,"Summary (4)";"FY 2001 All Quarters",#N/A,FALSE,"Summary (6)";"FY 2001 All Quarters",#N/A,FALSE,"Summary (7)";"FY 2001 All Quarters",#N/A,FALSE,"Summary (9)";"FY 2001 All Quarters",#N/A,FALSE,"Earnings by sub (10)";"FY 2001 All Quarters",#N/A,FALSE,"Summary (11)";"FY 2001 All Quarters",#N/A,FALSE,"Summary (12)";"FY 2001 All Quarters",#N/A,FALSE,"Summary (BS-12)";"FY 2001 All Quarters",#N/A,FALSE,"SUMMARY (18)";"FY 2001 All Quarters",#N/A,FALSE,"SUMMARY (19)";"FY 2001 All Quarters",#N/A,FALSE,"SUMMARY (20)";"FY 2001 All Quarters",#N/A,FALSE,"SUMMARY (21)";"FY 2001 All Quarters",#N/A,FALSE,"Summary (5)";"FY 2001 All Quarters",#N/A,FALSE,"Summary (22)";"FY 2001 All Quarters",#N/A,FALSE,"Summary (23)"}</definedName>
    <definedName name="wrn.Report._.Q2.">{"Q2 Forecast New",#N/A,FALSE,"SUMMARY (1)";"Q2 Forecast New",#N/A,FALSE,"Summary (3)";"Q2 Forecast New",#N/A,FALSE,"Summary (4)";"Q2 Forecast New",#N/A,FALSE,"Summary (5)";"Q2 Forecast New",#N/A,FALSE,"Summary (6)";"Q2 Forecast New",#N/A,FALSE,"Summary (7)";"Q2 Forecast New",#N/A,FALSE,"Summary (9)";"Q2 Forecast New",#N/A,FALSE,"Earnings by sub (10)";"Q2 Forecast New",#N/A,FALSE,"Summary (11)";"Q2 Forecast New",#N/A,FALSE,"Summary (12)";"Q2 Forecast New",#N/A,FALSE,"Summary (13 - BS)";"Q2 Forecast New",#N/A,FALSE,"Summary (14 - BS) ";"Q2 Forecast New",#N/A,FALSE,"Summary (15 - BS)";"Q2 Forecast New",#N/A,FALSE,"Summary (16 - BS)";"Q2 Forecast New",#N/A,FALSE,"Summary (17 - BS)";"Q2 Forecast New",#N/A,FALSE,"SUMMARY (18)";"Q2 Forecast New",#N/A,FALSE,"SUMMARY (19)";"Q2 Forecast New",#N/A,FALSE,"SUMMARY (20)";"Q2 Forecast New",#N/A,FALSE,"SUMMARY (21)";"Q2 Forecast New",#N/A,FALSE,"Summary (22)";"Q2 Forecast New",#N/A,FALSE,"Summary (23)"}</definedName>
    <definedName name="wrn.Report._.Q2._1">{"Q2 Forecast New",#N/A,FALSE,"SUMMARY (1)";"Q2 Forecast New",#N/A,FALSE,"Summary (3)";"Q2 Forecast New",#N/A,FALSE,"Summary (4)";"Q2 Forecast New",#N/A,FALSE,"Summary (5)";"Q2 Forecast New",#N/A,FALSE,"Summary (6)";"Q2 Forecast New",#N/A,FALSE,"Summary (7)";"Q2 Forecast New",#N/A,FALSE,"Summary (9)";"Q2 Forecast New",#N/A,FALSE,"Earnings by sub (10)";"Q2 Forecast New",#N/A,FALSE,"Summary (11)";"Q2 Forecast New",#N/A,FALSE,"Summary (12)";"Q2 Forecast New",#N/A,FALSE,"Summary (13 - BS)";"Q2 Forecast New",#N/A,FALSE,"Summary (14 - BS) ";"Q2 Forecast New",#N/A,FALSE,"Summary (15 - BS)";"Q2 Forecast New",#N/A,FALSE,"Summary (16 - BS)";"Q2 Forecast New",#N/A,FALSE,"Summary (17 - BS)";"Q2 Forecast New",#N/A,FALSE,"SUMMARY (18)";"Q2 Forecast New",#N/A,FALSE,"SUMMARY (19)";"Q2 Forecast New",#N/A,FALSE,"SUMMARY (20)";"Q2 Forecast New",#N/A,FALSE,"SUMMARY (21)";"Q2 Forecast New",#N/A,FALSE,"Summary (22)";"Q2 Forecast New",#N/A,FALSE,"Summary (23)"}</definedName>
    <definedName name="wrn.Report._.Q2._1_1">{"Q2 Forecast New",#N/A,FALSE,"SUMMARY (1)";"Q2 Forecast New",#N/A,FALSE,"Summary (3)";"Q2 Forecast New",#N/A,FALSE,"Summary (4)";"Q2 Forecast New",#N/A,FALSE,"Summary (5)";"Q2 Forecast New",#N/A,FALSE,"Summary (6)";"Q2 Forecast New",#N/A,FALSE,"Summary (7)";"Q2 Forecast New",#N/A,FALSE,"Summary (9)";"Q2 Forecast New",#N/A,FALSE,"Earnings by sub (10)";"Q2 Forecast New",#N/A,FALSE,"Summary (11)";"Q2 Forecast New",#N/A,FALSE,"Summary (12)";"Q2 Forecast New",#N/A,FALSE,"Summary (13 - BS)";"Q2 Forecast New",#N/A,FALSE,"Summary (14 - BS) ";"Q2 Forecast New",#N/A,FALSE,"Summary (15 - BS)";"Q2 Forecast New",#N/A,FALSE,"Summary (16 - BS)";"Q2 Forecast New",#N/A,FALSE,"Summary (17 - BS)";"Q2 Forecast New",#N/A,FALSE,"SUMMARY (18)";"Q2 Forecast New",#N/A,FALSE,"SUMMARY (19)";"Q2 Forecast New",#N/A,FALSE,"SUMMARY (20)";"Q2 Forecast New",#N/A,FALSE,"SUMMARY (21)";"Q2 Forecast New",#N/A,FALSE,"Summary (22)";"Q2 Forecast New",#N/A,FALSE,"Summary (23)"}</definedName>
    <definedName name="wrn.Report._.Q2._2">{"Q2 Forecast New",#N/A,FALSE,"SUMMARY (1)";"Q2 Forecast New",#N/A,FALSE,"Summary (3)";"Q2 Forecast New",#N/A,FALSE,"Summary (4)";"Q2 Forecast New",#N/A,FALSE,"Summary (5)";"Q2 Forecast New",#N/A,FALSE,"Summary (6)";"Q2 Forecast New",#N/A,FALSE,"Summary (7)";"Q2 Forecast New",#N/A,FALSE,"Summary (9)";"Q2 Forecast New",#N/A,FALSE,"Earnings by sub (10)";"Q2 Forecast New",#N/A,FALSE,"Summary (11)";"Q2 Forecast New",#N/A,FALSE,"Summary (12)";"Q2 Forecast New",#N/A,FALSE,"Summary (13 - BS)";"Q2 Forecast New",#N/A,FALSE,"Summary (14 - BS) ";"Q2 Forecast New",#N/A,FALSE,"Summary (15 - BS)";"Q2 Forecast New",#N/A,FALSE,"Summary (16 - BS)";"Q2 Forecast New",#N/A,FALSE,"Summary (17 - BS)";"Q2 Forecast New",#N/A,FALSE,"SUMMARY (18)";"Q2 Forecast New",#N/A,FALSE,"SUMMARY (19)";"Q2 Forecast New",#N/A,FALSE,"SUMMARY (20)";"Q2 Forecast New",#N/A,FALSE,"SUMMARY (21)";"Q2 Forecast New",#N/A,FALSE,"Summary (22)";"Q2 Forecast New",#N/A,FALSE,"Summary (23)"}</definedName>
    <definedName name="wrn.Report._.YTD.">{"All Quarters",#N/A,FALSE,"SUMMARY (1)";"All Quarters",#N/A,FALSE,"Summary (3)";"All Quarters",#N/A,FALSE,"Summary (4)";"All Quarters",#N/A,FALSE,"Summary (5)";"All Quarters",#N/A,FALSE,"Summary (6)";"All Quarters",#N/A,FALSE,"Summary (8)";"All Quarters",#N/A,FALSE,"Earnings by sub (9)";"All Quarters",#N/A,FALSE,"Summary (10)";"All Quarters",#N/A,FALSE,"SUMMARY (11)";"All Quarters",#N/A,FALSE,"SUMMARY (12)";"All Quarters",#N/A,FALSE,"SUMMARY (13)";"All Quarters",#N/A,FALSE,"SUMMARY (14)";"All Quarters",#N/A,FALSE,"Summary (15)";"All Quarters",#N/A,FALSE,"Summary (16)";"All Quarters",#N/A,FALSE,"Summary (18)";"All Quarters",#N/A,FALSE,"Summary (20 - BS)";"All Quarters",#N/A,FALSE,"Summary (21 - BS) ";"All Quarters",#N/A,FALSE,"Summary (22 - BS)";"All Quarters",#N/A,FALSE,"Summary (23 - BS)";"All Quarters",#N/A,FALSE,"Summary (24 - BS)"}</definedName>
    <definedName name="wrn.Report._.YTD._1">{"All Quarters",#N/A,FALSE,"SUMMARY (1)";"All Quarters",#N/A,FALSE,"Summary (3)";"All Quarters",#N/A,FALSE,"Summary (4)";"All Quarters",#N/A,FALSE,"Summary (5)";"All Quarters",#N/A,FALSE,"Summary (6)";"All Quarters",#N/A,FALSE,"Summary (8)";"All Quarters",#N/A,FALSE,"Earnings by sub (9)";"All Quarters",#N/A,FALSE,"Summary (10)";"All Quarters",#N/A,FALSE,"SUMMARY (11)";"All Quarters",#N/A,FALSE,"SUMMARY (12)";"All Quarters",#N/A,FALSE,"SUMMARY (13)";"All Quarters",#N/A,FALSE,"SUMMARY (14)";"All Quarters",#N/A,FALSE,"Summary (15)";"All Quarters",#N/A,FALSE,"Summary (16)";"All Quarters",#N/A,FALSE,"Summary (18)";"All Quarters",#N/A,FALSE,"Summary (20 - BS)";"All Quarters",#N/A,FALSE,"Summary (21 - BS) ";"All Quarters",#N/A,FALSE,"Summary (22 - BS)";"All Quarters",#N/A,FALSE,"Summary (23 - BS)";"All Quarters",#N/A,FALSE,"Summary (24 - BS)"}</definedName>
    <definedName name="wrn.Report._.YTD._1_1">{"All Quarters",#N/A,FALSE,"SUMMARY (1)";"All Quarters",#N/A,FALSE,"Summary (3)";"All Quarters",#N/A,FALSE,"Summary (4)";"All Quarters",#N/A,FALSE,"Summary (5)";"All Quarters",#N/A,FALSE,"Summary (6)";"All Quarters",#N/A,FALSE,"Summary (8)";"All Quarters",#N/A,FALSE,"Earnings by sub (9)";"All Quarters",#N/A,FALSE,"Summary (10)";"All Quarters",#N/A,FALSE,"SUMMARY (11)";"All Quarters",#N/A,FALSE,"SUMMARY (12)";"All Quarters",#N/A,FALSE,"SUMMARY (13)";"All Quarters",#N/A,FALSE,"SUMMARY (14)";"All Quarters",#N/A,FALSE,"Summary (15)";"All Quarters",#N/A,FALSE,"Summary (16)";"All Quarters",#N/A,FALSE,"Summary (18)";"All Quarters",#N/A,FALSE,"Summary (20 - BS)";"All Quarters",#N/A,FALSE,"Summary (21 - BS) ";"All Quarters",#N/A,FALSE,"Summary (22 - BS)";"All Quarters",#N/A,FALSE,"Summary (23 - BS)";"All Quarters",#N/A,FALSE,"Summary (24 - BS)"}</definedName>
    <definedName name="wrn.Report._.YTD._2">{"All Quarters",#N/A,FALSE,"SUMMARY (1)";"All Quarters",#N/A,FALSE,"Summary (3)";"All Quarters",#N/A,FALSE,"Summary (4)";"All Quarters",#N/A,FALSE,"Summary (5)";"All Quarters",#N/A,FALSE,"Summary (6)";"All Quarters",#N/A,FALSE,"Summary (8)";"All Quarters",#N/A,FALSE,"Earnings by sub (9)";"All Quarters",#N/A,FALSE,"Summary (10)";"All Quarters",#N/A,FALSE,"SUMMARY (11)";"All Quarters",#N/A,FALSE,"SUMMARY (12)";"All Quarters",#N/A,FALSE,"SUMMARY (13)";"All Quarters",#N/A,FALSE,"SUMMARY (14)";"All Quarters",#N/A,FALSE,"Summary (15)";"All Quarters",#N/A,FALSE,"Summary (16)";"All Quarters",#N/A,FALSE,"Summary (18)";"All Quarters",#N/A,FALSE,"Summary (20 - BS)";"All Quarters",#N/A,FALSE,"Summary (21 - BS) ";"All Quarters",#N/A,FALSE,"Summary (22 - BS)";"All Quarters",#N/A,FALSE,"Summary (23 - BS)";"All Quarters",#N/A,FALSE,"Summary (24 - BS)"}</definedName>
    <definedName name="wrn.REPORT._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_1_1">{#N/A,#N/A,FALSE,"Cover";#N/A,#N/A,FALSE,"Total Mtg Mkt";#N/A,#N/A,FALSE,"At a Glance";#N/A,#N/A,FALSE,"Pre-Tax Earnings ($)";#N/A,#N/A,FALSE,"Pre-Tax Margins (Bps)";#N/A,#N/A,FALSE,"Subs Pre-Tax Earnings ($)"}</definedName>
    <definedName name="wrn.REPORT._2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_3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1.">{"Print1",#N/A,TRUE,"P&amp;L";"Print2",#N/A,TRUE,"CashFL"}</definedName>
    <definedName name="wrn.Reports.">{"Print1",#N/A,TRUE,"Projected Balance Sheets";"Print2",#N/A,TRUE,"Projected Income Statements";"Print3",#N/A,TRUE,"Projected Cash Flow Statements";"Print4",#N/A,TRUE,"Projected Revenue Detail"}</definedName>
    <definedName name="wrn.Reports._1">{"Print1",#N/A,TRUE,"Projected Balance Sheets";"Print2",#N/A,TRUE,"Projected Income Statements";"Print3",#N/A,TRUE,"Projected Cash Flow Statements";"Print4",#N/A,TRUE,"Projected Revenue Detail"}</definedName>
    <definedName name="wrn.Reports._2">{"Print1",#N/A,TRUE,"Projected Balance Sheets";"Print2",#N/A,TRUE,"Projected Income Statements";"Print3",#N/A,TRUE,"Projected Cash Flow Statements";"Print4",#N/A,TRUE,"Projected Revenue Detail"}</definedName>
    <definedName name="wrn.repot.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2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>{#N/A,#N/A,TRUE,"BALSCH";#N/A,#N/A,TRUE,"COMICRO";#N/A,#N/A,TRUE,"CHECKS";#N/A,#N/A,TRUE,"GLASS";#N/A,#N/A,TRUE,"DEPRE";#N/A,#N/A,TRUE,"A&amp;MCUR";#N/A,#N/A,TRUE,"AGEANAlysis";#N/A,#N/A,TRUE,"CHECKS"}</definedName>
    <definedName name="wrn.RKREP.">{#N/A,#N/A,FALSE,"schdls"}</definedName>
    <definedName name="wrn.Rpeort._.Comp._.F.">{"Comparative Forecast",#N/A,FALSE,"Production Volume (3)";"Comparative Forecast",#N/A,FALSE,"Serv Sector (10)";"Comparative Forecast",#N/A,FALSE,"Serv Sector (acctg)"}</definedName>
    <definedName name="wrn.Rpeort._.Comp._.F._1">{"Comparative Forecast",#N/A,FALSE,"Production Volume (3)";"Comparative Forecast",#N/A,FALSE,"Serv Sector (10)";"Comparative Forecast",#N/A,FALSE,"Serv Sector (acctg)"}</definedName>
    <definedName name="wrn.Rpeort._.Comp._.F._1_1">{"Comparative Forecast",#N/A,FALSE,"Production Volume (3)";"Comparative Forecast",#N/A,FALSE,"Serv Sector (10)";"Comparative Forecast",#N/A,FALSE,"Serv Sector (acctg)"}</definedName>
    <definedName name="wrn.Rpeort._.Comp._.F._2">{"Comparative Forecast",#N/A,FALSE,"Production Volume (3)";"Comparative Forecast",#N/A,FALSE,"Serv Sector (10)";"Comparative Forecast",#N/A,FALSE,"Serv Sector (acctg)"}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TS.">{"rts",#N/A,TRUE,"TITLE";#N/A,#N/A,TRUE,"P&amp;L - RTS";#N/A,#N/A,TRUE,"RTS biz";#N/A,#N/A,TRUE,"Cost - RTS";"RTS",#N/A,TRUE,"Capex "}</definedName>
    <definedName name="wrn.SAA94TAX.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B_PRES.">{#N/A,#N/A,TRUE,"Sheet16"}</definedName>
    <definedName name="wrn.Schedules.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ensitivity.">{"Sensitivity","2500/18",FALSE,"Senstivity analysis master"}</definedName>
    <definedName name="wrn.sept.">{"AcctsSept",#N/A,FALSE,"September";"CommSept",#N/A,FALSE,"September"}</definedName>
    <definedName name="wrn.sspall.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>{#N/A,#N/A,TRUE,"Staffnos &amp; cost"}</definedName>
    <definedName name="wrn.Staffcost.">{#N/A,#N/A,FALSE,"Staffnos &amp; cost"}</definedName>
    <definedName name="wrn.Staffing.">{#N/A,#N/A,FALSE,"Assessment";#N/A,#N/A,FALSE,"Staffing";#N/A,#N/A,FALSE,"Hires";#N/A,#N/A,FALSE,"Assumptions"}</definedName>
    <definedName name="wrn.Staffing1">{#N/A,#N/A,FALSE,"Assessment";#N/A,#N/A,FALSE,"Staffing";#N/A,#N/A,FALSE,"Hires";#N/A,#N/A,FALSE,"Assumptions"}</definedName>
    <definedName name="wrn.summ1">{#N/A,#N/A,FALSE,"COVER1.XLS ";#N/A,#N/A,FALSE,"RACT1.XLS";#N/A,#N/A,FALSE,"RACT2.XLS";#N/A,#N/A,FALSE,"ECCMP";#N/A,#N/A,FALSE,"WELDER.XLS"}</definedName>
    <definedName name="wrn.SUMMARY.">{#N/A,#N/A,FALSE,"SUMMARY";#N/A,#N/A,FALSE,"SUMMARY"}</definedName>
    <definedName name="wrn.Summary._.Exec.">{"Summary - Cover",#N/A,TRUE,"Cover - Summ";"Summary Commentary",#N/A,TRUE,"Stream Summary";"Summary P&amp;L",#N/A,TRUE,"Stream Summary";"Stream summary",#N/A,TRUE,"Stream Summary";"Stream staff",#N/A,TRUE,"Stream Summary";"Consultancy Notes",#N/A,TRUE,"Consultancy";"Consultancy Analysis",#N/A,TRUE,"Consultancy";"Pro fees Comm",#N/A,TRUE,"Professional fees";"Pro fees numbers",#N/A,TRUE,"Professional fees"}</definedName>
    <definedName name="wrn.Summary._.Exec._1">{"Summary - Cover",#N/A,TRUE,"Cover - Summ";"Summary Commentary",#N/A,TRUE,"Stream Summary";"Summary P&amp;L",#N/A,TRUE,"Stream Summary";"Stream summary",#N/A,TRUE,"Stream Summary";"Stream staff",#N/A,TRUE,"Stream Summary";"Consultancy Notes",#N/A,TRUE,"Consultancy";"Consultancy Analysis",#N/A,TRUE,"Consultancy";"Pro fees Comm",#N/A,TRUE,"Professional fees";"Pro fees numbers",#N/A,TRUE,"Professional fees"}</definedName>
    <definedName name="wrn.Summary._.Exec._1_1">{"Summary - Cover",#N/A,TRUE,"Cover - Summ";"Summary Commentary",#N/A,TRUE,"Stream Summary";"Summary P&amp;L",#N/A,TRUE,"Stream Summary";"Stream summary",#N/A,TRUE,"Stream Summary";"Stream staff",#N/A,TRUE,"Stream Summary";"Consultancy Notes",#N/A,TRUE,"Consultancy";"Consultancy Analysis",#N/A,TRUE,"Consultancy";"Pro fees Comm",#N/A,TRUE,"Professional fees";"Pro fees numbers",#N/A,TRUE,"Professional fees"}</definedName>
    <definedName name="wrn.Summary._.Exec._2">{"Summary - Cover",#N/A,TRUE,"Cover - Summ";"Summary Commentary",#N/A,TRUE,"Stream Summary";"Summary P&amp;L",#N/A,TRUE,"Stream Summary";"Stream summary",#N/A,TRUE,"Stream Summary";"Stream staff",#N/A,TRUE,"Stream Summary";"Consultancy Notes",#N/A,TRUE,"Consultancy";"Consultancy Analysis",#N/A,TRUE,"Consultancy";"Pro fees Comm",#N/A,TRUE,"Professional fees";"Pro fees numbers",#N/A,TRUE,"Professional fees"}</definedName>
    <definedName name="wrn.SUMMARY._1">{#N/A,#N/A,FALSE,"SUMMARY";#N/A,#N/A,FALSE,"SUMMARY"}</definedName>
    <definedName name="wrn.SUMMARY._1_1">{#N/A,#N/A,FALSE,"SUMMARY";#N/A,#N/A,FALSE,"SUMMARY"}</definedName>
    <definedName name="wrn.SUMMARY._1_2">{#N/A,#N/A,FALSE,"SUMMARY";#N/A,#N/A,FALSE,"SUMMARY"}</definedName>
    <definedName name="wrn.SUMMARY._1_3">{#N/A,#N/A,FALSE,"SUMMARY";#N/A,#N/A,FALSE,"SUMMARY"}</definedName>
    <definedName name="wrn.SUMMARY._1_4">{#N/A,#N/A,FALSE,"SUMMARY";#N/A,#N/A,FALSE,"SUMMARY"}</definedName>
    <definedName name="wrn.SUMMARY._2">{#N/A,#N/A,FALSE,"SUMMARY";#N/A,#N/A,FALSE,"SUMMARY"}</definedName>
    <definedName name="wrn.SUMMARY._2_1">{#N/A,#N/A,FALSE,"SUMMARY";#N/A,#N/A,FALSE,"SUMMARY"}</definedName>
    <definedName name="wrn.SUMMARY._2_2">{#N/A,#N/A,FALSE,"SUMMARY";#N/A,#N/A,FALSE,"SUMMARY"}</definedName>
    <definedName name="wrn.SUMMARY._2_3">{#N/A,#N/A,FALSE,"SUMMARY";#N/A,#N/A,FALSE,"SUMMARY"}</definedName>
    <definedName name="wrn.SUMMARY._2_4">{#N/A,#N/A,FALSE,"SUMMARY";#N/A,#N/A,FALSE,"SUMMARY"}</definedName>
    <definedName name="wrn.SUMMARY._3">{#N/A,#N/A,FALSE,"SUMMARY";#N/A,#N/A,FALSE,"SUMMARY"}</definedName>
    <definedName name="wrn.SUMMARY._3_1">{#N/A,#N/A,FALSE,"SUMMARY";#N/A,#N/A,FALSE,"SUMMARY"}</definedName>
    <definedName name="wrn.SUMMARY._3_2">{#N/A,#N/A,FALSE,"SUMMARY";#N/A,#N/A,FALSE,"SUMMARY"}</definedName>
    <definedName name="wrn.SUMMARY._3_3">{#N/A,#N/A,FALSE,"SUMMARY";#N/A,#N/A,FALSE,"SUMMARY"}</definedName>
    <definedName name="wrn.SUMMARY._3_4">{#N/A,#N/A,FALSE,"SUMMARY";#N/A,#N/A,FALSE,"SUMMARY"}</definedName>
    <definedName name="wrn.SUMMARY._4">{#N/A,#N/A,FALSE,"SUMMARY";#N/A,#N/A,FALSE,"SUMMARY"}</definedName>
    <definedName name="wrn.SUMMARY._4_1">{#N/A,#N/A,FALSE,"SUMMARY";#N/A,#N/A,FALSE,"SUMMARY"}</definedName>
    <definedName name="wrn.SUMMARY._4_2">{#N/A,#N/A,FALSE,"SUMMARY";#N/A,#N/A,FALSE,"SUMMARY"}</definedName>
    <definedName name="wrn.SUMMARY._4_3">{#N/A,#N/A,FALSE,"SUMMARY";#N/A,#N/A,FALSE,"SUMMARY"}</definedName>
    <definedName name="wrn.SUMMARY._4_4">{#N/A,#N/A,FALSE,"SUMMARY";#N/A,#N/A,FALSE,"SUMMARY"}</definedName>
    <definedName name="wrn.SUMMARY._5">{#N/A,#N/A,FALSE,"SUMMARY";#N/A,#N/A,FALSE,"SUMMARY"}</definedName>
    <definedName name="wrn.Tableaux._.A.">{#N/A,#N/A,FALSE,"Tabl. A1";#N/A,#N/A,FALSE,"Tabl. A1 b";#N/A,#N/A,FALSE,"Tabl. A2";#N/A,#N/A,FALSE,"Tabl. A2-1";#N/A,#N/A,FALSE,"Tabl. A2-2"}</definedName>
    <definedName name="wrn.Tableaux._.A._1">{#N/A,#N/A,FALSE,"Tabl. A1";#N/A,#N/A,FALSE,"Tabl. A1 b";#N/A,#N/A,FALSE,"Tabl. A2";#N/A,#N/A,FALSE,"Tabl. A2-1";#N/A,#N/A,FALSE,"Tabl. A2-2"}</definedName>
    <definedName name="wrn.Tableaux._.A._2">{#N/A,#N/A,FALSE,"Tabl. A1";#N/A,#N/A,FALSE,"Tabl. A1 b";#N/A,#N/A,FALSE,"Tabl. A2";#N/A,#N/A,FALSE,"Tabl. A2-1";#N/A,#N/A,FALSE,"Tabl. A2-2"}</definedName>
    <definedName name="wrn.Tableaux._.A._3">{#N/A,#N/A,FALSE,"Tabl. A1";#N/A,#N/A,FALSE,"Tabl. A1 b";#N/A,#N/A,FALSE,"Tabl. A2";#N/A,#N/A,FALSE,"Tabl. A2-1";#N/A,#N/A,FALSE,"Tabl. A2-2"}</definedName>
    <definedName name="wrn.Tableaux._.A._4">{#N/A,#N/A,FALSE,"Tabl. A1";#N/A,#N/A,FALSE,"Tabl. A1 b";#N/A,#N/A,FALSE,"Tabl. A2";#N/A,#N/A,FALSE,"Tabl. A2-1";#N/A,#N/A,FALSE,"Tabl. A2-2"}</definedName>
    <definedName name="wrn.Tableaux._.D.">{#N/A,#N/A,FALSE,"Tabl. D1";#N/A,#N/A,FALSE,"Tabl. D1 b";#N/A,#N/A,FALSE,"Tabl. D2";#N/A,#N/A,FALSE,"Tabl. D2 b";#N/A,#N/A,FALSE,"Tabl. D3";#N/A,#N/A,FALSE,"Tabl. D4";#N/A,#N/A,FALSE,"Tabl. D5"}</definedName>
    <definedName name="wrn.Tableaux._.D._1">{#N/A,#N/A,FALSE,"Tabl. D1";#N/A,#N/A,FALSE,"Tabl. D1 b";#N/A,#N/A,FALSE,"Tabl. D2";#N/A,#N/A,FALSE,"Tabl. D2 b";#N/A,#N/A,FALSE,"Tabl. D3";#N/A,#N/A,FALSE,"Tabl. D4";#N/A,#N/A,FALSE,"Tabl. D5"}</definedName>
    <definedName name="wrn.Tableaux._.D._2">{#N/A,#N/A,FALSE,"Tabl. D1";#N/A,#N/A,FALSE,"Tabl. D1 b";#N/A,#N/A,FALSE,"Tabl. D2";#N/A,#N/A,FALSE,"Tabl. D2 b";#N/A,#N/A,FALSE,"Tabl. D3";#N/A,#N/A,FALSE,"Tabl. D4";#N/A,#N/A,FALSE,"Tabl. D5"}</definedName>
    <definedName name="wrn.Tableaux._.D._3">{#N/A,#N/A,FALSE,"Tabl. D1";#N/A,#N/A,FALSE,"Tabl. D1 b";#N/A,#N/A,FALSE,"Tabl. D2";#N/A,#N/A,FALSE,"Tabl. D2 b";#N/A,#N/A,FALSE,"Tabl. D3";#N/A,#N/A,FALSE,"Tabl. D4";#N/A,#N/A,FALSE,"Tabl. D5"}</definedName>
    <definedName name="wrn.Tableaux._.D._4">{#N/A,#N/A,FALSE,"Tabl. D1";#N/A,#N/A,FALSE,"Tabl. D1 b";#N/A,#N/A,FALSE,"Tabl. D2";#N/A,#N/A,FALSE,"Tabl. D2 b";#N/A,#N/A,FALSE,"Tabl. D3";#N/A,#N/A,FALSE,"Tabl. D4";#N/A,#N/A,FALSE,"Tabl. D5"}</definedName>
    <definedName name="wrn.Tableaux._.F.">{#N/A,#N/A,FALSE,"Tabl. FB300";#N/A,#N/A,FALSE,"Tabl. FB350";#N/A,#N/A,FALSE,"Tabl. FB400";#N/A,#N/A,FALSE,"Tabl. FB500";#N/A,#N/A,FALSE,"Tabl. FS090"}</definedName>
    <definedName name="wrn.Tableaux._.F._1">{#N/A,#N/A,FALSE,"Tabl. FB300";#N/A,#N/A,FALSE,"Tabl. FB350";#N/A,#N/A,FALSE,"Tabl. FB400";#N/A,#N/A,FALSE,"Tabl. FB500";#N/A,#N/A,FALSE,"Tabl. FS090"}</definedName>
    <definedName name="wrn.Tableaux._.F._2">{#N/A,#N/A,FALSE,"Tabl. FB300";#N/A,#N/A,FALSE,"Tabl. FB350";#N/A,#N/A,FALSE,"Tabl. FB400";#N/A,#N/A,FALSE,"Tabl. FB500";#N/A,#N/A,FALSE,"Tabl. FS090"}</definedName>
    <definedName name="wrn.Tableaux._.F._3">{#N/A,#N/A,FALSE,"Tabl. FB300";#N/A,#N/A,FALSE,"Tabl. FB350";#N/A,#N/A,FALSE,"Tabl. FB400";#N/A,#N/A,FALSE,"Tabl. FB500";#N/A,#N/A,FALSE,"Tabl. FS090"}</definedName>
    <definedName name="wrn.Tableaux._.F._4">{#N/A,#N/A,FALSE,"Tabl. FB300";#N/A,#N/A,FALSE,"Tabl. FB350";#N/A,#N/A,FALSE,"Tabl. FB400";#N/A,#N/A,FALSE,"Tabl. FB500";#N/A,#N/A,FALSE,"Tabl. FS090"}</definedName>
    <definedName name="wrn.Tableaux._.G.">{#N/A,#N/A,FALSE,"Tabl. G1";#N/A,#N/A,FALSE,"Tabl. G2"}</definedName>
    <definedName name="wrn.Tableaux._.G._1">{#N/A,#N/A,FALSE,"Tabl. G1";#N/A,#N/A,FALSE,"Tabl. G2"}</definedName>
    <definedName name="wrn.Tableaux._.G._2">{#N/A,#N/A,FALSE,"Tabl. G1";#N/A,#N/A,FALSE,"Tabl. G2"}</definedName>
    <definedName name="wrn.Tableaux._.G._3">{#N/A,#N/A,FALSE,"Tabl. G1";#N/A,#N/A,FALSE,"Tabl. G2"}</definedName>
    <definedName name="wrn.Tableaux._.G._4">{#N/A,#N/A,FALSE,"Tabl. G1";#N/A,#N/A,FALSE,"Tabl. G2"}</definedName>
    <definedName name="wrn.Tableaux._.H.">{#N/A,#N/A,FALSE,"Tabl. H1";#N/A,#N/A,FALSE,"Tabl. H2"}</definedName>
    <definedName name="wrn.Tableaux._.H._1">{#N/A,#N/A,FALSE,"Tabl. H1";#N/A,#N/A,FALSE,"Tabl. H2"}</definedName>
    <definedName name="wrn.Tableaux._.H._2">{#N/A,#N/A,FALSE,"Tabl. H1";#N/A,#N/A,FALSE,"Tabl. H2"}</definedName>
    <definedName name="wrn.Tableaux._.H._3">{#N/A,#N/A,FALSE,"Tabl. H1";#N/A,#N/A,FALSE,"Tabl. H2"}</definedName>
    <definedName name="wrn.Tableaux._.H._4">{#N/A,#N/A,FALSE,"Tabl. H1";#N/A,#N/A,FALSE,"Tabl. H2"}</definedName>
    <definedName name="wrn.TARGET._.DCF.">{"targetdcf",#N/A,FALSE,"Merger consequences";"TARGETASSU",#N/A,FALSE,"Merger consequences";"TERMINAL VALUE",#N/A,FALSE,"Merger consequences"}</definedName>
    <definedName name="wrn.Telstra._.Inputs.">{"Inputs",#N/A,FALSE,"US_FL";"Inputs",#N/A,FALSE,"EUROPE_FL";"Inputs",#N/A,FALSE,"ASIA_FL"}</definedName>
    <definedName name="wrn.Telstra._.Output.">{"Output",#N/A,FALSE,"US_FL";"Output",#N/A,FALSE,"EUROPE_FL";"Output",#N/A,FALSE,"ASIA_FL"}</definedName>
    <definedName name="wrn.Temp.">{"Side 1",#N/A,FALSE,"Hovedark";"Valuation",#N/A,FALSE,"Valuation";"Side 2",#N/A,FALSE,"Hovedark";"Cash Flow",#N/A,FALSE,"Hovedark";"Bidrag",#N/A,FALSE,"Bidrag"}</definedName>
    <definedName name="wrn.Tenants._.Fittings.">{"Tenants Fittings Commentary",#N/A,TRUE,"Tenants Fittings";#N/A,#N/A,TRUE,"Tenant Fittings"}</definedName>
    <definedName name="wrn.Tenants._.Fittings._1">{"Tenants Fittings Commentary",#N/A,TRUE,"Tenants Fittings";#N/A,#N/A,TRUE,"Tenant Fittings"}</definedName>
    <definedName name="wrn.Tenants._.Fittings._1_1">{"Tenants Fittings Commentary",#N/A,TRUE,"Tenants Fittings";#N/A,#N/A,TRUE,"Tenant Fittings"}</definedName>
    <definedName name="wrn.Tenants._.Fittings._2">{"Tenants Fittings Commentary",#N/A,TRUE,"Tenants Fittings";#N/A,#N/A,TRUE,"Tenant Fittings"}</definedName>
    <definedName name="wrn.test1.">{"P&amp;LSummary",#N/A,FALSE,"Summary";"P&amp;L1",#N/A,FALSE,"First Division"}</definedName>
    <definedName name="wrn.test1._1">{"P&amp;LSummary",#N/A,FALSE,"Summary";"P&amp;L1",#N/A,FALSE,"First Division"}</definedName>
    <definedName name="wrn.test1._1_1">{"P&amp;LSummary",#N/A,FALSE,"Summary";"P&amp;L1",#N/A,FALSE,"First Division"}</definedName>
    <definedName name="wrn.test1._2">{"P&amp;LSummary",#N/A,FALSE,"Summary";"P&amp;L1",#N/A,FALSE,"First Division"}</definedName>
    <definedName name="wrn.Third._.Party.">{#N/A,#N/A,TRUE,"Third party"}</definedName>
    <definedName name="wrn.Third._.Party._1">{#N/A,#N/A,TRUE,"Third party"}</definedName>
    <definedName name="wrn.Third._.Party._1_1">{#N/A,#N/A,TRUE,"Third party"}</definedName>
    <definedName name="wrn.Third._.Party._2">{#N/A,#N/A,TRUE,"Third party"}</definedName>
    <definedName name="wrn.TMCALL.">{"tmccash",#N/A,FALSE,"INCX";"tmcinc",#N/A,FALSE,"INCX";"tmcpretx",#N/A,FALSE,"INCX";"tmcadrev",#N/A,FALSE,"INCX";"tmcbooks",#N/A,FALSE,"INCX"}</definedName>
    <definedName name="wrn.Total._.Business.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5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>{#N/A,#N/A,FALSE,"Sales Graph";#N/A,#N/A,FALSE,"BUC Graph";#N/A,#N/A,FALSE,"P&amp;L - YTD"}</definedName>
    <definedName name="wrn.Total._.Market._.Report._1">{#N/A,#N/A,FALSE,"Sales Graph";#N/A,#N/A,FALSE,"BUC Graph";#N/A,#N/A,FALSE,"P&amp;L - YTD"}</definedName>
    <definedName name="wrn.Total._.Market._.Report._2">{#N/A,#N/A,FALSE,"Sales Graph";#N/A,#N/A,FALSE,"BUC Graph";#N/A,#N/A,FALSE,"P&amp;L - YTD"}</definedName>
    <definedName name="wrn.Total._.Market._.Report._3">{#N/A,#N/A,FALSE,"Sales Graph";#N/A,#N/A,FALSE,"BUC Graph";#N/A,#N/A,FALSE,"P&amp;L - YTD"}</definedName>
    <definedName name="wrn.Total._.Market._.Report._4">{#N/A,#N/A,FALSE,"Sales Graph";#N/A,#N/A,FALSE,"BUC Graph";#N/A,#N/A,FALSE,"P&amp;L - YTD"}</definedName>
    <definedName name="wrn.Total._.Market._.Report._5">{#N/A,#N/A,FALSE,"Sales Graph";#N/A,#N/A,FALSE,"BUC Graph";#N/A,#N/A,FALSE,"P&amp;L - YTD"}</definedName>
    <definedName name="wrn.Total._.Pack.">{#N/A,#N/A,FALSE,"UK";#N/A,#N/A,FALSE,"FR";#N/A,#N/A,FALSE,"SWE";#N/A,#N/A,FALSE,"BE";#N/A,#N/A,FALSE,"IT";#N/A,#N/A,FALSE,"SP";#N/A,#N/A,FALSE,"GE";#N/A,#N/A,FALSE,"PO";#N/A,#N/A,FALSE,"SWI";#N/A,#N/A,FALSE,"NON"}</definedName>
    <definedName name="wrn.Total._.Summary.">{#N/A,#N/A,FALSE,"Summary";#N/A,#N/A,FALSE,"Total";#N/A,#N/A,FALSE,"Total ex Swe";#N/A,#N/A,FALSE,"Volume";#N/A,#N/A,FALSE,"Expenses";#N/A,#N/A,FALSE,"CM Var";#N/A,#N/A,FALSE,"YTD Var"}</definedName>
    <definedName name="wrn.TOTAL1.">{#N/A,#N/A,FALSE,"IB1";#N/A,#N/A,FALSE,"IC1";#N/A,#N/A,FALSE,"ID2";#N/A,#N/A,FALSE,"ID3";#N/A,#N/A,FALSE,"ID4";#N/A,#N/A,FALSE,"ID5";#N/A,#N/A,FALSE,"ID6";#N/A,#N/A,FALSE,"ID6A";#N/A,#N/A,FALSE,"ID6B";#N/A,#N/A,FALSE,"ID6C";#N/A,#N/A,FALSE,"ID6_TOTAL";#N/A,#N/A,FALSE,"ID8";#N/A,#N/A,FALSE,"IG1";#N/A,#N/A,FALSE,"IG2"}</definedName>
    <definedName name="wrn.totalreview.">{"Cover",#N/A,TRUE,"FrontCover";"Operations Summary Cover",#N/A,TRUE,"Summarycover";"Operations - 02 Commentary",#N/A,TRUE,"Ops Summary";"Operations - 01 Profit &amp; Loss",#N/A,TRUE,"Ops Summary";"Finance Cover",#N/A,TRUE,"Financecover";"Finance M - 02 Commentary",#N/A,TRUE,"Financial Mgt";"Finance M - 01 Profit &amp; Loss",#N/A,TRUE,"Financial Mgt";"Finance M - 03 Staff Analysis",#N/A,TRUE,"Financial Mgt";"Finance M - 04 Staff Costs",#N/A,TRUE,"Financial Mgt";"Finance M - 05 Travel A &amp; E",#N/A,TRUE,"Financial Mgt";"Finance M - 06 Other Costs",#N/A,TRUE,"Financial Mgt";"I System Cover",#N/A,TRUE,"IScover ";"I Systems - 02 Commentary",#N/A,TRUE,"Information Syst";"I Systems - 01 Profit &amp; Loss",#N/A,TRUE,"Information Syst";"I Systems - 03 Staff Analysis",#N/A,TRUE,"Information Syst";"I Systems - 04 Staff Costs",#N/A,TRUE,"Information Syst";"I Systems - 05 Equipment",#N/A,TRUE,"Information Syst";"I Systems - 06 Travel A &amp; E",#N/A,TRUE,"Information Syst";"I Systems - 07 Consultancy",#N/A,TRUE,"Information Syst";"I Systems - 08 Other Costs",#N/A,TRUE,"Information Syst";"Accomm &amp; A Cover",#N/A,TRUE,"Admin &amp; Accomm Cover";"Accomm &amp; A - 02 Commentary",#N/A,TRUE,"Accomm &amp; Admin";"Accomm &amp; A - 01 Profit &amp; Loss",#N/A,TRUE,"Accomm &amp; Admin";"Accomm &amp; A - 03 Staff Analysis",#N/A,TRUE,"Accomm &amp; Admin";"Accomm &amp; A - 04 Staff Costs",#N/A,TRUE,"Accomm &amp; Admin";"Accomm &amp; A - 05 Premises",#N/A,TRUE,"Accomm &amp; Admin";"Accomm &amp; A - 06 Equipment",#N/A,TRUE,"Accomm &amp; Admin";"Accomm &amp; A - 07 Travel A &amp; E",#N/A,TRUE,"Accomm &amp; Admin";"Accomm &amp; A - 08 Other Costs",#N/A,TRUE,"Accomm &amp; Admin";"Human Res Cover",#N/A,TRUE,"HR Cover";"Human Res - 02 Commentary",#N/A,TRUE,"Human Res";"Human Res - 01 Profit &amp; Loss",#N/A,TRUE,"Human Res";"Human Res - 03 Staff Analysis",#N/A,TRUE,"Human Res";"Human Res - 04 Staff Costs",#N/A,TRUE,"Human Res";"Human Res - 05 Travel A &amp; E",#N/A,TRUE,"Human Res";"Human Res - 06 Consultancy",#N/A,TRUE,"Human Res";"Human Res - 07 Other Costs",#N/A,TRUE,"Human Res";"Central Cover",#N/A,TRUE,"GPS Central";"Central - 03 Commentary",#N/A,TRUE,"GPS Central";"Central - 02 Profit &amp; Loss",#N/A,TRUE,"GPS Central"}</definedName>
    <definedName name="wrn.totalreview._1">{"Cover",#N/A,TRUE,"FrontCover";"Operations Summary Cover",#N/A,TRUE,"Summarycover";"Operations - 02 Commentary",#N/A,TRUE,"Ops Summary";"Operations - 01 Profit &amp; Loss",#N/A,TRUE,"Ops Summary";"Finance Cover",#N/A,TRUE,"Financecover";"Finance M - 02 Commentary",#N/A,TRUE,"Financial Mgt";"Finance M - 01 Profit &amp; Loss",#N/A,TRUE,"Financial Mgt";"Finance M - 03 Staff Analysis",#N/A,TRUE,"Financial Mgt";"Finance M - 04 Staff Costs",#N/A,TRUE,"Financial Mgt";"Finance M - 05 Travel A &amp; E",#N/A,TRUE,"Financial Mgt";"Finance M - 06 Other Costs",#N/A,TRUE,"Financial Mgt";"I System Cover",#N/A,TRUE,"IScover ";"I Systems - 02 Commentary",#N/A,TRUE,"Information Syst";"I Systems - 01 Profit &amp; Loss",#N/A,TRUE,"Information Syst";"I Systems - 03 Staff Analysis",#N/A,TRUE,"Information Syst";"I Systems - 04 Staff Costs",#N/A,TRUE,"Information Syst";"I Systems - 05 Equipment",#N/A,TRUE,"Information Syst";"I Systems - 06 Travel A &amp; E",#N/A,TRUE,"Information Syst";"I Systems - 07 Consultancy",#N/A,TRUE,"Information Syst";"I Systems - 08 Other Costs",#N/A,TRUE,"Information Syst";"Accomm &amp; A Cover",#N/A,TRUE,"Admin &amp; Accomm Cover";"Accomm &amp; A - 02 Commentary",#N/A,TRUE,"Accomm &amp; Admin";"Accomm &amp; A - 01 Profit &amp; Loss",#N/A,TRUE,"Accomm &amp; Admin";"Accomm &amp; A - 03 Staff Analysis",#N/A,TRUE,"Accomm &amp; Admin";"Accomm &amp; A - 04 Staff Costs",#N/A,TRUE,"Accomm &amp; Admin";"Accomm &amp; A - 05 Premises",#N/A,TRUE,"Accomm &amp; Admin";"Accomm &amp; A - 06 Equipment",#N/A,TRUE,"Accomm &amp; Admin";"Accomm &amp; A - 07 Travel A &amp; E",#N/A,TRUE,"Accomm &amp; Admin";"Accomm &amp; A - 08 Other Costs",#N/A,TRUE,"Accomm &amp; Admin";"Human Res Cover",#N/A,TRUE,"HR Cover";"Human Res - 02 Commentary",#N/A,TRUE,"Human Res";"Human Res - 01 Profit &amp; Loss",#N/A,TRUE,"Human Res";"Human Res - 03 Staff Analysis",#N/A,TRUE,"Human Res";"Human Res - 04 Staff Costs",#N/A,TRUE,"Human Res";"Human Res - 05 Travel A &amp; E",#N/A,TRUE,"Human Res";"Human Res - 06 Consultancy",#N/A,TRUE,"Human Res";"Human Res - 07 Other Costs",#N/A,TRUE,"Human Res";"Central Cover",#N/A,TRUE,"GPS Central";"Central - 03 Commentary",#N/A,TRUE,"GPS Central";"Central - 02 Profit &amp; Loss",#N/A,TRUE,"GPS Central"}</definedName>
    <definedName name="wrn.totalreview._1_1">{"Cover",#N/A,TRUE,"FrontCover";"Operations Summary Cover",#N/A,TRUE,"Summarycover";"Operations - 02 Commentary",#N/A,TRUE,"Ops Summary";"Operations - 01 Profit &amp; Loss",#N/A,TRUE,"Ops Summary";"Finance Cover",#N/A,TRUE,"Financecover";"Finance M - 02 Commentary",#N/A,TRUE,"Financial Mgt";"Finance M - 01 Profit &amp; Loss",#N/A,TRUE,"Financial Mgt";"Finance M - 03 Staff Analysis",#N/A,TRUE,"Financial Mgt";"Finance M - 04 Staff Costs",#N/A,TRUE,"Financial Mgt";"Finance M - 05 Travel A &amp; E",#N/A,TRUE,"Financial Mgt";"Finance M - 06 Other Costs",#N/A,TRUE,"Financial Mgt";"I System Cover",#N/A,TRUE,"IScover ";"I Systems - 02 Commentary",#N/A,TRUE,"Information Syst";"I Systems - 01 Profit &amp; Loss",#N/A,TRUE,"Information Syst";"I Systems - 03 Staff Analysis",#N/A,TRUE,"Information Syst";"I Systems - 04 Staff Costs",#N/A,TRUE,"Information Syst";"I Systems - 05 Equipment",#N/A,TRUE,"Information Syst";"I Systems - 06 Travel A &amp; E",#N/A,TRUE,"Information Syst";"I Systems - 07 Consultancy",#N/A,TRUE,"Information Syst";"I Systems - 08 Other Costs",#N/A,TRUE,"Information Syst";"Accomm &amp; A Cover",#N/A,TRUE,"Admin &amp; Accomm Cover";"Accomm &amp; A - 02 Commentary",#N/A,TRUE,"Accomm &amp; Admin";"Accomm &amp; A - 01 Profit &amp; Loss",#N/A,TRUE,"Accomm &amp; Admin";"Accomm &amp; A - 03 Staff Analysis",#N/A,TRUE,"Accomm &amp; Admin";"Accomm &amp; A - 04 Staff Costs",#N/A,TRUE,"Accomm &amp; Admin";"Accomm &amp; A - 05 Premises",#N/A,TRUE,"Accomm &amp; Admin";"Accomm &amp; A - 06 Equipment",#N/A,TRUE,"Accomm &amp; Admin";"Accomm &amp; A - 07 Travel A &amp; E",#N/A,TRUE,"Accomm &amp; Admin";"Accomm &amp; A - 08 Other Costs",#N/A,TRUE,"Accomm &amp; Admin";"Human Res Cover",#N/A,TRUE,"HR Cover";"Human Res - 02 Commentary",#N/A,TRUE,"Human Res";"Human Res - 01 Profit &amp; Loss",#N/A,TRUE,"Human Res";"Human Res - 03 Staff Analysis",#N/A,TRUE,"Human Res";"Human Res - 04 Staff Costs",#N/A,TRUE,"Human Res";"Human Res - 05 Travel A &amp; E",#N/A,TRUE,"Human Res";"Human Res - 06 Consultancy",#N/A,TRUE,"Human Res";"Human Res - 07 Other Costs",#N/A,TRUE,"Human Res";"Central Cover",#N/A,TRUE,"GPS Central";"Central - 03 Commentary",#N/A,TRUE,"GPS Central";"Central - 02 Profit &amp; Loss",#N/A,TRUE,"GPS Central"}</definedName>
    <definedName name="wrn.totalreview._2">{"Cover",#N/A,TRUE,"FrontCover";"Operations Summary Cover",#N/A,TRUE,"Summarycover";"Operations - 02 Commentary",#N/A,TRUE,"Ops Summary";"Operations - 01 Profit &amp; Loss",#N/A,TRUE,"Ops Summary";"Finance Cover",#N/A,TRUE,"Financecover";"Finance M - 02 Commentary",#N/A,TRUE,"Financial Mgt";"Finance M - 01 Profit &amp; Loss",#N/A,TRUE,"Financial Mgt";"Finance M - 03 Staff Analysis",#N/A,TRUE,"Financial Mgt";"Finance M - 04 Staff Costs",#N/A,TRUE,"Financial Mgt";"Finance M - 05 Travel A &amp; E",#N/A,TRUE,"Financial Mgt";"Finance M - 06 Other Costs",#N/A,TRUE,"Financial Mgt";"I System Cover",#N/A,TRUE,"IScover ";"I Systems - 02 Commentary",#N/A,TRUE,"Information Syst";"I Systems - 01 Profit &amp; Loss",#N/A,TRUE,"Information Syst";"I Systems - 03 Staff Analysis",#N/A,TRUE,"Information Syst";"I Systems - 04 Staff Costs",#N/A,TRUE,"Information Syst";"I Systems - 05 Equipment",#N/A,TRUE,"Information Syst";"I Systems - 06 Travel A &amp; E",#N/A,TRUE,"Information Syst";"I Systems - 07 Consultancy",#N/A,TRUE,"Information Syst";"I Systems - 08 Other Costs",#N/A,TRUE,"Information Syst";"Accomm &amp; A Cover",#N/A,TRUE,"Admin &amp; Accomm Cover";"Accomm &amp; A - 02 Commentary",#N/A,TRUE,"Accomm &amp; Admin";"Accomm &amp; A - 01 Profit &amp; Loss",#N/A,TRUE,"Accomm &amp; Admin";"Accomm &amp; A - 03 Staff Analysis",#N/A,TRUE,"Accomm &amp; Admin";"Accomm &amp; A - 04 Staff Costs",#N/A,TRUE,"Accomm &amp; Admin";"Accomm &amp; A - 05 Premises",#N/A,TRUE,"Accomm &amp; Admin";"Accomm &amp; A - 06 Equipment",#N/A,TRUE,"Accomm &amp; Admin";"Accomm &amp; A - 07 Travel A &amp; E",#N/A,TRUE,"Accomm &amp; Admin";"Accomm &amp; A - 08 Other Costs",#N/A,TRUE,"Accomm &amp; Admin";"Human Res Cover",#N/A,TRUE,"HR Cover";"Human Res - 02 Commentary",#N/A,TRUE,"Human Res";"Human Res - 01 Profit &amp; Loss",#N/A,TRUE,"Human Res";"Human Res - 03 Staff Analysis",#N/A,TRUE,"Human Res";"Human Res - 04 Staff Costs",#N/A,TRUE,"Human Res";"Human Res - 05 Travel A &amp; E",#N/A,TRUE,"Human Res";"Human Res - 06 Consultancy",#N/A,TRUE,"Human Res";"Human Res - 07 Other Costs",#N/A,TRUE,"Human Res";"Central Cover",#N/A,TRUE,"GPS Central";"Central - 03 Commentary",#N/A,TRUE,"GPS Central";"Central - 02 Profit &amp; Loss",#N/A,TRUE,"GPS Central"}</definedName>
    <definedName name="wrn.TOWNSHIP.">{#N/A,#N/A,FALSE,"TOWNSHIP"}</definedName>
    <definedName name="wrn.TOWNSHIP._1">{#N/A,#N/A,FALSE,"TOWNSHIP"}</definedName>
    <definedName name="wrn.TOWNSHIP._1_1">{#N/A,#N/A,FALSE,"TOWNSHIP"}</definedName>
    <definedName name="wrn.TOWNSHIP._1_2">{#N/A,#N/A,FALSE,"TOWNSHIP"}</definedName>
    <definedName name="wrn.TOWNSHIP._1_3">{#N/A,#N/A,FALSE,"TOWNSHIP"}</definedName>
    <definedName name="wrn.TOWNSHIP._1_4">{#N/A,#N/A,FALSE,"TOWNSHIP"}</definedName>
    <definedName name="wrn.TOWNSHIP._2">{#N/A,#N/A,FALSE,"TOWNSHIP"}</definedName>
    <definedName name="wrn.TOWNSHIP._2_1">{#N/A,#N/A,FALSE,"TOWNSHIP"}</definedName>
    <definedName name="wrn.TOWNSHIP._2_2">{#N/A,#N/A,FALSE,"TOWNSHIP"}</definedName>
    <definedName name="wrn.TOWNSHIP._2_3">{#N/A,#N/A,FALSE,"TOWNSHIP"}</definedName>
    <definedName name="wrn.TOWNSHIP._2_4">{#N/A,#N/A,FALSE,"TOWNSHIP"}</definedName>
    <definedName name="wrn.TOWNSHIP._3">{#N/A,#N/A,FALSE,"TOWNSHIP"}</definedName>
    <definedName name="wrn.TOWNSHIP._3_1">{#N/A,#N/A,FALSE,"TOWNSHIP"}</definedName>
    <definedName name="wrn.TOWNSHIP._3_2">{#N/A,#N/A,FALSE,"TOWNSHIP"}</definedName>
    <definedName name="wrn.TOWNSHIP._3_3">{#N/A,#N/A,FALSE,"TOWNSHIP"}</definedName>
    <definedName name="wrn.TOWNSHIP._3_4">{#N/A,#N/A,FALSE,"TOWNSHIP"}</definedName>
    <definedName name="wrn.TOWNSHIP._4">{#N/A,#N/A,FALSE,"TOWNSHIP"}</definedName>
    <definedName name="wrn.TOWNSHIP._4_1">{#N/A,#N/A,FALSE,"TOWNSHIP"}</definedName>
    <definedName name="wrn.TOWNSHIP._4_2">{#N/A,#N/A,FALSE,"TOWNSHIP"}</definedName>
    <definedName name="wrn.TOWNSHIP._4_3">{#N/A,#N/A,FALSE,"TOWNSHIP"}</definedName>
    <definedName name="wrn.TOWNSHIP._4_4">{#N/A,#N/A,FALSE,"TOWNSHIP"}</definedName>
    <definedName name="wrn.TOWNSHIP._5">{#N/A,#N/A,FALSE,"TOWNSHIP"}</definedName>
    <definedName name="wrn.TRAFFIC.">{#N/A,#N/A,TRUE,"TRAFFIC1";#N/A,#N/A,TRUE,"TRAFFIC2"}</definedName>
    <definedName name="wrn.trball.">{"trbcash",#N/A,FALSE,"INCPF";"trbinc",#N/A,FALSE,"INCPF";"trbchic",#N/A,FALSE,"INCPF";"trbadrev",#N/A,FALSE,"INCPF";"trbstns",#N/A,FALSE,"INCPF";"trbtvstns",#N/A,FALSE,"INCPF"}</definedName>
    <definedName name="wrn.Trial._.Balance.">{#N/A,#N/A,TRUE,"constb"}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Variance._.Q1.">{"Variance Q1",#N/A,FALSE,"Var"}</definedName>
    <definedName name="wrn.Variance._.Q2.">{"Variance Q2",#N/A,FALSE,"Var"}</definedName>
    <definedName name="wrn.Variance._.Q3.">{"Variance Q3",#N/A,FALSE,"Var"}</definedName>
    <definedName name="wrn.Variance._.Q4">{"Variance Q4",#N/A,FALSE,"Var"}</definedName>
    <definedName name="wrn.Variance._.Q4.">{"Variance Q4",#N/A,FALSE,"Var"}</definedName>
    <definedName name="wrn.VENKAT1.">{#N/A,#N/A,FALSE,"Final (2)"}</definedName>
    <definedName name="wrn.Wacc.">{"Area1",#N/A,FALSE,"OREWACC";"Area2",#N/A,FALSE,"OREWACC"}</definedName>
    <definedName name="wrn.wpoall.">{"wpocash",#N/A,FALSE,"WPOALLT";"wpoinc",#N/A,FALSE,"WPOALLT";"wpoexcl",#N/A,FALSE,"WPOALLT";"wpocable",#N/A,FALSE,"WPOALLT";"wpobroad",#N/A,FALSE,"WPOALLT";"wpopost",#N/A,FALSE,"WPOALLT";"wponwsweek",#N/A,FALSE,"WPOALLT"}</definedName>
    <definedName name="wrn.Y2K._.Compliance.">{"P&amp;L1",#N/A,TRUE,"Y2K Compliance";"Commentary1",#N/A,TRUE,"Y2K Compliance"}</definedName>
    <definedName name="wrn.Y2K._.Compliance._1">{"P&amp;L1",#N/A,TRUE,"Y2K Compliance";"Commentary1",#N/A,TRUE,"Y2K Compliance"}</definedName>
    <definedName name="wrn.Y2K._.Compliance._1_1">{"P&amp;L1",#N/A,TRUE,"Y2K Compliance";"Commentary1",#N/A,TRUE,"Y2K Compliance"}</definedName>
    <definedName name="wrn.Y2K._.Compliance._2">{"P&amp;L1",#N/A,TRUE,"Y2K Compliance";"Commentary1",#N/A,TRUE,"Y2K Compliance"}</definedName>
    <definedName name="wrn.Y2K._.Embedded._.Chip._.Project._.Mgt.">{"P&amp;L1",#N/A,TRUE,"Y2K Embedded Chip Project Mgt ";"Commentary1",#N/A,TRUE,"Y2K Embedded Chip Project Mgt "}</definedName>
    <definedName name="wrn.Y2K._.Embedded._.Chip._.Project._.Mgt._1">{"P&amp;L1",#N/A,TRUE,"Y2K Embedded Chip Project Mgt ";"Commentary1",#N/A,TRUE,"Y2K Embedded Chip Project Mgt "}</definedName>
    <definedName name="wrn.Y2K._.Embedded._.Chip._.Project._.Mgt._1_1">{"P&amp;L1",#N/A,TRUE,"Y2K Embedded Chip Project Mgt ";"Commentary1",#N/A,TRUE,"Y2K Embedded Chip Project Mgt "}</definedName>
    <definedName name="wrn.Y2K._.Embedded._.Chip._.Project._.Mgt._2">{"P&amp;L1",#N/A,TRUE,"Y2K Embedded Chip Project Mgt ";"Commentary1",#N/A,TRUE,"Y2K Embedded Chip Project Mgt "}</definedName>
    <definedName name="wrn.간단한세무조정계산서.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중장기._.사업계획.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rn1.brief">{#N/A,#N/A,TRUE,"Summary";#N/A,#N/A,TRUE,"Balance Sheet";#N/A,#N/A,TRUE,"P &amp; L";#N/A,#N/A,TRUE,"Fixed Assets";#N/A,#N/A,TRUE,"Cash Flows"}</definedName>
    <definedName name="wrn1.brief_1">{#N/A,#N/A,TRUE,"Summary";#N/A,#N/A,TRUE,"Balance Sheet";#N/A,#N/A,TRUE,"P &amp; L";#N/A,#N/A,TRUE,"Fixed Assets";#N/A,#N/A,TRUE,"Cash Flows"}</definedName>
    <definedName name="wrn1.brief_1_1">{#N/A,#N/A,TRUE,"Summary";#N/A,#N/A,TRUE,"Balance Sheet";#N/A,#N/A,TRUE,"P &amp; L";#N/A,#N/A,TRUE,"Fixed Assets";#N/A,#N/A,TRUE,"Cash Flows"}</definedName>
    <definedName name="wrn1.brief_2">{#N/A,#N/A,TRUE,"Summary";#N/A,#N/A,TRUE,"Balance Sheet";#N/A,#N/A,TRUE,"P &amp; L";#N/A,#N/A,TRUE,"Fixed Assets";#N/A,#N/A,TRUE,"Cash Flows"}</definedName>
    <definedName name="wrn1.brief_3">{#N/A,#N/A,TRUE,"Summary";#N/A,#N/A,TRUE,"Balance Sheet";#N/A,#N/A,TRUE,"P &amp; L";#N/A,#N/A,TRUE,"Fixed Assets";#N/A,#N/A,TRUE,"Cash Flows"}</definedName>
    <definedName name="wrn1.elaborate">{#N/A,#N/A,FALSE,"Cash Flows";#N/A,#N/A,FALSE,"Fixed Assets";#N/A,#N/A,FALSE,"Balance Sheet";#N/A,#N/A,FALSE,"P &amp; L"}</definedName>
    <definedName name="wrn1.elaborate_1">{#N/A,#N/A,FALSE,"Cash Flows";#N/A,#N/A,FALSE,"Fixed Assets";#N/A,#N/A,FALSE,"Balance Sheet";#N/A,#N/A,FALSE,"P &amp; L"}</definedName>
    <definedName name="wrn1.elaborate_1_1">{#N/A,#N/A,FALSE,"Cash Flows";#N/A,#N/A,FALSE,"Fixed Assets";#N/A,#N/A,FALSE,"Balance Sheet";#N/A,#N/A,FALSE,"P &amp; L"}</definedName>
    <definedName name="wrn1.elaborate_2">{#N/A,#N/A,FALSE,"Cash Flows";#N/A,#N/A,FALSE,"Fixed Assets";#N/A,#N/A,FALSE,"Balance Sheet";#N/A,#N/A,FALSE,"P &amp; L"}</definedName>
    <definedName name="wrn1.elaborate_3">{#N/A,#N/A,FALSE,"Cash Flows";#N/A,#N/A,FALSE,"Fixed Assets";#N/A,#N/A,FALSE,"Balance Sheet";#N/A,#N/A,FALSE,"P &amp; L"}</definedName>
    <definedName name="wrn1.FORM1.">{#N/A,#N/A,FALSE,"COMP"}</definedName>
    <definedName name="wrn1.repot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2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elaborate">{#N/A,#N/A,FALSE,"Cash Flows";#N/A,#N/A,FALSE,"Fixed Assets";#N/A,#N/A,FALSE,"Balance Sheet";#N/A,#N/A,FALSE,"P &amp; L"}</definedName>
    <definedName name="wrn2.brief">{#N/A,#N/A,TRUE,"Summary";#N/A,#N/A,TRUE,"Balance Sheet";#N/A,#N/A,TRUE,"P &amp; L";#N/A,#N/A,TRUE,"Fixed Assets";#N/A,#N/A,TRUE,"Cash Flows"}</definedName>
    <definedName name="wrn2.FORM1.">{#N/A,#N/A,FALSE,"COMP"}</definedName>
    <definedName name="wrn3.elaborate">{#N/A,#N/A,FALSE,"Cash Flows";#N/A,#N/A,FALSE,"Fixed Assets";#N/A,#N/A,FALSE,"Balance Sheet";#N/A,#N/A,FALSE,"P &amp; L"}</definedName>
    <definedName name="wrn3.FORM1.">{#N/A,#N/A,FALSE,"COMP"}</definedName>
    <definedName name="wrn5.brief">{#N/A,#N/A,TRUE,"Summary";#N/A,#N/A,TRUE,"Balance Sheet";#N/A,#N/A,TRUE,"P &amp; L";#N/A,#N/A,TRUE,"Fixed Assets";#N/A,#N/A,TRUE,"Cash Flows"}</definedName>
    <definedName name="wrn6.elaborate">{#N/A,#N/A,FALSE,"Cash Flows";#N/A,#N/A,FALSE,"Fixed Assets";#N/A,#N/A,FALSE,"Balance Sheet";#N/A,#N/A,FALSE,"P &amp; L"}</definedName>
    <definedName name="wrn7.brief">{#N/A,#N/A,TRUE,"Summary";#N/A,#N/A,TRUE,"Balance Sheet";#N/A,#N/A,TRUE,"P &amp; L";#N/A,#N/A,TRUE,"Fixed Assets";#N/A,#N/A,TRUE,"Cash Flows"}</definedName>
    <definedName name="wrn8.elaborate">{#N/A,#N/A,FALSE,"Cash Flows";#N/A,#N/A,FALSE,"Fixed Assets";#N/A,#N/A,FALSE,"Balance Sheet";#N/A,#N/A,FALSE,"P &amp; L"}</definedName>
    <definedName name="wrn9.brief">{#N/A,#N/A,TRUE,"Summary";#N/A,#N/A,TRUE,"Balance Sheet";#N/A,#N/A,TRUE,"P &amp; L";#N/A,#N/A,TRUE,"Fixed Assets";#N/A,#N/A,TRUE,"Cash Flows"}</definedName>
    <definedName name="wrna.prod">{#N/A,#N/A,FALSE,"1";#N/A,#N/A,FALSE,"2";#N/A,#N/A,FALSE,"16 - 17";#N/A,#N/A,FALSE,"18 - 19";#N/A,#N/A,FALSE,"26";#N/A,#N/A,FALSE,"27";#N/A,#N/A,FALSE,"28"}</definedName>
    <definedName name="wrna.prod_1">{#N/A,#N/A,FALSE,"1";#N/A,#N/A,FALSE,"2";#N/A,#N/A,FALSE,"16 - 17";#N/A,#N/A,FALSE,"18 - 19";#N/A,#N/A,FALSE,"26";#N/A,#N/A,FALSE,"27";#N/A,#N/A,FALSE,"28"}</definedName>
    <definedName name="wrna.prod_2">{#N/A,#N/A,FALSE,"1";#N/A,#N/A,FALSE,"2";#N/A,#N/A,FALSE,"16 - 17";#N/A,#N/A,FALSE,"18 - 19";#N/A,#N/A,FALSE,"26";#N/A,#N/A,FALSE,"27";#N/A,#N/A,FALSE,"28"}</definedName>
    <definedName name="wrna.prod_3">{#N/A,#N/A,FALSE,"1";#N/A,#N/A,FALSE,"2";#N/A,#N/A,FALSE,"16 - 17";#N/A,#N/A,FALSE,"18 - 19";#N/A,#N/A,FALSE,"26";#N/A,#N/A,FALSE,"27";#N/A,#N/A,FALSE,"28"}</definedName>
    <definedName name="wrna.prod_4">{#N/A,#N/A,FALSE,"1";#N/A,#N/A,FALSE,"2";#N/A,#N/A,FALSE,"16 - 17";#N/A,#N/A,FALSE,"18 - 19";#N/A,#N/A,FALSE,"26";#N/A,#N/A,FALSE,"27";#N/A,#N/A,FALSE,"28"}</definedName>
    <definedName name="wrna.prod_5">{#N/A,#N/A,FALSE,"1";#N/A,#N/A,FALSE,"2";#N/A,#N/A,FALSE,"16 - 17";#N/A,#N/A,FALSE,"18 - 19";#N/A,#N/A,FALSE,"26";#N/A,#N/A,FALSE,"27";#N/A,#N/A,FALSE,"28"}</definedName>
    <definedName name="WRR">{#N/A,#N/A,FALSE,"Pharm";#N/A,#N/A,FALSE,"WWCM"}</definedName>
    <definedName name="WRR_1">{#N/A,#N/A,FALSE,"Pharm";#N/A,#N/A,FALSE,"WWCM"}</definedName>
    <definedName name="WRR_2">{#N/A,#N/A,FALSE,"Pharm";#N/A,#N/A,FALSE,"WWCM"}</definedName>
    <definedName name="WRR_3">{#N/A,#N/A,FALSE,"Pharm";#N/A,#N/A,FALSE,"WWCM"}</definedName>
    <definedName name="WRR_4">{#N/A,#N/A,FALSE,"Pharm";#N/A,#N/A,FALSE,"WWCM"}</definedName>
    <definedName name="WRR_5">{#N/A,#N/A,FALSE,"Pharm";#N/A,#N/A,FALSE,"WWCM"}</definedName>
    <definedName name="wrrrrr">{#N/A,#N/A,FALSE,"REPORT"}</definedName>
    <definedName name="wrrrrr_1">{#N/A,#N/A,FALSE,"REPORT"}</definedName>
    <definedName name="wrrrrr_2">{#N/A,#N/A,FALSE,"REPORT"}</definedName>
    <definedName name="wrrrrr_3">{#N/A,#N/A,FALSE,"REPORT"}</definedName>
    <definedName name="wrrrrr_4">{#N/A,#N/A,FALSE,"REPORT"}</definedName>
    <definedName name="wrrrrr_5">{#N/A,#N/A,FALSE,"REPORT"}</definedName>
    <definedName name="ws">{"qtrvspyr",#N/A,FALSE,"qtrvspryrqtr"}</definedName>
    <definedName name="WSCH8">#REF!</definedName>
    <definedName name="WTGType">#REF!</definedName>
    <definedName name="WTTSPG">#REF!</definedName>
    <definedName name="wv">{#N/A,#N/A,FALSE,"Pharm";#N/A,#N/A,FALSE,"WWCM"}</definedName>
    <definedName name="wv_1">{#N/A,#N/A,FALSE,"Pharm";#N/A,#N/A,FALSE,"WWCM"}</definedName>
    <definedName name="wv_2">{#N/A,#N/A,FALSE,"Pharm";#N/A,#N/A,FALSE,"WWCM"}</definedName>
    <definedName name="wv_3">{#N/A,#N/A,FALSE,"Pharm";#N/A,#N/A,FALSE,"WWCM"}</definedName>
    <definedName name="wv_4">{#N/A,#N/A,FALSE,"Pharm";#N/A,#N/A,FALSE,"WWCM"}</definedName>
    <definedName name="wv_5">{#N/A,#N/A,FALSE,"Pharm";#N/A,#N/A,FALSE,"WWCM"}</definedName>
    <definedName name="wvu.A.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otr.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REPORT.">{TRUE,TRUE,-2.75,-17,484.5,255.75,FALSE,TRUE,TRUE,TRUE,0,1,#N/A,23,#N/A,5.96875,16.3529411764706,1,FALSE,FALSE,3,TRUE,1,FALSE,100,"Swvu.REPORT.","ACwvu.REPORT.",#N/A,FALSE,FALSE,0.748031496062992,0.748031496062992,0.94488188976378,0.78740157480315,1,"","&amp;L&amp;""CG Omega,Regular""&amp;9&amp;A of &amp;F&amp;C&amp;""CG Omega,Regular""&amp;9&amp;P&amp;R&amp;""CG Omega,Italic""&amp;9&amp;D &amp;T",TRUE,FALSE,FALSE,FALSE,1,#N/A,1,1,FALSE,FALSE,#N/A,#N/A,FALSE,FALSE,FALSE,9,300,300,FALSE,FALSE,TRUE,TRUE,TRUE}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>{#N/A,#N/A,FALSE,"Pharm";#N/A,#N/A,FALSE,"WWCM"}</definedName>
    <definedName name="ww_1">{#N/A,#N/A,FALSE,"Pharm";#N/A,#N/A,FALSE,"WWCM"}</definedName>
    <definedName name="ww_2">{#N/A,#N/A,FALSE,"Pharm";#N/A,#N/A,FALSE,"WWCM"}</definedName>
    <definedName name="ww_3">{#N/A,#N/A,FALSE,"Pharm";#N/A,#N/A,FALSE,"WWCM"}</definedName>
    <definedName name="ww_4">{#N/A,#N/A,FALSE,"Pharm";#N/A,#N/A,FALSE,"WWCM"}</definedName>
    <definedName name="ww_5">{#N/A,#N/A,FALSE,"Pharm";#N/A,#N/A,FALSE,"WWCM"}</definedName>
    <definedName name="wwfwff">{#N/A,#N/A,FALSE,"Income Branch ONLY"}</definedName>
    <definedName name="www">{#N/A,#N/A,FALSE,"SMT1";#N/A,#N/A,FALSE,"SMT2";#N/A,#N/A,FALSE,"Summary";#N/A,#N/A,FALSE,"Graphs";#N/A,#N/A,FALSE,"4 Panel"}</definedName>
    <definedName name="www_1">{#N/A,#N/A,FALSE,"SMT1";#N/A,#N/A,FALSE,"SMT2";#N/A,#N/A,FALSE,"Summary";#N/A,#N/A,FALSE,"Graphs";#N/A,#N/A,FALSE,"4 Panel"}</definedName>
    <definedName name="www_2">{#N/A,#N/A,FALSE,"SMT1";#N/A,#N/A,FALSE,"SMT2";#N/A,#N/A,FALSE,"Summary";#N/A,#N/A,FALSE,"Graphs";#N/A,#N/A,FALSE,"4 Panel"}</definedName>
    <definedName name="www_3">{#N/A,#N/A,FALSE,"SMT1";#N/A,#N/A,FALSE,"SMT2";#N/A,#N/A,FALSE,"Summary";#N/A,#N/A,FALSE,"Graphs";#N/A,#N/A,FALSE,"4 Panel"}</definedName>
    <definedName name="wwwww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wwwwwww">{#N/A,#N/A,FALSE,"Cash Flows";#N/A,#N/A,FALSE,"Fixed Assets";#N/A,#N/A,FALSE,"Balance Sheet";#N/A,#N/A,FALSE,"P &amp; L"}</definedName>
    <definedName name="wwwwwwww_1">{#N/A,#N/A,FALSE,"Cash Flows";#N/A,#N/A,FALSE,"Fixed Assets";#N/A,#N/A,FALSE,"Balance Sheet";#N/A,#N/A,FALSE,"P &amp; L"}</definedName>
    <definedName name="wwwwwwww_1_1">{#N/A,#N/A,FALSE,"Cash Flows";#N/A,#N/A,FALSE,"Fixed Assets";#N/A,#N/A,FALSE,"Balance Sheet";#N/A,#N/A,FALSE,"P &amp; L"}</definedName>
    <definedName name="wwwwwwww_2">{#N/A,#N/A,FALSE,"Cash Flows";#N/A,#N/A,FALSE,"Fixed Assets";#N/A,#N/A,FALSE,"Balance Sheet";#N/A,#N/A,FALSE,"P &amp; L"}</definedName>
    <definedName name="wwwwwwwwwwwwww">{#N/A,#N/A,FALSE,"Summary";#N/A,#N/A,FALSE,"Total";#N/A,#N/A,FALSE,"Total ex Swe";#N/A,#N/A,FALSE,"Volume";#N/A,#N/A,FALSE,"Expenses";#N/A,#N/A,FALSE,"CM Var";#N/A,#N/A,FALSE,"YTD Var"}</definedName>
    <definedName name="wwwwwwwwwwwwwww">#REF!</definedName>
    <definedName name="wx">{#N/A,#N/A,FALSE,"Pharm";#N/A,#N/A,FALSE,"WWCM"}</definedName>
    <definedName name="wx_1">{#N/A,#N/A,FALSE,"Pharm";#N/A,#N/A,FALSE,"WWCM"}</definedName>
    <definedName name="wx_2">{#N/A,#N/A,FALSE,"Pharm";#N/A,#N/A,FALSE,"WWCM"}</definedName>
    <definedName name="wx_3">{#N/A,#N/A,FALSE,"Pharm";#N/A,#N/A,FALSE,"WWCM"}</definedName>
    <definedName name="wx_4">{#N/A,#N/A,FALSE,"Pharm";#N/A,#N/A,FALSE,"WWCM"}</definedName>
    <definedName name="wx_5">{#N/A,#N/A,FALSE,"Pharm";#N/A,#N/A,FALSE,"WWCM"}</definedName>
    <definedName name="x">{#N/A,#N/A,FALSE,"REPORT"}</definedName>
    <definedName name="X.4">#REF!</definedName>
    <definedName name="x_1">{#N/A,#N/A,FALSE,"REPORT"}</definedName>
    <definedName name="x_2">{#N/A,#N/A,FALSE,"REPORT"}</definedName>
    <definedName name="x_3">{#N/A,#N/A,FALSE,"REPORT"}</definedName>
    <definedName name="x_4">{#N/A,#N/A,FALSE,"REPORT"}</definedName>
    <definedName name="x_5">{#N/A,#N/A,FALSE,"REPORT"}</definedName>
    <definedName name="X31_Aug_99_31_Aug_99_List">#REF!</definedName>
    <definedName name="XAxisIncr">#REF!</definedName>
    <definedName name="xcft">{#N/A,#N/A,FALSE,"PGW"}</definedName>
    <definedName name="xcft_1">{#N/A,#N/A,FALSE,"PGW"}</definedName>
    <definedName name="xcft_2">{#N/A,#N/A,FALSE,"PGW"}</definedName>
    <definedName name="xcft_2_1">{#N/A,#N/A,FALSE,"PGW"}</definedName>
    <definedName name="xcft_2_2">{#N/A,#N/A,FALSE,"PGW"}</definedName>
    <definedName name="xcft_2_3">{#N/A,#N/A,FALSE,"PGW"}</definedName>
    <definedName name="xcft_2_4">{#N/A,#N/A,FALSE,"PGW"}</definedName>
    <definedName name="xcft_3">{#N/A,#N/A,FALSE,"PGW"}</definedName>
    <definedName name="xcft_3_1">{#N/A,#N/A,FALSE,"PGW"}</definedName>
    <definedName name="xcft_3_2">{#N/A,#N/A,FALSE,"PGW"}</definedName>
    <definedName name="xcft_3_3">{#N/A,#N/A,FALSE,"PGW"}</definedName>
    <definedName name="xcft_3_4">{#N/A,#N/A,FALSE,"PGW"}</definedName>
    <definedName name="xcft_4">{#N/A,#N/A,FALSE,"PGW"}</definedName>
    <definedName name="xcft_4_1">{#N/A,#N/A,FALSE,"PGW"}</definedName>
    <definedName name="xcft_4_2">{#N/A,#N/A,FALSE,"PGW"}</definedName>
    <definedName name="xcft_4_3">{#N/A,#N/A,FALSE,"PGW"}</definedName>
    <definedName name="xcft_4_4">{#N/A,#N/A,FALSE,"PGW"}</definedName>
    <definedName name="xcft_5">{#N/A,#N/A,FALSE,"PGW"}</definedName>
    <definedName name="xcv">{#N/A,#N/A,FALSE,"Pharm";#N/A,#N/A,FALSE,"WWCM"}</definedName>
    <definedName name="xcv_1">{#N/A,#N/A,FALSE,"Pharm";#N/A,#N/A,FALSE,"WWCM"}</definedName>
    <definedName name="xcv_2">{#N/A,#N/A,FALSE,"Pharm";#N/A,#N/A,FALSE,"WWCM"}</definedName>
    <definedName name="xcv_3">{#N/A,#N/A,FALSE,"Pharm";#N/A,#N/A,FALSE,"WWCM"}</definedName>
    <definedName name="xcv_4">{#N/A,#N/A,FALSE,"Pharm";#N/A,#N/A,FALSE,"WWCM"}</definedName>
    <definedName name="xcv_5">{#N/A,#N/A,FALSE,"Pharm";#N/A,#N/A,FALSE,"WWCM"}</definedName>
    <definedName name="XCVBN">{#N/A,#N/A,FALSE,"Tabl. G1";#N/A,#N/A,FALSE,"Tabl. G2"}</definedName>
    <definedName name="XCVBN_1">{#N/A,#N/A,FALSE,"Tabl. G1";#N/A,#N/A,FALSE,"Tabl. G2"}</definedName>
    <definedName name="XCVBN_2">{#N/A,#N/A,FALSE,"Tabl. G1";#N/A,#N/A,FALSE,"Tabl. G2"}</definedName>
    <definedName name="XCVBN_3">{#N/A,#N/A,FALSE,"Tabl. G1";#N/A,#N/A,FALSE,"Tabl. G2"}</definedName>
    <definedName name="XCVBN_4">{#N/A,#N/A,FALSE,"Tabl. G1";#N/A,#N/A,FALSE,"Tabl. G2"}</definedName>
    <definedName name="xcvg">{#N/A,#N/A,FALSE,"SUMMARY";#N/A,#N/A,FALSE,"SUMMARY"}</definedName>
    <definedName name="xcvg_1">{#N/A,#N/A,FALSE,"SUMMARY";#N/A,#N/A,FALSE,"SUMMARY"}</definedName>
    <definedName name="xcvg_2">{#N/A,#N/A,FALSE,"SUMMARY";#N/A,#N/A,FALSE,"SUMMARY"}</definedName>
    <definedName name="xcvg_2_1">{#N/A,#N/A,FALSE,"SUMMARY";#N/A,#N/A,FALSE,"SUMMARY"}</definedName>
    <definedName name="xcvg_2_2">{#N/A,#N/A,FALSE,"SUMMARY";#N/A,#N/A,FALSE,"SUMMARY"}</definedName>
    <definedName name="xcvg_2_3">{#N/A,#N/A,FALSE,"SUMMARY";#N/A,#N/A,FALSE,"SUMMARY"}</definedName>
    <definedName name="xcvg_2_4">{#N/A,#N/A,FALSE,"SUMMARY";#N/A,#N/A,FALSE,"SUMMARY"}</definedName>
    <definedName name="xcvg_3">{#N/A,#N/A,FALSE,"SUMMARY";#N/A,#N/A,FALSE,"SUMMARY"}</definedName>
    <definedName name="xcvg_3_1">{#N/A,#N/A,FALSE,"SUMMARY";#N/A,#N/A,FALSE,"SUMMARY"}</definedName>
    <definedName name="xcvg_3_2">{#N/A,#N/A,FALSE,"SUMMARY";#N/A,#N/A,FALSE,"SUMMARY"}</definedName>
    <definedName name="xcvg_3_3">{#N/A,#N/A,FALSE,"SUMMARY";#N/A,#N/A,FALSE,"SUMMARY"}</definedName>
    <definedName name="xcvg_3_4">{#N/A,#N/A,FALSE,"SUMMARY";#N/A,#N/A,FALSE,"SUMMARY"}</definedName>
    <definedName name="xcvg_4">{#N/A,#N/A,FALSE,"SUMMARY";#N/A,#N/A,FALSE,"SUMMARY"}</definedName>
    <definedName name="xcvg_4_1">{#N/A,#N/A,FALSE,"SUMMARY";#N/A,#N/A,FALSE,"SUMMARY"}</definedName>
    <definedName name="xcvg_4_2">{#N/A,#N/A,FALSE,"SUMMARY";#N/A,#N/A,FALSE,"SUMMARY"}</definedName>
    <definedName name="xcvg_4_3">{#N/A,#N/A,FALSE,"SUMMARY";#N/A,#N/A,FALSE,"SUMMARY"}</definedName>
    <definedName name="xcvg_4_4">{#N/A,#N/A,FALSE,"SUMMARY";#N/A,#N/A,FALSE,"SUMMARY"}</definedName>
    <definedName name="xcvg_5">{#N/A,#N/A,FALSE,"SUMMARY";#N/A,#N/A,FALSE,"SUMMARY"}</definedName>
    <definedName name="xd">{#N/A,#N/A,FALSE,"PMTABB";#N/A,#N/A,FALSE,"PMTABB"}</definedName>
    <definedName name="xd_1">{#N/A,#N/A,FALSE,"PMTABB";#N/A,#N/A,FALSE,"PMTABB"}</definedName>
    <definedName name="xd_2">{#N/A,#N/A,FALSE,"PMTABB";#N/A,#N/A,FALSE,"PMTABB"}</definedName>
    <definedName name="xd_2_1">{#N/A,#N/A,FALSE,"PMTABB";#N/A,#N/A,FALSE,"PMTABB"}</definedName>
    <definedName name="xd_2_2">{#N/A,#N/A,FALSE,"PMTABB";#N/A,#N/A,FALSE,"PMTABB"}</definedName>
    <definedName name="xd_2_3">{#N/A,#N/A,FALSE,"PMTABB";#N/A,#N/A,FALSE,"PMTABB"}</definedName>
    <definedName name="xd_2_4">{#N/A,#N/A,FALSE,"PMTABB";#N/A,#N/A,FALSE,"PMTABB"}</definedName>
    <definedName name="xd_3">{#N/A,#N/A,FALSE,"PMTABB";#N/A,#N/A,FALSE,"PMTABB"}</definedName>
    <definedName name="xd_3_1">{#N/A,#N/A,FALSE,"PMTABB";#N/A,#N/A,FALSE,"PMTABB"}</definedName>
    <definedName name="xd_3_2">{#N/A,#N/A,FALSE,"PMTABB";#N/A,#N/A,FALSE,"PMTABB"}</definedName>
    <definedName name="xd_3_3">{#N/A,#N/A,FALSE,"PMTABB";#N/A,#N/A,FALSE,"PMTABB"}</definedName>
    <definedName name="xd_3_4">{#N/A,#N/A,FALSE,"PMTABB";#N/A,#N/A,FALSE,"PMTABB"}</definedName>
    <definedName name="xd_4">{#N/A,#N/A,FALSE,"PMTABB";#N/A,#N/A,FALSE,"PMTABB"}</definedName>
    <definedName name="xd_4_1">{#N/A,#N/A,FALSE,"PMTABB";#N/A,#N/A,FALSE,"PMTABB"}</definedName>
    <definedName name="xd_4_2">{#N/A,#N/A,FALSE,"PMTABB";#N/A,#N/A,FALSE,"PMTABB"}</definedName>
    <definedName name="xd_4_3">{#N/A,#N/A,FALSE,"PMTABB";#N/A,#N/A,FALSE,"PMTABB"}</definedName>
    <definedName name="xd_4_4">{#N/A,#N/A,FALSE,"PMTABB";#N/A,#N/A,FALSE,"PMTABB"}</definedName>
    <definedName name="xd_5">{#N/A,#N/A,FALSE,"PMTABB";#N/A,#N/A,FALSE,"PMTABB"}</definedName>
    <definedName name="xd0.6">#REF!</definedName>
    <definedName name="xd1.3">#REF!</definedName>
    <definedName name="xd1.5">#REF!</definedName>
    <definedName name="xdft">{#N/A,#N/A,FALSE,"ISBL"}</definedName>
    <definedName name="xdft_1">{#N/A,#N/A,FALSE,"ISBL"}</definedName>
    <definedName name="xdft_2">{#N/A,#N/A,FALSE,"ISBL"}</definedName>
    <definedName name="xdft_2_1">{#N/A,#N/A,FALSE,"ISBL"}</definedName>
    <definedName name="xdft_2_2">{#N/A,#N/A,FALSE,"ISBL"}</definedName>
    <definedName name="xdft_2_3">{#N/A,#N/A,FALSE,"ISBL"}</definedName>
    <definedName name="xdft_2_4">{#N/A,#N/A,FALSE,"ISBL"}</definedName>
    <definedName name="xdft_3">{#N/A,#N/A,FALSE,"ISBL"}</definedName>
    <definedName name="xdft_3_1">{#N/A,#N/A,FALSE,"ISBL"}</definedName>
    <definedName name="xdft_3_2">{#N/A,#N/A,FALSE,"ISBL"}</definedName>
    <definedName name="xdft_3_3">{#N/A,#N/A,FALSE,"ISBL"}</definedName>
    <definedName name="xdft_3_4">{#N/A,#N/A,FALSE,"ISBL"}</definedName>
    <definedName name="xdft_4">{#N/A,#N/A,FALSE,"ISBL"}</definedName>
    <definedName name="xdft_4_1">{#N/A,#N/A,FALSE,"ISBL"}</definedName>
    <definedName name="xdft_4_2">{#N/A,#N/A,FALSE,"ISBL"}</definedName>
    <definedName name="xdft_4_3">{#N/A,#N/A,FALSE,"ISBL"}</definedName>
    <definedName name="xdft_4_4">{#N/A,#N/A,FALSE,"ISBL"}</definedName>
    <definedName name="xdft_5">{#N/A,#N/A,FALSE,"ISBL"}</definedName>
    <definedName name="xdgbxfgh">#REF!</definedName>
    <definedName name="xdrt">{#N/A,#N/A,FALSE,"Aging Summary";#N/A,#N/A,FALSE,"Ratio Analysis";#N/A,#N/A,FALSE,"Test 120 Day Accts";#N/A,#N/A,FALSE,"Tickmarks"}</definedName>
    <definedName name="xdrt_1">{#N/A,#N/A,FALSE,"Aging Summary";#N/A,#N/A,FALSE,"Ratio Analysis";#N/A,#N/A,FALSE,"Test 120 Day Accts";#N/A,#N/A,FALSE,"Tickmarks"}</definedName>
    <definedName name="xdrt_2">{#N/A,#N/A,FALSE,"Aging Summary";#N/A,#N/A,FALSE,"Ratio Analysis";#N/A,#N/A,FALSE,"Test 120 Day Accts";#N/A,#N/A,FALSE,"Tickmarks"}</definedName>
    <definedName name="xdrt_2_1">{#N/A,#N/A,FALSE,"Aging Summary";#N/A,#N/A,FALSE,"Ratio Analysis";#N/A,#N/A,FALSE,"Test 120 Day Accts";#N/A,#N/A,FALSE,"Tickmarks"}</definedName>
    <definedName name="xdrt_2_2">{#N/A,#N/A,FALSE,"Aging Summary";#N/A,#N/A,FALSE,"Ratio Analysis";#N/A,#N/A,FALSE,"Test 120 Day Accts";#N/A,#N/A,FALSE,"Tickmarks"}</definedName>
    <definedName name="xdrt_2_3">{#N/A,#N/A,FALSE,"Aging Summary";#N/A,#N/A,FALSE,"Ratio Analysis";#N/A,#N/A,FALSE,"Test 120 Day Accts";#N/A,#N/A,FALSE,"Tickmarks"}</definedName>
    <definedName name="xdrt_2_4">{#N/A,#N/A,FALSE,"Aging Summary";#N/A,#N/A,FALSE,"Ratio Analysis";#N/A,#N/A,FALSE,"Test 120 Day Accts";#N/A,#N/A,FALSE,"Tickmarks"}</definedName>
    <definedName name="xdrt_3">{#N/A,#N/A,FALSE,"Aging Summary";#N/A,#N/A,FALSE,"Ratio Analysis";#N/A,#N/A,FALSE,"Test 120 Day Accts";#N/A,#N/A,FALSE,"Tickmarks"}</definedName>
    <definedName name="xdrt_3_1">{#N/A,#N/A,FALSE,"Aging Summary";#N/A,#N/A,FALSE,"Ratio Analysis";#N/A,#N/A,FALSE,"Test 120 Day Accts";#N/A,#N/A,FALSE,"Tickmarks"}</definedName>
    <definedName name="xdrt_3_2">{#N/A,#N/A,FALSE,"Aging Summary";#N/A,#N/A,FALSE,"Ratio Analysis";#N/A,#N/A,FALSE,"Test 120 Day Accts";#N/A,#N/A,FALSE,"Tickmarks"}</definedName>
    <definedName name="xdrt_3_3">{#N/A,#N/A,FALSE,"Aging Summary";#N/A,#N/A,FALSE,"Ratio Analysis";#N/A,#N/A,FALSE,"Test 120 Day Accts";#N/A,#N/A,FALSE,"Tickmarks"}</definedName>
    <definedName name="xdrt_3_4">{#N/A,#N/A,FALSE,"Aging Summary";#N/A,#N/A,FALSE,"Ratio Analysis";#N/A,#N/A,FALSE,"Test 120 Day Accts";#N/A,#N/A,FALSE,"Tickmarks"}</definedName>
    <definedName name="xdrt_4">{#N/A,#N/A,FALSE,"Aging Summary";#N/A,#N/A,FALSE,"Ratio Analysis";#N/A,#N/A,FALSE,"Test 120 Day Accts";#N/A,#N/A,FALSE,"Tickmarks"}</definedName>
    <definedName name="xdrt_4_1">{#N/A,#N/A,FALSE,"Aging Summary";#N/A,#N/A,FALSE,"Ratio Analysis";#N/A,#N/A,FALSE,"Test 120 Day Accts";#N/A,#N/A,FALSE,"Tickmarks"}</definedName>
    <definedName name="xdrt_4_2">{#N/A,#N/A,FALSE,"Aging Summary";#N/A,#N/A,FALSE,"Ratio Analysis";#N/A,#N/A,FALSE,"Test 120 Day Accts";#N/A,#N/A,FALSE,"Tickmarks"}</definedName>
    <definedName name="xdrt_4_3">{#N/A,#N/A,FALSE,"Aging Summary";#N/A,#N/A,FALSE,"Ratio Analysis";#N/A,#N/A,FALSE,"Test 120 Day Accts";#N/A,#N/A,FALSE,"Tickmarks"}</definedName>
    <definedName name="xdrt_4_4">{#N/A,#N/A,FALSE,"Aging Summary";#N/A,#N/A,FALSE,"Ratio Analysis";#N/A,#N/A,FALSE,"Test 120 Day Accts";#N/A,#N/A,FALSE,"Tickmarks"}</definedName>
    <definedName name="xdrt_5">{#N/A,#N/A,FALSE,"Aging Summary";#N/A,#N/A,FALSE,"Ratio Analysis";#N/A,#N/A,FALSE,"Test 120 Day Accts";#N/A,#N/A,FALSE,"Tickmarks"}</definedName>
    <definedName name="xk0.6">#REF!</definedName>
    <definedName name="xk1.3">#REF!</definedName>
    <definedName name="xk1.5">#REF!</definedName>
    <definedName name="xkmfgb">#REF!</definedName>
    <definedName name="xl">#REF!</definedName>
    <definedName name="xlc">#REF!</definedName>
    <definedName name="xlk">#REF!</definedName>
    <definedName name="xlk1.4">#REF!</definedName>
    <definedName name="XLMLwidth">#REF!</definedName>
    <definedName name="XLMOrientationP1L2">#REF!</definedName>
    <definedName name="XLMPwidth">#REF!</definedName>
    <definedName name="xn">#REF!</definedName>
    <definedName name="xq34tq4t5yt">{#N/A,#N/A,FALSE,"Provisions"}</definedName>
    <definedName name="xq3t4t5ty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xq43t4t5">{#N/A,#N/A,FALSE,"Income Branch ONLY"}</definedName>
    <definedName name="xq4t4t5yt">{#N/A,#N/A,FALSE,"Assets"}</definedName>
    <definedName name="xqrgrgxr">{#N/A,#N/A,FALSE,"Provisions"}</definedName>
    <definedName name="xqrgrgxrg">{#N/A,#N/A,FALSE,"Income Branch ONLY"}</definedName>
    <definedName name="XRdfcopy100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23">#REF!</definedName>
    <definedName name="XREF_COLUMN_24">#REF!</definedName>
    <definedName name="XREF_COLUMN_25">#REF!</definedName>
    <definedName name="XREF_COLUMN_26">#REF!</definedName>
    <definedName name="XREF_COLUMN_27">#REF!</definedName>
    <definedName name="XREF_COLUMN_28">#REF!</definedName>
    <definedName name="XREF_COLUMN_29">#REF!</definedName>
    <definedName name="XREF_COLUMN_3">#REF!</definedName>
    <definedName name="XREF_COLUMN_31">#REF!</definedName>
    <definedName name="XREF_COLUMN_32">#REF!</definedName>
    <definedName name="XREF_COLUMN_33">#REF!</definedName>
    <definedName name="XREF_COLUMN_34">#REF!</definedName>
    <definedName name="XREF_COLUMN_36">#REF!</definedName>
    <definedName name="XREF_COLUMN_37">#REF!</definedName>
    <definedName name="XREF_COLUMN_38">#REF!</definedName>
    <definedName name="XREF_COLUMN_4">#REF!</definedName>
    <definedName name="XREF_COLUMN_43">#REF!</definedName>
    <definedName name="XREF_COLUMN_4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</definedName>
    <definedName name="XRefCopy1">#REF!</definedName>
    <definedName name="XRefCopy10">#REF!</definedName>
    <definedName name="XRefCopy100">#REF!</definedName>
    <definedName name="XRefCopy100Row">#REF!</definedName>
    <definedName name="XRefCopy101">#REF!</definedName>
    <definedName name="XRefCopy101Row">#REF!</definedName>
    <definedName name="XRefCopy102">#REF!</definedName>
    <definedName name="XRefCopy102Row">#REF!</definedName>
    <definedName name="XRefCopy103">#REF!</definedName>
    <definedName name="XRefCopy103Row">#REF!</definedName>
    <definedName name="XRefCopy104">#REF!</definedName>
    <definedName name="XRefCopy104Row">#REF!</definedName>
    <definedName name="XRefCopy105">#REF!</definedName>
    <definedName name="XRefCopy105Row">#REF!</definedName>
    <definedName name="XRefCopy106">#REF!</definedName>
    <definedName name="XRefCopy106Row">#REF!</definedName>
    <definedName name="XRefCopy107">#REF!</definedName>
    <definedName name="XRefCopy107Row">#REF!</definedName>
    <definedName name="XRefCopy108">#REF!</definedName>
    <definedName name="XRefCopy108Row">#REF!</definedName>
    <definedName name="XRefCopy109">#REF!</definedName>
    <definedName name="XRefCopy109Row">#REF!</definedName>
    <definedName name="XRefCopy10Row">#REF!</definedName>
    <definedName name="XRefCopy11">#REF!</definedName>
    <definedName name="XRefCopy110">#REF!</definedName>
    <definedName name="XRefCopy110Row">#REF!</definedName>
    <definedName name="XRefCopy11Row">#REF!</definedName>
    <definedName name="XRefCopy12">#REF!</definedName>
    <definedName name="XRefCopy128Row">#REF!</definedName>
    <definedName name="XRefCopy12Row">#REF!</definedName>
    <definedName name="XRefCopy13">#REF!</definedName>
    <definedName name="XRefCopy133">#REF!</definedName>
    <definedName name="XRefCopy133Row">#REF!</definedName>
    <definedName name="XRefCopy13Row">#REF!</definedName>
    <definedName name="XRefCopy14">#REF!</definedName>
    <definedName name="XRefCopy147Row">#REF!</definedName>
    <definedName name="XRefCopy14Row">#REF!</definedName>
    <definedName name="XRefCopy15">#REF!</definedName>
    <definedName name="XRefCopy152Row">#REF!</definedName>
    <definedName name="XRefCopy159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1">#REF!</definedName>
    <definedName name="XRefCopy182">#REF!</definedName>
    <definedName name="XRefCopy183">#REF!</definedName>
    <definedName name="XRefCopy186">#REF!</definedName>
    <definedName name="XRefCopy188">#REF!</definedName>
    <definedName name="XRefCopy189">#REF!</definedName>
    <definedName name="XRefCopy18Row">#REF!</definedName>
    <definedName name="XRefCopy19">#REF!</definedName>
    <definedName name="XRefCopy190">#REF!</definedName>
    <definedName name="XRefCopy191">#REF!</definedName>
    <definedName name="XRefCopy192">#REF!</definedName>
    <definedName name="XRefCopy193">#REF!</definedName>
    <definedName name="XRefCopy194">#REF!</definedName>
    <definedName name="XRefCopy195">#REF!</definedName>
    <definedName name="XRefCopy196">#REF!</definedName>
    <definedName name="XRefCopy197">#REF!</definedName>
    <definedName name="XRefCopy198">#REF!</definedName>
    <definedName name="XRefCopy19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0">#REF!</definedName>
    <definedName name="XRefCopy201">#REF!</definedName>
    <definedName name="XRefCopy202">#REF!</definedName>
    <definedName name="XRefCopy203">#REF!</definedName>
    <definedName name="XRefCopy204">#REF!</definedName>
    <definedName name="XRefCopy205">#REF!</definedName>
    <definedName name="XRefCopy207">#REF!</definedName>
    <definedName name="XRefCopy208">#REF!</definedName>
    <definedName name="XRefCopy209">#REF!</definedName>
    <definedName name="XRefCopy20Row">#REF!</definedName>
    <definedName name="XRefCopy21">#REF!</definedName>
    <definedName name="XRefCopy210">#REF!</definedName>
    <definedName name="XRefCopy211">#REF!</definedName>
    <definedName name="XRefCopy212">#REF!</definedName>
    <definedName name="XRefCopy212Row">#REF!</definedName>
    <definedName name="XRefCopy213">#REF!</definedName>
    <definedName name="XRefCopy214">#REF!</definedName>
    <definedName name="XRefCopy215">#REF!</definedName>
    <definedName name="XRefCopy216">#REF!</definedName>
    <definedName name="XRefCopy217">#REF!</definedName>
    <definedName name="XRefCopy218">#REF!</definedName>
    <definedName name="XRefCopy219">#REF!</definedName>
    <definedName name="XRefCopy21Row">#REF!</definedName>
    <definedName name="XRefCopy22">#REF!</definedName>
    <definedName name="XRefCopy220">#REF!</definedName>
    <definedName name="XRefCopy221">#REF!</definedName>
    <definedName name="XRefCopy222">#REF!</definedName>
    <definedName name="XRefCopy223">#REF!</definedName>
    <definedName name="XRefCopy224">#REF!</definedName>
    <definedName name="XRefCopy225">#REF!</definedName>
    <definedName name="XRefCopy226">#REF!</definedName>
    <definedName name="XRefCopy228">#REF!</definedName>
    <definedName name="XRefCopy22Row">#REF!</definedName>
    <definedName name="XRefCopy23">#REF!</definedName>
    <definedName name="XRefCopy230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6Row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Row">#REF!</definedName>
    <definedName name="XRefCopy4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8Row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1">#REF!</definedName>
    <definedName name="XRefCopy61Row">#REF!</definedName>
    <definedName name="XRefCopy62">#REF!</definedName>
    <definedName name="XRefCopy62Row">#REF!</definedName>
    <definedName name="XRefCopy63">#REF!</definedName>
    <definedName name="XRefCopy64">#REF!</definedName>
    <definedName name="XRefCopy65">#REF!</definedName>
    <definedName name="XRefCopy66">#REF!</definedName>
    <definedName name="XRefCopy67">#REF!</definedName>
    <definedName name="XRefCopy67Row">#REF!</definedName>
    <definedName name="XRefCopy68">#REF!</definedName>
    <definedName name="XRefCopy69">#REF!</definedName>
    <definedName name="XRefCopy6Row">#REF!</definedName>
    <definedName name="XRefCopy7">#REF!</definedName>
    <definedName name="XRefCopy70">#REF!</definedName>
    <definedName name="XRefCopy71">#REF!</definedName>
    <definedName name="XRefCopy72">#REF!</definedName>
    <definedName name="XRefCopy73">#REF!</definedName>
    <definedName name="XRefCopy74">#REF!</definedName>
    <definedName name="XRefCopy75">#REF!</definedName>
    <definedName name="XRefCopy76">#REF!</definedName>
    <definedName name="XRefCopy76Row">#REF!</definedName>
    <definedName name="XRefCopy77">#REF!</definedName>
    <definedName name="XRefCopy77Row">#REF!</definedName>
    <definedName name="XRefCopy78">#REF!</definedName>
    <definedName name="XRefCopy78Row">#REF!</definedName>
    <definedName name="XRefCopy79">#REF!</definedName>
    <definedName name="XRefCopy79Row">#REF!</definedName>
    <definedName name="XRefCopy7Row">#REF!</definedName>
    <definedName name="XRefCopy8">#REF!</definedName>
    <definedName name="XRefCopy80">#REF!</definedName>
    <definedName name="XRefCopy80Row">#REF!</definedName>
    <definedName name="XRefCopy81">#REF!</definedName>
    <definedName name="XRefCopy81Row">#REF!</definedName>
    <definedName name="XRefCopy82">#REF!</definedName>
    <definedName name="XRefCopy82Row">#REF!</definedName>
    <definedName name="XRefCopy83">#REF!</definedName>
    <definedName name="XRefCopy83Row">#REF!</definedName>
    <definedName name="XRefCopy84">#REF!</definedName>
    <definedName name="XRefCopy84Row">#REF!</definedName>
    <definedName name="XRefCopy85">#REF!</definedName>
    <definedName name="XRefCopy85Row">#REF!</definedName>
    <definedName name="XRefCopy86">#REF!</definedName>
    <definedName name="XRefCopy86Row">#REF!</definedName>
    <definedName name="XRefCopy87">#REF!</definedName>
    <definedName name="XRefCopy87Row">#REF!</definedName>
    <definedName name="XRefCopy88">#REF!</definedName>
    <definedName name="XRefCopy88Row">#REF!</definedName>
    <definedName name="XRefCopy89">#REF!</definedName>
    <definedName name="XRefCopy89Row">#REF!</definedName>
    <definedName name="XRefCopy8Row">#REF!</definedName>
    <definedName name="XRefCopy9">#REF!</definedName>
    <definedName name="XRefCopy90">#REF!</definedName>
    <definedName name="XRefCopy90Row">#REF!</definedName>
    <definedName name="XRefCopy91">#REF!</definedName>
    <definedName name="XRefCopy91Row">#REF!</definedName>
    <definedName name="XRefCopy92">#REF!</definedName>
    <definedName name="XRefCopy92Row">#REF!</definedName>
    <definedName name="XRefCopy93">#REF!</definedName>
    <definedName name="XRefCopy93Row">#REF!</definedName>
    <definedName name="XRefCopy94">#REF!</definedName>
    <definedName name="XRefCopy94Row">#REF!</definedName>
    <definedName name="XRefCopy95">#REF!</definedName>
    <definedName name="XRefCopy95Row">#REF!</definedName>
    <definedName name="XRefCopy96">#REF!</definedName>
    <definedName name="XRefCopy96Row">#REF!</definedName>
    <definedName name="XRefCopy97">#REF!</definedName>
    <definedName name="XRefCopy97Row">#REF!</definedName>
    <definedName name="XRefCopy98">#REF!</definedName>
    <definedName name="XRefCopy98Row">#REF!</definedName>
    <definedName name="XRefCopy99">#REF!</definedName>
    <definedName name="XRefCopy99Row">#REF!</definedName>
    <definedName name="XRefCopy9Row">#REF!</definedName>
    <definedName name="XRefCopyRangeCount">6</definedName>
    <definedName name="XRefPaste1">#REF!</definedName>
    <definedName name="XRefPaste10">#REF!</definedName>
    <definedName name="XRefPaste100">#REF!</definedName>
    <definedName name="XRefPaste100Row">#REF!</definedName>
    <definedName name="XRefPaste101">#REF!</definedName>
    <definedName name="XRefPaste101Row">#REF!</definedName>
    <definedName name="XRefPaste102">#REF!</definedName>
    <definedName name="XRefPaste102Row">#REF!</definedName>
    <definedName name="XRefPaste103">#REF!</definedName>
    <definedName name="XRefPaste103Row">#REF!</definedName>
    <definedName name="XRefPaste105">#REF!</definedName>
    <definedName name="XRefPaste105Row">#REF!</definedName>
    <definedName name="XRefPaste106">#REF!</definedName>
    <definedName name="XRefPaste106Row">#REF!</definedName>
    <definedName name="XRefPaste107">#REF!</definedName>
    <definedName name="XRefPaste107Row">#REF!</definedName>
    <definedName name="XRefPaste108">#REF!</definedName>
    <definedName name="XRefPaste108Row">#REF!</definedName>
    <definedName name="XRefPaste109">#REF!</definedName>
    <definedName name="XRefPaste109Row">#REF!</definedName>
    <definedName name="XRefPaste10Row">#REF!</definedName>
    <definedName name="XRefPaste11">#REF!</definedName>
    <definedName name="XRefPaste110">#REF!</definedName>
    <definedName name="XRefPaste110Row">#REF!</definedName>
    <definedName name="XRefPaste111">#REF!</definedName>
    <definedName name="XRefPaste111Row">#REF!</definedName>
    <definedName name="XRefPaste112">#REF!</definedName>
    <definedName name="XRefPaste112Row">#REF!</definedName>
    <definedName name="XRefPaste113">#REF!</definedName>
    <definedName name="XRefPaste113Row">#REF!</definedName>
    <definedName name="XRefPaste114">#REF!</definedName>
    <definedName name="XRefPaste114Row">#REF!</definedName>
    <definedName name="XRefPaste115">#REF!</definedName>
    <definedName name="XRefPaste115Row">#REF!</definedName>
    <definedName name="XRefPaste116">#REF!</definedName>
    <definedName name="XRefPaste116Row">#REF!</definedName>
    <definedName name="XRefPaste117">#REF!</definedName>
    <definedName name="XRefPaste117Row">#REF!</definedName>
    <definedName name="XRefPaste118">#REF!</definedName>
    <definedName name="XRefPaste118Row">#REF!</definedName>
    <definedName name="XRefPaste119">#REF!</definedName>
    <definedName name="XRefPaste119Row">#REF!</definedName>
    <definedName name="XRefPaste11Row">#REF!</definedName>
    <definedName name="XRefPaste12">#REF!</definedName>
    <definedName name="XRefPaste120">#REF!</definedName>
    <definedName name="XRefPaste120Row">#REF!</definedName>
    <definedName name="XRefPaste122">#REF!</definedName>
    <definedName name="XRefPaste122Row">#REF!</definedName>
    <definedName name="XRefPaste123">#REF!</definedName>
    <definedName name="XRefPaste123Row">#REF!</definedName>
    <definedName name="XRefPaste124">#REF!</definedName>
    <definedName name="XRefPaste124Row">#REF!</definedName>
    <definedName name="XRefPaste126">#REF!</definedName>
    <definedName name="XRefPaste126Row">#REF!</definedName>
    <definedName name="XRefPaste127">#REF!</definedName>
    <definedName name="XRefPaste127Row">#REF!</definedName>
    <definedName name="XRefPaste128">#REF!</definedName>
    <definedName name="XRefPaste128Row">#REF!</definedName>
    <definedName name="XRefPaste129">#REF!</definedName>
    <definedName name="XRefPaste129Row">#REF!</definedName>
    <definedName name="XRefPaste12Row">#REF!</definedName>
    <definedName name="XRefPaste13">#REF!</definedName>
    <definedName name="XRefPaste130">#REF!</definedName>
    <definedName name="XRefPaste130Row">#REF!</definedName>
    <definedName name="XRefPaste131">#REF!</definedName>
    <definedName name="XRefPaste131Row">#REF!</definedName>
    <definedName name="XRefPaste132">#REF!</definedName>
    <definedName name="XRefPaste132Row">#REF!</definedName>
    <definedName name="XRefPaste133">#REF!</definedName>
    <definedName name="XRefPaste133Row">#REF!</definedName>
    <definedName name="XRefPaste134">#REF!</definedName>
    <definedName name="XRefPaste134Row">#REF!</definedName>
    <definedName name="XRefPaste135">#REF!</definedName>
    <definedName name="XRefPaste135Row">#REF!</definedName>
    <definedName name="XRefPaste136">#REF!</definedName>
    <definedName name="XRefPaste136Row">#REF!</definedName>
    <definedName name="XRefPaste137">#REF!</definedName>
    <definedName name="XRefPaste137Row">#REF!</definedName>
    <definedName name="XRefPaste138">#REF!</definedName>
    <definedName name="XRefPaste138Row">#REF!</definedName>
    <definedName name="XRefPaste139">#REF!</definedName>
    <definedName name="XRefPaste139Row">#REF!</definedName>
    <definedName name="XRefPaste13Row">#REF!</definedName>
    <definedName name="XRefPaste14">#REF!</definedName>
    <definedName name="XRefPaste140">#REF!</definedName>
    <definedName name="XRefPaste140Row">#REF!</definedName>
    <definedName name="XRefPaste141">#REF!</definedName>
    <definedName name="XRefPaste141Row">#REF!</definedName>
    <definedName name="XRefPaste142">#REF!</definedName>
    <definedName name="XRefPaste142Row">#REF!</definedName>
    <definedName name="XRefPaste143">#REF!</definedName>
    <definedName name="XRefPaste143Row">#REF!</definedName>
    <definedName name="XRefPaste144">#REF!</definedName>
    <definedName name="XRefPaste144Row">#REF!</definedName>
    <definedName name="XRefPaste145">#REF!</definedName>
    <definedName name="XRefPaste145Row">#REF!</definedName>
    <definedName name="XRefPaste146">#REF!</definedName>
    <definedName name="XRefPaste146Row">#REF!</definedName>
    <definedName name="XRefPaste147">#REF!</definedName>
    <definedName name="XRefPaste147Row">#REF!</definedName>
    <definedName name="XRefPaste148">#REF!</definedName>
    <definedName name="XRefPaste148Row">#REF!</definedName>
    <definedName name="XRefPaste149">#REF!</definedName>
    <definedName name="XRefPaste149Row">#REF!</definedName>
    <definedName name="XRefPaste14Row">#REF!</definedName>
    <definedName name="XRefPaste15">#REF!</definedName>
    <definedName name="XRefPaste150">#REF!</definedName>
    <definedName name="XRefPaste150Row">#REF!</definedName>
    <definedName name="XRefPaste151Row">#REF!</definedName>
    <definedName name="XRefPaste152Row">#REF!</definedName>
    <definedName name="XRefPaste153Row">#REF!</definedName>
    <definedName name="XRefPaste154Row">#REF!</definedName>
    <definedName name="XRefPaste155Row">#REF!</definedName>
    <definedName name="XRefPaste156Row">#REF!</definedName>
    <definedName name="XRefPaste157Row">#REF!</definedName>
    <definedName name="XRefPaste158Row">#REF!</definedName>
    <definedName name="XRefPaste159Row">#REF!</definedName>
    <definedName name="XRefPaste15Row">#REF!</definedName>
    <definedName name="XRefPaste16">#REF!</definedName>
    <definedName name="XRefPaste160Row">#REF!</definedName>
    <definedName name="XRefPaste161Row">#REF!</definedName>
    <definedName name="XRefPaste162Row">#REF!</definedName>
    <definedName name="XRefPaste163Row">#REF!</definedName>
    <definedName name="XRefPaste164Row">#REF!</definedName>
    <definedName name="XRefPaste165Row">#REF!</definedName>
    <definedName name="XRefPaste166Row">#REF!</definedName>
    <definedName name="XRefPaste167Row">#REF!</definedName>
    <definedName name="XRefPaste16Row">#REF!</definedName>
    <definedName name="XRefPaste17">#REF!</definedName>
    <definedName name="XRefPaste170Row">#REF!</definedName>
    <definedName name="XRefPaste171Row">#REF!</definedName>
    <definedName name="XRefPaste172Row">#REF!</definedName>
    <definedName name="XRefPaste173Row">#REF!</definedName>
    <definedName name="XRefPaste174Row">#REF!</definedName>
    <definedName name="XRefPaste175Row">#REF!</definedName>
    <definedName name="XRefPaste176Row">#REF!</definedName>
    <definedName name="XRefPaste177Row">#REF!</definedName>
    <definedName name="XRefPaste178Row">#REF!</definedName>
    <definedName name="XRefPaste179Row">#REF!</definedName>
    <definedName name="XRefPaste17Row">#REF!</definedName>
    <definedName name="XRefPaste18">#REF!</definedName>
    <definedName name="XRefPaste180Row">#REF!</definedName>
    <definedName name="XRefPaste181Row">#REF!</definedName>
    <definedName name="XRefPaste182Row">#REF!</definedName>
    <definedName name="XRefPaste183Row">#REF!</definedName>
    <definedName name="XRefPaste184Row">#REF!</definedName>
    <definedName name="XRefPaste185Row">#REF!</definedName>
    <definedName name="XRefPaste186Row">#REF!</definedName>
    <definedName name="XRefPaste187Row">#REF!</definedName>
    <definedName name="XRefPaste188Row">#REF!</definedName>
    <definedName name="XRefPaste189Row">#REF!</definedName>
    <definedName name="XRefPaste18Row">#REF!</definedName>
    <definedName name="XRefPaste19">#REF!</definedName>
    <definedName name="XRefPaste190Row">#REF!</definedName>
    <definedName name="XRefPaste191Row">#REF!</definedName>
    <definedName name="XRefPaste192Row">#REF!</definedName>
    <definedName name="XRefPaste193Row">#REF!</definedName>
    <definedName name="XRefPaste194Row">#REF!</definedName>
    <definedName name="XRefPaste195Row">#REF!</definedName>
    <definedName name="XRefPaste196Row">#REF!</definedName>
    <definedName name="XRefPaste197Row">#REF!</definedName>
    <definedName name="XRefPaste198Row">#REF!</definedName>
    <definedName name="XRefPaste199Row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0Row">#REF!</definedName>
    <definedName name="XRefPaste201Row">#REF!</definedName>
    <definedName name="XRefPaste202Row">#REF!</definedName>
    <definedName name="XRefPaste203Row">#REF!</definedName>
    <definedName name="XRefPaste204Row">#REF!</definedName>
    <definedName name="XRefPaste205Row">#REF!</definedName>
    <definedName name="XRefPaste206Row">#REF!</definedName>
    <definedName name="XRefPaste207Row">#REF!</definedName>
    <definedName name="XRefPaste208Row">#REF!</definedName>
    <definedName name="XRefPaste209Row">#REF!</definedName>
    <definedName name="XRefPaste20Row">#REF!</definedName>
    <definedName name="XRefPaste21">#REF!</definedName>
    <definedName name="XRefPaste210Row">#REF!</definedName>
    <definedName name="XRefPaste211Row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3">#REF!</definedName>
    <definedName name="XRefPaste394">#REF!</definedName>
    <definedName name="XRefPaste395">#REF!</definedName>
    <definedName name="XRefPaste396">#REF!</definedName>
    <definedName name="XRefPaste397">#REF!</definedName>
    <definedName name="XRefPaste398">#REF!</definedName>
    <definedName name="XRefPaste399">#REF!</definedName>
    <definedName name="XRefPaste39Row">#REF!</definedName>
    <definedName name="XRefPaste3Row">#REF!</definedName>
    <definedName name="XRefPaste4">#REF!</definedName>
    <definedName name="XRefPaste40">#REF!</definedName>
    <definedName name="XRefPaste400">#REF!</definedName>
    <definedName name="XRefPaste401">#REF!</definedName>
    <definedName name="XRefPaste402">#REF!</definedName>
    <definedName name="XRefPaste403">#REF!</definedName>
    <definedName name="XRefPaste404">#REF!</definedName>
    <definedName name="XRefPaste405">#REF!</definedName>
    <definedName name="XRefPaste406">#REF!</definedName>
    <definedName name="XRefPaste407">#REF!</definedName>
    <definedName name="XRefPaste408">#REF!</definedName>
    <definedName name="XRefPaste409">#REF!</definedName>
    <definedName name="XRefPaste40Row">#REF!</definedName>
    <definedName name="XRefPaste41">#REF!</definedName>
    <definedName name="XRefPaste410">#REF!</definedName>
    <definedName name="XRefPaste412Row">#REF!</definedName>
    <definedName name="XRefPaste413Row">#REF!</definedName>
    <definedName name="XRefPaste41Row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">#REF!</definedName>
    <definedName name="XRefPaste44Row">#REF!</definedName>
    <definedName name="XRefPaste45">#REF!</definedName>
    <definedName name="XRefPaste45Row">#REF!</definedName>
    <definedName name="XRefPaste46">#REF!</definedName>
    <definedName name="XRefPaste46Row">#REF!</definedName>
    <definedName name="XRefPaste47">#REF!</definedName>
    <definedName name="XRefPaste47Row">#REF!</definedName>
    <definedName name="XRefPaste48">#REF!</definedName>
    <definedName name="XRefPaste48Row">#REF!</definedName>
    <definedName name="XRefPaste49">#REF!</definedName>
    <definedName name="XRefPaste49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2">#REF!</definedName>
    <definedName name="XRefPaste52Row">#REF!</definedName>
    <definedName name="XRefPaste53">#REF!</definedName>
    <definedName name="XRefPaste53Row">#REF!</definedName>
    <definedName name="XRefPaste54">#REF!</definedName>
    <definedName name="XRefPaste54Row">#REF!</definedName>
    <definedName name="XRefPaste55">#REF!</definedName>
    <definedName name="XRefPaste55Row">#REF!</definedName>
    <definedName name="XRefPaste56">#REF!</definedName>
    <definedName name="XRefPaste56Row">#REF!</definedName>
    <definedName name="XRefPaste57">#REF!</definedName>
    <definedName name="XRefPaste57Row">#REF!</definedName>
    <definedName name="XRefPaste58">#REF!</definedName>
    <definedName name="XRefPaste58Row">#REF!</definedName>
    <definedName name="XRefPaste59">#REF!</definedName>
    <definedName name="XRefPaste59Row">#REF!</definedName>
    <definedName name="XRefPaste5Row">#REF!</definedName>
    <definedName name="XRefPaste6">#REF!</definedName>
    <definedName name="XRefPaste60">#REF!</definedName>
    <definedName name="XRefPaste60Row">#REF!</definedName>
    <definedName name="XRefPaste61">#REF!</definedName>
    <definedName name="XRefPaste61Row">#REF!</definedName>
    <definedName name="XRefPaste62">#REF!</definedName>
    <definedName name="XRefPaste62Row">#REF!</definedName>
    <definedName name="XRefPaste63">#REF!</definedName>
    <definedName name="XRefPaste63Row">#REF!</definedName>
    <definedName name="XRefPaste64">#REF!</definedName>
    <definedName name="XRefPaste64Row">#REF!</definedName>
    <definedName name="XRefPaste65">#REF!</definedName>
    <definedName name="XRefPaste65Row">#REF!</definedName>
    <definedName name="XRefPaste66">#REF!</definedName>
    <definedName name="XRefPaste66Row">#REF!</definedName>
    <definedName name="XRefPaste67">#REF!</definedName>
    <definedName name="XRefPaste67Row">#REF!</definedName>
    <definedName name="XRefPaste68">#REF!</definedName>
    <definedName name="XRefPaste68Row">#REF!</definedName>
    <definedName name="XRefPaste69">#REF!</definedName>
    <definedName name="XRefPaste69Row">#REF!</definedName>
    <definedName name="XRefPaste6Row">#REF!</definedName>
    <definedName name="XRefPaste7">#REF!</definedName>
    <definedName name="XRefPaste70">#REF!</definedName>
    <definedName name="XRefPaste70Row">#REF!</definedName>
    <definedName name="XRefPaste71">#REF!</definedName>
    <definedName name="XRefPaste71Row">#REF!</definedName>
    <definedName name="XRefPaste72">#REF!</definedName>
    <definedName name="XRefPaste72Row">#REF!</definedName>
    <definedName name="XRefPaste73">#REF!</definedName>
    <definedName name="XRefPaste73Row">#REF!</definedName>
    <definedName name="XRefPaste74">#REF!</definedName>
    <definedName name="XRefPaste74Row">#REF!</definedName>
    <definedName name="XRefPaste75">#REF!</definedName>
    <definedName name="XRefPaste75Row">#REF!</definedName>
    <definedName name="XRefPaste76">#REF!</definedName>
    <definedName name="XRefPaste76Row">#REF!</definedName>
    <definedName name="XRefPaste77">#REF!</definedName>
    <definedName name="XRefPaste77Row">#REF!</definedName>
    <definedName name="XRefPaste78">#REF!</definedName>
    <definedName name="XRefPaste78Row">#REF!</definedName>
    <definedName name="XRefPaste79">#REF!</definedName>
    <definedName name="XRefPaste79Row">#REF!</definedName>
    <definedName name="XRefPaste7Row">#REF!</definedName>
    <definedName name="XRefPaste8">#REF!</definedName>
    <definedName name="XRefPaste80">#REF!</definedName>
    <definedName name="XRefPaste80Row">#REF!</definedName>
    <definedName name="XRefPaste81">#REF!</definedName>
    <definedName name="XRefPaste81Row">#REF!</definedName>
    <definedName name="XRefPaste82">#REF!</definedName>
    <definedName name="XRefPaste82Row">#REF!</definedName>
    <definedName name="XRefPaste83">#REF!</definedName>
    <definedName name="XRefPaste83Row">#REF!</definedName>
    <definedName name="XRefPaste85">#REF!</definedName>
    <definedName name="XRefPaste85Row">#REF!</definedName>
    <definedName name="XRefPaste86">#REF!</definedName>
    <definedName name="XRefPaste86Row">#REF!</definedName>
    <definedName name="XRefPaste87">#REF!</definedName>
    <definedName name="XRefPaste87Row">#REF!</definedName>
    <definedName name="XRefPaste88">#REF!</definedName>
    <definedName name="XRefPaste88Row">#REF!</definedName>
    <definedName name="XRefPaste89">#REF!</definedName>
    <definedName name="XRefPaste89Row">#REF!</definedName>
    <definedName name="XRefPaste8Row">#REF!</definedName>
    <definedName name="XRefPaste9">#REF!</definedName>
    <definedName name="XRefPaste90">#REF!</definedName>
    <definedName name="XRefPaste90Row">#REF!</definedName>
    <definedName name="XRefPaste91">#REF!</definedName>
    <definedName name="XRefPaste91Row">#REF!</definedName>
    <definedName name="XRefPaste92">#REF!</definedName>
    <definedName name="XRefPaste92Row">#REF!</definedName>
    <definedName name="XRefPaste93">#REF!</definedName>
    <definedName name="XRefPaste93Row">#REF!</definedName>
    <definedName name="XRefPaste94">#REF!</definedName>
    <definedName name="XRefPaste94Row">#REF!</definedName>
    <definedName name="XRefPaste95">#REF!</definedName>
    <definedName name="XRefPaste95Row">#REF!</definedName>
    <definedName name="XRefPaste96">#REF!</definedName>
    <definedName name="XRefPaste96Row">#REF!</definedName>
    <definedName name="XRefPaste97">#REF!</definedName>
    <definedName name="XRefPaste97Row">#REF!</definedName>
    <definedName name="XRefPaste98">#REF!</definedName>
    <definedName name="XRefPaste98Row">#REF!</definedName>
    <definedName name="XRefPaste99">#REF!</definedName>
    <definedName name="XRefPaste99Row">#REF!</definedName>
    <definedName name="XRefPaste9Row">#REF!</definedName>
    <definedName name="XRefPasteRangeCount">2</definedName>
    <definedName name="xregrg">{#N/A,#N/A,FALSE,"Income Branch ONLY"}</definedName>
    <definedName name="xrqgrg">{#N/A,#N/A,FALSE,"Income Branch ONLY"}</definedName>
    <definedName name="xrt">{#N/A,#N/A,FALSE,"OSBL"}</definedName>
    <definedName name="xrt_1">{#N/A,#N/A,FALSE,"OSBL"}</definedName>
    <definedName name="xrt_2">{#N/A,#N/A,FALSE,"OSBL"}</definedName>
    <definedName name="xrt_2_1">{#N/A,#N/A,FALSE,"OSBL"}</definedName>
    <definedName name="xrt_2_2">{#N/A,#N/A,FALSE,"OSBL"}</definedName>
    <definedName name="xrt_2_3">{#N/A,#N/A,FALSE,"OSBL"}</definedName>
    <definedName name="xrt_2_4">{#N/A,#N/A,FALSE,"OSBL"}</definedName>
    <definedName name="xrt_3">{#N/A,#N/A,FALSE,"OSBL"}</definedName>
    <definedName name="xrt_3_1">{#N/A,#N/A,FALSE,"OSBL"}</definedName>
    <definedName name="xrt_3_2">{#N/A,#N/A,FALSE,"OSBL"}</definedName>
    <definedName name="xrt_3_3">{#N/A,#N/A,FALSE,"OSBL"}</definedName>
    <definedName name="xrt_3_4">{#N/A,#N/A,FALSE,"OSBL"}</definedName>
    <definedName name="xrt_4">{#N/A,#N/A,FALSE,"OSBL"}</definedName>
    <definedName name="xrt_4_1">{#N/A,#N/A,FALSE,"OSBL"}</definedName>
    <definedName name="xrt_4_2">{#N/A,#N/A,FALSE,"OSBL"}</definedName>
    <definedName name="xrt_4_3">{#N/A,#N/A,FALSE,"OSBL"}</definedName>
    <definedName name="xrt_4_4">{#N/A,#N/A,FALSE,"OSBL"}</definedName>
    <definedName name="xrt_5">{#N/A,#N/A,FALSE,"OSBL"}</definedName>
    <definedName name="xss">#REF!</definedName>
    <definedName name="xt">{#N/A,#N/A,FALSE,"PGW"}</definedName>
    <definedName name="xt_1">{#N/A,#N/A,FALSE,"PGW"}</definedName>
    <definedName name="xt_2">{#N/A,#N/A,FALSE,"PGW"}</definedName>
    <definedName name="xt_2_1">{#N/A,#N/A,FALSE,"PGW"}</definedName>
    <definedName name="xt_2_2">{#N/A,#N/A,FALSE,"PGW"}</definedName>
    <definedName name="xt_2_3">{#N/A,#N/A,FALSE,"PGW"}</definedName>
    <definedName name="xt_2_4">{#N/A,#N/A,FALSE,"PGW"}</definedName>
    <definedName name="xt_3">{#N/A,#N/A,FALSE,"PGW"}</definedName>
    <definedName name="xt_3_1">{#N/A,#N/A,FALSE,"PGW"}</definedName>
    <definedName name="xt_3_2">{#N/A,#N/A,FALSE,"PGW"}</definedName>
    <definedName name="xt_3_3">{#N/A,#N/A,FALSE,"PGW"}</definedName>
    <definedName name="xt_3_4">{#N/A,#N/A,FALSE,"PGW"}</definedName>
    <definedName name="xt_4">{#N/A,#N/A,FALSE,"PGW"}</definedName>
    <definedName name="xt_4_1">{#N/A,#N/A,FALSE,"PGW"}</definedName>
    <definedName name="xt_4_2">{#N/A,#N/A,FALSE,"PGW"}</definedName>
    <definedName name="xt_4_3">{#N/A,#N/A,FALSE,"PGW"}</definedName>
    <definedName name="xt_4_4">{#N/A,#N/A,FALSE,"PGW"}</definedName>
    <definedName name="xt_5">{#N/A,#N/A,FALSE,"PGW"}</definedName>
    <definedName name="xta???92.?TBr13c7r41c30TBr1">#REF!</definedName>
    <definedName name="xta92??.?TBr23c13r23c36TBr13">#REF!</definedName>
    <definedName name="xta92경전.서TBr23c13r23c36TBr13">#REF!</definedName>
    <definedName name="xta경영계92.서TBr13c7r41c30TBr1">#REF!</definedName>
    <definedName name="xx">{#N/A,#N/A,FALSE,"REPORT"}</definedName>
    <definedName name="xx_1">{#N/A,#N/A,FALSE,"REPORT"}</definedName>
    <definedName name="xx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_2">{#N/A,#N/A,FALSE,"PGW"}</definedName>
    <definedName name="xx_2_1">{#N/A,#N/A,FALSE,"PGW"}</definedName>
    <definedName name="xx_2_2">{#N/A,#N/A,FALSE,"PGW"}</definedName>
    <definedName name="xx_2_3">{#N/A,#N/A,FALSE,"PGW"}</definedName>
    <definedName name="xx_2_4">{#N/A,#N/A,FALSE,"PGW"}</definedName>
    <definedName name="xx_3">{#N/A,#N/A,FALSE,"PGW"}</definedName>
    <definedName name="xx_3_1">{#N/A,#N/A,FALSE,"PGW"}</definedName>
    <definedName name="xx_3_2">{#N/A,#N/A,FALSE,"PGW"}</definedName>
    <definedName name="xx_3_3">{#N/A,#N/A,FALSE,"PGW"}</definedName>
    <definedName name="xx_3_4">{#N/A,#N/A,FALSE,"PGW"}</definedName>
    <definedName name="xx_4">{#N/A,#N/A,FALSE,"PGW"}</definedName>
    <definedName name="xx_4_1">{#N/A,#N/A,FALSE,"PGW"}</definedName>
    <definedName name="xx_4_2">{#N/A,#N/A,FALSE,"PGW"}</definedName>
    <definedName name="xx_4_3">{#N/A,#N/A,FALSE,"PGW"}</definedName>
    <definedName name="xx_4_4">{#N/A,#N/A,FALSE,"PGW"}</definedName>
    <definedName name="xx_5">{#N/A,#N/A,FALSE,"REPORT"}</definedName>
    <definedName name="xx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X">{#N/A,#N/A,FALSE,"Other";#N/A,#N/A,FALSE,"Ace";#N/A,#N/A,FALSE,"Derm"}</definedName>
    <definedName name="xxx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5">{#N/A,#N/A,FALSE,"Other";#N/A,#N/A,FALSE,"Ace";#N/A,#N/A,FALSE,"Derm"}</definedName>
    <definedName name="XXXX">{#N/A,#N/A,FALSE,"Income State.";#N/A,#N/A,FALSE,"B-S"}</definedName>
    <definedName name="xxxxx">{#N/A,#N/A,FALSE,"Pharm";#N/A,#N/A,FALSE,"WWCM"}</definedName>
    <definedName name="xxxxx_1">{#N/A,#N/A,FALSE,"Pharm";#N/A,#N/A,FALSE,"WWCM"}</definedName>
    <definedName name="xxxxx_2">{#N/A,#N/A,FALSE,"Pharm";#N/A,#N/A,FALSE,"WWCM"}</definedName>
    <definedName name="xxxxx_3">{#N/A,#N/A,FALSE,"Pharm";#N/A,#N/A,FALSE,"WWCM"}</definedName>
    <definedName name="xxxxx_4">{#N/A,#N/A,FALSE,"Pharm";#N/A,#N/A,FALSE,"WWCM"}</definedName>
    <definedName name="xxxxx_5">{#N/A,#N/A,FALSE,"Pharm";#N/A,#N/A,FALSE,"WWCM"}</definedName>
    <definedName name="XXXXXX">{#N/A,#N/A,FALSE,"Income State.";#N/A,#N/A,FALSE,"B-S"}</definedName>
    <definedName name="xxxxxxxx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xxxxxxxxxx">{#N/A,#N/A,FALSE,"Highlights";#N/A,#N/A,FALSE,"Income";#N/A,#N/A,FALSE,"Revenue";#N/A,#N/A,FALSE,"Expenses";#N/A,#N/A,FALSE,"Provisions";#N/A,#N/A,FALSE,"Income % of Revenue";#N/A,#N/A,FALSE,"Comp % of Revenue";#N/A,#N/A,FALSE,"DBNA ROE";#N/A,#N/A,FALSE,"ROE by Product"}</definedName>
    <definedName name="xy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{#N/A,#N/A,FALSE,"Tabl. G1";#N/A,#N/A,FALSE,"Tabl. G2"}</definedName>
    <definedName name="xyz_1">{#N/A,#N/A,FALSE,"Tabl. G1";#N/A,#N/A,FALSE,"Tabl. G2"}</definedName>
    <definedName name="xyz_2">{#N/A,#N/A,FALSE,"Tabl. G1";#N/A,#N/A,FALSE,"Tabl. G2"}</definedName>
    <definedName name="xyz_3">{#N/A,#N/A,FALSE,"Tabl. G1";#N/A,#N/A,FALSE,"Tabl. G2"}</definedName>
    <definedName name="xyz_4">{#N/A,#N/A,FALSE,"Tabl. G1";#N/A,#N/A,FALSE,"Tabl. G2"}</definedName>
    <definedName name="y">{"Printsmall",#N/A,FALSE,"Balance Sheet"}</definedName>
    <definedName name="y_1">{"Printsmall",#N/A,FALSE,"Balance Sheet"}</definedName>
    <definedName name="y_2">{"Printsmall",#N/A,FALSE,"Balance Sheet"}</definedName>
    <definedName name="y_3">{#N/A,#N/A,FALSE,"Pharm";#N/A,#N/A,FALSE,"WWCM"}</definedName>
    <definedName name="y_4">{#N/A,#N/A,FALSE,"Pharm";#N/A,#N/A,FALSE,"WWCM"}</definedName>
    <definedName name="y_5">{#N/A,#N/A,FALSE,"Pharm";#N/A,#N/A,FALSE,"WWCM"}</definedName>
    <definedName name="YAxisIncr">#REF!</definedName>
    <definedName name="YAxisMax">#REF!</definedName>
    <definedName name="YAxisMin">#REF!</definedName>
    <definedName name="YBN">{#N/A,#N/A,FALSE,"Tabl. A1";#N/A,#N/A,FALSE,"Tabl. A1 b";#N/A,#N/A,FALSE,"Tabl. A2";#N/A,#N/A,FALSE,"Tabl. A2-1";#N/A,#N/A,FALSE,"Tabl. A2-2"}</definedName>
    <definedName name="YBN_1">{#N/A,#N/A,FALSE,"Tabl. A1";#N/A,#N/A,FALSE,"Tabl. A1 b";#N/A,#N/A,FALSE,"Tabl. A2";#N/A,#N/A,FALSE,"Tabl. A2-1";#N/A,#N/A,FALSE,"Tabl. A2-2"}</definedName>
    <definedName name="YBN_2">{#N/A,#N/A,FALSE,"Tabl. A1";#N/A,#N/A,FALSE,"Tabl. A1 b";#N/A,#N/A,FALSE,"Tabl. A2";#N/A,#N/A,FALSE,"Tabl. A2-1";#N/A,#N/A,FALSE,"Tabl. A2-2"}</definedName>
    <definedName name="YBN_3">{#N/A,#N/A,FALSE,"Tabl. A1";#N/A,#N/A,FALSE,"Tabl. A1 b";#N/A,#N/A,FALSE,"Tabl. A2";#N/A,#N/A,FALSE,"Tabl. A2-1";#N/A,#N/A,FALSE,"Tabl. A2-2"}</definedName>
    <definedName name="YBN_4">{#N/A,#N/A,FALSE,"Tabl. A1";#N/A,#N/A,FALSE,"Tabl. A1 b";#N/A,#N/A,FALSE,"Tabl. A2";#N/A,#N/A,FALSE,"Tabl. A2-1";#N/A,#N/A,FALSE,"Tabl. A2-2"}</definedName>
    <definedName name="yc_Cash_flow_per_share">#REF!</definedName>
    <definedName name="YE">#REF!</definedName>
    <definedName name="YEA">#REF!</definedName>
    <definedName name="Year">#REF!</definedName>
    <definedName name="year_data_20">#REF!</definedName>
    <definedName name="Year_End">#REF!</definedName>
    <definedName name="year09">#REF!</definedName>
    <definedName name="year10">#REF!</definedName>
    <definedName name="year11">#REF!</definedName>
    <definedName name="year12">#REF!</definedName>
    <definedName name="Year12_Asset_Detail">#REF!</definedName>
    <definedName name="Year12_Spreads">#REF!</definedName>
    <definedName name="year13">#REF!</definedName>
    <definedName name="year14">#REF!</definedName>
    <definedName name="year15">#REF!</definedName>
    <definedName name="year16">#REF!</definedName>
    <definedName name="year17">#REF!</definedName>
    <definedName name="year18">#REF!</definedName>
    <definedName name="year19">#REF!</definedName>
    <definedName name="year20">#REF!</definedName>
    <definedName name="year21">#REF!</definedName>
    <definedName name="Year3_Asset_detail">#REF!</definedName>
    <definedName name="Year3_Spreads">#REF!</definedName>
    <definedName name="YearEndDay">#REF!</definedName>
    <definedName name="YearEndMonth">#REF!</definedName>
    <definedName name="YearRange">#REF!</definedName>
    <definedName name="YELGONDYVENUGOPAL">#REF!</definedName>
    <definedName name="Yen_to_Oz">#REF!</definedName>
    <definedName name="YENPURE">#REF!</definedName>
    <definedName name="YES">{#N/A,#N/A,FALSE,"ISBL"}</definedName>
    <definedName name="YES_1">{#N/A,#N/A,FALSE,"ISBL"}</definedName>
    <definedName name="YES_2">{#N/A,#N/A,FALSE,"ISBL"}</definedName>
    <definedName name="YES_3">{#N/A,#N/A,FALSE,"ISBL"}</definedName>
    <definedName name="YES_4">{#N/A,#N/A,FALSE,"ISBL"}</definedName>
    <definedName name="YesNo">#REF!</definedName>
    <definedName name="YesNo_List">#REF!</definedName>
    <definedName name="yeya">{#N/A,#N/A,FALSE,"PGW"}</definedName>
    <definedName name="yeya_1">{#N/A,#N/A,FALSE,"PGW"}</definedName>
    <definedName name="yeya_1_1">{#N/A,#N/A,FALSE,"PGW"}</definedName>
    <definedName name="yeya_1_2">{#N/A,#N/A,FALSE,"PGW"}</definedName>
    <definedName name="yeya_1_3">{#N/A,#N/A,FALSE,"PGW"}</definedName>
    <definedName name="yeya_1_4">{#N/A,#N/A,FALSE,"PGW"}</definedName>
    <definedName name="yeya_2">{#N/A,#N/A,FALSE,"PGW"}</definedName>
    <definedName name="yeya_2_1">{#N/A,#N/A,FALSE,"PGW"}</definedName>
    <definedName name="yeya_2_2">{#N/A,#N/A,FALSE,"PGW"}</definedName>
    <definedName name="yeya_2_3">{#N/A,#N/A,FALSE,"PGW"}</definedName>
    <definedName name="yeya_2_4">{#N/A,#N/A,FALSE,"PGW"}</definedName>
    <definedName name="yeya_3">{#N/A,#N/A,FALSE,"PGW"}</definedName>
    <definedName name="yeya_3_1">{#N/A,#N/A,FALSE,"PGW"}</definedName>
    <definedName name="yeya_3_2">{#N/A,#N/A,FALSE,"PGW"}</definedName>
    <definedName name="yeya_3_3">{#N/A,#N/A,FALSE,"PGW"}</definedName>
    <definedName name="yeya_3_4">{#N/A,#N/A,FALSE,"PGW"}</definedName>
    <definedName name="yeya_4">{#N/A,#N/A,FALSE,"PGW"}</definedName>
    <definedName name="yeya_4_1">{#N/A,#N/A,FALSE,"PGW"}</definedName>
    <definedName name="yeya_4_2">{#N/A,#N/A,FALSE,"PGW"}</definedName>
    <definedName name="yeya_4_3">{#N/A,#N/A,FALSE,"PGW"}</definedName>
    <definedName name="yeya_4_4">{#N/A,#N/A,FALSE,"PGW"}</definedName>
    <definedName name="yeya_5">{#N/A,#N/A,FALSE,"PGW"}</definedName>
    <definedName name="YGJDG">#REF!</definedName>
    <definedName name="Yield">#REF!</definedName>
    <definedName name="yjetyjj">IF(Loan_Amount*Interest_Rate*Loan_Years*Loan_Start&gt;0,1,0)</definedName>
    <definedName name="YrEndDate">#REF!</definedName>
    <definedName name="YrRange">#REF!</definedName>
    <definedName name="YTD_Local_currency">#REF!</definedName>
    <definedName name="YtdMth13">#REF!</definedName>
    <definedName name="YTDPrior">#REF!</definedName>
    <definedName name="YTHBVFR">{#N/A,#N/A,FALSE,"Tabl. FB300";#N/A,#N/A,FALSE,"Tabl. FB350";#N/A,#N/A,FALSE,"Tabl. FB400";#N/A,#N/A,FALSE,"Tabl. FB500";#N/A,#N/A,FALSE,"Tabl. FS090"}</definedName>
    <definedName name="YTHBVFR_1">{#N/A,#N/A,FALSE,"Tabl. FB300";#N/A,#N/A,FALSE,"Tabl. FB350";#N/A,#N/A,FALSE,"Tabl. FB400";#N/A,#N/A,FALSE,"Tabl. FB500";#N/A,#N/A,FALSE,"Tabl. FS090"}</definedName>
    <definedName name="YTHBVFR_2">{#N/A,#N/A,FALSE,"Tabl. FB300";#N/A,#N/A,FALSE,"Tabl. FB350";#N/A,#N/A,FALSE,"Tabl. FB400";#N/A,#N/A,FALSE,"Tabl. FB500";#N/A,#N/A,FALSE,"Tabl. FS090"}</definedName>
    <definedName name="YTHBVFR_3">{#N/A,#N/A,FALSE,"Tabl. FB300";#N/A,#N/A,FALSE,"Tabl. FB350";#N/A,#N/A,FALSE,"Tabl. FB400";#N/A,#N/A,FALSE,"Tabl. FB500";#N/A,#N/A,FALSE,"Tabl. FS090"}</definedName>
    <definedName name="YTHBVFR_4">{#N/A,#N/A,FALSE,"Tabl. FB300";#N/A,#N/A,FALSE,"Tabl. FB350";#N/A,#N/A,FALSE,"Tabl. FB400";#N/A,#N/A,FALSE,"Tabl. FB500";#N/A,#N/A,FALSE,"Tabl. FS090"}</definedName>
    <definedName name="YU87N">{#N/A,#N/A,FALSE,"Tabl. G1";#N/A,#N/A,FALSE,"Tabl. G2"}</definedName>
    <definedName name="YU87N_1">{#N/A,#N/A,FALSE,"Tabl. G1";#N/A,#N/A,FALSE,"Tabl. G2"}</definedName>
    <definedName name="YU87N_2">{#N/A,#N/A,FALSE,"Tabl. G1";#N/A,#N/A,FALSE,"Tabl. G2"}</definedName>
    <definedName name="YU87N_3">{#N/A,#N/A,FALSE,"Tabl. G1";#N/A,#N/A,FALSE,"Tabl. G2"}</definedName>
    <definedName name="YU87N_4">{#N/A,#N/A,FALSE,"Tabl. G1";#N/A,#N/A,FALSE,"Tabl. G2"}</definedName>
    <definedName name="YUC">{#N/A,#N/A,FALSE,"Tabl. H1";#N/A,#N/A,FALSE,"Tabl. H2"}</definedName>
    <definedName name="YUC_1">{#N/A,#N/A,FALSE,"Tabl. H1";#N/A,#N/A,FALSE,"Tabl. H2"}</definedName>
    <definedName name="YUC_2">{#N/A,#N/A,FALSE,"Tabl. H1";#N/A,#N/A,FALSE,"Tabl. H2"}</definedName>
    <definedName name="YUC_3">{#N/A,#N/A,FALSE,"Tabl. H1";#N/A,#N/A,FALSE,"Tabl. H2"}</definedName>
    <definedName name="YUC_4">{#N/A,#N/A,FALSE,"Tabl. H1";#N/A,#N/A,FALSE,"Tabl. H2"}</definedName>
    <definedName name="YY">{#N/A,#N/A,FALSE,"Tabl. A1";#N/A,#N/A,FALSE,"Tabl. A1 b";#N/A,#N/A,FALSE,"Tabl. A2";#N/A,#N/A,FALSE,"Tabl. A2-1";#N/A,#N/A,FALSE,"Tabl. A2-2"}</definedName>
    <definedName name="YY_1">{#N/A,#N/A,FALSE,"Tabl. A1";#N/A,#N/A,FALSE,"Tabl. A1 b";#N/A,#N/A,FALSE,"Tabl. A2";#N/A,#N/A,FALSE,"Tabl. A2-1";#N/A,#N/A,FALSE,"Tabl. A2-2"}</definedName>
    <definedName name="yy_1_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YY_2">{#N/A,#N/A,FALSE,"Tabl. A1";#N/A,#N/A,FALSE,"Tabl. A1 b";#N/A,#N/A,FALSE,"Tabl. A2";#N/A,#N/A,FALSE,"Tabl. A2-1";#N/A,#N/A,FALSE,"Tabl. A2-2"}</definedName>
    <definedName name="YY_3">{#N/A,#N/A,FALSE,"Tabl. A1";#N/A,#N/A,FALSE,"Tabl. A1 b";#N/A,#N/A,FALSE,"Tabl. A2";#N/A,#N/A,FALSE,"Tabl. A2-1";#N/A,#N/A,FALSE,"Tabl. A2-2"}</definedName>
    <definedName name="YY_4">{#N/A,#N/A,FALSE,"Tabl. A1";#N/A,#N/A,FALSE,"Tabl. A1 b";#N/A,#N/A,FALSE,"Tabl. A2";#N/A,#N/A,FALSE,"Tabl. A2-1";#N/A,#N/A,FALSE,"Tabl. A2-2"}</definedName>
    <definedName name="yyy">{#N/A,#N/A,FALSE,"Other";#N/A,#N/A,FALSE,"Ace";#N/A,#N/A,FALSE,"Derm"}</definedName>
    <definedName name="yyy_1">{#N/A,#N/A,FALSE,"PGW"}</definedName>
    <definedName name="yyy_1_1">{#N/A,#N/A,FALSE,"PGW"}</definedName>
    <definedName name="yyy_1_2">{#N/A,#N/A,FALSE,"PGW"}</definedName>
    <definedName name="yyy_1_3">{#N/A,#N/A,FALSE,"PGW"}</definedName>
    <definedName name="yyy_1_4">{#N/A,#N/A,FALSE,"PGW"}</definedName>
    <definedName name="yyy_1_5">{#N/A,#N/A,FALSE,"PGW"}</definedName>
    <definedName name="yyy_2">{#N/A,#N/A,FALSE,"PGW"}</definedName>
    <definedName name="yyy_2_1">{#N/A,#N/A,FALSE,"PGW"}</definedName>
    <definedName name="yyy_2_2">{#N/A,#N/A,FALSE,"PGW"}</definedName>
    <definedName name="yyy_2_3">{#N/A,#N/A,FALSE,"PGW"}</definedName>
    <definedName name="yyy_2_4">{#N/A,#N/A,FALSE,"PGW"}</definedName>
    <definedName name="yyy_3">{#N/A,#N/A,FALSE,"PGW"}</definedName>
    <definedName name="yyy_3_1">{#N/A,#N/A,FALSE,"PGW"}</definedName>
    <definedName name="yyy_3_2">{#N/A,#N/A,FALSE,"PGW"}</definedName>
    <definedName name="yyy_3_3">{#N/A,#N/A,FALSE,"PGW"}</definedName>
    <definedName name="yyy_3_4">{#N/A,#N/A,FALSE,"PGW"}</definedName>
    <definedName name="yyy_4">{#N/A,#N/A,FALSE,"PGW"}</definedName>
    <definedName name="yyy_4_1">{#N/A,#N/A,FALSE,"PGW"}</definedName>
    <definedName name="yyy_4_2">{#N/A,#N/A,FALSE,"PGW"}</definedName>
    <definedName name="yyy_4_3">{#N/A,#N/A,FALSE,"PGW"}</definedName>
    <definedName name="yyy_4_4">{#N/A,#N/A,FALSE,"PGW"}</definedName>
    <definedName name="yyy_5">{#N/A,#N/A,FALSE,"Other";#N/A,#N/A,FALSE,"Ace";#N/A,#N/A,FALSE,"Derm"}</definedName>
    <definedName name="z">#REF!</definedName>
    <definedName name="Z_07C8C0A5_8F6F_4091_BA36_6384A9F3DB4E_.wvu.PrintArea">#REF!</definedName>
    <definedName name="Z_206C9E68_DD40_11D3_8A45_00C04F301435_.wvu.PrintArea">#REF!</definedName>
    <definedName name="Z_2C4261EE_198C_4D62_9267_E9AC7DC7B774_.wvu.Cols">#REF!</definedName>
    <definedName name="Z_2C4261EE_198C_4D62_9267_E9AC7DC7B774_.wvu.Rows">#REF!,#REF!</definedName>
    <definedName name="Z_4E024301_4CE1_11D3_B120_444553540000_.wvu.Rows">#REF!</definedName>
    <definedName name="Z_545695C7_58C2_4B8A_B4E6_FE7D87CD5F73_.wvu.PrintArea">#REF!</definedName>
    <definedName name="Z_61AEE0C4_9D6A_11D1_8812_00A0C9224EE7_.wvu.PrintArea">#REF!</definedName>
    <definedName name="Z_68888F81_D056_11D1_9E3A_00A0C92284EA_.wvu.PrintArea">#REF!</definedName>
    <definedName name="Z_6FBD5342_E614_11D4_A8FC_00105A842814_.wvu.Cols">#REF!</definedName>
    <definedName name="Z_746852D3_BFD6_47E8_9DA9_56CF052FA174_.wvu.Rows">#REF!</definedName>
    <definedName name="Z_B35CEEC0_CC5B_11D5_B91B_0050BA3CDE56_.wvu.PrintArea">#REF!</definedName>
    <definedName name="Z_B35CEEC0_CC5B_11D5_B91B_0050BA3CDE56_.wvu.Rows">#REF!,#REF!</definedName>
    <definedName name="Z_D3136341_CFD2_11D1_B4C1_0000E8DF4CC8_.wvu.PrintArea">#REF!</definedName>
    <definedName name="Z_DE54EB4E_7288_4CBC_B1F8_54C2468A83E6_.wvu.Cols">#REF!,#REF!</definedName>
    <definedName name="Z_DE54EB4E_7288_4CBC_B1F8_54C2468A83E6_.wvu.PrintArea">#REF!</definedName>
    <definedName name="Z_DE54EB4E_7288_4CBC_B1F8_54C2468A83E6_.wvu.Rows">#REF!,#REF!,#REF!,#REF!</definedName>
    <definedName name="Z_E6126772_F657_4F83_85E2_49F7AE79C80F_.wvu.Cols">#REF!</definedName>
    <definedName name="Z_E6126772_F657_4F83_85E2_49F7AE79C80F_.wvu.Rows">#REF!</definedName>
    <definedName name="z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a_1">{#N/A,#N/A,FALSE,"Full";#N/A,#N/A,FALSE,"Half";#N/A,#N/A,FALSE,"Op Expenses";#N/A,#N/A,FALSE,"Cap Charge";#N/A,#N/A,FALSE,"Cost C";#N/A,#N/A,FALSE,"PP&amp;E";#N/A,#N/A,FALSE,"R&amp;D"}</definedName>
    <definedName name="za_2">{#N/A,#N/A,FALSE,"Full";#N/A,#N/A,FALSE,"Half";#N/A,#N/A,FALSE,"Op Expenses";#N/A,#N/A,FALSE,"Cap Charge";#N/A,#N/A,FALSE,"Cost C";#N/A,#N/A,FALSE,"PP&amp;E";#N/A,#N/A,FALSE,"R&amp;D"}</definedName>
    <definedName name="za_3">{#N/A,#N/A,FALSE,"Full";#N/A,#N/A,FALSE,"Half";#N/A,#N/A,FALSE,"Op Expenses";#N/A,#N/A,FALSE,"Cap Charge";#N/A,#N/A,FALSE,"Cost C";#N/A,#N/A,FALSE,"PP&amp;E";#N/A,#N/A,FALSE,"R&amp;D"}</definedName>
    <definedName name="zachin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acro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acro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ad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AMBAREATISH">#REF!</definedName>
    <definedName name="ZAREPPARAMESH">#REF!</definedName>
    <definedName name="zarkf98l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aza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b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currcode">#REF!</definedName>
    <definedName name="zdfbfa">{#N/A,#N/A,FALSE,"1997 P&amp;L(pk) (Atlanta)";#N/A,#N/A,FALSE,"ONGOING P&amp;L(PK)(Atlanta)"}</definedName>
    <definedName name="z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e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ero">#REF!</definedName>
    <definedName name="zesewe">{#N/A,#N/A,FALSE,"FREE"}</definedName>
    <definedName name="zesewe_1">{#N/A,#N/A,FALSE,"FREE"}</definedName>
    <definedName name="zesewe_2">{#N/A,#N/A,FALSE,"FREE"}</definedName>
    <definedName name="zesewe_2_1">{#N/A,#N/A,FALSE,"FREE"}</definedName>
    <definedName name="zesewe_2_2">{#N/A,#N/A,FALSE,"FREE"}</definedName>
    <definedName name="zesewe_2_3">{#N/A,#N/A,FALSE,"FREE"}</definedName>
    <definedName name="zesewe_2_4">{#N/A,#N/A,FALSE,"FREE"}</definedName>
    <definedName name="zesewe_3">{#N/A,#N/A,FALSE,"FREE"}</definedName>
    <definedName name="zesewe_3_1">{#N/A,#N/A,FALSE,"FREE"}</definedName>
    <definedName name="zesewe_3_2">{#N/A,#N/A,FALSE,"FREE"}</definedName>
    <definedName name="zesewe_3_3">{#N/A,#N/A,FALSE,"FREE"}</definedName>
    <definedName name="zesewe_3_4">{#N/A,#N/A,FALSE,"FREE"}</definedName>
    <definedName name="zesewe_4">{#N/A,#N/A,FALSE,"FREE"}</definedName>
    <definedName name="zesewe_4_1">{#N/A,#N/A,FALSE,"FREE"}</definedName>
    <definedName name="zesewe_4_2">{#N/A,#N/A,FALSE,"FREE"}</definedName>
    <definedName name="zesewe_4_3">{#N/A,#N/A,FALSE,"FREE"}</definedName>
    <definedName name="zesewe_4_4">{#N/A,#N/A,FALSE,"FREE"}</definedName>
    <definedName name="zesewe_5">{#N/A,#N/A,FALSE,"FREE"}</definedName>
    <definedName name="zew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hu">{#N/A,#N/A,FALSE,"REPORT"}</definedName>
    <definedName name="zhu_1">{#N/A,#N/A,FALSE,"REPORT"}</definedName>
    <definedName name="zhu_2">{#N/A,#N/A,FALSE,"REPORT"}</definedName>
    <definedName name="zhu_3">{#N/A,#N/A,FALSE,"REPORT"}</definedName>
    <definedName name="zhu_4">{#N/A,#N/A,FALSE,"REPORT"}</definedName>
    <definedName name="zhu_5">{#N/A,#N/A,FALSE,"REPORT"}</definedName>
    <definedName name="zhutr">{#N/A,#N/A,FALSE,"REPORT"}</definedName>
    <definedName name="zhutr_1">{#N/A,#N/A,FALSE,"REPORT"}</definedName>
    <definedName name="zhutr_2">{#N/A,#N/A,FALSE,"REPORT"}</definedName>
    <definedName name="zhutr_3">{#N/A,#N/A,FALSE,"REPORT"}</definedName>
    <definedName name="zhutr_4">{#N/A,#N/A,FALSE,"REPORT"}</definedName>
    <definedName name="zhutr_5">{#N/A,#N/A,FALSE,"REPORT"}</definedName>
    <definedName name="zi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ii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ip">#REF!</definedName>
    <definedName name="zipp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isposbal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itril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itrile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k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ODGEB">#REF!</definedName>
    <definedName name="zr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s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SZ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5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unit">#REF!</definedName>
    <definedName name="zUnitName">#REF!</definedName>
    <definedName name="ZURANGE">#REF!</definedName>
    <definedName name="ZWX">{#N/A,#N/A,FALSE,"Tabl. A1";#N/A,#N/A,FALSE,"Tabl. A1 b";#N/A,#N/A,FALSE,"Tabl. A2";#N/A,#N/A,FALSE,"Tabl. A2-1";#N/A,#N/A,FALSE,"Tabl. A2-2"}</definedName>
    <definedName name="ZWX_1">{#N/A,#N/A,FALSE,"Tabl. A1";#N/A,#N/A,FALSE,"Tabl. A1 b";#N/A,#N/A,FALSE,"Tabl. A2";#N/A,#N/A,FALSE,"Tabl. A2-1";#N/A,#N/A,FALSE,"Tabl. A2-2"}</definedName>
    <definedName name="ZWX_2">{#N/A,#N/A,FALSE,"Tabl. A1";#N/A,#N/A,FALSE,"Tabl. A1 b";#N/A,#N/A,FALSE,"Tabl. A2";#N/A,#N/A,FALSE,"Tabl. A2-1";#N/A,#N/A,FALSE,"Tabl. A2-2"}</definedName>
    <definedName name="ZWX_3">{#N/A,#N/A,FALSE,"Tabl. A1";#N/A,#N/A,FALSE,"Tabl. A1 b";#N/A,#N/A,FALSE,"Tabl. A2";#N/A,#N/A,FALSE,"Tabl. A2-1";#N/A,#N/A,FALSE,"Tabl. A2-2"}</definedName>
    <definedName name="ZWX_4">{#N/A,#N/A,FALSE,"Tabl. A1";#N/A,#N/A,FALSE,"Tabl. A1 b";#N/A,#N/A,FALSE,"Tabl. A2";#N/A,#N/A,FALSE,"Tabl. A2-1";#N/A,#N/A,FALSE,"Tabl. A2-2"}</definedName>
    <definedName name="zx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X">#REF!</definedName>
    <definedName name="ZXXXX">{#N/A,#N/A,FALSE,"Income State.";#N/A,#N/A,FALSE,"B-S"}</definedName>
    <definedName name="zyear">#REF!</definedName>
    <definedName name="ZYX">#REF!</definedName>
    <definedName name="ZZ">{#N/A,#N/A,FALSE,"Tabl. G1";#N/A,#N/A,FALSE,"Tabl. G2"}</definedName>
    <definedName name="ZZ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1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5">{#N/A,#N/A,FALSE,"Tabl. G1";#N/A,#N/A,FALSE,"Tabl. G2"}</definedName>
    <definedName name="zza4pg">{#N/A,#N/A,FALSE,"REPORT"}</definedName>
    <definedName name="zza4pg_1">{#N/A,#N/A,FALSE,"REPORT"}</definedName>
    <definedName name="zza4pg_2">{#N/A,#N/A,FALSE,"REPORT"}</definedName>
    <definedName name="zza4pg_3">{#N/A,#N/A,FALSE,"REPORT"}</definedName>
    <definedName name="zza4pg_4">{#N/A,#N/A,FALSE,"REPORT"}</definedName>
    <definedName name="zza4pg_5">{#N/A,#N/A,FALSE,"REPORT"}</definedName>
    <definedName name="zzee">{#N/A,#N/A,FALSE,"Pharm";#N/A,#N/A,FALSE,"WWCM"}</definedName>
    <definedName name="zzee_1">{#N/A,#N/A,FALSE,"Pharm";#N/A,#N/A,FALSE,"WWCM"}</definedName>
    <definedName name="zzee_2">{#N/A,#N/A,FALSE,"Pharm";#N/A,#N/A,FALSE,"WWCM"}</definedName>
    <definedName name="zzee_3">{#N/A,#N/A,FALSE,"Pharm";#N/A,#N/A,FALSE,"WWCM"}</definedName>
    <definedName name="zzee_4">{#N/A,#N/A,FALSE,"Pharm";#N/A,#N/A,FALSE,"WWCM"}</definedName>
    <definedName name="zzee_5">{#N/A,#N/A,FALSE,"Pharm";#N/A,#N/A,FALSE,"WWCM"}</definedName>
    <definedName name="ZZZ">{#N/A,#N/A,FALSE,"PGW"}</definedName>
    <definedName name="zzz.zarkf98h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zzz.zarkf98p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ZZZ_1">{#N/A,#N/A,FALSE,"PGW"}</definedName>
    <definedName name="ZZZ_1_1">{#N/A,#N/A,FALSE,"PGW"}</definedName>
    <definedName name="ZZZ_1_2">{#N/A,#N/A,FALSE,"PGW"}</definedName>
    <definedName name="ZZZ_1_3">{#N/A,#N/A,FALSE,"PGW"}</definedName>
    <definedName name="ZZZ_1_4">{#N/A,#N/A,FALSE,"PGW"}</definedName>
    <definedName name="ZZZ_2">{#N/A,#N/A,FALSE,"PGW"}</definedName>
    <definedName name="ZZZ_2_1">{#N/A,#N/A,FALSE,"PGW"}</definedName>
    <definedName name="ZZZ_2_2">{#N/A,#N/A,FALSE,"PGW"}</definedName>
    <definedName name="ZZZ_2_3">{#N/A,#N/A,FALSE,"PGW"}</definedName>
    <definedName name="ZZZ_2_4">{#N/A,#N/A,FALSE,"PGW"}</definedName>
    <definedName name="ZZZ_3">{#N/A,#N/A,FALSE,"PGW"}</definedName>
    <definedName name="ZZZ_3_1">{#N/A,#N/A,FALSE,"PGW"}</definedName>
    <definedName name="ZZZ_3_2">{#N/A,#N/A,FALSE,"PGW"}</definedName>
    <definedName name="ZZZ_3_3">{#N/A,#N/A,FALSE,"PGW"}</definedName>
    <definedName name="ZZZ_3_4">{#N/A,#N/A,FALSE,"PGW"}</definedName>
    <definedName name="ZZZ_4">{#N/A,#N/A,FALSE,"PGW"}</definedName>
    <definedName name="ZZZ_4_1">{#N/A,#N/A,FALSE,"PGW"}</definedName>
    <definedName name="ZZZ_4_2">{#N/A,#N/A,FALSE,"PGW"}</definedName>
    <definedName name="ZZZ_4_3">{#N/A,#N/A,FALSE,"PGW"}</definedName>
    <definedName name="ZZZ_4_4">{#N/A,#N/A,FALSE,"PGW"}</definedName>
    <definedName name="ZZZ_5">{#N/A,#N/A,FALSE,"PGW"}</definedName>
    <definedName name="zzzz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zzzzz">{#N/A,#N/A,FALSE,"REPORT"}</definedName>
    <definedName name="zzzzz_1">{#N/A,#N/A,FALSE,"REPORT"}</definedName>
    <definedName name="zzzzz_2">{#N/A,#N/A,FALSE,"REPORT"}</definedName>
    <definedName name="zzzzz_3">{#N/A,#N/A,FALSE,"REPORT"}</definedName>
    <definedName name="zzzzz_4">{#N/A,#N/A,FALSE,"REPORT"}</definedName>
    <definedName name="zzzzz_5">{#N/A,#N/A,FALSE,"REPORT"}</definedName>
    <definedName name="ZZZZZZZZZZZZZZZ">{#N/A,#N/A,FALSE,"Tabl. FB300";#N/A,#N/A,FALSE,"Tabl. FB350";#N/A,#N/A,FALSE,"Tabl. FB400";#N/A,#N/A,FALSE,"Tabl. FB500";#N/A,#N/A,FALSE,"Tabl. FS090"}</definedName>
    <definedName name="ZZZZZZZZZZZZZZZ_1">{#N/A,#N/A,FALSE,"Tabl. FB300";#N/A,#N/A,FALSE,"Tabl. FB350";#N/A,#N/A,FALSE,"Tabl. FB400";#N/A,#N/A,FALSE,"Tabl. FB500";#N/A,#N/A,FALSE,"Tabl. FS090"}</definedName>
    <definedName name="ZZZZZZZZZZZZZZZ_2">{#N/A,#N/A,FALSE,"Tabl. FB300";#N/A,#N/A,FALSE,"Tabl. FB350";#N/A,#N/A,FALSE,"Tabl. FB400";#N/A,#N/A,FALSE,"Tabl. FB500";#N/A,#N/A,FALSE,"Tabl. FS090"}</definedName>
    <definedName name="ZZZZZZZZZZZZZZZ_3">{#N/A,#N/A,FALSE,"Tabl. FB300";#N/A,#N/A,FALSE,"Tabl. FB350";#N/A,#N/A,FALSE,"Tabl. FB400";#N/A,#N/A,FALSE,"Tabl. FB500";#N/A,#N/A,FALSE,"Tabl. FS090"}</definedName>
    <definedName name="ZZZZZZZZZZZZZZZ_4">{#N/A,#N/A,FALSE,"Tabl. FB300";#N/A,#N/A,FALSE,"Tabl. FB350";#N/A,#N/A,FALSE,"Tabl. FB400";#N/A,#N/A,FALSE,"Tabl. FB500";#N/A,#N/A,FALSE,"Tabl. FS090"}</definedName>
    <definedName name="もりた">#REF!</definedName>
    <definedName name="고">{#N/A,#N/A,FALSE,"REPORT"}</definedName>
    <definedName name="고_1">{#N/A,#N/A,FALSE,"REPORT"}</definedName>
    <definedName name="고_2">{#N/A,#N/A,FALSE,"REPORT"}</definedName>
    <definedName name="고_3">{#N/A,#N/A,FALSE,"REPORT"}</definedName>
    <definedName name="고_4">{#N/A,#N/A,FALSE,"REPORT"}</definedName>
    <definedName name="고_5">{#N/A,#N/A,FALSE,"REPORT"}</definedName>
    <definedName name="고가5개년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기업투자">#REF!</definedName>
    <definedName name="김은정">{#N/A,#N/A,FALSE,"PART-1234-8-12-9(41)";#N/A,#N/A,FALSE,"PARTS-2(3)";#N/A,#N/A,FALSE,"VAN SYSTEM";#N/A,#N/A,FALSE,"PARTS-10(26)";#N/A,#N/A,FALSE,"PART-5-6-7-11(14)";#N/A,#N/A,FALSE,"PARTS-4(3)";#N/A,#N/A,FALSE,"PCLASS"}</definedName>
    <definedName name="ㄴ">{#N/A,#N/A,FALSE,"PART-1234-8-12-9(41)";#N/A,#N/A,FALSE,"PARTS-2(3)";#N/A,#N/A,FALSE,"VAN SYSTEM";#N/A,#N/A,FALSE,"PARTS-10(26)";#N/A,#N/A,FALSE,"PART-5-6-7-11(14)";#N/A,#N/A,FALSE,"PARTS-4(3)";#N/A,#N/A,FALSE,"PCLASS"}</definedName>
    <definedName name="ㄴㄴㄴ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ㄴ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ㄶㅇ노ㅗㄶ호">{#N/A,#N/A,FALSE,"REPORT"}</definedName>
    <definedName name="ㄶㅇ노ㅗㄶ호_1">{#N/A,#N/A,FALSE,"REPORT"}</definedName>
    <definedName name="ㄶㅇ노ㅗㄶ호_2">{#N/A,#N/A,FALSE,"REPORT"}</definedName>
    <definedName name="ㄶㅇ노ㅗㄶ호_3">{#N/A,#N/A,FALSE,"REPORT"}</definedName>
    <definedName name="ㄶㅇ노ㅗㄶ호_4">{#N/A,#N/A,FALSE,"REPORT"}</definedName>
    <definedName name="ㄶㅇ노ㅗㄶ호_5">{#N/A,#N/A,FALSE,"REPORT"}</definedName>
    <definedName name="단위_백만원">#REF!</definedName>
    <definedName name="매출">#REF!</definedName>
    <definedName name="미애">{#N/A,#N/A,FALSE,"REPORT"}</definedName>
    <definedName name="미애_1">{#N/A,#N/A,FALSE,"REPORT"}</definedName>
    <definedName name="미애_2">{#N/A,#N/A,FALSE,"REPORT"}</definedName>
    <definedName name="미애_3">{#N/A,#N/A,FALSE,"REPORT"}</definedName>
    <definedName name="미애_4">{#N/A,#N/A,FALSE,"REPORT"}</definedName>
    <definedName name="미애_5">{#N/A,#N/A,FALSE,"REPORT"}</definedName>
    <definedName name="별지66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">{#N/A,#N/A,FALSE,"PART-1234-8-12-9(41)";#N/A,#N/A,FALSE,"PARTS-2(3)";#N/A,#N/A,FALSE,"VAN SYSTEM";#N/A,#N/A,FALSE,"PARTS-10(26)";#N/A,#N/A,FALSE,"PART-5-6-7-11(14)";#N/A,#N/A,FALSE,"PARTS-4(3)";#N/A,#N/A,FALSE,"PCLASS"}</definedName>
    <definedName name="월_판매">#REF!</definedName>
    <definedName name="은정">{#N/A,#N/A,FALSE,"PART-1234-8-12-9(41)";#N/A,#N/A,FALSE,"PARTS-2(3)";#N/A,#N/A,FALSE,"VAN SYSTEM";#N/A,#N/A,FALSE,"PARTS-10(26)";#N/A,#N/A,FALSE,"PART-5-6-7-11(14)";#N/A,#N/A,FALSE,"PARTS-4(3)";#N/A,#N/A,FALSE,"PCLASS"}</definedName>
    <definedName name="이쁘니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전장">#REF!</definedName>
    <definedName name="제원">#REF!</definedName>
    <definedName name="제조원가">#REF!</definedName>
    <definedName name="종규님">{#N/A,#N/A,FALSE,"PART-1234-8-12-9(41)";#N/A,#N/A,FALSE,"PARTS-2(3)";#N/A,#N/A,FALSE,"VAN SYSTEM";#N/A,#N/A,FALSE,"PARTS-10(26)";#N/A,#N/A,FALSE,"PART-5-6-7-11(14)";#N/A,#N/A,FALSE,"PARTS-4(3)";#N/A,#N/A,FALSE,"PCLASS"}</definedName>
    <definedName name="주요현안문제점">{#N/A,#N/A,FALSE,"PART-1234-8-12-9(41)";#N/A,#N/A,FALSE,"PARTS-2(3)";#N/A,#N/A,FALSE,"VAN SYSTEM";#N/A,#N/A,FALSE,"PARTS-10(26)";#N/A,#N/A,FALSE,"PART-5-6-7-11(14)";#N/A,#N/A,FALSE,"PARTS-4(3)";#N/A,#N/A,FALSE,"PCLASS"}</definedName>
    <definedName name="총괄표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표지">#REF!</definedName>
    <definedName name="현금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ㅏ나앙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ㅏ">#REF!</definedName>
    <definedName name="ㅐ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ㅠ">#REF!</definedName>
    <definedName name="勝">#REF!</definedName>
    <definedName name="工事">#REF!</definedName>
    <definedName name="現代綜合商事經由分">#REF!</definedName>
    <definedName name="現法">#REF!</definedName>
    <definedName name="直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D28" i="2"/>
  <c r="C28" i="2"/>
  <c r="B38" i="3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O68" i="2"/>
  <c r="N68" i="2"/>
  <c r="J68" i="2"/>
  <c r="I68" i="2"/>
  <c r="H68" i="2"/>
  <c r="G68" i="2"/>
  <c r="O66" i="2"/>
  <c r="N66" i="2"/>
  <c r="M66" i="2"/>
  <c r="L66" i="2"/>
  <c r="K66" i="2"/>
  <c r="K68" i="2" s="1"/>
  <c r="J66" i="2"/>
  <c r="I66" i="2"/>
  <c r="H66" i="2"/>
  <c r="G66" i="2"/>
  <c r="F66" i="2"/>
  <c r="O62" i="2"/>
  <c r="N62" i="2"/>
  <c r="M62" i="2"/>
  <c r="L62" i="2"/>
  <c r="K62" i="2"/>
  <c r="J62" i="2"/>
  <c r="I62" i="2"/>
  <c r="H62" i="2"/>
  <c r="G62" i="2"/>
  <c r="F62" i="2"/>
  <c r="M57" i="2"/>
  <c r="G57" i="2"/>
  <c r="F57" i="2"/>
  <c r="E57" i="2"/>
  <c r="D57" i="2"/>
  <c r="T46" i="2"/>
  <c r="S46" i="2"/>
  <c r="R46" i="2"/>
  <c r="Q46" i="2"/>
  <c r="T45" i="2"/>
  <c r="S45" i="2"/>
  <c r="R45" i="2"/>
  <c r="Q45" i="2"/>
  <c r="F38" i="2"/>
  <c r="J41" i="2"/>
  <c r="J38" i="2" s="1"/>
  <c r="I41" i="2"/>
  <c r="I38" i="2" s="1"/>
  <c r="H41" i="2"/>
  <c r="G41" i="2"/>
  <c r="G38" i="2" s="1"/>
  <c r="C41" i="2"/>
  <c r="O40" i="2"/>
  <c r="M41" i="2"/>
  <c r="M38" i="2" s="1"/>
  <c r="L41" i="2"/>
  <c r="L38" i="2" s="1"/>
  <c r="K41" i="2"/>
  <c r="K38" i="2" s="1"/>
  <c r="F41" i="2"/>
  <c r="E41" i="2"/>
  <c r="D41" i="2"/>
  <c r="E38" i="2"/>
  <c r="D38" i="2"/>
  <c r="C38" i="2"/>
  <c r="M31" i="2"/>
  <c r="L31" i="2"/>
  <c r="K31" i="2"/>
  <c r="J31" i="2"/>
  <c r="F31" i="2"/>
  <c r="E31" i="2"/>
  <c r="D31" i="2"/>
  <c r="C31" i="2"/>
  <c r="O27" i="2"/>
  <c r="H57" i="2"/>
  <c r="K21" i="2"/>
  <c r="G21" i="2"/>
  <c r="L20" i="2"/>
  <c r="K20" i="2"/>
  <c r="P17" i="2"/>
  <c r="J20" i="2"/>
  <c r="T13" i="2"/>
  <c r="S13" i="2"/>
  <c r="R13" i="2"/>
  <c r="Q13" i="2"/>
  <c r="M12" i="2"/>
  <c r="L12" i="2"/>
  <c r="K12" i="2"/>
  <c r="J12" i="2"/>
  <c r="I12" i="2"/>
  <c r="H12" i="2"/>
  <c r="G12" i="2"/>
  <c r="F12" i="2"/>
  <c r="E12" i="2"/>
  <c r="D12" i="2"/>
  <c r="C12" i="2"/>
  <c r="L9" i="2"/>
  <c r="K9" i="2"/>
  <c r="K74" i="1"/>
  <c r="J74" i="1"/>
  <c r="I74" i="1"/>
  <c r="J9" i="2"/>
  <c r="I9" i="2"/>
  <c r="G9" i="2"/>
  <c r="G20" i="2" s="1"/>
  <c r="F9" i="2"/>
  <c r="F20" i="2" s="1"/>
  <c r="F21" i="2" s="1"/>
  <c r="E9" i="2"/>
  <c r="E20" i="2" s="1"/>
  <c r="O7" i="2"/>
  <c r="L7" i="2"/>
  <c r="K7" i="2"/>
  <c r="J7" i="2"/>
  <c r="N6" i="2"/>
  <c r="I6" i="2"/>
  <c r="H6" i="2"/>
  <c r="C6" i="2"/>
  <c r="M5" i="2"/>
  <c r="L5" i="2"/>
  <c r="K5" i="2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O166" i="1"/>
  <c r="N166" i="1"/>
  <c r="M166" i="1"/>
  <c r="L166" i="1"/>
  <c r="I166" i="1"/>
  <c r="H166" i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P149" i="1"/>
  <c r="L147" i="1"/>
  <c r="K147" i="1"/>
  <c r="J147" i="1"/>
  <c r="I147" i="1"/>
  <c r="H147" i="1"/>
  <c r="G147" i="1"/>
  <c r="F147" i="1"/>
  <c r="E147" i="1"/>
  <c r="D147" i="1"/>
  <c r="P145" i="1"/>
  <c r="O138" i="1"/>
  <c r="O147" i="1" s="1"/>
  <c r="P132" i="1"/>
  <c r="O132" i="1"/>
  <c r="N132" i="1"/>
  <c r="M132" i="1"/>
  <c r="P130" i="1"/>
  <c r="P129" i="1"/>
  <c r="P127" i="1" s="1"/>
  <c r="P128" i="1"/>
  <c r="O127" i="1"/>
  <c r="O12" i="1" s="1"/>
  <c r="N7" i="2" s="1"/>
  <c r="N127" i="1"/>
  <c r="N12" i="1" s="1"/>
  <c r="M127" i="1"/>
  <c r="L127" i="1"/>
  <c r="K127" i="1"/>
  <c r="J127" i="1"/>
  <c r="I127" i="1"/>
  <c r="H127" i="1"/>
  <c r="H12" i="1" s="1"/>
  <c r="G127" i="1"/>
  <c r="G12" i="1" s="1"/>
  <c r="F127" i="1"/>
  <c r="F12" i="1" s="1"/>
  <c r="E127" i="1"/>
  <c r="D127" i="1"/>
  <c r="F123" i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E123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N113" i="1"/>
  <c r="M113" i="1"/>
  <c r="L113" i="1"/>
  <c r="K113" i="1"/>
  <c r="J113" i="1"/>
  <c r="I113" i="1"/>
  <c r="H113" i="1"/>
  <c r="G113" i="1"/>
  <c r="F113" i="1"/>
  <c r="E113" i="1"/>
  <c r="D113" i="1"/>
  <c r="P112" i="1"/>
  <c r="O112" i="1"/>
  <c r="O113" i="1" s="1"/>
  <c r="O110" i="1"/>
  <c r="N110" i="1"/>
  <c r="M110" i="1"/>
  <c r="L110" i="1"/>
  <c r="K110" i="1"/>
  <c r="J110" i="1"/>
  <c r="I110" i="1"/>
  <c r="H110" i="1"/>
  <c r="G110" i="1"/>
  <c r="F110" i="1"/>
  <c r="E110" i="1"/>
  <c r="D110" i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P105" i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L89" i="1"/>
  <c r="M89" i="1" s="1"/>
  <c r="N89" i="1" s="1"/>
  <c r="O89" i="1" s="1"/>
  <c r="P89" i="1" s="1"/>
  <c r="K89" i="1"/>
  <c r="J89" i="1"/>
  <c r="I89" i="1"/>
  <c r="G89" i="1"/>
  <c r="H89" i="1" s="1"/>
  <c r="G86" i="1"/>
  <c r="H86" i="1" s="1"/>
  <c r="I86" i="1" s="1"/>
  <c r="J86" i="1" s="1"/>
  <c r="K86" i="1" s="1"/>
  <c r="L86" i="1" s="1"/>
  <c r="M86" i="1" s="1"/>
  <c r="N86" i="1" s="1"/>
  <c r="O86" i="1" s="1"/>
  <c r="P86" i="1" s="1"/>
  <c r="E86" i="1"/>
  <c r="F86" i="1" s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O79" i="1"/>
  <c r="N79" i="1"/>
  <c r="M79" i="1"/>
  <c r="L79" i="1"/>
  <c r="K78" i="1"/>
  <c r="J78" i="1"/>
  <c r="I78" i="1"/>
  <c r="E78" i="1"/>
  <c r="D78" i="1"/>
  <c r="K76" i="1"/>
  <c r="J76" i="1"/>
  <c r="F76" i="1"/>
  <c r="N74" i="1"/>
  <c r="N76" i="1" s="1"/>
  <c r="M74" i="1"/>
  <c r="M76" i="1" s="1"/>
  <c r="L74" i="1"/>
  <c r="H74" i="1"/>
  <c r="G74" i="1"/>
  <c r="G76" i="1" s="1"/>
  <c r="F74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P69" i="1"/>
  <c r="P68" i="1"/>
  <c r="M67" i="1"/>
  <c r="L67" i="1"/>
  <c r="K67" i="1"/>
  <c r="J67" i="1"/>
  <c r="I67" i="1"/>
  <c r="H67" i="1"/>
  <c r="G67" i="1"/>
  <c r="F67" i="1"/>
  <c r="E67" i="1"/>
  <c r="P63" i="1"/>
  <c r="O62" i="1"/>
  <c r="N62" i="1"/>
  <c r="N67" i="1" s="1"/>
  <c r="M62" i="1"/>
  <c r="M78" i="1" s="1"/>
  <c r="L62" i="1"/>
  <c r="L78" i="1" s="1"/>
  <c r="K62" i="1"/>
  <c r="K79" i="1" s="1"/>
  <c r="J62" i="1"/>
  <c r="J79" i="1" s="1"/>
  <c r="I62" i="1"/>
  <c r="I79" i="1" s="1"/>
  <c r="H62" i="1"/>
  <c r="H78" i="1" s="1"/>
  <c r="G62" i="1"/>
  <c r="G79" i="1" s="1"/>
  <c r="F62" i="1"/>
  <c r="F79" i="1" s="1"/>
  <c r="D62" i="1"/>
  <c r="P61" i="1"/>
  <c r="P60" i="1"/>
  <c r="E60" i="1"/>
  <c r="E62" i="1" s="1"/>
  <c r="E79" i="1" s="1"/>
  <c r="D60" i="1"/>
  <c r="P59" i="1"/>
  <c r="P64" i="1" s="1"/>
  <c r="G50" i="1"/>
  <c r="H50" i="1" s="1"/>
  <c r="I50" i="1" s="1"/>
  <c r="J50" i="1" s="1"/>
  <c r="K50" i="1" s="1"/>
  <c r="L50" i="1" s="1"/>
  <c r="M50" i="1" s="1"/>
  <c r="N50" i="1" s="1"/>
  <c r="O50" i="1" s="1"/>
  <c r="P50" i="1" s="1"/>
  <c r="F50" i="1"/>
  <c r="E50" i="1"/>
  <c r="P46" i="1"/>
  <c r="O46" i="1"/>
  <c r="N46" i="1"/>
  <c r="J46" i="1"/>
  <c r="O45" i="1"/>
  <c r="N45" i="1"/>
  <c r="M45" i="1"/>
  <c r="L45" i="1"/>
  <c r="K45" i="1"/>
  <c r="J45" i="1"/>
  <c r="I45" i="1"/>
  <c r="H45" i="1"/>
  <c r="G45" i="1"/>
  <c r="F45" i="1"/>
  <c r="E45" i="1"/>
  <c r="P44" i="1"/>
  <c r="O44" i="1"/>
  <c r="N44" i="1"/>
  <c r="P42" i="1"/>
  <c r="F42" i="1"/>
  <c r="E42" i="1"/>
  <c r="O40" i="1"/>
  <c r="N40" i="1"/>
  <c r="E40" i="1"/>
  <c r="D40" i="1"/>
  <c r="E48" i="1" s="1"/>
  <c r="P38" i="1"/>
  <c r="O38" i="1"/>
  <c r="K38" i="1"/>
  <c r="J38" i="1"/>
  <c r="L37" i="1"/>
  <c r="J37" i="1"/>
  <c r="I37" i="1"/>
  <c r="H37" i="1"/>
  <c r="G37" i="1"/>
  <c r="F37" i="1"/>
  <c r="O33" i="1"/>
  <c r="M33" i="1"/>
  <c r="L33" i="1"/>
  <c r="O32" i="1"/>
  <c r="N32" i="1"/>
  <c r="M32" i="1"/>
  <c r="L32" i="1"/>
  <c r="J32" i="1"/>
  <c r="N31" i="1"/>
  <c r="M31" i="1"/>
  <c r="L31" i="1"/>
  <c r="K31" i="1"/>
  <c r="P28" i="1"/>
  <c r="P33" i="1" s="1"/>
  <c r="O28" i="1"/>
  <c r="O25" i="1" s="1"/>
  <c r="N28" i="1"/>
  <c r="M28" i="1"/>
  <c r="L28" i="1"/>
  <c r="K28" i="1"/>
  <c r="K25" i="1" s="1"/>
  <c r="J28" i="1"/>
  <c r="I28" i="1"/>
  <c r="H28" i="1"/>
  <c r="G28" i="1"/>
  <c r="F28" i="1"/>
  <c r="E28" i="1"/>
  <c r="D28" i="1"/>
  <c r="D25" i="1" s="1"/>
  <c r="P27" i="1"/>
  <c r="O27" i="1"/>
  <c r="N27" i="1"/>
  <c r="M27" i="1"/>
  <c r="L27" i="1"/>
  <c r="L25" i="1" s="1"/>
  <c r="K27" i="1"/>
  <c r="J27" i="1"/>
  <c r="I27" i="1"/>
  <c r="H27" i="1"/>
  <c r="H25" i="1" s="1"/>
  <c r="G27" i="1"/>
  <c r="F27" i="1"/>
  <c r="E27" i="1"/>
  <c r="E25" i="1" s="1"/>
  <c r="D27" i="1"/>
  <c r="P26" i="1"/>
  <c r="P25" i="1" s="1"/>
  <c r="O26" i="1"/>
  <c r="N26" i="1"/>
  <c r="M26" i="1"/>
  <c r="M25" i="1" s="1"/>
  <c r="L26" i="1"/>
  <c r="K26" i="1"/>
  <c r="J26" i="1"/>
  <c r="I26" i="1"/>
  <c r="I31" i="1" s="1"/>
  <c r="H26" i="1"/>
  <c r="G26" i="1"/>
  <c r="G25" i="1" s="1"/>
  <c r="F26" i="1"/>
  <c r="F25" i="1" s="1"/>
  <c r="E26" i="1"/>
  <c r="D26" i="1"/>
  <c r="N25" i="1"/>
  <c r="J25" i="1"/>
  <c r="P21" i="1"/>
  <c r="P166" i="1" s="1"/>
  <c r="O21" i="1"/>
  <c r="N21" i="1"/>
  <c r="M21" i="1"/>
  <c r="M46" i="1" s="1"/>
  <c r="L21" i="1"/>
  <c r="K21" i="1"/>
  <c r="J21" i="1"/>
  <c r="J166" i="1" s="1"/>
  <c r="I21" i="1"/>
  <c r="H21" i="1"/>
  <c r="G21" i="1"/>
  <c r="F21" i="1"/>
  <c r="E21" i="1"/>
  <c r="D21" i="1"/>
  <c r="D166" i="1" s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O16" i="1"/>
  <c r="N16" i="1"/>
  <c r="M16" i="1"/>
  <c r="L16" i="1"/>
  <c r="K16" i="1"/>
  <c r="J16" i="1"/>
  <c r="I16" i="1"/>
  <c r="H16" i="1"/>
  <c r="G16" i="1"/>
  <c r="F16" i="1"/>
  <c r="E16" i="1"/>
  <c r="P15" i="1"/>
  <c r="O15" i="1"/>
  <c r="N15" i="1"/>
  <c r="M15" i="1"/>
  <c r="L15" i="1"/>
  <c r="K15" i="1"/>
  <c r="J15" i="1"/>
  <c r="J14" i="1" s="1"/>
  <c r="J44" i="1" s="1"/>
  <c r="I15" i="1"/>
  <c r="H15" i="1"/>
  <c r="G15" i="1"/>
  <c r="G14" i="1" s="1"/>
  <c r="G44" i="1" s="1"/>
  <c r="F15" i="1"/>
  <c r="E15" i="1"/>
  <c r="P14" i="1"/>
  <c r="O14" i="1"/>
  <c r="N14" i="1"/>
  <c r="M14" i="1"/>
  <c r="L14" i="1"/>
  <c r="L44" i="1" s="1"/>
  <c r="K14" i="1"/>
  <c r="I14" i="1"/>
  <c r="I44" i="1" s="1"/>
  <c r="H14" i="1"/>
  <c r="F14" i="1"/>
  <c r="F44" i="1" s="1"/>
  <c r="E14" i="1"/>
  <c r="E44" i="1" s="1"/>
  <c r="M12" i="1"/>
  <c r="M38" i="1" s="1"/>
  <c r="L12" i="1"/>
  <c r="K12" i="1"/>
  <c r="K33" i="1" s="1"/>
  <c r="J12" i="1"/>
  <c r="J33" i="1" s="1"/>
  <c r="I12" i="1"/>
  <c r="I33" i="1" s="1"/>
  <c r="E12" i="1"/>
  <c r="D12" i="1"/>
  <c r="O11" i="1"/>
  <c r="O37" i="1" s="1"/>
  <c r="N11" i="1"/>
  <c r="M6" i="2" s="1"/>
  <c r="M11" i="1"/>
  <c r="L11" i="1"/>
  <c r="K6" i="2" s="1"/>
  <c r="K11" i="1"/>
  <c r="J11" i="1"/>
  <c r="I11" i="1"/>
  <c r="I32" i="1" s="1"/>
  <c r="H11" i="1"/>
  <c r="G11" i="1"/>
  <c r="F11" i="1"/>
  <c r="E11" i="1"/>
  <c r="D11" i="1"/>
  <c r="D37" i="1" s="1"/>
  <c r="N10" i="1"/>
  <c r="M10" i="1"/>
  <c r="M36" i="1" s="1"/>
  <c r="L10" i="1"/>
  <c r="L36" i="1" s="1"/>
  <c r="K10" i="1"/>
  <c r="J10" i="1"/>
  <c r="J36" i="1" s="1"/>
  <c r="I10" i="1"/>
  <c r="H5" i="2" s="1"/>
  <c r="G10" i="1"/>
  <c r="F10" i="1"/>
  <c r="E10" i="1"/>
  <c r="E31" i="1" s="1"/>
  <c r="M9" i="1"/>
  <c r="L9" i="1"/>
  <c r="I9" i="1"/>
  <c r="G9" i="1"/>
  <c r="P4" i="1"/>
  <c r="O4" i="1"/>
  <c r="N4" i="1"/>
  <c r="O42" i="1" s="1"/>
  <c r="M4" i="1"/>
  <c r="L4" i="1"/>
  <c r="K4" i="1"/>
  <c r="J4" i="1"/>
  <c r="I4" i="1"/>
  <c r="H4" i="1"/>
  <c r="G4" i="1"/>
  <c r="F4" i="1"/>
  <c r="F40" i="1" s="1"/>
  <c r="F48" i="1" s="1"/>
  <c r="E4" i="1"/>
  <c r="D4" i="1"/>
  <c r="H2" i="1"/>
  <c r="I2" i="1" s="1"/>
  <c r="J2" i="1" s="1"/>
  <c r="K2" i="1" s="1"/>
  <c r="L2" i="1" s="1"/>
  <c r="M2" i="1" s="1"/>
  <c r="N2" i="1" s="1"/>
  <c r="O2" i="1" s="1"/>
  <c r="P2" i="1" s="1"/>
  <c r="G2" i="1"/>
  <c r="F2" i="1"/>
  <c r="E2" i="1"/>
  <c r="I23" i="2"/>
  <c r="P74" i="1" l="1"/>
  <c r="P76" i="1" s="1"/>
  <c r="C23" i="2"/>
  <c r="R44" i="2"/>
  <c r="S33" i="2"/>
  <c r="M58" i="2"/>
  <c r="M23" i="2"/>
  <c r="C58" i="2"/>
  <c r="P12" i="2"/>
  <c r="Q19" i="2"/>
  <c r="L58" i="2"/>
  <c r="J5" i="2"/>
  <c r="K36" i="1"/>
  <c r="K9" i="1"/>
  <c r="H44" i="1"/>
  <c r="F7" i="2"/>
  <c r="G38" i="1"/>
  <c r="G33" i="1"/>
  <c r="G40" i="1"/>
  <c r="G48" i="1" s="1"/>
  <c r="G42" i="1"/>
  <c r="G7" i="2"/>
  <c r="H33" i="1"/>
  <c r="H38" i="1"/>
  <c r="J58" i="2"/>
  <c r="J57" i="2"/>
  <c r="J23" i="2"/>
  <c r="N38" i="1"/>
  <c r="N9" i="1"/>
  <c r="M7" i="2"/>
  <c r="I5" i="2"/>
  <c r="J31" i="1"/>
  <c r="J9" i="1"/>
  <c r="K32" i="1"/>
  <c r="K37" i="1"/>
  <c r="J6" i="2"/>
  <c r="N33" i="1"/>
  <c r="F33" i="1"/>
  <c r="E7" i="2"/>
  <c r="F38" i="1"/>
  <c r="K58" i="2"/>
  <c r="K57" i="2"/>
  <c r="K23" i="2"/>
  <c r="T44" i="2"/>
  <c r="S44" i="2"/>
  <c r="G30" i="1"/>
  <c r="G43" i="1"/>
  <c r="J21" i="2"/>
  <c r="H40" i="1"/>
  <c r="H48" i="1" s="1"/>
  <c r="H42" i="1"/>
  <c r="I35" i="1"/>
  <c r="P110" i="1"/>
  <c r="P11" i="1"/>
  <c r="C9" i="2"/>
  <c r="C20" i="2" s="1"/>
  <c r="D74" i="1"/>
  <c r="E23" i="2"/>
  <c r="I40" i="1"/>
  <c r="I42" i="1"/>
  <c r="D9" i="2"/>
  <c r="D20" i="2" s="1"/>
  <c r="E74" i="1"/>
  <c r="F58" i="2"/>
  <c r="J42" i="1"/>
  <c r="E166" i="1"/>
  <c r="E46" i="1"/>
  <c r="J40" i="1"/>
  <c r="J48" i="1" s="1"/>
  <c r="N12" i="2"/>
  <c r="H38" i="2"/>
  <c r="C57" i="2"/>
  <c r="L35" i="1"/>
  <c r="D67" i="1"/>
  <c r="D70" i="1" s="1"/>
  <c r="E66" i="1" s="1"/>
  <c r="E70" i="1" s="1"/>
  <c r="D10" i="1"/>
  <c r="E32" i="1"/>
  <c r="E37" i="1"/>
  <c r="D6" i="2"/>
  <c r="M42" i="1"/>
  <c r="M40" i="1"/>
  <c r="M48" i="1" s="1"/>
  <c r="H46" i="1"/>
  <c r="E36" i="1"/>
  <c r="D79" i="1"/>
  <c r="E5" i="2"/>
  <c r="F31" i="1"/>
  <c r="L30" i="1"/>
  <c r="F36" i="1"/>
  <c r="R40" i="2"/>
  <c r="P27" i="2"/>
  <c r="R27" i="2" s="1"/>
  <c r="F5" i="2"/>
  <c r="G31" i="1"/>
  <c r="G6" i="2"/>
  <c r="H32" i="1"/>
  <c r="K44" i="1"/>
  <c r="I25" i="1"/>
  <c r="I30" i="1" s="1"/>
  <c r="G36" i="1"/>
  <c r="I38" i="1"/>
  <c r="L76" i="1"/>
  <c r="P113" i="1"/>
  <c r="M4" i="2"/>
  <c r="H9" i="2"/>
  <c r="H20" i="2" s="1"/>
  <c r="O9" i="2"/>
  <c r="M68" i="2"/>
  <c r="L68" i="2"/>
  <c r="F166" i="1"/>
  <c r="F46" i="1"/>
  <c r="T7" i="2"/>
  <c r="O12" i="2"/>
  <c r="L42" i="1"/>
  <c r="L40" i="1"/>
  <c r="G46" i="1"/>
  <c r="E9" i="1"/>
  <c r="D5" i="2"/>
  <c r="D4" i="2" s="1"/>
  <c r="K4" i="2"/>
  <c r="H76" i="1"/>
  <c r="H10" i="1"/>
  <c r="K46" i="1"/>
  <c r="K166" i="1"/>
  <c r="H7" i="2"/>
  <c r="H4" i="2" s="1"/>
  <c r="I20" i="2"/>
  <c r="L21" i="2"/>
  <c r="P41" i="2"/>
  <c r="R7" i="2"/>
  <c r="G58" i="2"/>
  <c r="K42" i="1"/>
  <c r="K40" i="1"/>
  <c r="K48" i="1" s="1"/>
  <c r="D33" i="1"/>
  <c r="C7" i="2"/>
  <c r="D38" i="1"/>
  <c r="E33" i="1"/>
  <c r="D7" i="2"/>
  <c r="E38" i="1"/>
  <c r="O48" i="1"/>
  <c r="E21" i="2"/>
  <c r="F32" i="1"/>
  <c r="E6" i="2"/>
  <c r="I76" i="1"/>
  <c r="G32" i="1"/>
  <c r="F6" i="2"/>
  <c r="I46" i="1"/>
  <c r="H79" i="1"/>
  <c r="L4" i="2"/>
  <c r="F9" i="1"/>
  <c r="M44" i="1"/>
  <c r="I36" i="1"/>
  <c r="O149" i="1"/>
  <c r="G166" i="1"/>
  <c r="G35" i="1" s="1"/>
  <c r="I7" i="2"/>
  <c r="I58" i="2"/>
  <c r="I57" i="2"/>
  <c r="G31" i="2"/>
  <c r="Q40" i="2"/>
  <c r="M43" i="1"/>
  <c r="L46" i="1"/>
  <c r="M30" i="1"/>
  <c r="M47" i="1" s="1"/>
  <c r="H31" i="2"/>
  <c r="L6" i="2"/>
  <c r="M37" i="1"/>
  <c r="L38" i="1"/>
  <c r="I31" i="2"/>
  <c r="N36" i="1"/>
  <c r="D32" i="1"/>
  <c r="N78" i="1"/>
  <c r="S7" i="2"/>
  <c r="L57" i="2"/>
  <c r="N42" i="1"/>
  <c r="O67" i="1"/>
  <c r="O10" i="1"/>
  <c r="O78" i="1"/>
  <c r="D58" i="2"/>
  <c r="M35" i="1"/>
  <c r="P62" i="1"/>
  <c r="P138" i="1"/>
  <c r="P19" i="1" s="1"/>
  <c r="M9" i="2"/>
  <c r="M20" i="2" s="1"/>
  <c r="F78" i="1"/>
  <c r="N37" i="1"/>
  <c r="G78" i="1"/>
  <c r="S10" i="2"/>
  <c r="T33" i="2" l="1"/>
  <c r="Q44" i="2"/>
  <c r="R10" i="2"/>
  <c r="R33" i="2"/>
  <c r="Q7" i="2"/>
  <c r="S19" i="2"/>
  <c r="R19" i="2"/>
  <c r="L23" i="2"/>
  <c r="T52" i="2"/>
  <c r="P4" i="2"/>
  <c r="N31" i="2"/>
  <c r="T18" i="2"/>
  <c r="L35" i="2"/>
  <c r="Q10" i="2"/>
  <c r="S11" i="2"/>
  <c r="D23" i="2"/>
  <c r="P52" i="2"/>
  <c r="R51" i="2" s="1"/>
  <c r="S52" i="2"/>
  <c r="Q33" i="2"/>
  <c r="T26" i="2"/>
  <c r="S26" i="2"/>
  <c r="N27" i="2"/>
  <c r="S40" i="2"/>
  <c r="T40" i="2"/>
  <c r="E35" i="2"/>
  <c r="N41" i="2"/>
  <c r="N38" i="2" s="1"/>
  <c r="R18" i="2"/>
  <c r="Q18" i="2"/>
  <c r="S18" i="2"/>
  <c r="P9" i="2"/>
  <c r="P20" i="2" s="1"/>
  <c r="P21" i="2" s="1"/>
  <c r="R11" i="2"/>
  <c r="R26" i="2"/>
  <c r="Q11" i="2"/>
  <c r="D21" i="2"/>
  <c r="O57" i="2"/>
  <c r="L48" i="1"/>
  <c r="S39" i="2"/>
  <c r="R39" i="2"/>
  <c r="Q39" i="2"/>
  <c r="O41" i="2"/>
  <c r="T39" i="2"/>
  <c r="D76" i="1"/>
  <c r="D75" i="1"/>
  <c r="M21" i="2"/>
  <c r="E75" i="1"/>
  <c r="E76" i="1"/>
  <c r="J29" i="2"/>
  <c r="J35" i="2"/>
  <c r="P34" i="2"/>
  <c r="P31" i="2" s="1"/>
  <c r="S34" i="2"/>
  <c r="T34" i="2"/>
  <c r="P67" i="1"/>
  <c r="P78" i="1"/>
  <c r="P10" i="1"/>
  <c r="P79" i="1"/>
  <c r="P23" i="2"/>
  <c r="N9" i="2"/>
  <c r="N20" i="2" s="1"/>
  <c r="O74" i="1"/>
  <c r="E58" i="2"/>
  <c r="H23" i="2"/>
  <c r="H58" i="2"/>
  <c r="E4" i="2"/>
  <c r="D36" i="1"/>
  <c r="D31" i="1"/>
  <c r="D9" i="1"/>
  <c r="C5" i="2"/>
  <c r="C4" i="2" s="1"/>
  <c r="Q26" i="2"/>
  <c r="C21" i="2"/>
  <c r="G23" i="2"/>
  <c r="K43" i="1"/>
  <c r="K35" i="1"/>
  <c r="K30" i="1"/>
  <c r="K47" i="1" s="1"/>
  <c r="O36" i="1"/>
  <c r="O9" i="1"/>
  <c r="O31" i="1"/>
  <c r="N5" i="2"/>
  <c r="N4" i="2" s="1"/>
  <c r="F23" i="2"/>
  <c r="K29" i="2"/>
  <c r="K35" i="2"/>
  <c r="N48" i="1"/>
  <c r="T51" i="2"/>
  <c r="S51" i="2"/>
  <c r="P40" i="1"/>
  <c r="P48" i="1" s="1"/>
  <c r="P45" i="1"/>
  <c r="S53" i="2"/>
  <c r="R53" i="2"/>
  <c r="Q53" i="2"/>
  <c r="T53" i="2"/>
  <c r="P147" i="1"/>
  <c r="R24" i="2"/>
  <c r="Q24" i="2"/>
  <c r="S24" i="2"/>
  <c r="T24" i="2"/>
  <c r="Q27" i="2"/>
  <c r="S12" i="2"/>
  <c r="R12" i="2"/>
  <c r="Q12" i="2"/>
  <c r="T12" i="2"/>
  <c r="S14" i="2"/>
  <c r="R14" i="2"/>
  <c r="Q14" i="2"/>
  <c r="T14" i="2"/>
  <c r="T10" i="2"/>
  <c r="T19" i="2"/>
  <c r="J4" i="2"/>
  <c r="O31" i="2"/>
  <c r="T32" i="2"/>
  <c r="S32" i="2"/>
  <c r="J35" i="1"/>
  <c r="J43" i="1"/>
  <c r="J30" i="1"/>
  <c r="J47" i="1" s="1"/>
  <c r="I21" i="2"/>
  <c r="E35" i="1"/>
  <c r="E30" i="1"/>
  <c r="O20" i="2"/>
  <c r="O28" i="2" s="1"/>
  <c r="I4" i="2"/>
  <c r="I48" i="1"/>
  <c r="N43" i="1"/>
  <c r="N30" i="1"/>
  <c r="N47" i="1" s="1"/>
  <c r="N35" i="1"/>
  <c r="G5" i="2"/>
  <c r="G4" i="2" s="1"/>
  <c r="H31" i="1"/>
  <c r="H36" i="1"/>
  <c r="H9" i="1"/>
  <c r="T42" i="2"/>
  <c r="S42" i="2"/>
  <c r="L47" i="1"/>
  <c r="P43" i="2"/>
  <c r="R42" i="2" s="1"/>
  <c r="T43" i="2"/>
  <c r="S43" i="2"/>
  <c r="G47" i="1"/>
  <c r="F30" i="1"/>
  <c r="F35" i="1"/>
  <c r="F43" i="1"/>
  <c r="F66" i="1"/>
  <c r="F70" i="1" s="1"/>
  <c r="F75" i="1" s="1"/>
  <c r="S17" i="2"/>
  <c r="R17" i="2"/>
  <c r="Q17" i="2"/>
  <c r="T17" i="2"/>
  <c r="P37" i="1"/>
  <c r="O6" i="2"/>
  <c r="P32" i="1"/>
  <c r="T11" i="2"/>
  <c r="H21" i="2"/>
  <c r="F4" i="2"/>
  <c r="L43" i="1"/>
  <c r="N28" i="2" l="1"/>
  <c r="P28" i="2"/>
  <c r="P29" i="2" s="1"/>
  <c r="Q51" i="2"/>
  <c r="E29" i="2"/>
  <c r="R9" i="2"/>
  <c r="S9" i="2"/>
  <c r="N58" i="2"/>
  <c r="L29" i="2"/>
  <c r="R52" i="2"/>
  <c r="Q52" i="2"/>
  <c r="O23" i="2"/>
  <c r="R23" i="2" s="1"/>
  <c r="S27" i="2"/>
  <c r="T27" i="2"/>
  <c r="Q9" i="2"/>
  <c r="Q20" i="2" s="1"/>
  <c r="T9" i="2"/>
  <c r="Q43" i="2"/>
  <c r="G35" i="2"/>
  <c r="G29" i="2"/>
  <c r="F29" i="2"/>
  <c r="F35" i="2"/>
  <c r="Q25" i="2"/>
  <c r="T25" i="2"/>
  <c r="R25" i="2"/>
  <c r="S25" i="2"/>
  <c r="P38" i="2"/>
  <c r="F47" i="1"/>
  <c r="H30" i="1"/>
  <c r="H35" i="1"/>
  <c r="H43" i="1"/>
  <c r="I43" i="1"/>
  <c r="T20" i="2"/>
  <c r="S20" i="2"/>
  <c r="R20" i="2"/>
  <c r="O21" i="2"/>
  <c r="Q34" i="2"/>
  <c r="N23" i="2"/>
  <c r="D29" i="2"/>
  <c r="D35" i="2"/>
  <c r="L36" i="2"/>
  <c r="L48" i="2"/>
  <c r="R43" i="2"/>
  <c r="D35" i="1"/>
  <c r="D30" i="1"/>
  <c r="E47" i="1" s="1"/>
  <c r="R32" i="2"/>
  <c r="O35" i="1"/>
  <c r="O30" i="1"/>
  <c r="O47" i="1" s="1"/>
  <c r="O43" i="1"/>
  <c r="O76" i="1"/>
  <c r="R34" i="2"/>
  <c r="N57" i="2"/>
  <c r="R41" i="2"/>
  <c r="Q41" i="2"/>
  <c r="O38" i="2"/>
  <c r="T41" i="2"/>
  <c r="S41" i="2"/>
  <c r="S38" i="2" s="1"/>
  <c r="E36" i="2"/>
  <c r="E48" i="2"/>
  <c r="H35" i="2"/>
  <c r="H29" i="2"/>
  <c r="K36" i="2"/>
  <c r="K48" i="2"/>
  <c r="G66" i="1"/>
  <c r="G70" i="1" s="1"/>
  <c r="G75" i="1"/>
  <c r="M35" i="2"/>
  <c r="M29" i="2"/>
  <c r="Q42" i="2"/>
  <c r="O58" i="2"/>
  <c r="Q32" i="2"/>
  <c r="T6" i="2"/>
  <c r="S6" i="2"/>
  <c r="R6" i="2"/>
  <c r="Q6" i="2"/>
  <c r="N21" i="2"/>
  <c r="I35" i="2"/>
  <c r="I29" i="2"/>
  <c r="P36" i="1"/>
  <c r="P9" i="1"/>
  <c r="P31" i="1"/>
  <c r="O5" i="2"/>
  <c r="E43" i="1"/>
  <c r="T31" i="2"/>
  <c r="R31" i="2"/>
  <c r="C29" i="2"/>
  <c r="C35" i="2"/>
  <c r="J48" i="2"/>
  <c r="J36" i="2"/>
  <c r="P35" i="2" l="1"/>
  <c r="S23" i="2"/>
  <c r="T23" i="2"/>
  <c r="Q28" i="2"/>
  <c r="Q35" i="2" s="1"/>
  <c r="Q48" i="2" s="1"/>
  <c r="Q54" i="2" s="1"/>
  <c r="O35" i="2"/>
  <c r="O29" i="2"/>
  <c r="R28" i="2"/>
  <c r="T28" i="2"/>
  <c r="S28" i="2"/>
  <c r="H66" i="1"/>
  <c r="H70" i="1" s="1"/>
  <c r="H75" i="1"/>
  <c r="P48" i="2"/>
  <c r="P36" i="2"/>
  <c r="D36" i="2"/>
  <c r="D48" i="2"/>
  <c r="J49" i="2"/>
  <c r="J54" i="2"/>
  <c r="J55" i="2" s="1"/>
  <c r="G36" i="2"/>
  <c r="G48" i="2"/>
  <c r="T38" i="2"/>
  <c r="R38" i="2"/>
  <c r="M36" i="2"/>
  <c r="M48" i="2"/>
  <c r="Q38" i="2"/>
  <c r="P35" i="1"/>
  <c r="P30" i="1"/>
  <c r="P47" i="1" s="1"/>
  <c r="P43" i="1"/>
  <c r="H48" i="2"/>
  <c r="H36" i="2"/>
  <c r="I48" i="2"/>
  <c r="I36" i="2"/>
  <c r="Q31" i="2"/>
  <c r="Q23" i="2"/>
  <c r="L49" i="2"/>
  <c r="L54" i="2"/>
  <c r="L55" i="2" s="1"/>
  <c r="S5" i="2"/>
  <c r="S4" i="2" s="1"/>
  <c r="R5" i="2"/>
  <c r="Q5" i="2"/>
  <c r="Q4" i="2" s="1"/>
  <c r="T5" i="2"/>
  <c r="O4" i="2"/>
  <c r="K49" i="2"/>
  <c r="K54" i="2"/>
  <c r="K55" i="2" s="1"/>
  <c r="F36" i="2"/>
  <c r="F48" i="2"/>
  <c r="H47" i="1"/>
  <c r="I47" i="1"/>
  <c r="C36" i="2"/>
  <c r="C48" i="2"/>
  <c r="E49" i="2"/>
  <c r="E54" i="2"/>
  <c r="E55" i="2" s="1"/>
  <c r="N35" i="2"/>
  <c r="N29" i="2"/>
  <c r="D49" i="2" l="1"/>
  <c r="D54" i="2"/>
  <c r="D55" i="2" s="1"/>
  <c r="P49" i="2"/>
  <c r="P54" i="2"/>
  <c r="P55" i="2" s="1"/>
  <c r="F54" i="2"/>
  <c r="F55" i="2" s="1"/>
  <c r="F49" i="2"/>
  <c r="C49" i="2"/>
  <c r="C54" i="2"/>
  <c r="C55" i="2" s="1"/>
  <c r="I49" i="2"/>
  <c r="I54" i="2"/>
  <c r="I55" i="2" s="1"/>
  <c r="G54" i="2"/>
  <c r="G55" i="2" s="1"/>
  <c r="G49" i="2"/>
  <c r="N36" i="2"/>
  <c r="N48" i="2"/>
  <c r="M49" i="2"/>
  <c r="M54" i="2"/>
  <c r="M55" i="2" s="1"/>
  <c r="I66" i="1"/>
  <c r="I70" i="1" s="1"/>
  <c r="I75" i="1"/>
  <c r="T4" i="2"/>
  <c r="R4" i="2"/>
  <c r="H54" i="2"/>
  <c r="H55" i="2" s="1"/>
  <c r="H49" i="2"/>
  <c r="O36" i="2"/>
  <c r="T35" i="2"/>
  <c r="S35" i="2"/>
  <c r="S31" i="2" s="1"/>
  <c r="O48" i="2"/>
  <c r="R35" i="2"/>
  <c r="J66" i="1" l="1"/>
  <c r="J70" i="1" s="1"/>
  <c r="J75" i="1"/>
  <c r="O49" i="2"/>
  <c r="T48" i="2"/>
  <c r="O54" i="2"/>
  <c r="R48" i="2"/>
  <c r="S48" i="2"/>
  <c r="N49" i="2"/>
  <c r="N54" i="2"/>
  <c r="N55" i="2" s="1"/>
  <c r="T54" i="2" l="1"/>
  <c r="S54" i="2"/>
  <c r="R54" i="2"/>
  <c r="O55" i="2"/>
  <c r="K66" i="1"/>
  <c r="K70" i="1" s="1"/>
  <c r="L66" i="1" l="1"/>
  <c r="L70" i="1" s="1"/>
  <c r="L75" i="1"/>
  <c r="K75" i="1"/>
  <c r="M66" i="1" l="1"/>
  <c r="M70" i="1" s="1"/>
  <c r="M75" i="1"/>
  <c r="N66" i="1" l="1"/>
  <c r="N70" i="1" s="1"/>
  <c r="N75" i="1"/>
  <c r="O66" i="1" l="1"/>
  <c r="O70" i="1" s="1"/>
  <c r="P66" i="1" s="1"/>
  <c r="P70" i="1" s="1"/>
  <c r="O75" i="1"/>
  <c r="P75" i="1" s="1"/>
</calcChain>
</file>

<file path=xl/sharedStrings.xml><?xml version="1.0" encoding="utf-8"?>
<sst xmlns="http://schemas.openxmlformats.org/spreadsheetml/2006/main" count="813" uniqueCount="266">
  <si>
    <t>Business KPIs</t>
  </si>
  <si>
    <t>Unit</t>
  </si>
  <si>
    <t>Consolidated Summary</t>
  </si>
  <si>
    <t>Net AUM (incl. interest)</t>
  </si>
  <si>
    <t>INR Cr</t>
  </si>
  <si>
    <t>Total FD AUM</t>
  </si>
  <si>
    <t>Total Bonds AUM</t>
  </si>
  <si>
    <t>Total G/S AUM</t>
  </si>
  <si>
    <t>Gross Inflows</t>
  </si>
  <si>
    <t>FD inflows</t>
  </si>
  <si>
    <t>Bond inflows</t>
  </si>
  <si>
    <t>G/S inflows</t>
  </si>
  <si>
    <t>Net Inflows (change in AUM)</t>
  </si>
  <si>
    <t>#</t>
  </si>
  <si>
    <t>Net FD inflows</t>
  </si>
  <si>
    <t>Net Bond inflows</t>
  </si>
  <si>
    <t>Net G/S inflows</t>
  </si>
  <si>
    <t># active users (AUM &gt; 0) (last day of the month)</t>
  </si>
  <si>
    <t># transacting users (TD)</t>
  </si>
  <si>
    <t># new transacting users</t>
  </si>
  <si>
    <t># repeat transacting users</t>
  </si>
  <si>
    <t># transactions (platform)</t>
  </si>
  <si>
    <t># FD transactions</t>
  </si>
  <si>
    <t># Bond transactions</t>
  </si>
  <si>
    <t># G/S transactions</t>
  </si>
  <si>
    <t>ATS (platform)</t>
  </si>
  <si>
    <t>INR L</t>
  </si>
  <si>
    <t>FD ATS</t>
  </si>
  <si>
    <t>Bond ATS</t>
  </si>
  <si>
    <t>G/S ATS</t>
  </si>
  <si>
    <t>AUM/User (platform)</t>
  </si>
  <si>
    <t>FD AUM/User</t>
  </si>
  <si>
    <t>Bond AUM/User</t>
  </si>
  <si>
    <t>G/S AUM/User</t>
  </si>
  <si>
    <t>Net AUM/Active User</t>
  </si>
  <si>
    <t>% MoM growth of key metrics</t>
  </si>
  <si>
    <t>Net AUM</t>
  </si>
  <si>
    <t>Gross inflow</t>
  </si>
  <si>
    <t>Net Inflow</t>
  </si>
  <si>
    <t>Active users</t>
  </si>
  <si>
    <t>Transacting users</t>
  </si>
  <si>
    <t>ATS</t>
  </si>
  <si>
    <t>FD</t>
  </si>
  <si>
    <t># registered users</t>
  </si>
  <si>
    <t># D0 Booking Initiated Users</t>
  </si>
  <si>
    <t># users (PS)</t>
  </si>
  <si>
    <t># users (TD)</t>
  </si>
  <si>
    <t># auto renewed users (TD)</t>
  </si>
  <si>
    <t># new users (TD)</t>
  </si>
  <si>
    <t># FDs booked (TD)</t>
  </si>
  <si>
    <t>Gross FD bookings</t>
  </si>
  <si>
    <t>vKYC failure</t>
  </si>
  <si>
    <t>Renewed</t>
  </si>
  <si>
    <t>Net FD bookings</t>
  </si>
  <si>
    <t>FD booked by New users (TD)</t>
  </si>
  <si>
    <t>FD booked by Repeat users (TD)</t>
  </si>
  <si>
    <t>Opening FD AUM</t>
  </si>
  <si>
    <t>Withdrawal</t>
  </si>
  <si>
    <t>Matured</t>
  </si>
  <si>
    <t>Closing FD AUM (without interest)</t>
  </si>
  <si>
    <t>Closing FD AUM (incl. interest)</t>
  </si>
  <si>
    <t>FD Revenue</t>
  </si>
  <si>
    <t>Take Rate</t>
  </si>
  <si>
    <t>%</t>
  </si>
  <si>
    <t>FD ARPU</t>
  </si>
  <si>
    <t>INR</t>
  </si>
  <si>
    <t>Amt. invested in FD / user (TD)</t>
  </si>
  <si>
    <t>ATS / transaction (TD)</t>
  </si>
  <si>
    <t># FDs / transacting user / month (TD)</t>
  </si>
  <si>
    <t># banks onboarded</t>
  </si>
  <si>
    <t># banks with direct integration</t>
  </si>
  <si>
    <t>Direct Bank FDs as % of Total FD inflows</t>
  </si>
  <si>
    <t>FD-backed credit cards</t>
  </si>
  <si>
    <t># banks live on FD credit cards</t>
  </si>
  <si>
    <t># cards issued monthly</t>
  </si>
  <si>
    <t># cards issued LTD</t>
  </si>
  <si>
    <t># Platinum cards issued monthly</t>
  </si>
  <si>
    <t># Select cards issued monthly</t>
  </si>
  <si>
    <t>Active cards as % of issued</t>
  </si>
  <si>
    <t>Avg. spend / CC</t>
  </si>
  <si>
    <t>Avg. spend limit / CC</t>
  </si>
  <si>
    <t>Bonds</t>
  </si>
  <si>
    <t># Bookings</t>
  </si>
  <si>
    <t># Users</t>
  </si>
  <si>
    <t># users new to bonds</t>
  </si>
  <si>
    <t># users repeat to Bonds</t>
  </si>
  <si>
    <t>Bonds payments (D2C)</t>
  </si>
  <si>
    <t>Matured bonds</t>
  </si>
  <si>
    <t>Net Bonds AUM (D2C)</t>
  </si>
  <si>
    <t>ATS / user</t>
  </si>
  <si>
    <t>Bonds Revenue (D2C)</t>
  </si>
  <si>
    <t>Bonds ARPU</t>
  </si>
  <si>
    <t># ISINs listed on the platform</t>
  </si>
  <si>
    <t>% primary</t>
  </si>
  <si>
    <t>% direct sourcing</t>
  </si>
  <si>
    <t>Gold / Silver MF</t>
  </si>
  <si>
    <t>#Users</t>
  </si>
  <si>
    <t>#Bookings</t>
  </si>
  <si>
    <t>Monthly Bookings</t>
  </si>
  <si>
    <t>SIP-Daily</t>
  </si>
  <si>
    <t>SIP-Monthly</t>
  </si>
  <si>
    <t>Lumpsum</t>
  </si>
  <si>
    <t>Revenue</t>
  </si>
  <si>
    <t>User Attributes</t>
  </si>
  <si>
    <t># active users (AUM &gt; 0)</t>
  </si>
  <si>
    <t>FD only</t>
  </si>
  <si>
    <t>Bonds only</t>
  </si>
  <si>
    <t>Gold / Silver only</t>
  </si>
  <si>
    <t>FD + Bonds</t>
  </si>
  <si>
    <t>FD + G/S</t>
  </si>
  <si>
    <t>Bonds + G/S</t>
  </si>
  <si>
    <t>Bonds + FD + G/S</t>
  </si>
  <si>
    <t>Cross-sell %</t>
  </si>
  <si>
    <t># users with AUM on platform</t>
  </si>
  <si>
    <t>&lt;=10k</t>
  </si>
  <si>
    <t>10k-50k</t>
  </si>
  <si>
    <t>50k-1L</t>
  </si>
  <si>
    <t>1-2L</t>
  </si>
  <si>
    <t>2L+</t>
  </si>
  <si>
    <t>Total</t>
  </si>
  <si>
    <t>Total # transacting users</t>
  </si>
  <si>
    <t># FD users</t>
  </si>
  <si>
    <t># Bond users</t>
  </si>
  <si>
    <t># G/S users</t>
  </si>
  <si>
    <t>P&amp;L (INR Cr)</t>
  </si>
  <si>
    <t>Jan-26</t>
  </si>
  <si>
    <t>Actual 
vs 
Plan</t>
  </si>
  <si>
    <t>MOM</t>
  </si>
  <si>
    <t>Actual</t>
  </si>
  <si>
    <t>Plan</t>
  </si>
  <si>
    <t>Variance</t>
  </si>
  <si>
    <t>Variance %</t>
  </si>
  <si>
    <t>Gross Bookings</t>
  </si>
  <si>
    <t>Fixed Deposits</t>
  </si>
  <si>
    <t>Gold &amp; Silver</t>
  </si>
  <si>
    <t>FD income</t>
  </si>
  <si>
    <t>Bonds net income</t>
  </si>
  <si>
    <t xml:space="preserve">    D2C</t>
  </si>
  <si>
    <t xml:space="preserve">    Non D2C</t>
  </si>
  <si>
    <t>G/S net income</t>
  </si>
  <si>
    <t>Direct costs</t>
  </si>
  <si>
    <t>Upswing integration fee</t>
  </si>
  <si>
    <t>PG fee</t>
  </si>
  <si>
    <t>Onboarding charges/Settlement charges</t>
  </si>
  <si>
    <t>Gross Profit</t>
  </si>
  <si>
    <t>Acquisition Cost</t>
  </si>
  <si>
    <t>New user reward</t>
  </si>
  <si>
    <t>Digital acquisition spend</t>
  </si>
  <si>
    <t>Influencer spends</t>
  </si>
  <si>
    <t>Offline and Inside sales (Reclass from Manpower)</t>
  </si>
  <si>
    <t>CM 1</t>
  </si>
  <si>
    <t>Variable cost</t>
  </si>
  <si>
    <t>Communication</t>
  </si>
  <si>
    <t>Branding &amp; Agency</t>
  </si>
  <si>
    <t>Rewards &amp; Incentives</t>
  </si>
  <si>
    <t>CM 2</t>
  </si>
  <si>
    <t>Corporate cost</t>
  </si>
  <si>
    <t>Gross Man Power</t>
  </si>
  <si>
    <t>Less: Offline and Inside sales (Reclassed to CAC)</t>
  </si>
  <si>
    <t>Net Man Power</t>
  </si>
  <si>
    <t>Tech cost</t>
  </si>
  <si>
    <t>Platform services</t>
  </si>
  <si>
    <t>General &amp; Admin</t>
  </si>
  <si>
    <t xml:space="preserve">       Corporate</t>
  </si>
  <si>
    <t xml:space="preserve">       Offline</t>
  </si>
  <si>
    <t>Operating EBITDA</t>
  </si>
  <si>
    <t>Other income</t>
  </si>
  <si>
    <t>Finance cost</t>
  </si>
  <si>
    <t>One-off expenses</t>
  </si>
  <si>
    <t>Overall EBITDA</t>
  </si>
  <si>
    <t>Platfform CAC (excl infleuncer, offline, inside sales)</t>
  </si>
  <si>
    <t>Platfform CAC (incl infleuncer, offline, inside sales)</t>
  </si>
  <si>
    <t>Key Balance Sheet Metrics (INR Cr)</t>
  </si>
  <si>
    <t>Bonds Inventory (held for sale)</t>
  </si>
  <si>
    <t>Bond inventory &gt; 30 days</t>
  </si>
  <si>
    <t>Cash / Investments</t>
  </si>
  <si>
    <t>Cash+Investments+Bonds</t>
  </si>
  <si>
    <t>Investment receipt</t>
  </si>
  <si>
    <t>Net Operating Cash Outflow</t>
  </si>
  <si>
    <t>Net AUM Retention: Platform</t>
  </si>
  <si>
    <t>Growth of Net AUM each month compared to the base month’s Net AUM</t>
  </si>
  <si>
    <t>Base Month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</si>
  <si>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</si>
  <si>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</si>
  <si>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</si>
  <si>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</si>
  <si>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</si>
  <si>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</si>
  <si>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</si>
  <si>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</si>
  <si>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</si>
  <si>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</si>
  <si>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</si>
  <si>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</si>
  <si>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</si>
  <si>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</si>
  <si>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</si>
  <si>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</si>
  <si>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</si>
  <si>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</si>
  <si>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</si>
  <si>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</si>
  <si>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</si>
  <si>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</si>
  <si>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</si>
  <si>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</si>
  <si>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</si>
  <si>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</si>
  <si>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</si>
  <si>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</si>
  <si>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₹11 Cr</t>
  </si>
  <si>
    <t>₹40 Cr</t>
  </si>
  <si>
    <t>₹33 Cr</t>
  </si>
  <si>
    <t>₹34 Cr</t>
  </si>
  <si>
    <t>₹27 Cr</t>
  </si>
  <si>
    <t>₹26 Cr</t>
  </si>
  <si>
    <t>₹28 Cr</t>
  </si>
  <si>
    <t>₹55 Cr</t>
  </si>
  <si>
    <t>₹38 Cr</t>
  </si>
  <si>
    <t>₹36 Cr</t>
  </si>
  <si>
    <t>₹74 Cr</t>
  </si>
  <si>
    <t>₹86 Cr</t>
  </si>
  <si>
    <t>₹84 Cr</t>
  </si>
  <si>
    <t>₹90 Cr</t>
  </si>
  <si>
    <t>₹88 Cr</t>
  </si>
  <si>
    <t>₹116 Cr</t>
  </si>
  <si>
    <t>₹126 Cr</t>
  </si>
  <si>
    <t>₹94 Cr</t>
  </si>
  <si>
    <t>₹108 Cr</t>
  </si>
  <si>
    <t>₹106 Cr</t>
  </si>
  <si>
    <t>₹129 Cr</t>
  </si>
  <si>
    <t>₹140 Cr</t>
  </si>
  <si>
    <t>₹124 Cr</t>
  </si>
  <si>
    <t>₹139 Cr</t>
  </si>
  <si>
    <t>₹143 Cr</t>
  </si>
  <si>
    <t>Monthly active user retention (AUM &gt; 0)</t>
  </si>
  <si>
    <t>Month</t>
  </si>
  <si>
    <t>M0 # users</t>
  </si>
  <si>
    <t>Transacting user retention : Platform</t>
  </si>
  <si>
    <t>% of users reinvesting in months following their first investment month</t>
  </si>
  <si>
    <t>3.5K</t>
  </si>
  <si>
    <t>4.2K</t>
  </si>
  <si>
    <t>3.2K</t>
  </si>
  <si>
    <t>3.1K</t>
  </si>
  <si>
    <t>3.3K</t>
  </si>
  <si>
    <t>2.5K</t>
  </si>
  <si>
    <t>2.4K</t>
  </si>
  <si>
    <t>3.9K</t>
  </si>
  <si>
    <t>2.9K</t>
  </si>
  <si>
    <t>5.6K</t>
  </si>
  <si>
    <t>5.8K</t>
  </si>
  <si>
    <t>6.8K</t>
  </si>
  <si>
    <t>8.9K</t>
  </si>
  <si>
    <t>8.3K</t>
  </si>
  <si>
    <t>9.5K</t>
  </si>
  <si>
    <t>9.4K</t>
  </si>
  <si>
    <t>8.5K</t>
  </si>
  <si>
    <t>8.8K</t>
  </si>
  <si>
    <t>9.1K</t>
  </si>
  <si>
    <t>11.5K</t>
  </si>
  <si>
    <t>10.6K</t>
  </si>
  <si>
    <t>10.3K</t>
  </si>
  <si>
    <t>13.4K</t>
  </si>
  <si>
    <t>17.3K</t>
  </si>
  <si>
    <t>Cells highlighted in grey would be filled in due course of time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</si>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</sst>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mmm&quot;-&quot;yy"/>
    <numFmt numFmtId="165" formatCode="[$₹]0&quot; Cr&quot;"/>
    <numFmt numFmtId="166" formatCode="_ * #,##0_ ;_ * \-#,##0_ ;_ * &quot;-&quot;??_ ;_ @_ "/>
    <numFmt numFmtId="167" formatCode="[$₹]0.0&quot; Cr&quot;"/>
    <numFmt numFmtId="168" formatCode="_ * #,##0.0_ ;_ * \-#,##0.0_ ;_ * &quot;-&quot;??.0_ ;_ @_ "/>
    <numFmt numFmtId="169" formatCode="_ * #,##0.000_ ;_ * \-#,##0.000_ ;_ * &quot;-&quot;??.00_ ;_ @_ "/>
    <numFmt numFmtId="170" formatCode="_ * #,##0.0_ ;_ * \-#,##0.0_ ;_ * &quot;-&quot;??_ ;_ @_ "/>
    <numFmt numFmtId="171" formatCode="_ * #,##0.00_ ;_ * \-#,##0.00_ ;_ * &quot;-&quot;??.0_ ;_ @_ "/>
    <numFmt numFmtId="172" formatCode="0.0%"/>
    <numFmt numFmtId="173" formatCode="#,##0.0"/>
    <numFmt numFmtId="174" formatCode="0.0"/>
    <numFmt numFmtId="175" formatCode="mmm&quot; '&quot;yy"/>
    <numFmt numFmtId="176" formatCode="#.0,&quot;K&quot;"/>
    <numFmt numFmtId="177" formatCode="#,&quot;K&quot;"/>
  </numFmts>
  <fonts count="14"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Plus Jakarta Sa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  <font>
      <b/>
      <sz val="11"/>
      <color theme="4"/>
      <name val="Calibri"/>
      <family val="2"/>
    </font>
    <font>
      <b/>
      <sz val="11"/>
      <color rgb="FF156082"/>
      <name val="Calibri"/>
      <family val="2"/>
    </font>
    <font>
      <i/>
      <sz val="11"/>
      <color rgb="FF000000"/>
      <name val="Calibri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</fonts>
  <fills count="13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6FAF4"/>
        <bgColor rgb="FFF6FAF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2EFDD"/>
        <bgColor rgb="FFE2EFDD"/>
      </patternFill>
    </fill>
    <fill>
      <patternFill patternType="solid">
        <fgColor rgb="FFF3F3F3"/>
        <bgColor rgb="FFF3F3F3"/>
      </patternFill>
    </fill>
    <fill>
      <patternFill patternType="solid">
        <fgColor rgb="FF7DCBA5"/>
        <bgColor rgb="FF7DCBA5"/>
      </patternFill>
    </fill>
    <fill>
      <patternFill patternType="solid">
        <fgColor rgb="FF57BB8A"/>
        <bgColor rgb="FF57BB8A"/>
      </patternFill>
    </fill>
    <fill>
      <patternFill patternType="solid">
        <fgColor rgb="FF5EBE8F"/>
        <bgColor rgb="FF5EBE8F"/>
      </patternFill>
    </fill>
    <fill>
      <patternFill patternType="solid">
        <fgColor rgb="FF6FC59B"/>
        <bgColor rgb="FF6FC59B"/>
      </patternFill>
    </fill>
    <fill>
      <patternFill patternType="solid">
        <fgColor rgb="FF7ECBA5"/>
        <bgColor rgb="FF7ECBA5"/>
      </patternFill>
    </fill>
    <fill>
      <patternFill patternType="solid">
        <fgColor rgb="FF87CFAC"/>
        <bgColor rgb="FF87CFAC"/>
      </patternFill>
    </fill>
    <fill>
      <patternFill patternType="solid">
        <fgColor rgb="FF90D2B2"/>
        <bgColor rgb="FF90D2B2"/>
      </patternFill>
    </fill>
    <fill>
      <patternFill patternType="solid">
        <fgColor rgb="FF94D4B5"/>
        <bgColor rgb="FF94D4B5"/>
      </patternFill>
    </fill>
    <fill>
      <patternFill patternType="solid">
        <fgColor rgb="FF99D6B8"/>
        <bgColor rgb="FF99D6B8"/>
      </patternFill>
    </fill>
    <fill>
      <patternFill patternType="solid">
        <fgColor rgb="FF9DD8BB"/>
        <bgColor rgb="FF9DD8BB"/>
      </patternFill>
    </fill>
    <fill>
      <patternFill patternType="solid">
        <fgColor rgb="FF9FD8BC"/>
        <bgColor rgb="FF9FD8BC"/>
      </patternFill>
    </fill>
    <fill>
      <patternFill patternType="solid">
        <fgColor rgb="FFA2DABE"/>
        <bgColor rgb="FFA2DABE"/>
      </patternFill>
    </fill>
    <fill>
      <patternFill patternType="solid">
        <fgColor rgb="FFDAF0E5"/>
        <bgColor rgb="FFDAF0E5"/>
      </patternFill>
    </fill>
    <fill>
      <patternFill patternType="solid">
        <fgColor rgb="FFD9F0E4"/>
        <bgColor rgb="FFD9F0E4"/>
      </patternFill>
    </fill>
    <fill>
      <patternFill patternType="solid">
        <fgColor rgb="FFD9F0E5"/>
        <bgColor rgb="FFD9F0E5"/>
      </patternFill>
    </fill>
    <fill>
      <patternFill patternType="solid">
        <fgColor rgb="FFDBF1E6"/>
        <bgColor rgb="FFDBF1E6"/>
      </patternFill>
    </fill>
    <fill>
      <patternFill patternType="solid">
        <fgColor rgb="FF65C194"/>
        <bgColor rgb="FF65C194"/>
      </patternFill>
    </fill>
    <fill>
      <patternFill patternType="solid">
        <fgColor rgb="FF60BF90"/>
        <bgColor rgb="FF60BF90"/>
      </patternFill>
    </fill>
    <fill>
      <patternFill patternType="solid">
        <fgColor rgb="FF7CCAA4"/>
        <bgColor rgb="FF7CCAA4"/>
      </patternFill>
    </fill>
    <fill>
      <patternFill patternType="solid">
        <fgColor rgb="FF8BD1AF"/>
        <bgColor rgb="FF8BD1AF"/>
      </patternFill>
    </fill>
    <fill>
      <patternFill patternType="solid">
        <fgColor rgb="FF97D5B7"/>
        <bgColor rgb="FF97D5B7"/>
      </patternFill>
    </fill>
    <fill>
      <patternFill patternType="solid">
        <fgColor rgb="FFA0D9BD"/>
        <bgColor rgb="FFA0D9BD"/>
      </patternFill>
    </fill>
    <fill>
      <patternFill patternType="solid">
        <fgColor rgb="FFA6DBC1"/>
        <bgColor rgb="FFA6DBC1"/>
      </patternFill>
    </fill>
    <fill>
      <patternFill patternType="solid">
        <fgColor rgb="FFA9DCC3"/>
        <bgColor rgb="FFA9DCC3"/>
      </patternFill>
    </fill>
    <fill>
      <patternFill patternType="solid">
        <fgColor rgb="FFADDEC6"/>
        <bgColor rgb="FFADDEC6"/>
      </patternFill>
    </fill>
    <fill>
      <patternFill patternType="solid">
        <fgColor rgb="FFB0DFC8"/>
        <bgColor rgb="FFB0DFC8"/>
      </patternFill>
    </fill>
    <fill>
      <patternFill patternType="solid">
        <fgColor rgb="FFB3E0CA"/>
        <bgColor rgb="FFB3E0CA"/>
      </patternFill>
    </fill>
    <fill>
      <patternFill patternType="solid">
        <fgColor rgb="FFD4EEE1"/>
        <bgColor rgb="FFD4EEE1"/>
      </patternFill>
    </fill>
    <fill>
      <patternFill patternType="solid">
        <fgColor rgb="FFD6EFE3"/>
        <bgColor rgb="FFD6EFE3"/>
      </patternFill>
    </fill>
    <fill>
      <patternFill patternType="solid">
        <fgColor rgb="FFD7EFE4"/>
        <bgColor rgb="FFD7EFE4"/>
      </patternFill>
    </fill>
    <fill>
      <patternFill patternType="solid">
        <fgColor rgb="FFD7EFE3"/>
        <bgColor rgb="FFD7EFE3"/>
      </patternFill>
    </fill>
    <fill>
      <patternFill patternType="solid">
        <fgColor rgb="FFD8EFE4"/>
        <bgColor rgb="FFD8EFE4"/>
      </patternFill>
    </fill>
    <fill>
      <patternFill patternType="solid">
        <fgColor rgb="FFD8F0E4"/>
        <bgColor rgb="FFD8F0E4"/>
      </patternFill>
    </fill>
    <fill>
      <patternFill patternType="solid">
        <fgColor rgb="FF64C093"/>
        <bgColor rgb="FF64C093"/>
      </patternFill>
    </fill>
    <fill>
      <patternFill patternType="solid">
        <fgColor rgb="FF7BCAA3"/>
        <bgColor rgb="FF7BCAA3"/>
      </patternFill>
    </fill>
    <fill>
      <patternFill patternType="solid">
        <fgColor rgb="FF87CFAB"/>
        <bgColor rgb="FF87CFAB"/>
      </patternFill>
    </fill>
    <fill>
      <patternFill patternType="solid">
        <fgColor rgb="FF92D3B3"/>
        <bgColor rgb="FF92D3B3"/>
      </patternFill>
    </fill>
    <fill>
      <patternFill patternType="solid">
        <fgColor rgb="FFA3DABF"/>
        <bgColor rgb="FFA3DABF"/>
      </patternFill>
    </fill>
    <fill>
      <patternFill patternType="solid">
        <fgColor rgb="FFA8DCC2"/>
        <bgColor rgb="FFA8DCC2"/>
      </patternFill>
    </fill>
    <fill>
      <patternFill patternType="solid">
        <fgColor rgb="FFAADDC4"/>
        <bgColor rgb="FFAADDC4"/>
      </patternFill>
    </fill>
    <fill>
      <patternFill patternType="solid">
        <fgColor rgb="FFE6F5EE"/>
        <bgColor rgb="FFE6F5EE"/>
      </patternFill>
    </fill>
    <fill>
      <patternFill patternType="solid">
        <fgColor rgb="FFE8F6EF"/>
        <bgColor rgb="FFE8F6EF"/>
      </patternFill>
    </fill>
    <fill>
      <patternFill patternType="solid">
        <fgColor rgb="FFE5F5ED"/>
        <bgColor rgb="FFE5F5ED"/>
      </patternFill>
    </fill>
    <fill>
      <patternFill patternType="solid">
        <fgColor rgb="FFE1F3EA"/>
        <bgColor rgb="FFE1F3EA"/>
      </patternFill>
    </fill>
    <fill>
      <patternFill patternType="solid">
        <fgColor rgb="FFE2F4EB"/>
        <bgColor rgb="FFE2F4EB"/>
      </patternFill>
    </fill>
    <fill>
      <patternFill patternType="solid">
        <fgColor rgb="FF70C69C"/>
        <bgColor rgb="FF70C69C"/>
      </patternFill>
    </fill>
    <fill>
      <patternFill patternType="solid">
        <fgColor rgb="FF7ACAA3"/>
        <bgColor rgb="FF7ACAA3"/>
      </patternFill>
    </fill>
    <fill>
      <patternFill patternType="solid">
        <fgColor rgb="FF8CD1AF"/>
        <bgColor rgb="FF8CD1AF"/>
      </patternFill>
    </fill>
    <fill>
      <patternFill patternType="solid">
        <fgColor rgb="FFA1D9BE"/>
        <bgColor rgb="FFA1D9BE"/>
      </patternFill>
    </fill>
    <fill>
      <patternFill patternType="solid">
        <fgColor rgb="FFA7DCC2"/>
        <bgColor rgb="FFA7DCC2"/>
      </patternFill>
    </fill>
    <fill>
      <patternFill patternType="solid">
        <fgColor rgb="FFAEDFC7"/>
        <bgColor rgb="FFAEDFC7"/>
      </patternFill>
    </fill>
    <fill>
      <patternFill patternType="solid">
        <fgColor rgb="FFB3E1CA"/>
        <bgColor rgb="FFB3E1CA"/>
      </patternFill>
    </fill>
    <fill>
      <patternFill patternType="solid">
        <fgColor rgb="FFB7E2CD"/>
        <bgColor rgb="FFB7E2CD"/>
      </patternFill>
    </fill>
    <fill>
      <patternFill patternType="solid">
        <fgColor rgb="FFB9E3CF"/>
        <bgColor rgb="FFB9E3CF"/>
      </patternFill>
    </fill>
    <fill>
      <patternFill patternType="solid">
        <fgColor rgb="FFB8E3CE"/>
        <bgColor rgb="FFB8E3CE"/>
      </patternFill>
    </fill>
    <fill>
      <patternFill patternType="solid">
        <fgColor rgb="FFB9E3CE"/>
        <bgColor rgb="FFB9E3CE"/>
      </patternFill>
    </fill>
    <fill>
      <patternFill patternType="solid">
        <fgColor rgb="FFFBFEFD"/>
        <bgColor rgb="FFFBFEFD"/>
      </patternFill>
    </fill>
    <fill>
      <patternFill patternType="solid">
        <fgColor rgb="FFFCFEFD"/>
        <bgColor rgb="FFFCFEFD"/>
      </patternFill>
    </fill>
    <fill>
      <patternFill patternType="solid">
        <fgColor rgb="FFF9FDFB"/>
        <bgColor rgb="FFF9FDFB"/>
      </patternFill>
    </fill>
    <fill>
      <patternFill patternType="solid">
        <fgColor rgb="FFFAFDFC"/>
        <bgColor rgb="FFFAFDFC"/>
      </patternFill>
    </fill>
    <fill>
      <patternFill patternType="solid">
        <fgColor rgb="FF89CFAD"/>
        <bgColor rgb="FF89CFAD"/>
      </patternFill>
    </fill>
    <fill>
      <patternFill patternType="solid">
        <fgColor rgb="FF98D5B7"/>
        <bgColor rgb="FF98D5B7"/>
      </patternFill>
    </fill>
    <fill>
      <patternFill patternType="solid">
        <fgColor rgb="FFB6E2CC"/>
        <bgColor rgb="FFB6E2CC"/>
      </patternFill>
    </fill>
    <fill>
      <patternFill patternType="solid">
        <fgColor rgb="FFBBE4D0"/>
        <bgColor rgb="FFBBE4D0"/>
      </patternFill>
    </fill>
    <fill>
      <patternFill patternType="solid">
        <fgColor rgb="FFBFE5D3"/>
        <bgColor rgb="FFBFE5D3"/>
      </patternFill>
    </fill>
    <fill>
      <patternFill patternType="solid">
        <fgColor rgb="FFC1E6D4"/>
        <bgColor rgb="FFC1E6D4"/>
      </patternFill>
    </fill>
    <fill>
      <patternFill patternType="solid">
        <fgColor rgb="FFC2E7D5"/>
        <bgColor rgb="FFC2E7D5"/>
      </patternFill>
    </fill>
    <fill>
      <patternFill patternType="solid">
        <fgColor rgb="FFC3E7D5"/>
        <bgColor rgb="FFC3E7D5"/>
      </patternFill>
    </fill>
    <fill>
      <patternFill patternType="solid">
        <fgColor rgb="FFC4E7D6"/>
        <bgColor rgb="FFC4E7D6"/>
      </patternFill>
    </fill>
    <fill>
      <patternFill patternType="solid">
        <fgColor rgb="FFEEF9F3"/>
        <bgColor rgb="FFEEF9F3"/>
      </patternFill>
    </fill>
    <fill>
      <patternFill patternType="solid">
        <fgColor rgb="FFEBF7F2"/>
        <bgColor rgb="FFEBF7F2"/>
      </patternFill>
    </fill>
    <fill>
      <patternFill patternType="solid">
        <fgColor rgb="FFEEF8F3"/>
        <bgColor rgb="FFEEF8F3"/>
      </patternFill>
    </fill>
    <fill>
      <patternFill patternType="solid">
        <fgColor rgb="FFEDF8F3"/>
        <bgColor rgb="FFEDF8F3"/>
      </patternFill>
    </fill>
    <fill>
      <patternFill patternType="solid">
        <fgColor rgb="FF81CCA7"/>
        <bgColor rgb="FF81CCA7"/>
      </patternFill>
    </fill>
    <fill>
      <patternFill patternType="solid">
        <fgColor rgb="FF9BD7BA"/>
        <bgColor rgb="FF9BD7BA"/>
      </patternFill>
    </fill>
    <fill>
      <patternFill patternType="solid">
        <fgColor rgb="FFA4DBC0"/>
        <bgColor rgb="FFA4DBC0"/>
      </patternFill>
    </fill>
    <fill>
      <patternFill patternType="solid">
        <fgColor rgb="FFABDDC5"/>
        <bgColor rgb="FFABDDC5"/>
      </patternFill>
    </fill>
    <fill>
      <patternFill patternType="solid">
        <fgColor rgb="FFB1E0C9"/>
        <bgColor rgb="FFB1E0C9"/>
      </patternFill>
    </fill>
    <fill>
      <patternFill patternType="solid">
        <fgColor rgb="FFBDE5D1"/>
        <bgColor rgb="FFBDE5D1"/>
      </patternFill>
    </fill>
    <fill>
      <patternFill patternType="solid">
        <fgColor rgb="FFC3E7D6"/>
        <bgColor rgb="FFC3E7D6"/>
      </patternFill>
    </fill>
    <fill>
      <patternFill patternType="solid">
        <fgColor rgb="FFC6E8D7"/>
        <bgColor rgb="FFC6E8D7"/>
      </patternFill>
    </fill>
    <fill>
      <patternFill patternType="solid">
        <fgColor rgb="FFC8E9D9"/>
        <bgColor rgb="FFC8E9D9"/>
      </patternFill>
    </fill>
    <fill>
      <patternFill patternType="solid">
        <fgColor rgb="FFDDF2E8"/>
        <bgColor rgb="FFDDF2E8"/>
      </patternFill>
    </fill>
    <fill>
      <patternFill patternType="solid">
        <fgColor rgb="FFDEF2E8"/>
        <bgColor rgb="FFDEF2E8"/>
      </patternFill>
    </fill>
    <fill>
      <patternFill patternType="solid">
        <fgColor rgb="FF86CEAB"/>
        <bgColor rgb="FF86CEAB"/>
      </patternFill>
    </fill>
    <fill>
      <patternFill patternType="solid">
        <fgColor rgb="FF95D4B5"/>
        <bgColor rgb="FF95D4B5"/>
      </patternFill>
    </fill>
    <fill>
      <patternFill patternType="solid">
        <fgColor rgb="FFA8DCC3"/>
        <bgColor rgb="FFA8DCC3"/>
      </patternFill>
    </fill>
    <fill>
      <patternFill patternType="solid">
        <fgColor rgb="FFB5E1CB"/>
        <bgColor rgb="FFB5E1CB"/>
      </patternFill>
    </fill>
    <fill>
      <patternFill patternType="solid">
        <fgColor rgb="FFD2EDE0"/>
        <bgColor rgb="FFD2EDE0"/>
      </patternFill>
    </fill>
    <fill>
      <patternFill patternType="solid">
        <fgColor rgb="FF82CDA8"/>
        <bgColor rgb="FF82CDA8"/>
      </patternFill>
    </fill>
    <fill>
      <patternFill patternType="solid">
        <fgColor rgb="FF84CDA9"/>
        <bgColor rgb="FF84CDA9"/>
      </patternFill>
    </fill>
    <fill>
      <patternFill patternType="solid">
        <fgColor rgb="FF96D5B6"/>
        <bgColor rgb="FF96D5B6"/>
      </patternFill>
    </fill>
    <fill>
      <patternFill patternType="solid">
        <fgColor rgb="FFB4E1CB"/>
        <bgColor rgb="FFB4E1CB"/>
      </patternFill>
    </fill>
    <fill>
      <patternFill patternType="solid">
        <fgColor rgb="FFBCE4D1"/>
        <bgColor rgb="FFBCE4D1"/>
      </patternFill>
    </fill>
    <fill>
      <patternFill patternType="solid">
        <fgColor rgb="FFBCE4D0"/>
        <bgColor rgb="FFBCE4D0"/>
      </patternFill>
    </fill>
    <fill>
      <patternFill patternType="solid">
        <fgColor rgb="FF75C79F"/>
        <bgColor rgb="FF75C79F"/>
      </patternFill>
    </fill>
    <fill>
      <patternFill patternType="solid">
        <fgColor rgb="FFBAE3CF"/>
        <bgColor rgb="FFBAE3CF"/>
      </patternFill>
    </fill>
    <fill>
      <patternFill patternType="solid">
        <fgColor rgb="FF9FD9BD"/>
        <bgColor rgb="FF9FD9BD"/>
      </patternFill>
    </fill>
    <fill>
      <patternFill patternType="solid">
        <fgColor rgb="FFB8E2CD"/>
        <bgColor rgb="FFB8E2CD"/>
      </patternFill>
    </fill>
    <fill>
      <patternFill patternType="solid">
        <fgColor rgb="FFCBEADB"/>
        <bgColor rgb="FFCBEADB"/>
      </patternFill>
    </fill>
    <fill>
      <patternFill patternType="solid">
        <fgColor rgb="FFD0ECDF"/>
        <bgColor rgb="FFD0ECDF"/>
      </patternFill>
    </fill>
    <fill>
      <patternFill patternType="solid">
        <fgColor rgb="FFD5EEE2"/>
        <bgColor rgb="FFD5EEE2"/>
      </patternFill>
    </fill>
    <fill>
      <patternFill patternType="solid">
        <fgColor rgb="FF9ED8BC"/>
        <bgColor rgb="FF9ED8BC"/>
      </patternFill>
    </fill>
    <fill>
      <patternFill patternType="solid">
        <fgColor rgb="FFD0ECDE"/>
        <bgColor rgb="FFD0ECDE"/>
      </patternFill>
    </fill>
    <fill>
      <patternFill patternType="solid">
        <fgColor rgb="FFE3F4EC"/>
        <bgColor rgb="FFE3F4EC"/>
      </patternFill>
    </fill>
    <fill>
      <patternFill patternType="solid">
        <fgColor rgb="FFEBF7F1"/>
        <bgColor rgb="FFEBF7F1"/>
      </patternFill>
    </fill>
    <fill>
      <patternFill patternType="solid">
        <fgColor rgb="FFF7FCFA"/>
        <bgColor rgb="FFF7FCFA"/>
      </patternFill>
    </fill>
    <fill>
      <patternFill patternType="solid">
        <fgColor rgb="FFFDFEFD"/>
        <bgColor rgb="FFFDFEFD"/>
      </patternFill>
    </fill>
    <fill>
      <patternFill patternType="solid">
        <fgColor rgb="FFFEFFFE"/>
        <bgColor rgb="FFFEFFFE"/>
      </patternFill>
    </fill>
    <fill>
      <patternFill patternType="solid">
        <fgColor rgb="FFD6EFE2"/>
        <bgColor rgb="FFD6EFE2"/>
      </patternFill>
    </fill>
    <fill>
      <patternFill patternType="solid">
        <fgColor rgb="FFE9F6F0"/>
        <bgColor rgb="FFE9F6F0"/>
      </patternFill>
    </fill>
    <fill>
      <patternFill patternType="solid">
        <fgColor rgb="FFF1F9F5"/>
        <bgColor rgb="FFF1F9F5"/>
      </patternFill>
    </fill>
    <fill>
      <patternFill patternType="solid">
        <fgColor rgb="FF91D3B3"/>
        <bgColor rgb="FF91D3B3"/>
      </patternFill>
    </fill>
    <fill>
      <patternFill patternType="solid">
        <fgColor rgb="FFBAE4CF"/>
        <bgColor rgb="FFBAE4CF"/>
      </patternFill>
    </fill>
    <fill>
      <patternFill patternType="solid">
        <fgColor rgb="FFCAEADA"/>
        <bgColor rgb="FFCAEADA"/>
      </patternFill>
    </fill>
    <fill>
      <patternFill patternType="solid">
        <fgColor rgb="FFDFF2E9"/>
        <bgColor rgb="FFDFF2E9"/>
      </patternFill>
    </fill>
    <fill>
      <patternFill patternType="solid">
        <fgColor rgb="FF98D6B8"/>
        <bgColor rgb="FF98D6B8"/>
      </patternFill>
    </fill>
    <fill>
      <patternFill patternType="solid">
        <fgColor rgb="FFB2E0CA"/>
        <bgColor rgb="FFB2E0CA"/>
      </patternFill>
    </fill>
    <fill>
      <patternFill patternType="solid">
        <fgColor rgb="FFBDE4D1"/>
        <bgColor rgb="FFBDE4D1"/>
      </patternFill>
    </fill>
    <fill>
      <patternFill patternType="solid">
        <fgColor rgb="FFC5E8D7"/>
        <bgColor rgb="FFC5E8D7"/>
      </patternFill>
    </fill>
    <fill>
      <patternFill patternType="solid">
        <fgColor rgb="FFD3EDE0"/>
        <bgColor rgb="FFD3EDE0"/>
      </patternFill>
    </fill>
    <fill>
      <patternFill patternType="solid">
        <fgColor rgb="FF9AD6B9"/>
        <bgColor rgb="FF9AD6B9"/>
      </patternFill>
    </fill>
    <fill>
      <patternFill patternType="solid">
        <fgColor rgb="FFA5DBC0"/>
        <bgColor rgb="FFA5DBC0"/>
      </patternFill>
    </fill>
    <fill>
      <patternFill patternType="solid">
        <fgColor rgb="FF95D5B6"/>
        <bgColor rgb="FF95D5B6"/>
      </patternFill>
    </fill>
    <fill>
      <patternFill patternType="solid">
        <fgColor rgb="FF8DD1AF"/>
        <bgColor rgb="FF8DD1AF"/>
      </patternFill>
    </fill>
    <fill>
      <patternFill patternType="solid">
        <fgColor rgb="FF93D4B4"/>
        <bgColor rgb="FF93D4B4"/>
      </patternFill>
    </fill>
    <fill>
      <patternFill patternType="solid">
        <fgColor rgb="FF8FD2B1"/>
        <bgColor rgb="FF8FD2B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166" fontId="4" fillId="4" borderId="0" xfId="0" applyNumberFormat="1" applyFont="1" applyFill="1" applyAlignment="1">
      <alignment horizontal="right"/>
    </xf>
    <xf numFmtId="49" fontId="4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right"/>
    </xf>
    <xf numFmtId="3" fontId="1" fillId="4" borderId="0" xfId="0" applyNumberFormat="1" applyFont="1" applyFill="1" applyAlignment="1">
      <alignment horizontal="right"/>
    </xf>
    <xf numFmtId="166" fontId="5" fillId="4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5" borderId="0" xfId="0" applyNumberFormat="1" applyFont="1" applyFill="1" applyAlignment="1">
      <alignment horizontal="right"/>
    </xf>
    <xf numFmtId="3" fontId="1" fillId="0" borderId="0" xfId="0" applyNumberFormat="1" applyFont="1"/>
    <xf numFmtId="166" fontId="5" fillId="5" borderId="0" xfId="0" applyNumberFormat="1" applyFont="1" applyFill="1" applyAlignment="1">
      <alignment horizontal="right"/>
    </xf>
    <xf numFmtId="169" fontId="4" fillId="4" borderId="0" xfId="0" applyNumberFormat="1" applyFont="1" applyFill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4" fillId="4" borderId="0" xfId="0" applyNumberFormat="1" applyFont="1" applyFill="1" applyAlignment="1">
      <alignment horizontal="right"/>
    </xf>
    <xf numFmtId="171" fontId="1" fillId="0" borderId="0" xfId="0" applyNumberFormat="1" applyFont="1" applyAlignment="1">
      <alignment horizontal="right"/>
    </xf>
    <xf numFmtId="0" fontId="2" fillId="4" borderId="0" xfId="0" applyFont="1" applyFill="1"/>
    <xf numFmtId="168" fontId="2" fillId="4" borderId="0" xfId="0" applyNumberFormat="1" applyFont="1" applyFill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70" fontId="1" fillId="0" borderId="1" xfId="0" applyNumberFormat="1" applyFont="1" applyBorder="1" applyAlignment="1">
      <alignment horizontal="right"/>
    </xf>
    <xf numFmtId="43" fontId="1" fillId="0" borderId="1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right"/>
    </xf>
    <xf numFmtId="16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7" fillId="5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166" fontId="7" fillId="0" borderId="0" xfId="0" applyNumberFormat="1" applyFont="1" applyAlignment="1">
      <alignment horizontal="right"/>
    </xf>
    <xf numFmtId="4" fontId="1" fillId="0" borderId="0" xfId="0" applyNumberFormat="1" applyFont="1"/>
    <xf numFmtId="0" fontId="2" fillId="6" borderId="3" xfId="0" applyFont="1" applyFill="1" applyBorder="1"/>
    <xf numFmtId="0" fontId="2" fillId="6" borderId="3" xfId="0" applyFont="1" applyFill="1" applyBorder="1" applyAlignment="1">
      <alignment horizontal="center"/>
    </xf>
    <xf numFmtId="166" fontId="9" fillId="6" borderId="3" xfId="0" applyNumberFormat="1" applyFont="1" applyFill="1" applyBorder="1" applyAlignment="1">
      <alignment horizontal="right"/>
    </xf>
    <xf numFmtId="4" fontId="1" fillId="7" borderId="0" xfId="0" applyNumberFormat="1" applyFont="1" applyFill="1" applyAlignment="1">
      <alignment horizontal="right"/>
    </xf>
    <xf numFmtId="1" fontId="1" fillId="7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166" fontId="2" fillId="6" borderId="3" xfId="0" applyNumberFormat="1" applyFont="1" applyFill="1" applyBorder="1" applyAlignment="1">
      <alignment horizontal="right"/>
    </xf>
    <xf numFmtId="3" fontId="2" fillId="6" borderId="3" xfId="0" applyNumberFormat="1" applyFont="1" applyFill="1" applyBorder="1" applyAlignment="1">
      <alignment horizontal="right"/>
    </xf>
    <xf numFmtId="10" fontId="1" fillId="0" borderId="0" xfId="0" applyNumberFormat="1" applyFont="1"/>
    <xf numFmtId="166" fontId="1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70" fontId="9" fillId="4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6" fontId="9" fillId="4" borderId="0" xfId="0" applyNumberFormat="1" applyFont="1" applyFill="1" applyAlignment="1">
      <alignment horizontal="right"/>
    </xf>
    <xf numFmtId="166" fontId="10" fillId="4" borderId="0" xfId="0" applyNumberFormat="1" applyFont="1" applyFill="1" applyAlignment="1">
      <alignment horizontal="right"/>
    </xf>
    <xf numFmtId="166" fontId="7" fillId="5" borderId="0" xfId="0" applyNumberFormat="1" applyFont="1" applyFill="1" applyAlignment="1">
      <alignment horizontal="right"/>
    </xf>
    <xf numFmtId="166" fontId="10" fillId="6" borderId="3" xfId="0" applyNumberFormat="1" applyFont="1" applyFill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right"/>
    </xf>
    <xf numFmtId="166" fontId="6" fillId="4" borderId="0" xfId="0" applyNumberFormat="1" applyFont="1" applyFill="1" applyAlignment="1">
      <alignment horizontal="right"/>
    </xf>
    <xf numFmtId="17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3" fontId="1" fillId="3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3" fontId="2" fillId="3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center"/>
    </xf>
    <xf numFmtId="166" fontId="2" fillId="4" borderId="0" xfId="0" applyNumberFormat="1" applyFont="1" applyFill="1" applyAlignment="1">
      <alignment horizontal="right"/>
    </xf>
    <xf numFmtId="49" fontId="4" fillId="0" borderId="0" xfId="0" applyNumberFormat="1" applyFont="1" applyAlignment="1">
      <alignment horizontal="center"/>
    </xf>
    <xf numFmtId="172" fontId="1" fillId="0" borderId="0" xfId="0" applyNumberFormat="1" applyFont="1"/>
    <xf numFmtId="0" fontId="6" fillId="2" borderId="0" xfId="0" applyFont="1" applyFill="1"/>
    <xf numFmtId="164" fontId="2" fillId="2" borderId="0" xfId="0" applyNumberFormat="1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0" fontId="2" fillId="2" borderId="1" xfId="0" applyFont="1" applyFill="1" applyBorder="1" applyAlignment="1">
      <alignment horizontal="center"/>
    </xf>
    <xf numFmtId="172" fontId="2" fillId="2" borderId="1" xfId="0" applyNumberFormat="1" applyFont="1" applyFill="1" applyBorder="1" applyAlignment="1">
      <alignment horizontal="center"/>
    </xf>
    <xf numFmtId="0" fontId="6" fillId="4" borderId="0" xfId="0" applyFont="1" applyFill="1"/>
    <xf numFmtId="166" fontId="6" fillId="4" borderId="0" xfId="0" applyNumberFormat="1" applyFont="1" applyFill="1"/>
    <xf numFmtId="166" fontId="2" fillId="4" borderId="0" xfId="0" applyNumberFormat="1" applyFont="1" applyFill="1"/>
    <xf numFmtId="172" fontId="2" fillId="4" borderId="0" xfId="0" applyNumberFormat="1" applyFont="1" applyFill="1"/>
    <xf numFmtId="170" fontId="2" fillId="4" borderId="0" xfId="0" applyNumberFormat="1" applyFont="1" applyFill="1"/>
    <xf numFmtId="166" fontId="7" fillId="0" borderId="0" xfId="0" applyNumberFormat="1" applyFont="1"/>
    <xf numFmtId="166" fontId="1" fillId="0" borderId="0" xfId="0" applyNumberFormat="1" applyFont="1"/>
    <xf numFmtId="0" fontId="6" fillId="0" borderId="0" xfId="0" applyFont="1"/>
    <xf numFmtId="170" fontId="2" fillId="0" borderId="0" xfId="0" applyNumberFormat="1" applyFont="1"/>
    <xf numFmtId="172" fontId="2" fillId="0" borderId="0" xfId="0" applyNumberFormat="1" applyFont="1"/>
    <xf numFmtId="170" fontId="7" fillId="0" borderId="0" xfId="0" applyNumberFormat="1" applyFont="1"/>
    <xf numFmtId="170" fontId="1" fillId="0" borderId="0" xfId="0" applyNumberFormat="1" applyFont="1"/>
    <xf numFmtId="170" fontId="9" fillId="0" borderId="0" xfId="0" applyNumberFormat="1" applyFont="1"/>
    <xf numFmtId="170" fontId="8" fillId="0" borderId="0" xfId="0" applyNumberFormat="1" applyFont="1"/>
    <xf numFmtId="0" fontId="6" fillId="6" borderId="3" xfId="0" applyFont="1" applyFill="1" applyBorder="1"/>
    <xf numFmtId="170" fontId="6" fillId="6" borderId="3" xfId="0" applyNumberFormat="1" applyFont="1" applyFill="1" applyBorder="1"/>
    <xf numFmtId="172" fontId="6" fillId="6" borderId="3" xfId="0" applyNumberFormat="1" applyFont="1" applyFill="1" applyBorder="1"/>
    <xf numFmtId="9" fontId="1" fillId="0" borderId="0" xfId="0" applyNumberFormat="1" applyFont="1"/>
    <xf numFmtId="170" fontId="6" fillId="8" borderId="0" xfId="0" applyNumberFormat="1" applyFont="1" applyFill="1"/>
    <xf numFmtId="43" fontId="6" fillId="6" borderId="3" xfId="0" applyNumberFormat="1" applyFont="1" applyFill="1" applyBorder="1"/>
    <xf numFmtId="0" fontId="6" fillId="5" borderId="0" xfId="0" applyFont="1" applyFill="1"/>
    <xf numFmtId="9" fontId="4" fillId="5" borderId="0" xfId="0" applyNumberFormat="1" applyFont="1" applyFill="1"/>
    <xf numFmtId="170" fontId="6" fillId="5" borderId="0" xfId="0" applyNumberFormat="1" applyFont="1" applyFill="1"/>
    <xf numFmtId="172" fontId="6" fillId="5" borderId="0" xfId="0" applyNumberFormat="1" applyFont="1" applyFill="1"/>
    <xf numFmtId="173" fontId="6" fillId="6" borderId="3" xfId="0" applyNumberFormat="1" applyFont="1" applyFill="1" applyBorder="1"/>
    <xf numFmtId="0" fontId="4" fillId="5" borderId="0" xfId="0" applyFont="1" applyFill="1" applyAlignment="1">
      <alignment horizontal="left"/>
    </xf>
    <xf numFmtId="0" fontId="2" fillId="9" borderId="1" xfId="0" applyFont="1" applyFill="1" applyBorder="1"/>
    <xf numFmtId="0" fontId="1" fillId="9" borderId="1" xfId="0" applyFont="1" applyFill="1" applyBorder="1"/>
    <xf numFmtId="164" fontId="2" fillId="9" borderId="1" xfId="0" applyNumberFormat="1" applyFont="1" applyFill="1" applyBorder="1"/>
    <xf numFmtId="164" fontId="2" fillId="9" borderId="1" xfId="0" applyNumberFormat="1" applyFont="1" applyFill="1" applyBorder="1" applyAlignment="1">
      <alignment horizontal="right"/>
    </xf>
    <xf numFmtId="173" fontId="1" fillId="5" borderId="0" xfId="0" applyNumberFormat="1" applyFont="1" applyFill="1" applyAlignment="1">
      <alignment horizontal="right"/>
    </xf>
    <xf numFmtId="170" fontId="6" fillId="0" borderId="0" xfId="0" applyNumberFormat="1" applyFont="1"/>
    <xf numFmtId="174" fontId="1" fillId="5" borderId="0" xfId="0" applyNumberFormat="1" applyFont="1" applyFill="1" applyAlignment="1">
      <alignment horizontal="right"/>
    </xf>
    <xf numFmtId="174" fontId="1" fillId="0" borderId="0" xfId="0" applyNumberFormat="1" applyFont="1"/>
    <xf numFmtId="0" fontId="11" fillId="0" borderId="0" xfId="0" applyFont="1"/>
    <xf numFmtId="173" fontId="1" fillId="0" borderId="0" xfId="0" applyNumberFormat="1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10" borderId="0" xfId="0" applyFont="1" applyFill="1"/>
    <xf numFmtId="0" fontId="4" fillId="10" borderId="0" xfId="0" applyFont="1" applyFill="1"/>
    <xf numFmtId="0" fontId="6" fillId="7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0" xfId="0" applyFont="1" applyFill="1"/>
    <xf numFmtId="0" fontId="4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17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9" fontId="4" fillId="5" borderId="0" xfId="0" applyNumberFormat="1" applyFont="1" applyFill="1" applyAlignment="1">
      <alignment horizontal="right"/>
    </xf>
    <xf numFmtId="9" fontId="4" fillId="0" borderId="0" xfId="0" applyNumberFormat="1" applyFont="1" applyAlignment="1">
      <alignment horizontal="right"/>
    </xf>
    <xf numFmtId="4" fontId="4" fillId="5" borderId="0" xfId="0" applyNumberFormat="1" applyFont="1" applyFill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right"/>
    </xf>
    <xf numFmtId="0" fontId="12" fillId="9" borderId="1" xfId="0" applyFont="1" applyFill="1" applyBorder="1"/>
    <xf numFmtId="0" fontId="13" fillId="9" borderId="1" xfId="0" applyFont="1" applyFill="1" applyBorder="1"/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" fontId="13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wrapText="1"/>
    </xf>
    <xf numFmtId="9" fontId="13" fillId="11" borderId="0" xfId="0" applyNumberFormat="1" applyFont="1" applyFill="1" applyAlignment="1">
      <alignment horizontal="center" wrapText="1"/>
    </xf>
    <xf numFmtId="9" fontId="13" fillId="12" borderId="0" xfId="0" applyNumberFormat="1" applyFont="1" applyFill="1" applyAlignment="1">
      <alignment horizontal="center" wrapText="1"/>
    </xf>
    <xf numFmtId="9" fontId="13" fillId="13" borderId="0" xfId="0" applyNumberFormat="1" applyFont="1" applyFill="1" applyAlignment="1">
      <alignment horizontal="center" wrapText="1"/>
    </xf>
    <xf numFmtId="9" fontId="13" fillId="14" borderId="0" xfId="0" applyNumberFormat="1" applyFont="1" applyFill="1" applyAlignment="1">
      <alignment horizontal="center" wrapText="1"/>
    </xf>
    <xf numFmtId="9" fontId="13" fillId="15" borderId="0" xfId="0" applyNumberFormat="1" applyFont="1" applyFill="1" applyAlignment="1">
      <alignment horizontal="center" wrapText="1"/>
    </xf>
    <xf numFmtId="9" fontId="13" fillId="16" borderId="0" xfId="0" applyNumberFormat="1" applyFont="1" applyFill="1" applyAlignment="1">
      <alignment horizontal="center" wrapText="1"/>
    </xf>
    <xf numFmtId="9" fontId="13" fillId="17" borderId="0" xfId="0" applyNumberFormat="1" applyFont="1" applyFill="1" applyAlignment="1">
      <alignment horizontal="center" wrapText="1"/>
    </xf>
    <xf numFmtId="9" fontId="13" fillId="18" borderId="0" xfId="0" applyNumberFormat="1" applyFont="1" applyFill="1" applyAlignment="1">
      <alignment horizontal="center" wrapText="1"/>
    </xf>
    <xf numFmtId="9" fontId="13" fillId="19" borderId="0" xfId="0" applyNumberFormat="1" applyFont="1" applyFill="1" applyAlignment="1">
      <alignment horizontal="center" wrapText="1"/>
    </xf>
    <xf numFmtId="9" fontId="13" fillId="20" borderId="0" xfId="0" applyNumberFormat="1" applyFont="1" applyFill="1" applyAlignment="1">
      <alignment horizontal="center" wrapText="1"/>
    </xf>
    <xf numFmtId="9" fontId="13" fillId="21" borderId="0" xfId="0" applyNumberFormat="1" applyFont="1" applyFill="1" applyAlignment="1">
      <alignment horizontal="center" wrapText="1"/>
    </xf>
    <xf numFmtId="9" fontId="13" fillId="22" borderId="0" xfId="0" applyNumberFormat="1" applyFont="1" applyFill="1" applyAlignment="1">
      <alignment horizontal="center" wrapText="1"/>
    </xf>
    <xf numFmtId="9" fontId="13" fillId="23" borderId="0" xfId="0" applyNumberFormat="1" applyFont="1" applyFill="1" applyAlignment="1">
      <alignment horizontal="center" wrapText="1"/>
    </xf>
    <xf numFmtId="9" fontId="13" fillId="24" borderId="0" xfId="0" applyNumberFormat="1" applyFont="1" applyFill="1" applyAlignment="1">
      <alignment horizontal="center" wrapText="1"/>
    </xf>
    <xf numFmtId="9" fontId="13" fillId="25" borderId="0" xfId="0" applyNumberFormat="1" applyFont="1" applyFill="1" applyAlignment="1">
      <alignment horizontal="center" wrapText="1"/>
    </xf>
    <xf numFmtId="9" fontId="13" fillId="26" borderId="0" xfId="0" applyNumberFormat="1" applyFont="1" applyFill="1" applyAlignment="1">
      <alignment horizontal="center" wrapText="1"/>
    </xf>
    <xf numFmtId="9" fontId="13" fillId="27" borderId="0" xfId="0" applyNumberFormat="1" applyFont="1" applyFill="1" applyAlignment="1">
      <alignment horizontal="center" wrapText="1"/>
    </xf>
    <xf numFmtId="9" fontId="13" fillId="28" borderId="0" xfId="0" applyNumberFormat="1" applyFont="1" applyFill="1" applyAlignment="1">
      <alignment horizontal="center" wrapText="1"/>
    </xf>
    <xf numFmtId="9" fontId="13" fillId="29" borderId="0" xfId="0" applyNumberFormat="1" applyFont="1" applyFill="1" applyAlignment="1">
      <alignment horizontal="center" wrapText="1"/>
    </xf>
    <xf numFmtId="9" fontId="13" fillId="30" borderId="0" xfId="0" applyNumberFormat="1" applyFont="1" applyFill="1" applyAlignment="1">
      <alignment horizontal="center" wrapText="1"/>
    </xf>
    <xf numFmtId="9" fontId="13" fillId="31" borderId="0" xfId="0" applyNumberFormat="1" applyFont="1" applyFill="1" applyAlignment="1">
      <alignment horizontal="center" wrapText="1"/>
    </xf>
    <xf numFmtId="9" fontId="13" fillId="32" borderId="0" xfId="0" applyNumberFormat="1" applyFont="1" applyFill="1" applyAlignment="1">
      <alignment horizontal="center" wrapText="1"/>
    </xf>
    <xf numFmtId="9" fontId="13" fillId="33" borderId="0" xfId="0" applyNumberFormat="1" applyFont="1" applyFill="1" applyAlignment="1">
      <alignment horizontal="center" wrapText="1"/>
    </xf>
    <xf numFmtId="9" fontId="13" fillId="34" borderId="0" xfId="0" applyNumberFormat="1" applyFont="1" applyFill="1" applyAlignment="1">
      <alignment horizontal="center" wrapText="1"/>
    </xf>
    <xf numFmtId="9" fontId="13" fillId="35" borderId="0" xfId="0" applyNumberFormat="1" applyFont="1" applyFill="1" applyAlignment="1">
      <alignment horizontal="center" wrapText="1"/>
    </xf>
    <xf numFmtId="9" fontId="13" fillId="36" borderId="0" xfId="0" applyNumberFormat="1" applyFont="1" applyFill="1" applyAlignment="1">
      <alignment horizontal="center" wrapText="1"/>
    </xf>
    <xf numFmtId="9" fontId="13" fillId="37" borderId="0" xfId="0" applyNumberFormat="1" applyFont="1" applyFill="1" applyAlignment="1">
      <alignment horizontal="center" wrapText="1"/>
    </xf>
    <xf numFmtId="9" fontId="13" fillId="38" borderId="0" xfId="0" applyNumberFormat="1" applyFont="1" applyFill="1" applyAlignment="1">
      <alignment horizontal="center" wrapText="1"/>
    </xf>
    <xf numFmtId="9" fontId="13" fillId="39" borderId="0" xfId="0" applyNumberFormat="1" applyFont="1" applyFill="1" applyAlignment="1">
      <alignment horizontal="center" wrapText="1"/>
    </xf>
    <xf numFmtId="9" fontId="13" fillId="40" borderId="0" xfId="0" applyNumberFormat="1" applyFont="1" applyFill="1" applyAlignment="1">
      <alignment horizontal="center" wrapText="1"/>
    </xf>
    <xf numFmtId="9" fontId="13" fillId="41" borderId="0" xfId="0" applyNumberFormat="1" applyFont="1" applyFill="1" applyAlignment="1">
      <alignment horizontal="center" wrapText="1"/>
    </xf>
    <xf numFmtId="9" fontId="13" fillId="42" borderId="0" xfId="0" applyNumberFormat="1" applyFont="1" applyFill="1" applyAlignment="1">
      <alignment horizontal="center" wrapText="1"/>
    </xf>
    <xf numFmtId="9" fontId="13" fillId="43" borderId="0" xfId="0" applyNumberFormat="1" applyFont="1" applyFill="1" applyAlignment="1">
      <alignment horizontal="center" wrapText="1"/>
    </xf>
    <xf numFmtId="0" fontId="13" fillId="0" borderId="0" xfId="0" applyFont="1" applyAlignment="1">
      <alignment wrapText="1"/>
    </xf>
    <xf numFmtId="9" fontId="13" fillId="44" borderId="0" xfId="0" applyNumberFormat="1" applyFont="1" applyFill="1" applyAlignment="1">
      <alignment horizontal="center" wrapText="1"/>
    </xf>
    <xf numFmtId="9" fontId="13" fillId="45" borderId="0" xfId="0" applyNumberFormat="1" applyFont="1" applyFill="1" applyAlignment="1">
      <alignment horizontal="center" wrapText="1"/>
    </xf>
    <xf numFmtId="9" fontId="13" fillId="46" borderId="0" xfId="0" applyNumberFormat="1" applyFont="1" applyFill="1" applyAlignment="1">
      <alignment horizontal="center" wrapText="1"/>
    </xf>
    <xf numFmtId="9" fontId="13" fillId="47" borderId="0" xfId="0" applyNumberFormat="1" applyFont="1" applyFill="1" applyAlignment="1">
      <alignment horizontal="center" wrapText="1"/>
    </xf>
    <xf numFmtId="9" fontId="13" fillId="48" borderId="0" xfId="0" applyNumberFormat="1" applyFont="1" applyFill="1" applyAlignment="1">
      <alignment horizontal="center" wrapText="1"/>
    </xf>
    <xf numFmtId="9" fontId="13" fillId="49" borderId="0" xfId="0" applyNumberFormat="1" applyFont="1" applyFill="1" applyAlignment="1">
      <alignment horizontal="center" wrapText="1"/>
    </xf>
    <xf numFmtId="9" fontId="13" fillId="50" borderId="0" xfId="0" applyNumberFormat="1" applyFont="1" applyFill="1" applyAlignment="1">
      <alignment horizontal="center" wrapText="1"/>
    </xf>
    <xf numFmtId="9" fontId="13" fillId="51" borderId="0" xfId="0" applyNumberFormat="1" applyFont="1" applyFill="1" applyAlignment="1">
      <alignment horizontal="center" wrapText="1"/>
    </xf>
    <xf numFmtId="9" fontId="13" fillId="52" borderId="0" xfId="0" applyNumberFormat="1" applyFont="1" applyFill="1" applyAlignment="1">
      <alignment horizontal="center" wrapText="1"/>
    </xf>
    <xf numFmtId="9" fontId="13" fillId="53" borderId="0" xfId="0" applyNumberFormat="1" applyFont="1" applyFill="1" applyAlignment="1">
      <alignment horizontal="center" wrapText="1"/>
    </xf>
    <xf numFmtId="9" fontId="13" fillId="54" borderId="0" xfId="0" applyNumberFormat="1" applyFont="1" applyFill="1" applyAlignment="1">
      <alignment horizontal="center" wrapText="1"/>
    </xf>
    <xf numFmtId="9" fontId="13" fillId="55" borderId="0" xfId="0" applyNumberFormat="1" applyFont="1" applyFill="1" applyAlignment="1">
      <alignment horizontal="center" wrapText="1"/>
    </xf>
    <xf numFmtId="9" fontId="13" fillId="56" borderId="0" xfId="0" applyNumberFormat="1" applyFont="1" applyFill="1" applyAlignment="1">
      <alignment horizontal="center" wrapText="1"/>
    </xf>
    <xf numFmtId="9" fontId="13" fillId="57" borderId="0" xfId="0" applyNumberFormat="1" applyFont="1" applyFill="1" applyAlignment="1">
      <alignment horizontal="center" wrapText="1"/>
    </xf>
    <xf numFmtId="9" fontId="13" fillId="58" borderId="0" xfId="0" applyNumberFormat="1" applyFont="1" applyFill="1" applyAlignment="1">
      <alignment horizontal="center" wrapText="1"/>
    </xf>
    <xf numFmtId="9" fontId="13" fillId="59" borderId="0" xfId="0" applyNumberFormat="1" applyFont="1" applyFill="1" applyAlignment="1">
      <alignment horizontal="center" wrapText="1"/>
    </xf>
    <xf numFmtId="9" fontId="13" fillId="60" borderId="0" xfId="0" applyNumberFormat="1" applyFont="1" applyFill="1" applyAlignment="1">
      <alignment horizontal="center" wrapText="1"/>
    </xf>
    <xf numFmtId="9" fontId="13" fillId="61" borderId="0" xfId="0" applyNumberFormat="1" applyFont="1" applyFill="1" applyAlignment="1">
      <alignment horizontal="center" wrapText="1"/>
    </xf>
    <xf numFmtId="9" fontId="13" fillId="62" borderId="0" xfId="0" applyNumberFormat="1" applyFont="1" applyFill="1" applyAlignment="1">
      <alignment horizontal="center" wrapText="1"/>
    </xf>
    <xf numFmtId="9" fontId="13" fillId="63" borderId="0" xfId="0" applyNumberFormat="1" applyFont="1" applyFill="1" applyAlignment="1">
      <alignment horizontal="center" wrapText="1"/>
    </xf>
    <xf numFmtId="9" fontId="13" fillId="64" borderId="0" xfId="0" applyNumberFormat="1" applyFont="1" applyFill="1" applyAlignment="1">
      <alignment horizontal="center" wrapText="1"/>
    </xf>
    <xf numFmtId="9" fontId="13" fillId="65" borderId="0" xfId="0" applyNumberFormat="1" applyFont="1" applyFill="1" applyAlignment="1">
      <alignment horizontal="center" wrapText="1"/>
    </xf>
    <xf numFmtId="9" fontId="13" fillId="66" borderId="0" xfId="0" applyNumberFormat="1" applyFont="1" applyFill="1" applyAlignment="1">
      <alignment horizontal="center" wrapText="1"/>
    </xf>
    <xf numFmtId="9" fontId="13" fillId="67" borderId="0" xfId="0" applyNumberFormat="1" applyFont="1" applyFill="1" applyAlignment="1">
      <alignment horizontal="center" wrapText="1"/>
    </xf>
    <xf numFmtId="9" fontId="13" fillId="68" borderId="0" xfId="0" applyNumberFormat="1" applyFont="1" applyFill="1" applyAlignment="1">
      <alignment horizontal="center" wrapText="1"/>
    </xf>
    <xf numFmtId="9" fontId="13" fillId="69" borderId="0" xfId="0" applyNumberFormat="1" applyFont="1" applyFill="1" applyAlignment="1">
      <alignment horizontal="center" wrapText="1"/>
    </xf>
    <xf numFmtId="9" fontId="13" fillId="70" borderId="0" xfId="0" applyNumberFormat="1" applyFont="1" applyFill="1" applyAlignment="1">
      <alignment horizontal="center" wrapText="1"/>
    </xf>
    <xf numFmtId="9" fontId="13" fillId="5" borderId="0" xfId="0" applyNumberFormat="1" applyFont="1" applyFill="1" applyAlignment="1">
      <alignment horizontal="center" wrapText="1"/>
    </xf>
    <xf numFmtId="9" fontId="13" fillId="71" borderId="0" xfId="0" applyNumberFormat="1" applyFont="1" applyFill="1" applyAlignment="1">
      <alignment horizontal="center" wrapText="1"/>
    </xf>
    <xf numFmtId="9" fontId="13" fillId="72" borderId="0" xfId="0" applyNumberFormat="1" applyFont="1" applyFill="1" applyAlignment="1">
      <alignment horizontal="center" wrapText="1"/>
    </xf>
    <xf numFmtId="9" fontId="13" fillId="73" borderId="0" xfId="0" applyNumberFormat="1" applyFont="1" applyFill="1" applyAlignment="1">
      <alignment horizontal="center" wrapText="1"/>
    </xf>
    <xf numFmtId="9" fontId="13" fillId="74" borderId="0" xfId="0" applyNumberFormat="1" applyFont="1" applyFill="1" applyAlignment="1">
      <alignment horizontal="center" wrapText="1"/>
    </xf>
    <xf numFmtId="9" fontId="13" fillId="75" borderId="0" xfId="0" applyNumberFormat="1" applyFont="1" applyFill="1" applyAlignment="1">
      <alignment horizontal="center" wrapText="1"/>
    </xf>
    <xf numFmtId="9" fontId="13" fillId="76" borderId="0" xfId="0" applyNumberFormat="1" applyFont="1" applyFill="1" applyAlignment="1">
      <alignment horizontal="center" wrapText="1"/>
    </xf>
    <xf numFmtId="9" fontId="13" fillId="77" borderId="0" xfId="0" applyNumberFormat="1" applyFont="1" applyFill="1" applyAlignment="1">
      <alignment horizontal="center" wrapText="1"/>
    </xf>
    <xf numFmtId="9" fontId="13" fillId="78" borderId="0" xfId="0" applyNumberFormat="1" applyFont="1" applyFill="1" applyAlignment="1">
      <alignment horizontal="center" wrapText="1"/>
    </xf>
    <xf numFmtId="9" fontId="13" fillId="79" borderId="0" xfId="0" applyNumberFormat="1" applyFont="1" applyFill="1" applyAlignment="1">
      <alignment horizontal="center" wrapText="1"/>
    </xf>
    <xf numFmtId="9" fontId="13" fillId="80" borderId="0" xfId="0" applyNumberFormat="1" applyFont="1" applyFill="1" applyAlignment="1">
      <alignment horizontal="center" wrapText="1"/>
    </xf>
    <xf numFmtId="9" fontId="13" fillId="81" borderId="0" xfId="0" applyNumberFormat="1" applyFont="1" applyFill="1" applyAlignment="1">
      <alignment horizontal="center" wrapText="1"/>
    </xf>
    <xf numFmtId="9" fontId="13" fillId="82" borderId="0" xfId="0" applyNumberFormat="1" applyFont="1" applyFill="1" applyAlignment="1">
      <alignment horizontal="center" wrapText="1"/>
    </xf>
    <xf numFmtId="9" fontId="13" fillId="83" borderId="0" xfId="0" applyNumberFormat="1" applyFont="1" applyFill="1" applyAlignment="1">
      <alignment horizontal="center" wrapText="1"/>
    </xf>
    <xf numFmtId="9" fontId="13" fillId="84" borderId="0" xfId="0" applyNumberFormat="1" applyFont="1" applyFill="1" applyAlignment="1">
      <alignment horizontal="center" wrapText="1"/>
    </xf>
    <xf numFmtId="9" fontId="13" fillId="85" borderId="0" xfId="0" applyNumberFormat="1" applyFont="1" applyFill="1" applyAlignment="1">
      <alignment horizontal="center" wrapText="1"/>
    </xf>
    <xf numFmtId="9" fontId="13" fillId="86" borderId="0" xfId="0" applyNumberFormat="1" applyFont="1" applyFill="1" applyAlignment="1">
      <alignment horizontal="center" wrapText="1"/>
    </xf>
    <xf numFmtId="9" fontId="13" fillId="87" borderId="0" xfId="0" applyNumberFormat="1" applyFont="1" applyFill="1" applyAlignment="1">
      <alignment horizontal="center" wrapText="1"/>
    </xf>
    <xf numFmtId="9" fontId="13" fillId="88" borderId="0" xfId="0" applyNumberFormat="1" applyFont="1" applyFill="1" applyAlignment="1">
      <alignment horizontal="center" wrapText="1"/>
    </xf>
    <xf numFmtId="9" fontId="13" fillId="89" borderId="0" xfId="0" applyNumberFormat="1" applyFont="1" applyFill="1" applyAlignment="1">
      <alignment horizontal="center" wrapText="1"/>
    </xf>
    <xf numFmtId="9" fontId="13" fillId="90" borderId="0" xfId="0" applyNumberFormat="1" applyFont="1" applyFill="1" applyAlignment="1">
      <alignment horizontal="center" wrapText="1"/>
    </xf>
    <xf numFmtId="9" fontId="13" fillId="91" borderId="0" xfId="0" applyNumberFormat="1" applyFont="1" applyFill="1" applyAlignment="1">
      <alignment horizontal="center" wrapText="1"/>
    </xf>
    <xf numFmtId="9" fontId="13" fillId="92" borderId="0" xfId="0" applyNumberFormat="1" applyFont="1" applyFill="1" applyAlignment="1">
      <alignment horizontal="center" wrapText="1"/>
    </xf>
    <xf numFmtId="9" fontId="13" fillId="93" borderId="0" xfId="0" applyNumberFormat="1" applyFont="1" applyFill="1" applyAlignment="1">
      <alignment horizontal="center" wrapText="1"/>
    </xf>
    <xf numFmtId="9" fontId="13" fillId="94" borderId="0" xfId="0" applyNumberFormat="1" applyFont="1" applyFill="1" applyAlignment="1">
      <alignment horizontal="center" wrapText="1"/>
    </xf>
    <xf numFmtId="9" fontId="13" fillId="95" borderId="0" xfId="0" applyNumberFormat="1" applyFont="1" applyFill="1" applyAlignment="1">
      <alignment horizontal="center" wrapText="1"/>
    </xf>
    <xf numFmtId="9" fontId="13" fillId="96" borderId="0" xfId="0" applyNumberFormat="1" applyFont="1" applyFill="1" applyAlignment="1">
      <alignment horizontal="center" wrapText="1"/>
    </xf>
    <xf numFmtId="9" fontId="13" fillId="97" borderId="0" xfId="0" applyNumberFormat="1" applyFont="1" applyFill="1" applyAlignment="1">
      <alignment horizontal="center" wrapText="1"/>
    </xf>
    <xf numFmtId="9" fontId="13" fillId="98" borderId="0" xfId="0" applyNumberFormat="1" applyFont="1" applyFill="1" applyAlignment="1">
      <alignment horizontal="center" wrapText="1"/>
    </xf>
    <xf numFmtId="9" fontId="13" fillId="99" borderId="0" xfId="0" applyNumberFormat="1" applyFont="1" applyFill="1" applyAlignment="1">
      <alignment horizontal="center" wrapText="1"/>
    </xf>
    <xf numFmtId="9" fontId="13" fillId="100" borderId="0" xfId="0" applyNumberFormat="1" applyFont="1" applyFill="1" applyAlignment="1">
      <alignment horizontal="center" wrapText="1"/>
    </xf>
    <xf numFmtId="9" fontId="13" fillId="101" borderId="0" xfId="0" applyNumberFormat="1" applyFont="1" applyFill="1" applyAlignment="1">
      <alignment horizontal="center" wrapText="1"/>
    </xf>
    <xf numFmtId="9" fontId="13" fillId="102" borderId="0" xfId="0" applyNumberFormat="1" applyFont="1" applyFill="1" applyAlignment="1">
      <alignment horizontal="center" wrapText="1"/>
    </xf>
    <xf numFmtId="9" fontId="13" fillId="103" borderId="0" xfId="0" applyNumberFormat="1" applyFont="1" applyFill="1" applyAlignment="1">
      <alignment horizontal="center" wrapText="1"/>
    </xf>
    <xf numFmtId="9" fontId="13" fillId="104" borderId="0" xfId="0" applyNumberFormat="1" applyFont="1" applyFill="1" applyAlignment="1">
      <alignment horizontal="center" wrapText="1"/>
    </xf>
    <xf numFmtId="9" fontId="13" fillId="105" borderId="0" xfId="0" applyNumberFormat="1" applyFont="1" applyFill="1" applyAlignment="1">
      <alignment horizontal="center" wrapText="1"/>
    </xf>
    <xf numFmtId="9" fontId="13" fillId="106" borderId="0" xfId="0" applyNumberFormat="1" applyFont="1" applyFill="1" applyAlignment="1">
      <alignment horizontal="center" wrapText="1"/>
    </xf>
    <xf numFmtId="9" fontId="13" fillId="107" borderId="0" xfId="0" applyNumberFormat="1" applyFont="1" applyFill="1" applyAlignment="1">
      <alignment horizontal="center" wrapText="1"/>
    </xf>
    <xf numFmtId="9" fontId="13" fillId="108" borderId="0" xfId="0" applyNumberFormat="1" applyFont="1" applyFill="1" applyAlignment="1">
      <alignment horizontal="center" wrapText="1"/>
    </xf>
    <xf numFmtId="9" fontId="13" fillId="109" borderId="0" xfId="0" applyNumberFormat="1" applyFont="1" applyFill="1" applyAlignment="1">
      <alignment horizontal="center" wrapText="1"/>
    </xf>
    <xf numFmtId="9" fontId="13" fillId="110" borderId="0" xfId="0" applyNumberFormat="1" applyFont="1" applyFill="1" applyAlignment="1">
      <alignment horizontal="center" wrapText="1"/>
    </xf>
    <xf numFmtId="9" fontId="13" fillId="111" borderId="0" xfId="0" applyNumberFormat="1" applyFont="1" applyFill="1" applyAlignment="1">
      <alignment horizontal="center" wrapText="1"/>
    </xf>
    <xf numFmtId="9" fontId="13" fillId="112" borderId="0" xfId="0" applyNumberFormat="1" applyFont="1" applyFill="1" applyAlignment="1">
      <alignment horizontal="center" wrapText="1"/>
    </xf>
    <xf numFmtId="9" fontId="13" fillId="113" borderId="0" xfId="0" applyNumberFormat="1" applyFont="1" applyFill="1" applyAlignment="1">
      <alignment horizontal="center" wrapText="1"/>
    </xf>
    <xf numFmtId="9" fontId="13" fillId="114" borderId="0" xfId="0" applyNumberFormat="1" applyFont="1" applyFill="1" applyAlignment="1">
      <alignment horizontal="center" wrapText="1"/>
    </xf>
    <xf numFmtId="9" fontId="13" fillId="115" borderId="0" xfId="0" applyNumberFormat="1" applyFont="1" applyFill="1" applyAlignment="1">
      <alignment horizontal="center" wrapText="1"/>
    </xf>
    <xf numFmtId="9" fontId="13" fillId="116" borderId="0" xfId="0" applyNumberFormat="1" applyFont="1" applyFill="1" applyAlignment="1">
      <alignment horizontal="center" wrapText="1"/>
    </xf>
    <xf numFmtId="9" fontId="13" fillId="117" borderId="0" xfId="0" applyNumberFormat="1" applyFont="1" applyFill="1" applyAlignment="1">
      <alignment horizontal="center" wrapText="1"/>
    </xf>
    <xf numFmtId="9" fontId="13" fillId="118" borderId="0" xfId="0" applyNumberFormat="1" applyFont="1" applyFill="1" applyAlignment="1">
      <alignment horizontal="center" wrapText="1"/>
    </xf>
    <xf numFmtId="9" fontId="13" fillId="119" borderId="0" xfId="0" applyNumberFormat="1" applyFont="1" applyFill="1" applyAlignment="1">
      <alignment horizontal="center" wrapText="1"/>
    </xf>
    <xf numFmtId="9" fontId="13" fillId="120" borderId="0" xfId="0" applyNumberFormat="1" applyFont="1" applyFill="1" applyAlignment="1">
      <alignment horizontal="center" wrapText="1"/>
    </xf>
    <xf numFmtId="9" fontId="13" fillId="121" borderId="0" xfId="0" applyNumberFormat="1" applyFont="1" applyFill="1" applyAlignment="1">
      <alignment horizontal="center" wrapText="1"/>
    </xf>
    <xf numFmtId="9" fontId="13" fillId="122" borderId="0" xfId="0" applyNumberFormat="1" applyFont="1" applyFill="1" applyAlignment="1">
      <alignment horizontal="center" wrapText="1"/>
    </xf>
    <xf numFmtId="9" fontId="13" fillId="123" borderId="0" xfId="0" applyNumberFormat="1" applyFont="1" applyFill="1" applyAlignment="1">
      <alignment horizontal="center" wrapText="1"/>
    </xf>
    <xf numFmtId="9" fontId="13" fillId="124" borderId="0" xfId="0" applyNumberFormat="1" applyFont="1" applyFill="1" applyAlignment="1">
      <alignment horizontal="center" wrapText="1"/>
    </xf>
    <xf numFmtId="9" fontId="13" fillId="125" borderId="0" xfId="0" applyNumberFormat="1" applyFont="1" applyFill="1" applyAlignment="1">
      <alignment horizontal="center" wrapText="1"/>
    </xf>
    <xf numFmtId="9" fontId="13" fillId="126" borderId="0" xfId="0" applyNumberFormat="1" applyFont="1" applyFill="1" applyAlignment="1">
      <alignment horizontal="center" wrapText="1"/>
    </xf>
    <xf numFmtId="9" fontId="13" fillId="127" borderId="0" xfId="0" applyNumberFormat="1" applyFont="1" applyFill="1" applyAlignment="1">
      <alignment horizontal="center" wrapText="1"/>
    </xf>
    <xf numFmtId="9" fontId="13" fillId="128" borderId="0" xfId="0" applyNumberFormat="1" applyFont="1" applyFill="1" applyAlignment="1">
      <alignment horizontal="center" wrapText="1"/>
    </xf>
    <xf numFmtId="9" fontId="13" fillId="129" borderId="0" xfId="0" applyNumberFormat="1" applyFont="1" applyFill="1" applyAlignment="1">
      <alignment horizontal="center" wrapText="1"/>
    </xf>
    <xf numFmtId="9" fontId="13" fillId="130" borderId="0" xfId="0" applyNumberFormat="1" applyFont="1" applyFill="1" applyAlignment="1">
      <alignment horizontal="center" wrapText="1"/>
    </xf>
    <xf numFmtId="9" fontId="13" fillId="131" borderId="0" xfId="0" applyNumberFormat="1" applyFont="1" applyFill="1" applyAlignment="1">
      <alignment horizontal="center" wrapText="1"/>
    </xf>
    <xf numFmtId="9" fontId="13" fillId="132" borderId="0" xfId="0" applyNumberFormat="1" applyFont="1" applyFill="1" applyAlignment="1">
      <alignment horizontal="center" wrapText="1"/>
    </xf>
    <xf numFmtId="9" fontId="13" fillId="133" borderId="0" xfId="0" applyNumberFormat="1" applyFont="1" applyFill="1" applyAlignment="1">
      <alignment horizontal="center" wrapText="1"/>
    </xf>
    <xf numFmtId="9" fontId="13" fillId="134" borderId="0" xfId="0" applyNumberFormat="1" applyFont="1" applyFill="1" applyAlignment="1">
      <alignment horizontal="center" wrapText="1"/>
    </xf>
    <xf numFmtId="9" fontId="13" fillId="135" borderId="0" xfId="0" applyNumberFormat="1" applyFont="1" applyFill="1" applyAlignment="1">
      <alignment horizontal="center" wrapText="1"/>
    </xf>
    <xf numFmtId="9" fontId="13" fillId="136" borderId="0" xfId="0" applyNumberFormat="1" applyFont="1" applyFill="1" applyAlignment="1">
      <alignment horizontal="center" wrapText="1"/>
    </xf>
    <xf numFmtId="9" fontId="13" fillId="137" borderId="0" xfId="0" applyNumberFormat="1" applyFont="1" applyFill="1" applyAlignment="1">
      <alignment horizontal="center" wrapText="1"/>
    </xf>
    <xf numFmtId="0" fontId="4" fillId="7" borderId="0" xfId="0" applyFont="1" applyFill="1" applyAlignment="1">
      <alignment horizontal="left"/>
    </xf>
    <xf numFmtId="175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77" fontId="1" fillId="0" borderId="0" xfId="0" applyNumberFormat="1" applyFont="1" applyAlignment="1">
      <alignment horizontal="center"/>
    </xf>
  </cellXfs>
  <cellStyles count="1">
    <cellStyle name="Normal" xfId="0" builtinId="0"/>
  </cellStyles>
  <dxfs count="38">
    <dxf>
      <font>
        <color rgb="FF00B050"/>
      </font>
    </dxf>
    <dxf>
      <font>
        <color rgb="FFFF0000"/>
      </font>
    </dxf>
    <dxf>
      <font>
        <strike val="0"/>
        <color theme="6" tint="0.59996337778862885"/>
      </font>
    </dxf>
    <dxf>
      <font>
        <color theme="6" tint="0.39994506668294322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6" tint="0.39994506668294322"/>
      </font>
    </dxf>
    <dxf>
      <font>
        <strike val="0"/>
        <color theme="6" tint="0.59996337778862885"/>
      </font>
    </dxf>
    <dxf>
      <font>
        <color rgb="FFFF0000"/>
      </font>
    </dxf>
    <dxf>
      <font>
        <strike val="0"/>
        <color theme="6" tint="0.59996337778862885"/>
      </font>
    </dxf>
    <dxf>
      <font>
        <color theme="6" tint="0.39994506668294322"/>
      </font>
    </dxf>
    <dxf>
      <font>
        <color rgb="FF00B050"/>
      </font>
    </dxf>
    <dxf>
      <font>
        <color rgb="FFFF0000"/>
      </font>
    </dxf>
    <dxf>
      <font>
        <strike val="0"/>
        <color theme="6" tint="0.59996337778862885"/>
      </font>
    </dxf>
    <dxf>
      <font>
        <color theme="6" tint="0.39994506668294322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6" tint="0.39994506668294322"/>
      </font>
    </dxf>
    <dxf>
      <font>
        <strike val="0"/>
        <color theme="6" tint="0.59996337778862885"/>
      </font>
    </dxf>
    <dxf>
      <font>
        <color rgb="FFFF0000"/>
      </font>
    </dxf>
    <dxf>
      <font>
        <color theme="6" tint="0.39994506668294322"/>
      </font>
    </dxf>
    <dxf>
      <font>
        <strike val="0"/>
        <color theme="6" tint="0.5999633777886288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2D8E-F2C0-497A-8CD0-2AFB4E4AEE9B}">
  <sheetPr>
    <tabColor rgb="FFE2EFDD"/>
  </sheetPr>
  <dimension ref="A1:V978"/>
  <sheetViews>
    <sheetView showGridLines="0" tabSelected="1" zoomScale="90" zoomScaleNormal="90" workbookViewId="0">
      <pane xSplit="2" ySplit="2" topLeftCell="C3" activePane="bottomRight" state="frozen"/>
      <selection activeCell="H29" sqref="H29"/>
      <selection pane="topRight" activeCell="H29" sqref="H29"/>
      <selection pane="bottomLeft" activeCell="H29" sqref="H29"/>
      <selection pane="bottomRight"/>
    </sheetView>
  </sheetViews>
  <sheetFormatPr defaultColWidth="14.44140625" defaultRowHeight="15" customHeight="1"/>
  <cols>
    <col min="1" max="1" width="2.88671875" customWidth="1"/>
    <col min="2" max="2" width="35.109375" customWidth="1"/>
    <col min="3" max="3" width="9" customWidth="1"/>
    <col min="4" max="9" width="11" customWidth="1"/>
    <col min="10" max="16" width="12.5546875" customWidth="1"/>
    <col min="17" max="22" width="8.6640625" customWidth="1"/>
  </cols>
  <sheetData>
    <row r="1" spans="1:22" ht="14.25" customHeight="1">
      <c r="A1" s="1"/>
      <c r="B1" s="2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2"/>
      <c r="V1" s="2"/>
    </row>
    <row r="2" spans="1:22" ht="14.25" customHeight="1" thickBot="1">
      <c r="A2" s="1"/>
      <c r="B2" s="4" t="s">
        <v>0</v>
      </c>
      <c r="C2" s="5" t="s">
        <v>1</v>
      </c>
      <c r="D2" s="6">
        <v>45658</v>
      </c>
      <c r="E2" s="6">
        <f t="shared" ref="E2:P2" si="0">EDATE(D2,1)</f>
        <v>45689</v>
      </c>
      <c r="F2" s="6">
        <f t="shared" si="0"/>
        <v>45717</v>
      </c>
      <c r="G2" s="6">
        <f t="shared" si="0"/>
        <v>45748</v>
      </c>
      <c r="H2" s="6">
        <f t="shared" si="0"/>
        <v>45778</v>
      </c>
      <c r="I2" s="6">
        <f t="shared" si="0"/>
        <v>45809</v>
      </c>
      <c r="J2" s="6">
        <f t="shared" si="0"/>
        <v>45839</v>
      </c>
      <c r="K2" s="6">
        <f t="shared" si="0"/>
        <v>45870</v>
      </c>
      <c r="L2" s="6">
        <f t="shared" si="0"/>
        <v>45901</v>
      </c>
      <c r="M2" s="6">
        <f t="shared" si="0"/>
        <v>45931</v>
      </c>
      <c r="N2" s="6">
        <f t="shared" si="0"/>
        <v>45962</v>
      </c>
      <c r="O2" s="6">
        <f t="shared" si="0"/>
        <v>45992</v>
      </c>
      <c r="P2" s="6">
        <f t="shared" si="0"/>
        <v>46023</v>
      </c>
      <c r="Q2" s="2"/>
      <c r="R2" s="2"/>
      <c r="S2" s="2"/>
      <c r="T2" s="2"/>
      <c r="U2" s="2"/>
      <c r="V2" s="2"/>
    </row>
    <row r="3" spans="1:22" ht="14.25" customHeight="1" thickBot="1">
      <c r="A3" s="1"/>
      <c r="B3" s="7" t="s">
        <v>2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2"/>
      <c r="R3" s="2"/>
      <c r="S3" s="2"/>
      <c r="T3" s="2"/>
      <c r="U3" s="2"/>
      <c r="V3" s="2"/>
    </row>
    <row r="4" spans="1:22" ht="14.25" customHeight="1">
      <c r="A4" s="1"/>
      <c r="B4" s="10" t="s">
        <v>3</v>
      </c>
      <c r="C4" s="11" t="s">
        <v>4</v>
      </c>
      <c r="D4" s="12">
        <f t="shared" ref="D4:O4" si="1">SUM(D5:D7)</f>
        <v>1488.3500000000001</v>
      </c>
      <c r="E4" s="12">
        <f t="shared" si="1"/>
        <v>1719.4099999999999</v>
      </c>
      <c r="F4" s="12">
        <f t="shared" si="1"/>
        <v>1873.89</v>
      </c>
      <c r="G4" s="12">
        <f t="shared" si="1"/>
        <v>2123.7800000000002</v>
      </c>
      <c r="H4" s="12">
        <f t="shared" si="1"/>
        <v>2348.7600000000002</v>
      </c>
      <c r="I4" s="12">
        <f t="shared" si="1"/>
        <v>2660.1017218076404</v>
      </c>
      <c r="J4" s="12">
        <f t="shared" si="1"/>
        <v>2849.1670124540005</v>
      </c>
      <c r="K4" s="12">
        <f t="shared" si="1"/>
        <v>3050.6097</v>
      </c>
      <c r="L4" s="12">
        <f t="shared" si="1"/>
        <v>3326.2602142999999</v>
      </c>
      <c r="M4" s="12">
        <f t="shared" si="1"/>
        <v>3589.6824135209999</v>
      </c>
      <c r="N4" s="12">
        <f t="shared" si="1"/>
        <v>3835.1669426101598</v>
      </c>
      <c r="O4" s="12">
        <f t="shared" si="1"/>
        <v>4179.1953387968542</v>
      </c>
      <c r="P4" s="12">
        <f>P5+P6+P7</f>
        <v>4538.6755000000003</v>
      </c>
      <c r="Q4" s="2"/>
      <c r="R4" s="2"/>
      <c r="S4" s="2"/>
      <c r="T4" s="2"/>
      <c r="U4" s="2"/>
      <c r="V4" s="2"/>
    </row>
    <row r="5" spans="1:22" ht="14.25" customHeight="1">
      <c r="A5" s="1"/>
      <c r="B5" s="13" t="s">
        <v>5</v>
      </c>
      <c r="C5" s="1" t="s">
        <v>4</v>
      </c>
      <c r="D5" s="14">
        <v>1439.89</v>
      </c>
      <c r="E5" s="14">
        <v>1639.58</v>
      </c>
      <c r="F5" s="14">
        <v>1755.19</v>
      </c>
      <c r="G5" s="14">
        <v>1940.5</v>
      </c>
      <c r="H5" s="14">
        <v>2086.0500000000002</v>
      </c>
      <c r="I5" s="14">
        <v>2298.3017218076402</v>
      </c>
      <c r="J5" s="14">
        <v>2360.1970124540003</v>
      </c>
      <c r="K5" s="14">
        <v>2422.6797000000001</v>
      </c>
      <c r="L5" s="14">
        <v>2576</v>
      </c>
      <c r="M5" s="14">
        <v>2634.4371394320001</v>
      </c>
      <c r="N5" s="14">
        <v>2675</v>
      </c>
      <c r="O5" s="14">
        <v>2777.261645</v>
      </c>
      <c r="P5" s="14">
        <v>2835.8670000000002</v>
      </c>
      <c r="Q5" s="2"/>
      <c r="R5" s="2"/>
      <c r="S5" s="2"/>
      <c r="T5" s="2"/>
      <c r="U5" s="2"/>
      <c r="V5" s="2"/>
    </row>
    <row r="6" spans="1:22" ht="14.25" customHeight="1">
      <c r="A6" s="1"/>
      <c r="B6" s="13" t="s">
        <v>6</v>
      </c>
      <c r="C6" s="1" t="s">
        <v>4</v>
      </c>
      <c r="D6" s="14">
        <v>48.46</v>
      </c>
      <c r="E6" s="14">
        <v>79.83</v>
      </c>
      <c r="F6" s="14">
        <v>118.7</v>
      </c>
      <c r="G6" s="14">
        <v>183.28</v>
      </c>
      <c r="H6" s="14">
        <v>262.70999999999998</v>
      </c>
      <c r="I6" s="14">
        <v>361.8</v>
      </c>
      <c r="J6" s="14">
        <v>488.97</v>
      </c>
      <c r="K6" s="14">
        <v>627.92999999999995</v>
      </c>
      <c r="L6" s="14">
        <v>750.06</v>
      </c>
      <c r="M6" s="14">
        <v>948.1332091889999</v>
      </c>
      <c r="N6" s="14">
        <v>1145</v>
      </c>
      <c r="O6" s="14">
        <v>1366.5109230180001</v>
      </c>
      <c r="P6" s="14">
        <v>1625.19</v>
      </c>
      <c r="Q6" s="2"/>
      <c r="R6" s="2"/>
      <c r="S6" s="2"/>
      <c r="T6" s="2"/>
      <c r="U6" s="2"/>
      <c r="V6" s="2"/>
    </row>
    <row r="7" spans="1:22" ht="14.4">
      <c r="A7" s="1"/>
      <c r="B7" s="13" t="s">
        <v>7</v>
      </c>
      <c r="C7" s="1" t="s">
        <v>4</v>
      </c>
      <c r="D7" s="15"/>
      <c r="E7" s="15"/>
      <c r="F7" s="15"/>
      <c r="G7" s="15"/>
      <c r="H7" s="15"/>
      <c r="I7" s="15"/>
      <c r="J7" s="15"/>
      <c r="K7" s="15"/>
      <c r="L7" s="16">
        <v>0.20021429999999998</v>
      </c>
      <c r="M7" s="16">
        <v>7.1120648999999991</v>
      </c>
      <c r="N7" s="16">
        <v>15.16694261016</v>
      </c>
      <c r="O7" s="16">
        <v>35.4227707788543</v>
      </c>
      <c r="P7" s="16">
        <v>77.618499999999997</v>
      </c>
      <c r="Q7" s="2"/>
      <c r="R7" s="2"/>
      <c r="S7" s="2"/>
      <c r="T7" s="2"/>
      <c r="U7" s="2"/>
      <c r="V7" s="2"/>
    </row>
    <row r="8" spans="1:22" ht="14.25" customHeight="1">
      <c r="A8" s="1"/>
      <c r="B8" s="13"/>
      <c r="C8" s="1"/>
      <c r="D8" s="17"/>
      <c r="E8" s="18"/>
      <c r="F8" s="17"/>
      <c r="G8" s="17"/>
      <c r="H8" s="17"/>
      <c r="I8" s="17"/>
      <c r="J8" s="17"/>
      <c r="K8" s="18"/>
      <c r="L8" s="18"/>
      <c r="M8" s="18"/>
      <c r="N8" s="18"/>
      <c r="O8" s="18"/>
      <c r="P8" s="17"/>
      <c r="Q8" s="2"/>
      <c r="R8" s="2"/>
      <c r="S8" s="2"/>
      <c r="T8" s="2"/>
      <c r="U8" s="2"/>
      <c r="V8" s="2"/>
    </row>
    <row r="9" spans="1:22" ht="14.25" customHeight="1">
      <c r="A9" s="1"/>
      <c r="B9" s="10" t="s">
        <v>8</v>
      </c>
      <c r="C9" s="11" t="s">
        <v>4</v>
      </c>
      <c r="D9" s="19">
        <f t="shared" ref="D9:P9" si="2">SUM(D10:D12)</f>
        <v>241.44198335499999</v>
      </c>
      <c r="E9" s="19">
        <f t="shared" si="2"/>
        <v>272.45407161100002</v>
      </c>
      <c r="F9" s="19">
        <f t="shared" si="2"/>
        <v>247.89790436999999</v>
      </c>
      <c r="G9" s="19">
        <f t="shared" si="2"/>
        <v>301.70248486099996</v>
      </c>
      <c r="H9" s="19">
        <f t="shared" si="2"/>
        <v>301.803196077</v>
      </c>
      <c r="I9" s="19">
        <f t="shared" si="2"/>
        <v>347.98853221299998</v>
      </c>
      <c r="J9" s="19">
        <f t="shared" si="2"/>
        <v>365.93384655699998</v>
      </c>
      <c r="K9" s="19">
        <f t="shared" si="2"/>
        <v>333.76507954499999</v>
      </c>
      <c r="L9" s="19">
        <f t="shared" si="2"/>
        <v>369.08526015900003</v>
      </c>
      <c r="M9" s="19">
        <f t="shared" si="2"/>
        <v>417.93364098099994</v>
      </c>
      <c r="N9" s="19">
        <f t="shared" si="2"/>
        <v>437.82350636899997</v>
      </c>
      <c r="O9" s="19">
        <f t="shared" si="2"/>
        <v>520.86176688400008</v>
      </c>
      <c r="P9" s="19">
        <f t="shared" si="2"/>
        <v>582.27721070300004</v>
      </c>
      <c r="Q9" s="2"/>
      <c r="R9" s="2"/>
      <c r="S9" s="2"/>
      <c r="T9" s="2"/>
      <c r="U9" s="2"/>
      <c r="V9" s="2"/>
    </row>
    <row r="10" spans="1:22" ht="14.25" customHeight="1">
      <c r="A10" s="1"/>
      <c r="B10" s="20" t="s">
        <v>9</v>
      </c>
      <c r="C10" s="1" t="s">
        <v>4</v>
      </c>
      <c r="D10" s="15">
        <f t="shared" ref="D10:P10" si="3">D62</f>
        <v>215.70353929999999</v>
      </c>
      <c r="E10" s="15">
        <f t="shared" si="3"/>
        <v>240.697836</v>
      </c>
      <c r="F10" s="15">
        <f t="shared" si="3"/>
        <v>201.8347291</v>
      </c>
      <c r="G10" s="15">
        <f t="shared" si="3"/>
        <v>237.00088189999997</v>
      </c>
      <c r="H10" s="15">
        <f t="shared" si="3"/>
        <v>211.15243179999999</v>
      </c>
      <c r="I10" s="15">
        <f t="shared" si="3"/>
        <v>237.3894359</v>
      </c>
      <c r="J10" s="15">
        <f t="shared" si="3"/>
        <v>216.50432419999999</v>
      </c>
      <c r="K10" s="15">
        <f t="shared" si="3"/>
        <v>186.19292329999999</v>
      </c>
      <c r="L10" s="15">
        <f t="shared" si="3"/>
        <v>204.35827319999999</v>
      </c>
      <c r="M10" s="15">
        <f t="shared" si="3"/>
        <v>201.67774170000001</v>
      </c>
      <c r="N10" s="15">
        <f t="shared" si="3"/>
        <v>198.84488479999999</v>
      </c>
      <c r="O10" s="15">
        <f t="shared" si="3"/>
        <v>220.691813</v>
      </c>
      <c r="P10" s="15">
        <f t="shared" si="3"/>
        <v>226.80795469999998</v>
      </c>
      <c r="Q10" s="2"/>
      <c r="R10" s="2"/>
      <c r="S10" s="2"/>
      <c r="T10" s="2"/>
      <c r="U10" s="2"/>
      <c r="V10" s="2"/>
    </row>
    <row r="11" spans="1:22" ht="14.25" customHeight="1">
      <c r="A11" s="1"/>
      <c r="B11" s="20" t="s">
        <v>10</v>
      </c>
      <c r="C11" s="1" t="s">
        <v>4</v>
      </c>
      <c r="D11" s="15">
        <f t="shared" ref="D11:P11" si="4">D105</f>
        <v>25.738444055000002</v>
      </c>
      <c r="E11" s="15">
        <f t="shared" si="4"/>
        <v>31.756235611000001</v>
      </c>
      <c r="F11" s="15">
        <f t="shared" si="4"/>
        <v>46.063175270000002</v>
      </c>
      <c r="G11" s="15">
        <f t="shared" si="4"/>
        <v>64.701602961000006</v>
      </c>
      <c r="H11" s="15">
        <f t="shared" si="4"/>
        <v>90.650764276999993</v>
      </c>
      <c r="I11" s="15">
        <f t="shared" si="4"/>
        <v>110.59909631300002</v>
      </c>
      <c r="J11" s="15">
        <f t="shared" si="4"/>
        <v>149.429522357</v>
      </c>
      <c r="K11" s="15">
        <f t="shared" si="4"/>
        <v>147.572156245</v>
      </c>
      <c r="L11" s="15">
        <f t="shared" si="4"/>
        <v>164.526551259</v>
      </c>
      <c r="M11" s="15">
        <f t="shared" si="4"/>
        <v>208.58125768099998</v>
      </c>
      <c r="N11" s="15">
        <f t="shared" si="4"/>
        <v>231.604830569</v>
      </c>
      <c r="O11" s="15">
        <f t="shared" si="4"/>
        <v>279.38760808400002</v>
      </c>
      <c r="P11" s="21">
        <f t="shared" si="4"/>
        <v>305.863256003</v>
      </c>
      <c r="Q11" s="2"/>
      <c r="R11" s="2"/>
      <c r="S11" s="2"/>
      <c r="T11" s="2"/>
      <c r="U11" s="2"/>
      <c r="V11" s="2"/>
    </row>
    <row r="12" spans="1:22" ht="14.25" customHeight="1">
      <c r="A12" s="1"/>
      <c r="B12" s="20" t="s">
        <v>11</v>
      </c>
      <c r="C12" s="1" t="s">
        <v>4</v>
      </c>
      <c r="D12" s="15">
        <f t="shared" ref="D12:O12" si="5">D127</f>
        <v>0</v>
      </c>
      <c r="E12" s="15">
        <f t="shared" si="5"/>
        <v>0</v>
      </c>
      <c r="F12" s="15">
        <f t="shared" si="5"/>
        <v>0</v>
      </c>
      <c r="G12" s="15">
        <f t="shared" si="5"/>
        <v>0</v>
      </c>
      <c r="H12" s="15">
        <f t="shared" si="5"/>
        <v>0</v>
      </c>
      <c r="I12" s="15">
        <f t="shared" si="5"/>
        <v>0</v>
      </c>
      <c r="J12" s="15">
        <f t="shared" si="5"/>
        <v>0</v>
      </c>
      <c r="K12" s="15">
        <f t="shared" si="5"/>
        <v>0</v>
      </c>
      <c r="L12" s="15">
        <f t="shared" si="5"/>
        <v>0.20043569999999999</v>
      </c>
      <c r="M12" s="15">
        <f t="shared" si="5"/>
        <v>7.6746415999999993</v>
      </c>
      <c r="N12" s="15">
        <f t="shared" si="5"/>
        <v>7.3737910000000007</v>
      </c>
      <c r="O12" s="15">
        <f t="shared" si="5"/>
        <v>20.782345799999998</v>
      </c>
      <c r="P12" s="15">
        <v>49.606000000000002</v>
      </c>
      <c r="Q12" s="2"/>
      <c r="R12" s="2"/>
      <c r="S12" s="2"/>
      <c r="T12" s="2"/>
      <c r="U12" s="2"/>
      <c r="V12" s="2"/>
    </row>
    <row r="13" spans="1:22" ht="14.25" customHeight="1">
      <c r="A13" s="1"/>
      <c r="B13" s="2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"/>
      <c r="R13" s="2"/>
      <c r="S13" s="2"/>
      <c r="T13" s="2"/>
      <c r="U13" s="2"/>
      <c r="V13" s="2"/>
    </row>
    <row r="14" spans="1:22" ht="14.25" customHeight="1">
      <c r="A14" s="1"/>
      <c r="B14" s="10" t="s">
        <v>12</v>
      </c>
      <c r="C14" s="11" t="s">
        <v>13</v>
      </c>
      <c r="D14" s="19"/>
      <c r="E14" s="19">
        <f t="shared" ref="E14:P14" si="6">SUM(E15:E17)</f>
        <v>231.05999999999983</v>
      </c>
      <c r="F14" s="19">
        <f t="shared" si="6"/>
        <v>154.48000000000013</v>
      </c>
      <c r="G14" s="19">
        <f t="shared" si="6"/>
        <v>249.88999999999993</v>
      </c>
      <c r="H14" s="19">
        <f t="shared" si="6"/>
        <v>224.98000000000016</v>
      </c>
      <c r="I14" s="19">
        <f t="shared" si="6"/>
        <v>311.34172180764006</v>
      </c>
      <c r="J14" s="19">
        <f t="shared" si="6"/>
        <v>189.0652906463601</v>
      </c>
      <c r="K14" s="19">
        <f t="shared" si="6"/>
        <v>201.44268754599977</v>
      </c>
      <c r="L14" s="19">
        <f t="shared" si="6"/>
        <v>275.65051429999988</v>
      </c>
      <c r="M14" s="19">
        <f t="shared" si="6"/>
        <v>263.42219922100003</v>
      </c>
      <c r="N14" s="19">
        <f t="shared" si="6"/>
        <v>245.48452908915999</v>
      </c>
      <c r="O14" s="19">
        <f t="shared" si="6"/>
        <v>344.02839618669441</v>
      </c>
      <c r="P14" s="19">
        <f t="shared" si="6"/>
        <v>359.48016120314583</v>
      </c>
      <c r="Q14" s="2"/>
      <c r="R14" s="2"/>
      <c r="S14" s="2"/>
      <c r="T14" s="2"/>
      <c r="U14" s="2"/>
      <c r="V14" s="2"/>
    </row>
    <row r="15" spans="1:22" ht="14.25" customHeight="1">
      <c r="A15" s="1"/>
      <c r="B15" s="20" t="s">
        <v>14</v>
      </c>
      <c r="C15" s="1" t="s">
        <v>13</v>
      </c>
      <c r="D15" s="15"/>
      <c r="E15" s="15">
        <f t="shared" ref="E15:P17" si="7">E5-D5</f>
        <v>199.68999999999983</v>
      </c>
      <c r="F15" s="15">
        <f t="shared" si="7"/>
        <v>115.61000000000013</v>
      </c>
      <c r="G15" s="15">
        <f t="shared" si="7"/>
        <v>185.30999999999995</v>
      </c>
      <c r="H15" s="15">
        <f t="shared" si="7"/>
        <v>145.55000000000018</v>
      </c>
      <c r="I15" s="15">
        <f t="shared" si="7"/>
        <v>212.25172180764002</v>
      </c>
      <c r="J15" s="15">
        <f t="shared" si="7"/>
        <v>61.895290646360081</v>
      </c>
      <c r="K15" s="15">
        <f t="shared" si="7"/>
        <v>62.482687545999852</v>
      </c>
      <c r="L15" s="15">
        <f t="shared" si="7"/>
        <v>153.32029999999986</v>
      </c>
      <c r="M15" s="15">
        <f t="shared" si="7"/>
        <v>58.437139432000095</v>
      </c>
      <c r="N15" s="15">
        <f t="shared" si="7"/>
        <v>40.562860567999905</v>
      </c>
      <c r="O15" s="15">
        <f t="shared" si="7"/>
        <v>102.26164500000004</v>
      </c>
      <c r="P15" s="15">
        <f t="shared" si="7"/>
        <v>58.605355000000145</v>
      </c>
      <c r="Q15" s="2"/>
      <c r="R15" s="2"/>
      <c r="S15" s="2"/>
      <c r="T15" s="2"/>
      <c r="U15" s="2"/>
      <c r="V15" s="2"/>
    </row>
    <row r="16" spans="1:22" ht="14.25" customHeight="1">
      <c r="A16" s="1"/>
      <c r="B16" s="20" t="s">
        <v>15</v>
      </c>
      <c r="C16" s="1" t="s">
        <v>13</v>
      </c>
      <c r="D16" s="15"/>
      <c r="E16" s="15">
        <f t="shared" si="7"/>
        <v>31.369999999999997</v>
      </c>
      <c r="F16" s="15">
        <f t="shared" si="7"/>
        <v>38.870000000000005</v>
      </c>
      <c r="G16" s="15">
        <f t="shared" si="7"/>
        <v>64.58</v>
      </c>
      <c r="H16" s="15">
        <f t="shared" si="7"/>
        <v>79.429999999999978</v>
      </c>
      <c r="I16" s="15">
        <f t="shared" si="7"/>
        <v>99.090000000000032</v>
      </c>
      <c r="J16" s="15">
        <f t="shared" si="7"/>
        <v>127.17000000000002</v>
      </c>
      <c r="K16" s="15">
        <f t="shared" si="7"/>
        <v>138.95999999999992</v>
      </c>
      <c r="L16" s="15">
        <f t="shared" si="7"/>
        <v>122.13</v>
      </c>
      <c r="M16" s="15">
        <f t="shared" si="7"/>
        <v>198.07320918899995</v>
      </c>
      <c r="N16" s="15">
        <f t="shared" si="7"/>
        <v>196.8667908110001</v>
      </c>
      <c r="O16" s="15">
        <f t="shared" si="7"/>
        <v>221.51092301800008</v>
      </c>
      <c r="P16" s="15">
        <f t="shared" si="7"/>
        <v>258.67907698199997</v>
      </c>
      <c r="Q16" s="2"/>
      <c r="R16" s="2"/>
      <c r="S16" s="2"/>
      <c r="T16" s="2"/>
      <c r="U16" s="2"/>
      <c r="V16" s="2"/>
    </row>
    <row r="17" spans="1:22" ht="14.25" customHeight="1">
      <c r="A17" s="1"/>
      <c r="B17" s="20" t="s">
        <v>16</v>
      </c>
      <c r="C17" s="1" t="s">
        <v>13</v>
      </c>
      <c r="D17" s="15"/>
      <c r="E17" s="15">
        <f t="shared" si="7"/>
        <v>0</v>
      </c>
      <c r="F17" s="15">
        <f t="shared" si="7"/>
        <v>0</v>
      </c>
      <c r="G17" s="15">
        <f t="shared" si="7"/>
        <v>0</v>
      </c>
      <c r="H17" s="15">
        <f t="shared" si="7"/>
        <v>0</v>
      </c>
      <c r="I17" s="15">
        <f t="shared" si="7"/>
        <v>0</v>
      </c>
      <c r="J17" s="15">
        <f t="shared" si="7"/>
        <v>0</v>
      </c>
      <c r="K17" s="15">
        <f t="shared" si="7"/>
        <v>0</v>
      </c>
      <c r="L17" s="15">
        <f t="shared" si="7"/>
        <v>0.20021429999999998</v>
      </c>
      <c r="M17" s="15">
        <f t="shared" si="7"/>
        <v>6.9118505999999993</v>
      </c>
      <c r="N17" s="15">
        <f t="shared" si="7"/>
        <v>8.0548777101599995</v>
      </c>
      <c r="O17" s="15">
        <f t="shared" si="7"/>
        <v>20.2558281686943</v>
      </c>
      <c r="P17" s="15">
        <f t="shared" si="7"/>
        <v>42.195729221145697</v>
      </c>
      <c r="Q17" s="2"/>
      <c r="R17" s="2"/>
      <c r="S17" s="2"/>
      <c r="T17" s="2"/>
      <c r="U17" s="2"/>
      <c r="V17" s="2"/>
    </row>
    <row r="18" spans="1:22" ht="14.25" customHeight="1">
      <c r="A18" s="1"/>
      <c r="B18" s="2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/>
      <c r="R18" s="2"/>
      <c r="S18" s="2"/>
      <c r="T18" s="2"/>
      <c r="U18" s="2"/>
      <c r="V18" s="2"/>
    </row>
    <row r="19" spans="1:22" ht="14.25" customHeight="1">
      <c r="A19" s="1"/>
      <c r="B19" s="10" t="s">
        <v>17</v>
      </c>
      <c r="C19" s="11" t="s">
        <v>13</v>
      </c>
      <c r="D19" s="22">
        <v>61029</v>
      </c>
      <c r="E19" s="22">
        <v>68015</v>
      </c>
      <c r="F19" s="22">
        <v>73172</v>
      </c>
      <c r="G19" s="22">
        <v>76490</v>
      </c>
      <c r="H19" s="22">
        <v>82402</v>
      </c>
      <c r="I19" s="22">
        <v>94446</v>
      </c>
      <c r="J19" s="22">
        <v>101464</v>
      </c>
      <c r="K19" s="22">
        <v>108039</v>
      </c>
      <c r="L19" s="22">
        <v>115949</v>
      </c>
      <c r="M19" s="22">
        <v>126902</v>
      </c>
      <c r="N19" s="22">
        <v>136630</v>
      </c>
      <c r="O19" s="22">
        <v>149919</v>
      </c>
      <c r="P19" s="22">
        <f>P138</f>
        <v>170161</v>
      </c>
      <c r="Q19" s="2"/>
      <c r="R19" s="2"/>
      <c r="S19" s="2"/>
      <c r="T19" s="2"/>
      <c r="U19" s="2"/>
      <c r="V19" s="2"/>
    </row>
    <row r="20" spans="1:22" ht="4.5" customHeight="1">
      <c r="A20" s="1"/>
      <c r="B20" s="2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2"/>
      <c r="R20" s="2"/>
      <c r="S20" s="2"/>
      <c r="T20" s="2"/>
      <c r="U20" s="2"/>
      <c r="V20" s="2"/>
    </row>
    <row r="21" spans="1:22" ht="14.25" customHeight="1">
      <c r="A21" s="1"/>
      <c r="B21" s="10" t="s">
        <v>18</v>
      </c>
      <c r="C21" s="11" t="s">
        <v>13</v>
      </c>
      <c r="D21" s="23">
        <f t="shared" ref="D21:P21" si="8">D22+D23</f>
        <v>20202</v>
      </c>
      <c r="E21" s="23">
        <f t="shared" si="8"/>
        <v>21958</v>
      </c>
      <c r="F21" s="23">
        <f t="shared" si="8"/>
        <v>23305</v>
      </c>
      <c r="G21" s="23">
        <f t="shared" si="8"/>
        <v>25771</v>
      </c>
      <c r="H21" s="23">
        <f t="shared" si="8"/>
        <v>27574</v>
      </c>
      <c r="I21" s="23">
        <f t="shared" si="8"/>
        <v>31694</v>
      </c>
      <c r="J21" s="23">
        <f t="shared" si="8"/>
        <v>31939</v>
      </c>
      <c r="K21" s="23">
        <f t="shared" si="8"/>
        <v>32291</v>
      </c>
      <c r="L21" s="23">
        <f t="shared" si="8"/>
        <v>37888</v>
      </c>
      <c r="M21" s="23">
        <f t="shared" si="8"/>
        <v>45471</v>
      </c>
      <c r="N21" s="23">
        <f t="shared" si="8"/>
        <v>48366</v>
      </c>
      <c r="O21" s="23">
        <f t="shared" si="8"/>
        <v>57246</v>
      </c>
      <c r="P21" s="23">
        <f t="shared" si="8"/>
        <v>73322</v>
      </c>
      <c r="Q21" s="2"/>
      <c r="R21" s="2"/>
      <c r="S21" s="2"/>
      <c r="T21" s="2"/>
      <c r="U21" s="2"/>
      <c r="V21" s="2"/>
    </row>
    <row r="22" spans="1:22" ht="14.25" customHeight="1">
      <c r="A22" s="1"/>
      <c r="B22" s="13" t="s">
        <v>19</v>
      </c>
      <c r="C22" s="1" t="s">
        <v>13</v>
      </c>
      <c r="D22" s="24">
        <v>9507</v>
      </c>
      <c r="E22" s="24">
        <v>9372</v>
      </c>
      <c r="F22" s="24">
        <v>8618</v>
      </c>
      <c r="G22" s="24">
        <v>8860</v>
      </c>
      <c r="H22" s="24">
        <v>9522</v>
      </c>
      <c r="I22" s="24">
        <v>11579.000000000002</v>
      </c>
      <c r="J22" s="24">
        <v>10661</v>
      </c>
      <c r="K22" s="24">
        <v>10530</v>
      </c>
      <c r="L22" s="24">
        <v>13772.999999999998</v>
      </c>
      <c r="M22" s="24">
        <v>17555</v>
      </c>
      <c r="N22" s="24">
        <v>17808</v>
      </c>
      <c r="O22" s="24">
        <v>19639</v>
      </c>
      <c r="P22" s="25">
        <v>27437</v>
      </c>
      <c r="Q22" s="2"/>
      <c r="R22" s="26"/>
      <c r="S22" s="2"/>
      <c r="T22" s="2"/>
      <c r="U22" s="2"/>
      <c r="V22" s="2"/>
    </row>
    <row r="23" spans="1:22" ht="14.25" customHeight="1">
      <c r="A23" s="1"/>
      <c r="B23" s="13" t="s">
        <v>20</v>
      </c>
      <c r="C23" s="1" t="s">
        <v>13</v>
      </c>
      <c r="D23" s="24">
        <v>10695</v>
      </c>
      <c r="E23" s="24">
        <v>12586</v>
      </c>
      <c r="F23" s="24">
        <v>14687</v>
      </c>
      <c r="G23" s="24">
        <v>16911</v>
      </c>
      <c r="H23" s="24">
        <v>18052</v>
      </c>
      <c r="I23" s="24">
        <v>20115</v>
      </c>
      <c r="J23" s="24">
        <v>21278</v>
      </c>
      <c r="K23" s="24">
        <v>21761</v>
      </c>
      <c r="L23" s="24">
        <v>24115</v>
      </c>
      <c r="M23" s="24">
        <v>27916</v>
      </c>
      <c r="N23" s="24">
        <v>30558</v>
      </c>
      <c r="O23" s="24">
        <v>37607</v>
      </c>
      <c r="P23" s="27">
        <v>45885</v>
      </c>
      <c r="Q23" s="26"/>
      <c r="R23" s="2"/>
      <c r="S23" s="2"/>
      <c r="T23" s="2"/>
      <c r="U23" s="2"/>
      <c r="V23" s="2"/>
    </row>
    <row r="24" spans="1:22" ht="14.25" customHeight="1">
      <c r="A24" s="1"/>
      <c r="B24" s="2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  <c r="R24" s="2"/>
      <c r="S24" s="2"/>
      <c r="T24" s="2"/>
      <c r="U24" s="2"/>
      <c r="V24" s="2"/>
    </row>
    <row r="25" spans="1:22" ht="14.25" customHeight="1">
      <c r="A25" s="1"/>
      <c r="B25" s="10" t="s">
        <v>21</v>
      </c>
      <c r="C25" s="11" t="s">
        <v>13</v>
      </c>
      <c r="D25" s="19">
        <f t="shared" ref="D25:P25" si="9">SUM(D26:D28)</f>
        <v>39883</v>
      </c>
      <c r="E25" s="19">
        <f t="shared" si="9"/>
        <v>41965</v>
      </c>
      <c r="F25" s="19">
        <f t="shared" si="9"/>
        <v>43181</v>
      </c>
      <c r="G25" s="19">
        <f t="shared" si="9"/>
        <v>48079</v>
      </c>
      <c r="H25" s="19">
        <f t="shared" si="9"/>
        <v>51654</v>
      </c>
      <c r="I25" s="19">
        <f t="shared" si="9"/>
        <v>60199</v>
      </c>
      <c r="J25" s="19">
        <f t="shared" si="9"/>
        <v>54403</v>
      </c>
      <c r="K25" s="19">
        <f t="shared" si="9"/>
        <v>55651</v>
      </c>
      <c r="L25" s="19">
        <f t="shared" si="9"/>
        <v>61796</v>
      </c>
      <c r="M25" s="19">
        <f t="shared" si="9"/>
        <v>78863</v>
      </c>
      <c r="N25" s="19">
        <f t="shared" si="9"/>
        <v>94561</v>
      </c>
      <c r="O25" s="19">
        <f t="shared" si="9"/>
        <v>130562</v>
      </c>
      <c r="P25" s="19">
        <f t="shared" si="9"/>
        <v>205829</v>
      </c>
      <c r="Q25" s="2"/>
      <c r="R25" s="2"/>
      <c r="S25" s="2"/>
      <c r="T25" s="2"/>
      <c r="U25" s="2"/>
      <c r="V25" s="2"/>
    </row>
    <row r="26" spans="1:22" ht="14.25" customHeight="1">
      <c r="A26" s="1"/>
      <c r="B26" s="20" t="s">
        <v>22</v>
      </c>
      <c r="C26" s="1" t="s">
        <v>13</v>
      </c>
      <c r="D26" s="15">
        <f t="shared" ref="D26:P26" si="10">D57</f>
        <v>35300</v>
      </c>
      <c r="E26" s="15">
        <f t="shared" si="10"/>
        <v>37254</v>
      </c>
      <c r="F26" s="15">
        <f t="shared" si="10"/>
        <v>37250</v>
      </c>
      <c r="G26" s="15">
        <f t="shared" si="10"/>
        <v>41066</v>
      </c>
      <c r="H26" s="15">
        <f t="shared" si="10"/>
        <v>42376</v>
      </c>
      <c r="I26" s="15">
        <f t="shared" si="10"/>
        <v>48851</v>
      </c>
      <c r="J26" s="15">
        <f t="shared" si="10"/>
        <v>40964</v>
      </c>
      <c r="K26" s="15">
        <f t="shared" si="10"/>
        <v>42223</v>
      </c>
      <c r="L26" s="15">
        <f t="shared" si="10"/>
        <v>47396</v>
      </c>
      <c r="M26" s="15">
        <f t="shared" si="10"/>
        <v>50383</v>
      </c>
      <c r="N26" s="15">
        <f t="shared" si="10"/>
        <v>51692</v>
      </c>
      <c r="O26" s="15">
        <f t="shared" si="10"/>
        <v>55148</v>
      </c>
      <c r="P26" s="15">
        <f t="shared" si="10"/>
        <v>58928</v>
      </c>
      <c r="Q26" s="2"/>
      <c r="R26" s="2"/>
      <c r="S26" s="2"/>
      <c r="T26" s="2"/>
      <c r="U26" s="2"/>
      <c r="V26" s="2"/>
    </row>
    <row r="27" spans="1:22" ht="14.25" customHeight="1">
      <c r="A27" s="1"/>
      <c r="B27" s="20" t="s">
        <v>23</v>
      </c>
      <c r="C27" s="1" t="s">
        <v>13</v>
      </c>
      <c r="D27" s="15">
        <f t="shared" ref="D27:P27" si="11">D100</f>
        <v>4583</v>
      </c>
      <c r="E27" s="15">
        <f t="shared" si="11"/>
        <v>4711</v>
      </c>
      <c r="F27" s="15">
        <f t="shared" si="11"/>
        <v>5931</v>
      </c>
      <c r="G27" s="15">
        <f t="shared" si="11"/>
        <v>7013</v>
      </c>
      <c r="H27" s="15">
        <f t="shared" si="11"/>
        <v>9278</v>
      </c>
      <c r="I27" s="15">
        <f t="shared" si="11"/>
        <v>11348</v>
      </c>
      <c r="J27" s="15">
        <f t="shared" si="11"/>
        <v>13439</v>
      </c>
      <c r="K27" s="15">
        <f t="shared" si="11"/>
        <v>13428</v>
      </c>
      <c r="L27" s="15">
        <f t="shared" si="11"/>
        <v>14162</v>
      </c>
      <c r="M27" s="15">
        <f t="shared" si="11"/>
        <v>18659</v>
      </c>
      <c r="N27" s="15">
        <f t="shared" si="11"/>
        <v>22057</v>
      </c>
      <c r="O27" s="15">
        <f t="shared" si="11"/>
        <v>24767</v>
      </c>
      <c r="P27" s="15">
        <f t="shared" si="11"/>
        <v>29112</v>
      </c>
      <c r="Q27" s="2"/>
      <c r="R27" s="2"/>
      <c r="S27" s="2"/>
      <c r="T27" s="2"/>
      <c r="U27" s="2"/>
      <c r="V27" s="2"/>
    </row>
    <row r="28" spans="1:22" ht="14.25" customHeight="1">
      <c r="A28" s="1"/>
      <c r="B28" s="20" t="s">
        <v>24</v>
      </c>
      <c r="C28" s="1" t="s">
        <v>13</v>
      </c>
      <c r="D28" s="15">
        <f t="shared" ref="D28:P28" si="12">D125</f>
        <v>0</v>
      </c>
      <c r="E28" s="15">
        <f t="shared" si="12"/>
        <v>0</v>
      </c>
      <c r="F28" s="15">
        <f t="shared" si="12"/>
        <v>0</v>
      </c>
      <c r="G28" s="15">
        <f t="shared" si="12"/>
        <v>0</v>
      </c>
      <c r="H28" s="15">
        <f t="shared" si="12"/>
        <v>0</v>
      </c>
      <c r="I28" s="15">
        <f t="shared" si="12"/>
        <v>0</v>
      </c>
      <c r="J28" s="15">
        <f t="shared" si="12"/>
        <v>0</v>
      </c>
      <c r="K28" s="15">
        <f t="shared" si="12"/>
        <v>0</v>
      </c>
      <c r="L28" s="15">
        <f t="shared" si="12"/>
        <v>238</v>
      </c>
      <c r="M28" s="15">
        <f t="shared" si="12"/>
        <v>9821</v>
      </c>
      <c r="N28" s="15">
        <f t="shared" si="12"/>
        <v>20812</v>
      </c>
      <c r="O28" s="15">
        <f t="shared" si="12"/>
        <v>50647</v>
      </c>
      <c r="P28" s="15">
        <f t="shared" si="12"/>
        <v>117789</v>
      </c>
      <c r="Q28" s="2"/>
      <c r="R28" s="2"/>
      <c r="S28" s="2"/>
      <c r="T28" s="2"/>
      <c r="U28" s="2"/>
      <c r="V28" s="2"/>
    </row>
    <row r="29" spans="1:22" ht="14.25" customHeight="1">
      <c r="A29" s="1"/>
      <c r="B29" s="2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R29" s="2"/>
      <c r="S29" s="2"/>
      <c r="T29" s="2"/>
      <c r="U29" s="2"/>
      <c r="V29" s="2"/>
    </row>
    <row r="30" spans="1:22" ht="14.25" customHeight="1">
      <c r="A30" s="1"/>
      <c r="B30" s="10" t="s">
        <v>25</v>
      </c>
      <c r="C30" s="11" t="s">
        <v>26</v>
      </c>
      <c r="D30" s="28">
        <f t="shared" ref="D30:P33" si="13">IFERROR(D9*10^2/D25,"")</f>
        <v>0.6053756822581049</v>
      </c>
      <c r="E30" s="28">
        <f t="shared" si="13"/>
        <v>0.64924120483974745</v>
      </c>
      <c r="F30" s="28">
        <f t="shared" si="13"/>
        <v>0.57409023498761025</v>
      </c>
      <c r="G30" s="28">
        <f t="shared" si="13"/>
        <v>0.62751405990349207</v>
      </c>
      <c r="H30" s="28">
        <f t="shared" si="13"/>
        <v>0.5842784606748751</v>
      </c>
      <c r="I30" s="28">
        <f t="shared" si="13"/>
        <v>0.57806364260702003</v>
      </c>
      <c r="J30" s="28">
        <f t="shared" si="13"/>
        <v>0.67263541818833517</v>
      </c>
      <c r="K30" s="28">
        <f t="shared" si="13"/>
        <v>0.59974677821602485</v>
      </c>
      <c r="L30" s="28">
        <f t="shared" si="13"/>
        <v>0.59726399792705032</v>
      </c>
      <c r="M30" s="28">
        <f t="shared" si="13"/>
        <v>0.52994895068790171</v>
      </c>
      <c r="N30" s="28">
        <f t="shared" si="13"/>
        <v>0.46300642587218827</v>
      </c>
      <c r="O30" s="28">
        <f t="shared" si="13"/>
        <v>0.39893825683123735</v>
      </c>
      <c r="P30" s="28">
        <f t="shared" si="13"/>
        <v>0.28289366935805937</v>
      </c>
      <c r="Q30" s="2"/>
      <c r="R30" s="2"/>
      <c r="S30" s="2"/>
      <c r="T30" s="2"/>
      <c r="U30" s="2"/>
      <c r="V30" s="2"/>
    </row>
    <row r="31" spans="1:22" ht="14.25" customHeight="1">
      <c r="A31" s="1"/>
      <c r="B31" s="20" t="s">
        <v>27</v>
      </c>
      <c r="C31" s="1" t="s">
        <v>26</v>
      </c>
      <c r="D31" s="29">
        <f t="shared" si="13"/>
        <v>0.61105818498583564</v>
      </c>
      <c r="E31" s="29">
        <f t="shared" si="13"/>
        <v>0.64609930745691735</v>
      </c>
      <c r="F31" s="29">
        <f t="shared" si="13"/>
        <v>0.54183819892617446</v>
      </c>
      <c r="G31" s="29">
        <f t="shared" si="13"/>
        <v>0.57712190595626545</v>
      </c>
      <c r="H31" s="29">
        <f t="shared" si="13"/>
        <v>0.49828306541438544</v>
      </c>
      <c r="I31" s="29">
        <f t="shared" si="13"/>
        <v>0.48594590878385291</v>
      </c>
      <c r="J31" s="29">
        <f t="shared" si="13"/>
        <v>0.52852339664095294</v>
      </c>
      <c r="K31" s="29">
        <f t="shared" si="13"/>
        <v>0.44097511616891266</v>
      </c>
      <c r="L31" s="29">
        <f t="shared" si="13"/>
        <v>0.431171983289729</v>
      </c>
      <c r="M31" s="29">
        <f t="shared" si="13"/>
        <v>0.40028926761010658</v>
      </c>
      <c r="N31" s="29">
        <f t="shared" si="13"/>
        <v>0.38467245376460574</v>
      </c>
      <c r="O31" s="29">
        <f t="shared" si="13"/>
        <v>0.40018099115108435</v>
      </c>
      <c r="P31" s="29">
        <f t="shared" si="13"/>
        <v>0.38488995842383922</v>
      </c>
      <c r="Q31" s="2"/>
      <c r="R31" s="2"/>
      <c r="S31" s="2"/>
      <c r="T31" s="2"/>
      <c r="U31" s="2"/>
      <c r="V31" s="2"/>
    </row>
    <row r="32" spans="1:22" ht="14.25" customHeight="1">
      <c r="A32" s="1"/>
      <c r="B32" s="20" t="s">
        <v>28</v>
      </c>
      <c r="C32" s="1" t="s">
        <v>26</v>
      </c>
      <c r="D32" s="29">
        <f t="shared" si="13"/>
        <v>0.56160689624699978</v>
      </c>
      <c r="E32" s="29">
        <f t="shared" si="13"/>
        <v>0.67408693718955637</v>
      </c>
      <c r="F32" s="29">
        <f t="shared" si="13"/>
        <v>0.77665107519811161</v>
      </c>
      <c r="G32" s="29">
        <f t="shared" si="13"/>
        <v>0.92259522260088422</v>
      </c>
      <c r="H32" s="29">
        <f t="shared" si="13"/>
        <v>0.97705070356757917</v>
      </c>
      <c r="I32" s="29">
        <f t="shared" si="13"/>
        <v>0.97461311520091654</v>
      </c>
      <c r="J32" s="29">
        <f t="shared" si="13"/>
        <v>1.1119095346156707</v>
      </c>
      <c r="K32" s="29">
        <f t="shared" si="13"/>
        <v>1.0989883545204051</v>
      </c>
      <c r="L32" s="29">
        <f t="shared" si="13"/>
        <v>1.161746584232453</v>
      </c>
      <c r="M32" s="29">
        <f t="shared" si="13"/>
        <v>1.1178587152634116</v>
      </c>
      <c r="N32" s="29">
        <f t="shared" si="13"/>
        <v>1.0500287009520788</v>
      </c>
      <c r="O32" s="29">
        <f t="shared" si="13"/>
        <v>1.1280639887107846</v>
      </c>
      <c r="P32" s="29">
        <f t="shared" si="13"/>
        <v>1.0506432261713383</v>
      </c>
      <c r="Q32" s="2"/>
      <c r="R32" s="2"/>
      <c r="S32" s="2"/>
      <c r="T32" s="2"/>
      <c r="U32" s="2"/>
      <c r="V32" s="2"/>
    </row>
    <row r="33" spans="1:22" ht="14.25" customHeight="1">
      <c r="A33" s="1"/>
      <c r="B33" s="20" t="s">
        <v>29</v>
      </c>
      <c r="C33" s="1" t="s">
        <v>26</v>
      </c>
      <c r="D33" s="30" t="str">
        <f t="shared" si="13"/>
        <v/>
      </c>
      <c r="E33" s="30" t="str">
        <f t="shared" si="13"/>
        <v/>
      </c>
      <c r="F33" s="30" t="str">
        <f t="shared" si="13"/>
        <v/>
      </c>
      <c r="G33" s="30" t="str">
        <f t="shared" si="13"/>
        <v/>
      </c>
      <c r="H33" s="30" t="str">
        <f t="shared" si="13"/>
        <v/>
      </c>
      <c r="I33" s="30" t="str">
        <f t="shared" si="13"/>
        <v/>
      </c>
      <c r="J33" s="30" t="str">
        <f t="shared" si="13"/>
        <v/>
      </c>
      <c r="K33" s="30" t="str">
        <f t="shared" si="13"/>
        <v/>
      </c>
      <c r="L33" s="29">
        <f t="shared" si="13"/>
        <v>8.4216680672268909E-2</v>
      </c>
      <c r="M33" s="29">
        <f t="shared" si="13"/>
        <v>7.8145215354851832E-2</v>
      </c>
      <c r="N33" s="29">
        <f t="shared" si="13"/>
        <v>3.5430477609071698E-2</v>
      </c>
      <c r="O33" s="29">
        <f t="shared" si="13"/>
        <v>4.1033715323711174E-2</v>
      </c>
      <c r="P33" s="29">
        <f t="shared" si="13"/>
        <v>4.2114289110188559E-2</v>
      </c>
      <c r="Q33" s="2"/>
      <c r="R33" s="2"/>
      <c r="S33" s="2"/>
      <c r="T33" s="2"/>
      <c r="U33" s="2"/>
      <c r="V33" s="2"/>
    </row>
    <row r="34" spans="1:22" ht="14.25" customHeight="1">
      <c r="A34" s="1"/>
      <c r="B34" s="20"/>
      <c r="C34" s="1"/>
      <c r="D34" s="30"/>
      <c r="E34" s="30"/>
      <c r="F34" s="30"/>
      <c r="G34" s="30"/>
      <c r="H34" s="30"/>
      <c r="I34" s="30"/>
      <c r="J34" s="30"/>
      <c r="K34" s="30"/>
      <c r="L34" s="29"/>
      <c r="M34" s="29"/>
      <c r="N34" s="29"/>
      <c r="O34" s="29"/>
      <c r="P34" s="29"/>
      <c r="Q34" s="2"/>
      <c r="R34" s="2"/>
      <c r="S34" s="2"/>
      <c r="T34" s="2"/>
      <c r="U34" s="2"/>
      <c r="V34" s="2"/>
    </row>
    <row r="35" spans="1:22" ht="14.25" customHeight="1">
      <c r="A35" s="1"/>
      <c r="B35" s="10" t="s">
        <v>30</v>
      </c>
      <c r="C35" s="11" t="s">
        <v>26</v>
      </c>
      <c r="D35" s="31">
        <f t="shared" ref="D35:P38" si="14">IFERROR(D9*10^2/D166,"")</f>
        <v>1.1951390127462627</v>
      </c>
      <c r="E35" s="31">
        <f t="shared" si="14"/>
        <v>1.2407963913425633</v>
      </c>
      <c r="F35" s="31">
        <f t="shared" si="14"/>
        <v>1.0637112395194164</v>
      </c>
      <c r="G35" s="31">
        <f t="shared" si="14"/>
        <v>1.1707053853595126</v>
      </c>
      <c r="H35" s="31">
        <f t="shared" si="14"/>
        <v>1.0945209112823675</v>
      </c>
      <c r="I35" s="31">
        <f t="shared" si="14"/>
        <v>1.0979634385467281</v>
      </c>
      <c r="J35" s="31">
        <f t="shared" si="14"/>
        <v>1.145727313181377</v>
      </c>
      <c r="K35" s="31">
        <f t="shared" si="14"/>
        <v>1.0336164242203709</v>
      </c>
      <c r="L35" s="31">
        <f t="shared" si="14"/>
        <v>0.97414817398384723</v>
      </c>
      <c r="M35" s="31">
        <f t="shared" si="14"/>
        <v>0.91912128825185269</v>
      </c>
      <c r="N35" s="31">
        <f t="shared" si="14"/>
        <v>0.90522992674399361</v>
      </c>
      <c r="O35" s="31">
        <f t="shared" si="14"/>
        <v>0.90986578430632725</v>
      </c>
      <c r="P35" s="31">
        <f t="shared" si="14"/>
        <v>0.79413710851177</v>
      </c>
      <c r="Q35" s="2"/>
      <c r="R35" s="2"/>
      <c r="S35" s="2"/>
      <c r="T35" s="2"/>
      <c r="U35" s="2"/>
      <c r="V35" s="2"/>
    </row>
    <row r="36" spans="1:22" ht="14.25" customHeight="1">
      <c r="A36" s="1"/>
      <c r="B36" s="20" t="s">
        <v>31</v>
      </c>
      <c r="C36" s="1" t="s">
        <v>26</v>
      </c>
      <c r="D36" s="32">
        <f t="shared" si="14"/>
        <v>1.1750478798278585</v>
      </c>
      <c r="E36" s="32">
        <f t="shared" si="14"/>
        <v>1.202707420176885</v>
      </c>
      <c r="F36" s="32">
        <f t="shared" si="14"/>
        <v>0.9736359339122046</v>
      </c>
      <c r="G36" s="32">
        <f t="shared" si="14"/>
        <v>1.0480735943926058</v>
      </c>
      <c r="H36" s="32">
        <f t="shared" si="14"/>
        <v>0.89304868803924875</v>
      </c>
      <c r="I36" s="32">
        <f t="shared" si="14"/>
        <v>0.88019813088616983</v>
      </c>
      <c r="J36" s="32">
        <f t="shared" si="14"/>
        <v>0.86122886431441181</v>
      </c>
      <c r="K36" s="32">
        <f t="shared" si="14"/>
        <v>0.72019851970757742</v>
      </c>
      <c r="L36" s="32">
        <f t="shared" si="14"/>
        <v>0.67534128618638456</v>
      </c>
      <c r="M36" s="32">
        <f t="shared" si="14"/>
        <v>0.61363640753362136</v>
      </c>
      <c r="N36" s="32">
        <f t="shared" si="14"/>
        <v>0.59277056133551942</v>
      </c>
      <c r="O36" s="32">
        <f t="shared" si="14"/>
        <v>0.61638870796559042</v>
      </c>
      <c r="P36" s="32">
        <f t="shared" si="14"/>
        <v>0.58408991450130043</v>
      </c>
      <c r="Q36" s="2"/>
      <c r="R36" s="2"/>
      <c r="S36" s="2"/>
      <c r="T36" s="2"/>
      <c r="U36" s="2"/>
      <c r="V36" s="2"/>
    </row>
    <row r="37" spans="1:22" ht="14.25" customHeight="1">
      <c r="A37" s="1"/>
      <c r="B37" s="20" t="s">
        <v>32</v>
      </c>
      <c r="C37" s="1" t="s">
        <v>26</v>
      </c>
      <c r="D37" s="32">
        <f t="shared" si="14"/>
        <v>1.0370041923851732</v>
      </c>
      <c r="E37" s="32">
        <f t="shared" si="14"/>
        <v>1.1770287476278725</v>
      </c>
      <c r="F37" s="32">
        <f t="shared" si="14"/>
        <v>1.3282345810265284</v>
      </c>
      <c r="G37" s="32">
        <f t="shared" si="14"/>
        <v>1.625260059306707</v>
      </c>
      <c r="H37" s="32">
        <f t="shared" si="14"/>
        <v>1.7681054081724206</v>
      </c>
      <c r="I37" s="32">
        <f t="shared" si="14"/>
        <v>1.7661944476684768</v>
      </c>
      <c r="J37" s="32">
        <f t="shared" si="14"/>
        <v>1.9064751512758356</v>
      </c>
      <c r="K37" s="32">
        <f t="shared" si="14"/>
        <v>1.9600498903572852</v>
      </c>
      <c r="L37" s="32">
        <f t="shared" si="14"/>
        <v>2.0128034164301445</v>
      </c>
      <c r="M37" s="32">
        <f t="shared" si="14"/>
        <v>1.9134139774424364</v>
      </c>
      <c r="N37" s="32">
        <f t="shared" si="14"/>
        <v>1.8640227812394368</v>
      </c>
      <c r="O37" s="32">
        <f t="shared" si="14"/>
        <v>1.9810508975678935</v>
      </c>
      <c r="P37" s="32">
        <f t="shared" si="14"/>
        <v>1.8099488490620745</v>
      </c>
      <c r="Q37" s="2"/>
      <c r="R37" s="2"/>
      <c r="S37" s="2"/>
      <c r="T37" s="2"/>
      <c r="U37" s="2"/>
      <c r="V37" s="2"/>
    </row>
    <row r="38" spans="1:22" ht="14.25" customHeight="1">
      <c r="A38" s="1"/>
      <c r="B38" s="20" t="s">
        <v>33</v>
      </c>
      <c r="C38" s="1" t="s">
        <v>26</v>
      </c>
      <c r="D38" s="32" t="str">
        <f t="shared" si="14"/>
        <v/>
      </c>
      <c r="E38" s="32" t="str">
        <f t="shared" si="14"/>
        <v/>
      </c>
      <c r="F38" s="32" t="str">
        <f t="shared" si="14"/>
        <v/>
      </c>
      <c r="G38" s="32" t="str">
        <f t="shared" si="14"/>
        <v/>
      </c>
      <c r="H38" s="32" t="str">
        <f t="shared" si="14"/>
        <v/>
      </c>
      <c r="I38" s="32" t="str">
        <f t="shared" si="14"/>
        <v/>
      </c>
      <c r="J38" s="32" t="str">
        <f t="shared" si="14"/>
        <v/>
      </c>
      <c r="K38" s="32" t="str">
        <f t="shared" si="14"/>
        <v/>
      </c>
      <c r="L38" s="32">
        <f t="shared" si="14"/>
        <v>0.22776784090909089</v>
      </c>
      <c r="M38" s="32">
        <f t="shared" si="14"/>
        <v>0.20101209009952853</v>
      </c>
      <c r="N38" s="32">
        <f t="shared" si="14"/>
        <v>0.1335347881202463</v>
      </c>
      <c r="O38" s="32">
        <f t="shared" si="14"/>
        <v>0.2033298679189903</v>
      </c>
      <c r="P38" s="32">
        <f t="shared" si="14"/>
        <v>0.24558641516906779</v>
      </c>
      <c r="Q38" s="2"/>
      <c r="R38" s="2"/>
      <c r="S38" s="2"/>
      <c r="T38" s="2"/>
      <c r="U38" s="2"/>
      <c r="V38" s="2"/>
    </row>
    <row r="39" spans="1:22" ht="14.25" customHeight="1">
      <c r="A39" s="1"/>
      <c r="B39" s="20"/>
      <c r="C39" s="1"/>
      <c r="D39" s="30"/>
      <c r="E39" s="30"/>
      <c r="F39" s="30"/>
      <c r="G39" s="30"/>
      <c r="H39" s="30"/>
      <c r="I39" s="30"/>
      <c r="J39" s="30"/>
      <c r="K39" s="30"/>
      <c r="L39" s="29"/>
      <c r="M39" s="29"/>
      <c r="N39" s="29"/>
      <c r="O39" s="29"/>
      <c r="P39" s="29"/>
      <c r="Q39" s="2"/>
      <c r="R39" s="2"/>
      <c r="S39" s="2"/>
      <c r="T39" s="2"/>
      <c r="U39" s="2"/>
      <c r="V39" s="2"/>
    </row>
    <row r="40" spans="1:22" ht="14.25" customHeight="1">
      <c r="A40" s="1"/>
      <c r="B40" s="33" t="s">
        <v>34</v>
      </c>
      <c r="C40" s="34" t="s">
        <v>26</v>
      </c>
      <c r="D40" s="34">
        <f t="shared" ref="D40:P40" si="15">D4/D19*100</f>
        <v>2.4387586229497455</v>
      </c>
      <c r="E40" s="34">
        <f t="shared" si="15"/>
        <v>2.5279864735720059</v>
      </c>
      <c r="F40" s="34">
        <f t="shared" si="15"/>
        <v>2.5609386103974199</v>
      </c>
      <c r="G40" s="34">
        <f t="shared" si="15"/>
        <v>2.7765459537194408</v>
      </c>
      <c r="H40" s="34">
        <f t="shared" si="15"/>
        <v>2.8503677095216138</v>
      </c>
      <c r="I40" s="34">
        <f t="shared" si="15"/>
        <v>2.8165319037414398</v>
      </c>
      <c r="J40" s="34">
        <f t="shared" si="15"/>
        <v>2.8080570571375074</v>
      </c>
      <c r="K40" s="34">
        <f t="shared" si="15"/>
        <v>2.8236189709271651</v>
      </c>
      <c r="L40" s="34">
        <f t="shared" si="15"/>
        <v>2.8687269526257233</v>
      </c>
      <c r="M40" s="34">
        <f t="shared" si="15"/>
        <v>2.828704365195978</v>
      </c>
      <c r="N40" s="34">
        <f t="shared" si="15"/>
        <v>2.8069728043695821</v>
      </c>
      <c r="O40" s="34">
        <f t="shared" si="15"/>
        <v>2.7876355490610623</v>
      </c>
      <c r="P40" s="34">
        <f t="shared" si="15"/>
        <v>2.6672830437056669</v>
      </c>
      <c r="Q40" s="2"/>
      <c r="R40" s="2"/>
      <c r="S40" s="2"/>
      <c r="T40" s="2"/>
      <c r="U40" s="2"/>
      <c r="V40" s="2"/>
    </row>
    <row r="41" spans="1:22" ht="14.25" customHeight="1" thickBot="1">
      <c r="A41" s="1"/>
      <c r="B41" s="35" t="s">
        <v>35</v>
      </c>
      <c r="C41" s="36"/>
      <c r="D41" s="37"/>
      <c r="E41" s="37"/>
      <c r="F41" s="37"/>
      <c r="G41" s="37"/>
      <c r="H41" s="37"/>
      <c r="I41" s="37"/>
      <c r="J41" s="37"/>
      <c r="K41" s="37"/>
      <c r="L41" s="38"/>
      <c r="M41" s="38"/>
      <c r="N41" s="38"/>
      <c r="O41" s="38"/>
      <c r="P41" s="38"/>
      <c r="Q41" s="2"/>
      <c r="R41" s="2"/>
      <c r="S41" s="2"/>
      <c r="T41" s="2"/>
      <c r="U41" s="2"/>
      <c r="V41" s="2"/>
    </row>
    <row r="42" spans="1:22" ht="14.25" customHeight="1">
      <c r="A42" s="1"/>
      <c r="B42" s="20" t="s">
        <v>36</v>
      </c>
      <c r="C42" s="1"/>
      <c r="D42" s="30"/>
      <c r="E42" s="39">
        <f t="shared" ref="E42:P42" si="16">IFERROR(E4/D4-1,"")</f>
        <v>0.15524574192898166</v>
      </c>
      <c r="F42" s="39">
        <f t="shared" si="16"/>
        <v>8.9844772334696454E-2</v>
      </c>
      <c r="G42" s="39">
        <f t="shared" si="16"/>
        <v>0.13335361200497364</v>
      </c>
      <c r="H42" s="39">
        <f t="shared" si="16"/>
        <v>0.10593375961728624</v>
      </c>
      <c r="I42" s="39">
        <f t="shared" si="16"/>
        <v>0.13255578339534058</v>
      </c>
      <c r="J42" s="39">
        <f t="shared" si="16"/>
        <v>7.1074458956360109E-2</v>
      </c>
      <c r="K42" s="39">
        <f t="shared" si="16"/>
        <v>7.0702309364622407E-2</v>
      </c>
      <c r="L42" s="39">
        <f t="shared" si="16"/>
        <v>9.0359154860092383E-2</v>
      </c>
      <c r="M42" s="39">
        <f t="shared" si="16"/>
        <v>7.9194705840666346E-2</v>
      </c>
      <c r="N42" s="39">
        <f t="shared" si="16"/>
        <v>6.8386141393598221E-2</v>
      </c>
      <c r="O42" s="39">
        <f t="shared" si="16"/>
        <v>8.9703629942261109E-2</v>
      </c>
      <c r="P42" s="39">
        <f t="shared" si="16"/>
        <v>8.6016596990806438E-2</v>
      </c>
      <c r="Q42" s="2"/>
      <c r="R42" s="2"/>
      <c r="S42" s="2"/>
      <c r="T42" s="2"/>
      <c r="U42" s="2"/>
      <c r="V42" s="2"/>
    </row>
    <row r="43" spans="1:22" ht="14.25" customHeight="1">
      <c r="A43" s="1"/>
      <c r="B43" s="20" t="s">
        <v>37</v>
      </c>
      <c r="C43" s="1"/>
      <c r="D43" s="30"/>
      <c r="E43" s="39">
        <f t="shared" ref="E43:P43" si="17">IFERROR(E9/D9-1,"")</f>
        <v>0.12844530112396368</v>
      </c>
      <c r="F43" s="39">
        <f t="shared" si="17"/>
        <v>-9.0129566043191445E-2</v>
      </c>
      <c r="G43" s="39">
        <f t="shared" si="17"/>
        <v>0.21704330509665759</v>
      </c>
      <c r="H43" s="39">
        <f t="shared" si="17"/>
        <v>3.3380970013041633E-4</v>
      </c>
      <c r="I43" s="39">
        <f t="shared" si="17"/>
        <v>0.15303130230674089</v>
      </c>
      <c r="J43" s="39">
        <f t="shared" si="17"/>
        <v>5.1568694605763188E-2</v>
      </c>
      <c r="K43" s="39">
        <f t="shared" si="17"/>
        <v>-8.7908695286510463E-2</v>
      </c>
      <c r="L43" s="39">
        <f t="shared" si="17"/>
        <v>0.10582347518844615</v>
      </c>
      <c r="M43" s="39">
        <f t="shared" si="17"/>
        <v>0.13234985542624012</v>
      </c>
      <c r="N43" s="39">
        <f t="shared" si="17"/>
        <v>4.7590965257817697E-2</v>
      </c>
      <c r="O43" s="39">
        <f t="shared" si="17"/>
        <v>0.18966149443108016</v>
      </c>
      <c r="P43" s="39">
        <f t="shared" si="17"/>
        <v>0.11791121507422453</v>
      </c>
      <c r="Q43" s="2"/>
      <c r="R43" s="2"/>
      <c r="S43" s="2"/>
      <c r="T43" s="2"/>
      <c r="U43" s="2"/>
      <c r="V43" s="2"/>
    </row>
    <row r="44" spans="1:22" ht="14.25" customHeight="1">
      <c r="A44" s="1"/>
      <c r="B44" s="20" t="s">
        <v>38</v>
      </c>
      <c r="C44" s="1"/>
      <c r="D44" s="30"/>
      <c r="E44" s="39" t="str">
        <f t="shared" ref="E44:P44" si="18">IFERROR(E14/D14-1,"")</f>
        <v/>
      </c>
      <c r="F44" s="39">
        <f t="shared" si="18"/>
        <v>-0.3314290660434509</v>
      </c>
      <c r="G44" s="39">
        <f t="shared" si="18"/>
        <v>0.61762040393578266</v>
      </c>
      <c r="H44" s="39">
        <f t="shared" si="18"/>
        <v>-9.9683860898794552E-2</v>
      </c>
      <c r="I44" s="39">
        <f t="shared" si="18"/>
        <v>0.38386399594470544</v>
      </c>
      <c r="J44" s="39">
        <f t="shared" si="18"/>
        <v>-0.39274026767548831</v>
      </c>
      <c r="K44" s="39">
        <f t="shared" si="18"/>
        <v>6.5466256959830549E-2</v>
      </c>
      <c r="L44" s="39">
        <f t="shared" si="18"/>
        <v>0.36838183434707505</v>
      </c>
      <c r="M44" s="39">
        <f t="shared" si="18"/>
        <v>-4.4361662484298403E-2</v>
      </c>
      <c r="N44" s="39">
        <f t="shared" si="18"/>
        <v>-6.8094755054379785E-2</v>
      </c>
      <c r="O44" s="39">
        <f t="shared" si="18"/>
        <v>0.40142597769060751</v>
      </c>
      <c r="P44" s="39">
        <f t="shared" si="18"/>
        <v>4.4914214023386023E-2</v>
      </c>
      <c r="Q44" s="2"/>
      <c r="R44" s="2"/>
      <c r="S44" s="2"/>
      <c r="T44" s="2"/>
      <c r="U44" s="2"/>
      <c r="V44" s="2"/>
    </row>
    <row r="45" spans="1:22" ht="14.25" customHeight="1">
      <c r="A45" s="1"/>
      <c r="B45" s="20" t="s">
        <v>39</v>
      </c>
      <c r="C45" s="1"/>
      <c r="D45" s="30"/>
      <c r="E45" s="39">
        <f t="shared" ref="E45:P45" si="19">IFERROR(E19/D19-1,"")</f>
        <v>0.11447016991921877</v>
      </c>
      <c r="F45" s="39">
        <f t="shared" si="19"/>
        <v>7.5821509961037981E-2</v>
      </c>
      <c r="G45" s="39">
        <f t="shared" si="19"/>
        <v>4.5345214016290436E-2</v>
      </c>
      <c r="H45" s="39">
        <f t="shared" si="19"/>
        <v>7.7291149169826046E-2</v>
      </c>
      <c r="I45" s="39">
        <f t="shared" si="19"/>
        <v>0.14616150093444324</v>
      </c>
      <c r="J45" s="39">
        <f t="shared" si="19"/>
        <v>7.4307011413929702E-2</v>
      </c>
      <c r="K45" s="39">
        <f t="shared" si="19"/>
        <v>6.48013088386028E-2</v>
      </c>
      <c r="L45" s="39">
        <f t="shared" si="19"/>
        <v>7.3214302242708751E-2</v>
      </c>
      <c r="M45" s="39">
        <f t="shared" si="19"/>
        <v>9.4463945355285572E-2</v>
      </c>
      <c r="N45" s="39">
        <f t="shared" si="19"/>
        <v>7.6657578288758188E-2</v>
      </c>
      <c r="O45" s="39">
        <f t="shared" si="19"/>
        <v>9.7262680231281484E-2</v>
      </c>
      <c r="P45" s="39">
        <f t="shared" si="19"/>
        <v>0.13501957723837532</v>
      </c>
      <c r="Q45" s="2"/>
      <c r="R45" s="2"/>
      <c r="S45" s="2"/>
      <c r="T45" s="2"/>
      <c r="U45" s="2"/>
      <c r="V45" s="2"/>
    </row>
    <row r="46" spans="1:22" ht="14.25" customHeight="1">
      <c r="A46" s="1"/>
      <c r="B46" s="13" t="s">
        <v>40</v>
      </c>
      <c r="C46" s="1"/>
      <c r="D46" s="30"/>
      <c r="E46" s="39">
        <f t="shared" ref="E46:P46" si="20">IFERROR(E21/D21-1,"")</f>
        <v>8.6922086922087027E-2</v>
      </c>
      <c r="F46" s="39">
        <f t="shared" si="20"/>
        <v>6.1344384734493218E-2</v>
      </c>
      <c r="G46" s="39">
        <f t="shared" si="20"/>
        <v>0.10581420296073807</v>
      </c>
      <c r="H46" s="39">
        <f t="shared" si="20"/>
        <v>6.9962360793139666E-2</v>
      </c>
      <c r="I46" s="39">
        <f t="shared" si="20"/>
        <v>0.14941611663160947</v>
      </c>
      <c r="J46" s="39">
        <f t="shared" si="20"/>
        <v>7.7301697482172749E-3</v>
      </c>
      <c r="K46" s="39">
        <f t="shared" si="20"/>
        <v>1.1021008798021148E-2</v>
      </c>
      <c r="L46" s="39">
        <f t="shared" si="20"/>
        <v>0.1733300300393299</v>
      </c>
      <c r="M46" s="39">
        <f t="shared" si="20"/>
        <v>0.20014252533783794</v>
      </c>
      <c r="N46" s="39">
        <f t="shared" si="20"/>
        <v>6.3666952563172119E-2</v>
      </c>
      <c r="O46" s="39">
        <f t="shared" si="20"/>
        <v>0.18360004962163501</v>
      </c>
      <c r="P46" s="39">
        <f t="shared" si="20"/>
        <v>0.28082311427872697</v>
      </c>
      <c r="Q46" s="2"/>
      <c r="R46" s="2"/>
      <c r="S46" s="2"/>
      <c r="T46" s="2"/>
      <c r="U46" s="2"/>
      <c r="V46" s="2"/>
    </row>
    <row r="47" spans="1:22" ht="14.25" customHeight="1">
      <c r="A47" s="1"/>
      <c r="B47" s="13" t="s">
        <v>41</v>
      </c>
      <c r="C47" s="1"/>
      <c r="D47" s="30"/>
      <c r="E47" s="39">
        <f t="shared" ref="E47:P47" si="21">E30/D30-1</f>
        <v>7.2460001065818069E-2</v>
      </c>
      <c r="F47" s="39">
        <f t="shared" si="21"/>
        <v>-0.11575200294116694</v>
      </c>
      <c r="G47" s="39">
        <f t="shared" si="21"/>
        <v>9.3058236597657551E-2</v>
      </c>
      <c r="H47" s="39">
        <f t="shared" si="21"/>
        <v>-6.8899809568037984E-2</v>
      </c>
      <c r="I47" s="39">
        <f t="shared" si="21"/>
        <v>-1.063673998982706E-2</v>
      </c>
      <c r="J47" s="39">
        <f t="shared" si="21"/>
        <v>0.16360097506704308</v>
      </c>
      <c r="K47" s="39">
        <f t="shared" si="21"/>
        <v>-0.10836277424793861</v>
      </c>
      <c r="L47" s="39">
        <f t="shared" si="21"/>
        <v>-4.1397142580068547E-3</v>
      </c>
      <c r="M47" s="39">
        <f t="shared" si="21"/>
        <v>-0.11270568370566758</v>
      </c>
      <c r="N47" s="39">
        <f t="shared" si="21"/>
        <v>-0.12631881755557495</v>
      </c>
      <c r="O47" s="39">
        <f t="shared" si="21"/>
        <v>-0.13837425456949659</v>
      </c>
      <c r="P47" s="39">
        <f t="shared" si="21"/>
        <v>-0.29088357781206298</v>
      </c>
      <c r="Q47" s="2"/>
      <c r="R47" s="2"/>
      <c r="S47" s="2"/>
      <c r="T47" s="2"/>
      <c r="U47" s="2"/>
      <c r="V47" s="2"/>
    </row>
    <row r="48" spans="1:22" ht="14.25" customHeight="1">
      <c r="A48" s="1"/>
      <c r="B48" s="2" t="s">
        <v>34</v>
      </c>
      <c r="C48" s="1"/>
      <c r="D48" s="3"/>
      <c r="E48" s="39">
        <f t="shared" ref="E48:P48" si="22">E40/D40-1</f>
        <v>3.6587405486786961E-2</v>
      </c>
      <c r="F48" s="39">
        <f t="shared" si="22"/>
        <v>1.3034933995850428E-2</v>
      </c>
      <c r="G48" s="39">
        <f t="shared" si="22"/>
        <v>8.4190750393880798E-2</v>
      </c>
      <c r="H48" s="39">
        <f t="shared" si="22"/>
        <v>2.6587622547100898E-2</v>
      </c>
      <c r="I48" s="39">
        <f t="shared" si="22"/>
        <v>-1.1870680988682936E-2</v>
      </c>
      <c r="J48" s="39">
        <f t="shared" si="22"/>
        <v>-3.0089652429197145E-3</v>
      </c>
      <c r="K48" s="39">
        <f t="shared" si="22"/>
        <v>5.541879482150236E-3</v>
      </c>
      <c r="L48" s="39">
        <f t="shared" si="22"/>
        <v>1.5975236801779369E-2</v>
      </c>
      <c r="M48" s="39">
        <f t="shared" si="22"/>
        <v>-1.3951340817958569E-2</v>
      </c>
      <c r="N48" s="39">
        <f t="shared" si="22"/>
        <v>-7.6825139784059138E-3</v>
      </c>
      <c r="O48" s="39">
        <f t="shared" si="22"/>
        <v>-6.8890070037079809E-3</v>
      </c>
      <c r="P48" s="39">
        <f t="shared" si="22"/>
        <v>-4.3173687247578973E-2</v>
      </c>
      <c r="Q48" s="2"/>
      <c r="R48" s="2"/>
      <c r="S48" s="2"/>
      <c r="T48" s="2"/>
      <c r="U48" s="2"/>
      <c r="V48" s="2"/>
    </row>
    <row r="49" spans="1:22" ht="14.25" customHeight="1">
      <c r="A49" s="1"/>
      <c r="B49" s="2"/>
      <c r="C49" s="1"/>
      <c r="D49" s="3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2"/>
      <c r="R49" s="2"/>
      <c r="S49" s="2"/>
      <c r="T49" s="2"/>
      <c r="U49" s="2"/>
      <c r="V49" s="2"/>
    </row>
    <row r="50" spans="1:22" ht="14.25" customHeight="1" thickBot="1">
      <c r="A50" s="1"/>
      <c r="B50" s="40" t="s">
        <v>42</v>
      </c>
      <c r="C50" s="41"/>
      <c r="D50" s="6">
        <v>45658</v>
      </c>
      <c r="E50" s="6">
        <f t="shared" ref="E50:P50" si="23">EDATE(D50,1)</f>
        <v>45689</v>
      </c>
      <c r="F50" s="6">
        <f t="shared" si="23"/>
        <v>45717</v>
      </c>
      <c r="G50" s="6">
        <f t="shared" si="23"/>
        <v>45748</v>
      </c>
      <c r="H50" s="6">
        <f t="shared" si="23"/>
        <v>45778</v>
      </c>
      <c r="I50" s="6">
        <f t="shared" si="23"/>
        <v>45809</v>
      </c>
      <c r="J50" s="6">
        <f t="shared" si="23"/>
        <v>45839</v>
      </c>
      <c r="K50" s="6">
        <f t="shared" si="23"/>
        <v>45870</v>
      </c>
      <c r="L50" s="6">
        <f t="shared" si="23"/>
        <v>45901</v>
      </c>
      <c r="M50" s="6">
        <f t="shared" si="23"/>
        <v>45931</v>
      </c>
      <c r="N50" s="6">
        <f t="shared" si="23"/>
        <v>45962</v>
      </c>
      <c r="O50" s="6">
        <f t="shared" si="23"/>
        <v>45992</v>
      </c>
      <c r="P50" s="6">
        <f t="shared" si="23"/>
        <v>46023</v>
      </c>
      <c r="Q50" s="2"/>
      <c r="R50" s="2"/>
      <c r="S50" s="2"/>
      <c r="T50" s="2"/>
      <c r="U50" s="2"/>
      <c r="V50" s="2"/>
    </row>
    <row r="51" spans="1:22" ht="14.25" customHeight="1">
      <c r="A51" s="1"/>
      <c r="B51" s="2" t="s">
        <v>43</v>
      </c>
      <c r="C51" s="1" t="s">
        <v>13</v>
      </c>
      <c r="D51" s="42">
        <v>321340</v>
      </c>
      <c r="E51" s="42">
        <v>278365</v>
      </c>
      <c r="F51" s="42">
        <v>309811</v>
      </c>
      <c r="G51" s="42">
        <v>250954</v>
      </c>
      <c r="H51" s="42">
        <v>219708</v>
      </c>
      <c r="I51" s="42">
        <v>248478</v>
      </c>
      <c r="J51" s="42">
        <v>228344</v>
      </c>
      <c r="K51" s="42">
        <v>208505</v>
      </c>
      <c r="L51" s="42">
        <v>224443</v>
      </c>
      <c r="M51" s="42">
        <v>244165</v>
      </c>
      <c r="N51" s="42">
        <v>233087</v>
      </c>
      <c r="O51" s="42">
        <v>268160</v>
      </c>
      <c r="P51" s="43">
        <v>246327</v>
      </c>
      <c r="Q51" s="2"/>
      <c r="R51" s="2"/>
      <c r="S51" s="2"/>
      <c r="T51" s="2"/>
      <c r="U51" s="2"/>
      <c r="V51" s="2"/>
    </row>
    <row r="52" spans="1:22" ht="14.25" customHeight="1">
      <c r="A52" s="1"/>
      <c r="B52" s="2" t="s">
        <v>44</v>
      </c>
      <c r="C52" s="1" t="s">
        <v>13</v>
      </c>
      <c r="D52" s="42">
        <v>116265</v>
      </c>
      <c r="E52" s="42">
        <v>104857</v>
      </c>
      <c r="F52" s="42">
        <v>101680</v>
      </c>
      <c r="G52" s="42">
        <v>79543</v>
      </c>
      <c r="H52" s="42">
        <v>71415</v>
      </c>
      <c r="I52" s="42">
        <v>95663</v>
      </c>
      <c r="J52" s="42">
        <v>95863</v>
      </c>
      <c r="K52" s="42">
        <v>79398</v>
      </c>
      <c r="L52" s="42">
        <v>93580</v>
      </c>
      <c r="M52" s="42">
        <v>106003</v>
      </c>
      <c r="N52" s="42">
        <v>88945</v>
      </c>
      <c r="O52" s="42">
        <v>108548</v>
      </c>
      <c r="P52" s="44">
        <v>103653</v>
      </c>
      <c r="Q52" s="2"/>
      <c r="R52" s="2"/>
      <c r="S52" s="2"/>
      <c r="T52" s="2"/>
      <c r="U52" s="2"/>
      <c r="V52" s="2"/>
    </row>
    <row r="53" spans="1:22" ht="14.25" customHeight="1">
      <c r="A53" s="45"/>
      <c r="B53" s="46" t="s">
        <v>45</v>
      </c>
      <c r="C53" s="45" t="s">
        <v>13</v>
      </c>
      <c r="D53" s="42">
        <v>20373</v>
      </c>
      <c r="E53" s="42">
        <v>21838</v>
      </c>
      <c r="F53" s="42">
        <v>22603</v>
      </c>
      <c r="G53" s="42">
        <v>24303</v>
      </c>
      <c r="H53" s="42">
        <v>25286</v>
      </c>
      <c r="I53" s="42">
        <v>28662</v>
      </c>
      <c r="J53" s="42">
        <v>26953</v>
      </c>
      <c r="K53" s="42">
        <v>27461</v>
      </c>
      <c r="L53" s="42">
        <v>32170</v>
      </c>
      <c r="M53" s="42">
        <v>35417</v>
      </c>
      <c r="N53" s="42">
        <v>36052</v>
      </c>
      <c r="O53" s="42">
        <v>37931</v>
      </c>
      <c r="P53" s="43">
        <v>40393</v>
      </c>
      <c r="Q53" s="46"/>
      <c r="R53" s="46"/>
      <c r="S53" s="46"/>
      <c r="T53" s="46"/>
      <c r="U53" s="46"/>
      <c r="V53" s="46"/>
    </row>
    <row r="54" spans="1:22" ht="14.25" customHeight="1">
      <c r="A54" s="1"/>
      <c r="B54" s="2" t="s">
        <v>46</v>
      </c>
      <c r="C54" s="1" t="s">
        <v>13</v>
      </c>
      <c r="D54" s="42">
        <v>18357</v>
      </c>
      <c r="E54" s="42">
        <v>20013</v>
      </c>
      <c r="F54" s="42">
        <v>20730</v>
      </c>
      <c r="G54" s="42">
        <v>22613</v>
      </c>
      <c r="H54" s="42">
        <v>23644</v>
      </c>
      <c r="I54" s="42">
        <v>26970</v>
      </c>
      <c r="J54" s="42">
        <v>25139</v>
      </c>
      <c r="K54" s="42">
        <v>25853</v>
      </c>
      <c r="L54" s="42">
        <v>30260</v>
      </c>
      <c r="M54" s="42">
        <v>32866</v>
      </c>
      <c r="N54" s="42">
        <v>33545</v>
      </c>
      <c r="O54" s="42">
        <v>35804</v>
      </c>
      <c r="P54" s="43">
        <v>38831</v>
      </c>
      <c r="R54" s="2"/>
      <c r="S54" s="2"/>
      <c r="T54" s="2"/>
      <c r="U54" s="2"/>
      <c r="V54" s="2"/>
    </row>
    <row r="55" spans="1:22" ht="14.25" customHeight="1">
      <c r="A55" s="1"/>
      <c r="B55" s="2" t="s">
        <v>47</v>
      </c>
      <c r="C55" s="1"/>
      <c r="D55" s="42">
        <v>166</v>
      </c>
      <c r="E55" s="42">
        <v>98</v>
      </c>
      <c r="F55" s="42">
        <v>357</v>
      </c>
      <c r="G55" s="42">
        <v>460</v>
      </c>
      <c r="H55" s="42">
        <v>334</v>
      </c>
      <c r="I55" s="42">
        <v>265</v>
      </c>
      <c r="J55" s="42">
        <v>844</v>
      </c>
      <c r="K55" s="42">
        <v>638</v>
      </c>
      <c r="L55" s="42">
        <v>1257</v>
      </c>
      <c r="M55" s="42">
        <v>2085</v>
      </c>
      <c r="N55" s="42">
        <v>1428</v>
      </c>
      <c r="O55" s="42">
        <v>2930</v>
      </c>
      <c r="P55" s="42">
        <v>2931</v>
      </c>
      <c r="Q55" s="2"/>
      <c r="R55" s="2"/>
      <c r="S55" s="2"/>
      <c r="T55" s="2"/>
      <c r="U55" s="2"/>
      <c r="V55" s="2"/>
    </row>
    <row r="56" spans="1:22" ht="14.25" customHeight="1">
      <c r="A56" s="1"/>
      <c r="B56" s="2" t="s">
        <v>48</v>
      </c>
      <c r="C56" s="1" t="s">
        <v>13</v>
      </c>
      <c r="D56" s="42">
        <v>8861</v>
      </c>
      <c r="E56" s="42">
        <v>8735</v>
      </c>
      <c r="F56" s="42">
        <v>7767</v>
      </c>
      <c r="G56" s="42">
        <v>8257</v>
      </c>
      <c r="H56" s="42">
        <v>8438</v>
      </c>
      <c r="I56" s="42">
        <v>10122</v>
      </c>
      <c r="J56" s="42">
        <v>8454</v>
      </c>
      <c r="K56" s="42">
        <v>8503</v>
      </c>
      <c r="L56" s="42">
        <v>11695</v>
      </c>
      <c r="M56" s="42">
        <v>13504</v>
      </c>
      <c r="N56" s="42">
        <v>12374</v>
      </c>
      <c r="O56" s="42">
        <v>12395</v>
      </c>
      <c r="P56" s="42">
        <v>14801</v>
      </c>
      <c r="Q56" s="2"/>
      <c r="R56" s="2"/>
      <c r="S56" s="2"/>
      <c r="T56" s="2"/>
      <c r="U56" s="2"/>
      <c r="V56" s="2"/>
    </row>
    <row r="57" spans="1:22" ht="14.25" customHeight="1">
      <c r="A57" s="1"/>
      <c r="B57" s="2" t="s">
        <v>49</v>
      </c>
      <c r="C57" s="1" t="s">
        <v>13</v>
      </c>
      <c r="D57" s="42">
        <v>35300</v>
      </c>
      <c r="E57" s="42">
        <v>37254</v>
      </c>
      <c r="F57" s="42">
        <v>37250</v>
      </c>
      <c r="G57" s="42">
        <v>41066</v>
      </c>
      <c r="H57" s="42">
        <v>42376</v>
      </c>
      <c r="I57" s="42">
        <v>48851</v>
      </c>
      <c r="J57" s="42">
        <v>40964</v>
      </c>
      <c r="K57" s="42">
        <v>42223</v>
      </c>
      <c r="L57" s="42">
        <v>47396</v>
      </c>
      <c r="M57" s="42">
        <v>50383</v>
      </c>
      <c r="N57" s="42">
        <v>51692</v>
      </c>
      <c r="O57" s="42">
        <v>55148</v>
      </c>
      <c r="P57" s="42">
        <v>58928</v>
      </c>
      <c r="Q57" s="2"/>
      <c r="R57" s="2"/>
      <c r="S57" s="2"/>
      <c r="T57" s="2"/>
      <c r="U57" s="2"/>
      <c r="V57" s="2"/>
    </row>
    <row r="58" spans="1:22" ht="4.5" customHeight="1">
      <c r="A58" s="1"/>
      <c r="B58" s="2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2"/>
      <c r="R58" s="2"/>
      <c r="S58" s="2"/>
      <c r="T58" s="2"/>
      <c r="U58" s="2"/>
      <c r="V58" s="2"/>
    </row>
    <row r="59" spans="1:22" ht="14.25" customHeight="1">
      <c r="A59" s="1"/>
      <c r="B59" s="2" t="s">
        <v>50</v>
      </c>
      <c r="C59" s="1" t="s">
        <v>4</v>
      </c>
      <c r="D59" s="47">
        <v>229.17225909999999</v>
      </c>
      <c r="E59" s="47">
        <v>254.1340414</v>
      </c>
      <c r="F59" s="47">
        <v>206.79612850000001</v>
      </c>
      <c r="G59" s="47">
        <v>239.49056379999999</v>
      </c>
      <c r="H59" s="47">
        <v>215.31302289999999</v>
      </c>
      <c r="I59" s="47">
        <v>240.90555549999999</v>
      </c>
      <c r="J59" s="47">
        <v>214.9039061</v>
      </c>
      <c r="K59" s="47">
        <v>182.7498037</v>
      </c>
      <c r="L59" s="47">
        <v>194.4589637</v>
      </c>
      <c r="M59" s="47">
        <v>186.19919229999999</v>
      </c>
      <c r="N59" s="47">
        <v>183.0126716</v>
      </c>
      <c r="O59" s="47">
        <v>195.73364799999999</v>
      </c>
      <c r="P59" s="47">
        <f>2036150700/10^7</f>
        <v>203.61507</v>
      </c>
      <c r="Q59" s="2"/>
      <c r="R59" s="2"/>
      <c r="S59" s="2"/>
      <c r="T59" s="2"/>
      <c r="U59" s="2"/>
      <c r="V59" s="2"/>
    </row>
    <row r="60" spans="1:22" ht="14.25" customHeight="1">
      <c r="A60" s="1"/>
      <c r="B60" s="2" t="s">
        <v>51</v>
      </c>
      <c r="C60" s="1" t="s">
        <v>4</v>
      </c>
      <c r="D60" s="47">
        <f>11.6156719+3.82</f>
        <v>15.435671900000001</v>
      </c>
      <c r="E60" s="47">
        <f>12.1178671+2.63</f>
        <v>14.747867100000001</v>
      </c>
      <c r="F60" s="47">
        <v>12.73036780000001</v>
      </c>
      <c r="G60" s="47">
        <v>13.456419</v>
      </c>
      <c r="H60" s="47">
        <v>13.047945099999993</v>
      </c>
      <c r="I60" s="47">
        <v>12.021625</v>
      </c>
      <c r="J60" s="47">
        <v>15.8885577</v>
      </c>
      <c r="K60" s="47">
        <v>11.5928551</v>
      </c>
      <c r="L60" s="47">
        <v>11.5432977</v>
      </c>
      <c r="M60" s="47">
        <v>13.6546162</v>
      </c>
      <c r="N60" s="47">
        <v>13.4817079</v>
      </c>
      <c r="O60" s="47">
        <v>13.113278299999999</v>
      </c>
      <c r="P60" s="47">
        <f>104471153/10^7</f>
        <v>10.4471153</v>
      </c>
      <c r="Q60" s="48"/>
      <c r="R60" s="2"/>
      <c r="S60" s="2"/>
      <c r="T60" s="2"/>
      <c r="U60" s="2"/>
      <c r="V60" s="2"/>
    </row>
    <row r="61" spans="1:22" ht="14.25" customHeight="1">
      <c r="A61" s="1"/>
      <c r="B61" s="2" t="s">
        <v>52</v>
      </c>
      <c r="C61" s="1" t="s">
        <v>4</v>
      </c>
      <c r="D61" s="47">
        <v>1.9669521000000001</v>
      </c>
      <c r="E61" s="47">
        <v>1.3116616999999999</v>
      </c>
      <c r="F61" s="47">
        <v>7.7689684000000003</v>
      </c>
      <c r="G61" s="47">
        <v>10.9667371</v>
      </c>
      <c r="H61" s="47">
        <v>8.8873540000000002</v>
      </c>
      <c r="I61" s="47">
        <v>8.5055054000000005</v>
      </c>
      <c r="J61" s="47">
        <v>17.488975799999999</v>
      </c>
      <c r="K61" s="47">
        <v>15.035974700000001</v>
      </c>
      <c r="L61" s="47">
        <v>21.442607200000001</v>
      </c>
      <c r="M61" s="47">
        <v>29.133165600000002</v>
      </c>
      <c r="N61" s="47">
        <v>29.313921100000002</v>
      </c>
      <c r="O61" s="47">
        <v>38.071443299999999</v>
      </c>
      <c r="P61" s="47">
        <f>33.64</f>
        <v>33.64</v>
      </c>
      <c r="Q61" s="48"/>
      <c r="R61" s="48"/>
      <c r="S61" s="2"/>
      <c r="T61" s="2"/>
      <c r="U61" s="2"/>
      <c r="V61" s="2"/>
    </row>
    <row r="62" spans="1:22" ht="14.25" customHeight="1">
      <c r="A62" s="1"/>
      <c r="B62" s="49" t="s">
        <v>53</v>
      </c>
      <c r="C62" s="50" t="s">
        <v>4</v>
      </c>
      <c r="D62" s="51">
        <f t="shared" ref="D62:P62" si="24">D59-D60+D61</f>
        <v>215.70353929999999</v>
      </c>
      <c r="E62" s="51">
        <f t="shared" si="24"/>
        <v>240.697836</v>
      </c>
      <c r="F62" s="51">
        <f t="shared" si="24"/>
        <v>201.8347291</v>
      </c>
      <c r="G62" s="51">
        <f t="shared" si="24"/>
        <v>237.00088189999997</v>
      </c>
      <c r="H62" s="51">
        <f t="shared" si="24"/>
        <v>211.15243179999999</v>
      </c>
      <c r="I62" s="51">
        <f t="shared" si="24"/>
        <v>237.3894359</v>
      </c>
      <c r="J62" s="51">
        <f t="shared" si="24"/>
        <v>216.50432419999999</v>
      </c>
      <c r="K62" s="51">
        <f t="shared" si="24"/>
        <v>186.19292329999999</v>
      </c>
      <c r="L62" s="51">
        <f t="shared" si="24"/>
        <v>204.35827319999999</v>
      </c>
      <c r="M62" s="51">
        <f t="shared" si="24"/>
        <v>201.67774170000001</v>
      </c>
      <c r="N62" s="51">
        <f t="shared" si="24"/>
        <v>198.84488479999999</v>
      </c>
      <c r="O62" s="51">
        <f t="shared" si="24"/>
        <v>220.691813</v>
      </c>
      <c r="P62" s="51">
        <f t="shared" si="24"/>
        <v>226.80795469999998</v>
      </c>
      <c r="Q62" s="2"/>
      <c r="R62" s="2"/>
      <c r="S62" s="2"/>
      <c r="T62" s="2"/>
      <c r="U62" s="2"/>
      <c r="V62" s="2"/>
    </row>
    <row r="63" spans="1:22" ht="14.25" customHeight="1">
      <c r="A63" s="1"/>
      <c r="B63" s="13" t="s">
        <v>54</v>
      </c>
      <c r="C63" s="1" t="s">
        <v>4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47">
        <f>765703789/10^7</f>
        <v>76.570378899999994</v>
      </c>
      <c r="Q63" s="2"/>
      <c r="R63" s="2"/>
      <c r="S63" s="2"/>
      <c r="T63" s="2"/>
      <c r="U63" s="2"/>
      <c r="V63" s="2"/>
    </row>
    <row r="64" spans="1:22" ht="14.25" customHeight="1">
      <c r="A64" s="1"/>
      <c r="B64" s="13" t="s">
        <v>55</v>
      </c>
      <c r="C64" s="1" t="s">
        <v>4</v>
      </c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47">
        <f>P59-P60-P63</f>
        <v>116.5975758</v>
      </c>
      <c r="Q64" s="2"/>
      <c r="R64" s="2"/>
      <c r="S64" s="2"/>
      <c r="T64" s="2"/>
      <c r="U64" s="2"/>
      <c r="V64" s="2"/>
    </row>
    <row r="65" spans="1:22" ht="4.5" customHeight="1">
      <c r="A65" s="1"/>
      <c r="B65" s="2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2"/>
      <c r="R65" s="2"/>
      <c r="S65" s="2"/>
      <c r="T65" s="2"/>
      <c r="U65" s="2"/>
      <c r="V65" s="2"/>
    </row>
    <row r="66" spans="1:22" ht="14.25" customHeight="1">
      <c r="A66" s="1"/>
      <c r="B66" s="2" t="s">
        <v>56</v>
      </c>
      <c r="C66" s="1" t="s">
        <v>4</v>
      </c>
      <c r="D66" s="54">
        <v>1226.3</v>
      </c>
      <c r="E66" s="47">
        <f t="shared" ref="E66:P66" si="25">D70</f>
        <v>1389.3355870999999</v>
      </c>
      <c r="F66" s="47">
        <f t="shared" si="25"/>
        <v>1581.673706</v>
      </c>
      <c r="G66" s="47">
        <f t="shared" si="25"/>
        <v>1715.0616126</v>
      </c>
      <c r="H66" s="47">
        <f t="shared" si="25"/>
        <v>1868.6271316</v>
      </c>
      <c r="I66" s="47">
        <f t="shared" si="25"/>
        <v>2009.0095099999999</v>
      </c>
      <c r="J66" s="47">
        <f t="shared" si="25"/>
        <v>2180.5157450000002</v>
      </c>
      <c r="K66" s="47">
        <f t="shared" si="25"/>
        <v>2299.4195592000001</v>
      </c>
      <c r="L66" s="47">
        <f t="shared" si="25"/>
        <v>2390.9003729999999</v>
      </c>
      <c r="M66" s="47">
        <f t="shared" si="25"/>
        <v>2464.2352988000002</v>
      </c>
      <c r="N66" s="47">
        <f t="shared" si="25"/>
        <v>2518.1250559999999</v>
      </c>
      <c r="O66" s="47">
        <f t="shared" si="25"/>
        <v>2581.2694155999998</v>
      </c>
      <c r="P66" s="47">
        <f t="shared" si="25"/>
        <v>2646.0458236999998</v>
      </c>
      <c r="Q66" s="2"/>
      <c r="R66" s="2"/>
      <c r="S66" s="2"/>
      <c r="T66" s="2"/>
      <c r="U66" s="2"/>
      <c r="V66" s="2"/>
    </row>
    <row r="67" spans="1:22" ht="14.25" customHeight="1">
      <c r="A67" s="1"/>
      <c r="B67" s="2" t="s">
        <v>53</v>
      </c>
      <c r="C67" s="1" t="s">
        <v>4</v>
      </c>
      <c r="D67" s="47">
        <f t="shared" ref="D67:P67" si="26">D62</f>
        <v>215.70353929999999</v>
      </c>
      <c r="E67" s="47">
        <f t="shared" si="26"/>
        <v>240.697836</v>
      </c>
      <c r="F67" s="47">
        <f t="shared" si="26"/>
        <v>201.8347291</v>
      </c>
      <c r="G67" s="47">
        <f t="shared" si="26"/>
        <v>237.00088189999997</v>
      </c>
      <c r="H67" s="47">
        <f t="shared" si="26"/>
        <v>211.15243179999999</v>
      </c>
      <c r="I67" s="47">
        <f t="shared" si="26"/>
        <v>237.3894359</v>
      </c>
      <c r="J67" s="47">
        <f t="shared" si="26"/>
        <v>216.50432419999999</v>
      </c>
      <c r="K67" s="47">
        <f t="shared" si="26"/>
        <v>186.19292329999999</v>
      </c>
      <c r="L67" s="47">
        <f t="shared" si="26"/>
        <v>204.35827319999999</v>
      </c>
      <c r="M67" s="47">
        <f t="shared" si="26"/>
        <v>201.67774170000001</v>
      </c>
      <c r="N67" s="47">
        <f t="shared" si="26"/>
        <v>198.84488479999999</v>
      </c>
      <c r="O67" s="47">
        <f t="shared" si="26"/>
        <v>220.691813</v>
      </c>
      <c r="P67" s="47">
        <f t="shared" si="26"/>
        <v>226.80795469999998</v>
      </c>
      <c r="Q67" s="2"/>
      <c r="R67" s="2"/>
      <c r="S67" s="2"/>
      <c r="T67" s="2"/>
      <c r="U67" s="2"/>
      <c r="V67" s="2"/>
    </row>
    <row r="68" spans="1:22" ht="14.25" customHeight="1">
      <c r="A68" s="1"/>
      <c r="B68" s="2" t="s">
        <v>57</v>
      </c>
      <c r="C68" s="1" t="s">
        <v>4</v>
      </c>
      <c r="D68" s="47">
        <v>37.544060799999997</v>
      </c>
      <c r="E68" s="47">
        <v>36.243080200000001</v>
      </c>
      <c r="F68" s="47">
        <v>37.229094500000002</v>
      </c>
      <c r="G68" s="47">
        <v>40.623444200000002</v>
      </c>
      <c r="H68" s="47">
        <v>40.687688399999999</v>
      </c>
      <c r="I68" s="47">
        <v>38.950324299999998</v>
      </c>
      <c r="J68" s="47">
        <v>42.5272936</v>
      </c>
      <c r="K68" s="47">
        <v>44.004457600000002</v>
      </c>
      <c r="L68" s="47">
        <v>56.490265000000001</v>
      </c>
      <c r="M68" s="47">
        <v>55.407946099999997</v>
      </c>
      <c r="N68" s="47">
        <v>47.573271099999999</v>
      </c>
      <c r="O68" s="47">
        <v>60.1968022</v>
      </c>
      <c r="P68" s="47">
        <f>668098425/10^7</f>
        <v>66.809842500000002</v>
      </c>
      <c r="Q68" s="2"/>
      <c r="R68" s="2"/>
      <c r="S68" s="2"/>
      <c r="T68" s="2"/>
      <c r="U68" s="2"/>
      <c r="V68" s="2"/>
    </row>
    <row r="69" spans="1:22" ht="14.25" customHeight="1">
      <c r="A69" s="1"/>
      <c r="B69" s="2" t="s">
        <v>58</v>
      </c>
      <c r="C69" s="1" t="s">
        <v>4</v>
      </c>
      <c r="D69" s="47">
        <v>15.1238914</v>
      </c>
      <c r="E69" s="47">
        <v>12.1166369</v>
      </c>
      <c r="F69" s="47">
        <v>31.217728000000001</v>
      </c>
      <c r="G69" s="47">
        <v>42.8119187</v>
      </c>
      <c r="H69" s="47">
        <v>30.082364999999999</v>
      </c>
      <c r="I69" s="47">
        <v>26.9328766</v>
      </c>
      <c r="J69" s="47">
        <v>55.0732164</v>
      </c>
      <c r="K69" s="47">
        <v>50.707651900000002</v>
      </c>
      <c r="L69" s="47">
        <v>74.533082399999998</v>
      </c>
      <c r="M69" s="47">
        <v>92.380038400000004</v>
      </c>
      <c r="N69" s="47">
        <v>88.127254100000002</v>
      </c>
      <c r="O69" s="47">
        <v>95.718602700000005</v>
      </c>
      <c r="P69" s="47">
        <f>965506538/10^7</f>
        <v>96.550653800000006</v>
      </c>
      <c r="Q69" s="2"/>
      <c r="R69" s="2"/>
      <c r="S69" s="2"/>
      <c r="T69" s="2"/>
      <c r="U69" s="2"/>
      <c r="V69" s="2"/>
    </row>
    <row r="70" spans="1:22" ht="14.25" customHeight="1">
      <c r="A70" s="1"/>
      <c r="B70" s="49" t="s">
        <v>59</v>
      </c>
      <c r="C70" s="50" t="s">
        <v>4</v>
      </c>
      <c r="D70" s="55">
        <f t="shared" ref="D70:P70" si="27">D66+D67-D68-D69</f>
        <v>1389.3355870999999</v>
      </c>
      <c r="E70" s="55">
        <f t="shared" si="27"/>
        <v>1581.673706</v>
      </c>
      <c r="F70" s="55">
        <f t="shared" si="27"/>
        <v>1715.0616126</v>
      </c>
      <c r="G70" s="55">
        <f t="shared" si="27"/>
        <v>1868.6271316</v>
      </c>
      <c r="H70" s="55">
        <f t="shared" si="27"/>
        <v>2009.0095099999999</v>
      </c>
      <c r="I70" s="55">
        <f t="shared" si="27"/>
        <v>2180.5157450000002</v>
      </c>
      <c r="J70" s="55">
        <f t="shared" si="27"/>
        <v>2299.4195592000001</v>
      </c>
      <c r="K70" s="55">
        <f t="shared" si="27"/>
        <v>2390.9003729999999</v>
      </c>
      <c r="L70" s="55">
        <f t="shared" si="27"/>
        <v>2464.2352988000002</v>
      </c>
      <c r="M70" s="55">
        <f t="shared" si="27"/>
        <v>2518.1250559999999</v>
      </c>
      <c r="N70" s="55">
        <f t="shared" si="27"/>
        <v>2581.2694155999998</v>
      </c>
      <c r="O70" s="55">
        <f t="shared" si="27"/>
        <v>2646.0458236999998</v>
      </c>
      <c r="P70" s="56">
        <f t="shared" si="27"/>
        <v>2709.4932821000002</v>
      </c>
      <c r="Q70" s="48"/>
      <c r="R70" s="57"/>
      <c r="S70" s="2"/>
      <c r="T70" s="2"/>
      <c r="U70" s="2"/>
      <c r="V70" s="2"/>
    </row>
    <row r="71" spans="1:22" ht="4.5" customHeight="1">
      <c r="A71" s="1"/>
      <c r="B71" s="2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2"/>
      <c r="R71" s="2"/>
      <c r="S71" s="2"/>
      <c r="T71" s="2"/>
      <c r="U71" s="2"/>
      <c r="V71" s="2"/>
    </row>
    <row r="72" spans="1:22" ht="14.25" customHeight="1">
      <c r="A72" s="1"/>
      <c r="B72" s="2" t="s">
        <v>60</v>
      </c>
      <c r="C72" s="1" t="s">
        <v>4</v>
      </c>
      <c r="D72" s="58">
        <f t="shared" ref="D72:P72" si="28">D5</f>
        <v>1439.89</v>
      </c>
      <c r="E72" s="58">
        <f t="shared" si="28"/>
        <v>1639.58</v>
      </c>
      <c r="F72" s="58">
        <f t="shared" si="28"/>
        <v>1755.19</v>
      </c>
      <c r="G72" s="58">
        <f t="shared" si="28"/>
        <v>1940.5</v>
      </c>
      <c r="H72" s="58">
        <f t="shared" si="28"/>
        <v>2086.0500000000002</v>
      </c>
      <c r="I72" s="58">
        <f t="shared" si="28"/>
        <v>2298.3017218076402</v>
      </c>
      <c r="J72" s="58">
        <f t="shared" si="28"/>
        <v>2360.1970124540003</v>
      </c>
      <c r="K72" s="58">
        <f t="shared" si="28"/>
        <v>2422.6797000000001</v>
      </c>
      <c r="L72" s="58">
        <f t="shared" si="28"/>
        <v>2576</v>
      </c>
      <c r="M72" s="58">
        <f t="shared" si="28"/>
        <v>2634.4371394320001</v>
      </c>
      <c r="N72" s="15">
        <f t="shared" si="28"/>
        <v>2675</v>
      </c>
      <c r="O72" s="15">
        <f t="shared" si="28"/>
        <v>2777.261645</v>
      </c>
      <c r="P72" s="15">
        <f t="shared" si="28"/>
        <v>2835.8670000000002</v>
      </c>
      <c r="Q72" s="2"/>
      <c r="R72" s="2"/>
      <c r="S72" s="2"/>
      <c r="T72" s="2"/>
      <c r="U72" s="2"/>
      <c r="V72" s="2"/>
    </row>
    <row r="73" spans="1:22" ht="4.5" customHeight="1">
      <c r="A73" s="1"/>
      <c r="B73" s="2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2"/>
      <c r="R73" s="2"/>
      <c r="S73" s="2"/>
      <c r="T73" s="2"/>
      <c r="U73" s="2"/>
      <c r="V73" s="2"/>
    </row>
    <row r="74" spans="1:22" ht="14.25" customHeight="1">
      <c r="A74" s="1"/>
      <c r="B74" s="33" t="s">
        <v>61</v>
      </c>
      <c r="C74" s="59" t="s">
        <v>4</v>
      </c>
      <c r="D74" s="60">
        <f>'Revised MIS Template - P&amp;L'!C10</f>
        <v>0.50638179999999999</v>
      </c>
      <c r="E74" s="60">
        <f>'Revised MIS Template - P&amp;L'!D10</f>
        <v>0.59355137499999999</v>
      </c>
      <c r="F74" s="60">
        <f>'Revised MIS Template - P&amp;L'!E10</f>
        <v>0.73453594300000002</v>
      </c>
      <c r="G74" s="60">
        <f>'Revised MIS Template - P&amp;L'!F10</f>
        <v>0.92029825400000009</v>
      </c>
      <c r="H74" s="60">
        <f>'Revised MIS Template - P&amp;L'!G10</f>
        <v>0.79198632000000002</v>
      </c>
      <c r="I74" s="60">
        <f>'Revised MIS Template - P&amp;L'!H10</f>
        <v>0.83870419099999993</v>
      </c>
      <c r="J74" s="60">
        <f>'Revised MIS Template - P&amp;L'!I10</f>
        <v>1.0878709946206069</v>
      </c>
      <c r="K74" s="60">
        <f>'Revised MIS Template - P&amp;L'!J10</f>
        <v>0.88311910000000005</v>
      </c>
      <c r="L74" s="60">
        <f>'Revised MIS Template - P&amp;L'!K10</f>
        <v>1.0486949999999999</v>
      </c>
      <c r="M74" s="60">
        <f>'Revised MIS Template - P&amp;L'!L10</f>
        <v>1.0489075000000001</v>
      </c>
      <c r="N74" s="60">
        <f>'Revised MIS Template - P&amp;L'!M10</f>
        <v>1.1347712000000001</v>
      </c>
      <c r="O74" s="60">
        <f>'Revised MIS Template - P&amp;L'!N10</f>
        <v>1.153435368</v>
      </c>
      <c r="P74" s="60">
        <f>'Revised MIS Template - P&amp;L'!O10</f>
        <v>1.21960905124545</v>
      </c>
      <c r="Q74" s="57"/>
      <c r="R74" s="2"/>
      <c r="S74" s="2"/>
      <c r="T74" s="2"/>
      <c r="U74" s="2"/>
      <c r="V74" s="2"/>
    </row>
    <row r="75" spans="1:22" ht="14.25" customHeight="1">
      <c r="A75" s="1"/>
      <c r="B75" s="2" t="s">
        <v>62</v>
      </c>
      <c r="C75" s="1" t="s">
        <v>63</v>
      </c>
      <c r="D75" s="61">
        <f>D74/AVERAGE(D70)*12</f>
        <v>4.3737320604331628E-3</v>
      </c>
      <c r="E75" s="61">
        <f t="shared" ref="E75:O75" si="29">E74/AVERAGE(D70:E70)*12</f>
        <v>4.7947453523904298E-3</v>
      </c>
      <c r="F75" s="61">
        <f t="shared" si="29"/>
        <v>5.3473697243873125E-3</v>
      </c>
      <c r="G75" s="61">
        <f t="shared" si="29"/>
        <v>6.1632467751968787E-3</v>
      </c>
      <c r="H75" s="61">
        <f t="shared" si="29"/>
        <v>4.901870246449138E-3</v>
      </c>
      <c r="I75" s="61">
        <f t="shared" si="29"/>
        <v>4.8045779315871425E-3</v>
      </c>
      <c r="J75" s="61">
        <f t="shared" si="29"/>
        <v>5.8279644901159874E-3</v>
      </c>
      <c r="K75" s="61">
        <f t="shared" si="29"/>
        <v>4.5188513164087143E-3</v>
      </c>
      <c r="L75" s="61">
        <f t="shared" si="29"/>
        <v>5.1839292867111421E-3</v>
      </c>
      <c r="M75" s="61">
        <f t="shared" si="29"/>
        <v>5.0525811477581326E-3</v>
      </c>
      <c r="N75" s="61">
        <f t="shared" si="29"/>
        <v>5.3407338756938389E-3</v>
      </c>
      <c r="O75" s="61">
        <f t="shared" si="29"/>
        <v>5.2957297512646303E-3</v>
      </c>
      <c r="P75" s="61">
        <f>O75</f>
        <v>5.2957297512646303E-3</v>
      </c>
      <c r="Q75" s="2"/>
      <c r="R75" s="2"/>
      <c r="S75" s="2"/>
      <c r="T75" s="2"/>
      <c r="U75" s="2"/>
      <c r="V75" s="2"/>
    </row>
    <row r="76" spans="1:22" ht="14.25" customHeight="1">
      <c r="A76" s="1"/>
      <c r="B76" s="2" t="s">
        <v>64</v>
      </c>
      <c r="C76" s="1" t="s">
        <v>65</v>
      </c>
      <c r="D76" s="15">
        <f t="shared" ref="D76:P76" si="30">D74*10^7/D54</f>
        <v>275.85215449147466</v>
      </c>
      <c r="E76" s="15">
        <f t="shared" si="30"/>
        <v>296.58290860940389</v>
      </c>
      <c r="F76" s="15">
        <f t="shared" si="30"/>
        <v>354.33475301495423</v>
      </c>
      <c r="G76" s="15">
        <f t="shared" si="30"/>
        <v>406.97751470393143</v>
      </c>
      <c r="H76" s="15">
        <f t="shared" si="30"/>
        <v>334.96291659617663</v>
      </c>
      <c r="I76" s="15">
        <f t="shared" si="30"/>
        <v>310.97671153133109</v>
      </c>
      <c r="J76" s="15">
        <f t="shared" si="30"/>
        <v>432.74235038012921</v>
      </c>
      <c r="K76" s="15">
        <f t="shared" si="30"/>
        <v>341.59250377132247</v>
      </c>
      <c r="L76" s="15">
        <f t="shared" si="30"/>
        <v>346.56146728354264</v>
      </c>
      <c r="M76" s="15">
        <f t="shared" si="30"/>
        <v>319.14668654536609</v>
      </c>
      <c r="N76" s="15">
        <f t="shared" si="30"/>
        <v>338.28326129080341</v>
      </c>
      <c r="O76" s="15">
        <f t="shared" si="30"/>
        <v>322.15265556921014</v>
      </c>
      <c r="P76" s="15">
        <f t="shared" si="30"/>
        <v>314.08128846680489</v>
      </c>
      <c r="Q76" s="2"/>
      <c r="R76" s="2"/>
      <c r="S76" s="2"/>
      <c r="T76" s="2"/>
      <c r="U76" s="2"/>
      <c r="V76" s="2"/>
    </row>
    <row r="77" spans="1:22" ht="14.25" customHeight="1">
      <c r="A77" s="1"/>
      <c r="B77" s="2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2"/>
      <c r="R77" s="2"/>
      <c r="S77" s="2"/>
      <c r="T77" s="2"/>
      <c r="U77" s="2"/>
      <c r="V77" s="2"/>
    </row>
    <row r="78" spans="1:22" ht="14.25" customHeight="1">
      <c r="A78" s="1"/>
      <c r="B78" s="2" t="s">
        <v>66</v>
      </c>
      <c r="C78" s="1" t="s">
        <v>26</v>
      </c>
      <c r="D78" s="29">
        <f t="shared" ref="D78:P78" si="31">D62/D54*10^2</f>
        <v>1.1750478798278585</v>
      </c>
      <c r="E78" s="29">
        <f t="shared" si="31"/>
        <v>1.202707420176885</v>
      </c>
      <c r="F78" s="29">
        <f t="shared" si="31"/>
        <v>0.9736359339122046</v>
      </c>
      <c r="G78" s="29">
        <f t="shared" si="31"/>
        <v>1.0480735943926058</v>
      </c>
      <c r="H78" s="29">
        <f t="shared" si="31"/>
        <v>0.89304868803924875</v>
      </c>
      <c r="I78" s="29">
        <f t="shared" si="31"/>
        <v>0.88019813088616983</v>
      </c>
      <c r="J78" s="29">
        <f t="shared" si="31"/>
        <v>0.86122886431441192</v>
      </c>
      <c r="K78" s="29">
        <f t="shared" si="31"/>
        <v>0.72019851970757742</v>
      </c>
      <c r="L78" s="29">
        <f t="shared" si="31"/>
        <v>0.67534128618638467</v>
      </c>
      <c r="M78" s="29">
        <f t="shared" si="31"/>
        <v>0.61363640753362136</v>
      </c>
      <c r="N78" s="29">
        <f t="shared" si="31"/>
        <v>0.59277056133551942</v>
      </c>
      <c r="O78" s="29">
        <f t="shared" si="31"/>
        <v>0.61638870796559042</v>
      </c>
      <c r="P78" s="29">
        <f t="shared" si="31"/>
        <v>0.58408991450130043</v>
      </c>
      <c r="Q78" s="2"/>
      <c r="R78" s="2"/>
      <c r="S78" s="2"/>
      <c r="T78" s="2"/>
      <c r="U78" s="2"/>
      <c r="V78" s="2"/>
    </row>
    <row r="79" spans="1:22" ht="14.25" customHeight="1">
      <c r="A79" s="1"/>
      <c r="B79" s="2" t="s">
        <v>67</v>
      </c>
      <c r="C79" s="1" t="s">
        <v>26</v>
      </c>
      <c r="D79" s="29">
        <f t="shared" ref="D79:P79" si="32">D62/D57*10^2</f>
        <v>0.61105818498583564</v>
      </c>
      <c r="E79" s="29">
        <f t="shared" si="32"/>
        <v>0.64609930745691735</v>
      </c>
      <c r="F79" s="29">
        <f t="shared" si="32"/>
        <v>0.54183819892617457</v>
      </c>
      <c r="G79" s="29">
        <f t="shared" si="32"/>
        <v>0.57712190595626545</v>
      </c>
      <c r="H79" s="29">
        <f t="shared" si="32"/>
        <v>0.4982830654143855</v>
      </c>
      <c r="I79" s="29">
        <f t="shared" si="32"/>
        <v>0.48594590878385291</v>
      </c>
      <c r="J79" s="29">
        <f t="shared" si="32"/>
        <v>0.52852339664095305</v>
      </c>
      <c r="K79" s="29">
        <f t="shared" si="32"/>
        <v>0.44097511616891266</v>
      </c>
      <c r="L79" s="29">
        <f t="shared" si="32"/>
        <v>0.43117198328972905</v>
      </c>
      <c r="M79" s="29">
        <f t="shared" si="32"/>
        <v>0.40028926761010658</v>
      </c>
      <c r="N79" s="29">
        <f t="shared" si="32"/>
        <v>0.38467245376460574</v>
      </c>
      <c r="O79" s="29">
        <f t="shared" si="32"/>
        <v>0.40018099115108435</v>
      </c>
      <c r="P79" s="29">
        <f t="shared" si="32"/>
        <v>0.38488995842383922</v>
      </c>
      <c r="Q79" s="2"/>
      <c r="R79" s="2"/>
      <c r="S79" s="2"/>
      <c r="T79" s="2"/>
      <c r="U79" s="2"/>
      <c r="V79" s="2"/>
    </row>
    <row r="80" spans="1:22" ht="14.25" customHeight="1">
      <c r="A80" s="1"/>
      <c r="B80" s="2" t="s">
        <v>68</v>
      </c>
      <c r="C80" s="1" t="s">
        <v>13</v>
      </c>
      <c r="D80" s="30">
        <f t="shared" ref="D80:P80" si="33">D57/D54</f>
        <v>1.9229721632074959</v>
      </c>
      <c r="E80" s="30">
        <f t="shared" si="33"/>
        <v>1.8614900314795384</v>
      </c>
      <c r="F80" s="30">
        <f t="shared" si="33"/>
        <v>1.7969126869271588</v>
      </c>
      <c r="G80" s="30">
        <f t="shared" si="33"/>
        <v>1.8160350241011807</v>
      </c>
      <c r="H80" s="30">
        <f t="shared" si="33"/>
        <v>1.7922517340551514</v>
      </c>
      <c r="I80" s="30">
        <f t="shared" si="33"/>
        <v>1.8113088616981832</v>
      </c>
      <c r="J80" s="30">
        <f t="shared" si="33"/>
        <v>1.6294999801105852</v>
      </c>
      <c r="K80" s="30">
        <f t="shared" si="33"/>
        <v>1.633195373844428</v>
      </c>
      <c r="L80" s="30">
        <f t="shared" si="33"/>
        <v>1.5662921348314607</v>
      </c>
      <c r="M80" s="30">
        <f t="shared" si="33"/>
        <v>1.5329824134363781</v>
      </c>
      <c r="N80" s="30">
        <f t="shared" si="33"/>
        <v>1.5409748099567744</v>
      </c>
      <c r="O80" s="30">
        <f t="shared" si="33"/>
        <v>1.5402748296279745</v>
      </c>
      <c r="P80" s="30">
        <f t="shared" si="33"/>
        <v>1.5175504107542943</v>
      </c>
      <c r="Q80" s="2"/>
      <c r="R80" s="2"/>
      <c r="S80" s="2"/>
      <c r="T80" s="2"/>
      <c r="U80" s="2"/>
      <c r="V80" s="2"/>
    </row>
    <row r="81" spans="1:22" ht="4.5" customHeight="1">
      <c r="A81" s="1"/>
      <c r="B81" s="2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2"/>
      <c r="R81" s="2"/>
      <c r="S81" s="2"/>
      <c r="T81" s="2"/>
      <c r="U81" s="2"/>
      <c r="V81" s="2"/>
    </row>
    <row r="82" spans="1:22" ht="14.25" customHeight="1">
      <c r="A82" s="1"/>
      <c r="B82" s="2" t="s">
        <v>69</v>
      </c>
      <c r="C82" s="1" t="s">
        <v>13</v>
      </c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2"/>
      <c r="R82" s="2"/>
      <c r="S82" s="2"/>
      <c r="T82" s="2"/>
      <c r="U82" s="2"/>
      <c r="V82" s="2"/>
    </row>
    <row r="83" spans="1:22" ht="14.25" customHeight="1">
      <c r="A83" s="1"/>
      <c r="B83" s="2" t="s">
        <v>70</v>
      </c>
      <c r="C83" s="1" t="s">
        <v>13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2"/>
      <c r="R83" s="2"/>
      <c r="S83" s="2"/>
      <c r="T83" s="2"/>
      <c r="U83" s="2"/>
      <c r="V83" s="2"/>
    </row>
    <row r="84" spans="1:22" ht="14.25" customHeight="1">
      <c r="A84" s="1"/>
      <c r="B84" s="2" t="s">
        <v>71</v>
      </c>
      <c r="C84" s="1" t="s">
        <v>63</v>
      </c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2"/>
      <c r="R84" s="2"/>
      <c r="S84" s="2"/>
      <c r="T84" s="2"/>
      <c r="U84" s="2"/>
      <c r="V84" s="2"/>
    </row>
    <row r="85" spans="1:22" ht="14.25" customHeight="1">
      <c r="A85" s="1"/>
      <c r="B85" s="2"/>
      <c r="C85" s="1"/>
      <c r="D85" s="57"/>
      <c r="E85" s="57"/>
      <c r="F85" s="57"/>
      <c r="G85" s="57"/>
      <c r="H85" s="57"/>
      <c r="I85" s="63"/>
      <c r="J85" s="63"/>
      <c r="K85" s="63"/>
      <c r="L85" s="63"/>
      <c r="M85" s="63"/>
      <c r="N85" s="63"/>
      <c r="O85" s="63"/>
      <c r="P85" s="63"/>
      <c r="Q85" s="2"/>
      <c r="R85" s="2"/>
      <c r="S85" s="2"/>
      <c r="T85" s="2"/>
      <c r="U85" s="2"/>
      <c r="V85" s="2"/>
    </row>
    <row r="86" spans="1:22" ht="14.25" customHeight="1" thickBot="1">
      <c r="A86" s="1"/>
      <c r="B86" s="40" t="s">
        <v>72</v>
      </c>
      <c r="C86" s="41"/>
      <c r="D86" s="6">
        <v>45658</v>
      </c>
      <c r="E86" s="6">
        <f t="shared" ref="E86:P86" si="34">EDATE(D86,1)</f>
        <v>45689</v>
      </c>
      <c r="F86" s="6">
        <f t="shared" si="34"/>
        <v>45717</v>
      </c>
      <c r="G86" s="6">
        <f t="shared" si="34"/>
        <v>45748</v>
      </c>
      <c r="H86" s="6">
        <f t="shared" si="34"/>
        <v>45778</v>
      </c>
      <c r="I86" s="6">
        <f t="shared" si="34"/>
        <v>45809</v>
      </c>
      <c r="J86" s="6">
        <f t="shared" si="34"/>
        <v>45839</v>
      </c>
      <c r="K86" s="6">
        <f t="shared" si="34"/>
        <v>45870</v>
      </c>
      <c r="L86" s="6">
        <f t="shared" si="34"/>
        <v>45901</v>
      </c>
      <c r="M86" s="6">
        <f t="shared" si="34"/>
        <v>45931</v>
      </c>
      <c r="N86" s="6">
        <f t="shared" si="34"/>
        <v>45962</v>
      </c>
      <c r="O86" s="6">
        <f t="shared" si="34"/>
        <v>45992</v>
      </c>
      <c r="P86" s="6">
        <f t="shared" si="34"/>
        <v>46023</v>
      </c>
      <c r="Q86" s="2"/>
      <c r="R86" s="2"/>
      <c r="S86" s="2"/>
      <c r="T86" s="2"/>
      <c r="U86" s="2"/>
      <c r="V86" s="2"/>
    </row>
    <row r="87" spans="1:22" ht="14.25" customHeight="1">
      <c r="A87" s="1"/>
      <c r="B87" s="64" t="s">
        <v>73</v>
      </c>
      <c r="C87" s="65" t="s">
        <v>13</v>
      </c>
      <c r="D87" s="66"/>
      <c r="E87" s="66"/>
      <c r="F87" s="66"/>
      <c r="G87" s="67">
        <v>1</v>
      </c>
      <c r="H87" s="67">
        <v>1</v>
      </c>
      <c r="I87" s="67">
        <v>1</v>
      </c>
      <c r="J87" s="67">
        <v>1</v>
      </c>
      <c r="K87" s="67">
        <v>1</v>
      </c>
      <c r="L87" s="67">
        <v>1</v>
      </c>
      <c r="M87" s="67">
        <v>1</v>
      </c>
      <c r="N87" s="67">
        <v>1</v>
      </c>
      <c r="O87" s="67">
        <v>1</v>
      </c>
      <c r="P87" s="67">
        <v>1</v>
      </c>
      <c r="Q87" s="2"/>
      <c r="R87" s="2"/>
      <c r="S87" s="2"/>
      <c r="T87" s="2"/>
      <c r="U87" s="2"/>
      <c r="V87" s="2"/>
    </row>
    <row r="88" spans="1:22" ht="14.25" customHeight="1">
      <c r="A88" s="1"/>
      <c r="B88" s="64" t="s">
        <v>74</v>
      </c>
      <c r="C88" s="65" t="s">
        <v>13</v>
      </c>
      <c r="D88" s="68"/>
      <c r="E88" s="68"/>
      <c r="F88" s="47">
        <v>23</v>
      </c>
      <c r="G88" s="47">
        <v>1574</v>
      </c>
      <c r="H88" s="47">
        <v>1507</v>
      </c>
      <c r="I88" s="47">
        <v>2404</v>
      </c>
      <c r="J88" s="47">
        <v>2159</v>
      </c>
      <c r="K88" s="47">
        <v>1893</v>
      </c>
      <c r="L88" s="47">
        <v>2743</v>
      </c>
      <c r="M88" s="47">
        <v>4163</v>
      </c>
      <c r="N88" s="47">
        <v>4526</v>
      </c>
      <c r="O88" s="47">
        <v>4202</v>
      </c>
      <c r="P88" s="47">
        <v>6393</v>
      </c>
      <c r="Q88" s="2"/>
      <c r="R88" s="2"/>
      <c r="S88" s="2"/>
      <c r="T88" s="2"/>
      <c r="U88" s="2"/>
      <c r="V88" s="2"/>
    </row>
    <row r="89" spans="1:22" ht="14.25" customHeight="1">
      <c r="A89" s="1"/>
      <c r="B89" s="64" t="s">
        <v>75</v>
      </c>
      <c r="C89" s="65" t="s">
        <v>13</v>
      </c>
      <c r="D89" s="68"/>
      <c r="E89" s="68"/>
      <c r="F89" s="47">
        <v>23</v>
      </c>
      <c r="G89" s="47">
        <f t="shared" ref="G89:P89" si="35">G88+F89</f>
        <v>1597</v>
      </c>
      <c r="H89" s="47">
        <f t="shared" si="35"/>
        <v>3104</v>
      </c>
      <c r="I89" s="47">
        <f t="shared" si="35"/>
        <v>5508</v>
      </c>
      <c r="J89" s="47">
        <f t="shared" si="35"/>
        <v>7667</v>
      </c>
      <c r="K89" s="47">
        <f t="shared" si="35"/>
        <v>9560</v>
      </c>
      <c r="L89" s="47">
        <f t="shared" si="35"/>
        <v>12303</v>
      </c>
      <c r="M89" s="47">
        <f t="shared" si="35"/>
        <v>16466</v>
      </c>
      <c r="N89" s="47">
        <f t="shared" si="35"/>
        <v>20992</v>
      </c>
      <c r="O89" s="47">
        <f t="shared" si="35"/>
        <v>25194</v>
      </c>
      <c r="P89" s="47">
        <f t="shared" si="35"/>
        <v>31587</v>
      </c>
      <c r="Q89" s="2"/>
      <c r="R89" s="2"/>
      <c r="S89" s="2"/>
      <c r="T89" s="2"/>
      <c r="U89" s="2"/>
      <c r="V89" s="2"/>
    </row>
    <row r="90" spans="1:22" ht="4.5" customHeight="1">
      <c r="A90" s="1"/>
      <c r="B90" s="64"/>
      <c r="C90" s="65"/>
      <c r="D90" s="68"/>
      <c r="E90" s="68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2"/>
      <c r="R90" s="2"/>
      <c r="S90" s="2"/>
      <c r="T90" s="2"/>
      <c r="U90" s="2"/>
      <c r="V90" s="2"/>
    </row>
    <row r="91" spans="1:22" ht="14.25" customHeight="1">
      <c r="A91" s="1"/>
      <c r="B91" s="64" t="s">
        <v>76</v>
      </c>
      <c r="C91" s="65" t="s">
        <v>13</v>
      </c>
      <c r="D91" s="68"/>
      <c r="E91" s="68"/>
      <c r="F91" s="47">
        <v>9</v>
      </c>
      <c r="G91" s="47">
        <v>1038</v>
      </c>
      <c r="H91" s="47">
        <v>1099</v>
      </c>
      <c r="I91" s="47">
        <v>1930</v>
      </c>
      <c r="J91" s="47">
        <v>1582</v>
      </c>
      <c r="K91" s="47">
        <v>1413</v>
      </c>
      <c r="L91" s="47">
        <v>2208</v>
      </c>
      <c r="M91" s="47">
        <v>3581</v>
      </c>
      <c r="N91" s="47">
        <v>3881</v>
      </c>
      <c r="O91" s="47">
        <v>3636</v>
      </c>
      <c r="P91" s="47">
        <v>5590</v>
      </c>
      <c r="Q91" s="2"/>
      <c r="R91" s="2"/>
      <c r="S91" s="2"/>
      <c r="T91" s="2"/>
      <c r="U91" s="2"/>
      <c r="V91" s="2"/>
    </row>
    <row r="92" spans="1:22" ht="14.25" customHeight="1">
      <c r="A92" s="1"/>
      <c r="B92" s="64" t="s">
        <v>77</v>
      </c>
      <c r="C92" s="65" t="s">
        <v>13</v>
      </c>
      <c r="D92" s="68"/>
      <c r="E92" s="68"/>
      <c r="F92" s="47">
        <v>14</v>
      </c>
      <c r="G92" s="47">
        <v>537</v>
      </c>
      <c r="H92" s="47">
        <v>408</v>
      </c>
      <c r="I92" s="47">
        <v>474</v>
      </c>
      <c r="J92" s="47">
        <v>577</v>
      </c>
      <c r="K92" s="47">
        <v>480</v>
      </c>
      <c r="L92" s="47">
        <v>535</v>
      </c>
      <c r="M92" s="47">
        <v>582</v>
      </c>
      <c r="N92" s="47">
        <v>645</v>
      </c>
      <c r="O92" s="47">
        <v>566</v>
      </c>
      <c r="P92" s="47">
        <v>861</v>
      </c>
      <c r="Q92" s="2"/>
      <c r="R92" s="2"/>
      <c r="S92" s="2"/>
      <c r="T92" s="2"/>
      <c r="U92" s="2"/>
      <c r="V92" s="2"/>
    </row>
    <row r="93" spans="1:22" ht="4.5" customHeight="1">
      <c r="A93" s="1"/>
      <c r="B93" s="64"/>
      <c r="C93" s="65"/>
      <c r="D93" s="68"/>
      <c r="E93" s="68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2"/>
      <c r="R93" s="2"/>
      <c r="S93" s="2"/>
      <c r="T93" s="2"/>
      <c r="U93" s="2"/>
      <c r="V93" s="2"/>
    </row>
    <row r="94" spans="1:22" ht="14.25" customHeight="1">
      <c r="A94" s="1"/>
      <c r="B94" s="64" t="s">
        <v>78</v>
      </c>
      <c r="C94" s="65" t="s">
        <v>63</v>
      </c>
      <c r="D94" s="68"/>
      <c r="E94" s="68"/>
      <c r="F94" s="70">
        <v>0</v>
      </c>
      <c r="G94" s="71">
        <v>0.28999999999999998</v>
      </c>
      <c r="H94" s="71">
        <v>0.64</v>
      </c>
      <c r="I94" s="71">
        <v>0.65</v>
      </c>
      <c r="J94" s="71">
        <v>0.65</v>
      </c>
      <c r="K94" s="71">
        <v>0.64</v>
      </c>
      <c r="L94" s="71">
        <v>0.63</v>
      </c>
      <c r="M94" s="71">
        <v>0.64</v>
      </c>
      <c r="N94" s="71">
        <v>0.64</v>
      </c>
      <c r="O94" s="72">
        <v>0.63</v>
      </c>
      <c r="P94" s="72">
        <v>0.63</v>
      </c>
      <c r="Q94" s="2"/>
      <c r="R94" s="2"/>
      <c r="S94" s="2"/>
      <c r="T94" s="2"/>
      <c r="U94" s="2"/>
      <c r="V94" s="2"/>
    </row>
    <row r="95" spans="1:22" ht="14.25" customHeight="1">
      <c r="A95" s="1"/>
      <c r="B95" s="64" t="s">
        <v>79</v>
      </c>
      <c r="C95" s="73" t="s">
        <v>65</v>
      </c>
      <c r="D95" s="68"/>
      <c r="E95" s="68"/>
      <c r="F95" s="47">
        <v>0</v>
      </c>
      <c r="G95" s="47">
        <v>3246</v>
      </c>
      <c r="H95" s="47">
        <v>8534</v>
      </c>
      <c r="I95" s="47">
        <v>11241</v>
      </c>
      <c r="J95" s="47">
        <v>18676</v>
      </c>
      <c r="K95" s="47">
        <v>13441</v>
      </c>
      <c r="L95" s="47">
        <v>13333</v>
      </c>
      <c r="M95" s="47">
        <v>13201</v>
      </c>
      <c r="N95" s="47">
        <v>10795</v>
      </c>
      <c r="O95" s="47">
        <v>11537</v>
      </c>
      <c r="P95" s="54">
        <v>11091</v>
      </c>
      <c r="Q95" s="2"/>
      <c r="R95" s="2"/>
      <c r="S95" s="2"/>
      <c r="T95" s="2"/>
      <c r="U95" s="2"/>
      <c r="V95" s="2"/>
    </row>
    <row r="96" spans="1:22" ht="14.25" customHeight="1">
      <c r="A96" s="1"/>
      <c r="B96" s="64" t="s">
        <v>80</v>
      </c>
      <c r="C96" s="73" t="s">
        <v>65</v>
      </c>
      <c r="D96" s="68"/>
      <c r="E96" s="68"/>
      <c r="F96" s="47">
        <v>164639</v>
      </c>
      <c r="G96" s="47">
        <v>75956</v>
      </c>
      <c r="H96" s="47">
        <v>56606</v>
      </c>
      <c r="I96" s="47">
        <v>45542</v>
      </c>
      <c r="J96" s="47">
        <v>63260</v>
      </c>
      <c r="K96" s="47">
        <v>63531</v>
      </c>
      <c r="L96" s="47">
        <v>49318</v>
      </c>
      <c r="M96" s="47">
        <v>36545</v>
      </c>
      <c r="N96" s="47">
        <v>38230</v>
      </c>
      <c r="O96" s="47">
        <v>39466</v>
      </c>
      <c r="P96" s="54">
        <v>34967</v>
      </c>
      <c r="Q96" s="2"/>
      <c r="R96" s="2"/>
      <c r="S96" s="2"/>
      <c r="T96" s="2"/>
      <c r="U96" s="2"/>
      <c r="V96" s="2"/>
    </row>
    <row r="97" spans="1:22" ht="14.25" customHeight="1">
      <c r="A97" s="1"/>
      <c r="B97" s="64"/>
      <c r="C97" s="65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2"/>
      <c r="R97" s="2"/>
      <c r="S97" s="2"/>
      <c r="T97" s="2"/>
      <c r="U97" s="2"/>
      <c r="V97" s="2"/>
    </row>
    <row r="98" spans="1:22" ht="4.5" customHeight="1">
      <c r="A98" s="1"/>
      <c r="B98" s="64"/>
      <c r="C98" s="73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2"/>
      <c r="R98" s="2"/>
      <c r="S98" s="2"/>
      <c r="T98" s="2"/>
      <c r="U98" s="2"/>
      <c r="V98" s="2"/>
    </row>
    <row r="99" spans="1:22" ht="14.25" customHeight="1" thickBot="1">
      <c r="A99" s="1"/>
      <c r="B99" s="40" t="s">
        <v>81</v>
      </c>
      <c r="C99" s="74"/>
      <c r="D99" s="6">
        <v>45658</v>
      </c>
      <c r="E99" s="6">
        <f t="shared" ref="E99:P99" si="36">EDATE(D99,1)</f>
        <v>45689</v>
      </c>
      <c r="F99" s="6">
        <f t="shared" si="36"/>
        <v>45717</v>
      </c>
      <c r="G99" s="6">
        <f t="shared" si="36"/>
        <v>45748</v>
      </c>
      <c r="H99" s="6">
        <f t="shared" si="36"/>
        <v>45778</v>
      </c>
      <c r="I99" s="6">
        <f t="shared" si="36"/>
        <v>45809</v>
      </c>
      <c r="J99" s="6">
        <f t="shared" si="36"/>
        <v>45839</v>
      </c>
      <c r="K99" s="6">
        <f t="shared" si="36"/>
        <v>45870</v>
      </c>
      <c r="L99" s="6">
        <f t="shared" si="36"/>
        <v>45901</v>
      </c>
      <c r="M99" s="6">
        <f t="shared" si="36"/>
        <v>45931</v>
      </c>
      <c r="N99" s="6">
        <f t="shared" si="36"/>
        <v>45962</v>
      </c>
      <c r="O99" s="6">
        <f t="shared" si="36"/>
        <v>45992</v>
      </c>
      <c r="P99" s="6">
        <f t="shared" si="36"/>
        <v>46023</v>
      </c>
      <c r="Q99" s="2"/>
      <c r="R99" s="2"/>
      <c r="S99" s="2"/>
      <c r="T99" s="2"/>
      <c r="U99" s="2"/>
      <c r="V99" s="2"/>
    </row>
    <row r="100" spans="1:22" ht="14.25" customHeight="1">
      <c r="A100" s="1"/>
      <c r="B100" s="2" t="s">
        <v>82</v>
      </c>
      <c r="C100" s="1" t="s">
        <v>13</v>
      </c>
      <c r="D100" s="42">
        <v>4583</v>
      </c>
      <c r="E100" s="42">
        <v>4711</v>
      </c>
      <c r="F100" s="42">
        <v>5931</v>
      </c>
      <c r="G100" s="42">
        <v>7013</v>
      </c>
      <c r="H100" s="42">
        <v>9278</v>
      </c>
      <c r="I100" s="42">
        <v>11348</v>
      </c>
      <c r="J100" s="42">
        <v>13439</v>
      </c>
      <c r="K100" s="42">
        <v>13428</v>
      </c>
      <c r="L100" s="42">
        <v>14162</v>
      </c>
      <c r="M100" s="42">
        <v>18659</v>
      </c>
      <c r="N100" s="42">
        <v>22057</v>
      </c>
      <c r="O100" s="42">
        <v>24767</v>
      </c>
      <c r="P100" s="43">
        <v>29112</v>
      </c>
      <c r="Q100" s="2"/>
      <c r="R100" s="2"/>
      <c r="S100" s="2"/>
      <c r="T100" s="2"/>
      <c r="U100" s="2"/>
      <c r="V100" s="2"/>
    </row>
    <row r="101" spans="1:22" ht="14.25" customHeight="1">
      <c r="A101" s="1"/>
      <c r="B101" s="2" t="s">
        <v>83</v>
      </c>
      <c r="C101" s="1" t="s">
        <v>13</v>
      </c>
      <c r="D101" s="42">
        <v>2482</v>
      </c>
      <c r="E101" s="42">
        <v>2698</v>
      </c>
      <c r="F101" s="42">
        <v>3468</v>
      </c>
      <c r="G101" s="42">
        <v>3981</v>
      </c>
      <c r="H101" s="42">
        <v>5127</v>
      </c>
      <c r="I101" s="42">
        <v>6262</v>
      </c>
      <c r="J101" s="42">
        <v>7838</v>
      </c>
      <c r="K101" s="42">
        <v>7529</v>
      </c>
      <c r="L101" s="42">
        <v>8174</v>
      </c>
      <c r="M101" s="42">
        <v>10901</v>
      </c>
      <c r="N101" s="42">
        <v>12425</v>
      </c>
      <c r="O101" s="42">
        <v>14103</v>
      </c>
      <c r="P101" s="43">
        <v>16899</v>
      </c>
      <c r="Q101" s="2"/>
      <c r="R101" s="2"/>
      <c r="S101" s="2"/>
      <c r="T101" s="2"/>
      <c r="U101" s="2"/>
      <c r="V101" s="2"/>
    </row>
    <row r="102" spans="1:22" ht="14.25" customHeight="1">
      <c r="A102" s="1"/>
      <c r="B102" s="2" t="s">
        <v>84</v>
      </c>
      <c r="C102" s="1" t="s">
        <v>13</v>
      </c>
      <c r="D102" s="42">
        <v>1880</v>
      </c>
      <c r="E102" s="42">
        <v>1782</v>
      </c>
      <c r="F102" s="42">
        <v>2027</v>
      </c>
      <c r="G102" s="42">
        <v>2228</v>
      </c>
      <c r="H102" s="42">
        <v>2898</v>
      </c>
      <c r="I102" s="42">
        <v>3683</v>
      </c>
      <c r="J102" s="42">
        <v>4568</v>
      </c>
      <c r="K102" s="42">
        <v>3912</v>
      </c>
      <c r="L102" s="42">
        <v>4158</v>
      </c>
      <c r="M102" s="42">
        <v>6124</v>
      </c>
      <c r="N102" s="42">
        <v>6339</v>
      </c>
      <c r="O102" s="42">
        <v>6801</v>
      </c>
      <c r="P102" s="43">
        <v>7914</v>
      </c>
      <c r="Q102" s="2"/>
      <c r="R102" s="2"/>
      <c r="S102" s="2"/>
      <c r="T102" s="2"/>
      <c r="U102" s="2"/>
      <c r="V102" s="2"/>
    </row>
    <row r="103" spans="1:22" ht="14.25" customHeight="1">
      <c r="A103" s="1"/>
      <c r="B103" s="2" t="s">
        <v>85</v>
      </c>
      <c r="C103" s="1" t="s">
        <v>13</v>
      </c>
      <c r="D103" s="42">
        <v>602</v>
      </c>
      <c r="E103" s="42">
        <v>916</v>
      </c>
      <c r="F103" s="42">
        <v>1441</v>
      </c>
      <c r="G103" s="42">
        <v>1753</v>
      </c>
      <c r="H103" s="42">
        <v>2229</v>
      </c>
      <c r="I103" s="42">
        <v>2579</v>
      </c>
      <c r="J103" s="42">
        <v>3270</v>
      </c>
      <c r="K103" s="42">
        <v>3617</v>
      </c>
      <c r="L103" s="42">
        <v>4016</v>
      </c>
      <c r="M103" s="42">
        <v>4777</v>
      </c>
      <c r="N103" s="42">
        <v>6086</v>
      </c>
      <c r="O103" s="42">
        <v>7302</v>
      </c>
      <c r="P103" s="43">
        <v>8985</v>
      </c>
      <c r="Q103" s="2"/>
      <c r="R103" s="2"/>
      <c r="S103" s="2"/>
      <c r="T103" s="2"/>
      <c r="U103" s="2"/>
      <c r="V103" s="2"/>
    </row>
    <row r="104" spans="1:22" ht="4.5" customHeight="1">
      <c r="A104" s="1"/>
      <c r="B104" s="2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2"/>
      <c r="R104" s="2"/>
      <c r="S104" s="2"/>
      <c r="T104" s="2"/>
      <c r="U104" s="2"/>
      <c r="V104" s="2"/>
    </row>
    <row r="105" spans="1:22" ht="14.25" customHeight="1">
      <c r="A105" s="1"/>
      <c r="B105" s="33" t="s">
        <v>86</v>
      </c>
      <c r="C105" s="59" t="s">
        <v>4</v>
      </c>
      <c r="D105" s="75">
        <v>25.738444055000002</v>
      </c>
      <c r="E105" s="75">
        <v>31.756235611000001</v>
      </c>
      <c r="F105" s="75">
        <v>46.063175270000002</v>
      </c>
      <c r="G105" s="75">
        <v>64.701602961000006</v>
      </c>
      <c r="H105" s="75">
        <v>90.650764276999993</v>
      </c>
      <c r="I105" s="75">
        <v>110.59909631300002</v>
      </c>
      <c r="J105" s="75">
        <v>149.429522357</v>
      </c>
      <c r="K105" s="75">
        <v>147.572156245</v>
      </c>
      <c r="L105" s="75">
        <v>164.526551259</v>
      </c>
      <c r="M105" s="75">
        <v>208.58125768099998</v>
      </c>
      <c r="N105" s="75">
        <v>231.604830569</v>
      </c>
      <c r="O105" s="75">
        <v>279.38760808400002</v>
      </c>
      <c r="P105" s="76">
        <f>3058632560.03/10000000</f>
        <v>305.863256003</v>
      </c>
      <c r="Q105" s="2"/>
      <c r="R105" s="2"/>
      <c r="S105" s="2"/>
      <c r="T105" s="2"/>
      <c r="U105" s="2"/>
      <c r="V105" s="2"/>
    </row>
    <row r="106" spans="1:22" ht="14.25" customHeight="1">
      <c r="A106" s="1"/>
      <c r="B106" s="2" t="s">
        <v>57</v>
      </c>
      <c r="C106" s="1" t="s">
        <v>4</v>
      </c>
      <c r="D106" s="77"/>
      <c r="E106" s="77"/>
      <c r="F106" s="77"/>
      <c r="G106" s="77"/>
      <c r="H106" s="77"/>
      <c r="I106" s="77"/>
      <c r="J106" s="77"/>
      <c r="K106" s="77">
        <v>0.34086107999999998</v>
      </c>
      <c r="L106" s="77">
        <v>2.6365125659999999</v>
      </c>
      <c r="M106" s="77">
        <v>7.9290396000000003</v>
      </c>
      <c r="N106" s="77">
        <v>14.158813701</v>
      </c>
      <c r="O106" s="77">
        <v>24.793844219</v>
      </c>
      <c r="P106" s="77">
        <v>32.145233482000002</v>
      </c>
      <c r="Q106" s="2"/>
      <c r="R106" s="2"/>
      <c r="S106" s="2"/>
      <c r="T106" s="2"/>
      <c r="U106" s="2"/>
      <c r="V106" s="2"/>
    </row>
    <row r="107" spans="1:22" ht="14.25" customHeight="1">
      <c r="A107" s="1"/>
      <c r="B107" s="2" t="s">
        <v>87</v>
      </c>
      <c r="C107" s="1" t="s">
        <v>4</v>
      </c>
      <c r="D107" s="77">
        <v>0.43570930000000002</v>
      </c>
      <c r="E107" s="77">
        <v>0.38357150000000001</v>
      </c>
      <c r="F107" s="77">
        <v>7.1966213999999997</v>
      </c>
      <c r="G107" s="77">
        <v>0.11466949999999999</v>
      </c>
      <c r="H107" s="77">
        <v>11.228785540000001</v>
      </c>
      <c r="I107" s="77">
        <v>11.5</v>
      </c>
      <c r="J107" s="77">
        <v>22.261973064000099</v>
      </c>
      <c r="K107" s="77">
        <v>38.205693799999999</v>
      </c>
      <c r="L107" s="77">
        <v>38.997953000000003</v>
      </c>
      <c r="M107" s="77">
        <v>9.4186650000000007</v>
      </c>
      <c r="N107" s="77">
        <v>17.664454800000001</v>
      </c>
      <c r="O107" s="77">
        <v>21.259785784000002</v>
      </c>
      <c r="P107" s="77">
        <v>36.746125262999996</v>
      </c>
      <c r="Q107" s="2"/>
      <c r="R107" s="2"/>
      <c r="S107" s="2"/>
      <c r="T107" s="2"/>
      <c r="U107" s="2"/>
      <c r="V107" s="2"/>
    </row>
    <row r="108" spans="1:22" ht="14.25" customHeight="1">
      <c r="A108" s="1"/>
      <c r="B108" s="49" t="s">
        <v>88</v>
      </c>
      <c r="C108" s="50" t="s">
        <v>4</v>
      </c>
      <c r="D108" s="78">
        <v>48.457000000000001</v>
      </c>
      <c r="E108" s="51">
        <f t="shared" ref="E108:P108" si="37">D108+E105-E106-E107</f>
        <v>79.829664111</v>
      </c>
      <c r="F108" s="51">
        <f t="shared" si="37"/>
        <v>118.696217981</v>
      </c>
      <c r="G108" s="51">
        <f t="shared" si="37"/>
        <v>183.28315144200002</v>
      </c>
      <c r="H108" s="51">
        <f t="shared" si="37"/>
        <v>262.70513017900004</v>
      </c>
      <c r="I108" s="51">
        <f t="shared" si="37"/>
        <v>361.80422649200005</v>
      </c>
      <c r="J108" s="51">
        <f t="shared" si="37"/>
        <v>488.97177578499998</v>
      </c>
      <c r="K108" s="51">
        <f t="shared" si="37"/>
        <v>597.99737715000003</v>
      </c>
      <c r="L108" s="51">
        <f t="shared" si="37"/>
        <v>720.88946284300005</v>
      </c>
      <c r="M108" s="51">
        <f t="shared" si="37"/>
        <v>912.12301592400001</v>
      </c>
      <c r="N108" s="51">
        <f t="shared" si="37"/>
        <v>1111.904577992</v>
      </c>
      <c r="O108" s="51">
        <f t="shared" si="37"/>
        <v>1345.2385560729999</v>
      </c>
      <c r="P108" s="51">
        <f t="shared" si="37"/>
        <v>1582.2104533309998</v>
      </c>
      <c r="Q108" s="26"/>
      <c r="R108" s="2"/>
      <c r="S108" s="2"/>
      <c r="T108" s="2"/>
      <c r="U108" s="2"/>
      <c r="V108" s="2"/>
    </row>
    <row r="109" spans="1:22" ht="4.5" customHeight="1">
      <c r="A109" s="1"/>
      <c r="B109" s="2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2"/>
      <c r="R109" s="2"/>
      <c r="S109" s="2"/>
      <c r="T109" s="2"/>
      <c r="U109" s="2"/>
      <c r="V109" s="2"/>
    </row>
    <row r="110" spans="1:22" ht="14.25" customHeight="1">
      <c r="A110" s="1"/>
      <c r="B110" s="2" t="s">
        <v>89</v>
      </c>
      <c r="C110" s="1" t="s">
        <v>26</v>
      </c>
      <c r="D110" s="29">
        <f t="shared" ref="D110:P110" si="38">D105*10^7/(D101)/10^5</f>
        <v>1.0370041923851732</v>
      </c>
      <c r="E110" s="29">
        <f t="shared" si="38"/>
        <v>1.1770287476278725</v>
      </c>
      <c r="F110" s="29">
        <f t="shared" si="38"/>
        <v>1.3282345810265284</v>
      </c>
      <c r="G110" s="29">
        <f t="shared" si="38"/>
        <v>1.6252600593067068</v>
      </c>
      <c r="H110" s="29">
        <f t="shared" si="38"/>
        <v>1.7681054081724206</v>
      </c>
      <c r="I110" s="29">
        <f t="shared" si="38"/>
        <v>1.7661944476684768</v>
      </c>
      <c r="J110" s="29">
        <f t="shared" si="38"/>
        <v>1.9064751512758356</v>
      </c>
      <c r="K110" s="29">
        <f t="shared" si="38"/>
        <v>1.9600498903572854</v>
      </c>
      <c r="L110" s="29">
        <f t="shared" si="38"/>
        <v>2.0128034164301445</v>
      </c>
      <c r="M110" s="29">
        <f t="shared" si="38"/>
        <v>1.9134139774424364</v>
      </c>
      <c r="N110" s="29">
        <f t="shared" si="38"/>
        <v>1.8640227812394365</v>
      </c>
      <c r="O110" s="29">
        <f t="shared" si="38"/>
        <v>1.9810508975678935</v>
      </c>
      <c r="P110" s="29">
        <f t="shared" si="38"/>
        <v>1.8099488490620748</v>
      </c>
      <c r="Q110" s="2"/>
      <c r="R110" s="2"/>
      <c r="S110" s="2"/>
      <c r="T110" s="2"/>
      <c r="U110" s="2"/>
      <c r="V110" s="2"/>
    </row>
    <row r="111" spans="1:22" ht="4.5" customHeight="1">
      <c r="A111" s="1"/>
      <c r="B111" s="2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2"/>
      <c r="R111" s="2"/>
      <c r="S111" s="2"/>
      <c r="T111" s="2"/>
      <c r="U111" s="2"/>
      <c r="V111" s="2"/>
    </row>
    <row r="112" spans="1:22" ht="14.25" customHeight="1">
      <c r="A112" s="1"/>
      <c r="B112" s="33" t="s">
        <v>90</v>
      </c>
      <c r="C112" s="59" t="s">
        <v>4</v>
      </c>
      <c r="D112" s="60">
        <v>9.188940000000001E-2</v>
      </c>
      <c r="E112" s="60">
        <v>9.9641800000000003E-2</v>
      </c>
      <c r="F112" s="60">
        <v>0.119764255702</v>
      </c>
      <c r="G112" s="60">
        <v>0.20704512947520004</v>
      </c>
      <c r="H112" s="60">
        <v>0.10878091713239998</v>
      </c>
      <c r="I112" s="60">
        <v>0.29861756004510004</v>
      </c>
      <c r="J112" s="60">
        <v>0.61713459999999998</v>
      </c>
      <c r="K112" s="60">
        <v>0.50321729999999998</v>
      </c>
      <c r="L112" s="60">
        <v>0.65</v>
      </c>
      <c r="M112" s="60">
        <v>1.04</v>
      </c>
      <c r="N112" s="60">
        <v>1.6595499</v>
      </c>
      <c r="O112" s="60">
        <f>20477080/10^7</f>
        <v>2.0477080000000001</v>
      </c>
      <c r="P112" s="60">
        <f>21352274/10^7</f>
        <v>2.1352274000000002</v>
      </c>
      <c r="Q112" s="2"/>
      <c r="R112" s="2"/>
      <c r="S112" s="2"/>
      <c r="T112" s="2"/>
      <c r="U112" s="2"/>
      <c r="V112" s="2"/>
    </row>
    <row r="113" spans="1:22" ht="14.25" customHeight="1">
      <c r="A113" s="1"/>
      <c r="B113" s="2" t="s">
        <v>62</v>
      </c>
      <c r="C113" s="1" t="s">
        <v>63</v>
      </c>
      <c r="D113" s="79">
        <f t="shared" ref="D113:P113" si="39">D112/D105</f>
        <v>3.5701225685454514E-3</v>
      </c>
      <c r="E113" s="79">
        <f t="shared" si="39"/>
        <v>3.1377081723592331E-3</v>
      </c>
      <c r="F113" s="79">
        <f t="shared" si="39"/>
        <v>2.5999999999999999E-3</v>
      </c>
      <c r="G113" s="79">
        <f t="shared" si="39"/>
        <v>3.2000000000000002E-3</v>
      </c>
      <c r="H113" s="79">
        <f t="shared" si="39"/>
        <v>1.1999999999999999E-3</v>
      </c>
      <c r="I113" s="79">
        <f t="shared" si="39"/>
        <v>2.6999999999999997E-3</v>
      </c>
      <c r="J113" s="79">
        <f t="shared" si="39"/>
        <v>4.1299375803772716E-3</v>
      </c>
      <c r="K113" s="79">
        <f t="shared" si="39"/>
        <v>3.4099745697593266E-3</v>
      </c>
      <c r="L113" s="79">
        <f t="shared" si="39"/>
        <v>3.9507301102832994E-3</v>
      </c>
      <c r="M113" s="79">
        <f t="shared" si="39"/>
        <v>4.9860663971570988E-3</v>
      </c>
      <c r="N113" s="79">
        <f t="shared" si="39"/>
        <v>7.165437335321833E-3</v>
      </c>
      <c r="O113" s="79">
        <f t="shared" si="39"/>
        <v>7.3292728122155686E-3</v>
      </c>
      <c r="P113" s="79">
        <f t="shared" si="39"/>
        <v>6.9809869544416843E-3</v>
      </c>
      <c r="Q113" s="2"/>
      <c r="R113" s="2"/>
      <c r="S113" s="2"/>
      <c r="T113" s="2"/>
      <c r="U113" s="2"/>
      <c r="V113" s="2"/>
    </row>
    <row r="114" spans="1:22" ht="14.25" customHeight="1">
      <c r="A114" s="1"/>
      <c r="B114" s="2" t="s">
        <v>91</v>
      </c>
      <c r="C114" s="1" t="s">
        <v>65</v>
      </c>
      <c r="D114" s="15">
        <f t="shared" ref="D114:P114" si="40">D112*10^7/D101</f>
        <v>370.22320709105566</v>
      </c>
      <c r="E114" s="15">
        <f t="shared" si="40"/>
        <v>369.31727205337285</v>
      </c>
      <c r="F114" s="15">
        <f t="shared" si="40"/>
        <v>345.34099106689735</v>
      </c>
      <c r="G114" s="15">
        <f t="shared" si="40"/>
        <v>520.08321897814631</v>
      </c>
      <c r="H114" s="15">
        <f t="shared" si="40"/>
        <v>212.17264898069041</v>
      </c>
      <c r="I114" s="15">
        <f t="shared" si="40"/>
        <v>476.87250087048875</v>
      </c>
      <c r="J114" s="15">
        <f t="shared" si="40"/>
        <v>787.36233733095173</v>
      </c>
      <c r="K114" s="15">
        <f t="shared" si="40"/>
        <v>668.37202815778983</v>
      </c>
      <c r="L114" s="15">
        <f t="shared" si="40"/>
        <v>795.2043063371666</v>
      </c>
      <c r="M114" s="15">
        <f t="shared" si="40"/>
        <v>954.0409136776442</v>
      </c>
      <c r="N114" s="15">
        <f t="shared" si="40"/>
        <v>1335.65384305835</v>
      </c>
      <c r="O114" s="15">
        <f t="shared" si="40"/>
        <v>1451.9662483159611</v>
      </c>
      <c r="P114" s="15">
        <f t="shared" si="40"/>
        <v>1263.5229303509086</v>
      </c>
      <c r="Q114" s="2"/>
      <c r="R114" s="2"/>
      <c r="S114" s="2"/>
      <c r="T114" s="2"/>
      <c r="U114" s="2"/>
      <c r="V114" s="2"/>
    </row>
    <row r="115" spans="1:22" ht="4.5" customHeight="1">
      <c r="A115" s="1"/>
      <c r="B115" s="2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2"/>
      <c r="R115" s="2"/>
      <c r="S115" s="2"/>
      <c r="T115" s="2"/>
      <c r="U115" s="2"/>
      <c r="V115" s="2"/>
    </row>
    <row r="116" spans="1:22" ht="14.25" customHeight="1">
      <c r="A116" s="1"/>
      <c r="B116" s="2" t="s">
        <v>92</v>
      </c>
      <c r="C116" s="1" t="s">
        <v>13</v>
      </c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2"/>
      <c r="R116" s="2"/>
      <c r="S116" s="2"/>
      <c r="T116" s="2"/>
      <c r="U116" s="2"/>
      <c r="V116" s="2"/>
    </row>
    <row r="117" spans="1:22" ht="4.5" customHeight="1">
      <c r="A117" s="1"/>
      <c r="B117" s="2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2"/>
      <c r="R117" s="2"/>
      <c r="S117" s="2"/>
      <c r="T117" s="2"/>
      <c r="U117" s="2"/>
      <c r="V117" s="2"/>
    </row>
    <row r="118" spans="1:22" ht="4.5" customHeight="1">
      <c r="A118" s="1"/>
      <c r="B118" s="2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R118" s="2"/>
      <c r="S118" s="2"/>
      <c r="T118" s="2"/>
      <c r="U118" s="2"/>
      <c r="V118" s="2"/>
    </row>
    <row r="119" spans="1:22" ht="14.25" customHeight="1">
      <c r="A119" s="1"/>
      <c r="B119" s="2" t="s">
        <v>93</v>
      </c>
      <c r="C119" s="1" t="s">
        <v>63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2"/>
      <c r="R119" s="2"/>
      <c r="S119" s="2"/>
      <c r="T119" s="2"/>
      <c r="U119" s="2"/>
      <c r="V119" s="2"/>
    </row>
    <row r="120" spans="1:22" ht="14.25" customHeight="1">
      <c r="A120" s="1"/>
      <c r="B120" s="2" t="s">
        <v>94</v>
      </c>
      <c r="C120" s="1" t="s">
        <v>63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2"/>
      <c r="R120" s="2"/>
      <c r="S120" s="2"/>
      <c r="T120" s="2"/>
      <c r="U120" s="2"/>
      <c r="V120" s="2"/>
    </row>
    <row r="121" spans="1:22" ht="4.5" customHeight="1">
      <c r="A121" s="1"/>
      <c r="B121" s="2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2"/>
      <c r="R121" s="2"/>
      <c r="S121" s="2"/>
      <c r="T121" s="2"/>
      <c r="U121" s="2"/>
      <c r="V121" s="2"/>
    </row>
    <row r="122" spans="1:22" ht="4.5" customHeight="1">
      <c r="A122" s="1"/>
      <c r="B122" s="2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</row>
    <row r="123" spans="1:22" ht="14.25" customHeight="1" thickBot="1">
      <c r="A123" s="1"/>
      <c r="B123" s="40" t="s">
        <v>95</v>
      </c>
      <c r="C123" s="74"/>
      <c r="D123" s="6">
        <v>45658</v>
      </c>
      <c r="E123" s="6">
        <f t="shared" ref="E123:P123" si="41">EDATE(D123,1)</f>
        <v>45689</v>
      </c>
      <c r="F123" s="6">
        <f t="shared" si="41"/>
        <v>45717</v>
      </c>
      <c r="G123" s="6">
        <f t="shared" si="41"/>
        <v>45748</v>
      </c>
      <c r="H123" s="6">
        <f t="shared" si="41"/>
        <v>45778</v>
      </c>
      <c r="I123" s="6">
        <f t="shared" si="41"/>
        <v>45809</v>
      </c>
      <c r="J123" s="6">
        <f t="shared" si="41"/>
        <v>45839</v>
      </c>
      <c r="K123" s="6">
        <f t="shared" si="41"/>
        <v>45870</v>
      </c>
      <c r="L123" s="6">
        <f t="shared" si="41"/>
        <v>45901</v>
      </c>
      <c r="M123" s="6">
        <f t="shared" si="41"/>
        <v>45931</v>
      </c>
      <c r="N123" s="6">
        <f t="shared" si="41"/>
        <v>45962</v>
      </c>
      <c r="O123" s="6">
        <f t="shared" si="41"/>
        <v>45992</v>
      </c>
      <c r="P123" s="6">
        <f t="shared" si="41"/>
        <v>46023</v>
      </c>
      <c r="Q123" s="2"/>
      <c r="R123" s="2"/>
      <c r="S123" s="2"/>
      <c r="T123" s="2"/>
      <c r="U123" s="2"/>
      <c r="V123" s="2"/>
    </row>
    <row r="124" spans="1:22" ht="14.25" customHeight="1">
      <c r="A124" s="1"/>
      <c r="B124" s="2" t="s">
        <v>96</v>
      </c>
      <c r="C124" s="1" t="s">
        <v>13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2">
        <v>88</v>
      </c>
      <c r="M124" s="42">
        <v>3818</v>
      </c>
      <c r="N124" s="42">
        <v>5522</v>
      </c>
      <c r="O124" s="42">
        <v>10221</v>
      </c>
      <c r="P124" s="42">
        <v>20199</v>
      </c>
      <c r="Q124" s="2"/>
      <c r="R124" s="2"/>
      <c r="S124" s="2"/>
      <c r="T124" s="2"/>
      <c r="U124" s="2"/>
      <c r="V124" s="2"/>
    </row>
    <row r="125" spans="1:22" ht="14.25" customHeight="1">
      <c r="A125" s="1"/>
      <c r="B125" s="2" t="s">
        <v>97</v>
      </c>
      <c r="C125" s="1" t="s">
        <v>13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2">
        <v>238</v>
      </c>
      <c r="M125" s="42">
        <v>9821</v>
      </c>
      <c r="N125" s="42">
        <v>20812</v>
      </c>
      <c r="O125" s="42">
        <v>50647</v>
      </c>
      <c r="P125" s="42">
        <v>117789</v>
      </c>
      <c r="Q125" s="2"/>
      <c r="R125" s="2"/>
      <c r="S125" s="2"/>
      <c r="T125" s="2"/>
      <c r="U125" s="2"/>
      <c r="V125" s="2"/>
    </row>
    <row r="126" spans="1:22" ht="4.5" customHeight="1">
      <c r="A126" s="1"/>
      <c r="B126" s="2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</row>
    <row r="127" spans="1:22" ht="14.25" customHeight="1">
      <c r="A127" s="1"/>
      <c r="B127" s="33" t="s">
        <v>98</v>
      </c>
      <c r="C127" s="59" t="s">
        <v>4</v>
      </c>
      <c r="D127" s="81">
        <f t="shared" ref="D127:P127" si="42">SUM(D128:D130)</f>
        <v>0</v>
      </c>
      <c r="E127" s="81">
        <f t="shared" si="42"/>
        <v>0</v>
      </c>
      <c r="F127" s="81">
        <f t="shared" si="42"/>
        <v>0</v>
      </c>
      <c r="G127" s="81">
        <f t="shared" si="42"/>
        <v>0</v>
      </c>
      <c r="H127" s="81">
        <f t="shared" si="42"/>
        <v>0</v>
      </c>
      <c r="I127" s="81">
        <f t="shared" si="42"/>
        <v>0</v>
      </c>
      <c r="J127" s="81">
        <f t="shared" si="42"/>
        <v>0</v>
      </c>
      <c r="K127" s="81">
        <f t="shared" si="42"/>
        <v>0</v>
      </c>
      <c r="L127" s="81">
        <f t="shared" si="42"/>
        <v>0.20043569999999999</v>
      </c>
      <c r="M127" s="81">
        <f t="shared" si="42"/>
        <v>7.6746415999999993</v>
      </c>
      <c r="N127" s="81">
        <f t="shared" si="42"/>
        <v>7.3737910000000007</v>
      </c>
      <c r="O127" s="81">
        <f t="shared" si="42"/>
        <v>20.782345799999998</v>
      </c>
      <c r="P127" s="81">
        <f t="shared" si="42"/>
        <v>50.671131200000005</v>
      </c>
      <c r="Q127" s="2"/>
      <c r="R127" s="2"/>
      <c r="S127" s="2"/>
      <c r="T127" s="2"/>
      <c r="U127" s="2"/>
      <c r="V127" s="2"/>
    </row>
    <row r="128" spans="1:22" ht="14.25" customHeight="1">
      <c r="A128" s="1"/>
      <c r="B128" s="13" t="s">
        <v>99</v>
      </c>
      <c r="C128" s="1" t="s">
        <v>4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82">
        <v>0</v>
      </c>
      <c r="M128" s="82">
        <v>0.131215</v>
      </c>
      <c r="N128" s="82">
        <v>0.1830003</v>
      </c>
      <c r="O128" s="82">
        <v>0.66770280000000004</v>
      </c>
      <c r="P128" s="82">
        <f>18437670/10000000</f>
        <v>1.8437669999999999</v>
      </c>
      <c r="Q128" s="2"/>
      <c r="R128" s="2"/>
      <c r="S128" s="2"/>
      <c r="T128" s="2"/>
      <c r="U128" s="2"/>
      <c r="V128" s="2"/>
    </row>
    <row r="129" spans="1:22" ht="14.25" customHeight="1">
      <c r="A129" s="1"/>
      <c r="B129" s="13" t="s">
        <v>100</v>
      </c>
      <c r="C129" s="1" t="s">
        <v>4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82">
        <v>0</v>
      </c>
      <c r="M129" s="82">
        <v>0.3164845</v>
      </c>
      <c r="N129" s="82">
        <v>0.78955050000000004</v>
      </c>
      <c r="O129" s="82">
        <v>1.2533018</v>
      </c>
      <c r="P129" s="82">
        <f>19970118/10000000</f>
        <v>1.9970117999999999</v>
      </c>
      <c r="Q129" s="2"/>
      <c r="R129" s="2"/>
      <c r="S129" s="2"/>
      <c r="T129" s="2"/>
      <c r="U129" s="2"/>
      <c r="V129" s="2"/>
    </row>
    <row r="130" spans="1:22" ht="14.25" customHeight="1">
      <c r="A130" s="1"/>
      <c r="B130" s="13" t="s">
        <v>101</v>
      </c>
      <c r="C130" s="1" t="s">
        <v>4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82">
        <v>0.20043569999999999</v>
      </c>
      <c r="M130" s="82">
        <v>7.2269420999999996</v>
      </c>
      <c r="N130" s="82">
        <v>6.4012402000000002</v>
      </c>
      <c r="O130" s="82">
        <v>18.861341199999998</v>
      </c>
      <c r="P130" s="82">
        <f>468303524/10^7</f>
        <v>46.830352400000002</v>
      </c>
      <c r="Q130" s="2"/>
      <c r="R130" s="2"/>
      <c r="S130" s="2"/>
      <c r="T130" s="2"/>
      <c r="U130" s="2"/>
      <c r="V130" s="2"/>
    </row>
    <row r="131" spans="1:22" ht="12.75" customHeight="1">
      <c r="A131" s="1"/>
      <c r="B131" s="2"/>
      <c r="C131" s="1"/>
      <c r="D131" s="47"/>
      <c r="E131" s="47"/>
      <c r="F131" s="47"/>
      <c r="G131" s="47"/>
      <c r="H131" s="47"/>
      <c r="I131" s="47"/>
      <c r="J131" s="47"/>
      <c r="K131" s="47"/>
      <c r="L131" s="83"/>
      <c r="M131" s="83"/>
      <c r="N131" s="83"/>
      <c r="O131" s="83"/>
      <c r="P131" s="83"/>
      <c r="Q131" s="2"/>
      <c r="R131" s="2"/>
      <c r="S131" s="2"/>
      <c r="T131" s="2"/>
      <c r="U131" s="2"/>
      <c r="V131" s="2"/>
    </row>
    <row r="132" spans="1:22" ht="14.25" customHeight="1">
      <c r="A132" s="1"/>
      <c r="B132" s="2" t="s">
        <v>36</v>
      </c>
      <c r="C132" s="1" t="s">
        <v>4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82">
        <v>0.20021429999999998</v>
      </c>
      <c r="M132" s="82">
        <f t="shared" ref="M132:P132" si="43">M7</f>
        <v>7.1120648999999991</v>
      </c>
      <c r="N132" s="82">
        <f t="shared" si="43"/>
        <v>15.16694261016</v>
      </c>
      <c r="O132" s="82">
        <f t="shared" si="43"/>
        <v>35.4227707788543</v>
      </c>
      <c r="P132" s="82">
        <f t="shared" si="43"/>
        <v>77.618499999999997</v>
      </c>
      <c r="Q132" s="2"/>
      <c r="R132" s="2"/>
      <c r="S132" s="2"/>
      <c r="T132" s="2"/>
      <c r="U132" s="2"/>
      <c r="V132" s="2"/>
    </row>
    <row r="133" spans="1:22" ht="14.25" customHeight="1">
      <c r="A133" s="1"/>
      <c r="B133" s="2" t="s">
        <v>102</v>
      </c>
      <c r="C133" s="1" t="s">
        <v>4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70">
        <v>0</v>
      </c>
      <c r="M133" s="70">
        <v>2.2400000000000002E-3</v>
      </c>
      <c r="N133" s="70">
        <v>4.8882999999999999E-3</v>
      </c>
      <c r="O133" s="70">
        <v>5.3164999999999992E-3</v>
      </c>
      <c r="P133" s="70">
        <v>9.8428813559322034E-3</v>
      </c>
      <c r="Q133" s="2"/>
      <c r="R133" s="2"/>
      <c r="S133" s="2"/>
      <c r="T133" s="2"/>
      <c r="U133" s="2"/>
      <c r="V133" s="2"/>
    </row>
    <row r="134" spans="1:22" ht="4.5" customHeight="1">
      <c r="A134" s="1"/>
      <c r="B134" s="2"/>
      <c r="C134" s="1"/>
      <c r="D134" s="15"/>
      <c r="E134" s="15"/>
      <c r="F134" s="15"/>
      <c r="G134" s="15"/>
      <c r="H134" s="15"/>
      <c r="I134" s="15"/>
      <c r="J134" s="15"/>
      <c r="K134" s="15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</row>
    <row r="135" spans="1:22" ht="4.5" customHeight="1">
      <c r="A135" s="1"/>
      <c r="B135" s="2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</row>
    <row r="136" spans="1:22" ht="14.25" customHeight="1" thickBot="1">
      <c r="A136" s="1"/>
      <c r="B136" s="84" t="s">
        <v>103</v>
      </c>
      <c r="C136" s="85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2"/>
      <c r="R136" s="2"/>
      <c r="S136" s="2"/>
      <c r="T136" s="2"/>
      <c r="U136" s="2"/>
      <c r="V136" s="2"/>
    </row>
    <row r="137" spans="1:22" ht="14.25" customHeight="1">
      <c r="A137" s="1"/>
      <c r="B137" s="2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</row>
    <row r="138" spans="1:22" ht="14.25" customHeight="1">
      <c r="A138" s="1"/>
      <c r="B138" s="10" t="s">
        <v>104</v>
      </c>
      <c r="C138" s="11" t="s">
        <v>13</v>
      </c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7">
        <f t="shared" ref="O138:P138" si="44">SUM(O139:O145)</f>
        <v>151292</v>
      </c>
      <c r="P138" s="87">
        <f t="shared" si="44"/>
        <v>170161</v>
      </c>
      <c r="Q138" s="2"/>
      <c r="R138" s="2"/>
      <c r="S138" s="2"/>
      <c r="T138" s="2"/>
      <c r="U138" s="2"/>
      <c r="V138" s="2"/>
    </row>
    <row r="139" spans="1:22" ht="14.25" customHeight="1">
      <c r="A139" s="1"/>
      <c r="B139" s="13" t="s">
        <v>105</v>
      </c>
      <c r="C139" s="1" t="s">
        <v>13</v>
      </c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7">
        <v>99939</v>
      </c>
      <c r="P139" s="87">
        <v>102906</v>
      </c>
      <c r="Q139" s="2"/>
      <c r="R139" s="2"/>
      <c r="S139" s="2"/>
      <c r="T139" s="2"/>
      <c r="U139" s="2"/>
      <c r="V139" s="2"/>
    </row>
    <row r="140" spans="1:22" ht="14.25" customHeight="1">
      <c r="A140" s="1"/>
      <c r="B140" s="13" t="s">
        <v>106</v>
      </c>
      <c r="C140" s="1" t="s">
        <v>13</v>
      </c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7">
        <v>20513</v>
      </c>
      <c r="P140" s="87">
        <v>24360</v>
      </c>
      <c r="Q140" s="2"/>
      <c r="R140" s="2"/>
      <c r="S140" s="2"/>
      <c r="T140" s="2"/>
      <c r="U140" s="2"/>
      <c r="V140" s="2"/>
    </row>
    <row r="141" spans="1:22" ht="14.25" customHeight="1">
      <c r="A141" s="1"/>
      <c r="B141" s="13" t="s">
        <v>107</v>
      </c>
      <c r="C141" s="1" t="s">
        <v>13</v>
      </c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7">
        <v>6198</v>
      </c>
      <c r="P141" s="87">
        <v>13423</v>
      </c>
      <c r="Q141" s="2"/>
      <c r="R141" s="2"/>
      <c r="S141" s="2"/>
      <c r="T141" s="2"/>
      <c r="U141" s="2"/>
      <c r="V141" s="2"/>
    </row>
    <row r="142" spans="1:22" ht="14.25" customHeight="1">
      <c r="A142" s="1"/>
      <c r="B142" s="13" t="s">
        <v>108</v>
      </c>
      <c r="C142" s="1" t="s">
        <v>13</v>
      </c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7">
        <v>17713</v>
      </c>
      <c r="P142" s="87">
        <v>19577</v>
      </c>
      <c r="Q142" s="2"/>
      <c r="R142" s="2"/>
      <c r="S142" s="2"/>
      <c r="T142" s="2"/>
      <c r="U142" s="2"/>
      <c r="V142" s="2"/>
    </row>
    <row r="143" spans="1:22" ht="14.25" customHeight="1">
      <c r="A143" s="1"/>
      <c r="B143" s="13" t="s">
        <v>109</v>
      </c>
      <c r="C143" s="1" t="s">
        <v>13</v>
      </c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7">
        <v>2858</v>
      </c>
      <c r="P143" s="87">
        <v>3833</v>
      </c>
      <c r="Q143" s="2"/>
      <c r="R143" s="2"/>
      <c r="S143" s="2"/>
      <c r="T143" s="2"/>
      <c r="U143" s="2"/>
      <c r="V143" s="2"/>
    </row>
    <row r="144" spans="1:22" ht="14.25" customHeight="1">
      <c r="A144" s="1"/>
      <c r="B144" s="13" t="s">
        <v>110</v>
      </c>
      <c r="C144" s="1" t="s">
        <v>13</v>
      </c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7">
        <v>1615</v>
      </c>
      <c r="P144" s="87">
        <v>2710</v>
      </c>
      <c r="Q144" s="2"/>
      <c r="R144" s="2"/>
      <c r="S144" s="2"/>
      <c r="T144" s="2"/>
      <c r="U144" s="2"/>
      <c r="V144" s="2"/>
    </row>
    <row r="145" spans="1:22" ht="14.25" customHeight="1">
      <c r="A145" s="1"/>
      <c r="B145" s="13" t="s">
        <v>111</v>
      </c>
      <c r="C145" s="1" t="s">
        <v>13</v>
      </c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7">
        <v>2456</v>
      </c>
      <c r="P145" s="87">
        <f>3217+135</f>
        <v>3352</v>
      </c>
      <c r="Q145" s="2"/>
      <c r="R145" s="2"/>
      <c r="S145" s="2"/>
      <c r="T145" s="2"/>
      <c r="U145" s="2"/>
      <c r="V145" s="2"/>
    </row>
    <row r="146" spans="1:22" ht="4.5" customHeight="1">
      <c r="A146" s="1"/>
      <c r="B146" s="13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88"/>
      <c r="P146" s="88"/>
      <c r="Q146" s="2"/>
      <c r="R146" s="2"/>
      <c r="S146" s="2"/>
      <c r="T146" s="2"/>
      <c r="U146" s="2"/>
      <c r="V146" s="2"/>
    </row>
    <row r="147" spans="1:22" ht="14.25" customHeight="1">
      <c r="A147" s="1"/>
      <c r="B147" s="2" t="s">
        <v>112</v>
      </c>
      <c r="C147" s="1"/>
      <c r="D147" s="39" t="str">
        <f t="shared" ref="D147:L147" si="45">IFERROR((D142+D143+D144+D145)/D138,"")</f>
        <v/>
      </c>
      <c r="E147" s="39" t="str">
        <f t="shared" si="45"/>
        <v/>
      </c>
      <c r="F147" s="39" t="str">
        <f t="shared" si="45"/>
        <v/>
      </c>
      <c r="G147" s="39" t="str">
        <f t="shared" si="45"/>
        <v/>
      </c>
      <c r="H147" s="39" t="str">
        <f t="shared" si="45"/>
        <v/>
      </c>
      <c r="I147" s="39" t="str">
        <f t="shared" si="45"/>
        <v/>
      </c>
      <c r="J147" s="39" t="str">
        <f t="shared" si="45"/>
        <v/>
      </c>
      <c r="K147" s="39" t="str">
        <f t="shared" si="45"/>
        <v/>
      </c>
      <c r="L147" s="39" t="str">
        <f t="shared" si="45"/>
        <v/>
      </c>
      <c r="M147" s="39"/>
      <c r="N147" s="39"/>
      <c r="O147" s="79">
        <f t="shared" ref="O147:P147" si="46">IFERROR((O142+O143+O144+O145)/O138,"")</f>
        <v>0.16287708537133491</v>
      </c>
      <c r="P147" s="79">
        <f t="shared" si="46"/>
        <v>0.17320067465517949</v>
      </c>
      <c r="Q147" s="2"/>
      <c r="R147" s="2"/>
      <c r="S147" s="2"/>
      <c r="T147" s="2"/>
      <c r="U147" s="2"/>
      <c r="V147" s="2"/>
    </row>
    <row r="148" spans="1:22" ht="4.5" customHeight="1">
      <c r="A148" s="1"/>
      <c r="B148" s="2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88"/>
      <c r="P148" s="88"/>
      <c r="Q148" s="2"/>
      <c r="R148" s="2"/>
      <c r="S148" s="2"/>
      <c r="T148" s="2"/>
      <c r="U148" s="2"/>
      <c r="V148" s="2"/>
    </row>
    <row r="149" spans="1:22" ht="14.25" customHeight="1">
      <c r="A149" s="1"/>
      <c r="B149" s="33" t="s">
        <v>3</v>
      </c>
      <c r="C149" s="59" t="s">
        <v>4</v>
      </c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89">
        <f t="shared" ref="O149:P149" si="47">SUM(O150:O156)</f>
        <v>4205.7577498310011</v>
      </c>
      <c r="P149" s="89">
        <f t="shared" si="47"/>
        <v>4538.7700000000004</v>
      </c>
      <c r="Q149" s="2"/>
      <c r="R149" s="2"/>
      <c r="S149" s="2"/>
      <c r="T149" s="2"/>
      <c r="U149" s="2"/>
      <c r="V149" s="2"/>
    </row>
    <row r="150" spans="1:22" ht="14.25" customHeight="1">
      <c r="A150" s="1"/>
      <c r="B150" s="13" t="s">
        <v>105</v>
      </c>
      <c r="C150" s="1" t="s">
        <v>4</v>
      </c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7">
        <v>2071.6091489099999</v>
      </c>
      <c r="P150" s="87">
        <v>2046.94</v>
      </c>
      <c r="Q150" s="2"/>
      <c r="R150" s="26"/>
      <c r="S150" s="2"/>
      <c r="T150" s="2"/>
      <c r="U150" s="2"/>
      <c r="V150" s="2"/>
    </row>
    <row r="151" spans="1:22" ht="14.25" customHeight="1">
      <c r="A151" s="1"/>
      <c r="B151" s="13" t="s">
        <v>106</v>
      </c>
      <c r="C151" s="1" t="s">
        <v>4</v>
      </c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7">
        <v>675.59256386200002</v>
      </c>
      <c r="P151" s="87">
        <v>797.03</v>
      </c>
      <c r="Q151" s="2"/>
      <c r="R151" s="26"/>
      <c r="S151" s="2"/>
      <c r="T151" s="2"/>
      <c r="U151" s="2"/>
      <c r="V151" s="2"/>
    </row>
    <row r="152" spans="1:22" ht="14.25" customHeight="1">
      <c r="A152" s="1"/>
      <c r="B152" s="13" t="s">
        <v>107</v>
      </c>
      <c r="C152" s="1" t="s">
        <v>4</v>
      </c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7">
        <v>10.380501422</v>
      </c>
      <c r="P152" s="87">
        <v>28.62</v>
      </c>
      <c r="Q152" s="2"/>
      <c r="R152" s="26"/>
      <c r="S152" s="2"/>
      <c r="T152" s="2"/>
      <c r="U152" s="2"/>
      <c r="V152" s="2"/>
    </row>
    <row r="153" spans="1:22" ht="14.25" customHeight="1">
      <c r="A153" s="1"/>
      <c r="B153" s="13" t="s">
        <v>108</v>
      </c>
      <c r="C153" s="1" t="s">
        <v>4</v>
      </c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7">
        <v>1193.732336925</v>
      </c>
      <c r="P153" s="87">
        <v>1311.585</v>
      </c>
      <c r="Q153" s="2"/>
      <c r="R153" s="26"/>
      <c r="S153" s="2"/>
      <c r="T153" s="2"/>
      <c r="U153" s="2"/>
      <c r="V153" s="2"/>
    </row>
    <row r="154" spans="1:22" ht="14.25" customHeight="1">
      <c r="A154" s="1"/>
      <c r="B154" s="13" t="s">
        <v>109</v>
      </c>
      <c r="C154" s="1" t="s">
        <v>4</v>
      </c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7">
        <v>49.008634174999997</v>
      </c>
      <c r="P154" s="87">
        <v>66.896000000000001</v>
      </c>
      <c r="Q154" s="2"/>
      <c r="R154" s="26"/>
      <c r="S154" s="2"/>
      <c r="T154" s="2"/>
      <c r="U154" s="2"/>
      <c r="V154" s="2"/>
    </row>
    <row r="155" spans="1:22" ht="14.25" customHeight="1">
      <c r="A155" s="1"/>
      <c r="B155" s="13" t="s">
        <v>110</v>
      </c>
      <c r="C155" s="1" t="s">
        <v>4</v>
      </c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7">
        <v>53.077343586000005</v>
      </c>
      <c r="P155" s="87">
        <v>86.144999999999996</v>
      </c>
      <c r="Q155" s="2"/>
      <c r="R155" s="26"/>
      <c r="S155" s="2"/>
      <c r="T155" s="2"/>
      <c r="U155" s="2"/>
      <c r="V155" s="2"/>
    </row>
    <row r="156" spans="1:22" ht="14.25" customHeight="1">
      <c r="A156" s="1"/>
      <c r="B156" s="13" t="s">
        <v>111</v>
      </c>
      <c r="C156" s="1" t="s">
        <v>4</v>
      </c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7">
        <v>152.35722095099999</v>
      </c>
      <c r="P156" s="87">
        <v>201.554</v>
      </c>
      <c r="Q156" s="2"/>
      <c r="R156" s="26"/>
      <c r="S156" s="2"/>
      <c r="T156" s="2"/>
      <c r="U156" s="2"/>
      <c r="V156" s="2"/>
    </row>
    <row r="157" spans="1:22" ht="4.5" customHeight="1">
      <c r="A157" s="1"/>
      <c r="B157" s="2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88"/>
      <c r="P157" s="88"/>
      <c r="Q157" s="2"/>
      <c r="R157" s="2"/>
      <c r="S157" s="2"/>
      <c r="T157" s="2"/>
      <c r="U157" s="2"/>
      <c r="V157" s="2"/>
    </row>
    <row r="158" spans="1:22" ht="14.25" customHeight="1" thickBot="1">
      <c r="A158" s="1"/>
      <c r="B158" s="40" t="s">
        <v>113</v>
      </c>
      <c r="C158" s="41" t="s">
        <v>1</v>
      </c>
      <c r="D158" s="6">
        <v>45658</v>
      </c>
      <c r="E158" s="6">
        <f t="shared" ref="E158:P158" si="48">EDATE(D158,1)</f>
        <v>45689</v>
      </c>
      <c r="F158" s="6">
        <f t="shared" si="48"/>
        <v>45717</v>
      </c>
      <c r="G158" s="6">
        <f t="shared" si="48"/>
        <v>45748</v>
      </c>
      <c r="H158" s="6">
        <f t="shared" si="48"/>
        <v>45778</v>
      </c>
      <c r="I158" s="6">
        <f t="shared" si="48"/>
        <v>45809</v>
      </c>
      <c r="J158" s="6">
        <f t="shared" si="48"/>
        <v>45839</v>
      </c>
      <c r="K158" s="6">
        <f t="shared" si="48"/>
        <v>45870</v>
      </c>
      <c r="L158" s="6">
        <f t="shared" si="48"/>
        <v>45901</v>
      </c>
      <c r="M158" s="6">
        <f t="shared" si="48"/>
        <v>45931</v>
      </c>
      <c r="N158" s="6">
        <f t="shared" si="48"/>
        <v>45962</v>
      </c>
      <c r="O158" s="6">
        <f t="shared" si="48"/>
        <v>45992</v>
      </c>
      <c r="P158" s="6">
        <f t="shared" si="48"/>
        <v>46023</v>
      </c>
      <c r="Q158" s="2"/>
      <c r="R158" s="2"/>
      <c r="S158" s="2"/>
      <c r="T158" s="2"/>
      <c r="U158" s="2"/>
      <c r="V158" s="2"/>
    </row>
    <row r="159" spans="1:22" ht="14.25" customHeight="1">
      <c r="A159" s="1"/>
      <c r="B159" s="13" t="s">
        <v>114</v>
      </c>
      <c r="C159" s="73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2"/>
      <c r="R159" s="2"/>
      <c r="S159" s="2"/>
      <c r="T159" s="2"/>
      <c r="U159" s="2"/>
      <c r="V159" s="2"/>
    </row>
    <row r="160" spans="1:22" ht="14.25" customHeight="1">
      <c r="A160" s="1"/>
      <c r="B160" s="13" t="s">
        <v>115</v>
      </c>
      <c r="C160" s="73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2"/>
      <c r="R160" s="2"/>
      <c r="S160" s="2"/>
      <c r="T160" s="2"/>
      <c r="U160" s="2"/>
      <c r="V160" s="2"/>
    </row>
    <row r="161" spans="1:22" ht="14.25" customHeight="1">
      <c r="A161" s="1"/>
      <c r="B161" s="2" t="s">
        <v>116</v>
      </c>
      <c r="C161" s="1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2"/>
      <c r="R161" s="2"/>
      <c r="S161" s="2"/>
      <c r="T161" s="2"/>
      <c r="U161" s="2"/>
      <c r="V161" s="2"/>
    </row>
    <row r="162" spans="1:22" ht="14.25" customHeight="1">
      <c r="A162" s="1"/>
      <c r="B162" s="2" t="s">
        <v>117</v>
      </c>
      <c r="C162" s="1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2"/>
      <c r="R162" s="2"/>
      <c r="S162" s="2"/>
      <c r="T162" s="2"/>
      <c r="U162" s="2"/>
      <c r="V162" s="2"/>
    </row>
    <row r="163" spans="1:22" ht="14.25" customHeight="1">
      <c r="A163" s="1"/>
      <c r="B163" s="2" t="s">
        <v>118</v>
      </c>
      <c r="C163" s="1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2"/>
      <c r="R163" s="2"/>
      <c r="S163" s="2"/>
      <c r="T163" s="2"/>
      <c r="U163" s="2"/>
      <c r="V163" s="2"/>
    </row>
    <row r="164" spans="1:22" ht="14.25" customHeight="1">
      <c r="A164" s="1"/>
      <c r="B164" s="49" t="s">
        <v>119</v>
      </c>
      <c r="C164" s="50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2"/>
      <c r="R164" s="2"/>
      <c r="S164" s="2"/>
      <c r="T164" s="2"/>
      <c r="U164" s="2"/>
      <c r="V164" s="2"/>
    </row>
    <row r="166" spans="1:22" ht="14.25" customHeight="1">
      <c r="A166" s="1"/>
      <c r="B166" s="33" t="s">
        <v>120</v>
      </c>
      <c r="C166" s="90" t="s">
        <v>13</v>
      </c>
      <c r="D166" s="91">
        <f t="shared" ref="D166:P166" si="49">D21</f>
        <v>20202</v>
      </c>
      <c r="E166" s="91">
        <f t="shared" si="49"/>
        <v>21958</v>
      </c>
      <c r="F166" s="91">
        <f t="shared" si="49"/>
        <v>23305</v>
      </c>
      <c r="G166" s="91">
        <f t="shared" si="49"/>
        <v>25771</v>
      </c>
      <c r="H166" s="91">
        <f t="shared" si="49"/>
        <v>27574</v>
      </c>
      <c r="I166" s="91">
        <f t="shared" si="49"/>
        <v>31694</v>
      </c>
      <c r="J166" s="91">
        <f t="shared" si="49"/>
        <v>31939</v>
      </c>
      <c r="K166" s="91">
        <f t="shared" si="49"/>
        <v>32291</v>
      </c>
      <c r="L166" s="91">
        <f t="shared" si="49"/>
        <v>37888</v>
      </c>
      <c r="M166" s="91">
        <f t="shared" si="49"/>
        <v>45471</v>
      </c>
      <c r="N166" s="91">
        <f t="shared" si="49"/>
        <v>48366</v>
      </c>
      <c r="O166" s="91">
        <f t="shared" si="49"/>
        <v>57246</v>
      </c>
      <c r="P166" s="91">
        <f t="shared" si="49"/>
        <v>73322</v>
      </c>
      <c r="Q166" s="2"/>
      <c r="R166" s="2"/>
      <c r="S166" s="2"/>
      <c r="T166" s="2"/>
      <c r="U166" s="2"/>
      <c r="V166" s="2"/>
    </row>
    <row r="167" spans="1:22" ht="14.25" customHeight="1">
      <c r="A167" s="1"/>
      <c r="B167" s="20" t="s">
        <v>121</v>
      </c>
      <c r="C167" s="92" t="s">
        <v>13</v>
      </c>
      <c r="D167" s="15">
        <f t="shared" ref="D167:P167" si="50">D54</f>
        <v>18357</v>
      </c>
      <c r="E167" s="15">
        <f t="shared" si="50"/>
        <v>20013</v>
      </c>
      <c r="F167" s="15">
        <f t="shared" si="50"/>
        <v>20730</v>
      </c>
      <c r="G167" s="15">
        <f t="shared" si="50"/>
        <v>22613</v>
      </c>
      <c r="H167" s="15">
        <f t="shared" si="50"/>
        <v>23644</v>
      </c>
      <c r="I167" s="15">
        <f t="shared" si="50"/>
        <v>26970</v>
      </c>
      <c r="J167" s="15">
        <f t="shared" si="50"/>
        <v>25139</v>
      </c>
      <c r="K167" s="15">
        <f t="shared" si="50"/>
        <v>25853</v>
      </c>
      <c r="L167" s="15">
        <f t="shared" si="50"/>
        <v>30260</v>
      </c>
      <c r="M167" s="15">
        <f t="shared" si="50"/>
        <v>32866</v>
      </c>
      <c r="N167" s="15">
        <f t="shared" si="50"/>
        <v>33545</v>
      </c>
      <c r="O167" s="15">
        <f t="shared" si="50"/>
        <v>35804</v>
      </c>
      <c r="P167" s="15">
        <f t="shared" si="50"/>
        <v>38831</v>
      </c>
      <c r="Q167" s="2"/>
      <c r="R167" s="2"/>
      <c r="S167" s="2"/>
      <c r="T167" s="2"/>
      <c r="U167" s="2"/>
      <c r="V167" s="2"/>
    </row>
    <row r="168" spans="1:22" ht="14.25" customHeight="1">
      <c r="A168" s="1"/>
      <c r="B168" s="20" t="s">
        <v>122</v>
      </c>
      <c r="C168" s="92" t="s">
        <v>13</v>
      </c>
      <c r="D168" s="15">
        <f t="shared" ref="D168:P168" si="51">D101</f>
        <v>2482</v>
      </c>
      <c r="E168" s="15">
        <f t="shared" si="51"/>
        <v>2698</v>
      </c>
      <c r="F168" s="15">
        <f t="shared" si="51"/>
        <v>3468</v>
      </c>
      <c r="G168" s="15">
        <f t="shared" si="51"/>
        <v>3981</v>
      </c>
      <c r="H168" s="15">
        <f t="shared" si="51"/>
        <v>5127</v>
      </c>
      <c r="I168" s="15">
        <f t="shared" si="51"/>
        <v>6262</v>
      </c>
      <c r="J168" s="15">
        <f t="shared" si="51"/>
        <v>7838</v>
      </c>
      <c r="K168" s="15">
        <f t="shared" si="51"/>
        <v>7529</v>
      </c>
      <c r="L168" s="15">
        <f t="shared" si="51"/>
        <v>8174</v>
      </c>
      <c r="M168" s="15">
        <f t="shared" si="51"/>
        <v>10901</v>
      </c>
      <c r="N168" s="15">
        <f t="shared" si="51"/>
        <v>12425</v>
      </c>
      <c r="O168" s="15">
        <f t="shared" si="51"/>
        <v>14103</v>
      </c>
      <c r="P168" s="15">
        <f t="shared" si="51"/>
        <v>16899</v>
      </c>
      <c r="Q168" s="2"/>
      <c r="R168" s="2"/>
      <c r="S168" s="2"/>
      <c r="T168" s="2"/>
      <c r="U168" s="2"/>
      <c r="V168" s="2"/>
    </row>
    <row r="169" spans="1:22" ht="14.25" customHeight="1">
      <c r="A169" s="1"/>
      <c r="B169" s="20" t="s">
        <v>123</v>
      </c>
      <c r="C169" s="92" t="s">
        <v>13</v>
      </c>
      <c r="D169" s="15">
        <f t="shared" ref="D169:P169" si="52">D124</f>
        <v>0</v>
      </c>
      <c r="E169" s="15">
        <f t="shared" si="52"/>
        <v>0</v>
      </c>
      <c r="F169" s="15">
        <f t="shared" si="52"/>
        <v>0</v>
      </c>
      <c r="G169" s="15">
        <f t="shared" si="52"/>
        <v>0</v>
      </c>
      <c r="H169" s="15">
        <f t="shared" si="52"/>
        <v>0</v>
      </c>
      <c r="I169" s="15">
        <f t="shared" si="52"/>
        <v>0</v>
      </c>
      <c r="J169" s="15">
        <f t="shared" si="52"/>
        <v>0</v>
      </c>
      <c r="K169" s="15">
        <f t="shared" si="52"/>
        <v>0</v>
      </c>
      <c r="L169" s="15">
        <f t="shared" si="52"/>
        <v>88</v>
      </c>
      <c r="M169" s="15">
        <f t="shared" si="52"/>
        <v>3818</v>
      </c>
      <c r="N169" s="15">
        <f t="shared" si="52"/>
        <v>5522</v>
      </c>
      <c r="O169" s="15">
        <f t="shared" si="52"/>
        <v>10221</v>
      </c>
      <c r="P169" s="15">
        <f t="shared" si="52"/>
        <v>20199</v>
      </c>
      <c r="Q169" s="2"/>
      <c r="R169" s="2"/>
      <c r="S169" s="2"/>
      <c r="T169" s="2"/>
      <c r="U169" s="2"/>
      <c r="V169" s="2"/>
    </row>
    <row r="170" spans="1:22" ht="14.25" customHeight="1">
      <c r="A170" s="1"/>
      <c r="B170" s="2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</row>
    <row r="171" spans="1:22" ht="14.25" customHeight="1">
      <c r="A171" s="1"/>
      <c r="B171" s="62"/>
      <c r="C171" s="2" t="s">
        <v>264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</row>
    <row r="172" spans="1:22" ht="14.25" customHeight="1">
      <c r="A172" s="1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</row>
    <row r="173" spans="1:22" ht="14.25" customHeight="1">
      <c r="A173" s="1"/>
      <c r="B173" s="2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</row>
    <row r="174" spans="1:22" ht="14.25" customHeight="1">
      <c r="A174" s="1"/>
      <c r="B174" s="2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</row>
    <row r="175" spans="1:22" ht="14.25" customHeight="1">
      <c r="A175" s="1"/>
      <c r="B175" s="2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</row>
    <row r="176" spans="1:22" ht="14.25" customHeight="1">
      <c r="A176" s="1"/>
      <c r="B176" s="2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</row>
    <row r="177" spans="1:22" ht="14.25" customHeight="1">
      <c r="A177" s="1"/>
      <c r="B177" s="2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</row>
    <row r="178" spans="1:22" ht="14.25" customHeight="1">
      <c r="A178" s="1"/>
      <c r="B178" s="2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</row>
    <row r="179" spans="1:22" ht="14.25" customHeight="1">
      <c r="A179" s="1"/>
      <c r="B179" s="2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</row>
    <row r="180" spans="1:22" ht="14.25" customHeight="1">
      <c r="A180" s="1"/>
      <c r="B180" s="2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</row>
    <row r="181" spans="1:22" ht="14.25" customHeight="1">
      <c r="A181" s="1"/>
      <c r="B181" s="2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</row>
    <row r="182" spans="1:22" ht="14.25" customHeight="1">
      <c r="A182" s="1"/>
      <c r="B182" s="2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</row>
    <row r="183" spans="1:22" ht="14.25" customHeight="1">
      <c r="A183" s="1"/>
      <c r="B183" s="2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</row>
    <row r="184" spans="1:22" ht="14.25" customHeight="1">
      <c r="A184" s="1"/>
      <c r="B184" s="2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</row>
    <row r="185" spans="1:22" ht="14.25" customHeight="1">
      <c r="A185" s="1"/>
      <c r="B185" s="2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</row>
    <row r="186" spans="1:22" ht="14.25" customHeight="1">
      <c r="A186" s="1"/>
      <c r="B186" s="2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</row>
    <row r="187" spans="1:22" ht="14.25" customHeight="1">
      <c r="A187" s="1"/>
      <c r="B187" s="2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</row>
    <row r="188" spans="1:22" ht="14.25" customHeight="1">
      <c r="A188" s="1"/>
      <c r="B188" s="2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</row>
    <row r="189" spans="1:22" ht="14.25" customHeight="1">
      <c r="A189" s="1"/>
      <c r="B189" s="2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</row>
    <row r="190" spans="1:22" ht="14.25" customHeight="1">
      <c r="A190" s="1"/>
      <c r="B190" s="2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</row>
    <row r="191" spans="1:22" ht="14.25" customHeight="1">
      <c r="A191" s="1"/>
      <c r="B191" s="2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</row>
    <row r="192" spans="1:22" ht="14.25" customHeight="1">
      <c r="A192" s="1"/>
      <c r="B192" s="2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</row>
    <row r="193" spans="1:22" ht="14.25" customHeight="1">
      <c r="A193" s="1"/>
      <c r="B193" s="2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</row>
    <row r="194" spans="1:22" ht="14.25" customHeight="1">
      <c r="A194" s="1"/>
      <c r="B194" s="2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</row>
    <row r="195" spans="1:22" ht="14.25" customHeight="1">
      <c r="A195" s="1"/>
      <c r="B195" s="2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</row>
    <row r="196" spans="1:22" ht="14.25" customHeight="1">
      <c r="A196" s="1"/>
      <c r="B196" s="2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</row>
    <row r="197" spans="1:22" ht="14.25" customHeight="1">
      <c r="A197" s="1"/>
      <c r="B197" s="2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</row>
    <row r="198" spans="1:22" ht="14.25" customHeight="1">
      <c r="A198" s="1"/>
      <c r="B198" s="2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</row>
    <row r="199" spans="1:22" ht="14.25" customHeight="1">
      <c r="A199" s="1"/>
      <c r="B199" s="2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</row>
    <row r="200" spans="1:22" ht="14.25" customHeight="1">
      <c r="A200" s="1"/>
      <c r="B200" s="2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</row>
    <row r="201" spans="1:22" ht="14.25" customHeight="1">
      <c r="A201" s="1"/>
      <c r="B201" s="2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</row>
    <row r="202" spans="1:22" ht="14.25" customHeight="1">
      <c r="A202" s="1"/>
      <c r="B202" s="2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</row>
    <row r="203" spans="1:22" ht="14.25" customHeight="1">
      <c r="A203" s="1"/>
      <c r="B203" s="2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</row>
    <row r="204" spans="1:22" ht="14.25" customHeight="1">
      <c r="A204" s="1"/>
      <c r="B204" s="2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</row>
    <row r="205" spans="1:22" ht="14.25" customHeight="1">
      <c r="A205" s="1"/>
      <c r="B205" s="2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</row>
    <row r="206" spans="1:22" ht="14.25" customHeight="1">
      <c r="A206" s="1"/>
      <c r="B206" s="2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</row>
    <row r="207" spans="1:22" ht="14.25" customHeight="1">
      <c r="A207" s="1"/>
      <c r="B207" s="2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</row>
    <row r="208" spans="1:22" ht="14.25" customHeight="1">
      <c r="A208" s="1"/>
      <c r="B208" s="2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</row>
    <row r="209" spans="1:22" ht="14.25" customHeight="1">
      <c r="A209" s="1"/>
      <c r="B209" s="2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</row>
    <row r="210" spans="1:22" ht="14.25" customHeight="1">
      <c r="A210" s="1"/>
      <c r="B210" s="2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</row>
    <row r="211" spans="1:22" ht="14.25" customHeight="1">
      <c r="A211" s="1"/>
      <c r="B211" s="2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</row>
    <row r="212" spans="1:22" ht="14.25" customHeight="1">
      <c r="A212" s="1"/>
      <c r="B212" s="2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</row>
    <row r="213" spans="1:22" ht="14.25" customHeight="1">
      <c r="A213" s="1"/>
      <c r="B213" s="2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</row>
    <row r="214" spans="1:22" ht="14.25" customHeight="1">
      <c r="A214" s="1"/>
      <c r="B214" s="2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</row>
    <row r="215" spans="1:22" ht="14.25" customHeight="1">
      <c r="A215" s="1"/>
      <c r="B215" s="2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</row>
    <row r="216" spans="1:22" ht="14.25" customHeight="1">
      <c r="A216" s="1"/>
      <c r="B216" s="2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</row>
    <row r="217" spans="1:22" ht="14.25" customHeight="1">
      <c r="A217" s="1"/>
      <c r="B217" s="2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</row>
    <row r="218" spans="1:22" ht="14.25" customHeight="1">
      <c r="A218" s="1"/>
      <c r="B218" s="2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</row>
    <row r="219" spans="1:22" ht="14.25" customHeight="1">
      <c r="A219" s="1"/>
      <c r="B219" s="2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</row>
    <row r="220" spans="1:22" ht="14.25" customHeight="1">
      <c r="A220" s="1"/>
      <c r="B220" s="2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</row>
    <row r="221" spans="1:22" ht="14.25" customHeight="1">
      <c r="A221" s="1"/>
      <c r="B221" s="2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</row>
    <row r="222" spans="1:22" ht="14.25" customHeight="1">
      <c r="A222" s="1"/>
      <c r="B222" s="2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</row>
    <row r="223" spans="1:22" ht="14.25" customHeight="1">
      <c r="A223" s="1"/>
      <c r="B223" s="2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</row>
    <row r="224" spans="1:22" ht="14.25" customHeight="1">
      <c r="A224" s="1"/>
      <c r="B224" s="2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</row>
    <row r="225" spans="1:22" ht="14.25" customHeight="1">
      <c r="A225" s="1"/>
      <c r="B225" s="2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</row>
    <row r="226" spans="1:22" ht="14.25" customHeight="1">
      <c r="A226" s="1"/>
      <c r="B226" s="2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</row>
    <row r="227" spans="1:22" ht="14.25" customHeight="1">
      <c r="A227" s="1"/>
      <c r="B227" s="2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</row>
    <row r="228" spans="1:22" ht="14.25" customHeight="1">
      <c r="A228" s="1"/>
      <c r="B228" s="2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</row>
    <row r="229" spans="1:22" ht="14.25" customHeight="1">
      <c r="A229" s="1"/>
      <c r="B229" s="2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</row>
    <row r="230" spans="1:22" ht="14.25" customHeight="1">
      <c r="A230" s="1"/>
      <c r="B230" s="2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</row>
    <row r="231" spans="1:22" ht="14.25" customHeight="1">
      <c r="A231" s="1"/>
      <c r="B231" s="2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</row>
    <row r="232" spans="1:22" ht="14.25" customHeight="1">
      <c r="A232" s="1"/>
      <c r="B232" s="2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</row>
    <row r="233" spans="1:22" ht="14.25" customHeight="1">
      <c r="A233" s="1"/>
      <c r="B233" s="2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</row>
    <row r="234" spans="1:22" ht="14.25" customHeight="1">
      <c r="A234" s="1"/>
      <c r="B234" s="2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</row>
    <row r="235" spans="1:22" ht="14.25" customHeight="1">
      <c r="A235" s="1"/>
      <c r="B235" s="2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</row>
    <row r="236" spans="1:22" ht="14.25" customHeight="1">
      <c r="A236" s="1"/>
      <c r="B236" s="2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</row>
    <row r="237" spans="1:22" ht="14.25" customHeight="1">
      <c r="A237" s="1"/>
      <c r="B237" s="2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</row>
    <row r="238" spans="1:22" ht="14.25" customHeight="1">
      <c r="A238" s="1"/>
      <c r="B238" s="2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</row>
    <row r="239" spans="1:22" ht="14.25" customHeight="1">
      <c r="A239" s="1"/>
      <c r="B239" s="2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</row>
    <row r="240" spans="1:22" ht="14.25" customHeight="1">
      <c r="A240" s="1"/>
      <c r="B240" s="2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</row>
    <row r="241" spans="1:22" ht="14.25" customHeight="1">
      <c r="A241" s="1"/>
      <c r="B241" s="2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</row>
    <row r="242" spans="1:22" ht="14.25" customHeight="1">
      <c r="A242" s="1"/>
      <c r="B242" s="2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</row>
    <row r="243" spans="1:22" ht="14.25" customHeight="1">
      <c r="A243" s="1"/>
      <c r="B243" s="2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</row>
    <row r="244" spans="1:22" ht="14.25" customHeight="1">
      <c r="A244" s="1"/>
      <c r="B244" s="2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</row>
    <row r="245" spans="1:22" ht="14.25" customHeight="1">
      <c r="A245" s="1"/>
      <c r="B245" s="2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</row>
    <row r="246" spans="1:22" ht="14.25" customHeight="1">
      <c r="A246" s="1"/>
      <c r="B246" s="2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</row>
    <row r="247" spans="1:22" ht="14.25" customHeight="1">
      <c r="A247" s="1"/>
      <c r="B247" s="2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</row>
    <row r="248" spans="1:22" ht="14.25" customHeight="1">
      <c r="A248" s="1"/>
      <c r="B248" s="2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</row>
    <row r="249" spans="1:22" ht="14.25" customHeight="1">
      <c r="A249" s="1"/>
      <c r="B249" s="2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</row>
    <row r="250" spans="1:22" ht="14.25" customHeight="1">
      <c r="A250" s="1"/>
      <c r="B250" s="2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</row>
    <row r="251" spans="1:22" ht="14.25" customHeight="1">
      <c r="A251" s="1"/>
      <c r="B251" s="2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</row>
    <row r="252" spans="1:22" ht="14.25" customHeight="1">
      <c r="A252" s="1"/>
      <c r="B252" s="2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</row>
    <row r="253" spans="1:22" ht="14.25" customHeight="1">
      <c r="A253" s="1"/>
      <c r="B253" s="2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</row>
    <row r="254" spans="1:22" ht="14.25" customHeight="1">
      <c r="A254" s="1"/>
      <c r="B254" s="2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</row>
    <row r="255" spans="1:22" ht="14.25" customHeight="1">
      <c r="A255" s="1"/>
      <c r="B255" s="2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</row>
    <row r="256" spans="1:22" ht="14.25" customHeight="1">
      <c r="A256" s="1"/>
      <c r="B256" s="2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</row>
    <row r="257" spans="1:22" ht="14.25" customHeight="1">
      <c r="A257" s="1"/>
      <c r="B257" s="2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</row>
    <row r="258" spans="1:22" ht="14.25" customHeight="1">
      <c r="A258" s="1"/>
      <c r="B258" s="2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</row>
    <row r="259" spans="1:22" ht="14.25" customHeight="1">
      <c r="A259" s="1"/>
      <c r="B259" s="2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</row>
    <row r="260" spans="1:22" ht="14.25" customHeight="1">
      <c r="A260" s="1"/>
      <c r="B260" s="2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</row>
    <row r="261" spans="1:22" ht="14.25" customHeight="1">
      <c r="A261" s="1"/>
      <c r="B261" s="2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</row>
    <row r="262" spans="1:22" ht="14.25" customHeight="1">
      <c r="A262" s="1"/>
      <c r="B262" s="2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</row>
    <row r="263" spans="1:22" ht="14.25" customHeight="1">
      <c r="A263" s="1"/>
      <c r="B263" s="2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</row>
    <row r="264" spans="1:22" ht="14.25" customHeight="1">
      <c r="A264" s="1"/>
      <c r="B264" s="2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</row>
    <row r="265" spans="1:22" ht="14.25" customHeight="1">
      <c r="A265" s="1"/>
      <c r="B265" s="2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</row>
    <row r="266" spans="1:22" ht="14.25" customHeight="1">
      <c r="A266" s="1"/>
      <c r="B266" s="2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</row>
    <row r="267" spans="1:22" ht="14.25" customHeight="1">
      <c r="A267" s="1"/>
      <c r="B267" s="2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</row>
    <row r="268" spans="1:22" ht="14.25" customHeight="1">
      <c r="A268" s="1"/>
      <c r="B268" s="2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</row>
    <row r="269" spans="1:22" ht="14.25" customHeight="1">
      <c r="A269" s="1"/>
      <c r="B269" s="2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</row>
    <row r="270" spans="1:22" ht="14.25" customHeight="1">
      <c r="A270" s="1"/>
      <c r="B270" s="2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</row>
    <row r="271" spans="1:22" ht="14.25" customHeight="1">
      <c r="A271" s="1"/>
      <c r="B271" s="2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</row>
    <row r="272" spans="1:22" ht="14.25" customHeight="1">
      <c r="A272" s="1"/>
      <c r="B272" s="2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</row>
    <row r="273" spans="1:22" ht="14.25" customHeight="1">
      <c r="A273" s="1"/>
      <c r="B273" s="2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</row>
    <row r="274" spans="1:22" ht="14.25" customHeight="1">
      <c r="A274" s="1"/>
      <c r="B274" s="2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</row>
    <row r="275" spans="1:22" ht="14.25" customHeight="1">
      <c r="A275" s="1"/>
      <c r="B275" s="2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</row>
    <row r="276" spans="1:22" ht="14.25" customHeight="1">
      <c r="A276" s="1"/>
      <c r="B276" s="2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</row>
    <row r="277" spans="1:22" ht="14.25" customHeight="1">
      <c r="A277" s="1"/>
      <c r="B277" s="2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</row>
    <row r="278" spans="1:22" ht="14.25" customHeight="1">
      <c r="A278" s="1"/>
      <c r="B278" s="2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</row>
    <row r="279" spans="1:22" ht="14.25" customHeight="1">
      <c r="A279" s="1"/>
      <c r="B279" s="2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</row>
    <row r="280" spans="1:22" ht="14.25" customHeight="1">
      <c r="A280" s="1"/>
      <c r="B280" s="2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</row>
    <row r="281" spans="1:22" ht="14.25" customHeight="1">
      <c r="A281" s="1"/>
      <c r="B281" s="2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</row>
    <row r="282" spans="1:22" ht="14.25" customHeight="1">
      <c r="A282" s="1"/>
      <c r="B282" s="2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</row>
    <row r="283" spans="1:22" ht="14.25" customHeight="1">
      <c r="A283" s="1"/>
      <c r="B283" s="2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</row>
    <row r="284" spans="1:22" ht="14.25" customHeight="1">
      <c r="A284" s="1"/>
      <c r="B284" s="2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</row>
    <row r="285" spans="1:22" ht="14.25" customHeight="1">
      <c r="A285" s="1"/>
      <c r="B285" s="2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</row>
    <row r="286" spans="1:22" ht="14.25" customHeight="1">
      <c r="A286" s="1"/>
      <c r="B286" s="2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</row>
    <row r="287" spans="1:22" ht="14.25" customHeight="1">
      <c r="A287" s="1"/>
      <c r="B287" s="2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</row>
    <row r="288" spans="1:22" ht="14.25" customHeight="1">
      <c r="A288" s="1"/>
      <c r="B288" s="2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</row>
    <row r="289" spans="1:22" ht="14.25" customHeight="1">
      <c r="A289" s="1"/>
      <c r="B289" s="2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</row>
    <row r="290" spans="1:22" ht="14.25" customHeight="1">
      <c r="A290" s="1"/>
      <c r="B290" s="2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</row>
    <row r="291" spans="1:22" ht="14.25" customHeight="1">
      <c r="A291" s="1"/>
      <c r="B291" s="2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</row>
    <row r="292" spans="1:22" ht="14.25" customHeight="1">
      <c r="A292" s="1"/>
      <c r="B292" s="2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</row>
    <row r="293" spans="1:22" ht="14.25" customHeight="1">
      <c r="A293" s="1"/>
      <c r="B293" s="2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</row>
    <row r="294" spans="1:22" ht="14.25" customHeight="1">
      <c r="A294" s="1"/>
      <c r="B294" s="2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</row>
    <row r="295" spans="1:22" ht="14.25" customHeight="1">
      <c r="A295" s="1"/>
      <c r="B295" s="2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</row>
    <row r="296" spans="1:22" ht="14.25" customHeight="1">
      <c r="A296" s="1"/>
      <c r="B296" s="2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</row>
    <row r="297" spans="1:22" ht="14.25" customHeight="1">
      <c r="A297" s="1"/>
      <c r="B297" s="2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</row>
    <row r="298" spans="1:22" ht="14.25" customHeight="1">
      <c r="A298" s="1"/>
      <c r="B298" s="2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</row>
    <row r="299" spans="1:22" ht="14.25" customHeight="1">
      <c r="A299" s="1"/>
      <c r="B299" s="2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</row>
    <row r="300" spans="1:22" ht="14.25" customHeight="1">
      <c r="A300" s="1"/>
      <c r="B300" s="2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</row>
    <row r="301" spans="1:22" ht="14.25" customHeight="1">
      <c r="A301" s="1"/>
      <c r="B301" s="2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</row>
    <row r="302" spans="1:22" ht="14.25" customHeight="1">
      <c r="A302" s="1"/>
      <c r="B302" s="2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</row>
    <row r="303" spans="1:22" ht="14.25" customHeight="1">
      <c r="A303" s="1"/>
      <c r="B303" s="2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</row>
    <row r="304" spans="1:22" ht="14.25" customHeight="1">
      <c r="A304" s="1"/>
      <c r="B304" s="2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</row>
    <row r="305" spans="1:22" ht="14.25" customHeight="1">
      <c r="A305" s="1"/>
      <c r="B305" s="2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</row>
    <row r="306" spans="1:22" ht="14.25" customHeight="1">
      <c r="A306" s="1"/>
      <c r="B306" s="2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</row>
    <row r="307" spans="1:22" ht="14.25" customHeight="1">
      <c r="A307" s="1"/>
      <c r="B307" s="2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</row>
    <row r="308" spans="1:22" ht="14.25" customHeight="1">
      <c r="A308" s="1"/>
      <c r="B308" s="2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</row>
    <row r="309" spans="1:22" ht="14.25" customHeight="1">
      <c r="A309" s="1"/>
      <c r="B309" s="2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</row>
    <row r="310" spans="1:22" ht="14.25" customHeight="1">
      <c r="A310" s="1"/>
      <c r="B310" s="2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</row>
    <row r="311" spans="1:22" ht="14.25" customHeight="1">
      <c r="A311" s="1"/>
      <c r="B311" s="2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</row>
    <row r="312" spans="1:22" ht="14.25" customHeight="1">
      <c r="A312" s="1"/>
      <c r="B312" s="2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</row>
    <row r="313" spans="1:22" ht="14.25" customHeight="1">
      <c r="A313" s="1"/>
      <c r="B313" s="2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</row>
    <row r="314" spans="1:22" ht="14.25" customHeight="1">
      <c r="A314" s="1"/>
      <c r="B314" s="2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</row>
    <row r="315" spans="1:22" ht="14.25" customHeight="1">
      <c r="A315" s="1"/>
      <c r="B315" s="2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</row>
    <row r="316" spans="1:22" ht="14.25" customHeight="1">
      <c r="A316" s="1"/>
      <c r="B316" s="2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</row>
    <row r="317" spans="1:22" ht="14.25" customHeight="1">
      <c r="A317" s="1"/>
      <c r="B317" s="2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</row>
    <row r="318" spans="1:22" ht="14.25" customHeight="1">
      <c r="A318" s="1"/>
      <c r="B318" s="2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</row>
    <row r="319" spans="1:22" ht="14.25" customHeight="1">
      <c r="A319" s="1"/>
      <c r="B319" s="2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</row>
    <row r="320" spans="1:22" ht="14.25" customHeight="1">
      <c r="A320" s="1"/>
      <c r="B320" s="2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</row>
    <row r="321" spans="1:22" ht="14.25" customHeight="1">
      <c r="A321" s="1"/>
      <c r="B321" s="2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</row>
    <row r="322" spans="1:22" ht="14.25" customHeight="1">
      <c r="A322" s="1"/>
      <c r="B322" s="2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</row>
    <row r="323" spans="1:22" ht="14.25" customHeight="1">
      <c r="A323" s="1"/>
      <c r="B323" s="2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</row>
    <row r="324" spans="1:22" ht="14.25" customHeight="1">
      <c r="A324" s="1"/>
      <c r="B324" s="2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</row>
    <row r="325" spans="1:22" ht="14.25" customHeight="1">
      <c r="A325" s="1"/>
      <c r="B325" s="2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</row>
    <row r="326" spans="1:22" ht="14.25" customHeight="1">
      <c r="A326" s="1"/>
      <c r="B326" s="2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2"/>
      <c r="R326" s="2"/>
      <c r="S326" s="2"/>
      <c r="T326" s="2"/>
      <c r="U326" s="2"/>
      <c r="V326" s="2"/>
    </row>
    <row r="327" spans="1:22" ht="14.25" customHeight="1">
      <c r="A327" s="1"/>
      <c r="B327" s="2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2"/>
      <c r="R327" s="2"/>
      <c r="S327" s="2"/>
      <c r="T327" s="2"/>
      <c r="U327" s="2"/>
      <c r="V327" s="2"/>
    </row>
    <row r="328" spans="1:22" ht="14.25" customHeight="1">
      <c r="A328" s="1"/>
      <c r="B328" s="2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2"/>
      <c r="R328" s="2"/>
      <c r="S328" s="2"/>
      <c r="T328" s="2"/>
      <c r="U328" s="2"/>
      <c r="V328" s="2"/>
    </row>
    <row r="329" spans="1:22" ht="14.25" customHeight="1">
      <c r="A329" s="1"/>
      <c r="B329" s="2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2"/>
      <c r="R329" s="2"/>
      <c r="S329" s="2"/>
      <c r="T329" s="2"/>
      <c r="U329" s="2"/>
      <c r="V329" s="2"/>
    </row>
    <row r="330" spans="1:22" ht="14.25" customHeight="1">
      <c r="A330" s="1"/>
      <c r="B330" s="2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2"/>
      <c r="R330" s="2"/>
      <c r="S330" s="2"/>
      <c r="T330" s="2"/>
      <c r="U330" s="2"/>
      <c r="V330" s="2"/>
    </row>
    <row r="331" spans="1:22" ht="14.25" customHeight="1">
      <c r="A331" s="1"/>
      <c r="B331" s="2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2"/>
      <c r="R331" s="2"/>
      <c r="S331" s="2"/>
      <c r="T331" s="2"/>
      <c r="U331" s="2"/>
      <c r="V331" s="2"/>
    </row>
    <row r="332" spans="1:22" ht="14.25" customHeight="1">
      <c r="A332" s="1"/>
      <c r="B332" s="2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2"/>
      <c r="R332" s="2"/>
      <c r="S332" s="2"/>
      <c r="T332" s="2"/>
      <c r="U332" s="2"/>
      <c r="V332" s="2"/>
    </row>
    <row r="333" spans="1:22" ht="14.25" customHeight="1">
      <c r="A333" s="1"/>
      <c r="B333" s="2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2"/>
      <c r="R333" s="2"/>
      <c r="S333" s="2"/>
      <c r="T333" s="2"/>
      <c r="U333" s="2"/>
      <c r="V333" s="2"/>
    </row>
    <row r="334" spans="1:22" ht="14.25" customHeight="1">
      <c r="A334" s="1"/>
      <c r="B334" s="2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2"/>
      <c r="R334" s="2"/>
      <c r="S334" s="2"/>
      <c r="T334" s="2"/>
      <c r="U334" s="2"/>
      <c r="V334" s="2"/>
    </row>
    <row r="335" spans="1:22" ht="14.25" customHeight="1">
      <c r="A335" s="1"/>
      <c r="B335" s="2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2"/>
      <c r="R335" s="2"/>
      <c r="S335" s="2"/>
      <c r="T335" s="2"/>
      <c r="U335" s="2"/>
      <c r="V335" s="2"/>
    </row>
    <row r="336" spans="1:22" ht="14.25" customHeight="1">
      <c r="A336" s="1"/>
      <c r="B336" s="2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2"/>
      <c r="R336" s="2"/>
      <c r="S336" s="2"/>
      <c r="T336" s="2"/>
      <c r="U336" s="2"/>
      <c r="V336" s="2"/>
    </row>
    <row r="337" spans="1:22" ht="14.25" customHeight="1">
      <c r="A337" s="1"/>
      <c r="B337" s="2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2"/>
      <c r="R337" s="2"/>
      <c r="S337" s="2"/>
      <c r="T337" s="2"/>
      <c r="U337" s="2"/>
      <c r="V337" s="2"/>
    </row>
    <row r="338" spans="1:22" ht="14.25" customHeight="1">
      <c r="A338" s="1"/>
      <c r="B338" s="2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2"/>
      <c r="R338" s="2"/>
      <c r="S338" s="2"/>
      <c r="T338" s="2"/>
      <c r="U338" s="2"/>
      <c r="V338" s="2"/>
    </row>
    <row r="339" spans="1:22" ht="14.25" customHeight="1">
      <c r="A339" s="1"/>
      <c r="B339" s="2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2"/>
      <c r="R339" s="2"/>
      <c r="S339" s="2"/>
      <c r="T339" s="2"/>
      <c r="U339" s="2"/>
      <c r="V339" s="2"/>
    </row>
    <row r="340" spans="1:22" ht="14.25" customHeight="1">
      <c r="A340" s="1"/>
      <c r="B340" s="2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2"/>
      <c r="R340" s="2"/>
      <c r="S340" s="2"/>
      <c r="T340" s="2"/>
      <c r="U340" s="2"/>
      <c r="V340" s="2"/>
    </row>
    <row r="341" spans="1:22" ht="14.25" customHeight="1">
      <c r="A341" s="1"/>
      <c r="B341" s="2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2"/>
      <c r="R341" s="2"/>
      <c r="S341" s="2"/>
      <c r="T341" s="2"/>
      <c r="U341" s="2"/>
      <c r="V341" s="2"/>
    </row>
    <row r="342" spans="1:22" ht="14.25" customHeight="1">
      <c r="A342" s="1"/>
      <c r="B342" s="2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2"/>
      <c r="R342" s="2"/>
      <c r="S342" s="2"/>
      <c r="T342" s="2"/>
      <c r="U342" s="2"/>
      <c r="V342" s="2"/>
    </row>
    <row r="343" spans="1:22" ht="14.25" customHeight="1">
      <c r="A343" s="1"/>
      <c r="B343" s="2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2"/>
      <c r="R343" s="2"/>
      <c r="S343" s="2"/>
      <c r="T343" s="2"/>
      <c r="U343" s="2"/>
      <c r="V343" s="2"/>
    </row>
    <row r="344" spans="1:22" ht="14.25" customHeight="1">
      <c r="A344" s="1"/>
      <c r="B344" s="2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2"/>
      <c r="R344" s="2"/>
      <c r="S344" s="2"/>
      <c r="T344" s="2"/>
      <c r="U344" s="2"/>
      <c r="V344" s="2"/>
    </row>
    <row r="345" spans="1:22" ht="14.25" customHeight="1">
      <c r="A345" s="1"/>
      <c r="B345" s="2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2"/>
      <c r="R345" s="2"/>
      <c r="S345" s="2"/>
      <c r="T345" s="2"/>
      <c r="U345" s="2"/>
      <c r="V345" s="2"/>
    </row>
    <row r="346" spans="1:22" ht="14.25" customHeight="1">
      <c r="A346" s="1"/>
      <c r="B346" s="2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2"/>
      <c r="R346" s="2"/>
      <c r="S346" s="2"/>
      <c r="T346" s="2"/>
      <c r="U346" s="2"/>
      <c r="V346" s="2"/>
    </row>
    <row r="347" spans="1:22" ht="14.25" customHeight="1">
      <c r="A347" s="1"/>
      <c r="B347" s="2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2"/>
      <c r="R347" s="2"/>
      <c r="S347" s="2"/>
      <c r="T347" s="2"/>
      <c r="U347" s="2"/>
      <c r="V347" s="2"/>
    </row>
    <row r="348" spans="1:22" ht="14.25" customHeight="1">
      <c r="A348" s="1"/>
      <c r="B348" s="2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2"/>
      <c r="R348" s="2"/>
      <c r="S348" s="2"/>
      <c r="T348" s="2"/>
      <c r="U348" s="2"/>
      <c r="V348" s="2"/>
    </row>
    <row r="349" spans="1:22" ht="14.25" customHeight="1">
      <c r="A349" s="1"/>
      <c r="B349" s="2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2"/>
      <c r="R349" s="2"/>
      <c r="S349" s="2"/>
      <c r="T349" s="2"/>
      <c r="U349" s="2"/>
      <c r="V349" s="2"/>
    </row>
    <row r="350" spans="1:22" ht="14.25" customHeight="1">
      <c r="A350" s="1"/>
      <c r="B350" s="2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2"/>
      <c r="R350" s="2"/>
      <c r="S350" s="2"/>
      <c r="T350" s="2"/>
      <c r="U350" s="2"/>
      <c r="V350" s="2"/>
    </row>
    <row r="351" spans="1:22" ht="14.25" customHeight="1">
      <c r="A351" s="1"/>
      <c r="B351" s="2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2"/>
      <c r="R351" s="2"/>
      <c r="S351" s="2"/>
      <c r="T351" s="2"/>
      <c r="U351" s="2"/>
      <c r="V351" s="2"/>
    </row>
    <row r="352" spans="1:22" ht="14.25" customHeight="1">
      <c r="A352" s="1"/>
      <c r="B352" s="2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2"/>
      <c r="R352" s="2"/>
      <c r="S352" s="2"/>
      <c r="T352" s="2"/>
      <c r="U352" s="2"/>
      <c r="V352" s="2"/>
    </row>
    <row r="353" spans="1:22" ht="14.25" customHeight="1">
      <c r="A353" s="1"/>
      <c r="B353" s="2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2"/>
      <c r="R353" s="2"/>
      <c r="S353" s="2"/>
      <c r="T353" s="2"/>
      <c r="U353" s="2"/>
      <c r="V353" s="2"/>
    </row>
    <row r="354" spans="1:22" ht="14.25" customHeight="1">
      <c r="A354" s="1"/>
      <c r="B354" s="2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2"/>
      <c r="R354" s="2"/>
      <c r="S354" s="2"/>
      <c r="T354" s="2"/>
      <c r="U354" s="2"/>
      <c r="V354" s="2"/>
    </row>
    <row r="355" spans="1:22" ht="14.25" customHeight="1">
      <c r="A355" s="1"/>
      <c r="B355" s="2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2"/>
      <c r="R355" s="2"/>
      <c r="S355" s="2"/>
      <c r="T355" s="2"/>
      <c r="U355" s="2"/>
      <c r="V355" s="2"/>
    </row>
    <row r="356" spans="1:22" ht="14.25" customHeight="1">
      <c r="A356" s="1"/>
      <c r="B356" s="2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2"/>
      <c r="R356" s="2"/>
      <c r="S356" s="2"/>
      <c r="T356" s="2"/>
      <c r="U356" s="2"/>
      <c r="V356" s="2"/>
    </row>
    <row r="357" spans="1:22" ht="14.25" customHeight="1">
      <c r="A357" s="1"/>
      <c r="B357" s="2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2"/>
      <c r="R357" s="2"/>
      <c r="S357" s="2"/>
      <c r="T357" s="2"/>
      <c r="U357" s="2"/>
      <c r="V357" s="2"/>
    </row>
    <row r="358" spans="1:22" ht="14.25" customHeight="1">
      <c r="A358" s="1"/>
      <c r="B358" s="2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2"/>
      <c r="R358" s="2"/>
      <c r="S358" s="2"/>
      <c r="T358" s="2"/>
      <c r="U358" s="2"/>
      <c r="V358" s="2"/>
    </row>
    <row r="359" spans="1:22" ht="14.25" customHeight="1">
      <c r="A359" s="1"/>
      <c r="B359" s="2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2"/>
      <c r="R359" s="2"/>
      <c r="S359" s="2"/>
      <c r="T359" s="2"/>
      <c r="U359" s="2"/>
      <c r="V359" s="2"/>
    </row>
    <row r="360" spans="1:22" ht="14.25" customHeight="1">
      <c r="A360" s="1"/>
      <c r="B360" s="2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2"/>
      <c r="R360" s="2"/>
      <c r="S360" s="2"/>
      <c r="T360" s="2"/>
      <c r="U360" s="2"/>
      <c r="V360" s="2"/>
    </row>
    <row r="361" spans="1:22" ht="14.25" customHeight="1">
      <c r="A361" s="1"/>
      <c r="B361" s="2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2"/>
      <c r="R361" s="2"/>
      <c r="S361" s="2"/>
      <c r="T361" s="2"/>
      <c r="U361" s="2"/>
      <c r="V361" s="2"/>
    </row>
    <row r="362" spans="1:22" ht="14.25" customHeight="1">
      <c r="A362" s="1"/>
      <c r="B362" s="2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2"/>
      <c r="R362" s="2"/>
      <c r="S362" s="2"/>
      <c r="T362" s="2"/>
      <c r="U362" s="2"/>
      <c r="V362" s="2"/>
    </row>
    <row r="363" spans="1:22" ht="14.25" customHeight="1">
      <c r="A363" s="1"/>
      <c r="B363" s="2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2"/>
      <c r="R363" s="2"/>
      <c r="S363" s="2"/>
      <c r="T363" s="2"/>
      <c r="U363" s="2"/>
      <c r="V363" s="2"/>
    </row>
    <row r="364" spans="1:22" ht="14.25" customHeight="1">
      <c r="A364" s="1"/>
      <c r="B364" s="2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2"/>
      <c r="R364" s="2"/>
      <c r="S364" s="2"/>
      <c r="T364" s="2"/>
      <c r="U364" s="2"/>
      <c r="V364" s="2"/>
    </row>
    <row r="365" spans="1:22" ht="14.25" customHeight="1">
      <c r="A365" s="1"/>
      <c r="B365" s="2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2"/>
      <c r="R365" s="2"/>
      <c r="S365" s="2"/>
      <c r="T365" s="2"/>
      <c r="U365" s="2"/>
      <c r="V365" s="2"/>
    </row>
    <row r="366" spans="1:22" ht="14.25" customHeight="1">
      <c r="A366" s="1"/>
      <c r="B366" s="2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2"/>
      <c r="R366" s="2"/>
      <c r="S366" s="2"/>
      <c r="T366" s="2"/>
      <c r="U366" s="2"/>
      <c r="V366" s="2"/>
    </row>
    <row r="367" spans="1:22" ht="14.25" customHeight="1">
      <c r="A367" s="1"/>
      <c r="B367" s="2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2"/>
      <c r="R367" s="2"/>
      <c r="S367" s="2"/>
      <c r="T367" s="2"/>
      <c r="U367" s="2"/>
      <c r="V367" s="2"/>
    </row>
    <row r="368" spans="1:22" ht="14.25" customHeight="1">
      <c r="A368" s="1"/>
      <c r="B368" s="2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2"/>
      <c r="R368" s="2"/>
      <c r="S368" s="2"/>
      <c r="T368" s="2"/>
      <c r="U368" s="2"/>
      <c r="V368" s="2"/>
    </row>
    <row r="369" spans="1:22" ht="14.25" customHeight="1">
      <c r="A369" s="1"/>
      <c r="B369" s="2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2"/>
      <c r="R369" s="2"/>
      <c r="S369" s="2"/>
      <c r="T369" s="2"/>
      <c r="U369" s="2"/>
      <c r="V369" s="2"/>
    </row>
    <row r="370" spans="1:22" ht="14.25" customHeight="1">
      <c r="A370" s="1"/>
      <c r="B370" s="2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2"/>
      <c r="R370" s="2"/>
      <c r="S370" s="2"/>
      <c r="T370" s="2"/>
      <c r="U370" s="2"/>
      <c r="V370" s="2"/>
    </row>
    <row r="371" spans="1:22" ht="14.25" customHeight="1">
      <c r="A371" s="1"/>
      <c r="B371" s="2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2"/>
      <c r="R371" s="2"/>
      <c r="S371" s="2"/>
      <c r="T371" s="2"/>
      <c r="U371" s="2"/>
      <c r="V371" s="2"/>
    </row>
    <row r="372" spans="1:22" ht="14.25" customHeight="1">
      <c r="A372" s="1"/>
      <c r="B372" s="2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2"/>
      <c r="R372" s="2"/>
      <c r="S372" s="2"/>
      <c r="T372" s="2"/>
      <c r="U372" s="2"/>
      <c r="V372" s="2"/>
    </row>
    <row r="373" spans="1:22" ht="14.25" customHeight="1">
      <c r="A373" s="1"/>
      <c r="B373" s="2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2"/>
      <c r="R373" s="2"/>
      <c r="S373" s="2"/>
      <c r="T373" s="2"/>
      <c r="U373" s="2"/>
      <c r="V373" s="2"/>
    </row>
    <row r="374" spans="1:22" ht="14.25" customHeight="1">
      <c r="A374" s="1"/>
      <c r="B374" s="2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2"/>
      <c r="R374" s="2"/>
      <c r="S374" s="2"/>
      <c r="T374" s="2"/>
      <c r="U374" s="2"/>
      <c r="V374" s="2"/>
    </row>
    <row r="375" spans="1:22" ht="14.25" customHeight="1">
      <c r="A375" s="1"/>
      <c r="B375" s="2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2"/>
      <c r="R375" s="2"/>
      <c r="S375" s="2"/>
      <c r="T375" s="2"/>
      <c r="U375" s="2"/>
      <c r="V375" s="2"/>
    </row>
    <row r="376" spans="1:22" ht="14.25" customHeight="1">
      <c r="A376" s="1"/>
      <c r="B376" s="2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2"/>
      <c r="R376" s="2"/>
      <c r="S376" s="2"/>
      <c r="T376" s="2"/>
      <c r="U376" s="2"/>
      <c r="V376" s="2"/>
    </row>
    <row r="377" spans="1:22" ht="14.25" customHeight="1">
      <c r="A377" s="1"/>
      <c r="B377" s="2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2"/>
      <c r="R377" s="2"/>
      <c r="S377" s="2"/>
      <c r="T377" s="2"/>
      <c r="U377" s="2"/>
      <c r="V377" s="2"/>
    </row>
    <row r="378" spans="1:22" ht="14.25" customHeight="1">
      <c r="A378" s="1"/>
      <c r="B378" s="2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2"/>
      <c r="R378" s="2"/>
      <c r="S378" s="2"/>
      <c r="T378" s="2"/>
      <c r="U378" s="2"/>
      <c r="V378" s="2"/>
    </row>
    <row r="379" spans="1:22" ht="14.25" customHeight="1">
      <c r="A379" s="1"/>
      <c r="B379" s="2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2"/>
      <c r="R379" s="2"/>
      <c r="S379" s="2"/>
      <c r="T379" s="2"/>
      <c r="U379" s="2"/>
      <c r="V379" s="2"/>
    </row>
    <row r="380" spans="1:22" ht="14.25" customHeight="1">
      <c r="A380" s="1"/>
      <c r="B380" s="2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2"/>
      <c r="R380" s="2"/>
      <c r="S380" s="2"/>
      <c r="T380" s="2"/>
      <c r="U380" s="2"/>
      <c r="V380" s="2"/>
    </row>
    <row r="381" spans="1:22" ht="14.25" customHeight="1">
      <c r="A381" s="1"/>
      <c r="B381" s="2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2"/>
      <c r="R381" s="2"/>
      <c r="S381" s="2"/>
      <c r="T381" s="2"/>
      <c r="U381" s="2"/>
      <c r="V381" s="2"/>
    </row>
    <row r="382" spans="1:22" ht="14.25" customHeight="1">
      <c r="A382" s="1"/>
      <c r="B382" s="2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2"/>
      <c r="R382" s="2"/>
      <c r="S382" s="2"/>
      <c r="T382" s="2"/>
      <c r="U382" s="2"/>
      <c r="V382" s="2"/>
    </row>
    <row r="383" spans="1:22" ht="14.25" customHeight="1">
      <c r="A383" s="1"/>
      <c r="B383" s="2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2"/>
      <c r="R383" s="2"/>
      <c r="S383" s="2"/>
      <c r="T383" s="2"/>
      <c r="U383" s="2"/>
      <c r="V383" s="2"/>
    </row>
    <row r="384" spans="1:22" ht="14.25" customHeight="1">
      <c r="A384" s="1"/>
      <c r="B384" s="2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2"/>
      <c r="R384" s="2"/>
      <c r="S384" s="2"/>
      <c r="T384" s="2"/>
      <c r="U384" s="2"/>
      <c r="V384" s="2"/>
    </row>
    <row r="385" spans="1:22" ht="14.25" customHeight="1">
      <c r="A385" s="1"/>
      <c r="B385" s="2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2"/>
      <c r="R385" s="2"/>
      <c r="S385" s="2"/>
      <c r="T385" s="2"/>
      <c r="U385" s="2"/>
      <c r="V385" s="2"/>
    </row>
    <row r="386" spans="1:22" ht="14.25" customHeight="1">
      <c r="A386" s="1"/>
      <c r="B386" s="2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2"/>
      <c r="R386" s="2"/>
      <c r="S386" s="2"/>
      <c r="T386" s="2"/>
      <c r="U386" s="2"/>
      <c r="V386" s="2"/>
    </row>
    <row r="387" spans="1:22" ht="14.25" customHeight="1">
      <c r="A387" s="1"/>
      <c r="B387" s="2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2"/>
      <c r="R387" s="2"/>
      <c r="S387" s="2"/>
      <c r="T387" s="2"/>
      <c r="U387" s="2"/>
      <c r="V387" s="2"/>
    </row>
    <row r="388" spans="1:22" ht="14.25" customHeight="1">
      <c r="A388" s="1"/>
      <c r="B388" s="2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2"/>
      <c r="R388" s="2"/>
      <c r="S388" s="2"/>
      <c r="T388" s="2"/>
      <c r="U388" s="2"/>
      <c r="V388" s="2"/>
    </row>
    <row r="389" spans="1:22" ht="14.25" customHeight="1">
      <c r="A389" s="1"/>
      <c r="B389" s="2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2"/>
      <c r="R389" s="2"/>
      <c r="S389" s="2"/>
      <c r="T389" s="2"/>
      <c r="U389" s="2"/>
      <c r="V389" s="2"/>
    </row>
    <row r="390" spans="1:22" ht="14.25" customHeight="1">
      <c r="A390" s="1"/>
      <c r="B390" s="2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2"/>
      <c r="R390" s="2"/>
      <c r="S390" s="2"/>
      <c r="T390" s="2"/>
      <c r="U390" s="2"/>
      <c r="V390" s="2"/>
    </row>
    <row r="391" spans="1:22" ht="14.25" customHeight="1">
      <c r="A391" s="1"/>
      <c r="B391" s="2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2"/>
      <c r="R391" s="2"/>
      <c r="S391" s="2"/>
      <c r="T391" s="2"/>
      <c r="U391" s="2"/>
      <c r="V391" s="2"/>
    </row>
    <row r="392" spans="1:22" ht="14.25" customHeight="1">
      <c r="A392" s="1"/>
      <c r="B392" s="2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2"/>
      <c r="R392" s="2"/>
      <c r="S392" s="2"/>
      <c r="T392" s="2"/>
      <c r="U392" s="2"/>
      <c r="V392" s="2"/>
    </row>
    <row r="393" spans="1:22" ht="14.25" customHeight="1">
      <c r="A393" s="1"/>
      <c r="B393" s="2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2"/>
      <c r="R393" s="2"/>
      <c r="S393" s="2"/>
      <c r="T393" s="2"/>
      <c r="U393" s="2"/>
      <c r="V393" s="2"/>
    </row>
    <row r="394" spans="1:22" ht="14.25" customHeight="1">
      <c r="A394" s="1"/>
      <c r="B394" s="2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2"/>
      <c r="R394" s="2"/>
      <c r="S394" s="2"/>
      <c r="T394" s="2"/>
      <c r="U394" s="2"/>
      <c r="V394" s="2"/>
    </row>
    <row r="395" spans="1:22" ht="14.25" customHeight="1">
      <c r="A395" s="1"/>
      <c r="B395" s="2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2"/>
      <c r="R395" s="2"/>
      <c r="S395" s="2"/>
      <c r="T395" s="2"/>
      <c r="U395" s="2"/>
      <c r="V395" s="2"/>
    </row>
    <row r="396" spans="1:22" ht="14.25" customHeight="1">
      <c r="A396" s="1"/>
      <c r="B396" s="2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2"/>
      <c r="R396" s="2"/>
      <c r="S396" s="2"/>
      <c r="T396" s="2"/>
      <c r="U396" s="2"/>
      <c r="V396" s="2"/>
    </row>
    <row r="397" spans="1:22" ht="14.25" customHeight="1">
      <c r="A397" s="1"/>
      <c r="B397" s="2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2"/>
      <c r="R397" s="2"/>
      <c r="S397" s="2"/>
      <c r="T397" s="2"/>
      <c r="U397" s="2"/>
      <c r="V397" s="2"/>
    </row>
    <row r="398" spans="1:22" ht="14.25" customHeight="1">
      <c r="A398" s="1"/>
      <c r="B398" s="2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2"/>
      <c r="R398" s="2"/>
      <c r="S398" s="2"/>
      <c r="T398" s="2"/>
      <c r="U398" s="2"/>
      <c r="V398" s="2"/>
    </row>
    <row r="399" spans="1:22" ht="14.25" customHeight="1">
      <c r="A399" s="1"/>
      <c r="B399" s="2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2"/>
      <c r="R399" s="2"/>
      <c r="S399" s="2"/>
      <c r="T399" s="2"/>
      <c r="U399" s="2"/>
      <c r="V399" s="2"/>
    </row>
    <row r="400" spans="1:22" ht="14.25" customHeight="1">
      <c r="A400" s="1"/>
      <c r="B400" s="2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2"/>
      <c r="R400" s="2"/>
      <c r="S400" s="2"/>
      <c r="T400" s="2"/>
      <c r="U400" s="2"/>
      <c r="V400" s="2"/>
    </row>
    <row r="401" spans="1:22" ht="14.25" customHeight="1">
      <c r="A401" s="1"/>
      <c r="B401" s="2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2"/>
      <c r="R401" s="2"/>
      <c r="S401" s="2"/>
      <c r="T401" s="2"/>
      <c r="U401" s="2"/>
      <c r="V401" s="2"/>
    </row>
    <row r="402" spans="1:22" ht="14.25" customHeight="1">
      <c r="A402" s="1"/>
      <c r="B402" s="2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2"/>
      <c r="R402" s="2"/>
      <c r="S402" s="2"/>
      <c r="T402" s="2"/>
      <c r="U402" s="2"/>
      <c r="V402" s="2"/>
    </row>
    <row r="403" spans="1:22" ht="14.25" customHeight="1">
      <c r="A403" s="1"/>
      <c r="B403" s="2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2"/>
      <c r="R403" s="2"/>
      <c r="S403" s="2"/>
      <c r="T403" s="2"/>
      <c r="U403" s="2"/>
      <c r="V403" s="2"/>
    </row>
    <row r="404" spans="1:22" ht="14.25" customHeight="1">
      <c r="A404" s="1"/>
      <c r="B404" s="2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2"/>
      <c r="R404" s="2"/>
      <c r="S404" s="2"/>
      <c r="T404" s="2"/>
      <c r="U404" s="2"/>
      <c r="V404" s="2"/>
    </row>
    <row r="405" spans="1:22" ht="14.25" customHeight="1">
      <c r="A405" s="1"/>
      <c r="B405" s="2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2"/>
      <c r="R405" s="2"/>
      <c r="S405" s="2"/>
      <c r="T405" s="2"/>
      <c r="U405" s="2"/>
      <c r="V405" s="2"/>
    </row>
    <row r="406" spans="1:22" ht="14.25" customHeight="1">
      <c r="A406" s="1"/>
      <c r="B406" s="2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2"/>
      <c r="R406" s="2"/>
      <c r="S406" s="2"/>
      <c r="T406" s="2"/>
      <c r="U406" s="2"/>
      <c r="V406" s="2"/>
    </row>
    <row r="407" spans="1:22" ht="14.25" customHeight="1">
      <c r="A407" s="1"/>
      <c r="B407" s="2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2"/>
      <c r="R407" s="2"/>
      <c r="S407" s="2"/>
      <c r="T407" s="2"/>
      <c r="U407" s="2"/>
      <c r="V407" s="2"/>
    </row>
    <row r="408" spans="1:22" ht="14.25" customHeight="1">
      <c r="A408" s="1"/>
      <c r="B408" s="2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2"/>
      <c r="R408" s="2"/>
      <c r="S408" s="2"/>
      <c r="T408" s="2"/>
      <c r="U408" s="2"/>
      <c r="V408" s="2"/>
    </row>
    <row r="409" spans="1:22" ht="14.25" customHeight="1">
      <c r="A409" s="1"/>
      <c r="B409" s="2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2"/>
      <c r="R409" s="2"/>
      <c r="S409" s="2"/>
      <c r="T409" s="2"/>
      <c r="U409" s="2"/>
      <c r="V409" s="2"/>
    </row>
    <row r="410" spans="1:22" ht="14.25" customHeight="1">
      <c r="A410" s="1"/>
      <c r="B410" s="2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2"/>
      <c r="R410" s="2"/>
      <c r="S410" s="2"/>
      <c r="T410" s="2"/>
      <c r="U410" s="2"/>
      <c r="V410" s="2"/>
    </row>
    <row r="411" spans="1:22" ht="14.25" customHeight="1">
      <c r="A411" s="1"/>
      <c r="B411" s="2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2"/>
      <c r="R411" s="2"/>
      <c r="S411" s="2"/>
      <c r="T411" s="2"/>
      <c r="U411" s="2"/>
      <c r="V411" s="2"/>
    </row>
    <row r="412" spans="1:22" ht="14.25" customHeight="1">
      <c r="A412" s="1"/>
      <c r="B412" s="2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2"/>
      <c r="R412" s="2"/>
      <c r="S412" s="2"/>
      <c r="T412" s="2"/>
      <c r="U412" s="2"/>
      <c r="V412" s="2"/>
    </row>
    <row r="413" spans="1:22" ht="14.25" customHeight="1">
      <c r="A413" s="1"/>
      <c r="B413" s="2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2"/>
      <c r="R413" s="2"/>
      <c r="S413" s="2"/>
      <c r="T413" s="2"/>
      <c r="U413" s="2"/>
      <c r="V413" s="2"/>
    </row>
    <row r="414" spans="1:22" ht="14.25" customHeight="1">
      <c r="A414" s="1"/>
      <c r="B414" s="2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2"/>
      <c r="R414" s="2"/>
      <c r="S414" s="2"/>
      <c r="T414" s="2"/>
      <c r="U414" s="2"/>
      <c r="V414" s="2"/>
    </row>
    <row r="415" spans="1:22" ht="14.25" customHeight="1">
      <c r="A415" s="1"/>
      <c r="B415" s="2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2"/>
      <c r="R415" s="2"/>
      <c r="S415" s="2"/>
      <c r="T415" s="2"/>
      <c r="U415" s="2"/>
      <c r="V415" s="2"/>
    </row>
    <row r="416" spans="1:22" ht="14.25" customHeight="1">
      <c r="A416" s="1"/>
      <c r="B416" s="2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2"/>
      <c r="R416" s="2"/>
      <c r="S416" s="2"/>
      <c r="T416" s="2"/>
      <c r="U416" s="2"/>
      <c r="V416" s="2"/>
    </row>
    <row r="417" spans="1:22" ht="14.25" customHeight="1">
      <c r="A417" s="1"/>
      <c r="B417" s="2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2"/>
      <c r="R417" s="2"/>
      <c r="S417" s="2"/>
      <c r="T417" s="2"/>
      <c r="U417" s="2"/>
      <c r="V417" s="2"/>
    </row>
    <row r="418" spans="1:22" ht="14.25" customHeight="1">
      <c r="A418" s="1"/>
      <c r="B418" s="2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2"/>
      <c r="R418" s="2"/>
      <c r="S418" s="2"/>
      <c r="T418" s="2"/>
      <c r="U418" s="2"/>
      <c r="V418" s="2"/>
    </row>
    <row r="419" spans="1:22" ht="14.25" customHeight="1">
      <c r="A419" s="1"/>
      <c r="B419" s="2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2"/>
      <c r="R419" s="2"/>
      <c r="S419" s="2"/>
      <c r="T419" s="2"/>
      <c r="U419" s="2"/>
      <c r="V419" s="2"/>
    </row>
    <row r="420" spans="1:22" ht="14.25" customHeight="1">
      <c r="A420" s="1"/>
      <c r="B420" s="2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2"/>
      <c r="R420" s="2"/>
      <c r="S420" s="2"/>
      <c r="T420" s="2"/>
      <c r="U420" s="2"/>
      <c r="V420" s="2"/>
    </row>
    <row r="421" spans="1:22" ht="14.25" customHeight="1">
      <c r="A421" s="1"/>
      <c r="B421" s="2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2"/>
      <c r="R421" s="2"/>
      <c r="S421" s="2"/>
      <c r="T421" s="2"/>
      <c r="U421" s="2"/>
      <c r="V421" s="2"/>
    </row>
    <row r="422" spans="1:22" ht="14.25" customHeight="1">
      <c r="A422" s="1"/>
      <c r="B422" s="2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2"/>
      <c r="R422" s="2"/>
      <c r="S422" s="2"/>
      <c r="T422" s="2"/>
      <c r="U422" s="2"/>
      <c r="V422" s="2"/>
    </row>
    <row r="423" spans="1:22" ht="14.25" customHeight="1">
      <c r="A423" s="1"/>
      <c r="B423" s="2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2"/>
      <c r="R423" s="2"/>
      <c r="S423" s="2"/>
      <c r="T423" s="2"/>
      <c r="U423" s="2"/>
      <c r="V423" s="2"/>
    </row>
    <row r="424" spans="1:22" ht="14.25" customHeight="1">
      <c r="A424" s="1"/>
      <c r="B424" s="2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2"/>
      <c r="R424" s="2"/>
      <c r="S424" s="2"/>
      <c r="T424" s="2"/>
      <c r="U424" s="2"/>
      <c r="V424" s="2"/>
    </row>
    <row r="425" spans="1:22" ht="14.25" customHeight="1">
      <c r="A425" s="1"/>
      <c r="B425" s="2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2"/>
      <c r="R425" s="2"/>
      <c r="S425" s="2"/>
      <c r="T425" s="2"/>
      <c r="U425" s="2"/>
      <c r="V425" s="2"/>
    </row>
    <row r="426" spans="1:22" ht="14.25" customHeight="1">
      <c r="A426" s="1"/>
      <c r="B426" s="2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2"/>
      <c r="R426" s="2"/>
      <c r="S426" s="2"/>
      <c r="T426" s="2"/>
      <c r="U426" s="2"/>
      <c r="V426" s="2"/>
    </row>
    <row r="427" spans="1:22" ht="14.25" customHeight="1">
      <c r="A427" s="1"/>
      <c r="B427" s="2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2"/>
      <c r="R427" s="2"/>
      <c r="S427" s="2"/>
      <c r="T427" s="2"/>
      <c r="U427" s="2"/>
      <c r="V427" s="2"/>
    </row>
    <row r="428" spans="1:22" ht="14.25" customHeight="1">
      <c r="A428" s="1"/>
      <c r="B428" s="2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2"/>
      <c r="R428" s="2"/>
      <c r="S428" s="2"/>
      <c r="T428" s="2"/>
      <c r="U428" s="2"/>
      <c r="V428" s="2"/>
    </row>
    <row r="429" spans="1:22" ht="14.25" customHeight="1">
      <c r="A429" s="1"/>
      <c r="B429" s="2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2"/>
      <c r="R429" s="2"/>
      <c r="S429" s="2"/>
      <c r="T429" s="2"/>
      <c r="U429" s="2"/>
      <c r="V429" s="2"/>
    </row>
    <row r="430" spans="1:22" ht="14.25" customHeight="1">
      <c r="A430" s="1"/>
      <c r="B430" s="2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2"/>
      <c r="R430" s="2"/>
      <c r="S430" s="2"/>
      <c r="T430" s="2"/>
      <c r="U430" s="2"/>
      <c r="V430" s="2"/>
    </row>
    <row r="431" spans="1:22" ht="14.25" customHeight="1">
      <c r="A431" s="1"/>
      <c r="B431" s="2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2"/>
      <c r="R431" s="2"/>
      <c r="S431" s="2"/>
      <c r="T431" s="2"/>
      <c r="U431" s="2"/>
      <c r="V431" s="2"/>
    </row>
    <row r="432" spans="1:22" ht="14.25" customHeight="1">
      <c r="A432" s="1"/>
      <c r="B432" s="2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2"/>
      <c r="R432" s="2"/>
      <c r="S432" s="2"/>
      <c r="T432" s="2"/>
      <c r="U432" s="2"/>
      <c r="V432" s="2"/>
    </row>
    <row r="433" spans="1:22" ht="14.25" customHeight="1">
      <c r="A433" s="1"/>
      <c r="B433" s="2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2"/>
      <c r="R433" s="2"/>
      <c r="S433" s="2"/>
      <c r="T433" s="2"/>
      <c r="U433" s="2"/>
      <c r="V433" s="2"/>
    </row>
    <row r="434" spans="1:22" ht="14.25" customHeight="1">
      <c r="A434" s="1"/>
      <c r="B434" s="2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2"/>
      <c r="R434" s="2"/>
      <c r="S434" s="2"/>
      <c r="T434" s="2"/>
      <c r="U434" s="2"/>
      <c r="V434" s="2"/>
    </row>
    <row r="435" spans="1:22" ht="14.25" customHeight="1">
      <c r="A435" s="1"/>
      <c r="B435" s="2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2"/>
      <c r="R435" s="2"/>
      <c r="S435" s="2"/>
      <c r="T435" s="2"/>
      <c r="U435" s="2"/>
      <c r="V435" s="2"/>
    </row>
    <row r="436" spans="1:22" ht="14.25" customHeight="1">
      <c r="A436" s="1"/>
      <c r="B436" s="2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2"/>
      <c r="R436" s="2"/>
      <c r="S436" s="2"/>
      <c r="T436" s="2"/>
      <c r="U436" s="2"/>
      <c r="V436" s="2"/>
    </row>
    <row r="437" spans="1:22" ht="14.25" customHeight="1">
      <c r="A437" s="1"/>
      <c r="B437" s="2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2"/>
      <c r="R437" s="2"/>
      <c r="S437" s="2"/>
      <c r="T437" s="2"/>
      <c r="U437" s="2"/>
      <c r="V437" s="2"/>
    </row>
    <row r="438" spans="1:22" ht="14.25" customHeight="1">
      <c r="A438" s="1"/>
      <c r="B438" s="2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2"/>
      <c r="R438" s="2"/>
      <c r="S438" s="2"/>
      <c r="T438" s="2"/>
      <c r="U438" s="2"/>
      <c r="V438" s="2"/>
    </row>
    <row r="439" spans="1:22" ht="14.25" customHeight="1">
      <c r="A439" s="1"/>
      <c r="B439" s="2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2"/>
      <c r="R439" s="2"/>
      <c r="S439" s="2"/>
      <c r="T439" s="2"/>
      <c r="U439" s="2"/>
      <c r="V439" s="2"/>
    </row>
    <row r="440" spans="1:22" ht="14.25" customHeight="1">
      <c r="A440" s="1"/>
      <c r="B440" s="2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2"/>
      <c r="R440" s="2"/>
      <c r="S440" s="2"/>
      <c r="T440" s="2"/>
      <c r="U440" s="2"/>
      <c r="V440" s="2"/>
    </row>
    <row r="441" spans="1:22" ht="14.25" customHeight="1">
      <c r="A441" s="1"/>
      <c r="B441" s="2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2"/>
      <c r="R441" s="2"/>
      <c r="S441" s="2"/>
      <c r="T441" s="2"/>
      <c r="U441" s="2"/>
      <c r="V441" s="2"/>
    </row>
    <row r="442" spans="1:22" ht="14.25" customHeight="1">
      <c r="A442" s="1"/>
      <c r="B442" s="2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2"/>
      <c r="R442" s="2"/>
      <c r="S442" s="2"/>
      <c r="T442" s="2"/>
      <c r="U442" s="2"/>
      <c r="V442" s="2"/>
    </row>
    <row r="443" spans="1:22" ht="14.25" customHeight="1">
      <c r="A443" s="1"/>
      <c r="B443" s="2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2"/>
      <c r="R443" s="2"/>
      <c r="S443" s="2"/>
      <c r="T443" s="2"/>
      <c r="U443" s="2"/>
      <c r="V443" s="2"/>
    </row>
    <row r="444" spans="1:22" ht="14.25" customHeight="1">
      <c r="A444" s="1"/>
      <c r="B444" s="2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2"/>
      <c r="R444" s="2"/>
      <c r="S444" s="2"/>
      <c r="T444" s="2"/>
      <c r="U444" s="2"/>
      <c r="V444" s="2"/>
    </row>
    <row r="445" spans="1:22" ht="14.25" customHeight="1">
      <c r="A445" s="1"/>
      <c r="B445" s="2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2"/>
      <c r="R445" s="2"/>
      <c r="S445" s="2"/>
      <c r="T445" s="2"/>
      <c r="U445" s="2"/>
      <c r="V445" s="2"/>
    </row>
    <row r="446" spans="1:22" ht="14.25" customHeight="1">
      <c r="A446" s="1"/>
      <c r="B446" s="2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2"/>
      <c r="R446" s="2"/>
      <c r="S446" s="2"/>
      <c r="T446" s="2"/>
      <c r="U446" s="2"/>
      <c r="V446" s="2"/>
    </row>
    <row r="447" spans="1:22" ht="14.25" customHeight="1">
      <c r="A447" s="1"/>
      <c r="B447" s="2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2"/>
      <c r="R447" s="2"/>
      <c r="S447" s="2"/>
      <c r="T447" s="2"/>
      <c r="U447" s="2"/>
      <c r="V447" s="2"/>
    </row>
    <row r="448" spans="1:22" ht="14.25" customHeight="1">
      <c r="A448" s="1"/>
      <c r="B448" s="2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2"/>
      <c r="R448" s="2"/>
      <c r="S448" s="2"/>
      <c r="T448" s="2"/>
      <c r="U448" s="2"/>
      <c r="V448" s="2"/>
    </row>
    <row r="449" spans="1:22" ht="14.25" customHeight="1">
      <c r="A449" s="1"/>
      <c r="B449" s="2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2"/>
      <c r="R449" s="2"/>
      <c r="S449" s="2"/>
      <c r="T449" s="2"/>
      <c r="U449" s="2"/>
      <c r="V449" s="2"/>
    </row>
    <row r="450" spans="1:22" ht="14.25" customHeight="1">
      <c r="A450" s="1"/>
      <c r="B450" s="2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2"/>
      <c r="R450" s="2"/>
      <c r="S450" s="2"/>
      <c r="T450" s="2"/>
      <c r="U450" s="2"/>
      <c r="V450" s="2"/>
    </row>
    <row r="451" spans="1:22" ht="14.25" customHeight="1">
      <c r="A451" s="1"/>
      <c r="B451" s="2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2"/>
      <c r="R451" s="2"/>
      <c r="S451" s="2"/>
      <c r="T451" s="2"/>
      <c r="U451" s="2"/>
      <c r="V451" s="2"/>
    </row>
    <row r="452" spans="1:22" ht="14.25" customHeight="1">
      <c r="A452" s="1"/>
      <c r="B452" s="2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2"/>
      <c r="R452" s="2"/>
      <c r="S452" s="2"/>
      <c r="T452" s="2"/>
      <c r="U452" s="2"/>
      <c r="V452" s="2"/>
    </row>
    <row r="453" spans="1:22" ht="14.25" customHeight="1">
      <c r="A453" s="1"/>
      <c r="B453" s="2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2"/>
      <c r="R453" s="2"/>
      <c r="S453" s="2"/>
      <c r="T453" s="2"/>
      <c r="U453" s="2"/>
      <c r="V453" s="2"/>
    </row>
    <row r="454" spans="1:22" ht="14.25" customHeight="1">
      <c r="A454" s="1"/>
      <c r="B454" s="2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2"/>
      <c r="R454" s="2"/>
      <c r="S454" s="2"/>
      <c r="T454" s="2"/>
      <c r="U454" s="2"/>
      <c r="V454" s="2"/>
    </row>
    <row r="455" spans="1:22" ht="14.25" customHeight="1">
      <c r="A455" s="1"/>
      <c r="B455" s="2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2"/>
      <c r="R455" s="2"/>
      <c r="S455" s="2"/>
      <c r="T455" s="2"/>
      <c r="U455" s="2"/>
      <c r="V455" s="2"/>
    </row>
    <row r="456" spans="1:22" ht="14.25" customHeight="1">
      <c r="A456" s="1"/>
      <c r="B456" s="2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2"/>
      <c r="R456" s="2"/>
      <c r="S456" s="2"/>
      <c r="T456" s="2"/>
      <c r="U456" s="2"/>
      <c r="V456" s="2"/>
    </row>
    <row r="457" spans="1:22" ht="14.25" customHeight="1">
      <c r="A457" s="1"/>
      <c r="B457" s="2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2"/>
      <c r="R457" s="2"/>
      <c r="S457" s="2"/>
      <c r="T457" s="2"/>
      <c r="U457" s="2"/>
      <c r="V457" s="2"/>
    </row>
    <row r="458" spans="1:22" ht="14.25" customHeight="1">
      <c r="A458" s="1"/>
      <c r="B458" s="2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2"/>
      <c r="R458" s="2"/>
      <c r="S458" s="2"/>
      <c r="T458" s="2"/>
      <c r="U458" s="2"/>
      <c r="V458" s="2"/>
    </row>
    <row r="459" spans="1:22" ht="14.25" customHeight="1">
      <c r="A459" s="1"/>
      <c r="B459" s="2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2"/>
      <c r="R459" s="2"/>
      <c r="S459" s="2"/>
      <c r="T459" s="2"/>
      <c r="U459" s="2"/>
      <c r="V459" s="2"/>
    </row>
    <row r="460" spans="1:22" ht="14.25" customHeight="1">
      <c r="A460" s="1"/>
      <c r="B460" s="2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2"/>
      <c r="R460" s="2"/>
      <c r="S460" s="2"/>
      <c r="T460" s="2"/>
      <c r="U460" s="2"/>
      <c r="V460" s="2"/>
    </row>
    <row r="461" spans="1:22" ht="14.25" customHeight="1">
      <c r="A461" s="1"/>
      <c r="B461" s="2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2"/>
      <c r="R461" s="2"/>
      <c r="S461" s="2"/>
      <c r="T461" s="2"/>
      <c r="U461" s="2"/>
      <c r="V461" s="2"/>
    </row>
    <row r="462" spans="1:22" ht="14.25" customHeight="1">
      <c r="A462" s="1"/>
      <c r="B462" s="2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2"/>
      <c r="R462" s="2"/>
      <c r="S462" s="2"/>
      <c r="T462" s="2"/>
      <c r="U462" s="2"/>
      <c r="V462" s="2"/>
    </row>
    <row r="463" spans="1:22" ht="14.25" customHeight="1">
      <c r="A463" s="1"/>
      <c r="B463" s="2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2"/>
      <c r="R463" s="2"/>
      <c r="S463" s="2"/>
      <c r="T463" s="2"/>
      <c r="U463" s="2"/>
      <c r="V463" s="2"/>
    </row>
    <row r="464" spans="1:22" ht="14.25" customHeight="1">
      <c r="A464" s="1"/>
      <c r="B464" s="2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2"/>
      <c r="R464" s="2"/>
      <c r="S464" s="2"/>
      <c r="T464" s="2"/>
      <c r="U464" s="2"/>
      <c r="V464" s="2"/>
    </row>
    <row r="465" spans="1:22" ht="14.25" customHeight="1">
      <c r="A465" s="1"/>
      <c r="B465" s="2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2"/>
      <c r="R465" s="2"/>
      <c r="S465" s="2"/>
      <c r="T465" s="2"/>
      <c r="U465" s="2"/>
      <c r="V465" s="2"/>
    </row>
    <row r="466" spans="1:22" ht="14.25" customHeight="1">
      <c r="A466" s="1"/>
      <c r="B466" s="2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2"/>
      <c r="R466" s="2"/>
      <c r="S466" s="2"/>
      <c r="T466" s="2"/>
      <c r="U466" s="2"/>
      <c r="V466" s="2"/>
    </row>
    <row r="467" spans="1:22" ht="14.25" customHeight="1">
      <c r="A467" s="1"/>
      <c r="B467" s="2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2"/>
      <c r="R467" s="2"/>
      <c r="S467" s="2"/>
      <c r="T467" s="2"/>
      <c r="U467" s="2"/>
      <c r="V467" s="2"/>
    </row>
    <row r="468" spans="1:22" ht="14.25" customHeight="1">
      <c r="A468" s="1"/>
      <c r="B468" s="2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2"/>
      <c r="R468" s="2"/>
      <c r="S468" s="2"/>
      <c r="T468" s="2"/>
      <c r="U468" s="2"/>
      <c r="V468" s="2"/>
    </row>
    <row r="469" spans="1:22" ht="14.25" customHeight="1">
      <c r="A469" s="1"/>
      <c r="B469" s="2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2"/>
      <c r="R469" s="2"/>
      <c r="S469" s="2"/>
      <c r="T469" s="2"/>
      <c r="U469" s="2"/>
      <c r="V469" s="2"/>
    </row>
    <row r="470" spans="1:22" ht="14.25" customHeight="1">
      <c r="A470" s="1"/>
      <c r="B470" s="2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2"/>
      <c r="R470" s="2"/>
      <c r="S470" s="2"/>
      <c r="T470" s="2"/>
      <c r="U470" s="2"/>
      <c r="V470" s="2"/>
    </row>
    <row r="471" spans="1:22" ht="14.25" customHeight="1">
      <c r="A471" s="1"/>
      <c r="B471" s="2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2"/>
      <c r="R471" s="2"/>
      <c r="S471" s="2"/>
      <c r="T471" s="2"/>
      <c r="U471" s="2"/>
      <c r="V471" s="2"/>
    </row>
    <row r="472" spans="1:22" ht="14.25" customHeight="1">
      <c r="A472" s="1"/>
      <c r="B472" s="2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2"/>
      <c r="R472" s="2"/>
      <c r="S472" s="2"/>
      <c r="T472" s="2"/>
      <c r="U472" s="2"/>
      <c r="V472" s="2"/>
    </row>
    <row r="473" spans="1:22" ht="14.25" customHeight="1">
      <c r="A473" s="1"/>
      <c r="B473" s="2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2"/>
      <c r="R473" s="2"/>
      <c r="S473" s="2"/>
      <c r="T473" s="2"/>
      <c r="U473" s="2"/>
      <c r="V473" s="2"/>
    </row>
    <row r="474" spans="1:22" ht="14.25" customHeight="1">
      <c r="A474" s="1"/>
      <c r="B474" s="2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2"/>
      <c r="R474" s="2"/>
      <c r="S474" s="2"/>
      <c r="T474" s="2"/>
      <c r="U474" s="2"/>
      <c r="V474" s="2"/>
    </row>
    <row r="475" spans="1:22" ht="14.25" customHeight="1">
      <c r="A475" s="1"/>
      <c r="B475" s="2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2"/>
      <c r="R475" s="2"/>
      <c r="S475" s="2"/>
      <c r="T475" s="2"/>
      <c r="U475" s="2"/>
      <c r="V475" s="2"/>
    </row>
    <row r="476" spans="1:22" ht="14.25" customHeight="1">
      <c r="A476" s="1"/>
      <c r="B476" s="2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2"/>
      <c r="R476" s="2"/>
      <c r="S476" s="2"/>
      <c r="T476" s="2"/>
      <c r="U476" s="2"/>
      <c r="V476" s="2"/>
    </row>
    <row r="477" spans="1:22" ht="14.25" customHeight="1">
      <c r="A477" s="1"/>
      <c r="B477" s="2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2"/>
      <c r="R477" s="2"/>
      <c r="S477" s="2"/>
      <c r="T477" s="2"/>
      <c r="U477" s="2"/>
      <c r="V477" s="2"/>
    </row>
    <row r="478" spans="1:22" ht="14.25" customHeight="1">
      <c r="A478" s="1"/>
      <c r="B478" s="2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2"/>
      <c r="R478" s="2"/>
      <c r="S478" s="2"/>
      <c r="T478" s="2"/>
      <c r="U478" s="2"/>
      <c r="V478" s="2"/>
    </row>
    <row r="479" spans="1:22" ht="14.25" customHeight="1">
      <c r="A479" s="1"/>
      <c r="B479" s="2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2"/>
      <c r="R479" s="2"/>
      <c r="S479" s="2"/>
      <c r="T479" s="2"/>
      <c r="U479" s="2"/>
      <c r="V479" s="2"/>
    </row>
    <row r="480" spans="1:22" ht="14.25" customHeight="1">
      <c r="A480" s="1"/>
      <c r="B480" s="2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2"/>
      <c r="R480" s="2"/>
      <c r="S480" s="2"/>
      <c r="T480" s="2"/>
      <c r="U480" s="2"/>
      <c r="V480" s="2"/>
    </row>
    <row r="481" spans="1:22" ht="14.25" customHeight="1">
      <c r="A481" s="1"/>
      <c r="B481" s="2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2"/>
      <c r="R481" s="2"/>
      <c r="S481" s="2"/>
      <c r="T481" s="2"/>
      <c r="U481" s="2"/>
      <c r="V481" s="2"/>
    </row>
    <row r="482" spans="1:22" ht="14.25" customHeight="1">
      <c r="A482" s="1"/>
      <c r="B482" s="2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2"/>
      <c r="R482" s="2"/>
      <c r="S482" s="2"/>
      <c r="T482" s="2"/>
      <c r="U482" s="2"/>
      <c r="V482" s="2"/>
    </row>
    <row r="483" spans="1:22" ht="14.25" customHeight="1">
      <c r="A483" s="1"/>
      <c r="B483" s="2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2"/>
      <c r="R483" s="2"/>
      <c r="S483" s="2"/>
      <c r="T483" s="2"/>
      <c r="U483" s="2"/>
      <c r="V483" s="2"/>
    </row>
    <row r="484" spans="1:22" ht="14.25" customHeight="1">
      <c r="A484" s="1"/>
      <c r="B484" s="2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2"/>
      <c r="R484" s="2"/>
      <c r="S484" s="2"/>
      <c r="T484" s="2"/>
      <c r="U484" s="2"/>
      <c r="V484" s="2"/>
    </row>
    <row r="485" spans="1:22" ht="14.25" customHeight="1">
      <c r="A485" s="1"/>
      <c r="B485" s="2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2"/>
      <c r="R485" s="2"/>
      <c r="S485" s="2"/>
      <c r="T485" s="2"/>
      <c r="U485" s="2"/>
      <c r="V485" s="2"/>
    </row>
    <row r="486" spans="1:22" ht="14.25" customHeight="1">
      <c r="A486" s="1"/>
      <c r="B486" s="2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2"/>
      <c r="R486" s="2"/>
      <c r="S486" s="2"/>
      <c r="T486" s="2"/>
      <c r="U486" s="2"/>
      <c r="V486" s="2"/>
    </row>
    <row r="487" spans="1:22" ht="14.25" customHeight="1">
      <c r="A487" s="1"/>
      <c r="B487" s="2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2"/>
      <c r="R487" s="2"/>
      <c r="S487" s="2"/>
      <c r="T487" s="2"/>
      <c r="U487" s="2"/>
      <c r="V487" s="2"/>
    </row>
    <row r="488" spans="1:22" ht="14.25" customHeight="1">
      <c r="A488" s="1"/>
      <c r="B488" s="2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2"/>
      <c r="R488" s="2"/>
      <c r="S488" s="2"/>
      <c r="T488" s="2"/>
      <c r="U488" s="2"/>
      <c r="V488" s="2"/>
    </row>
    <row r="489" spans="1:22" ht="14.25" customHeight="1">
      <c r="A489" s="1"/>
      <c r="B489" s="2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2"/>
      <c r="R489" s="2"/>
      <c r="S489" s="2"/>
      <c r="T489" s="2"/>
      <c r="U489" s="2"/>
      <c r="V489" s="2"/>
    </row>
    <row r="490" spans="1:22" ht="14.25" customHeight="1">
      <c r="A490" s="1"/>
      <c r="B490" s="2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2"/>
      <c r="R490" s="2"/>
      <c r="S490" s="2"/>
      <c r="T490" s="2"/>
      <c r="U490" s="2"/>
      <c r="V490" s="2"/>
    </row>
    <row r="491" spans="1:22" ht="14.25" customHeight="1">
      <c r="A491" s="1"/>
      <c r="B491" s="2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2"/>
      <c r="R491" s="2"/>
      <c r="S491" s="2"/>
      <c r="T491" s="2"/>
      <c r="U491" s="2"/>
      <c r="V491" s="2"/>
    </row>
    <row r="492" spans="1:22" ht="14.25" customHeight="1">
      <c r="A492" s="1"/>
      <c r="B492" s="2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2"/>
      <c r="R492" s="2"/>
      <c r="S492" s="2"/>
      <c r="T492" s="2"/>
      <c r="U492" s="2"/>
      <c r="V492" s="2"/>
    </row>
    <row r="493" spans="1:22" ht="14.25" customHeight="1">
      <c r="A493" s="1"/>
      <c r="B493" s="2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2"/>
      <c r="R493" s="2"/>
      <c r="S493" s="2"/>
      <c r="T493" s="2"/>
      <c r="U493" s="2"/>
      <c r="V493" s="2"/>
    </row>
    <row r="494" spans="1:22" ht="14.25" customHeight="1">
      <c r="A494" s="1"/>
      <c r="B494" s="2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2"/>
      <c r="R494" s="2"/>
      <c r="S494" s="2"/>
      <c r="T494" s="2"/>
      <c r="U494" s="2"/>
      <c r="V494" s="2"/>
    </row>
    <row r="495" spans="1:22" ht="14.25" customHeight="1">
      <c r="A495" s="1"/>
      <c r="B495" s="2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2"/>
      <c r="R495" s="2"/>
      <c r="S495" s="2"/>
      <c r="T495" s="2"/>
      <c r="U495" s="2"/>
      <c r="V495" s="2"/>
    </row>
    <row r="496" spans="1:22" ht="14.25" customHeight="1">
      <c r="A496" s="1"/>
      <c r="B496" s="2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2"/>
      <c r="R496" s="2"/>
      <c r="S496" s="2"/>
      <c r="T496" s="2"/>
      <c r="U496" s="2"/>
      <c r="V496" s="2"/>
    </row>
    <row r="497" spans="1:22" ht="14.25" customHeight="1">
      <c r="A497" s="1"/>
      <c r="B497" s="2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2"/>
      <c r="R497" s="2"/>
      <c r="S497" s="2"/>
      <c r="T497" s="2"/>
      <c r="U497" s="2"/>
      <c r="V497" s="2"/>
    </row>
    <row r="498" spans="1:22" ht="14.25" customHeight="1">
      <c r="A498" s="1"/>
      <c r="B498" s="2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2"/>
      <c r="R498" s="2"/>
      <c r="S498" s="2"/>
      <c r="T498" s="2"/>
      <c r="U498" s="2"/>
      <c r="V498" s="2"/>
    </row>
    <row r="499" spans="1:22" ht="14.25" customHeight="1">
      <c r="A499" s="1"/>
      <c r="B499" s="2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2"/>
      <c r="R499" s="2"/>
      <c r="S499" s="2"/>
      <c r="T499" s="2"/>
      <c r="U499" s="2"/>
      <c r="V499" s="2"/>
    </row>
    <row r="500" spans="1:22" ht="14.25" customHeight="1">
      <c r="A500" s="1"/>
      <c r="B500" s="2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2"/>
      <c r="R500" s="2"/>
      <c r="S500" s="2"/>
      <c r="T500" s="2"/>
      <c r="U500" s="2"/>
      <c r="V500" s="2"/>
    </row>
    <row r="501" spans="1:22" ht="14.25" customHeight="1">
      <c r="A501" s="1"/>
      <c r="B501" s="2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2"/>
      <c r="R501" s="2"/>
      <c r="S501" s="2"/>
      <c r="T501" s="2"/>
      <c r="U501" s="2"/>
      <c r="V501" s="2"/>
    </row>
    <row r="502" spans="1:22" ht="14.25" customHeight="1">
      <c r="A502" s="1"/>
      <c r="B502" s="2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2"/>
      <c r="R502" s="2"/>
      <c r="S502" s="2"/>
      <c r="T502" s="2"/>
      <c r="U502" s="2"/>
      <c r="V502" s="2"/>
    </row>
    <row r="503" spans="1:22" ht="14.25" customHeight="1">
      <c r="A503" s="1"/>
      <c r="B503" s="2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2"/>
      <c r="R503" s="2"/>
      <c r="S503" s="2"/>
      <c r="T503" s="2"/>
      <c r="U503" s="2"/>
      <c r="V503" s="2"/>
    </row>
    <row r="504" spans="1:22" ht="14.25" customHeight="1">
      <c r="A504" s="1"/>
      <c r="B504" s="2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2"/>
      <c r="R504" s="2"/>
      <c r="S504" s="2"/>
      <c r="T504" s="2"/>
      <c r="U504" s="2"/>
      <c r="V504" s="2"/>
    </row>
    <row r="505" spans="1:22" ht="14.25" customHeight="1">
      <c r="A505" s="1"/>
      <c r="B505" s="2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2"/>
      <c r="R505" s="2"/>
      <c r="S505" s="2"/>
      <c r="T505" s="2"/>
      <c r="U505" s="2"/>
      <c r="V505" s="2"/>
    </row>
    <row r="506" spans="1:22" ht="14.25" customHeight="1">
      <c r="A506" s="1"/>
      <c r="B506" s="2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2"/>
      <c r="R506" s="2"/>
      <c r="S506" s="2"/>
      <c r="T506" s="2"/>
      <c r="U506" s="2"/>
      <c r="V506" s="2"/>
    </row>
    <row r="507" spans="1:22" ht="14.25" customHeight="1">
      <c r="A507" s="1"/>
      <c r="B507" s="2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2"/>
      <c r="R507" s="2"/>
      <c r="S507" s="2"/>
      <c r="T507" s="2"/>
      <c r="U507" s="2"/>
      <c r="V507" s="2"/>
    </row>
    <row r="508" spans="1:22" ht="14.25" customHeight="1">
      <c r="A508" s="1"/>
      <c r="B508" s="2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2"/>
      <c r="R508" s="2"/>
      <c r="S508" s="2"/>
      <c r="T508" s="2"/>
      <c r="U508" s="2"/>
      <c r="V508" s="2"/>
    </row>
    <row r="509" spans="1:22" ht="14.25" customHeight="1">
      <c r="A509" s="1"/>
      <c r="B509" s="2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2"/>
      <c r="R509" s="2"/>
      <c r="S509" s="2"/>
      <c r="T509" s="2"/>
      <c r="U509" s="2"/>
      <c r="V509" s="2"/>
    </row>
    <row r="510" spans="1:22" ht="14.25" customHeight="1">
      <c r="A510" s="1"/>
      <c r="B510" s="2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2"/>
      <c r="R510" s="2"/>
      <c r="S510" s="2"/>
      <c r="T510" s="2"/>
      <c r="U510" s="2"/>
      <c r="V510" s="2"/>
    </row>
    <row r="511" spans="1:22" ht="14.25" customHeight="1">
      <c r="A511" s="1"/>
      <c r="B511" s="2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2"/>
      <c r="R511" s="2"/>
      <c r="S511" s="2"/>
      <c r="T511" s="2"/>
      <c r="U511" s="2"/>
      <c r="V511" s="2"/>
    </row>
    <row r="512" spans="1:22" ht="14.25" customHeight="1">
      <c r="A512" s="1"/>
      <c r="B512" s="2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2"/>
      <c r="R512" s="2"/>
      <c r="S512" s="2"/>
      <c r="T512" s="2"/>
      <c r="U512" s="2"/>
      <c r="V512" s="2"/>
    </row>
    <row r="513" spans="1:22" ht="14.25" customHeight="1">
      <c r="A513" s="1"/>
      <c r="B513" s="2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2"/>
      <c r="R513" s="2"/>
      <c r="S513" s="2"/>
      <c r="T513" s="2"/>
      <c r="U513" s="2"/>
      <c r="V513" s="2"/>
    </row>
    <row r="514" spans="1:22" ht="14.25" customHeight="1">
      <c r="A514" s="1"/>
      <c r="B514" s="2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2"/>
      <c r="R514" s="2"/>
      <c r="S514" s="2"/>
      <c r="T514" s="2"/>
      <c r="U514" s="2"/>
      <c r="V514" s="2"/>
    </row>
    <row r="515" spans="1:22" ht="14.25" customHeight="1">
      <c r="A515" s="1"/>
      <c r="B515" s="2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2"/>
      <c r="R515" s="2"/>
      <c r="S515" s="2"/>
      <c r="T515" s="2"/>
      <c r="U515" s="2"/>
      <c r="V515" s="2"/>
    </row>
    <row r="516" spans="1:22" ht="14.25" customHeight="1">
      <c r="A516" s="1"/>
      <c r="B516" s="2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2"/>
      <c r="R516" s="2"/>
      <c r="S516" s="2"/>
      <c r="T516" s="2"/>
      <c r="U516" s="2"/>
      <c r="V516" s="2"/>
    </row>
    <row r="517" spans="1:22" ht="14.25" customHeight="1">
      <c r="A517" s="1"/>
      <c r="B517" s="2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2"/>
      <c r="R517" s="2"/>
      <c r="S517" s="2"/>
      <c r="T517" s="2"/>
      <c r="U517" s="2"/>
      <c r="V517" s="2"/>
    </row>
    <row r="518" spans="1:22" ht="14.25" customHeight="1">
      <c r="A518" s="1"/>
      <c r="B518" s="2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2"/>
      <c r="R518" s="2"/>
      <c r="S518" s="2"/>
      <c r="T518" s="2"/>
      <c r="U518" s="2"/>
      <c r="V518" s="2"/>
    </row>
    <row r="519" spans="1:22" ht="14.25" customHeight="1">
      <c r="A519" s="1"/>
      <c r="B519" s="2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2"/>
      <c r="R519" s="2"/>
      <c r="S519" s="2"/>
      <c r="T519" s="2"/>
      <c r="U519" s="2"/>
      <c r="V519" s="2"/>
    </row>
    <row r="520" spans="1:22" ht="14.25" customHeight="1">
      <c r="A520" s="1"/>
      <c r="B520" s="2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2"/>
      <c r="R520" s="2"/>
      <c r="S520" s="2"/>
      <c r="T520" s="2"/>
      <c r="U520" s="2"/>
      <c r="V520" s="2"/>
    </row>
    <row r="521" spans="1:22" ht="14.25" customHeight="1">
      <c r="A521" s="1"/>
      <c r="B521" s="2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2"/>
      <c r="R521" s="2"/>
      <c r="S521" s="2"/>
      <c r="T521" s="2"/>
      <c r="U521" s="2"/>
      <c r="V521" s="2"/>
    </row>
    <row r="522" spans="1:22" ht="14.25" customHeight="1">
      <c r="A522" s="1"/>
      <c r="B522" s="2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2"/>
      <c r="R522" s="2"/>
      <c r="S522" s="2"/>
      <c r="T522" s="2"/>
      <c r="U522" s="2"/>
      <c r="V522" s="2"/>
    </row>
    <row r="523" spans="1:22" ht="14.25" customHeight="1">
      <c r="A523" s="1"/>
      <c r="B523" s="2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2"/>
      <c r="R523" s="2"/>
      <c r="S523" s="2"/>
      <c r="T523" s="2"/>
      <c r="U523" s="2"/>
      <c r="V523" s="2"/>
    </row>
    <row r="524" spans="1:22" ht="14.25" customHeight="1">
      <c r="A524" s="1"/>
      <c r="B524" s="2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2"/>
      <c r="R524" s="2"/>
      <c r="S524" s="2"/>
      <c r="T524" s="2"/>
      <c r="U524" s="2"/>
      <c r="V524" s="2"/>
    </row>
    <row r="525" spans="1:22" ht="14.25" customHeight="1">
      <c r="A525" s="1"/>
      <c r="B525" s="2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2"/>
      <c r="R525" s="2"/>
      <c r="S525" s="2"/>
      <c r="T525" s="2"/>
      <c r="U525" s="2"/>
      <c r="V525" s="2"/>
    </row>
    <row r="526" spans="1:22" ht="14.25" customHeight="1">
      <c r="A526" s="1"/>
      <c r="B526" s="2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2"/>
      <c r="R526" s="2"/>
      <c r="S526" s="2"/>
      <c r="T526" s="2"/>
      <c r="U526" s="2"/>
      <c r="V526" s="2"/>
    </row>
    <row r="527" spans="1:22" ht="14.25" customHeight="1">
      <c r="A527" s="1"/>
      <c r="B527" s="2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2"/>
      <c r="R527" s="2"/>
      <c r="S527" s="2"/>
      <c r="T527" s="2"/>
      <c r="U527" s="2"/>
      <c r="V527" s="2"/>
    </row>
    <row r="528" spans="1:22" ht="14.25" customHeight="1">
      <c r="A528" s="1"/>
      <c r="B528" s="2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2"/>
      <c r="R528" s="2"/>
      <c r="S528" s="2"/>
      <c r="T528" s="2"/>
      <c r="U528" s="2"/>
      <c r="V528" s="2"/>
    </row>
    <row r="529" spans="1:22" ht="14.25" customHeight="1">
      <c r="A529" s="1"/>
      <c r="B529" s="2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2"/>
      <c r="R529" s="2"/>
      <c r="S529" s="2"/>
      <c r="T529" s="2"/>
      <c r="U529" s="2"/>
      <c r="V529" s="2"/>
    </row>
    <row r="530" spans="1:22" ht="14.25" customHeight="1">
      <c r="A530" s="1"/>
      <c r="B530" s="2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2"/>
      <c r="R530" s="2"/>
      <c r="S530" s="2"/>
      <c r="T530" s="2"/>
      <c r="U530" s="2"/>
      <c r="V530" s="2"/>
    </row>
    <row r="531" spans="1:22" ht="14.25" customHeight="1">
      <c r="A531" s="1"/>
      <c r="B531" s="2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2"/>
      <c r="R531" s="2"/>
      <c r="S531" s="2"/>
      <c r="T531" s="2"/>
      <c r="U531" s="2"/>
      <c r="V531" s="2"/>
    </row>
    <row r="532" spans="1:22" ht="14.25" customHeight="1">
      <c r="A532" s="1"/>
      <c r="B532" s="2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2"/>
      <c r="R532" s="2"/>
      <c r="S532" s="2"/>
      <c r="T532" s="2"/>
      <c r="U532" s="2"/>
      <c r="V532" s="2"/>
    </row>
    <row r="533" spans="1:22" ht="14.25" customHeight="1">
      <c r="A533" s="1"/>
      <c r="B533" s="2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2"/>
      <c r="R533" s="2"/>
      <c r="S533" s="2"/>
      <c r="T533" s="2"/>
      <c r="U533" s="2"/>
      <c r="V533" s="2"/>
    </row>
    <row r="534" spans="1:22" ht="14.25" customHeight="1">
      <c r="A534" s="1"/>
      <c r="B534" s="2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2"/>
      <c r="R534" s="2"/>
      <c r="S534" s="2"/>
      <c r="T534" s="2"/>
      <c r="U534" s="2"/>
      <c r="V534" s="2"/>
    </row>
    <row r="535" spans="1:22" ht="14.25" customHeight="1">
      <c r="A535" s="1"/>
      <c r="B535" s="2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2"/>
      <c r="R535" s="2"/>
      <c r="S535" s="2"/>
      <c r="T535" s="2"/>
      <c r="U535" s="2"/>
      <c r="V535" s="2"/>
    </row>
    <row r="536" spans="1:22" ht="14.25" customHeight="1">
      <c r="A536" s="1"/>
      <c r="B536" s="2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2"/>
      <c r="R536" s="2"/>
      <c r="S536" s="2"/>
      <c r="T536" s="2"/>
      <c r="U536" s="2"/>
      <c r="V536" s="2"/>
    </row>
    <row r="537" spans="1:22" ht="14.25" customHeight="1">
      <c r="A537" s="1"/>
      <c r="B537" s="2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2"/>
      <c r="R537" s="2"/>
      <c r="S537" s="2"/>
      <c r="T537" s="2"/>
      <c r="U537" s="2"/>
      <c r="V537" s="2"/>
    </row>
    <row r="538" spans="1:22" ht="14.25" customHeight="1">
      <c r="A538" s="1"/>
      <c r="B538" s="2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2"/>
      <c r="R538" s="2"/>
      <c r="S538" s="2"/>
      <c r="T538" s="2"/>
      <c r="U538" s="2"/>
      <c r="V538" s="2"/>
    </row>
    <row r="539" spans="1:22" ht="14.25" customHeight="1">
      <c r="A539" s="1"/>
      <c r="B539" s="2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2"/>
      <c r="R539" s="2"/>
      <c r="S539" s="2"/>
      <c r="T539" s="2"/>
      <c r="U539" s="2"/>
      <c r="V539" s="2"/>
    </row>
    <row r="540" spans="1:22" ht="14.25" customHeight="1">
      <c r="A540" s="1"/>
      <c r="B540" s="2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2"/>
      <c r="R540" s="2"/>
      <c r="S540" s="2"/>
      <c r="T540" s="2"/>
      <c r="U540" s="2"/>
      <c r="V540" s="2"/>
    </row>
    <row r="541" spans="1:22" ht="14.25" customHeight="1">
      <c r="A541" s="1"/>
      <c r="B541" s="2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2"/>
      <c r="R541" s="2"/>
      <c r="S541" s="2"/>
      <c r="T541" s="2"/>
      <c r="U541" s="2"/>
      <c r="V541" s="2"/>
    </row>
    <row r="542" spans="1:22" ht="14.25" customHeight="1">
      <c r="A542" s="1"/>
      <c r="B542" s="2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2"/>
      <c r="R542" s="2"/>
      <c r="S542" s="2"/>
      <c r="T542" s="2"/>
      <c r="U542" s="2"/>
      <c r="V542" s="2"/>
    </row>
    <row r="543" spans="1:22" ht="14.25" customHeight="1">
      <c r="A543" s="1"/>
      <c r="B543" s="2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2"/>
      <c r="R543" s="2"/>
      <c r="S543" s="2"/>
      <c r="T543" s="2"/>
      <c r="U543" s="2"/>
      <c r="V543" s="2"/>
    </row>
    <row r="544" spans="1:22" ht="14.25" customHeight="1">
      <c r="A544" s="1"/>
      <c r="B544" s="2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2"/>
      <c r="R544" s="2"/>
      <c r="S544" s="2"/>
      <c r="T544" s="2"/>
      <c r="U544" s="2"/>
      <c r="V544" s="2"/>
    </row>
    <row r="545" spans="1:22" ht="14.25" customHeight="1">
      <c r="A545" s="1"/>
      <c r="B545" s="2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2"/>
      <c r="R545" s="2"/>
      <c r="S545" s="2"/>
      <c r="T545" s="2"/>
      <c r="U545" s="2"/>
      <c r="V545" s="2"/>
    </row>
    <row r="546" spans="1:22" ht="14.25" customHeight="1">
      <c r="A546" s="1"/>
      <c r="B546" s="2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2"/>
      <c r="R546" s="2"/>
      <c r="S546" s="2"/>
      <c r="T546" s="2"/>
      <c r="U546" s="2"/>
      <c r="V546" s="2"/>
    </row>
    <row r="547" spans="1:22" ht="14.25" customHeight="1">
      <c r="A547" s="1"/>
      <c r="B547" s="2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2"/>
      <c r="R547" s="2"/>
      <c r="S547" s="2"/>
      <c r="T547" s="2"/>
      <c r="U547" s="2"/>
      <c r="V547" s="2"/>
    </row>
    <row r="548" spans="1:22" ht="14.25" customHeight="1">
      <c r="A548" s="1"/>
      <c r="B548" s="2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2"/>
      <c r="R548" s="2"/>
      <c r="S548" s="2"/>
      <c r="T548" s="2"/>
      <c r="U548" s="2"/>
      <c r="V548" s="2"/>
    </row>
    <row r="549" spans="1:22" ht="14.25" customHeight="1">
      <c r="A549" s="1"/>
      <c r="B549" s="2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2"/>
      <c r="R549" s="2"/>
      <c r="S549" s="2"/>
      <c r="T549" s="2"/>
      <c r="U549" s="2"/>
      <c r="V549" s="2"/>
    </row>
    <row r="550" spans="1:22" ht="14.25" customHeight="1">
      <c r="A550" s="1"/>
      <c r="B550" s="2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2"/>
      <c r="R550" s="2"/>
      <c r="S550" s="2"/>
      <c r="T550" s="2"/>
      <c r="U550" s="2"/>
      <c r="V550" s="2"/>
    </row>
    <row r="551" spans="1:22" ht="14.25" customHeight="1">
      <c r="A551" s="1"/>
      <c r="B551" s="2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2"/>
      <c r="R551" s="2"/>
      <c r="S551" s="2"/>
      <c r="T551" s="2"/>
      <c r="U551" s="2"/>
      <c r="V551" s="2"/>
    </row>
    <row r="552" spans="1:22" ht="14.25" customHeight="1">
      <c r="A552" s="1"/>
      <c r="B552" s="2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2"/>
      <c r="R552" s="2"/>
      <c r="S552" s="2"/>
      <c r="T552" s="2"/>
      <c r="U552" s="2"/>
      <c r="V552" s="2"/>
    </row>
    <row r="553" spans="1:22" ht="14.25" customHeight="1">
      <c r="A553" s="1"/>
      <c r="B553" s="2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2"/>
      <c r="R553" s="2"/>
      <c r="S553" s="2"/>
      <c r="T553" s="2"/>
      <c r="U553" s="2"/>
      <c r="V553" s="2"/>
    </row>
    <row r="554" spans="1:22" ht="14.25" customHeight="1">
      <c r="A554" s="1"/>
      <c r="B554" s="2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2"/>
      <c r="R554" s="2"/>
      <c r="S554" s="2"/>
      <c r="T554" s="2"/>
      <c r="U554" s="2"/>
      <c r="V554" s="2"/>
    </row>
    <row r="555" spans="1:22" ht="14.25" customHeight="1">
      <c r="A555" s="1"/>
      <c r="B555" s="2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2"/>
      <c r="R555" s="2"/>
      <c r="S555" s="2"/>
      <c r="T555" s="2"/>
      <c r="U555" s="2"/>
      <c r="V555" s="2"/>
    </row>
    <row r="556" spans="1:22" ht="14.25" customHeight="1">
      <c r="A556" s="1"/>
      <c r="B556" s="2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2"/>
      <c r="R556" s="2"/>
      <c r="S556" s="2"/>
      <c r="T556" s="2"/>
      <c r="U556" s="2"/>
      <c r="V556" s="2"/>
    </row>
    <row r="557" spans="1:22" ht="14.25" customHeight="1">
      <c r="A557" s="1"/>
      <c r="B557" s="2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2"/>
      <c r="R557" s="2"/>
      <c r="S557" s="2"/>
      <c r="T557" s="2"/>
      <c r="U557" s="2"/>
      <c r="V557" s="2"/>
    </row>
    <row r="558" spans="1:22" ht="14.25" customHeight="1">
      <c r="A558" s="1"/>
      <c r="B558" s="2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2"/>
      <c r="R558" s="2"/>
      <c r="S558" s="2"/>
      <c r="T558" s="2"/>
      <c r="U558" s="2"/>
      <c r="V558" s="2"/>
    </row>
    <row r="559" spans="1:22" ht="14.25" customHeight="1">
      <c r="A559" s="1"/>
      <c r="B559" s="2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2"/>
      <c r="R559" s="2"/>
      <c r="S559" s="2"/>
      <c r="T559" s="2"/>
      <c r="U559" s="2"/>
      <c r="V559" s="2"/>
    </row>
    <row r="560" spans="1:22" ht="14.25" customHeight="1">
      <c r="A560" s="1"/>
      <c r="B560" s="2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2"/>
      <c r="R560" s="2"/>
      <c r="S560" s="2"/>
      <c r="T560" s="2"/>
      <c r="U560" s="2"/>
      <c r="V560" s="2"/>
    </row>
    <row r="561" spans="1:22" ht="14.25" customHeight="1">
      <c r="A561" s="1"/>
      <c r="B561" s="2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2"/>
      <c r="R561" s="2"/>
      <c r="S561" s="2"/>
      <c r="T561" s="2"/>
      <c r="U561" s="2"/>
      <c r="V561" s="2"/>
    </row>
    <row r="562" spans="1:22" ht="14.25" customHeight="1">
      <c r="A562" s="1"/>
      <c r="B562" s="2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2"/>
      <c r="R562" s="2"/>
      <c r="S562" s="2"/>
      <c r="T562" s="2"/>
      <c r="U562" s="2"/>
      <c r="V562" s="2"/>
    </row>
    <row r="563" spans="1:22" ht="14.25" customHeight="1">
      <c r="A563" s="1"/>
      <c r="B563" s="2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2"/>
      <c r="R563" s="2"/>
      <c r="S563" s="2"/>
      <c r="T563" s="2"/>
      <c r="U563" s="2"/>
      <c r="V563" s="2"/>
    </row>
    <row r="564" spans="1:22" ht="14.25" customHeight="1">
      <c r="A564" s="1"/>
      <c r="B564" s="2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2"/>
      <c r="R564" s="2"/>
      <c r="S564" s="2"/>
      <c r="T564" s="2"/>
      <c r="U564" s="2"/>
      <c r="V564" s="2"/>
    </row>
    <row r="565" spans="1:22" ht="14.25" customHeight="1">
      <c r="A565" s="1"/>
      <c r="B565" s="2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2"/>
      <c r="R565" s="2"/>
      <c r="S565" s="2"/>
      <c r="T565" s="2"/>
      <c r="U565" s="2"/>
      <c r="V565" s="2"/>
    </row>
    <row r="566" spans="1:22" ht="14.25" customHeight="1">
      <c r="A566" s="1"/>
      <c r="B566" s="2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2"/>
      <c r="R566" s="2"/>
      <c r="S566" s="2"/>
      <c r="T566" s="2"/>
      <c r="U566" s="2"/>
      <c r="V566" s="2"/>
    </row>
    <row r="567" spans="1:22" ht="14.25" customHeight="1">
      <c r="A567" s="1"/>
      <c r="B567" s="2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2"/>
      <c r="R567" s="2"/>
      <c r="S567" s="2"/>
      <c r="T567" s="2"/>
      <c r="U567" s="2"/>
      <c r="V567" s="2"/>
    </row>
    <row r="568" spans="1:22" ht="14.25" customHeight="1">
      <c r="A568" s="1"/>
      <c r="B568" s="2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2"/>
      <c r="R568" s="2"/>
      <c r="S568" s="2"/>
      <c r="T568" s="2"/>
      <c r="U568" s="2"/>
      <c r="V568" s="2"/>
    </row>
    <row r="569" spans="1:22" ht="14.25" customHeight="1">
      <c r="A569" s="1"/>
      <c r="B569" s="2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2"/>
      <c r="R569" s="2"/>
      <c r="S569" s="2"/>
      <c r="T569" s="2"/>
      <c r="U569" s="2"/>
      <c r="V569" s="2"/>
    </row>
    <row r="570" spans="1:22" ht="14.25" customHeight="1">
      <c r="A570" s="1"/>
      <c r="B570" s="2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2"/>
      <c r="R570" s="2"/>
      <c r="S570" s="2"/>
      <c r="T570" s="2"/>
      <c r="U570" s="2"/>
      <c r="V570" s="2"/>
    </row>
    <row r="571" spans="1:22" ht="14.25" customHeight="1">
      <c r="A571" s="1"/>
      <c r="B571" s="2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2"/>
      <c r="R571" s="2"/>
      <c r="S571" s="2"/>
      <c r="T571" s="2"/>
      <c r="U571" s="2"/>
      <c r="V571" s="2"/>
    </row>
    <row r="572" spans="1:22" ht="14.25" customHeight="1">
      <c r="A572" s="1"/>
      <c r="B572" s="2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2"/>
      <c r="R572" s="2"/>
      <c r="S572" s="2"/>
      <c r="T572" s="2"/>
      <c r="U572" s="2"/>
      <c r="V572" s="2"/>
    </row>
    <row r="573" spans="1:22" ht="14.25" customHeight="1">
      <c r="A573" s="1"/>
      <c r="B573" s="2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2"/>
      <c r="R573" s="2"/>
      <c r="S573" s="2"/>
      <c r="T573" s="2"/>
      <c r="U573" s="2"/>
      <c r="V573" s="2"/>
    </row>
    <row r="574" spans="1:22" ht="14.25" customHeight="1">
      <c r="A574" s="1"/>
      <c r="B574" s="2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2"/>
      <c r="R574" s="2"/>
      <c r="S574" s="2"/>
      <c r="T574" s="2"/>
      <c r="U574" s="2"/>
      <c r="V574" s="2"/>
    </row>
    <row r="575" spans="1:22" ht="14.25" customHeight="1">
      <c r="A575" s="1"/>
      <c r="B575" s="2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2"/>
      <c r="R575" s="2"/>
      <c r="S575" s="2"/>
      <c r="T575" s="2"/>
      <c r="U575" s="2"/>
      <c r="V575" s="2"/>
    </row>
    <row r="576" spans="1:22" ht="14.25" customHeight="1">
      <c r="A576" s="1"/>
      <c r="B576" s="2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2"/>
      <c r="R576" s="2"/>
      <c r="S576" s="2"/>
      <c r="T576" s="2"/>
      <c r="U576" s="2"/>
      <c r="V576" s="2"/>
    </row>
    <row r="577" spans="1:22" ht="14.25" customHeight="1">
      <c r="A577" s="1"/>
      <c r="B577" s="2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2"/>
      <c r="R577" s="2"/>
      <c r="S577" s="2"/>
      <c r="T577" s="2"/>
      <c r="U577" s="2"/>
      <c r="V577" s="2"/>
    </row>
    <row r="578" spans="1:22" ht="14.25" customHeight="1">
      <c r="A578" s="1"/>
      <c r="B578" s="2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2"/>
      <c r="R578" s="2"/>
      <c r="S578" s="2"/>
      <c r="T578" s="2"/>
      <c r="U578" s="2"/>
      <c r="V578" s="2"/>
    </row>
    <row r="579" spans="1:22" ht="14.25" customHeight="1">
      <c r="A579" s="1"/>
      <c r="B579" s="2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2"/>
      <c r="R579" s="2"/>
      <c r="S579" s="2"/>
      <c r="T579" s="2"/>
      <c r="U579" s="2"/>
      <c r="V579" s="2"/>
    </row>
    <row r="580" spans="1:22" ht="14.25" customHeight="1">
      <c r="A580" s="1"/>
      <c r="B580" s="2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2"/>
      <c r="R580" s="2"/>
      <c r="S580" s="2"/>
      <c r="T580" s="2"/>
      <c r="U580" s="2"/>
      <c r="V580" s="2"/>
    </row>
    <row r="581" spans="1:22" ht="14.25" customHeight="1">
      <c r="A581" s="1"/>
      <c r="B581" s="2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2"/>
      <c r="R581" s="2"/>
      <c r="S581" s="2"/>
      <c r="T581" s="2"/>
      <c r="U581" s="2"/>
      <c r="V581" s="2"/>
    </row>
    <row r="582" spans="1:22" ht="14.25" customHeight="1">
      <c r="A582" s="1"/>
      <c r="B582" s="2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2"/>
      <c r="R582" s="2"/>
      <c r="S582" s="2"/>
      <c r="T582" s="2"/>
      <c r="U582" s="2"/>
      <c r="V582" s="2"/>
    </row>
    <row r="583" spans="1:22" ht="14.25" customHeight="1">
      <c r="A583" s="1"/>
      <c r="B583" s="2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2"/>
      <c r="R583" s="2"/>
      <c r="S583" s="2"/>
      <c r="T583" s="2"/>
      <c r="U583" s="2"/>
      <c r="V583" s="2"/>
    </row>
    <row r="584" spans="1:22" ht="14.25" customHeight="1">
      <c r="A584" s="1"/>
      <c r="B584" s="2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2"/>
      <c r="R584" s="2"/>
      <c r="S584" s="2"/>
      <c r="T584" s="2"/>
      <c r="U584" s="2"/>
      <c r="V584" s="2"/>
    </row>
    <row r="585" spans="1:22" ht="14.25" customHeight="1">
      <c r="A585" s="1"/>
      <c r="B585" s="2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2"/>
      <c r="R585" s="2"/>
      <c r="S585" s="2"/>
      <c r="T585" s="2"/>
      <c r="U585" s="2"/>
      <c r="V585" s="2"/>
    </row>
    <row r="586" spans="1:22" ht="14.25" customHeight="1">
      <c r="A586" s="1"/>
      <c r="B586" s="2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2"/>
      <c r="R586" s="2"/>
      <c r="S586" s="2"/>
      <c r="T586" s="2"/>
      <c r="U586" s="2"/>
      <c r="V586" s="2"/>
    </row>
    <row r="587" spans="1:22" ht="14.25" customHeight="1">
      <c r="A587" s="1"/>
      <c r="B587" s="2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2"/>
      <c r="R587" s="2"/>
      <c r="S587" s="2"/>
      <c r="T587" s="2"/>
      <c r="U587" s="2"/>
      <c r="V587" s="2"/>
    </row>
    <row r="588" spans="1:22" ht="14.25" customHeight="1">
      <c r="A588" s="1"/>
      <c r="B588" s="2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2"/>
      <c r="R588" s="2"/>
      <c r="S588" s="2"/>
      <c r="T588" s="2"/>
      <c r="U588" s="2"/>
      <c r="V588" s="2"/>
    </row>
    <row r="589" spans="1:22" ht="14.25" customHeight="1">
      <c r="A589" s="1"/>
      <c r="B589" s="2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2"/>
      <c r="R589" s="2"/>
      <c r="S589" s="2"/>
      <c r="T589" s="2"/>
      <c r="U589" s="2"/>
      <c r="V589" s="2"/>
    </row>
    <row r="590" spans="1:22" ht="14.25" customHeight="1">
      <c r="A590" s="1"/>
      <c r="B590" s="2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2"/>
      <c r="R590" s="2"/>
      <c r="S590" s="2"/>
      <c r="T590" s="2"/>
      <c r="U590" s="2"/>
      <c r="V590" s="2"/>
    </row>
    <row r="591" spans="1:22" ht="14.25" customHeight="1">
      <c r="A591" s="1"/>
      <c r="B591" s="2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2"/>
      <c r="R591" s="2"/>
      <c r="S591" s="2"/>
      <c r="T591" s="2"/>
      <c r="U591" s="2"/>
      <c r="V591" s="2"/>
    </row>
    <row r="592" spans="1:22" ht="14.25" customHeight="1">
      <c r="A592" s="1"/>
      <c r="B592" s="2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2"/>
      <c r="R592" s="2"/>
      <c r="S592" s="2"/>
      <c r="T592" s="2"/>
      <c r="U592" s="2"/>
      <c r="V592" s="2"/>
    </row>
    <row r="593" spans="1:22" ht="14.25" customHeight="1">
      <c r="A593" s="1"/>
      <c r="B593" s="2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2"/>
      <c r="R593" s="2"/>
      <c r="S593" s="2"/>
      <c r="T593" s="2"/>
      <c r="U593" s="2"/>
      <c r="V593" s="2"/>
    </row>
    <row r="594" spans="1:22" ht="14.25" customHeight="1">
      <c r="A594" s="1"/>
      <c r="B594" s="2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2"/>
      <c r="R594" s="2"/>
      <c r="S594" s="2"/>
      <c r="T594" s="2"/>
      <c r="U594" s="2"/>
      <c r="V594" s="2"/>
    </row>
    <row r="595" spans="1:22" ht="14.25" customHeight="1">
      <c r="A595" s="1"/>
      <c r="B595" s="2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2"/>
      <c r="R595" s="2"/>
      <c r="S595" s="2"/>
      <c r="T595" s="2"/>
      <c r="U595" s="2"/>
      <c r="V595" s="2"/>
    </row>
    <row r="596" spans="1:22" ht="14.25" customHeight="1">
      <c r="A596" s="1"/>
      <c r="B596" s="2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2"/>
      <c r="R596" s="2"/>
      <c r="S596" s="2"/>
      <c r="T596" s="2"/>
      <c r="U596" s="2"/>
      <c r="V596" s="2"/>
    </row>
    <row r="597" spans="1:22" ht="14.25" customHeight="1">
      <c r="A597" s="1"/>
      <c r="B597" s="2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2"/>
      <c r="R597" s="2"/>
      <c r="S597" s="2"/>
      <c r="T597" s="2"/>
      <c r="U597" s="2"/>
      <c r="V597" s="2"/>
    </row>
    <row r="598" spans="1:22" ht="14.25" customHeight="1">
      <c r="A598" s="1"/>
      <c r="B598" s="2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2"/>
      <c r="R598" s="2"/>
      <c r="S598" s="2"/>
      <c r="T598" s="2"/>
      <c r="U598" s="2"/>
      <c r="V598" s="2"/>
    </row>
    <row r="599" spans="1:22" ht="14.25" customHeight="1">
      <c r="A599" s="1"/>
      <c r="B599" s="2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2"/>
      <c r="R599" s="2"/>
      <c r="S599" s="2"/>
      <c r="T599" s="2"/>
      <c r="U599" s="2"/>
      <c r="V599" s="2"/>
    </row>
    <row r="600" spans="1:22" ht="14.25" customHeight="1">
      <c r="A600" s="1"/>
      <c r="B600" s="2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2"/>
      <c r="R600" s="2"/>
      <c r="S600" s="2"/>
      <c r="T600" s="2"/>
      <c r="U600" s="2"/>
      <c r="V600" s="2"/>
    </row>
    <row r="601" spans="1:22" ht="14.25" customHeight="1">
      <c r="A601" s="1"/>
      <c r="B601" s="2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2"/>
      <c r="R601" s="2"/>
      <c r="S601" s="2"/>
      <c r="T601" s="2"/>
      <c r="U601" s="2"/>
      <c r="V601" s="2"/>
    </row>
    <row r="602" spans="1:22" ht="14.25" customHeight="1">
      <c r="A602" s="1"/>
      <c r="B602" s="2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2"/>
      <c r="R602" s="2"/>
      <c r="S602" s="2"/>
      <c r="T602" s="2"/>
      <c r="U602" s="2"/>
      <c r="V602" s="2"/>
    </row>
    <row r="603" spans="1:22" ht="14.25" customHeight="1">
      <c r="A603" s="1"/>
      <c r="B603" s="2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2"/>
      <c r="R603" s="2"/>
      <c r="S603" s="2"/>
      <c r="T603" s="2"/>
      <c r="U603" s="2"/>
      <c r="V603" s="2"/>
    </row>
    <row r="604" spans="1:22" ht="14.25" customHeight="1">
      <c r="A604" s="1"/>
      <c r="B604" s="2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2"/>
      <c r="R604" s="2"/>
      <c r="S604" s="2"/>
      <c r="T604" s="2"/>
      <c r="U604" s="2"/>
      <c r="V604" s="2"/>
    </row>
    <row r="605" spans="1:22" ht="14.25" customHeight="1">
      <c r="A605" s="1"/>
      <c r="B605" s="2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2"/>
      <c r="R605" s="2"/>
      <c r="S605" s="2"/>
      <c r="T605" s="2"/>
      <c r="U605" s="2"/>
      <c r="V605" s="2"/>
    </row>
    <row r="606" spans="1:22" ht="14.25" customHeight="1">
      <c r="A606" s="1"/>
      <c r="B606" s="2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2"/>
      <c r="R606" s="2"/>
      <c r="S606" s="2"/>
      <c r="T606" s="2"/>
      <c r="U606" s="2"/>
      <c r="V606" s="2"/>
    </row>
    <row r="607" spans="1:22" ht="14.25" customHeight="1">
      <c r="A607" s="1"/>
      <c r="B607" s="2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2"/>
      <c r="R607" s="2"/>
      <c r="S607" s="2"/>
      <c r="T607" s="2"/>
      <c r="U607" s="2"/>
      <c r="V607" s="2"/>
    </row>
    <row r="608" spans="1:22" ht="14.25" customHeight="1">
      <c r="A608" s="1"/>
      <c r="B608" s="2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2"/>
      <c r="R608" s="2"/>
      <c r="S608" s="2"/>
      <c r="T608" s="2"/>
      <c r="U608" s="2"/>
      <c r="V608" s="2"/>
    </row>
    <row r="609" spans="1:22" ht="14.25" customHeight="1">
      <c r="A609" s="1"/>
      <c r="B609" s="2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2"/>
      <c r="R609" s="2"/>
      <c r="S609" s="2"/>
      <c r="T609" s="2"/>
      <c r="U609" s="2"/>
      <c r="V609" s="2"/>
    </row>
    <row r="610" spans="1:22" ht="14.25" customHeight="1">
      <c r="A610" s="1"/>
      <c r="B610" s="2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2"/>
      <c r="R610" s="2"/>
      <c r="S610" s="2"/>
      <c r="T610" s="2"/>
      <c r="U610" s="2"/>
      <c r="V610" s="2"/>
    </row>
    <row r="611" spans="1:22" ht="14.25" customHeight="1">
      <c r="A611" s="1"/>
      <c r="B611" s="2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2"/>
      <c r="R611" s="2"/>
      <c r="S611" s="2"/>
      <c r="T611" s="2"/>
      <c r="U611" s="2"/>
      <c r="V611" s="2"/>
    </row>
    <row r="612" spans="1:22" ht="14.25" customHeight="1">
      <c r="A612" s="1"/>
      <c r="B612" s="2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2"/>
      <c r="R612" s="2"/>
      <c r="S612" s="2"/>
      <c r="T612" s="2"/>
      <c r="U612" s="2"/>
      <c r="V612" s="2"/>
    </row>
    <row r="613" spans="1:22" ht="14.25" customHeight="1">
      <c r="A613" s="1"/>
      <c r="B613" s="2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2"/>
      <c r="R613" s="2"/>
      <c r="S613" s="2"/>
      <c r="T613" s="2"/>
      <c r="U613" s="2"/>
      <c r="V613" s="2"/>
    </row>
    <row r="614" spans="1:22" ht="14.25" customHeight="1">
      <c r="A614" s="1"/>
      <c r="B614" s="2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2"/>
      <c r="R614" s="2"/>
      <c r="S614" s="2"/>
      <c r="T614" s="2"/>
      <c r="U614" s="2"/>
      <c r="V614" s="2"/>
    </row>
    <row r="615" spans="1:22" ht="14.25" customHeight="1">
      <c r="A615" s="1"/>
      <c r="B615" s="2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2"/>
      <c r="R615" s="2"/>
      <c r="S615" s="2"/>
      <c r="T615" s="2"/>
      <c r="U615" s="2"/>
      <c r="V615" s="2"/>
    </row>
    <row r="616" spans="1:22" ht="14.25" customHeight="1">
      <c r="A616" s="1"/>
      <c r="B616" s="2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2"/>
      <c r="R616" s="2"/>
      <c r="S616" s="2"/>
      <c r="T616" s="2"/>
      <c r="U616" s="2"/>
      <c r="V616" s="2"/>
    </row>
    <row r="617" spans="1:22" ht="14.25" customHeight="1">
      <c r="A617" s="1"/>
      <c r="B617" s="2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2"/>
      <c r="R617" s="2"/>
      <c r="S617" s="2"/>
      <c r="T617" s="2"/>
      <c r="U617" s="2"/>
      <c r="V617" s="2"/>
    </row>
    <row r="618" spans="1:22" ht="14.25" customHeight="1">
      <c r="A618" s="1"/>
      <c r="B618" s="2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2"/>
      <c r="R618" s="2"/>
      <c r="S618" s="2"/>
      <c r="T618" s="2"/>
      <c r="U618" s="2"/>
      <c r="V618" s="2"/>
    </row>
    <row r="619" spans="1:22" ht="14.25" customHeight="1">
      <c r="A619" s="1"/>
      <c r="B619" s="2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2"/>
      <c r="R619" s="2"/>
      <c r="S619" s="2"/>
      <c r="T619" s="2"/>
      <c r="U619" s="2"/>
      <c r="V619" s="2"/>
    </row>
    <row r="620" spans="1:22" ht="14.25" customHeight="1">
      <c r="A620" s="1"/>
      <c r="B620" s="2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2"/>
      <c r="R620" s="2"/>
      <c r="S620" s="2"/>
      <c r="T620" s="2"/>
      <c r="U620" s="2"/>
      <c r="V620" s="2"/>
    </row>
    <row r="621" spans="1:22" ht="14.25" customHeight="1">
      <c r="A621" s="1"/>
      <c r="B621" s="2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2"/>
      <c r="R621" s="2"/>
      <c r="S621" s="2"/>
      <c r="T621" s="2"/>
      <c r="U621" s="2"/>
      <c r="V621" s="2"/>
    </row>
    <row r="622" spans="1:22" ht="14.25" customHeight="1">
      <c r="A622" s="1"/>
      <c r="B622" s="2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2"/>
      <c r="R622" s="2"/>
      <c r="S622" s="2"/>
      <c r="T622" s="2"/>
      <c r="U622" s="2"/>
      <c r="V622" s="2"/>
    </row>
    <row r="623" spans="1:22" ht="14.25" customHeight="1">
      <c r="A623" s="1"/>
      <c r="B623" s="2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2"/>
      <c r="R623" s="2"/>
      <c r="S623" s="2"/>
      <c r="T623" s="2"/>
      <c r="U623" s="2"/>
      <c r="V623" s="2"/>
    </row>
    <row r="624" spans="1:22" ht="14.25" customHeight="1">
      <c r="A624" s="1"/>
      <c r="B624" s="2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2"/>
      <c r="R624" s="2"/>
      <c r="S624" s="2"/>
      <c r="T624" s="2"/>
      <c r="U624" s="2"/>
      <c r="V624" s="2"/>
    </row>
    <row r="625" spans="1:22" ht="14.25" customHeight="1">
      <c r="A625" s="1"/>
      <c r="B625" s="2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2"/>
      <c r="R625" s="2"/>
      <c r="S625" s="2"/>
      <c r="T625" s="2"/>
      <c r="U625" s="2"/>
      <c r="V625" s="2"/>
    </row>
    <row r="626" spans="1:22" ht="14.25" customHeight="1">
      <c r="A626" s="1"/>
      <c r="B626" s="2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2"/>
      <c r="R626" s="2"/>
      <c r="S626" s="2"/>
      <c r="T626" s="2"/>
      <c r="U626" s="2"/>
      <c r="V626" s="2"/>
    </row>
    <row r="627" spans="1:22" ht="14.25" customHeight="1">
      <c r="A627" s="1"/>
      <c r="B627" s="2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2"/>
      <c r="R627" s="2"/>
      <c r="S627" s="2"/>
      <c r="T627" s="2"/>
      <c r="U627" s="2"/>
      <c r="V627" s="2"/>
    </row>
    <row r="628" spans="1:22" ht="14.25" customHeight="1">
      <c r="A628" s="1"/>
      <c r="B628" s="2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2"/>
      <c r="R628" s="2"/>
      <c r="S628" s="2"/>
      <c r="T628" s="2"/>
      <c r="U628" s="2"/>
      <c r="V628" s="2"/>
    </row>
    <row r="629" spans="1:22" ht="14.25" customHeight="1">
      <c r="A629" s="1"/>
      <c r="B629" s="2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2"/>
      <c r="R629" s="2"/>
      <c r="S629" s="2"/>
      <c r="T629" s="2"/>
      <c r="U629" s="2"/>
      <c r="V629" s="2"/>
    </row>
    <row r="630" spans="1:22" ht="14.25" customHeight="1">
      <c r="A630" s="1"/>
      <c r="B630" s="2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2"/>
      <c r="R630" s="2"/>
      <c r="S630" s="2"/>
      <c r="T630" s="2"/>
      <c r="U630" s="2"/>
      <c r="V630" s="2"/>
    </row>
    <row r="631" spans="1:22" ht="14.25" customHeight="1">
      <c r="A631" s="1"/>
      <c r="B631" s="2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2"/>
      <c r="R631" s="2"/>
      <c r="S631" s="2"/>
      <c r="T631" s="2"/>
      <c r="U631" s="2"/>
      <c r="V631" s="2"/>
    </row>
    <row r="632" spans="1:22" ht="14.25" customHeight="1">
      <c r="A632" s="1"/>
      <c r="B632" s="2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2"/>
      <c r="R632" s="2"/>
      <c r="S632" s="2"/>
      <c r="T632" s="2"/>
      <c r="U632" s="2"/>
      <c r="V632" s="2"/>
    </row>
    <row r="633" spans="1:22" ht="14.25" customHeight="1">
      <c r="A633" s="1"/>
      <c r="B633" s="2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2"/>
      <c r="R633" s="2"/>
      <c r="S633" s="2"/>
      <c r="T633" s="2"/>
      <c r="U633" s="2"/>
      <c r="V633" s="2"/>
    </row>
    <row r="634" spans="1:22" ht="14.25" customHeight="1">
      <c r="A634" s="1"/>
      <c r="B634" s="2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2"/>
      <c r="R634" s="2"/>
      <c r="S634" s="2"/>
      <c r="T634" s="2"/>
      <c r="U634" s="2"/>
      <c r="V634" s="2"/>
    </row>
    <row r="635" spans="1:22" ht="14.25" customHeight="1">
      <c r="A635" s="1"/>
      <c r="B635" s="2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2"/>
      <c r="R635" s="2"/>
      <c r="S635" s="2"/>
      <c r="T635" s="2"/>
      <c r="U635" s="2"/>
      <c r="V635" s="2"/>
    </row>
    <row r="636" spans="1:22" ht="14.25" customHeight="1">
      <c r="A636" s="1"/>
      <c r="B636" s="2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2"/>
      <c r="R636" s="2"/>
      <c r="S636" s="2"/>
      <c r="T636" s="2"/>
      <c r="U636" s="2"/>
      <c r="V636" s="2"/>
    </row>
    <row r="637" spans="1:22" ht="14.25" customHeight="1">
      <c r="A637" s="1"/>
      <c r="B637" s="2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2"/>
      <c r="R637" s="2"/>
      <c r="S637" s="2"/>
      <c r="T637" s="2"/>
      <c r="U637" s="2"/>
      <c r="V637" s="2"/>
    </row>
    <row r="638" spans="1:22" ht="14.25" customHeight="1">
      <c r="A638" s="1"/>
      <c r="B638" s="2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2"/>
      <c r="R638" s="2"/>
      <c r="S638" s="2"/>
      <c r="T638" s="2"/>
      <c r="U638" s="2"/>
      <c r="V638" s="2"/>
    </row>
    <row r="639" spans="1:22" ht="14.25" customHeight="1">
      <c r="A639" s="1"/>
      <c r="B639" s="2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2"/>
      <c r="R639" s="2"/>
      <c r="S639" s="2"/>
      <c r="T639" s="2"/>
      <c r="U639" s="2"/>
      <c r="V639" s="2"/>
    </row>
    <row r="640" spans="1:22" ht="14.25" customHeight="1">
      <c r="A640" s="1"/>
      <c r="B640" s="2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2"/>
      <c r="R640" s="2"/>
      <c r="S640" s="2"/>
      <c r="T640" s="2"/>
      <c r="U640" s="2"/>
      <c r="V640" s="2"/>
    </row>
    <row r="641" spans="1:22" ht="14.25" customHeight="1">
      <c r="A641" s="1"/>
      <c r="B641" s="2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2"/>
      <c r="R641" s="2"/>
      <c r="S641" s="2"/>
      <c r="T641" s="2"/>
      <c r="U641" s="2"/>
      <c r="V641" s="2"/>
    </row>
    <row r="642" spans="1:22" ht="14.25" customHeight="1">
      <c r="A642" s="1"/>
      <c r="B642" s="2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2"/>
      <c r="R642" s="2"/>
      <c r="S642" s="2"/>
      <c r="T642" s="2"/>
      <c r="U642" s="2"/>
      <c r="V642" s="2"/>
    </row>
    <row r="643" spans="1:22" ht="14.25" customHeight="1">
      <c r="A643" s="1"/>
      <c r="B643" s="2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2"/>
      <c r="R643" s="2"/>
      <c r="S643" s="2"/>
      <c r="T643" s="2"/>
      <c r="U643" s="2"/>
      <c r="V643" s="2"/>
    </row>
    <row r="644" spans="1:22" ht="14.25" customHeight="1">
      <c r="A644" s="1"/>
      <c r="B644" s="2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2"/>
      <c r="R644" s="2"/>
      <c r="S644" s="2"/>
      <c r="T644" s="2"/>
      <c r="U644" s="2"/>
      <c r="V644" s="2"/>
    </row>
    <row r="645" spans="1:22" ht="14.25" customHeight="1">
      <c r="A645" s="1"/>
      <c r="B645" s="2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2"/>
      <c r="R645" s="2"/>
      <c r="S645" s="2"/>
      <c r="T645" s="2"/>
      <c r="U645" s="2"/>
      <c r="V645" s="2"/>
    </row>
    <row r="646" spans="1:22" ht="14.25" customHeight="1">
      <c r="A646" s="1"/>
      <c r="B646" s="2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2"/>
      <c r="R646" s="2"/>
      <c r="S646" s="2"/>
      <c r="T646" s="2"/>
      <c r="U646" s="2"/>
      <c r="V646" s="2"/>
    </row>
    <row r="647" spans="1:22" ht="14.25" customHeight="1">
      <c r="A647" s="1"/>
      <c r="B647" s="2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2"/>
      <c r="R647" s="2"/>
      <c r="S647" s="2"/>
      <c r="T647" s="2"/>
      <c r="U647" s="2"/>
      <c r="V647" s="2"/>
    </row>
    <row r="648" spans="1:22" ht="14.25" customHeight="1">
      <c r="A648" s="1"/>
      <c r="B648" s="2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2"/>
      <c r="R648" s="2"/>
      <c r="S648" s="2"/>
      <c r="T648" s="2"/>
      <c r="U648" s="2"/>
      <c r="V648" s="2"/>
    </row>
    <row r="649" spans="1:22" ht="14.25" customHeight="1">
      <c r="A649" s="1"/>
      <c r="B649" s="2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2"/>
      <c r="R649" s="2"/>
      <c r="S649" s="2"/>
      <c r="T649" s="2"/>
      <c r="U649" s="2"/>
      <c r="V649" s="2"/>
    </row>
    <row r="650" spans="1:22" ht="14.25" customHeight="1">
      <c r="A650" s="1"/>
      <c r="B650" s="2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2"/>
      <c r="R650" s="2"/>
      <c r="S650" s="2"/>
      <c r="T650" s="2"/>
      <c r="U650" s="2"/>
      <c r="V650" s="2"/>
    </row>
    <row r="651" spans="1:22" ht="14.25" customHeight="1">
      <c r="A651" s="1"/>
      <c r="B651" s="2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2"/>
      <c r="R651" s="2"/>
      <c r="S651" s="2"/>
      <c r="T651" s="2"/>
      <c r="U651" s="2"/>
      <c r="V651" s="2"/>
    </row>
    <row r="652" spans="1:22" ht="14.25" customHeight="1">
      <c r="A652" s="1"/>
      <c r="B652" s="2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2"/>
      <c r="R652" s="2"/>
      <c r="S652" s="2"/>
      <c r="T652" s="2"/>
      <c r="U652" s="2"/>
      <c r="V652" s="2"/>
    </row>
    <row r="653" spans="1:22" ht="14.25" customHeight="1">
      <c r="A653" s="1"/>
      <c r="B653" s="2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2"/>
      <c r="R653" s="2"/>
      <c r="S653" s="2"/>
      <c r="T653" s="2"/>
      <c r="U653" s="2"/>
      <c r="V653" s="2"/>
    </row>
    <row r="654" spans="1:22" ht="14.25" customHeight="1">
      <c r="A654" s="1"/>
      <c r="B654" s="2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2"/>
      <c r="R654" s="2"/>
      <c r="S654" s="2"/>
      <c r="T654" s="2"/>
      <c r="U654" s="2"/>
      <c r="V654" s="2"/>
    </row>
    <row r="655" spans="1:22" ht="14.25" customHeight="1">
      <c r="A655" s="1"/>
      <c r="B655" s="2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2"/>
      <c r="R655" s="2"/>
      <c r="S655" s="2"/>
      <c r="T655" s="2"/>
      <c r="U655" s="2"/>
      <c r="V655" s="2"/>
    </row>
    <row r="656" spans="1:22" ht="14.25" customHeight="1">
      <c r="A656" s="1"/>
      <c r="B656" s="2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2"/>
      <c r="R656" s="2"/>
      <c r="S656" s="2"/>
      <c r="T656" s="2"/>
      <c r="U656" s="2"/>
      <c r="V656" s="2"/>
    </row>
    <row r="657" spans="1:22" ht="14.25" customHeight="1">
      <c r="A657" s="1"/>
      <c r="B657" s="2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2"/>
      <c r="R657" s="2"/>
      <c r="S657" s="2"/>
      <c r="T657" s="2"/>
      <c r="U657" s="2"/>
      <c r="V657" s="2"/>
    </row>
    <row r="658" spans="1:22" ht="14.25" customHeight="1">
      <c r="A658" s="1"/>
      <c r="B658" s="2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2"/>
      <c r="R658" s="2"/>
      <c r="S658" s="2"/>
      <c r="T658" s="2"/>
      <c r="U658" s="2"/>
      <c r="V658" s="2"/>
    </row>
    <row r="659" spans="1:22" ht="14.25" customHeight="1">
      <c r="A659" s="1"/>
      <c r="B659" s="2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2"/>
      <c r="R659" s="2"/>
      <c r="S659" s="2"/>
      <c r="T659" s="2"/>
      <c r="U659" s="2"/>
      <c r="V659" s="2"/>
    </row>
    <row r="660" spans="1:22" ht="14.25" customHeight="1">
      <c r="A660" s="1"/>
      <c r="B660" s="2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2"/>
      <c r="R660" s="2"/>
      <c r="S660" s="2"/>
      <c r="T660" s="2"/>
      <c r="U660" s="2"/>
      <c r="V660" s="2"/>
    </row>
    <row r="661" spans="1:22" ht="14.25" customHeight="1">
      <c r="A661" s="1"/>
      <c r="B661" s="2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2"/>
      <c r="R661" s="2"/>
      <c r="S661" s="2"/>
      <c r="T661" s="2"/>
      <c r="U661" s="2"/>
      <c r="V661" s="2"/>
    </row>
    <row r="662" spans="1:22" ht="14.25" customHeight="1">
      <c r="A662" s="1"/>
      <c r="B662" s="2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2"/>
      <c r="R662" s="2"/>
      <c r="S662" s="2"/>
      <c r="T662" s="2"/>
      <c r="U662" s="2"/>
      <c r="V662" s="2"/>
    </row>
    <row r="663" spans="1:22" ht="14.25" customHeight="1">
      <c r="A663" s="1"/>
      <c r="B663" s="2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2"/>
      <c r="R663" s="2"/>
      <c r="S663" s="2"/>
      <c r="T663" s="2"/>
      <c r="U663" s="2"/>
      <c r="V663" s="2"/>
    </row>
    <row r="664" spans="1:22" ht="14.25" customHeight="1">
      <c r="A664" s="1"/>
      <c r="B664" s="2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2"/>
      <c r="R664" s="2"/>
      <c r="S664" s="2"/>
      <c r="T664" s="2"/>
      <c r="U664" s="2"/>
      <c r="V664" s="2"/>
    </row>
    <row r="665" spans="1:22" ht="14.25" customHeight="1">
      <c r="A665" s="1"/>
      <c r="B665" s="2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2"/>
      <c r="R665" s="2"/>
      <c r="S665" s="2"/>
      <c r="T665" s="2"/>
      <c r="U665" s="2"/>
      <c r="V665" s="2"/>
    </row>
    <row r="666" spans="1:22" ht="14.25" customHeight="1">
      <c r="A666" s="1"/>
      <c r="B666" s="2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2"/>
      <c r="R666" s="2"/>
      <c r="S666" s="2"/>
      <c r="T666" s="2"/>
      <c r="U666" s="2"/>
      <c r="V666" s="2"/>
    </row>
    <row r="667" spans="1:22" ht="14.25" customHeight="1">
      <c r="A667" s="1"/>
      <c r="B667" s="2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2"/>
      <c r="R667" s="2"/>
      <c r="S667" s="2"/>
      <c r="T667" s="2"/>
      <c r="U667" s="2"/>
      <c r="V667" s="2"/>
    </row>
    <row r="668" spans="1:22" ht="14.25" customHeight="1">
      <c r="A668" s="1"/>
      <c r="B668" s="2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2"/>
      <c r="R668" s="2"/>
      <c r="S668" s="2"/>
      <c r="T668" s="2"/>
      <c r="U668" s="2"/>
      <c r="V668" s="2"/>
    </row>
    <row r="669" spans="1:22" ht="14.25" customHeight="1">
      <c r="A669" s="1"/>
      <c r="B669" s="2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2"/>
      <c r="R669" s="2"/>
      <c r="S669" s="2"/>
      <c r="T669" s="2"/>
      <c r="U669" s="2"/>
      <c r="V669" s="2"/>
    </row>
    <row r="670" spans="1:22" ht="14.25" customHeight="1">
      <c r="A670" s="1"/>
      <c r="B670" s="2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2"/>
      <c r="R670" s="2"/>
      <c r="S670" s="2"/>
      <c r="T670" s="2"/>
      <c r="U670" s="2"/>
      <c r="V670" s="2"/>
    </row>
    <row r="671" spans="1:22" ht="14.25" customHeight="1">
      <c r="A671" s="1"/>
      <c r="B671" s="2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2"/>
      <c r="R671" s="2"/>
      <c r="S671" s="2"/>
      <c r="T671" s="2"/>
      <c r="U671" s="2"/>
      <c r="V671" s="2"/>
    </row>
    <row r="672" spans="1:22" ht="14.25" customHeight="1">
      <c r="A672" s="1"/>
      <c r="B672" s="2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2"/>
      <c r="R672" s="2"/>
      <c r="S672" s="2"/>
      <c r="T672" s="2"/>
      <c r="U672" s="2"/>
      <c r="V672" s="2"/>
    </row>
    <row r="673" spans="1:22" ht="14.25" customHeight="1">
      <c r="A673" s="1"/>
      <c r="B673" s="2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2"/>
      <c r="R673" s="2"/>
      <c r="S673" s="2"/>
      <c r="T673" s="2"/>
      <c r="U673" s="2"/>
      <c r="V673" s="2"/>
    </row>
    <row r="674" spans="1:22" ht="14.25" customHeight="1">
      <c r="A674" s="1"/>
      <c r="B674" s="2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2"/>
      <c r="R674" s="2"/>
      <c r="S674" s="2"/>
      <c r="T674" s="2"/>
      <c r="U674" s="2"/>
      <c r="V674" s="2"/>
    </row>
    <row r="675" spans="1:22" ht="14.25" customHeight="1">
      <c r="A675" s="1"/>
      <c r="B675" s="2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2"/>
      <c r="R675" s="2"/>
      <c r="S675" s="2"/>
      <c r="T675" s="2"/>
      <c r="U675" s="2"/>
      <c r="V675" s="2"/>
    </row>
    <row r="676" spans="1:22" ht="14.25" customHeight="1">
      <c r="A676" s="1"/>
      <c r="B676" s="2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2"/>
      <c r="R676" s="2"/>
      <c r="S676" s="2"/>
      <c r="T676" s="2"/>
      <c r="U676" s="2"/>
      <c r="V676" s="2"/>
    </row>
    <row r="677" spans="1:22" ht="14.25" customHeight="1">
      <c r="A677" s="1"/>
      <c r="B677" s="2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2"/>
      <c r="R677" s="2"/>
      <c r="S677" s="2"/>
      <c r="T677" s="2"/>
      <c r="U677" s="2"/>
      <c r="V677" s="2"/>
    </row>
    <row r="678" spans="1:22" ht="14.25" customHeight="1">
      <c r="A678" s="1"/>
      <c r="B678" s="2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2"/>
      <c r="R678" s="2"/>
      <c r="S678" s="2"/>
      <c r="T678" s="2"/>
      <c r="U678" s="2"/>
      <c r="V678" s="2"/>
    </row>
    <row r="679" spans="1:22" ht="14.25" customHeight="1">
      <c r="A679" s="1"/>
      <c r="B679" s="2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2"/>
      <c r="R679" s="2"/>
      <c r="S679" s="2"/>
      <c r="T679" s="2"/>
      <c r="U679" s="2"/>
      <c r="V679" s="2"/>
    </row>
    <row r="680" spans="1:22" ht="14.25" customHeight="1">
      <c r="A680" s="1"/>
      <c r="B680" s="2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2"/>
      <c r="R680" s="2"/>
      <c r="S680" s="2"/>
      <c r="T680" s="2"/>
      <c r="U680" s="2"/>
      <c r="V680" s="2"/>
    </row>
    <row r="681" spans="1:22" ht="14.25" customHeight="1">
      <c r="A681" s="1"/>
      <c r="B681" s="2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2"/>
      <c r="R681" s="2"/>
      <c r="S681" s="2"/>
      <c r="T681" s="2"/>
      <c r="U681" s="2"/>
      <c r="V681" s="2"/>
    </row>
    <row r="682" spans="1:22" ht="14.25" customHeight="1">
      <c r="A682" s="1"/>
      <c r="B682" s="2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2"/>
      <c r="R682" s="2"/>
      <c r="S682" s="2"/>
      <c r="T682" s="2"/>
      <c r="U682" s="2"/>
      <c r="V682" s="2"/>
    </row>
    <row r="683" spans="1:22" ht="14.25" customHeight="1">
      <c r="A683" s="1"/>
      <c r="B683" s="2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2"/>
      <c r="R683" s="2"/>
      <c r="S683" s="2"/>
      <c r="T683" s="2"/>
      <c r="U683" s="2"/>
      <c r="V683" s="2"/>
    </row>
    <row r="684" spans="1:22" ht="14.25" customHeight="1">
      <c r="A684" s="1"/>
      <c r="B684" s="2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2"/>
      <c r="R684" s="2"/>
      <c r="S684" s="2"/>
      <c r="T684" s="2"/>
      <c r="U684" s="2"/>
      <c r="V684" s="2"/>
    </row>
    <row r="685" spans="1:22" ht="14.25" customHeight="1">
      <c r="A685" s="1"/>
      <c r="B685" s="2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2"/>
      <c r="R685" s="2"/>
      <c r="S685" s="2"/>
      <c r="T685" s="2"/>
      <c r="U685" s="2"/>
      <c r="V685" s="2"/>
    </row>
    <row r="686" spans="1:22" ht="14.25" customHeight="1">
      <c r="A686" s="1"/>
      <c r="B686" s="2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2"/>
      <c r="R686" s="2"/>
      <c r="S686" s="2"/>
      <c r="T686" s="2"/>
      <c r="U686" s="2"/>
      <c r="V686" s="2"/>
    </row>
    <row r="687" spans="1:22" ht="14.25" customHeight="1">
      <c r="A687" s="1"/>
      <c r="B687" s="2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2"/>
      <c r="R687" s="2"/>
      <c r="S687" s="2"/>
      <c r="T687" s="2"/>
      <c r="U687" s="2"/>
      <c r="V687" s="2"/>
    </row>
    <row r="688" spans="1:22" ht="14.25" customHeight="1">
      <c r="A688" s="1"/>
      <c r="B688" s="2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2"/>
      <c r="R688" s="2"/>
      <c r="S688" s="2"/>
      <c r="T688" s="2"/>
      <c r="U688" s="2"/>
      <c r="V688" s="2"/>
    </row>
    <row r="689" spans="1:22" ht="14.25" customHeight="1">
      <c r="A689" s="1"/>
      <c r="B689" s="2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2"/>
      <c r="R689" s="2"/>
      <c r="S689" s="2"/>
      <c r="T689" s="2"/>
      <c r="U689" s="2"/>
      <c r="V689" s="2"/>
    </row>
    <row r="690" spans="1:22" ht="14.25" customHeight="1">
      <c r="A690" s="1"/>
      <c r="B690" s="2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2"/>
      <c r="R690" s="2"/>
      <c r="S690" s="2"/>
      <c r="T690" s="2"/>
      <c r="U690" s="2"/>
      <c r="V690" s="2"/>
    </row>
    <row r="691" spans="1:22" ht="14.25" customHeight="1">
      <c r="A691" s="1"/>
      <c r="B691" s="2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2"/>
      <c r="R691" s="2"/>
      <c r="S691" s="2"/>
      <c r="T691" s="2"/>
      <c r="U691" s="2"/>
      <c r="V691" s="2"/>
    </row>
    <row r="692" spans="1:22" ht="14.25" customHeight="1">
      <c r="A692" s="1"/>
      <c r="B692" s="2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2"/>
      <c r="R692" s="2"/>
      <c r="S692" s="2"/>
      <c r="T692" s="2"/>
      <c r="U692" s="2"/>
      <c r="V692" s="2"/>
    </row>
    <row r="693" spans="1:22" ht="14.25" customHeight="1">
      <c r="A693" s="1"/>
      <c r="B693" s="2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2"/>
      <c r="R693" s="2"/>
      <c r="S693" s="2"/>
      <c r="T693" s="2"/>
      <c r="U693" s="2"/>
      <c r="V693" s="2"/>
    </row>
    <row r="694" spans="1:22" ht="14.25" customHeight="1">
      <c r="A694" s="1"/>
      <c r="B694" s="2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2"/>
      <c r="R694" s="2"/>
      <c r="S694" s="2"/>
      <c r="T694" s="2"/>
      <c r="U694" s="2"/>
      <c r="V694" s="2"/>
    </row>
    <row r="695" spans="1:22" ht="14.25" customHeight="1">
      <c r="A695" s="1"/>
      <c r="B695" s="2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2"/>
      <c r="R695" s="2"/>
      <c r="S695" s="2"/>
      <c r="T695" s="2"/>
      <c r="U695" s="2"/>
      <c r="V695" s="2"/>
    </row>
    <row r="696" spans="1:22" ht="14.25" customHeight="1">
      <c r="A696" s="1"/>
      <c r="B696" s="2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2"/>
      <c r="R696" s="2"/>
      <c r="S696" s="2"/>
      <c r="T696" s="2"/>
      <c r="U696" s="2"/>
      <c r="V696" s="2"/>
    </row>
    <row r="697" spans="1:22" ht="14.25" customHeight="1">
      <c r="A697" s="1"/>
      <c r="B697" s="2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2"/>
      <c r="R697" s="2"/>
      <c r="S697" s="2"/>
      <c r="T697" s="2"/>
      <c r="U697" s="2"/>
      <c r="V697" s="2"/>
    </row>
    <row r="698" spans="1:22" ht="14.25" customHeight="1">
      <c r="A698" s="1"/>
      <c r="B698" s="2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2"/>
      <c r="R698" s="2"/>
      <c r="S698" s="2"/>
      <c r="T698" s="2"/>
      <c r="U698" s="2"/>
      <c r="V698" s="2"/>
    </row>
    <row r="699" spans="1:22" ht="14.25" customHeight="1">
      <c r="A699" s="1"/>
      <c r="B699" s="2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2"/>
      <c r="R699" s="2"/>
      <c r="S699" s="2"/>
      <c r="T699" s="2"/>
      <c r="U699" s="2"/>
      <c r="V699" s="2"/>
    </row>
    <row r="700" spans="1:22" ht="14.25" customHeight="1">
      <c r="A700" s="1"/>
      <c r="B700" s="2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2"/>
      <c r="R700" s="2"/>
      <c r="S700" s="2"/>
      <c r="T700" s="2"/>
      <c r="U700" s="2"/>
      <c r="V700" s="2"/>
    </row>
    <row r="701" spans="1:22" ht="14.25" customHeight="1">
      <c r="A701" s="1"/>
      <c r="B701" s="2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2"/>
      <c r="R701" s="2"/>
      <c r="S701" s="2"/>
      <c r="T701" s="2"/>
      <c r="U701" s="2"/>
      <c r="V701" s="2"/>
    </row>
    <row r="702" spans="1:22" ht="14.25" customHeight="1">
      <c r="A702" s="1"/>
      <c r="B702" s="2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2"/>
      <c r="R702" s="2"/>
      <c r="S702" s="2"/>
      <c r="T702" s="2"/>
      <c r="U702" s="2"/>
      <c r="V702" s="2"/>
    </row>
    <row r="703" spans="1:22" ht="14.25" customHeight="1">
      <c r="A703" s="1"/>
      <c r="B703" s="2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2"/>
      <c r="R703" s="2"/>
      <c r="S703" s="2"/>
      <c r="T703" s="2"/>
      <c r="U703" s="2"/>
      <c r="V703" s="2"/>
    </row>
    <row r="704" spans="1:22" ht="14.25" customHeight="1">
      <c r="A704" s="1"/>
      <c r="B704" s="2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2"/>
      <c r="R704" s="2"/>
      <c r="S704" s="2"/>
      <c r="T704" s="2"/>
      <c r="U704" s="2"/>
      <c r="V704" s="2"/>
    </row>
    <row r="705" spans="1:22" ht="14.25" customHeight="1">
      <c r="A705" s="1"/>
      <c r="B705" s="2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2"/>
      <c r="R705" s="2"/>
      <c r="S705" s="2"/>
      <c r="T705" s="2"/>
      <c r="U705" s="2"/>
      <c r="V705" s="2"/>
    </row>
    <row r="706" spans="1:22" ht="14.25" customHeight="1">
      <c r="A706" s="1"/>
      <c r="B706" s="2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2"/>
      <c r="R706" s="2"/>
      <c r="S706" s="2"/>
      <c r="T706" s="2"/>
      <c r="U706" s="2"/>
      <c r="V706" s="2"/>
    </row>
    <row r="707" spans="1:22" ht="14.25" customHeight="1">
      <c r="A707" s="1"/>
      <c r="B707" s="2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2"/>
      <c r="R707" s="2"/>
      <c r="S707" s="2"/>
      <c r="T707" s="2"/>
      <c r="U707" s="2"/>
      <c r="V707" s="2"/>
    </row>
    <row r="708" spans="1:22" ht="14.25" customHeight="1">
      <c r="A708" s="1"/>
      <c r="B708" s="2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2"/>
      <c r="R708" s="2"/>
      <c r="S708" s="2"/>
      <c r="T708" s="2"/>
      <c r="U708" s="2"/>
      <c r="V708" s="2"/>
    </row>
    <row r="709" spans="1:22" ht="14.25" customHeight="1">
      <c r="A709" s="1"/>
      <c r="B709" s="2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2"/>
      <c r="R709" s="2"/>
      <c r="S709" s="2"/>
      <c r="T709" s="2"/>
      <c r="U709" s="2"/>
      <c r="V709" s="2"/>
    </row>
    <row r="710" spans="1:22" ht="14.25" customHeight="1">
      <c r="A710" s="1"/>
      <c r="B710" s="2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2"/>
      <c r="R710" s="2"/>
      <c r="S710" s="2"/>
      <c r="T710" s="2"/>
      <c r="U710" s="2"/>
      <c r="V710" s="2"/>
    </row>
    <row r="711" spans="1:22" ht="14.25" customHeight="1">
      <c r="A711" s="1"/>
      <c r="B711" s="2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2"/>
      <c r="R711" s="2"/>
      <c r="S711" s="2"/>
      <c r="T711" s="2"/>
      <c r="U711" s="2"/>
      <c r="V711" s="2"/>
    </row>
    <row r="712" spans="1:22" ht="14.25" customHeight="1">
      <c r="A712" s="1"/>
      <c r="B712" s="2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2"/>
      <c r="R712" s="2"/>
      <c r="S712" s="2"/>
      <c r="T712" s="2"/>
      <c r="U712" s="2"/>
      <c r="V712" s="2"/>
    </row>
    <row r="713" spans="1:22" ht="14.25" customHeight="1">
      <c r="A713" s="1"/>
      <c r="B713" s="2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2"/>
      <c r="R713" s="2"/>
      <c r="S713" s="2"/>
      <c r="T713" s="2"/>
      <c r="U713" s="2"/>
      <c r="V713" s="2"/>
    </row>
    <row r="714" spans="1:22" ht="14.25" customHeight="1">
      <c r="A714" s="1"/>
      <c r="B714" s="2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2"/>
      <c r="R714" s="2"/>
      <c r="S714" s="2"/>
      <c r="T714" s="2"/>
      <c r="U714" s="2"/>
      <c r="V714" s="2"/>
    </row>
    <row r="715" spans="1:22" ht="14.25" customHeight="1">
      <c r="A715" s="1"/>
      <c r="B715" s="2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2"/>
      <c r="R715" s="2"/>
      <c r="S715" s="2"/>
      <c r="T715" s="2"/>
      <c r="U715" s="2"/>
      <c r="V715" s="2"/>
    </row>
    <row r="716" spans="1:22" ht="14.25" customHeight="1">
      <c r="A716" s="1"/>
      <c r="B716" s="2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2"/>
      <c r="R716" s="2"/>
      <c r="S716" s="2"/>
      <c r="T716" s="2"/>
      <c r="U716" s="2"/>
      <c r="V716" s="2"/>
    </row>
    <row r="717" spans="1:22" ht="14.25" customHeight="1">
      <c r="A717" s="1"/>
      <c r="B717" s="2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2"/>
      <c r="R717" s="2"/>
      <c r="S717" s="2"/>
      <c r="T717" s="2"/>
      <c r="U717" s="2"/>
      <c r="V717" s="2"/>
    </row>
    <row r="718" spans="1:22" ht="14.25" customHeight="1">
      <c r="A718" s="1"/>
      <c r="B718" s="2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2"/>
      <c r="R718" s="2"/>
      <c r="S718" s="2"/>
      <c r="T718" s="2"/>
      <c r="U718" s="2"/>
      <c r="V718" s="2"/>
    </row>
    <row r="719" spans="1:22" ht="14.25" customHeight="1">
      <c r="A719" s="1"/>
      <c r="B719" s="2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2"/>
      <c r="R719" s="2"/>
      <c r="S719" s="2"/>
      <c r="T719" s="2"/>
      <c r="U719" s="2"/>
      <c r="V719" s="2"/>
    </row>
    <row r="720" spans="1:22" ht="14.25" customHeight="1">
      <c r="A720" s="1"/>
      <c r="B720" s="2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2"/>
      <c r="R720" s="2"/>
      <c r="S720" s="2"/>
      <c r="T720" s="2"/>
      <c r="U720" s="2"/>
      <c r="V720" s="2"/>
    </row>
    <row r="721" spans="1:22" ht="14.25" customHeight="1">
      <c r="A721" s="1"/>
      <c r="B721" s="2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2"/>
      <c r="R721" s="2"/>
      <c r="S721" s="2"/>
      <c r="T721" s="2"/>
      <c r="U721" s="2"/>
      <c r="V721" s="2"/>
    </row>
    <row r="722" spans="1:22" ht="14.25" customHeight="1">
      <c r="A722" s="1"/>
      <c r="B722" s="2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2"/>
      <c r="R722" s="2"/>
      <c r="S722" s="2"/>
      <c r="T722" s="2"/>
      <c r="U722" s="2"/>
      <c r="V722" s="2"/>
    </row>
    <row r="723" spans="1:22" ht="14.25" customHeight="1">
      <c r="A723" s="1"/>
      <c r="B723" s="2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2"/>
      <c r="R723" s="2"/>
      <c r="S723" s="2"/>
      <c r="T723" s="2"/>
      <c r="U723" s="2"/>
      <c r="V723" s="2"/>
    </row>
    <row r="724" spans="1:22" ht="14.25" customHeight="1">
      <c r="A724" s="1"/>
      <c r="B724" s="2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2"/>
      <c r="R724" s="2"/>
      <c r="S724" s="2"/>
      <c r="T724" s="2"/>
      <c r="U724" s="2"/>
      <c r="V724" s="2"/>
    </row>
    <row r="725" spans="1:22" ht="14.25" customHeight="1">
      <c r="A725" s="1"/>
      <c r="B725" s="2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2"/>
      <c r="R725" s="2"/>
      <c r="S725" s="2"/>
      <c r="T725" s="2"/>
      <c r="U725" s="2"/>
      <c r="V725" s="2"/>
    </row>
    <row r="726" spans="1:22" ht="14.25" customHeight="1">
      <c r="A726" s="1"/>
      <c r="B726" s="2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2"/>
      <c r="R726" s="2"/>
      <c r="S726" s="2"/>
      <c r="T726" s="2"/>
      <c r="U726" s="2"/>
      <c r="V726" s="2"/>
    </row>
    <row r="727" spans="1:22" ht="14.25" customHeight="1">
      <c r="A727" s="1"/>
      <c r="B727" s="2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2"/>
      <c r="R727" s="2"/>
      <c r="S727" s="2"/>
      <c r="T727" s="2"/>
      <c r="U727" s="2"/>
      <c r="V727" s="2"/>
    </row>
    <row r="728" spans="1:22" ht="14.25" customHeight="1">
      <c r="A728" s="1"/>
      <c r="B728" s="2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2"/>
      <c r="R728" s="2"/>
      <c r="S728" s="2"/>
      <c r="T728" s="2"/>
      <c r="U728" s="2"/>
      <c r="V728" s="2"/>
    </row>
    <row r="729" spans="1:22" ht="14.25" customHeight="1">
      <c r="A729" s="1"/>
      <c r="B729" s="2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2"/>
      <c r="R729" s="2"/>
      <c r="S729" s="2"/>
      <c r="T729" s="2"/>
      <c r="U729" s="2"/>
      <c r="V729" s="2"/>
    </row>
    <row r="730" spans="1:22" ht="14.25" customHeight="1">
      <c r="A730" s="1"/>
      <c r="B730" s="2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2"/>
      <c r="R730" s="2"/>
      <c r="S730" s="2"/>
      <c r="T730" s="2"/>
      <c r="U730" s="2"/>
      <c r="V730" s="2"/>
    </row>
    <row r="731" spans="1:22" ht="14.25" customHeight="1">
      <c r="A731" s="1"/>
      <c r="B731" s="2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2"/>
      <c r="R731" s="2"/>
      <c r="S731" s="2"/>
      <c r="T731" s="2"/>
      <c r="U731" s="2"/>
      <c r="V731" s="2"/>
    </row>
    <row r="732" spans="1:22" ht="14.25" customHeight="1">
      <c r="A732" s="1"/>
      <c r="B732" s="2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2"/>
      <c r="R732" s="2"/>
      <c r="S732" s="2"/>
      <c r="T732" s="2"/>
      <c r="U732" s="2"/>
      <c r="V732" s="2"/>
    </row>
    <row r="733" spans="1:22" ht="14.25" customHeight="1">
      <c r="A733" s="1"/>
      <c r="B733" s="2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2"/>
      <c r="R733" s="2"/>
      <c r="S733" s="2"/>
      <c r="T733" s="2"/>
      <c r="U733" s="2"/>
      <c r="V733" s="2"/>
    </row>
    <row r="734" spans="1:22" ht="14.25" customHeight="1">
      <c r="A734" s="1"/>
      <c r="B734" s="2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2"/>
      <c r="R734" s="2"/>
      <c r="S734" s="2"/>
      <c r="T734" s="2"/>
      <c r="U734" s="2"/>
      <c r="V734" s="2"/>
    </row>
    <row r="735" spans="1:22" ht="14.25" customHeight="1">
      <c r="A735" s="1"/>
      <c r="B735" s="2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2"/>
      <c r="R735" s="2"/>
      <c r="S735" s="2"/>
      <c r="T735" s="2"/>
      <c r="U735" s="2"/>
      <c r="V735" s="2"/>
    </row>
    <row r="736" spans="1:22" ht="14.25" customHeight="1">
      <c r="A736" s="1"/>
      <c r="B736" s="2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2"/>
      <c r="R736" s="2"/>
      <c r="S736" s="2"/>
      <c r="T736" s="2"/>
      <c r="U736" s="2"/>
      <c r="V736" s="2"/>
    </row>
    <row r="737" spans="1:22" ht="14.25" customHeight="1">
      <c r="A737" s="1"/>
      <c r="B737" s="2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2"/>
      <c r="R737" s="2"/>
      <c r="S737" s="2"/>
      <c r="T737" s="2"/>
      <c r="U737" s="2"/>
      <c r="V737" s="2"/>
    </row>
    <row r="738" spans="1:22" ht="14.25" customHeight="1">
      <c r="A738" s="1"/>
      <c r="B738" s="2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2"/>
      <c r="R738" s="2"/>
      <c r="S738" s="2"/>
      <c r="T738" s="2"/>
      <c r="U738" s="2"/>
      <c r="V738" s="2"/>
    </row>
    <row r="739" spans="1:22" ht="14.25" customHeight="1">
      <c r="A739" s="1"/>
      <c r="B739" s="2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2"/>
      <c r="R739" s="2"/>
      <c r="S739" s="2"/>
      <c r="T739" s="2"/>
      <c r="U739" s="2"/>
      <c r="V739" s="2"/>
    </row>
    <row r="740" spans="1:22" ht="14.25" customHeight="1">
      <c r="A740" s="1"/>
      <c r="B740" s="2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2"/>
      <c r="R740" s="2"/>
      <c r="S740" s="2"/>
      <c r="T740" s="2"/>
      <c r="U740" s="2"/>
      <c r="V740" s="2"/>
    </row>
    <row r="741" spans="1:22" ht="14.25" customHeight="1">
      <c r="A741" s="1"/>
      <c r="B741" s="2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2"/>
      <c r="R741" s="2"/>
      <c r="S741" s="2"/>
      <c r="T741" s="2"/>
      <c r="U741" s="2"/>
      <c r="V741" s="2"/>
    </row>
    <row r="742" spans="1:22" ht="14.25" customHeight="1">
      <c r="A742" s="1"/>
      <c r="B742" s="2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2"/>
      <c r="R742" s="2"/>
      <c r="S742" s="2"/>
      <c r="T742" s="2"/>
      <c r="U742" s="2"/>
      <c r="V742" s="2"/>
    </row>
    <row r="743" spans="1:22" ht="14.25" customHeight="1">
      <c r="A743" s="1"/>
      <c r="B743" s="2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2"/>
      <c r="R743" s="2"/>
      <c r="S743" s="2"/>
      <c r="T743" s="2"/>
      <c r="U743" s="2"/>
      <c r="V743" s="2"/>
    </row>
    <row r="744" spans="1:22" ht="14.25" customHeight="1">
      <c r="A744" s="1"/>
      <c r="B744" s="2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2"/>
      <c r="R744" s="2"/>
      <c r="S744" s="2"/>
      <c r="T744" s="2"/>
      <c r="U744" s="2"/>
      <c r="V744" s="2"/>
    </row>
    <row r="745" spans="1:22" ht="14.25" customHeight="1">
      <c r="A745" s="1"/>
      <c r="B745" s="2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2"/>
      <c r="R745" s="2"/>
      <c r="S745" s="2"/>
      <c r="T745" s="2"/>
      <c r="U745" s="2"/>
      <c r="V745" s="2"/>
    </row>
    <row r="746" spans="1:22" ht="14.25" customHeight="1">
      <c r="A746" s="1"/>
      <c r="B746" s="2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2"/>
      <c r="R746" s="2"/>
      <c r="S746" s="2"/>
      <c r="T746" s="2"/>
      <c r="U746" s="2"/>
      <c r="V746" s="2"/>
    </row>
    <row r="747" spans="1:22" ht="14.25" customHeight="1">
      <c r="A747" s="1"/>
      <c r="B747" s="2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2"/>
      <c r="R747" s="2"/>
      <c r="S747" s="2"/>
      <c r="T747" s="2"/>
      <c r="U747" s="2"/>
      <c r="V747" s="2"/>
    </row>
    <row r="748" spans="1:22" ht="14.25" customHeight="1">
      <c r="A748" s="1"/>
      <c r="B748" s="2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2"/>
      <c r="R748" s="2"/>
      <c r="S748" s="2"/>
      <c r="T748" s="2"/>
      <c r="U748" s="2"/>
      <c r="V748" s="2"/>
    </row>
    <row r="749" spans="1:22" ht="14.25" customHeight="1">
      <c r="A749" s="1"/>
      <c r="B749" s="2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2"/>
      <c r="R749" s="2"/>
      <c r="S749" s="2"/>
      <c r="T749" s="2"/>
      <c r="U749" s="2"/>
      <c r="V749" s="2"/>
    </row>
    <row r="750" spans="1:22" ht="14.25" customHeight="1">
      <c r="A750" s="1"/>
      <c r="B750" s="2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2"/>
      <c r="R750" s="2"/>
      <c r="S750" s="2"/>
      <c r="T750" s="2"/>
      <c r="U750" s="2"/>
      <c r="V750" s="2"/>
    </row>
    <row r="751" spans="1:22" ht="14.25" customHeight="1">
      <c r="A751" s="1"/>
      <c r="B751" s="2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2"/>
      <c r="R751" s="2"/>
      <c r="S751" s="2"/>
      <c r="T751" s="2"/>
      <c r="U751" s="2"/>
      <c r="V751" s="2"/>
    </row>
    <row r="752" spans="1:22" ht="14.25" customHeight="1">
      <c r="A752" s="1"/>
      <c r="B752" s="2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2"/>
      <c r="R752" s="2"/>
      <c r="S752" s="2"/>
      <c r="T752" s="2"/>
      <c r="U752" s="2"/>
      <c r="V752" s="2"/>
    </row>
    <row r="753" spans="1:22" ht="14.25" customHeight="1">
      <c r="A753" s="1"/>
      <c r="B753" s="2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2"/>
      <c r="R753" s="2"/>
      <c r="S753" s="2"/>
      <c r="T753" s="2"/>
      <c r="U753" s="2"/>
      <c r="V753" s="2"/>
    </row>
    <row r="754" spans="1:22" ht="14.25" customHeight="1">
      <c r="A754" s="1"/>
      <c r="B754" s="2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2"/>
      <c r="R754" s="2"/>
      <c r="S754" s="2"/>
      <c r="T754" s="2"/>
      <c r="U754" s="2"/>
      <c r="V754" s="2"/>
    </row>
    <row r="755" spans="1:22" ht="14.25" customHeight="1">
      <c r="A755" s="1"/>
      <c r="B755" s="2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2"/>
      <c r="R755" s="2"/>
      <c r="S755" s="2"/>
      <c r="T755" s="2"/>
      <c r="U755" s="2"/>
      <c r="V755" s="2"/>
    </row>
    <row r="756" spans="1:22" ht="14.25" customHeight="1">
      <c r="A756" s="1"/>
      <c r="B756" s="2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2"/>
      <c r="R756" s="2"/>
      <c r="S756" s="2"/>
      <c r="T756" s="2"/>
      <c r="U756" s="2"/>
      <c r="V756" s="2"/>
    </row>
    <row r="757" spans="1:22" ht="14.25" customHeight="1">
      <c r="A757" s="1"/>
      <c r="B757" s="2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2"/>
      <c r="R757" s="2"/>
      <c r="S757" s="2"/>
      <c r="T757" s="2"/>
      <c r="U757" s="2"/>
      <c r="V757" s="2"/>
    </row>
    <row r="758" spans="1:22" ht="14.25" customHeight="1">
      <c r="A758" s="1"/>
      <c r="B758" s="2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2"/>
      <c r="R758" s="2"/>
      <c r="S758" s="2"/>
      <c r="T758" s="2"/>
      <c r="U758" s="2"/>
      <c r="V758" s="2"/>
    </row>
    <row r="759" spans="1:22" ht="14.25" customHeight="1">
      <c r="A759" s="1"/>
      <c r="B759" s="2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2"/>
      <c r="R759" s="2"/>
      <c r="S759" s="2"/>
      <c r="T759" s="2"/>
      <c r="U759" s="2"/>
      <c r="V759" s="2"/>
    </row>
    <row r="760" spans="1:22" ht="14.25" customHeight="1">
      <c r="A760" s="1"/>
      <c r="B760" s="2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2"/>
      <c r="R760" s="2"/>
      <c r="S760" s="2"/>
      <c r="T760" s="2"/>
      <c r="U760" s="2"/>
      <c r="V760" s="2"/>
    </row>
    <row r="761" spans="1:22" ht="14.25" customHeight="1">
      <c r="A761" s="1"/>
      <c r="B761" s="2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2"/>
      <c r="R761" s="2"/>
      <c r="S761" s="2"/>
      <c r="T761" s="2"/>
      <c r="U761" s="2"/>
      <c r="V761" s="2"/>
    </row>
    <row r="762" spans="1:22" ht="14.25" customHeight="1">
      <c r="A762" s="1"/>
      <c r="B762" s="2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2"/>
      <c r="R762" s="2"/>
      <c r="S762" s="2"/>
      <c r="T762" s="2"/>
      <c r="U762" s="2"/>
      <c r="V762" s="2"/>
    </row>
    <row r="763" spans="1:22" ht="14.25" customHeight="1">
      <c r="A763" s="1"/>
      <c r="B763" s="2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2"/>
      <c r="R763" s="2"/>
      <c r="S763" s="2"/>
      <c r="T763" s="2"/>
      <c r="U763" s="2"/>
      <c r="V763" s="2"/>
    </row>
    <row r="764" spans="1:22" ht="14.25" customHeight="1">
      <c r="A764" s="1"/>
      <c r="B764" s="2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2"/>
      <c r="R764" s="2"/>
      <c r="S764" s="2"/>
      <c r="T764" s="2"/>
      <c r="U764" s="2"/>
      <c r="V764" s="2"/>
    </row>
    <row r="765" spans="1:22" ht="14.25" customHeight="1">
      <c r="A765" s="1"/>
      <c r="B765" s="2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2"/>
      <c r="R765" s="2"/>
      <c r="S765" s="2"/>
      <c r="T765" s="2"/>
      <c r="U765" s="2"/>
      <c r="V765" s="2"/>
    </row>
    <row r="766" spans="1:22" ht="14.25" customHeight="1">
      <c r="A766" s="1"/>
      <c r="B766" s="2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2"/>
      <c r="R766" s="2"/>
      <c r="S766" s="2"/>
      <c r="T766" s="2"/>
      <c r="U766" s="2"/>
      <c r="V766" s="2"/>
    </row>
    <row r="767" spans="1:22" ht="14.25" customHeight="1">
      <c r="A767" s="1"/>
      <c r="B767" s="2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2"/>
      <c r="R767" s="2"/>
      <c r="S767" s="2"/>
      <c r="T767" s="2"/>
      <c r="U767" s="2"/>
      <c r="V767" s="2"/>
    </row>
    <row r="768" spans="1:22" ht="14.25" customHeight="1">
      <c r="A768" s="1"/>
      <c r="B768" s="2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2"/>
      <c r="R768" s="2"/>
      <c r="S768" s="2"/>
      <c r="T768" s="2"/>
      <c r="U768" s="2"/>
      <c r="V768" s="2"/>
    </row>
    <row r="769" spans="1:22" ht="14.25" customHeight="1">
      <c r="A769" s="1"/>
      <c r="B769" s="2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2"/>
      <c r="R769" s="2"/>
      <c r="S769" s="2"/>
      <c r="T769" s="2"/>
      <c r="U769" s="2"/>
      <c r="V769" s="2"/>
    </row>
    <row r="770" spans="1:22" ht="14.25" customHeight="1">
      <c r="A770" s="1"/>
      <c r="B770" s="2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2"/>
      <c r="R770" s="2"/>
      <c r="S770" s="2"/>
      <c r="T770" s="2"/>
      <c r="U770" s="2"/>
      <c r="V770" s="2"/>
    </row>
    <row r="771" spans="1:22" ht="14.25" customHeight="1">
      <c r="A771" s="1"/>
      <c r="B771" s="2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2"/>
      <c r="R771" s="2"/>
      <c r="S771" s="2"/>
      <c r="T771" s="2"/>
      <c r="U771" s="2"/>
      <c r="V771" s="2"/>
    </row>
    <row r="772" spans="1:22" ht="14.25" customHeight="1">
      <c r="A772" s="1"/>
      <c r="B772" s="2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2"/>
      <c r="R772" s="2"/>
      <c r="S772" s="2"/>
      <c r="T772" s="2"/>
      <c r="U772" s="2"/>
      <c r="V772" s="2"/>
    </row>
    <row r="773" spans="1:22" ht="14.25" customHeight="1">
      <c r="A773" s="1"/>
      <c r="B773" s="2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2"/>
      <c r="R773" s="2"/>
      <c r="S773" s="2"/>
      <c r="T773" s="2"/>
      <c r="U773" s="2"/>
      <c r="V773" s="2"/>
    </row>
    <row r="774" spans="1:22" ht="14.25" customHeight="1">
      <c r="A774" s="1"/>
      <c r="B774" s="2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2"/>
      <c r="R774" s="2"/>
      <c r="S774" s="2"/>
      <c r="T774" s="2"/>
      <c r="U774" s="2"/>
      <c r="V774" s="2"/>
    </row>
    <row r="775" spans="1:22" ht="14.25" customHeight="1">
      <c r="A775" s="1"/>
      <c r="B775" s="2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2"/>
      <c r="R775" s="2"/>
      <c r="S775" s="2"/>
      <c r="T775" s="2"/>
      <c r="U775" s="2"/>
      <c r="V775" s="2"/>
    </row>
    <row r="776" spans="1:22" ht="14.25" customHeight="1">
      <c r="A776" s="1"/>
      <c r="B776" s="2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2"/>
      <c r="R776" s="2"/>
      <c r="S776" s="2"/>
      <c r="T776" s="2"/>
      <c r="U776" s="2"/>
      <c r="V776" s="2"/>
    </row>
    <row r="777" spans="1:22" ht="14.25" customHeight="1">
      <c r="A777" s="1"/>
      <c r="B777" s="2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2"/>
      <c r="R777" s="2"/>
      <c r="S777" s="2"/>
      <c r="T777" s="2"/>
      <c r="U777" s="2"/>
      <c r="V777" s="2"/>
    </row>
    <row r="778" spans="1:22" ht="14.25" customHeight="1">
      <c r="A778" s="1"/>
      <c r="B778" s="2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2"/>
      <c r="R778" s="2"/>
      <c r="S778" s="2"/>
      <c r="T778" s="2"/>
      <c r="U778" s="2"/>
      <c r="V778" s="2"/>
    </row>
    <row r="779" spans="1:22" ht="14.25" customHeight="1">
      <c r="A779" s="1"/>
      <c r="B779" s="2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2"/>
      <c r="R779" s="2"/>
      <c r="S779" s="2"/>
      <c r="T779" s="2"/>
      <c r="U779" s="2"/>
      <c r="V779" s="2"/>
    </row>
    <row r="780" spans="1:22" ht="14.25" customHeight="1">
      <c r="A780" s="1"/>
      <c r="B780" s="2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2"/>
      <c r="R780" s="2"/>
      <c r="S780" s="2"/>
      <c r="T780" s="2"/>
      <c r="U780" s="2"/>
      <c r="V780" s="2"/>
    </row>
    <row r="781" spans="1:22" ht="14.25" customHeight="1">
      <c r="A781" s="1"/>
      <c r="B781" s="2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2"/>
      <c r="R781" s="2"/>
      <c r="S781" s="2"/>
      <c r="T781" s="2"/>
      <c r="U781" s="2"/>
      <c r="V781" s="2"/>
    </row>
    <row r="782" spans="1:22" ht="14.25" customHeight="1">
      <c r="A782" s="1"/>
      <c r="B782" s="2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2"/>
      <c r="R782" s="2"/>
      <c r="S782" s="2"/>
      <c r="T782" s="2"/>
      <c r="U782" s="2"/>
      <c r="V782" s="2"/>
    </row>
    <row r="783" spans="1:22" ht="14.25" customHeight="1">
      <c r="A783" s="1"/>
      <c r="B783" s="2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2"/>
      <c r="R783" s="2"/>
      <c r="S783" s="2"/>
      <c r="T783" s="2"/>
      <c r="U783" s="2"/>
      <c r="V783" s="2"/>
    </row>
    <row r="784" spans="1:22" ht="14.25" customHeight="1">
      <c r="A784" s="1"/>
      <c r="B784" s="2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2"/>
      <c r="R784" s="2"/>
      <c r="S784" s="2"/>
      <c r="T784" s="2"/>
      <c r="U784" s="2"/>
      <c r="V784" s="2"/>
    </row>
    <row r="785" spans="1:22" ht="14.25" customHeight="1">
      <c r="A785" s="1"/>
      <c r="B785" s="2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2"/>
      <c r="R785" s="2"/>
      <c r="S785" s="2"/>
      <c r="T785" s="2"/>
      <c r="U785" s="2"/>
      <c r="V785" s="2"/>
    </row>
    <row r="786" spans="1:22" ht="14.25" customHeight="1">
      <c r="A786" s="1"/>
      <c r="B786" s="2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2"/>
      <c r="R786" s="2"/>
      <c r="S786" s="2"/>
      <c r="T786" s="2"/>
      <c r="U786" s="2"/>
      <c r="V786" s="2"/>
    </row>
    <row r="787" spans="1:22" ht="14.25" customHeight="1">
      <c r="A787" s="1"/>
      <c r="B787" s="2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2"/>
      <c r="R787" s="2"/>
      <c r="S787" s="2"/>
      <c r="T787" s="2"/>
      <c r="U787" s="2"/>
      <c r="V787" s="2"/>
    </row>
    <row r="788" spans="1:22" ht="14.25" customHeight="1">
      <c r="A788" s="1"/>
      <c r="B788" s="2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2"/>
      <c r="R788" s="2"/>
      <c r="S788" s="2"/>
      <c r="T788" s="2"/>
      <c r="U788" s="2"/>
      <c r="V788" s="2"/>
    </row>
    <row r="789" spans="1:22" ht="14.25" customHeight="1">
      <c r="A789" s="1"/>
      <c r="B789" s="2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2"/>
      <c r="R789" s="2"/>
      <c r="S789" s="2"/>
      <c r="T789" s="2"/>
      <c r="U789" s="2"/>
      <c r="V789" s="2"/>
    </row>
    <row r="790" spans="1:22" ht="14.25" customHeight="1">
      <c r="A790" s="1"/>
      <c r="B790" s="2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2"/>
      <c r="R790" s="2"/>
      <c r="S790" s="2"/>
      <c r="T790" s="2"/>
      <c r="U790" s="2"/>
      <c r="V790" s="2"/>
    </row>
    <row r="791" spans="1:22" ht="14.25" customHeight="1">
      <c r="A791" s="1"/>
      <c r="B791" s="2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2"/>
      <c r="R791" s="2"/>
      <c r="S791" s="2"/>
      <c r="T791" s="2"/>
      <c r="U791" s="2"/>
      <c r="V791" s="2"/>
    </row>
    <row r="792" spans="1:22" ht="14.25" customHeight="1">
      <c r="A792" s="1"/>
      <c r="B792" s="2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2"/>
      <c r="R792" s="2"/>
      <c r="S792" s="2"/>
      <c r="T792" s="2"/>
      <c r="U792" s="2"/>
      <c r="V792" s="2"/>
    </row>
    <row r="793" spans="1:22" ht="14.25" customHeight="1">
      <c r="A793" s="1"/>
      <c r="B793" s="2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2"/>
      <c r="R793" s="2"/>
      <c r="S793" s="2"/>
      <c r="T793" s="2"/>
      <c r="U793" s="2"/>
      <c r="V793" s="2"/>
    </row>
    <row r="794" spans="1:22" ht="14.25" customHeight="1">
      <c r="A794" s="1"/>
      <c r="B794" s="2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2"/>
      <c r="R794" s="2"/>
      <c r="S794" s="2"/>
      <c r="T794" s="2"/>
      <c r="U794" s="2"/>
      <c r="V794" s="2"/>
    </row>
    <row r="795" spans="1:22" ht="14.25" customHeight="1">
      <c r="A795" s="1"/>
      <c r="B795" s="2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2"/>
      <c r="R795" s="2"/>
      <c r="S795" s="2"/>
      <c r="T795" s="2"/>
      <c r="U795" s="2"/>
      <c r="V795" s="2"/>
    </row>
    <row r="796" spans="1:22" ht="14.25" customHeight="1">
      <c r="A796" s="1"/>
      <c r="B796" s="2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2"/>
      <c r="R796" s="2"/>
      <c r="S796" s="2"/>
      <c r="T796" s="2"/>
      <c r="U796" s="2"/>
      <c r="V796" s="2"/>
    </row>
    <row r="797" spans="1:22" ht="14.25" customHeight="1">
      <c r="A797" s="1"/>
      <c r="B797" s="2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2"/>
      <c r="R797" s="2"/>
      <c r="S797" s="2"/>
      <c r="T797" s="2"/>
      <c r="U797" s="2"/>
      <c r="V797" s="2"/>
    </row>
    <row r="798" spans="1:22" ht="14.25" customHeight="1">
      <c r="A798" s="1"/>
      <c r="B798" s="2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2"/>
      <c r="R798" s="2"/>
      <c r="S798" s="2"/>
      <c r="T798" s="2"/>
      <c r="U798" s="2"/>
      <c r="V798" s="2"/>
    </row>
    <row r="799" spans="1:22" ht="14.25" customHeight="1">
      <c r="A799" s="1"/>
      <c r="B799" s="2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2"/>
      <c r="R799" s="2"/>
      <c r="S799" s="2"/>
      <c r="T799" s="2"/>
      <c r="U799" s="2"/>
      <c r="V799" s="2"/>
    </row>
    <row r="800" spans="1:22" ht="14.25" customHeight="1">
      <c r="A800" s="1"/>
      <c r="B800" s="2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2"/>
      <c r="R800" s="2"/>
      <c r="S800" s="2"/>
      <c r="T800" s="2"/>
      <c r="U800" s="2"/>
      <c r="V800" s="2"/>
    </row>
    <row r="801" spans="1:22" ht="14.25" customHeight="1">
      <c r="A801" s="1"/>
      <c r="B801" s="2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2"/>
      <c r="R801" s="2"/>
      <c r="S801" s="2"/>
      <c r="T801" s="2"/>
      <c r="U801" s="2"/>
      <c r="V801" s="2"/>
    </row>
    <row r="802" spans="1:22" ht="14.25" customHeight="1">
      <c r="A802" s="1"/>
      <c r="B802" s="2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2"/>
      <c r="R802" s="2"/>
      <c r="S802" s="2"/>
      <c r="T802" s="2"/>
      <c r="U802" s="2"/>
      <c r="V802" s="2"/>
    </row>
    <row r="803" spans="1:22" ht="14.25" customHeight="1">
      <c r="A803" s="1"/>
      <c r="B803" s="2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2"/>
      <c r="R803" s="2"/>
      <c r="S803" s="2"/>
      <c r="T803" s="2"/>
      <c r="U803" s="2"/>
      <c r="V803" s="2"/>
    </row>
    <row r="804" spans="1:22" ht="14.25" customHeight="1">
      <c r="A804" s="1"/>
      <c r="B804" s="2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2"/>
      <c r="R804" s="2"/>
      <c r="S804" s="2"/>
      <c r="T804" s="2"/>
      <c r="U804" s="2"/>
      <c r="V804" s="2"/>
    </row>
    <row r="805" spans="1:22" ht="14.25" customHeight="1">
      <c r="A805" s="1"/>
      <c r="B805" s="2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2"/>
      <c r="R805" s="2"/>
      <c r="S805" s="2"/>
      <c r="T805" s="2"/>
      <c r="U805" s="2"/>
      <c r="V805" s="2"/>
    </row>
    <row r="806" spans="1:22" ht="14.25" customHeight="1">
      <c r="A806" s="1"/>
      <c r="B806" s="2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2"/>
      <c r="R806" s="2"/>
      <c r="S806" s="2"/>
      <c r="T806" s="2"/>
      <c r="U806" s="2"/>
      <c r="V806" s="2"/>
    </row>
    <row r="807" spans="1:22" ht="14.25" customHeight="1">
      <c r="A807" s="1"/>
      <c r="B807" s="2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2"/>
      <c r="R807" s="2"/>
      <c r="S807" s="2"/>
      <c r="T807" s="2"/>
      <c r="U807" s="2"/>
      <c r="V807" s="2"/>
    </row>
    <row r="808" spans="1:22" ht="14.25" customHeight="1">
      <c r="A808" s="1"/>
      <c r="B808" s="2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2"/>
      <c r="R808" s="2"/>
      <c r="S808" s="2"/>
      <c r="T808" s="2"/>
      <c r="U808" s="2"/>
      <c r="V808" s="2"/>
    </row>
    <row r="809" spans="1:22" ht="14.25" customHeight="1">
      <c r="A809" s="1"/>
      <c r="B809" s="2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2"/>
      <c r="R809" s="2"/>
      <c r="S809" s="2"/>
      <c r="T809" s="2"/>
      <c r="U809" s="2"/>
      <c r="V809" s="2"/>
    </row>
    <row r="810" spans="1:22" ht="14.25" customHeight="1">
      <c r="A810" s="1"/>
      <c r="B810" s="2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2"/>
      <c r="R810" s="2"/>
      <c r="S810" s="2"/>
      <c r="T810" s="2"/>
      <c r="U810" s="2"/>
      <c r="V810" s="2"/>
    </row>
    <row r="811" spans="1:22" ht="14.25" customHeight="1">
      <c r="A811" s="1"/>
      <c r="B811" s="2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2"/>
      <c r="R811" s="2"/>
      <c r="S811" s="2"/>
      <c r="T811" s="2"/>
      <c r="U811" s="2"/>
      <c r="V811" s="2"/>
    </row>
    <row r="812" spans="1:22" ht="14.25" customHeight="1">
      <c r="A812" s="1"/>
      <c r="B812" s="2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2"/>
      <c r="R812" s="2"/>
      <c r="S812" s="2"/>
      <c r="T812" s="2"/>
      <c r="U812" s="2"/>
      <c r="V812" s="2"/>
    </row>
    <row r="813" spans="1:22" ht="14.25" customHeight="1">
      <c r="A813" s="1"/>
      <c r="B813" s="2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2"/>
      <c r="R813" s="2"/>
      <c r="S813" s="2"/>
      <c r="T813" s="2"/>
      <c r="U813" s="2"/>
      <c r="V813" s="2"/>
    </row>
    <row r="814" spans="1:22" ht="14.25" customHeight="1">
      <c r="A814" s="1"/>
      <c r="B814" s="2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2"/>
      <c r="R814" s="2"/>
      <c r="S814" s="2"/>
      <c r="T814" s="2"/>
      <c r="U814" s="2"/>
      <c r="V814" s="2"/>
    </row>
    <row r="815" spans="1:22" ht="14.25" customHeight="1">
      <c r="A815" s="1"/>
      <c r="B815" s="2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2"/>
      <c r="R815" s="2"/>
      <c r="S815" s="2"/>
      <c r="T815" s="2"/>
      <c r="U815" s="2"/>
      <c r="V815" s="2"/>
    </row>
    <row r="816" spans="1:22" ht="14.25" customHeight="1">
      <c r="A816" s="1"/>
      <c r="B816" s="2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2"/>
      <c r="R816" s="2"/>
      <c r="S816" s="2"/>
      <c r="T816" s="2"/>
      <c r="U816" s="2"/>
      <c r="V816" s="2"/>
    </row>
    <row r="817" spans="1:22" ht="14.25" customHeight="1">
      <c r="A817" s="1"/>
      <c r="B817" s="2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2"/>
      <c r="R817" s="2"/>
      <c r="S817" s="2"/>
      <c r="T817" s="2"/>
      <c r="U817" s="2"/>
      <c r="V817" s="2"/>
    </row>
    <row r="818" spans="1:22" ht="14.25" customHeight="1">
      <c r="A818" s="1"/>
      <c r="B818" s="2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2"/>
      <c r="R818" s="2"/>
      <c r="S818" s="2"/>
      <c r="T818" s="2"/>
      <c r="U818" s="2"/>
      <c r="V818" s="2"/>
    </row>
    <row r="819" spans="1:22" ht="14.25" customHeight="1">
      <c r="A819" s="1"/>
      <c r="B819" s="2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2"/>
      <c r="R819" s="2"/>
      <c r="S819" s="2"/>
      <c r="T819" s="2"/>
      <c r="U819" s="2"/>
      <c r="V819" s="2"/>
    </row>
    <row r="820" spans="1:22" ht="14.25" customHeight="1">
      <c r="A820" s="1"/>
      <c r="B820" s="2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2"/>
      <c r="R820" s="2"/>
      <c r="S820" s="2"/>
      <c r="T820" s="2"/>
      <c r="U820" s="2"/>
      <c r="V820" s="2"/>
    </row>
    <row r="821" spans="1:22" ht="14.25" customHeight="1">
      <c r="A821" s="1"/>
      <c r="B821" s="2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2"/>
      <c r="R821" s="2"/>
      <c r="S821" s="2"/>
      <c r="T821" s="2"/>
      <c r="U821" s="2"/>
      <c r="V821" s="2"/>
    </row>
    <row r="822" spans="1:22" ht="14.25" customHeight="1">
      <c r="A822" s="1"/>
      <c r="B822" s="2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2"/>
      <c r="R822" s="2"/>
      <c r="S822" s="2"/>
      <c r="T822" s="2"/>
      <c r="U822" s="2"/>
      <c r="V822" s="2"/>
    </row>
    <row r="823" spans="1:22" ht="14.25" customHeight="1">
      <c r="A823" s="1"/>
      <c r="B823" s="2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2"/>
      <c r="R823" s="2"/>
      <c r="S823" s="2"/>
      <c r="T823" s="2"/>
      <c r="U823" s="2"/>
      <c r="V823" s="2"/>
    </row>
    <row r="824" spans="1:22" ht="14.25" customHeight="1">
      <c r="A824" s="1"/>
      <c r="B824" s="2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2"/>
      <c r="R824" s="2"/>
      <c r="S824" s="2"/>
      <c r="T824" s="2"/>
      <c r="U824" s="2"/>
      <c r="V824" s="2"/>
    </row>
    <row r="825" spans="1:22" ht="14.25" customHeight="1">
      <c r="A825" s="1"/>
      <c r="B825" s="2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2"/>
      <c r="R825" s="2"/>
      <c r="S825" s="2"/>
      <c r="T825" s="2"/>
      <c r="U825" s="2"/>
      <c r="V825" s="2"/>
    </row>
    <row r="826" spans="1:22" ht="14.25" customHeight="1">
      <c r="A826" s="1"/>
      <c r="B826" s="2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2"/>
      <c r="R826" s="2"/>
      <c r="S826" s="2"/>
      <c r="T826" s="2"/>
      <c r="U826" s="2"/>
      <c r="V826" s="2"/>
    </row>
    <row r="827" spans="1:22" ht="14.25" customHeight="1">
      <c r="A827" s="1"/>
      <c r="B827" s="2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2"/>
      <c r="R827" s="2"/>
      <c r="S827" s="2"/>
      <c r="T827" s="2"/>
      <c r="U827" s="2"/>
      <c r="V827" s="2"/>
    </row>
    <row r="828" spans="1:22" ht="14.25" customHeight="1">
      <c r="A828" s="1"/>
      <c r="B828" s="2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2"/>
      <c r="R828" s="2"/>
      <c r="S828" s="2"/>
      <c r="T828" s="2"/>
      <c r="U828" s="2"/>
      <c r="V828" s="2"/>
    </row>
    <row r="829" spans="1:22" ht="14.25" customHeight="1">
      <c r="A829" s="1"/>
      <c r="B829" s="2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2"/>
      <c r="R829" s="2"/>
      <c r="S829" s="2"/>
      <c r="T829" s="2"/>
      <c r="U829" s="2"/>
      <c r="V829" s="2"/>
    </row>
    <row r="830" spans="1:22" ht="14.25" customHeight="1">
      <c r="A830" s="1"/>
      <c r="B830" s="2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2"/>
      <c r="R830" s="2"/>
      <c r="S830" s="2"/>
      <c r="T830" s="2"/>
      <c r="U830" s="2"/>
      <c r="V830" s="2"/>
    </row>
    <row r="831" spans="1:22" ht="14.25" customHeight="1">
      <c r="A831" s="1"/>
      <c r="B831" s="2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2"/>
      <c r="R831" s="2"/>
      <c r="S831" s="2"/>
      <c r="T831" s="2"/>
      <c r="U831" s="2"/>
      <c r="V831" s="2"/>
    </row>
    <row r="832" spans="1:22" ht="14.25" customHeight="1">
      <c r="A832" s="1"/>
      <c r="B832" s="2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2"/>
      <c r="R832" s="2"/>
      <c r="S832" s="2"/>
      <c r="T832" s="2"/>
      <c r="U832" s="2"/>
      <c r="V832" s="2"/>
    </row>
    <row r="833" spans="1:22" ht="14.25" customHeight="1">
      <c r="A833" s="1"/>
      <c r="B833" s="2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2"/>
      <c r="R833" s="2"/>
      <c r="S833" s="2"/>
      <c r="T833" s="2"/>
      <c r="U833" s="2"/>
      <c r="V833" s="2"/>
    </row>
    <row r="834" spans="1:22" ht="14.25" customHeight="1">
      <c r="A834" s="1"/>
      <c r="B834" s="2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2"/>
      <c r="R834" s="2"/>
      <c r="S834" s="2"/>
      <c r="T834" s="2"/>
      <c r="U834" s="2"/>
      <c r="V834" s="2"/>
    </row>
    <row r="835" spans="1:22" ht="14.25" customHeight="1">
      <c r="A835" s="1"/>
      <c r="B835" s="2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2"/>
      <c r="R835" s="2"/>
      <c r="S835" s="2"/>
      <c r="T835" s="2"/>
      <c r="U835" s="2"/>
      <c r="V835" s="2"/>
    </row>
    <row r="836" spans="1:22" ht="14.25" customHeight="1">
      <c r="A836" s="1"/>
      <c r="B836" s="2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2"/>
      <c r="R836" s="2"/>
      <c r="S836" s="2"/>
      <c r="T836" s="2"/>
      <c r="U836" s="2"/>
      <c r="V836" s="2"/>
    </row>
    <row r="837" spans="1:22" ht="14.25" customHeight="1">
      <c r="A837" s="1"/>
      <c r="B837" s="2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2"/>
      <c r="R837" s="2"/>
      <c r="S837" s="2"/>
      <c r="T837" s="2"/>
      <c r="U837" s="2"/>
      <c r="V837" s="2"/>
    </row>
    <row r="838" spans="1:22" ht="14.25" customHeight="1">
      <c r="A838" s="1"/>
      <c r="B838" s="2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2"/>
      <c r="R838" s="2"/>
      <c r="S838" s="2"/>
      <c r="T838" s="2"/>
      <c r="U838" s="2"/>
      <c r="V838" s="2"/>
    </row>
    <row r="839" spans="1:22" ht="14.25" customHeight="1">
      <c r="A839" s="1"/>
      <c r="B839" s="2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2"/>
      <c r="R839" s="2"/>
      <c r="S839" s="2"/>
      <c r="T839" s="2"/>
      <c r="U839" s="2"/>
      <c r="V839" s="2"/>
    </row>
    <row r="840" spans="1:22" ht="14.25" customHeight="1">
      <c r="A840" s="1"/>
      <c r="B840" s="2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2"/>
      <c r="R840" s="2"/>
      <c r="S840" s="2"/>
      <c r="T840" s="2"/>
      <c r="U840" s="2"/>
      <c r="V840" s="2"/>
    </row>
    <row r="841" spans="1:22" ht="14.25" customHeight="1">
      <c r="A841" s="1"/>
      <c r="B841" s="2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2"/>
      <c r="R841" s="2"/>
      <c r="S841" s="2"/>
      <c r="T841" s="2"/>
      <c r="U841" s="2"/>
      <c r="V841" s="2"/>
    </row>
    <row r="842" spans="1:22" ht="14.25" customHeight="1">
      <c r="A842" s="1"/>
      <c r="B842" s="2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2"/>
      <c r="R842" s="2"/>
      <c r="S842" s="2"/>
      <c r="T842" s="2"/>
      <c r="U842" s="2"/>
      <c r="V842" s="2"/>
    </row>
    <row r="843" spans="1:22" ht="14.25" customHeight="1">
      <c r="A843" s="1"/>
      <c r="B843" s="2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2"/>
      <c r="R843" s="2"/>
      <c r="S843" s="2"/>
      <c r="T843" s="2"/>
      <c r="U843" s="2"/>
      <c r="V843" s="2"/>
    </row>
    <row r="844" spans="1:22" ht="14.25" customHeight="1">
      <c r="A844" s="1"/>
      <c r="B844" s="2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2"/>
      <c r="R844" s="2"/>
      <c r="S844" s="2"/>
      <c r="T844" s="2"/>
      <c r="U844" s="2"/>
      <c r="V844" s="2"/>
    </row>
    <row r="845" spans="1:22" ht="14.25" customHeight="1">
      <c r="A845" s="1"/>
      <c r="B845" s="2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2"/>
      <c r="R845" s="2"/>
      <c r="S845" s="2"/>
      <c r="T845" s="2"/>
      <c r="U845" s="2"/>
      <c r="V845" s="2"/>
    </row>
    <row r="846" spans="1:22" ht="14.25" customHeight="1">
      <c r="A846" s="1"/>
      <c r="B846" s="2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2"/>
      <c r="R846" s="2"/>
      <c r="S846" s="2"/>
      <c r="T846" s="2"/>
      <c r="U846" s="2"/>
      <c r="V846" s="2"/>
    </row>
    <row r="847" spans="1:22" ht="14.25" customHeight="1">
      <c r="A847" s="1"/>
      <c r="B847" s="2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2"/>
      <c r="R847" s="2"/>
      <c r="S847" s="2"/>
      <c r="T847" s="2"/>
      <c r="U847" s="2"/>
      <c r="V847" s="2"/>
    </row>
    <row r="848" spans="1:22" ht="14.25" customHeight="1">
      <c r="A848" s="1"/>
      <c r="B848" s="2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2"/>
      <c r="R848" s="2"/>
      <c r="S848" s="2"/>
      <c r="T848" s="2"/>
      <c r="U848" s="2"/>
      <c r="V848" s="2"/>
    </row>
    <row r="849" spans="1:22" ht="14.25" customHeight="1">
      <c r="A849" s="1"/>
      <c r="B849" s="2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2"/>
      <c r="R849" s="2"/>
      <c r="S849" s="2"/>
      <c r="T849" s="2"/>
      <c r="U849" s="2"/>
      <c r="V849" s="2"/>
    </row>
    <row r="850" spans="1:22" ht="14.25" customHeight="1">
      <c r="A850" s="1"/>
      <c r="B850" s="2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2"/>
      <c r="R850" s="2"/>
      <c r="S850" s="2"/>
      <c r="T850" s="2"/>
      <c r="U850" s="2"/>
      <c r="V850" s="2"/>
    </row>
    <row r="851" spans="1:22" ht="14.25" customHeight="1">
      <c r="A851" s="1"/>
      <c r="B851" s="2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2"/>
      <c r="R851" s="2"/>
      <c r="S851" s="2"/>
      <c r="T851" s="2"/>
      <c r="U851" s="2"/>
      <c r="V851" s="2"/>
    </row>
    <row r="852" spans="1:22" ht="14.25" customHeight="1">
      <c r="A852" s="1"/>
      <c r="B852" s="2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2"/>
      <c r="R852" s="2"/>
      <c r="S852" s="2"/>
      <c r="T852" s="2"/>
      <c r="U852" s="2"/>
      <c r="V852" s="2"/>
    </row>
    <row r="853" spans="1:22" ht="14.25" customHeight="1">
      <c r="A853" s="1"/>
      <c r="B853" s="2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2"/>
      <c r="R853" s="2"/>
      <c r="S853" s="2"/>
      <c r="T853" s="2"/>
      <c r="U853" s="2"/>
      <c r="V853" s="2"/>
    </row>
    <row r="854" spans="1:22" ht="14.25" customHeight="1">
      <c r="A854" s="1"/>
      <c r="B854" s="2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2"/>
      <c r="R854" s="2"/>
      <c r="S854" s="2"/>
      <c r="T854" s="2"/>
      <c r="U854" s="2"/>
      <c r="V854" s="2"/>
    </row>
    <row r="855" spans="1:22" ht="14.25" customHeight="1">
      <c r="A855" s="1"/>
      <c r="B855" s="2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2"/>
      <c r="R855" s="2"/>
      <c r="S855" s="2"/>
      <c r="T855" s="2"/>
      <c r="U855" s="2"/>
      <c r="V855" s="2"/>
    </row>
    <row r="856" spans="1:22" ht="14.25" customHeight="1">
      <c r="A856" s="1"/>
      <c r="B856" s="2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2"/>
      <c r="R856" s="2"/>
      <c r="S856" s="2"/>
      <c r="T856" s="2"/>
      <c r="U856" s="2"/>
      <c r="V856" s="2"/>
    </row>
    <row r="857" spans="1:22" ht="14.25" customHeight="1">
      <c r="A857" s="1"/>
      <c r="B857" s="2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2"/>
      <c r="R857" s="2"/>
      <c r="S857" s="2"/>
      <c r="T857" s="2"/>
      <c r="U857" s="2"/>
      <c r="V857" s="2"/>
    </row>
    <row r="858" spans="1:22" ht="14.25" customHeight="1">
      <c r="A858" s="1"/>
      <c r="B858" s="2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2"/>
      <c r="R858" s="2"/>
      <c r="S858" s="2"/>
      <c r="T858" s="2"/>
      <c r="U858" s="2"/>
      <c r="V858" s="2"/>
    </row>
    <row r="859" spans="1:22" ht="14.25" customHeight="1">
      <c r="A859" s="1"/>
      <c r="B859" s="2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2"/>
      <c r="R859" s="2"/>
      <c r="S859" s="2"/>
      <c r="T859" s="2"/>
      <c r="U859" s="2"/>
      <c r="V859" s="2"/>
    </row>
    <row r="860" spans="1:22" ht="14.25" customHeight="1">
      <c r="A860" s="1"/>
      <c r="B860" s="2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2"/>
      <c r="R860" s="2"/>
      <c r="S860" s="2"/>
      <c r="T860" s="2"/>
      <c r="U860" s="2"/>
      <c r="V860" s="2"/>
    </row>
    <row r="861" spans="1:22" ht="14.25" customHeight="1">
      <c r="A861" s="1"/>
      <c r="B861" s="2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2"/>
      <c r="R861" s="2"/>
      <c r="S861" s="2"/>
      <c r="T861" s="2"/>
      <c r="U861" s="2"/>
      <c r="V861" s="2"/>
    </row>
    <row r="862" spans="1:22" ht="14.25" customHeight="1">
      <c r="A862" s="1"/>
      <c r="B862" s="2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2"/>
      <c r="R862" s="2"/>
      <c r="S862" s="2"/>
      <c r="T862" s="2"/>
      <c r="U862" s="2"/>
      <c r="V862" s="2"/>
    </row>
    <row r="863" spans="1:22" ht="14.25" customHeight="1">
      <c r="A863" s="1"/>
      <c r="B863" s="2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2"/>
      <c r="R863" s="2"/>
      <c r="S863" s="2"/>
      <c r="T863" s="2"/>
      <c r="U863" s="2"/>
      <c r="V863" s="2"/>
    </row>
    <row r="864" spans="1:22" ht="14.25" customHeight="1">
      <c r="A864" s="1"/>
      <c r="B864" s="2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2"/>
      <c r="R864" s="2"/>
      <c r="S864" s="2"/>
      <c r="T864" s="2"/>
      <c r="U864" s="2"/>
      <c r="V864" s="2"/>
    </row>
    <row r="865" spans="1:22" ht="14.25" customHeight="1">
      <c r="A865" s="1"/>
      <c r="B865" s="2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2"/>
      <c r="R865" s="2"/>
      <c r="S865" s="2"/>
      <c r="T865" s="2"/>
      <c r="U865" s="2"/>
      <c r="V865" s="2"/>
    </row>
    <row r="866" spans="1:22" ht="14.25" customHeight="1">
      <c r="A866" s="1"/>
      <c r="B866" s="2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2"/>
      <c r="R866" s="2"/>
      <c r="S866" s="2"/>
      <c r="T866" s="2"/>
      <c r="U866" s="2"/>
      <c r="V866" s="2"/>
    </row>
    <row r="867" spans="1:22" ht="14.25" customHeight="1">
      <c r="A867" s="1"/>
      <c r="B867" s="2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2"/>
      <c r="R867" s="2"/>
      <c r="S867" s="2"/>
      <c r="T867" s="2"/>
      <c r="U867" s="2"/>
      <c r="V867" s="2"/>
    </row>
    <row r="868" spans="1:22" ht="14.25" customHeight="1">
      <c r="A868" s="1"/>
      <c r="B868" s="2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2"/>
      <c r="R868" s="2"/>
      <c r="S868" s="2"/>
      <c r="T868" s="2"/>
      <c r="U868" s="2"/>
      <c r="V868" s="2"/>
    </row>
    <row r="869" spans="1:22" ht="14.25" customHeight="1">
      <c r="A869" s="1"/>
      <c r="B869" s="2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2"/>
      <c r="R869" s="2"/>
      <c r="S869" s="2"/>
      <c r="T869" s="2"/>
      <c r="U869" s="2"/>
      <c r="V869" s="2"/>
    </row>
    <row r="870" spans="1:22" ht="14.25" customHeight="1">
      <c r="A870" s="1"/>
      <c r="B870" s="2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2"/>
      <c r="R870" s="2"/>
      <c r="S870" s="2"/>
      <c r="T870" s="2"/>
      <c r="U870" s="2"/>
      <c r="V870" s="2"/>
    </row>
    <row r="871" spans="1:22" ht="14.25" customHeight="1">
      <c r="A871" s="1"/>
      <c r="B871" s="2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2"/>
      <c r="R871" s="2"/>
      <c r="S871" s="2"/>
      <c r="T871" s="2"/>
      <c r="U871" s="2"/>
      <c r="V871" s="2"/>
    </row>
    <row r="872" spans="1:22" ht="14.25" customHeight="1">
      <c r="A872" s="1"/>
      <c r="B872" s="2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2"/>
      <c r="R872" s="2"/>
      <c r="S872" s="2"/>
      <c r="T872" s="2"/>
      <c r="U872" s="2"/>
      <c r="V872" s="2"/>
    </row>
    <row r="873" spans="1:22" ht="14.25" customHeight="1">
      <c r="A873" s="1"/>
      <c r="B873" s="2"/>
      <c r="C873" s="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2"/>
      <c r="R873" s="2"/>
      <c r="S873" s="2"/>
      <c r="T873" s="2"/>
      <c r="U873" s="2"/>
      <c r="V873" s="2"/>
    </row>
    <row r="874" spans="1:22" ht="14.25" customHeight="1">
      <c r="A874" s="1"/>
      <c r="B874" s="2"/>
      <c r="C874" s="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2"/>
      <c r="R874" s="2"/>
      <c r="S874" s="2"/>
      <c r="T874" s="2"/>
      <c r="U874" s="2"/>
      <c r="V874" s="2"/>
    </row>
    <row r="875" spans="1:22" ht="14.25" customHeight="1">
      <c r="A875" s="1"/>
      <c r="B875" s="2"/>
      <c r="C875" s="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2"/>
      <c r="R875" s="2"/>
      <c r="S875" s="2"/>
      <c r="T875" s="2"/>
      <c r="U875" s="2"/>
      <c r="V875" s="2"/>
    </row>
    <row r="876" spans="1:22" ht="14.25" customHeight="1">
      <c r="A876" s="1"/>
      <c r="B876" s="2"/>
      <c r="C876" s="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2"/>
      <c r="R876" s="2"/>
      <c r="S876" s="2"/>
      <c r="T876" s="2"/>
      <c r="U876" s="2"/>
      <c r="V876" s="2"/>
    </row>
    <row r="877" spans="1:22" ht="14.25" customHeight="1">
      <c r="A877" s="1"/>
      <c r="B877" s="2"/>
      <c r="C877" s="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2"/>
      <c r="R877" s="2"/>
      <c r="S877" s="2"/>
      <c r="T877" s="2"/>
      <c r="U877" s="2"/>
      <c r="V877" s="2"/>
    </row>
    <row r="878" spans="1:22" ht="14.25" customHeight="1">
      <c r="A878" s="1"/>
      <c r="B878" s="2"/>
      <c r="C878" s="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2"/>
      <c r="R878" s="2"/>
      <c r="S878" s="2"/>
      <c r="T878" s="2"/>
      <c r="U878" s="2"/>
      <c r="V878" s="2"/>
    </row>
    <row r="879" spans="1:22" ht="14.25" customHeight="1">
      <c r="A879" s="1"/>
      <c r="B879" s="2"/>
      <c r="C879" s="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2"/>
      <c r="R879" s="2"/>
      <c r="S879" s="2"/>
      <c r="T879" s="2"/>
      <c r="U879" s="2"/>
      <c r="V879" s="2"/>
    </row>
    <row r="880" spans="1:22" ht="14.25" customHeight="1">
      <c r="A880" s="1"/>
      <c r="B880" s="2"/>
      <c r="C880" s="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2"/>
      <c r="R880" s="2"/>
      <c r="S880" s="2"/>
      <c r="T880" s="2"/>
      <c r="U880" s="2"/>
      <c r="V880" s="2"/>
    </row>
    <row r="881" spans="1:22" ht="14.25" customHeight="1">
      <c r="A881" s="1"/>
      <c r="B881" s="2"/>
      <c r="C881" s="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2"/>
      <c r="R881" s="2"/>
      <c r="S881" s="2"/>
      <c r="T881" s="2"/>
      <c r="U881" s="2"/>
      <c r="V881" s="2"/>
    </row>
    <row r="882" spans="1:22" ht="14.25" customHeight="1">
      <c r="A882" s="1"/>
      <c r="B882" s="2"/>
      <c r="C882" s="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2"/>
      <c r="R882" s="2"/>
      <c r="S882" s="2"/>
      <c r="T882" s="2"/>
      <c r="U882" s="2"/>
      <c r="V882" s="2"/>
    </row>
    <row r="883" spans="1:22" ht="14.25" customHeight="1">
      <c r="A883" s="1"/>
      <c r="B883" s="2"/>
      <c r="C883" s="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2"/>
      <c r="R883" s="2"/>
      <c r="S883" s="2"/>
      <c r="T883" s="2"/>
      <c r="U883" s="2"/>
      <c r="V883" s="2"/>
    </row>
    <row r="884" spans="1:22" ht="14.25" customHeight="1">
      <c r="A884" s="1"/>
      <c r="B884" s="2"/>
      <c r="C884" s="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2"/>
      <c r="R884" s="2"/>
      <c r="S884" s="2"/>
      <c r="T884" s="2"/>
      <c r="U884" s="2"/>
      <c r="V884" s="2"/>
    </row>
    <row r="885" spans="1:22" ht="14.25" customHeight="1">
      <c r="A885" s="1"/>
      <c r="B885" s="2"/>
      <c r="C885" s="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2"/>
      <c r="R885" s="2"/>
      <c r="S885" s="2"/>
      <c r="T885" s="2"/>
      <c r="U885" s="2"/>
      <c r="V885" s="2"/>
    </row>
    <row r="886" spans="1:22" ht="14.25" customHeight="1">
      <c r="A886" s="1"/>
      <c r="B886" s="2"/>
      <c r="C886" s="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2"/>
      <c r="R886" s="2"/>
      <c r="S886" s="2"/>
      <c r="T886" s="2"/>
      <c r="U886" s="2"/>
      <c r="V886" s="2"/>
    </row>
    <row r="887" spans="1:22" ht="14.25" customHeight="1">
      <c r="A887" s="1"/>
      <c r="B887" s="2"/>
      <c r="C887" s="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2"/>
      <c r="R887" s="2"/>
      <c r="S887" s="2"/>
      <c r="T887" s="2"/>
      <c r="U887" s="2"/>
      <c r="V887" s="2"/>
    </row>
    <row r="888" spans="1:22" ht="14.25" customHeight="1">
      <c r="A888" s="1"/>
      <c r="B888" s="2"/>
      <c r="C888" s="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2"/>
      <c r="R888" s="2"/>
      <c r="S888" s="2"/>
      <c r="T888" s="2"/>
      <c r="U888" s="2"/>
      <c r="V888" s="2"/>
    </row>
    <row r="889" spans="1:22" ht="14.25" customHeight="1">
      <c r="A889" s="1"/>
      <c r="B889" s="2"/>
      <c r="C889" s="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2"/>
      <c r="R889" s="2"/>
      <c r="S889" s="2"/>
      <c r="T889" s="2"/>
      <c r="U889" s="2"/>
      <c r="V889" s="2"/>
    </row>
    <row r="890" spans="1:22" ht="14.25" customHeight="1">
      <c r="A890" s="1"/>
      <c r="B890" s="2"/>
      <c r="C890" s="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2"/>
      <c r="R890" s="2"/>
      <c r="S890" s="2"/>
      <c r="T890" s="2"/>
      <c r="U890" s="2"/>
      <c r="V890" s="2"/>
    </row>
    <row r="891" spans="1:22" ht="14.25" customHeight="1">
      <c r="A891" s="1"/>
      <c r="B891" s="2"/>
      <c r="C891" s="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2"/>
      <c r="R891" s="2"/>
      <c r="S891" s="2"/>
      <c r="T891" s="2"/>
      <c r="U891" s="2"/>
      <c r="V891" s="2"/>
    </row>
    <row r="892" spans="1:22" ht="14.25" customHeight="1">
      <c r="A892" s="1"/>
      <c r="B892" s="2"/>
      <c r="C892" s="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2"/>
      <c r="R892" s="2"/>
      <c r="S892" s="2"/>
      <c r="T892" s="2"/>
      <c r="U892" s="2"/>
      <c r="V892" s="2"/>
    </row>
    <row r="893" spans="1:22" ht="14.25" customHeight="1">
      <c r="A893" s="1"/>
      <c r="B893" s="2"/>
      <c r="C893" s="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2"/>
      <c r="R893" s="2"/>
      <c r="S893" s="2"/>
      <c r="T893" s="2"/>
      <c r="U893" s="2"/>
      <c r="V893" s="2"/>
    </row>
    <row r="894" spans="1:22" ht="14.25" customHeight="1">
      <c r="A894" s="1"/>
      <c r="B894" s="2"/>
      <c r="C894" s="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2"/>
      <c r="R894" s="2"/>
      <c r="S894" s="2"/>
      <c r="T894" s="2"/>
      <c r="U894" s="2"/>
      <c r="V894" s="2"/>
    </row>
    <row r="895" spans="1:22" ht="14.25" customHeight="1">
      <c r="A895" s="1"/>
      <c r="B895" s="2"/>
      <c r="C895" s="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2"/>
      <c r="R895" s="2"/>
      <c r="S895" s="2"/>
      <c r="T895" s="2"/>
      <c r="U895" s="2"/>
      <c r="V895" s="2"/>
    </row>
    <row r="896" spans="1:22" ht="14.25" customHeight="1">
      <c r="A896" s="1"/>
      <c r="B896" s="2"/>
      <c r="C896" s="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2"/>
      <c r="R896" s="2"/>
      <c r="S896" s="2"/>
      <c r="T896" s="2"/>
      <c r="U896" s="2"/>
      <c r="V896" s="2"/>
    </row>
    <row r="897" spans="1:22" ht="14.25" customHeight="1">
      <c r="A897" s="1"/>
      <c r="B897" s="2"/>
      <c r="C897" s="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2"/>
      <c r="R897" s="2"/>
      <c r="S897" s="2"/>
      <c r="T897" s="2"/>
      <c r="U897" s="2"/>
      <c r="V897" s="2"/>
    </row>
    <row r="898" spans="1:22" ht="14.25" customHeight="1">
      <c r="A898" s="1"/>
      <c r="B898" s="2"/>
      <c r="C898" s="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2"/>
      <c r="R898" s="2"/>
      <c r="S898" s="2"/>
      <c r="T898" s="2"/>
      <c r="U898" s="2"/>
      <c r="V898" s="2"/>
    </row>
    <row r="899" spans="1:22" ht="14.25" customHeight="1">
      <c r="A899" s="1"/>
      <c r="B899" s="2"/>
      <c r="C899" s="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2"/>
      <c r="R899" s="2"/>
      <c r="S899" s="2"/>
      <c r="T899" s="2"/>
      <c r="U899" s="2"/>
      <c r="V899" s="2"/>
    </row>
    <row r="900" spans="1:22" ht="14.25" customHeight="1">
      <c r="A900" s="1"/>
      <c r="B900" s="2"/>
      <c r="C900" s="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2"/>
      <c r="R900" s="2"/>
      <c r="S900" s="2"/>
      <c r="T900" s="2"/>
      <c r="U900" s="2"/>
      <c r="V900" s="2"/>
    </row>
    <row r="901" spans="1:22" ht="14.25" customHeight="1">
      <c r="A901" s="1"/>
      <c r="B901" s="2"/>
      <c r="C901" s="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2"/>
      <c r="R901" s="2"/>
      <c r="S901" s="2"/>
      <c r="T901" s="2"/>
      <c r="U901" s="2"/>
      <c r="V901" s="2"/>
    </row>
    <row r="902" spans="1:22" ht="14.25" customHeight="1">
      <c r="A902" s="1"/>
      <c r="B902" s="2"/>
      <c r="C902" s="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2"/>
      <c r="R902" s="2"/>
      <c r="S902" s="2"/>
      <c r="T902" s="2"/>
      <c r="U902" s="2"/>
      <c r="V902" s="2"/>
    </row>
    <row r="903" spans="1:22" ht="14.25" customHeight="1">
      <c r="A903" s="1"/>
      <c r="B903" s="2"/>
      <c r="C903" s="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2"/>
      <c r="R903" s="2"/>
      <c r="S903" s="2"/>
      <c r="T903" s="2"/>
      <c r="U903" s="2"/>
      <c r="V903" s="2"/>
    </row>
    <row r="904" spans="1:22" ht="14.25" customHeight="1">
      <c r="A904" s="1"/>
      <c r="B904" s="2"/>
      <c r="C904" s="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2"/>
      <c r="R904" s="2"/>
      <c r="S904" s="2"/>
      <c r="T904" s="2"/>
      <c r="U904" s="2"/>
      <c r="V904" s="2"/>
    </row>
    <row r="905" spans="1:22" ht="14.25" customHeight="1">
      <c r="A905" s="1"/>
      <c r="B905" s="2"/>
      <c r="C905" s="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2"/>
      <c r="R905" s="2"/>
      <c r="S905" s="2"/>
      <c r="T905" s="2"/>
      <c r="U905" s="2"/>
      <c r="V905" s="2"/>
    </row>
    <row r="906" spans="1:22" ht="14.25" customHeight="1">
      <c r="A906" s="1"/>
      <c r="B906" s="2"/>
      <c r="C906" s="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2"/>
      <c r="R906" s="2"/>
      <c r="S906" s="2"/>
      <c r="T906" s="2"/>
      <c r="U906" s="2"/>
      <c r="V906" s="2"/>
    </row>
    <row r="907" spans="1:22" ht="14.25" customHeight="1">
      <c r="A907" s="1"/>
      <c r="B907" s="2"/>
      <c r="C907" s="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2"/>
      <c r="R907" s="2"/>
      <c r="S907" s="2"/>
      <c r="T907" s="2"/>
      <c r="U907" s="2"/>
      <c r="V907" s="2"/>
    </row>
    <row r="908" spans="1:22" ht="14.25" customHeight="1">
      <c r="A908" s="1"/>
      <c r="B908" s="2"/>
      <c r="C908" s="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2"/>
      <c r="R908" s="2"/>
      <c r="S908" s="2"/>
      <c r="T908" s="2"/>
      <c r="U908" s="2"/>
      <c r="V908" s="2"/>
    </row>
    <row r="909" spans="1:22" ht="14.25" customHeight="1">
      <c r="A909" s="1"/>
      <c r="B909" s="2"/>
      <c r="C909" s="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2"/>
      <c r="R909" s="2"/>
      <c r="S909" s="2"/>
      <c r="T909" s="2"/>
      <c r="U909" s="2"/>
      <c r="V909" s="2"/>
    </row>
    <row r="910" spans="1:22" ht="14.25" customHeight="1">
      <c r="A910" s="1"/>
      <c r="B910" s="2"/>
      <c r="C910" s="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2"/>
      <c r="R910" s="2"/>
      <c r="S910" s="2"/>
      <c r="T910" s="2"/>
      <c r="U910" s="2"/>
      <c r="V910" s="2"/>
    </row>
    <row r="911" spans="1:22" ht="14.25" customHeight="1">
      <c r="A911" s="1"/>
      <c r="B911" s="2"/>
      <c r="C911" s="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2"/>
      <c r="R911" s="2"/>
      <c r="S911" s="2"/>
      <c r="T911" s="2"/>
      <c r="U911" s="2"/>
      <c r="V911" s="2"/>
    </row>
    <row r="912" spans="1:22" ht="14.25" customHeight="1">
      <c r="A912" s="1"/>
      <c r="B912" s="2"/>
      <c r="C912" s="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2"/>
      <c r="R912" s="2"/>
      <c r="S912" s="2"/>
      <c r="T912" s="2"/>
      <c r="U912" s="2"/>
      <c r="V912" s="2"/>
    </row>
    <row r="913" spans="1:22" ht="14.25" customHeight="1">
      <c r="A913" s="1"/>
      <c r="B913" s="2"/>
      <c r="C913" s="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2"/>
      <c r="R913" s="2"/>
      <c r="S913" s="2"/>
      <c r="T913" s="2"/>
      <c r="U913" s="2"/>
      <c r="V913" s="2"/>
    </row>
    <row r="914" spans="1:22" ht="14.25" customHeight="1">
      <c r="A914" s="1"/>
      <c r="B914" s="2"/>
      <c r="C914" s="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2"/>
      <c r="R914" s="2"/>
      <c r="S914" s="2"/>
      <c r="T914" s="2"/>
      <c r="U914" s="2"/>
      <c r="V914" s="2"/>
    </row>
    <row r="915" spans="1:22" ht="14.25" customHeight="1">
      <c r="A915" s="1"/>
      <c r="B915" s="2"/>
      <c r="C915" s="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2"/>
      <c r="R915" s="2"/>
      <c r="S915" s="2"/>
      <c r="T915" s="2"/>
      <c r="U915" s="2"/>
      <c r="V915" s="2"/>
    </row>
    <row r="916" spans="1:22" ht="14.25" customHeight="1">
      <c r="A916" s="1"/>
      <c r="B916" s="2"/>
      <c r="C916" s="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2"/>
      <c r="R916" s="2"/>
      <c r="S916" s="2"/>
      <c r="T916" s="2"/>
      <c r="U916" s="2"/>
      <c r="V916" s="2"/>
    </row>
    <row r="917" spans="1:22" ht="14.25" customHeight="1">
      <c r="A917" s="1"/>
      <c r="B917" s="2"/>
      <c r="C917" s="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2"/>
      <c r="R917" s="2"/>
      <c r="S917" s="2"/>
      <c r="T917" s="2"/>
      <c r="U917" s="2"/>
      <c r="V917" s="2"/>
    </row>
    <row r="918" spans="1:22" ht="14.25" customHeight="1">
      <c r="A918" s="1"/>
      <c r="B918" s="2"/>
      <c r="C918" s="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2"/>
      <c r="R918" s="2"/>
      <c r="S918" s="2"/>
      <c r="T918" s="2"/>
      <c r="U918" s="2"/>
      <c r="V918" s="2"/>
    </row>
    <row r="919" spans="1:22" ht="14.25" customHeight="1">
      <c r="A919" s="1"/>
      <c r="B919" s="2"/>
      <c r="C919" s="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2"/>
      <c r="R919" s="2"/>
      <c r="S919" s="2"/>
      <c r="T919" s="2"/>
      <c r="U919" s="2"/>
      <c r="V919" s="2"/>
    </row>
    <row r="920" spans="1:22" ht="14.25" customHeight="1">
      <c r="A920" s="1"/>
      <c r="B920" s="2"/>
      <c r="C920" s="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2"/>
      <c r="R920" s="2"/>
      <c r="S920" s="2"/>
      <c r="T920" s="2"/>
      <c r="U920" s="2"/>
      <c r="V920" s="2"/>
    </row>
    <row r="921" spans="1:22" ht="14.25" customHeight="1">
      <c r="A921" s="1"/>
      <c r="B921" s="2"/>
      <c r="C921" s="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2"/>
      <c r="R921" s="2"/>
      <c r="S921" s="2"/>
      <c r="T921" s="2"/>
      <c r="U921" s="2"/>
      <c r="V921" s="2"/>
    </row>
    <row r="922" spans="1:22" ht="14.25" customHeight="1">
      <c r="A922" s="1"/>
      <c r="B922" s="2"/>
      <c r="C922" s="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2"/>
      <c r="R922" s="2"/>
      <c r="S922" s="2"/>
      <c r="T922" s="2"/>
      <c r="U922" s="2"/>
      <c r="V922" s="2"/>
    </row>
    <row r="923" spans="1:22" ht="14.25" customHeight="1">
      <c r="A923" s="1"/>
      <c r="B923" s="2"/>
      <c r="C923" s="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2"/>
      <c r="R923" s="2"/>
      <c r="S923" s="2"/>
      <c r="T923" s="2"/>
      <c r="U923" s="2"/>
      <c r="V923" s="2"/>
    </row>
    <row r="924" spans="1:22" ht="14.25" customHeight="1">
      <c r="A924" s="1"/>
      <c r="B924" s="2"/>
      <c r="C924" s="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2"/>
      <c r="R924" s="2"/>
      <c r="S924" s="2"/>
      <c r="T924" s="2"/>
      <c r="U924" s="2"/>
      <c r="V924" s="2"/>
    </row>
    <row r="925" spans="1:22" ht="14.25" customHeight="1">
      <c r="A925" s="1"/>
      <c r="B925" s="2"/>
      <c r="C925" s="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2"/>
      <c r="R925" s="2"/>
      <c r="S925" s="2"/>
      <c r="T925" s="2"/>
      <c r="U925" s="2"/>
      <c r="V925" s="2"/>
    </row>
    <row r="926" spans="1:22" ht="14.25" customHeight="1">
      <c r="A926" s="1"/>
      <c r="B926" s="2"/>
      <c r="C926" s="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2"/>
      <c r="R926" s="2"/>
      <c r="S926" s="2"/>
      <c r="T926" s="2"/>
      <c r="U926" s="2"/>
      <c r="V926" s="2"/>
    </row>
    <row r="927" spans="1:22" ht="14.25" customHeight="1">
      <c r="A927" s="1"/>
      <c r="B927" s="2"/>
      <c r="C927" s="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2"/>
      <c r="R927" s="2"/>
      <c r="S927" s="2"/>
      <c r="T927" s="2"/>
      <c r="U927" s="2"/>
      <c r="V927" s="2"/>
    </row>
    <row r="928" spans="1:22" ht="14.25" customHeight="1">
      <c r="A928" s="1"/>
      <c r="B928" s="2"/>
      <c r="C928" s="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2"/>
      <c r="R928" s="2"/>
      <c r="S928" s="2"/>
      <c r="T928" s="2"/>
      <c r="U928" s="2"/>
      <c r="V928" s="2"/>
    </row>
    <row r="929" spans="1:22" ht="14.25" customHeight="1">
      <c r="A929" s="1"/>
      <c r="B929" s="2"/>
      <c r="C929" s="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2"/>
      <c r="R929" s="2"/>
      <c r="S929" s="2"/>
      <c r="T929" s="2"/>
      <c r="U929" s="2"/>
      <c r="V929" s="2"/>
    </row>
    <row r="930" spans="1:22" ht="14.25" customHeight="1">
      <c r="A930" s="1"/>
      <c r="B930" s="2"/>
      <c r="C930" s="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2"/>
      <c r="R930" s="2"/>
      <c r="S930" s="2"/>
      <c r="T930" s="2"/>
      <c r="U930" s="2"/>
      <c r="V930" s="2"/>
    </row>
    <row r="931" spans="1:22" ht="14.25" customHeight="1">
      <c r="A931" s="1"/>
      <c r="B931" s="2"/>
      <c r="C931" s="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2"/>
      <c r="R931" s="2"/>
      <c r="S931" s="2"/>
      <c r="T931" s="2"/>
      <c r="U931" s="2"/>
      <c r="V931" s="2"/>
    </row>
    <row r="932" spans="1:22" ht="14.25" customHeight="1">
      <c r="A932" s="1"/>
      <c r="B932" s="2"/>
      <c r="C932" s="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2"/>
      <c r="R932" s="2"/>
      <c r="S932" s="2"/>
      <c r="T932" s="2"/>
      <c r="U932" s="2"/>
      <c r="V932" s="2"/>
    </row>
    <row r="933" spans="1:22" ht="14.25" customHeight="1">
      <c r="A933" s="1"/>
      <c r="B933" s="2"/>
      <c r="C933" s="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2"/>
      <c r="R933" s="2"/>
      <c r="S933" s="2"/>
      <c r="T933" s="2"/>
      <c r="U933" s="2"/>
      <c r="V933" s="2"/>
    </row>
    <row r="934" spans="1:22" ht="14.25" customHeight="1">
      <c r="A934" s="1"/>
      <c r="B934" s="2"/>
      <c r="C934" s="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2"/>
      <c r="R934" s="2"/>
      <c r="S934" s="2"/>
      <c r="T934" s="2"/>
      <c r="U934" s="2"/>
      <c r="V934" s="2"/>
    </row>
    <row r="935" spans="1:22" ht="14.25" customHeight="1">
      <c r="A935" s="1"/>
      <c r="B935" s="2"/>
      <c r="C935" s="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2"/>
      <c r="R935" s="2"/>
      <c r="S935" s="2"/>
      <c r="T935" s="2"/>
      <c r="U935" s="2"/>
      <c r="V935" s="2"/>
    </row>
    <row r="936" spans="1:22" ht="14.25" customHeight="1">
      <c r="A936" s="1"/>
      <c r="B936" s="2"/>
      <c r="C936" s="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2"/>
      <c r="R936" s="2"/>
      <c r="S936" s="2"/>
      <c r="T936" s="2"/>
      <c r="U936" s="2"/>
      <c r="V936" s="2"/>
    </row>
    <row r="937" spans="1:22" ht="14.25" customHeight="1">
      <c r="A937" s="1"/>
      <c r="B937" s="2"/>
      <c r="C937" s="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2"/>
      <c r="R937" s="2"/>
      <c r="S937" s="2"/>
      <c r="T937" s="2"/>
      <c r="U937" s="2"/>
      <c r="V937" s="2"/>
    </row>
    <row r="938" spans="1:22" ht="14.25" customHeight="1">
      <c r="A938" s="1"/>
      <c r="B938" s="2"/>
      <c r="C938" s="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2"/>
      <c r="R938" s="2"/>
      <c r="S938" s="2"/>
      <c r="T938" s="2"/>
      <c r="U938" s="2"/>
      <c r="V938" s="2"/>
    </row>
    <row r="939" spans="1:22" ht="14.25" customHeight="1">
      <c r="A939" s="1"/>
      <c r="B939" s="2"/>
      <c r="C939" s="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2"/>
      <c r="R939" s="2"/>
      <c r="S939" s="2"/>
      <c r="T939" s="2"/>
      <c r="U939" s="2"/>
      <c r="V939" s="2"/>
    </row>
    <row r="940" spans="1:22" ht="14.25" customHeight="1">
      <c r="A940" s="1"/>
      <c r="B940" s="2"/>
      <c r="C940" s="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2"/>
      <c r="R940" s="2"/>
      <c r="S940" s="2"/>
      <c r="T940" s="2"/>
      <c r="U940" s="2"/>
      <c r="V940" s="2"/>
    </row>
    <row r="941" spans="1:22" ht="14.25" customHeight="1">
      <c r="A941" s="1"/>
      <c r="B941" s="2"/>
      <c r="C941" s="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2"/>
      <c r="R941" s="2"/>
      <c r="S941" s="2"/>
      <c r="T941" s="2"/>
      <c r="U941" s="2"/>
      <c r="V941" s="2"/>
    </row>
    <row r="942" spans="1:22" ht="14.25" customHeight="1">
      <c r="A942" s="1"/>
      <c r="B942" s="2"/>
      <c r="C942" s="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2"/>
      <c r="R942" s="2"/>
      <c r="S942" s="2"/>
      <c r="T942" s="2"/>
      <c r="U942" s="2"/>
      <c r="V942" s="2"/>
    </row>
    <row r="943" spans="1:22" ht="14.25" customHeight="1">
      <c r="A943" s="1"/>
      <c r="B943" s="2"/>
      <c r="C943" s="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2"/>
      <c r="R943" s="2"/>
      <c r="S943" s="2"/>
      <c r="T943" s="2"/>
      <c r="U943" s="2"/>
      <c r="V943" s="2"/>
    </row>
    <row r="944" spans="1:22" ht="14.25" customHeight="1">
      <c r="A944" s="1"/>
      <c r="B944" s="2"/>
      <c r="C944" s="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2"/>
      <c r="R944" s="2"/>
      <c r="S944" s="2"/>
      <c r="T944" s="2"/>
      <c r="U944" s="2"/>
      <c r="V944" s="2"/>
    </row>
    <row r="945" spans="1:22" ht="14.25" customHeight="1">
      <c r="A945" s="1"/>
      <c r="B945" s="2"/>
      <c r="C945" s="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2"/>
      <c r="R945" s="2"/>
      <c r="S945" s="2"/>
      <c r="T945" s="2"/>
      <c r="U945" s="2"/>
      <c r="V945" s="2"/>
    </row>
    <row r="946" spans="1:22" ht="14.25" customHeight="1">
      <c r="A946" s="1"/>
      <c r="B946" s="2"/>
      <c r="C946" s="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2"/>
      <c r="R946" s="2"/>
      <c r="S946" s="2"/>
      <c r="T946" s="2"/>
      <c r="U946" s="2"/>
      <c r="V946" s="2"/>
    </row>
    <row r="947" spans="1:22" ht="14.25" customHeight="1">
      <c r="A947" s="1"/>
      <c r="B947" s="2"/>
      <c r="C947" s="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2"/>
      <c r="R947" s="2"/>
      <c r="S947" s="2"/>
      <c r="T947" s="2"/>
      <c r="U947" s="2"/>
      <c r="V947" s="2"/>
    </row>
    <row r="948" spans="1:22" ht="14.25" customHeight="1">
      <c r="A948" s="1"/>
      <c r="B948" s="2"/>
      <c r="C948" s="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2"/>
      <c r="R948" s="2"/>
      <c r="S948" s="2"/>
      <c r="T948" s="2"/>
      <c r="U948" s="2"/>
      <c r="V948" s="2"/>
    </row>
    <row r="949" spans="1:22" ht="14.25" customHeight="1">
      <c r="A949" s="1"/>
      <c r="B949" s="2"/>
      <c r="C949" s="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2"/>
      <c r="R949" s="2"/>
      <c r="S949" s="2"/>
      <c r="T949" s="2"/>
      <c r="U949" s="2"/>
      <c r="V949" s="2"/>
    </row>
    <row r="950" spans="1:22" ht="14.25" customHeight="1">
      <c r="A950" s="1"/>
      <c r="B950" s="2"/>
      <c r="C950" s="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2"/>
      <c r="R950" s="2"/>
      <c r="S950" s="2"/>
      <c r="T950" s="2"/>
      <c r="U950" s="2"/>
      <c r="V950" s="2"/>
    </row>
    <row r="951" spans="1:22" ht="14.25" customHeight="1">
      <c r="A951" s="1"/>
      <c r="B951" s="2"/>
      <c r="C951" s="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2"/>
      <c r="R951" s="2"/>
      <c r="S951" s="2"/>
      <c r="T951" s="2"/>
      <c r="U951" s="2"/>
      <c r="V951" s="2"/>
    </row>
    <row r="952" spans="1:22" ht="14.25" customHeight="1">
      <c r="A952" s="1"/>
      <c r="B952" s="2"/>
      <c r="C952" s="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2"/>
      <c r="R952" s="2"/>
      <c r="S952" s="2"/>
      <c r="T952" s="2"/>
      <c r="U952" s="2"/>
      <c r="V952" s="2"/>
    </row>
    <row r="953" spans="1:22" ht="14.25" customHeight="1">
      <c r="A953" s="1"/>
      <c r="B953" s="2"/>
      <c r="C953" s="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2"/>
      <c r="R953" s="2"/>
      <c r="S953" s="2"/>
      <c r="T953" s="2"/>
      <c r="U953" s="2"/>
      <c r="V953" s="2"/>
    </row>
    <row r="954" spans="1:22" ht="14.25" customHeight="1">
      <c r="A954" s="1"/>
      <c r="B954" s="2"/>
      <c r="C954" s="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2"/>
      <c r="R954" s="2"/>
      <c r="S954" s="2"/>
      <c r="T954" s="2"/>
      <c r="U954" s="2"/>
      <c r="V954" s="2"/>
    </row>
    <row r="955" spans="1:22" ht="14.25" customHeight="1">
      <c r="A955" s="1"/>
      <c r="B955" s="2"/>
      <c r="C955" s="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2"/>
      <c r="R955" s="2"/>
      <c r="S955" s="2"/>
      <c r="T955" s="2"/>
      <c r="U955" s="2"/>
      <c r="V955" s="2"/>
    </row>
    <row r="956" spans="1:22" ht="14.25" customHeight="1">
      <c r="A956" s="1"/>
      <c r="B956" s="2"/>
      <c r="C956" s="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2"/>
      <c r="R956" s="2"/>
      <c r="S956" s="2"/>
      <c r="T956" s="2"/>
      <c r="U956" s="2"/>
      <c r="V956" s="2"/>
    </row>
    <row r="957" spans="1:22" ht="14.25" customHeight="1">
      <c r="A957" s="1"/>
      <c r="B957" s="2"/>
      <c r="C957" s="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2"/>
      <c r="R957" s="2"/>
      <c r="S957" s="2"/>
      <c r="T957" s="2"/>
      <c r="U957" s="2"/>
      <c r="V957" s="2"/>
    </row>
    <row r="958" spans="1:22" ht="14.25" customHeight="1">
      <c r="A958" s="1"/>
      <c r="B958" s="2"/>
      <c r="C958" s="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2"/>
      <c r="R958" s="2"/>
      <c r="S958" s="2"/>
      <c r="T958" s="2"/>
      <c r="U958" s="2"/>
      <c r="V958" s="2"/>
    </row>
    <row r="959" spans="1:22" ht="14.25" customHeight="1">
      <c r="A959" s="1"/>
      <c r="B959" s="2"/>
      <c r="C959" s="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2"/>
      <c r="R959" s="2"/>
      <c r="S959" s="2"/>
      <c r="T959" s="2"/>
      <c r="U959" s="2"/>
      <c r="V959" s="2"/>
    </row>
    <row r="960" spans="1:22" ht="14.25" customHeight="1">
      <c r="A960" s="1"/>
      <c r="B960" s="2"/>
      <c r="C960" s="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2"/>
      <c r="R960" s="2"/>
      <c r="S960" s="2"/>
      <c r="T960" s="2"/>
      <c r="U960" s="2"/>
      <c r="V960" s="2"/>
    </row>
    <row r="961" spans="1:22" ht="14.25" customHeight="1">
      <c r="A961" s="1"/>
      <c r="B961" s="2"/>
      <c r="C961" s="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2"/>
      <c r="R961" s="2"/>
      <c r="S961" s="2"/>
      <c r="T961" s="2"/>
      <c r="U961" s="2"/>
      <c r="V961" s="2"/>
    </row>
    <row r="962" spans="1:22" ht="14.25" customHeight="1">
      <c r="A962" s="1"/>
      <c r="B962" s="2"/>
      <c r="C962" s="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2"/>
      <c r="R962" s="2"/>
      <c r="S962" s="2"/>
      <c r="T962" s="2"/>
      <c r="U962" s="2"/>
      <c r="V962" s="2"/>
    </row>
    <row r="963" spans="1:22" ht="14.25" customHeight="1">
      <c r="A963" s="1"/>
      <c r="B963" s="2"/>
      <c r="C963" s="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2"/>
      <c r="R963" s="2"/>
      <c r="S963" s="2"/>
      <c r="T963" s="2"/>
      <c r="U963" s="2"/>
      <c r="V963" s="2"/>
    </row>
    <row r="964" spans="1:22" ht="14.25" customHeight="1">
      <c r="A964" s="1"/>
      <c r="B964" s="2"/>
      <c r="C964" s="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2"/>
      <c r="R964" s="2"/>
      <c r="S964" s="2"/>
      <c r="T964" s="2"/>
      <c r="U964" s="2"/>
      <c r="V964" s="2"/>
    </row>
    <row r="965" spans="1:22" ht="14.25" customHeight="1">
      <c r="A965" s="1"/>
      <c r="B965" s="2"/>
      <c r="C965" s="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2"/>
      <c r="R965" s="2"/>
      <c r="S965" s="2"/>
      <c r="T965" s="2"/>
      <c r="U965" s="2"/>
      <c r="V965" s="2"/>
    </row>
    <row r="966" spans="1:22" ht="14.25" customHeight="1">
      <c r="A966" s="1"/>
      <c r="B966" s="2"/>
      <c r="C966" s="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2"/>
      <c r="R966" s="2"/>
      <c r="S966" s="2"/>
      <c r="T966" s="2"/>
      <c r="U966" s="2"/>
      <c r="V966" s="2"/>
    </row>
    <row r="967" spans="1:22" ht="14.25" customHeight="1">
      <c r="A967" s="1"/>
      <c r="B967" s="2"/>
      <c r="C967" s="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2"/>
      <c r="R967" s="2"/>
      <c r="S967" s="2"/>
      <c r="T967" s="2"/>
      <c r="U967" s="2"/>
      <c r="V967" s="2"/>
    </row>
    <row r="968" spans="1:22" ht="14.25" customHeight="1">
      <c r="A968" s="1"/>
      <c r="B968" s="2"/>
      <c r="C968" s="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2"/>
      <c r="R968" s="2"/>
      <c r="S968" s="2"/>
      <c r="T968" s="2"/>
      <c r="U968" s="2"/>
      <c r="V968" s="2"/>
    </row>
    <row r="969" spans="1:22" ht="14.25" customHeight="1">
      <c r="A969" s="1"/>
      <c r="B969" s="2"/>
      <c r="C969" s="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2"/>
      <c r="R969" s="2"/>
      <c r="S969" s="2"/>
      <c r="T969" s="2"/>
      <c r="U969" s="2"/>
      <c r="V969" s="2"/>
    </row>
    <row r="970" spans="1:22" ht="14.25" customHeight="1">
      <c r="A970" s="1"/>
      <c r="B970" s="2"/>
      <c r="C970" s="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2"/>
      <c r="R970" s="2"/>
      <c r="S970" s="2"/>
      <c r="T970" s="2"/>
      <c r="U970" s="2"/>
      <c r="V970" s="2"/>
    </row>
    <row r="971" spans="1:22" ht="14.25" customHeight="1">
      <c r="A971" s="1"/>
      <c r="B971" s="2"/>
      <c r="C971" s="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2"/>
      <c r="R971" s="2"/>
      <c r="S971" s="2"/>
      <c r="T971" s="2"/>
      <c r="U971" s="2"/>
      <c r="V971" s="2"/>
    </row>
    <row r="972" spans="1:22" ht="14.25" customHeight="1">
      <c r="A972" s="1"/>
      <c r="B972" s="2"/>
      <c r="C972" s="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2"/>
      <c r="R972" s="2"/>
      <c r="S972" s="2"/>
      <c r="T972" s="2"/>
      <c r="U972" s="2"/>
      <c r="V972" s="2"/>
    </row>
    <row r="973" spans="1:22" ht="14.25" customHeight="1">
      <c r="A973" s="1"/>
      <c r="B973" s="2"/>
      <c r="C973" s="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2"/>
      <c r="R973" s="2"/>
      <c r="S973" s="2"/>
      <c r="T973" s="2"/>
      <c r="U973" s="2"/>
      <c r="V973" s="2"/>
    </row>
    <row r="974" spans="1:22" ht="14.25" customHeight="1">
      <c r="A974" s="1"/>
      <c r="B974" s="2"/>
      <c r="C974" s="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2"/>
      <c r="R974" s="2"/>
      <c r="S974" s="2"/>
      <c r="T974" s="2"/>
      <c r="U974" s="2"/>
      <c r="V974" s="2"/>
    </row>
    <row r="975" spans="1:22" ht="14.25" customHeight="1">
      <c r="A975" s="1"/>
      <c r="B975" s="2"/>
      <c r="C975" s="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2"/>
      <c r="R975" s="2"/>
      <c r="S975" s="2"/>
      <c r="T975" s="2"/>
      <c r="U975" s="2"/>
      <c r="V975" s="2"/>
    </row>
    <row r="976" spans="1:22" ht="14.25" customHeight="1">
      <c r="A976" s="1"/>
      <c r="B976" s="2"/>
      <c r="C976" s="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2"/>
      <c r="R976" s="2"/>
      <c r="S976" s="2"/>
      <c r="T976" s="2"/>
      <c r="U976" s="2"/>
      <c r="V976" s="2"/>
    </row>
    <row r="977" spans="1:22" ht="14.25" customHeight="1">
      <c r="A977" s="1"/>
      <c r="B977" s="2"/>
      <c r="C977" s="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2"/>
      <c r="R977" s="2"/>
      <c r="S977" s="2"/>
      <c r="T977" s="2"/>
      <c r="U977" s="2"/>
      <c r="V977" s="2"/>
    </row>
    <row r="978" spans="1:22" ht="14.25" customHeight="1">
      <c r="A978" s="1"/>
      <c r="B978" s="2"/>
      <c r="C978" s="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2"/>
      <c r="R978" s="2"/>
      <c r="S978" s="2"/>
      <c r="T978" s="2"/>
      <c r="U978" s="2"/>
      <c r="V978" s="2"/>
    </row>
  </sheetData>
  <autoFilter ref="B2:P169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FF5A-C762-4F4F-B04C-B9B86E76686B}">
  <sheetPr>
    <tabColor rgb="FFE2EFDD"/>
  </sheetPr>
  <dimension ref="A1:T1023"/>
  <sheetViews>
    <sheetView showGridLines="0" zoomScale="90" zoomScaleNormal="90" workbookViewId="0">
      <pane xSplit="2" ySplit="3" topLeftCell="C4" activePane="bottomRight" state="frozen"/>
      <selection activeCell="H29" sqref="H29"/>
      <selection pane="topRight" activeCell="H29" sqref="H29"/>
      <selection pane="bottomLeft" activeCell="H29" sqref="H29"/>
      <selection pane="bottomRight" activeCell="R14" sqref="R14"/>
    </sheetView>
  </sheetViews>
  <sheetFormatPr defaultColWidth="14.44140625" defaultRowHeight="15" customHeight="1"/>
  <cols>
    <col min="1" max="1" width="2.88671875" customWidth="1"/>
    <col min="2" max="2" width="44.88671875" customWidth="1"/>
    <col min="3" max="17" width="8.88671875" customWidth="1"/>
    <col min="18" max="18" width="10.6640625" customWidth="1"/>
    <col min="19" max="19" width="9.88671875" customWidth="1"/>
    <col min="20" max="20" width="10.6640625" customWidth="1"/>
  </cols>
  <sheetData>
    <row r="1" spans="1:20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3"/>
      <c r="S1" s="2"/>
      <c r="T1" s="93"/>
    </row>
    <row r="2" spans="1:20" ht="43.2">
      <c r="A2" s="2"/>
      <c r="B2" s="94" t="s">
        <v>124</v>
      </c>
      <c r="C2" s="95">
        <v>45658</v>
      </c>
      <c r="D2" s="95">
        <v>45689</v>
      </c>
      <c r="E2" s="95">
        <v>45717</v>
      </c>
      <c r="F2" s="95">
        <v>45748</v>
      </c>
      <c r="G2" s="95">
        <v>45778</v>
      </c>
      <c r="H2" s="95">
        <v>45809</v>
      </c>
      <c r="I2" s="95">
        <v>45839</v>
      </c>
      <c r="J2" s="95">
        <v>45870</v>
      </c>
      <c r="K2" s="95">
        <v>45901</v>
      </c>
      <c r="L2" s="95">
        <v>45931</v>
      </c>
      <c r="M2" s="95">
        <v>45962</v>
      </c>
      <c r="N2" s="95">
        <v>45992</v>
      </c>
      <c r="O2" s="96" t="s">
        <v>125</v>
      </c>
      <c r="P2" s="96" t="s">
        <v>125</v>
      </c>
      <c r="Q2" s="97" t="s">
        <v>126</v>
      </c>
      <c r="R2" s="97" t="s">
        <v>126</v>
      </c>
      <c r="S2" s="98" t="s">
        <v>127</v>
      </c>
      <c r="T2" s="98" t="s">
        <v>127</v>
      </c>
    </row>
    <row r="3" spans="1:20" ht="14.25" customHeight="1" thickBot="1">
      <c r="A3" s="2"/>
      <c r="B3" s="99"/>
      <c r="C3" s="100" t="s">
        <v>128</v>
      </c>
      <c r="D3" s="100" t="s">
        <v>128</v>
      </c>
      <c r="E3" s="100" t="s">
        <v>128</v>
      </c>
      <c r="F3" s="100" t="s">
        <v>128</v>
      </c>
      <c r="G3" s="100" t="s">
        <v>128</v>
      </c>
      <c r="H3" s="100" t="s">
        <v>128</v>
      </c>
      <c r="I3" s="100" t="s">
        <v>128</v>
      </c>
      <c r="J3" s="100" t="s">
        <v>128</v>
      </c>
      <c r="K3" s="100" t="s">
        <v>128</v>
      </c>
      <c r="L3" s="100" t="s">
        <v>128</v>
      </c>
      <c r="M3" s="100" t="s">
        <v>128</v>
      </c>
      <c r="N3" s="100" t="s">
        <v>128</v>
      </c>
      <c r="O3" s="100" t="s">
        <v>128</v>
      </c>
      <c r="P3" s="100" t="s">
        <v>129</v>
      </c>
      <c r="Q3" s="100" t="s">
        <v>130</v>
      </c>
      <c r="R3" s="101" t="s">
        <v>131</v>
      </c>
      <c r="S3" s="100" t="s">
        <v>130</v>
      </c>
      <c r="T3" s="101" t="s">
        <v>131</v>
      </c>
    </row>
    <row r="4" spans="1:20" ht="14.25" customHeight="1">
      <c r="A4" s="2"/>
      <c r="B4" s="102" t="s">
        <v>132</v>
      </c>
      <c r="C4" s="103">
        <f t="shared" ref="C4:P4" si="0">SUM(C5:C7)</f>
        <v>241.44198335499999</v>
      </c>
      <c r="D4" s="103">
        <f t="shared" si="0"/>
        <v>272.45407161100002</v>
      </c>
      <c r="E4" s="103">
        <f t="shared" si="0"/>
        <v>247.89790436999999</v>
      </c>
      <c r="F4" s="103">
        <f t="shared" si="0"/>
        <v>301.70248486099996</v>
      </c>
      <c r="G4" s="103">
        <f t="shared" si="0"/>
        <v>301.803196077</v>
      </c>
      <c r="H4" s="103">
        <f t="shared" si="0"/>
        <v>347.98853221299998</v>
      </c>
      <c r="I4" s="103">
        <f t="shared" si="0"/>
        <v>365.93384655699998</v>
      </c>
      <c r="J4" s="103">
        <f t="shared" si="0"/>
        <v>333.76507954499999</v>
      </c>
      <c r="K4" s="103">
        <f t="shared" si="0"/>
        <v>369.08526015900003</v>
      </c>
      <c r="L4" s="103">
        <f t="shared" si="0"/>
        <v>417.93364098099994</v>
      </c>
      <c r="M4" s="103">
        <f t="shared" si="0"/>
        <v>437.82350636899997</v>
      </c>
      <c r="N4" s="103">
        <f t="shared" si="0"/>
        <v>520.86176688400008</v>
      </c>
      <c r="O4" s="103">
        <f t="shared" si="0"/>
        <v>582.27721070300004</v>
      </c>
      <c r="P4" s="103">
        <f t="shared" si="0"/>
        <v>520.45033064444624</v>
      </c>
      <c r="Q4" s="104">
        <f>SUM(Q5:Q7)</f>
        <v>61.826880058553812</v>
      </c>
      <c r="R4" s="105">
        <f t="shared" ref="R4:R7" si="1">IFERROR(O4/P4-1,"")</f>
        <v>0.11879496739294382</v>
      </c>
      <c r="S4" s="106">
        <f>SUM(S5:S7)</f>
        <v>61.415443818999975</v>
      </c>
      <c r="T4" s="105">
        <f t="shared" ref="T4:T7" si="2">IFERROR(O4/N4-1,"")</f>
        <v>0.11791121507422453</v>
      </c>
    </row>
    <row r="5" spans="1:20" ht="14.25" customHeight="1">
      <c r="A5" s="2"/>
      <c r="B5" s="46" t="s">
        <v>133</v>
      </c>
      <c r="C5" s="107">
        <f>'Revised MIS Template - KPIs'!D10</f>
        <v>215.70353929999999</v>
      </c>
      <c r="D5" s="107">
        <f>'Revised MIS Template - KPIs'!E10</f>
        <v>240.697836</v>
      </c>
      <c r="E5" s="107">
        <f>'Revised MIS Template - KPIs'!F10</f>
        <v>201.8347291</v>
      </c>
      <c r="F5" s="107">
        <f>'Revised MIS Template - KPIs'!G10</f>
        <v>237.00088189999997</v>
      </c>
      <c r="G5" s="107">
        <f>'Revised MIS Template - KPIs'!H10</f>
        <v>211.15243179999999</v>
      </c>
      <c r="H5" s="107">
        <f>'Revised MIS Template - KPIs'!I10</f>
        <v>237.3894359</v>
      </c>
      <c r="I5" s="107">
        <f>'Revised MIS Template - KPIs'!J10</f>
        <v>216.50432419999999</v>
      </c>
      <c r="J5" s="107">
        <f>'Revised MIS Template - KPIs'!K10</f>
        <v>186.19292329999999</v>
      </c>
      <c r="K5" s="107">
        <f>'Revised MIS Template - KPIs'!L10</f>
        <v>204.35827319999999</v>
      </c>
      <c r="L5" s="107">
        <f>'Revised MIS Template - KPIs'!M10</f>
        <v>201.67774170000001</v>
      </c>
      <c r="M5" s="107">
        <f>'Revised MIS Template - KPIs'!N10</f>
        <v>198.84488479999999</v>
      </c>
      <c r="N5" s="107">
        <f>'Revised MIS Template - KPIs'!O10</f>
        <v>220.691813</v>
      </c>
      <c r="O5" s="107">
        <f>'Revised MIS Template - KPIs'!P10</f>
        <v>226.80795469999998</v>
      </c>
      <c r="P5" s="107">
        <v>222.62119960398999</v>
      </c>
      <c r="Q5" s="108">
        <f t="shared" ref="Q5:Q7" si="3">O5-P5</f>
        <v>4.1867550960099891</v>
      </c>
      <c r="R5" s="93">
        <f t="shared" si="1"/>
        <v>1.8806632537501367E-2</v>
      </c>
      <c r="S5" s="108">
        <f t="shared" ref="S5:S7" si="4">O5-N5</f>
        <v>6.1161416999999858</v>
      </c>
      <c r="T5" s="93">
        <f t="shared" si="2"/>
        <v>2.7713496105086444E-2</v>
      </c>
    </row>
    <row r="6" spans="1:20" ht="14.25" customHeight="1">
      <c r="A6" s="2"/>
      <c r="B6" s="46" t="s">
        <v>81</v>
      </c>
      <c r="C6" s="107">
        <f>'Revised MIS Template - KPIs'!D11</f>
        <v>25.738444055000002</v>
      </c>
      <c r="D6" s="107">
        <f>'Revised MIS Template - KPIs'!E11</f>
        <v>31.756235611000001</v>
      </c>
      <c r="E6" s="107">
        <f>'Revised MIS Template - KPIs'!F11</f>
        <v>46.063175270000002</v>
      </c>
      <c r="F6" s="107">
        <f>'Revised MIS Template - KPIs'!G11</f>
        <v>64.701602961000006</v>
      </c>
      <c r="G6" s="107">
        <f>'Revised MIS Template - KPIs'!H11</f>
        <v>90.650764276999993</v>
      </c>
      <c r="H6" s="107">
        <f>'Revised MIS Template - KPIs'!I11</f>
        <v>110.59909631300002</v>
      </c>
      <c r="I6" s="107">
        <f>'Revised MIS Template - KPIs'!J11</f>
        <v>149.429522357</v>
      </c>
      <c r="J6" s="107">
        <f>'Revised MIS Template - KPIs'!K11</f>
        <v>147.572156245</v>
      </c>
      <c r="K6" s="107">
        <f>'Revised MIS Template - KPIs'!L11</f>
        <v>164.526551259</v>
      </c>
      <c r="L6" s="107">
        <f>'Revised MIS Template - KPIs'!M11</f>
        <v>208.58125768099998</v>
      </c>
      <c r="M6" s="107">
        <f>'Revised MIS Template - KPIs'!N11</f>
        <v>231.604830569</v>
      </c>
      <c r="N6" s="107">
        <f>'Revised MIS Template - KPIs'!O11</f>
        <v>279.38760808400002</v>
      </c>
      <c r="O6" s="107">
        <f>'Revised MIS Template - KPIs'!P11</f>
        <v>305.863256003</v>
      </c>
      <c r="P6" s="107">
        <v>278.39272107739498</v>
      </c>
      <c r="Q6" s="108">
        <f t="shared" si="3"/>
        <v>27.470534925605023</v>
      </c>
      <c r="R6" s="93">
        <f t="shared" si="1"/>
        <v>9.8675478364852909E-2</v>
      </c>
      <c r="S6" s="108">
        <f t="shared" si="4"/>
        <v>26.475647918999982</v>
      </c>
      <c r="T6" s="93">
        <f t="shared" si="2"/>
        <v>9.4763143220868429E-2</v>
      </c>
    </row>
    <row r="7" spans="1:20" ht="14.25" customHeight="1">
      <c r="A7" s="2"/>
      <c r="B7" s="46" t="s">
        <v>134</v>
      </c>
      <c r="C7" s="107">
        <f>'Revised MIS Template - KPIs'!D12</f>
        <v>0</v>
      </c>
      <c r="D7" s="107">
        <f>'Revised MIS Template - KPIs'!E12</f>
        <v>0</v>
      </c>
      <c r="E7" s="107">
        <f>'Revised MIS Template - KPIs'!F12</f>
        <v>0</v>
      </c>
      <c r="F7" s="107">
        <f>'Revised MIS Template - KPIs'!G12</f>
        <v>0</v>
      </c>
      <c r="G7" s="107">
        <f>'Revised MIS Template - KPIs'!H12</f>
        <v>0</v>
      </c>
      <c r="H7" s="107">
        <f>'Revised MIS Template - KPIs'!I12</f>
        <v>0</v>
      </c>
      <c r="I7" s="107">
        <f>'Revised MIS Template - KPIs'!J12</f>
        <v>0</v>
      </c>
      <c r="J7" s="107">
        <f>'Revised MIS Template - KPIs'!K12</f>
        <v>0</v>
      </c>
      <c r="K7" s="107">
        <f>'Revised MIS Template - KPIs'!L12</f>
        <v>0.20043569999999999</v>
      </c>
      <c r="L7" s="107">
        <f>'Revised MIS Template - KPIs'!M12</f>
        <v>7.6746415999999993</v>
      </c>
      <c r="M7" s="107">
        <f>'Revised MIS Template - KPIs'!N12</f>
        <v>7.3737910000000007</v>
      </c>
      <c r="N7" s="107">
        <f>'Revised MIS Template - KPIs'!O12</f>
        <v>20.782345799999998</v>
      </c>
      <c r="O7" s="107">
        <f>'Revised MIS Template - KPIs'!P12</f>
        <v>49.606000000000002</v>
      </c>
      <c r="P7" s="107">
        <v>19.436409963061202</v>
      </c>
      <c r="Q7" s="108">
        <f t="shared" si="3"/>
        <v>30.1695900369388</v>
      </c>
      <c r="R7" s="93">
        <f t="shared" si="1"/>
        <v>1.5522202965607308</v>
      </c>
      <c r="S7" s="108">
        <f t="shared" si="4"/>
        <v>28.823654200000004</v>
      </c>
      <c r="T7" s="93">
        <f t="shared" si="2"/>
        <v>1.3869297757522641</v>
      </c>
    </row>
    <row r="8" spans="1:20" ht="14.25" customHeight="1">
      <c r="A8" s="2"/>
      <c r="B8" s="109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1"/>
      <c r="S8" s="110"/>
      <c r="T8" s="111"/>
    </row>
    <row r="9" spans="1:20" ht="14.25" customHeight="1">
      <c r="A9" s="2"/>
      <c r="B9" s="102" t="s">
        <v>102</v>
      </c>
      <c r="C9" s="106">
        <f t="shared" ref="C9:Q9" si="5">SUM(C10:C11,C14)</f>
        <v>0.59819540000000004</v>
      </c>
      <c r="D9" s="106">
        <f t="shared" si="5"/>
        <v>0.69319297499999999</v>
      </c>
      <c r="E9" s="106">
        <f t="shared" si="5"/>
        <v>0.84375604300000007</v>
      </c>
      <c r="F9" s="106">
        <f t="shared" si="5"/>
        <v>1.1109012179105369</v>
      </c>
      <c r="G9" s="106">
        <f t="shared" si="5"/>
        <v>0.971917315</v>
      </c>
      <c r="H9" s="106">
        <f t="shared" si="5"/>
        <v>1.219489391</v>
      </c>
      <c r="I9" s="106">
        <f t="shared" si="5"/>
        <v>1.7050055946206069</v>
      </c>
      <c r="J9" s="106">
        <f t="shared" si="5"/>
        <v>1.3863364</v>
      </c>
      <c r="K9" s="106">
        <f t="shared" si="5"/>
        <v>1.8171491999999998</v>
      </c>
      <c r="L9" s="106">
        <f t="shared" si="5"/>
        <v>2.2102306</v>
      </c>
      <c r="M9" s="106">
        <f t="shared" si="5"/>
        <v>2.6097136000000001</v>
      </c>
      <c r="N9" s="106">
        <f t="shared" si="5"/>
        <v>3.3769226469999896</v>
      </c>
      <c r="O9" s="106">
        <f t="shared" si="5"/>
        <v>3.3495584512454499</v>
      </c>
      <c r="P9" s="106">
        <f t="shared" si="5"/>
        <v>3.1000643028581756</v>
      </c>
      <c r="Q9" s="106">
        <f t="shared" si="5"/>
        <v>0.2494941483872746</v>
      </c>
      <c r="R9" s="105">
        <f t="shared" ref="R9:R14" si="6">IFERROR(O9/P9-1,"")</f>
        <v>8.048031395905153E-2</v>
      </c>
      <c r="S9" s="106">
        <f>SUM(S10:S11,S14)</f>
        <v>-2.7364195754539758E-2</v>
      </c>
      <c r="T9" s="105">
        <f t="shared" ref="T9:T14" si="7">IFERROR(O9/N9-1,"")</f>
        <v>-8.1032936241076658E-3</v>
      </c>
    </row>
    <row r="10" spans="1:20" ht="14.25" customHeight="1">
      <c r="A10" s="2"/>
      <c r="B10" s="46" t="s">
        <v>135</v>
      </c>
      <c r="C10" s="112">
        <v>0.50638179999999999</v>
      </c>
      <c r="D10" s="112">
        <v>0.59355137499999999</v>
      </c>
      <c r="E10" s="112">
        <v>0.73453594300000002</v>
      </c>
      <c r="F10" s="112">
        <v>0.92029825400000009</v>
      </c>
      <c r="G10" s="112">
        <v>0.79198632000000002</v>
      </c>
      <c r="H10" s="112">
        <v>0.83870419099999993</v>
      </c>
      <c r="I10" s="112">
        <v>1.0878709946206069</v>
      </c>
      <c r="J10" s="112">
        <v>0.88311910000000005</v>
      </c>
      <c r="K10" s="112">
        <v>1.0486949999999999</v>
      </c>
      <c r="L10" s="112">
        <v>1.0489075000000001</v>
      </c>
      <c r="M10" s="112">
        <v>1.1347712000000001</v>
      </c>
      <c r="N10" s="112">
        <v>1.153435368</v>
      </c>
      <c r="O10" s="112">
        <v>1.21960905124545</v>
      </c>
      <c r="P10" s="112">
        <v>1.1309531585850701</v>
      </c>
      <c r="Q10" s="113">
        <f t="shared" ref="Q10:Q14" si="8">O10-P10</f>
        <v>8.8655892660379987E-2</v>
      </c>
      <c r="R10" s="93">
        <f t="shared" si="6"/>
        <v>7.839041960968296E-2</v>
      </c>
      <c r="S10" s="113">
        <f t="shared" ref="S10:S14" si="9">O10-N10</f>
        <v>6.6173683245450032E-2</v>
      </c>
      <c r="T10" s="93">
        <f t="shared" si="7"/>
        <v>5.7370950363861306E-2</v>
      </c>
    </row>
    <row r="11" spans="1:20" ht="14.25" customHeight="1">
      <c r="A11" s="2"/>
      <c r="B11" s="109" t="s">
        <v>136</v>
      </c>
      <c r="C11" s="114">
        <v>9.1813599999999995E-2</v>
      </c>
      <c r="D11" s="114">
        <v>9.9641599999999997E-2</v>
      </c>
      <c r="E11" s="114">
        <v>0.1092201</v>
      </c>
      <c r="F11" s="114">
        <v>0.1906029639105368</v>
      </c>
      <c r="G11" s="114">
        <v>0.17993099499999998</v>
      </c>
      <c r="H11" s="114">
        <v>0.38078519999999999</v>
      </c>
      <c r="I11" s="114">
        <v>0.61713459999999998</v>
      </c>
      <c r="J11" s="114">
        <v>0.50321729999999998</v>
      </c>
      <c r="K11" s="114">
        <v>0.76845419999999998</v>
      </c>
      <c r="L11" s="114">
        <v>1.1613230999999999</v>
      </c>
      <c r="M11" s="114">
        <v>1.4708946000000001</v>
      </c>
      <c r="N11" s="114">
        <v>2.2181707669999899</v>
      </c>
      <c r="O11" s="114">
        <v>2.1207348000000001</v>
      </c>
      <c r="P11" s="114">
        <v>1.9487490475417599</v>
      </c>
      <c r="Q11" s="110">
        <f t="shared" si="8"/>
        <v>0.17198575245824022</v>
      </c>
      <c r="R11" s="93">
        <f t="shared" si="6"/>
        <v>8.8254438238310362E-2</v>
      </c>
      <c r="S11" s="110">
        <f t="shared" si="9"/>
        <v>-9.7435966999989798E-2</v>
      </c>
      <c r="T11" s="111">
        <f t="shared" si="7"/>
        <v>-4.392626954135237E-2</v>
      </c>
    </row>
    <row r="12" spans="1:20" ht="14.25" customHeight="1">
      <c r="A12" s="2"/>
      <c r="B12" s="46" t="s">
        <v>137</v>
      </c>
      <c r="C12" s="112">
        <f t="shared" ref="C12:P12" si="10">C11-C13</f>
        <v>9.1813599999999995E-2</v>
      </c>
      <c r="D12" s="112">
        <f t="shared" si="10"/>
        <v>9.9641599999999997E-2</v>
      </c>
      <c r="E12" s="112">
        <f t="shared" si="10"/>
        <v>0.1092201</v>
      </c>
      <c r="F12" s="112">
        <f t="shared" si="10"/>
        <v>0.1906029639105368</v>
      </c>
      <c r="G12" s="112">
        <f t="shared" si="10"/>
        <v>0.17993099499999998</v>
      </c>
      <c r="H12" s="112">
        <f t="shared" si="10"/>
        <v>0.38078519999999999</v>
      </c>
      <c r="I12" s="112">
        <f t="shared" si="10"/>
        <v>0.61713459999999998</v>
      </c>
      <c r="J12" s="112">
        <f t="shared" si="10"/>
        <v>0.4952973</v>
      </c>
      <c r="K12" s="112">
        <f t="shared" si="10"/>
        <v>0.76505420000000002</v>
      </c>
      <c r="L12" s="112">
        <f t="shared" si="10"/>
        <v>1.1436031</v>
      </c>
      <c r="M12" s="112">
        <f t="shared" si="10"/>
        <v>1.4640146000000001</v>
      </c>
      <c r="N12" s="112">
        <f t="shared" si="10"/>
        <v>2.0992707669999899</v>
      </c>
      <c r="O12" s="112">
        <f t="shared" si="10"/>
        <v>2.1022948000000001</v>
      </c>
      <c r="P12" s="112">
        <f t="shared" si="10"/>
        <v>1.9487490475417599</v>
      </c>
      <c r="Q12" s="113">
        <f t="shared" si="8"/>
        <v>0.1535457524582402</v>
      </c>
      <c r="R12" s="93">
        <f t="shared" si="6"/>
        <v>7.8791957667371237E-2</v>
      </c>
      <c r="S12" s="113">
        <f t="shared" si="9"/>
        <v>3.0240330000101956E-3</v>
      </c>
      <c r="T12" s="93">
        <f t="shared" si="7"/>
        <v>1.440515938938125E-3</v>
      </c>
    </row>
    <row r="13" spans="1:20" ht="14.25" customHeight="1">
      <c r="A13" s="2"/>
      <c r="B13" s="46" t="s">
        <v>138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7.92E-3</v>
      </c>
      <c r="K13" s="112">
        <v>3.3999999999999998E-3</v>
      </c>
      <c r="L13" s="112">
        <v>1.772E-2</v>
      </c>
      <c r="M13" s="112">
        <v>6.8799999999999998E-3</v>
      </c>
      <c r="N13" s="112">
        <v>0.11890000000000001</v>
      </c>
      <c r="O13" s="112">
        <v>1.8440000000000002E-2</v>
      </c>
      <c r="P13" s="115">
        <v>0</v>
      </c>
      <c r="Q13" s="113">
        <f t="shared" si="8"/>
        <v>1.8440000000000002E-2</v>
      </c>
      <c r="R13" s="111" t="str">
        <f t="shared" si="6"/>
        <v/>
      </c>
      <c r="S13" s="113">
        <f t="shared" si="9"/>
        <v>-0.10046000000000001</v>
      </c>
      <c r="T13" s="93">
        <f t="shared" si="7"/>
        <v>-0.84491169049621528</v>
      </c>
    </row>
    <row r="14" spans="1:20" ht="14.25" customHeight="1">
      <c r="A14" s="2"/>
      <c r="B14" s="46" t="s">
        <v>139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>
        <v>4.0477999999999998E-3</v>
      </c>
      <c r="N14" s="112">
        <v>5.3165119999999903E-3</v>
      </c>
      <c r="O14" s="112">
        <v>9.2145999999999999E-3</v>
      </c>
      <c r="P14" s="112">
        <v>2.0362096731345598E-2</v>
      </c>
      <c r="Q14" s="113">
        <f t="shared" si="8"/>
        <v>-1.1147496731345598E-2</v>
      </c>
      <c r="R14" s="93">
        <f t="shared" si="6"/>
        <v>-0.54746310649752683</v>
      </c>
      <c r="S14" s="113">
        <f t="shared" si="9"/>
        <v>3.8980880000000096E-3</v>
      </c>
      <c r="T14" s="93">
        <f t="shared" si="7"/>
        <v>0.73320402549641894</v>
      </c>
    </row>
    <row r="15" spans="1:20" ht="4.5" customHeight="1">
      <c r="A15" s="2"/>
      <c r="B15" s="10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93"/>
      <c r="S15" s="2"/>
      <c r="T15" s="93"/>
    </row>
    <row r="16" spans="1:20" ht="14.25" customHeight="1">
      <c r="A16" s="2"/>
      <c r="B16" s="109" t="s">
        <v>140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93"/>
      <c r="S16" s="2"/>
      <c r="T16" s="93"/>
    </row>
    <row r="17" spans="1:20" ht="14.25" customHeight="1">
      <c r="A17" s="2"/>
      <c r="B17" s="46" t="s">
        <v>141</v>
      </c>
      <c r="C17" s="112">
        <v>3.5000000000000003E-2</v>
      </c>
      <c r="D17" s="112">
        <v>3.5000000000000003E-2</v>
      </c>
      <c r="E17" s="112">
        <v>3.5000000000000003E-2</v>
      </c>
      <c r="F17" s="112">
        <v>3.5000000000000003E-2</v>
      </c>
      <c r="G17" s="112">
        <v>3.5000000000000003E-2</v>
      </c>
      <c r="H17" s="112">
        <v>3.5000000000000003E-2</v>
      </c>
      <c r="I17" s="112">
        <v>3.5000000000000003E-2</v>
      </c>
      <c r="J17" s="112">
        <v>3.5000000000000003E-2</v>
      </c>
      <c r="K17" s="112">
        <v>3.5000000000000003E-2</v>
      </c>
      <c r="L17" s="112">
        <v>3.5000000000000003E-2</v>
      </c>
      <c r="M17" s="112">
        <v>3.5000000000000003E-2</v>
      </c>
      <c r="N17" s="112">
        <v>3.5000000000000003E-2</v>
      </c>
      <c r="O17" s="112">
        <v>3.5000000000000003E-2</v>
      </c>
      <c r="P17" s="112">
        <f>350000/10^7</f>
        <v>3.5000000000000003E-2</v>
      </c>
      <c r="Q17" s="113">
        <f t="shared" ref="Q17:Q19" si="11">O17-P17</f>
        <v>0</v>
      </c>
      <c r="R17" s="93">
        <f t="shared" ref="R17:R20" si="12">IFERROR(O17/P17-1,"")</f>
        <v>0</v>
      </c>
      <c r="S17" s="113">
        <f t="shared" ref="S17:S20" si="13">O17-N17</f>
        <v>0</v>
      </c>
      <c r="T17" s="93">
        <f t="shared" ref="T17:T20" si="14">IFERROR(O17/N17-1,"")</f>
        <v>0</v>
      </c>
    </row>
    <row r="18" spans="1:20" ht="14.25" customHeight="1">
      <c r="A18" s="2"/>
      <c r="B18" s="46" t="s">
        <v>142</v>
      </c>
      <c r="C18" s="112">
        <v>3.5633315000000006E-2</v>
      </c>
      <c r="D18" s="112">
        <v>4.2074739E-2</v>
      </c>
      <c r="E18" s="112">
        <v>1.9962606000000001E-2</v>
      </c>
      <c r="F18" s="112">
        <v>1.2811125E-2</v>
      </c>
      <c r="G18" s="112">
        <v>1.5083900000000001E-2</v>
      </c>
      <c r="H18" s="112">
        <v>1.7213574999999998E-2</v>
      </c>
      <c r="I18" s="112">
        <v>1.08323E-4</v>
      </c>
      <c r="J18" s="112">
        <v>5.13E-5</v>
      </c>
      <c r="K18" s="112">
        <v>1.0499999999999999E-5</v>
      </c>
      <c r="L18" s="112">
        <v>1.2999999999999999E-5</v>
      </c>
      <c r="M18" s="112">
        <v>1.7099999999999999E-5</v>
      </c>
      <c r="N18" s="112">
        <v>1.4450000000000001E-5</v>
      </c>
      <c r="O18" s="112">
        <v>1.185E-5</v>
      </c>
      <c r="P18" s="115">
        <v>0</v>
      </c>
      <c r="Q18" s="113">
        <f t="shared" si="11"/>
        <v>1.185E-5</v>
      </c>
      <c r="R18" s="93" t="str">
        <f t="shared" si="12"/>
        <v/>
      </c>
      <c r="S18" s="113">
        <f t="shared" si="13"/>
        <v>-2.6000000000000005E-6</v>
      </c>
      <c r="T18" s="93">
        <f t="shared" si="14"/>
        <v>-0.17993079584775085</v>
      </c>
    </row>
    <row r="19" spans="1:20" ht="14.25" customHeight="1">
      <c r="A19" s="2"/>
      <c r="B19" s="46" t="s">
        <v>143</v>
      </c>
      <c r="C19" s="112">
        <v>6.313656899999999E-2</v>
      </c>
      <c r="D19" s="112">
        <v>7.8885472999999984E-2</v>
      </c>
      <c r="E19" s="112">
        <v>8.5121599999999992E-2</v>
      </c>
      <c r="F19" s="112">
        <v>6.2895391000000009E-2</v>
      </c>
      <c r="G19" s="112">
        <v>1.1621402999999988E-2</v>
      </c>
      <c r="H19" s="112">
        <v>4.1938808000000001E-2</v>
      </c>
      <c r="I19" s="112">
        <v>7.9896772000000019E-2</v>
      </c>
      <c r="J19" s="112">
        <v>8.8046799999999995E-2</v>
      </c>
      <c r="K19" s="112">
        <v>9.8150500000000002E-2</v>
      </c>
      <c r="L19" s="112">
        <v>0.15332219999999999</v>
      </c>
      <c r="M19" s="112">
        <v>0.18954299999999999</v>
      </c>
      <c r="N19" s="112">
        <v>0.20520887299999899</v>
      </c>
      <c r="O19" s="112">
        <v>0.175726243</v>
      </c>
      <c r="P19" s="112">
        <v>0.2215</v>
      </c>
      <c r="Q19" s="113">
        <f t="shared" si="11"/>
        <v>-4.5773756999999998E-2</v>
      </c>
      <c r="R19" s="93">
        <f t="shared" si="12"/>
        <v>-0.20665353047404067</v>
      </c>
      <c r="S19" s="113">
        <f t="shared" si="13"/>
        <v>-2.9482629999998983E-2</v>
      </c>
      <c r="T19" s="93">
        <f t="shared" si="14"/>
        <v>-0.14367132165868446</v>
      </c>
    </row>
    <row r="20" spans="1:20" ht="14.25" customHeight="1">
      <c r="A20" s="2"/>
      <c r="B20" s="116" t="s">
        <v>144</v>
      </c>
      <c r="C20" s="117">
        <f t="shared" ref="C20:Q20" si="15">C9-C17-C18-C19</f>
        <v>0.46442551600000004</v>
      </c>
      <c r="D20" s="117">
        <f t="shared" si="15"/>
        <v>0.537232763</v>
      </c>
      <c r="E20" s="117">
        <f t="shared" si="15"/>
        <v>0.70367183700000002</v>
      </c>
      <c r="F20" s="117">
        <f t="shared" si="15"/>
        <v>1.0001947019105368</v>
      </c>
      <c r="G20" s="117">
        <f t="shared" si="15"/>
        <v>0.9102120119999999</v>
      </c>
      <c r="H20" s="117">
        <f t="shared" si="15"/>
        <v>1.125337008</v>
      </c>
      <c r="I20" s="117">
        <f t="shared" si="15"/>
        <v>1.5900004996206067</v>
      </c>
      <c r="J20" s="117">
        <f t="shared" si="15"/>
        <v>1.2632383</v>
      </c>
      <c r="K20" s="117">
        <f t="shared" si="15"/>
        <v>1.6839881999999999</v>
      </c>
      <c r="L20" s="117">
        <f t="shared" si="15"/>
        <v>2.0218954</v>
      </c>
      <c r="M20" s="117">
        <f t="shared" si="15"/>
        <v>2.3851534999999999</v>
      </c>
      <c r="N20" s="117">
        <f t="shared" si="15"/>
        <v>3.1366993239999905</v>
      </c>
      <c r="O20" s="117">
        <f t="shared" si="15"/>
        <v>3.1388203582454497</v>
      </c>
      <c r="P20" s="117">
        <f t="shared" si="15"/>
        <v>2.8435643028581756</v>
      </c>
      <c r="Q20" s="117">
        <f t="shared" si="15"/>
        <v>0.29525605538727462</v>
      </c>
      <c r="R20" s="118">
        <f t="shared" si="12"/>
        <v>0.10383308550135517</v>
      </c>
      <c r="S20" s="117">
        <f t="shared" si="13"/>
        <v>2.1210342454591746E-3</v>
      </c>
      <c r="T20" s="118">
        <f t="shared" si="14"/>
        <v>6.7619941421548369E-4</v>
      </c>
    </row>
    <row r="21" spans="1:20" ht="14.25" customHeight="1">
      <c r="A21" s="2"/>
      <c r="B21" s="109" t="s">
        <v>63</v>
      </c>
      <c r="C21" s="119">
        <f t="shared" ref="C21:P21" si="16">IFERROR(C20/C$9,"")</f>
        <v>0.77637761173021391</v>
      </c>
      <c r="D21" s="119">
        <f t="shared" si="16"/>
        <v>0.77501183995697587</v>
      </c>
      <c r="E21" s="119">
        <f t="shared" si="16"/>
        <v>0.83397546345039919</v>
      </c>
      <c r="F21" s="119">
        <f t="shared" si="16"/>
        <v>0.90034531044243082</v>
      </c>
      <c r="G21" s="119">
        <f t="shared" si="16"/>
        <v>0.9365117772389927</v>
      </c>
      <c r="H21" s="119">
        <f t="shared" si="16"/>
        <v>0.9227936022282297</v>
      </c>
      <c r="I21" s="119">
        <f t="shared" si="16"/>
        <v>0.93254855270689552</v>
      </c>
      <c r="J21" s="119">
        <f t="shared" si="16"/>
        <v>0.91120618343426607</v>
      </c>
      <c r="K21" s="119">
        <f t="shared" si="16"/>
        <v>0.92671983126096646</v>
      </c>
      <c r="L21" s="119">
        <f t="shared" si="16"/>
        <v>0.91478934370015508</v>
      </c>
      <c r="M21" s="119">
        <f t="shared" si="16"/>
        <v>0.91395220533011734</v>
      </c>
      <c r="N21" s="119">
        <f t="shared" si="16"/>
        <v>0.92886324381359164</v>
      </c>
      <c r="O21" s="119">
        <f t="shared" si="16"/>
        <v>0.9370848139934258</v>
      </c>
      <c r="P21" s="119">
        <f t="shared" si="16"/>
        <v>0.91725978078470372</v>
      </c>
      <c r="Q21" s="119"/>
      <c r="R21" s="93"/>
      <c r="S21" s="119"/>
      <c r="T21" s="93"/>
    </row>
    <row r="22" spans="1:20" ht="4.5" customHeight="1">
      <c r="A22" s="2"/>
      <c r="B22" s="4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93"/>
      <c r="S22" s="2"/>
      <c r="T22" s="93"/>
    </row>
    <row r="23" spans="1:20" ht="14.25" customHeight="1">
      <c r="A23" s="2"/>
      <c r="B23" s="102" t="s">
        <v>145</v>
      </c>
      <c r="C23" s="106">
        <f t="shared" ref="C23:Q23" si="17">SUM(C24:C27)</f>
        <v>2.6359042750000001</v>
      </c>
      <c r="D23" s="106">
        <f t="shared" si="17"/>
        <v>2.219226447</v>
      </c>
      <c r="E23" s="106">
        <f t="shared" si="17"/>
        <v>2.0421740970000002</v>
      </c>
      <c r="F23" s="106">
        <f t="shared" si="17"/>
        <v>2.1830481519999996</v>
      </c>
      <c r="G23" s="106">
        <f t="shared" si="17"/>
        <v>1.9877186960000002</v>
      </c>
      <c r="H23" s="106">
        <f t="shared" si="17"/>
        <v>2.6503608750000001</v>
      </c>
      <c r="I23" s="106">
        <f t="shared" si="17"/>
        <v>3.1870462970000002</v>
      </c>
      <c r="J23" s="106">
        <f t="shared" si="17"/>
        <v>4.1640657000000001</v>
      </c>
      <c r="K23" s="106">
        <f t="shared" si="17"/>
        <v>4.7760134000000001</v>
      </c>
      <c r="L23" s="106">
        <f t="shared" si="17"/>
        <v>5.7894451</v>
      </c>
      <c r="M23" s="106">
        <f t="shared" si="17"/>
        <v>5.6469531999999996</v>
      </c>
      <c r="N23" s="106">
        <f t="shared" si="17"/>
        <v>5.6148612629999999</v>
      </c>
      <c r="O23" s="106">
        <f t="shared" si="17"/>
        <v>6.8520860219999999</v>
      </c>
      <c r="P23" s="106">
        <f t="shared" si="17"/>
        <v>7.4912851505884692</v>
      </c>
      <c r="Q23" s="106">
        <f t="shared" si="17"/>
        <v>-0.6391991285884695</v>
      </c>
      <c r="R23" s="105">
        <f t="shared" ref="R23:R28" si="18">IFERROR(O23/P23-1,"")</f>
        <v>-8.5325697225429709E-2</v>
      </c>
      <c r="S23" s="106">
        <f>SUM(S24:S27)</f>
        <v>1.2372247590000001</v>
      </c>
      <c r="T23" s="105">
        <f t="shared" ref="T23:T28" si="19">IFERROR(O23/N23-1,"")</f>
        <v>0.220348233206203</v>
      </c>
    </row>
    <row r="24" spans="1:20" ht="14.25" customHeight="1">
      <c r="A24" s="2"/>
      <c r="B24" s="46" t="s">
        <v>146</v>
      </c>
      <c r="C24" s="112">
        <v>3.9710000000000002E-2</v>
      </c>
      <c r="D24" s="112">
        <v>4.1410000000000002E-2</v>
      </c>
      <c r="E24" s="112">
        <v>2.681E-2</v>
      </c>
      <c r="F24" s="112">
        <v>3.0419999999999999E-2</v>
      </c>
      <c r="G24" s="112">
        <v>5.3860499999999999E-2</v>
      </c>
      <c r="H24" s="112">
        <v>9.1075103000000004E-2</v>
      </c>
      <c r="I24" s="112">
        <v>8.5828783000000006E-2</v>
      </c>
      <c r="J24" s="112">
        <v>0.1229059</v>
      </c>
      <c r="K24" s="112">
        <v>7.9984799999999995E-2</v>
      </c>
      <c r="L24" s="112">
        <v>0.12815109999999999</v>
      </c>
      <c r="M24" s="112">
        <v>0.1235411</v>
      </c>
      <c r="N24" s="112">
        <v>0.14043821299999998</v>
      </c>
      <c r="O24" s="112">
        <v>0.21030786600000001</v>
      </c>
      <c r="P24" s="112">
        <v>0.1492002108277303</v>
      </c>
      <c r="Q24" s="113">
        <f t="shared" ref="Q24:Q27" si="20">O24-P24</f>
        <v>6.1107655172269709E-2</v>
      </c>
      <c r="R24" s="93">
        <f t="shared" si="18"/>
        <v>0.40956815565646809</v>
      </c>
      <c r="S24" s="113">
        <f t="shared" ref="S24:S28" si="21">O24-N24</f>
        <v>6.9869653000000032E-2</v>
      </c>
      <c r="T24" s="93">
        <f t="shared" si="19"/>
        <v>0.49751169220588154</v>
      </c>
    </row>
    <row r="25" spans="1:20" ht="14.25" customHeight="1">
      <c r="A25" s="2"/>
      <c r="B25" s="46" t="s">
        <v>147</v>
      </c>
      <c r="C25" s="112">
        <v>2.1107442750000001</v>
      </c>
      <c r="D25" s="112">
        <v>1.862338447</v>
      </c>
      <c r="E25" s="112">
        <v>1.8773496970000003</v>
      </c>
      <c r="F25" s="112">
        <v>1.9976281519999999</v>
      </c>
      <c r="G25" s="112">
        <v>1.863548196</v>
      </c>
      <c r="H25" s="112">
        <v>2.3436194719999999</v>
      </c>
      <c r="I25" s="112">
        <v>2.9132175139999998</v>
      </c>
      <c r="J25" s="112">
        <v>3.8882598000000002</v>
      </c>
      <c r="K25" s="112">
        <v>4.3185136000000002</v>
      </c>
      <c r="L25" s="112">
        <v>5.3267939999999996</v>
      </c>
      <c r="M25" s="112">
        <v>5.1871821000000002</v>
      </c>
      <c r="N25" s="112">
        <v>5.0020430500000002</v>
      </c>
      <c r="O25" s="112">
        <v>6.0406769560000004</v>
      </c>
      <c r="P25" s="112">
        <v>6.4947659397607396</v>
      </c>
      <c r="Q25" s="113">
        <f t="shared" si="20"/>
        <v>-0.45408898376073914</v>
      </c>
      <c r="R25" s="93">
        <f t="shared" si="18"/>
        <v>-6.9916142933007297E-2</v>
      </c>
      <c r="S25" s="113">
        <f t="shared" si="21"/>
        <v>1.0386339060000003</v>
      </c>
      <c r="T25" s="93">
        <f t="shared" si="19"/>
        <v>0.20764193662827446</v>
      </c>
    </row>
    <row r="26" spans="1:20" ht="14.25" customHeight="1">
      <c r="A26" s="2"/>
      <c r="B26" s="46" t="s">
        <v>148</v>
      </c>
      <c r="C26" s="112">
        <v>0.48544999999999999</v>
      </c>
      <c r="D26" s="112">
        <v>0.31547799999999998</v>
      </c>
      <c r="E26" s="112">
        <v>0.13801440000000001</v>
      </c>
      <c r="F26" s="112">
        <v>0.155</v>
      </c>
      <c r="G26" s="112">
        <v>7.0309999999999997E-2</v>
      </c>
      <c r="H26" s="112">
        <v>0.21566630000000001</v>
      </c>
      <c r="I26" s="112">
        <v>0.188</v>
      </c>
      <c r="J26" s="112">
        <v>0.15290000000000001</v>
      </c>
      <c r="K26" s="112">
        <v>0.37751499999999999</v>
      </c>
      <c r="L26" s="112">
        <v>0.33450000000000002</v>
      </c>
      <c r="M26" s="112">
        <v>0.33622999999999997</v>
      </c>
      <c r="N26" s="112">
        <v>0.26988000000000001</v>
      </c>
      <c r="O26" s="112">
        <v>0.37195</v>
      </c>
      <c r="P26" s="112">
        <v>0.5</v>
      </c>
      <c r="Q26" s="113">
        <f t="shared" si="20"/>
        <v>-0.12805</v>
      </c>
      <c r="R26" s="93">
        <f t="shared" si="18"/>
        <v>-0.25609999999999999</v>
      </c>
      <c r="S26" s="113">
        <f t="shared" si="21"/>
        <v>0.10206999999999999</v>
      </c>
      <c r="T26" s="93">
        <f t="shared" si="19"/>
        <v>0.37820512820512819</v>
      </c>
    </row>
    <row r="27" spans="1:20" ht="14.25" customHeight="1">
      <c r="A27" s="2"/>
      <c r="B27" s="46" t="s">
        <v>149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12">
        <f t="shared" ref="N27:P27" si="22">N40</f>
        <v>0.20250000000000001</v>
      </c>
      <c r="O27" s="112">
        <f t="shared" si="22"/>
        <v>0.2291512</v>
      </c>
      <c r="P27" s="112">
        <f t="shared" si="22"/>
        <v>0.34731900000000004</v>
      </c>
      <c r="Q27" s="113">
        <f t="shared" si="20"/>
        <v>-0.11816780000000005</v>
      </c>
      <c r="R27" s="93">
        <f t="shared" si="18"/>
        <v>-0.34022843553044901</v>
      </c>
      <c r="S27" s="113">
        <f t="shared" si="21"/>
        <v>2.6651199999999986E-2</v>
      </c>
      <c r="T27" s="93">
        <f t="shared" si="19"/>
        <v>0.13161086419753087</v>
      </c>
    </row>
    <row r="28" spans="1:20" ht="14.25" customHeight="1">
      <c r="A28" s="2"/>
      <c r="B28" s="116" t="s">
        <v>150</v>
      </c>
      <c r="C28" s="117">
        <f t="shared" ref="C28:O28" si="23">C20-C24-C25-C27-C26</f>
        <v>-2.1714787590000002</v>
      </c>
      <c r="D28" s="117">
        <f t="shared" si="23"/>
        <v>-1.6819936839999998</v>
      </c>
      <c r="E28" s="117">
        <f t="shared" si="23"/>
        <v>-1.3385022600000005</v>
      </c>
      <c r="F28" s="117">
        <f t="shared" si="23"/>
        <v>-1.182853450089463</v>
      </c>
      <c r="G28" s="117">
        <f t="shared" si="23"/>
        <v>-1.0775066840000003</v>
      </c>
      <c r="H28" s="117">
        <f t="shared" si="23"/>
        <v>-1.525023867</v>
      </c>
      <c r="I28" s="117">
        <f t="shared" si="23"/>
        <v>-1.597045797379393</v>
      </c>
      <c r="J28" s="117">
        <f t="shared" si="23"/>
        <v>-2.9008273999999998</v>
      </c>
      <c r="K28" s="117">
        <f t="shared" si="23"/>
        <v>-3.0920252000000001</v>
      </c>
      <c r="L28" s="117">
        <f t="shared" si="23"/>
        <v>-3.7675497</v>
      </c>
      <c r="M28" s="117">
        <f t="shared" si="23"/>
        <v>-3.2617997000000005</v>
      </c>
      <c r="N28" s="117">
        <f t="shared" si="23"/>
        <v>-2.4781619390000098</v>
      </c>
      <c r="O28" s="117">
        <f t="shared" si="23"/>
        <v>-3.7132656637545507</v>
      </c>
      <c r="P28" s="117">
        <f>P20-P24-P25-P27-P26</f>
        <v>-4.6477208477302945</v>
      </c>
      <c r="Q28" s="117">
        <f>Q20-Q24-Q25-Q27</f>
        <v>0.80640518397574412</v>
      </c>
      <c r="R28" s="118">
        <f t="shared" si="18"/>
        <v>-0.20105665004215634</v>
      </c>
      <c r="S28" s="117">
        <f t="shared" si="21"/>
        <v>-1.2351037247545409</v>
      </c>
      <c r="T28" s="118">
        <f t="shared" si="19"/>
        <v>0.49839508278984024</v>
      </c>
    </row>
    <row r="29" spans="1:20" ht="14.25" customHeight="1">
      <c r="A29" s="2"/>
      <c r="B29" s="109" t="s">
        <v>63</v>
      </c>
      <c r="C29" s="119">
        <f t="shared" ref="C29:P29" si="24">C28/C9</f>
        <v>-3.6300492431068512</v>
      </c>
      <c r="D29" s="119">
        <f t="shared" si="24"/>
        <v>-2.4264436378628909</v>
      </c>
      <c r="E29" s="119">
        <f t="shared" si="24"/>
        <v>-1.586361687248977</v>
      </c>
      <c r="F29" s="119">
        <f t="shared" si="24"/>
        <v>-1.0647692441225864</v>
      </c>
      <c r="G29" s="119">
        <f t="shared" si="24"/>
        <v>-1.1086402797546624</v>
      </c>
      <c r="H29" s="119">
        <f t="shared" si="24"/>
        <v>-1.2505429553179279</v>
      </c>
      <c r="I29" s="119">
        <f t="shared" si="24"/>
        <v>-0.93668067859610937</v>
      </c>
      <c r="J29" s="119">
        <f t="shared" si="24"/>
        <v>-2.0924411996972738</v>
      </c>
      <c r="K29" s="119">
        <f t="shared" si="24"/>
        <v>-1.7015802554903035</v>
      </c>
      <c r="L29" s="119">
        <f t="shared" si="24"/>
        <v>-1.7045957557550782</v>
      </c>
      <c r="M29" s="119">
        <f t="shared" si="24"/>
        <v>-1.2498688361818708</v>
      </c>
      <c r="N29" s="119">
        <f t="shared" si="24"/>
        <v>-0.73385214825740053</v>
      </c>
      <c r="O29" s="119">
        <f t="shared" si="24"/>
        <v>-1.1085836290971025</v>
      </c>
      <c r="P29" s="119">
        <f t="shared" si="24"/>
        <v>-1.4992336911996378</v>
      </c>
      <c r="Q29" s="119"/>
      <c r="R29" s="93"/>
      <c r="S29" s="119"/>
      <c r="T29" s="93"/>
    </row>
    <row r="30" spans="1:20" ht="9" customHeight="1">
      <c r="A30" s="2"/>
      <c r="B30" s="4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93"/>
      <c r="S30" s="2"/>
      <c r="T30" s="93"/>
    </row>
    <row r="31" spans="1:20" ht="14.25" customHeight="1">
      <c r="A31" s="2"/>
      <c r="B31" s="102" t="s">
        <v>151</v>
      </c>
      <c r="C31" s="106">
        <f t="shared" ref="C31:Q31" si="25">SUM(C32:C34)</f>
        <v>0.73640499000000004</v>
      </c>
      <c r="D31" s="106">
        <f t="shared" si="25"/>
        <v>3.0136103069999995</v>
      </c>
      <c r="E31" s="106">
        <f t="shared" si="25"/>
        <v>1.3589364009999998</v>
      </c>
      <c r="F31" s="106">
        <f t="shared" si="25"/>
        <v>0.52499296500000003</v>
      </c>
      <c r="G31" s="106">
        <f t="shared" si="25"/>
        <v>0.47080570199999999</v>
      </c>
      <c r="H31" s="106">
        <f t="shared" si="25"/>
        <v>0.54228812999999998</v>
      </c>
      <c r="I31" s="106">
        <f t="shared" si="25"/>
        <v>3.6337026219999999</v>
      </c>
      <c r="J31" s="106">
        <f t="shared" si="25"/>
        <v>4.8723422000000003</v>
      </c>
      <c r="K31" s="106">
        <f t="shared" si="25"/>
        <v>7.0128184000000005</v>
      </c>
      <c r="L31" s="106">
        <f t="shared" si="25"/>
        <v>8.2010385999999986</v>
      </c>
      <c r="M31" s="106">
        <f t="shared" si="25"/>
        <v>6.2431910000000004</v>
      </c>
      <c r="N31" s="106">
        <f t="shared" si="25"/>
        <v>6.089280980999999</v>
      </c>
      <c r="O31" s="106">
        <f t="shared" si="25"/>
        <v>0.99249062999999904</v>
      </c>
      <c r="P31" s="106">
        <f t="shared" si="25"/>
        <v>0.66678000000000015</v>
      </c>
      <c r="Q31" s="106">
        <f t="shared" si="25"/>
        <v>0.325710629999999</v>
      </c>
      <c r="R31" s="105">
        <f t="shared" ref="R31:R35" si="26">IFERROR(O31/P31-1,"")</f>
        <v>0.48848290290650409</v>
      </c>
      <c r="S31" s="106">
        <f>SUM(S32:S35)</f>
        <v>-1.2351037247545404</v>
      </c>
      <c r="T31" s="105">
        <f t="shared" ref="T31:T35" si="27">IFERROR(O31/N31-1,"")</f>
        <v>-0.83701020972807705</v>
      </c>
    </row>
    <row r="32" spans="1:20" ht="14.25" customHeight="1">
      <c r="A32" s="2"/>
      <c r="B32" s="46" t="s">
        <v>152</v>
      </c>
      <c r="C32" s="112">
        <v>5.7718261E-2</v>
      </c>
      <c r="D32" s="112">
        <v>0.10788410699999998</v>
      </c>
      <c r="E32" s="112">
        <v>0.100489342</v>
      </c>
      <c r="F32" s="112">
        <v>0.13957091799999999</v>
      </c>
      <c r="G32" s="112">
        <v>0.15227716800000002</v>
      </c>
      <c r="H32" s="112">
        <v>0.14469616599999999</v>
      </c>
      <c r="I32" s="112">
        <v>0.16440163200000002</v>
      </c>
      <c r="J32" s="112">
        <v>0.14847540000000001</v>
      </c>
      <c r="K32" s="112">
        <v>0.14440910000000001</v>
      </c>
      <c r="L32" s="112">
        <v>0.17862020000000001</v>
      </c>
      <c r="M32" s="112">
        <v>0.22448109999999999</v>
      </c>
      <c r="N32" s="112">
        <v>0.23831876399999899</v>
      </c>
      <c r="O32" s="112">
        <v>0.24083771000000001</v>
      </c>
      <c r="P32" s="112">
        <v>0.24382795300000004</v>
      </c>
      <c r="Q32" s="113">
        <f t="shared" ref="Q32:Q34" si="28">O32-P32</f>
        <v>-2.9902430000000313E-3</v>
      </c>
      <c r="R32" s="93">
        <f t="shared" si="26"/>
        <v>-1.2263741557146379E-2</v>
      </c>
      <c r="S32" s="113">
        <f t="shared" ref="S32:S35" si="29">O32-N32</f>
        <v>2.5189460000010211E-3</v>
      </c>
      <c r="T32" s="93">
        <f t="shared" si="27"/>
        <v>1.0569650319271595E-2</v>
      </c>
    </row>
    <row r="33" spans="1:20" ht="14.25" customHeight="1">
      <c r="A33" s="2"/>
      <c r="B33" s="46" t="s">
        <v>153</v>
      </c>
      <c r="C33" s="112">
        <v>0.66076242900000004</v>
      </c>
      <c r="D33" s="112">
        <v>2.8642604999999999</v>
      </c>
      <c r="E33" s="112">
        <v>1.2111443589999999</v>
      </c>
      <c r="F33" s="112">
        <v>0.33176995800000003</v>
      </c>
      <c r="G33" s="112">
        <v>0.287360434</v>
      </c>
      <c r="H33" s="112">
        <v>0.36673476399999999</v>
      </c>
      <c r="I33" s="112">
        <v>3.4496515899999998</v>
      </c>
      <c r="J33" s="112">
        <v>4.6907059000000002</v>
      </c>
      <c r="K33" s="112">
        <v>6.8233550000000003</v>
      </c>
      <c r="L33" s="112">
        <v>7.9757324000000001</v>
      </c>
      <c r="M33" s="112">
        <v>5.9876253999999998</v>
      </c>
      <c r="N33" s="112">
        <v>5.7760869169999998</v>
      </c>
      <c r="O33" s="112">
        <v>0.65870087299999902</v>
      </c>
      <c r="P33" s="112">
        <v>0.33</v>
      </c>
      <c r="Q33" s="113">
        <f t="shared" si="28"/>
        <v>0.32870087299999901</v>
      </c>
      <c r="R33" s="93">
        <f t="shared" si="26"/>
        <v>0.99606325151514841</v>
      </c>
      <c r="S33" s="113">
        <f t="shared" si="29"/>
        <v>-5.1173860440000007</v>
      </c>
      <c r="T33" s="93">
        <f t="shared" si="27"/>
        <v>-0.88596070618997591</v>
      </c>
    </row>
    <row r="34" spans="1:20" ht="14.25" customHeight="1">
      <c r="A34" s="2"/>
      <c r="B34" s="46" t="s">
        <v>154</v>
      </c>
      <c r="C34" s="112">
        <v>1.7924300000000001E-2</v>
      </c>
      <c r="D34" s="112">
        <v>4.1465700000000001E-2</v>
      </c>
      <c r="E34" s="112">
        <v>4.7302700000000003E-2</v>
      </c>
      <c r="F34" s="112">
        <v>5.3652089E-2</v>
      </c>
      <c r="G34" s="112">
        <v>3.1168100000000001E-2</v>
      </c>
      <c r="H34" s="112">
        <v>3.0857200000000001E-2</v>
      </c>
      <c r="I34" s="112">
        <v>1.9649400000000001E-2</v>
      </c>
      <c r="J34" s="112">
        <v>3.31609E-2</v>
      </c>
      <c r="K34" s="112">
        <v>4.5054299999999999E-2</v>
      </c>
      <c r="L34" s="112">
        <v>4.6685999999999998E-2</v>
      </c>
      <c r="M34" s="112">
        <v>3.1084500000000001E-2</v>
      </c>
      <c r="N34" s="112">
        <v>7.4875300000000006E-2</v>
      </c>
      <c r="O34" s="112">
        <v>9.2952046999999996E-2</v>
      </c>
      <c r="P34" s="112">
        <f>O34</f>
        <v>9.2952046999999996E-2</v>
      </c>
      <c r="Q34" s="113">
        <f t="shared" si="28"/>
        <v>0</v>
      </c>
      <c r="R34" s="93">
        <f t="shared" si="26"/>
        <v>0</v>
      </c>
      <c r="S34" s="113">
        <f t="shared" si="29"/>
        <v>1.807674699999999E-2</v>
      </c>
      <c r="T34" s="93">
        <f t="shared" si="27"/>
        <v>0.2414247021380882</v>
      </c>
    </row>
    <row r="35" spans="1:20" ht="14.25" customHeight="1">
      <c r="A35" s="2"/>
      <c r="B35" s="116" t="s">
        <v>155</v>
      </c>
      <c r="C35" s="117">
        <f t="shared" ref="C35:Q35" si="30">C28-C32-C33-C34</f>
        <v>-2.9078837490000002</v>
      </c>
      <c r="D35" s="117">
        <f t="shared" si="30"/>
        <v>-4.6956039909999996</v>
      </c>
      <c r="E35" s="117">
        <f t="shared" si="30"/>
        <v>-2.6974386610000001</v>
      </c>
      <c r="F35" s="117">
        <f t="shared" si="30"/>
        <v>-1.707846415089463</v>
      </c>
      <c r="G35" s="117">
        <f t="shared" si="30"/>
        <v>-1.5483123860000001</v>
      </c>
      <c r="H35" s="117">
        <f t="shared" si="30"/>
        <v>-2.0673119969999996</v>
      </c>
      <c r="I35" s="117">
        <f t="shared" si="30"/>
        <v>-5.2307484193793927</v>
      </c>
      <c r="J35" s="117">
        <f t="shared" si="30"/>
        <v>-7.773169600000001</v>
      </c>
      <c r="K35" s="117">
        <f t="shared" si="30"/>
        <v>-10.104843600000001</v>
      </c>
      <c r="L35" s="121">
        <f t="shared" si="30"/>
        <v>-11.968588299999999</v>
      </c>
      <c r="M35" s="117">
        <f t="shared" si="30"/>
        <v>-9.5049907000000005</v>
      </c>
      <c r="N35" s="117">
        <f t="shared" si="30"/>
        <v>-8.5674429200000084</v>
      </c>
      <c r="O35" s="117">
        <f t="shared" si="30"/>
        <v>-4.7057562937545496</v>
      </c>
      <c r="P35" s="117">
        <f t="shared" si="30"/>
        <v>-5.3145008477302946</v>
      </c>
      <c r="Q35" s="117">
        <f t="shared" si="30"/>
        <v>0.48069455397574518</v>
      </c>
      <c r="R35" s="118">
        <f t="shared" si="26"/>
        <v>-0.11454406940883755</v>
      </c>
      <c r="S35" s="117">
        <f t="shared" si="29"/>
        <v>3.8616866262454588</v>
      </c>
      <c r="T35" s="118">
        <f t="shared" si="27"/>
        <v>-0.4507396970490064</v>
      </c>
    </row>
    <row r="36" spans="1:20" ht="14.25" customHeight="1">
      <c r="A36" s="2"/>
      <c r="B36" s="109" t="s">
        <v>63</v>
      </c>
      <c r="C36" s="119">
        <f t="shared" ref="C36:P36" si="31">C35/C9</f>
        <v>-4.8610934637745462</v>
      </c>
      <c r="D36" s="119">
        <f t="shared" si="31"/>
        <v>-6.7738770592705437</v>
      </c>
      <c r="E36" s="119">
        <f t="shared" si="31"/>
        <v>-3.1969414422315432</v>
      </c>
      <c r="F36" s="119">
        <f t="shared" si="31"/>
        <v>-1.5373521853740548</v>
      </c>
      <c r="G36" s="119">
        <f t="shared" si="31"/>
        <v>-1.5930494931042567</v>
      </c>
      <c r="H36" s="119">
        <f t="shared" si="31"/>
        <v>-1.695227537243905</v>
      </c>
      <c r="I36" s="119">
        <f t="shared" si="31"/>
        <v>-3.067877569365586</v>
      </c>
      <c r="J36" s="119">
        <f t="shared" si="31"/>
        <v>-5.6069865870938687</v>
      </c>
      <c r="K36" s="119">
        <f t="shared" si="31"/>
        <v>-5.5608221933564961</v>
      </c>
      <c r="L36" s="119">
        <f t="shared" si="31"/>
        <v>-5.4150857833567221</v>
      </c>
      <c r="M36" s="119">
        <f t="shared" si="31"/>
        <v>-3.6421585495052025</v>
      </c>
      <c r="N36" s="119">
        <f t="shared" si="31"/>
        <v>-2.5370563129751296</v>
      </c>
      <c r="O36" s="119">
        <f t="shared" si="31"/>
        <v>-1.4048885434451313</v>
      </c>
      <c r="P36" s="119">
        <f t="shared" si="31"/>
        <v>-1.7143195522849215</v>
      </c>
      <c r="Q36" s="119"/>
      <c r="R36" s="93"/>
      <c r="S36" s="119"/>
      <c r="T36" s="93"/>
    </row>
    <row r="37" spans="1:20" ht="4.5" customHeight="1">
      <c r="A37" s="2"/>
      <c r="B37" s="4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93"/>
      <c r="S37" s="2"/>
      <c r="T37" s="93"/>
    </row>
    <row r="38" spans="1:20" ht="14.25" customHeight="1">
      <c r="A38" s="2"/>
      <c r="B38" s="102" t="s">
        <v>156</v>
      </c>
      <c r="C38" s="106">
        <f t="shared" ref="C38:Q38" si="32">SUM(C41:C44)</f>
        <v>2.6359805840000003</v>
      </c>
      <c r="D38" s="106">
        <f t="shared" si="32"/>
        <v>2.5888963619999998</v>
      </c>
      <c r="E38" s="106">
        <f t="shared" si="32"/>
        <v>2.5715903050000004</v>
      </c>
      <c r="F38" s="106">
        <f t="shared" si="32"/>
        <v>2.5152709840000003</v>
      </c>
      <c r="G38" s="106">
        <f t="shared" si="32"/>
        <v>2.8282529129999996</v>
      </c>
      <c r="H38" s="106">
        <f t="shared" si="32"/>
        <v>2.6736752470000003</v>
      </c>
      <c r="I38" s="106">
        <f t="shared" si="32"/>
        <v>3.4564269630000002</v>
      </c>
      <c r="J38" s="106">
        <f t="shared" si="32"/>
        <v>3.5512039999999998</v>
      </c>
      <c r="K38" s="106">
        <f t="shared" si="32"/>
        <v>3.5773756000000003</v>
      </c>
      <c r="L38" s="106">
        <f t="shared" si="32"/>
        <v>3.7225062999999996</v>
      </c>
      <c r="M38" s="106">
        <f t="shared" si="32"/>
        <v>3.8231601</v>
      </c>
      <c r="N38" s="106">
        <f t="shared" si="32"/>
        <v>4.4210331709999995</v>
      </c>
      <c r="O38" s="106">
        <f t="shared" si="32"/>
        <v>4.7817009220000006</v>
      </c>
      <c r="P38" s="106">
        <f t="shared" si="32"/>
        <v>4.4908400000000004</v>
      </c>
      <c r="Q38" s="106">
        <f t="shared" si="32"/>
        <v>0.2908609220000003</v>
      </c>
      <c r="R38" s="105">
        <f t="shared" ref="R38:R46" si="33">IFERROR(O38/P38-1,"")</f>
        <v>6.4767598489369416E-2</v>
      </c>
      <c r="S38" s="106">
        <f>SUM(S39:S42)</f>
        <v>0.54267856500000022</v>
      </c>
      <c r="T38" s="105">
        <f t="shared" ref="T38:T46" si="34">IFERROR(O38/N38-1,"")</f>
        <v>8.1579969443753564E-2</v>
      </c>
    </row>
    <row r="39" spans="1:20" ht="14.25" customHeight="1">
      <c r="A39" s="2"/>
      <c r="B39" s="46" t="s">
        <v>157</v>
      </c>
      <c r="C39" s="112">
        <v>2.2928515900000002</v>
      </c>
      <c r="D39" s="112">
        <v>1.9038481919999999</v>
      </c>
      <c r="E39" s="112">
        <v>1.8028138670000002</v>
      </c>
      <c r="F39" s="112">
        <v>1.9543789880000002</v>
      </c>
      <c r="G39" s="112">
        <v>2.1854121389999999</v>
      </c>
      <c r="H39" s="112">
        <v>2.1037435539999998</v>
      </c>
      <c r="I39" s="112">
        <v>2.4108402070000006</v>
      </c>
      <c r="J39" s="112">
        <v>2.6032750999999998</v>
      </c>
      <c r="K39" s="112">
        <v>2.7230566</v>
      </c>
      <c r="L39" s="112">
        <v>2.8616584</v>
      </c>
      <c r="M39" s="112">
        <v>2.8577018000000001</v>
      </c>
      <c r="N39" s="112">
        <v>3.5961044850000001</v>
      </c>
      <c r="O39" s="112">
        <v>3.8522409670000002</v>
      </c>
      <c r="P39" s="112">
        <v>3.8167990000000001</v>
      </c>
      <c r="Q39" s="113">
        <f t="shared" ref="Q39:Q46" si="35">O39-P39</f>
        <v>3.544196700000013E-2</v>
      </c>
      <c r="R39" s="93">
        <f t="shared" si="33"/>
        <v>9.2857829296224548E-3</v>
      </c>
      <c r="S39" s="113">
        <f t="shared" ref="S39:S46" si="36">O39-N39</f>
        <v>0.25613648200000005</v>
      </c>
      <c r="T39" s="93">
        <f t="shared" si="34"/>
        <v>7.1226095645549714E-2</v>
      </c>
    </row>
    <row r="40" spans="1:20" ht="14.25" customHeight="1">
      <c r="A40" s="2"/>
      <c r="B40" s="46" t="s">
        <v>158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12">
        <v>0.20250000000000001</v>
      </c>
      <c r="O40" s="112">
        <f>2291512/10^7</f>
        <v>0.2291512</v>
      </c>
      <c r="P40" s="112">
        <v>0.34731900000000004</v>
      </c>
      <c r="Q40" s="113">
        <f t="shared" si="35"/>
        <v>-0.11816780000000005</v>
      </c>
      <c r="R40" s="93">
        <f t="shared" si="33"/>
        <v>-0.34022843553044901</v>
      </c>
      <c r="S40" s="113">
        <f t="shared" si="36"/>
        <v>2.6651199999999986E-2</v>
      </c>
      <c r="T40" s="93">
        <f t="shared" si="34"/>
        <v>0.13161086419753087</v>
      </c>
    </row>
    <row r="41" spans="1:20" ht="14.25" customHeight="1">
      <c r="A41" s="2"/>
      <c r="B41" s="46" t="s">
        <v>159</v>
      </c>
      <c r="C41" s="112">
        <f t="shared" ref="C41:P41" si="37">C39-C40</f>
        <v>2.2928515900000002</v>
      </c>
      <c r="D41" s="112">
        <f t="shared" si="37"/>
        <v>1.9038481919999999</v>
      </c>
      <c r="E41" s="112">
        <f t="shared" si="37"/>
        <v>1.8028138670000002</v>
      </c>
      <c r="F41" s="112">
        <f t="shared" si="37"/>
        <v>1.9543789880000002</v>
      </c>
      <c r="G41" s="112">
        <f t="shared" si="37"/>
        <v>2.1854121389999999</v>
      </c>
      <c r="H41" s="112">
        <f t="shared" si="37"/>
        <v>2.1037435539999998</v>
      </c>
      <c r="I41" s="112">
        <f t="shared" si="37"/>
        <v>2.4108402070000006</v>
      </c>
      <c r="J41" s="112">
        <f t="shared" si="37"/>
        <v>2.6032750999999998</v>
      </c>
      <c r="K41" s="112">
        <f t="shared" si="37"/>
        <v>2.7230566</v>
      </c>
      <c r="L41" s="112">
        <f t="shared" si="37"/>
        <v>2.8616584</v>
      </c>
      <c r="M41" s="112">
        <f t="shared" si="37"/>
        <v>2.8577018000000001</v>
      </c>
      <c r="N41" s="112">
        <f t="shared" si="37"/>
        <v>3.393604485</v>
      </c>
      <c r="O41" s="112">
        <f t="shared" si="37"/>
        <v>3.6230897670000002</v>
      </c>
      <c r="P41" s="112">
        <f t="shared" si="37"/>
        <v>3.4694799999999999</v>
      </c>
      <c r="Q41" s="113">
        <f t="shared" si="35"/>
        <v>0.15360976700000029</v>
      </c>
      <c r="R41" s="93">
        <f t="shared" si="33"/>
        <v>4.4274579187659313E-2</v>
      </c>
      <c r="S41" s="113">
        <f t="shared" si="36"/>
        <v>0.22948528200000018</v>
      </c>
      <c r="T41" s="93">
        <f t="shared" si="34"/>
        <v>6.7622872086108732E-2</v>
      </c>
    </row>
    <row r="42" spans="1:20" ht="14.25" customHeight="1">
      <c r="A42" s="2"/>
      <c r="B42" s="46" t="s">
        <v>160</v>
      </c>
      <c r="C42" s="112">
        <v>0.191254438</v>
      </c>
      <c r="D42" s="112">
        <v>0.30083295099999996</v>
      </c>
      <c r="E42" s="112">
        <v>0.33504187400000002</v>
      </c>
      <c r="F42" s="112">
        <v>0.22369761199999996</v>
      </c>
      <c r="G42" s="112">
        <v>0.29183225899999998</v>
      </c>
      <c r="H42" s="112">
        <v>0.28668766000000001</v>
      </c>
      <c r="I42" s="112">
        <v>0.29698962700000003</v>
      </c>
      <c r="J42" s="112">
        <v>0.39040079999999999</v>
      </c>
      <c r="K42" s="112">
        <v>0.28860330000000001</v>
      </c>
      <c r="L42" s="112">
        <v>0.33773959999999997</v>
      </c>
      <c r="M42" s="112">
        <v>0.43009180000000002</v>
      </c>
      <c r="N42" s="112">
        <v>0.39887689100000001</v>
      </c>
      <c r="O42" s="112">
        <v>0.42928249200000002</v>
      </c>
      <c r="P42" s="112">
        <v>0.41279492000000001</v>
      </c>
      <c r="Q42" s="113">
        <f t="shared" si="35"/>
        <v>1.6487572000000006E-2</v>
      </c>
      <c r="R42" s="93">
        <f t="shared" si="33"/>
        <v>3.9941315169285563E-2</v>
      </c>
      <c r="S42" s="113">
        <f t="shared" si="36"/>
        <v>3.0405601000000004E-2</v>
      </c>
      <c r="T42" s="93">
        <f t="shared" si="34"/>
        <v>7.6228033476123391E-2</v>
      </c>
    </row>
    <row r="43" spans="1:20" ht="14.25" customHeight="1">
      <c r="A43" s="2"/>
      <c r="B43" s="46" t="s">
        <v>161</v>
      </c>
      <c r="C43" s="112">
        <v>7.0656779000000003E-2</v>
      </c>
      <c r="D43" s="112">
        <v>7.8439669999999989E-2</v>
      </c>
      <c r="E43" s="112">
        <v>6.7735700999999995E-2</v>
      </c>
      <c r="F43" s="112">
        <v>8.0448337999999994E-2</v>
      </c>
      <c r="G43" s="112">
        <v>9.0684423E-2</v>
      </c>
      <c r="H43" s="112">
        <v>7.9199055000000004E-2</v>
      </c>
      <c r="I43" s="112">
        <v>8.1529169999999998E-2</v>
      </c>
      <c r="J43" s="112">
        <v>0.19530629999999999</v>
      </c>
      <c r="K43" s="112">
        <v>0.16145660000000001</v>
      </c>
      <c r="L43" s="112">
        <v>6.9392200000000001E-2</v>
      </c>
      <c r="M43" s="112">
        <v>8.0998600000000004E-2</v>
      </c>
      <c r="N43" s="112">
        <v>8.7591329000000009E-2</v>
      </c>
      <c r="O43" s="112">
        <v>9.7205079999999999E-2</v>
      </c>
      <c r="P43" s="112">
        <f>O43</f>
        <v>9.7205079999999999E-2</v>
      </c>
      <c r="Q43" s="113">
        <f t="shared" si="35"/>
        <v>0</v>
      </c>
      <c r="R43" s="93">
        <f t="shared" si="33"/>
        <v>0</v>
      </c>
      <c r="S43" s="113">
        <f t="shared" si="36"/>
        <v>9.6137509999999898E-3</v>
      </c>
      <c r="T43" s="93">
        <f t="shared" si="34"/>
        <v>0.10975688015876539</v>
      </c>
    </row>
    <row r="44" spans="1:20" ht="14.25" customHeight="1">
      <c r="A44" s="2"/>
      <c r="B44" s="46" t="s">
        <v>162</v>
      </c>
      <c r="C44" s="112">
        <v>8.1217777000000005E-2</v>
      </c>
      <c r="D44" s="112">
        <v>0.30577554900000004</v>
      </c>
      <c r="E44" s="112">
        <v>0.36599886300000001</v>
      </c>
      <c r="F44" s="112">
        <v>0.25674604600000001</v>
      </c>
      <c r="G44" s="112">
        <v>0.26032409200000001</v>
      </c>
      <c r="H44" s="112">
        <v>0.20404497800000002</v>
      </c>
      <c r="I44" s="112">
        <v>0.66706795899999993</v>
      </c>
      <c r="J44" s="112">
        <v>0.36222179999999998</v>
      </c>
      <c r="K44" s="112">
        <v>0.40425909999999998</v>
      </c>
      <c r="L44" s="112">
        <v>0.45371610000000001</v>
      </c>
      <c r="M44" s="112">
        <v>0.45436789999999999</v>
      </c>
      <c r="N44" s="112">
        <v>0.54096046600000003</v>
      </c>
      <c r="O44" s="112">
        <v>0.63212358300000004</v>
      </c>
      <c r="P44" s="112">
        <v>0.51136000000000004</v>
      </c>
      <c r="Q44" s="113">
        <f t="shared" si="35"/>
        <v>0.12076358300000001</v>
      </c>
      <c r="R44" s="93">
        <f t="shared" si="33"/>
        <v>0.2361615750156445</v>
      </c>
      <c r="S44" s="113">
        <f t="shared" si="36"/>
        <v>9.1163117000000016E-2</v>
      </c>
      <c r="T44" s="93">
        <f t="shared" si="34"/>
        <v>0.16852084898936037</v>
      </c>
    </row>
    <row r="45" spans="1:20" ht="14.25" customHeight="1">
      <c r="A45" s="2"/>
      <c r="B45" s="46" t="s">
        <v>163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2"/>
      <c r="Q45" s="113">
        <f t="shared" si="35"/>
        <v>0</v>
      </c>
      <c r="R45" s="93" t="str">
        <f t="shared" si="33"/>
        <v/>
      </c>
      <c r="S45" s="113">
        <f t="shared" si="36"/>
        <v>0</v>
      </c>
      <c r="T45" s="93" t="str">
        <f t="shared" si="34"/>
        <v/>
      </c>
    </row>
    <row r="46" spans="1:20" ht="14.25" customHeight="1">
      <c r="A46" s="2"/>
      <c r="B46" s="46" t="s">
        <v>164</v>
      </c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2"/>
      <c r="Q46" s="113">
        <f t="shared" si="35"/>
        <v>0</v>
      </c>
      <c r="R46" s="93" t="str">
        <f t="shared" si="33"/>
        <v/>
      </c>
      <c r="S46" s="113">
        <f t="shared" si="36"/>
        <v>0</v>
      </c>
      <c r="T46" s="93" t="str">
        <f t="shared" si="34"/>
        <v/>
      </c>
    </row>
    <row r="47" spans="1:20" ht="14.25" customHeight="1">
      <c r="A47" s="2"/>
      <c r="B47" s="46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2"/>
      <c r="Q47" s="2"/>
      <c r="R47" s="93"/>
      <c r="S47" s="2"/>
      <c r="T47" s="93"/>
    </row>
    <row r="48" spans="1:20" ht="14.25" customHeight="1">
      <c r="A48" s="2"/>
      <c r="B48" s="116" t="s">
        <v>165</v>
      </c>
      <c r="C48" s="117">
        <f t="shared" ref="C48:Q48" si="38">C35-SUM(C41:C44)</f>
        <v>-5.5438643330000001</v>
      </c>
      <c r="D48" s="117">
        <f t="shared" si="38"/>
        <v>-7.2845003529999994</v>
      </c>
      <c r="E48" s="117">
        <f t="shared" si="38"/>
        <v>-5.2690289660000005</v>
      </c>
      <c r="F48" s="117">
        <f t="shared" si="38"/>
        <v>-4.223117399089463</v>
      </c>
      <c r="G48" s="117">
        <f t="shared" si="38"/>
        <v>-4.3765652989999992</v>
      </c>
      <c r="H48" s="117">
        <f t="shared" si="38"/>
        <v>-4.7409872439999994</v>
      </c>
      <c r="I48" s="117">
        <f t="shared" si="38"/>
        <v>-8.6871753823793938</v>
      </c>
      <c r="J48" s="117">
        <f t="shared" si="38"/>
        <v>-11.324373600000001</v>
      </c>
      <c r="K48" s="117">
        <f t="shared" si="38"/>
        <v>-13.6822192</v>
      </c>
      <c r="L48" s="117">
        <f t="shared" si="38"/>
        <v>-15.691094599999998</v>
      </c>
      <c r="M48" s="117">
        <f t="shared" si="38"/>
        <v>-13.3281508</v>
      </c>
      <c r="N48" s="117">
        <f t="shared" si="38"/>
        <v>-12.988476091000008</v>
      </c>
      <c r="O48" s="117">
        <f t="shared" si="38"/>
        <v>-9.4874572157545494</v>
      </c>
      <c r="P48" s="117">
        <f t="shared" si="38"/>
        <v>-9.8053408477302959</v>
      </c>
      <c r="Q48" s="117">
        <f t="shared" si="38"/>
        <v>0.18983363197574488</v>
      </c>
      <c r="R48" s="118">
        <f>IFERROR(O48/P48-1,"")</f>
        <v>-3.2419437214090241E-2</v>
      </c>
      <c r="S48" s="117">
        <f>O48-N48</f>
        <v>3.5010188752454585</v>
      </c>
      <c r="T48" s="118">
        <f>IFERROR(O48/N48-1,"")</f>
        <v>-0.26954808637415051</v>
      </c>
    </row>
    <row r="49" spans="1:20" ht="14.25" customHeight="1">
      <c r="A49" s="2"/>
      <c r="B49" s="122" t="s">
        <v>63</v>
      </c>
      <c r="C49" s="123">
        <f t="shared" ref="C49:P49" si="39">C48/C9</f>
        <v>-9.2676478839523</v>
      </c>
      <c r="D49" s="123">
        <f t="shared" si="39"/>
        <v>-10.508618257419588</v>
      </c>
      <c r="E49" s="123">
        <f t="shared" si="39"/>
        <v>-6.2447303455935073</v>
      </c>
      <c r="F49" s="123">
        <f t="shared" si="39"/>
        <v>-3.8015237817747711</v>
      </c>
      <c r="G49" s="123">
        <f t="shared" si="39"/>
        <v>-4.5030222545217224</v>
      </c>
      <c r="H49" s="123">
        <f t="shared" si="39"/>
        <v>-3.8876822373274744</v>
      </c>
      <c r="I49" s="123">
        <f t="shared" si="39"/>
        <v>-5.0951008077556716</v>
      </c>
      <c r="J49" s="123">
        <f t="shared" si="39"/>
        <v>-8.1685611082562648</v>
      </c>
      <c r="K49" s="123">
        <f t="shared" si="39"/>
        <v>-7.5294968624480596</v>
      </c>
      <c r="L49" s="123">
        <f t="shared" si="39"/>
        <v>-7.0993020366291182</v>
      </c>
      <c r="M49" s="123">
        <f t="shared" si="39"/>
        <v>-5.1071316024869544</v>
      </c>
      <c r="N49" s="123">
        <f t="shared" si="39"/>
        <v>-3.846246256940113</v>
      </c>
      <c r="O49" s="123">
        <f t="shared" si="39"/>
        <v>-2.8324501136043394</v>
      </c>
      <c r="P49" s="123">
        <f t="shared" si="39"/>
        <v>-3.1629475681165826</v>
      </c>
      <c r="Q49" s="124"/>
      <c r="R49" s="125"/>
      <c r="S49" s="124"/>
      <c r="T49" s="125"/>
    </row>
    <row r="50" spans="1:20" ht="4.5" customHeight="1">
      <c r="A50" s="2"/>
      <c r="B50" s="4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93"/>
      <c r="S50" s="2"/>
      <c r="T50" s="93"/>
    </row>
    <row r="51" spans="1:20" ht="14.25" customHeight="1">
      <c r="A51" s="2"/>
      <c r="B51" s="46" t="s">
        <v>166</v>
      </c>
      <c r="C51" s="112">
        <v>0.45521570499999997</v>
      </c>
      <c r="D51" s="112">
        <v>0.67569422199999996</v>
      </c>
      <c r="E51" s="112">
        <v>0.56606597800000003</v>
      </c>
      <c r="F51" s="112">
        <v>0.83244364500000001</v>
      </c>
      <c r="G51" s="112">
        <v>0.71868596699999998</v>
      </c>
      <c r="H51" s="112">
        <v>1.9019129530000001</v>
      </c>
      <c r="I51" s="112">
        <v>1.5871407</v>
      </c>
      <c r="J51" s="112">
        <v>1.3262718</v>
      </c>
      <c r="K51" s="112">
        <v>1.6005963999999999</v>
      </c>
      <c r="L51" s="112">
        <v>1.5432707999999999</v>
      </c>
      <c r="M51" s="112">
        <v>1.7120367000000001</v>
      </c>
      <c r="N51" s="112">
        <v>1.49746008</v>
      </c>
      <c r="O51" s="112">
        <v>1.313496515</v>
      </c>
      <c r="P51" s="112">
        <v>1.4947326999999999</v>
      </c>
      <c r="Q51" s="113">
        <f t="shared" ref="Q51:Q53" si="40">O51-P51</f>
        <v>-0.18123618499999994</v>
      </c>
      <c r="R51" s="93">
        <f t="shared" ref="R51:R54" si="41">IFERROR(O51/P51-1,"")</f>
        <v>-0.12124989638615646</v>
      </c>
      <c r="S51" s="113">
        <f t="shared" ref="S51:S54" si="42">O51-N51</f>
        <v>-0.183963565</v>
      </c>
      <c r="T51" s="93">
        <f t="shared" ref="T51:T54" si="43">IFERROR(O51/N51-1,"")</f>
        <v>-0.12285039678653742</v>
      </c>
    </row>
    <row r="52" spans="1:20" ht="14.25" customHeight="1">
      <c r="A52" s="2"/>
      <c r="B52" s="46" t="s">
        <v>167</v>
      </c>
      <c r="C52" s="112">
        <v>9.7795E-3</v>
      </c>
      <c r="D52" s="112">
        <v>1.0169600000000001E-2</v>
      </c>
      <c r="E52" s="112">
        <v>9.7919999999999995E-4</v>
      </c>
      <c r="F52" s="112">
        <v>3.7333000000000002E-3</v>
      </c>
      <c r="G52" s="112">
        <v>1.22276E-2</v>
      </c>
      <c r="H52" s="112">
        <v>2.7443100000000002E-2</v>
      </c>
      <c r="I52" s="112">
        <v>6.7857700000000007E-2</v>
      </c>
      <c r="J52" s="112">
        <v>0.11741169999999999</v>
      </c>
      <c r="K52" s="112">
        <v>0.14556269999999999</v>
      </c>
      <c r="L52" s="112">
        <v>0.1583196</v>
      </c>
      <c r="M52" s="112">
        <v>0.13960980000000001</v>
      </c>
      <c r="N52" s="112">
        <v>0.20514360000000001</v>
      </c>
      <c r="O52" s="112">
        <v>0.26273269999999999</v>
      </c>
      <c r="P52" s="112">
        <f>O52</f>
        <v>0.26273269999999999</v>
      </c>
      <c r="Q52" s="113">
        <f t="shared" si="40"/>
        <v>0</v>
      </c>
      <c r="R52" s="93">
        <f t="shared" si="41"/>
        <v>0</v>
      </c>
      <c r="S52" s="113">
        <f t="shared" si="42"/>
        <v>5.7589099999999976E-2</v>
      </c>
      <c r="T52" s="93">
        <f t="shared" si="43"/>
        <v>0.28072579402915809</v>
      </c>
    </row>
    <row r="53" spans="1:20" ht="14.25" customHeight="1">
      <c r="A53" s="2"/>
      <c r="B53" s="46" t="s">
        <v>168</v>
      </c>
      <c r="C53" s="112">
        <v>0</v>
      </c>
      <c r="D53" s="112">
        <v>0.125</v>
      </c>
      <c r="E53" s="112">
        <v>3.7560000000000003E-2</v>
      </c>
      <c r="F53" s="112">
        <v>0</v>
      </c>
      <c r="G53" s="112">
        <v>1.4E-2</v>
      </c>
      <c r="H53" s="112">
        <v>0.72716999999999998</v>
      </c>
      <c r="I53" s="112">
        <v>0.18756</v>
      </c>
      <c r="J53" s="112">
        <v>5.0500000000000003E-2</v>
      </c>
      <c r="K53" s="112">
        <v>0.18</v>
      </c>
      <c r="L53" s="112">
        <v>0</v>
      </c>
      <c r="M53" s="112">
        <v>0</v>
      </c>
      <c r="N53" s="112">
        <v>0.43241449999999998</v>
      </c>
      <c r="O53" s="112">
        <v>0</v>
      </c>
      <c r="P53" s="112">
        <v>0.1</v>
      </c>
      <c r="Q53" s="113">
        <f t="shared" si="40"/>
        <v>-0.1</v>
      </c>
      <c r="R53" s="93">
        <f t="shared" si="41"/>
        <v>-1</v>
      </c>
      <c r="S53" s="113">
        <f t="shared" si="42"/>
        <v>-0.43241449999999998</v>
      </c>
      <c r="T53" s="93">
        <f t="shared" si="43"/>
        <v>-1</v>
      </c>
    </row>
    <row r="54" spans="1:20" ht="14.25" customHeight="1">
      <c r="A54" s="2"/>
      <c r="B54" s="116" t="s">
        <v>169</v>
      </c>
      <c r="C54" s="117">
        <f t="shared" ref="C54:Q54" si="44">C48+C51-C52-C53</f>
        <v>-5.0984281280000001</v>
      </c>
      <c r="D54" s="117">
        <f t="shared" si="44"/>
        <v>-6.7439757309999999</v>
      </c>
      <c r="E54" s="117">
        <f t="shared" si="44"/>
        <v>-4.7415021880000001</v>
      </c>
      <c r="F54" s="117">
        <f t="shared" si="44"/>
        <v>-3.3944070540894629</v>
      </c>
      <c r="G54" s="117">
        <f t="shared" si="44"/>
        <v>-3.6841069319999993</v>
      </c>
      <c r="H54" s="117">
        <f t="shared" si="44"/>
        <v>-3.5936873909999996</v>
      </c>
      <c r="I54" s="117">
        <f t="shared" si="44"/>
        <v>-7.3554523823793945</v>
      </c>
      <c r="J54" s="117">
        <f t="shared" si="44"/>
        <v>-10.1660135</v>
      </c>
      <c r="K54" s="117">
        <f t="shared" si="44"/>
        <v>-12.407185499999999</v>
      </c>
      <c r="L54" s="117">
        <f t="shared" si="44"/>
        <v>-14.306143399999998</v>
      </c>
      <c r="M54" s="117">
        <f t="shared" si="44"/>
        <v>-11.7557239</v>
      </c>
      <c r="N54" s="117">
        <f t="shared" si="44"/>
        <v>-12.128574111000008</v>
      </c>
      <c r="O54" s="117">
        <f t="shared" si="44"/>
        <v>-8.4366934007545495</v>
      </c>
      <c r="P54" s="126">
        <f t="shared" si="44"/>
        <v>-8.6733408477302962</v>
      </c>
      <c r="Q54" s="117">
        <f t="shared" si="44"/>
        <v>0.10859744697574494</v>
      </c>
      <c r="R54" s="118">
        <f t="shared" si="41"/>
        <v>-2.7284462945748822E-2</v>
      </c>
      <c r="S54" s="117">
        <f t="shared" si="42"/>
        <v>3.6918807102454583</v>
      </c>
      <c r="T54" s="118">
        <f t="shared" si="43"/>
        <v>-0.30439527981257974</v>
      </c>
    </row>
    <row r="55" spans="1:20" ht="14.25" customHeight="1">
      <c r="A55" s="2"/>
      <c r="B55" s="122" t="s">
        <v>63</v>
      </c>
      <c r="C55" s="123">
        <f t="shared" ref="C55:P55" si="45">C54/C9</f>
        <v>-8.5230146002460057</v>
      </c>
      <c r="D55" s="123">
        <f t="shared" si="45"/>
        <v>-9.7288575825512371</v>
      </c>
      <c r="E55" s="123">
        <f t="shared" si="45"/>
        <v>-5.6195179013372707</v>
      </c>
      <c r="F55" s="123">
        <f t="shared" si="45"/>
        <v>-3.0555435527147123</v>
      </c>
      <c r="G55" s="123">
        <f t="shared" si="45"/>
        <v>-3.7905559198726686</v>
      </c>
      <c r="H55" s="123">
        <f t="shared" si="45"/>
        <v>-2.9468787654258484</v>
      </c>
      <c r="I55" s="123">
        <f t="shared" si="45"/>
        <v>-4.3140341624603931</v>
      </c>
      <c r="J55" s="123">
        <f t="shared" si="45"/>
        <v>-7.3330062602410209</v>
      </c>
      <c r="K55" s="123">
        <f t="shared" si="45"/>
        <v>-6.8278298226694867</v>
      </c>
      <c r="L55" s="123">
        <f t="shared" si="45"/>
        <v>-6.4726926683577712</v>
      </c>
      <c r="M55" s="123">
        <f t="shared" si="45"/>
        <v>-4.5046030721532047</v>
      </c>
      <c r="N55" s="123">
        <f t="shared" si="45"/>
        <v>-3.5916055470725281</v>
      </c>
      <c r="O55" s="123">
        <f t="shared" si="45"/>
        <v>-2.5187479256012311</v>
      </c>
      <c r="P55" s="123">
        <f t="shared" si="45"/>
        <v>-2.7977938521254897</v>
      </c>
      <c r="Q55" s="2"/>
      <c r="R55" s="93"/>
      <c r="S55" s="2"/>
      <c r="T55" s="93"/>
    </row>
    <row r="56" spans="1:20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93"/>
      <c r="S56" s="2"/>
      <c r="T56" s="93"/>
    </row>
    <row r="57" spans="1:20" ht="14.25" customHeight="1">
      <c r="A57" s="2"/>
      <c r="B57" s="127" t="s">
        <v>170</v>
      </c>
      <c r="C57" s="108">
        <f>(C24+C25)*10^7/'Revised MIS Template - KPIs'!D22</f>
        <v>2261.9693646786577</v>
      </c>
      <c r="D57" s="108">
        <f>(D24+D25)*10^7/'Revised MIS Template - KPIs'!E22</f>
        <v>2031.3150309432351</v>
      </c>
      <c r="E57" s="108">
        <f>(E24+E25)*10^7/'Revised MIS Template - KPIs'!F22</f>
        <v>2209.5146170805292</v>
      </c>
      <c r="F57" s="108">
        <f>(F24+F25)*10^7/'Revised MIS Template - KPIs'!G22</f>
        <v>2288.9933995485326</v>
      </c>
      <c r="G57" s="108">
        <f>(G24+G25)*10^7/'Revised MIS Template - KPIs'!H22</f>
        <v>2013.6617265280404</v>
      </c>
      <c r="H57" s="108">
        <f>(H24+H25)*10^7/'Revised MIS Template - KPIs'!I22</f>
        <v>2102.6812116763103</v>
      </c>
      <c r="I57" s="108">
        <f>(I24+I25)*10^7/'Revised MIS Template - KPIs'!J22</f>
        <v>2813.1003630053465</v>
      </c>
      <c r="J57" s="108">
        <f>(J24+J25)*10^7/'Revised MIS Template - KPIs'!K22</f>
        <v>3809.2741690408357</v>
      </c>
      <c r="K57" s="108">
        <f>(K24+K25)*10^7/'Revised MIS Template - KPIs'!L22</f>
        <v>3193.5659623901843</v>
      </c>
      <c r="L57" s="108">
        <f>(L24+L25)*10^7/'Revised MIS Template - KPIs'!M22</f>
        <v>3107.3455425804614</v>
      </c>
      <c r="M57" s="108">
        <f>(M24+M25)*10^7/'Revised MIS Template - KPIs'!N22</f>
        <v>2982.2120395327943</v>
      </c>
      <c r="N57" s="108">
        <f>(N24+N25)*10^7/'Revised MIS Template - KPIs'!O22</f>
        <v>2618.5046402566322</v>
      </c>
      <c r="O57" s="108">
        <f>(O24+O25)*10^7/'Revised MIS Template - KPIs'!P22</f>
        <v>2278.3047789481361</v>
      </c>
      <c r="P57" s="2"/>
      <c r="Q57" s="2"/>
      <c r="R57" s="93"/>
      <c r="S57" s="2"/>
      <c r="T57" s="93"/>
    </row>
    <row r="58" spans="1:20" ht="14.25" customHeight="1">
      <c r="A58" s="2"/>
      <c r="B58" s="127" t="s">
        <v>171</v>
      </c>
      <c r="C58" s="26">
        <f>(C24+C25+C26+C27)*10^7/'Revised MIS Template - KPIs'!D22</f>
        <v>2772.5931155990324</v>
      </c>
      <c r="D58" s="26">
        <f>(D24+D25+D26+D27)*10^7/'Revised MIS Template - KPIs'!E22</f>
        <v>2367.9326152368758</v>
      </c>
      <c r="E58" s="26">
        <f>(E24+E25+E26+E27)*10^7/'Revised MIS Template - KPIs'!F22</f>
        <v>2369.661286841495</v>
      </c>
      <c r="F58" s="26">
        <f>(F24+F25+F26+F27)*10^7/'Revised MIS Template - KPIs'!G22</f>
        <v>2463.9369661399542</v>
      </c>
      <c r="G58" s="26">
        <f>(G24+G25+G26+G27)*10^7/'Revised MIS Template - KPIs'!H22</f>
        <v>2087.5012560386476</v>
      </c>
      <c r="H58" s="26">
        <f>(H24+H25+H26+H27)*10^7/'Revised MIS Template - KPIs'!I22</f>
        <v>2288.9376241471628</v>
      </c>
      <c r="I58" s="26">
        <f>(I24+I25+I26+I27)*10^7/'Revised MIS Template - KPIs'!J22</f>
        <v>2989.4440455867184</v>
      </c>
      <c r="J58" s="26">
        <f>(J24+J25+J26+J27)*10^7/'Revised MIS Template - KPIs'!K22</f>
        <v>3954.4783475783474</v>
      </c>
      <c r="K58" s="26">
        <f>(K24+K25+K26+K27)*10^7/'Revised MIS Template - KPIs'!L22</f>
        <v>3467.6638350395706</v>
      </c>
      <c r="L58" s="26">
        <f>(L24+L25+L26+L27)*10^7/'Revised MIS Template - KPIs'!M22</f>
        <v>3297.8895471375677</v>
      </c>
      <c r="M58" s="26">
        <f>(M24+M25+M26+M27)*10^7/'Revised MIS Template - KPIs'!N22</f>
        <v>3171.0204402515719</v>
      </c>
      <c r="N58" s="26">
        <f>(N24+N25+N26+N27)*10^7/'Revised MIS Template - KPIs'!O22</f>
        <v>2859.0362355517082</v>
      </c>
      <c r="O58" s="26">
        <f>(O24+O25+O26+O27)*10^7/'Revised MIS Template - KPIs'!P22</f>
        <v>2497.3889353792324</v>
      </c>
      <c r="P58" s="2"/>
      <c r="Q58" s="2"/>
      <c r="R58" s="93"/>
      <c r="S58" s="2"/>
      <c r="T58" s="93"/>
    </row>
    <row r="59" spans="1:20" ht="14.25" customHeight="1">
      <c r="A59" s="2"/>
      <c r="B59" s="1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"/>
      <c r="P59" s="2"/>
      <c r="Q59" s="2"/>
      <c r="R59" s="93"/>
      <c r="S59" s="2"/>
      <c r="T59" s="93"/>
    </row>
    <row r="60" spans="1:20" ht="14.25" customHeight="1">
      <c r="A60" s="2"/>
      <c r="B60" s="2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"/>
      <c r="Q60" s="2"/>
      <c r="R60" s="93"/>
      <c r="S60" s="2"/>
      <c r="T60" s="93"/>
    </row>
    <row r="61" spans="1:20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93"/>
      <c r="S61" s="2"/>
      <c r="T61" s="93"/>
    </row>
    <row r="62" spans="1:20" ht="14.25" customHeight="1" thickBot="1">
      <c r="A62" s="2"/>
      <c r="B62" s="128" t="s">
        <v>172</v>
      </c>
      <c r="C62" s="129"/>
      <c r="D62" s="129"/>
      <c r="E62" s="129"/>
      <c r="F62" s="130">
        <f>F2</f>
        <v>45748</v>
      </c>
      <c r="G62" s="130">
        <f t="shared" ref="G62:O62" si="46">G2</f>
        <v>45778</v>
      </c>
      <c r="H62" s="130">
        <f t="shared" si="46"/>
        <v>45809</v>
      </c>
      <c r="I62" s="130">
        <f t="shared" si="46"/>
        <v>45839</v>
      </c>
      <c r="J62" s="130">
        <f t="shared" si="46"/>
        <v>45870</v>
      </c>
      <c r="K62" s="130">
        <f t="shared" si="46"/>
        <v>45901</v>
      </c>
      <c r="L62" s="130">
        <f t="shared" si="46"/>
        <v>45931</v>
      </c>
      <c r="M62" s="130">
        <f t="shared" si="46"/>
        <v>45962</v>
      </c>
      <c r="N62" s="130">
        <f t="shared" si="46"/>
        <v>45992</v>
      </c>
      <c r="O62" s="131" t="str">
        <f t="shared" si="46"/>
        <v>Jan-26</v>
      </c>
      <c r="P62" s="2"/>
      <c r="Q62" s="2"/>
      <c r="R62" s="93"/>
      <c r="S62" s="2"/>
      <c r="T62" s="93"/>
    </row>
    <row r="63" spans="1:20" ht="14.25" customHeight="1">
      <c r="A63" s="2"/>
      <c r="B63" s="2" t="s">
        <v>173</v>
      </c>
      <c r="C63" s="63"/>
      <c r="D63" s="63"/>
      <c r="E63" s="63"/>
      <c r="F63" s="132">
        <v>23.13</v>
      </c>
      <c r="G63" s="132">
        <v>22.87</v>
      </c>
      <c r="H63" s="132">
        <v>41.22</v>
      </c>
      <c r="I63" s="132">
        <v>54.24</v>
      </c>
      <c r="J63" s="132">
        <v>58.01</v>
      </c>
      <c r="K63" s="132">
        <v>58.66</v>
      </c>
      <c r="L63" s="132">
        <v>77.89</v>
      </c>
      <c r="M63" s="132">
        <v>73.510000000000005</v>
      </c>
      <c r="N63" s="132">
        <v>82.72</v>
      </c>
      <c r="O63" s="2">
        <v>78.62</v>
      </c>
      <c r="P63" s="2"/>
      <c r="Q63" s="2"/>
      <c r="R63" s="93"/>
      <c r="S63" s="2"/>
      <c r="T63" s="93"/>
    </row>
    <row r="64" spans="1:20" ht="14.25" customHeight="1">
      <c r="A64" s="1"/>
      <c r="B64" s="13" t="s">
        <v>174</v>
      </c>
      <c r="C64" s="3"/>
      <c r="D64" s="3"/>
      <c r="E64" s="3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33"/>
      <c r="Q64" s="2"/>
      <c r="R64" s="93"/>
      <c r="S64" s="2"/>
      <c r="T64" s="93"/>
    </row>
    <row r="65" spans="1:20" ht="14.25" customHeight="1">
      <c r="A65" s="2"/>
      <c r="B65" s="2" t="s">
        <v>175</v>
      </c>
      <c r="C65" s="63"/>
      <c r="D65" s="63"/>
      <c r="E65" s="63"/>
      <c r="F65" s="134">
        <v>78.930000000000007</v>
      </c>
      <c r="G65" s="134">
        <v>248.76</v>
      </c>
      <c r="H65" s="134">
        <v>227.05</v>
      </c>
      <c r="I65" s="134">
        <v>202.03</v>
      </c>
      <c r="J65" s="134">
        <v>176.67</v>
      </c>
      <c r="K65" s="134">
        <v>164.14</v>
      </c>
      <c r="L65" s="134">
        <v>136.32</v>
      </c>
      <c r="M65" s="134">
        <v>134.72999999999999</v>
      </c>
      <c r="N65" s="134">
        <v>109.83</v>
      </c>
      <c r="O65" s="135">
        <v>98.78</v>
      </c>
      <c r="P65" s="136"/>
      <c r="Q65" s="2"/>
      <c r="R65" s="93"/>
      <c r="S65" s="2"/>
      <c r="T65" s="93"/>
    </row>
    <row r="66" spans="1:20" ht="14.25" customHeight="1">
      <c r="A66" s="2"/>
      <c r="B66" s="2" t="s">
        <v>176</v>
      </c>
      <c r="C66" s="2"/>
      <c r="D66" s="2"/>
      <c r="E66" s="2"/>
      <c r="F66" s="137">
        <f t="shared" ref="F66:O66" si="47">F63+F65</f>
        <v>102.06</v>
      </c>
      <c r="G66" s="137">
        <f t="shared" si="47"/>
        <v>271.63</v>
      </c>
      <c r="H66" s="137">
        <f t="shared" si="47"/>
        <v>268.27</v>
      </c>
      <c r="I66" s="137">
        <f t="shared" si="47"/>
        <v>256.27</v>
      </c>
      <c r="J66" s="137">
        <f t="shared" si="47"/>
        <v>234.67999999999998</v>
      </c>
      <c r="K66" s="137">
        <f t="shared" si="47"/>
        <v>222.79999999999998</v>
      </c>
      <c r="L66" s="137">
        <f t="shared" si="47"/>
        <v>214.20999999999998</v>
      </c>
      <c r="M66" s="137">
        <f t="shared" si="47"/>
        <v>208.24</v>
      </c>
      <c r="N66" s="137">
        <f t="shared" si="47"/>
        <v>192.55</v>
      </c>
      <c r="O66" s="137">
        <f t="shared" si="47"/>
        <v>177.4</v>
      </c>
      <c r="P66" s="2"/>
      <c r="Q66" s="2"/>
      <c r="R66" s="93"/>
      <c r="S66" s="2"/>
      <c r="T66" s="93"/>
    </row>
    <row r="67" spans="1:20" ht="14.25" customHeight="1">
      <c r="A67" s="2"/>
      <c r="B67" s="2" t="s">
        <v>177</v>
      </c>
      <c r="C67" s="2"/>
      <c r="D67" s="2"/>
      <c r="E67" s="2"/>
      <c r="F67" s="2"/>
      <c r="G67" s="26">
        <v>173.14</v>
      </c>
      <c r="H67" s="137">
        <v>0</v>
      </c>
      <c r="I67" s="137">
        <v>0</v>
      </c>
      <c r="J67" s="137">
        <v>0</v>
      </c>
      <c r="K67" s="137">
        <v>0</v>
      </c>
      <c r="L67" s="137">
        <v>0</v>
      </c>
      <c r="M67" s="137">
        <v>0</v>
      </c>
      <c r="N67" s="137">
        <v>0</v>
      </c>
      <c r="O67" s="137">
        <v>0</v>
      </c>
      <c r="P67" s="2"/>
      <c r="Q67" s="2"/>
      <c r="R67" s="93"/>
      <c r="S67" s="2"/>
      <c r="T67" s="93"/>
    </row>
    <row r="68" spans="1:20" ht="14.25" customHeight="1">
      <c r="A68" s="2"/>
      <c r="B68" s="2" t="s">
        <v>178</v>
      </c>
      <c r="C68" s="2"/>
      <c r="D68" s="2"/>
      <c r="E68" s="2"/>
      <c r="F68" s="2"/>
      <c r="G68" s="137">
        <f t="shared" ref="G68:O68" si="48">G66-F66-G67</f>
        <v>-3.5699999999999932</v>
      </c>
      <c r="H68" s="137">
        <f t="shared" si="48"/>
        <v>-3.3600000000000136</v>
      </c>
      <c r="I68" s="137">
        <f t="shared" si="48"/>
        <v>-12</v>
      </c>
      <c r="J68" s="137">
        <f t="shared" si="48"/>
        <v>-21.590000000000003</v>
      </c>
      <c r="K68" s="137">
        <f t="shared" si="48"/>
        <v>-11.879999999999995</v>
      </c>
      <c r="L68" s="137">
        <f t="shared" si="48"/>
        <v>-8.5900000000000034</v>
      </c>
      <c r="M68" s="137">
        <f t="shared" si="48"/>
        <v>-5.9699999999999704</v>
      </c>
      <c r="N68" s="137">
        <f t="shared" si="48"/>
        <v>-15.689999999999998</v>
      </c>
      <c r="O68" s="137">
        <f t="shared" si="48"/>
        <v>-15.150000000000006</v>
      </c>
      <c r="P68" s="2"/>
      <c r="Q68" s="2"/>
      <c r="R68" s="93"/>
      <c r="S68" s="2"/>
      <c r="T68" s="93"/>
    </row>
    <row r="69" spans="1:20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93"/>
      <c r="S69" s="2"/>
      <c r="T69" s="93"/>
    </row>
    <row r="70" spans="1:2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93"/>
      <c r="S70" s="2"/>
      <c r="T70" s="93"/>
    </row>
    <row r="71" spans="1:20" ht="14.25" customHeight="1">
      <c r="A71" s="2"/>
      <c r="B71" s="62"/>
      <c r="C71" s="2" t="s">
        <v>264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93"/>
      <c r="S71" s="2"/>
      <c r="T71" s="93"/>
    </row>
    <row r="72" spans="1:20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93"/>
      <c r="S72" s="2"/>
      <c r="T72" s="93"/>
    </row>
    <row r="73" spans="1:20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93"/>
      <c r="S73" s="2"/>
      <c r="T73" s="93"/>
    </row>
    <row r="74" spans="1:20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93"/>
      <c r="S74" s="2"/>
      <c r="T74" s="93"/>
    </row>
    <row r="75" spans="1:20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93"/>
      <c r="S75" s="2"/>
      <c r="T75" s="93"/>
    </row>
    <row r="76" spans="1:20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93"/>
      <c r="S76" s="2"/>
      <c r="T76" s="93"/>
    </row>
    <row r="77" spans="1:20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93"/>
      <c r="S77" s="2"/>
      <c r="T77" s="93"/>
    </row>
    <row r="78" spans="1:20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93"/>
      <c r="S78" s="2"/>
      <c r="T78" s="93"/>
    </row>
    <row r="79" spans="1:20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93"/>
      <c r="S79" s="2"/>
      <c r="T79" s="93"/>
    </row>
    <row r="80" spans="1:2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93"/>
      <c r="S80" s="2"/>
      <c r="T80" s="93"/>
    </row>
    <row r="81" spans="1:20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93"/>
      <c r="S81" s="2"/>
      <c r="T81" s="93"/>
    </row>
    <row r="82" spans="1:20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93"/>
      <c r="S82" s="2"/>
      <c r="T82" s="93"/>
    </row>
    <row r="83" spans="1:20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93"/>
      <c r="S83" s="2"/>
      <c r="T83" s="93"/>
    </row>
    <row r="84" spans="1:20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93"/>
      <c r="S84" s="2"/>
      <c r="T84" s="93"/>
    </row>
    <row r="85" spans="1:20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93"/>
      <c r="S85" s="2"/>
      <c r="T85" s="93"/>
    </row>
    <row r="86" spans="1:20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93"/>
      <c r="S86" s="2"/>
      <c r="T86" s="93"/>
    </row>
    <row r="87" spans="1:20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93"/>
      <c r="S87" s="2"/>
      <c r="T87" s="93"/>
    </row>
    <row r="88" spans="1:20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93"/>
      <c r="S88" s="2"/>
      <c r="T88" s="93"/>
    </row>
    <row r="89" spans="1:20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93"/>
      <c r="S89" s="2"/>
      <c r="T89" s="93"/>
    </row>
    <row r="90" spans="1:2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93"/>
      <c r="S90" s="2"/>
      <c r="T90" s="93"/>
    </row>
    <row r="91" spans="1:20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93"/>
      <c r="S91" s="2"/>
      <c r="T91" s="93"/>
    </row>
    <row r="92" spans="1:20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93"/>
      <c r="S92" s="2"/>
      <c r="T92" s="93"/>
    </row>
    <row r="93" spans="1:20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93"/>
      <c r="S93" s="2"/>
      <c r="T93" s="93"/>
    </row>
    <row r="94" spans="1:20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93"/>
      <c r="S94" s="2"/>
      <c r="T94" s="93"/>
    </row>
    <row r="95" spans="1:20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93"/>
      <c r="S95" s="2"/>
      <c r="T95" s="93"/>
    </row>
    <row r="96" spans="1:20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93"/>
      <c r="S96" s="2"/>
      <c r="T96" s="93"/>
    </row>
    <row r="97" spans="1:20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93"/>
      <c r="S97" s="2"/>
      <c r="T97" s="93"/>
    </row>
    <row r="98" spans="1:20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93"/>
      <c r="S98" s="2"/>
      <c r="T98" s="93"/>
    </row>
    <row r="99" spans="1:20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93"/>
      <c r="S99" s="2"/>
      <c r="T99" s="93"/>
    </row>
    <row r="100" spans="1:2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93"/>
      <c r="S100" s="2"/>
      <c r="T100" s="93"/>
    </row>
    <row r="101" spans="1:20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93"/>
      <c r="S101" s="2"/>
      <c r="T101" s="93"/>
    </row>
    <row r="102" spans="1:20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93"/>
      <c r="S102" s="2"/>
      <c r="T102" s="93"/>
    </row>
    <row r="103" spans="1:20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93"/>
      <c r="S103" s="2"/>
      <c r="T103" s="93"/>
    </row>
    <row r="104" spans="1:20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93"/>
      <c r="S104" s="2"/>
      <c r="T104" s="93"/>
    </row>
    <row r="105" spans="1:20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93"/>
      <c r="S105" s="2"/>
      <c r="T105" s="93"/>
    </row>
    <row r="106" spans="1:20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93"/>
      <c r="S106" s="2"/>
      <c r="T106" s="93"/>
    </row>
    <row r="107" spans="1:20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93"/>
      <c r="S107" s="2"/>
      <c r="T107" s="93"/>
    </row>
    <row r="108" spans="1:20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93"/>
      <c r="S108" s="2"/>
      <c r="T108" s="93"/>
    </row>
    <row r="109" spans="1:20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93"/>
      <c r="S109" s="2"/>
      <c r="T109" s="93"/>
    </row>
    <row r="110" spans="1:2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93"/>
      <c r="S110" s="2"/>
      <c r="T110" s="93"/>
    </row>
    <row r="111" spans="1:20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93"/>
      <c r="S111" s="2"/>
      <c r="T111" s="93"/>
    </row>
    <row r="112" spans="1:20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93"/>
      <c r="S112" s="2"/>
      <c r="T112" s="93"/>
    </row>
    <row r="113" spans="1:20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93"/>
      <c r="S113" s="2"/>
      <c r="T113" s="93"/>
    </row>
    <row r="114" spans="1:20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93"/>
      <c r="S114" s="2"/>
      <c r="T114" s="93"/>
    </row>
    <row r="115" spans="1:20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93"/>
      <c r="S115" s="2"/>
      <c r="T115" s="93"/>
    </row>
    <row r="116" spans="1:20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93"/>
      <c r="S116" s="2"/>
      <c r="T116" s="93"/>
    </row>
    <row r="117" spans="1:20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93"/>
      <c r="S117" s="2"/>
      <c r="T117" s="93"/>
    </row>
    <row r="118" spans="1:20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93"/>
      <c r="S118" s="2"/>
      <c r="T118" s="93"/>
    </row>
    <row r="119" spans="1:20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93"/>
      <c r="S119" s="2"/>
      <c r="T119" s="93"/>
    </row>
    <row r="120" spans="1: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93"/>
      <c r="S120" s="2"/>
      <c r="T120" s="93"/>
    </row>
    <row r="121" spans="1:20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93"/>
      <c r="S121" s="2"/>
      <c r="T121" s="93"/>
    </row>
    <row r="122" spans="1:20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93"/>
      <c r="S122" s="2"/>
      <c r="T122" s="93"/>
    </row>
    <row r="123" spans="1:20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93"/>
      <c r="S123" s="2"/>
      <c r="T123" s="93"/>
    </row>
    <row r="124" spans="1:20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93"/>
      <c r="S124" s="2"/>
      <c r="T124" s="93"/>
    </row>
    <row r="125" spans="1:20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93"/>
      <c r="S125" s="2"/>
      <c r="T125" s="93"/>
    </row>
    <row r="126" spans="1:20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93"/>
      <c r="S126" s="2"/>
      <c r="T126" s="93"/>
    </row>
    <row r="127" spans="1:20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93"/>
      <c r="S127" s="2"/>
      <c r="T127" s="93"/>
    </row>
    <row r="128" spans="1:20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93"/>
      <c r="S128" s="2"/>
      <c r="T128" s="93"/>
    </row>
    <row r="129" spans="1:20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93"/>
      <c r="S129" s="2"/>
      <c r="T129" s="93"/>
    </row>
    <row r="130" spans="1:2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93"/>
      <c r="S130" s="2"/>
      <c r="T130" s="93"/>
    </row>
    <row r="131" spans="1:20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93"/>
      <c r="S131" s="2"/>
      <c r="T131" s="93"/>
    </row>
    <row r="132" spans="1:20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93"/>
      <c r="S132" s="2"/>
      <c r="T132" s="93"/>
    </row>
    <row r="133" spans="1:20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93"/>
      <c r="S133" s="2"/>
      <c r="T133" s="93"/>
    </row>
    <row r="134" spans="1:20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93"/>
      <c r="S134" s="2"/>
      <c r="T134" s="93"/>
    </row>
    <row r="135" spans="1:20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93"/>
      <c r="S135" s="2"/>
      <c r="T135" s="93"/>
    </row>
    <row r="136" spans="1:20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93"/>
      <c r="S136" s="2"/>
      <c r="T136" s="93"/>
    </row>
    <row r="137" spans="1:20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93"/>
      <c r="S137" s="2"/>
      <c r="T137" s="93"/>
    </row>
    <row r="138" spans="1:20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93"/>
      <c r="S138" s="2"/>
      <c r="T138" s="93"/>
    </row>
    <row r="139" spans="1:20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93"/>
      <c r="S139" s="2"/>
      <c r="T139" s="93"/>
    </row>
    <row r="140" spans="1:2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93"/>
      <c r="S140" s="2"/>
      <c r="T140" s="93"/>
    </row>
    <row r="141" spans="1:20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93"/>
      <c r="S141" s="2"/>
      <c r="T141" s="93"/>
    </row>
    <row r="142" spans="1:20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93"/>
      <c r="S142" s="2"/>
      <c r="T142" s="93"/>
    </row>
    <row r="143" spans="1:20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93"/>
      <c r="S143" s="2"/>
      <c r="T143" s="93"/>
    </row>
    <row r="144" spans="1:20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93"/>
      <c r="S144" s="2"/>
      <c r="T144" s="93"/>
    </row>
    <row r="145" spans="1:20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93"/>
      <c r="S145" s="2"/>
      <c r="T145" s="93"/>
    </row>
    <row r="146" spans="1:20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93"/>
      <c r="S146" s="2"/>
      <c r="T146" s="93"/>
    </row>
    <row r="147" spans="1:20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93"/>
      <c r="S147" s="2"/>
      <c r="T147" s="93"/>
    </row>
    <row r="148" spans="1:20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93"/>
      <c r="S148" s="2"/>
      <c r="T148" s="93"/>
    </row>
    <row r="149" spans="1:20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93"/>
      <c r="S149" s="2"/>
      <c r="T149" s="93"/>
    </row>
    <row r="150" spans="1:2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93"/>
      <c r="S150" s="2"/>
      <c r="T150" s="93"/>
    </row>
    <row r="151" spans="1:20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93"/>
      <c r="S151" s="2"/>
      <c r="T151" s="93"/>
    </row>
    <row r="152" spans="1:20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93"/>
      <c r="S152" s="2"/>
      <c r="T152" s="93"/>
    </row>
    <row r="153" spans="1:20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93"/>
      <c r="S153" s="2"/>
      <c r="T153" s="93"/>
    </row>
    <row r="154" spans="1:20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93"/>
      <c r="S154" s="2"/>
      <c r="T154" s="93"/>
    </row>
    <row r="155" spans="1:20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93"/>
      <c r="S155" s="2"/>
      <c r="T155" s="93"/>
    </row>
    <row r="156" spans="1:20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93"/>
      <c r="S156" s="2"/>
      <c r="T156" s="93"/>
    </row>
    <row r="157" spans="1:20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93"/>
      <c r="S157" s="2"/>
      <c r="T157" s="93"/>
    </row>
    <row r="158" spans="1:20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93"/>
      <c r="S158" s="2"/>
      <c r="T158" s="93"/>
    </row>
    <row r="159" spans="1:20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93"/>
      <c r="S159" s="2"/>
      <c r="T159" s="93"/>
    </row>
    <row r="160" spans="1:2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93"/>
      <c r="S160" s="2"/>
      <c r="T160" s="93"/>
    </row>
    <row r="161" spans="1:20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93"/>
      <c r="S161" s="2"/>
      <c r="T161" s="93"/>
    </row>
    <row r="162" spans="1:20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93"/>
      <c r="S162" s="2"/>
      <c r="T162" s="93"/>
    </row>
    <row r="163" spans="1:20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93"/>
      <c r="S163" s="2"/>
      <c r="T163" s="93"/>
    </row>
    <row r="164" spans="1:20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93"/>
      <c r="S164" s="2"/>
      <c r="T164" s="93"/>
    </row>
    <row r="165" spans="1:20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93"/>
      <c r="S165" s="2"/>
      <c r="T165" s="93"/>
    </row>
    <row r="166" spans="1:20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93"/>
      <c r="S166" s="2"/>
      <c r="T166" s="93"/>
    </row>
    <row r="167" spans="1:20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93"/>
      <c r="S167" s="2"/>
      <c r="T167" s="93"/>
    </row>
    <row r="168" spans="1:20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93"/>
      <c r="S168" s="2"/>
      <c r="T168" s="93"/>
    </row>
    <row r="169" spans="1:20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93"/>
      <c r="S169" s="2"/>
      <c r="T169" s="93"/>
    </row>
    <row r="170" spans="1:2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93"/>
      <c r="S170" s="2"/>
      <c r="T170" s="93"/>
    </row>
    <row r="171" spans="1:20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93"/>
      <c r="S171" s="2"/>
      <c r="T171" s="93"/>
    </row>
    <row r="172" spans="1:20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93"/>
      <c r="S172" s="2"/>
      <c r="T172" s="93"/>
    </row>
    <row r="173" spans="1:20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93"/>
      <c r="S173" s="2"/>
      <c r="T173" s="93"/>
    </row>
    <row r="174" spans="1:20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93"/>
      <c r="S174" s="2"/>
      <c r="T174" s="93"/>
    </row>
    <row r="175" spans="1:20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93"/>
      <c r="S175" s="2"/>
      <c r="T175" s="93"/>
    </row>
    <row r="176" spans="1:20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93"/>
      <c r="S176" s="2"/>
      <c r="T176" s="93"/>
    </row>
    <row r="177" spans="1:20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93"/>
      <c r="S177" s="2"/>
      <c r="T177" s="93"/>
    </row>
    <row r="178" spans="1:20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93"/>
      <c r="S178" s="2"/>
      <c r="T178" s="93"/>
    </row>
    <row r="179" spans="1:20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93"/>
      <c r="S179" s="2"/>
      <c r="T179" s="93"/>
    </row>
    <row r="180" spans="1:2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93"/>
      <c r="S180" s="2"/>
      <c r="T180" s="93"/>
    </row>
    <row r="181" spans="1:20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93"/>
      <c r="S181" s="2"/>
      <c r="T181" s="93"/>
    </row>
    <row r="182" spans="1:20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93"/>
      <c r="S182" s="2"/>
      <c r="T182" s="93"/>
    </row>
    <row r="183" spans="1:20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93"/>
      <c r="S183" s="2"/>
      <c r="T183" s="93"/>
    </row>
    <row r="184" spans="1:20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93"/>
      <c r="S184" s="2"/>
      <c r="T184" s="93"/>
    </row>
    <row r="185" spans="1:20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93"/>
      <c r="S185" s="2"/>
      <c r="T185" s="93"/>
    </row>
    <row r="186" spans="1:20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93"/>
      <c r="S186" s="2"/>
      <c r="T186" s="93"/>
    </row>
    <row r="187" spans="1:20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93"/>
      <c r="S187" s="2"/>
      <c r="T187" s="93"/>
    </row>
    <row r="188" spans="1:20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93"/>
      <c r="S188" s="2"/>
      <c r="T188" s="93"/>
    </row>
    <row r="189" spans="1:20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93"/>
      <c r="S189" s="2"/>
      <c r="T189" s="93"/>
    </row>
    <row r="190" spans="1:2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93"/>
      <c r="S190" s="2"/>
      <c r="T190" s="93"/>
    </row>
    <row r="191" spans="1:20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93"/>
      <c r="S191" s="2"/>
      <c r="T191" s="93"/>
    </row>
    <row r="192" spans="1:20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93"/>
      <c r="S192" s="2"/>
      <c r="T192" s="93"/>
    </row>
    <row r="193" spans="1:20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93"/>
      <c r="S193" s="2"/>
      <c r="T193" s="93"/>
    </row>
    <row r="194" spans="1:20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93"/>
      <c r="S194" s="2"/>
      <c r="T194" s="93"/>
    </row>
    <row r="195" spans="1:20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93"/>
      <c r="S195" s="2"/>
      <c r="T195" s="93"/>
    </row>
    <row r="196" spans="1:20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93"/>
      <c r="S196" s="2"/>
      <c r="T196" s="93"/>
    </row>
    <row r="197" spans="1:20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93"/>
      <c r="S197" s="2"/>
      <c r="T197" s="93"/>
    </row>
    <row r="198" spans="1:20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93"/>
      <c r="S198" s="2"/>
      <c r="T198" s="93"/>
    </row>
    <row r="199" spans="1:20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93"/>
      <c r="S199" s="2"/>
      <c r="T199" s="93"/>
    </row>
    <row r="200" spans="1:2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93"/>
      <c r="S200" s="2"/>
      <c r="T200" s="93"/>
    </row>
    <row r="201" spans="1:20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93"/>
      <c r="S201" s="2"/>
      <c r="T201" s="93"/>
    </row>
    <row r="202" spans="1:20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93"/>
      <c r="S202" s="2"/>
      <c r="T202" s="93"/>
    </row>
    <row r="203" spans="1:20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93"/>
      <c r="S203" s="2"/>
      <c r="T203" s="93"/>
    </row>
    <row r="204" spans="1:20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93"/>
      <c r="S204" s="2"/>
      <c r="T204" s="93"/>
    </row>
    <row r="205" spans="1:20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93"/>
      <c r="S205" s="2"/>
      <c r="T205" s="93"/>
    </row>
    <row r="206" spans="1:20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93"/>
      <c r="S206" s="2"/>
      <c r="T206" s="93"/>
    </row>
    <row r="207" spans="1:20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93"/>
      <c r="S207" s="2"/>
      <c r="T207" s="93"/>
    </row>
    <row r="208" spans="1:20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93"/>
      <c r="S208" s="2"/>
      <c r="T208" s="93"/>
    </row>
    <row r="209" spans="1:20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93"/>
      <c r="S209" s="2"/>
      <c r="T209" s="93"/>
    </row>
    <row r="210" spans="1:2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93"/>
      <c r="S210" s="2"/>
      <c r="T210" s="93"/>
    </row>
    <row r="211" spans="1:20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93"/>
      <c r="S211" s="2"/>
      <c r="T211" s="93"/>
    </row>
    <row r="212" spans="1:20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93"/>
      <c r="S212" s="2"/>
      <c r="T212" s="93"/>
    </row>
    <row r="213" spans="1:20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93"/>
      <c r="S213" s="2"/>
      <c r="T213" s="93"/>
    </row>
    <row r="214" spans="1:20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93"/>
      <c r="S214" s="2"/>
      <c r="T214" s="93"/>
    </row>
    <row r="215" spans="1:20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93"/>
      <c r="S215" s="2"/>
      <c r="T215" s="93"/>
    </row>
    <row r="216" spans="1:20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93"/>
      <c r="S216" s="2"/>
      <c r="T216" s="93"/>
    </row>
    <row r="217" spans="1:20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93"/>
      <c r="S217" s="2"/>
      <c r="T217" s="93"/>
    </row>
    <row r="218" spans="1:20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93"/>
      <c r="S218" s="2"/>
      <c r="T218" s="93"/>
    </row>
    <row r="219" spans="1:20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93"/>
      <c r="S219" s="2"/>
      <c r="T219" s="93"/>
    </row>
    <row r="220" spans="1: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93"/>
      <c r="S220" s="2"/>
      <c r="T220" s="93"/>
    </row>
    <row r="221" spans="1:20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93"/>
      <c r="S221" s="2"/>
      <c r="T221" s="93"/>
    </row>
    <row r="222" spans="1:20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93"/>
      <c r="S222" s="2"/>
      <c r="T222" s="93"/>
    </row>
    <row r="223" spans="1:20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93"/>
      <c r="S223" s="2"/>
      <c r="T223" s="93"/>
    </row>
    <row r="224" spans="1:20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93"/>
      <c r="S224" s="2"/>
      <c r="T224" s="93"/>
    </row>
    <row r="225" spans="1:20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93"/>
      <c r="S225" s="2"/>
      <c r="T225" s="93"/>
    </row>
    <row r="226" spans="1:20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93"/>
      <c r="S226" s="2"/>
      <c r="T226" s="93"/>
    </row>
    <row r="227" spans="1:20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93"/>
      <c r="S227" s="2"/>
      <c r="T227" s="93"/>
    </row>
    <row r="228" spans="1:20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93"/>
      <c r="S228" s="2"/>
      <c r="T228" s="93"/>
    </row>
    <row r="229" spans="1:20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93"/>
      <c r="S229" s="2"/>
      <c r="T229" s="93"/>
    </row>
    <row r="230" spans="1:2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93"/>
      <c r="S230" s="2"/>
      <c r="T230" s="93"/>
    </row>
    <row r="231" spans="1:20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93"/>
      <c r="S231" s="2"/>
      <c r="T231" s="93"/>
    </row>
    <row r="232" spans="1:20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93"/>
      <c r="S232" s="2"/>
      <c r="T232" s="93"/>
    </row>
    <row r="233" spans="1:20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93"/>
      <c r="S233" s="2"/>
      <c r="T233" s="93"/>
    </row>
    <row r="234" spans="1:20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93"/>
      <c r="S234" s="2"/>
      <c r="T234" s="93"/>
    </row>
    <row r="235" spans="1:20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93"/>
      <c r="S235" s="2"/>
      <c r="T235" s="93"/>
    </row>
    <row r="236" spans="1:20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93"/>
      <c r="S236" s="2"/>
      <c r="T236" s="93"/>
    </row>
    <row r="237" spans="1:20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93"/>
      <c r="S237" s="2"/>
      <c r="T237" s="93"/>
    </row>
    <row r="238" spans="1:20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93"/>
      <c r="S238" s="2"/>
      <c r="T238" s="93"/>
    </row>
    <row r="239" spans="1:20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93"/>
      <c r="S239" s="2"/>
      <c r="T239" s="93"/>
    </row>
    <row r="240" spans="1:2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93"/>
      <c r="S240" s="2"/>
      <c r="T240" s="93"/>
    </row>
    <row r="241" spans="1:20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93"/>
      <c r="S241" s="2"/>
      <c r="T241" s="93"/>
    </row>
    <row r="242" spans="1:20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93"/>
      <c r="S242" s="2"/>
      <c r="T242" s="93"/>
    </row>
    <row r="243" spans="1:20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93"/>
      <c r="S243" s="2"/>
      <c r="T243" s="93"/>
    </row>
    <row r="244" spans="1:20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93"/>
      <c r="S244" s="2"/>
      <c r="T244" s="93"/>
    </row>
    <row r="245" spans="1:20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93"/>
      <c r="S245" s="2"/>
      <c r="T245" s="93"/>
    </row>
    <row r="246" spans="1:20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93"/>
      <c r="S246" s="2"/>
      <c r="T246" s="93"/>
    </row>
    <row r="247" spans="1:20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93"/>
      <c r="S247" s="2"/>
      <c r="T247" s="93"/>
    </row>
    <row r="248" spans="1:20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93"/>
      <c r="S248" s="2"/>
      <c r="T248" s="93"/>
    </row>
    <row r="249" spans="1:20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93"/>
      <c r="S249" s="2"/>
      <c r="T249" s="93"/>
    </row>
    <row r="250" spans="1:2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93"/>
      <c r="S250" s="2"/>
      <c r="T250" s="93"/>
    </row>
    <row r="251" spans="1:20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93"/>
      <c r="S251" s="2"/>
      <c r="T251" s="93"/>
    </row>
    <row r="252" spans="1:20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93"/>
      <c r="S252" s="2"/>
      <c r="T252" s="93"/>
    </row>
    <row r="253" spans="1:20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93"/>
      <c r="S253" s="2"/>
      <c r="T253" s="93"/>
    </row>
    <row r="254" spans="1:20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93"/>
      <c r="S254" s="2"/>
      <c r="T254" s="93"/>
    </row>
    <row r="255" spans="1:20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93"/>
      <c r="S255" s="2"/>
      <c r="T255" s="93"/>
    </row>
    <row r="256" spans="1:20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93"/>
      <c r="S256" s="2"/>
      <c r="T256" s="93"/>
    </row>
    <row r="257" spans="1:20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93"/>
      <c r="S257" s="2"/>
      <c r="T257" s="93"/>
    </row>
    <row r="258" spans="1:20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93"/>
      <c r="S258" s="2"/>
      <c r="T258" s="93"/>
    </row>
    <row r="259" spans="1:20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93"/>
      <c r="S259" s="2"/>
      <c r="T259" s="93"/>
    </row>
    <row r="260" spans="1:2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93"/>
      <c r="S260" s="2"/>
      <c r="T260" s="93"/>
    </row>
    <row r="261" spans="1:20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93"/>
      <c r="S261" s="2"/>
      <c r="T261" s="93"/>
    </row>
    <row r="262" spans="1:20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93"/>
      <c r="S262" s="2"/>
      <c r="T262" s="93"/>
    </row>
    <row r="263" spans="1:20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93"/>
      <c r="S263" s="2"/>
      <c r="T263" s="93"/>
    </row>
    <row r="264" spans="1:20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93"/>
      <c r="S264" s="2"/>
      <c r="T264" s="93"/>
    </row>
    <row r="265" spans="1:20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93"/>
      <c r="S265" s="2"/>
      <c r="T265" s="93"/>
    </row>
    <row r="266" spans="1:20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93"/>
      <c r="S266" s="2"/>
      <c r="T266" s="93"/>
    </row>
    <row r="267" spans="1:20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93"/>
      <c r="S267" s="2"/>
      <c r="T267" s="93"/>
    </row>
    <row r="268" spans="1:20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93"/>
      <c r="S268" s="2"/>
      <c r="T268" s="93"/>
    </row>
    <row r="269" spans="1:20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93"/>
      <c r="S269" s="2"/>
      <c r="T269" s="93"/>
    </row>
    <row r="270" spans="1:2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93"/>
      <c r="S270" s="2"/>
      <c r="T270" s="93"/>
    </row>
    <row r="271" spans="1:20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93"/>
      <c r="S271" s="2"/>
      <c r="T271" s="93"/>
    </row>
    <row r="272" spans="1:20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93"/>
      <c r="S272" s="2"/>
      <c r="T272" s="93"/>
    </row>
    <row r="273" spans="1:20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93"/>
      <c r="S273" s="2"/>
      <c r="T273" s="93"/>
    </row>
    <row r="274" spans="1:20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93"/>
      <c r="S274" s="2"/>
      <c r="T274" s="93"/>
    </row>
    <row r="275" spans="1:20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93"/>
      <c r="S275" s="2"/>
      <c r="T275" s="93"/>
    </row>
    <row r="276" spans="1:20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93"/>
      <c r="S276" s="2"/>
      <c r="T276" s="93"/>
    </row>
    <row r="277" spans="1:20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93"/>
      <c r="S277" s="2"/>
      <c r="T277" s="93"/>
    </row>
    <row r="278" spans="1:20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93"/>
      <c r="S278" s="2"/>
      <c r="T278" s="93"/>
    </row>
    <row r="279" spans="1:20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93"/>
      <c r="S279" s="2"/>
      <c r="T279" s="93"/>
    </row>
    <row r="280" spans="1:2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93"/>
      <c r="S280" s="2"/>
      <c r="T280" s="93"/>
    </row>
    <row r="281" spans="1:20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93"/>
      <c r="S281" s="2"/>
      <c r="T281" s="93"/>
    </row>
    <row r="282" spans="1:20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93"/>
      <c r="S282" s="2"/>
      <c r="T282" s="93"/>
    </row>
    <row r="283" spans="1:20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93"/>
      <c r="S283" s="2"/>
      <c r="T283" s="93"/>
    </row>
    <row r="284" spans="1:20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93"/>
      <c r="S284" s="2"/>
      <c r="T284" s="93"/>
    </row>
    <row r="285" spans="1:20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93"/>
      <c r="S285" s="2"/>
      <c r="T285" s="93"/>
    </row>
    <row r="286" spans="1:20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93"/>
      <c r="S286" s="2"/>
      <c r="T286" s="93"/>
    </row>
    <row r="287" spans="1:20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93"/>
      <c r="S287" s="2"/>
      <c r="T287" s="93"/>
    </row>
    <row r="288" spans="1:20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93"/>
      <c r="S288" s="2"/>
      <c r="T288" s="93"/>
    </row>
    <row r="289" spans="1:20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93"/>
      <c r="S289" s="2"/>
      <c r="T289" s="93"/>
    </row>
    <row r="290" spans="1:2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93"/>
      <c r="S290" s="2"/>
      <c r="T290" s="93"/>
    </row>
    <row r="291" spans="1:20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93"/>
      <c r="S291" s="2"/>
      <c r="T291" s="93"/>
    </row>
    <row r="292" spans="1:20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93"/>
      <c r="S292" s="2"/>
      <c r="T292" s="93"/>
    </row>
    <row r="293" spans="1:20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93"/>
      <c r="S293" s="2"/>
      <c r="T293" s="93"/>
    </row>
    <row r="294" spans="1:20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93"/>
      <c r="S294" s="2"/>
      <c r="T294" s="93"/>
    </row>
    <row r="295" spans="1:20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93"/>
      <c r="S295" s="2"/>
      <c r="T295" s="93"/>
    </row>
    <row r="296" spans="1:20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93"/>
      <c r="S296" s="2"/>
      <c r="T296" s="93"/>
    </row>
    <row r="297" spans="1:20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93"/>
      <c r="S297" s="2"/>
      <c r="T297" s="93"/>
    </row>
    <row r="298" spans="1:20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93"/>
      <c r="S298" s="2"/>
      <c r="T298" s="93"/>
    </row>
    <row r="299" spans="1:20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93"/>
      <c r="S299" s="2"/>
      <c r="T299" s="93"/>
    </row>
    <row r="300" spans="1:2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93"/>
      <c r="S300" s="2"/>
      <c r="T300" s="93"/>
    </row>
    <row r="301" spans="1:20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93"/>
      <c r="S301" s="2"/>
      <c r="T301" s="93"/>
    </row>
    <row r="302" spans="1:20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93"/>
      <c r="S302" s="2"/>
      <c r="T302" s="93"/>
    </row>
    <row r="303" spans="1:20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93"/>
      <c r="S303" s="2"/>
      <c r="T303" s="93"/>
    </row>
    <row r="304" spans="1:20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93"/>
      <c r="S304" s="2"/>
      <c r="T304" s="93"/>
    </row>
    <row r="305" spans="1:20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93"/>
      <c r="S305" s="2"/>
      <c r="T305" s="93"/>
    </row>
    <row r="306" spans="1:20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93"/>
      <c r="S306" s="2"/>
      <c r="T306" s="93"/>
    </row>
    <row r="307" spans="1:20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93"/>
      <c r="S307" s="2"/>
      <c r="T307" s="93"/>
    </row>
    <row r="308" spans="1:20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93"/>
      <c r="S308" s="2"/>
      <c r="T308" s="93"/>
    </row>
    <row r="309" spans="1:20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93"/>
      <c r="S309" s="2"/>
      <c r="T309" s="93"/>
    </row>
    <row r="310" spans="1:2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93"/>
      <c r="S310" s="2"/>
      <c r="T310" s="93"/>
    </row>
    <row r="311" spans="1:20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93"/>
      <c r="S311" s="2"/>
      <c r="T311" s="93"/>
    </row>
    <row r="312" spans="1:20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93"/>
      <c r="S312" s="2"/>
      <c r="T312" s="93"/>
    </row>
    <row r="313" spans="1:20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93"/>
      <c r="S313" s="2"/>
      <c r="T313" s="93"/>
    </row>
    <row r="314" spans="1:20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93"/>
      <c r="S314" s="2"/>
      <c r="T314" s="93"/>
    </row>
    <row r="315" spans="1:20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93"/>
      <c r="S315" s="2"/>
      <c r="T315" s="93"/>
    </row>
    <row r="316" spans="1:20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93"/>
      <c r="S316" s="2"/>
      <c r="T316" s="93"/>
    </row>
    <row r="317" spans="1:20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93"/>
      <c r="S317" s="2"/>
      <c r="T317" s="93"/>
    </row>
    <row r="318" spans="1:20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93"/>
      <c r="S318" s="2"/>
      <c r="T318" s="93"/>
    </row>
    <row r="319" spans="1:20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93"/>
      <c r="S319" s="2"/>
      <c r="T319" s="93"/>
    </row>
    <row r="320" spans="1: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93"/>
      <c r="S320" s="2"/>
      <c r="T320" s="93"/>
    </row>
    <row r="321" spans="1:20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93"/>
      <c r="S321" s="2"/>
      <c r="T321" s="93"/>
    </row>
    <row r="322" spans="1:20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93"/>
      <c r="S322" s="2"/>
      <c r="T322" s="93"/>
    </row>
    <row r="323" spans="1:20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93"/>
      <c r="S323" s="2"/>
      <c r="T323" s="93"/>
    </row>
    <row r="324" spans="1:20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93"/>
      <c r="S324" s="2"/>
      <c r="T324" s="93"/>
    </row>
    <row r="325" spans="1:20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93"/>
      <c r="S325" s="2"/>
      <c r="T325" s="93"/>
    </row>
    <row r="326" spans="1:20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93"/>
      <c r="S326" s="2"/>
      <c r="T326" s="93"/>
    </row>
    <row r="327" spans="1:20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93"/>
      <c r="S327" s="2"/>
      <c r="T327" s="93"/>
    </row>
    <row r="328" spans="1:20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93"/>
      <c r="S328" s="2"/>
      <c r="T328" s="93"/>
    </row>
    <row r="329" spans="1:20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93"/>
      <c r="S329" s="2"/>
      <c r="T329" s="93"/>
    </row>
    <row r="330" spans="1:2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93"/>
      <c r="S330" s="2"/>
      <c r="T330" s="93"/>
    </row>
    <row r="331" spans="1:20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93"/>
      <c r="S331" s="2"/>
      <c r="T331" s="93"/>
    </row>
    <row r="332" spans="1:20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93"/>
      <c r="S332" s="2"/>
      <c r="T332" s="93"/>
    </row>
    <row r="333" spans="1:20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93"/>
      <c r="S333" s="2"/>
      <c r="T333" s="93"/>
    </row>
    <row r="334" spans="1:20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93"/>
      <c r="S334" s="2"/>
      <c r="T334" s="93"/>
    </row>
    <row r="335" spans="1:20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93"/>
      <c r="S335" s="2"/>
      <c r="T335" s="93"/>
    </row>
    <row r="336" spans="1:20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93"/>
      <c r="S336" s="2"/>
      <c r="T336" s="93"/>
    </row>
    <row r="337" spans="1:20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93"/>
      <c r="S337" s="2"/>
      <c r="T337" s="93"/>
    </row>
    <row r="338" spans="1:20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93"/>
      <c r="S338" s="2"/>
      <c r="T338" s="93"/>
    </row>
    <row r="339" spans="1:20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93"/>
      <c r="S339" s="2"/>
      <c r="T339" s="93"/>
    </row>
    <row r="340" spans="1:2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93"/>
      <c r="S340" s="2"/>
      <c r="T340" s="93"/>
    </row>
    <row r="341" spans="1:20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93"/>
      <c r="S341" s="2"/>
      <c r="T341" s="93"/>
    </row>
    <row r="342" spans="1:20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93"/>
      <c r="S342" s="2"/>
      <c r="T342" s="93"/>
    </row>
    <row r="343" spans="1:20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93"/>
      <c r="S343" s="2"/>
      <c r="T343" s="93"/>
    </row>
    <row r="344" spans="1:20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93"/>
      <c r="S344" s="2"/>
      <c r="T344" s="93"/>
    </row>
    <row r="345" spans="1:20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93"/>
      <c r="S345" s="2"/>
      <c r="T345" s="93"/>
    </row>
    <row r="346" spans="1:20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93"/>
      <c r="S346" s="2"/>
      <c r="T346" s="93"/>
    </row>
    <row r="347" spans="1:20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93"/>
      <c r="S347" s="2"/>
      <c r="T347" s="93"/>
    </row>
    <row r="348" spans="1:20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93"/>
      <c r="S348" s="2"/>
      <c r="T348" s="93"/>
    </row>
    <row r="349" spans="1:20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93"/>
      <c r="S349" s="2"/>
      <c r="T349" s="93"/>
    </row>
    <row r="350" spans="1:2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93"/>
      <c r="S350" s="2"/>
      <c r="T350" s="93"/>
    </row>
    <row r="351" spans="1:20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93"/>
      <c r="S351" s="2"/>
      <c r="T351" s="93"/>
    </row>
    <row r="352" spans="1:20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93"/>
      <c r="S352" s="2"/>
      <c r="T352" s="93"/>
    </row>
    <row r="353" spans="1:20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93"/>
      <c r="S353" s="2"/>
      <c r="T353" s="93"/>
    </row>
    <row r="354" spans="1:20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93"/>
      <c r="S354" s="2"/>
      <c r="T354" s="93"/>
    </row>
    <row r="355" spans="1:20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93"/>
      <c r="S355" s="2"/>
      <c r="T355" s="93"/>
    </row>
    <row r="356" spans="1:20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93"/>
      <c r="S356" s="2"/>
      <c r="T356" s="93"/>
    </row>
    <row r="357" spans="1:20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93"/>
      <c r="S357" s="2"/>
      <c r="T357" s="93"/>
    </row>
    <row r="358" spans="1:20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93"/>
      <c r="S358" s="2"/>
      <c r="T358" s="93"/>
    </row>
    <row r="359" spans="1:20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93"/>
      <c r="S359" s="2"/>
      <c r="T359" s="93"/>
    </row>
    <row r="360" spans="1:2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93"/>
      <c r="S360" s="2"/>
      <c r="T360" s="93"/>
    </row>
    <row r="361" spans="1:20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93"/>
      <c r="S361" s="2"/>
      <c r="T361" s="93"/>
    </row>
    <row r="362" spans="1:20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93"/>
      <c r="S362" s="2"/>
      <c r="T362" s="93"/>
    </row>
    <row r="363" spans="1:20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93"/>
      <c r="S363" s="2"/>
      <c r="T363" s="93"/>
    </row>
    <row r="364" spans="1:20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93"/>
      <c r="S364" s="2"/>
      <c r="T364" s="93"/>
    </row>
    <row r="365" spans="1:20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93"/>
      <c r="S365" s="2"/>
      <c r="T365" s="93"/>
    </row>
    <row r="366" spans="1:20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93"/>
      <c r="S366" s="2"/>
      <c r="T366" s="93"/>
    </row>
    <row r="367" spans="1:20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93"/>
      <c r="S367" s="2"/>
      <c r="T367" s="93"/>
    </row>
    <row r="368" spans="1:20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93"/>
      <c r="S368" s="2"/>
      <c r="T368" s="93"/>
    </row>
    <row r="369" spans="1:20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93"/>
      <c r="S369" s="2"/>
      <c r="T369" s="93"/>
    </row>
    <row r="370" spans="1:2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93"/>
      <c r="S370" s="2"/>
      <c r="T370" s="93"/>
    </row>
    <row r="371" spans="1:20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93"/>
      <c r="S371" s="2"/>
      <c r="T371" s="93"/>
    </row>
    <row r="372" spans="1:20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93"/>
      <c r="S372" s="2"/>
      <c r="T372" s="93"/>
    </row>
    <row r="373" spans="1:20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93"/>
      <c r="S373" s="2"/>
      <c r="T373" s="93"/>
    </row>
    <row r="374" spans="1:20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93"/>
      <c r="S374" s="2"/>
      <c r="T374" s="93"/>
    </row>
    <row r="375" spans="1:20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93"/>
      <c r="S375" s="2"/>
      <c r="T375" s="93"/>
    </row>
    <row r="376" spans="1:20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93"/>
      <c r="S376" s="2"/>
      <c r="T376" s="93"/>
    </row>
    <row r="377" spans="1:20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93"/>
      <c r="S377" s="2"/>
      <c r="T377" s="93"/>
    </row>
    <row r="378" spans="1:20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93"/>
      <c r="S378" s="2"/>
      <c r="T378" s="93"/>
    </row>
    <row r="379" spans="1:20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93"/>
      <c r="S379" s="2"/>
      <c r="T379" s="93"/>
    </row>
    <row r="380" spans="1:2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93"/>
      <c r="S380" s="2"/>
      <c r="T380" s="93"/>
    </row>
    <row r="381" spans="1:20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93"/>
      <c r="S381" s="2"/>
      <c r="T381" s="93"/>
    </row>
    <row r="382" spans="1:20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93"/>
      <c r="S382" s="2"/>
      <c r="T382" s="93"/>
    </row>
    <row r="383" spans="1:20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93"/>
      <c r="S383" s="2"/>
      <c r="T383" s="93"/>
    </row>
    <row r="384" spans="1:20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93"/>
      <c r="S384" s="2"/>
      <c r="T384" s="93"/>
    </row>
    <row r="385" spans="1:20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93"/>
      <c r="S385" s="2"/>
      <c r="T385" s="93"/>
    </row>
    <row r="386" spans="1:20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93"/>
      <c r="S386" s="2"/>
      <c r="T386" s="93"/>
    </row>
    <row r="387" spans="1:20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93"/>
      <c r="S387" s="2"/>
      <c r="T387" s="93"/>
    </row>
    <row r="388" spans="1:20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93"/>
      <c r="S388" s="2"/>
      <c r="T388" s="93"/>
    </row>
    <row r="389" spans="1:20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93"/>
      <c r="S389" s="2"/>
      <c r="T389" s="93"/>
    </row>
    <row r="390" spans="1:2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93"/>
      <c r="S390" s="2"/>
      <c r="T390" s="93"/>
    </row>
    <row r="391" spans="1:20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93"/>
      <c r="S391" s="2"/>
      <c r="T391" s="93"/>
    </row>
    <row r="392" spans="1:20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93"/>
      <c r="S392" s="2"/>
      <c r="T392" s="93"/>
    </row>
    <row r="393" spans="1:20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93"/>
      <c r="S393" s="2"/>
      <c r="T393" s="93"/>
    </row>
    <row r="394" spans="1:20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93"/>
      <c r="S394" s="2"/>
      <c r="T394" s="93"/>
    </row>
    <row r="395" spans="1:20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93"/>
      <c r="S395" s="2"/>
      <c r="T395" s="93"/>
    </row>
    <row r="396" spans="1:20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93"/>
      <c r="S396" s="2"/>
      <c r="T396" s="93"/>
    </row>
    <row r="397" spans="1:20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93"/>
      <c r="S397" s="2"/>
      <c r="T397" s="93"/>
    </row>
    <row r="398" spans="1:20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93"/>
      <c r="S398" s="2"/>
      <c r="T398" s="93"/>
    </row>
    <row r="399" spans="1:20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93"/>
      <c r="S399" s="2"/>
      <c r="T399" s="93"/>
    </row>
    <row r="400" spans="1:2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93"/>
      <c r="S400" s="2"/>
      <c r="T400" s="93"/>
    </row>
    <row r="401" spans="1:20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93"/>
      <c r="S401" s="2"/>
      <c r="T401" s="93"/>
    </row>
    <row r="402" spans="1:20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93"/>
      <c r="S402" s="2"/>
      <c r="T402" s="93"/>
    </row>
    <row r="403" spans="1:20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93"/>
      <c r="S403" s="2"/>
      <c r="T403" s="93"/>
    </row>
    <row r="404" spans="1:20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93"/>
      <c r="S404" s="2"/>
      <c r="T404" s="93"/>
    </row>
    <row r="405" spans="1:20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93"/>
      <c r="S405" s="2"/>
      <c r="T405" s="93"/>
    </row>
    <row r="406" spans="1:20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93"/>
      <c r="S406" s="2"/>
      <c r="T406" s="93"/>
    </row>
    <row r="407" spans="1:20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93"/>
      <c r="S407" s="2"/>
      <c r="T407" s="93"/>
    </row>
    <row r="408" spans="1:20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93"/>
      <c r="S408" s="2"/>
      <c r="T408" s="93"/>
    </row>
    <row r="409" spans="1:20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93"/>
      <c r="S409" s="2"/>
      <c r="T409" s="93"/>
    </row>
    <row r="410" spans="1:2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93"/>
      <c r="S410" s="2"/>
      <c r="T410" s="93"/>
    </row>
    <row r="411" spans="1:20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93"/>
      <c r="S411" s="2"/>
      <c r="T411" s="93"/>
    </row>
    <row r="412" spans="1:20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93"/>
      <c r="S412" s="2"/>
      <c r="T412" s="93"/>
    </row>
    <row r="413" spans="1:20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93"/>
      <c r="S413" s="2"/>
      <c r="T413" s="93"/>
    </row>
    <row r="414" spans="1:20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93"/>
      <c r="S414" s="2"/>
      <c r="T414" s="93"/>
    </row>
    <row r="415" spans="1:20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93"/>
      <c r="S415" s="2"/>
      <c r="T415" s="93"/>
    </row>
    <row r="416" spans="1:20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93"/>
      <c r="S416" s="2"/>
      <c r="T416" s="93"/>
    </row>
    <row r="417" spans="1:20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93"/>
      <c r="S417" s="2"/>
      <c r="T417" s="93"/>
    </row>
    <row r="418" spans="1:20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93"/>
      <c r="S418" s="2"/>
      <c r="T418" s="93"/>
    </row>
    <row r="419" spans="1:20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93"/>
      <c r="S419" s="2"/>
      <c r="T419" s="93"/>
    </row>
    <row r="420" spans="1: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93"/>
      <c r="S420" s="2"/>
      <c r="T420" s="93"/>
    </row>
    <row r="421" spans="1:20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93"/>
      <c r="S421" s="2"/>
      <c r="T421" s="93"/>
    </row>
    <row r="422" spans="1:20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93"/>
      <c r="S422" s="2"/>
      <c r="T422" s="93"/>
    </row>
    <row r="423" spans="1:20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93"/>
      <c r="S423" s="2"/>
      <c r="T423" s="93"/>
    </row>
    <row r="424" spans="1:20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93"/>
      <c r="S424" s="2"/>
      <c r="T424" s="93"/>
    </row>
    <row r="425" spans="1:20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93"/>
      <c r="S425" s="2"/>
      <c r="T425" s="93"/>
    </row>
    <row r="426" spans="1:20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93"/>
      <c r="S426" s="2"/>
      <c r="T426" s="93"/>
    </row>
    <row r="427" spans="1:20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93"/>
      <c r="S427" s="2"/>
      <c r="T427" s="93"/>
    </row>
    <row r="428" spans="1:20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93"/>
      <c r="S428" s="2"/>
      <c r="T428" s="93"/>
    </row>
    <row r="429" spans="1:20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93"/>
      <c r="S429" s="2"/>
      <c r="T429" s="93"/>
    </row>
    <row r="430" spans="1:2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93"/>
      <c r="S430" s="2"/>
      <c r="T430" s="93"/>
    </row>
    <row r="431" spans="1:20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93"/>
      <c r="S431" s="2"/>
      <c r="T431" s="93"/>
    </row>
    <row r="432" spans="1:20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93"/>
      <c r="S432" s="2"/>
      <c r="T432" s="93"/>
    </row>
    <row r="433" spans="1:20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93"/>
      <c r="S433" s="2"/>
      <c r="T433" s="93"/>
    </row>
    <row r="434" spans="1:20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93"/>
      <c r="S434" s="2"/>
      <c r="T434" s="93"/>
    </row>
    <row r="435" spans="1:20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93"/>
      <c r="S435" s="2"/>
      <c r="T435" s="93"/>
    </row>
    <row r="436" spans="1:20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93"/>
      <c r="S436" s="2"/>
      <c r="T436" s="93"/>
    </row>
    <row r="437" spans="1:20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93"/>
      <c r="S437" s="2"/>
      <c r="T437" s="93"/>
    </row>
    <row r="438" spans="1:20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93"/>
      <c r="S438" s="2"/>
      <c r="T438" s="93"/>
    </row>
    <row r="439" spans="1:20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93"/>
      <c r="S439" s="2"/>
      <c r="T439" s="93"/>
    </row>
    <row r="440" spans="1:2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93"/>
      <c r="S440" s="2"/>
      <c r="T440" s="93"/>
    </row>
    <row r="441" spans="1:20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93"/>
      <c r="S441" s="2"/>
      <c r="T441" s="93"/>
    </row>
    <row r="442" spans="1:20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93"/>
      <c r="S442" s="2"/>
      <c r="T442" s="93"/>
    </row>
    <row r="443" spans="1:20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93"/>
      <c r="S443" s="2"/>
      <c r="T443" s="93"/>
    </row>
    <row r="444" spans="1:20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93"/>
      <c r="S444" s="2"/>
      <c r="T444" s="93"/>
    </row>
    <row r="445" spans="1:20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93"/>
      <c r="S445" s="2"/>
      <c r="T445" s="93"/>
    </row>
    <row r="446" spans="1:20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93"/>
      <c r="S446" s="2"/>
      <c r="T446" s="93"/>
    </row>
    <row r="447" spans="1:20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93"/>
      <c r="S447" s="2"/>
      <c r="T447" s="93"/>
    </row>
    <row r="448" spans="1:20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93"/>
      <c r="S448" s="2"/>
      <c r="T448" s="93"/>
    </row>
    <row r="449" spans="1:20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93"/>
      <c r="S449" s="2"/>
      <c r="T449" s="93"/>
    </row>
    <row r="450" spans="1:2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93"/>
      <c r="S450" s="2"/>
      <c r="T450" s="93"/>
    </row>
    <row r="451" spans="1:20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93"/>
      <c r="S451" s="2"/>
      <c r="T451" s="93"/>
    </row>
    <row r="452" spans="1:20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93"/>
      <c r="S452" s="2"/>
      <c r="T452" s="93"/>
    </row>
    <row r="453" spans="1:20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93"/>
      <c r="S453" s="2"/>
      <c r="T453" s="93"/>
    </row>
    <row r="454" spans="1:20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93"/>
      <c r="S454" s="2"/>
      <c r="T454" s="93"/>
    </row>
    <row r="455" spans="1:20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93"/>
      <c r="S455" s="2"/>
      <c r="T455" s="93"/>
    </row>
    <row r="456" spans="1:20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93"/>
      <c r="S456" s="2"/>
      <c r="T456" s="93"/>
    </row>
    <row r="457" spans="1:20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93"/>
      <c r="S457" s="2"/>
      <c r="T457" s="93"/>
    </row>
    <row r="458" spans="1:20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93"/>
      <c r="S458" s="2"/>
      <c r="T458" s="93"/>
    </row>
    <row r="459" spans="1:20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93"/>
      <c r="S459" s="2"/>
      <c r="T459" s="93"/>
    </row>
    <row r="460" spans="1:2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93"/>
      <c r="S460" s="2"/>
      <c r="T460" s="93"/>
    </row>
    <row r="461" spans="1:20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93"/>
      <c r="S461" s="2"/>
      <c r="T461" s="93"/>
    </row>
    <row r="462" spans="1:20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93"/>
      <c r="S462" s="2"/>
      <c r="T462" s="93"/>
    </row>
    <row r="463" spans="1:20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93"/>
      <c r="S463" s="2"/>
      <c r="T463" s="93"/>
    </row>
    <row r="464" spans="1:20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93"/>
      <c r="S464" s="2"/>
      <c r="T464" s="93"/>
    </row>
    <row r="465" spans="1:20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93"/>
      <c r="S465" s="2"/>
      <c r="T465" s="93"/>
    </row>
    <row r="466" spans="1:20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93"/>
      <c r="S466" s="2"/>
      <c r="T466" s="93"/>
    </row>
    <row r="467" spans="1:20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93"/>
      <c r="S467" s="2"/>
      <c r="T467" s="93"/>
    </row>
    <row r="468" spans="1:20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93"/>
      <c r="S468" s="2"/>
      <c r="T468" s="93"/>
    </row>
    <row r="469" spans="1:20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93"/>
      <c r="S469" s="2"/>
      <c r="T469" s="93"/>
    </row>
    <row r="470" spans="1:2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93"/>
      <c r="S470" s="2"/>
      <c r="T470" s="93"/>
    </row>
    <row r="471" spans="1:20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93"/>
      <c r="S471" s="2"/>
      <c r="T471" s="93"/>
    </row>
    <row r="472" spans="1:20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93"/>
      <c r="S472" s="2"/>
      <c r="T472" s="93"/>
    </row>
    <row r="473" spans="1:20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93"/>
      <c r="S473" s="2"/>
      <c r="T473" s="93"/>
    </row>
    <row r="474" spans="1:20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93"/>
      <c r="S474" s="2"/>
      <c r="T474" s="93"/>
    </row>
    <row r="475" spans="1:20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93"/>
      <c r="S475" s="2"/>
      <c r="T475" s="93"/>
    </row>
    <row r="476" spans="1:20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93"/>
      <c r="S476" s="2"/>
      <c r="T476" s="93"/>
    </row>
    <row r="477" spans="1:20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93"/>
      <c r="S477" s="2"/>
      <c r="T477" s="93"/>
    </row>
    <row r="478" spans="1:20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93"/>
      <c r="S478" s="2"/>
      <c r="T478" s="93"/>
    </row>
    <row r="479" spans="1:20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93"/>
      <c r="S479" s="2"/>
      <c r="T479" s="93"/>
    </row>
    <row r="480" spans="1:2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93"/>
      <c r="S480" s="2"/>
      <c r="T480" s="93"/>
    </row>
    <row r="481" spans="1:20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93"/>
      <c r="S481" s="2"/>
      <c r="T481" s="93"/>
    </row>
    <row r="482" spans="1:20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93"/>
      <c r="S482" s="2"/>
      <c r="T482" s="93"/>
    </row>
    <row r="483" spans="1:20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93"/>
      <c r="S483" s="2"/>
      <c r="T483" s="93"/>
    </row>
    <row r="484" spans="1:20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93"/>
      <c r="S484" s="2"/>
      <c r="T484" s="93"/>
    </row>
    <row r="485" spans="1:20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93"/>
      <c r="S485" s="2"/>
      <c r="T485" s="93"/>
    </row>
    <row r="486" spans="1:20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93"/>
      <c r="S486" s="2"/>
      <c r="T486" s="93"/>
    </row>
    <row r="487" spans="1:20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93"/>
      <c r="S487" s="2"/>
      <c r="T487" s="93"/>
    </row>
    <row r="488" spans="1:20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93"/>
      <c r="S488" s="2"/>
      <c r="T488" s="93"/>
    </row>
    <row r="489" spans="1:20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93"/>
      <c r="S489" s="2"/>
      <c r="T489" s="93"/>
    </row>
    <row r="490" spans="1:2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93"/>
      <c r="S490" s="2"/>
      <c r="T490" s="93"/>
    </row>
    <row r="491" spans="1:20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93"/>
      <c r="S491" s="2"/>
      <c r="T491" s="93"/>
    </row>
    <row r="492" spans="1:20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93"/>
      <c r="S492" s="2"/>
      <c r="T492" s="93"/>
    </row>
    <row r="493" spans="1:20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93"/>
      <c r="S493" s="2"/>
      <c r="T493" s="93"/>
    </row>
    <row r="494" spans="1:20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93"/>
      <c r="S494" s="2"/>
      <c r="T494" s="93"/>
    </row>
    <row r="495" spans="1:20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93"/>
      <c r="S495" s="2"/>
      <c r="T495" s="93"/>
    </row>
    <row r="496" spans="1:20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93"/>
      <c r="S496" s="2"/>
      <c r="T496" s="93"/>
    </row>
    <row r="497" spans="1:20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93"/>
      <c r="S497" s="2"/>
      <c r="T497" s="93"/>
    </row>
    <row r="498" spans="1:20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93"/>
      <c r="S498" s="2"/>
      <c r="T498" s="93"/>
    </row>
    <row r="499" spans="1:20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93"/>
      <c r="S499" s="2"/>
      <c r="T499" s="93"/>
    </row>
    <row r="500" spans="1:2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93"/>
      <c r="S500" s="2"/>
      <c r="T500" s="93"/>
    </row>
    <row r="501" spans="1:20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93"/>
      <c r="S501" s="2"/>
      <c r="T501" s="93"/>
    </row>
    <row r="502" spans="1:20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93"/>
      <c r="S502" s="2"/>
      <c r="T502" s="93"/>
    </row>
    <row r="503" spans="1:20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93"/>
      <c r="S503" s="2"/>
      <c r="T503" s="93"/>
    </row>
    <row r="504" spans="1:20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93"/>
      <c r="S504" s="2"/>
      <c r="T504" s="93"/>
    </row>
    <row r="505" spans="1:20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93"/>
      <c r="S505" s="2"/>
      <c r="T505" s="93"/>
    </row>
    <row r="506" spans="1:20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93"/>
      <c r="S506" s="2"/>
      <c r="T506" s="93"/>
    </row>
    <row r="507" spans="1:20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93"/>
      <c r="S507" s="2"/>
      <c r="T507" s="93"/>
    </row>
    <row r="508" spans="1:2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93"/>
      <c r="S508" s="2"/>
      <c r="T508" s="93"/>
    </row>
    <row r="509" spans="1:2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93"/>
      <c r="S509" s="2"/>
      <c r="T509" s="93"/>
    </row>
    <row r="510" spans="1:2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93"/>
      <c r="S510" s="2"/>
      <c r="T510" s="93"/>
    </row>
    <row r="511" spans="1:2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93"/>
      <c r="S511" s="2"/>
      <c r="T511" s="93"/>
    </row>
    <row r="512" spans="1:2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93"/>
      <c r="S512" s="2"/>
      <c r="T512" s="93"/>
    </row>
    <row r="513" spans="1:20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93"/>
      <c r="S513" s="2"/>
      <c r="T513" s="93"/>
    </row>
    <row r="514" spans="1:20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93"/>
      <c r="S514" s="2"/>
      <c r="T514" s="93"/>
    </row>
    <row r="515" spans="1:20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93"/>
      <c r="S515" s="2"/>
      <c r="T515" s="93"/>
    </row>
    <row r="516" spans="1:20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93"/>
      <c r="S516" s="2"/>
      <c r="T516" s="93"/>
    </row>
    <row r="517" spans="1:20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93"/>
      <c r="S517" s="2"/>
      <c r="T517" s="93"/>
    </row>
    <row r="518" spans="1:20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93"/>
      <c r="S518" s="2"/>
      <c r="T518" s="93"/>
    </row>
    <row r="519" spans="1:20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93"/>
      <c r="S519" s="2"/>
      <c r="T519" s="93"/>
    </row>
    <row r="520" spans="1: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93"/>
      <c r="S520" s="2"/>
      <c r="T520" s="93"/>
    </row>
    <row r="521" spans="1:20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93"/>
      <c r="S521" s="2"/>
      <c r="T521" s="93"/>
    </row>
    <row r="522" spans="1:20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93"/>
      <c r="S522" s="2"/>
      <c r="T522" s="93"/>
    </row>
    <row r="523" spans="1:20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93"/>
      <c r="S523" s="2"/>
      <c r="T523" s="93"/>
    </row>
    <row r="524" spans="1:20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93"/>
      <c r="S524" s="2"/>
      <c r="T524" s="93"/>
    </row>
    <row r="525" spans="1:20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93"/>
      <c r="S525" s="2"/>
      <c r="T525" s="93"/>
    </row>
    <row r="526" spans="1:20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93"/>
      <c r="S526" s="2"/>
      <c r="T526" s="93"/>
    </row>
    <row r="527" spans="1:20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93"/>
      <c r="S527" s="2"/>
      <c r="T527" s="93"/>
    </row>
    <row r="528" spans="1:20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93"/>
      <c r="S528" s="2"/>
      <c r="T528" s="93"/>
    </row>
    <row r="529" spans="1:20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93"/>
      <c r="S529" s="2"/>
      <c r="T529" s="93"/>
    </row>
    <row r="530" spans="1:2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93"/>
      <c r="S530" s="2"/>
      <c r="T530" s="93"/>
    </row>
    <row r="531" spans="1:20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93"/>
      <c r="S531" s="2"/>
      <c r="T531" s="93"/>
    </row>
    <row r="532" spans="1:20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93"/>
      <c r="S532" s="2"/>
      <c r="T532" s="93"/>
    </row>
    <row r="533" spans="1:20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93"/>
      <c r="S533" s="2"/>
      <c r="T533" s="93"/>
    </row>
    <row r="534" spans="1:20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93"/>
      <c r="S534" s="2"/>
      <c r="T534" s="93"/>
    </row>
    <row r="535" spans="1:20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93"/>
      <c r="S535" s="2"/>
      <c r="T535" s="93"/>
    </row>
    <row r="536" spans="1:20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93"/>
      <c r="S536" s="2"/>
      <c r="T536" s="93"/>
    </row>
    <row r="537" spans="1:20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93"/>
      <c r="S537" s="2"/>
      <c r="T537" s="93"/>
    </row>
    <row r="538" spans="1:20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93"/>
      <c r="S538" s="2"/>
      <c r="T538" s="93"/>
    </row>
    <row r="539" spans="1:20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93"/>
      <c r="S539" s="2"/>
      <c r="T539" s="93"/>
    </row>
    <row r="540" spans="1:2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93"/>
      <c r="S540" s="2"/>
      <c r="T540" s="93"/>
    </row>
    <row r="541" spans="1:20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93"/>
      <c r="S541" s="2"/>
      <c r="T541" s="93"/>
    </row>
    <row r="542" spans="1:20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93"/>
      <c r="S542" s="2"/>
      <c r="T542" s="93"/>
    </row>
    <row r="543" spans="1:20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93"/>
      <c r="S543" s="2"/>
      <c r="T543" s="93"/>
    </row>
    <row r="544" spans="1:20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93"/>
      <c r="S544" s="2"/>
      <c r="T544" s="93"/>
    </row>
    <row r="545" spans="1:20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93"/>
      <c r="S545" s="2"/>
      <c r="T545" s="93"/>
    </row>
    <row r="546" spans="1:20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93"/>
      <c r="S546" s="2"/>
      <c r="T546" s="93"/>
    </row>
    <row r="547" spans="1:20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93"/>
      <c r="S547" s="2"/>
      <c r="T547" s="93"/>
    </row>
    <row r="548" spans="1:20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93"/>
      <c r="S548" s="2"/>
      <c r="T548" s="93"/>
    </row>
    <row r="549" spans="1:20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93"/>
      <c r="S549" s="2"/>
      <c r="T549" s="93"/>
    </row>
    <row r="550" spans="1:2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93"/>
      <c r="S550" s="2"/>
      <c r="T550" s="93"/>
    </row>
    <row r="551" spans="1:20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93"/>
      <c r="S551" s="2"/>
      <c r="T551" s="93"/>
    </row>
    <row r="552" spans="1:20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93"/>
      <c r="S552" s="2"/>
      <c r="T552" s="93"/>
    </row>
    <row r="553" spans="1:20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93"/>
      <c r="S553" s="2"/>
      <c r="T553" s="93"/>
    </row>
    <row r="554" spans="1:20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93"/>
      <c r="S554" s="2"/>
      <c r="T554" s="93"/>
    </row>
    <row r="555" spans="1:20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93"/>
      <c r="S555" s="2"/>
      <c r="T555" s="93"/>
    </row>
    <row r="556" spans="1:20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93"/>
      <c r="S556" s="2"/>
      <c r="T556" s="93"/>
    </row>
    <row r="557" spans="1:20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93"/>
      <c r="S557" s="2"/>
      <c r="T557" s="93"/>
    </row>
    <row r="558" spans="1:20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93"/>
      <c r="S558" s="2"/>
      <c r="T558" s="93"/>
    </row>
    <row r="559" spans="1:20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93"/>
      <c r="S559" s="2"/>
      <c r="T559" s="93"/>
    </row>
    <row r="560" spans="1:2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93"/>
      <c r="S560" s="2"/>
      <c r="T560" s="93"/>
    </row>
    <row r="561" spans="1:20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93"/>
      <c r="S561" s="2"/>
      <c r="T561" s="93"/>
    </row>
    <row r="562" spans="1:20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93"/>
      <c r="S562" s="2"/>
      <c r="T562" s="93"/>
    </row>
    <row r="563" spans="1:20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93"/>
      <c r="S563" s="2"/>
      <c r="T563" s="93"/>
    </row>
    <row r="564" spans="1:20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93"/>
      <c r="S564" s="2"/>
      <c r="T564" s="93"/>
    </row>
    <row r="565" spans="1:20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93"/>
      <c r="S565" s="2"/>
      <c r="T565" s="93"/>
    </row>
    <row r="566" spans="1:20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93"/>
      <c r="S566" s="2"/>
      <c r="T566" s="93"/>
    </row>
    <row r="567" spans="1:20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93"/>
      <c r="S567" s="2"/>
      <c r="T567" s="93"/>
    </row>
    <row r="568" spans="1:20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93"/>
      <c r="S568" s="2"/>
      <c r="T568" s="93"/>
    </row>
    <row r="569" spans="1:20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93"/>
      <c r="S569" s="2"/>
      <c r="T569" s="93"/>
    </row>
    <row r="570" spans="1:2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93"/>
      <c r="S570" s="2"/>
      <c r="T570" s="93"/>
    </row>
    <row r="571" spans="1:20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93"/>
      <c r="S571" s="2"/>
      <c r="T571" s="93"/>
    </row>
    <row r="572" spans="1:20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93"/>
      <c r="S572" s="2"/>
      <c r="T572" s="93"/>
    </row>
    <row r="573" spans="1:20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93"/>
      <c r="S573" s="2"/>
      <c r="T573" s="93"/>
    </row>
    <row r="574" spans="1:20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93"/>
      <c r="S574" s="2"/>
      <c r="T574" s="93"/>
    </row>
    <row r="575" spans="1:20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93"/>
      <c r="S575" s="2"/>
      <c r="T575" s="93"/>
    </row>
    <row r="576" spans="1:20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93"/>
      <c r="S576" s="2"/>
      <c r="T576" s="93"/>
    </row>
    <row r="577" spans="1:20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93"/>
      <c r="S577" s="2"/>
      <c r="T577" s="93"/>
    </row>
    <row r="578" spans="1:20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93"/>
      <c r="S578" s="2"/>
      <c r="T578" s="93"/>
    </row>
    <row r="579" spans="1:20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93"/>
      <c r="S579" s="2"/>
      <c r="T579" s="93"/>
    </row>
    <row r="580" spans="1:2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93"/>
      <c r="S580" s="2"/>
      <c r="T580" s="93"/>
    </row>
    <row r="581" spans="1:20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93"/>
      <c r="S581" s="2"/>
      <c r="T581" s="93"/>
    </row>
    <row r="582" spans="1:20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93"/>
      <c r="S582" s="2"/>
      <c r="T582" s="93"/>
    </row>
    <row r="583" spans="1:20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93"/>
      <c r="S583" s="2"/>
      <c r="T583" s="93"/>
    </row>
    <row r="584" spans="1:20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93"/>
      <c r="S584" s="2"/>
      <c r="T584" s="93"/>
    </row>
    <row r="585" spans="1:20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93"/>
      <c r="S585" s="2"/>
      <c r="T585" s="93"/>
    </row>
    <row r="586" spans="1:20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93"/>
      <c r="S586" s="2"/>
      <c r="T586" s="93"/>
    </row>
    <row r="587" spans="1:20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93"/>
      <c r="S587" s="2"/>
      <c r="T587" s="93"/>
    </row>
    <row r="588" spans="1:20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93"/>
      <c r="S588" s="2"/>
      <c r="T588" s="93"/>
    </row>
    <row r="589" spans="1:20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93"/>
      <c r="S589" s="2"/>
      <c r="T589" s="93"/>
    </row>
    <row r="590" spans="1:2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93"/>
      <c r="S590" s="2"/>
      <c r="T590" s="93"/>
    </row>
    <row r="591" spans="1:20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93"/>
      <c r="S591" s="2"/>
      <c r="T591" s="93"/>
    </row>
    <row r="592" spans="1:20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93"/>
      <c r="S592" s="2"/>
      <c r="T592" s="93"/>
    </row>
    <row r="593" spans="1:20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93"/>
      <c r="S593" s="2"/>
      <c r="T593" s="93"/>
    </row>
    <row r="594" spans="1:20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93"/>
      <c r="S594" s="2"/>
      <c r="T594" s="93"/>
    </row>
    <row r="595" spans="1:20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93"/>
      <c r="S595" s="2"/>
      <c r="T595" s="93"/>
    </row>
    <row r="596" spans="1:20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93"/>
      <c r="S596" s="2"/>
      <c r="T596" s="93"/>
    </row>
    <row r="597" spans="1:20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93"/>
      <c r="S597" s="2"/>
      <c r="T597" s="93"/>
    </row>
    <row r="598" spans="1:20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93"/>
      <c r="S598" s="2"/>
      <c r="T598" s="93"/>
    </row>
    <row r="599" spans="1:20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93"/>
      <c r="S599" s="2"/>
      <c r="T599" s="93"/>
    </row>
    <row r="600" spans="1:2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93"/>
      <c r="S600" s="2"/>
      <c r="T600" s="93"/>
    </row>
    <row r="601" spans="1:20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93"/>
      <c r="S601" s="2"/>
      <c r="T601" s="93"/>
    </row>
    <row r="602" spans="1:20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93"/>
      <c r="S602" s="2"/>
      <c r="T602" s="93"/>
    </row>
    <row r="603" spans="1:20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93"/>
      <c r="S603" s="2"/>
      <c r="T603" s="93"/>
    </row>
    <row r="604" spans="1:20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93"/>
      <c r="S604" s="2"/>
      <c r="T604" s="93"/>
    </row>
    <row r="605" spans="1:20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93"/>
      <c r="S605" s="2"/>
      <c r="T605" s="93"/>
    </row>
    <row r="606" spans="1:20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93"/>
      <c r="S606" s="2"/>
      <c r="T606" s="93"/>
    </row>
    <row r="607" spans="1:20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93"/>
      <c r="S607" s="2"/>
      <c r="T607" s="93"/>
    </row>
    <row r="608" spans="1:20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93"/>
      <c r="S608" s="2"/>
      <c r="T608" s="93"/>
    </row>
    <row r="609" spans="1:20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93"/>
      <c r="S609" s="2"/>
      <c r="T609" s="93"/>
    </row>
    <row r="610" spans="1:2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93"/>
      <c r="S610" s="2"/>
      <c r="T610" s="93"/>
    </row>
    <row r="611" spans="1:20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93"/>
      <c r="S611" s="2"/>
      <c r="T611" s="93"/>
    </row>
    <row r="612" spans="1:20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93"/>
      <c r="S612" s="2"/>
      <c r="T612" s="93"/>
    </row>
    <row r="613" spans="1:20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93"/>
      <c r="S613" s="2"/>
      <c r="T613" s="93"/>
    </row>
    <row r="614" spans="1:20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93"/>
      <c r="S614" s="2"/>
      <c r="T614" s="93"/>
    </row>
    <row r="615" spans="1:20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93"/>
      <c r="S615" s="2"/>
      <c r="T615" s="93"/>
    </row>
    <row r="616" spans="1:20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93"/>
      <c r="S616" s="2"/>
      <c r="T616" s="93"/>
    </row>
    <row r="617" spans="1:20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93"/>
      <c r="S617" s="2"/>
      <c r="T617" s="93"/>
    </row>
    <row r="618" spans="1:20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93"/>
      <c r="S618" s="2"/>
      <c r="T618" s="93"/>
    </row>
    <row r="619" spans="1:20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93"/>
      <c r="S619" s="2"/>
      <c r="T619" s="93"/>
    </row>
    <row r="620" spans="1: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93"/>
      <c r="S620" s="2"/>
      <c r="T620" s="93"/>
    </row>
    <row r="621" spans="1:20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93"/>
      <c r="S621" s="2"/>
      <c r="T621" s="93"/>
    </row>
    <row r="622" spans="1:20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93"/>
      <c r="S622" s="2"/>
      <c r="T622" s="93"/>
    </row>
    <row r="623" spans="1:20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93"/>
      <c r="S623" s="2"/>
      <c r="T623" s="93"/>
    </row>
    <row r="624" spans="1:20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93"/>
      <c r="S624" s="2"/>
      <c r="T624" s="93"/>
    </row>
    <row r="625" spans="1:20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93"/>
      <c r="S625" s="2"/>
      <c r="T625" s="93"/>
    </row>
    <row r="626" spans="1:20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93"/>
      <c r="S626" s="2"/>
      <c r="T626" s="93"/>
    </row>
    <row r="627" spans="1:20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93"/>
      <c r="S627" s="2"/>
      <c r="T627" s="93"/>
    </row>
    <row r="628" spans="1:20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93"/>
      <c r="S628" s="2"/>
      <c r="T628" s="93"/>
    </row>
    <row r="629" spans="1:20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93"/>
      <c r="S629" s="2"/>
      <c r="T629" s="93"/>
    </row>
    <row r="630" spans="1:2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93"/>
      <c r="S630" s="2"/>
      <c r="T630" s="93"/>
    </row>
    <row r="631" spans="1:20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93"/>
      <c r="S631" s="2"/>
      <c r="T631" s="93"/>
    </row>
    <row r="632" spans="1:20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93"/>
      <c r="S632" s="2"/>
      <c r="T632" s="93"/>
    </row>
    <row r="633" spans="1:20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93"/>
      <c r="S633" s="2"/>
      <c r="T633" s="93"/>
    </row>
    <row r="634" spans="1:20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93"/>
      <c r="S634" s="2"/>
      <c r="T634" s="93"/>
    </row>
    <row r="635" spans="1:20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93"/>
      <c r="S635" s="2"/>
      <c r="T635" s="93"/>
    </row>
    <row r="636" spans="1:20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93"/>
      <c r="S636" s="2"/>
      <c r="T636" s="93"/>
    </row>
    <row r="637" spans="1:20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93"/>
      <c r="S637" s="2"/>
      <c r="T637" s="93"/>
    </row>
    <row r="638" spans="1:20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93"/>
      <c r="S638" s="2"/>
      <c r="T638" s="93"/>
    </row>
    <row r="639" spans="1:20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93"/>
      <c r="S639" s="2"/>
      <c r="T639" s="93"/>
    </row>
    <row r="640" spans="1:2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93"/>
      <c r="S640" s="2"/>
      <c r="T640" s="93"/>
    </row>
    <row r="641" spans="1:20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93"/>
      <c r="S641" s="2"/>
      <c r="T641" s="93"/>
    </row>
    <row r="642" spans="1:20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93"/>
      <c r="S642" s="2"/>
      <c r="T642" s="93"/>
    </row>
    <row r="643" spans="1:20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93"/>
      <c r="S643" s="2"/>
      <c r="T643" s="93"/>
    </row>
    <row r="644" spans="1:20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93"/>
      <c r="S644" s="2"/>
      <c r="T644" s="93"/>
    </row>
    <row r="645" spans="1:20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93"/>
      <c r="S645" s="2"/>
      <c r="T645" s="93"/>
    </row>
    <row r="646" spans="1:20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93"/>
      <c r="S646" s="2"/>
      <c r="T646" s="93"/>
    </row>
    <row r="647" spans="1:20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93"/>
      <c r="S647" s="2"/>
      <c r="T647" s="93"/>
    </row>
    <row r="648" spans="1:20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93"/>
      <c r="S648" s="2"/>
      <c r="T648" s="93"/>
    </row>
    <row r="649" spans="1:20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93"/>
      <c r="S649" s="2"/>
      <c r="T649" s="93"/>
    </row>
    <row r="650" spans="1:2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93"/>
      <c r="S650" s="2"/>
      <c r="T650" s="93"/>
    </row>
    <row r="651" spans="1:20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93"/>
      <c r="S651" s="2"/>
      <c r="T651" s="93"/>
    </row>
    <row r="652" spans="1:20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93"/>
      <c r="S652" s="2"/>
      <c r="T652" s="93"/>
    </row>
    <row r="653" spans="1:20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93"/>
      <c r="S653" s="2"/>
      <c r="T653" s="93"/>
    </row>
    <row r="654" spans="1:20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93"/>
      <c r="S654" s="2"/>
      <c r="T654" s="93"/>
    </row>
    <row r="655" spans="1:20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93"/>
      <c r="S655" s="2"/>
      <c r="T655" s="93"/>
    </row>
    <row r="656" spans="1:20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93"/>
      <c r="S656" s="2"/>
      <c r="T656" s="93"/>
    </row>
    <row r="657" spans="1:20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93"/>
      <c r="S657" s="2"/>
      <c r="T657" s="93"/>
    </row>
    <row r="658" spans="1:20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93"/>
      <c r="S658" s="2"/>
      <c r="T658" s="93"/>
    </row>
    <row r="659" spans="1:20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93"/>
      <c r="S659" s="2"/>
      <c r="T659" s="93"/>
    </row>
    <row r="660" spans="1:2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93"/>
      <c r="S660" s="2"/>
      <c r="T660" s="93"/>
    </row>
    <row r="661" spans="1:20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93"/>
      <c r="S661" s="2"/>
      <c r="T661" s="93"/>
    </row>
    <row r="662" spans="1:20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93"/>
      <c r="S662" s="2"/>
      <c r="T662" s="93"/>
    </row>
    <row r="663" spans="1:20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93"/>
      <c r="S663" s="2"/>
      <c r="T663" s="93"/>
    </row>
    <row r="664" spans="1:20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93"/>
      <c r="S664" s="2"/>
      <c r="T664" s="93"/>
    </row>
    <row r="665" spans="1:20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93"/>
      <c r="S665" s="2"/>
      <c r="T665" s="93"/>
    </row>
    <row r="666" spans="1:20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93"/>
      <c r="S666" s="2"/>
      <c r="T666" s="93"/>
    </row>
    <row r="667" spans="1:20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93"/>
      <c r="S667" s="2"/>
      <c r="T667" s="93"/>
    </row>
    <row r="668" spans="1:20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93"/>
      <c r="S668" s="2"/>
      <c r="T668" s="93"/>
    </row>
    <row r="669" spans="1:20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93"/>
      <c r="S669" s="2"/>
      <c r="T669" s="93"/>
    </row>
    <row r="670" spans="1:2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93"/>
      <c r="S670" s="2"/>
      <c r="T670" s="93"/>
    </row>
    <row r="671" spans="1:20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93"/>
      <c r="S671" s="2"/>
      <c r="T671" s="93"/>
    </row>
    <row r="672" spans="1:20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93"/>
      <c r="S672" s="2"/>
      <c r="T672" s="93"/>
    </row>
    <row r="673" spans="1:20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93"/>
      <c r="S673" s="2"/>
      <c r="T673" s="93"/>
    </row>
    <row r="674" spans="1:20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93"/>
      <c r="S674" s="2"/>
      <c r="T674" s="93"/>
    </row>
    <row r="675" spans="1:20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93"/>
      <c r="S675" s="2"/>
      <c r="T675" s="93"/>
    </row>
    <row r="676" spans="1:20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93"/>
      <c r="S676" s="2"/>
      <c r="T676" s="93"/>
    </row>
    <row r="677" spans="1:20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93"/>
      <c r="S677" s="2"/>
      <c r="T677" s="93"/>
    </row>
    <row r="678" spans="1:20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93"/>
      <c r="S678" s="2"/>
      <c r="T678" s="93"/>
    </row>
    <row r="679" spans="1:20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93"/>
      <c r="S679" s="2"/>
      <c r="T679" s="93"/>
    </row>
    <row r="680" spans="1:2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93"/>
      <c r="S680" s="2"/>
      <c r="T680" s="93"/>
    </row>
    <row r="681" spans="1:20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93"/>
      <c r="S681" s="2"/>
      <c r="T681" s="93"/>
    </row>
    <row r="682" spans="1:20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93"/>
      <c r="S682" s="2"/>
      <c r="T682" s="93"/>
    </row>
    <row r="683" spans="1:20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93"/>
      <c r="S683" s="2"/>
      <c r="T683" s="93"/>
    </row>
    <row r="684" spans="1:20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93"/>
      <c r="S684" s="2"/>
      <c r="T684" s="93"/>
    </row>
    <row r="685" spans="1:20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93"/>
      <c r="S685" s="2"/>
      <c r="T685" s="93"/>
    </row>
    <row r="686" spans="1:20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93"/>
      <c r="S686" s="2"/>
      <c r="T686" s="93"/>
    </row>
    <row r="687" spans="1:20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93"/>
      <c r="S687" s="2"/>
      <c r="T687" s="93"/>
    </row>
    <row r="688" spans="1:20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93"/>
      <c r="S688" s="2"/>
      <c r="T688" s="93"/>
    </row>
    <row r="689" spans="1:20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93"/>
      <c r="S689" s="2"/>
      <c r="T689" s="93"/>
    </row>
    <row r="690" spans="1:2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93"/>
      <c r="S690" s="2"/>
      <c r="T690" s="93"/>
    </row>
    <row r="691" spans="1:20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93"/>
      <c r="S691" s="2"/>
      <c r="T691" s="93"/>
    </row>
    <row r="692" spans="1:20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93"/>
      <c r="S692" s="2"/>
      <c r="T692" s="93"/>
    </row>
    <row r="693" spans="1:20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93"/>
      <c r="S693" s="2"/>
      <c r="T693" s="93"/>
    </row>
    <row r="694" spans="1:20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93"/>
      <c r="S694" s="2"/>
      <c r="T694" s="93"/>
    </row>
    <row r="695" spans="1:20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93"/>
      <c r="S695" s="2"/>
      <c r="T695" s="93"/>
    </row>
    <row r="696" spans="1:20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93"/>
      <c r="S696" s="2"/>
      <c r="T696" s="93"/>
    </row>
    <row r="697" spans="1:20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93"/>
      <c r="S697" s="2"/>
      <c r="T697" s="93"/>
    </row>
    <row r="698" spans="1:20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93"/>
      <c r="S698" s="2"/>
      <c r="T698" s="93"/>
    </row>
    <row r="699" spans="1:20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93"/>
      <c r="S699" s="2"/>
      <c r="T699" s="93"/>
    </row>
    <row r="700" spans="1:2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93"/>
      <c r="S700" s="2"/>
      <c r="T700" s="93"/>
    </row>
    <row r="701" spans="1:20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93"/>
      <c r="S701" s="2"/>
      <c r="T701" s="93"/>
    </row>
    <row r="702" spans="1:20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93"/>
      <c r="S702" s="2"/>
      <c r="T702" s="93"/>
    </row>
    <row r="703" spans="1:20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93"/>
      <c r="S703" s="2"/>
      <c r="T703" s="93"/>
    </row>
    <row r="704" spans="1:20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93"/>
      <c r="S704" s="2"/>
      <c r="T704" s="93"/>
    </row>
    <row r="705" spans="1:20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93"/>
      <c r="S705" s="2"/>
      <c r="T705" s="93"/>
    </row>
    <row r="706" spans="1:20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93"/>
      <c r="S706" s="2"/>
      <c r="T706" s="93"/>
    </row>
    <row r="707" spans="1:20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93"/>
      <c r="S707" s="2"/>
      <c r="T707" s="93"/>
    </row>
    <row r="708" spans="1:20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93"/>
      <c r="S708" s="2"/>
      <c r="T708" s="93"/>
    </row>
    <row r="709" spans="1:20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93"/>
      <c r="S709" s="2"/>
      <c r="T709" s="93"/>
    </row>
    <row r="710" spans="1:2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93"/>
      <c r="S710" s="2"/>
      <c r="T710" s="93"/>
    </row>
    <row r="711" spans="1:20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93"/>
      <c r="S711" s="2"/>
      <c r="T711" s="93"/>
    </row>
    <row r="712" spans="1:20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93"/>
      <c r="S712" s="2"/>
      <c r="T712" s="93"/>
    </row>
    <row r="713" spans="1:20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93"/>
      <c r="S713" s="2"/>
      <c r="T713" s="93"/>
    </row>
    <row r="714" spans="1:20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93"/>
      <c r="S714" s="2"/>
      <c r="T714" s="93"/>
    </row>
    <row r="715" spans="1:20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93"/>
      <c r="S715" s="2"/>
      <c r="T715" s="93"/>
    </row>
    <row r="716" spans="1:20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93"/>
      <c r="S716" s="2"/>
      <c r="T716" s="93"/>
    </row>
    <row r="717" spans="1:20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93"/>
      <c r="S717" s="2"/>
      <c r="T717" s="93"/>
    </row>
    <row r="718" spans="1:20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93"/>
      <c r="S718" s="2"/>
      <c r="T718" s="93"/>
    </row>
    <row r="719" spans="1:20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93"/>
      <c r="S719" s="2"/>
      <c r="T719" s="93"/>
    </row>
    <row r="720" spans="1: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93"/>
      <c r="S720" s="2"/>
      <c r="T720" s="93"/>
    </row>
    <row r="721" spans="1:20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93"/>
      <c r="S721" s="2"/>
      <c r="T721" s="93"/>
    </row>
    <row r="722" spans="1:20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93"/>
      <c r="S722" s="2"/>
      <c r="T722" s="93"/>
    </row>
    <row r="723" spans="1:20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93"/>
      <c r="S723" s="2"/>
      <c r="T723" s="93"/>
    </row>
    <row r="724" spans="1:20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93"/>
      <c r="S724" s="2"/>
      <c r="T724" s="93"/>
    </row>
    <row r="725" spans="1:20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93"/>
      <c r="S725" s="2"/>
      <c r="T725" s="93"/>
    </row>
    <row r="726" spans="1:20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93"/>
      <c r="S726" s="2"/>
      <c r="T726" s="93"/>
    </row>
    <row r="727" spans="1:20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93"/>
      <c r="S727" s="2"/>
      <c r="T727" s="93"/>
    </row>
    <row r="728" spans="1:20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93"/>
      <c r="S728" s="2"/>
      <c r="T728" s="93"/>
    </row>
    <row r="729" spans="1:20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93"/>
      <c r="S729" s="2"/>
      <c r="T729" s="93"/>
    </row>
    <row r="730" spans="1:2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93"/>
      <c r="S730" s="2"/>
      <c r="T730" s="93"/>
    </row>
    <row r="731" spans="1:20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93"/>
      <c r="S731" s="2"/>
      <c r="T731" s="93"/>
    </row>
    <row r="732" spans="1:20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93"/>
      <c r="S732" s="2"/>
      <c r="T732" s="93"/>
    </row>
    <row r="733" spans="1:20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93"/>
      <c r="S733" s="2"/>
      <c r="T733" s="93"/>
    </row>
    <row r="734" spans="1:20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93"/>
      <c r="S734" s="2"/>
      <c r="T734" s="93"/>
    </row>
    <row r="735" spans="1:20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93"/>
      <c r="S735" s="2"/>
      <c r="T735" s="93"/>
    </row>
    <row r="736" spans="1:20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93"/>
      <c r="S736" s="2"/>
      <c r="T736" s="93"/>
    </row>
    <row r="737" spans="1:20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93"/>
      <c r="S737" s="2"/>
      <c r="T737" s="93"/>
    </row>
    <row r="738" spans="1:20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93"/>
      <c r="S738" s="2"/>
      <c r="T738" s="93"/>
    </row>
    <row r="739" spans="1:20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93"/>
      <c r="S739" s="2"/>
      <c r="T739" s="93"/>
    </row>
    <row r="740" spans="1:2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93"/>
      <c r="S740" s="2"/>
      <c r="T740" s="93"/>
    </row>
    <row r="741" spans="1:20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93"/>
      <c r="S741" s="2"/>
      <c r="T741" s="93"/>
    </row>
    <row r="742" spans="1:20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93"/>
      <c r="S742" s="2"/>
      <c r="T742" s="93"/>
    </row>
    <row r="743" spans="1:20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93"/>
      <c r="S743" s="2"/>
      <c r="T743" s="93"/>
    </row>
    <row r="744" spans="1:20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93"/>
      <c r="S744" s="2"/>
      <c r="T744" s="93"/>
    </row>
    <row r="745" spans="1:20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93"/>
      <c r="S745" s="2"/>
      <c r="T745" s="93"/>
    </row>
    <row r="746" spans="1:20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93"/>
      <c r="S746" s="2"/>
      <c r="T746" s="93"/>
    </row>
    <row r="747" spans="1:20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93"/>
      <c r="S747" s="2"/>
      <c r="T747" s="93"/>
    </row>
    <row r="748" spans="1:20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93"/>
      <c r="S748" s="2"/>
      <c r="T748" s="93"/>
    </row>
    <row r="749" spans="1:20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93"/>
      <c r="S749" s="2"/>
      <c r="T749" s="93"/>
    </row>
    <row r="750" spans="1:2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93"/>
      <c r="S750" s="2"/>
      <c r="T750" s="93"/>
    </row>
    <row r="751" spans="1:20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93"/>
      <c r="S751" s="2"/>
      <c r="T751" s="93"/>
    </row>
    <row r="752" spans="1:20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93"/>
      <c r="S752" s="2"/>
      <c r="T752" s="93"/>
    </row>
    <row r="753" spans="1:20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93"/>
      <c r="S753" s="2"/>
      <c r="T753" s="93"/>
    </row>
    <row r="754" spans="1:20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93"/>
      <c r="S754" s="2"/>
      <c r="T754" s="93"/>
    </row>
    <row r="755" spans="1:20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93"/>
      <c r="S755" s="2"/>
      <c r="T755" s="93"/>
    </row>
    <row r="756" spans="1:20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93"/>
      <c r="S756" s="2"/>
      <c r="T756" s="93"/>
    </row>
    <row r="757" spans="1:20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93"/>
      <c r="S757" s="2"/>
      <c r="T757" s="93"/>
    </row>
    <row r="758" spans="1:20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93"/>
      <c r="S758" s="2"/>
      <c r="T758" s="93"/>
    </row>
    <row r="759" spans="1:20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93"/>
      <c r="S759" s="2"/>
      <c r="T759" s="93"/>
    </row>
    <row r="760" spans="1:2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93"/>
      <c r="S760" s="2"/>
      <c r="T760" s="93"/>
    </row>
    <row r="761" spans="1:20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93"/>
      <c r="S761" s="2"/>
      <c r="T761" s="93"/>
    </row>
    <row r="762" spans="1:20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93"/>
      <c r="S762" s="2"/>
      <c r="T762" s="93"/>
    </row>
    <row r="763" spans="1:20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93"/>
      <c r="S763" s="2"/>
      <c r="T763" s="93"/>
    </row>
    <row r="764" spans="1:20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93"/>
      <c r="S764" s="2"/>
      <c r="T764" s="93"/>
    </row>
    <row r="765" spans="1:20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93"/>
      <c r="S765" s="2"/>
      <c r="T765" s="93"/>
    </row>
    <row r="766" spans="1:20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93"/>
      <c r="S766" s="2"/>
      <c r="T766" s="93"/>
    </row>
    <row r="767" spans="1:20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93"/>
      <c r="S767" s="2"/>
      <c r="T767" s="93"/>
    </row>
    <row r="768" spans="1:20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93"/>
      <c r="S768" s="2"/>
      <c r="T768" s="93"/>
    </row>
    <row r="769" spans="1:20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93"/>
      <c r="S769" s="2"/>
      <c r="T769" s="93"/>
    </row>
    <row r="770" spans="1:2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93"/>
      <c r="S770" s="2"/>
      <c r="T770" s="93"/>
    </row>
    <row r="771" spans="1:20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93"/>
      <c r="S771" s="2"/>
      <c r="T771" s="93"/>
    </row>
    <row r="772" spans="1:20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93"/>
      <c r="S772" s="2"/>
      <c r="T772" s="93"/>
    </row>
    <row r="773" spans="1:20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93"/>
      <c r="S773" s="2"/>
      <c r="T773" s="93"/>
    </row>
    <row r="774" spans="1:20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93"/>
      <c r="S774" s="2"/>
      <c r="T774" s="93"/>
    </row>
    <row r="775" spans="1:20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93"/>
      <c r="S775" s="2"/>
      <c r="T775" s="93"/>
    </row>
    <row r="776" spans="1:20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93"/>
      <c r="S776" s="2"/>
      <c r="T776" s="93"/>
    </row>
    <row r="777" spans="1:20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93"/>
      <c r="S777" s="2"/>
      <c r="T777" s="93"/>
    </row>
    <row r="778" spans="1:20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93"/>
      <c r="S778" s="2"/>
      <c r="T778" s="93"/>
    </row>
    <row r="779" spans="1:20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93"/>
      <c r="S779" s="2"/>
      <c r="T779" s="93"/>
    </row>
    <row r="780" spans="1:2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93"/>
      <c r="S780" s="2"/>
      <c r="T780" s="93"/>
    </row>
    <row r="781" spans="1:20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93"/>
      <c r="S781" s="2"/>
      <c r="T781" s="93"/>
    </row>
    <row r="782" spans="1:20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93"/>
      <c r="S782" s="2"/>
      <c r="T782" s="93"/>
    </row>
    <row r="783" spans="1:20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93"/>
      <c r="S783" s="2"/>
      <c r="T783" s="93"/>
    </row>
    <row r="784" spans="1:20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93"/>
      <c r="S784" s="2"/>
      <c r="T784" s="93"/>
    </row>
    <row r="785" spans="1:20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93"/>
      <c r="S785" s="2"/>
      <c r="T785" s="93"/>
    </row>
    <row r="786" spans="1:20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93"/>
      <c r="S786" s="2"/>
      <c r="T786" s="93"/>
    </row>
    <row r="787" spans="1:20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93"/>
      <c r="S787" s="2"/>
      <c r="T787" s="93"/>
    </row>
    <row r="788" spans="1:20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93"/>
      <c r="S788" s="2"/>
      <c r="T788" s="93"/>
    </row>
    <row r="789" spans="1:20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93"/>
      <c r="S789" s="2"/>
      <c r="T789" s="93"/>
    </row>
    <row r="790" spans="1:2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93"/>
      <c r="S790" s="2"/>
      <c r="T790" s="93"/>
    </row>
    <row r="791" spans="1:20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93"/>
      <c r="S791" s="2"/>
      <c r="T791" s="93"/>
    </row>
    <row r="792" spans="1:20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93"/>
      <c r="S792" s="2"/>
      <c r="T792" s="93"/>
    </row>
    <row r="793" spans="1:20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93"/>
      <c r="S793" s="2"/>
      <c r="T793" s="93"/>
    </row>
    <row r="794" spans="1:20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93"/>
      <c r="S794" s="2"/>
      <c r="T794" s="93"/>
    </row>
    <row r="795" spans="1:20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93"/>
      <c r="S795" s="2"/>
      <c r="T795" s="93"/>
    </row>
    <row r="796" spans="1:20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93"/>
      <c r="S796" s="2"/>
      <c r="T796" s="93"/>
    </row>
    <row r="797" spans="1:20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93"/>
      <c r="S797" s="2"/>
      <c r="T797" s="93"/>
    </row>
    <row r="798" spans="1:20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93"/>
      <c r="S798" s="2"/>
      <c r="T798" s="93"/>
    </row>
    <row r="799" spans="1:20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93"/>
      <c r="S799" s="2"/>
      <c r="T799" s="93"/>
    </row>
    <row r="800" spans="1:2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93"/>
      <c r="S800" s="2"/>
      <c r="T800" s="93"/>
    </row>
    <row r="801" spans="1:20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93"/>
      <c r="S801" s="2"/>
      <c r="T801" s="93"/>
    </row>
    <row r="802" spans="1:20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93"/>
      <c r="S802" s="2"/>
      <c r="T802" s="93"/>
    </row>
    <row r="803" spans="1:20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93"/>
      <c r="S803" s="2"/>
      <c r="T803" s="93"/>
    </row>
    <row r="804" spans="1:20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93"/>
      <c r="S804" s="2"/>
      <c r="T804" s="93"/>
    </row>
    <row r="805" spans="1:20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93"/>
      <c r="S805" s="2"/>
      <c r="T805" s="93"/>
    </row>
    <row r="806" spans="1:20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93"/>
      <c r="S806" s="2"/>
      <c r="T806" s="93"/>
    </row>
    <row r="807" spans="1:20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93"/>
      <c r="S807" s="2"/>
      <c r="T807" s="93"/>
    </row>
    <row r="808" spans="1:20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93"/>
      <c r="S808" s="2"/>
      <c r="T808" s="93"/>
    </row>
    <row r="809" spans="1:20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93"/>
      <c r="S809" s="2"/>
      <c r="T809" s="93"/>
    </row>
    <row r="810" spans="1:2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93"/>
      <c r="S810" s="2"/>
      <c r="T810" s="93"/>
    </row>
    <row r="811" spans="1:20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93"/>
      <c r="S811" s="2"/>
      <c r="T811" s="93"/>
    </row>
    <row r="812" spans="1:20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93"/>
      <c r="S812" s="2"/>
      <c r="T812" s="93"/>
    </row>
    <row r="813" spans="1:20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93"/>
      <c r="S813" s="2"/>
      <c r="T813" s="93"/>
    </row>
    <row r="814" spans="1:20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93"/>
      <c r="S814" s="2"/>
      <c r="T814" s="93"/>
    </row>
    <row r="815" spans="1:20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93"/>
      <c r="S815" s="2"/>
      <c r="T815" s="93"/>
    </row>
    <row r="816" spans="1:20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93"/>
      <c r="S816" s="2"/>
      <c r="T816" s="93"/>
    </row>
    <row r="817" spans="1:20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93"/>
      <c r="S817" s="2"/>
      <c r="T817" s="93"/>
    </row>
    <row r="818" spans="1:20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93"/>
      <c r="S818" s="2"/>
      <c r="T818" s="93"/>
    </row>
    <row r="819" spans="1:20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93"/>
      <c r="S819" s="2"/>
      <c r="T819" s="93"/>
    </row>
    <row r="820" spans="1: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93"/>
      <c r="S820" s="2"/>
      <c r="T820" s="93"/>
    </row>
    <row r="821" spans="1:20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93"/>
      <c r="S821" s="2"/>
      <c r="T821" s="93"/>
    </row>
    <row r="822" spans="1:20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93"/>
      <c r="S822" s="2"/>
      <c r="T822" s="93"/>
    </row>
    <row r="823" spans="1:20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93"/>
      <c r="S823" s="2"/>
      <c r="T823" s="93"/>
    </row>
    <row r="824" spans="1:20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93"/>
      <c r="S824" s="2"/>
      <c r="T824" s="93"/>
    </row>
    <row r="825" spans="1:20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93"/>
      <c r="S825" s="2"/>
      <c r="T825" s="93"/>
    </row>
    <row r="826" spans="1:20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93"/>
      <c r="S826" s="2"/>
      <c r="T826" s="93"/>
    </row>
    <row r="827" spans="1:20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93"/>
      <c r="S827" s="2"/>
      <c r="T827" s="93"/>
    </row>
    <row r="828" spans="1:20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93"/>
      <c r="S828" s="2"/>
      <c r="T828" s="93"/>
    </row>
    <row r="829" spans="1:20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93"/>
      <c r="S829" s="2"/>
      <c r="T829" s="93"/>
    </row>
    <row r="830" spans="1:2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93"/>
      <c r="S830" s="2"/>
      <c r="T830" s="93"/>
    </row>
    <row r="831" spans="1:20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93"/>
      <c r="S831" s="2"/>
      <c r="T831" s="93"/>
    </row>
    <row r="832" spans="1:20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93"/>
      <c r="S832" s="2"/>
      <c r="T832" s="93"/>
    </row>
    <row r="833" spans="1:20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93"/>
      <c r="S833" s="2"/>
      <c r="T833" s="93"/>
    </row>
    <row r="834" spans="1:20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93"/>
      <c r="S834" s="2"/>
      <c r="T834" s="93"/>
    </row>
    <row r="835" spans="1:20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93"/>
      <c r="S835" s="2"/>
      <c r="T835" s="93"/>
    </row>
    <row r="836" spans="1:20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93"/>
      <c r="S836" s="2"/>
      <c r="T836" s="93"/>
    </row>
    <row r="837" spans="1:20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93"/>
      <c r="S837" s="2"/>
      <c r="T837" s="93"/>
    </row>
    <row r="838" spans="1:20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93"/>
      <c r="S838" s="2"/>
      <c r="T838" s="93"/>
    </row>
    <row r="839" spans="1:20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93"/>
      <c r="S839" s="2"/>
      <c r="T839" s="93"/>
    </row>
    <row r="840" spans="1:2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93"/>
      <c r="S840" s="2"/>
      <c r="T840" s="93"/>
    </row>
    <row r="841" spans="1:20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93"/>
      <c r="S841" s="2"/>
      <c r="T841" s="93"/>
    </row>
    <row r="842" spans="1:20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93"/>
      <c r="S842" s="2"/>
      <c r="T842" s="93"/>
    </row>
    <row r="843" spans="1:20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93"/>
      <c r="S843" s="2"/>
      <c r="T843" s="93"/>
    </row>
    <row r="844" spans="1:20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93"/>
      <c r="S844" s="2"/>
      <c r="T844" s="93"/>
    </row>
    <row r="845" spans="1:20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93"/>
      <c r="S845" s="2"/>
      <c r="T845" s="93"/>
    </row>
    <row r="846" spans="1:20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93"/>
      <c r="S846" s="2"/>
      <c r="T846" s="93"/>
    </row>
    <row r="847" spans="1:20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93"/>
      <c r="S847" s="2"/>
      <c r="T847" s="93"/>
    </row>
    <row r="848" spans="1:20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93"/>
      <c r="S848" s="2"/>
      <c r="T848" s="93"/>
    </row>
    <row r="849" spans="1:20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93"/>
      <c r="S849" s="2"/>
      <c r="T849" s="93"/>
    </row>
    <row r="850" spans="1:2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93"/>
      <c r="S850" s="2"/>
      <c r="T850" s="93"/>
    </row>
    <row r="851" spans="1:20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93"/>
      <c r="S851" s="2"/>
      <c r="T851" s="93"/>
    </row>
    <row r="852" spans="1:20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93"/>
      <c r="S852" s="2"/>
      <c r="T852" s="93"/>
    </row>
    <row r="853" spans="1:20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93"/>
      <c r="S853" s="2"/>
      <c r="T853" s="93"/>
    </row>
    <row r="854" spans="1:20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93"/>
      <c r="S854" s="2"/>
      <c r="T854" s="93"/>
    </row>
    <row r="855" spans="1:20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93"/>
      <c r="S855" s="2"/>
      <c r="T855" s="93"/>
    </row>
    <row r="856" spans="1:20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93"/>
      <c r="S856" s="2"/>
      <c r="T856" s="93"/>
    </row>
    <row r="857" spans="1:20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93"/>
      <c r="S857" s="2"/>
      <c r="T857" s="93"/>
    </row>
    <row r="858" spans="1:20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93"/>
      <c r="S858" s="2"/>
      <c r="T858" s="93"/>
    </row>
    <row r="859" spans="1:20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93"/>
      <c r="S859" s="2"/>
      <c r="T859" s="93"/>
    </row>
    <row r="860" spans="1:2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93"/>
      <c r="S860" s="2"/>
      <c r="T860" s="93"/>
    </row>
    <row r="861" spans="1:20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93"/>
      <c r="S861" s="2"/>
      <c r="T861" s="93"/>
    </row>
    <row r="862" spans="1:20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93"/>
      <c r="S862" s="2"/>
      <c r="T862" s="93"/>
    </row>
    <row r="863" spans="1:20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93"/>
      <c r="S863" s="2"/>
      <c r="T863" s="93"/>
    </row>
    <row r="864" spans="1:20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93"/>
      <c r="S864" s="2"/>
      <c r="T864" s="93"/>
    </row>
    <row r="865" spans="1:20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93"/>
      <c r="S865" s="2"/>
      <c r="T865" s="93"/>
    </row>
    <row r="866" spans="1:20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93"/>
      <c r="S866" s="2"/>
      <c r="T866" s="93"/>
    </row>
    <row r="867" spans="1:20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93"/>
      <c r="S867" s="2"/>
      <c r="T867" s="93"/>
    </row>
    <row r="868" spans="1:20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93"/>
      <c r="S868" s="2"/>
      <c r="T868" s="93"/>
    </row>
    <row r="869" spans="1:20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93"/>
      <c r="S869" s="2"/>
      <c r="T869" s="93"/>
    </row>
    <row r="870" spans="1:2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93"/>
      <c r="S870" s="2"/>
      <c r="T870" s="93"/>
    </row>
    <row r="871" spans="1:20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93"/>
      <c r="S871" s="2"/>
      <c r="T871" s="93"/>
    </row>
    <row r="872" spans="1:20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93"/>
      <c r="S872" s="2"/>
      <c r="T872" s="93"/>
    </row>
    <row r="873" spans="1:20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93"/>
      <c r="S873" s="2"/>
      <c r="T873" s="93"/>
    </row>
    <row r="874" spans="1:20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93"/>
      <c r="S874" s="2"/>
      <c r="T874" s="93"/>
    </row>
    <row r="875" spans="1:20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93"/>
      <c r="S875" s="2"/>
      <c r="T875" s="93"/>
    </row>
    <row r="876" spans="1:20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93"/>
      <c r="S876" s="2"/>
      <c r="T876" s="93"/>
    </row>
    <row r="877" spans="1:20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93"/>
      <c r="S877" s="2"/>
      <c r="T877" s="93"/>
    </row>
    <row r="878" spans="1:20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93"/>
      <c r="S878" s="2"/>
      <c r="T878" s="93"/>
    </row>
    <row r="879" spans="1:20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93"/>
      <c r="S879" s="2"/>
      <c r="T879" s="93"/>
    </row>
    <row r="880" spans="1:2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93"/>
      <c r="S880" s="2"/>
      <c r="T880" s="93"/>
    </row>
    <row r="881" spans="1:20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93"/>
      <c r="S881" s="2"/>
      <c r="T881" s="93"/>
    </row>
    <row r="882" spans="1:20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93"/>
      <c r="S882" s="2"/>
      <c r="T882" s="93"/>
    </row>
    <row r="883" spans="1:20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93"/>
      <c r="S883" s="2"/>
      <c r="T883" s="93"/>
    </row>
    <row r="884" spans="1:20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93"/>
      <c r="S884" s="2"/>
      <c r="T884" s="93"/>
    </row>
    <row r="885" spans="1:20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93"/>
      <c r="S885" s="2"/>
      <c r="T885" s="93"/>
    </row>
    <row r="886" spans="1:20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93"/>
      <c r="S886" s="2"/>
      <c r="T886" s="93"/>
    </row>
    <row r="887" spans="1:20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93"/>
      <c r="S887" s="2"/>
      <c r="T887" s="93"/>
    </row>
    <row r="888" spans="1:20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93"/>
      <c r="S888" s="2"/>
      <c r="T888" s="93"/>
    </row>
    <row r="889" spans="1:20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93"/>
      <c r="S889" s="2"/>
      <c r="T889" s="93"/>
    </row>
    <row r="890" spans="1:2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93"/>
      <c r="S890" s="2"/>
      <c r="T890" s="93"/>
    </row>
    <row r="891" spans="1:20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93"/>
      <c r="S891" s="2"/>
      <c r="T891" s="93"/>
    </row>
    <row r="892" spans="1:20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93"/>
      <c r="S892" s="2"/>
      <c r="T892" s="93"/>
    </row>
    <row r="893" spans="1:20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93"/>
      <c r="S893" s="2"/>
      <c r="T893" s="93"/>
    </row>
    <row r="894" spans="1:20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93"/>
      <c r="S894" s="2"/>
      <c r="T894" s="93"/>
    </row>
    <row r="895" spans="1:20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93"/>
      <c r="S895" s="2"/>
      <c r="T895" s="93"/>
    </row>
    <row r="896" spans="1:20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93"/>
      <c r="S896" s="2"/>
      <c r="T896" s="93"/>
    </row>
    <row r="897" spans="1:20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93"/>
      <c r="S897" s="2"/>
      <c r="T897" s="93"/>
    </row>
    <row r="898" spans="1:20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93"/>
      <c r="S898" s="2"/>
      <c r="T898" s="93"/>
    </row>
    <row r="899" spans="1:20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93"/>
      <c r="S899" s="2"/>
      <c r="T899" s="93"/>
    </row>
    <row r="900" spans="1:2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93"/>
      <c r="S900" s="2"/>
      <c r="T900" s="93"/>
    </row>
    <row r="901" spans="1:20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93"/>
      <c r="S901" s="2"/>
      <c r="T901" s="93"/>
    </row>
    <row r="902" spans="1:20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93"/>
      <c r="S902" s="2"/>
      <c r="T902" s="93"/>
    </row>
    <row r="903" spans="1:20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93"/>
      <c r="S903" s="2"/>
      <c r="T903" s="93"/>
    </row>
    <row r="904" spans="1:20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93"/>
      <c r="S904" s="2"/>
      <c r="T904" s="93"/>
    </row>
    <row r="905" spans="1:20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93"/>
      <c r="S905" s="2"/>
      <c r="T905" s="93"/>
    </row>
    <row r="906" spans="1:20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93"/>
      <c r="S906" s="2"/>
      <c r="T906" s="93"/>
    </row>
    <row r="907" spans="1:20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93"/>
      <c r="S907" s="2"/>
      <c r="T907" s="93"/>
    </row>
    <row r="908" spans="1:20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93"/>
      <c r="S908" s="2"/>
      <c r="T908" s="93"/>
    </row>
    <row r="909" spans="1:20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93"/>
      <c r="S909" s="2"/>
      <c r="T909" s="93"/>
    </row>
    <row r="910" spans="1:2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93"/>
      <c r="S910" s="2"/>
      <c r="T910" s="93"/>
    </row>
    <row r="911" spans="1:20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93"/>
      <c r="S911" s="2"/>
      <c r="T911" s="93"/>
    </row>
    <row r="912" spans="1:20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93"/>
      <c r="S912" s="2"/>
      <c r="T912" s="93"/>
    </row>
    <row r="913" spans="1:20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93"/>
      <c r="S913" s="2"/>
      <c r="T913" s="93"/>
    </row>
    <row r="914" spans="1:20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93"/>
      <c r="S914" s="2"/>
      <c r="T914" s="93"/>
    </row>
    <row r="915" spans="1:20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93"/>
      <c r="S915" s="2"/>
      <c r="T915" s="93"/>
    </row>
    <row r="916" spans="1:20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93"/>
      <c r="S916" s="2"/>
      <c r="T916" s="93"/>
    </row>
    <row r="917" spans="1:20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93"/>
      <c r="S917" s="2"/>
      <c r="T917" s="93"/>
    </row>
    <row r="918" spans="1:20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93"/>
      <c r="S918" s="2"/>
      <c r="T918" s="93"/>
    </row>
    <row r="919" spans="1:20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93"/>
      <c r="S919" s="2"/>
      <c r="T919" s="93"/>
    </row>
    <row r="920" spans="1: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93"/>
      <c r="S920" s="2"/>
      <c r="T920" s="93"/>
    </row>
    <row r="921" spans="1:20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93"/>
      <c r="S921" s="2"/>
      <c r="T921" s="93"/>
    </row>
    <row r="922" spans="1:20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93"/>
      <c r="S922" s="2"/>
      <c r="T922" s="93"/>
    </row>
    <row r="923" spans="1:20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93"/>
      <c r="S923" s="2"/>
      <c r="T923" s="93"/>
    </row>
    <row r="924" spans="1:20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93"/>
      <c r="S924" s="2"/>
      <c r="T924" s="93"/>
    </row>
    <row r="925" spans="1:20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93"/>
      <c r="S925" s="2"/>
      <c r="T925" s="93"/>
    </row>
    <row r="926" spans="1:20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93"/>
      <c r="S926" s="2"/>
      <c r="T926" s="93"/>
    </row>
    <row r="927" spans="1:20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93"/>
      <c r="S927" s="2"/>
      <c r="T927" s="93"/>
    </row>
    <row r="928" spans="1:20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93"/>
      <c r="S928" s="2"/>
      <c r="T928" s="93"/>
    </row>
    <row r="929" spans="1:20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93"/>
      <c r="S929" s="2"/>
      <c r="T929" s="93"/>
    </row>
    <row r="930" spans="1:2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93"/>
      <c r="S930" s="2"/>
      <c r="T930" s="93"/>
    </row>
    <row r="931" spans="1:20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93"/>
      <c r="S931" s="2"/>
      <c r="T931" s="93"/>
    </row>
    <row r="932" spans="1:20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93"/>
      <c r="S932" s="2"/>
      <c r="T932" s="93"/>
    </row>
    <row r="933" spans="1:20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93"/>
      <c r="S933" s="2"/>
      <c r="T933" s="93"/>
    </row>
    <row r="934" spans="1:20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93"/>
      <c r="S934" s="2"/>
      <c r="T934" s="93"/>
    </row>
    <row r="935" spans="1:20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93"/>
      <c r="S935" s="2"/>
      <c r="T935" s="93"/>
    </row>
    <row r="936" spans="1:20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93"/>
      <c r="S936" s="2"/>
      <c r="T936" s="93"/>
    </row>
    <row r="937" spans="1:20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93"/>
      <c r="S937" s="2"/>
      <c r="T937" s="93"/>
    </row>
    <row r="938" spans="1:20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93"/>
      <c r="S938" s="2"/>
      <c r="T938" s="93"/>
    </row>
    <row r="939" spans="1:20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93"/>
      <c r="S939" s="2"/>
      <c r="T939" s="93"/>
    </row>
    <row r="940" spans="1:2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93"/>
      <c r="S940" s="2"/>
      <c r="T940" s="93"/>
    </row>
    <row r="941" spans="1:20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93"/>
      <c r="S941" s="2"/>
      <c r="T941" s="93"/>
    </row>
    <row r="942" spans="1:20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93"/>
      <c r="S942" s="2"/>
      <c r="T942" s="93"/>
    </row>
    <row r="943" spans="1:20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93"/>
      <c r="S943" s="2"/>
      <c r="T943" s="93"/>
    </row>
    <row r="944" spans="1:20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93"/>
      <c r="S944" s="2"/>
      <c r="T944" s="93"/>
    </row>
    <row r="945" spans="1:20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93"/>
      <c r="S945" s="2"/>
      <c r="T945" s="93"/>
    </row>
    <row r="946" spans="1:20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93"/>
      <c r="S946" s="2"/>
      <c r="T946" s="93"/>
    </row>
    <row r="947" spans="1:20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93"/>
      <c r="S947" s="2"/>
      <c r="T947" s="93"/>
    </row>
    <row r="948" spans="1:20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93"/>
      <c r="S948" s="2"/>
      <c r="T948" s="93"/>
    </row>
    <row r="949" spans="1:20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93"/>
      <c r="S949" s="2"/>
      <c r="T949" s="93"/>
    </row>
    <row r="950" spans="1:2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93"/>
      <c r="S950" s="2"/>
      <c r="T950" s="93"/>
    </row>
    <row r="951" spans="1:20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93"/>
      <c r="S951" s="2"/>
      <c r="T951" s="93"/>
    </row>
    <row r="952" spans="1:20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93"/>
      <c r="S952" s="2"/>
      <c r="T952" s="93"/>
    </row>
    <row r="953" spans="1:20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93"/>
      <c r="S953" s="2"/>
      <c r="T953" s="93"/>
    </row>
    <row r="954" spans="1:20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93"/>
      <c r="S954" s="2"/>
      <c r="T954" s="93"/>
    </row>
    <row r="955" spans="1:20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93"/>
      <c r="S955" s="2"/>
      <c r="T955" s="93"/>
    </row>
    <row r="956" spans="1:20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93"/>
      <c r="S956" s="2"/>
      <c r="T956" s="93"/>
    </row>
    <row r="957" spans="1:20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93"/>
      <c r="S957" s="2"/>
      <c r="T957" s="93"/>
    </row>
    <row r="958" spans="1:20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93"/>
      <c r="S958" s="2"/>
      <c r="T958" s="93"/>
    </row>
    <row r="959" spans="1:20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93"/>
      <c r="S959" s="2"/>
      <c r="T959" s="93"/>
    </row>
    <row r="960" spans="1:2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93"/>
      <c r="S960" s="2"/>
      <c r="T960" s="93"/>
    </row>
    <row r="961" spans="1:20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93"/>
      <c r="S961" s="2"/>
      <c r="T961" s="93"/>
    </row>
    <row r="962" spans="1:20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93"/>
      <c r="S962" s="2"/>
      <c r="T962" s="93"/>
    </row>
    <row r="963" spans="1:20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93"/>
      <c r="S963" s="2"/>
      <c r="T963" s="93"/>
    </row>
    <row r="964" spans="1:20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93"/>
      <c r="S964" s="2"/>
      <c r="T964" s="93"/>
    </row>
    <row r="965" spans="1:20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93"/>
      <c r="S965" s="2"/>
      <c r="T965" s="93"/>
    </row>
    <row r="966" spans="1:20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93"/>
      <c r="S966" s="2"/>
      <c r="T966" s="93"/>
    </row>
    <row r="967" spans="1:20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93"/>
      <c r="S967" s="2"/>
      <c r="T967" s="93"/>
    </row>
    <row r="968" spans="1:20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93"/>
      <c r="S968" s="2"/>
      <c r="T968" s="93"/>
    </row>
    <row r="969" spans="1:20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93"/>
      <c r="S969" s="2"/>
      <c r="T969" s="93"/>
    </row>
    <row r="970" spans="1:2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93"/>
      <c r="S970" s="2"/>
      <c r="T970" s="93"/>
    </row>
    <row r="971" spans="1:20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93"/>
      <c r="S971" s="2"/>
      <c r="T971" s="93"/>
    </row>
    <row r="972" spans="1:20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93"/>
      <c r="S972" s="2"/>
      <c r="T972" s="93"/>
    </row>
    <row r="973" spans="1:20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93"/>
      <c r="S973" s="2"/>
      <c r="T973" s="93"/>
    </row>
    <row r="974" spans="1:20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93"/>
      <c r="S974" s="2"/>
      <c r="T974" s="93"/>
    </row>
    <row r="975" spans="1:20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93"/>
      <c r="S975" s="2"/>
      <c r="T975" s="93"/>
    </row>
    <row r="976" spans="1:20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93"/>
      <c r="S976" s="2"/>
      <c r="T976" s="93"/>
    </row>
    <row r="977" spans="1:20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93"/>
      <c r="S977" s="2"/>
      <c r="T977" s="93"/>
    </row>
    <row r="978" spans="1:20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93"/>
      <c r="S978" s="2"/>
      <c r="T978" s="93"/>
    </row>
    <row r="979" spans="1:20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93"/>
      <c r="S979" s="2"/>
      <c r="T979" s="93"/>
    </row>
    <row r="980" spans="1:2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93"/>
      <c r="S980" s="2"/>
      <c r="T980" s="93"/>
    </row>
    <row r="981" spans="1:20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93"/>
      <c r="S981" s="2"/>
      <c r="T981" s="93"/>
    </row>
    <row r="982" spans="1:20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93"/>
      <c r="S982" s="2"/>
      <c r="T982" s="93"/>
    </row>
    <row r="983" spans="1:20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93"/>
      <c r="S983" s="2"/>
      <c r="T983" s="93"/>
    </row>
    <row r="984" spans="1:20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93"/>
      <c r="S984" s="2"/>
      <c r="T984" s="93"/>
    </row>
    <row r="985" spans="1:20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93"/>
      <c r="S985" s="2"/>
      <c r="T985" s="93"/>
    </row>
    <row r="986" spans="1:20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93"/>
      <c r="S986" s="2"/>
      <c r="T986" s="93"/>
    </row>
    <row r="987" spans="1:20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93"/>
      <c r="S987" s="2"/>
      <c r="T987" s="93"/>
    </row>
    <row r="988" spans="1:20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93"/>
      <c r="S988" s="2"/>
      <c r="T988" s="93"/>
    </row>
    <row r="989" spans="1:20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93"/>
      <c r="S989" s="2"/>
      <c r="T989" s="93"/>
    </row>
    <row r="990" spans="1:2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93"/>
      <c r="S990" s="2"/>
      <c r="T990" s="93"/>
    </row>
    <row r="991" spans="1:20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93"/>
      <c r="S991" s="2"/>
      <c r="T991" s="93"/>
    </row>
    <row r="992" spans="1:20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93"/>
      <c r="S992" s="2"/>
      <c r="T992" s="93"/>
    </row>
    <row r="993" spans="1:20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93"/>
      <c r="S993" s="2"/>
      <c r="T993" s="93"/>
    </row>
    <row r="994" spans="1:20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93"/>
      <c r="S994" s="2"/>
      <c r="T994" s="93"/>
    </row>
    <row r="995" spans="1:20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93"/>
      <c r="S995" s="2"/>
      <c r="T995" s="93"/>
    </row>
    <row r="996" spans="1:20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93"/>
      <c r="S996" s="2"/>
      <c r="T996" s="93"/>
    </row>
    <row r="997" spans="1:20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93"/>
      <c r="S997" s="2"/>
      <c r="T997" s="93"/>
    </row>
    <row r="998" spans="1:20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93"/>
      <c r="S998" s="2"/>
      <c r="T998" s="93"/>
    </row>
    <row r="999" spans="1:20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93"/>
      <c r="S999" s="2"/>
      <c r="T999" s="93"/>
    </row>
    <row r="1000" spans="1:2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93"/>
      <c r="S1000" s="2"/>
      <c r="T1000" s="93"/>
    </row>
    <row r="1001" spans="1:20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93"/>
      <c r="S1001" s="2"/>
      <c r="T1001" s="93"/>
    </row>
    <row r="1002" spans="1:20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93"/>
      <c r="S1002" s="2"/>
      <c r="T1002" s="93"/>
    </row>
    <row r="1003" spans="1:20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93"/>
      <c r="S1003" s="2"/>
      <c r="T1003" s="93"/>
    </row>
    <row r="1004" spans="1:20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93"/>
      <c r="S1004" s="2"/>
      <c r="T1004" s="93"/>
    </row>
    <row r="1005" spans="1:20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93"/>
      <c r="S1005" s="2"/>
      <c r="T1005" s="93"/>
    </row>
    <row r="1006" spans="1:20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93"/>
      <c r="S1006" s="2"/>
      <c r="T1006" s="93"/>
    </row>
    <row r="1007" spans="1:20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93"/>
      <c r="S1007" s="2"/>
      <c r="T1007" s="93"/>
    </row>
    <row r="1008" spans="1:20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93"/>
      <c r="S1008" s="2"/>
      <c r="T1008" s="93"/>
    </row>
    <row r="1009" spans="1:20" ht="14.2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93"/>
      <c r="S1009" s="2"/>
      <c r="T1009" s="93"/>
    </row>
    <row r="1010" spans="1:20" ht="14.2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93"/>
      <c r="S1010" s="2"/>
      <c r="T1010" s="93"/>
    </row>
    <row r="1011" spans="1:20" ht="14.2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93"/>
      <c r="S1011" s="2"/>
      <c r="T1011" s="93"/>
    </row>
    <row r="1012" spans="1:20" ht="14.2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93"/>
      <c r="S1012" s="2"/>
      <c r="T1012" s="93"/>
    </row>
    <row r="1013" spans="1:20" ht="14.2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93"/>
      <c r="S1013" s="2"/>
      <c r="T1013" s="93"/>
    </row>
    <row r="1014" spans="1:20" ht="14.2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93"/>
      <c r="S1014" s="2"/>
      <c r="T1014" s="93"/>
    </row>
    <row r="1015" spans="1:20" ht="14.2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93"/>
      <c r="S1015" s="2"/>
      <c r="T1015" s="93"/>
    </row>
    <row r="1016" spans="1:20" ht="14.2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93"/>
      <c r="S1016" s="2"/>
      <c r="T1016" s="93"/>
    </row>
    <row r="1017" spans="1:20" ht="14.2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93"/>
      <c r="S1017" s="2"/>
      <c r="T1017" s="93"/>
    </row>
    <row r="1018" spans="1:20" ht="14.2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93"/>
      <c r="S1018" s="2"/>
      <c r="T1018" s="93"/>
    </row>
    <row r="1019" spans="1:20" ht="14.2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93"/>
      <c r="S1019" s="2"/>
      <c r="T1019" s="93"/>
    </row>
    <row r="1020" spans="1:20" ht="14.2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93"/>
      <c r="S1020" s="2"/>
      <c r="T1020" s="93"/>
    </row>
    <row r="1021" spans="1:20" ht="14.2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93"/>
      <c r="S1021" s="2"/>
      <c r="T1021" s="93"/>
    </row>
    <row r="1022" spans="1:20" ht="14.2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93"/>
      <c r="S1022" s="2"/>
      <c r="T1022" s="93"/>
    </row>
    <row r="1023" spans="1:20" ht="14.2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93"/>
      <c r="S1023" s="2"/>
      <c r="T1023" s="93"/>
    </row>
  </sheetData>
  <conditionalFormatting sqref="R5:R7">
    <cfRule type="expression" dxfId="37" priority="21">
      <formula>R5&lt;0</formula>
    </cfRule>
    <cfRule type="expression" dxfId="36" priority="23">
      <formula>"r10&gt;0"</formula>
    </cfRule>
    <cfRule type="expression" dxfId="35" priority="22">
      <formula>R5&gt;0</formula>
    </cfRule>
  </conditionalFormatting>
  <conditionalFormatting sqref="R10:R14">
    <cfRule type="expression" dxfId="34" priority="41">
      <formula>R10&lt;0</formula>
    </cfRule>
    <cfRule type="expression" dxfId="33" priority="43">
      <formula>"r10&gt;0"</formula>
    </cfRule>
    <cfRule type="expression" dxfId="32" priority="42">
      <formula>R10&gt;0</formula>
    </cfRule>
  </conditionalFormatting>
  <conditionalFormatting sqref="R17:R19">
    <cfRule type="expression" dxfId="31" priority="36">
      <formula>R17&lt;0</formula>
    </cfRule>
    <cfRule type="expression" dxfId="30" priority="35">
      <formula>R17&gt;0</formula>
    </cfRule>
  </conditionalFormatting>
  <conditionalFormatting sqref="R20:R23 R28:R31 R35:R38 R45:R50 R54">
    <cfRule type="colorScale" priority="44">
      <colorScale>
        <cfvo type="percentile" val="-1"/>
        <cfvo type="percent" val="1"/>
        <color rgb="FF6AA84F"/>
        <color rgb="FFFF0000"/>
      </colorScale>
    </cfRule>
  </conditionalFormatting>
  <conditionalFormatting sqref="R24:R27">
    <cfRule type="expression" dxfId="29" priority="33">
      <formula>R24&gt;0</formula>
    </cfRule>
    <cfRule type="expression" dxfId="28" priority="34">
      <formula>R24&lt;0</formula>
    </cfRule>
  </conditionalFormatting>
  <conditionalFormatting sqref="R32:R34">
    <cfRule type="expression" dxfId="27" priority="31">
      <formula>R32&gt;0</formula>
    </cfRule>
    <cfRule type="expression" dxfId="26" priority="32">
      <formula>R32&lt;0</formula>
    </cfRule>
  </conditionalFormatting>
  <conditionalFormatting sqref="R39:R44">
    <cfRule type="expression" dxfId="25" priority="29">
      <formula>R39&gt;0</formula>
    </cfRule>
    <cfRule type="expression" dxfId="24" priority="30">
      <formula>R39&lt;0</formula>
    </cfRule>
  </conditionalFormatting>
  <conditionalFormatting sqref="R51">
    <cfRule type="expression" dxfId="23" priority="26">
      <formula>R51&lt;0</formula>
    </cfRule>
    <cfRule type="expression" dxfId="22" priority="27">
      <formula>R51&gt;0</formula>
    </cfRule>
    <cfRule type="expression" dxfId="21" priority="28">
      <formula>"r10&gt;0"</formula>
    </cfRule>
  </conditionalFormatting>
  <conditionalFormatting sqref="R52:R53">
    <cfRule type="expression" dxfId="20" priority="24">
      <formula>R52&gt;0</formula>
    </cfRule>
    <cfRule type="expression" dxfId="19" priority="25">
      <formula>R52&lt;0</formula>
    </cfRule>
  </conditionalFormatting>
  <conditionalFormatting sqref="T5:T7">
    <cfRule type="expression" dxfId="18" priority="2">
      <formula>T5&gt;0</formula>
    </cfRule>
    <cfRule type="expression" dxfId="17" priority="3">
      <formula>"r10&gt;0"</formula>
    </cfRule>
    <cfRule type="expression" dxfId="16" priority="1">
      <formula>T5&lt;0</formula>
    </cfRule>
  </conditionalFormatting>
  <conditionalFormatting sqref="T10:T14">
    <cfRule type="expression" dxfId="15" priority="19">
      <formula>"r10&gt;0"</formula>
    </cfRule>
    <cfRule type="expression" dxfId="14" priority="18">
      <formula>T10&gt;0</formula>
    </cfRule>
    <cfRule type="expression" dxfId="13" priority="17">
      <formula>T10&lt;0</formula>
    </cfRule>
  </conditionalFormatting>
  <conditionalFormatting sqref="T17:T19">
    <cfRule type="expression" dxfId="12" priority="16">
      <formula>T17&lt;0</formula>
    </cfRule>
    <cfRule type="expression" dxfId="11" priority="15">
      <formula>T17&gt;0</formula>
    </cfRule>
  </conditionalFormatting>
  <conditionalFormatting sqref="T20:T23 T28:T31 T35:T38 T45:T50">
    <cfRule type="colorScale" priority="20">
      <colorScale>
        <cfvo type="percentile" val="-1"/>
        <cfvo type="percent" val="1"/>
        <color rgb="FF6AA84F"/>
        <color rgb="FFFF0000"/>
      </colorScale>
    </cfRule>
  </conditionalFormatting>
  <conditionalFormatting sqref="T24:T27">
    <cfRule type="expression" dxfId="10" priority="13">
      <formula>T24&gt;0</formula>
    </cfRule>
    <cfRule type="expression" dxfId="9" priority="14">
      <formula>T24&lt;0</formula>
    </cfRule>
  </conditionalFormatting>
  <conditionalFormatting sqref="T32:T34">
    <cfRule type="expression" dxfId="8" priority="11">
      <formula>T32&gt;0</formula>
    </cfRule>
    <cfRule type="expression" dxfId="7" priority="12">
      <formula>T32&lt;0</formula>
    </cfRule>
  </conditionalFormatting>
  <conditionalFormatting sqref="T39:T44">
    <cfRule type="expression" dxfId="6" priority="9">
      <formula>T39&gt;0</formula>
    </cfRule>
    <cfRule type="expression" dxfId="5" priority="10">
      <formula>T39&lt;0</formula>
    </cfRule>
  </conditionalFormatting>
  <conditionalFormatting sqref="T51">
    <cfRule type="expression" dxfId="4" priority="6">
      <formula>T51&lt;0</formula>
    </cfRule>
    <cfRule type="expression" dxfId="3" priority="7">
      <formula>T51&gt;0</formula>
    </cfRule>
    <cfRule type="expression" dxfId="2" priority="8">
      <formula>"r10&gt;0"</formula>
    </cfRule>
  </conditionalFormatting>
  <conditionalFormatting sqref="T52:T53">
    <cfRule type="expression" dxfId="1" priority="4">
      <formula>T52&gt;0</formula>
    </cfRule>
    <cfRule type="expression" dxfId="0" priority="5">
      <formula>T52&lt;0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3123-2683-49A4-8CC8-D5E14A332EC8}">
  <sheetPr>
    <tabColor rgb="FFE2EFDD"/>
  </sheetPr>
  <dimension ref="A1:AV1000"/>
  <sheetViews>
    <sheetView showGridLines="0" zoomScale="90" zoomScaleNormal="90" workbookViewId="0">
      <selection activeCell="H29" sqref="H29"/>
    </sheetView>
  </sheetViews>
  <sheetFormatPr defaultColWidth="14.44140625" defaultRowHeight="15" customHeight="1"/>
  <cols>
    <col min="1" max="1" width="2.88671875" customWidth="1"/>
    <col min="2" max="2" width="12" customWidth="1"/>
    <col min="3" max="48" width="8.88671875" customWidth="1"/>
  </cols>
  <sheetData>
    <row r="1" spans="1:48" ht="15.75" customHeight="1">
      <c r="A1" s="109"/>
      <c r="B1" s="46"/>
      <c r="C1" s="46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</row>
    <row r="2" spans="1:48" ht="15.75" customHeight="1">
      <c r="A2" s="109"/>
      <c r="B2" s="46"/>
      <c r="C2" s="46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</row>
    <row r="3" spans="1:48" ht="15.75" customHeight="1">
      <c r="A3" s="140" t="s">
        <v>179</v>
      </c>
      <c r="B3" s="141"/>
      <c r="C3" s="141"/>
      <c r="D3" s="142"/>
      <c r="E3" s="143"/>
      <c r="F3" s="144" t="s">
        <v>180</v>
      </c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46"/>
      <c r="AV3" s="46"/>
    </row>
    <row r="4" spans="1:48" ht="15.75" customHeight="1">
      <c r="A4" s="145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ht="15.75" customHeight="1">
      <c r="A5" s="145"/>
      <c r="B5" s="146" t="s">
        <v>181</v>
      </c>
      <c r="C5" s="147" t="s">
        <v>182</v>
      </c>
      <c r="D5" s="148" t="s">
        <v>183</v>
      </c>
      <c r="E5" s="148" t="s">
        <v>184</v>
      </c>
      <c r="F5" s="148" t="s">
        <v>185</v>
      </c>
      <c r="G5" s="148" t="s">
        <v>186</v>
      </c>
      <c r="H5" s="148" t="s">
        <v>187</v>
      </c>
      <c r="I5" s="148" t="s">
        <v>188</v>
      </c>
      <c r="J5" s="148" t="s">
        <v>189</v>
      </c>
      <c r="K5" s="148" t="s">
        <v>190</v>
      </c>
      <c r="L5" s="148" t="s">
        <v>191</v>
      </c>
      <c r="M5" s="148" t="s">
        <v>192</v>
      </c>
      <c r="N5" s="148" t="s">
        <v>193</v>
      </c>
      <c r="O5" s="148" t="s">
        <v>194</v>
      </c>
      <c r="P5" s="148" t="s">
        <v>195</v>
      </c>
      <c r="Q5" s="148" t="s">
        <v>196</v>
      </c>
      <c r="R5" s="148" t="s">
        <v>197</v>
      </c>
      <c r="S5" s="148" t="s">
        <v>198</v>
      </c>
      <c r="T5" s="148" t="s">
        <v>199</v>
      </c>
      <c r="U5" s="148" t="s">
        <v>200</v>
      </c>
      <c r="V5" s="148" t="s">
        <v>201</v>
      </c>
      <c r="W5" s="148" t="s">
        <v>202</v>
      </c>
      <c r="X5" s="148" t="s">
        <v>203</v>
      </c>
      <c r="Y5" s="148" t="s">
        <v>204</v>
      </c>
      <c r="Z5" s="148" t="s">
        <v>205</v>
      </c>
      <c r="AA5" s="148" t="s">
        <v>206</v>
      </c>
      <c r="AB5" s="148" t="s">
        <v>207</v>
      </c>
      <c r="AC5" s="148" t="s">
        <v>208</v>
      </c>
      <c r="AD5" s="148" t="s">
        <v>209</v>
      </c>
      <c r="AE5" s="149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ht="15.75" customHeight="1">
      <c r="A6" s="145"/>
      <c r="B6" s="150">
        <v>45139</v>
      </c>
      <c r="C6" s="151" t="s">
        <v>210</v>
      </c>
      <c r="D6" s="152">
        <v>1.49</v>
      </c>
      <c r="E6" s="152">
        <v>1.7</v>
      </c>
      <c r="F6" s="152">
        <v>1.94</v>
      </c>
      <c r="G6" s="152">
        <v>2.16</v>
      </c>
      <c r="H6" s="152">
        <v>2.2799999999999998</v>
      </c>
      <c r="I6" s="152">
        <v>2.37</v>
      </c>
      <c r="J6" s="152">
        <v>2.4900000000000002</v>
      </c>
      <c r="K6" s="152">
        <v>2.61</v>
      </c>
      <c r="L6" s="152">
        <v>2.72</v>
      </c>
      <c r="M6" s="152">
        <v>2.81</v>
      </c>
      <c r="N6" s="152">
        <v>2.9</v>
      </c>
      <c r="O6" s="152">
        <v>2.9</v>
      </c>
      <c r="P6" s="152">
        <v>3</v>
      </c>
      <c r="Q6" s="152">
        <v>3.15</v>
      </c>
      <c r="R6" s="152">
        <v>3.22</v>
      </c>
      <c r="S6" s="152">
        <v>3.34</v>
      </c>
      <c r="T6" s="152">
        <v>3.55</v>
      </c>
      <c r="U6" s="152">
        <v>3.84</v>
      </c>
      <c r="V6" s="152">
        <v>4.0199999999999996</v>
      </c>
      <c r="W6" s="152">
        <v>4.2300000000000004</v>
      </c>
      <c r="X6" s="152">
        <v>4.6399999999999997</v>
      </c>
      <c r="Y6" s="152">
        <v>4.9400000000000004</v>
      </c>
      <c r="Z6" s="152">
        <v>5.19</v>
      </c>
      <c r="AA6" s="152">
        <v>5.2</v>
      </c>
      <c r="AB6" s="153">
        <v>5.28</v>
      </c>
      <c r="AC6" s="153">
        <v>5.45</v>
      </c>
      <c r="AD6" s="153">
        <v>5.59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15.75" customHeight="1">
      <c r="A7" s="145"/>
      <c r="B7" s="150">
        <v>45170</v>
      </c>
      <c r="C7" s="151" t="s">
        <v>211</v>
      </c>
      <c r="D7" s="152">
        <v>1.19</v>
      </c>
      <c r="E7" s="152">
        <v>1.33</v>
      </c>
      <c r="F7" s="152">
        <v>1.47</v>
      </c>
      <c r="G7" s="152">
        <v>1.54</v>
      </c>
      <c r="H7" s="152">
        <v>1.57</v>
      </c>
      <c r="I7" s="152">
        <v>1.66</v>
      </c>
      <c r="J7" s="152">
        <v>1.76</v>
      </c>
      <c r="K7" s="152">
        <v>1.81</v>
      </c>
      <c r="L7" s="152">
        <v>1.86</v>
      </c>
      <c r="M7" s="152">
        <v>1.91</v>
      </c>
      <c r="N7" s="152">
        <v>1.95</v>
      </c>
      <c r="O7" s="152">
        <v>1.92</v>
      </c>
      <c r="P7" s="152">
        <v>2.0099999999999998</v>
      </c>
      <c r="Q7" s="152">
        <v>2.1</v>
      </c>
      <c r="R7" s="152">
        <v>2.17</v>
      </c>
      <c r="S7" s="152">
        <v>2.25</v>
      </c>
      <c r="T7" s="152">
        <v>2.35</v>
      </c>
      <c r="U7" s="152">
        <v>2.41</v>
      </c>
      <c r="V7" s="152">
        <v>2.5</v>
      </c>
      <c r="W7" s="152">
        <v>2.6</v>
      </c>
      <c r="X7" s="152">
        <v>2.71</v>
      </c>
      <c r="Y7" s="152">
        <v>2.75</v>
      </c>
      <c r="Z7" s="152">
        <v>2.8</v>
      </c>
      <c r="AA7" s="152">
        <v>2.66</v>
      </c>
      <c r="AB7" s="153">
        <v>2.67</v>
      </c>
      <c r="AC7" s="153">
        <v>2.73</v>
      </c>
      <c r="AD7" s="153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2"/>
      <c r="AV7" s="2"/>
    </row>
    <row r="8" spans="1:48" ht="15.75" customHeight="1">
      <c r="A8" s="145"/>
      <c r="B8" s="150">
        <v>45200</v>
      </c>
      <c r="C8" s="151" t="s">
        <v>212</v>
      </c>
      <c r="D8" s="152">
        <v>1.24</v>
      </c>
      <c r="E8" s="152">
        <v>1.39</v>
      </c>
      <c r="F8" s="152">
        <v>1.44</v>
      </c>
      <c r="G8" s="152">
        <v>1.46</v>
      </c>
      <c r="H8" s="152">
        <v>1.55</v>
      </c>
      <c r="I8" s="152">
        <v>1.64</v>
      </c>
      <c r="J8" s="152">
        <v>1.69</v>
      </c>
      <c r="K8" s="152">
        <v>1.74</v>
      </c>
      <c r="L8" s="152">
        <v>1.8</v>
      </c>
      <c r="M8" s="152">
        <v>1.85</v>
      </c>
      <c r="N8" s="152">
        <v>1.91</v>
      </c>
      <c r="O8" s="152">
        <v>1.88</v>
      </c>
      <c r="P8" s="152">
        <v>1.95</v>
      </c>
      <c r="Q8" s="152">
        <v>2.0099999999999998</v>
      </c>
      <c r="R8" s="152">
        <v>2.09</v>
      </c>
      <c r="S8" s="152">
        <v>2.21</v>
      </c>
      <c r="T8" s="152">
        <v>2.27</v>
      </c>
      <c r="U8" s="152">
        <v>2.34</v>
      </c>
      <c r="V8" s="152">
        <v>2.44</v>
      </c>
      <c r="W8" s="152">
        <v>2.57</v>
      </c>
      <c r="X8" s="152">
        <v>2.59</v>
      </c>
      <c r="Y8" s="152">
        <v>2.67</v>
      </c>
      <c r="Z8" s="152">
        <v>2.72</v>
      </c>
      <c r="AA8" s="153">
        <v>2.58</v>
      </c>
      <c r="AB8" s="153">
        <v>2.63</v>
      </c>
      <c r="AC8" s="153"/>
      <c r="AD8" s="153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2"/>
      <c r="AV8" s="2"/>
    </row>
    <row r="9" spans="1:48" ht="15.75" customHeight="1">
      <c r="A9" s="145"/>
      <c r="B9" s="150">
        <v>45231</v>
      </c>
      <c r="C9" s="151" t="s">
        <v>213</v>
      </c>
      <c r="D9" s="152">
        <v>1.2</v>
      </c>
      <c r="E9" s="152">
        <v>1.26</v>
      </c>
      <c r="F9" s="152">
        <v>1.28</v>
      </c>
      <c r="G9" s="152">
        <v>1.37</v>
      </c>
      <c r="H9" s="152">
        <v>1.45</v>
      </c>
      <c r="I9" s="152">
        <v>1.48</v>
      </c>
      <c r="J9" s="152">
        <v>1.53</v>
      </c>
      <c r="K9" s="152">
        <v>1.57</v>
      </c>
      <c r="L9" s="152">
        <v>1.61</v>
      </c>
      <c r="M9" s="152">
        <v>1.67</v>
      </c>
      <c r="N9" s="152">
        <v>1.72</v>
      </c>
      <c r="O9" s="152">
        <v>1.71</v>
      </c>
      <c r="P9" s="152">
        <v>1.76</v>
      </c>
      <c r="Q9" s="152">
        <v>1.85</v>
      </c>
      <c r="R9" s="152">
        <v>1.94</v>
      </c>
      <c r="S9" s="152">
        <v>1.98</v>
      </c>
      <c r="T9" s="152">
        <v>2.0699999999999998</v>
      </c>
      <c r="U9" s="152">
        <v>2.17</v>
      </c>
      <c r="V9" s="152">
        <v>2.29</v>
      </c>
      <c r="W9" s="152">
        <v>2.21</v>
      </c>
      <c r="X9" s="152">
        <v>2.29</v>
      </c>
      <c r="Y9" s="152">
        <v>2.31</v>
      </c>
      <c r="Z9" s="152">
        <v>2.37</v>
      </c>
      <c r="AA9" s="152">
        <v>2.33</v>
      </c>
      <c r="AB9" s="153"/>
      <c r="AC9" s="153"/>
      <c r="AD9" s="153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2"/>
      <c r="AV9" s="2"/>
    </row>
    <row r="10" spans="1:48" ht="15.75" customHeight="1">
      <c r="A10" s="145"/>
      <c r="B10" s="150">
        <v>45261</v>
      </c>
      <c r="C10" s="151" t="s">
        <v>212</v>
      </c>
      <c r="D10" s="152">
        <v>1.1499999999999999</v>
      </c>
      <c r="E10" s="152">
        <v>1.18</v>
      </c>
      <c r="F10" s="152">
        <v>1.25</v>
      </c>
      <c r="G10" s="152">
        <v>1.34</v>
      </c>
      <c r="H10" s="152">
        <v>1.38</v>
      </c>
      <c r="I10" s="152">
        <v>1.44</v>
      </c>
      <c r="J10" s="152">
        <v>1.49</v>
      </c>
      <c r="K10" s="152">
        <v>1.55</v>
      </c>
      <c r="L10" s="152">
        <v>1.59</v>
      </c>
      <c r="M10" s="152">
        <v>1.67</v>
      </c>
      <c r="N10" s="152">
        <v>1.75</v>
      </c>
      <c r="O10" s="152">
        <v>1.69</v>
      </c>
      <c r="P10" s="152">
        <v>1.77</v>
      </c>
      <c r="Q10" s="152">
        <v>1.86</v>
      </c>
      <c r="R10" s="152">
        <v>1.9</v>
      </c>
      <c r="S10" s="152">
        <v>2</v>
      </c>
      <c r="T10" s="152">
        <v>2.08</v>
      </c>
      <c r="U10" s="152">
        <v>2.17</v>
      </c>
      <c r="V10" s="152">
        <v>2.2599999999999998</v>
      </c>
      <c r="W10" s="152">
        <v>2.3199999999999998</v>
      </c>
      <c r="X10" s="152">
        <v>2.35</v>
      </c>
      <c r="Y10" s="152">
        <v>2.39</v>
      </c>
      <c r="Z10" s="152">
        <v>2.42</v>
      </c>
      <c r="AA10" s="152"/>
      <c r="AB10" s="153"/>
      <c r="AC10" s="153"/>
      <c r="AD10" s="153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2"/>
      <c r="AV10" s="2"/>
    </row>
    <row r="11" spans="1:48" ht="15.75" customHeight="1">
      <c r="A11" s="145"/>
      <c r="B11" s="150">
        <v>45292</v>
      </c>
      <c r="C11" s="151" t="s">
        <v>214</v>
      </c>
      <c r="D11" s="152">
        <v>1.1299999999999999</v>
      </c>
      <c r="E11" s="152">
        <v>1.25</v>
      </c>
      <c r="F11" s="152">
        <v>1.34</v>
      </c>
      <c r="G11" s="152">
        <v>1.38</v>
      </c>
      <c r="H11" s="152">
        <v>1.4</v>
      </c>
      <c r="I11" s="152">
        <v>1.45</v>
      </c>
      <c r="J11" s="152">
        <v>1.51</v>
      </c>
      <c r="K11" s="152">
        <v>1.57</v>
      </c>
      <c r="L11" s="152">
        <v>1.64</v>
      </c>
      <c r="M11" s="152">
        <v>1.71</v>
      </c>
      <c r="N11" s="152">
        <v>1.78</v>
      </c>
      <c r="O11" s="152">
        <v>1.74</v>
      </c>
      <c r="P11" s="152">
        <v>1.85</v>
      </c>
      <c r="Q11" s="152">
        <v>1.91</v>
      </c>
      <c r="R11" s="152">
        <v>2</v>
      </c>
      <c r="S11" s="152">
        <v>2.1</v>
      </c>
      <c r="T11" s="152">
        <v>2.2000000000000002</v>
      </c>
      <c r="U11" s="152">
        <v>2.2599999999999998</v>
      </c>
      <c r="V11" s="152">
        <v>2.3199999999999998</v>
      </c>
      <c r="W11" s="152">
        <v>2.35</v>
      </c>
      <c r="X11" s="152">
        <v>2.4</v>
      </c>
      <c r="Y11" s="152">
        <v>2.46</v>
      </c>
      <c r="Z11" s="152"/>
      <c r="AA11" s="152"/>
      <c r="AB11" s="153"/>
      <c r="AC11" s="153"/>
      <c r="AD11" s="153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2"/>
      <c r="AV11" s="2"/>
    </row>
    <row r="12" spans="1:48" ht="15.75" customHeight="1">
      <c r="A12" s="145"/>
      <c r="B12" s="150">
        <v>45323</v>
      </c>
      <c r="C12" s="151" t="s">
        <v>215</v>
      </c>
      <c r="D12" s="152">
        <v>1.23</v>
      </c>
      <c r="E12" s="152">
        <v>1.32</v>
      </c>
      <c r="F12" s="152">
        <v>1.38</v>
      </c>
      <c r="G12" s="152">
        <v>1.4</v>
      </c>
      <c r="H12" s="152">
        <v>1.45</v>
      </c>
      <c r="I12" s="152">
        <v>1.51</v>
      </c>
      <c r="J12" s="152">
        <v>1.55</v>
      </c>
      <c r="K12" s="152">
        <v>1.63</v>
      </c>
      <c r="L12" s="152">
        <v>1.7</v>
      </c>
      <c r="M12" s="152">
        <v>1.75</v>
      </c>
      <c r="N12" s="152">
        <v>1.8</v>
      </c>
      <c r="O12" s="152">
        <v>1.81</v>
      </c>
      <c r="P12" s="152">
        <v>1.86</v>
      </c>
      <c r="Q12" s="152">
        <v>1.94</v>
      </c>
      <c r="R12" s="152">
        <v>2.0099999999999998</v>
      </c>
      <c r="S12" s="152">
        <v>2.11</v>
      </c>
      <c r="T12" s="152">
        <v>2.16</v>
      </c>
      <c r="U12" s="152">
        <v>2.2000000000000002</v>
      </c>
      <c r="V12" s="152">
        <v>2.2000000000000002</v>
      </c>
      <c r="W12" s="152">
        <v>2.23</v>
      </c>
      <c r="X12" s="152">
        <v>2.2599999999999998</v>
      </c>
      <c r="Y12" s="152"/>
      <c r="Z12" s="152"/>
      <c r="AA12" s="152"/>
      <c r="AB12" s="153"/>
      <c r="AC12" s="153"/>
      <c r="AD12" s="153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2"/>
      <c r="AV12" s="2"/>
    </row>
    <row r="13" spans="1:48" ht="15.75" customHeight="1">
      <c r="A13" s="145"/>
      <c r="B13" s="150">
        <v>45352</v>
      </c>
      <c r="C13" s="151" t="s">
        <v>216</v>
      </c>
      <c r="D13" s="152">
        <v>1.22</v>
      </c>
      <c r="E13" s="152">
        <v>1.3</v>
      </c>
      <c r="F13" s="152">
        <v>1.34</v>
      </c>
      <c r="G13" s="152">
        <v>1.39</v>
      </c>
      <c r="H13" s="152">
        <v>1.44</v>
      </c>
      <c r="I13" s="152">
        <v>1.5</v>
      </c>
      <c r="J13" s="152">
        <v>1.59</v>
      </c>
      <c r="K13" s="152">
        <v>1.64</v>
      </c>
      <c r="L13" s="152">
        <v>1.72</v>
      </c>
      <c r="M13" s="152">
        <v>1.78</v>
      </c>
      <c r="N13" s="152">
        <v>1.87</v>
      </c>
      <c r="O13" s="152">
        <v>1.79</v>
      </c>
      <c r="P13" s="152">
        <v>1.84</v>
      </c>
      <c r="Q13" s="152">
        <v>1.95</v>
      </c>
      <c r="R13" s="152">
        <v>2.02</v>
      </c>
      <c r="S13" s="152">
        <v>2.09</v>
      </c>
      <c r="T13" s="152">
        <v>2.13</v>
      </c>
      <c r="U13" s="152">
        <v>2.0699999999999998</v>
      </c>
      <c r="V13" s="152">
        <v>2.0499999999999998</v>
      </c>
      <c r="W13" s="152">
        <v>2.0699999999999998</v>
      </c>
      <c r="X13" s="152"/>
      <c r="Y13" s="152"/>
      <c r="Z13" s="152"/>
      <c r="AA13" s="152"/>
      <c r="AB13" s="153"/>
      <c r="AC13" s="153"/>
      <c r="AD13" s="153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2"/>
      <c r="AV13" s="2"/>
    </row>
    <row r="14" spans="1:48" ht="15.75" customHeight="1">
      <c r="A14" s="145"/>
      <c r="B14" s="150">
        <v>45383</v>
      </c>
      <c r="C14" s="151" t="s">
        <v>217</v>
      </c>
      <c r="D14" s="152">
        <v>1.1299999999999999</v>
      </c>
      <c r="E14" s="152">
        <v>1.19</v>
      </c>
      <c r="F14" s="152">
        <v>1.24</v>
      </c>
      <c r="G14" s="152">
        <v>1.27</v>
      </c>
      <c r="H14" s="152">
        <v>1.33</v>
      </c>
      <c r="I14" s="152">
        <v>1.4</v>
      </c>
      <c r="J14" s="152">
        <v>1.43</v>
      </c>
      <c r="K14" s="152">
        <v>1.47</v>
      </c>
      <c r="L14" s="152">
        <v>1.52</v>
      </c>
      <c r="M14" s="152">
        <v>1.6</v>
      </c>
      <c r="N14" s="152">
        <v>1.65</v>
      </c>
      <c r="O14" s="152">
        <v>1.57</v>
      </c>
      <c r="P14" s="152">
        <v>1.63</v>
      </c>
      <c r="Q14" s="152">
        <v>1.73</v>
      </c>
      <c r="R14" s="152">
        <v>1.79</v>
      </c>
      <c r="S14" s="152">
        <v>1.81</v>
      </c>
      <c r="T14" s="152">
        <v>1.86</v>
      </c>
      <c r="U14" s="152">
        <v>1.82</v>
      </c>
      <c r="V14" s="152">
        <v>1.83</v>
      </c>
      <c r="W14" s="152"/>
      <c r="X14" s="152"/>
      <c r="Y14" s="152"/>
      <c r="Z14" s="152"/>
      <c r="AA14" s="152"/>
      <c r="AB14" s="153"/>
      <c r="AC14" s="153"/>
      <c r="AD14" s="153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2"/>
      <c r="AV14" s="2"/>
    </row>
    <row r="15" spans="1:48" ht="15.75" customHeight="1">
      <c r="A15" s="145"/>
      <c r="B15" s="150">
        <v>45413</v>
      </c>
      <c r="C15" s="151" t="s">
        <v>218</v>
      </c>
      <c r="D15" s="152">
        <v>1.1299999999999999</v>
      </c>
      <c r="E15" s="152">
        <v>1.2</v>
      </c>
      <c r="F15" s="152">
        <v>1.24</v>
      </c>
      <c r="G15" s="152">
        <v>1.29</v>
      </c>
      <c r="H15" s="152">
        <v>1.36</v>
      </c>
      <c r="I15" s="152">
        <v>1.41</v>
      </c>
      <c r="J15" s="152">
        <v>1.47</v>
      </c>
      <c r="K15" s="152">
        <v>1.53</v>
      </c>
      <c r="L15" s="152">
        <v>1.61</v>
      </c>
      <c r="M15" s="152">
        <v>1.69</v>
      </c>
      <c r="N15" s="152">
        <v>1.76</v>
      </c>
      <c r="O15" s="152">
        <v>1.72</v>
      </c>
      <c r="P15" s="152">
        <v>1.8</v>
      </c>
      <c r="Q15" s="152">
        <v>1.88</v>
      </c>
      <c r="R15" s="152">
        <v>1.95</v>
      </c>
      <c r="S15" s="152">
        <v>1.94</v>
      </c>
      <c r="T15" s="152">
        <v>1.97</v>
      </c>
      <c r="U15" s="152">
        <v>1.93</v>
      </c>
      <c r="V15" s="152"/>
      <c r="W15" s="152"/>
      <c r="X15" s="152"/>
      <c r="Y15" s="152"/>
      <c r="Z15" s="152"/>
      <c r="AA15" s="152"/>
      <c r="AB15" s="153"/>
      <c r="AC15" s="153"/>
      <c r="AD15" s="153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2"/>
      <c r="AV15" s="2"/>
    </row>
    <row r="16" spans="1:48" ht="15.75" customHeight="1">
      <c r="A16" s="145"/>
      <c r="B16" s="150">
        <v>45444</v>
      </c>
      <c r="C16" s="151" t="s">
        <v>219</v>
      </c>
      <c r="D16" s="152">
        <v>1.18</v>
      </c>
      <c r="E16" s="152">
        <v>1.26</v>
      </c>
      <c r="F16" s="152">
        <v>1.32</v>
      </c>
      <c r="G16" s="152">
        <v>1.4</v>
      </c>
      <c r="H16" s="152">
        <v>1.42</v>
      </c>
      <c r="I16" s="152">
        <v>1.46</v>
      </c>
      <c r="J16" s="152">
        <v>1.52</v>
      </c>
      <c r="K16" s="152">
        <v>1.58</v>
      </c>
      <c r="L16" s="152">
        <v>1.63</v>
      </c>
      <c r="M16" s="152">
        <v>1.69</v>
      </c>
      <c r="N16" s="152">
        <v>1.77</v>
      </c>
      <c r="O16" s="152">
        <v>1.83</v>
      </c>
      <c r="P16" s="152">
        <v>1.9</v>
      </c>
      <c r="Q16" s="152">
        <v>1.95</v>
      </c>
      <c r="R16" s="152">
        <v>2</v>
      </c>
      <c r="S16" s="152">
        <v>1.98</v>
      </c>
      <c r="T16" s="152">
        <v>2.0099999999999998</v>
      </c>
      <c r="U16" s="152"/>
      <c r="V16" s="152"/>
      <c r="W16" s="152"/>
      <c r="X16" s="152"/>
      <c r="Y16" s="152"/>
      <c r="Z16" s="152"/>
      <c r="AA16" s="152"/>
      <c r="AB16" s="153"/>
      <c r="AC16" s="153"/>
      <c r="AD16" s="153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2"/>
      <c r="AV16" s="2"/>
    </row>
    <row r="17" spans="1:48" ht="15.75" customHeight="1">
      <c r="A17" s="145"/>
      <c r="B17" s="150">
        <v>45474</v>
      </c>
      <c r="C17" s="151" t="s">
        <v>217</v>
      </c>
      <c r="D17" s="152">
        <v>1.18</v>
      </c>
      <c r="E17" s="152">
        <v>1.27</v>
      </c>
      <c r="F17" s="152">
        <v>1.36</v>
      </c>
      <c r="G17" s="152">
        <v>1.43</v>
      </c>
      <c r="H17" s="152">
        <v>1.48</v>
      </c>
      <c r="I17" s="152">
        <v>1.52</v>
      </c>
      <c r="J17" s="152">
        <v>1.57</v>
      </c>
      <c r="K17" s="152">
        <v>1.64</v>
      </c>
      <c r="L17" s="152">
        <v>1.71</v>
      </c>
      <c r="M17" s="152">
        <v>1.77</v>
      </c>
      <c r="N17" s="152">
        <v>1.84</v>
      </c>
      <c r="O17" s="152">
        <v>1.87</v>
      </c>
      <c r="P17" s="152">
        <v>1.91</v>
      </c>
      <c r="Q17" s="152">
        <v>1.97</v>
      </c>
      <c r="R17" s="152">
        <v>2</v>
      </c>
      <c r="S17" s="152">
        <v>2.0099999999999998</v>
      </c>
      <c r="T17" s="152"/>
      <c r="U17" s="152"/>
      <c r="V17" s="152"/>
      <c r="W17" s="152"/>
      <c r="X17" s="152"/>
      <c r="Y17" s="152"/>
      <c r="Z17" s="152"/>
      <c r="AA17" s="152"/>
      <c r="AB17" s="153"/>
      <c r="AC17" s="153"/>
      <c r="AD17" s="153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2"/>
      <c r="AV17" s="2"/>
    </row>
    <row r="18" spans="1:48" ht="15.75" customHeight="1">
      <c r="A18" s="145"/>
      <c r="B18" s="150">
        <v>45505</v>
      </c>
      <c r="C18" s="151" t="s">
        <v>220</v>
      </c>
      <c r="D18" s="152">
        <v>1.21</v>
      </c>
      <c r="E18" s="152">
        <v>1.32</v>
      </c>
      <c r="F18" s="152">
        <v>1.38</v>
      </c>
      <c r="G18" s="152">
        <v>1.44</v>
      </c>
      <c r="H18" s="152">
        <v>1.5</v>
      </c>
      <c r="I18" s="152">
        <v>1.57</v>
      </c>
      <c r="J18" s="152">
        <v>1.61</v>
      </c>
      <c r="K18" s="152">
        <v>1.68</v>
      </c>
      <c r="L18" s="152">
        <v>1.76</v>
      </c>
      <c r="M18" s="152">
        <v>1.85</v>
      </c>
      <c r="N18" s="152">
        <v>1.92</v>
      </c>
      <c r="O18" s="152">
        <v>1.92</v>
      </c>
      <c r="P18" s="152">
        <v>1.95</v>
      </c>
      <c r="Q18" s="152">
        <v>1.98</v>
      </c>
      <c r="R18" s="152">
        <v>2.0299999999999998</v>
      </c>
      <c r="S18" s="152"/>
      <c r="T18" s="152"/>
      <c r="U18" s="152"/>
      <c r="V18" s="152"/>
      <c r="W18" s="152"/>
      <c r="X18" s="152"/>
      <c r="Y18" s="152"/>
      <c r="Z18" s="152"/>
      <c r="AA18" s="152"/>
      <c r="AB18" s="153"/>
      <c r="AC18" s="153"/>
      <c r="AD18" s="153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2"/>
      <c r="AV18" s="2"/>
    </row>
    <row r="19" spans="1:48" ht="15.75" customHeight="1">
      <c r="A19" s="145"/>
      <c r="B19" s="150">
        <v>45536</v>
      </c>
      <c r="C19" s="151" t="s">
        <v>221</v>
      </c>
      <c r="D19" s="152">
        <v>1.2</v>
      </c>
      <c r="E19" s="152">
        <v>1.29</v>
      </c>
      <c r="F19" s="152">
        <v>1.36</v>
      </c>
      <c r="G19" s="152">
        <v>1.44</v>
      </c>
      <c r="H19" s="152">
        <v>1.52</v>
      </c>
      <c r="I19" s="152">
        <v>1.58</v>
      </c>
      <c r="J19" s="152">
        <v>1.65</v>
      </c>
      <c r="K19" s="152">
        <v>1.74</v>
      </c>
      <c r="L19" s="152">
        <v>1.82</v>
      </c>
      <c r="M19" s="152">
        <v>1.9</v>
      </c>
      <c r="N19" s="152">
        <v>1.97</v>
      </c>
      <c r="O19" s="152">
        <v>1.98</v>
      </c>
      <c r="P19" s="152">
        <v>2</v>
      </c>
      <c r="Q19" s="152">
        <v>2.04</v>
      </c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3"/>
      <c r="AC19" s="153"/>
      <c r="AD19" s="153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2"/>
      <c r="AV19" s="2"/>
    </row>
    <row r="20" spans="1:48" ht="15.75" customHeight="1">
      <c r="A20" s="145"/>
      <c r="B20" s="150">
        <v>45566</v>
      </c>
      <c r="C20" s="151" t="s">
        <v>222</v>
      </c>
      <c r="D20" s="152">
        <v>1.21</v>
      </c>
      <c r="E20" s="152">
        <v>1.28</v>
      </c>
      <c r="F20" s="152">
        <v>1.4</v>
      </c>
      <c r="G20" s="152">
        <v>1.5</v>
      </c>
      <c r="H20" s="152">
        <v>1.57</v>
      </c>
      <c r="I20" s="152">
        <v>1.64</v>
      </c>
      <c r="J20" s="152">
        <v>1.72</v>
      </c>
      <c r="K20" s="152">
        <v>1.82</v>
      </c>
      <c r="L20" s="152">
        <v>1.9</v>
      </c>
      <c r="M20" s="152">
        <v>1.98</v>
      </c>
      <c r="N20" s="152">
        <v>2.0299999999999998</v>
      </c>
      <c r="O20" s="152">
        <v>1.97</v>
      </c>
      <c r="P20" s="152">
        <v>2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3"/>
      <c r="AC20" s="153"/>
      <c r="AD20" s="153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2"/>
      <c r="AV20" s="2"/>
    </row>
    <row r="21" spans="1:48" ht="14.25" customHeight="1">
      <c r="A21" s="145"/>
      <c r="B21" s="150">
        <v>45597</v>
      </c>
      <c r="C21" s="151" t="s">
        <v>223</v>
      </c>
      <c r="D21" s="152">
        <v>1.18</v>
      </c>
      <c r="E21" s="152">
        <v>1.29</v>
      </c>
      <c r="F21" s="152">
        <v>1.39</v>
      </c>
      <c r="G21" s="152">
        <v>1.48</v>
      </c>
      <c r="H21" s="152">
        <v>1.58</v>
      </c>
      <c r="I21" s="152">
        <v>1.65</v>
      </c>
      <c r="J21" s="152">
        <v>1.75</v>
      </c>
      <c r="K21" s="152">
        <v>1.83</v>
      </c>
      <c r="L21" s="152">
        <v>1.9</v>
      </c>
      <c r="M21" s="152">
        <v>1.95</v>
      </c>
      <c r="N21" s="152">
        <v>2.0099999999999998</v>
      </c>
      <c r="O21" s="152">
        <v>1.94</v>
      </c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3"/>
      <c r="AC21" s="153"/>
      <c r="AD21" s="153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2"/>
      <c r="AV21" s="2"/>
    </row>
    <row r="22" spans="1:48" ht="14.25" customHeight="1">
      <c r="A22" s="145"/>
      <c r="B22" s="150">
        <v>45627</v>
      </c>
      <c r="C22" s="151" t="s">
        <v>224</v>
      </c>
      <c r="D22" s="152">
        <v>1.21</v>
      </c>
      <c r="E22" s="152">
        <v>1.34</v>
      </c>
      <c r="F22" s="152">
        <v>1.43</v>
      </c>
      <c r="G22" s="152">
        <v>1.54</v>
      </c>
      <c r="H22" s="152">
        <v>1.64</v>
      </c>
      <c r="I22" s="152">
        <v>1.73</v>
      </c>
      <c r="J22" s="152">
        <v>1.8</v>
      </c>
      <c r="K22" s="152">
        <v>1.88</v>
      </c>
      <c r="L22" s="152">
        <v>1.95</v>
      </c>
      <c r="M22" s="152">
        <v>2</v>
      </c>
      <c r="N22" s="152">
        <v>2.0499999999999998</v>
      </c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3"/>
      <c r="AC22" s="153"/>
      <c r="AD22" s="153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2"/>
      <c r="AV22" s="2"/>
    </row>
    <row r="23" spans="1:48" ht="14.25" customHeight="1">
      <c r="A23" s="145"/>
      <c r="B23" s="150">
        <v>45658</v>
      </c>
      <c r="C23" s="151" t="s">
        <v>225</v>
      </c>
      <c r="D23" s="152">
        <v>1.21</v>
      </c>
      <c r="E23" s="152">
        <v>1.32</v>
      </c>
      <c r="F23" s="152">
        <v>1.43</v>
      </c>
      <c r="G23" s="152">
        <v>1.51</v>
      </c>
      <c r="H23" s="152">
        <v>1.6</v>
      </c>
      <c r="I23" s="152">
        <v>1.66</v>
      </c>
      <c r="J23" s="152">
        <v>1.71</v>
      </c>
      <c r="K23" s="152">
        <v>1.77</v>
      </c>
      <c r="L23" s="152">
        <v>1.82</v>
      </c>
      <c r="M23" s="152">
        <v>1.87</v>
      </c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3"/>
      <c r="AC23" s="153"/>
      <c r="AD23" s="153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2"/>
      <c r="AV23" s="2"/>
    </row>
    <row r="24" spans="1:48" ht="14.25" customHeight="1">
      <c r="A24" s="145"/>
      <c r="B24" s="150">
        <v>45689</v>
      </c>
      <c r="C24" s="151" t="s">
        <v>226</v>
      </c>
      <c r="D24" s="152">
        <v>1.1499999999999999</v>
      </c>
      <c r="E24" s="152">
        <v>1.27</v>
      </c>
      <c r="F24" s="152">
        <v>1.36</v>
      </c>
      <c r="G24" s="152">
        <v>1.44</v>
      </c>
      <c r="H24" s="152">
        <v>1.52</v>
      </c>
      <c r="I24" s="152">
        <v>1.57</v>
      </c>
      <c r="J24" s="152">
        <v>1.61</v>
      </c>
      <c r="K24" s="152">
        <v>1.66</v>
      </c>
      <c r="L24" s="152">
        <v>1.71</v>
      </c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3"/>
      <c r="AC24" s="153"/>
      <c r="AD24" s="153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2"/>
      <c r="AV24" s="2"/>
    </row>
    <row r="25" spans="1:48" ht="14.25" customHeight="1">
      <c r="A25" s="145"/>
      <c r="B25" s="150">
        <v>45717</v>
      </c>
      <c r="C25" s="151" t="s">
        <v>227</v>
      </c>
      <c r="D25" s="152">
        <v>1.23</v>
      </c>
      <c r="E25" s="152">
        <v>1.36</v>
      </c>
      <c r="F25" s="152">
        <v>1.45</v>
      </c>
      <c r="G25" s="152">
        <v>1.53</v>
      </c>
      <c r="H25" s="152">
        <v>1.61</v>
      </c>
      <c r="I25" s="152">
        <v>1.64</v>
      </c>
      <c r="J25" s="152">
        <v>1.68</v>
      </c>
      <c r="K25" s="152">
        <v>1.73</v>
      </c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3"/>
      <c r="AC25" s="153"/>
      <c r="AD25" s="153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2"/>
      <c r="AV25" s="2"/>
    </row>
    <row r="26" spans="1:48" ht="14.25" customHeight="1">
      <c r="A26" s="145"/>
      <c r="B26" s="150">
        <v>45748</v>
      </c>
      <c r="C26" s="151" t="s">
        <v>228</v>
      </c>
      <c r="D26" s="152">
        <v>1.19</v>
      </c>
      <c r="E26" s="152">
        <v>1.31</v>
      </c>
      <c r="F26" s="152">
        <v>1.41</v>
      </c>
      <c r="G26" s="152">
        <v>1.48</v>
      </c>
      <c r="H26" s="152">
        <v>1.54</v>
      </c>
      <c r="I26" s="152">
        <v>1.59</v>
      </c>
      <c r="J26" s="152">
        <v>1.63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3"/>
      <c r="AC26" s="153"/>
      <c r="AD26" s="153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2"/>
      <c r="AV26" s="2"/>
    </row>
    <row r="27" spans="1:48" ht="14.25" customHeight="1">
      <c r="A27" s="145"/>
      <c r="B27" s="150">
        <v>45778</v>
      </c>
      <c r="C27" s="151" t="s">
        <v>229</v>
      </c>
      <c r="D27" s="152">
        <v>1.24</v>
      </c>
      <c r="E27" s="152">
        <v>1.36</v>
      </c>
      <c r="F27" s="152">
        <v>1.43</v>
      </c>
      <c r="G27" s="152">
        <v>1.51</v>
      </c>
      <c r="H27" s="152">
        <v>1.58</v>
      </c>
      <c r="I27" s="152">
        <v>1.62</v>
      </c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3"/>
      <c r="AC27" s="153"/>
      <c r="AD27" s="153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2"/>
      <c r="AV27" s="2"/>
    </row>
    <row r="28" spans="1:48" ht="14.25" customHeight="1">
      <c r="A28" s="145"/>
      <c r="B28" s="150">
        <v>45809</v>
      </c>
      <c r="C28" s="151" t="s">
        <v>230</v>
      </c>
      <c r="D28" s="152">
        <v>1.21</v>
      </c>
      <c r="E28" s="152">
        <v>1.32</v>
      </c>
      <c r="F28" s="152">
        <v>1.4</v>
      </c>
      <c r="G28" s="152">
        <v>1.49</v>
      </c>
      <c r="H28" s="152">
        <v>1.57</v>
      </c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3"/>
      <c r="AC28" s="153"/>
      <c r="AD28" s="153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2"/>
      <c r="AV28" s="2"/>
    </row>
    <row r="29" spans="1:48" ht="14.25" customHeight="1">
      <c r="A29" s="145"/>
      <c r="B29" s="150">
        <v>45839</v>
      </c>
      <c r="C29" s="151" t="s">
        <v>231</v>
      </c>
      <c r="D29" s="152">
        <v>1.18</v>
      </c>
      <c r="E29" s="152">
        <v>1.29</v>
      </c>
      <c r="F29" s="152">
        <v>1.39</v>
      </c>
      <c r="G29" s="152">
        <v>1.47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3"/>
      <c r="AC29" s="153"/>
      <c r="AD29" s="153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2"/>
      <c r="AV29" s="2"/>
    </row>
    <row r="30" spans="1:48" ht="14.25" customHeight="1">
      <c r="A30" s="145"/>
      <c r="B30" s="150">
        <v>45870</v>
      </c>
      <c r="C30" s="151" t="s">
        <v>225</v>
      </c>
      <c r="D30" s="152">
        <v>1.21</v>
      </c>
      <c r="E30" s="152">
        <v>1.34</v>
      </c>
      <c r="F30" s="152">
        <v>1.45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3"/>
      <c r="AC30" s="153"/>
      <c r="AD30" s="153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2"/>
      <c r="AV30" s="2"/>
    </row>
    <row r="31" spans="1:48" ht="14.25" customHeight="1">
      <c r="A31" s="145"/>
      <c r="B31" s="150">
        <v>45901</v>
      </c>
      <c r="C31" s="151" t="s">
        <v>232</v>
      </c>
      <c r="D31" s="152">
        <v>1.22</v>
      </c>
      <c r="E31" s="152">
        <v>1.35</v>
      </c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3"/>
      <c r="AC31" s="153"/>
      <c r="AD31" s="153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2"/>
      <c r="AV31" s="2"/>
    </row>
    <row r="32" spans="1:48" ht="14.25" customHeight="1">
      <c r="A32" s="145"/>
      <c r="B32" s="150">
        <v>45931</v>
      </c>
      <c r="C32" s="154" t="s">
        <v>233</v>
      </c>
      <c r="D32" s="152">
        <v>1.24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3"/>
      <c r="AC32" s="153"/>
      <c r="AD32" s="153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2"/>
      <c r="AV32" s="2"/>
    </row>
    <row r="33" spans="1:48" ht="14.25" customHeight="1">
      <c r="A33" s="145"/>
      <c r="B33" s="150">
        <v>45962</v>
      </c>
      <c r="C33" s="155" t="s">
        <v>234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2"/>
      <c r="AV33" s="2"/>
    </row>
    <row r="34" spans="1:48" ht="14.25" customHeight="1">
      <c r="A34" s="145"/>
      <c r="B34" s="150"/>
      <c r="C34" s="46"/>
      <c r="D34" s="156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2"/>
      <c r="AV34" s="2"/>
    </row>
    <row r="35" spans="1:48" ht="14.25" customHeight="1" thickBot="1">
      <c r="A35" s="145"/>
      <c r="B35" s="157" t="s">
        <v>235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39"/>
      <c r="Y35" s="139"/>
      <c r="Z35" s="139"/>
      <c r="AA35" s="139"/>
      <c r="AB35" s="139"/>
      <c r="AC35" s="139"/>
      <c r="AD35" s="139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2"/>
      <c r="AV35" s="2"/>
    </row>
    <row r="36" spans="1:48" ht="14.25" customHeight="1" thickBot="1">
      <c r="A36" s="145"/>
      <c r="B36" s="159" t="s">
        <v>236</v>
      </c>
      <c r="C36" s="160" t="s">
        <v>237</v>
      </c>
      <c r="D36" s="159" t="s">
        <v>182</v>
      </c>
      <c r="E36" s="159" t="s">
        <v>183</v>
      </c>
      <c r="F36" s="159" t="s">
        <v>184</v>
      </c>
      <c r="G36" s="159" t="s">
        <v>185</v>
      </c>
      <c r="H36" s="159" t="s">
        <v>186</v>
      </c>
      <c r="I36" s="159" t="s">
        <v>187</v>
      </c>
      <c r="J36" s="159" t="s">
        <v>188</v>
      </c>
      <c r="K36" s="159" t="s">
        <v>189</v>
      </c>
      <c r="L36" s="159" t="s">
        <v>190</v>
      </c>
      <c r="M36" s="159" t="s">
        <v>191</v>
      </c>
      <c r="N36" s="159" t="s">
        <v>192</v>
      </c>
      <c r="O36" s="159" t="s">
        <v>193</v>
      </c>
      <c r="P36" s="159" t="s">
        <v>194</v>
      </c>
      <c r="Q36" s="159" t="s">
        <v>195</v>
      </c>
      <c r="R36" s="159" t="s">
        <v>196</v>
      </c>
      <c r="S36" s="159" t="s">
        <v>197</v>
      </c>
      <c r="T36" s="159" t="s">
        <v>198</v>
      </c>
      <c r="U36" s="159" t="s">
        <v>199</v>
      </c>
      <c r="V36" s="159" t="s">
        <v>200</v>
      </c>
      <c r="W36" s="159" t="s">
        <v>201</v>
      </c>
      <c r="X36" s="161"/>
      <c r="Y36" s="161"/>
      <c r="Z36" s="161"/>
      <c r="AA36" s="161"/>
      <c r="AB36" s="161"/>
      <c r="AC36" s="161"/>
      <c r="AD36" s="161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3"/>
      <c r="AV36" s="163"/>
    </row>
    <row r="37" spans="1:48" ht="14.25" customHeight="1">
      <c r="A37" s="145"/>
      <c r="B37" s="164">
        <v>45292</v>
      </c>
      <c r="C37" s="165">
        <v>3134</v>
      </c>
      <c r="D37" s="166">
        <v>0.9</v>
      </c>
      <c r="E37" s="167">
        <v>0.97</v>
      </c>
      <c r="F37" s="168">
        <v>0.96</v>
      </c>
      <c r="G37" s="169">
        <v>0.93</v>
      </c>
      <c r="H37" s="170">
        <v>0.9</v>
      </c>
      <c r="I37" s="171">
        <v>0.88</v>
      </c>
      <c r="J37" s="172">
        <v>0.87</v>
      </c>
      <c r="K37" s="173">
        <v>0.86</v>
      </c>
      <c r="L37" s="174">
        <v>0.85</v>
      </c>
      <c r="M37" s="175">
        <v>0.84</v>
      </c>
      <c r="N37" s="176">
        <v>0.84</v>
      </c>
      <c r="O37" s="177">
        <v>0.83</v>
      </c>
      <c r="P37" s="178">
        <v>0.73</v>
      </c>
      <c r="Q37" s="179">
        <v>0.73</v>
      </c>
      <c r="R37" s="180">
        <v>0.73</v>
      </c>
      <c r="S37" s="178">
        <v>0.73</v>
      </c>
      <c r="T37" s="181">
        <v>0.72</v>
      </c>
      <c r="U37" s="180">
        <v>0.73</v>
      </c>
      <c r="V37" s="180">
        <v>0.73</v>
      </c>
      <c r="W37" s="178">
        <v>0.73</v>
      </c>
      <c r="X37" s="139"/>
      <c r="Y37" s="139"/>
      <c r="Z37" s="139"/>
      <c r="AA37" s="139"/>
      <c r="AB37" s="139"/>
      <c r="AC37" s="139"/>
      <c r="AD37" s="139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2"/>
      <c r="AV37" s="2"/>
    </row>
    <row r="38" spans="1:48" ht="14.25" customHeight="1">
      <c r="A38" s="145"/>
      <c r="B38" s="164">
        <f t="shared" ref="B38:B56" si="0">EOMONTH(B37,1)</f>
        <v>45351</v>
      </c>
      <c r="C38" s="165">
        <v>2530</v>
      </c>
      <c r="D38" s="182">
        <v>0.95</v>
      </c>
      <c r="E38" s="183">
        <v>0.96</v>
      </c>
      <c r="F38" s="169">
        <v>0.93</v>
      </c>
      <c r="G38" s="184">
        <v>0.9</v>
      </c>
      <c r="H38" s="185">
        <v>0.87</v>
      </c>
      <c r="I38" s="186">
        <v>0.85</v>
      </c>
      <c r="J38" s="187">
        <v>0.83</v>
      </c>
      <c r="K38" s="188">
        <v>0.82</v>
      </c>
      <c r="L38" s="189">
        <v>0.82</v>
      </c>
      <c r="M38" s="190">
        <v>0.81</v>
      </c>
      <c r="N38" s="191">
        <v>0.81</v>
      </c>
      <c r="O38" s="192">
        <v>0.8</v>
      </c>
      <c r="P38" s="193">
        <v>0.74</v>
      </c>
      <c r="Q38" s="194">
        <v>0.73</v>
      </c>
      <c r="R38" s="195">
        <v>0.73</v>
      </c>
      <c r="S38" s="196">
        <v>0.73</v>
      </c>
      <c r="T38" s="197">
        <v>0.73</v>
      </c>
      <c r="U38" s="198">
        <v>0.73</v>
      </c>
      <c r="V38" s="181">
        <v>0.72</v>
      </c>
      <c r="W38" s="199"/>
      <c r="X38" s="139"/>
      <c r="Y38" s="139"/>
      <c r="Z38" s="139"/>
      <c r="AA38" s="139"/>
      <c r="AB38" s="139"/>
      <c r="AC38" s="139"/>
      <c r="AD38" s="139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2"/>
      <c r="AV38" s="2"/>
    </row>
    <row r="39" spans="1:48" ht="14.25" customHeight="1">
      <c r="A39" s="145"/>
      <c r="B39" s="164">
        <f t="shared" si="0"/>
        <v>45382</v>
      </c>
      <c r="C39" s="165">
        <v>2415</v>
      </c>
      <c r="D39" s="200">
        <v>0.95</v>
      </c>
      <c r="E39" s="169">
        <v>0.93</v>
      </c>
      <c r="F39" s="201">
        <v>0.9</v>
      </c>
      <c r="G39" s="202">
        <v>0.88</v>
      </c>
      <c r="H39" s="203">
        <v>0.86</v>
      </c>
      <c r="I39" s="174">
        <v>0.85</v>
      </c>
      <c r="J39" s="187">
        <v>0.84</v>
      </c>
      <c r="K39" s="204">
        <v>0.83</v>
      </c>
      <c r="L39" s="188">
        <v>0.82</v>
      </c>
      <c r="M39" s="205">
        <v>0.82</v>
      </c>
      <c r="N39" s="206">
        <v>0.82</v>
      </c>
      <c r="O39" s="206">
        <v>0.82</v>
      </c>
      <c r="P39" s="207">
        <v>0.7</v>
      </c>
      <c r="Q39" s="208">
        <v>0.7</v>
      </c>
      <c r="R39" s="209">
        <v>0.7</v>
      </c>
      <c r="S39" s="209">
        <v>0.71</v>
      </c>
      <c r="T39" s="210">
        <v>0.71</v>
      </c>
      <c r="U39" s="211">
        <v>0.71</v>
      </c>
      <c r="V39" s="199"/>
      <c r="W39" s="199"/>
      <c r="X39" s="139"/>
      <c r="Y39" s="139"/>
      <c r="Z39" s="139"/>
      <c r="AA39" s="139"/>
      <c r="AB39" s="139"/>
      <c r="AC39" s="139"/>
      <c r="AD39" s="139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2"/>
      <c r="AV39" s="2"/>
    </row>
    <row r="40" spans="1:48" ht="14.25" customHeight="1">
      <c r="A40" s="145"/>
      <c r="B40" s="164">
        <f t="shared" si="0"/>
        <v>45412</v>
      </c>
      <c r="C40" s="165">
        <v>3927</v>
      </c>
      <c r="D40" s="212">
        <v>0.93</v>
      </c>
      <c r="E40" s="213">
        <v>0.91</v>
      </c>
      <c r="F40" s="214">
        <v>0.87</v>
      </c>
      <c r="G40" s="186">
        <v>0.85</v>
      </c>
      <c r="H40" s="215">
        <v>0.83</v>
      </c>
      <c r="I40" s="216">
        <v>0.82</v>
      </c>
      <c r="J40" s="217">
        <v>0.81</v>
      </c>
      <c r="K40" s="218">
        <v>0.8</v>
      </c>
      <c r="L40" s="219">
        <v>0.79</v>
      </c>
      <c r="M40" s="220">
        <v>0.79</v>
      </c>
      <c r="N40" s="221">
        <v>0.79</v>
      </c>
      <c r="O40" s="222">
        <v>0.79</v>
      </c>
      <c r="P40" s="223">
        <v>0.66</v>
      </c>
      <c r="Q40" s="224">
        <v>0.66</v>
      </c>
      <c r="R40" s="225">
        <v>0.67</v>
      </c>
      <c r="S40" s="226">
        <v>0.67</v>
      </c>
      <c r="T40" s="227">
        <v>0.66</v>
      </c>
      <c r="U40" s="199"/>
      <c r="V40" s="199"/>
      <c r="W40" s="199"/>
      <c r="X40" s="139"/>
      <c r="Y40" s="139"/>
      <c r="Z40" s="139"/>
      <c r="AA40" s="139"/>
      <c r="AB40" s="139"/>
      <c r="AC40" s="139"/>
      <c r="AD40" s="139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2"/>
      <c r="AV40" s="2"/>
    </row>
    <row r="41" spans="1:48" ht="14.25" customHeight="1">
      <c r="A41" s="145"/>
      <c r="B41" s="164">
        <f t="shared" si="0"/>
        <v>45443</v>
      </c>
      <c r="C41" s="165">
        <v>2850</v>
      </c>
      <c r="D41" s="201">
        <v>0.9</v>
      </c>
      <c r="E41" s="228">
        <v>0.88</v>
      </c>
      <c r="F41" s="229">
        <v>0.85</v>
      </c>
      <c r="G41" s="216">
        <v>0.82</v>
      </c>
      <c r="H41" s="191">
        <v>0.81</v>
      </c>
      <c r="I41" s="230">
        <v>0.79</v>
      </c>
      <c r="J41" s="231">
        <v>0.78</v>
      </c>
      <c r="K41" s="232">
        <v>0.78</v>
      </c>
      <c r="L41" s="233">
        <v>0.77</v>
      </c>
      <c r="M41" s="234">
        <v>0.77</v>
      </c>
      <c r="N41" s="235">
        <v>0.77</v>
      </c>
      <c r="O41" s="236">
        <v>0.77</v>
      </c>
      <c r="P41" s="237">
        <v>0.69</v>
      </c>
      <c r="Q41" s="238">
        <v>0.69</v>
      </c>
      <c r="R41" s="239">
        <v>0.69</v>
      </c>
      <c r="S41" s="240">
        <v>0.69</v>
      </c>
      <c r="T41" s="199"/>
      <c r="U41" s="199"/>
      <c r="V41" s="199"/>
      <c r="W41" s="199"/>
      <c r="X41" s="139"/>
      <c r="Y41" s="139"/>
      <c r="Z41" s="139"/>
      <c r="AA41" s="139"/>
      <c r="AB41" s="139"/>
      <c r="AC41" s="139"/>
      <c r="AD41" s="139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2"/>
      <c r="AV41" s="2"/>
    </row>
    <row r="42" spans="1:48" ht="14.25" customHeight="1">
      <c r="A42" s="145"/>
      <c r="B42" s="164">
        <f t="shared" si="0"/>
        <v>45473</v>
      </c>
      <c r="C42" s="165">
        <v>2901</v>
      </c>
      <c r="D42" s="241">
        <v>0.89</v>
      </c>
      <c r="E42" s="214">
        <v>0.87</v>
      </c>
      <c r="F42" s="242">
        <v>0.84</v>
      </c>
      <c r="G42" s="243">
        <v>0.83</v>
      </c>
      <c r="H42" s="244">
        <v>0.81</v>
      </c>
      <c r="I42" s="245">
        <v>0.8</v>
      </c>
      <c r="J42" s="231">
        <v>0.78</v>
      </c>
      <c r="K42" s="246">
        <v>0.78</v>
      </c>
      <c r="L42" s="233">
        <v>0.77</v>
      </c>
      <c r="M42" s="247">
        <v>0.77</v>
      </c>
      <c r="N42" s="248">
        <v>0.76</v>
      </c>
      <c r="O42" s="249">
        <v>0.76</v>
      </c>
      <c r="P42" s="250">
        <v>0.72</v>
      </c>
      <c r="Q42" s="251">
        <v>0.72</v>
      </c>
      <c r="R42" s="251">
        <v>0.72</v>
      </c>
      <c r="S42" s="199"/>
      <c r="T42" s="199"/>
      <c r="U42" s="199"/>
      <c r="V42" s="199"/>
      <c r="W42" s="199"/>
      <c r="X42" s="139"/>
      <c r="Y42" s="139"/>
      <c r="Z42" s="139"/>
      <c r="AA42" s="139"/>
      <c r="AB42" s="139"/>
      <c r="AC42" s="139"/>
      <c r="AD42" s="139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2"/>
      <c r="AV42" s="2"/>
    </row>
    <row r="43" spans="1:48" ht="14.25" customHeight="1">
      <c r="A43" s="145"/>
      <c r="B43" s="164">
        <f t="shared" si="0"/>
        <v>45504</v>
      </c>
      <c r="C43" s="165">
        <v>3699</v>
      </c>
      <c r="D43" s="213">
        <v>0.91</v>
      </c>
      <c r="E43" s="252">
        <v>0.88</v>
      </c>
      <c r="F43" s="253">
        <v>0.86</v>
      </c>
      <c r="G43" s="175">
        <v>0.84</v>
      </c>
      <c r="H43" s="204">
        <v>0.83</v>
      </c>
      <c r="I43" s="254">
        <v>0.82</v>
      </c>
      <c r="J43" s="191">
        <v>0.8</v>
      </c>
      <c r="K43" s="192">
        <v>0.8</v>
      </c>
      <c r="L43" s="255">
        <v>0.8</v>
      </c>
      <c r="M43" s="219">
        <v>0.79</v>
      </c>
      <c r="N43" s="222">
        <v>0.79</v>
      </c>
      <c r="O43" s="220">
        <v>0.79</v>
      </c>
      <c r="P43" s="256">
        <v>0.74</v>
      </c>
      <c r="Q43" s="193">
        <v>0.74</v>
      </c>
      <c r="R43" s="199"/>
      <c r="S43" s="199"/>
      <c r="T43" s="199"/>
      <c r="U43" s="199"/>
      <c r="V43" s="199"/>
      <c r="W43" s="199"/>
      <c r="X43" s="139"/>
      <c r="Y43" s="139"/>
      <c r="Z43" s="139"/>
      <c r="AA43" s="139"/>
      <c r="AB43" s="139"/>
      <c r="AC43" s="139"/>
      <c r="AD43" s="139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2"/>
      <c r="AV43" s="2"/>
    </row>
    <row r="44" spans="1:48" ht="14.25" customHeight="1">
      <c r="A44" s="145"/>
      <c r="B44" s="164">
        <f t="shared" si="0"/>
        <v>45535</v>
      </c>
      <c r="C44" s="165">
        <v>5511</v>
      </c>
      <c r="D44" s="257">
        <v>0.89</v>
      </c>
      <c r="E44" s="258">
        <v>0.89</v>
      </c>
      <c r="F44" s="259">
        <v>0.85</v>
      </c>
      <c r="G44" s="187">
        <v>0.83</v>
      </c>
      <c r="H44" s="189">
        <v>0.82</v>
      </c>
      <c r="I44" s="190">
        <v>0.81</v>
      </c>
      <c r="J44" s="260">
        <v>0.8</v>
      </c>
      <c r="K44" s="221">
        <v>0.79</v>
      </c>
      <c r="L44" s="231">
        <v>0.78</v>
      </c>
      <c r="M44" s="231">
        <v>0.78</v>
      </c>
      <c r="N44" s="261">
        <v>0.78</v>
      </c>
      <c r="O44" s="262">
        <v>0.78</v>
      </c>
      <c r="P44" s="180">
        <v>0.73</v>
      </c>
      <c r="Q44" s="199"/>
      <c r="R44" s="199"/>
      <c r="S44" s="199"/>
      <c r="T44" s="199"/>
      <c r="U44" s="199"/>
      <c r="V44" s="199"/>
      <c r="W44" s="199"/>
      <c r="X44" s="139"/>
      <c r="Y44" s="139"/>
      <c r="Z44" s="139"/>
      <c r="AA44" s="139"/>
      <c r="AB44" s="139"/>
      <c r="AC44" s="139"/>
      <c r="AD44" s="139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2"/>
      <c r="AV44" s="2"/>
    </row>
    <row r="45" spans="1:48" ht="14.25" customHeight="1">
      <c r="A45" s="145"/>
      <c r="B45" s="164">
        <f t="shared" si="0"/>
        <v>45565</v>
      </c>
      <c r="C45" s="165">
        <v>5894</v>
      </c>
      <c r="D45" s="263">
        <v>0.92</v>
      </c>
      <c r="E45" s="228">
        <v>0.88</v>
      </c>
      <c r="F45" s="186">
        <v>0.85</v>
      </c>
      <c r="G45" s="187">
        <v>0.83</v>
      </c>
      <c r="H45" s="243">
        <v>0.83</v>
      </c>
      <c r="I45" s="205">
        <v>0.82</v>
      </c>
      <c r="J45" s="260">
        <v>0.8</v>
      </c>
      <c r="K45" s="230">
        <v>0.79</v>
      </c>
      <c r="L45" s="264">
        <v>0.79</v>
      </c>
      <c r="M45" s="231">
        <v>0.78</v>
      </c>
      <c r="N45" s="231">
        <v>0.79</v>
      </c>
      <c r="O45" s="262">
        <v>0.78</v>
      </c>
      <c r="P45" s="199"/>
      <c r="Q45" s="199"/>
      <c r="R45" s="199"/>
      <c r="S45" s="199"/>
      <c r="T45" s="199"/>
      <c r="U45" s="199"/>
      <c r="V45" s="199"/>
      <c r="W45" s="199"/>
      <c r="X45" s="139"/>
      <c r="Y45" s="139"/>
      <c r="Z45" s="139"/>
      <c r="AA45" s="139"/>
      <c r="AB45" s="139"/>
      <c r="AC45" s="139"/>
      <c r="AD45" s="139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2"/>
      <c r="AV45" s="2"/>
    </row>
    <row r="46" spans="1:48" ht="14.25" customHeight="1">
      <c r="A46" s="145"/>
      <c r="B46" s="164">
        <f t="shared" si="0"/>
        <v>45596</v>
      </c>
      <c r="C46" s="165">
        <v>6847</v>
      </c>
      <c r="D46" s="241">
        <v>0.89</v>
      </c>
      <c r="E46" s="265">
        <v>0.84</v>
      </c>
      <c r="F46" s="191">
        <v>0.81</v>
      </c>
      <c r="G46" s="266">
        <v>0.79</v>
      </c>
      <c r="H46" s="231">
        <v>0.78</v>
      </c>
      <c r="I46" s="233">
        <v>0.77</v>
      </c>
      <c r="J46" s="267">
        <v>0.75</v>
      </c>
      <c r="K46" s="268">
        <v>0.74</v>
      </c>
      <c r="L46" s="256">
        <v>0.74</v>
      </c>
      <c r="M46" s="193">
        <v>0.74</v>
      </c>
      <c r="N46" s="269">
        <v>0.74</v>
      </c>
      <c r="O46" s="199"/>
      <c r="P46" s="199"/>
      <c r="Q46" s="199"/>
      <c r="R46" s="199"/>
      <c r="S46" s="199"/>
      <c r="T46" s="199"/>
      <c r="U46" s="199"/>
      <c r="V46" s="199"/>
      <c r="W46" s="199"/>
      <c r="X46" s="139"/>
      <c r="Y46" s="139"/>
      <c r="Z46" s="139"/>
      <c r="AA46" s="139"/>
      <c r="AB46" s="139"/>
      <c r="AC46" s="139"/>
      <c r="AD46" s="139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2"/>
      <c r="AV46" s="2"/>
    </row>
    <row r="47" spans="1:48" ht="14.25" customHeight="1">
      <c r="A47" s="145"/>
      <c r="B47" s="164">
        <f t="shared" si="0"/>
        <v>45626</v>
      </c>
      <c r="C47" s="165">
        <v>8883</v>
      </c>
      <c r="D47" s="270">
        <v>0.84</v>
      </c>
      <c r="E47" s="271">
        <v>0.75</v>
      </c>
      <c r="F47" s="181">
        <v>0.72</v>
      </c>
      <c r="G47" s="272">
        <v>0.71</v>
      </c>
      <c r="H47" s="208">
        <v>0.7</v>
      </c>
      <c r="I47" s="273">
        <v>0.69</v>
      </c>
      <c r="J47" s="274">
        <v>0.67</v>
      </c>
      <c r="K47" s="223">
        <v>0.66</v>
      </c>
      <c r="L47" s="275">
        <v>0.66</v>
      </c>
      <c r="M47" s="276">
        <v>0.66</v>
      </c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39"/>
      <c r="Y47" s="139"/>
      <c r="Z47" s="139"/>
      <c r="AA47" s="139"/>
      <c r="AB47" s="139"/>
      <c r="AC47" s="139"/>
      <c r="AD47" s="139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2"/>
      <c r="AV47" s="2"/>
    </row>
    <row r="48" spans="1:48" ht="14.25" customHeight="1">
      <c r="A48" s="145"/>
      <c r="B48" s="164">
        <f t="shared" si="0"/>
        <v>45657</v>
      </c>
      <c r="C48" s="165">
        <v>8249</v>
      </c>
      <c r="D48" s="215">
        <v>0.83</v>
      </c>
      <c r="E48" s="231">
        <v>0.78</v>
      </c>
      <c r="F48" s="249">
        <v>0.76</v>
      </c>
      <c r="G48" s="271">
        <v>0.75</v>
      </c>
      <c r="H48" s="277">
        <v>0.73</v>
      </c>
      <c r="I48" s="181">
        <v>0.72</v>
      </c>
      <c r="J48" s="278">
        <v>0.7</v>
      </c>
      <c r="K48" s="239">
        <v>0.69</v>
      </c>
      <c r="L48" s="279">
        <v>0.68</v>
      </c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39"/>
      <c r="Y48" s="139"/>
      <c r="Z48" s="139"/>
      <c r="AA48" s="139"/>
      <c r="AB48" s="139"/>
      <c r="AC48" s="139"/>
      <c r="AD48" s="139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2"/>
      <c r="AV48" s="2"/>
    </row>
    <row r="49" spans="1:48" ht="14.25" customHeight="1">
      <c r="A49" s="145"/>
      <c r="B49" s="164">
        <f t="shared" si="0"/>
        <v>45688</v>
      </c>
      <c r="C49" s="165">
        <v>9507</v>
      </c>
      <c r="D49" s="280">
        <v>0.86</v>
      </c>
      <c r="E49" s="215">
        <v>0.83</v>
      </c>
      <c r="F49" s="191">
        <v>0.8</v>
      </c>
      <c r="G49" s="281">
        <v>0.79</v>
      </c>
      <c r="H49" s="235">
        <v>0.77</v>
      </c>
      <c r="I49" s="282">
        <v>0.76</v>
      </c>
      <c r="J49" s="198">
        <v>0.73</v>
      </c>
      <c r="K49" s="283">
        <v>0.72</v>
      </c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39"/>
      <c r="Y49" s="139"/>
      <c r="Z49" s="139"/>
      <c r="AA49" s="139"/>
      <c r="AB49" s="139"/>
      <c r="AC49" s="139"/>
      <c r="AD49" s="139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2"/>
      <c r="AV49" s="2"/>
    </row>
    <row r="50" spans="1:48" ht="14.25" customHeight="1">
      <c r="A50" s="145"/>
      <c r="B50" s="164">
        <f t="shared" si="0"/>
        <v>45716</v>
      </c>
      <c r="C50" s="165">
        <v>9372</v>
      </c>
      <c r="D50" s="252">
        <v>0.88</v>
      </c>
      <c r="E50" s="284">
        <v>0.85</v>
      </c>
      <c r="F50" s="189">
        <v>0.82</v>
      </c>
      <c r="G50" s="285">
        <v>0.8</v>
      </c>
      <c r="H50" s="286">
        <v>0.78</v>
      </c>
      <c r="I50" s="287">
        <v>0.77</v>
      </c>
      <c r="J50" s="288">
        <v>0.74</v>
      </c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39"/>
      <c r="Y50" s="139"/>
      <c r="Z50" s="139"/>
      <c r="AA50" s="139"/>
      <c r="AB50" s="139"/>
      <c r="AC50" s="139"/>
      <c r="AD50" s="139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2"/>
      <c r="AV50" s="2"/>
    </row>
    <row r="51" spans="1:48" ht="14.25" customHeight="1">
      <c r="A51" s="145"/>
      <c r="B51" s="164">
        <f t="shared" si="0"/>
        <v>45747</v>
      </c>
      <c r="C51" s="165">
        <v>8618</v>
      </c>
      <c r="D51" s="172">
        <v>0.87</v>
      </c>
      <c r="E51" s="187">
        <v>0.83</v>
      </c>
      <c r="F51" s="245">
        <v>0.8</v>
      </c>
      <c r="G51" s="231">
        <v>0.78</v>
      </c>
      <c r="H51" s="236">
        <v>0.77</v>
      </c>
      <c r="I51" s="267">
        <v>0.75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39"/>
      <c r="Y51" s="139"/>
      <c r="Z51" s="139"/>
      <c r="AA51" s="139"/>
      <c r="AB51" s="139"/>
      <c r="AC51" s="139"/>
      <c r="AD51" s="139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2"/>
      <c r="AV51" s="2"/>
    </row>
    <row r="52" spans="1:48" ht="14.25" customHeight="1">
      <c r="A52" s="145"/>
      <c r="B52" s="164">
        <f t="shared" si="0"/>
        <v>45777</v>
      </c>
      <c r="C52" s="165">
        <v>8860</v>
      </c>
      <c r="D52" s="214">
        <v>0.87</v>
      </c>
      <c r="E52" s="289">
        <v>0.85</v>
      </c>
      <c r="F52" s="290">
        <v>0.83</v>
      </c>
      <c r="G52" s="191">
        <v>0.81</v>
      </c>
      <c r="H52" s="264">
        <v>0.79</v>
      </c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39"/>
      <c r="Y52" s="139"/>
      <c r="Z52" s="139"/>
      <c r="AA52" s="139"/>
      <c r="AB52" s="139"/>
      <c r="AC52" s="139"/>
      <c r="AD52" s="139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2"/>
      <c r="AV52" s="2"/>
    </row>
    <row r="53" spans="1:48" ht="14.25" customHeight="1">
      <c r="A53" s="145"/>
      <c r="B53" s="164">
        <f t="shared" si="0"/>
        <v>45808</v>
      </c>
      <c r="C53" s="165">
        <v>9522</v>
      </c>
      <c r="D53" s="284">
        <v>0.85</v>
      </c>
      <c r="E53" s="204">
        <v>0.83</v>
      </c>
      <c r="F53" s="245">
        <v>0.8</v>
      </c>
      <c r="G53" s="231">
        <v>0.78</v>
      </c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39"/>
      <c r="Y53" s="139"/>
      <c r="Z53" s="139"/>
      <c r="AA53" s="139"/>
      <c r="AB53" s="139"/>
      <c r="AC53" s="139"/>
      <c r="AD53" s="139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2"/>
      <c r="AV53" s="2"/>
    </row>
    <row r="54" spans="1:48" ht="14.25" customHeight="1">
      <c r="A54" s="145"/>
      <c r="B54" s="164">
        <f t="shared" si="0"/>
        <v>45838</v>
      </c>
      <c r="C54" s="165">
        <v>11579</v>
      </c>
      <c r="D54" s="291">
        <v>0.86</v>
      </c>
      <c r="E54" s="205">
        <v>0.82</v>
      </c>
      <c r="F54" s="230">
        <v>0.79</v>
      </c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39"/>
      <c r="Y54" s="139"/>
      <c r="Z54" s="139"/>
      <c r="AA54" s="139"/>
      <c r="AB54" s="139"/>
      <c r="AC54" s="139"/>
      <c r="AD54" s="139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2"/>
      <c r="AV54" s="2"/>
    </row>
    <row r="55" spans="1:48" ht="14.25" customHeight="1">
      <c r="A55" s="145"/>
      <c r="B55" s="164">
        <f t="shared" si="0"/>
        <v>45869</v>
      </c>
      <c r="C55" s="165">
        <v>10661</v>
      </c>
      <c r="D55" s="292">
        <v>0.87</v>
      </c>
      <c r="E55" s="293">
        <v>0.86</v>
      </c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39"/>
      <c r="Y55" s="139"/>
      <c r="Z55" s="139"/>
      <c r="AA55" s="139"/>
      <c r="AB55" s="139"/>
      <c r="AC55" s="139"/>
      <c r="AD55" s="139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2"/>
      <c r="AV55" s="2"/>
    </row>
    <row r="56" spans="1:48" ht="14.25" customHeight="1">
      <c r="A56" s="145"/>
      <c r="B56" s="164">
        <f t="shared" si="0"/>
        <v>45900</v>
      </c>
      <c r="C56" s="165">
        <v>10530</v>
      </c>
      <c r="D56" s="294">
        <v>0.87</v>
      </c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39"/>
      <c r="Y56" s="139"/>
      <c r="Z56" s="139"/>
      <c r="AA56" s="139"/>
      <c r="AB56" s="139"/>
      <c r="AC56" s="139"/>
      <c r="AD56" s="139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2"/>
      <c r="AV56" s="2"/>
    </row>
    <row r="57" spans="1:48" ht="14.25" customHeight="1">
      <c r="A57" s="145"/>
      <c r="B57" s="46"/>
      <c r="C57" s="46"/>
      <c r="D57" s="156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2"/>
      <c r="AV57" s="2"/>
    </row>
    <row r="58" spans="1:48" ht="14.25" customHeight="1">
      <c r="A58" s="145"/>
      <c r="B58" s="46"/>
      <c r="C58" s="46"/>
      <c r="D58" s="156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2"/>
      <c r="AV58" s="2"/>
    </row>
    <row r="59" spans="1:48" ht="15.75" customHeight="1">
      <c r="A59" s="140" t="s">
        <v>238</v>
      </c>
      <c r="B59" s="141"/>
      <c r="C59" s="141"/>
      <c r="D59" s="142"/>
      <c r="E59" s="143"/>
      <c r="F59" s="295" t="s">
        <v>239</v>
      </c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46"/>
      <c r="AV59" s="46"/>
    </row>
    <row r="60" spans="1:48" ht="14.25" customHeight="1">
      <c r="A60" s="145"/>
      <c r="B60" s="46"/>
      <c r="C60" s="46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2"/>
      <c r="AV60" s="2"/>
    </row>
    <row r="61" spans="1:48" ht="14.25" customHeight="1">
      <c r="A61" s="145"/>
      <c r="B61" s="146" t="s">
        <v>181</v>
      </c>
      <c r="C61" s="147" t="s">
        <v>182</v>
      </c>
      <c r="D61" s="148" t="s">
        <v>183</v>
      </c>
      <c r="E61" s="148" t="s">
        <v>184</v>
      </c>
      <c r="F61" s="148" t="s">
        <v>185</v>
      </c>
      <c r="G61" s="148" t="s">
        <v>186</v>
      </c>
      <c r="H61" s="148" t="s">
        <v>187</v>
      </c>
      <c r="I61" s="148" t="s">
        <v>188</v>
      </c>
      <c r="J61" s="148" t="s">
        <v>189</v>
      </c>
      <c r="K61" s="148" t="s">
        <v>190</v>
      </c>
      <c r="L61" s="148" t="s">
        <v>191</v>
      </c>
      <c r="M61" s="148" t="s">
        <v>192</v>
      </c>
      <c r="N61" s="148" t="s">
        <v>193</v>
      </c>
      <c r="O61" s="148" t="s">
        <v>194</v>
      </c>
      <c r="P61" s="148" t="s">
        <v>195</v>
      </c>
      <c r="Q61" s="148" t="s">
        <v>196</v>
      </c>
      <c r="R61" s="148" t="s">
        <v>197</v>
      </c>
      <c r="S61" s="148" t="s">
        <v>198</v>
      </c>
      <c r="T61" s="148" t="s">
        <v>199</v>
      </c>
      <c r="U61" s="148" t="s">
        <v>200</v>
      </c>
      <c r="V61" s="148" t="s">
        <v>201</v>
      </c>
      <c r="W61" s="148" t="s">
        <v>202</v>
      </c>
      <c r="X61" s="148" t="s">
        <v>203</v>
      </c>
      <c r="Y61" s="148" t="s">
        <v>204</v>
      </c>
      <c r="Z61" s="148" t="s">
        <v>205</v>
      </c>
      <c r="AA61" s="148" t="s">
        <v>206</v>
      </c>
      <c r="AB61" s="148" t="s">
        <v>207</v>
      </c>
      <c r="AC61" s="148" t="s">
        <v>208</v>
      </c>
      <c r="AD61" s="148" t="s">
        <v>209</v>
      </c>
      <c r="AE61" s="149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2"/>
      <c r="AV61" s="2"/>
    </row>
    <row r="62" spans="1:48" ht="14.25" customHeight="1">
      <c r="A62" s="145"/>
      <c r="B62" s="296">
        <v>45139</v>
      </c>
      <c r="C62" s="45" t="s">
        <v>240</v>
      </c>
      <c r="D62" s="153">
        <v>0.15</v>
      </c>
      <c r="E62" s="153">
        <v>0.1</v>
      </c>
      <c r="F62" s="153">
        <v>0.09</v>
      </c>
      <c r="G62" s="153">
        <v>0.09</v>
      </c>
      <c r="H62" s="153">
        <v>0.06</v>
      </c>
      <c r="I62" s="153">
        <v>0.05</v>
      </c>
      <c r="J62" s="153">
        <v>0.06</v>
      </c>
      <c r="K62" s="153">
        <v>0.06</v>
      </c>
      <c r="L62" s="153">
        <v>0.05</v>
      </c>
      <c r="M62" s="153">
        <v>0.05</v>
      </c>
      <c r="N62" s="153">
        <v>0.05</v>
      </c>
      <c r="O62" s="153">
        <v>0.06</v>
      </c>
      <c r="P62" s="153">
        <v>0.06</v>
      </c>
      <c r="Q62" s="153">
        <v>7.0000000000000007E-2</v>
      </c>
      <c r="R62" s="153">
        <v>0.06</v>
      </c>
      <c r="S62" s="153">
        <v>0.06</v>
      </c>
      <c r="T62" s="153">
        <v>7.0000000000000007E-2</v>
      </c>
      <c r="U62" s="153">
        <v>7.0000000000000007E-2</v>
      </c>
      <c r="V62" s="153">
        <v>7.0000000000000007E-2</v>
      </c>
      <c r="W62" s="153">
        <v>0.08</v>
      </c>
      <c r="X62" s="153">
        <v>7.0000000000000007E-2</v>
      </c>
      <c r="Y62" s="153">
        <v>0.08</v>
      </c>
      <c r="Z62" s="153">
        <v>7.0000000000000007E-2</v>
      </c>
      <c r="AA62" s="153">
        <v>7.0000000000000007E-2</v>
      </c>
      <c r="AB62" s="153">
        <v>0.06</v>
      </c>
      <c r="AC62" s="153">
        <v>7.0000000000000007E-2</v>
      </c>
      <c r="AD62" s="153">
        <v>7.0000000000000007E-2</v>
      </c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2"/>
      <c r="AV62" s="2"/>
    </row>
    <row r="63" spans="1:48" ht="14.25" customHeight="1">
      <c r="A63" s="145"/>
      <c r="B63" s="296">
        <v>45170</v>
      </c>
      <c r="C63" s="45" t="s">
        <v>241</v>
      </c>
      <c r="D63" s="153">
        <v>0.21</v>
      </c>
      <c r="E63" s="153">
        <v>0.16</v>
      </c>
      <c r="F63" s="153">
        <v>0.15</v>
      </c>
      <c r="G63" s="153">
        <v>0.09</v>
      </c>
      <c r="H63" s="153">
        <v>7.0000000000000007E-2</v>
      </c>
      <c r="I63" s="153">
        <v>0.1</v>
      </c>
      <c r="J63" s="153">
        <v>0.1</v>
      </c>
      <c r="K63" s="153">
        <v>7.0000000000000007E-2</v>
      </c>
      <c r="L63" s="153">
        <v>7.0000000000000007E-2</v>
      </c>
      <c r="M63" s="153">
        <v>7.0000000000000007E-2</v>
      </c>
      <c r="N63" s="153">
        <v>7.0000000000000007E-2</v>
      </c>
      <c r="O63" s="153">
        <v>0.11</v>
      </c>
      <c r="P63" s="153">
        <v>0.11</v>
      </c>
      <c r="Q63" s="153">
        <v>0.1</v>
      </c>
      <c r="R63" s="153">
        <v>0.09</v>
      </c>
      <c r="S63" s="153">
        <v>0.09</v>
      </c>
      <c r="T63" s="153">
        <v>0.1</v>
      </c>
      <c r="U63" s="153">
        <v>0.1</v>
      </c>
      <c r="V63" s="153">
        <v>0.11</v>
      </c>
      <c r="W63" s="153">
        <v>0.1</v>
      </c>
      <c r="X63" s="153">
        <v>0.1</v>
      </c>
      <c r="Y63" s="153">
        <v>0.09</v>
      </c>
      <c r="Z63" s="153">
        <v>7.0000000000000007E-2</v>
      </c>
      <c r="AA63" s="153">
        <v>0.11</v>
      </c>
      <c r="AB63" s="153">
        <v>0.09</v>
      </c>
      <c r="AC63" s="153">
        <v>0.08</v>
      </c>
      <c r="AD63" s="153" t="s">
        <v>265</v>
      </c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2"/>
      <c r="AV63" s="2"/>
    </row>
    <row r="64" spans="1:48" ht="14.25" customHeight="1">
      <c r="A64" s="145"/>
      <c r="B64" s="296">
        <v>45200</v>
      </c>
      <c r="C64" s="45" t="s">
        <v>242</v>
      </c>
      <c r="D64" s="153">
        <v>0.21</v>
      </c>
      <c r="E64" s="153">
        <v>0.17</v>
      </c>
      <c r="F64" s="153">
        <v>0.09</v>
      </c>
      <c r="G64" s="153">
        <v>0.06</v>
      </c>
      <c r="H64" s="153">
        <v>0.11</v>
      </c>
      <c r="I64" s="153">
        <v>0.09</v>
      </c>
      <c r="J64" s="153">
        <v>7.0000000000000007E-2</v>
      </c>
      <c r="K64" s="153">
        <v>7.0000000000000007E-2</v>
      </c>
      <c r="L64" s="153">
        <v>0.08</v>
      </c>
      <c r="M64" s="153">
        <v>7.0000000000000007E-2</v>
      </c>
      <c r="N64" s="153">
        <v>0.08</v>
      </c>
      <c r="O64" s="153">
        <v>0.12</v>
      </c>
      <c r="P64" s="153">
        <v>0.1</v>
      </c>
      <c r="Q64" s="153">
        <v>0.09</v>
      </c>
      <c r="R64" s="153">
        <v>0.1</v>
      </c>
      <c r="S64" s="153">
        <v>0.11</v>
      </c>
      <c r="T64" s="153">
        <v>0.1</v>
      </c>
      <c r="U64" s="153">
        <v>0.11</v>
      </c>
      <c r="V64" s="153">
        <v>0.1</v>
      </c>
      <c r="W64" s="153">
        <v>0.11</v>
      </c>
      <c r="X64" s="153">
        <v>0.11</v>
      </c>
      <c r="Y64" s="153">
        <v>0.08</v>
      </c>
      <c r="Z64" s="153">
        <v>0.08</v>
      </c>
      <c r="AA64" s="153">
        <v>0.11</v>
      </c>
      <c r="AB64" s="153">
        <v>0.1</v>
      </c>
      <c r="AC64" s="153" t="s">
        <v>265</v>
      </c>
      <c r="AD64" s="153" t="s">
        <v>265</v>
      </c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2"/>
      <c r="AV64" s="2"/>
    </row>
    <row r="65" spans="1:48" ht="14.25" customHeight="1">
      <c r="A65" s="145"/>
      <c r="B65" s="296">
        <v>45231</v>
      </c>
      <c r="C65" s="45" t="s">
        <v>243</v>
      </c>
      <c r="D65" s="153">
        <v>0.2</v>
      </c>
      <c r="E65" s="153">
        <v>0.1</v>
      </c>
      <c r="F65" s="153">
        <v>7.0000000000000007E-2</v>
      </c>
      <c r="G65" s="153">
        <v>0.1</v>
      </c>
      <c r="H65" s="153">
        <v>0.09</v>
      </c>
      <c r="I65" s="153">
        <v>7.0000000000000007E-2</v>
      </c>
      <c r="J65" s="153">
        <v>0.06</v>
      </c>
      <c r="K65" s="153">
        <v>0.06</v>
      </c>
      <c r="L65" s="153">
        <v>7.0000000000000007E-2</v>
      </c>
      <c r="M65" s="153">
        <v>0.06</v>
      </c>
      <c r="N65" s="153">
        <v>7.0000000000000007E-2</v>
      </c>
      <c r="O65" s="153">
        <v>0.1</v>
      </c>
      <c r="P65" s="153">
        <v>0.1</v>
      </c>
      <c r="Q65" s="153">
        <v>0.1</v>
      </c>
      <c r="R65" s="153">
        <v>0.11</v>
      </c>
      <c r="S65" s="153">
        <v>0.09</v>
      </c>
      <c r="T65" s="153">
        <v>0.09</v>
      </c>
      <c r="U65" s="153">
        <v>0.09</v>
      </c>
      <c r="V65" s="153">
        <v>0.1</v>
      </c>
      <c r="W65" s="153">
        <v>0.11</v>
      </c>
      <c r="X65" s="153">
        <v>0.08</v>
      </c>
      <c r="Y65" s="153">
        <v>7.0000000000000007E-2</v>
      </c>
      <c r="Z65" s="153">
        <v>0.08</v>
      </c>
      <c r="AA65" s="153">
        <v>0.08</v>
      </c>
      <c r="AB65" s="153" t="s">
        <v>265</v>
      </c>
      <c r="AC65" s="153" t="s">
        <v>265</v>
      </c>
      <c r="AD65" s="153" t="s">
        <v>265</v>
      </c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2"/>
      <c r="AV65" s="2"/>
    </row>
    <row r="66" spans="1:48" ht="14.25" customHeight="1">
      <c r="A66" s="145"/>
      <c r="B66" s="296">
        <v>45261</v>
      </c>
      <c r="C66" s="45" t="s">
        <v>244</v>
      </c>
      <c r="D66" s="153">
        <v>0.16</v>
      </c>
      <c r="E66" s="153">
        <v>0.08</v>
      </c>
      <c r="F66" s="153">
        <v>0.1</v>
      </c>
      <c r="G66" s="153">
        <v>0.1</v>
      </c>
      <c r="H66" s="153">
        <v>0.06</v>
      </c>
      <c r="I66" s="153">
        <v>0.06</v>
      </c>
      <c r="J66" s="153">
        <v>0.06</v>
      </c>
      <c r="K66" s="153">
        <v>0.06</v>
      </c>
      <c r="L66" s="153">
        <v>7.0000000000000007E-2</v>
      </c>
      <c r="M66" s="153">
        <v>0.08</v>
      </c>
      <c r="N66" s="153">
        <v>0.08</v>
      </c>
      <c r="O66" s="153">
        <v>0.11</v>
      </c>
      <c r="P66" s="153">
        <v>0.11</v>
      </c>
      <c r="Q66" s="153">
        <v>0.1</v>
      </c>
      <c r="R66" s="153">
        <v>0.09</v>
      </c>
      <c r="S66" s="153">
        <v>0.1</v>
      </c>
      <c r="T66" s="153">
        <v>0.09</v>
      </c>
      <c r="U66" s="153">
        <v>0.09</v>
      </c>
      <c r="V66" s="153">
        <v>0.08</v>
      </c>
      <c r="W66" s="153">
        <v>0.06</v>
      </c>
      <c r="X66" s="153">
        <v>0.06</v>
      </c>
      <c r="Y66" s="153">
        <v>7.0000000000000007E-2</v>
      </c>
      <c r="Z66" s="153">
        <v>7.0000000000000007E-2</v>
      </c>
      <c r="AA66" s="153" t="s">
        <v>265</v>
      </c>
      <c r="AB66" s="153" t="s">
        <v>265</v>
      </c>
      <c r="AC66" s="153" t="s">
        <v>265</v>
      </c>
      <c r="AD66" s="153" t="s">
        <v>265</v>
      </c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2"/>
      <c r="AV66" s="2"/>
    </row>
    <row r="67" spans="1:48" ht="14.25" customHeight="1">
      <c r="A67" s="145"/>
      <c r="B67" s="296">
        <v>45292</v>
      </c>
      <c r="C67" s="45" t="s">
        <v>242</v>
      </c>
      <c r="D67" s="153">
        <v>0.13</v>
      </c>
      <c r="E67" s="153">
        <v>0.12</v>
      </c>
      <c r="F67" s="153">
        <v>0.09</v>
      </c>
      <c r="G67" s="153">
        <v>0.06</v>
      </c>
      <c r="H67" s="153">
        <v>0.06</v>
      </c>
      <c r="I67" s="153">
        <v>0.06</v>
      </c>
      <c r="J67" s="153">
        <v>0.06</v>
      </c>
      <c r="K67" s="153">
        <v>0.06</v>
      </c>
      <c r="L67" s="153">
        <v>7.0000000000000007E-2</v>
      </c>
      <c r="M67" s="153">
        <v>7.0000000000000007E-2</v>
      </c>
      <c r="N67" s="153">
        <v>7.0000000000000007E-2</v>
      </c>
      <c r="O67" s="153">
        <v>0.11</v>
      </c>
      <c r="P67" s="153">
        <v>0.1</v>
      </c>
      <c r="Q67" s="153">
        <v>0.09</v>
      </c>
      <c r="R67" s="153">
        <v>0.09</v>
      </c>
      <c r="S67" s="153">
        <v>0.09</v>
      </c>
      <c r="T67" s="153">
        <v>0.08</v>
      </c>
      <c r="U67" s="153">
        <v>7.0000000000000007E-2</v>
      </c>
      <c r="V67" s="153">
        <v>0.06</v>
      </c>
      <c r="W67" s="153">
        <v>7.0000000000000007E-2</v>
      </c>
      <c r="X67" s="153">
        <v>7.0000000000000007E-2</v>
      </c>
      <c r="Y67" s="153">
        <v>7.0000000000000007E-2</v>
      </c>
      <c r="Z67" s="153" t="s">
        <v>265</v>
      </c>
      <c r="AA67" s="153" t="s">
        <v>265</v>
      </c>
      <c r="AB67" s="153" t="s">
        <v>265</v>
      </c>
      <c r="AC67" s="153" t="s">
        <v>265</v>
      </c>
      <c r="AD67" s="153" t="s">
        <v>265</v>
      </c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2"/>
      <c r="AV67" s="2"/>
    </row>
    <row r="68" spans="1:48" ht="14.25" customHeight="1">
      <c r="A68" s="145"/>
      <c r="B68" s="296">
        <v>45323</v>
      </c>
      <c r="C68" s="45" t="s">
        <v>245</v>
      </c>
      <c r="D68" s="153">
        <v>0.23</v>
      </c>
      <c r="E68" s="153">
        <v>0.14000000000000001</v>
      </c>
      <c r="F68" s="153">
        <v>0.1</v>
      </c>
      <c r="G68" s="153">
        <v>0.09</v>
      </c>
      <c r="H68" s="153">
        <v>0.09</v>
      </c>
      <c r="I68" s="153">
        <v>0.09</v>
      </c>
      <c r="J68" s="153">
        <v>0.09</v>
      </c>
      <c r="K68" s="153">
        <v>0.09</v>
      </c>
      <c r="L68" s="153">
        <v>0.09</v>
      </c>
      <c r="M68" s="153">
        <v>0.09</v>
      </c>
      <c r="N68" s="153">
        <v>0.09</v>
      </c>
      <c r="O68" s="153">
        <v>0.15</v>
      </c>
      <c r="P68" s="153">
        <v>0.13</v>
      </c>
      <c r="Q68" s="153">
        <v>0.12</v>
      </c>
      <c r="R68" s="153">
        <v>0.11</v>
      </c>
      <c r="S68" s="153">
        <v>0.11</v>
      </c>
      <c r="T68" s="153">
        <v>0.09</v>
      </c>
      <c r="U68" s="153">
        <v>7.0000000000000007E-2</v>
      </c>
      <c r="V68" s="153">
        <v>0.08</v>
      </c>
      <c r="W68" s="153">
        <v>0.08</v>
      </c>
      <c r="X68" s="153">
        <v>0.08</v>
      </c>
      <c r="Y68" s="153" t="s">
        <v>265</v>
      </c>
      <c r="Z68" s="153" t="s">
        <v>265</v>
      </c>
      <c r="AA68" s="153" t="s">
        <v>265</v>
      </c>
      <c r="AB68" s="153" t="s">
        <v>265</v>
      </c>
      <c r="AC68" s="153" t="s">
        <v>265</v>
      </c>
      <c r="AD68" s="153" t="s">
        <v>265</v>
      </c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2"/>
      <c r="AV68" s="2"/>
    </row>
    <row r="69" spans="1:48" ht="14.25" customHeight="1">
      <c r="A69" s="145"/>
      <c r="B69" s="296">
        <v>45352</v>
      </c>
      <c r="C69" s="45" t="s">
        <v>246</v>
      </c>
      <c r="D69" s="153">
        <v>0.22</v>
      </c>
      <c r="E69" s="153">
        <v>0.13</v>
      </c>
      <c r="F69" s="153">
        <v>0.11</v>
      </c>
      <c r="G69" s="153">
        <v>0.1</v>
      </c>
      <c r="H69" s="153">
        <v>0.1</v>
      </c>
      <c r="I69" s="153">
        <v>0.1</v>
      </c>
      <c r="J69" s="153">
        <v>0.12</v>
      </c>
      <c r="K69" s="153">
        <v>0.1</v>
      </c>
      <c r="L69" s="153">
        <v>0.11</v>
      </c>
      <c r="M69" s="153">
        <v>0.11</v>
      </c>
      <c r="N69" s="153">
        <v>0.12</v>
      </c>
      <c r="O69" s="153">
        <v>0.2</v>
      </c>
      <c r="P69" s="153">
        <v>0.16</v>
      </c>
      <c r="Q69" s="153">
        <v>0.13</v>
      </c>
      <c r="R69" s="153">
        <v>0.12</v>
      </c>
      <c r="S69" s="153">
        <v>0.11</v>
      </c>
      <c r="T69" s="153">
        <v>0.09</v>
      </c>
      <c r="U69" s="153">
        <v>0.1</v>
      </c>
      <c r="V69" s="153">
        <v>0.1</v>
      </c>
      <c r="W69" s="153">
        <v>0.09</v>
      </c>
      <c r="X69" s="153" t="s">
        <v>265</v>
      </c>
      <c r="Y69" s="153" t="s">
        <v>265</v>
      </c>
      <c r="Z69" s="153" t="s">
        <v>265</v>
      </c>
      <c r="AA69" s="153" t="s">
        <v>265</v>
      </c>
      <c r="AB69" s="153" t="s">
        <v>265</v>
      </c>
      <c r="AC69" s="153" t="s">
        <v>265</v>
      </c>
      <c r="AD69" s="153" t="s">
        <v>265</v>
      </c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2"/>
      <c r="AV69" s="2"/>
    </row>
    <row r="70" spans="1:48" ht="14.25" customHeight="1">
      <c r="A70" s="145"/>
      <c r="B70" s="296">
        <v>45383</v>
      </c>
      <c r="C70" s="45" t="s">
        <v>247</v>
      </c>
      <c r="D70" s="153">
        <v>0.19</v>
      </c>
      <c r="E70" s="153">
        <v>0.13</v>
      </c>
      <c r="F70" s="153">
        <v>0.12</v>
      </c>
      <c r="G70" s="153">
        <v>0.11</v>
      </c>
      <c r="H70" s="153">
        <v>0.11</v>
      </c>
      <c r="I70" s="153">
        <v>0.12</v>
      </c>
      <c r="J70" s="153">
        <v>0.1</v>
      </c>
      <c r="K70" s="153">
        <v>0.1</v>
      </c>
      <c r="L70" s="153">
        <v>0.1</v>
      </c>
      <c r="M70" s="153">
        <v>0.12</v>
      </c>
      <c r="N70" s="153">
        <v>0.11</v>
      </c>
      <c r="O70" s="153">
        <v>0.21</v>
      </c>
      <c r="P70" s="153">
        <v>0.15</v>
      </c>
      <c r="Q70" s="153">
        <v>0.13</v>
      </c>
      <c r="R70" s="153">
        <v>0.1</v>
      </c>
      <c r="S70" s="153">
        <v>0.09</v>
      </c>
      <c r="T70" s="153">
        <v>0.1</v>
      </c>
      <c r="U70" s="153">
        <v>0.11</v>
      </c>
      <c r="V70" s="153">
        <v>0.09</v>
      </c>
      <c r="W70" s="153" t="s">
        <v>265</v>
      </c>
      <c r="X70" s="153" t="s">
        <v>265</v>
      </c>
      <c r="Y70" s="153" t="s">
        <v>265</v>
      </c>
      <c r="Z70" s="153" t="s">
        <v>265</v>
      </c>
      <c r="AA70" s="153" t="s">
        <v>265</v>
      </c>
      <c r="AB70" s="153" t="s">
        <v>265</v>
      </c>
      <c r="AC70" s="153" t="s">
        <v>265</v>
      </c>
      <c r="AD70" s="153" t="s">
        <v>265</v>
      </c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2"/>
      <c r="AV70" s="2"/>
    </row>
    <row r="71" spans="1:48" ht="14.25" customHeight="1">
      <c r="A71" s="145"/>
      <c r="B71" s="296">
        <v>45413</v>
      </c>
      <c r="C71" s="45" t="s">
        <v>248</v>
      </c>
      <c r="D71" s="153">
        <v>0.19</v>
      </c>
      <c r="E71" s="153">
        <v>0.13</v>
      </c>
      <c r="F71" s="153">
        <v>0.12</v>
      </c>
      <c r="G71" s="153">
        <v>0.1</v>
      </c>
      <c r="H71" s="153">
        <v>0.11</v>
      </c>
      <c r="I71" s="153">
        <v>0.1</v>
      </c>
      <c r="J71" s="153">
        <v>0.11</v>
      </c>
      <c r="K71" s="153">
        <v>0.12</v>
      </c>
      <c r="L71" s="153">
        <v>0.11</v>
      </c>
      <c r="M71" s="153">
        <v>0.11</v>
      </c>
      <c r="N71" s="153">
        <v>0.11</v>
      </c>
      <c r="O71" s="153">
        <v>0.15</v>
      </c>
      <c r="P71" s="153">
        <v>0.13</v>
      </c>
      <c r="Q71" s="153">
        <v>0.11</v>
      </c>
      <c r="R71" s="153">
        <v>0.09</v>
      </c>
      <c r="S71" s="153">
        <v>0.1</v>
      </c>
      <c r="T71" s="153">
        <v>0.09</v>
      </c>
      <c r="U71" s="153">
        <v>0.1</v>
      </c>
      <c r="V71" s="153" t="s">
        <v>265</v>
      </c>
      <c r="W71" s="153" t="s">
        <v>265</v>
      </c>
      <c r="X71" s="153" t="s">
        <v>265</v>
      </c>
      <c r="Y71" s="153" t="s">
        <v>265</v>
      </c>
      <c r="Z71" s="153" t="s">
        <v>265</v>
      </c>
      <c r="AA71" s="153" t="s">
        <v>265</v>
      </c>
      <c r="AB71" s="153" t="s">
        <v>265</v>
      </c>
      <c r="AC71" s="153" t="s">
        <v>265</v>
      </c>
      <c r="AD71" s="153" t="s">
        <v>265</v>
      </c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2"/>
      <c r="AV71" s="2"/>
    </row>
    <row r="72" spans="1:48" ht="14.25" customHeight="1">
      <c r="A72" s="145"/>
      <c r="B72" s="296">
        <v>45444</v>
      </c>
      <c r="C72" s="45" t="s">
        <v>248</v>
      </c>
      <c r="D72" s="153">
        <v>0.22</v>
      </c>
      <c r="E72" s="153">
        <v>0.15</v>
      </c>
      <c r="F72" s="153">
        <v>0.13</v>
      </c>
      <c r="G72" s="153">
        <v>0.13</v>
      </c>
      <c r="H72" s="153">
        <v>0.11</v>
      </c>
      <c r="I72" s="153">
        <v>0.12</v>
      </c>
      <c r="J72" s="153">
        <v>0.11</v>
      </c>
      <c r="K72" s="153">
        <v>0.12</v>
      </c>
      <c r="L72" s="153">
        <v>0.11</v>
      </c>
      <c r="M72" s="153">
        <v>0.11</v>
      </c>
      <c r="N72" s="153">
        <v>0.12</v>
      </c>
      <c r="O72" s="153">
        <v>0.15</v>
      </c>
      <c r="P72" s="153">
        <v>0.11</v>
      </c>
      <c r="Q72" s="153">
        <v>0.1</v>
      </c>
      <c r="R72" s="153">
        <v>0.08</v>
      </c>
      <c r="S72" s="153">
        <v>0.11</v>
      </c>
      <c r="T72" s="153">
        <v>0.09</v>
      </c>
      <c r="U72" s="153" t="s">
        <v>265</v>
      </c>
      <c r="V72" s="153" t="s">
        <v>265</v>
      </c>
      <c r="W72" s="153" t="s">
        <v>265</v>
      </c>
      <c r="X72" s="153" t="s">
        <v>265</v>
      </c>
      <c r="Y72" s="153" t="s">
        <v>265</v>
      </c>
      <c r="Z72" s="153" t="s">
        <v>265</v>
      </c>
      <c r="AA72" s="153" t="s">
        <v>265</v>
      </c>
      <c r="AB72" s="153" t="s">
        <v>265</v>
      </c>
      <c r="AC72" s="153" t="s">
        <v>265</v>
      </c>
      <c r="AD72" s="153" t="s">
        <v>265</v>
      </c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2"/>
      <c r="AV72" s="2"/>
    </row>
    <row r="73" spans="1:48" ht="14.25" customHeight="1">
      <c r="A73" s="145"/>
      <c r="B73" s="296">
        <v>45474</v>
      </c>
      <c r="C73" s="45" t="s">
        <v>247</v>
      </c>
      <c r="D73" s="153">
        <v>0.23</v>
      </c>
      <c r="E73" s="153">
        <v>0.14000000000000001</v>
      </c>
      <c r="F73" s="153">
        <v>0.15</v>
      </c>
      <c r="G73" s="153">
        <v>0.13</v>
      </c>
      <c r="H73" s="153">
        <v>0.13</v>
      </c>
      <c r="I73" s="153">
        <v>0.13</v>
      </c>
      <c r="J73" s="153">
        <v>0.13</v>
      </c>
      <c r="K73" s="153">
        <v>0.13</v>
      </c>
      <c r="L73" s="153">
        <v>0.13</v>
      </c>
      <c r="M73" s="153">
        <v>0.12</v>
      </c>
      <c r="N73" s="153">
        <v>0.13</v>
      </c>
      <c r="O73" s="153">
        <v>0.14000000000000001</v>
      </c>
      <c r="P73" s="153">
        <v>0.11</v>
      </c>
      <c r="Q73" s="153">
        <v>0.1</v>
      </c>
      <c r="R73" s="153">
        <v>0.1</v>
      </c>
      <c r="S73" s="153">
        <v>0.11</v>
      </c>
      <c r="T73" s="153" t="s">
        <v>265</v>
      </c>
      <c r="U73" s="153" t="s">
        <v>265</v>
      </c>
      <c r="V73" s="153" t="s">
        <v>265</v>
      </c>
      <c r="W73" s="153" t="s">
        <v>265</v>
      </c>
      <c r="X73" s="153" t="s">
        <v>265</v>
      </c>
      <c r="Y73" s="153" t="s">
        <v>265</v>
      </c>
      <c r="Z73" s="153" t="s">
        <v>265</v>
      </c>
      <c r="AA73" s="153" t="s">
        <v>265</v>
      </c>
      <c r="AB73" s="153" t="s">
        <v>265</v>
      </c>
      <c r="AC73" s="153" t="s">
        <v>265</v>
      </c>
      <c r="AD73" s="153" t="s">
        <v>265</v>
      </c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2"/>
      <c r="AV73" s="2"/>
    </row>
    <row r="74" spans="1:48" ht="14.25" customHeight="1">
      <c r="A74" s="145"/>
      <c r="B74" s="296">
        <v>45505</v>
      </c>
      <c r="C74" s="45" t="s">
        <v>249</v>
      </c>
      <c r="D74" s="153">
        <v>0.24</v>
      </c>
      <c r="E74" s="153">
        <v>0.19</v>
      </c>
      <c r="F74" s="153">
        <v>0.15</v>
      </c>
      <c r="G74" s="153">
        <v>0.14000000000000001</v>
      </c>
      <c r="H74" s="153">
        <v>0.14000000000000001</v>
      </c>
      <c r="I74" s="153">
        <v>0.14000000000000001</v>
      </c>
      <c r="J74" s="153">
        <v>0.13</v>
      </c>
      <c r="K74" s="153">
        <v>0.13</v>
      </c>
      <c r="L74" s="153">
        <v>0.13</v>
      </c>
      <c r="M74" s="153">
        <v>0.13</v>
      </c>
      <c r="N74" s="153">
        <v>0.12</v>
      </c>
      <c r="O74" s="153">
        <v>0.12</v>
      </c>
      <c r="P74" s="153">
        <v>0.1</v>
      </c>
      <c r="Q74" s="153">
        <v>0.1</v>
      </c>
      <c r="R74" s="153">
        <v>0.11</v>
      </c>
      <c r="S74" s="153" t="s">
        <v>265</v>
      </c>
      <c r="T74" s="153" t="s">
        <v>265</v>
      </c>
      <c r="U74" s="153" t="s">
        <v>265</v>
      </c>
      <c r="V74" s="153" t="s">
        <v>265</v>
      </c>
      <c r="W74" s="153" t="s">
        <v>265</v>
      </c>
      <c r="X74" s="153" t="s">
        <v>265</v>
      </c>
      <c r="Y74" s="153" t="s">
        <v>265</v>
      </c>
      <c r="Z74" s="153" t="s">
        <v>265</v>
      </c>
      <c r="AA74" s="153" t="s">
        <v>265</v>
      </c>
      <c r="AB74" s="153" t="s">
        <v>265</v>
      </c>
      <c r="AC74" s="153" t="s">
        <v>265</v>
      </c>
      <c r="AD74" s="153" t="s">
        <v>265</v>
      </c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2"/>
      <c r="AV74" s="2"/>
    </row>
    <row r="75" spans="1:48" ht="14.25" customHeight="1">
      <c r="A75" s="145"/>
      <c r="B75" s="296">
        <v>45536</v>
      </c>
      <c r="C75" s="45" t="s">
        <v>250</v>
      </c>
      <c r="D75" s="153">
        <v>0.26</v>
      </c>
      <c r="E75" s="153">
        <v>0.18</v>
      </c>
      <c r="F75" s="153">
        <v>0.16</v>
      </c>
      <c r="G75" s="153">
        <v>0.16</v>
      </c>
      <c r="H75" s="153">
        <v>0.15</v>
      </c>
      <c r="I75" s="153">
        <v>0.15</v>
      </c>
      <c r="J75" s="153">
        <v>0.14000000000000001</v>
      </c>
      <c r="K75" s="153">
        <v>0.14000000000000001</v>
      </c>
      <c r="L75" s="153">
        <v>0.14000000000000001</v>
      </c>
      <c r="M75" s="153">
        <v>0.13</v>
      </c>
      <c r="N75" s="153">
        <v>0.11</v>
      </c>
      <c r="O75" s="153">
        <v>0.12</v>
      </c>
      <c r="P75" s="153">
        <v>0.12</v>
      </c>
      <c r="Q75" s="153">
        <v>0.11</v>
      </c>
      <c r="R75" s="153" t="s">
        <v>265</v>
      </c>
      <c r="S75" s="153" t="s">
        <v>265</v>
      </c>
      <c r="T75" s="153" t="s">
        <v>265</v>
      </c>
      <c r="U75" s="153" t="s">
        <v>265</v>
      </c>
      <c r="V75" s="153" t="s">
        <v>265</v>
      </c>
      <c r="W75" s="153" t="s">
        <v>265</v>
      </c>
      <c r="X75" s="153" t="s">
        <v>265</v>
      </c>
      <c r="Y75" s="153" t="s">
        <v>265</v>
      </c>
      <c r="Z75" s="153" t="s">
        <v>265</v>
      </c>
      <c r="AA75" s="153" t="s">
        <v>265</v>
      </c>
      <c r="AB75" s="153" t="s">
        <v>265</v>
      </c>
      <c r="AC75" s="153" t="s">
        <v>265</v>
      </c>
      <c r="AD75" s="153" t="s">
        <v>265</v>
      </c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2"/>
      <c r="AV75" s="2"/>
    </row>
    <row r="76" spans="1:48" ht="14.25" customHeight="1">
      <c r="A76" s="145"/>
      <c r="B76" s="296">
        <v>45566</v>
      </c>
      <c r="C76" s="45" t="s">
        <v>251</v>
      </c>
      <c r="D76" s="153">
        <v>0.25</v>
      </c>
      <c r="E76" s="153">
        <v>0.18</v>
      </c>
      <c r="F76" s="153">
        <v>0.18</v>
      </c>
      <c r="G76" s="153">
        <v>0.17</v>
      </c>
      <c r="H76" s="153">
        <v>0.15</v>
      </c>
      <c r="I76" s="153">
        <v>0.15</v>
      </c>
      <c r="J76" s="153">
        <v>0.14000000000000001</v>
      </c>
      <c r="K76" s="153">
        <v>0.14000000000000001</v>
      </c>
      <c r="L76" s="153">
        <v>0.12</v>
      </c>
      <c r="M76" s="153">
        <v>0.11</v>
      </c>
      <c r="N76" s="153">
        <v>0.1</v>
      </c>
      <c r="O76" s="153">
        <v>0.13</v>
      </c>
      <c r="P76" s="153">
        <v>0.12</v>
      </c>
      <c r="Q76" s="153" t="s">
        <v>265</v>
      </c>
      <c r="R76" s="153" t="s">
        <v>265</v>
      </c>
      <c r="S76" s="153" t="s">
        <v>265</v>
      </c>
      <c r="T76" s="153" t="s">
        <v>265</v>
      </c>
      <c r="U76" s="153" t="s">
        <v>265</v>
      </c>
      <c r="V76" s="153" t="s">
        <v>265</v>
      </c>
      <c r="W76" s="153" t="s">
        <v>265</v>
      </c>
      <c r="X76" s="153" t="s">
        <v>265</v>
      </c>
      <c r="Y76" s="153" t="s">
        <v>265</v>
      </c>
      <c r="Z76" s="153" t="s">
        <v>265</v>
      </c>
      <c r="AA76" s="153" t="s">
        <v>265</v>
      </c>
      <c r="AB76" s="153" t="s">
        <v>265</v>
      </c>
      <c r="AC76" s="153" t="s">
        <v>265</v>
      </c>
      <c r="AD76" s="153" t="s">
        <v>265</v>
      </c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2"/>
      <c r="AV76" s="2"/>
    </row>
    <row r="77" spans="1:48" ht="14.25" customHeight="1">
      <c r="A77" s="145"/>
      <c r="B77" s="296">
        <v>45597</v>
      </c>
      <c r="C77" s="45" t="s">
        <v>252</v>
      </c>
      <c r="D77" s="153">
        <v>0.22</v>
      </c>
      <c r="E77" s="153">
        <v>0.17</v>
      </c>
      <c r="F77" s="153">
        <v>0.15</v>
      </c>
      <c r="G77" s="153">
        <v>0.14000000000000001</v>
      </c>
      <c r="H77" s="153">
        <v>0.13</v>
      </c>
      <c r="I77" s="153">
        <v>0.13</v>
      </c>
      <c r="J77" s="153">
        <v>0.12</v>
      </c>
      <c r="K77" s="153">
        <v>0.1</v>
      </c>
      <c r="L77" s="153">
        <v>0.1</v>
      </c>
      <c r="M77" s="153">
        <v>0.09</v>
      </c>
      <c r="N77" s="153">
        <v>0.09</v>
      </c>
      <c r="O77" s="153">
        <v>0.11</v>
      </c>
      <c r="P77" s="153" t="s">
        <v>265</v>
      </c>
      <c r="Q77" s="153" t="s">
        <v>265</v>
      </c>
      <c r="R77" s="153" t="s">
        <v>265</v>
      </c>
      <c r="S77" s="153" t="s">
        <v>265</v>
      </c>
      <c r="T77" s="153" t="s">
        <v>265</v>
      </c>
      <c r="U77" s="153" t="s">
        <v>265</v>
      </c>
      <c r="V77" s="153" t="s">
        <v>265</v>
      </c>
      <c r="W77" s="153" t="s">
        <v>265</v>
      </c>
      <c r="X77" s="153" t="s">
        <v>265</v>
      </c>
      <c r="Y77" s="153" t="s">
        <v>265</v>
      </c>
      <c r="Z77" s="153" t="s">
        <v>265</v>
      </c>
      <c r="AA77" s="153" t="s">
        <v>265</v>
      </c>
      <c r="AB77" s="153" t="s">
        <v>265</v>
      </c>
      <c r="AC77" s="153" t="s">
        <v>265</v>
      </c>
      <c r="AD77" s="153" t="s">
        <v>265</v>
      </c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2"/>
      <c r="AV77" s="2"/>
    </row>
    <row r="78" spans="1:48" ht="14.25" customHeight="1">
      <c r="A78" s="145"/>
      <c r="B78" s="296">
        <v>45627</v>
      </c>
      <c r="C78" s="45" t="s">
        <v>253</v>
      </c>
      <c r="D78" s="153">
        <v>0.25</v>
      </c>
      <c r="E78" s="153">
        <v>0.19</v>
      </c>
      <c r="F78" s="153">
        <v>0.16</v>
      </c>
      <c r="G78" s="153">
        <v>0.14000000000000001</v>
      </c>
      <c r="H78" s="153">
        <v>0.14000000000000001</v>
      </c>
      <c r="I78" s="153">
        <v>0.13</v>
      </c>
      <c r="J78" s="153">
        <v>0.12</v>
      </c>
      <c r="K78" s="153">
        <v>0.11</v>
      </c>
      <c r="L78" s="153">
        <v>0.1</v>
      </c>
      <c r="M78" s="153">
        <v>0.09</v>
      </c>
      <c r="N78" s="153">
        <v>0.1</v>
      </c>
      <c r="O78" s="153" t="s">
        <v>265</v>
      </c>
      <c r="P78" s="153" t="s">
        <v>265</v>
      </c>
      <c r="Q78" s="153" t="s">
        <v>265</v>
      </c>
      <c r="R78" s="153" t="s">
        <v>265</v>
      </c>
      <c r="S78" s="153" t="s">
        <v>265</v>
      </c>
      <c r="T78" s="153" t="s">
        <v>265</v>
      </c>
      <c r="U78" s="153" t="s">
        <v>265</v>
      </c>
      <c r="V78" s="153" t="s">
        <v>265</v>
      </c>
      <c r="W78" s="153" t="s">
        <v>265</v>
      </c>
      <c r="X78" s="153" t="s">
        <v>265</v>
      </c>
      <c r="Y78" s="153" t="s">
        <v>265</v>
      </c>
      <c r="Z78" s="153" t="s">
        <v>265</v>
      </c>
      <c r="AA78" s="153" t="s">
        <v>265</v>
      </c>
      <c r="AB78" s="153" t="s">
        <v>265</v>
      </c>
      <c r="AC78" s="153" t="s">
        <v>265</v>
      </c>
      <c r="AD78" s="153" t="s">
        <v>265</v>
      </c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2"/>
      <c r="AV78" s="2"/>
    </row>
    <row r="79" spans="1:48" ht="14.25" customHeight="1">
      <c r="A79" s="145"/>
      <c r="B79" s="296">
        <v>45658</v>
      </c>
      <c r="C79" s="45" t="s">
        <v>254</v>
      </c>
      <c r="D79" s="153">
        <v>0.26</v>
      </c>
      <c r="E79" s="153">
        <v>0.2</v>
      </c>
      <c r="F79" s="153">
        <v>0.18</v>
      </c>
      <c r="G79" s="153">
        <v>0.15</v>
      </c>
      <c r="H79" s="153">
        <v>0.14000000000000001</v>
      </c>
      <c r="I79" s="153">
        <v>0.12</v>
      </c>
      <c r="J79" s="153">
        <v>0.11</v>
      </c>
      <c r="K79" s="153">
        <v>0.11</v>
      </c>
      <c r="L79" s="153">
        <v>0.11</v>
      </c>
      <c r="M79" s="153">
        <v>0.1</v>
      </c>
      <c r="N79" s="153" t="s">
        <v>265</v>
      </c>
      <c r="O79" s="153" t="s">
        <v>265</v>
      </c>
      <c r="P79" s="153" t="s">
        <v>265</v>
      </c>
      <c r="Q79" s="153" t="s">
        <v>265</v>
      </c>
      <c r="R79" s="153" t="s">
        <v>265</v>
      </c>
      <c r="S79" s="153" t="s">
        <v>265</v>
      </c>
      <c r="T79" s="153" t="s">
        <v>265</v>
      </c>
      <c r="U79" s="153" t="s">
        <v>265</v>
      </c>
      <c r="V79" s="153" t="s">
        <v>265</v>
      </c>
      <c r="W79" s="153" t="s">
        <v>265</v>
      </c>
      <c r="X79" s="153" t="s">
        <v>265</v>
      </c>
      <c r="Y79" s="153" t="s">
        <v>265</v>
      </c>
      <c r="Z79" s="153" t="s">
        <v>265</v>
      </c>
      <c r="AA79" s="153" t="s">
        <v>265</v>
      </c>
      <c r="AB79" s="153" t="s">
        <v>265</v>
      </c>
      <c r="AC79" s="153" t="s">
        <v>265</v>
      </c>
      <c r="AD79" s="153" t="s">
        <v>265</v>
      </c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2"/>
      <c r="AV79" s="2"/>
    </row>
    <row r="80" spans="1:48" ht="14.25" customHeight="1">
      <c r="A80" s="145"/>
      <c r="B80" s="296">
        <v>45689</v>
      </c>
      <c r="C80" s="45" t="s">
        <v>255</v>
      </c>
      <c r="D80" s="153">
        <v>0.21</v>
      </c>
      <c r="E80" s="153">
        <v>0.16</v>
      </c>
      <c r="F80" s="153">
        <v>0.14000000000000001</v>
      </c>
      <c r="G80" s="153">
        <v>0.13</v>
      </c>
      <c r="H80" s="153">
        <v>0.1</v>
      </c>
      <c r="I80" s="153">
        <v>0.1</v>
      </c>
      <c r="J80" s="153">
        <v>0.1</v>
      </c>
      <c r="K80" s="153">
        <v>0.09</v>
      </c>
      <c r="L80" s="153">
        <v>0.08</v>
      </c>
      <c r="M80" s="153" t="s">
        <v>265</v>
      </c>
      <c r="N80" s="153" t="s">
        <v>265</v>
      </c>
      <c r="O80" s="153" t="s">
        <v>265</v>
      </c>
      <c r="P80" s="153" t="s">
        <v>265</v>
      </c>
      <c r="Q80" s="153" t="s">
        <v>265</v>
      </c>
      <c r="R80" s="153" t="s">
        <v>265</v>
      </c>
      <c r="S80" s="153" t="s">
        <v>265</v>
      </c>
      <c r="T80" s="153" t="s">
        <v>265</v>
      </c>
      <c r="U80" s="153" t="s">
        <v>265</v>
      </c>
      <c r="V80" s="153" t="s">
        <v>265</v>
      </c>
      <c r="W80" s="153" t="s">
        <v>265</v>
      </c>
      <c r="X80" s="153" t="s">
        <v>265</v>
      </c>
      <c r="Y80" s="153" t="s">
        <v>265</v>
      </c>
      <c r="Z80" s="153" t="s">
        <v>265</v>
      </c>
      <c r="AA80" s="153" t="s">
        <v>265</v>
      </c>
      <c r="AB80" s="153" t="s">
        <v>265</v>
      </c>
      <c r="AC80" s="153" t="s">
        <v>265</v>
      </c>
      <c r="AD80" s="153" t="s">
        <v>265</v>
      </c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2"/>
      <c r="AV80" s="2"/>
    </row>
    <row r="81" spans="1:48" ht="14.25" customHeight="1">
      <c r="A81" s="145"/>
      <c r="B81" s="296">
        <v>45717</v>
      </c>
      <c r="C81" s="45" t="s">
        <v>256</v>
      </c>
      <c r="D81" s="153">
        <v>0.23</v>
      </c>
      <c r="E81" s="153">
        <v>0.15</v>
      </c>
      <c r="F81" s="153">
        <v>0.13</v>
      </c>
      <c r="G81" s="153">
        <v>0.11</v>
      </c>
      <c r="H81" s="153">
        <v>0.1</v>
      </c>
      <c r="I81" s="153">
        <v>0.1</v>
      </c>
      <c r="J81" s="153">
        <v>0.1</v>
      </c>
      <c r="K81" s="153">
        <v>0.09</v>
      </c>
      <c r="L81" s="153" t="s">
        <v>265</v>
      </c>
      <c r="M81" s="153" t="s">
        <v>265</v>
      </c>
      <c r="N81" s="153" t="s">
        <v>265</v>
      </c>
      <c r="O81" s="153" t="s">
        <v>265</v>
      </c>
      <c r="P81" s="153" t="s">
        <v>265</v>
      </c>
      <c r="Q81" s="153" t="s">
        <v>265</v>
      </c>
      <c r="R81" s="153" t="s">
        <v>265</v>
      </c>
      <c r="S81" s="153" t="s">
        <v>265</v>
      </c>
      <c r="T81" s="153" t="s">
        <v>265</v>
      </c>
      <c r="U81" s="153" t="s">
        <v>265</v>
      </c>
      <c r="V81" s="153" t="s">
        <v>265</v>
      </c>
      <c r="W81" s="153" t="s">
        <v>265</v>
      </c>
      <c r="X81" s="153" t="s">
        <v>265</v>
      </c>
      <c r="Y81" s="153" t="s">
        <v>265</v>
      </c>
      <c r="Z81" s="153" t="s">
        <v>265</v>
      </c>
      <c r="AA81" s="153" t="s">
        <v>265</v>
      </c>
      <c r="AB81" s="153" t="s">
        <v>265</v>
      </c>
      <c r="AC81" s="153" t="s">
        <v>265</v>
      </c>
      <c r="AD81" s="153" t="s">
        <v>265</v>
      </c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2"/>
      <c r="AV81" s="2"/>
    </row>
    <row r="82" spans="1:48" ht="14.25" customHeight="1">
      <c r="A82" s="145"/>
      <c r="B82" s="296">
        <v>45748</v>
      </c>
      <c r="C82" s="45" t="s">
        <v>257</v>
      </c>
      <c r="D82" s="153">
        <v>0.21</v>
      </c>
      <c r="E82" s="153">
        <v>0.15</v>
      </c>
      <c r="F82" s="153">
        <v>0.12</v>
      </c>
      <c r="G82" s="153">
        <v>0.1</v>
      </c>
      <c r="H82" s="153">
        <v>0.09</v>
      </c>
      <c r="I82" s="153">
        <v>0.1</v>
      </c>
      <c r="J82" s="153">
        <v>0.09</v>
      </c>
      <c r="K82" s="153" t="s">
        <v>265</v>
      </c>
      <c r="L82" s="153" t="s">
        <v>265</v>
      </c>
      <c r="M82" s="153" t="s">
        <v>265</v>
      </c>
      <c r="N82" s="153" t="s">
        <v>265</v>
      </c>
      <c r="O82" s="153" t="s">
        <v>265</v>
      </c>
      <c r="P82" s="153" t="s">
        <v>265</v>
      </c>
      <c r="Q82" s="153" t="s">
        <v>265</v>
      </c>
      <c r="R82" s="153" t="s">
        <v>265</v>
      </c>
      <c r="S82" s="153" t="s">
        <v>265</v>
      </c>
      <c r="T82" s="153" t="s">
        <v>265</v>
      </c>
      <c r="U82" s="153" t="s">
        <v>265</v>
      </c>
      <c r="V82" s="153" t="s">
        <v>265</v>
      </c>
      <c r="W82" s="153" t="s">
        <v>265</v>
      </c>
      <c r="X82" s="153" t="s">
        <v>265</v>
      </c>
      <c r="Y82" s="153" t="s">
        <v>265</v>
      </c>
      <c r="Z82" s="153" t="s">
        <v>265</v>
      </c>
      <c r="AA82" s="153" t="s">
        <v>265</v>
      </c>
      <c r="AB82" s="153" t="s">
        <v>265</v>
      </c>
      <c r="AC82" s="153" t="s">
        <v>265</v>
      </c>
      <c r="AD82" s="153" t="s">
        <v>265</v>
      </c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2"/>
      <c r="AV82" s="2"/>
    </row>
    <row r="83" spans="1:48" ht="14.25" customHeight="1">
      <c r="A83" s="145"/>
      <c r="B83" s="296">
        <v>45778</v>
      </c>
      <c r="C83" s="45" t="s">
        <v>258</v>
      </c>
      <c r="D83" s="153">
        <v>0.22</v>
      </c>
      <c r="E83" s="153">
        <v>0.14000000000000001</v>
      </c>
      <c r="F83" s="153">
        <v>0.11</v>
      </c>
      <c r="G83" s="153">
        <v>0.1</v>
      </c>
      <c r="H83" s="153">
        <v>0.1</v>
      </c>
      <c r="I83" s="153">
        <v>0.1</v>
      </c>
      <c r="J83" s="153" t="s">
        <v>265</v>
      </c>
      <c r="K83" s="153" t="s">
        <v>265</v>
      </c>
      <c r="L83" s="153" t="s">
        <v>265</v>
      </c>
      <c r="M83" s="153" t="s">
        <v>265</v>
      </c>
      <c r="N83" s="153" t="s">
        <v>265</v>
      </c>
      <c r="O83" s="153" t="s">
        <v>265</v>
      </c>
      <c r="P83" s="153" t="s">
        <v>265</v>
      </c>
      <c r="Q83" s="153" t="s">
        <v>265</v>
      </c>
      <c r="R83" s="153" t="s">
        <v>265</v>
      </c>
      <c r="S83" s="153" t="s">
        <v>265</v>
      </c>
      <c r="T83" s="153" t="s">
        <v>265</v>
      </c>
      <c r="U83" s="153" t="s">
        <v>265</v>
      </c>
      <c r="V83" s="153" t="s">
        <v>265</v>
      </c>
      <c r="W83" s="153" t="s">
        <v>265</v>
      </c>
      <c r="X83" s="153" t="s">
        <v>265</v>
      </c>
      <c r="Y83" s="153" t="s">
        <v>265</v>
      </c>
      <c r="Z83" s="153" t="s">
        <v>265</v>
      </c>
      <c r="AA83" s="153" t="s">
        <v>265</v>
      </c>
      <c r="AB83" s="153" t="s">
        <v>265</v>
      </c>
      <c r="AC83" s="153" t="s">
        <v>265</v>
      </c>
      <c r="AD83" s="153" t="s">
        <v>265</v>
      </c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2"/>
      <c r="AV83" s="2"/>
    </row>
    <row r="84" spans="1:48" ht="14.25" customHeight="1">
      <c r="A84" s="145"/>
      <c r="B84" s="296">
        <v>45809</v>
      </c>
      <c r="C84" s="45" t="s">
        <v>259</v>
      </c>
      <c r="D84" s="153">
        <v>0.19</v>
      </c>
      <c r="E84" s="153">
        <v>0.12</v>
      </c>
      <c r="F84" s="153">
        <v>0.1</v>
      </c>
      <c r="G84" s="153">
        <v>0.1</v>
      </c>
      <c r="H84" s="153">
        <v>0.09</v>
      </c>
      <c r="I84" s="153" t="s">
        <v>265</v>
      </c>
      <c r="J84" s="153" t="s">
        <v>265</v>
      </c>
      <c r="K84" s="153" t="s">
        <v>265</v>
      </c>
      <c r="L84" s="153" t="s">
        <v>265</v>
      </c>
      <c r="M84" s="153" t="s">
        <v>265</v>
      </c>
      <c r="N84" s="153" t="s">
        <v>265</v>
      </c>
      <c r="O84" s="153" t="s">
        <v>265</v>
      </c>
      <c r="P84" s="153" t="s">
        <v>265</v>
      </c>
      <c r="Q84" s="153" t="s">
        <v>265</v>
      </c>
      <c r="R84" s="153" t="s">
        <v>265</v>
      </c>
      <c r="S84" s="153" t="s">
        <v>265</v>
      </c>
      <c r="T84" s="153" t="s">
        <v>265</v>
      </c>
      <c r="U84" s="153" t="s">
        <v>265</v>
      </c>
      <c r="V84" s="153" t="s">
        <v>265</v>
      </c>
      <c r="W84" s="153" t="s">
        <v>265</v>
      </c>
      <c r="X84" s="153" t="s">
        <v>265</v>
      </c>
      <c r="Y84" s="153" t="s">
        <v>265</v>
      </c>
      <c r="Z84" s="153" t="s">
        <v>265</v>
      </c>
      <c r="AA84" s="153" t="s">
        <v>265</v>
      </c>
      <c r="AB84" s="153" t="s">
        <v>265</v>
      </c>
      <c r="AC84" s="153" t="s">
        <v>265</v>
      </c>
      <c r="AD84" s="153" t="s">
        <v>265</v>
      </c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2"/>
      <c r="AV84" s="2"/>
    </row>
    <row r="85" spans="1:48" ht="14.25" customHeight="1">
      <c r="A85" s="145"/>
      <c r="B85" s="296">
        <v>45839</v>
      </c>
      <c r="C85" s="45" t="s">
        <v>260</v>
      </c>
      <c r="D85" s="153">
        <v>0.19</v>
      </c>
      <c r="E85" s="153">
        <v>0.12</v>
      </c>
      <c r="F85" s="153">
        <v>0.12</v>
      </c>
      <c r="G85" s="153">
        <v>0.11</v>
      </c>
      <c r="H85" s="153" t="s">
        <v>265</v>
      </c>
      <c r="I85" s="153" t="s">
        <v>265</v>
      </c>
      <c r="J85" s="153" t="s">
        <v>265</v>
      </c>
      <c r="K85" s="153" t="s">
        <v>265</v>
      </c>
      <c r="L85" s="153" t="s">
        <v>265</v>
      </c>
      <c r="M85" s="153" t="s">
        <v>265</v>
      </c>
      <c r="N85" s="153" t="s">
        <v>265</v>
      </c>
      <c r="O85" s="153" t="s">
        <v>265</v>
      </c>
      <c r="P85" s="153" t="s">
        <v>265</v>
      </c>
      <c r="Q85" s="153" t="s">
        <v>265</v>
      </c>
      <c r="R85" s="153" t="s">
        <v>265</v>
      </c>
      <c r="S85" s="153" t="s">
        <v>265</v>
      </c>
      <c r="T85" s="153" t="s">
        <v>265</v>
      </c>
      <c r="U85" s="153" t="s">
        <v>265</v>
      </c>
      <c r="V85" s="153" t="s">
        <v>265</v>
      </c>
      <c r="W85" s="153" t="s">
        <v>265</v>
      </c>
      <c r="X85" s="153" t="s">
        <v>265</v>
      </c>
      <c r="Y85" s="153" t="s">
        <v>265</v>
      </c>
      <c r="Z85" s="153" t="s">
        <v>265</v>
      </c>
      <c r="AA85" s="153" t="s">
        <v>265</v>
      </c>
      <c r="AB85" s="153" t="s">
        <v>265</v>
      </c>
      <c r="AC85" s="153" t="s">
        <v>265</v>
      </c>
      <c r="AD85" s="153" t="s">
        <v>265</v>
      </c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2"/>
      <c r="AV85" s="2"/>
    </row>
    <row r="86" spans="1:48" ht="14.25" customHeight="1">
      <c r="A86" s="145"/>
      <c r="B86" s="296">
        <v>45870</v>
      </c>
      <c r="C86" s="45" t="s">
        <v>261</v>
      </c>
      <c r="D86" s="153">
        <v>0.19</v>
      </c>
      <c r="E86" s="153">
        <v>0.15</v>
      </c>
      <c r="F86" s="153">
        <v>0.13</v>
      </c>
      <c r="G86" s="153" t="s">
        <v>265</v>
      </c>
      <c r="H86" s="153" t="s">
        <v>265</v>
      </c>
      <c r="I86" s="153" t="s">
        <v>265</v>
      </c>
      <c r="J86" s="153" t="s">
        <v>265</v>
      </c>
      <c r="K86" s="153" t="s">
        <v>265</v>
      </c>
      <c r="L86" s="153" t="s">
        <v>265</v>
      </c>
      <c r="M86" s="153" t="s">
        <v>265</v>
      </c>
      <c r="N86" s="153" t="s">
        <v>265</v>
      </c>
      <c r="O86" s="153" t="s">
        <v>265</v>
      </c>
      <c r="P86" s="153" t="s">
        <v>265</v>
      </c>
      <c r="Q86" s="153" t="s">
        <v>265</v>
      </c>
      <c r="R86" s="153" t="s">
        <v>265</v>
      </c>
      <c r="S86" s="153" t="s">
        <v>265</v>
      </c>
      <c r="T86" s="153" t="s">
        <v>265</v>
      </c>
      <c r="U86" s="153" t="s">
        <v>265</v>
      </c>
      <c r="V86" s="153" t="s">
        <v>265</v>
      </c>
      <c r="W86" s="153" t="s">
        <v>265</v>
      </c>
      <c r="X86" s="153" t="s">
        <v>265</v>
      </c>
      <c r="Y86" s="153" t="s">
        <v>265</v>
      </c>
      <c r="Z86" s="153" t="s">
        <v>265</v>
      </c>
      <c r="AA86" s="153" t="s">
        <v>265</v>
      </c>
      <c r="AB86" s="153" t="s">
        <v>265</v>
      </c>
      <c r="AC86" s="153" t="s">
        <v>265</v>
      </c>
      <c r="AD86" s="153" t="s">
        <v>265</v>
      </c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2"/>
      <c r="AV86" s="2"/>
    </row>
    <row r="87" spans="1:48" ht="14.25" customHeight="1">
      <c r="A87" s="145"/>
      <c r="B87" s="296">
        <v>45901</v>
      </c>
      <c r="C87" s="45" t="s">
        <v>262</v>
      </c>
      <c r="D87" s="153">
        <v>0.19</v>
      </c>
      <c r="E87" s="153">
        <v>0.12</v>
      </c>
      <c r="F87" s="153" t="s">
        <v>265</v>
      </c>
      <c r="G87" s="153" t="s">
        <v>265</v>
      </c>
      <c r="H87" s="153" t="s">
        <v>265</v>
      </c>
      <c r="I87" s="153" t="s">
        <v>265</v>
      </c>
      <c r="J87" s="153" t="s">
        <v>265</v>
      </c>
      <c r="K87" s="153" t="s">
        <v>265</v>
      </c>
      <c r="L87" s="153" t="s">
        <v>265</v>
      </c>
      <c r="M87" s="153" t="s">
        <v>265</v>
      </c>
      <c r="N87" s="153" t="s">
        <v>265</v>
      </c>
      <c r="O87" s="153" t="s">
        <v>265</v>
      </c>
      <c r="P87" s="153" t="s">
        <v>265</v>
      </c>
      <c r="Q87" s="153" t="s">
        <v>265</v>
      </c>
      <c r="R87" s="153" t="s">
        <v>265</v>
      </c>
      <c r="S87" s="153" t="s">
        <v>265</v>
      </c>
      <c r="T87" s="153" t="s">
        <v>265</v>
      </c>
      <c r="U87" s="153" t="s">
        <v>265</v>
      </c>
      <c r="V87" s="153" t="s">
        <v>265</v>
      </c>
      <c r="W87" s="153" t="s">
        <v>265</v>
      </c>
      <c r="X87" s="153" t="s">
        <v>265</v>
      </c>
      <c r="Y87" s="153" t="s">
        <v>265</v>
      </c>
      <c r="Z87" s="153" t="s">
        <v>265</v>
      </c>
      <c r="AA87" s="153" t="s">
        <v>265</v>
      </c>
      <c r="AB87" s="153" t="s">
        <v>265</v>
      </c>
      <c r="AC87" s="153" t="s">
        <v>265</v>
      </c>
      <c r="AD87" s="153" t="s">
        <v>265</v>
      </c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2"/>
      <c r="AV87" s="2"/>
    </row>
    <row r="88" spans="1:48" ht="14.25" customHeight="1">
      <c r="A88" s="145"/>
      <c r="B88" s="296">
        <v>45931</v>
      </c>
      <c r="C88" s="297" t="s">
        <v>263</v>
      </c>
      <c r="D88" s="153">
        <v>0.2</v>
      </c>
      <c r="E88" s="153" t="s">
        <v>265</v>
      </c>
      <c r="F88" s="153" t="s">
        <v>265</v>
      </c>
      <c r="G88" s="153" t="s">
        <v>265</v>
      </c>
      <c r="H88" s="153" t="s">
        <v>265</v>
      </c>
      <c r="I88" s="153" t="s">
        <v>265</v>
      </c>
      <c r="J88" s="153" t="s">
        <v>265</v>
      </c>
      <c r="K88" s="153" t="s">
        <v>265</v>
      </c>
      <c r="L88" s="153" t="s">
        <v>265</v>
      </c>
      <c r="M88" s="153" t="s">
        <v>265</v>
      </c>
      <c r="N88" s="153" t="s">
        <v>265</v>
      </c>
      <c r="O88" s="153" t="s">
        <v>265</v>
      </c>
      <c r="P88" s="153" t="s">
        <v>265</v>
      </c>
      <c r="Q88" s="153" t="s">
        <v>265</v>
      </c>
      <c r="R88" s="153" t="s">
        <v>265</v>
      </c>
      <c r="S88" s="153" t="s">
        <v>265</v>
      </c>
      <c r="T88" s="153" t="s">
        <v>265</v>
      </c>
      <c r="U88" s="153" t="s">
        <v>265</v>
      </c>
      <c r="V88" s="153" t="s">
        <v>265</v>
      </c>
      <c r="W88" s="153" t="s">
        <v>265</v>
      </c>
      <c r="X88" s="153" t="s">
        <v>265</v>
      </c>
      <c r="Y88" s="153" t="s">
        <v>265</v>
      </c>
      <c r="Z88" s="153" t="s">
        <v>265</v>
      </c>
      <c r="AA88" s="153" t="s">
        <v>265</v>
      </c>
      <c r="AB88" s="153" t="s">
        <v>265</v>
      </c>
      <c r="AC88" s="153" t="s">
        <v>265</v>
      </c>
      <c r="AD88" s="153" t="s">
        <v>265</v>
      </c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2"/>
      <c r="AV88" s="2"/>
    </row>
    <row r="89" spans="1:48" ht="14.25" customHeight="1">
      <c r="A89" s="145"/>
      <c r="B89" s="296">
        <v>45962</v>
      </c>
      <c r="C89" s="297" t="s">
        <v>263</v>
      </c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39"/>
      <c r="AC89" s="139"/>
      <c r="AD89" s="139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2"/>
      <c r="AV89" s="2"/>
    </row>
    <row r="90" spans="1:48" ht="14.25" customHeight="1">
      <c r="A90" s="145"/>
      <c r="B90" s="46"/>
      <c r="C90" s="46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2"/>
      <c r="AV90" s="2"/>
    </row>
    <row r="91" spans="1:48" ht="14.25" customHeight="1">
      <c r="A91" s="145"/>
      <c r="B91" s="46"/>
      <c r="C91" s="46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2"/>
      <c r="AV91" s="2"/>
    </row>
    <row r="92" spans="1:48" ht="14.25" customHeight="1">
      <c r="A92" s="145"/>
      <c r="B92" s="46"/>
      <c r="C92" s="46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2"/>
      <c r="AV92" s="2"/>
    </row>
    <row r="93" spans="1:48" ht="14.25" customHeight="1">
      <c r="A93" s="145"/>
      <c r="B93" s="46"/>
      <c r="C93" s="46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2"/>
      <c r="AV93" s="2"/>
    </row>
    <row r="94" spans="1:48" ht="15.75" customHeight="1">
      <c r="A94" s="298"/>
      <c r="B94" s="46"/>
      <c r="C94" s="299"/>
      <c r="D94" s="153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</row>
    <row r="95" spans="1:48" ht="15.75" customHeight="1">
      <c r="A95" s="298"/>
      <c r="B95" s="46"/>
      <c r="C95" s="299"/>
      <c r="D95" s="153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</row>
    <row r="96" spans="1:48" ht="15.75" customHeight="1">
      <c r="A96" s="298"/>
      <c r="B96" s="149"/>
      <c r="C96" s="299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</row>
    <row r="97" spans="1:48" ht="14.25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ht="14.25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ht="14.25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ht="14.25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ht="14.25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ht="14.25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ht="14.25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ht="14.25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ht="14.25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ht="14.25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ht="14.25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ht="14.25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ht="14.25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ht="14.25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ht="14.25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ht="14.25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ht="14.25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ht="14.25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ht="14.25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ht="14.25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ht="14.25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ht="14.25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ht="14.25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ht="14.25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ht="14.25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ht="14.25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 ht="14.25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 ht="14.25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 ht="14.25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ht="14.25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 ht="14.25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 ht="14.25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 ht="14.25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 ht="14.25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ht="14.25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ht="14.25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 ht="14.25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 ht="14.25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ht="14.25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 ht="14.25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 ht="14.25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 ht="14.25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ht="14.25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 ht="14.25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ht="14.25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 ht="14.25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 ht="14.25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 ht="14.25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 ht="14.25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 ht="14.25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ht="14.25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ht="14.25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 ht="14.25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 ht="14.25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ht="14.25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 ht="14.25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 ht="14.25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 ht="14.25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 ht="14.25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 ht="14.25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 ht="14.25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 ht="14.25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 ht="14.25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ht="14.25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ht="14.25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ht="14.25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ht="14.25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 ht="14.25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ht="14.25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ht="14.25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ht="14.25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ht="14.25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ht="14.25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ht="14.25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 ht="14.25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 ht="14.25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 ht="14.25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ht="14.25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 ht="14.2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 ht="14.2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 ht="14.2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ht="14.2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 ht="14.2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 ht="14.2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 ht="14.2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 ht="14.2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 ht="14.2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 ht="14.2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ht="14.2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ht="14.2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 ht="14.2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ht="14.2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ht="14.2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 ht="14.2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 ht="14.2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 ht="14.2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 ht="14.2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 ht="14.2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 ht="14.2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 ht="14.2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 ht="14.2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 ht="14.2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 ht="14.2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 ht="14.2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 ht="14.2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ht="14.2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ht="14.2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ht="14.2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ht="14.2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ht="14.2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ht="14.2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ht="14.2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 ht="14.2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 ht="14.2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 ht="14.2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 ht="14.2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 ht="14.2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 ht="14.2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 ht="14.2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 ht="14.2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 ht="14.2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 ht="14.2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 ht="14.2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 ht="14.2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 ht="14.25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 ht="14.25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 ht="14.25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 ht="14.25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 ht="14.25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 ht="14.25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 ht="14.25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 ht="14.25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 ht="14.25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 ht="14.25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 ht="14.25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 ht="14.25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 ht="14.25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 ht="14.25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 ht="14.25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 ht="14.25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 ht="14.25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 ht="14.25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 ht="14.25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 ht="14.25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 ht="14.25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 ht="14.25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 ht="14.25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 ht="14.25" customHeight="1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 ht="14.25" customHeight="1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 ht="14.25" customHeight="1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 ht="14.25" customHeight="1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 ht="14.25" customHeight="1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 ht="14.25" customHeight="1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 ht="14.25" customHeight="1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 ht="14.25" customHeight="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 ht="14.25" customHeight="1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 ht="14.25" customHeight="1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 ht="14.25" customHeight="1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 ht="14.25" customHeight="1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 ht="14.25" customHeight="1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 ht="14.25" customHeight="1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 ht="14.25" customHeight="1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 ht="14.25" customHeight="1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 ht="14.25" customHeight="1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 ht="14.25" customHeight="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 ht="14.25" customHeight="1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 ht="14.25" customHeight="1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 ht="14.25" customHeight="1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 ht="14.25" customHeight="1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 ht="14.25" customHeight="1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 ht="14.25" customHeight="1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 ht="14.25" customHeight="1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 ht="14.25" customHeight="1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 ht="14.25" customHeight="1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 ht="14.25" customHeight="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 ht="14.25" customHeight="1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 ht="14.25" customHeight="1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 ht="14.25" customHeight="1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 ht="14.25" customHeight="1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 ht="14.25" customHeight="1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 ht="14.25" customHeight="1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 ht="14.25" customHeight="1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 ht="14.25" customHeight="1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 ht="14.25" customHeight="1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 ht="14.25" customHeight="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 ht="14.25" customHeight="1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 ht="14.25" customHeight="1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 ht="14.25" customHeight="1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 ht="14.25" customHeight="1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 ht="14.25" customHeight="1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 ht="14.25" customHeight="1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 ht="14.25" customHeight="1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 ht="14.25" customHeight="1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 ht="14.25" customHeight="1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 ht="14.25" customHeight="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 ht="14.25" customHeight="1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 ht="14.25" customHeight="1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 ht="14.25" customHeight="1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 ht="14.25" customHeight="1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 ht="14.25" customHeight="1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 ht="14.25" customHeight="1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 ht="14.25" customHeight="1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 ht="14.25" customHeight="1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 ht="14.25" customHeight="1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 ht="14.25" customHeight="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 ht="14.25" customHeight="1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 ht="14.25" customHeight="1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 ht="14.25" customHeight="1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 ht="14.25" customHeight="1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 ht="14.25" customHeight="1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 ht="14.25" customHeight="1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 ht="14.25" customHeight="1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 ht="14.25" customHeight="1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 ht="14.25" customHeight="1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 ht="14.25" customHeight="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 ht="14.25" customHeight="1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 ht="14.25" customHeight="1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 ht="14.25" customHeight="1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 ht="14.25" customHeight="1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 ht="14.25" customHeight="1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 ht="14.25" customHeight="1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 ht="14.25" customHeight="1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 ht="14.25" customHeight="1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 ht="14.25" customHeight="1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 ht="14.25" customHeight="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 ht="14.25" customHeight="1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 ht="14.25" customHeight="1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 ht="14.25" customHeight="1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 ht="14.25" customHeight="1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 ht="14.25" customHeight="1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 ht="14.25" customHeight="1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 ht="14.25" customHeight="1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 ht="14.25" customHeight="1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 ht="14.25" customHeight="1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 ht="14.25" customHeight="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 ht="14.25" customHeight="1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 ht="14.25" customHeight="1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 ht="14.25" customHeight="1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 ht="14.25" customHeight="1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 ht="14.25" customHeight="1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 ht="14.25" customHeight="1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 ht="14.25" customHeight="1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 ht="14.25" customHeight="1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 ht="14.25" customHeight="1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 ht="14.25" customHeight="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 ht="14.25" customHeight="1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 ht="14.25" customHeight="1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 ht="14.25" customHeight="1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 ht="14.25" customHeight="1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 ht="14.25" customHeight="1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 ht="14.25" customHeight="1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 ht="14.25" customHeight="1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 ht="14.25" customHeight="1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 ht="14.25" customHeight="1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 ht="14.25" customHeight="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 ht="14.25" customHeight="1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 ht="14.25" customHeight="1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 ht="14.25" customHeight="1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 ht="14.25" customHeight="1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 ht="14.25" customHeight="1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 ht="14.25" customHeight="1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 ht="14.25" customHeight="1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 ht="14.25" customHeight="1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 ht="14.25" customHeight="1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 ht="14.25" customHeight="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 ht="14.25" customHeight="1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 ht="14.25" customHeight="1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 ht="14.25" customHeight="1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 ht="14.25" customHeight="1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 ht="14.25" customHeight="1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 ht="14.25" customHeight="1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 ht="14.25" customHeight="1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 ht="14.25" customHeight="1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 ht="14.25" customHeight="1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 ht="14.25" customHeight="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 ht="14.25" customHeight="1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 ht="14.25" customHeight="1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 ht="14.25" customHeight="1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 ht="14.25" customHeight="1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 ht="14.25" customHeight="1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 ht="14.25" customHeight="1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 ht="14.25" customHeight="1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 ht="14.25" customHeight="1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 ht="14.25" customHeight="1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 ht="14.25" customHeight="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 ht="14.25" customHeight="1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 ht="14.25" customHeight="1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 ht="14.25" customHeight="1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 ht="14.25" customHeight="1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 ht="14.25" customHeight="1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 ht="14.25" customHeight="1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 ht="14.25" customHeight="1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 ht="14.25" customHeight="1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 ht="14.25" customHeight="1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 ht="14.25" customHeight="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 ht="14.25" customHeight="1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 ht="14.25" customHeight="1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 ht="14.25" customHeight="1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 ht="14.25" customHeight="1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 ht="14.25" customHeight="1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 ht="14.25" customHeight="1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 ht="14.25" customHeight="1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 ht="14.25" customHeight="1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 ht="14.25" customHeight="1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 ht="14.25" customHeight="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 ht="14.25" customHeight="1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 ht="14.25" customHeight="1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 ht="14.25" customHeight="1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 ht="14.25" customHeight="1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 ht="14.25" customHeight="1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 ht="14.25" customHeight="1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 ht="14.25" customHeight="1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 ht="14.25" customHeight="1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 ht="14.25" customHeight="1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 ht="14.25" customHeight="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 ht="14.25" customHeight="1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 ht="14.25" customHeight="1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 ht="14.25" customHeight="1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 ht="14.25" customHeight="1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 ht="14.25" customHeight="1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 ht="14.25" customHeight="1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 ht="14.25" customHeight="1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 ht="14.25" customHeight="1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 ht="14.25" customHeight="1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 ht="14.25" customHeight="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 ht="14.25" customHeight="1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 ht="14.25" customHeight="1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 ht="14.25" customHeight="1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 ht="14.25" customHeight="1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 ht="14.25" customHeight="1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 ht="14.25" customHeight="1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 ht="14.25" customHeight="1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 ht="14.25" customHeight="1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 ht="14.25" customHeight="1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 ht="14.25" customHeight="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 ht="14.25" customHeight="1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 ht="14.25" customHeight="1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 ht="14.25" customHeight="1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 ht="14.25" customHeight="1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 ht="14.25" customHeight="1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 ht="14.25" customHeight="1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 ht="14.25" customHeight="1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 ht="14.25" customHeight="1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 ht="14.25" customHeight="1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 ht="14.25" customHeight="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 ht="14.25" customHeight="1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 ht="14.25" customHeight="1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 ht="14.25" customHeight="1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 ht="14.25" customHeight="1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 ht="14.25" customHeight="1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 ht="14.25" customHeight="1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 ht="14.25" customHeight="1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 ht="14.25" customHeight="1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 ht="14.25" customHeight="1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 ht="14.25" customHeight="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 ht="14.25" customHeight="1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 ht="14.25" customHeight="1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 ht="14.25" customHeight="1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 ht="14.25" customHeight="1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 ht="14.25" customHeight="1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 ht="14.25" customHeight="1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 ht="14.25" customHeight="1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 ht="14.25" customHeight="1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 ht="14.25" customHeight="1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 ht="14.25" customHeight="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 ht="14.25" customHeight="1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 ht="14.25" customHeight="1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 ht="14.25" customHeight="1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 ht="14.25" customHeight="1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 ht="14.25" customHeight="1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 ht="14.25" customHeight="1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 ht="14.25" customHeight="1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 ht="14.25" customHeight="1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 ht="14.25" customHeight="1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 ht="14.25" customHeight="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 ht="14.25" customHeight="1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 ht="14.25" customHeight="1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 ht="14.25" customHeight="1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 ht="14.25" customHeight="1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 ht="14.25" customHeight="1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 ht="14.25" customHeight="1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 ht="14.25" customHeight="1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 ht="14.25" customHeight="1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 ht="14.25" customHeight="1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 ht="14.25" customHeight="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 ht="14.25" customHeight="1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 ht="14.25" customHeight="1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 ht="14.25" customHeight="1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 ht="14.25" customHeight="1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 ht="14.25" customHeight="1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 ht="14.25" customHeight="1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 ht="14.25" customHeight="1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 ht="14.25" customHeight="1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 ht="14.25" customHeight="1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 ht="14.25" customHeight="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 ht="14.25" customHeight="1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 ht="14.25" customHeight="1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 ht="14.25" customHeight="1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 ht="14.25" customHeight="1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 ht="14.25" customHeight="1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 ht="14.25" customHeight="1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 ht="14.25" customHeight="1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 ht="14.25" customHeight="1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 ht="14.25" customHeight="1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 ht="14.25" customHeight="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 ht="14.25" customHeight="1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 ht="14.25" customHeight="1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 ht="14.25" customHeight="1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 ht="14.25" customHeight="1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 ht="14.25" customHeight="1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 ht="14.25" customHeight="1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 ht="14.25" customHeight="1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 ht="14.25" customHeight="1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 ht="14.25" customHeight="1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 ht="14.25" customHeight="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 ht="14.25" customHeight="1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 ht="14.25" customHeight="1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 ht="14.25" customHeight="1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 ht="14.25" customHeight="1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 ht="14.25" customHeight="1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 ht="14.25" customHeight="1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 ht="14.25" customHeight="1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 ht="14.25" customHeight="1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 ht="14.25" customHeight="1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 ht="14.25" customHeight="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 ht="14.25" customHeight="1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 ht="14.25" customHeight="1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 ht="14.25" customHeight="1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 ht="14.25" customHeight="1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 ht="14.25" customHeight="1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 ht="14.25" customHeight="1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 ht="14.25" customHeight="1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 ht="14.25" customHeight="1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 ht="14.25" customHeight="1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 ht="14.25" customHeight="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 ht="14.25" customHeight="1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 ht="14.25" customHeight="1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 ht="14.25" customHeight="1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 ht="14.25" customHeight="1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 ht="14.25" customHeight="1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 ht="14.25" customHeight="1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 ht="14.25" customHeight="1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 ht="14.25" customHeight="1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 ht="14.25" customHeight="1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 ht="14.25" customHeight="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 ht="14.25" customHeight="1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 ht="14.25" customHeight="1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 ht="14.25" customHeight="1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 ht="14.25" customHeight="1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 ht="14.25" customHeight="1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 ht="14.25" customHeight="1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 ht="14.25" customHeight="1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 ht="14.25" customHeight="1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 ht="14.25" customHeight="1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 ht="14.25" customHeight="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 ht="14.25" customHeight="1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 ht="14.25" customHeight="1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 ht="14.25" customHeight="1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 ht="14.25" customHeight="1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 ht="14.25" customHeight="1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 ht="14.25" customHeight="1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 ht="14.25" customHeight="1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 ht="14.25" customHeight="1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 ht="14.25" customHeight="1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 ht="14.25" customHeight="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 ht="14.25" customHeight="1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 ht="14.25" customHeight="1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 ht="14.25" customHeight="1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 ht="14.25" customHeight="1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 ht="14.25" customHeight="1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 ht="14.25" customHeight="1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 ht="14.25" customHeight="1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 ht="14.25" customHeight="1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 ht="14.25" customHeight="1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 ht="14.25" customHeight="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 ht="14.25" customHeight="1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 ht="14.25" customHeight="1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 ht="14.25" customHeight="1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 ht="14.25" customHeight="1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 ht="14.25" customHeight="1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 ht="14.25" customHeight="1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 ht="14.25" customHeight="1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 ht="14.25" customHeight="1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 ht="14.25" customHeight="1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 ht="14.25" customHeight="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 ht="14.25" customHeight="1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 ht="14.25" customHeight="1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 ht="14.25" customHeight="1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 ht="14.25" customHeight="1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 ht="14.25" customHeight="1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 ht="14.25" customHeight="1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 ht="14.25" customHeight="1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 ht="14.25" customHeight="1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 ht="14.25" customHeight="1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 ht="14.25" customHeight="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 ht="14.25" customHeight="1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 ht="14.25" customHeight="1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 ht="14.25" customHeight="1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 ht="14.25" customHeight="1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 ht="14.25" customHeight="1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 ht="14.25" customHeight="1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 ht="14.25" customHeight="1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 ht="14.25" customHeight="1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 ht="14.25" customHeight="1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 ht="14.25" customHeight="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 ht="14.25" customHeight="1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 ht="14.25" customHeight="1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 ht="14.25" customHeight="1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 ht="14.25" customHeight="1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 ht="14.25" customHeight="1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 ht="14.25" customHeight="1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 ht="14.25" customHeight="1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 ht="14.25" customHeight="1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 ht="14.25" customHeight="1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 ht="14.25" customHeight="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 ht="14.25" customHeight="1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 ht="14.25" customHeight="1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 ht="14.25" customHeight="1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 ht="14.25" customHeight="1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 ht="14.25" customHeight="1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 ht="14.25" customHeight="1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 ht="14.25" customHeight="1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 ht="14.25" customHeight="1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 ht="14.25" customHeight="1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 ht="14.25" customHeight="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 ht="14.25" customHeight="1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 ht="14.25" customHeight="1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 ht="14.25" customHeight="1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 ht="14.25" customHeight="1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 ht="14.25" customHeight="1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 ht="14.25" customHeight="1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 ht="14.25" customHeight="1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 ht="14.25" customHeight="1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 ht="14.25" customHeight="1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 ht="14.25" customHeight="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 ht="14.25" customHeight="1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 ht="14.25" customHeight="1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 ht="14.25" customHeight="1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 ht="14.25" customHeight="1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 ht="14.25" customHeight="1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 ht="14.25" customHeight="1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 ht="14.25" customHeight="1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 ht="14.25" customHeight="1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 ht="14.25" customHeight="1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 ht="14.25" customHeight="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 ht="14.25" customHeight="1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 ht="14.25" customHeight="1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 ht="14.25" customHeight="1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 ht="14.25" customHeight="1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 ht="14.25" customHeight="1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 ht="14.25" customHeight="1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 ht="14.25" customHeight="1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 ht="14.25" customHeight="1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 ht="14.25" customHeight="1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 ht="14.25" customHeight="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 ht="14.25" customHeight="1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 ht="14.25" customHeight="1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 ht="14.25" customHeight="1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 ht="14.25" customHeight="1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 ht="14.25" customHeight="1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 ht="14.25" customHeight="1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 ht="14.25" customHeight="1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 ht="14.25" customHeight="1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 ht="14.25" customHeight="1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 ht="14.25" customHeight="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 ht="14.25" customHeight="1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 ht="14.25" customHeight="1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 ht="14.25" customHeight="1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 ht="14.25" customHeight="1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 ht="14.25" customHeight="1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 ht="14.25" customHeight="1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 ht="14.25" customHeight="1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 ht="14.25" customHeight="1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 ht="14.25" customHeight="1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 ht="14.25" customHeight="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 ht="14.25" customHeight="1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 ht="14.25" customHeight="1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 ht="14.25" customHeight="1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 ht="14.25" customHeight="1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 ht="14.25" customHeight="1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 ht="14.25" customHeight="1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 ht="14.25" customHeight="1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 ht="14.25" customHeight="1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 ht="14.25" customHeight="1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 ht="14.25" customHeight="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 ht="14.25" customHeight="1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 ht="14.25" customHeight="1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 ht="14.25" customHeight="1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 ht="14.25" customHeight="1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 ht="14.25" customHeight="1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 ht="14.25" customHeight="1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 ht="14.25" customHeight="1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 ht="14.25" customHeight="1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 ht="14.25" customHeight="1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 ht="14.25" customHeight="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 ht="14.25" customHeight="1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 ht="14.25" customHeight="1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 ht="14.25" customHeight="1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 ht="14.25" customHeight="1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 ht="14.25" customHeight="1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 ht="14.25" customHeight="1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 ht="14.25" customHeight="1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 ht="14.25" customHeight="1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 ht="14.25" customHeight="1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 ht="14.25" customHeight="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 ht="14.25" customHeight="1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 ht="14.25" customHeight="1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 ht="14.25" customHeight="1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 ht="14.25" customHeight="1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 ht="14.25" customHeight="1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 ht="14.25" customHeight="1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 ht="14.25" customHeight="1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 ht="14.25" customHeight="1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 ht="14.25" customHeight="1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 ht="14.25" customHeight="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 ht="14.25" customHeight="1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 ht="14.25" customHeight="1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 ht="14.25" customHeight="1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 ht="14.25" customHeight="1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 ht="14.25" customHeight="1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 ht="14.25" customHeight="1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 ht="14.25" customHeight="1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 ht="14.25" customHeight="1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 ht="14.25" customHeight="1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 ht="14.25" customHeight="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 ht="14.25" customHeight="1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 ht="14.25" customHeight="1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 ht="14.25" customHeight="1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 ht="14.25" customHeight="1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 ht="14.25" customHeight="1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 ht="14.25" customHeight="1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 ht="14.25" customHeight="1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 ht="14.25" customHeight="1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 ht="14.25" customHeight="1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 ht="14.25" customHeight="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 ht="14.25" customHeight="1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 ht="14.25" customHeight="1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 ht="14.25" customHeight="1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 ht="14.25" customHeight="1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 ht="14.25" customHeight="1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 ht="14.25" customHeight="1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 ht="14.25" customHeight="1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 ht="14.25" customHeight="1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 ht="14.25" customHeight="1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 ht="14.25" customHeight="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 ht="14.25" customHeight="1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 ht="14.25" customHeight="1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 ht="14.25" customHeight="1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 ht="14.25" customHeight="1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 ht="14.25" customHeight="1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 ht="14.25" customHeight="1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 ht="14.25" customHeight="1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 ht="14.25" customHeight="1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 ht="14.25" customHeight="1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 ht="14.25" customHeight="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 ht="14.25" customHeight="1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 ht="14.25" customHeight="1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 ht="14.25" customHeight="1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 ht="14.25" customHeight="1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 ht="14.25" customHeight="1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 ht="14.25" customHeight="1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 ht="14.25" customHeight="1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 ht="14.25" customHeight="1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 ht="14.25" customHeight="1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 ht="14.25" customHeight="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 ht="14.25" customHeight="1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 ht="14.25" customHeight="1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 ht="14.25" customHeight="1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 ht="14.25" customHeight="1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 ht="14.25" customHeight="1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 ht="14.25" customHeight="1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 ht="14.25" customHeight="1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 ht="14.25" customHeight="1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 ht="14.25" customHeight="1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 ht="14.25" customHeight="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 ht="14.25" customHeight="1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 ht="14.25" customHeight="1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 ht="14.25" customHeight="1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 ht="14.25" customHeight="1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 ht="14.25" customHeight="1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 ht="14.25" customHeight="1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 ht="14.25" customHeight="1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 ht="14.25" customHeight="1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 ht="14.25" customHeight="1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 ht="14.25" customHeight="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 ht="14.25" customHeight="1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 ht="14.25" customHeight="1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 ht="14.25" customHeight="1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 ht="14.25" customHeight="1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 ht="14.25" customHeight="1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 ht="14.25" customHeight="1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 ht="14.25" customHeight="1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 ht="14.25" customHeight="1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 ht="14.25" customHeight="1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 ht="14.25" customHeight="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 ht="14.25" customHeight="1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 ht="14.25" customHeight="1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 ht="14.25" customHeight="1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 ht="14.25" customHeight="1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 ht="14.25" customHeight="1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 ht="14.25" customHeight="1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 ht="14.25" customHeight="1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 ht="14.25" customHeight="1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 ht="14.25" customHeight="1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 ht="14.25" customHeight="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 ht="14.25" customHeight="1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 ht="14.25" customHeight="1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 ht="14.25" customHeight="1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 ht="14.25" customHeight="1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 ht="14.25" customHeight="1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 ht="14.25" customHeight="1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 ht="14.25" customHeight="1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 ht="14.25" customHeight="1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 ht="14.25" customHeight="1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 ht="14.25" customHeight="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 ht="14.25" customHeight="1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 ht="14.25" customHeight="1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 ht="14.25" customHeight="1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 ht="14.25" customHeight="1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 ht="14.25" customHeight="1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 ht="14.25" customHeight="1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 ht="14.25" customHeight="1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 ht="14.25" customHeight="1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 ht="14.25" customHeight="1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 ht="14.25" customHeight="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 ht="14.25" customHeight="1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 ht="14.25" customHeight="1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 ht="14.25" customHeight="1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 ht="14.25" customHeight="1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 ht="14.25" customHeight="1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 ht="14.25" customHeight="1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 ht="14.25" customHeight="1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 ht="14.25" customHeight="1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 ht="14.25" customHeight="1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 ht="14.25" customHeight="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 ht="14.25" customHeight="1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 ht="14.25" customHeight="1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 ht="14.25" customHeight="1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 ht="14.25" customHeight="1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 ht="14.25" customHeight="1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 ht="14.25" customHeight="1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 ht="14.25" customHeight="1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 ht="14.25" customHeight="1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 ht="14.25" customHeight="1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 ht="14.25" customHeight="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 ht="14.25" customHeight="1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 ht="14.25" customHeight="1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 ht="14.25" customHeight="1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 ht="14.25" customHeight="1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 ht="14.25" customHeight="1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 ht="14.25" customHeight="1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 ht="14.25" customHeight="1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 ht="14.25" customHeight="1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 ht="14.25" customHeight="1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 ht="14.25" customHeight="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 ht="14.25" customHeight="1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 ht="14.25" customHeight="1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 ht="14.25" customHeight="1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 ht="14.25" customHeight="1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 ht="14.25" customHeight="1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 ht="14.25" customHeight="1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 ht="14.25" customHeight="1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 ht="14.25" customHeight="1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 ht="14.25" customHeight="1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 ht="14.25" customHeight="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 ht="14.25" customHeight="1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 ht="14.25" customHeight="1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 ht="14.25" customHeight="1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 ht="14.25" customHeight="1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 ht="14.25" customHeight="1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 ht="14.25" customHeight="1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 ht="14.25" customHeight="1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 ht="14.25" customHeight="1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 ht="14.25" customHeight="1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 ht="14.25" customHeight="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 ht="14.25" customHeight="1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 ht="14.25" customHeight="1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 ht="14.25" customHeight="1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 ht="14.25" customHeight="1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 ht="14.25" customHeight="1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 ht="14.25" customHeight="1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 ht="14.25" customHeight="1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 ht="14.25" customHeight="1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 ht="14.25" customHeight="1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 ht="14.25" customHeight="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 ht="14.25" customHeight="1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 ht="14.25" customHeight="1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 ht="14.25" customHeight="1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 ht="14.25" customHeight="1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 ht="14.25" customHeight="1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 ht="14.25" customHeight="1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 ht="14.25" customHeight="1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 ht="14.25" customHeight="1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 ht="14.25" customHeight="1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 ht="14.25" customHeight="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 ht="14.25" customHeight="1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 ht="14.25" customHeight="1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 ht="14.25" customHeight="1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 ht="14.25" customHeight="1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 ht="14.25" customHeight="1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 ht="14.25" customHeight="1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 ht="14.25" customHeight="1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 ht="14.25" customHeight="1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 ht="14.25" customHeight="1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 ht="14.25" customHeight="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 ht="14.25" customHeight="1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 ht="14.25" customHeight="1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 ht="14.25" customHeight="1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 ht="14.25" customHeight="1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 ht="14.25" customHeight="1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 ht="14.25" customHeight="1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 ht="14.25" customHeight="1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 ht="14.25" customHeight="1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 ht="14.25" customHeight="1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 ht="14.25" customHeight="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 ht="14.25" customHeight="1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 ht="14.25" customHeight="1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 ht="14.25" customHeight="1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 ht="14.25" customHeight="1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 ht="14.25" customHeight="1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 ht="14.25" customHeight="1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 ht="14.25" customHeight="1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 ht="14.25" customHeight="1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 ht="14.25" customHeight="1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 ht="14.25" customHeight="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 ht="14.25" customHeight="1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 ht="14.25" customHeight="1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 ht="14.25" customHeight="1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 ht="14.25" customHeight="1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 ht="14.25" customHeight="1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 ht="14.25" customHeight="1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 ht="14.25" customHeight="1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 ht="14.25" customHeight="1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 ht="14.25" customHeight="1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 ht="14.25" customHeight="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 ht="14.25" customHeight="1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 ht="14.25" customHeight="1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 ht="14.25" customHeight="1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 ht="14.25" customHeight="1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 ht="14.25" customHeight="1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 ht="14.25" customHeight="1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 ht="14.25" customHeight="1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 ht="14.25" customHeight="1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 ht="14.25" customHeight="1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 ht="14.25" customHeight="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 ht="14.25" customHeight="1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 ht="14.25" customHeight="1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 ht="14.25" customHeight="1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 ht="14.25" customHeight="1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 ht="14.25" customHeight="1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 ht="14.25" customHeight="1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 ht="14.25" customHeight="1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 ht="14.25" customHeight="1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 ht="14.25" customHeight="1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 ht="14.25" customHeight="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 ht="14.25" customHeight="1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 ht="14.25" customHeight="1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 ht="14.25" customHeight="1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 ht="14.25" customHeight="1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 ht="14.25" customHeight="1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 ht="14.25" customHeight="1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 ht="14.25" customHeight="1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 ht="14.25" customHeight="1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 ht="14.25" customHeight="1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 ht="14.25" customHeight="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 ht="14.25" customHeight="1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 ht="14.25" customHeight="1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 ht="14.25" customHeight="1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 ht="14.25" customHeight="1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 ht="14.25" customHeight="1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 ht="14.25" customHeight="1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 ht="14.25" customHeight="1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 ht="14.25" customHeight="1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 ht="14.25" customHeight="1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 ht="14.25" customHeight="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 ht="14.25" customHeight="1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 ht="14.25" customHeight="1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 ht="14.25" customHeight="1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 ht="14.25" customHeight="1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 ht="14.25" customHeight="1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 ht="14.25" customHeight="1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 ht="14.25" customHeight="1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 ht="14.25" customHeight="1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 ht="14.25" customHeight="1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 ht="14.25" customHeight="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 ht="14.25" customHeight="1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 ht="14.25" customHeight="1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 ht="14.25" customHeight="1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 ht="14.25" customHeight="1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 ht="14.25" customHeight="1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 ht="14.25" customHeight="1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 ht="14.25" customHeight="1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 ht="14.25" customHeight="1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 ht="14.25" customHeight="1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 ht="14.25" customHeight="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 ht="14.25" customHeight="1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 ht="14.25" customHeight="1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 ht="14.25" customHeight="1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 ht="14.25" customHeight="1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 ht="14.25" customHeight="1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 ht="14.25" customHeight="1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 ht="14.25" customHeight="1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 ht="14.25" customHeight="1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 ht="14.25" customHeight="1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conditionalFormatting sqref="C62:C88">
    <cfRule type="colorScale" priority="1">
      <colorScale>
        <cfvo type="min"/>
        <cfvo type="max"/>
        <color rgb="FFFFFFFF"/>
        <color rgb="FF57BB8A"/>
      </colorScale>
    </cfRule>
  </conditionalFormatting>
  <conditionalFormatting sqref="D6:D32 D34 D57:D58">
    <cfRule type="colorScale" priority="2">
      <colorScale>
        <cfvo type="min"/>
        <cfvo type="max"/>
        <color rgb="FFFFFFFF"/>
        <color rgb="FF57BB8A"/>
      </colorScale>
    </cfRule>
    <cfRule type="colorScale" priority="3">
      <colorScale>
        <cfvo type="min"/>
        <cfvo type="max"/>
        <color rgb="FFFFFFFF"/>
        <color rgb="FF57BB8A"/>
      </colorScale>
    </cfRule>
  </conditionalFormatting>
  <conditionalFormatting sqref="D62:D88">
    <cfRule type="colorScale" priority="4">
      <colorScale>
        <cfvo type="min"/>
        <cfvo type="max"/>
        <color rgb="FFFFFFFF"/>
        <color rgb="FF57BB8A"/>
      </colorScale>
    </cfRule>
  </conditionalFormatting>
  <conditionalFormatting sqref="D62:AD88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AE33">
    <cfRule type="colorScale" priority="7">
      <colorScale>
        <cfvo type="min"/>
        <cfvo type="max"/>
        <color rgb="FFFFEF9C"/>
        <color rgb="FF63BE7B"/>
      </colorScale>
    </cfRule>
  </conditionalFormatting>
  <conditionalFormatting sqref="E6:E31">
    <cfRule type="colorScale" priority="8">
      <colorScale>
        <cfvo type="min"/>
        <cfvo type="max"/>
        <color rgb="FFFFFFFF"/>
        <color rgb="FF57BB8A"/>
      </colorScale>
    </cfRule>
  </conditionalFormatting>
  <conditionalFormatting sqref="E62:E86">
    <cfRule type="colorScale" priority="9">
      <colorScale>
        <cfvo type="min"/>
        <cfvo type="max"/>
        <color rgb="FFFFFFFF"/>
        <color rgb="FF57BB8A"/>
      </colorScale>
    </cfRule>
  </conditionalFormatting>
  <conditionalFormatting sqref="F6:F30">
    <cfRule type="colorScale" priority="10">
      <colorScale>
        <cfvo type="min"/>
        <cfvo type="max"/>
        <color rgb="FFFFFFFF"/>
        <color rgb="FF57BB8A"/>
      </colorScale>
    </cfRule>
  </conditionalFormatting>
  <conditionalFormatting sqref="F62:F85">
    <cfRule type="colorScale" priority="11">
      <colorScale>
        <cfvo type="min"/>
        <cfvo type="max"/>
        <color rgb="FFFFFFFF"/>
        <color rgb="FF57BB8A"/>
      </colorScale>
    </cfRule>
  </conditionalFormatting>
  <conditionalFormatting sqref="G6:G29">
    <cfRule type="colorScale" priority="12">
      <colorScale>
        <cfvo type="min"/>
        <cfvo type="max"/>
        <color rgb="FFFFFFFF"/>
        <color rgb="FF57BB8A"/>
      </colorScale>
    </cfRule>
  </conditionalFormatting>
  <conditionalFormatting sqref="G62:G84">
    <cfRule type="colorScale" priority="13">
      <colorScale>
        <cfvo type="min"/>
        <cfvo type="max"/>
        <color rgb="FFFFFFFF"/>
        <color rgb="FF57BB8A"/>
      </colorScale>
    </cfRule>
  </conditionalFormatting>
  <conditionalFormatting sqref="H6:H28">
    <cfRule type="colorScale" priority="14">
      <colorScale>
        <cfvo type="min"/>
        <cfvo type="max"/>
        <color rgb="FFFFFFFF"/>
        <color rgb="FF57BB8A"/>
      </colorScale>
    </cfRule>
  </conditionalFormatting>
  <conditionalFormatting sqref="H62:H83">
    <cfRule type="colorScale" priority="15">
      <colorScale>
        <cfvo type="min"/>
        <cfvo type="max"/>
        <color rgb="FFFFFFFF"/>
        <color rgb="FF57BB8A"/>
      </colorScale>
    </cfRule>
  </conditionalFormatting>
  <conditionalFormatting sqref="I6:I27">
    <cfRule type="colorScale" priority="16">
      <colorScale>
        <cfvo type="min"/>
        <cfvo type="max"/>
        <color rgb="FFFFFFFF"/>
        <color rgb="FF57BB8A"/>
      </colorScale>
    </cfRule>
  </conditionalFormatting>
  <conditionalFormatting sqref="I62:I82">
    <cfRule type="colorScale" priority="17">
      <colorScale>
        <cfvo type="min"/>
        <cfvo type="max"/>
        <color rgb="FFFFFFFF"/>
        <color rgb="FF57BB8A"/>
      </colorScale>
    </cfRule>
  </conditionalFormatting>
  <conditionalFormatting sqref="J6:J26">
    <cfRule type="colorScale" priority="18">
      <colorScale>
        <cfvo type="min"/>
        <cfvo type="max"/>
        <color rgb="FFFFFFFF"/>
        <color rgb="FF57BB8A"/>
      </colorScale>
    </cfRule>
  </conditionalFormatting>
  <conditionalFormatting sqref="J62:J81">
    <cfRule type="colorScale" priority="19">
      <colorScale>
        <cfvo type="min"/>
        <cfvo type="max"/>
        <color rgb="FFFFFFFF"/>
        <color rgb="FF57BB8A"/>
      </colorScale>
    </cfRule>
  </conditionalFormatting>
  <conditionalFormatting sqref="K6:K25">
    <cfRule type="colorScale" priority="20">
      <colorScale>
        <cfvo type="min"/>
        <cfvo type="max"/>
        <color rgb="FFFFFFFF"/>
        <color rgb="FF57BB8A"/>
      </colorScale>
    </cfRule>
  </conditionalFormatting>
  <conditionalFormatting sqref="K62:K80">
    <cfRule type="colorScale" priority="21">
      <colorScale>
        <cfvo type="min"/>
        <cfvo type="max"/>
        <color rgb="FFFFFFFF"/>
        <color rgb="FF57BB8A"/>
      </colorScale>
    </cfRule>
  </conditionalFormatting>
  <conditionalFormatting sqref="L6:L24">
    <cfRule type="colorScale" priority="22">
      <colorScale>
        <cfvo type="min"/>
        <cfvo type="max"/>
        <color rgb="FFFFFFFF"/>
        <color rgb="FF57BB8A"/>
      </colorScale>
    </cfRule>
  </conditionalFormatting>
  <conditionalFormatting sqref="L62:L79">
    <cfRule type="colorScale" priority="23">
      <colorScale>
        <cfvo type="min"/>
        <cfvo type="max"/>
        <color rgb="FFFFFFFF"/>
        <color rgb="FF57BB8A"/>
      </colorScale>
    </cfRule>
  </conditionalFormatting>
  <conditionalFormatting sqref="M6:M23">
    <cfRule type="colorScale" priority="24">
      <colorScale>
        <cfvo type="min"/>
        <cfvo type="max"/>
        <color rgb="FFFFFFFF"/>
        <color rgb="FF57BB8A"/>
      </colorScale>
    </cfRule>
  </conditionalFormatting>
  <conditionalFormatting sqref="M62:M78">
    <cfRule type="colorScale" priority="25">
      <colorScale>
        <cfvo type="min"/>
        <cfvo type="max"/>
        <color rgb="FFFFFFFF"/>
        <color rgb="FF57BB8A"/>
      </colorScale>
    </cfRule>
  </conditionalFormatting>
  <conditionalFormatting sqref="N6:N22">
    <cfRule type="colorScale" priority="26">
      <colorScale>
        <cfvo type="min"/>
        <cfvo type="max"/>
        <color rgb="FFFFFFFF"/>
        <color rgb="FF57BB8A"/>
      </colorScale>
    </cfRule>
  </conditionalFormatting>
  <conditionalFormatting sqref="N62:N77">
    <cfRule type="colorScale" priority="27">
      <colorScale>
        <cfvo type="min"/>
        <cfvo type="max"/>
        <color rgb="FFFFFFFF"/>
        <color rgb="FF57BB8A"/>
      </colorScale>
    </cfRule>
  </conditionalFormatting>
  <conditionalFormatting sqref="O6:O21">
    <cfRule type="colorScale" priority="28">
      <colorScale>
        <cfvo type="min"/>
        <cfvo type="max"/>
        <color rgb="FFFFFFFF"/>
        <color rgb="FF57BB8A"/>
      </colorScale>
    </cfRule>
  </conditionalFormatting>
  <conditionalFormatting sqref="O62:O76">
    <cfRule type="colorScale" priority="29">
      <colorScale>
        <cfvo type="min"/>
        <cfvo type="max"/>
        <color rgb="FFFFFFFF"/>
        <color rgb="FF57BB8A"/>
      </colorScale>
    </cfRule>
  </conditionalFormatting>
  <conditionalFormatting sqref="P6:P20">
    <cfRule type="colorScale" priority="30">
      <colorScale>
        <cfvo type="min"/>
        <cfvo type="max"/>
        <color rgb="FFFFFFFF"/>
        <color rgb="FF57BB8A"/>
      </colorScale>
    </cfRule>
  </conditionalFormatting>
  <conditionalFormatting sqref="P62:P75">
    <cfRule type="colorScale" priority="31">
      <colorScale>
        <cfvo type="min"/>
        <cfvo type="max"/>
        <color rgb="FFFFFFFF"/>
        <color rgb="FF57BB8A"/>
      </colorScale>
    </cfRule>
  </conditionalFormatting>
  <conditionalFormatting sqref="Q6:Q19">
    <cfRule type="colorScale" priority="32">
      <colorScale>
        <cfvo type="min"/>
        <cfvo type="max"/>
        <color rgb="FFFFFFFF"/>
        <color rgb="FF57BB8A"/>
      </colorScale>
    </cfRule>
  </conditionalFormatting>
  <conditionalFormatting sqref="Q62:Q74">
    <cfRule type="colorScale" priority="33">
      <colorScale>
        <cfvo type="min"/>
        <cfvo type="max"/>
        <color rgb="FFFFFFFF"/>
        <color rgb="FF57BB8A"/>
      </colorScale>
    </cfRule>
  </conditionalFormatting>
  <conditionalFormatting sqref="R6:R18">
    <cfRule type="colorScale" priority="34">
      <colorScale>
        <cfvo type="min"/>
        <cfvo type="max"/>
        <color rgb="FFFFFFFF"/>
        <color rgb="FF57BB8A"/>
      </colorScale>
    </cfRule>
  </conditionalFormatting>
  <conditionalFormatting sqref="R62:R73">
    <cfRule type="colorScale" priority="35">
      <colorScale>
        <cfvo type="min"/>
        <cfvo type="max"/>
        <color rgb="FFFFFFFF"/>
        <color rgb="FF57BB8A"/>
      </colorScale>
    </cfRule>
  </conditionalFormatting>
  <conditionalFormatting sqref="S6:S17">
    <cfRule type="colorScale" priority="36">
      <colorScale>
        <cfvo type="min"/>
        <cfvo type="max"/>
        <color rgb="FFFFFFFF"/>
        <color rgb="FF57BB8A"/>
      </colorScale>
    </cfRule>
  </conditionalFormatting>
  <conditionalFormatting sqref="S62:S72">
    <cfRule type="colorScale" priority="37">
      <colorScale>
        <cfvo type="min"/>
        <cfvo type="max"/>
        <color rgb="FFFFFFFF"/>
        <color rgb="FF57BB8A"/>
      </colorScale>
    </cfRule>
  </conditionalFormatting>
  <conditionalFormatting sqref="T6:T16">
    <cfRule type="colorScale" priority="38">
      <colorScale>
        <cfvo type="min"/>
        <cfvo type="max"/>
        <color rgb="FFFFFFFF"/>
        <color rgb="FF57BB8A"/>
      </colorScale>
    </cfRule>
  </conditionalFormatting>
  <conditionalFormatting sqref="T62:T71">
    <cfRule type="colorScale" priority="39">
      <colorScale>
        <cfvo type="min"/>
        <cfvo type="max"/>
        <color rgb="FFFFFFFF"/>
        <color rgb="FF57BB8A"/>
      </colorScale>
    </cfRule>
  </conditionalFormatting>
  <conditionalFormatting sqref="U6:U15">
    <cfRule type="colorScale" priority="40">
      <colorScale>
        <cfvo type="min"/>
        <cfvo type="max"/>
        <color rgb="FFFFFFFF"/>
        <color rgb="FF57BB8A"/>
      </colorScale>
    </cfRule>
  </conditionalFormatting>
  <conditionalFormatting sqref="U62:U70">
    <cfRule type="colorScale" priority="41">
      <colorScale>
        <cfvo type="min"/>
        <cfvo type="max"/>
        <color rgb="FFFFFFFF"/>
        <color rgb="FF57BB8A"/>
      </colorScale>
    </cfRule>
  </conditionalFormatting>
  <conditionalFormatting sqref="V6:V14">
    <cfRule type="colorScale" priority="42">
      <colorScale>
        <cfvo type="min"/>
        <cfvo type="max"/>
        <color rgb="FFFFFFFF"/>
        <color rgb="FF57BB8A"/>
      </colorScale>
    </cfRule>
  </conditionalFormatting>
  <conditionalFormatting sqref="V62:V69">
    <cfRule type="colorScale" priority="43">
      <colorScale>
        <cfvo type="min"/>
        <cfvo type="max"/>
        <color rgb="FFFFFFFF"/>
        <color rgb="FF57BB8A"/>
      </colorScale>
    </cfRule>
  </conditionalFormatting>
  <conditionalFormatting sqref="W6:W13">
    <cfRule type="colorScale" priority="44">
      <colorScale>
        <cfvo type="min"/>
        <cfvo type="max"/>
        <color rgb="FFFFFFFF"/>
        <color rgb="FF57BB8A"/>
      </colorScale>
    </cfRule>
  </conditionalFormatting>
  <conditionalFormatting sqref="W62:W68">
    <cfRule type="colorScale" priority="45">
      <colorScale>
        <cfvo type="min"/>
        <cfvo type="max"/>
        <color rgb="FFFFFFFF"/>
        <color rgb="FF57BB8A"/>
      </colorScale>
    </cfRule>
  </conditionalFormatting>
  <conditionalFormatting sqref="X6:X12">
    <cfRule type="colorScale" priority="46">
      <colorScale>
        <cfvo type="min"/>
        <cfvo type="max"/>
        <color rgb="FFFFFFFF"/>
        <color rgb="FF57BB8A"/>
      </colorScale>
    </cfRule>
  </conditionalFormatting>
  <conditionalFormatting sqref="X62:X67">
    <cfRule type="colorScale" priority="47">
      <colorScale>
        <cfvo type="min"/>
        <cfvo type="max"/>
        <color rgb="FFFFFFFF"/>
        <color rgb="FF57BB8A"/>
      </colorScale>
    </cfRule>
  </conditionalFormatting>
  <conditionalFormatting sqref="Y6:Y11">
    <cfRule type="colorScale" priority="48">
      <colorScale>
        <cfvo type="min"/>
        <cfvo type="max"/>
        <color rgb="FFFFFFFF"/>
        <color rgb="FF57BB8A"/>
      </colorScale>
    </cfRule>
  </conditionalFormatting>
  <conditionalFormatting sqref="Y62:Y66">
    <cfRule type="colorScale" priority="49">
      <colorScale>
        <cfvo type="min"/>
        <cfvo type="max"/>
        <color rgb="FFFFFFFF"/>
        <color rgb="FF57BB8A"/>
      </colorScale>
    </cfRule>
  </conditionalFormatting>
  <conditionalFormatting sqref="Z6:Z10">
    <cfRule type="colorScale" priority="50">
      <colorScale>
        <cfvo type="min"/>
        <cfvo type="max"/>
        <color rgb="FFFFFFFF"/>
        <color rgb="FF57BB8A"/>
      </colorScale>
    </cfRule>
  </conditionalFormatting>
  <conditionalFormatting sqref="Z62:Z65">
    <cfRule type="colorScale" priority="51">
      <colorScale>
        <cfvo type="min"/>
        <cfvo type="max"/>
        <color rgb="FFFFFFFF"/>
        <color rgb="FF57BB8A"/>
      </colorScale>
    </cfRule>
  </conditionalFormatting>
  <conditionalFormatting sqref="AA6:AA9">
    <cfRule type="colorScale" priority="52">
      <colorScale>
        <cfvo type="min"/>
        <cfvo type="max"/>
        <color rgb="FFFFFFFF"/>
        <color rgb="FF57BB8A"/>
      </colorScale>
    </cfRule>
  </conditionalFormatting>
  <conditionalFormatting sqref="AA62:AA64">
    <cfRule type="colorScale" priority="53">
      <colorScale>
        <cfvo type="min"/>
        <cfvo type="max"/>
        <color rgb="FFFFFFFF"/>
        <color rgb="FF57BB8A"/>
      </colorScale>
    </cfRule>
  </conditionalFormatting>
  <conditionalFormatting sqref="AB6:AB8">
    <cfRule type="colorScale" priority="54">
      <colorScale>
        <cfvo type="min"/>
        <cfvo type="max"/>
        <color rgb="FFFFFFFF"/>
        <color rgb="FF57BB8A"/>
      </colorScale>
    </cfRule>
  </conditionalFormatting>
  <conditionalFormatting sqref="AB62:AB63">
    <cfRule type="colorScale" priority="55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Revised MIS Template - KPIs</vt:lpstr>
      <vt:lpstr>Revised MIS Template - P&amp;L</vt:lpstr>
      <vt:lpstr>Revised MIS Template - Cohorts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Maskara</dc:creator>
  <cp:lastModifiedBy>Sourav Maskara</cp:lastModifiedBy>
  <dcterms:created xsi:type="dcterms:W3CDTF">2026-02-17T17:45:57Z</dcterms:created>
  <dcterms:modified xsi:type="dcterms:W3CDTF">2026-02-17T18:23:13Z</dcterms:modified>
</cp:coreProperties>
</file>